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hoangnguyen/Documents/1st Data Analytics Project on VN Tourism/vietnam-tourism-market-analysis/data/"/>
    </mc:Choice>
  </mc:AlternateContent>
  <xr:revisionPtr revIDLastSave="0" documentId="8_{476D6249-6547-8347-8CD1-D94ADCF2C007}" xr6:coauthVersionLast="47" xr6:coauthVersionMax="47" xr10:uidLastSave="{00000000-0000-0000-0000-000000000000}"/>
  <bookViews>
    <workbookView xWindow="0" yWindow="740" windowWidth="29400" windowHeight="17080" firstSheet="5" activeTab="5" xr2:uid="{105725F0-9581-9F4C-86EF-73243786B830}"/>
  </bookViews>
  <sheets>
    <sheet name="kaggle_booking_raw_data" sheetId="1" r:id="rId1"/>
    <sheet name="kaggle_booking_clean_data " sheetId="3" r:id="rId2"/>
    <sheet name="Pivot Table 6" sheetId="18" r:id="rId3"/>
    <sheet name="Customer Type vs Destinations" sheetId="19" r:id="rId4"/>
    <sheet name="Pivot Table 5" sheetId="16" r:id="rId5"/>
    <sheet name="Ideal Budget &amp; Deals" sheetId="17" r:id="rId6"/>
    <sheet name="Pivot Table 4" sheetId="14" r:id="rId7"/>
    <sheet name="Tour Type" sheetId="15" r:id="rId8"/>
    <sheet name="Pivot Table 3" sheetId="10" r:id="rId9"/>
    <sheet name="Customer Type" sheetId="11" r:id="rId10"/>
    <sheet name="Pivot Table 1" sheetId="4" r:id="rId11"/>
    <sheet name="Popularity vs Seasonality" sheetId="6" r:id="rId12"/>
    <sheet name="Top 5 popular destinations" sheetId="5" r:id="rId13"/>
    <sheet name="Pivot Table 2" sheetId="8" r:id="rId14"/>
    <sheet name="Nationality vs Seasonality" sheetId="9" r:id="rId15"/>
    <sheet name="VNAT_scrape_data" sheetId="2" r:id="rId16"/>
  </sheets>
  <definedNames>
    <definedName name="_xlnm._FilterDatabase" localSheetId="1" hidden="1">'kaggle_booking_clean_data '!$A$1:$K$3940</definedName>
  </definedNames>
  <calcPr calcId="191028"/>
  <pivotCaches>
    <pivotCache cacheId="0" r:id="rId17"/>
    <pivotCache cacheId="1" r:id="rId18"/>
    <pivotCache cacheId="2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9" l="1"/>
  <c r="B41" i="8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2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7" i="2"/>
  <c r="N18" i="2"/>
  <c r="N19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6" i="2"/>
  <c r="N37" i="2"/>
  <c r="N38" i="2"/>
  <c r="N40" i="2"/>
  <c r="C39" i="2"/>
  <c r="D39" i="2"/>
  <c r="E39" i="2"/>
  <c r="F39" i="2"/>
  <c r="G39" i="2"/>
  <c r="H39" i="2"/>
  <c r="I39" i="2"/>
  <c r="J39" i="2"/>
  <c r="K39" i="2"/>
  <c r="L39" i="2"/>
  <c r="M39" i="2"/>
  <c r="C16" i="2"/>
  <c r="D16" i="2"/>
  <c r="E16" i="2"/>
  <c r="F16" i="2"/>
  <c r="G16" i="2"/>
  <c r="H16" i="2"/>
  <c r="I16" i="2"/>
  <c r="J16" i="2"/>
  <c r="K16" i="2"/>
  <c r="L16" i="2"/>
  <c r="M16" i="2"/>
  <c r="E165" i="3"/>
  <c r="E178" i="3"/>
  <c r="E218" i="3"/>
  <c r="E266" i="3"/>
  <c r="E376" i="3"/>
  <c r="E382" i="3"/>
  <c r="E403" i="3"/>
  <c r="E408" i="3"/>
  <c r="E415" i="3"/>
  <c r="E506" i="3"/>
  <c r="E547" i="3"/>
  <c r="E573" i="3"/>
  <c r="E575" i="3"/>
  <c r="E649" i="3"/>
  <c r="E665" i="3"/>
  <c r="E687" i="3"/>
  <c r="E947" i="3"/>
  <c r="E984" i="3"/>
  <c r="E1044" i="3"/>
  <c r="E1117" i="3"/>
  <c r="E1144" i="3"/>
  <c r="E1209" i="3"/>
  <c r="E1219" i="3"/>
  <c r="E1229" i="3"/>
  <c r="E1230" i="3" s="1"/>
  <c r="E1239" i="3"/>
  <c r="E1310" i="3"/>
  <c r="E1348" i="3"/>
  <c r="E1349" i="3" s="1"/>
  <c r="E1381" i="3"/>
  <c r="E1422" i="3"/>
  <c r="E1439" i="3"/>
  <c r="E1480" i="3"/>
  <c r="E1553" i="3"/>
  <c r="E1586" i="3"/>
  <c r="E1670" i="3"/>
  <c r="E1682" i="3"/>
  <c r="E1710" i="3"/>
  <c r="E1724" i="3"/>
  <c r="E1809" i="3"/>
  <c r="E1963" i="3"/>
  <c r="E2070" i="3"/>
  <c r="E2207" i="3"/>
  <c r="E2218" i="3"/>
  <c r="E2267" i="3"/>
  <c r="E2287" i="3"/>
  <c r="E2388" i="3"/>
  <c r="E2440" i="3"/>
  <c r="E2571" i="3"/>
  <c r="E2823" i="3"/>
  <c r="E2839" i="3"/>
  <c r="E2880" i="3"/>
  <c r="E2941" i="3"/>
  <c r="E2945" i="3"/>
  <c r="E3234" i="3"/>
  <c r="E3280" i="3"/>
  <c r="E3354" i="3"/>
  <c r="E3397" i="3"/>
  <c r="E3403" i="3"/>
  <c r="E3410" i="3"/>
  <c r="E3431" i="3"/>
  <c r="E3435" i="3"/>
  <c r="E3698" i="3"/>
  <c r="E3766" i="3"/>
  <c r="E3778" i="3"/>
  <c r="E3800" i="3"/>
  <c r="E3862" i="3"/>
  <c r="E3935" i="3"/>
  <c r="D3938" i="3"/>
  <c r="E3926" i="3"/>
  <c r="E3912" i="3"/>
  <c r="E3877" i="3"/>
  <c r="E3867" i="3"/>
  <c r="E3857" i="3"/>
  <c r="B3851" i="3"/>
  <c r="D3838" i="3"/>
  <c r="B3830" i="3"/>
  <c r="D3814" i="3"/>
  <c r="B3800" i="3"/>
  <c r="E3793" i="3"/>
  <c r="B3768" i="3"/>
  <c r="D3763" i="3"/>
  <c r="E3760" i="3"/>
  <c r="E3761" i="3" s="1"/>
  <c r="B3743" i="3"/>
  <c r="B3734" i="3"/>
  <c r="B3711" i="3"/>
  <c r="B3709" i="3"/>
  <c r="B3691" i="3"/>
  <c r="E3687" i="3"/>
  <c r="B3660" i="3"/>
  <c r="B3637" i="3"/>
  <c r="D3633" i="3"/>
  <c r="D3623" i="3"/>
  <c r="B3609" i="3"/>
  <c r="E3594" i="3"/>
  <c r="B3589" i="3"/>
  <c r="E3586" i="3"/>
  <c r="D3577" i="3"/>
  <c r="E3577" i="3"/>
  <c r="B3577" i="3"/>
  <c r="B3574" i="3"/>
  <c r="D3550" i="3"/>
  <c r="E3550" i="3"/>
  <c r="E3527" i="3"/>
  <c r="D3524" i="3"/>
  <c r="E3514" i="3"/>
  <c r="B3514" i="3"/>
  <c r="D3513" i="3"/>
  <c r="E3512" i="3"/>
  <c r="E3507" i="3"/>
  <c r="B3481" i="3"/>
  <c r="B3478" i="3"/>
  <c r="D3472" i="3"/>
  <c r="B3446" i="3"/>
  <c r="D3405" i="3"/>
  <c r="E3377" i="3"/>
  <c r="D3374" i="3"/>
  <c r="E3372" i="3"/>
  <c r="E3364" i="3"/>
  <c r="E3346" i="3"/>
  <c r="E3340" i="3"/>
  <c r="B3321" i="3"/>
  <c r="E3301" i="3"/>
  <c r="D3295" i="3"/>
  <c r="D3289" i="3"/>
  <c r="E3270" i="3"/>
  <c r="E3266" i="3"/>
  <c r="B3244" i="3"/>
  <c r="E3238" i="3"/>
  <c r="E3221" i="3"/>
  <c r="B3216" i="3"/>
  <c r="B3169" i="3"/>
  <c r="E3135" i="3"/>
  <c r="D3130" i="3"/>
  <c r="D3126" i="3"/>
  <c r="D3084" i="3"/>
  <c r="B3080" i="3"/>
  <c r="D3076" i="3"/>
  <c r="E3056" i="3"/>
  <c r="B3035" i="3"/>
  <c r="E3028" i="3"/>
  <c r="E3020" i="3"/>
  <c r="E2999" i="3"/>
  <c r="D2983" i="3"/>
  <c r="B2983" i="3"/>
  <c r="B2970" i="3"/>
  <c r="E2969" i="3"/>
  <c r="B2953" i="3"/>
  <c r="E2931" i="3"/>
  <c r="E2932" i="3" s="1"/>
  <c r="B2904" i="3"/>
  <c r="E2900" i="3"/>
  <c r="D2877" i="3"/>
  <c r="E2873" i="3"/>
  <c r="B2841" i="3"/>
  <c r="D2831" i="3"/>
  <c r="B2809" i="3"/>
  <c r="D2808" i="3"/>
  <c r="E2801" i="3"/>
  <c r="B2792" i="3"/>
  <c r="D2790" i="3"/>
  <c r="D2786" i="3"/>
  <c r="D2787" i="3" s="1"/>
  <c r="E2786" i="3"/>
  <c r="D2774" i="3"/>
  <c r="E2769" i="3"/>
  <c r="D2762" i="3"/>
  <c r="E2753" i="3"/>
  <c r="E2744" i="3"/>
  <c r="E2745" i="3" s="1"/>
  <c r="E2746" i="3" s="1"/>
  <c r="E2720" i="3"/>
  <c r="B2719" i="3"/>
  <c r="E2650" i="3"/>
  <c r="E2624" i="3"/>
  <c r="B2611" i="3"/>
  <c r="D2607" i="3"/>
  <c r="B2607" i="3"/>
  <c r="E2593" i="3"/>
  <c r="E2588" i="3"/>
  <c r="B2586" i="3"/>
  <c r="E2580" i="3"/>
  <c r="E2567" i="3"/>
  <c r="B2561" i="3"/>
  <c r="D2549" i="3"/>
  <c r="B2545" i="3"/>
  <c r="B2525" i="3"/>
  <c r="E2499" i="3"/>
  <c r="D2490" i="3"/>
  <c r="E2479" i="3"/>
  <c r="E2462" i="3"/>
  <c r="D2456" i="3"/>
  <c r="B2455" i="3"/>
  <c r="B2437" i="3"/>
  <c r="B2423" i="3"/>
  <c r="D2414" i="3"/>
  <c r="B2410" i="3"/>
  <c r="E2398" i="3"/>
  <c r="D2397" i="3"/>
  <c r="D2374" i="3"/>
  <c r="B2369" i="3"/>
  <c r="E2357" i="3"/>
  <c r="B2344" i="3"/>
  <c r="E2333" i="3"/>
  <c r="D2327" i="3"/>
  <c r="D2314" i="3"/>
  <c r="B2284" i="3"/>
  <c r="D2239" i="3"/>
  <c r="E2224" i="3"/>
  <c r="D2220" i="3"/>
  <c r="D2218" i="3"/>
  <c r="E2213" i="3"/>
  <c r="E2214" i="3" s="1"/>
  <c r="D2204" i="3"/>
  <c r="D2195" i="3"/>
  <c r="E2183" i="3"/>
  <c r="B2180" i="3"/>
  <c r="E2173" i="3"/>
  <c r="E2155" i="3"/>
  <c r="D2127" i="3"/>
  <c r="E2114" i="3"/>
  <c r="E2115" i="3" s="1"/>
  <c r="E2083" i="3"/>
  <c r="E2066" i="3"/>
  <c r="E2027" i="3"/>
  <c r="D2015" i="3"/>
  <c r="E2006" i="3"/>
  <c r="J2000" i="3"/>
  <c r="B1998" i="3"/>
  <c r="E1985" i="3"/>
  <c r="D1974" i="3"/>
  <c r="D1963" i="3"/>
  <c r="J1947" i="3"/>
  <c r="E1946" i="3"/>
  <c r="D1942" i="3"/>
  <c r="D1943" i="3" s="1"/>
  <c r="D1925" i="3"/>
  <c r="E1923" i="3"/>
  <c r="B1910" i="3"/>
  <c r="D1884" i="3"/>
  <c r="B1864" i="3"/>
  <c r="E1844" i="3"/>
  <c r="D1833" i="3"/>
  <c r="D1774" i="3"/>
  <c r="E1765" i="3"/>
  <c r="B1746" i="3"/>
  <c r="B1747" i="3" s="1"/>
  <c r="E1745" i="3"/>
  <c r="D1736" i="3"/>
  <c r="E1730" i="3"/>
  <c r="D1724" i="3"/>
  <c r="D1707" i="3"/>
  <c r="D1697" i="3"/>
  <c r="E1679" i="3"/>
  <c r="E1677" i="3"/>
  <c r="B1675" i="3"/>
  <c r="E1645" i="3"/>
  <c r="B1643" i="3"/>
  <c r="D1633" i="3"/>
  <c r="D1623" i="3"/>
  <c r="E1619" i="3"/>
  <c r="B1591" i="3"/>
  <c r="D1573" i="3"/>
  <c r="B1562" i="3"/>
  <c r="B1547" i="3"/>
  <c r="B1542" i="3"/>
  <c r="B1506" i="3"/>
  <c r="E1500" i="3"/>
  <c r="D1487" i="3"/>
  <c r="E1487" i="3"/>
  <c r="B1481" i="3"/>
  <c r="D1477" i="3"/>
  <c r="D1471" i="3"/>
  <c r="E1470" i="3"/>
  <c r="B1462" i="3"/>
  <c r="D1455" i="3"/>
  <c r="D1438" i="3"/>
  <c r="E1437" i="3"/>
  <c r="E1435" i="3"/>
  <c r="E1425" i="3"/>
  <c r="E1405" i="3"/>
  <c r="E1395" i="3"/>
  <c r="D1394" i="3"/>
  <c r="B1383" i="3"/>
  <c r="B1372" i="3"/>
  <c r="B1370" i="3"/>
  <c r="D1358" i="3"/>
  <c r="B1356" i="3"/>
  <c r="E1342" i="3"/>
  <c r="B1342" i="3"/>
  <c r="D1335" i="3"/>
  <c r="D1319" i="3"/>
  <c r="E1308" i="3"/>
  <c r="E1300" i="3"/>
  <c r="D1284" i="3"/>
  <c r="E1277" i="3"/>
  <c r="D1268" i="3"/>
  <c r="B1264" i="3"/>
  <c r="D1258" i="3"/>
  <c r="B1240" i="3"/>
  <c r="B1232" i="3"/>
  <c r="D1229" i="3"/>
  <c r="D1230" i="3" s="1"/>
  <c r="D1226" i="3"/>
  <c r="B1219" i="3"/>
  <c r="E1196" i="3"/>
  <c r="B1186" i="3"/>
  <c r="D1162" i="3"/>
  <c r="B1153" i="3"/>
  <c r="B1141" i="3"/>
  <c r="E1125" i="3"/>
  <c r="D1114" i="3"/>
  <c r="E1094" i="3"/>
  <c r="B1093" i="3"/>
  <c r="B1090" i="3"/>
  <c r="E1087" i="3"/>
  <c r="E1085" i="3"/>
  <c r="D1080" i="3"/>
  <c r="D1066" i="3"/>
  <c r="B1061" i="3"/>
  <c r="B1048" i="3"/>
  <c r="D1047" i="3"/>
  <c r="B1043" i="3"/>
  <c r="D1037" i="3"/>
  <c r="E1030" i="3"/>
  <c r="D1022" i="3"/>
  <c r="D1020" i="3"/>
  <c r="E987" i="3"/>
  <c r="B965" i="3"/>
  <c r="B966" i="3" s="1"/>
  <c r="E952" i="3"/>
  <c r="E949" i="3"/>
  <c r="B945" i="3"/>
  <c r="E942" i="3"/>
  <c r="B938" i="3"/>
  <c r="D934" i="3"/>
  <c r="B933" i="3"/>
  <c r="B924" i="3"/>
  <c r="B909" i="3"/>
  <c r="E896" i="3"/>
  <c r="D890" i="3"/>
  <c r="B875" i="3"/>
  <c r="D857" i="3"/>
  <c r="D843" i="3"/>
  <c r="E839" i="3"/>
  <c r="E828" i="3"/>
  <c r="E819" i="3"/>
  <c r="E808" i="3"/>
  <c r="D801" i="3"/>
  <c r="E796" i="3"/>
  <c r="D795" i="3"/>
  <c r="D796" i="3" s="1"/>
  <c r="E777" i="3"/>
  <c r="D773" i="3"/>
  <c r="E762" i="3"/>
  <c r="D761" i="3"/>
  <c r="B754" i="3"/>
  <c r="E751" i="3"/>
  <c r="D750" i="3"/>
  <c r="B727" i="3"/>
  <c r="B709" i="3"/>
  <c r="D703" i="3"/>
  <c r="E701" i="3"/>
  <c r="E692" i="3"/>
  <c r="D685" i="3"/>
  <c r="B683" i="3"/>
  <c r="E673" i="3"/>
  <c r="B671" i="3"/>
  <c r="E654" i="3"/>
  <c r="B647" i="3"/>
  <c r="B648" i="3" s="1"/>
  <c r="D608" i="3"/>
  <c r="B595" i="3"/>
  <c r="B564" i="3"/>
  <c r="D545" i="3"/>
  <c r="D546" i="3" s="1"/>
  <c r="D538" i="3"/>
  <c r="E529" i="3"/>
  <c r="B518" i="3"/>
  <c r="D509" i="3"/>
  <c r="D497" i="3"/>
  <c r="E493" i="3"/>
  <c r="B489" i="3"/>
  <c r="D485" i="3"/>
  <c r="B450" i="3"/>
  <c r="D446" i="3"/>
  <c r="B444" i="3"/>
  <c r="E430" i="3"/>
  <c r="D426" i="3"/>
  <c r="B423" i="3"/>
  <c r="E417" i="3"/>
  <c r="B417" i="3"/>
  <c r="B396" i="3"/>
  <c r="B397" i="3" s="1"/>
  <c r="B393" i="3"/>
  <c r="B391" i="3"/>
  <c r="B389" i="3"/>
  <c r="D375" i="3"/>
  <c r="D372" i="3"/>
  <c r="D359" i="3"/>
  <c r="E358" i="3"/>
  <c r="D340" i="3"/>
  <c r="E339" i="3"/>
  <c r="E337" i="3"/>
  <c r="B39" i="2"/>
  <c r="B16" i="2"/>
  <c r="B3938" i="3"/>
  <c r="B3939" i="3" s="1"/>
  <c r="N16" i="2" l="1"/>
  <c r="N39" i="2"/>
  <c r="M35" i="2" l="1"/>
  <c r="I35" i="2"/>
  <c r="H35" i="2"/>
  <c r="D35" i="2"/>
  <c r="L35" i="2"/>
  <c r="E35" i="2"/>
  <c r="B35" i="2"/>
  <c r="C35" i="2"/>
  <c r="C41" i="2" s="1"/>
  <c r="K35" i="2"/>
  <c r="G35" i="2"/>
  <c r="F35" i="2"/>
  <c r="J35" i="2"/>
  <c r="B20" i="2"/>
  <c r="D2" i="2"/>
  <c r="D20" i="2"/>
  <c r="K2" i="2"/>
  <c r="K20" i="2"/>
  <c r="J2" i="2"/>
  <c r="J20" i="2"/>
  <c r="B2" i="2"/>
  <c r="I2" i="2"/>
  <c r="I20" i="2"/>
  <c r="C2" i="2"/>
  <c r="C20" i="2"/>
  <c r="E2" i="2"/>
  <c r="E20" i="2"/>
  <c r="L2" i="2"/>
  <c r="L20" i="2"/>
  <c r="H2" i="2"/>
  <c r="H20" i="2"/>
  <c r="G2" i="2"/>
  <c r="G20" i="2"/>
  <c r="F2" i="2"/>
  <c r="F20" i="2"/>
  <c r="D41" i="2" l="1"/>
  <c r="N2" i="2"/>
  <c r="H41" i="2"/>
  <c r="B41" i="2"/>
  <c r="I41" i="2"/>
  <c r="F41" i="2"/>
  <c r="E41" i="2"/>
  <c r="J41" i="2"/>
  <c r="L41" i="2"/>
  <c r="G41" i="2"/>
  <c r="K41" i="2"/>
  <c r="N35" i="2"/>
  <c r="M20" i="2"/>
  <c r="M41" i="2" s="1"/>
  <c r="N20" i="2"/>
  <c r="N41" i="2" l="1"/>
</calcChain>
</file>

<file path=xl/sharedStrings.xml><?xml version="1.0" encoding="utf-8"?>
<sst xmlns="http://schemas.openxmlformats.org/spreadsheetml/2006/main" count="52182" uniqueCount="7752">
  <si>
    <t>booking_id</t>
  </si>
  <si>
    <t>booking_date</t>
  </si>
  <si>
    <t>travel_date</t>
  </si>
  <si>
    <t>customer_id</t>
  </si>
  <si>
    <t>cust_segment</t>
  </si>
  <si>
    <t>tour_type</t>
  </si>
  <si>
    <t>channel</t>
  </si>
  <si>
    <t>payment_method</t>
  </si>
  <si>
    <t>destination</t>
  </si>
  <si>
    <t>pax</t>
  </si>
  <si>
    <t>base_price_vnd</t>
  </si>
  <si>
    <t>discount_rate</t>
  </si>
  <si>
    <t>booking_status</t>
  </si>
  <si>
    <t>revenue_vnd</t>
  </si>
  <si>
    <t>satisfaction</t>
  </si>
  <si>
    <t>is_returning</t>
  </si>
  <si>
    <t>B00001</t>
  </si>
  <si>
    <t>C0088</t>
  </si>
  <si>
    <t>Young Professional</t>
  </si>
  <si>
    <t>Cultural</t>
  </si>
  <si>
    <t>Website</t>
  </si>
  <si>
    <t>Card</t>
  </si>
  <si>
    <t>Hu·∫ø</t>
  </si>
  <si>
    <t>Completed</t>
  </si>
  <si>
    <t>B00002</t>
  </si>
  <si>
    <t>Adventure</t>
  </si>
  <si>
    <t>Ph√∫ Qu·ªëc</t>
  </si>
  <si>
    <t>B00003</t>
  </si>
  <si>
    <t>C0377</t>
  </si>
  <si>
    <t>Corporate</t>
  </si>
  <si>
    <t>TP.HCM</t>
  </si>
  <si>
    <t>B00004</t>
  </si>
  <si>
    <t>C0218</t>
  </si>
  <si>
    <t>Student</t>
  </si>
  <si>
    <t>Beach</t>
  </si>
  <si>
    <t>Mobile App</t>
  </si>
  <si>
    <t>HaLongg</t>
  </si>
  <si>
    <t>B00005</t>
  </si>
  <si>
    <t>C0307</t>
  </si>
  <si>
    <t>City Break</t>
  </si>
  <si>
    <t>Cash</t>
  </si>
  <si>
    <t>B00006</t>
  </si>
  <si>
    <t>C0341</t>
  </si>
  <si>
    <t>B00007</t>
  </si>
  <si>
    <t>C0323</t>
  </si>
  <si>
    <t>Family</t>
  </si>
  <si>
    <t>Call Center</t>
  </si>
  <si>
    <t>Bank Transfer</t>
  </si>
  <si>
    <t>B00008</t>
  </si>
  <si>
    <t>C0038</t>
  </si>
  <si>
    <t>Agent</t>
  </si>
  <si>
    <t>E-wallet</t>
  </si>
  <si>
    <t>ƒê√† L·∫°t</t>
  </si>
  <si>
    <t>B00009</t>
  </si>
  <si>
    <t>C0059</t>
  </si>
  <si>
    <t>B00010</t>
  </si>
  <si>
    <t>C0166</t>
  </si>
  <si>
    <t>Nha Trang</t>
  </si>
  <si>
    <t>B00011</t>
  </si>
  <si>
    <t>C0143</t>
  </si>
  <si>
    <t>ƒê√† N·∫µng</t>
  </si>
  <si>
    <t>B00012</t>
  </si>
  <si>
    <t>C0314</t>
  </si>
  <si>
    <t>B00013</t>
  </si>
  <si>
    <t>C0066</t>
  </si>
  <si>
    <t>Cancelled</t>
  </si>
  <si>
    <t>B00014</t>
  </si>
  <si>
    <t>C0157</t>
  </si>
  <si>
    <t>Foodie</t>
  </si>
  <si>
    <t>B00015</t>
  </si>
  <si>
    <t>C0100</t>
  </si>
  <si>
    <t>B00016</t>
  </si>
  <si>
    <t>C0080</t>
  </si>
  <si>
    <t>B00017</t>
  </si>
  <si>
    <t>C0073</t>
  </si>
  <si>
    <t>B00018</t>
  </si>
  <si>
    <t>C0083</t>
  </si>
  <si>
    <t>H·∫° Long</t>
  </si>
  <si>
    <t>B00019</t>
  </si>
  <si>
    <t>C0238</t>
  </si>
  <si>
    <t>bech</t>
  </si>
  <si>
    <t>B00020</t>
  </si>
  <si>
    <t>C0173</t>
  </si>
  <si>
    <t>H·ªôi An</t>
  </si>
  <si>
    <t>B00021</t>
  </si>
  <si>
    <t>C0183</t>
  </si>
  <si>
    <t>B00022</t>
  </si>
  <si>
    <t>C0202</t>
  </si>
  <si>
    <t>B00023</t>
  </si>
  <si>
    <t>C0312</t>
  </si>
  <si>
    <t>B00024</t>
  </si>
  <si>
    <t>C0362</t>
  </si>
  <si>
    <t>B00025</t>
  </si>
  <si>
    <t>C0222</t>
  </si>
  <si>
    <t>H√† N·ªôi</t>
  </si>
  <si>
    <t>B00026</t>
  </si>
  <si>
    <t>C0270</t>
  </si>
  <si>
    <t>B00027</t>
  </si>
  <si>
    <t>C0311</t>
  </si>
  <si>
    <t>Sa Pa</t>
  </si>
  <si>
    <t>B00028</t>
  </si>
  <si>
    <t>C0290</t>
  </si>
  <si>
    <t>B00029</t>
  </si>
  <si>
    <t>C0057</t>
  </si>
  <si>
    <t>B00030</t>
  </si>
  <si>
    <t>C0413</t>
  </si>
  <si>
    <t>B00031</t>
  </si>
  <si>
    <t>C0070</t>
  </si>
  <si>
    <t>B00032</t>
  </si>
  <si>
    <t>B00033</t>
  </si>
  <si>
    <t>C0275</t>
  </si>
  <si>
    <t>B00034</t>
  </si>
  <si>
    <t>C0170</t>
  </si>
  <si>
    <t>B00035</t>
  </si>
  <si>
    <t>C0103</t>
  </si>
  <si>
    <t>B00036</t>
  </si>
  <si>
    <t>C0388</t>
  </si>
  <si>
    <t>B00037</t>
  </si>
  <si>
    <t>C0031</t>
  </si>
  <si>
    <t>B00038</t>
  </si>
  <si>
    <t>C0104</t>
  </si>
  <si>
    <t>B00039</t>
  </si>
  <si>
    <t>C0418</t>
  </si>
  <si>
    <t>Cultral</t>
  </si>
  <si>
    <t>B00040</t>
  </si>
  <si>
    <t>B00041</t>
  </si>
  <si>
    <t>C0037</t>
  </si>
  <si>
    <t>B00042</t>
  </si>
  <si>
    <t>C0317</t>
  </si>
  <si>
    <t>B00043</t>
  </si>
  <si>
    <t>C0408</t>
  </si>
  <si>
    <t>B00044</t>
  </si>
  <si>
    <t>C0042</t>
  </si>
  <si>
    <t>B00045</t>
  </si>
  <si>
    <t>C0174</t>
  </si>
  <si>
    <t>B00046</t>
  </si>
  <si>
    <t>C0197</t>
  </si>
  <si>
    <t>B00047</t>
  </si>
  <si>
    <t>C0056</t>
  </si>
  <si>
    <t>B00048</t>
  </si>
  <si>
    <t>C0085</t>
  </si>
  <si>
    <t>B00049</t>
  </si>
  <si>
    <t>B00050</t>
  </si>
  <si>
    <t>C0078</t>
  </si>
  <si>
    <t>B00051</t>
  </si>
  <si>
    <t>B00052</t>
  </si>
  <si>
    <t>C0195</t>
  </si>
  <si>
    <t>B00053</t>
  </si>
  <si>
    <t>B00054</t>
  </si>
  <si>
    <t>C0122</t>
  </si>
  <si>
    <t>B00055</t>
  </si>
  <si>
    <t>C0081</t>
  </si>
  <si>
    <t>B00056</t>
  </si>
  <si>
    <t>C0335</t>
  </si>
  <si>
    <t>B00057</t>
  </si>
  <si>
    <t>C0089</t>
  </si>
  <si>
    <t>B00058</t>
  </si>
  <si>
    <t>C0382</t>
  </si>
  <si>
    <t>B00059</t>
  </si>
  <si>
    <t>C0227</t>
  </si>
  <si>
    <t>B00060</t>
  </si>
  <si>
    <t>C0338</t>
  </si>
  <si>
    <t>B00061</t>
  </si>
  <si>
    <t>C0268</t>
  </si>
  <si>
    <t>B00062</t>
  </si>
  <si>
    <t>C0112</t>
  </si>
  <si>
    <t>B00063</t>
  </si>
  <si>
    <t>C0253</t>
  </si>
  <si>
    <t>B00064</t>
  </si>
  <si>
    <t>C0116</t>
  </si>
  <si>
    <t>B00065</t>
  </si>
  <si>
    <t>C0050</t>
  </si>
  <si>
    <t>B00066</t>
  </si>
  <si>
    <t>C0107</t>
  </si>
  <si>
    <t>B00067</t>
  </si>
  <si>
    <t>B00068</t>
  </si>
  <si>
    <t>B00069</t>
  </si>
  <si>
    <t>C0010</t>
  </si>
  <si>
    <t>B00070</t>
  </si>
  <si>
    <t>C0397</t>
  </si>
  <si>
    <t>B00071</t>
  </si>
  <si>
    <t>C0216</t>
  </si>
  <si>
    <t>B00072</t>
  </si>
  <si>
    <t>C0169</t>
  </si>
  <si>
    <t>B00073</t>
  </si>
  <si>
    <t>C0391</t>
  </si>
  <si>
    <t>B00074</t>
  </si>
  <si>
    <t>C0095</t>
  </si>
  <si>
    <t>B00075</t>
  </si>
  <si>
    <t>B00076</t>
  </si>
  <si>
    <t>C0356</t>
  </si>
  <si>
    <t>B00077</t>
  </si>
  <si>
    <t>C0266</t>
  </si>
  <si>
    <t>B00078</t>
  </si>
  <si>
    <t>C0168</t>
  </si>
  <si>
    <t>B00079</t>
  </si>
  <si>
    <t>C0108</t>
  </si>
  <si>
    <t>B00080</t>
  </si>
  <si>
    <t>C0015</t>
  </si>
  <si>
    <t>B00081</t>
  </si>
  <si>
    <t>C0036</t>
  </si>
  <si>
    <t>B00082</t>
  </si>
  <si>
    <t>C0069</t>
  </si>
  <si>
    <t>B00083</t>
  </si>
  <si>
    <t>C0331</t>
  </si>
  <si>
    <t>B00084</t>
  </si>
  <si>
    <t>C0269</t>
  </si>
  <si>
    <t>B00085</t>
  </si>
  <si>
    <t>B00086</t>
  </si>
  <si>
    <t>C0329</t>
  </si>
  <si>
    <t>B00087</t>
  </si>
  <si>
    <t>C0068</t>
  </si>
  <si>
    <t>B00088</t>
  </si>
  <si>
    <t>B00089</t>
  </si>
  <si>
    <t>C0165</t>
  </si>
  <si>
    <t>B00090</t>
  </si>
  <si>
    <t>C0386</t>
  </si>
  <si>
    <t>B00091</t>
  </si>
  <si>
    <t>C0258</t>
  </si>
  <si>
    <t>B00092</t>
  </si>
  <si>
    <t>C0358</t>
  </si>
  <si>
    <t>B00093</t>
  </si>
  <si>
    <t>C0105</t>
  </si>
  <si>
    <t>B00094</t>
  </si>
  <si>
    <t>C0357</t>
  </si>
  <si>
    <t>B00095</t>
  </si>
  <si>
    <t>B00096</t>
  </si>
  <si>
    <t>C0096</t>
  </si>
  <si>
    <t>B00097</t>
  </si>
  <si>
    <t>C0220</t>
  </si>
  <si>
    <t>B00098</t>
  </si>
  <si>
    <t>C0022</t>
  </si>
  <si>
    <t>DNang</t>
  </si>
  <si>
    <t>B00099</t>
  </si>
  <si>
    <t>C0361</t>
  </si>
  <si>
    <t>B00100</t>
  </si>
  <si>
    <t>C0365</t>
  </si>
  <si>
    <t>B00101</t>
  </si>
  <si>
    <t>C0228</t>
  </si>
  <si>
    <t>B00102</t>
  </si>
  <si>
    <t>C0129</t>
  </si>
  <si>
    <t>B00103</t>
  </si>
  <si>
    <t>B00104</t>
  </si>
  <si>
    <t>C0260</t>
  </si>
  <si>
    <t>B00105</t>
  </si>
  <si>
    <t>C0226</t>
  </si>
  <si>
    <t>B00106</t>
  </si>
  <si>
    <t>C0320</t>
  </si>
  <si>
    <t>B00107</t>
  </si>
  <si>
    <t>C0254</t>
  </si>
  <si>
    <t>B00108</t>
  </si>
  <si>
    <t>C0054</t>
  </si>
  <si>
    <t>B00109</t>
  </si>
  <si>
    <t>C0052</t>
  </si>
  <si>
    <t>B00110</t>
  </si>
  <si>
    <t>C0328</t>
  </si>
  <si>
    <t>B00111</t>
  </si>
  <si>
    <t>C0067</t>
  </si>
  <si>
    <t>B00112</t>
  </si>
  <si>
    <t>C0395</t>
  </si>
  <si>
    <t>B00113</t>
  </si>
  <si>
    <t>C0045</t>
  </si>
  <si>
    <t>B00114</t>
  </si>
  <si>
    <t>C0306</t>
  </si>
  <si>
    <t>B00115</t>
  </si>
  <si>
    <t>C0410</t>
  </si>
  <si>
    <t>B00116</t>
  </si>
  <si>
    <t>C0186</t>
  </si>
  <si>
    <t>B00117</t>
  </si>
  <si>
    <t>C0024</t>
  </si>
  <si>
    <t>B00118</t>
  </si>
  <si>
    <t>C0369</t>
  </si>
  <si>
    <t>B00119</t>
  </si>
  <si>
    <t>C0079</t>
  </si>
  <si>
    <t>B00120</t>
  </si>
  <si>
    <t>B00121</t>
  </si>
  <si>
    <t>C0414</t>
  </si>
  <si>
    <t>B00122</t>
  </si>
  <si>
    <t>C0313</t>
  </si>
  <si>
    <t>B00123</t>
  </si>
  <si>
    <t>C0020</t>
  </si>
  <si>
    <t>B00124</t>
  </si>
  <si>
    <t>C0345</t>
  </si>
  <si>
    <t>B00125</t>
  </si>
  <si>
    <t>B00126</t>
  </si>
  <si>
    <t>C0315</t>
  </si>
  <si>
    <t>B00127</t>
  </si>
  <si>
    <t>C0261</t>
  </si>
  <si>
    <t>B00128</t>
  </si>
  <si>
    <t>C0121</t>
  </si>
  <si>
    <t>B00129</t>
  </si>
  <si>
    <t>C0178</t>
  </si>
  <si>
    <t>B00130</t>
  </si>
  <si>
    <t>B00131</t>
  </si>
  <si>
    <t>C0415</t>
  </si>
  <si>
    <t>B00132</t>
  </si>
  <si>
    <t>C0101</t>
  </si>
  <si>
    <t>B00133</t>
  </si>
  <si>
    <t>C0130</t>
  </si>
  <si>
    <t>B00134</t>
  </si>
  <si>
    <t>C0212</t>
  </si>
  <si>
    <t>B00135</t>
  </si>
  <si>
    <t>C0283</t>
  </si>
  <si>
    <t>B00136</t>
  </si>
  <si>
    <t>C0213</t>
  </si>
  <si>
    <t>B00137</t>
  </si>
  <si>
    <t>B00138</t>
  </si>
  <si>
    <t>C0245</t>
  </si>
  <si>
    <t>B00139</t>
  </si>
  <si>
    <t>B00140</t>
  </si>
  <si>
    <t>B00141</t>
  </si>
  <si>
    <t>C0350</t>
  </si>
  <si>
    <t>B00142</t>
  </si>
  <si>
    <t>B00143</t>
  </si>
  <si>
    <t>C0404</t>
  </si>
  <si>
    <t>B00144</t>
  </si>
  <si>
    <t>C0384</t>
  </si>
  <si>
    <t>B00145</t>
  </si>
  <si>
    <t>C0336</t>
  </si>
  <si>
    <t>B00146</t>
  </si>
  <si>
    <t>B00147</t>
  </si>
  <si>
    <t>C0326</t>
  </si>
  <si>
    <t>B00148</t>
  </si>
  <si>
    <t>C0310</t>
  </si>
  <si>
    <t>B00149</t>
  </si>
  <si>
    <t>B00150</t>
  </si>
  <si>
    <t>C0285</t>
  </si>
  <si>
    <t>B00151</t>
  </si>
  <si>
    <t>B00152</t>
  </si>
  <si>
    <t>B00153</t>
  </si>
  <si>
    <t>B00154</t>
  </si>
  <si>
    <t>B00155</t>
  </si>
  <si>
    <t>C0142</t>
  </si>
  <si>
    <t>B00156</t>
  </si>
  <si>
    <t>C0334</t>
  </si>
  <si>
    <t>B00157</t>
  </si>
  <si>
    <t>C0191</t>
  </si>
  <si>
    <t>B00158</t>
  </si>
  <si>
    <t>B00159</t>
  </si>
  <si>
    <t>C0004</t>
  </si>
  <si>
    <t>B00160</t>
  </si>
  <si>
    <t>C0304</t>
  </si>
  <si>
    <t>B00161</t>
  </si>
  <si>
    <t>C0342</t>
  </si>
  <si>
    <t>B00162</t>
  </si>
  <si>
    <t>B00163</t>
  </si>
  <si>
    <t>B00164</t>
  </si>
  <si>
    <t>B00165</t>
  </si>
  <si>
    <t>B00166</t>
  </si>
  <si>
    <t>C0148</t>
  </si>
  <si>
    <t>B00167</t>
  </si>
  <si>
    <t>C0150</t>
  </si>
  <si>
    <t>B00168</t>
  </si>
  <si>
    <t>B00169</t>
  </si>
  <si>
    <t>C0277</t>
  </si>
  <si>
    <t>B00170</t>
  </si>
  <si>
    <t>C0200</t>
  </si>
  <si>
    <t>B00171</t>
  </si>
  <si>
    <t>C0030</t>
  </si>
  <si>
    <t>B00172</t>
  </si>
  <si>
    <t>B00173</t>
  </si>
  <si>
    <t>C0094</t>
  </si>
  <si>
    <t>B00174</t>
  </si>
  <si>
    <t>C0040</t>
  </si>
  <si>
    <t>B00175</t>
  </si>
  <si>
    <t>C0251</t>
  </si>
  <si>
    <t>B00176</t>
  </si>
  <si>
    <t>B00177</t>
  </si>
  <si>
    <t>C0259</t>
  </si>
  <si>
    <t>B00178</t>
  </si>
  <si>
    <t>C0368</t>
  </si>
  <si>
    <t>B00179</t>
  </si>
  <si>
    <t>C0041</t>
  </si>
  <si>
    <t>B00180</t>
  </si>
  <si>
    <t>C0120</t>
  </si>
  <si>
    <t>B00181</t>
  </si>
  <si>
    <t>C0217</t>
  </si>
  <si>
    <t>B00182</t>
  </si>
  <si>
    <t>B00183</t>
  </si>
  <si>
    <t>B00184</t>
  </si>
  <si>
    <t>C0161</t>
  </si>
  <si>
    <t>B00185</t>
  </si>
  <si>
    <t>C0257</t>
  </si>
  <si>
    <t>B00186</t>
  </si>
  <si>
    <t>C0412</t>
  </si>
  <si>
    <t>B00187</t>
  </si>
  <si>
    <t>B00188</t>
  </si>
  <si>
    <t>C0372</t>
  </si>
  <si>
    <t>B00189</t>
  </si>
  <si>
    <t>B00190</t>
  </si>
  <si>
    <t>C0127</t>
  </si>
  <si>
    <t>B00191</t>
  </si>
  <si>
    <t>B00192</t>
  </si>
  <si>
    <t>C0324</t>
  </si>
  <si>
    <t>B00193</t>
  </si>
  <si>
    <t>B00194</t>
  </si>
  <si>
    <t>B00195</t>
  </si>
  <si>
    <t>C0099</t>
  </si>
  <si>
    <t>B00196</t>
  </si>
  <si>
    <t>C0255</t>
  </si>
  <si>
    <t>B00197</t>
  </si>
  <si>
    <t>C0124</t>
  </si>
  <si>
    <t>B00198</t>
  </si>
  <si>
    <t>B00199</t>
  </si>
  <si>
    <t>C0393</t>
  </si>
  <si>
    <t>B00200</t>
  </si>
  <si>
    <t>C0349</t>
  </si>
  <si>
    <t>B00201</t>
  </si>
  <si>
    <t>C0399</t>
  </si>
  <si>
    <t>B00202</t>
  </si>
  <si>
    <t>C0011</t>
  </si>
  <si>
    <t>B00203</t>
  </si>
  <si>
    <t>C0192</t>
  </si>
  <si>
    <t>B00204</t>
  </si>
  <si>
    <t>C0093</t>
  </si>
  <si>
    <t>B00205</t>
  </si>
  <si>
    <t>B00206</t>
  </si>
  <si>
    <t>C0300</t>
  </si>
  <si>
    <t>B00207</t>
  </si>
  <si>
    <t>C0135</t>
  </si>
  <si>
    <t>B00208</t>
  </si>
  <si>
    <t>C0237</t>
  </si>
  <si>
    <t>B00209</t>
  </si>
  <si>
    <t>B00210</t>
  </si>
  <si>
    <t>C0209</t>
  </si>
  <si>
    <t>B00211</t>
  </si>
  <si>
    <t>B00212</t>
  </si>
  <si>
    <t>B00213</t>
  </si>
  <si>
    <t>B00214</t>
  </si>
  <si>
    <t>C0147</t>
  </si>
  <si>
    <t>B00215</t>
  </si>
  <si>
    <t>C0344</t>
  </si>
  <si>
    <t>B00216</t>
  </si>
  <si>
    <t>C0364</t>
  </si>
  <si>
    <t>B00217</t>
  </si>
  <si>
    <t>C0316</t>
  </si>
  <si>
    <t>B00218</t>
  </si>
  <si>
    <t>C0013</t>
  </si>
  <si>
    <t>B00219</t>
  </si>
  <si>
    <t>C0354</t>
  </si>
  <si>
    <t>B00220</t>
  </si>
  <si>
    <t>C0167</t>
  </si>
  <si>
    <t>B00221</t>
  </si>
  <si>
    <t>C0175</t>
  </si>
  <si>
    <t>B00222</t>
  </si>
  <si>
    <t>B00223</t>
  </si>
  <si>
    <t>B00224</t>
  </si>
  <si>
    <t>B00225</t>
  </si>
  <si>
    <t>C0152</t>
  </si>
  <si>
    <t>B00226</t>
  </si>
  <si>
    <t>B00227</t>
  </si>
  <si>
    <t>B00228</t>
  </si>
  <si>
    <t>C0109</t>
  </si>
  <si>
    <t>B00229</t>
  </si>
  <si>
    <t>C0221</t>
  </si>
  <si>
    <t>B00230</t>
  </si>
  <si>
    <t>B00231</t>
  </si>
  <si>
    <t>B00232</t>
  </si>
  <si>
    <t>B00233</t>
  </si>
  <si>
    <t>C0309</t>
  </si>
  <si>
    <t>B00234</t>
  </si>
  <si>
    <t>B00235</t>
  </si>
  <si>
    <t>C0126</t>
  </si>
  <si>
    <t>B00236</t>
  </si>
  <si>
    <t>C0091</t>
  </si>
  <si>
    <t>B00237</t>
  </si>
  <si>
    <t>C0231</t>
  </si>
  <si>
    <t>B00238</t>
  </si>
  <si>
    <t>C0224</t>
  </si>
  <si>
    <t>B00239</t>
  </si>
  <si>
    <t>B00240</t>
  </si>
  <si>
    <t>B00241</t>
  </si>
  <si>
    <t>B00242</t>
  </si>
  <si>
    <t>B00243</t>
  </si>
  <si>
    <t>B00244</t>
  </si>
  <si>
    <t>C0097</t>
  </si>
  <si>
    <t>B00245</t>
  </si>
  <si>
    <t>C0172</t>
  </si>
  <si>
    <t>B00246</t>
  </si>
  <si>
    <t>C0012</t>
  </si>
  <si>
    <t>B00247</t>
  </si>
  <si>
    <t>B00248</t>
  </si>
  <si>
    <t>C0403</t>
  </si>
  <si>
    <t>B00249</t>
  </si>
  <si>
    <t>B00250</t>
  </si>
  <si>
    <t>C0299</t>
  </si>
  <si>
    <t>B00251</t>
  </si>
  <si>
    <t>C0046</t>
  </si>
  <si>
    <t>B00252</t>
  </si>
  <si>
    <t>C0267</t>
  </si>
  <si>
    <t>B00253</t>
  </si>
  <si>
    <t>B00254</t>
  </si>
  <si>
    <t>B00255</t>
  </si>
  <si>
    <t>C0390</t>
  </si>
  <si>
    <t>B00256</t>
  </si>
  <si>
    <t>B00257</t>
  </si>
  <si>
    <t>C0044</t>
  </si>
  <si>
    <t>B00258</t>
  </si>
  <si>
    <t>B00259</t>
  </si>
  <si>
    <t>B00260</t>
  </si>
  <si>
    <t>C0189</t>
  </si>
  <si>
    <t>B00261</t>
  </si>
  <si>
    <t>C0026</t>
  </si>
  <si>
    <t>B00262</t>
  </si>
  <si>
    <t>B00263</t>
  </si>
  <si>
    <t>C0131</t>
  </si>
  <si>
    <t>B00264</t>
  </si>
  <si>
    <t>B00265</t>
  </si>
  <si>
    <t>C0008</t>
  </si>
  <si>
    <t>B00266</t>
  </si>
  <si>
    <t>C0373</t>
  </si>
  <si>
    <t>B00267</t>
  </si>
  <si>
    <t>C0352</t>
  </si>
  <si>
    <t>B00268</t>
  </si>
  <si>
    <t>B00269</t>
  </si>
  <si>
    <t>C0025</t>
  </si>
  <si>
    <t>B00270</t>
  </si>
  <si>
    <t>B00271</t>
  </si>
  <si>
    <t>B00272</t>
  </si>
  <si>
    <t>C0244</t>
  </si>
  <si>
    <t>B00273</t>
  </si>
  <si>
    <t>B00274</t>
  </si>
  <si>
    <t>C0060</t>
  </si>
  <si>
    <t>B00275</t>
  </si>
  <si>
    <t>C0111</t>
  </si>
  <si>
    <t>B00276</t>
  </si>
  <si>
    <t>C0409</t>
  </si>
  <si>
    <t>B00277</t>
  </si>
  <si>
    <t>C0072</t>
  </si>
  <si>
    <t>B00278</t>
  </si>
  <si>
    <t>C0380</t>
  </si>
  <si>
    <t>B00279</t>
  </si>
  <si>
    <t>B00280</t>
  </si>
  <si>
    <t>B00281</t>
  </si>
  <si>
    <t>C0347</t>
  </si>
  <si>
    <t>B00282</t>
  </si>
  <si>
    <t>C0140</t>
  </si>
  <si>
    <t>B00283</t>
  </si>
  <si>
    <t>C0348</t>
  </si>
  <si>
    <t>B00284</t>
  </si>
  <si>
    <t>B00285</t>
  </si>
  <si>
    <t>C0123</t>
  </si>
  <si>
    <t>B00286</t>
  </si>
  <si>
    <t>B00287</t>
  </si>
  <si>
    <t>B00288</t>
  </si>
  <si>
    <t>B00289</t>
  </si>
  <si>
    <t>B00290</t>
  </si>
  <si>
    <t>C0051</t>
  </si>
  <si>
    <t>B00291</t>
  </si>
  <si>
    <t>C0160</t>
  </si>
  <si>
    <t>B00292</t>
  </si>
  <si>
    <t>B00293</t>
  </si>
  <si>
    <t>B00294</t>
  </si>
  <si>
    <t>C0416</t>
  </si>
  <si>
    <t>B00295</t>
  </si>
  <si>
    <t>B00296</t>
  </si>
  <si>
    <t>C0032</t>
  </si>
  <si>
    <t>B00297</t>
  </si>
  <si>
    <t>B00298</t>
  </si>
  <si>
    <t>B00299</t>
  </si>
  <si>
    <t>B00300</t>
  </si>
  <si>
    <t>B00301</t>
  </si>
  <si>
    <t>B00302</t>
  </si>
  <si>
    <t>B00303</t>
  </si>
  <si>
    <t>B00304</t>
  </si>
  <si>
    <t>PhuQuoc</t>
  </si>
  <si>
    <t>B00305</t>
  </si>
  <si>
    <t>C0016</t>
  </si>
  <si>
    <t>B00306</t>
  </si>
  <si>
    <t>C0265</t>
  </si>
  <si>
    <t>B00307</t>
  </si>
  <si>
    <t>B00308</t>
  </si>
  <si>
    <t>C0371</t>
  </si>
  <si>
    <t>B00309</t>
  </si>
  <si>
    <t>B00310</t>
  </si>
  <si>
    <t>B00311</t>
  </si>
  <si>
    <t>C0185</t>
  </si>
  <si>
    <t>B00312</t>
  </si>
  <si>
    <t>B00313</t>
  </si>
  <si>
    <t>B00314</t>
  </si>
  <si>
    <t>B00315</t>
  </si>
  <si>
    <t>B00316</t>
  </si>
  <si>
    <t>C0188</t>
  </si>
  <si>
    <t>B00317</t>
  </si>
  <si>
    <t>C0296</t>
  </si>
  <si>
    <t>B00318</t>
  </si>
  <si>
    <t>C0146</t>
  </si>
  <si>
    <t>B00319</t>
  </si>
  <si>
    <t>C0071</t>
  </si>
  <si>
    <t>B00320</t>
  </si>
  <si>
    <t>B00321</t>
  </si>
  <si>
    <t>C0029</t>
  </si>
  <si>
    <t>B00322</t>
  </si>
  <si>
    <t>B00323</t>
  </si>
  <si>
    <t>C0177</t>
  </si>
  <si>
    <t>B00324</t>
  </si>
  <si>
    <t>B00325</t>
  </si>
  <si>
    <t>B00326</t>
  </si>
  <si>
    <t>C0110</t>
  </si>
  <si>
    <t>B00327</t>
  </si>
  <si>
    <t>B00328</t>
  </si>
  <si>
    <t>C0065</t>
  </si>
  <si>
    <t>B00329</t>
  </si>
  <si>
    <t>C0318</t>
  </si>
  <si>
    <t>B00330</t>
  </si>
  <si>
    <t>B00331</t>
  </si>
  <si>
    <t>B00332</t>
  </si>
  <si>
    <t>B00333</t>
  </si>
  <si>
    <t>B00334</t>
  </si>
  <si>
    <t>C0139</t>
  </si>
  <si>
    <t>B00335</t>
  </si>
  <si>
    <t>C0401</t>
  </si>
  <si>
    <t>B00336</t>
  </si>
  <si>
    <t>C0289</t>
  </si>
  <si>
    <t>B00337</t>
  </si>
  <si>
    <t>C0272</t>
  </si>
  <si>
    <t>B00338</t>
  </si>
  <si>
    <t>C0360</t>
  </si>
  <si>
    <t>B00339</t>
  </si>
  <si>
    <t>B00340</t>
  </si>
  <si>
    <t>C0033</t>
  </si>
  <si>
    <t>B00341</t>
  </si>
  <si>
    <t>B00342</t>
  </si>
  <si>
    <t>C0322</t>
  </si>
  <si>
    <t>B00343</t>
  </si>
  <si>
    <t>C0087</t>
  </si>
  <si>
    <t>B00344</t>
  </si>
  <si>
    <t>B00345</t>
  </si>
  <si>
    <t>B00346</t>
  </si>
  <si>
    <t>B00347</t>
  </si>
  <si>
    <t>B00348</t>
  </si>
  <si>
    <t>B00349</t>
  </si>
  <si>
    <t>C0274</t>
  </si>
  <si>
    <t>B00350</t>
  </si>
  <si>
    <t>C0383</t>
  </si>
  <si>
    <t>B00351</t>
  </si>
  <si>
    <t>C0047</t>
  </si>
  <si>
    <t>B00352</t>
  </si>
  <si>
    <t>B00353</t>
  </si>
  <si>
    <t>B00354</t>
  </si>
  <si>
    <t>C0239</t>
  </si>
  <si>
    <t>B00355</t>
  </si>
  <si>
    <t>B00356</t>
  </si>
  <si>
    <t>B00357</t>
  </si>
  <si>
    <t>B00358</t>
  </si>
  <si>
    <t>C0233</t>
  </si>
  <si>
    <t>B00359</t>
  </si>
  <si>
    <t>B00360</t>
  </si>
  <si>
    <t>C0262</t>
  </si>
  <si>
    <t>B00361</t>
  </si>
  <si>
    <t>B00362</t>
  </si>
  <si>
    <t>B00363</t>
  </si>
  <si>
    <t>B00364</t>
  </si>
  <si>
    <t>B00365</t>
  </si>
  <si>
    <t>C0389</t>
  </si>
  <si>
    <t>B00366</t>
  </si>
  <si>
    <t>B00367</t>
  </si>
  <si>
    <t>C0138</t>
  </si>
  <si>
    <t>B00368</t>
  </si>
  <si>
    <t>C0292</t>
  </si>
  <si>
    <t>B00369</t>
  </si>
  <si>
    <t>B00370</t>
  </si>
  <si>
    <t>C0284</t>
  </si>
  <si>
    <t>B00371</t>
  </si>
  <si>
    <t>C0236</t>
  </si>
  <si>
    <t>B00372</t>
  </si>
  <si>
    <t>C0287</t>
  </si>
  <si>
    <t>B00373</t>
  </si>
  <si>
    <t>C0256</t>
  </si>
  <si>
    <t>B00374</t>
  </si>
  <si>
    <t>B00375</t>
  </si>
  <si>
    <t>B00376</t>
  </si>
  <si>
    <t>B00377</t>
  </si>
  <si>
    <t>B00378</t>
  </si>
  <si>
    <t>B00379</t>
  </si>
  <si>
    <t>B00380</t>
  </si>
  <si>
    <t>B00381</t>
  </si>
  <si>
    <t>C0419</t>
  </si>
  <si>
    <t>B00382</t>
  </si>
  <si>
    <t>B00383</t>
  </si>
  <si>
    <t>B00384</t>
  </si>
  <si>
    <t>B00385</t>
  </si>
  <si>
    <t>B00386</t>
  </si>
  <si>
    <t>B00387</t>
  </si>
  <si>
    <t>B00388</t>
  </si>
  <si>
    <t>B00389</t>
  </si>
  <si>
    <t>B00390</t>
  </si>
  <si>
    <t>B00391</t>
  </si>
  <si>
    <t>B00392</t>
  </si>
  <si>
    <t>C0230</t>
  </si>
  <si>
    <t>B00393</t>
  </si>
  <si>
    <t>B00394</t>
  </si>
  <si>
    <t>B00395</t>
  </si>
  <si>
    <t>B00396</t>
  </si>
  <si>
    <t>C0199</t>
  </si>
  <si>
    <t>B00397</t>
  </si>
  <si>
    <t>B00398</t>
  </si>
  <si>
    <t>C0210</t>
  </si>
  <si>
    <t>B00399</t>
  </si>
  <si>
    <t>C0035</t>
  </si>
  <si>
    <t>B00400</t>
  </si>
  <si>
    <t>B00401</t>
  </si>
  <si>
    <t>B00402</t>
  </si>
  <si>
    <t>B00403</t>
  </si>
  <si>
    <t>B00404</t>
  </si>
  <si>
    <t>C0207</t>
  </si>
  <si>
    <t>B00405</t>
  </si>
  <si>
    <t>B00406</t>
  </si>
  <si>
    <t>C0223</t>
  </si>
  <si>
    <t>B00407</t>
  </si>
  <si>
    <t>B00408</t>
  </si>
  <si>
    <t>B00409</t>
  </si>
  <si>
    <t>C0420</t>
  </si>
  <si>
    <t>B00410</t>
  </si>
  <si>
    <t>B00411</t>
  </si>
  <si>
    <t>B00412</t>
  </si>
  <si>
    <t>B00413</t>
  </si>
  <si>
    <t>B00414</t>
  </si>
  <si>
    <t>B00415</t>
  </si>
  <si>
    <t>C0281</t>
  </si>
  <si>
    <t>B00416</t>
  </si>
  <si>
    <t>C0203</t>
  </si>
  <si>
    <t>B00417</t>
  </si>
  <si>
    <t>B00418</t>
  </si>
  <si>
    <t>B00419</t>
  </si>
  <si>
    <t>C0141</t>
  </si>
  <si>
    <t>B00420</t>
  </si>
  <si>
    <t>C0208</t>
  </si>
  <si>
    <t>B00421</t>
  </si>
  <si>
    <t>C0235</t>
  </si>
  <si>
    <t>B00422</t>
  </si>
  <si>
    <t>B00423</t>
  </si>
  <si>
    <t>C0407</t>
  </si>
  <si>
    <t>B00424</t>
  </si>
  <si>
    <t>C0405</t>
  </si>
  <si>
    <t>B00425</t>
  </si>
  <si>
    <t>B00426</t>
  </si>
  <si>
    <t>C0190</t>
  </si>
  <si>
    <t>B00427</t>
  </si>
  <si>
    <t>C0248</t>
  </si>
  <si>
    <t>B00428</t>
  </si>
  <si>
    <t>C0076</t>
  </si>
  <si>
    <t>B00429</t>
  </si>
  <si>
    <t>C0179</t>
  </si>
  <si>
    <t>B00430</t>
  </si>
  <si>
    <t>C0092</t>
  </si>
  <si>
    <t>B00431</t>
  </si>
  <si>
    <t>C0061</t>
  </si>
  <si>
    <t>B00432</t>
  </si>
  <si>
    <t>B00433</t>
  </si>
  <si>
    <t>C0247</t>
  </si>
  <si>
    <t>B00434</t>
  </si>
  <si>
    <t>C0001</t>
  </si>
  <si>
    <t>B00435</t>
  </si>
  <si>
    <t>B00436</t>
  </si>
  <si>
    <t>C0182</t>
  </si>
  <si>
    <t>B00437</t>
  </si>
  <si>
    <t>C0154</t>
  </si>
  <si>
    <t>B00438</t>
  </si>
  <si>
    <t>B00439</t>
  </si>
  <si>
    <t>B00440</t>
  </si>
  <si>
    <t>B00441</t>
  </si>
  <si>
    <t>C0298</t>
  </si>
  <si>
    <t>B00442</t>
  </si>
  <si>
    <t>C0014</t>
  </si>
  <si>
    <t>B00443</t>
  </si>
  <si>
    <t>B00444</t>
  </si>
  <si>
    <t>C0240</t>
  </si>
  <si>
    <t>B00445</t>
  </si>
  <si>
    <t>B00446</t>
  </si>
  <si>
    <t>B00447</t>
  </si>
  <si>
    <t>B00448</t>
  </si>
  <si>
    <t>C0396</t>
  </si>
  <si>
    <t>B00449</t>
  </si>
  <si>
    <t>B00450</t>
  </si>
  <si>
    <t>B00451</t>
  </si>
  <si>
    <t>B00452</t>
  </si>
  <si>
    <t>C0264</t>
  </si>
  <si>
    <t>B00453</t>
  </si>
  <si>
    <t>C0082</t>
  </si>
  <si>
    <t>B00454</t>
  </si>
  <si>
    <t>B00455</t>
  </si>
  <si>
    <t>B00456</t>
  </si>
  <si>
    <t>B00457</t>
  </si>
  <si>
    <t>B00458</t>
  </si>
  <si>
    <t>B00459</t>
  </si>
  <si>
    <t>B00460</t>
  </si>
  <si>
    <t>B00461</t>
  </si>
  <si>
    <t>B00462</t>
  </si>
  <si>
    <t>B00463</t>
  </si>
  <si>
    <t>B00464</t>
  </si>
  <si>
    <t>C0381</t>
  </si>
  <si>
    <t>B00465</t>
  </si>
  <si>
    <t>B00466</t>
  </si>
  <si>
    <t>C0211</t>
  </si>
  <si>
    <t>B00467</t>
  </si>
  <si>
    <t>B00468</t>
  </si>
  <si>
    <t>B00469</t>
  </si>
  <si>
    <t>B00470</t>
  </si>
  <si>
    <t>B00471</t>
  </si>
  <si>
    <t>B00472</t>
  </si>
  <si>
    <t>B00473</t>
  </si>
  <si>
    <t>C0339</t>
  </si>
  <si>
    <t>B00474</t>
  </si>
  <si>
    <t>B00475</t>
  </si>
  <si>
    <t>C0305</t>
  </si>
  <si>
    <t>B00476</t>
  </si>
  <si>
    <t>B00477</t>
  </si>
  <si>
    <t>B00478</t>
  </si>
  <si>
    <t>C0106</t>
  </si>
  <si>
    <t>B00479</t>
  </si>
  <si>
    <t>B00480</t>
  </si>
  <si>
    <t>B00481</t>
  </si>
  <si>
    <t>B00482</t>
  </si>
  <si>
    <t>B00483</t>
  </si>
  <si>
    <t>B00484</t>
  </si>
  <si>
    <t>B00485</t>
  </si>
  <si>
    <t>B00486</t>
  </si>
  <si>
    <t>B00487</t>
  </si>
  <si>
    <t>B00488</t>
  </si>
  <si>
    <t>B00489</t>
  </si>
  <si>
    <t>C0144</t>
  </si>
  <si>
    <t>B00490</t>
  </si>
  <si>
    <t>B00491</t>
  </si>
  <si>
    <t>B00492</t>
  </si>
  <si>
    <t>B00493</t>
  </si>
  <si>
    <t>B00494</t>
  </si>
  <si>
    <t>C0392</t>
  </si>
  <si>
    <t>B00495</t>
  </si>
  <si>
    <t>C0136</t>
  </si>
  <si>
    <t>B00496</t>
  </si>
  <si>
    <t>C0086</t>
  </si>
  <si>
    <t>B00497</t>
  </si>
  <si>
    <t>B00498</t>
  </si>
  <si>
    <t>B00499</t>
  </si>
  <si>
    <t>B00500</t>
  </si>
  <si>
    <t>B00501</t>
  </si>
  <si>
    <t>B00502</t>
  </si>
  <si>
    <t>C0128</t>
  </si>
  <si>
    <t>B00503</t>
  </si>
  <si>
    <t>B00504</t>
  </si>
  <si>
    <t>B00505</t>
  </si>
  <si>
    <t>C0102</t>
  </si>
  <si>
    <t>B00506</t>
  </si>
  <si>
    <t>B00507</t>
  </si>
  <si>
    <t>B00508</t>
  </si>
  <si>
    <t>B00509</t>
  </si>
  <si>
    <t>C0387</t>
  </si>
  <si>
    <t>B00510</t>
  </si>
  <si>
    <t>B00511</t>
  </si>
  <si>
    <t>B00512</t>
  </si>
  <si>
    <t>B00513</t>
  </si>
  <si>
    <t>B00514</t>
  </si>
  <si>
    <t>C0114</t>
  </si>
  <si>
    <t>B00515</t>
  </si>
  <si>
    <t>B00516</t>
  </si>
  <si>
    <t>B00517</t>
  </si>
  <si>
    <t>B00518</t>
  </si>
  <si>
    <t>B00519</t>
  </si>
  <si>
    <t>C0034</t>
  </si>
  <si>
    <t>B00520</t>
  </si>
  <si>
    <t>B00521</t>
  </si>
  <si>
    <t>C0074</t>
  </si>
  <si>
    <t>B00522</t>
  </si>
  <si>
    <t>B00523</t>
  </si>
  <si>
    <t>C0242</t>
  </si>
  <si>
    <t>B00524</t>
  </si>
  <si>
    <t>B00525</t>
  </si>
  <si>
    <t>B00526</t>
  </si>
  <si>
    <t>B00527</t>
  </si>
  <si>
    <t>C0286</t>
  </si>
  <si>
    <t>B00528</t>
  </si>
  <si>
    <t>B00529</t>
  </si>
  <si>
    <t>C0340</t>
  </si>
  <si>
    <t>B00530</t>
  </si>
  <si>
    <t>B00531</t>
  </si>
  <si>
    <t>B00532</t>
  </si>
  <si>
    <t>B00533</t>
  </si>
  <si>
    <t>B00534</t>
  </si>
  <si>
    <t>B00535</t>
  </si>
  <si>
    <t>C0181</t>
  </si>
  <si>
    <t>B00536</t>
  </si>
  <si>
    <t>B00537</t>
  </si>
  <si>
    <t>B00538</t>
  </si>
  <si>
    <t>B00539</t>
  </si>
  <si>
    <t>B00540</t>
  </si>
  <si>
    <t>B00541</t>
  </si>
  <si>
    <t>B00542</t>
  </si>
  <si>
    <t>B00543</t>
  </si>
  <si>
    <t>B00544</t>
  </si>
  <si>
    <t>C0319</t>
  </si>
  <si>
    <t>B00545</t>
  </si>
  <si>
    <t>B00546</t>
  </si>
  <si>
    <t>B00547</t>
  </si>
  <si>
    <t>C0075</t>
  </si>
  <si>
    <t>B00548</t>
  </si>
  <si>
    <t>C0009</t>
  </si>
  <si>
    <t>B00549</t>
  </si>
  <si>
    <t>B00550</t>
  </si>
  <si>
    <t>C0133</t>
  </si>
  <si>
    <t>B00551</t>
  </si>
  <si>
    <t>C0048</t>
  </si>
  <si>
    <t>B00552</t>
  </si>
  <si>
    <t>B00553</t>
  </si>
  <si>
    <t>B00554</t>
  </si>
  <si>
    <t>C0276</t>
  </si>
  <si>
    <t>B00555</t>
  </si>
  <si>
    <t>C0375</t>
  </si>
  <si>
    <t>B00556</t>
  </si>
  <si>
    <t>B00557</t>
  </si>
  <si>
    <t>B00558</t>
  </si>
  <si>
    <t>C0028</t>
  </si>
  <si>
    <t>B00559</t>
  </si>
  <si>
    <t>C0005</t>
  </si>
  <si>
    <t>B00560</t>
  </si>
  <si>
    <t>B00561</t>
  </si>
  <si>
    <t>B00562</t>
  </si>
  <si>
    <t>B00563</t>
  </si>
  <si>
    <t>B00564</t>
  </si>
  <si>
    <t>B00565</t>
  </si>
  <si>
    <t>B00566</t>
  </si>
  <si>
    <t>B00567</t>
  </si>
  <si>
    <t>B00568</t>
  </si>
  <si>
    <t>B00569</t>
  </si>
  <si>
    <t>B00570</t>
  </si>
  <si>
    <t>B00571</t>
  </si>
  <si>
    <t>B00572</t>
  </si>
  <si>
    <t>C0187</t>
  </si>
  <si>
    <t>B00573</t>
  </si>
  <si>
    <t>B00574</t>
  </si>
  <si>
    <t>B00575</t>
  </si>
  <si>
    <t>B00576</t>
  </si>
  <si>
    <t>B00577</t>
  </si>
  <si>
    <t>B00578</t>
  </si>
  <si>
    <t>B00579</t>
  </si>
  <si>
    <t>B00580</t>
  </si>
  <si>
    <t>C0376</t>
  </si>
  <si>
    <t>B00581</t>
  </si>
  <si>
    <t>C0053</t>
  </si>
  <si>
    <t>B00582</t>
  </si>
  <si>
    <t>B00583</t>
  </si>
  <si>
    <t>B00584</t>
  </si>
  <si>
    <t>B00585</t>
  </si>
  <si>
    <t>C0250</t>
  </si>
  <si>
    <t>B00586</t>
  </si>
  <si>
    <t>B00587</t>
  </si>
  <si>
    <t>B00588</t>
  </si>
  <si>
    <t>B00589</t>
  </si>
  <si>
    <t>B00590</t>
  </si>
  <si>
    <t>C0064</t>
  </si>
  <si>
    <t>B00591</t>
  </si>
  <si>
    <t>B00592</t>
  </si>
  <si>
    <t>B00593</t>
  </si>
  <si>
    <t>B00594</t>
  </si>
  <si>
    <t>C0278</t>
  </si>
  <si>
    <t>B00595</t>
  </si>
  <si>
    <t>B00596</t>
  </si>
  <si>
    <t>B00597</t>
  </si>
  <si>
    <t>B00598</t>
  </si>
  <si>
    <t>C0252</t>
  </si>
  <si>
    <t>B00599</t>
  </si>
  <si>
    <t>B00600</t>
  </si>
  <si>
    <t>B00601</t>
  </si>
  <si>
    <t>C0366</t>
  </si>
  <si>
    <t>B00602</t>
  </si>
  <si>
    <t>B00603</t>
  </si>
  <si>
    <t>B00604</t>
  </si>
  <si>
    <t>B00605</t>
  </si>
  <si>
    <t>B00606</t>
  </si>
  <si>
    <t>C0201</t>
  </si>
  <si>
    <t>B00607</t>
  </si>
  <si>
    <t>C0325</t>
  </si>
  <si>
    <t>B00608</t>
  </si>
  <si>
    <t>B00609</t>
  </si>
  <si>
    <t>B00610</t>
  </si>
  <si>
    <t>B00611</t>
  </si>
  <si>
    <t>B00612</t>
  </si>
  <si>
    <t>B00613</t>
  </si>
  <si>
    <t>B00614</t>
  </si>
  <si>
    <t>B00615</t>
  </si>
  <si>
    <t>B00616</t>
  </si>
  <si>
    <t>B00617</t>
  </si>
  <si>
    <t>C0151</t>
  </si>
  <si>
    <t>B00618</t>
  </si>
  <si>
    <t>B00619</t>
  </si>
  <si>
    <t>C0137</t>
  </si>
  <si>
    <t>B00620</t>
  </si>
  <si>
    <t>B00621</t>
  </si>
  <si>
    <t>C0229</t>
  </si>
  <si>
    <t>B00622</t>
  </si>
  <si>
    <t>C0271</t>
  </si>
  <si>
    <t>B00623</t>
  </si>
  <si>
    <t>B00624</t>
  </si>
  <si>
    <t>B00625</t>
  </si>
  <si>
    <t>B00626</t>
  </si>
  <si>
    <t>C0327</t>
  </si>
  <si>
    <t>B00627</t>
  </si>
  <si>
    <t>B00628</t>
  </si>
  <si>
    <t>B00629</t>
  </si>
  <si>
    <t>B00630</t>
  </si>
  <si>
    <t>B00631</t>
  </si>
  <si>
    <t>B00632</t>
  </si>
  <si>
    <t>B00633</t>
  </si>
  <si>
    <t>B00634</t>
  </si>
  <si>
    <t>B00635</t>
  </si>
  <si>
    <t>B00636</t>
  </si>
  <si>
    <t>B00637</t>
  </si>
  <si>
    <t>B00638</t>
  </si>
  <si>
    <t>B00639</t>
  </si>
  <si>
    <t>B00640</t>
  </si>
  <si>
    <t>C0018</t>
  </si>
  <si>
    <t>B00641</t>
  </si>
  <si>
    <t>B00642</t>
  </si>
  <si>
    <t>B00643</t>
  </si>
  <si>
    <t>B00644</t>
  </si>
  <si>
    <t>B00645</t>
  </si>
  <si>
    <t>B00646</t>
  </si>
  <si>
    <t>B00647</t>
  </si>
  <si>
    <t>B00648</t>
  </si>
  <si>
    <t>B00649</t>
  </si>
  <si>
    <t>B00650</t>
  </si>
  <si>
    <t>B00651</t>
  </si>
  <si>
    <t>B00652</t>
  </si>
  <si>
    <t>B00653</t>
  </si>
  <si>
    <t>C0184</t>
  </si>
  <si>
    <t>B00654</t>
  </si>
  <si>
    <t>B00655</t>
  </si>
  <si>
    <t>B00656</t>
  </si>
  <si>
    <t>B00657</t>
  </si>
  <si>
    <t>B00658</t>
  </si>
  <si>
    <t>B00659</t>
  </si>
  <si>
    <t>B00660</t>
  </si>
  <si>
    <t>B00661</t>
  </si>
  <si>
    <t>B00662</t>
  </si>
  <si>
    <t>C0400</t>
  </si>
  <si>
    <t>B00663</t>
  </si>
  <si>
    <t>C0214</t>
  </si>
  <si>
    <t>B00664</t>
  </si>
  <si>
    <t>C0006</t>
  </si>
  <si>
    <t>B00665</t>
  </si>
  <si>
    <t>C0367</t>
  </si>
  <si>
    <t>B00666</t>
  </si>
  <si>
    <t>C0321</t>
  </si>
  <si>
    <t>B00667</t>
  </si>
  <si>
    <t>C0301</t>
  </si>
  <si>
    <t>B00668</t>
  </si>
  <si>
    <t>B00669</t>
  </si>
  <si>
    <t>B00670</t>
  </si>
  <si>
    <t>B00671</t>
  </si>
  <si>
    <t>C0098</t>
  </si>
  <si>
    <t>B00672</t>
  </si>
  <si>
    <t>B00673</t>
  </si>
  <si>
    <t>B00674</t>
  </si>
  <si>
    <t>C0232</t>
  </si>
  <si>
    <t>B00675</t>
  </si>
  <si>
    <t>C0332</t>
  </si>
  <si>
    <t>B00676</t>
  </si>
  <si>
    <t>B00677</t>
  </si>
  <si>
    <t>B00678</t>
  </si>
  <si>
    <t>B00679</t>
  </si>
  <si>
    <t>B00680</t>
  </si>
  <si>
    <t>B00681</t>
  </si>
  <si>
    <t>B00682</t>
  </si>
  <si>
    <t>B00683</t>
  </si>
  <si>
    <t>B00684</t>
  </si>
  <si>
    <t>C0176</t>
  </si>
  <si>
    <t>B00685</t>
  </si>
  <si>
    <t>B00686</t>
  </si>
  <si>
    <t>C0241</t>
  </si>
  <si>
    <t>B00687</t>
  </si>
  <si>
    <t>B00688</t>
  </si>
  <si>
    <t>B00689</t>
  </si>
  <si>
    <t>C0279</t>
  </si>
  <si>
    <t>B00690</t>
  </si>
  <si>
    <t>B00691</t>
  </si>
  <si>
    <t>B00692</t>
  </si>
  <si>
    <t>B00693</t>
  </si>
  <si>
    <t>B00694</t>
  </si>
  <si>
    <t>B00695</t>
  </si>
  <si>
    <t>B00696</t>
  </si>
  <si>
    <t>B00697</t>
  </si>
  <si>
    <t>B00698</t>
  </si>
  <si>
    <t>B00699</t>
  </si>
  <si>
    <t>B00700</t>
  </si>
  <si>
    <t>C0215</t>
  </si>
  <si>
    <t>B00701</t>
  </si>
  <si>
    <t>B00702</t>
  </si>
  <si>
    <t>C0132</t>
  </si>
  <si>
    <t>B00703</t>
  </si>
  <si>
    <t>B00704</t>
  </si>
  <si>
    <t>B00705</t>
  </si>
  <si>
    <t>C0055</t>
  </si>
  <si>
    <t>B00706</t>
  </si>
  <si>
    <t>C0308</t>
  </si>
  <si>
    <t>B00707</t>
  </si>
  <si>
    <t>B00708</t>
  </si>
  <si>
    <t>C0155</t>
  </si>
  <si>
    <t>B00709</t>
  </si>
  <si>
    <t>B00710</t>
  </si>
  <si>
    <t>B00711</t>
  </si>
  <si>
    <t>C0159</t>
  </si>
  <si>
    <t>B00712</t>
  </si>
  <si>
    <t>B00713</t>
  </si>
  <si>
    <t>B00714</t>
  </si>
  <si>
    <t>B00715</t>
  </si>
  <si>
    <t>B00716</t>
  </si>
  <si>
    <t>B00717</t>
  </si>
  <si>
    <t>C0219</t>
  </si>
  <si>
    <t>B00718</t>
  </si>
  <si>
    <t>B00719</t>
  </si>
  <si>
    <t>B00720</t>
  </si>
  <si>
    <t>B00721</t>
  </si>
  <si>
    <t>C0398</t>
  </si>
  <si>
    <t>B00722</t>
  </si>
  <si>
    <t>B00723</t>
  </si>
  <si>
    <t>B00724</t>
  </si>
  <si>
    <t>B00725</t>
  </si>
  <si>
    <t>C0084</t>
  </si>
  <si>
    <t>B00726</t>
  </si>
  <si>
    <t>B00727</t>
  </si>
  <si>
    <t>C0330</t>
  </si>
  <si>
    <t>B00728</t>
  </si>
  <si>
    <t>B00729</t>
  </si>
  <si>
    <t>B00730</t>
  </si>
  <si>
    <t>B00731</t>
  </si>
  <si>
    <t>B00732</t>
  </si>
  <si>
    <t>B00733</t>
  </si>
  <si>
    <t>B00734</t>
  </si>
  <si>
    <t>B00735</t>
  </si>
  <si>
    <t>B00736</t>
  </si>
  <si>
    <t>B00737</t>
  </si>
  <si>
    <t>B00738</t>
  </si>
  <si>
    <t>B00739</t>
  </si>
  <si>
    <t>B00740</t>
  </si>
  <si>
    <t>B00741</t>
  </si>
  <si>
    <t>B00742</t>
  </si>
  <si>
    <t>B00743</t>
  </si>
  <si>
    <t>C0282</t>
  </si>
  <si>
    <t>B00744</t>
  </si>
  <si>
    <t>B00745</t>
  </si>
  <si>
    <t>B00746</t>
  </si>
  <si>
    <t>B00747</t>
  </si>
  <si>
    <t>B00748</t>
  </si>
  <si>
    <t>B00749</t>
  </si>
  <si>
    <t>B00750</t>
  </si>
  <si>
    <t>B00751</t>
  </si>
  <si>
    <t>B00752</t>
  </si>
  <si>
    <t>B00753</t>
  </si>
  <si>
    <t>B00754</t>
  </si>
  <si>
    <t>B00755</t>
  </si>
  <si>
    <t>B00756</t>
  </si>
  <si>
    <t>B00757</t>
  </si>
  <si>
    <t>B00758</t>
  </si>
  <si>
    <t>B00759</t>
  </si>
  <si>
    <t>B00760</t>
  </si>
  <si>
    <t>B00761</t>
  </si>
  <si>
    <t>C0134</t>
  </si>
  <si>
    <t>B00762</t>
  </si>
  <si>
    <t>B00763</t>
  </si>
  <si>
    <t>B00764</t>
  </si>
  <si>
    <t>B00765</t>
  </si>
  <si>
    <t>C0337</t>
  </si>
  <si>
    <t>B00766</t>
  </si>
  <si>
    <t>B00767</t>
  </si>
  <si>
    <t>B00768</t>
  </si>
  <si>
    <t>B00769</t>
  </si>
  <si>
    <t>B00770</t>
  </si>
  <si>
    <t>C0049</t>
  </si>
  <si>
    <t>B00771</t>
  </si>
  <si>
    <t>C0149</t>
  </si>
  <si>
    <t>B00772</t>
  </si>
  <si>
    <t>B00773</t>
  </si>
  <si>
    <t>B00774</t>
  </si>
  <si>
    <t>C0206</t>
  </si>
  <si>
    <t>B00775</t>
  </si>
  <si>
    <t>C0119</t>
  </si>
  <si>
    <t>B00776</t>
  </si>
  <si>
    <t>B00777</t>
  </si>
  <si>
    <t>B00778</t>
  </si>
  <si>
    <t>B00779</t>
  </si>
  <si>
    <t>B00780</t>
  </si>
  <si>
    <t>B00781</t>
  </si>
  <si>
    <t>B00782</t>
  </si>
  <si>
    <t>B00783</t>
  </si>
  <si>
    <t>B00784</t>
  </si>
  <si>
    <t>B00785</t>
  </si>
  <si>
    <t>B00786</t>
  </si>
  <si>
    <t>B00787</t>
  </si>
  <si>
    <t>B00788</t>
  </si>
  <si>
    <t>B00789</t>
  </si>
  <si>
    <t>B00790</t>
  </si>
  <si>
    <t>B00791</t>
  </si>
  <si>
    <t>B00792</t>
  </si>
  <si>
    <t>B00793</t>
  </si>
  <si>
    <t>C0113</t>
  </si>
  <si>
    <t>B00794</t>
  </si>
  <si>
    <t>C0118</t>
  </si>
  <si>
    <t>B00795</t>
  </si>
  <si>
    <t>B00796</t>
  </si>
  <si>
    <t>B00797</t>
  </si>
  <si>
    <t>C0288</t>
  </si>
  <si>
    <t>B00798</t>
  </si>
  <si>
    <t>B00799</t>
  </si>
  <si>
    <t>B00800</t>
  </si>
  <si>
    <t>B00801</t>
  </si>
  <si>
    <t>B00802</t>
  </si>
  <si>
    <t>B00803</t>
  </si>
  <si>
    <t>B00804</t>
  </si>
  <si>
    <t>B00805</t>
  </si>
  <si>
    <t>B00806</t>
  </si>
  <si>
    <t>B00807</t>
  </si>
  <si>
    <t>B00808</t>
  </si>
  <si>
    <t>B00809</t>
  </si>
  <si>
    <t>B00810</t>
  </si>
  <si>
    <t>B00811</t>
  </si>
  <si>
    <t>B00812</t>
  </si>
  <si>
    <t>B00813</t>
  </si>
  <si>
    <t>B00814</t>
  </si>
  <si>
    <t>B00815</t>
  </si>
  <si>
    <t>C0003</t>
  </si>
  <si>
    <t>B00816</t>
  </si>
  <si>
    <t>B00817</t>
  </si>
  <si>
    <t>B00818</t>
  </si>
  <si>
    <t>B00819</t>
  </si>
  <si>
    <t>B00820</t>
  </si>
  <si>
    <t>B00821</t>
  </si>
  <si>
    <t>B00822</t>
  </si>
  <si>
    <t>B00823</t>
  </si>
  <si>
    <t>B00824</t>
  </si>
  <si>
    <t>B00825</t>
  </si>
  <si>
    <t>B00826</t>
  </si>
  <si>
    <t>C0145</t>
  </si>
  <si>
    <t>B00827</t>
  </si>
  <si>
    <t>C0359</t>
  </si>
  <si>
    <t>B00828</t>
  </si>
  <si>
    <t>B00829</t>
  </si>
  <si>
    <t>B00830</t>
  </si>
  <si>
    <t>C0043</t>
  </si>
  <si>
    <t>B00831</t>
  </si>
  <si>
    <t>B00832</t>
  </si>
  <si>
    <t>B00833</t>
  </si>
  <si>
    <t>C0351</t>
  </si>
  <si>
    <t>B00834</t>
  </si>
  <si>
    <t>B00835</t>
  </si>
  <si>
    <t>B00836</t>
  </si>
  <si>
    <t>B00837</t>
  </si>
  <si>
    <t>B00838</t>
  </si>
  <si>
    <t>B00839</t>
  </si>
  <si>
    <t>B00840</t>
  </si>
  <si>
    <t>B00841</t>
  </si>
  <si>
    <t>B00842</t>
  </si>
  <si>
    <t>B00843</t>
  </si>
  <si>
    <t>B00844</t>
  </si>
  <si>
    <t>B00845</t>
  </si>
  <si>
    <t>B00846</t>
  </si>
  <si>
    <t>B00847</t>
  </si>
  <si>
    <t>B00848</t>
  </si>
  <si>
    <t>B00849</t>
  </si>
  <si>
    <t>B00850</t>
  </si>
  <si>
    <t>B00851</t>
  </si>
  <si>
    <t>B00852</t>
  </si>
  <si>
    <t>B00853</t>
  </si>
  <si>
    <t>B00854</t>
  </si>
  <si>
    <t>B00855</t>
  </si>
  <si>
    <t>B00856</t>
  </si>
  <si>
    <t>B00857</t>
  </si>
  <si>
    <t>B00858</t>
  </si>
  <si>
    <t>C0062</t>
  </si>
  <si>
    <t>B00859</t>
  </si>
  <si>
    <t>B00860</t>
  </si>
  <si>
    <t>B00861</t>
  </si>
  <si>
    <t>C0039</t>
  </si>
  <si>
    <t>B00862</t>
  </si>
  <si>
    <t>B00863</t>
  </si>
  <si>
    <t>B00864</t>
  </si>
  <si>
    <t>C0007</t>
  </si>
  <si>
    <t>B00865</t>
  </si>
  <si>
    <t>B00866</t>
  </si>
  <si>
    <t>B00867</t>
  </si>
  <si>
    <t>B00868</t>
  </si>
  <si>
    <t>B00869</t>
  </si>
  <si>
    <t>B00870</t>
  </si>
  <si>
    <t>B00871</t>
  </si>
  <si>
    <t>C0002</t>
  </si>
  <si>
    <t>B00872</t>
  </si>
  <si>
    <t>B00873</t>
  </si>
  <si>
    <t>B00874</t>
  </si>
  <si>
    <t>C0411</t>
  </si>
  <si>
    <t>B00875</t>
  </si>
  <si>
    <t>B00876</t>
  </si>
  <si>
    <t>B00877</t>
  </si>
  <si>
    <t>B00878</t>
  </si>
  <si>
    <t>B00879</t>
  </si>
  <si>
    <t>B00880</t>
  </si>
  <si>
    <t>B00881</t>
  </si>
  <si>
    <t>B00882</t>
  </si>
  <si>
    <t>B00883</t>
  </si>
  <si>
    <t>B00884</t>
  </si>
  <si>
    <t>B00885</t>
  </si>
  <si>
    <t>B00886</t>
  </si>
  <si>
    <t>B00887</t>
  </si>
  <si>
    <t>B00888</t>
  </si>
  <si>
    <t>B00889</t>
  </si>
  <si>
    <t>B00890</t>
  </si>
  <si>
    <t>B00891</t>
  </si>
  <si>
    <t>B00892</t>
  </si>
  <si>
    <t>B00893</t>
  </si>
  <si>
    <t>B00894</t>
  </si>
  <si>
    <t>B00895</t>
  </si>
  <si>
    <t>B00896</t>
  </si>
  <si>
    <t>B00897</t>
  </si>
  <si>
    <t>B00898</t>
  </si>
  <si>
    <t>B00899</t>
  </si>
  <si>
    <t>C0370</t>
  </si>
  <si>
    <t>B00900</t>
  </si>
  <si>
    <t>B00901</t>
  </si>
  <si>
    <t>B00902</t>
  </si>
  <si>
    <t>B00903</t>
  </si>
  <si>
    <t>B00904</t>
  </si>
  <si>
    <t>B00905</t>
  </si>
  <si>
    <t>B00906</t>
  </si>
  <si>
    <t>B00907</t>
  </si>
  <si>
    <t>B00908</t>
  </si>
  <si>
    <t>B00909</t>
  </si>
  <si>
    <t>C0363</t>
  </si>
  <si>
    <t>B00910</t>
  </si>
  <si>
    <t>C0164</t>
  </si>
  <si>
    <t>B00911</t>
  </si>
  <si>
    <t>B00912</t>
  </si>
  <si>
    <t>B00913</t>
  </si>
  <si>
    <t>B00914</t>
  </si>
  <si>
    <t>B00915</t>
  </si>
  <si>
    <t>B00916</t>
  </si>
  <si>
    <t>B00917</t>
  </si>
  <si>
    <t>C0297</t>
  </si>
  <si>
    <t>B00918</t>
  </si>
  <si>
    <t>B00919</t>
  </si>
  <si>
    <t>B00920</t>
  </si>
  <si>
    <t>B00921</t>
  </si>
  <si>
    <t>B00922</t>
  </si>
  <si>
    <t>B00923</t>
  </si>
  <si>
    <t>B00924</t>
  </si>
  <si>
    <t>B00925</t>
  </si>
  <si>
    <t>B00926</t>
  </si>
  <si>
    <t>B00927</t>
  </si>
  <si>
    <t>B00928</t>
  </si>
  <si>
    <t>C0077</t>
  </si>
  <si>
    <t>B00929</t>
  </si>
  <si>
    <t>B00930</t>
  </si>
  <si>
    <t>B00931</t>
  </si>
  <si>
    <t>B00932</t>
  </si>
  <si>
    <t>B00933</t>
  </si>
  <si>
    <t>B00934</t>
  </si>
  <si>
    <t>B00935</t>
  </si>
  <si>
    <t>B00936</t>
  </si>
  <si>
    <t>B00937</t>
  </si>
  <si>
    <t>B00938</t>
  </si>
  <si>
    <t>C0302</t>
  </si>
  <si>
    <t>B00939</t>
  </si>
  <si>
    <t>C0194</t>
  </si>
  <si>
    <t>B00940</t>
  </si>
  <si>
    <t>C0196</t>
  </si>
  <si>
    <t>B00941</t>
  </si>
  <si>
    <t>B00942</t>
  </si>
  <si>
    <t>B00943</t>
  </si>
  <si>
    <t>B00944</t>
  </si>
  <si>
    <t>B00945</t>
  </si>
  <si>
    <t>B00946</t>
  </si>
  <si>
    <t>B00947</t>
  </si>
  <si>
    <t>B00948</t>
  </si>
  <si>
    <t>C0090</t>
  </si>
  <si>
    <t>B00949</t>
  </si>
  <si>
    <t>B00950</t>
  </si>
  <si>
    <t>C0379</t>
  </si>
  <si>
    <t>B00951</t>
  </si>
  <si>
    <t>B00952</t>
  </si>
  <si>
    <t>B00953</t>
  </si>
  <si>
    <t>B00954</t>
  </si>
  <si>
    <t>C0017</t>
  </si>
  <si>
    <t>B00955</t>
  </si>
  <si>
    <t>B00956</t>
  </si>
  <si>
    <t>B00957</t>
  </si>
  <si>
    <t>B00958</t>
  </si>
  <si>
    <t>B00959</t>
  </si>
  <si>
    <t>B00960</t>
  </si>
  <si>
    <t>B00961</t>
  </si>
  <si>
    <t>B00962</t>
  </si>
  <si>
    <t>B00963</t>
  </si>
  <si>
    <t>B00964</t>
  </si>
  <si>
    <t>B00965</t>
  </si>
  <si>
    <t>C0125</t>
  </si>
  <si>
    <t>B00966</t>
  </si>
  <si>
    <t>B00967</t>
  </si>
  <si>
    <t>B00968</t>
  </si>
  <si>
    <t>C0394</t>
  </si>
  <si>
    <t>B00969</t>
  </si>
  <si>
    <t>B00970</t>
  </si>
  <si>
    <t>B00971</t>
  </si>
  <si>
    <t>B00972</t>
  </si>
  <si>
    <t>B00973</t>
  </si>
  <si>
    <t>B00974</t>
  </si>
  <si>
    <t>B00975</t>
  </si>
  <si>
    <t>B00976</t>
  </si>
  <si>
    <t>C0417</t>
  </si>
  <si>
    <t>B00977</t>
  </si>
  <si>
    <t>B00978</t>
  </si>
  <si>
    <t>B00979</t>
  </si>
  <si>
    <t>B00980</t>
  </si>
  <si>
    <t>B00981</t>
  </si>
  <si>
    <t>B00982</t>
  </si>
  <si>
    <t>B00983</t>
  </si>
  <si>
    <t>B00984</t>
  </si>
  <si>
    <t>B00985</t>
  </si>
  <si>
    <t>B00986</t>
  </si>
  <si>
    <t>B00987</t>
  </si>
  <si>
    <t>B00988</t>
  </si>
  <si>
    <t>B00989</t>
  </si>
  <si>
    <t>B00990</t>
  </si>
  <si>
    <t>B00991</t>
  </si>
  <si>
    <t>B00992</t>
  </si>
  <si>
    <t>B00993</t>
  </si>
  <si>
    <t>B00994</t>
  </si>
  <si>
    <t>B00995</t>
  </si>
  <si>
    <t>B00996</t>
  </si>
  <si>
    <t>B00997</t>
  </si>
  <si>
    <t>B00998</t>
  </si>
  <si>
    <t>B00999</t>
  </si>
  <si>
    <t>B01000</t>
  </si>
  <si>
    <t>B01001</t>
  </si>
  <si>
    <t>B01002</t>
  </si>
  <si>
    <t>B01003</t>
  </si>
  <si>
    <t>B01004</t>
  </si>
  <si>
    <t>B01005</t>
  </si>
  <si>
    <t>B01006</t>
  </si>
  <si>
    <t>B01007</t>
  </si>
  <si>
    <t>C0115</t>
  </si>
  <si>
    <t>B01008</t>
  </si>
  <si>
    <t>B01009</t>
  </si>
  <si>
    <t>B01010</t>
  </si>
  <si>
    <t>B01011</t>
  </si>
  <si>
    <t>B01012</t>
  </si>
  <si>
    <t>C0162</t>
  </si>
  <si>
    <t>B01013</t>
  </si>
  <si>
    <t>B01014</t>
  </si>
  <si>
    <t>B01015</t>
  </si>
  <si>
    <t>B01016</t>
  </si>
  <si>
    <t>B01017</t>
  </si>
  <si>
    <t>B01018</t>
  </si>
  <si>
    <t>B01019</t>
  </si>
  <si>
    <t>B01020</t>
  </si>
  <si>
    <t>B01021</t>
  </si>
  <si>
    <t>B01022</t>
  </si>
  <si>
    <t>B01023</t>
  </si>
  <si>
    <t>B01024</t>
  </si>
  <si>
    <t>B01025</t>
  </si>
  <si>
    <t>B01026</t>
  </si>
  <si>
    <t>B01027</t>
  </si>
  <si>
    <t>B01028</t>
  </si>
  <si>
    <t>B01029</t>
  </si>
  <si>
    <t>C0019</t>
  </si>
  <si>
    <t>B01030</t>
  </si>
  <si>
    <t>B01031</t>
  </si>
  <si>
    <t>B01032</t>
  </si>
  <si>
    <t>B01033</t>
  </si>
  <si>
    <t>B01034</t>
  </si>
  <si>
    <t>B01035</t>
  </si>
  <si>
    <t>B01036</t>
  </si>
  <si>
    <t>B01037</t>
  </si>
  <si>
    <t>B01038</t>
  </si>
  <si>
    <t>B01039</t>
  </si>
  <si>
    <t>B01040</t>
  </si>
  <si>
    <t>C0355</t>
  </si>
  <si>
    <t>B01041</t>
  </si>
  <si>
    <t>B01042</t>
  </si>
  <si>
    <t>B01043</t>
  </si>
  <si>
    <t>B01044</t>
  </si>
  <si>
    <t>B01045</t>
  </si>
  <si>
    <t>B01046</t>
  </si>
  <si>
    <t>B01047</t>
  </si>
  <si>
    <t>B01048</t>
  </si>
  <si>
    <t>B01049</t>
  </si>
  <si>
    <t>B01050</t>
  </si>
  <si>
    <t>B01051</t>
  </si>
  <si>
    <t>B01052</t>
  </si>
  <si>
    <t>B01053</t>
  </si>
  <si>
    <t>B01054</t>
  </si>
  <si>
    <t>B01055</t>
  </si>
  <si>
    <t>B01056</t>
  </si>
  <si>
    <t>B01057</t>
  </si>
  <si>
    <t>B01058</t>
  </si>
  <si>
    <t>B01059</t>
  </si>
  <si>
    <t>B01060</t>
  </si>
  <si>
    <t>B01061</t>
  </si>
  <si>
    <t>C0117</t>
  </si>
  <si>
    <t>B01062</t>
  </si>
  <si>
    <t>B01063</t>
  </si>
  <si>
    <t>B01064</t>
  </si>
  <si>
    <t>B01065</t>
  </si>
  <si>
    <t>B01066</t>
  </si>
  <si>
    <t>B01067</t>
  </si>
  <si>
    <t>B01068</t>
  </si>
  <si>
    <t>B01069</t>
  </si>
  <si>
    <t>B01070</t>
  </si>
  <si>
    <t>B01071</t>
  </si>
  <si>
    <t>B01072</t>
  </si>
  <si>
    <t>B01073</t>
  </si>
  <si>
    <t>B01074</t>
  </si>
  <si>
    <t>B01075</t>
  </si>
  <si>
    <t>B01076</t>
  </si>
  <si>
    <t>B01077</t>
  </si>
  <si>
    <t>B01078</t>
  </si>
  <si>
    <t>B01079</t>
  </si>
  <si>
    <t>B01080</t>
  </si>
  <si>
    <t>B01081</t>
  </si>
  <si>
    <t>B01082</t>
  </si>
  <si>
    <t>B01083</t>
  </si>
  <si>
    <t>B01084</t>
  </si>
  <si>
    <t>B01085</t>
  </si>
  <si>
    <t>B01086</t>
  </si>
  <si>
    <t>B01087</t>
  </si>
  <si>
    <t>B01088</t>
  </si>
  <si>
    <t>B01089</t>
  </si>
  <si>
    <t>C0021</t>
  </si>
  <si>
    <t>B01090</t>
  </si>
  <si>
    <t>B01091</t>
  </si>
  <si>
    <t>B01092</t>
  </si>
  <si>
    <t>B01093</t>
  </si>
  <si>
    <t>B01094</t>
  </si>
  <si>
    <t>B01095</t>
  </si>
  <si>
    <t>B01096</t>
  </si>
  <si>
    <t>B01097</t>
  </si>
  <si>
    <t>B01098</t>
  </si>
  <si>
    <t>B01099</t>
  </si>
  <si>
    <t>B01100</t>
  </si>
  <si>
    <t>B01101</t>
  </si>
  <si>
    <t>B01102</t>
  </si>
  <si>
    <t>B01103</t>
  </si>
  <si>
    <t>B01104</t>
  </si>
  <si>
    <t>B01105</t>
  </si>
  <si>
    <t>C0158</t>
  </si>
  <si>
    <t>B01106</t>
  </si>
  <si>
    <t>B01107</t>
  </si>
  <si>
    <t>B01108</t>
  </si>
  <si>
    <t>B01109</t>
  </si>
  <si>
    <t>B01110</t>
  </si>
  <si>
    <t>B01111</t>
  </si>
  <si>
    <t>B01112</t>
  </si>
  <si>
    <t>B01113</t>
  </si>
  <si>
    <t>B01114</t>
  </si>
  <si>
    <t>B01115</t>
  </si>
  <si>
    <t>B01116</t>
  </si>
  <si>
    <t>B01117</t>
  </si>
  <si>
    <t>C0406</t>
  </si>
  <si>
    <t>B01118</t>
  </si>
  <si>
    <t>B01119</t>
  </si>
  <si>
    <t>B01120</t>
  </si>
  <si>
    <t>B01121</t>
  </si>
  <si>
    <t>B01122</t>
  </si>
  <si>
    <t>B01123</t>
  </si>
  <si>
    <t>B01124</t>
  </si>
  <si>
    <t>B01125</t>
  </si>
  <si>
    <t>C0243</t>
  </si>
  <si>
    <t>B01126</t>
  </si>
  <si>
    <t>C0353</t>
  </si>
  <si>
    <t>B01127</t>
  </si>
  <si>
    <t>B01128</t>
  </si>
  <si>
    <t>B01129</t>
  </si>
  <si>
    <t>B01130</t>
  </si>
  <si>
    <t>B01131</t>
  </si>
  <si>
    <t>B01132</t>
  </si>
  <si>
    <t>B01133</t>
  </si>
  <si>
    <t>B01134</t>
  </si>
  <si>
    <t>B01135</t>
  </si>
  <si>
    <t>B01136</t>
  </si>
  <si>
    <t>C0246</t>
  </si>
  <si>
    <t>B01137</t>
  </si>
  <si>
    <t>B01138</t>
  </si>
  <si>
    <t>B01139</t>
  </si>
  <si>
    <t>B01140</t>
  </si>
  <si>
    <t>B01141</t>
  </si>
  <si>
    <t>B01142</t>
  </si>
  <si>
    <t>B01143</t>
  </si>
  <si>
    <t>B01144</t>
  </si>
  <si>
    <t>B01145</t>
  </si>
  <si>
    <t>B01146</t>
  </si>
  <si>
    <t>C0303</t>
  </si>
  <si>
    <t>B01147</t>
  </si>
  <si>
    <t>B01148</t>
  </si>
  <si>
    <t>B01149</t>
  </si>
  <si>
    <t>B01150</t>
  </si>
  <si>
    <t>B01151</t>
  </si>
  <si>
    <t>B01152</t>
  </si>
  <si>
    <t>C0343</t>
  </si>
  <si>
    <t>B01153</t>
  </si>
  <si>
    <t>B01154</t>
  </si>
  <si>
    <t>B01155</t>
  </si>
  <si>
    <t>B01156</t>
  </si>
  <si>
    <t>B01157</t>
  </si>
  <si>
    <t>B01158</t>
  </si>
  <si>
    <t>B01159</t>
  </si>
  <si>
    <t>B01160</t>
  </si>
  <si>
    <t>B01161</t>
  </si>
  <si>
    <t>B01162</t>
  </si>
  <si>
    <t>B01163</t>
  </si>
  <si>
    <t>B01164</t>
  </si>
  <si>
    <t>B01165</t>
  </si>
  <si>
    <t>B01166</t>
  </si>
  <si>
    <t>B01167</t>
  </si>
  <si>
    <t>B01168</t>
  </si>
  <si>
    <t>B01169</t>
  </si>
  <si>
    <t>B01170</t>
  </si>
  <si>
    <t>B01171</t>
  </si>
  <si>
    <t>B01172</t>
  </si>
  <si>
    <t>B01173</t>
  </si>
  <si>
    <t>B01174</t>
  </si>
  <si>
    <t>B01175</t>
  </si>
  <si>
    <t>B01176</t>
  </si>
  <si>
    <t>B01177</t>
  </si>
  <si>
    <t>C0198</t>
  </si>
  <si>
    <t>B01178</t>
  </si>
  <si>
    <t>B01179</t>
  </si>
  <si>
    <t>B01180</t>
  </si>
  <si>
    <t>B01181</t>
  </si>
  <si>
    <t>B01182</t>
  </si>
  <si>
    <t>B01183</t>
  </si>
  <si>
    <t>B01184</t>
  </si>
  <si>
    <t>B01185</t>
  </si>
  <si>
    <t>B01186</t>
  </si>
  <si>
    <t>B01187</t>
  </si>
  <si>
    <t>B01188</t>
  </si>
  <si>
    <t>B01189</t>
  </si>
  <si>
    <t>B01190</t>
  </si>
  <si>
    <t>B01191</t>
  </si>
  <si>
    <t>B01192</t>
  </si>
  <si>
    <t>B01193</t>
  </si>
  <si>
    <t>C0378</t>
  </si>
  <si>
    <t>B01194</t>
  </si>
  <si>
    <t>B01195</t>
  </si>
  <si>
    <t>B01196</t>
  </si>
  <si>
    <t>B01197</t>
  </si>
  <si>
    <t>B01198</t>
  </si>
  <si>
    <t>B01199</t>
  </si>
  <si>
    <t>B01200</t>
  </si>
  <si>
    <t>B01201</t>
  </si>
  <si>
    <t>0.15990344961815034</t>
  </si>
  <si>
    <t>B01202</t>
  </si>
  <si>
    <t>C0421</t>
  </si>
  <si>
    <t>0.13573994714199464</t>
  </si>
  <si>
    <t>B01203</t>
  </si>
  <si>
    <t>C0422</t>
  </si>
  <si>
    <t>ƒë√† n·∫µng</t>
  </si>
  <si>
    <t>0.19670810648009884</t>
  </si>
  <si>
    <t>B01204</t>
  </si>
  <si>
    <t>C0423</t>
  </si>
  <si>
    <t>Unknown</t>
  </si>
  <si>
    <t>0.027915558216557765</t>
  </si>
  <si>
    <t xml:space="preserve">cancelled </t>
  </si>
  <si>
    <t>B01205</t>
  </si>
  <si>
    <t>C0424</t>
  </si>
  <si>
    <t>0.11724155160797117</t>
  </si>
  <si>
    <t>B01206</t>
  </si>
  <si>
    <t>0.15827700096389655</t>
  </si>
  <si>
    <t>B01207</t>
  </si>
  <si>
    <t>0.11453068952990562</t>
  </si>
  <si>
    <t>B01208</t>
  </si>
  <si>
    <t>0.15400732937515343</t>
  </si>
  <si>
    <t>B01209</t>
  </si>
  <si>
    <t>C0425</t>
  </si>
  <si>
    <t>B01210</t>
  </si>
  <si>
    <t>0.13651687625331335</t>
  </si>
  <si>
    <t>B01211</t>
  </si>
  <si>
    <t>B01212</t>
  </si>
  <si>
    <t>B01213</t>
  </si>
  <si>
    <t>completed</t>
  </si>
  <si>
    <t>B01214</t>
  </si>
  <si>
    <t>B01215</t>
  </si>
  <si>
    <t>0.10318184709882981</t>
  </si>
  <si>
    <t>B01216</t>
  </si>
  <si>
    <t>0.1342722896688449</t>
  </si>
  <si>
    <t>B01217</t>
  </si>
  <si>
    <t>B01218</t>
  </si>
  <si>
    <t>C0426</t>
  </si>
  <si>
    <t>B01219</t>
  </si>
  <si>
    <t>0.1307592975014108</t>
  </si>
  <si>
    <t>B01220</t>
  </si>
  <si>
    <t>B01221</t>
  </si>
  <si>
    <t>0.10043802810207617</t>
  </si>
  <si>
    <t>B01222</t>
  </si>
  <si>
    <t>C0427</t>
  </si>
  <si>
    <t>B01223</t>
  </si>
  <si>
    <t>0.039341020875539166</t>
  </si>
  <si>
    <t>B01224</t>
  </si>
  <si>
    <t>C0428</t>
  </si>
  <si>
    <t>0.10486191680468954</t>
  </si>
  <si>
    <t>B01225</t>
  </si>
  <si>
    <t>B01226</t>
  </si>
  <si>
    <t>0.12145488233352059</t>
  </si>
  <si>
    <t>B01227</t>
  </si>
  <si>
    <t>0.11021674235598755</t>
  </si>
  <si>
    <t>B01228</t>
  </si>
  <si>
    <t>C0429</t>
  </si>
  <si>
    <t>B01229</t>
  </si>
  <si>
    <t>C0430</t>
  </si>
  <si>
    <t>0.1308295755979721</t>
  </si>
  <si>
    <t>B01230</t>
  </si>
  <si>
    <t>C0431</t>
  </si>
  <si>
    <t>B01231</t>
  </si>
  <si>
    <t>0.10248872618197011</t>
  </si>
  <si>
    <t>B01232</t>
  </si>
  <si>
    <t>0.1209822841690248</t>
  </si>
  <si>
    <t>B01233</t>
  </si>
  <si>
    <t>0.12752945891106224</t>
  </si>
  <si>
    <t>B01234</t>
  </si>
  <si>
    <t>0.13302371014898157</t>
  </si>
  <si>
    <t>B01235</t>
  </si>
  <si>
    <t>0.13893791261383276</t>
  </si>
  <si>
    <t>B01236</t>
  </si>
  <si>
    <t>0.12783483309067156</t>
  </si>
  <si>
    <t>B01237</t>
  </si>
  <si>
    <t>C0432</t>
  </si>
  <si>
    <t>0.1992043571072905</t>
  </si>
  <si>
    <t>B01238</t>
  </si>
  <si>
    <t>C0433</t>
  </si>
  <si>
    <t>B01239</t>
  </si>
  <si>
    <t>0.12957502540463212</t>
  </si>
  <si>
    <t>B01240</t>
  </si>
  <si>
    <t>C0434</t>
  </si>
  <si>
    <t>B01241</t>
  </si>
  <si>
    <t>0.020164886149435984</t>
  </si>
  <si>
    <t>B01242</t>
  </si>
  <si>
    <t>B01243</t>
  </si>
  <si>
    <t>B01244</t>
  </si>
  <si>
    <t>C0435</t>
  </si>
  <si>
    <t>0.1344431010720744</t>
  </si>
  <si>
    <t>B01245</t>
  </si>
  <si>
    <t>C0436</t>
  </si>
  <si>
    <t>0.13348217260308182</t>
  </si>
  <si>
    <t>B01246</t>
  </si>
  <si>
    <t>B01247</t>
  </si>
  <si>
    <t>B01248</t>
  </si>
  <si>
    <t>0.12025438696179093</t>
  </si>
  <si>
    <t>B01249</t>
  </si>
  <si>
    <t>B01250</t>
  </si>
  <si>
    <t>0.1360358855283565</t>
  </si>
  <si>
    <t>B01251</t>
  </si>
  <si>
    <t>C0437</t>
  </si>
  <si>
    <t>0.10115054045202307</t>
  </si>
  <si>
    <t>B01252</t>
  </si>
  <si>
    <t>0.15649645112301389</t>
  </si>
  <si>
    <t>B01253</t>
  </si>
  <si>
    <t>B01254</t>
  </si>
  <si>
    <t>0.1561936049650852</t>
  </si>
  <si>
    <t>B01255</t>
  </si>
  <si>
    <t>C0438</t>
  </si>
  <si>
    <t>B01256</t>
  </si>
  <si>
    <t>0.017996605262784945</t>
  </si>
  <si>
    <t>B01257</t>
  </si>
  <si>
    <t>B01258</t>
  </si>
  <si>
    <t>B01259</t>
  </si>
  <si>
    <t>B01260</t>
  </si>
  <si>
    <t>B01261</t>
  </si>
  <si>
    <t>0.14147131138767896</t>
  </si>
  <si>
    <t>B01262</t>
  </si>
  <si>
    <t>C0439</t>
  </si>
  <si>
    <t>0.15884503090646326</t>
  </si>
  <si>
    <t>B01263</t>
  </si>
  <si>
    <t>0.035451565775699995</t>
  </si>
  <si>
    <t>B01264</t>
  </si>
  <si>
    <t>B01265</t>
  </si>
  <si>
    <t>C0440</t>
  </si>
  <si>
    <t>B01266</t>
  </si>
  <si>
    <t>0.13512813235171797</t>
  </si>
  <si>
    <t>B01267</t>
  </si>
  <si>
    <t>C0441</t>
  </si>
  <si>
    <t>B01268</t>
  </si>
  <si>
    <t>C0442</t>
  </si>
  <si>
    <t>0.10493954383274935</t>
  </si>
  <si>
    <t>B01269</t>
  </si>
  <si>
    <t>B01270</t>
  </si>
  <si>
    <t>B01271</t>
  </si>
  <si>
    <t>0.028493611172461186</t>
  </si>
  <si>
    <t>B01272</t>
  </si>
  <si>
    <t>C0443</t>
  </si>
  <si>
    <t>0.11896130265541863</t>
  </si>
  <si>
    <t>B01273</t>
  </si>
  <si>
    <t>B01274</t>
  </si>
  <si>
    <t>C0444</t>
  </si>
  <si>
    <t>0.2038908828079378</t>
  </si>
  <si>
    <t>B01275</t>
  </si>
  <si>
    <t>0.13062719590763733</t>
  </si>
  <si>
    <t>B01276</t>
  </si>
  <si>
    <t>C0445</t>
  </si>
  <si>
    <t>B01277</t>
  </si>
  <si>
    <t>C0446</t>
  </si>
  <si>
    <t>B01278</t>
  </si>
  <si>
    <t>C0447</t>
  </si>
  <si>
    <t>0.10419670682347956</t>
  </si>
  <si>
    <t>B01279</t>
  </si>
  <si>
    <t>B01280</t>
  </si>
  <si>
    <t>0.10871152868901215</t>
  </si>
  <si>
    <t>B01281</t>
  </si>
  <si>
    <t>B01282</t>
  </si>
  <si>
    <t>C0448</t>
  </si>
  <si>
    <t>B01283</t>
  </si>
  <si>
    <t>0.1283812008303647</t>
  </si>
  <si>
    <t>B01284</t>
  </si>
  <si>
    <t>C0449</t>
  </si>
  <si>
    <t>0.1445150734504107</t>
  </si>
  <si>
    <t>B01285</t>
  </si>
  <si>
    <t>B01286</t>
  </si>
  <si>
    <t>0.10332772284126912</t>
  </si>
  <si>
    <t>B01287</t>
  </si>
  <si>
    <t>C0450</t>
  </si>
  <si>
    <t>B01288</t>
  </si>
  <si>
    <t>C0451</t>
  </si>
  <si>
    <t>0.1540064241871552</t>
  </si>
  <si>
    <t>B01289</t>
  </si>
  <si>
    <t>C0452</t>
  </si>
  <si>
    <t>0.1888288671919527</t>
  </si>
  <si>
    <t>B01290</t>
  </si>
  <si>
    <t>B01291</t>
  </si>
  <si>
    <t>C0453</t>
  </si>
  <si>
    <t>0.13374412132701466</t>
  </si>
  <si>
    <t>B01292</t>
  </si>
  <si>
    <t>C0454</t>
  </si>
  <si>
    <t>B01293</t>
  </si>
  <si>
    <t>C0455</t>
  </si>
  <si>
    <t>0.16789402229917902</t>
  </si>
  <si>
    <t>B01294</t>
  </si>
  <si>
    <t>0.11789198014961608</t>
  </si>
  <si>
    <t>B01295</t>
  </si>
  <si>
    <t>B01296</t>
  </si>
  <si>
    <t>B01297</t>
  </si>
  <si>
    <t>C0456</t>
  </si>
  <si>
    <t>B01298</t>
  </si>
  <si>
    <t>0.16688303922527442</t>
  </si>
  <si>
    <t>B01299</t>
  </si>
  <si>
    <t>0.12708659701254238</t>
  </si>
  <si>
    <t>B01300</t>
  </si>
  <si>
    <t>0.12679839204384757</t>
  </si>
  <si>
    <t>B01301</t>
  </si>
  <si>
    <t>C0457</t>
  </si>
  <si>
    <t>B01302</t>
  </si>
  <si>
    <t>0.11263745658365135</t>
  </si>
  <si>
    <t>B01303</t>
  </si>
  <si>
    <t>C0458</t>
  </si>
  <si>
    <t>0.16477582453656858</t>
  </si>
  <si>
    <t>B01304</t>
  </si>
  <si>
    <t>0.12262082079005404</t>
  </si>
  <si>
    <t>B01305</t>
  </si>
  <si>
    <t>C0459</t>
  </si>
  <si>
    <t>B01306</t>
  </si>
  <si>
    <t>B01307</t>
  </si>
  <si>
    <t>B01308</t>
  </si>
  <si>
    <t>0.11416649579681959</t>
  </si>
  <si>
    <t>B01309</t>
  </si>
  <si>
    <t>B01310</t>
  </si>
  <si>
    <t>C0460</t>
  </si>
  <si>
    <t>0.12065275112485867</t>
  </si>
  <si>
    <t>B01311</t>
  </si>
  <si>
    <t>C0461</t>
  </si>
  <si>
    <t>0.013892088009350129</t>
  </si>
  <si>
    <t>B01312</t>
  </si>
  <si>
    <t>B01313</t>
  </si>
  <si>
    <t>B01314</t>
  </si>
  <si>
    <t>0.13387071261980038</t>
  </si>
  <si>
    <t>B01315</t>
  </si>
  <si>
    <t>0.10239633116297202</t>
  </si>
  <si>
    <t>B01316</t>
  </si>
  <si>
    <t>0.12177963716791339</t>
  </si>
  <si>
    <t>B01317</t>
  </si>
  <si>
    <t>0.17598176185218656</t>
  </si>
  <si>
    <t>B01318</t>
  </si>
  <si>
    <t>0.1333740243651233</t>
  </si>
  <si>
    <t>B01319</t>
  </si>
  <si>
    <t>B01320</t>
  </si>
  <si>
    <t>C0462</t>
  </si>
  <si>
    <t>B01321</t>
  </si>
  <si>
    <t>0.12562815974480404</t>
  </si>
  <si>
    <t>B01322</t>
  </si>
  <si>
    <t>B01323</t>
  </si>
  <si>
    <t>0.11808332333594407</t>
  </si>
  <si>
    <t>canceled</t>
  </si>
  <si>
    <t>B01324</t>
  </si>
  <si>
    <t>B01325</t>
  </si>
  <si>
    <t>C0463</t>
  </si>
  <si>
    <t>B01326</t>
  </si>
  <si>
    <t>B01327</t>
  </si>
  <si>
    <t>0.1805520971199956</t>
  </si>
  <si>
    <t>B01328</t>
  </si>
  <si>
    <t>0.13236710340495458</t>
  </si>
  <si>
    <t>B01329</t>
  </si>
  <si>
    <t>0.16071441454860344</t>
  </si>
  <si>
    <t>B01330</t>
  </si>
  <si>
    <t>B01331</t>
  </si>
  <si>
    <t>0.15391916239940476</t>
  </si>
  <si>
    <t>B01332</t>
  </si>
  <si>
    <t>B01333</t>
  </si>
  <si>
    <t>C0464</t>
  </si>
  <si>
    <t>0.11416520175398778</t>
  </si>
  <si>
    <t>B01334</t>
  </si>
  <si>
    <t>B01335</t>
  </si>
  <si>
    <t>B01336</t>
  </si>
  <si>
    <t>0.13281092918975326</t>
  </si>
  <si>
    <t>B01337</t>
  </si>
  <si>
    <t>0.12886844261186406</t>
  </si>
  <si>
    <t>B01338</t>
  </si>
  <si>
    <t>B01339</t>
  </si>
  <si>
    <t>C0465</t>
  </si>
  <si>
    <t>B01340</t>
  </si>
  <si>
    <t>C0466</t>
  </si>
  <si>
    <t>B01341</t>
  </si>
  <si>
    <t>C0467</t>
  </si>
  <si>
    <t>B01342</t>
  </si>
  <si>
    <t>0.11194089199247916</t>
  </si>
  <si>
    <t>B01343</t>
  </si>
  <si>
    <t>0.11029475405150972</t>
  </si>
  <si>
    <t>B01344</t>
  </si>
  <si>
    <t>C0468</t>
  </si>
  <si>
    <t>0.17062818607665248</t>
  </si>
  <si>
    <t>B01345</t>
  </si>
  <si>
    <t>C0469</t>
  </si>
  <si>
    <t>0.10935271896724603</t>
  </si>
  <si>
    <t>B01346</t>
  </si>
  <si>
    <t>B01347</t>
  </si>
  <si>
    <t>C0470</t>
  </si>
  <si>
    <t>B01348</t>
  </si>
  <si>
    <t>C0471</t>
  </si>
  <si>
    <t>0.1174418874834727</t>
  </si>
  <si>
    <t>B01349</t>
  </si>
  <si>
    <t>C0472</t>
  </si>
  <si>
    <t>0.1072734798307285</t>
  </si>
  <si>
    <t>B01350</t>
  </si>
  <si>
    <t>C0473</t>
  </si>
  <si>
    <t>B01351</t>
  </si>
  <si>
    <t>0.12294089568854848</t>
  </si>
  <si>
    <t>B01352</t>
  </si>
  <si>
    <t>B01353</t>
  </si>
  <si>
    <t>C0474</t>
  </si>
  <si>
    <t>0.041101940912740664</t>
  </si>
  <si>
    <t>B01354</t>
  </si>
  <si>
    <t>0.12609947533782645</t>
  </si>
  <si>
    <t>B01355</t>
  </si>
  <si>
    <t>C0475</t>
  </si>
  <si>
    <t>0.1126478011922851</t>
  </si>
  <si>
    <t>B01356</t>
  </si>
  <si>
    <t>B01357</t>
  </si>
  <si>
    <t>0.12794323202199875</t>
  </si>
  <si>
    <t>B01358</t>
  </si>
  <si>
    <t>0.11648405508522741</t>
  </si>
  <si>
    <t>B01359</t>
  </si>
  <si>
    <t>0.15477027760801063</t>
  </si>
  <si>
    <t>B01360</t>
  </si>
  <si>
    <t>B01361</t>
  </si>
  <si>
    <t>0.10539503419519829</t>
  </si>
  <si>
    <t>B01362</t>
  </si>
  <si>
    <t>B01363</t>
  </si>
  <si>
    <t>C0476</t>
  </si>
  <si>
    <t>0.11454723115093335</t>
  </si>
  <si>
    <t>B01364</t>
  </si>
  <si>
    <t>C0477</t>
  </si>
  <si>
    <t>B01365</t>
  </si>
  <si>
    <t>C0478</t>
  </si>
  <si>
    <t>0.12751866074552307</t>
  </si>
  <si>
    <t>B01366</t>
  </si>
  <si>
    <t>C0479</t>
  </si>
  <si>
    <t>B01367</t>
  </si>
  <si>
    <t>B01368</t>
  </si>
  <si>
    <t>0.035397325903460786</t>
  </si>
  <si>
    <t>B01369</t>
  </si>
  <si>
    <t>0.11337861620835006</t>
  </si>
  <si>
    <t>B01370</t>
  </si>
  <si>
    <t>0.14523271525065537</t>
  </si>
  <si>
    <t>B01371</t>
  </si>
  <si>
    <t>0.10456313400843585</t>
  </si>
  <si>
    <t>B01372</t>
  </si>
  <si>
    <t>B01373</t>
  </si>
  <si>
    <t>B01374</t>
  </si>
  <si>
    <t>Da Nang</t>
  </si>
  <si>
    <t>0.14236232561717535</t>
  </si>
  <si>
    <t>B01375</t>
  </si>
  <si>
    <t>0.11640030897234484</t>
  </si>
  <si>
    <t>B01376</t>
  </si>
  <si>
    <t>B01377</t>
  </si>
  <si>
    <t>B01378</t>
  </si>
  <si>
    <t>0.1214019599027592</t>
  </si>
  <si>
    <t>B01379</t>
  </si>
  <si>
    <t>C0480</t>
  </si>
  <si>
    <t>0.10063278909302006</t>
  </si>
  <si>
    <t>B01380</t>
  </si>
  <si>
    <t>0.1719622278622307</t>
  </si>
  <si>
    <t>B01381</t>
  </si>
  <si>
    <t>B01382</t>
  </si>
  <si>
    <t>C0481</t>
  </si>
  <si>
    <t>0.12227001282363974</t>
  </si>
  <si>
    <t>B01383</t>
  </si>
  <si>
    <t>B01384</t>
  </si>
  <si>
    <t>C0482</t>
  </si>
  <si>
    <t>0.11393744454627237</t>
  </si>
  <si>
    <t>B01385</t>
  </si>
  <si>
    <t>C0483</t>
  </si>
  <si>
    <t>B01386</t>
  </si>
  <si>
    <t>B01387</t>
  </si>
  <si>
    <t>B01388</t>
  </si>
  <si>
    <t>B01389</t>
  </si>
  <si>
    <t>C0484</t>
  </si>
  <si>
    <t>B01390</t>
  </si>
  <si>
    <t>C0485</t>
  </si>
  <si>
    <t>0.11986437209586079</t>
  </si>
  <si>
    <t>B01391</t>
  </si>
  <si>
    <t>B01392</t>
  </si>
  <si>
    <t>C0486</t>
  </si>
  <si>
    <t>0.14490338648668882</t>
  </si>
  <si>
    <t>B01393</t>
  </si>
  <si>
    <t>C0487</t>
  </si>
  <si>
    <t>0.13512606007036915</t>
  </si>
  <si>
    <t>B01394</t>
  </si>
  <si>
    <t>B01395</t>
  </si>
  <si>
    <t>B01396</t>
  </si>
  <si>
    <t>B01397</t>
  </si>
  <si>
    <t>B01398</t>
  </si>
  <si>
    <t>0.10442502812496192</t>
  </si>
  <si>
    <t>B01399</t>
  </si>
  <si>
    <t>C0488</t>
  </si>
  <si>
    <t>0.14109259885766978</t>
  </si>
  <si>
    <t>B01400</t>
  </si>
  <si>
    <t>C0489</t>
  </si>
  <si>
    <t>0.026781291572757715</t>
  </si>
  <si>
    <t>B01401</t>
  </si>
  <si>
    <t>C0490</t>
  </si>
  <si>
    <t>0.13753359569649162</t>
  </si>
  <si>
    <t>B01402</t>
  </si>
  <si>
    <t>B01403</t>
  </si>
  <si>
    <t>B01404</t>
  </si>
  <si>
    <t>B01405</t>
  </si>
  <si>
    <t>0.12962992186934438</t>
  </si>
  <si>
    <t>B01406</t>
  </si>
  <si>
    <t>0.12373610562604001</t>
  </si>
  <si>
    <t>B01407</t>
  </si>
  <si>
    <t>C0491</t>
  </si>
  <si>
    <t>0.12094327257905235</t>
  </si>
  <si>
    <t>B01408</t>
  </si>
  <si>
    <t>C0492</t>
  </si>
  <si>
    <t>B01409</t>
  </si>
  <si>
    <t>0.035631558542410735</t>
  </si>
  <si>
    <t>B01410</t>
  </si>
  <si>
    <t>0.1186749635633951</t>
  </si>
  <si>
    <t>B01411</t>
  </si>
  <si>
    <t>C0493</t>
  </si>
  <si>
    <t>0.1558619761681957</t>
  </si>
  <si>
    <t>B01412</t>
  </si>
  <si>
    <t>0.13229587165958273</t>
  </si>
  <si>
    <t>B01413</t>
  </si>
  <si>
    <t>B01414</t>
  </si>
  <si>
    <t>TP HCM</t>
  </si>
  <si>
    <t>B01415</t>
  </si>
  <si>
    <t>0.15052496588970093</t>
  </si>
  <si>
    <t>B01416</t>
  </si>
  <si>
    <t>0.12298555949267595</t>
  </si>
  <si>
    <t>B01417</t>
  </si>
  <si>
    <t>C0494</t>
  </si>
  <si>
    <t>B01418</t>
  </si>
  <si>
    <t>0.054723460575637255</t>
  </si>
  <si>
    <t>B01419</t>
  </si>
  <si>
    <t>B01420</t>
  </si>
  <si>
    <t>B01421</t>
  </si>
  <si>
    <t>B01422</t>
  </si>
  <si>
    <t>C0495</t>
  </si>
  <si>
    <t>0.1017477653910318</t>
  </si>
  <si>
    <t>B01423</t>
  </si>
  <si>
    <t>B01424</t>
  </si>
  <si>
    <t>0.10002646908233567</t>
  </si>
  <si>
    <t>B01425</t>
  </si>
  <si>
    <t>B01426</t>
  </si>
  <si>
    <t>B01427</t>
  </si>
  <si>
    <t>C0496</t>
  </si>
  <si>
    <t>0.11180581968725714</t>
  </si>
  <si>
    <t>B01428</t>
  </si>
  <si>
    <t>C0497</t>
  </si>
  <si>
    <t>0.10247441015611564</t>
  </si>
  <si>
    <t>B01429</t>
  </si>
  <si>
    <t>0.12930881844215159</t>
  </si>
  <si>
    <t>B01430</t>
  </si>
  <si>
    <t>0.13153304108060104</t>
  </si>
  <si>
    <t>B01431</t>
  </si>
  <si>
    <t>0.1259269091768872</t>
  </si>
  <si>
    <t>B01432</t>
  </si>
  <si>
    <t>0.020311082860872492</t>
  </si>
  <si>
    <t>B01433</t>
  </si>
  <si>
    <t>C0498</t>
  </si>
  <si>
    <t>B01434</t>
  </si>
  <si>
    <t>C0499</t>
  </si>
  <si>
    <t>B01435</t>
  </si>
  <si>
    <t>B01436</t>
  </si>
  <si>
    <t>0.16901728963913742</t>
  </si>
  <si>
    <t>B01437</t>
  </si>
  <si>
    <t>B01438</t>
  </si>
  <si>
    <t>0.021471239073426476</t>
  </si>
  <si>
    <t>B01439</t>
  </si>
  <si>
    <t>C0500</t>
  </si>
  <si>
    <t>0.1203714746809241</t>
  </si>
  <si>
    <t>B01440</t>
  </si>
  <si>
    <t>C0501</t>
  </si>
  <si>
    <t>B01441</t>
  </si>
  <si>
    <t>C0502</t>
  </si>
  <si>
    <t>0.10886319025232821</t>
  </si>
  <si>
    <t>B01442</t>
  </si>
  <si>
    <t>B01443</t>
  </si>
  <si>
    <t>0.10099147180488521</t>
  </si>
  <si>
    <t>B01444</t>
  </si>
  <si>
    <t>C0503</t>
  </si>
  <si>
    <t>0.12094171137698559</t>
  </si>
  <si>
    <t>B01445</t>
  </si>
  <si>
    <t>C0504</t>
  </si>
  <si>
    <t>B01446</t>
  </si>
  <si>
    <t>0.13924548277599588</t>
  </si>
  <si>
    <t>B01447</t>
  </si>
  <si>
    <t>C0505</t>
  </si>
  <si>
    <t>B01448</t>
  </si>
  <si>
    <t>C0506</t>
  </si>
  <si>
    <t>0.010801916299112077</t>
  </si>
  <si>
    <t>B01449</t>
  </si>
  <si>
    <t>C0507</t>
  </si>
  <si>
    <t>B01450</t>
  </si>
  <si>
    <t>0.1421274609481216</t>
  </si>
  <si>
    <t>B01451</t>
  </si>
  <si>
    <t>B01452</t>
  </si>
  <si>
    <t>0.13948790391101018</t>
  </si>
  <si>
    <t>B01453</t>
  </si>
  <si>
    <t>C0508</t>
  </si>
  <si>
    <t>0.032883341630761995</t>
  </si>
  <si>
    <t>B01454</t>
  </si>
  <si>
    <t>0.1176685204704409</t>
  </si>
  <si>
    <t>B01455</t>
  </si>
  <si>
    <t>0.045254702195700505</t>
  </si>
  <si>
    <t>B01456</t>
  </si>
  <si>
    <t>B01457</t>
  </si>
  <si>
    <t>C0509</t>
  </si>
  <si>
    <t>0.17392060801280873</t>
  </si>
  <si>
    <t>B01458</t>
  </si>
  <si>
    <t>B01459</t>
  </si>
  <si>
    <t>C0510</t>
  </si>
  <si>
    <t>0.16673863682925372</t>
  </si>
  <si>
    <t>B01460</t>
  </si>
  <si>
    <t>C0511</t>
  </si>
  <si>
    <t>B01461</t>
  </si>
  <si>
    <t>0.11351221133257067</t>
  </si>
  <si>
    <t>B01462</t>
  </si>
  <si>
    <t>C0512</t>
  </si>
  <si>
    <t>0.16025916197552287</t>
  </si>
  <si>
    <t>B01463</t>
  </si>
  <si>
    <t>C0513</t>
  </si>
  <si>
    <t>0.15158201723680034</t>
  </si>
  <si>
    <t>B01464</t>
  </si>
  <si>
    <t>C0514</t>
  </si>
  <si>
    <t>0.14145835226912118</t>
  </si>
  <si>
    <t>B01465</t>
  </si>
  <si>
    <t>C0515</t>
  </si>
  <si>
    <t>0.016191471425702472</t>
  </si>
  <si>
    <t>B01466</t>
  </si>
  <si>
    <t>0.12848327899209133</t>
  </si>
  <si>
    <t>B01467</t>
  </si>
  <si>
    <t>0.11955842542106243</t>
  </si>
  <si>
    <t>B01468</t>
  </si>
  <si>
    <t>C0516</t>
  </si>
  <si>
    <t>B01469</t>
  </si>
  <si>
    <t>0.11496609063651402</t>
  </si>
  <si>
    <t>B01470</t>
  </si>
  <si>
    <t>B01471</t>
  </si>
  <si>
    <t>C0517</t>
  </si>
  <si>
    <t>0.12932048815187117</t>
  </si>
  <si>
    <t>B01472</t>
  </si>
  <si>
    <t>C0518</t>
  </si>
  <si>
    <t>B01473</t>
  </si>
  <si>
    <t>0.15382725755957055</t>
  </si>
  <si>
    <t>B01474</t>
  </si>
  <si>
    <t>B01475</t>
  </si>
  <si>
    <t>C0519</t>
  </si>
  <si>
    <t>0.1408086868012613</t>
  </si>
  <si>
    <t>B01476</t>
  </si>
  <si>
    <t>B01477</t>
  </si>
  <si>
    <t>C0520</t>
  </si>
  <si>
    <t>B01478</t>
  </si>
  <si>
    <t>C0521</t>
  </si>
  <si>
    <t>B01479</t>
  </si>
  <si>
    <t>C0522</t>
  </si>
  <si>
    <t>B01480</t>
  </si>
  <si>
    <t>C0523</t>
  </si>
  <si>
    <t>B01481</t>
  </si>
  <si>
    <t>B01482</t>
  </si>
  <si>
    <t>0.16759702632825105</t>
  </si>
  <si>
    <t>B01483</t>
  </si>
  <si>
    <t>B01484</t>
  </si>
  <si>
    <t>B01485</t>
  </si>
  <si>
    <t>C0524</t>
  </si>
  <si>
    <t>0.14734216035389017</t>
  </si>
  <si>
    <t>B01486</t>
  </si>
  <si>
    <t>0.13252854208857232</t>
  </si>
  <si>
    <t>B01487</t>
  </si>
  <si>
    <t>0.10983114114459128</t>
  </si>
  <si>
    <t>B01488</t>
  </si>
  <si>
    <t>C0525</t>
  </si>
  <si>
    <t>B01489</t>
  </si>
  <si>
    <t>B01490</t>
  </si>
  <si>
    <t>B01491</t>
  </si>
  <si>
    <t>0.10441888332431841</t>
  </si>
  <si>
    <t>B01492</t>
  </si>
  <si>
    <t>C0526</t>
  </si>
  <si>
    <t>0.15674433004062413</t>
  </si>
  <si>
    <t>B01493</t>
  </si>
  <si>
    <t>B01494</t>
  </si>
  <si>
    <t>B01495</t>
  </si>
  <si>
    <t>0.15284073872306844</t>
  </si>
  <si>
    <t>B01496</t>
  </si>
  <si>
    <t>C0527</t>
  </si>
  <si>
    <t>B01497</t>
  </si>
  <si>
    <t>0.15035539108349588</t>
  </si>
  <si>
    <t>B01498</t>
  </si>
  <si>
    <t>B01499</t>
  </si>
  <si>
    <t>C0528</t>
  </si>
  <si>
    <t>0.10511104772204939</t>
  </si>
  <si>
    <t>B01500</t>
  </si>
  <si>
    <t>0.1480049835862754</t>
  </si>
  <si>
    <t>B01501</t>
  </si>
  <si>
    <t>C0529</t>
  </si>
  <si>
    <t>0.13479613295791673</t>
  </si>
  <si>
    <t>B01502</t>
  </si>
  <si>
    <t>0.1446855361634261</t>
  </si>
  <si>
    <t>B01503</t>
  </si>
  <si>
    <t>0.13357776333488294</t>
  </si>
  <si>
    <t>B01504</t>
  </si>
  <si>
    <t>C0530</t>
  </si>
  <si>
    <t>0.16408318690933005</t>
  </si>
  <si>
    <t>B01505</t>
  </si>
  <si>
    <t>C0531</t>
  </si>
  <si>
    <t>B01506</t>
  </si>
  <si>
    <t>0.10626901733494144</t>
  </si>
  <si>
    <t>B01507</t>
  </si>
  <si>
    <t>0.11155181543377704</t>
  </si>
  <si>
    <t>B01508</t>
  </si>
  <si>
    <t>C0532</t>
  </si>
  <si>
    <t>B01509</t>
  </si>
  <si>
    <t>0.1732606525688984</t>
  </si>
  <si>
    <t>B01510</t>
  </si>
  <si>
    <t>C0533</t>
  </si>
  <si>
    <t>B01511</t>
  </si>
  <si>
    <t>0.11145660893495146</t>
  </si>
  <si>
    <t>B01512</t>
  </si>
  <si>
    <t>C0534</t>
  </si>
  <si>
    <t>0.1275725527003441</t>
  </si>
  <si>
    <t>B01513</t>
  </si>
  <si>
    <t>B01514</t>
  </si>
  <si>
    <t>0.10810116041384844</t>
  </si>
  <si>
    <t>B01515</t>
  </si>
  <si>
    <t>B01516</t>
  </si>
  <si>
    <t>B01517</t>
  </si>
  <si>
    <t>0.10033017637762744</t>
  </si>
  <si>
    <t>B01518</t>
  </si>
  <si>
    <t>B01519</t>
  </si>
  <si>
    <t>C0535</t>
  </si>
  <si>
    <t>B01520</t>
  </si>
  <si>
    <t>B01521</t>
  </si>
  <si>
    <t>0.1241800406742858</t>
  </si>
  <si>
    <t>B01522</t>
  </si>
  <si>
    <t>0.1538904722182139</t>
  </si>
  <si>
    <t>B01523</t>
  </si>
  <si>
    <t>0.21449240142336568</t>
  </si>
  <si>
    <t>B01524</t>
  </si>
  <si>
    <t>B01525</t>
  </si>
  <si>
    <t>B01526</t>
  </si>
  <si>
    <t>0.10839079734641884</t>
  </si>
  <si>
    <t>B01527</t>
  </si>
  <si>
    <t>B01528</t>
  </si>
  <si>
    <t>C0536</t>
  </si>
  <si>
    <t>B01529</t>
  </si>
  <si>
    <t>B01530</t>
  </si>
  <si>
    <t>B01531</t>
  </si>
  <si>
    <t>C0537</t>
  </si>
  <si>
    <t>B01532</t>
  </si>
  <si>
    <t>0.1050876404446573</t>
  </si>
  <si>
    <t>B01533</t>
  </si>
  <si>
    <t>0.14688478805237312</t>
  </si>
  <si>
    <t>B01534</t>
  </si>
  <si>
    <t>0.10382573419097983</t>
  </si>
  <si>
    <t>B01535</t>
  </si>
  <si>
    <t>C0538</t>
  </si>
  <si>
    <t>0.14079493584793257</t>
  </si>
  <si>
    <t>B01536</t>
  </si>
  <si>
    <t>B01537</t>
  </si>
  <si>
    <t>B01538</t>
  </si>
  <si>
    <t>0.1017571579372286</t>
  </si>
  <si>
    <t>B01539</t>
  </si>
  <si>
    <t>C0539</t>
  </si>
  <si>
    <t>B01540</t>
  </si>
  <si>
    <t>B01541</t>
  </si>
  <si>
    <t>B01542</t>
  </si>
  <si>
    <t>C0540</t>
  </si>
  <si>
    <t>B01543</t>
  </si>
  <si>
    <t>B01544</t>
  </si>
  <si>
    <t>B01545</t>
  </si>
  <si>
    <t>B01546</t>
  </si>
  <si>
    <t>C0541</t>
  </si>
  <si>
    <t>B01547</t>
  </si>
  <si>
    <t>0.10943837196897307</t>
  </si>
  <si>
    <t>B01548</t>
  </si>
  <si>
    <t>B01549</t>
  </si>
  <si>
    <t>0.12822399514556726</t>
  </si>
  <si>
    <t>B01550</t>
  </si>
  <si>
    <t>0.16151335957606894</t>
  </si>
  <si>
    <t>B01551</t>
  </si>
  <si>
    <t>B01552</t>
  </si>
  <si>
    <t>0.1733284527712398</t>
  </si>
  <si>
    <t>B01553</t>
  </si>
  <si>
    <t>C0542</t>
  </si>
  <si>
    <t>B01554</t>
  </si>
  <si>
    <t>C0543</t>
  </si>
  <si>
    <t>0.1524334931544693</t>
  </si>
  <si>
    <t>B01555</t>
  </si>
  <si>
    <t>C0544</t>
  </si>
  <si>
    <t>0.13959205107761893</t>
  </si>
  <si>
    <t>B01556</t>
  </si>
  <si>
    <t>B01557</t>
  </si>
  <si>
    <t>C0545</t>
  </si>
  <si>
    <t>0.16262669559784326</t>
  </si>
  <si>
    <t>B01558</t>
  </si>
  <si>
    <t>C0546</t>
  </si>
  <si>
    <t>B01559</t>
  </si>
  <si>
    <t>C0547</t>
  </si>
  <si>
    <t>0.14274115792799308</t>
  </si>
  <si>
    <t>B01560</t>
  </si>
  <si>
    <t>0.050849701184642125</t>
  </si>
  <si>
    <t>B01561</t>
  </si>
  <si>
    <t>C0548</t>
  </si>
  <si>
    <t>B01562</t>
  </si>
  <si>
    <t>B01563</t>
  </si>
  <si>
    <t>B01564</t>
  </si>
  <si>
    <t>B01565</t>
  </si>
  <si>
    <t>C0549</t>
  </si>
  <si>
    <t>0.12676168634924975</t>
  </si>
  <si>
    <t>B01566</t>
  </si>
  <si>
    <t>C0550</t>
  </si>
  <si>
    <t>B01567</t>
  </si>
  <si>
    <t>C0551</t>
  </si>
  <si>
    <t>B01568</t>
  </si>
  <si>
    <t>B01569</t>
  </si>
  <si>
    <t>0.11688524112584028</t>
  </si>
  <si>
    <t>B01570</t>
  </si>
  <si>
    <t>0.17358969724136197</t>
  </si>
  <si>
    <t>B01571</t>
  </si>
  <si>
    <t>B01572</t>
  </si>
  <si>
    <t>C0552</t>
  </si>
  <si>
    <t>B01573</t>
  </si>
  <si>
    <t>B01574</t>
  </si>
  <si>
    <t>B01575</t>
  </si>
  <si>
    <t>0.11577993633536754</t>
  </si>
  <si>
    <t>B01576</t>
  </si>
  <si>
    <t>0.11024868984301633</t>
  </si>
  <si>
    <t>B01577</t>
  </si>
  <si>
    <t>0.11275092888695465</t>
  </si>
  <si>
    <t>B01578</t>
  </si>
  <si>
    <t>0.13551494933809421</t>
  </si>
  <si>
    <t>B01579</t>
  </si>
  <si>
    <t>B01580</t>
  </si>
  <si>
    <t>B01581</t>
  </si>
  <si>
    <t>0.11441537833784764</t>
  </si>
  <si>
    <t>B01582</t>
  </si>
  <si>
    <t>0.15188122252674582</t>
  </si>
  <si>
    <t>B01583</t>
  </si>
  <si>
    <t>0.11424944701712421</t>
  </si>
  <si>
    <t>B01584</t>
  </si>
  <si>
    <t>C0553</t>
  </si>
  <si>
    <t>B01585</t>
  </si>
  <si>
    <t>C0554</t>
  </si>
  <si>
    <t>B01586</t>
  </si>
  <si>
    <t>0.047542328334066436</t>
  </si>
  <si>
    <t>B01587</t>
  </si>
  <si>
    <t>0.11071256088620303</t>
  </si>
  <si>
    <t>B01588</t>
  </si>
  <si>
    <t>B01589</t>
  </si>
  <si>
    <t>B01590</t>
  </si>
  <si>
    <t>0.032662307917944555</t>
  </si>
  <si>
    <t>B01591</t>
  </si>
  <si>
    <t>C0555</t>
  </si>
  <si>
    <t>0.14998584845141366</t>
  </si>
  <si>
    <t>B01592</t>
  </si>
  <si>
    <t>B01593</t>
  </si>
  <si>
    <t>B01594</t>
  </si>
  <si>
    <t>0.1099564562504031</t>
  </si>
  <si>
    <t>B01595</t>
  </si>
  <si>
    <t>0.13453457881367475</t>
  </si>
  <si>
    <t>B01596</t>
  </si>
  <si>
    <t>B01597</t>
  </si>
  <si>
    <t>C0556</t>
  </si>
  <si>
    <t>0.12697123288620837</t>
  </si>
  <si>
    <t>B01598</t>
  </si>
  <si>
    <t>B01599</t>
  </si>
  <si>
    <t>B01600</t>
  </si>
  <si>
    <t>C0557</t>
  </si>
  <si>
    <t>0.15323652335118942</t>
  </si>
  <si>
    <t>B01601</t>
  </si>
  <si>
    <t>0.1014734296759599</t>
  </si>
  <si>
    <t>B01602</t>
  </si>
  <si>
    <t>0.1388427177376453</t>
  </si>
  <si>
    <t>B01603</t>
  </si>
  <si>
    <t>B01604</t>
  </si>
  <si>
    <t>0.11881992703904473</t>
  </si>
  <si>
    <t>B01605</t>
  </si>
  <si>
    <t>C0558</t>
  </si>
  <si>
    <t>B01606</t>
  </si>
  <si>
    <t>0.10802763286997794</t>
  </si>
  <si>
    <t>B01607</t>
  </si>
  <si>
    <t>0.10844487080319037</t>
  </si>
  <si>
    <t>B01608</t>
  </si>
  <si>
    <t>0.12621546588929333</t>
  </si>
  <si>
    <t>B01609</t>
  </si>
  <si>
    <t>B01610</t>
  </si>
  <si>
    <t>C0559</t>
  </si>
  <si>
    <t>B01611</t>
  </si>
  <si>
    <t>0.030824211116581873</t>
  </si>
  <si>
    <t>B01612</t>
  </si>
  <si>
    <t>0.1552973738549939</t>
  </si>
  <si>
    <t>B01613</t>
  </si>
  <si>
    <t>0.15762619161958838</t>
  </si>
  <si>
    <t>B01614</t>
  </si>
  <si>
    <t>B01615</t>
  </si>
  <si>
    <t>B01616</t>
  </si>
  <si>
    <t>C0560</t>
  </si>
  <si>
    <t>B01617</t>
  </si>
  <si>
    <t>0.10340855519133114</t>
  </si>
  <si>
    <t>B01618</t>
  </si>
  <si>
    <t>C0561</t>
  </si>
  <si>
    <t>0.13717554580691865</t>
  </si>
  <si>
    <t>B01619</t>
  </si>
  <si>
    <t>B01620</t>
  </si>
  <si>
    <t>C0562</t>
  </si>
  <si>
    <t>0.1227459580939616</t>
  </si>
  <si>
    <t>B01621</t>
  </si>
  <si>
    <t>0.015392588821447797</t>
  </si>
  <si>
    <t>B01622</t>
  </si>
  <si>
    <t>C0563</t>
  </si>
  <si>
    <t>B01623</t>
  </si>
  <si>
    <t>C0564</t>
  </si>
  <si>
    <t>0.10442189100382948</t>
  </si>
  <si>
    <t>B01624</t>
  </si>
  <si>
    <t>0.10450638155755645</t>
  </si>
  <si>
    <t>B01625</t>
  </si>
  <si>
    <t>B01626</t>
  </si>
  <si>
    <t>B01627</t>
  </si>
  <si>
    <t>B01628</t>
  </si>
  <si>
    <t>0.11977122205614184</t>
  </si>
  <si>
    <t>B01629</t>
  </si>
  <si>
    <t>B01630</t>
  </si>
  <si>
    <t>B01631</t>
  </si>
  <si>
    <t>0.1092235948431636</t>
  </si>
  <si>
    <t>B01632</t>
  </si>
  <si>
    <t>B01633</t>
  </si>
  <si>
    <t>0.2184890452327748</t>
  </si>
  <si>
    <t>B01634</t>
  </si>
  <si>
    <t>C0565</t>
  </si>
  <si>
    <t>0.058558663693185846</t>
  </si>
  <si>
    <t>B01635</t>
  </si>
  <si>
    <t>B01636</t>
  </si>
  <si>
    <t>C0566</t>
  </si>
  <si>
    <t>0.14909352120564984</t>
  </si>
  <si>
    <t>B01637</t>
  </si>
  <si>
    <t>B01638</t>
  </si>
  <si>
    <t>0.14268773035887422</t>
  </si>
  <si>
    <t>B01639</t>
  </si>
  <si>
    <t>B01640</t>
  </si>
  <si>
    <t>C0567</t>
  </si>
  <si>
    <t>0.011020884942415918</t>
  </si>
  <si>
    <t>B01641</t>
  </si>
  <si>
    <t>0.12107337656107262</t>
  </si>
  <si>
    <t>B01642</t>
  </si>
  <si>
    <t>0.058066270270785036</t>
  </si>
  <si>
    <t>B01643</t>
  </si>
  <si>
    <t>B01644</t>
  </si>
  <si>
    <t>C0568</t>
  </si>
  <si>
    <t>0.11532544317831178</t>
  </si>
  <si>
    <t>B01645</t>
  </si>
  <si>
    <t>B01646</t>
  </si>
  <si>
    <t>B01647</t>
  </si>
  <si>
    <t>C0569</t>
  </si>
  <si>
    <t>0.10718780544987336</t>
  </si>
  <si>
    <t>B01648</t>
  </si>
  <si>
    <t>B01649</t>
  </si>
  <si>
    <t>C0570</t>
  </si>
  <si>
    <t>B01650</t>
  </si>
  <si>
    <t>B01651</t>
  </si>
  <si>
    <t>C0571</t>
  </si>
  <si>
    <t>0.058375611635130636</t>
  </si>
  <si>
    <t>B01652</t>
  </si>
  <si>
    <t>0.11633161635497087</t>
  </si>
  <si>
    <t>B01653</t>
  </si>
  <si>
    <t>B01654</t>
  </si>
  <si>
    <t>B01655</t>
  </si>
  <si>
    <t>C0572</t>
  </si>
  <si>
    <t>0.14958038563506593</t>
  </si>
  <si>
    <t>B01656</t>
  </si>
  <si>
    <t>0.13236992312349033</t>
  </si>
  <si>
    <t>B01657</t>
  </si>
  <si>
    <t>C0573</t>
  </si>
  <si>
    <t>0.14482895388721642</t>
  </si>
  <si>
    <t>B01658</t>
  </si>
  <si>
    <t>C0574</t>
  </si>
  <si>
    <t>0.1716904427666338</t>
  </si>
  <si>
    <t>B01659</t>
  </si>
  <si>
    <t>C0575</t>
  </si>
  <si>
    <t>0.10387716729251567</t>
  </si>
  <si>
    <t>B01660</t>
  </si>
  <si>
    <t>C0576</t>
  </si>
  <si>
    <t>0.045275618610992815</t>
  </si>
  <si>
    <t>B01661</t>
  </si>
  <si>
    <t>0.1285509427442621</t>
  </si>
  <si>
    <t>B01662</t>
  </si>
  <si>
    <t>C0577</t>
  </si>
  <si>
    <t>B01663</t>
  </si>
  <si>
    <t>C0578</t>
  </si>
  <si>
    <t>0.10779273592306557</t>
  </si>
  <si>
    <t>B01664</t>
  </si>
  <si>
    <t>B01665</t>
  </si>
  <si>
    <t>C0579</t>
  </si>
  <si>
    <t>B01666</t>
  </si>
  <si>
    <t>0.15625002965773782</t>
  </si>
  <si>
    <t>B01667</t>
  </si>
  <si>
    <t>0.10270060540188326</t>
  </si>
  <si>
    <t>B01668</t>
  </si>
  <si>
    <t>C0580</t>
  </si>
  <si>
    <t>0.11517220692430902</t>
  </si>
  <si>
    <t>B01669</t>
  </si>
  <si>
    <t>B01670</t>
  </si>
  <si>
    <t>B01671</t>
  </si>
  <si>
    <t>0.14969314157693736</t>
  </si>
  <si>
    <t>B01672</t>
  </si>
  <si>
    <t>C0581</t>
  </si>
  <si>
    <t>0.11656874830006995</t>
  </si>
  <si>
    <t>B01673</t>
  </si>
  <si>
    <t>C0582</t>
  </si>
  <si>
    <t>0.15690268680751818</t>
  </si>
  <si>
    <t>B01674</t>
  </si>
  <si>
    <t>B01675</t>
  </si>
  <si>
    <t>B01676</t>
  </si>
  <si>
    <t>0.026452028446048867</t>
  </si>
  <si>
    <t>B01677</t>
  </si>
  <si>
    <t>0.11367121549128661</t>
  </si>
  <si>
    <t>B01678</t>
  </si>
  <si>
    <t>C0583</t>
  </si>
  <si>
    <t>B01679</t>
  </si>
  <si>
    <t>C0584</t>
  </si>
  <si>
    <t>B01680</t>
  </si>
  <si>
    <t>C0585</t>
  </si>
  <si>
    <t>0.11174711746133653</t>
  </si>
  <si>
    <t>B01681</t>
  </si>
  <si>
    <t>C0586</t>
  </si>
  <si>
    <t>0.1314915009190164</t>
  </si>
  <si>
    <t>B01682</t>
  </si>
  <si>
    <t>B01683</t>
  </si>
  <si>
    <t>B01684</t>
  </si>
  <si>
    <t>0.12556533978406487</t>
  </si>
  <si>
    <t>B01685</t>
  </si>
  <si>
    <t>0.10816137492438217</t>
  </si>
  <si>
    <t>B01686</t>
  </si>
  <si>
    <t>0.16910855578452422</t>
  </si>
  <si>
    <t>B01687</t>
  </si>
  <si>
    <t>B01688</t>
  </si>
  <si>
    <t>B01689</t>
  </si>
  <si>
    <t>B01690</t>
  </si>
  <si>
    <t>0.12471960994099754</t>
  </si>
  <si>
    <t>B01691</t>
  </si>
  <si>
    <t>C0587</t>
  </si>
  <si>
    <t>B01692</t>
  </si>
  <si>
    <t>B01693</t>
  </si>
  <si>
    <t>B01694</t>
  </si>
  <si>
    <t>B01695</t>
  </si>
  <si>
    <t>0.10441192535023934</t>
  </si>
  <si>
    <t>B01696</t>
  </si>
  <si>
    <t>C0588</t>
  </si>
  <si>
    <t>0.1186729337737277</t>
  </si>
  <si>
    <t>B01697</t>
  </si>
  <si>
    <t>C0589</t>
  </si>
  <si>
    <t>0.20566363143569696</t>
  </si>
  <si>
    <t>B01698</t>
  </si>
  <si>
    <t>C0590</t>
  </si>
  <si>
    <t>B01699</t>
  </si>
  <si>
    <t>B01700</t>
  </si>
  <si>
    <t>C0591</t>
  </si>
  <si>
    <t>0.10554915284777737</t>
  </si>
  <si>
    <t>B01701</t>
  </si>
  <si>
    <t>B01702</t>
  </si>
  <si>
    <t>C0592</t>
  </si>
  <si>
    <t>B01703</t>
  </si>
  <si>
    <t>B01704</t>
  </si>
  <si>
    <t>B01705</t>
  </si>
  <si>
    <t>B01706</t>
  </si>
  <si>
    <t>0.11043750526263163</t>
  </si>
  <si>
    <t>B01707</t>
  </si>
  <si>
    <t>C0593</t>
  </si>
  <si>
    <t>0.11188179749054583</t>
  </si>
  <si>
    <t>B01708</t>
  </si>
  <si>
    <t>C0594</t>
  </si>
  <si>
    <t>B01709</t>
  </si>
  <si>
    <t>0.13639044709101747</t>
  </si>
  <si>
    <t>B01710</t>
  </si>
  <si>
    <t>B01711</t>
  </si>
  <si>
    <t>B01712</t>
  </si>
  <si>
    <t>0.10790036621972389</t>
  </si>
  <si>
    <t>B01713</t>
  </si>
  <si>
    <t>B01714</t>
  </si>
  <si>
    <t>B01715</t>
  </si>
  <si>
    <t>C0595</t>
  </si>
  <si>
    <t>0.11425103294969931</t>
  </si>
  <si>
    <t>B01716</t>
  </si>
  <si>
    <t>0.16707493917560795</t>
  </si>
  <si>
    <t>B01717</t>
  </si>
  <si>
    <t>C0596</t>
  </si>
  <si>
    <t>0.11979408952583652</t>
  </si>
  <si>
    <t>B01718</t>
  </si>
  <si>
    <t>C0597</t>
  </si>
  <si>
    <t>0.12534756192227386</t>
  </si>
  <si>
    <t>B01719</t>
  </si>
  <si>
    <t>B01720</t>
  </si>
  <si>
    <t>0.15755694705507445</t>
  </si>
  <si>
    <t>B01721</t>
  </si>
  <si>
    <t>0.1075127031806557</t>
  </si>
  <si>
    <t>B01722</t>
  </si>
  <si>
    <t>C0598</t>
  </si>
  <si>
    <t>0.12075907789975919</t>
  </si>
  <si>
    <t>B01723</t>
  </si>
  <si>
    <t>C0599</t>
  </si>
  <si>
    <t>0.11147217363676662</t>
  </si>
  <si>
    <t>B01724</t>
  </si>
  <si>
    <t>C0600</t>
  </si>
  <si>
    <t>B01725</t>
  </si>
  <si>
    <t>C0601</t>
  </si>
  <si>
    <t>0.14829496731849814</t>
  </si>
  <si>
    <t>B01726</t>
  </si>
  <si>
    <t>0.10089409198676944</t>
  </si>
  <si>
    <t>B01727</t>
  </si>
  <si>
    <t>0.1083852302025882</t>
  </si>
  <si>
    <t>B01728</t>
  </si>
  <si>
    <t>0.16719930511208014</t>
  </si>
  <si>
    <t>B01729</t>
  </si>
  <si>
    <t>B01730</t>
  </si>
  <si>
    <t>B01731</t>
  </si>
  <si>
    <t>B01732</t>
  </si>
  <si>
    <t>0.13929992687996437</t>
  </si>
  <si>
    <t>B01733</t>
  </si>
  <si>
    <t>B01734</t>
  </si>
  <si>
    <t>B01735</t>
  </si>
  <si>
    <t>0.13837480661794566</t>
  </si>
  <si>
    <t>B01736</t>
  </si>
  <si>
    <t>C0602</t>
  </si>
  <si>
    <t>B01737</t>
  </si>
  <si>
    <t>B01738</t>
  </si>
  <si>
    <t>B01739</t>
  </si>
  <si>
    <t>0.10094016115824718</t>
  </si>
  <si>
    <t>B01740</t>
  </si>
  <si>
    <t>0.1197746401140376</t>
  </si>
  <si>
    <t>B01741</t>
  </si>
  <si>
    <t>0.061836873412452156</t>
  </si>
  <si>
    <t>B01742</t>
  </si>
  <si>
    <t>0.12229112667325504</t>
  </si>
  <si>
    <t>B01743</t>
  </si>
  <si>
    <t>0.1486299842368656</t>
  </si>
  <si>
    <t>B01744</t>
  </si>
  <si>
    <t>0.1955816230729443</t>
  </si>
  <si>
    <t>B01745</t>
  </si>
  <si>
    <t>0.14718333315804233</t>
  </si>
  <si>
    <t>B01746</t>
  </si>
  <si>
    <t>B01747</t>
  </si>
  <si>
    <t>0.11358876155603496</t>
  </si>
  <si>
    <t>B01748</t>
  </si>
  <si>
    <t>0.1779551486527126</t>
  </si>
  <si>
    <t>B01749</t>
  </si>
  <si>
    <t>B01750</t>
  </si>
  <si>
    <t>C0603</t>
  </si>
  <si>
    <t>B01751</t>
  </si>
  <si>
    <t>0.10077122711040733</t>
  </si>
  <si>
    <t>B01752</t>
  </si>
  <si>
    <t>C0604</t>
  </si>
  <si>
    <t>HA NOI</t>
  </si>
  <si>
    <t>0.15633968622625513</t>
  </si>
  <si>
    <t>B01753</t>
  </si>
  <si>
    <t>0.10408382878680619</t>
  </si>
  <si>
    <t>B01754</t>
  </si>
  <si>
    <t>0.055924513802977416</t>
  </si>
  <si>
    <t>B01755</t>
  </si>
  <si>
    <t>0.11831086947661439</t>
  </si>
  <si>
    <t>B01756</t>
  </si>
  <si>
    <t>C0605</t>
  </si>
  <si>
    <t>B01757</t>
  </si>
  <si>
    <t>0.014587945148528153</t>
  </si>
  <si>
    <t>B01758</t>
  </si>
  <si>
    <t>B01759</t>
  </si>
  <si>
    <t>0.13945879112230106</t>
  </si>
  <si>
    <t>B01760</t>
  </si>
  <si>
    <t>0.10799202055372505</t>
  </si>
  <si>
    <t>B01761</t>
  </si>
  <si>
    <t>C0606</t>
  </si>
  <si>
    <t>0.1485550585152085</t>
  </si>
  <si>
    <t>B01762</t>
  </si>
  <si>
    <t>C0607</t>
  </si>
  <si>
    <t>0.1041264783052563</t>
  </si>
  <si>
    <t>B01763</t>
  </si>
  <si>
    <t>B01764</t>
  </si>
  <si>
    <t>C0608</t>
  </si>
  <si>
    <t>0.12130408487032604</t>
  </si>
  <si>
    <t>B01765</t>
  </si>
  <si>
    <t>B01766</t>
  </si>
  <si>
    <t>C0609</t>
  </si>
  <si>
    <t>B01767</t>
  </si>
  <si>
    <t>0.029857685758340857</t>
  </si>
  <si>
    <t>B01768</t>
  </si>
  <si>
    <t>0.14911763945201365</t>
  </si>
  <si>
    <t>B01769</t>
  </si>
  <si>
    <t>0.038873253983132364</t>
  </si>
  <si>
    <t>B01770</t>
  </si>
  <si>
    <t>0.10617469485173135</t>
  </si>
  <si>
    <t>B01771</t>
  </si>
  <si>
    <t>B01772</t>
  </si>
  <si>
    <t>0.041561375276592205</t>
  </si>
  <si>
    <t>B01773</t>
  </si>
  <si>
    <t>0.11784704939628811</t>
  </si>
  <si>
    <t>B01774</t>
  </si>
  <si>
    <t>C0610</t>
  </si>
  <si>
    <t>0.1667628597233705</t>
  </si>
  <si>
    <t>B01775</t>
  </si>
  <si>
    <t>0.11522832028050878</t>
  </si>
  <si>
    <t>B01776</t>
  </si>
  <si>
    <t>0.13170766519152716</t>
  </si>
  <si>
    <t>B01777</t>
  </si>
  <si>
    <t>C0611</t>
  </si>
  <si>
    <t>B01778</t>
  </si>
  <si>
    <t>C0612</t>
  </si>
  <si>
    <t>0.12302051115542786</t>
  </si>
  <si>
    <t>B01779</t>
  </si>
  <si>
    <t>C0613</t>
  </si>
  <si>
    <t>0.11141277484342868</t>
  </si>
  <si>
    <t>B01780</t>
  </si>
  <si>
    <t>B01781</t>
  </si>
  <si>
    <t>B01782</t>
  </si>
  <si>
    <t>C0614</t>
  </si>
  <si>
    <t>0.11659211956668214</t>
  </si>
  <si>
    <t>B01783</t>
  </si>
  <si>
    <t>C0615</t>
  </si>
  <si>
    <t>B01784</t>
  </si>
  <si>
    <t>C0616</t>
  </si>
  <si>
    <t>B01785</t>
  </si>
  <si>
    <t>C0617</t>
  </si>
  <si>
    <t>0.10042958451177153</t>
  </si>
  <si>
    <t>B01786</t>
  </si>
  <si>
    <t>B01787</t>
  </si>
  <si>
    <t>0.12962132947265068</t>
  </si>
  <si>
    <t>B01788</t>
  </si>
  <si>
    <t>0.1344791221167932</t>
  </si>
  <si>
    <t>B01789</t>
  </si>
  <si>
    <t>B01790</t>
  </si>
  <si>
    <t>0.1649807967082237</t>
  </si>
  <si>
    <t>B01791</t>
  </si>
  <si>
    <t>0.12096171984814132</t>
  </si>
  <si>
    <t>B01792</t>
  </si>
  <si>
    <t>C0618</t>
  </si>
  <si>
    <t>B01793</t>
  </si>
  <si>
    <t>B01794</t>
  </si>
  <si>
    <t>B01795</t>
  </si>
  <si>
    <t>C0619</t>
  </si>
  <si>
    <t>0.1317416988418152</t>
  </si>
  <si>
    <t>B01796</t>
  </si>
  <si>
    <t>B01797</t>
  </si>
  <si>
    <t>B01798</t>
  </si>
  <si>
    <t>B01799</t>
  </si>
  <si>
    <t>B01800</t>
  </si>
  <si>
    <t>C0620</t>
  </si>
  <si>
    <t>B01801</t>
  </si>
  <si>
    <t>0.12105187010101472</t>
  </si>
  <si>
    <t>B01802</t>
  </si>
  <si>
    <t>B01803</t>
  </si>
  <si>
    <t>B01804</t>
  </si>
  <si>
    <t>B01805</t>
  </si>
  <si>
    <t>0.12757069921396108</t>
  </si>
  <si>
    <t>B01806</t>
  </si>
  <si>
    <t>C0621</t>
  </si>
  <si>
    <t>B01807</t>
  </si>
  <si>
    <t>C0622</t>
  </si>
  <si>
    <t>0.10499266953746254</t>
  </si>
  <si>
    <t>B01808</t>
  </si>
  <si>
    <t>0.1420358549168551</t>
  </si>
  <si>
    <t>B01809</t>
  </si>
  <si>
    <t>C0623</t>
  </si>
  <si>
    <t>0.10588861591686793</t>
  </si>
  <si>
    <t>B01810</t>
  </si>
  <si>
    <t>B01811</t>
  </si>
  <si>
    <t>C0624</t>
  </si>
  <si>
    <t>0.1187013232406994</t>
  </si>
  <si>
    <t>B01812</t>
  </si>
  <si>
    <t>0.12391486702836152</t>
  </si>
  <si>
    <t>B01813</t>
  </si>
  <si>
    <t>C0625</t>
  </si>
  <si>
    <t>0.13640144615204478</t>
  </si>
  <si>
    <t>B01814</t>
  </si>
  <si>
    <t>B01815</t>
  </si>
  <si>
    <t>0.056297219947374834</t>
  </si>
  <si>
    <t>B01816</t>
  </si>
  <si>
    <t>0.12775707089365784</t>
  </si>
  <si>
    <t>B01817</t>
  </si>
  <si>
    <t>0.1372111331334115</t>
  </si>
  <si>
    <t>B01818</t>
  </si>
  <si>
    <t>0.14681629303269317</t>
  </si>
  <si>
    <t>B01819</t>
  </si>
  <si>
    <t>B01820</t>
  </si>
  <si>
    <t>0.10193340513348155</t>
  </si>
  <si>
    <t>B01821</t>
  </si>
  <si>
    <t>C0626</t>
  </si>
  <si>
    <t>0.10098188261588681</t>
  </si>
  <si>
    <t>B01822</t>
  </si>
  <si>
    <t>B01823</t>
  </si>
  <si>
    <t>0.11769816824889769</t>
  </si>
  <si>
    <t>B01824</t>
  </si>
  <si>
    <t>C0627</t>
  </si>
  <si>
    <t>0.11185936689473344</t>
  </si>
  <si>
    <t>B01825</t>
  </si>
  <si>
    <t>C0628</t>
  </si>
  <si>
    <t>0.013316708046529763</t>
  </si>
  <si>
    <t>B01826</t>
  </si>
  <si>
    <t>B01827</t>
  </si>
  <si>
    <t>B01828</t>
  </si>
  <si>
    <t>C0629</t>
  </si>
  <si>
    <t>B01829</t>
  </si>
  <si>
    <t>B01830</t>
  </si>
  <si>
    <t>B01831</t>
  </si>
  <si>
    <t>C0630</t>
  </si>
  <si>
    <t>B01832</t>
  </si>
  <si>
    <t>C0631</t>
  </si>
  <si>
    <t>0.13319126771642073</t>
  </si>
  <si>
    <t>B01833</t>
  </si>
  <si>
    <t>C0632</t>
  </si>
  <si>
    <t>0.017625420898197713</t>
  </si>
  <si>
    <t>B01834</t>
  </si>
  <si>
    <t>C0633</t>
  </si>
  <si>
    <t>0.1640843673067539</t>
  </si>
  <si>
    <t>B01835</t>
  </si>
  <si>
    <t>C0634</t>
  </si>
  <si>
    <t>0.1599392138296885</t>
  </si>
  <si>
    <t>B01836</t>
  </si>
  <si>
    <t>0.15171388052538923</t>
  </si>
  <si>
    <t>B01837</t>
  </si>
  <si>
    <t>C0635</t>
  </si>
  <si>
    <t>B01838</t>
  </si>
  <si>
    <t>C0636</t>
  </si>
  <si>
    <t>B01839</t>
  </si>
  <si>
    <t>B01840</t>
  </si>
  <si>
    <t>0.12002100073767115</t>
  </si>
  <si>
    <t>B01841</t>
  </si>
  <si>
    <t>0.1060703845121339</t>
  </si>
  <si>
    <t>B01842</t>
  </si>
  <si>
    <t>B01843</t>
  </si>
  <si>
    <t>B01844</t>
  </si>
  <si>
    <t>0.026166606738432782</t>
  </si>
  <si>
    <t>B01845</t>
  </si>
  <si>
    <t>C0637</t>
  </si>
  <si>
    <t>B01846</t>
  </si>
  <si>
    <t>B01847</t>
  </si>
  <si>
    <t>0.040539153659216405</t>
  </si>
  <si>
    <t>B01848</t>
  </si>
  <si>
    <t>B01849</t>
  </si>
  <si>
    <t>C0638</t>
  </si>
  <si>
    <t>0.16542309748250628</t>
  </si>
  <si>
    <t>B01850</t>
  </si>
  <si>
    <t>C0639</t>
  </si>
  <si>
    <t>B01851</t>
  </si>
  <si>
    <t>B01852</t>
  </si>
  <si>
    <t>C0640</t>
  </si>
  <si>
    <t>0.14131946520228847</t>
  </si>
  <si>
    <t>B01853</t>
  </si>
  <si>
    <t>0.11540220178003413</t>
  </si>
  <si>
    <t>B01854</t>
  </si>
  <si>
    <t>B01855</t>
  </si>
  <si>
    <t>C0641</t>
  </si>
  <si>
    <t>0.13606014866705934</t>
  </si>
  <si>
    <t>B01856</t>
  </si>
  <si>
    <t>0.038789899071537765</t>
  </si>
  <si>
    <t>B01857</t>
  </si>
  <si>
    <t>B01858</t>
  </si>
  <si>
    <t>B01859</t>
  </si>
  <si>
    <t>B01860</t>
  </si>
  <si>
    <t>0.18168327533881035</t>
  </si>
  <si>
    <t>B01861</t>
  </si>
  <si>
    <t>B01862</t>
  </si>
  <si>
    <t>C0642</t>
  </si>
  <si>
    <t>0.1892277482701749</t>
  </si>
  <si>
    <t>B01863</t>
  </si>
  <si>
    <t>0.10740472561230752</t>
  </si>
  <si>
    <t>B01864</t>
  </si>
  <si>
    <t>C0643</t>
  </si>
  <si>
    <t>0.14732018758372115</t>
  </si>
  <si>
    <t>B01865</t>
  </si>
  <si>
    <t>B01866</t>
  </si>
  <si>
    <t>B01867</t>
  </si>
  <si>
    <t>C0644</t>
  </si>
  <si>
    <t>B01868</t>
  </si>
  <si>
    <t>C0645</t>
  </si>
  <si>
    <t>B01869</t>
  </si>
  <si>
    <t>0.11651984110123524</t>
  </si>
  <si>
    <t>B01870</t>
  </si>
  <si>
    <t>0.16299668583299454</t>
  </si>
  <si>
    <t>B01871</t>
  </si>
  <si>
    <t>C0646</t>
  </si>
  <si>
    <t>B01872</t>
  </si>
  <si>
    <t>0.1513724979327856</t>
  </si>
  <si>
    <t>B01873</t>
  </si>
  <si>
    <t>C0647</t>
  </si>
  <si>
    <t>B01874</t>
  </si>
  <si>
    <t>0.10009992380001506</t>
  </si>
  <si>
    <t>B01875</t>
  </si>
  <si>
    <t>C0648</t>
  </si>
  <si>
    <t>0.12863232577233094</t>
  </si>
  <si>
    <t>B01876</t>
  </si>
  <si>
    <t>C0649</t>
  </si>
  <si>
    <t>0.12934542894991824</t>
  </si>
  <si>
    <t>B01877</t>
  </si>
  <si>
    <t>0.16317548251945208</t>
  </si>
  <si>
    <t>B01878</t>
  </si>
  <si>
    <t>B01879</t>
  </si>
  <si>
    <t>0.1272479959920558</t>
  </si>
  <si>
    <t>B01880</t>
  </si>
  <si>
    <t>0.1292546347155773</t>
  </si>
  <si>
    <t>B01881</t>
  </si>
  <si>
    <t>B01882</t>
  </si>
  <si>
    <t>B01883</t>
  </si>
  <si>
    <t>0.12780605521626445</t>
  </si>
  <si>
    <t>B01884</t>
  </si>
  <si>
    <t>0.1088042496172742</t>
  </si>
  <si>
    <t>B01885</t>
  </si>
  <si>
    <t>C0650</t>
  </si>
  <si>
    <t>B01886</t>
  </si>
  <si>
    <t>B01887</t>
  </si>
  <si>
    <t>0.11657207126914658</t>
  </si>
  <si>
    <t>B01888</t>
  </si>
  <si>
    <t>B01889</t>
  </si>
  <si>
    <t>C0651</t>
  </si>
  <si>
    <t>0.10772018714954555</t>
  </si>
  <si>
    <t>B01890</t>
  </si>
  <si>
    <t>0.1344155778917186</t>
  </si>
  <si>
    <t>B01891</t>
  </si>
  <si>
    <t>C0652</t>
  </si>
  <si>
    <t>0.10059946464392469</t>
  </si>
  <si>
    <t>B01892</t>
  </si>
  <si>
    <t>B01893</t>
  </si>
  <si>
    <t>0.17155755752227952</t>
  </si>
  <si>
    <t>B01894</t>
  </si>
  <si>
    <t>B01895</t>
  </si>
  <si>
    <t>C0653</t>
  </si>
  <si>
    <t>B01896</t>
  </si>
  <si>
    <t>0.1657217044347205</t>
  </si>
  <si>
    <t>B01897</t>
  </si>
  <si>
    <t>0.11552592817103972</t>
  </si>
  <si>
    <t>B01898</t>
  </si>
  <si>
    <t>C0654</t>
  </si>
  <si>
    <t>B01899</t>
  </si>
  <si>
    <t>0.14505445135383221</t>
  </si>
  <si>
    <t>B01900</t>
  </si>
  <si>
    <t>0.13831933966440035</t>
  </si>
  <si>
    <t>B01901</t>
  </si>
  <si>
    <t>B01902</t>
  </si>
  <si>
    <t>C0655</t>
  </si>
  <si>
    <t>B01903</t>
  </si>
  <si>
    <t>B01904</t>
  </si>
  <si>
    <t>0.16977480288611918</t>
  </si>
  <si>
    <t>B01905</t>
  </si>
  <si>
    <t>C0656</t>
  </si>
  <si>
    <t>0.11888991310649759</t>
  </si>
  <si>
    <t>B01906</t>
  </si>
  <si>
    <t>C0657</t>
  </si>
  <si>
    <t>0.045046062034659454</t>
  </si>
  <si>
    <t>B01907</t>
  </si>
  <si>
    <t>0.16817818556107278</t>
  </si>
  <si>
    <t>B01908</t>
  </si>
  <si>
    <t>B01909</t>
  </si>
  <si>
    <t>B01910</t>
  </si>
  <si>
    <t>C0658</t>
  </si>
  <si>
    <t>B01911</t>
  </si>
  <si>
    <t>0.1022332295411735</t>
  </si>
  <si>
    <t>B01912</t>
  </si>
  <si>
    <t>C0659</t>
  </si>
  <si>
    <t>0.12130024396620567</t>
  </si>
  <si>
    <t>B01913</t>
  </si>
  <si>
    <t>B01914</t>
  </si>
  <si>
    <t>0.17039727533497293</t>
  </si>
  <si>
    <t>B01915</t>
  </si>
  <si>
    <t>C0660</t>
  </si>
  <si>
    <t>B01916</t>
  </si>
  <si>
    <t>0.021926803820687152</t>
  </si>
  <si>
    <t>B01917</t>
  </si>
  <si>
    <t>C0661</t>
  </si>
  <si>
    <t>0.021282482244805043</t>
  </si>
  <si>
    <t>B01918</t>
  </si>
  <si>
    <t>0.11294736411856575</t>
  </si>
  <si>
    <t>B01919</t>
  </si>
  <si>
    <t>B01920</t>
  </si>
  <si>
    <t>B01921</t>
  </si>
  <si>
    <t>C0662</t>
  </si>
  <si>
    <t>B01922</t>
  </si>
  <si>
    <t>0.10714019611255184</t>
  </si>
  <si>
    <t>B01923</t>
  </si>
  <si>
    <t>B01924</t>
  </si>
  <si>
    <t>0.13230188593908807</t>
  </si>
  <si>
    <t>B01925</t>
  </si>
  <si>
    <t>0.15344711665618976</t>
  </si>
  <si>
    <t>B01926</t>
  </si>
  <si>
    <t>0.17190049858714979</t>
  </si>
  <si>
    <t>B01927</t>
  </si>
  <si>
    <t>C0663</t>
  </si>
  <si>
    <t>B01928</t>
  </si>
  <si>
    <t>0.11521167303543338</t>
  </si>
  <si>
    <t>B01929</t>
  </si>
  <si>
    <t>C0664</t>
  </si>
  <si>
    <t>0.11051272363452694</t>
  </si>
  <si>
    <t>B01930</t>
  </si>
  <si>
    <t>0.1253738959859264</t>
  </si>
  <si>
    <t>B01931</t>
  </si>
  <si>
    <t>0.11968947907907895</t>
  </si>
  <si>
    <t>B01932</t>
  </si>
  <si>
    <t>C0665</t>
  </si>
  <si>
    <t>B01933</t>
  </si>
  <si>
    <t>0.1720221425893224</t>
  </si>
  <si>
    <t>B01934</t>
  </si>
  <si>
    <t>C0666</t>
  </si>
  <si>
    <t>B01935</t>
  </si>
  <si>
    <t>C0667</t>
  </si>
  <si>
    <t>0.1307585176816599</t>
  </si>
  <si>
    <t>B01936</t>
  </si>
  <si>
    <t>C0668</t>
  </si>
  <si>
    <t>B01937</t>
  </si>
  <si>
    <t>B01938</t>
  </si>
  <si>
    <t>B01939</t>
  </si>
  <si>
    <t>B01940</t>
  </si>
  <si>
    <t>0.041761044419584864</t>
  </si>
  <si>
    <t>B01941</t>
  </si>
  <si>
    <t>0.14623166384604772</t>
  </si>
  <si>
    <t>B01942</t>
  </si>
  <si>
    <t>C0669</t>
  </si>
  <si>
    <t>B01943</t>
  </si>
  <si>
    <t>0.10495023523377699</t>
  </si>
  <si>
    <t>B01944</t>
  </si>
  <si>
    <t>0.1402643606598761</t>
  </si>
  <si>
    <t>B01945</t>
  </si>
  <si>
    <t>0.11277050119270338</t>
  </si>
  <si>
    <t>B01946</t>
  </si>
  <si>
    <t>C0670</t>
  </si>
  <si>
    <t>0.12576391942089923</t>
  </si>
  <si>
    <t>B01947</t>
  </si>
  <si>
    <t>C0671</t>
  </si>
  <si>
    <t>0.027537222777853365</t>
  </si>
  <si>
    <t>B01948</t>
  </si>
  <si>
    <t>B01949</t>
  </si>
  <si>
    <t>C0672</t>
  </si>
  <si>
    <t>B01950</t>
  </si>
  <si>
    <t>C0673</t>
  </si>
  <si>
    <t>B01951</t>
  </si>
  <si>
    <t>0.13818424679644237</t>
  </si>
  <si>
    <t>B01952</t>
  </si>
  <si>
    <t>C0674</t>
  </si>
  <si>
    <t>B01953</t>
  </si>
  <si>
    <t>0.15851758300458232</t>
  </si>
  <si>
    <t>B01954</t>
  </si>
  <si>
    <t>0.1369553940040547</t>
  </si>
  <si>
    <t>B01955</t>
  </si>
  <si>
    <t>B01956</t>
  </si>
  <si>
    <t>0.14507950940050238</t>
  </si>
  <si>
    <t>B01957</t>
  </si>
  <si>
    <t>B01958</t>
  </si>
  <si>
    <t>B01959</t>
  </si>
  <si>
    <t>0.12630410224529923</t>
  </si>
  <si>
    <t>B01960</t>
  </si>
  <si>
    <t>C0675</t>
  </si>
  <si>
    <t>B01961</t>
  </si>
  <si>
    <t>B01962</t>
  </si>
  <si>
    <t>0.13249785665155114</t>
  </si>
  <si>
    <t>B01963</t>
  </si>
  <si>
    <t>B01964</t>
  </si>
  <si>
    <t>0.10045992669620142</t>
  </si>
  <si>
    <t>B01965</t>
  </si>
  <si>
    <t>B01966</t>
  </si>
  <si>
    <t>0.11732301595009567</t>
  </si>
  <si>
    <t>B01967</t>
  </si>
  <si>
    <t>0.13018075335186774</t>
  </si>
  <si>
    <t>B01968</t>
  </si>
  <si>
    <t>B01969</t>
  </si>
  <si>
    <t>C0676</t>
  </si>
  <si>
    <t>B01970</t>
  </si>
  <si>
    <t>0.14267345599971232</t>
  </si>
  <si>
    <t>B01971</t>
  </si>
  <si>
    <t>C0677</t>
  </si>
  <si>
    <t>B01972</t>
  </si>
  <si>
    <t>0.13368949979159322</t>
  </si>
  <si>
    <t>B01973</t>
  </si>
  <si>
    <t>C0678</t>
  </si>
  <si>
    <t>0.12311927077932949</t>
  </si>
  <si>
    <t>B01974</t>
  </si>
  <si>
    <t>0.10200426197670691</t>
  </si>
  <si>
    <t>B01975</t>
  </si>
  <si>
    <t>B01976</t>
  </si>
  <si>
    <t>B01977</t>
  </si>
  <si>
    <t>C0679</t>
  </si>
  <si>
    <t>0.16818908074296604</t>
  </si>
  <si>
    <t>B01978</t>
  </si>
  <si>
    <t>B01979</t>
  </si>
  <si>
    <t>0.1406276281389135</t>
  </si>
  <si>
    <t>B01980</t>
  </si>
  <si>
    <t>B01981</t>
  </si>
  <si>
    <t>0.11567131461774813</t>
  </si>
  <si>
    <t>B01982</t>
  </si>
  <si>
    <t>0.13516640451771453</t>
  </si>
  <si>
    <t>B01983</t>
  </si>
  <si>
    <t>0.11323828042348134</t>
  </si>
  <si>
    <t>B01984</t>
  </si>
  <si>
    <t>C0680</t>
  </si>
  <si>
    <t>B01985</t>
  </si>
  <si>
    <t>B01986</t>
  </si>
  <si>
    <t>B01987</t>
  </si>
  <si>
    <t>0.013356834062609665</t>
  </si>
  <si>
    <t>B01988</t>
  </si>
  <si>
    <t>0.13327949798856215</t>
  </si>
  <si>
    <t>B01989</t>
  </si>
  <si>
    <t>B01990</t>
  </si>
  <si>
    <t>C0681</t>
  </si>
  <si>
    <t>B01991</t>
  </si>
  <si>
    <t>C0682</t>
  </si>
  <si>
    <t>0.026199737121129288</t>
  </si>
  <si>
    <t>B01992</t>
  </si>
  <si>
    <t>B01993</t>
  </si>
  <si>
    <t>0.17929984727092269</t>
  </si>
  <si>
    <t>B01994</t>
  </si>
  <si>
    <t>C0683</t>
  </si>
  <si>
    <t>B01995</t>
  </si>
  <si>
    <t>0.10880999303830205</t>
  </si>
  <si>
    <t>B01996</t>
  </si>
  <si>
    <t>0.11351672249156976</t>
  </si>
  <si>
    <t>B01997</t>
  </si>
  <si>
    <t>C0684</t>
  </si>
  <si>
    <t>0.10912205950358696</t>
  </si>
  <si>
    <t>B01998</t>
  </si>
  <si>
    <t>0.14106922531606075</t>
  </si>
  <si>
    <t>B01999</t>
  </si>
  <si>
    <t>C0685</t>
  </si>
  <si>
    <t>B02000</t>
  </si>
  <si>
    <t>C0686</t>
  </si>
  <si>
    <t>0.10136108617563966</t>
  </si>
  <si>
    <t>B02001</t>
  </si>
  <si>
    <t>C0687</t>
  </si>
  <si>
    <t>0.050905798697664914</t>
  </si>
  <si>
    <t>B02002</t>
  </si>
  <si>
    <t>0.038305961298497455</t>
  </si>
  <si>
    <t>B02003</t>
  </si>
  <si>
    <t>C0688</t>
  </si>
  <si>
    <t>B02004</t>
  </si>
  <si>
    <t>0.16984835534164466</t>
  </si>
  <si>
    <t>B02005</t>
  </si>
  <si>
    <t>B02006</t>
  </si>
  <si>
    <t>B02007</t>
  </si>
  <si>
    <t>C0689</t>
  </si>
  <si>
    <t>0.10908371230753439</t>
  </si>
  <si>
    <t>B02008</t>
  </si>
  <si>
    <t>C0690</t>
  </si>
  <si>
    <t>B02009</t>
  </si>
  <si>
    <t>B02010</t>
  </si>
  <si>
    <t>0.11658881243140433</t>
  </si>
  <si>
    <t>B02011</t>
  </si>
  <si>
    <t>C0691</t>
  </si>
  <si>
    <t>0.10557744392366666</t>
  </si>
  <si>
    <t>B02012</t>
  </si>
  <si>
    <t>B02013</t>
  </si>
  <si>
    <t>C0692</t>
  </si>
  <si>
    <t>0.17388162402432894</t>
  </si>
  <si>
    <t>B02014</t>
  </si>
  <si>
    <t>0.12418313805189264</t>
  </si>
  <si>
    <t>B02015</t>
  </si>
  <si>
    <t>C0693</t>
  </si>
  <si>
    <t>B02016</t>
  </si>
  <si>
    <t>C0694</t>
  </si>
  <si>
    <t>B02017</t>
  </si>
  <si>
    <t>B02018</t>
  </si>
  <si>
    <t>B02019</t>
  </si>
  <si>
    <t>B02020</t>
  </si>
  <si>
    <t>B02021</t>
  </si>
  <si>
    <t>B02022</t>
  </si>
  <si>
    <t>0.11098269964600985</t>
  </si>
  <si>
    <t>B02023</t>
  </si>
  <si>
    <t>0.1266508236109173</t>
  </si>
  <si>
    <t>B02024</t>
  </si>
  <si>
    <t>C0695</t>
  </si>
  <si>
    <t>0.054178930988450426</t>
  </si>
  <si>
    <t>B02025</t>
  </si>
  <si>
    <t>0.13672134294094515</t>
  </si>
  <si>
    <t>B02026</t>
  </si>
  <si>
    <t>C0696</t>
  </si>
  <si>
    <t>0.11801643393771209</t>
  </si>
  <si>
    <t>B02027</t>
  </si>
  <si>
    <t>0.10649670094725777</t>
  </si>
  <si>
    <t>B02028</t>
  </si>
  <si>
    <t>B02029</t>
  </si>
  <si>
    <t>C0697</t>
  </si>
  <si>
    <t>0.13601447402409414</t>
  </si>
  <si>
    <t>B02030</t>
  </si>
  <si>
    <t>0.11569634606367381</t>
  </si>
  <si>
    <t>B02031</t>
  </si>
  <si>
    <t>B02032</t>
  </si>
  <si>
    <t>C0698</t>
  </si>
  <si>
    <t>0.17824341401875354</t>
  </si>
  <si>
    <t>B02033</t>
  </si>
  <si>
    <t>0.13763508007781533</t>
  </si>
  <si>
    <t>B02034</t>
  </si>
  <si>
    <t>0.046679199463172366</t>
  </si>
  <si>
    <t>B02035</t>
  </si>
  <si>
    <t>C0699</t>
  </si>
  <si>
    <t>0.13008982272060465</t>
  </si>
  <si>
    <t>B02036</t>
  </si>
  <si>
    <t>0.10476041106687771</t>
  </si>
  <si>
    <t>B02037</t>
  </si>
  <si>
    <t>C0700</t>
  </si>
  <si>
    <t>B02038</t>
  </si>
  <si>
    <t>0.1369772559623883</t>
  </si>
  <si>
    <t>B02039</t>
  </si>
  <si>
    <t>C0701</t>
  </si>
  <si>
    <t>B02040</t>
  </si>
  <si>
    <t>B02041</t>
  </si>
  <si>
    <t>C0702</t>
  </si>
  <si>
    <t>0.10636073970010913</t>
  </si>
  <si>
    <t>B02042</t>
  </si>
  <si>
    <t>0.13659446996085572</t>
  </si>
  <si>
    <t>B02043</t>
  </si>
  <si>
    <t>0.13682350465512733</t>
  </si>
  <si>
    <t>B02044</t>
  </si>
  <si>
    <t>C0703</t>
  </si>
  <si>
    <t>B02045</t>
  </si>
  <si>
    <t>C0704</t>
  </si>
  <si>
    <t>B02046</t>
  </si>
  <si>
    <t>B02047</t>
  </si>
  <si>
    <t>C0705</t>
  </si>
  <si>
    <t>0.15051451744548708</t>
  </si>
  <si>
    <t>B02048</t>
  </si>
  <si>
    <t>B02049</t>
  </si>
  <si>
    <t>C0706</t>
  </si>
  <si>
    <t>B02050</t>
  </si>
  <si>
    <t>0.12174318320948578</t>
  </si>
  <si>
    <t>B02051</t>
  </si>
  <si>
    <t>C0707</t>
  </si>
  <si>
    <t>0.10478865599754476</t>
  </si>
  <si>
    <t>B02052</t>
  </si>
  <si>
    <t>C0708</t>
  </si>
  <si>
    <t>0.20007965402708838</t>
  </si>
  <si>
    <t>B02053</t>
  </si>
  <si>
    <t>0.12307420885586795</t>
  </si>
  <si>
    <t>B02054</t>
  </si>
  <si>
    <t>C0709</t>
  </si>
  <si>
    <t>B02055</t>
  </si>
  <si>
    <t>B02056</t>
  </si>
  <si>
    <t>0.18400886173098724</t>
  </si>
  <si>
    <t>B02057</t>
  </si>
  <si>
    <t>0.1412238401432982</t>
  </si>
  <si>
    <t>B02058</t>
  </si>
  <si>
    <t>0.11281063878798463</t>
  </si>
  <si>
    <t>B02059</t>
  </si>
  <si>
    <t>B02060</t>
  </si>
  <si>
    <t>C0710</t>
  </si>
  <si>
    <t>0.13437977986318705</t>
  </si>
  <si>
    <t>B02061</t>
  </si>
  <si>
    <t>C0711</t>
  </si>
  <si>
    <t>B02062</t>
  </si>
  <si>
    <t>C0712</t>
  </si>
  <si>
    <t>B02063</t>
  </si>
  <si>
    <t>0.11718842179733954</t>
  </si>
  <si>
    <t>B02064</t>
  </si>
  <si>
    <t>B02065</t>
  </si>
  <si>
    <t>C0713</t>
  </si>
  <si>
    <t>0.11659066158679768</t>
  </si>
  <si>
    <t>B02066</t>
  </si>
  <si>
    <t>C0714</t>
  </si>
  <si>
    <t>B02067</t>
  </si>
  <si>
    <t>B02068</t>
  </si>
  <si>
    <t>C0715</t>
  </si>
  <si>
    <t>B02069</t>
  </si>
  <si>
    <t>0.10463640195573785</t>
  </si>
  <si>
    <t>B02070</t>
  </si>
  <si>
    <t>B02071</t>
  </si>
  <si>
    <t>0.10630177437540739</t>
  </si>
  <si>
    <t>B02072</t>
  </si>
  <si>
    <t>0.10959379664065069</t>
  </si>
  <si>
    <t>B02073</t>
  </si>
  <si>
    <t>0.15926869931185877</t>
  </si>
  <si>
    <t>B02074</t>
  </si>
  <si>
    <t>0.11871544795900199</t>
  </si>
  <si>
    <t>B02075</t>
  </si>
  <si>
    <t>0.14615300962585498</t>
  </si>
  <si>
    <t>B02076</t>
  </si>
  <si>
    <t>0.11005835646120604</t>
  </si>
  <si>
    <t>B02077</t>
  </si>
  <si>
    <t>B02078</t>
  </si>
  <si>
    <t>B02079</t>
  </si>
  <si>
    <t>B02080</t>
  </si>
  <si>
    <t>B02081</t>
  </si>
  <si>
    <t>C0716</t>
  </si>
  <si>
    <t>0.10219141383208391</t>
  </si>
  <si>
    <t>B02082</t>
  </si>
  <si>
    <t>C0717</t>
  </si>
  <si>
    <t>B02083</t>
  </si>
  <si>
    <t>B02084</t>
  </si>
  <si>
    <t>0.10869780463963358</t>
  </si>
  <si>
    <t>B02085</t>
  </si>
  <si>
    <t>C0718</t>
  </si>
  <si>
    <t>B02086</t>
  </si>
  <si>
    <t>0.12431292322766574</t>
  </si>
  <si>
    <t>B02087</t>
  </si>
  <si>
    <t>C0719</t>
  </si>
  <si>
    <t>B02088</t>
  </si>
  <si>
    <t>C0720</t>
  </si>
  <si>
    <t>B02089</t>
  </si>
  <si>
    <t>0.13535878232636228</t>
  </si>
  <si>
    <t>B02090</t>
  </si>
  <si>
    <t>0.14857537528989548</t>
  </si>
  <si>
    <t>B02091</t>
  </si>
  <si>
    <t>B02092</t>
  </si>
  <si>
    <t>0.035435024773332574</t>
  </si>
  <si>
    <t>B02093</t>
  </si>
  <si>
    <t>B02094</t>
  </si>
  <si>
    <t>0.15238678027087205</t>
  </si>
  <si>
    <t>B02095</t>
  </si>
  <si>
    <t>0.011652926691371607</t>
  </si>
  <si>
    <t>B02096</t>
  </si>
  <si>
    <t>C0721</t>
  </si>
  <si>
    <t>B02097</t>
  </si>
  <si>
    <t>C0722</t>
  </si>
  <si>
    <t>0.029191919929262233</t>
  </si>
  <si>
    <t>B02098</t>
  </si>
  <si>
    <t>0.047148271888507426</t>
  </si>
  <si>
    <t>B02099</t>
  </si>
  <si>
    <t>B02100</t>
  </si>
  <si>
    <t>C0723</t>
  </si>
  <si>
    <t>0.12720352401765433</t>
  </si>
  <si>
    <t>B02101</t>
  </si>
  <si>
    <t>C0724</t>
  </si>
  <si>
    <t>0.026177249331443386</t>
  </si>
  <si>
    <t>B02102</t>
  </si>
  <si>
    <t>B02103</t>
  </si>
  <si>
    <t>0.1044688993408054</t>
  </si>
  <si>
    <t>B02104</t>
  </si>
  <si>
    <t>0.1120122347979342</t>
  </si>
  <si>
    <t>B02105</t>
  </si>
  <si>
    <t>0.1327106322672867</t>
  </si>
  <si>
    <t>B02106</t>
  </si>
  <si>
    <t>C0725</t>
  </si>
  <si>
    <t>0.10639470225346602</t>
  </si>
  <si>
    <t>B02107</t>
  </si>
  <si>
    <t>0.12494149700011206</t>
  </si>
  <si>
    <t>B02108</t>
  </si>
  <si>
    <t>0.059597748473727244</t>
  </si>
  <si>
    <t>B02109</t>
  </si>
  <si>
    <t>C0726</t>
  </si>
  <si>
    <t>B02110</t>
  </si>
  <si>
    <t>B02111</t>
  </si>
  <si>
    <t>C0727</t>
  </si>
  <si>
    <t>0.13316961358028712</t>
  </si>
  <si>
    <t>B02112</t>
  </si>
  <si>
    <t>C0728</t>
  </si>
  <si>
    <t>0.10826176887426303</t>
  </si>
  <si>
    <t>B02113</t>
  </si>
  <si>
    <t>C0729</t>
  </si>
  <si>
    <t>B02114</t>
  </si>
  <si>
    <t>B02115</t>
  </si>
  <si>
    <t>0.14548459172545436</t>
  </si>
  <si>
    <t>B02116</t>
  </si>
  <si>
    <t>0.12719323663167922</t>
  </si>
  <si>
    <t>B02117</t>
  </si>
  <si>
    <t>0.13263299865222133</t>
  </si>
  <si>
    <t>B02118</t>
  </si>
  <si>
    <t>0.1266006676372483</t>
  </si>
  <si>
    <t>B02119</t>
  </si>
  <si>
    <t>C0730</t>
  </si>
  <si>
    <t>0.10981610197912821</t>
  </si>
  <si>
    <t>B02120</t>
  </si>
  <si>
    <t>0.1754679843803611</t>
  </si>
  <si>
    <t>B02121</t>
  </si>
  <si>
    <t>B02122</t>
  </si>
  <si>
    <t>0.11746304542208341</t>
  </si>
  <si>
    <t>B02123</t>
  </si>
  <si>
    <t>C0731</t>
  </si>
  <si>
    <t>B02124</t>
  </si>
  <si>
    <t>C0732</t>
  </si>
  <si>
    <t>B02125</t>
  </si>
  <si>
    <t>0.16254775528698168</t>
  </si>
  <si>
    <t>B02126</t>
  </si>
  <si>
    <t>0.12969855946031547</t>
  </si>
  <si>
    <t>B02127</t>
  </si>
  <si>
    <t>DA NANG</t>
  </si>
  <si>
    <t>0.052882615232163484</t>
  </si>
  <si>
    <t>B02128</t>
  </si>
  <si>
    <t>B02129</t>
  </si>
  <si>
    <t>0.19986238254322622</t>
  </si>
  <si>
    <t>B02130</t>
  </si>
  <si>
    <t>0.16745482550430174</t>
  </si>
  <si>
    <t>B02131</t>
  </si>
  <si>
    <t>0.12074240212375481</t>
  </si>
  <si>
    <t>B02132</t>
  </si>
  <si>
    <t>B02133</t>
  </si>
  <si>
    <t>0.11417285222538658</t>
  </si>
  <si>
    <t>B02134</t>
  </si>
  <si>
    <t>B02135</t>
  </si>
  <si>
    <t>0.10698258219850261</t>
  </si>
  <si>
    <t>B02136</t>
  </si>
  <si>
    <t>0.13704432481178389</t>
  </si>
  <si>
    <t>B02137</t>
  </si>
  <si>
    <t>C0733</t>
  </si>
  <si>
    <t>B02138</t>
  </si>
  <si>
    <t>B02139</t>
  </si>
  <si>
    <t>C0734</t>
  </si>
  <si>
    <t>B02140</t>
  </si>
  <si>
    <t>C0735</t>
  </si>
  <si>
    <t>0.16917529755405414</t>
  </si>
  <si>
    <t>B02141</t>
  </si>
  <si>
    <t>B02142</t>
  </si>
  <si>
    <t>0.1706421220554185</t>
  </si>
  <si>
    <t>B02143</t>
  </si>
  <si>
    <t>0.10798928426959403</t>
  </si>
  <si>
    <t>B02144</t>
  </si>
  <si>
    <t>Ha Noi</t>
  </si>
  <si>
    <t>B02145</t>
  </si>
  <si>
    <t>0.14329905100457926</t>
  </si>
  <si>
    <t>B02146</t>
  </si>
  <si>
    <t>B02147</t>
  </si>
  <si>
    <t>0.1306468939936293</t>
  </si>
  <si>
    <t>B02148</t>
  </si>
  <si>
    <t>C0736</t>
  </si>
  <si>
    <t>0.11014530535422426</t>
  </si>
  <si>
    <t>B02149</t>
  </si>
  <si>
    <t>0.061792806933285926</t>
  </si>
  <si>
    <t>B02150</t>
  </si>
  <si>
    <t>B02151</t>
  </si>
  <si>
    <t>0.14091055997540713</t>
  </si>
  <si>
    <t>B02152</t>
  </si>
  <si>
    <t>0.11939235211418463</t>
  </si>
  <si>
    <t>B02153</t>
  </si>
  <si>
    <t>0.1233248251314546</t>
  </si>
  <si>
    <t>B02154</t>
  </si>
  <si>
    <t>B02155</t>
  </si>
  <si>
    <t>B02156</t>
  </si>
  <si>
    <t>B02157</t>
  </si>
  <si>
    <t>B02158</t>
  </si>
  <si>
    <t>B02159</t>
  </si>
  <si>
    <t>0.14315961410401598</t>
  </si>
  <si>
    <t>B02160</t>
  </si>
  <si>
    <t>0.10449900309433661</t>
  </si>
  <si>
    <t>B02161</t>
  </si>
  <si>
    <t>0.1643059087304094</t>
  </si>
  <si>
    <t>B02162</t>
  </si>
  <si>
    <t>0.10925616519210064</t>
  </si>
  <si>
    <t>B02163</t>
  </si>
  <si>
    <t>0.12895040238230462</t>
  </si>
  <si>
    <t>B02164</t>
  </si>
  <si>
    <t>0.13988730177030853</t>
  </si>
  <si>
    <t>B02165</t>
  </si>
  <si>
    <t>C0737</t>
  </si>
  <si>
    <t>0.19375364372565687</t>
  </si>
  <si>
    <t>B02166</t>
  </si>
  <si>
    <t>B02167</t>
  </si>
  <si>
    <t>B02168</t>
  </si>
  <si>
    <t>0.12241823701570032</t>
  </si>
  <si>
    <t>B02169</t>
  </si>
  <si>
    <t>B02170</t>
  </si>
  <si>
    <t>0.13444682498009483</t>
  </si>
  <si>
    <t>B02171</t>
  </si>
  <si>
    <t>0.10691459489419208</t>
  </si>
  <si>
    <t>B02172</t>
  </si>
  <si>
    <t>0.036546849127191486</t>
  </si>
  <si>
    <t>B02173</t>
  </si>
  <si>
    <t>0.15957708923725636</t>
  </si>
  <si>
    <t>B02174</t>
  </si>
  <si>
    <t>B02175</t>
  </si>
  <si>
    <t>0.13445498527729885</t>
  </si>
  <si>
    <t>B02176</t>
  </si>
  <si>
    <t>0.1496675984511863</t>
  </si>
  <si>
    <t>B02177</t>
  </si>
  <si>
    <t>0.13043644347063615</t>
  </si>
  <si>
    <t>B02178</t>
  </si>
  <si>
    <t>B02179</t>
  </si>
  <si>
    <t>B02180</t>
  </si>
  <si>
    <t>0.11223890109923258</t>
  </si>
  <si>
    <t>B02181</t>
  </si>
  <si>
    <t>B02182</t>
  </si>
  <si>
    <t>0.055729433788988376</t>
  </si>
  <si>
    <t>B02183</t>
  </si>
  <si>
    <t>B02184</t>
  </si>
  <si>
    <t>C0738</t>
  </si>
  <si>
    <t>B02185</t>
  </si>
  <si>
    <t>C0739</t>
  </si>
  <si>
    <t>0.12999826623163532</t>
  </si>
  <si>
    <t>B02186</t>
  </si>
  <si>
    <t>C0740</t>
  </si>
  <si>
    <t>0.15770397989788934</t>
  </si>
  <si>
    <t>B02187</t>
  </si>
  <si>
    <t>0.12670582897715876</t>
  </si>
  <si>
    <t>B02188</t>
  </si>
  <si>
    <t>C0741</t>
  </si>
  <si>
    <t>0.058318076873758784</t>
  </si>
  <si>
    <t>B02189</t>
  </si>
  <si>
    <t>0.10704877256891873</t>
  </si>
  <si>
    <t>B02190</t>
  </si>
  <si>
    <t>B02191</t>
  </si>
  <si>
    <t>B02192</t>
  </si>
  <si>
    <t>0.1266226618126254</t>
  </si>
  <si>
    <t>B02193</t>
  </si>
  <si>
    <t>0.11108113150382198</t>
  </si>
  <si>
    <t>B02194</t>
  </si>
  <si>
    <t>B02195</t>
  </si>
  <si>
    <t>C0742</t>
  </si>
  <si>
    <t>B02196</t>
  </si>
  <si>
    <t>C0743</t>
  </si>
  <si>
    <t>B02197</t>
  </si>
  <si>
    <t>B02198</t>
  </si>
  <si>
    <t>0.13068989941656295</t>
  </si>
  <si>
    <t>B02199</t>
  </si>
  <si>
    <t>C0744</t>
  </si>
  <si>
    <t>B02200</t>
  </si>
  <si>
    <t>C0745</t>
  </si>
  <si>
    <t>B02201</t>
  </si>
  <si>
    <t>0.10922547528921903</t>
  </si>
  <si>
    <t>B02202</t>
  </si>
  <si>
    <t>0.051759556818576184</t>
  </si>
  <si>
    <t>B02203</t>
  </si>
  <si>
    <t>B02204</t>
  </si>
  <si>
    <t>B02205</t>
  </si>
  <si>
    <t>B02206</t>
  </si>
  <si>
    <t>0.033913277953145665</t>
  </si>
  <si>
    <t>B02207</t>
  </si>
  <si>
    <t>B02208</t>
  </si>
  <si>
    <t>0.1409987842554737</t>
  </si>
  <si>
    <t>B02209</t>
  </si>
  <si>
    <t>B02210</t>
  </si>
  <si>
    <t>B02211</t>
  </si>
  <si>
    <t>B02212</t>
  </si>
  <si>
    <t>0.10749897075226857</t>
  </si>
  <si>
    <t>B02213</t>
  </si>
  <si>
    <t>0.023985768954149098</t>
  </si>
  <si>
    <t>B02214</t>
  </si>
  <si>
    <t>0.1120791218070577</t>
  </si>
  <si>
    <t>B02215</t>
  </si>
  <si>
    <t>B02216</t>
  </si>
  <si>
    <t>0.15316715201238007</t>
  </si>
  <si>
    <t>B02217</t>
  </si>
  <si>
    <t>B02218</t>
  </si>
  <si>
    <t>B02219</t>
  </si>
  <si>
    <t>B02220</t>
  </si>
  <si>
    <t>B02221</t>
  </si>
  <si>
    <t>C0746</t>
  </si>
  <si>
    <t>B02222</t>
  </si>
  <si>
    <t>B02223</t>
  </si>
  <si>
    <t>C0747</t>
  </si>
  <si>
    <t>0.10947483109636608</t>
  </si>
  <si>
    <t>B02224</t>
  </si>
  <si>
    <t>B02225</t>
  </si>
  <si>
    <t>B02226</t>
  </si>
  <si>
    <t>0.12569686321266418</t>
  </si>
  <si>
    <t>B02227</t>
  </si>
  <si>
    <t>B02228</t>
  </si>
  <si>
    <t>B02229</t>
  </si>
  <si>
    <t>0.10120991329732924</t>
  </si>
  <si>
    <t>B02230</t>
  </si>
  <si>
    <t>C0748</t>
  </si>
  <si>
    <t>B02231</t>
  </si>
  <si>
    <t>B02232</t>
  </si>
  <si>
    <t>0.1428634439822077</t>
  </si>
  <si>
    <t>B02233</t>
  </si>
  <si>
    <t>0.1223209939059097</t>
  </si>
  <si>
    <t>B02234</t>
  </si>
  <si>
    <t>B02235</t>
  </si>
  <si>
    <t>0.14142224583395818</t>
  </si>
  <si>
    <t>B02236</t>
  </si>
  <si>
    <t>0.039983437187693344</t>
  </si>
  <si>
    <t>B02237</t>
  </si>
  <si>
    <t>C0749</t>
  </si>
  <si>
    <t>0.12497693562678137</t>
  </si>
  <si>
    <t>B02238</t>
  </si>
  <si>
    <t>C0750</t>
  </si>
  <si>
    <t>B02239</t>
  </si>
  <si>
    <t>0.12106857725928248</t>
  </si>
  <si>
    <t>B02240</t>
  </si>
  <si>
    <t>B02241</t>
  </si>
  <si>
    <t>0.14132717028410807</t>
  </si>
  <si>
    <t>B02242</t>
  </si>
  <si>
    <t>C0751</t>
  </si>
  <si>
    <t>B02243</t>
  </si>
  <si>
    <t>C0752</t>
  </si>
  <si>
    <t>B02244</t>
  </si>
  <si>
    <t>B02245</t>
  </si>
  <si>
    <t>B02246</t>
  </si>
  <si>
    <t>C0753</t>
  </si>
  <si>
    <t>B02247</t>
  </si>
  <si>
    <t>B02248</t>
  </si>
  <si>
    <t>C0754</t>
  </si>
  <si>
    <t>0.11779065303264116</t>
  </si>
  <si>
    <t>B02249</t>
  </si>
  <si>
    <t>0.12360821671152551</t>
  </si>
  <si>
    <t>B02250</t>
  </si>
  <si>
    <t>0.1377503028575505</t>
  </si>
  <si>
    <t>B02251</t>
  </si>
  <si>
    <t>C0755</t>
  </si>
  <si>
    <t>0.1556090060516827</t>
  </si>
  <si>
    <t>B02252</t>
  </si>
  <si>
    <t>0.16293989976083023</t>
  </si>
  <si>
    <t>B02253</t>
  </si>
  <si>
    <t>B02254</t>
  </si>
  <si>
    <t>B02255</t>
  </si>
  <si>
    <t>C0756</t>
  </si>
  <si>
    <t>0.10071514467304923</t>
  </si>
  <si>
    <t>B02256</t>
  </si>
  <si>
    <t>0.014216097307539116</t>
  </si>
  <si>
    <t>B02257</t>
  </si>
  <si>
    <t>C0757</t>
  </si>
  <si>
    <t>B02258</t>
  </si>
  <si>
    <t>C0758</t>
  </si>
  <si>
    <t>B02259</t>
  </si>
  <si>
    <t>C0759</t>
  </si>
  <si>
    <t>B02260</t>
  </si>
  <si>
    <t>0.1354253452009731</t>
  </si>
  <si>
    <t>B02261</t>
  </si>
  <si>
    <t>0.15877027466388974</t>
  </si>
  <si>
    <t>B02262</t>
  </si>
  <si>
    <t>0.14842738558561255</t>
  </si>
  <si>
    <t>B02263</t>
  </si>
  <si>
    <t>B02264</t>
  </si>
  <si>
    <t>B02265</t>
  </si>
  <si>
    <t>C0760</t>
  </si>
  <si>
    <t>B02266</t>
  </si>
  <si>
    <t>B02267</t>
  </si>
  <si>
    <t>0.11702263939028679</t>
  </si>
  <si>
    <t>B02268</t>
  </si>
  <si>
    <t>B02269</t>
  </si>
  <si>
    <t>C0761</t>
  </si>
  <si>
    <t>B02270</t>
  </si>
  <si>
    <t>0.1746257511499978</t>
  </si>
  <si>
    <t>B02271</t>
  </si>
  <si>
    <t>B02272</t>
  </si>
  <si>
    <t>0.11409888591731134</t>
  </si>
  <si>
    <t>B02273</t>
  </si>
  <si>
    <t>C0762</t>
  </si>
  <si>
    <t>B02274</t>
  </si>
  <si>
    <t>C0763</t>
  </si>
  <si>
    <t>B02275</t>
  </si>
  <si>
    <t>0.17379833526933997</t>
  </si>
  <si>
    <t>B02276</t>
  </si>
  <si>
    <t>C0764</t>
  </si>
  <si>
    <t>B02277</t>
  </si>
  <si>
    <t>B02278</t>
  </si>
  <si>
    <t>B02279</t>
  </si>
  <si>
    <t>C0765</t>
  </si>
  <si>
    <t>B02280</t>
  </si>
  <si>
    <t>C0766</t>
  </si>
  <si>
    <t>0.11934226764327396</t>
  </si>
  <si>
    <t>B02281</t>
  </si>
  <si>
    <t>0.14732591650792715</t>
  </si>
  <si>
    <t>B02282</t>
  </si>
  <si>
    <t>B02283</t>
  </si>
  <si>
    <t>B02284</t>
  </si>
  <si>
    <t>C0767</t>
  </si>
  <si>
    <t>0.10006628904134461</t>
  </si>
  <si>
    <t>B02285</t>
  </si>
  <si>
    <t>B02286</t>
  </si>
  <si>
    <t>B02287</t>
  </si>
  <si>
    <t>0.10928227439015098</t>
  </si>
  <si>
    <t>B02288</t>
  </si>
  <si>
    <t>B02289</t>
  </si>
  <si>
    <t>C0768</t>
  </si>
  <si>
    <t>0.11597110298158744</t>
  </si>
  <si>
    <t>B02290</t>
  </si>
  <si>
    <t>C0769</t>
  </si>
  <si>
    <t>0.046754688880138576</t>
  </si>
  <si>
    <t>B02291</t>
  </si>
  <si>
    <t>0.13254787820088074</t>
  </si>
  <si>
    <t>B02292</t>
  </si>
  <si>
    <t>C0770</t>
  </si>
  <si>
    <t>B02293</t>
  </si>
  <si>
    <t>C0771</t>
  </si>
  <si>
    <t>B02294</t>
  </si>
  <si>
    <t>B02295</t>
  </si>
  <si>
    <t>C0772</t>
  </si>
  <si>
    <t>0.13376552608996856</t>
  </si>
  <si>
    <t>B02296</t>
  </si>
  <si>
    <t>0.13204174655054499</t>
  </si>
  <si>
    <t>B02297</t>
  </si>
  <si>
    <t>B02298</t>
  </si>
  <si>
    <t>B02299</t>
  </si>
  <si>
    <t>C0773</t>
  </si>
  <si>
    <t>B02300</t>
  </si>
  <si>
    <t>C0774</t>
  </si>
  <si>
    <t>0.18199372503067965</t>
  </si>
  <si>
    <t>B02301</t>
  </si>
  <si>
    <t>C0775</t>
  </si>
  <si>
    <t>0.11429591358916304</t>
  </si>
  <si>
    <t>B02302</t>
  </si>
  <si>
    <t>0.13570568234570246</t>
  </si>
  <si>
    <t>B02303</t>
  </si>
  <si>
    <t>0.036179563906791556</t>
  </si>
  <si>
    <t>B02304</t>
  </si>
  <si>
    <t>C0776</t>
  </si>
  <si>
    <t>0.12442355206633104</t>
  </si>
  <si>
    <t>B02305</t>
  </si>
  <si>
    <t>C0777</t>
  </si>
  <si>
    <t>B02306</t>
  </si>
  <si>
    <t>C0778</t>
  </si>
  <si>
    <t>0.10194868852962108</t>
  </si>
  <si>
    <t>B02307</t>
  </si>
  <si>
    <t>B02308</t>
  </si>
  <si>
    <t>B02309</t>
  </si>
  <si>
    <t>B02310</t>
  </si>
  <si>
    <t>C0779</t>
  </si>
  <si>
    <t>0.20366543581375188</t>
  </si>
  <si>
    <t>B02311</t>
  </si>
  <si>
    <t>C0780</t>
  </si>
  <si>
    <t>0.1113599042164779</t>
  </si>
  <si>
    <t>B02312</t>
  </si>
  <si>
    <t>B02313</t>
  </si>
  <si>
    <t>0.12951645269779913</t>
  </si>
  <si>
    <t>B02314</t>
  </si>
  <si>
    <t>0.1821589990401583</t>
  </si>
  <si>
    <t>B02315</t>
  </si>
  <si>
    <t>C0781</t>
  </si>
  <si>
    <t>0.11861897738093274</t>
  </si>
  <si>
    <t>B02316</t>
  </si>
  <si>
    <t>C0782</t>
  </si>
  <si>
    <t>B02317</t>
  </si>
  <si>
    <t>C0783</t>
  </si>
  <si>
    <t>0.12688144365313683</t>
  </si>
  <si>
    <t>B02318</t>
  </si>
  <si>
    <t>0.12705124922089867</t>
  </si>
  <si>
    <t>B02319</t>
  </si>
  <si>
    <t>C0784</t>
  </si>
  <si>
    <t>B02320</t>
  </si>
  <si>
    <t>C0785</t>
  </si>
  <si>
    <t>B02321</t>
  </si>
  <si>
    <t>C0786</t>
  </si>
  <si>
    <t>B02322</t>
  </si>
  <si>
    <t>0.17235086219281676</t>
  </si>
  <si>
    <t>B02323</t>
  </si>
  <si>
    <t>C0787</t>
  </si>
  <si>
    <t>B02324</t>
  </si>
  <si>
    <t>C0788</t>
  </si>
  <si>
    <t>0.1468526098537567</t>
  </si>
  <si>
    <t>B02325</t>
  </si>
  <si>
    <t>C0789</t>
  </si>
  <si>
    <t>B02326</t>
  </si>
  <si>
    <t>B02327</t>
  </si>
  <si>
    <t>B02328</t>
  </si>
  <si>
    <t>0.1498036926647387</t>
  </si>
  <si>
    <t>B02329</t>
  </si>
  <si>
    <t>C0790</t>
  </si>
  <si>
    <t>0.10607722655053867</t>
  </si>
  <si>
    <t>B02330</t>
  </si>
  <si>
    <t>0.13673344761558226</t>
  </si>
  <si>
    <t>B02331</t>
  </si>
  <si>
    <t>B02332</t>
  </si>
  <si>
    <t>C0791</t>
  </si>
  <si>
    <t>B02333</t>
  </si>
  <si>
    <t>0.053398356269768806</t>
  </si>
  <si>
    <t>B02334</t>
  </si>
  <si>
    <t>C0792</t>
  </si>
  <si>
    <t>B02335</t>
  </si>
  <si>
    <t>C0793</t>
  </si>
  <si>
    <t>B02336</t>
  </si>
  <si>
    <t>C0794</t>
  </si>
  <si>
    <t>0.11064257212579881</t>
  </si>
  <si>
    <t>B02337</t>
  </si>
  <si>
    <t>0.1345817547771427</t>
  </si>
  <si>
    <t>B02338</t>
  </si>
  <si>
    <t>0.14337491345581332</t>
  </si>
  <si>
    <t>B02339</t>
  </si>
  <si>
    <t>C0795</t>
  </si>
  <si>
    <t>B02340</t>
  </si>
  <si>
    <t>B02341</t>
  </si>
  <si>
    <t>0.028024314945907042</t>
  </si>
  <si>
    <t>B02342</t>
  </si>
  <si>
    <t>0.1892186316167589</t>
  </si>
  <si>
    <t>B02343</t>
  </si>
  <si>
    <t>B02344</t>
  </si>
  <si>
    <t>C0796</t>
  </si>
  <si>
    <t>0.11722645069816386</t>
  </si>
  <si>
    <t>B02345</t>
  </si>
  <si>
    <t>B02346</t>
  </si>
  <si>
    <t>C0797</t>
  </si>
  <si>
    <t>0.12793945380426047</t>
  </si>
  <si>
    <t>B02347</t>
  </si>
  <si>
    <t>0.15034543293222846</t>
  </si>
  <si>
    <t>B02348</t>
  </si>
  <si>
    <t>0.19936926903880536</t>
  </si>
  <si>
    <t>B02349</t>
  </si>
  <si>
    <t>C0798</t>
  </si>
  <si>
    <t>B02350</t>
  </si>
  <si>
    <t>0.1411120110994003</t>
  </si>
  <si>
    <t>B02351</t>
  </si>
  <si>
    <t>C0799</t>
  </si>
  <si>
    <t>0.10504854631608988</t>
  </si>
  <si>
    <t>B02352</t>
  </si>
  <si>
    <t>0.10473462562491168</t>
  </si>
  <si>
    <t>B02353</t>
  </si>
  <si>
    <t>0.1394070836100908</t>
  </si>
  <si>
    <t>B02354</t>
  </si>
  <si>
    <t>0.16068236561292398</t>
  </si>
  <si>
    <t>B02355</t>
  </si>
  <si>
    <t>C0800</t>
  </si>
  <si>
    <t>0.1350436207617501</t>
  </si>
  <si>
    <t>B02356</t>
  </si>
  <si>
    <t>B02357</t>
  </si>
  <si>
    <t>C0801</t>
  </si>
  <si>
    <t>0.1606417101084765</t>
  </si>
  <si>
    <t>B02358</t>
  </si>
  <si>
    <t>C0802</t>
  </si>
  <si>
    <t>B02359</t>
  </si>
  <si>
    <t>0.12276747028041976</t>
  </si>
  <si>
    <t>B02360</t>
  </si>
  <si>
    <t>0.15838453272722014</t>
  </si>
  <si>
    <t>B02361</t>
  </si>
  <si>
    <t>C0803</t>
  </si>
  <si>
    <t>B02362</t>
  </si>
  <si>
    <t>C0804</t>
  </si>
  <si>
    <t>B02363</t>
  </si>
  <si>
    <t>C0805</t>
  </si>
  <si>
    <t>B02364</t>
  </si>
  <si>
    <t>B02365</t>
  </si>
  <si>
    <t>B02366</t>
  </si>
  <si>
    <t>C0806</t>
  </si>
  <si>
    <t>B02367</t>
  </si>
  <si>
    <t>B02368</t>
  </si>
  <si>
    <t>0.16476262837053623</t>
  </si>
  <si>
    <t>B02369</t>
  </si>
  <si>
    <t>B02370</t>
  </si>
  <si>
    <t>B02371</t>
  </si>
  <si>
    <t>B02372</t>
  </si>
  <si>
    <t>B02373</t>
  </si>
  <si>
    <t>0.10431462081746275</t>
  </si>
  <si>
    <t>B02374</t>
  </si>
  <si>
    <t>C0807</t>
  </si>
  <si>
    <t>B02375</t>
  </si>
  <si>
    <t>C0808</t>
  </si>
  <si>
    <t>0.17399046471753338</t>
  </si>
  <si>
    <t>B02376</t>
  </si>
  <si>
    <t>C0809</t>
  </si>
  <si>
    <t>B02377</t>
  </si>
  <si>
    <t>0.14081123331357043</t>
  </si>
  <si>
    <t>B02378</t>
  </si>
  <si>
    <t>B02379</t>
  </si>
  <si>
    <t>0.11169350643588609</t>
  </si>
  <si>
    <t>B02380</t>
  </si>
  <si>
    <t>0.11324080408019237</t>
  </si>
  <si>
    <t>B02381</t>
  </si>
  <si>
    <t>B02382</t>
  </si>
  <si>
    <t>B02383</t>
  </si>
  <si>
    <t>C0810</t>
  </si>
  <si>
    <t>0.11016718453428205</t>
  </si>
  <si>
    <t>B02384</t>
  </si>
  <si>
    <t>0.10099690669441393</t>
  </si>
  <si>
    <t>B02385</t>
  </si>
  <si>
    <t>C0811</t>
  </si>
  <si>
    <t>B02386</t>
  </si>
  <si>
    <t>C0812</t>
  </si>
  <si>
    <t>B02387</t>
  </si>
  <si>
    <t>0.11236709870363805</t>
  </si>
  <si>
    <t>B02388</t>
  </si>
  <si>
    <t>B02389</t>
  </si>
  <si>
    <t>C0813</t>
  </si>
  <si>
    <t>0.1737739753700977</t>
  </si>
  <si>
    <t>B02390</t>
  </si>
  <si>
    <t>C0814</t>
  </si>
  <si>
    <t>0.12512319605099811</t>
  </si>
  <si>
    <t>B02391</t>
  </si>
  <si>
    <t>0.15316487370956788</t>
  </si>
  <si>
    <t>B02392</t>
  </si>
  <si>
    <t>C0815</t>
  </si>
  <si>
    <t>0.14721096392849384</t>
  </si>
  <si>
    <t>B02393</t>
  </si>
  <si>
    <t>C0816</t>
  </si>
  <si>
    <t>0.14171092831822735</t>
  </si>
  <si>
    <t>B02394</t>
  </si>
  <si>
    <t>C0817</t>
  </si>
  <si>
    <t>0.15497610866218825</t>
  </si>
  <si>
    <t>B02395</t>
  </si>
  <si>
    <t>0.15827460246348368</t>
  </si>
  <si>
    <t>B02396</t>
  </si>
  <si>
    <t>0.12850427223619898</t>
  </si>
  <si>
    <t>B02397</t>
  </si>
  <si>
    <t>C0818</t>
  </si>
  <si>
    <t>0.13258362517463937</t>
  </si>
  <si>
    <t>B02398</t>
  </si>
  <si>
    <t>0.1037375084273799</t>
  </si>
  <si>
    <t>B02399</t>
  </si>
  <si>
    <t>B02400</t>
  </si>
  <si>
    <t>C0819</t>
  </si>
  <si>
    <t>0.12793300662886511</t>
  </si>
  <si>
    <t>B02401</t>
  </si>
  <si>
    <t>B02402</t>
  </si>
  <si>
    <t>B02403</t>
  </si>
  <si>
    <t>B02404</t>
  </si>
  <si>
    <t>0.1465750446472425</t>
  </si>
  <si>
    <t>B02405</t>
  </si>
  <si>
    <t>0.16020431008428754</t>
  </si>
  <si>
    <t>B02406</t>
  </si>
  <si>
    <t>C0820</t>
  </si>
  <si>
    <t>B02407</t>
  </si>
  <si>
    <t>C0821</t>
  </si>
  <si>
    <t>B02408</t>
  </si>
  <si>
    <t>C0822</t>
  </si>
  <si>
    <t>0.13400302477846657</t>
  </si>
  <si>
    <t>B02409</t>
  </si>
  <si>
    <t>C0823</t>
  </si>
  <si>
    <t>0.10145738307221377</t>
  </si>
  <si>
    <t>B02410</t>
  </si>
  <si>
    <t>B02411</t>
  </si>
  <si>
    <t>0.10272379074116447</t>
  </si>
  <si>
    <t>B02412</t>
  </si>
  <si>
    <t>C0824</t>
  </si>
  <si>
    <t>B02413</t>
  </si>
  <si>
    <t>C0825</t>
  </si>
  <si>
    <t>0.12514292201721428</t>
  </si>
  <si>
    <t>B02414</t>
  </si>
  <si>
    <t>B02415</t>
  </si>
  <si>
    <t>C0826</t>
  </si>
  <si>
    <t>0.13706741348322135</t>
  </si>
  <si>
    <t>B02416</t>
  </si>
  <si>
    <t>C0827</t>
  </si>
  <si>
    <t>B02417</t>
  </si>
  <si>
    <t>0.10678868466512396</t>
  </si>
  <si>
    <t>B02418</t>
  </si>
  <si>
    <t>0.11710738306652524</t>
  </si>
  <si>
    <t>B02419</t>
  </si>
  <si>
    <t>B02420</t>
  </si>
  <si>
    <t>0.14407494957466938</t>
  </si>
  <si>
    <t>B02421</t>
  </si>
  <si>
    <t>B02422</t>
  </si>
  <si>
    <t>C0828</t>
  </si>
  <si>
    <t>B02423</t>
  </si>
  <si>
    <t>0.12471921327626431</t>
  </si>
  <si>
    <t>B02424</t>
  </si>
  <si>
    <t>0.12071914842321463</t>
  </si>
  <si>
    <t>B02425</t>
  </si>
  <si>
    <t>B02426</t>
  </si>
  <si>
    <t>C0829</t>
  </si>
  <si>
    <t>0.1022414504495837</t>
  </si>
  <si>
    <t>B02427</t>
  </si>
  <si>
    <t>C0830</t>
  </si>
  <si>
    <t>0.15987920676777914</t>
  </si>
  <si>
    <t>B02428</t>
  </si>
  <si>
    <t>C0831</t>
  </si>
  <si>
    <t>0.1416931158383389</t>
  </si>
  <si>
    <t>B02429</t>
  </si>
  <si>
    <t>C0832</t>
  </si>
  <si>
    <t>0.17414516679129188</t>
  </si>
  <si>
    <t>B02430</t>
  </si>
  <si>
    <t>0.12223095101155473</t>
  </si>
  <si>
    <t>B02431</t>
  </si>
  <si>
    <t>C0833</t>
  </si>
  <si>
    <t>B02432</t>
  </si>
  <si>
    <t>0.16443190350962505</t>
  </si>
  <si>
    <t>B02433</t>
  </si>
  <si>
    <t>C0834</t>
  </si>
  <si>
    <t>0.13485340863223377</t>
  </si>
  <si>
    <t>B02434</t>
  </si>
  <si>
    <t>B02435</t>
  </si>
  <si>
    <t>C0835</t>
  </si>
  <si>
    <t>0.15182776379604634</t>
  </si>
  <si>
    <t>B02436</t>
  </si>
  <si>
    <t>0.14870093821087937</t>
  </si>
  <si>
    <t>B02437</t>
  </si>
  <si>
    <t>0.1454494802316837</t>
  </si>
  <si>
    <t>B02438</t>
  </si>
  <si>
    <t>0.1326949249944474</t>
  </si>
  <si>
    <t>B02439</t>
  </si>
  <si>
    <t>C0836</t>
  </si>
  <si>
    <t>0.10120240029430215</t>
  </si>
  <si>
    <t>B02440</t>
  </si>
  <si>
    <t>C0837</t>
  </si>
  <si>
    <t>B02441</t>
  </si>
  <si>
    <t>C0838</t>
  </si>
  <si>
    <t>0.14198387069743632</t>
  </si>
  <si>
    <t>B02442</t>
  </si>
  <si>
    <t>0.1165083724226847</t>
  </si>
  <si>
    <t>B02443</t>
  </si>
  <si>
    <t>C0839</t>
  </si>
  <si>
    <t>0.10580457819484879</t>
  </si>
  <si>
    <t>B02444</t>
  </si>
  <si>
    <t>0.15525809257785078</t>
  </si>
  <si>
    <t>B02445</t>
  </si>
  <si>
    <t>0.13662695852011464</t>
  </si>
  <si>
    <t>B02446</t>
  </si>
  <si>
    <t>C0840</t>
  </si>
  <si>
    <t>B02447</t>
  </si>
  <si>
    <t>C0841</t>
  </si>
  <si>
    <t>B02448</t>
  </si>
  <si>
    <t>C0842</t>
  </si>
  <si>
    <t>0.13420475130187712</t>
  </si>
  <si>
    <t>B02449</t>
  </si>
  <si>
    <t>B02450</t>
  </si>
  <si>
    <t>B02451</t>
  </si>
  <si>
    <t>0.17139362136911673</t>
  </si>
  <si>
    <t>B02452</t>
  </si>
  <si>
    <t>B02453</t>
  </si>
  <si>
    <t>C0843</t>
  </si>
  <si>
    <t>0.17184767007407445</t>
  </si>
  <si>
    <t>B02454</t>
  </si>
  <si>
    <t>C0844</t>
  </si>
  <si>
    <t>B02455</t>
  </si>
  <si>
    <t>B02456</t>
  </si>
  <si>
    <t>B02457</t>
  </si>
  <si>
    <t>C0845</t>
  </si>
  <si>
    <t>0.1945229738237204</t>
  </si>
  <si>
    <t>B02458</t>
  </si>
  <si>
    <t>C0846</t>
  </si>
  <si>
    <t>B02459</t>
  </si>
  <si>
    <t>B02460</t>
  </si>
  <si>
    <t>C0847</t>
  </si>
  <si>
    <t>0.1284388542270561</t>
  </si>
  <si>
    <t>B02461</t>
  </si>
  <si>
    <t>C0848</t>
  </si>
  <si>
    <t>0.14258325580335413</t>
  </si>
  <si>
    <t>B02462</t>
  </si>
  <si>
    <t>B02463</t>
  </si>
  <si>
    <t>0.1704768993438801</t>
  </si>
  <si>
    <t>B02464</t>
  </si>
  <si>
    <t>B02465</t>
  </si>
  <si>
    <t>C0849</t>
  </si>
  <si>
    <t>0.10531767738055203</t>
  </si>
  <si>
    <t>B02466</t>
  </si>
  <si>
    <t>0.12662180676528279</t>
  </si>
  <si>
    <t>B02467</t>
  </si>
  <si>
    <t>B02468</t>
  </si>
  <si>
    <t>C0850</t>
  </si>
  <si>
    <t>0.1279038540583142</t>
  </si>
  <si>
    <t>B02469</t>
  </si>
  <si>
    <t>0.1348037388319194</t>
  </si>
  <si>
    <t>B02470</t>
  </si>
  <si>
    <t>C0851</t>
  </si>
  <si>
    <t>B02471</t>
  </si>
  <si>
    <t>0.13832694015955993</t>
  </si>
  <si>
    <t>B02472</t>
  </si>
  <si>
    <t>0.1251675132175014</t>
  </si>
  <si>
    <t>B02473</t>
  </si>
  <si>
    <t>B02474</t>
  </si>
  <si>
    <t>C0852</t>
  </si>
  <si>
    <t>B02475</t>
  </si>
  <si>
    <t>0.1150787017284137</t>
  </si>
  <si>
    <t>B02476</t>
  </si>
  <si>
    <t>B02477</t>
  </si>
  <si>
    <t>0.11082514341449057</t>
  </si>
  <si>
    <t>B02478</t>
  </si>
  <si>
    <t>C0853</t>
  </si>
  <si>
    <t>B02479</t>
  </si>
  <si>
    <t>0.12594116134537675</t>
  </si>
  <si>
    <t>B02480</t>
  </si>
  <si>
    <t>C0854</t>
  </si>
  <si>
    <t>0.1687179356121139</t>
  </si>
  <si>
    <t>B02481</t>
  </si>
  <si>
    <t>B02482</t>
  </si>
  <si>
    <t>B02483</t>
  </si>
  <si>
    <t>B02484</t>
  </si>
  <si>
    <t>C0855</t>
  </si>
  <si>
    <t>0.11270036325415955</t>
  </si>
  <si>
    <t>B02485</t>
  </si>
  <si>
    <t>B02486</t>
  </si>
  <si>
    <t>0.10549585597000909</t>
  </si>
  <si>
    <t>B02487</t>
  </si>
  <si>
    <t>B02488</t>
  </si>
  <si>
    <t>B02489</t>
  </si>
  <si>
    <t>B02490</t>
  </si>
  <si>
    <t>C0856</t>
  </si>
  <si>
    <t>B02491</t>
  </si>
  <si>
    <t>C0857</t>
  </si>
  <si>
    <t>B02492</t>
  </si>
  <si>
    <t>B02493</t>
  </si>
  <si>
    <t>C0858</t>
  </si>
  <si>
    <t>0.10312992202477136</t>
  </si>
  <si>
    <t>B02494</t>
  </si>
  <si>
    <t>0.10458507044735421</t>
  </si>
  <si>
    <t>B02495</t>
  </si>
  <si>
    <t>C0859</t>
  </si>
  <si>
    <t>0.15107048814509702</t>
  </si>
  <si>
    <t>B02496</t>
  </si>
  <si>
    <t>C0860</t>
  </si>
  <si>
    <t>B02497</t>
  </si>
  <si>
    <t>B02498</t>
  </si>
  <si>
    <t>C0861</t>
  </si>
  <si>
    <t>0.10924846309889505</t>
  </si>
  <si>
    <t>B02499</t>
  </si>
  <si>
    <t>B02500</t>
  </si>
  <si>
    <t>C0862</t>
  </si>
  <si>
    <t>0.10604448851893065</t>
  </si>
  <si>
    <t>B02501</t>
  </si>
  <si>
    <t>C0863</t>
  </si>
  <si>
    <t>0.051277417808923524</t>
  </si>
  <si>
    <t>B02502</t>
  </si>
  <si>
    <t>C0864</t>
  </si>
  <si>
    <t>B02503</t>
  </si>
  <si>
    <t>0.1447467041586913</t>
  </si>
  <si>
    <t>B02504</t>
  </si>
  <si>
    <t>B02505</t>
  </si>
  <si>
    <t>B02506</t>
  </si>
  <si>
    <t>0.059513373578398844</t>
  </si>
  <si>
    <t>B02507</t>
  </si>
  <si>
    <t>B02508</t>
  </si>
  <si>
    <t>0.036214820993086566</t>
  </si>
  <si>
    <t>B02509</t>
  </si>
  <si>
    <t>B02510</t>
  </si>
  <si>
    <t>C0865</t>
  </si>
  <si>
    <t>0.12376460043366791</t>
  </si>
  <si>
    <t>B02511</t>
  </si>
  <si>
    <t>C0866</t>
  </si>
  <si>
    <t>B02512</t>
  </si>
  <si>
    <t>B02513</t>
  </si>
  <si>
    <t>0.11580921364245844</t>
  </si>
  <si>
    <t>B02514</t>
  </si>
  <si>
    <t>0.15280592458323855</t>
  </si>
  <si>
    <t>B02515</t>
  </si>
  <si>
    <t>B02516</t>
  </si>
  <si>
    <t>C0867</t>
  </si>
  <si>
    <t>0.040609226156576035</t>
  </si>
  <si>
    <t>B02517</t>
  </si>
  <si>
    <t>C0868</t>
  </si>
  <si>
    <t>0.10486417724929384</t>
  </si>
  <si>
    <t>B02518</t>
  </si>
  <si>
    <t>C0869</t>
  </si>
  <si>
    <t>0.12273437492786193</t>
  </si>
  <si>
    <t>B02519</t>
  </si>
  <si>
    <t>C0870</t>
  </si>
  <si>
    <t>B02520</t>
  </si>
  <si>
    <t>B02521</t>
  </si>
  <si>
    <t>0.048559396492462735</t>
  </si>
  <si>
    <t>B02522</t>
  </si>
  <si>
    <t>C0871</t>
  </si>
  <si>
    <t>0.11190051232549433</t>
  </si>
  <si>
    <t>B02523</t>
  </si>
  <si>
    <t>B02524</t>
  </si>
  <si>
    <t>C0872</t>
  </si>
  <si>
    <t>0.14886721031189115</t>
  </si>
  <si>
    <t>B02525</t>
  </si>
  <si>
    <t>C0873</t>
  </si>
  <si>
    <t>B02526</t>
  </si>
  <si>
    <t>C0874</t>
  </si>
  <si>
    <t>0.1084328958048132</t>
  </si>
  <si>
    <t>B02527</t>
  </si>
  <si>
    <t>B02528</t>
  </si>
  <si>
    <t>C0875</t>
  </si>
  <si>
    <t>0.1171286784635458</t>
  </si>
  <si>
    <t>B02529</t>
  </si>
  <si>
    <t>B02530</t>
  </si>
  <si>
    <t>0.15319154165468735</t>
  </si>
  <si>
    <t>B02531</t>
  </si>
  <si>
    <t>C0876</t>
  </si>
  <si>
    <t>0.15255955302616492</t>
  </si>
  <si>
    <t>B02532</t>
  </si>
  <si>
    <t>C0877</t>
  </si>
  <si>
    <t>B02533</t>
  </si>
  <si>
    <t>B02534</t>
  </si>
  <si>
    <t>0.15350081100946913</t>
  </si>
  <si>
    <t>B02535</t>
  </si>
  <si>
    <t>B02536</t>
  </si>
  <si>
    <t>0.10705783260339836</t>
  </si>
  <si>
    <t>B02537</t>
  </si>
  <si>
    <t>C0878</t>
  </si>
  <si>
    <t>0.14794855985119776</t>
  </si>
  <si>
    <t>B02538</t>
  </si>
  <si>
    <t>C0879</t>
  </si>
  <si>
    <t>0.11039585019831377</t>
  </si>
  <si>
    <t>B02539</t>
  </si>
  <si>
    <t>C0880</t>
  </si>
  <si>
    <t>B02540</t>
  </si>
  <si>
    <t>C0881</t>
  </si>
  <si>
    <t>B02541</t>
  </si>
  <si>
    <t>0.1017511667353619</t>
  </si>
  <si>
    <t>B02542</t>
  </si>
  <si>
    <t>C0882</t>
  </si>
  <si>
    <t>B02543</t>
  </si>
  <si>
    <t>0.1706132730970827</t>
  </si>
  <si>
    <t>B02544</t>
  </si>
  <si>
    <t>0.12873801808042018</t>
  </si>
  <si>
    <t>B02545</t>
  </si>
  <si>
    <t>C0883</t>
  </si>
  <si>
    <t>0.1055059702977265</t>
  </si>
  <si>
    <t>B02546</t>
  </si>
  <si>
    <t>0.13768105213567458</t>
  </si>
  <si>
    <t>B02547</t>
  </si>
  <si>
    <t>B02548</t>
  </si>
  <si>
    <t>B02549</t>
  </si>
  <si>
    <t>C0884</t>
  </si>
  <si>
    <t>0.1239957602792306</t>
  </si>
  <si>
    <t>B02550</t>
  </si>
  <si>
    <t>C0885</t>
  </si>
  <si>
    <t>0.15732887071063403</t>
  </si>
  <si>
    <t>B02551</t>
  </si>
  <si>
    <t>C0886</t>
  </si>
  <si>
    <t>0.14018062664916142</t>
  </si>
  <si>
    <t>B02552</t>
  </si>
  <si>
    <t>0.1559430671003879</t>
  </si>
  <si>
    <t>B02553</t>
  </si>
  <si>
    <t>0.13095240644613865</t>
  </si>
  <si>
    <t>B02554</t>
  </si>
  <si>
    <t>tp.hcm</t>
  </si>
  <si>
    <t>0.10843746909995072</t>
  </si>
  <si>
    <t>B02555</t>
  </si>
  <si>
    <t>B02556</t>
  </si>
  <si>
    <t>B02557</t>
  </si>
  <si>
    <t>B02558</t>
  </si>
  <si>
    <t>C0887</t>
  </si>
  <si>
    <t>B02559</t>
  </si>
  <si>
    <t>B02560</t>
  </si>
  <si>
    <t>C0888</t>
  </si>
  <si>
    <t>0.10754095600606559</t>
  </si>
  <si>
    <t>B02561</t>
  </si>
  <si>
    <t>C0889</t>
  </si>
  <si>
    <t>B02562</t>
  </si>
  <si>
    <t>C0890</t>
  </si>
  <si>
    <t>0.10424309321180836</t>
  </si>
  <si>
    <t>B02563</t>
  </si>
  <si>
    <t>0.14486039281909485</t>
  </si>
  <si>
    <t>B02564</t>
  </si>
  <si>
    <t>0.17373681921190814</t>
  </si>
  <si>
    <t>B02565</t>
  </si>
  <si>
    <t>B02566</t>
  </si>
  <si>
    <t>0.10059773454430346</t>
  </si>
  <si>
    <t>B02567</t>
  </si>
  <si>
    <t>C0891</t>
  </si>
  <si>
    <t>0.12979361153793323</t>
  </si>
  <si>
    <t>B02568</t>
  </si>
  <si>
    <t>B02569</t>
  </si>
  <si>
    <t>C0892</t>
  </si>
  <si>
    <t>B02570</t>
  </si>
  <si>
    <t>C0893</t>
  </si>
  <si>
    <t>B02571</t>
  </si>
  <si>
    <t>C0894</t>
  </si>
  <si>
    <t>0.034437458607415344</t>
  </si>
  <si>
    <t>B02572</t>
  </si>
  <si>
    <t>C0895</t>
  </si>
  <si>
    <t>0.1155642706160363</t>
  </si>
  <si>
    <t>B02573</t>
  </si>
  <si>
    <t>B02574</t>
  </si>
  <si>
    <t>C0896</t>
  </si>
  <si>
    <t>B02575</t>
  </si>
  <si>
    <t>C0897</t>
  </si>
  <si>
    <t>0.14523341464406336</t>
  </si>
  <si>
    <t>B02576</t>
  </si>
  <si>
    <t>C0898</t>
  </si>
  <si>
    <t>0.13636791463589334</t>
  </si>
  <si>
    <t>B02577</t>
  </si>
  <si>
    <t>0.13471839538004282</t>
  </si>
  <si>
    <t>B02578</t>
  </si>
  <si>
    <t>0.11205503923695978</t>
  </si>
  <si>
    <t>B02579</t>
  </si>
  <si>
    <t>0.18269395841338337</t>
  </si>
  <si>
    <t>B02580</t>
  </si>
  <si>
    <t>0.14169813358513209</t>
  </si>
  <si>
    <t>B02581</t>
  </si>
  <si>
    <t>B02582</t>
  </si>
  <si>
    <t>0.1194268783851751</t>
  </si>
  <si>
    <t>B02583</t>
  </si>
  <si>
    <t>0.14790666737628516</t>
  </si>
  <si>
    <t>B02584</t>
  </si>
  <si>
    <t>B02585</t>
  </si>
  <si>
    <t>0.11433043454731631</t>
  </si>
  <si>
    <t>B02586</t>
  </si>
  <si>
    <t>C0899</t>
  </si>
  <si>
    <t>0.10071985462148333</t>
  </si>
  <si>
    <t>B02587</t>
  </si>
  <si>
    <t>C0900</t>
  </si>
  <si>
    <t>0.1441116764055974</t>
  </si>
  <si>
    <t>B02588</t>
  </si>
  <si>
    <t>C0901</t>
  </si>
  <si>
    <t>0.11448385624088715</t>
  </si>
  <si>
    <t>B02589</t>
  </si>
  <si>
    <t>C0902</t>
  </si>
  <si>
    <t>B02590</t>
  </si>
  <si>
    <t>0.1835489030416806</t>
  </si>
  <si>
    <t>B02591</t>
  </si>
  <si>
    <t>B02592</t>
  </si>
  <si>
    <t>0.12190821215567384</t>
  </si>
  <si>
    <t>B02593</t>
  </si>
  <si>
    <t>0.10537140966556431</t>
  </si>
  <si>
    <t>B02594</t>
  </si>
  <si>
    <t>0.1490899745618588</t>
  </si>
  <si>
    <t>B02595</t>
  </si>
  <si>
    <t>B02596</t>
  </si>
  <si>
    <t>C0903</t>
  </si>
  <si>
    <t>0.11202774105964862</t>
  </si>
  <si>
    <t>B02597</t>
  </si>
  <si>
    <t>0.11369091108700552</t>
  </si>
  <si>
    <t>B02598</t>
  </si>
  <si>
    <t>0.10753047760542894</t>
  </si>
  <si>
    <t>B02599</t>
  </si>
  <si>
    <t>B02600</t>
  </si>
  <si>
    <t>C0904</t>
  </si>
  <si>
    <t>0.12979601533830215</t>
  </si>
  <si>
    <t>B02601</t>
  </si>
  <si>
    <t>C0905</t>
  </si>
  <si>
    <t>B02602</t>
  </si>
  <si>
    <t>B02603</t>
  </si>
  <si>
    <t>C0906</t>
  </si>
  <si>
    <t>B02604</t>
  </si>
  <si>
    <t>B02605</t>
  </si>
  <si>
    <t>0.10691860904692513</t>
  </si>
  <si>
    <t>B02606</t>
  </si>
  <si>
    <t>B02607</t>
  </si>
  <si>
    <t>0.011157189221395913</t>
  </si>
  <si>
    <t>B02608</t>
  </si>
  <si>
    <t>0.17542832116107976</t>
  </si>
  <si>
    <t>B02609</t>
  </si>
  <si>
    <t>B02610</t>
  </si>
  <si>
    <t>B02611</t>
  </si>
  <si>
    <t>B02612</t>
  </si>
  <si>
    <t>B02613</t>
  </si>
  <si>
    <t>B02614</t>
  </si>
  <si>
    <t>B02615</t>
  </si>
  <si>
    <t>B02616</t>
  </si>
  <si>
    <t>0.12874440676252724</t>
  </si>
  <si>
    <t>B02617</t>
  </si>
  <si>
    <t>B02618</t>
  </si>
  <si>
    <t>0.1720366682498155</t>
  </si>
  <si>
    <t>B02619</t>
  </si>
  <si>
    <t>C0907</t>
  </si>
  <si>
    <t>B02620</t>
  </si>
  <si>
    <t>0.1214657540285356</t>
  </si>
  <si>
    <t>B02621</t>
  </si>
  <si>
    <t>B02622</t>
  </si>
  <si>
    <t>C0908</t>
  </si>
  <si>
    <t>0.19678749659637595</t>
  </si>
  <si>
    <t>B02623</t>
  </si>
  <si>
    <t>C0909</t>
  </si>
  <si>
    <t>B02624</t>
  </si>
  <si>
    <t>0.10022730652998575</t>
  </si>
  <si>
    <t>B02625</t>
  </si>
  <si>
    <t>B02626</t>
  </si>
  <si>
    <t>0.16629592935294302</t>
  </si>
  <si>
    <t>B02627</t>
  </si>
  <si>
    <t>C0910</t>
  </si>
  <si>
    <t>0.11964739184772398</t>
  </si>
  <si>
    <t>B02628</t>
  </si>
  <si>
    <t>B02629</t>
  </si>
  <si>
    <t>0.13945155365540376</t>
  </si>
  <si>
    <t>B02630</t>
  </si>
  <si>
    <t>0.14812710423749637</t>
  </si>
  <si>
    <t>B02631</t>
  </si>
  <si>
    <t>B02632</t>
  </si>
  <si>
    <t>0.11093433380545119</t>
  </si>
  <si>
    <t>B02633</t>
  </si>
  <si>
    <t>B02634</t>
  </si>
  <si>
    <t>C0911</t>
  </si>
  <si>
    <t>0.1314215441904587</t>
  </si>
  <si>
    <t>B02635</t>
  </si>
  <si>
    <t>0.1160272099114109</t>
  </si>
  <si>
    <t>B02636</t>
  </si>
  <si>
    <t>0.11938429646372369</t>
  </si>
  <si>
    <t>B02637</t>
  </si>
  <si>
    <t>B02638</t>
  </si>
  <si>
    <t>C0912</t>
  </si>
  <si>
    <t>0.11990608774105149</t>
  </si>
  <si>
    <t>B02639</t>
  </si>
  <si>
    <t>0.11093057626024336</t>
  </si>
  <si>
    <t>B02640</t>
  </si>
  <si>
    <t>0.019194187450557412</t>
  </si>
  <si>
    <t>B02641</t>
  </si>
  <si>
    <t>C0913</t>
  </si>
  <si>
    <t>0.11332408332549344</t>
  </si>
  <si>
    <t>B02642</t>
  </si>
  <si>
    <t>B02643</t>
  </si>
  <si>
    <t>C0914</t>
  </si>
  <si>
    <t>B02644</t>
  </si>
  <si>
    <t>C0915</t>
  </si>
  <si>
    <t>B02645</t>
  </si>
  <si>
    <t>C0916</t>
  </si>
  <si>
    <t>0.12272104086222937</t>
  </si>
  <si>
    <t>B02646</t>
  </si>
  <si>
    <t>C0917</t>
  </si>
  <si>
    <t>0.11130194392182705</t>
  </si>
  <si>
    <t>B02647</t>
  </si>
  <si>
    <t>0.10728997329014152</t>
  </si>
  <si>
    <t>B02648</t>
  </si>
  <si>
    <t>0.15277985394229715</t>
  </si>
  <si>
    <t>B02649</t>
  </si>
  <si>
    <t>C0918</t>
  </si>
  <si>
    <t>B02650</t>
  </si>
  <si>
    <t>0.14378976279727804</t>
  </si>
  <si>
    <t>B02651</t>
  </si>
  <si>
    <t>C0919</t>
  </si>
  <si>
    <t>0.14903035501513617</t>
  </si>
  <si>
    <t>B02652</t>
  </si>
  <si>
    <t>0.11109133729882231</t>
  </si>
  <si>
    <t>B02653</t>
  </si>
  <si>
    <t>0.1497922141794949</t>
  </si>
  <si>
    <t>B02654</t>
  </si>
  <si>
    <t>0.10832022112068845</t>
  </si>
  <si>
    <t>B02655</t>
  </si>
  <si>
    <t>B02656</t>
  </si>
  <si>
    <t>C0920</t>
  </si>
  <si>
    <t>0.1027082033029108</t>
  </si>
  <si>
    <t>B02657</t>
  </si>
  <si>
    <t>C0921</t>
  </si>
  <si>
    <t>B02658</t>
  </si>
  <si>
    <t>0.12580945178027161</t>
  </si>
  <si>
    <t>B02659</t>
  </si>
  <si>
    <t>B02660</t>
  </si>
  <si>
    <t>0.15642692984096687</t>
  </si>
  <si>
    <t>B02661</t>
  </si>
  <si>
    <t>C0922</t>
  </si>
  <si>
    <t>0.1664941045515531</t>
  </si>
  <si>
    <t>B02662</t>
  </si>
  <si>
    <t>C0923</t>
  </si>
  <si>
    <t>0.11494064097863974</t>
  </si>
  <si>
    <t>B02663</t>
  </si>
  <si>
    <t>0.1394067160308211</t>
  </si>
  <si>
    <t>B02664</t>
  </si>
  <si>
    <t>0.10391034336914046</t>
  </si>
  <si>
    <t>B02665</t>
  </si>
  <si>
    <t>0.11959656250550782</t>
  </si>
  <si>
    <t>B02666</t>
  </si>
  <si>
    <t>0.11711422523420197</t>
  </si>
  <si>
    <t>B02667</t>
  </si>
  <si>
    <t>C0924</t>
  </si>
  <si>
    <t>0.1605550515913773</t>
  </si>
  <si>
    <t>B02668</t>
  </si>
  <si>
    <t>C0925</t>
  </si>
  <si>
    <t>B02669</t>
  </si>
  <si>
    <t>B02670</t>
  </si>
  <si>
    <t>C0926</t>
  </si>
  <si>
    <t>0.12532039247208937</t>
  </si>
  <si>
    <t>B02671</t>
  </si>
  <si>
    <t>C0927</t>
  </si>
  <si>
    <t>B02672</t>
  </si>
  <si>
    <t>C0928</t>
  </si>
  <si>
    <t>0.15475806064367323</t>
  </si>
  <si>
    <t>B02673</t>
  </si>
  <si>
    <t>B02674</t>
  </si>
  <si>
    <t>C0929</t>
  </si>
  <si>
    <t>B02675</t>
  </si>
  <si>
    <t>0.14951735818794093</t>
  </si>
  <si>
    <t>B02676</t>
  </si>
  <si>
    <t>B02677</t>
  </si>
  <si>
    <t>B02678</t>
  </si>
  <si>
    <t>C0930</t>
  </si>
  <si>
    <t>B02679</t>
  </si>
  <si>
    <t>C0931</t>
  </si>
  <si>
    <t>B02680</t>
  </si>
  <si>
    <t>B02681</t>
  </si>
  <si>
    <t>0.11725548017387982</t>
  </si>
  <si>
    <t>B02682</t>
  </si>
  <si>
    <t>C0932</t>
  </si>
  <si>
    <t>B02683</t>
  </si>
  <si>
    <t>C0933</t>
  </si>
  <si>
    <t>B02684</t>
  </si>
  <si>
    <t>0.10659322055989685</t>
  </si>
  <si>
    <t>B02685</t>
  </si>
  <si>
    <t>0.12921627425696017</t>
  </si>
  <si>
    <t>B02686</t>
  </si>
  <si>
    <t>0.14498646521093622</t>
  </si>
  <si>
    <t>B02687</t>
  </si>
  <si>
    <t>C0934</t>
  </si>
  <si>
    <t>0.14969828937359098</t>
  </si>
  <si>
    <t>B02688</t>
  </si>
  <si>
    <t>B02689</t>
  </si>
  <si>
    <t>C0935</t>
  </si>
  <si>
    <t>0.16218630241438547</t>
  </si>
  <si>
    <t>B02690</t>
  </si>
  <si>
    <t>0.10655932750777003</t>
  </si>
  <si>
    <t>B02691</t>
  </si>
  <si>
    <t>B02692</t>
  </si>
  <si>
    <t>0.10817271563661172</t>
  </si>
  <si>
    <t>B02693</t>
  </si>
  <si>
    <t>B02694</t>
  </si>
  <si>
    <t>C0936</t>
  </si>
  <si>
    <t>0.055883740636300035</t>
  </si>
  <si>
    <t>B02695</t>
  </si>
  <si>
    <t>C0937</t>
  </si>
  <si>
    <t>0.12128010740064478</t>
  </si>
  <si>
    <t>B02696</t>
  </si>
  <si>
    <t>0.11134523705017726</t>
  </si>
  <si>
    <t>B02697</t>
  </si>
  <si>
    <t>C0938</t>
  </si>
  <si>
    <t>B02698</t>
  </si>
  <si>
    <t>C0939</t>
  </si>
  <si>
    <t>0.16430272399941748</t>
  </si>
  <si>
    <t>B02699</t>
  </si>
  <si>
    <t>C0940</t>
  </si>
  <si>
    <t>0.11432480342649744</t>
  </si>
  <si>
    <t>B02700</t>
  </si>
  <si>
    <t>0.12098457844453961</t>
  </si>
  <si>
    <t>B02701</t>
  </si>
  <si>
    <t>B02702</t>
  </si>
  <si>
    <t>C0941</t>
  </si>
  <si>
    <t>0.14595471100280152</t>
  </si>
  <si>
    <t>B02703</t>
  </si>
  <si>
    <t>0.12684866375053266</t>
  </si>
  <si>
    <t>B02704</t>
  </si>
  <si>
    <t>0.057360123851109286</t>
  </si>
  <si>
    <t>B02705</t>
  </si>
  <si>
    <t>C0942</t>
  </si>
  <si>
    <t>B02706</t>
  </si>
  <si>
    <t>B02707</t>
  </si>
  <si>
    <t>0.13092736607446076</t>
  </si>
  <si>
    <t>B02708</t>
  </si>
  <si>
    <t>0.10608787348879087</t>
  </si>
  <si>
    <t>B02709</t>
  </si>
  <si>
    <t>0.12718085264073176</t>
  </si>
  <si>
    <t>B02710</t>
  </si>
  <si>
    <t>C0943</t>
  </si>
  <si>
    <t>B02711</t>
  </si>
  <si>
    <t>B02712</t>
  </si>
  <si>
    <t>0.1108148605012289</t>
  </si>
  <si>
    <t>B02713</t>
  </si>
  <si>
    <t>0.12205918819477368</t>
  </si>
  <si>
    <t>B02714</t>
  </si>
  <si>
    <t>C0944</t>
  </si>
  <si>
    <t>0.11253501456593012</t>
  </si>
  <si>
    <t>B02715</t>
  </si>
  <si>
    <t>C0945</t>
  </si>
  <si>
    <t>0.10572672015539483</t>
  </si>
  <si>
    <t>B02716</t>
  </si>
  <si>
    <t>C0946</t>
  </si>
  <si>
    <t>B02717</t>
  </si>
  <si>
    <t>C0947</t>
  </si>
  <si>
    <t>0.1354072286687549</t>
  </si>
  <si>
    <t>B02718</t>
  </si>
  <si>
    <t>C0948</t>
  </si>
  <si>
    <t>0.1164085102037758</t>
  </si>
  <si>
    <t>B02719</t>
  </si>
  <si>
    <t>B02720</t>
  </si>
  <si>
    <t>C0949</t>
  </si>
  <si>
    <t>0.21125592290688358</t>
  </si>
  <si>
    <t>B02721</t>
  </si>
  <si>
    <t>0.13652928129208228</t>
  </si>
  <si>
    <t>B02722</t>
  </si>
  <si>
    <t>B02723</t>
  </si>
  <si>
    <t>C0950</t>
  </si>
  <si>
    <t>0.061534760682017534</t>
  </si>
  <si>
    <t>B02724</t>
  </si>
  <si>
    <t>0.13766852103092114</t>
  </si>
  <si>
    <t>B02725</t>
  </si>
  <si>
    <t>0.11600641872181786</t>
  </si>
  <si>
    <t>B02726</t>
  </si>
  <si>
    <t>0.11092409519806207</t>
  </si>
  <si>
    <t>B02727</t>
  </si>
  <si>
    <t>0.11438617341921632</t>
  </si>
  <si>
    <t>B02728</t>
  </si>
  <si>
    <t>C0951</t>
  </si>
  <si>
    <t>B02729</t>
  </si>
  <si>
    <t>0.13557771218467757</t>
  </si>
  <si>
    <t>B02730</t>
  </si>
  <si>
    <t>0.027043356284631753</t>
  </si>
  <si>
    <t>B02731</t>
  </si>
  <si>
    <t>0.10925644131969685</t>
  </si>
  <si>
    <t>B02732</t>
  </si>
  <si>
    <t>0.14186439863919967</t>
  </si>
  <si>
    <t>B02733</t>
  </si>
  <si>
    <t>C0952</t>
  </si>
  <si>
    <t>0.11089611132225517</t>
  </si>
  <si>
    <t>B02734</t>
  </si>
  <si>
    <t>0.013857661680990743</t>
  </si>
  <si>
    <t>B02735</t>
  </si>
  <si>
    <t>B02736</t>
  </si>
  <si>
    <t>C0953</t>
  </si>
  <si>
    <t>B02737</t>
  </si>
  <si>
    <t>B02738</t>
  </si>
  <si>
    <t>C0954</t>
  </si>
  <si>
    <t>B02739</t>
  </si>
  <si>
    <t>0.11467910122390229</t>
  </si>
  <si>
    <t>B02740</t>
  </si>
  <si>
    <t>C0955</t>
  </si>
  <si>
    <t>0.030360890851035646</t>
  </si>
  <si>
    <t>B02741</t>
  </si>
  <si>
    <t>0.12706348442689802</t>
  </si>
  <si>
    <t>B02742</t>
  </si>
  <si>
    <t>0.12119986615895104</t>
  </si>
  <si>
    <t>B02743</t>
  </si>
  <si>
    <t>0.13614162541976468</t>
  </si>
  <si>
    <t>B02744</t>
  </si>
  <si>
    <t>0.14722342949963907</t>
  </si>
  <si>
    <t>B02745</t>
  </si>
  <si>
    <t>C0956</t>
  </si>
  <si>
    <t>0.1374463975694636</t>
  </si>
  <si>
    <t>B02746</t>
  </si>
  <si>
    <t>B02747</t>
  </si>
  <si>
    <t>C0957</t>
  </si>
  <si>
    <t>0.11375587637880571</t>
  </si>
  <si>
    <t>B02748</t>
  </si>
  <si>
    <t>C0958</t>
  </si>
  <si>
    <t>0.10453549085150446</t>
  </si>
  <si>
    <t>B02749</t>
  </si>
  <si>
    <t>B02750</t>
  </si>
  <si>
    <t>0.1596918459047409</t>
  </si>
  <si>
    <t>B02751</t>
  </si>
  <si>
    <t>C0959</t>
  </si>
  <si>
    <t>0.10013102177679428</t>
  </si>
  <si>
    <t>B02752</t>
  </si>
  <si>
    <t>C0960</t>
  </si>
  <si>
    <t>B02753</t>
  </si>
  <si>
    <t>C0961</t>
  </si>
  <si>
    <t>0.028793789911527132</t>
  </si>
  <si>
    <t>B02754</t>
  </si>
  <si>
    <t>C0962</t>
  </si>
  <si>
    <t>B02755</t>
  </si>
  <si>
    <t>C0963</t>
  </si>
  <si>
    <t>0.10698115739425595</t>
  </si>
  <si>
    <t>B02756</t>
  </si>
  <si>
    <t>B02757</t>
  </si>
  <si>
    <t>C0964</t>
  </si>
  <si>
    <t>0.1073811043830683</t>
  </si>
  <si>
    <t>B02758</t>
  </si>
  <si>
    <t>B02759</t>
  </si>
  <si>
    <t>B02760</t>
  </si>
  <si>
    <t>0.11337207542708554</t>
  </si>
  <si>
    <t>B02761</t>
  </si>
  <si>
    <t>C0965</t>
  </si>
  <si>
    <t>0.11336675746230647</t>
  </si>
  <si>
    <t>B02762</t>
  </si>
  <si>
    <t>B02763</t>
  </si>
  <si>
    <t>0.12081329253580925</t>
  </si>
  <si>
    <t>B02764</t>
  </si>
  <si>
    <t>C0966</t>
  </si>
  <si>
    <t>0.15540379338276808</t>
  </si>
  <si>
    <t>B02765</t>
  </si>
  <si>
    <t>C0967</t>
  </si>
  <si>
    <t>0.16716652986604846</t>
  </si>
  <si>
    <t>B02766</t>
  </si>
  <si>
    <t>0.15161686672331046</t>
  </si>
  <si>
    <t>B02767</t>
  </si>
  <si>
    <t>0.10957319878667736</t>
  </si>
  <si>
    <t>B02768</t>
  </si>
  <si>
    <t>C0968</t>
  </si>
  <si>
    <t>B02769</t>
  </si>
  <si>
    <t>0.14224267422258235</t>
  </si>
  <si>
    <t>B02770</t>
  </si>
  <si>
    <t>C0969</t>
  </si>
  <si>
    <t>0.13102834760633342</t>
  </si>
  <si>
    <t>B02771</t>
  </si>
  <si>
    <t>B02772</t>
  </si>
  <si>
    <t>B02773</t>
  </si>
  <si>
    <t>B02774</t>
  </si>
  <si>
    <t>B02775</t>
  </si>
  <si>
    <t>0.12979793152692035</t>
  </si>
  <si>
    <t>B02776</t>
  </si>
  <si>
    <t>B02777</t>
  </si>
  <si>
    <t>0.12265585265531052</t>
  </si>
  <si>
    <t>B02778</t>
  </si>
  <si>
    <t>B02779</t>
  </si>
  <si>
    <t>C0970</t>
  </si>
  <si>
    <t>B02780</t>
  </si>
  <si>
    <t>C0971</t>
  </si>
  <si>
    <t>B02781</t>
  </si>
  <si>
    <t>0.17592042575841776</t>
  </si>
  <si>
    <t>B02782</t>
  </si>
  <si>
    <t>C0972</t>
  </si>
  <si>
    <t>B02783</t>
  </si>
  <si>
    <t>B02784</t>
  </si>
  <si>
    <t>B02785</t>
  </si>
  <si>
    <t>C0973</t>
  </si>
  <si>
    <t>B02786</t>
  </si>
  <si>
    <t>B02787</t>
  </si>
  <si>
    <t>B02788</t>
  </si>
  <si>
    <t>C0974</t>
  </si>
  <si>
    <t>0.1201354631667017</t>
  </si>
  <si>
    <t>B02789</t>
  </si>
  <si>
    <t>0.12084997041562039</t>
  </si>
  <si>
    <t>B02790</t>
  </si>
  <si>
    <t>0.1428151720659433</t>
  </si>
  <si>
    <t>B02791</t>
  </si>
  <si>
    <t>B02792</t>
  </si>
  <si>
    <t>B02793</t>
  </si>
  <si>
    <t>B02794</t>
  </si>
  <si>
    <t>B02795</t>
  </si>
  <si>
    <t>0.11042188961086671</t>
  </si>
  <si>
    <t>B02796</t>
  </si>
  <si>
    <t>B02797</t>
  </si>
  <si>
    <t>0.050593642756671046</t>
  </si>
  <si>
    <t>B02798</t>
  </si>
  <si>
    <t>B02799</t>
  </si>
  <si>
    <t>B02800</t>
  </si>
  <si>
    <t>0.052066694642629835</t>
  </si>
  <si>
    <t>B02801</t>
  </si>
  <si>
    <t>0.10840094684475149</t>
  </si>
  <si>
    <t>B02802</t>
  </si>
  <si>
    <t>C0975</t>
  </si>
  <si>
    <t>0.10976944629726292</t>
  </si>
  <si>
    <t>B02803</t>
  </si>
  <si>
    <t>0.14583489797120144</t>
  </si>
  <si>
    <t>B02804</t>
  </si>
  <si>
    <t>C0976</t>
  </si>
  <si>
    <t>0.16098195163954718</t>
  </si>
  <si>
    <t>B02805</t>
  </si>
  <si>
    <t>C0977</t>
  </si>
  <si>
    <t>0.038793035980492704</t>
  </si>
  <si>
    <t>B02806</t>
  </si>
  <si>
    <t>B02807</t>
  </si>
  <si>
    <t>C0978</t>
  </si>
  <si>
    <t>0.10934259647762087</t>
  </si>
  <si>
    <t>B02808</t>
  </si>
  <si>
    <t>B02809</t>
  </si>
  <si>
    <t>0.12449701089581265</t>
  </si>
  <si>
    <t>B02810</t>
  </si>
  <si>
    <t>C0979</t>
  </si>
  <si>
    <t>B02811</t>
  </si>
  <si>
    <t>0.13740428914909805</t>
  </si>
  <si>
    <t>B02812</t>
  </si>
  <si>
    <t>B02813</t>
  </si>
  <si>
    <t>0.1439176917319238</t>
  </si>
  <si>
    <t>B02814</t>
  </si>
  <si>
    <t>0.10176830467085117</t>
  </si>
  <si>
    <t>B02815</t>
  </si>
  <si>
    <t>0.11316334798766928</t>
  </si>
  <si>
    <t>B02816</t>
  </si>
  <si>
    <t>C0980</t>
  </si>
  <si>
    <t>B02817</t>
  </si>
  <si>
    <t>C0981</t>
  </si>
  <si>
    <t>0.040510903551969214</t>
  </si>
  <si>
    <t>B02818</t>
  </si>
  <si>
    <t>0.1257587421837549</t>
  </si>
  <si>
    <t>B02819</t>
  </si>
  <si>
    <t>C0982</t>
  </si>
  <si>
    <t>B02820</t>
  </si>
  <si>
    <t>0.22352215025361036</t>
  </si>
  <si>
    <t>B02821</t>
  </si>
  <si>
    <t>C0983</t>
  </si>
  <si>
    <t>B02822</t>
  </si>
  <si>
    <t>C0984</t>
  </si>
  <si>
    <t>B02823</t>
  </si>
  <si>
    <t>B02824</t>
  </si>
  <si>
    <t>0.11043264094979849</t>
  </si>
  <si>
    <t>B02825</t>
  </si>
  <si>
    <t>0.17119973773933927</t>
  </si>
  <si>
    <t>B02826</t>
  </si>
  <si>
    <t>C0985</t>
  </si>
  <si>
    <t>0.14864010296908228</t>
  </si>
  <si>
    <t>B02827</t>
  </si>
  <si>
    <t>C0986</t>
  </si>
  <si>
    <t>0.15290386044051332</t>
  </si>
  <si>
    <t>B02828</t>
  </si>
  <si>
    <t>C0987</t>
  </si>
  <si>
    <t>B02829</t>
  </si>
  <si>
    <t>C0988</t>
  </si>
  <si>
    <t>0.17829094846547772</t>
  </si>
  <si>
    <t>B02830</t>
  </si>
  <si>
    <t>B02831</t>
  </si>
  <si>
    <t>0.12570319133907715</t>
  </si>
  <si>
    <t>B02832</t>
  </si>
  <si>
    <t>C0989</t>
  </si>
  <si>
    <t>0.039051634804683544</t>
  </si>
  <si>
    <t>B02833</t>
  </si>
  <si>
    <t>C0990</t>
  </si>
  <si>
    <t>B02834</t>
  </si>
  <si>
    <t>C0991</t>
  </si>
  <si>
    <t>B02835</t>
  </si>
  <si>
    <t>B02836</t>
  </si>
  <si>
    <t>C0992</t>
  </si>
  <si>
    <t>B02837</t>
  </si>
  <si>
    <t>0.14560997298817116</t>
  </si>
  <si>
    <t>B02838</t>
  </si>
  <si>
    <t>B02839</t>
  </si>
  <si>
    <t>C0993</t>
  </si>
  <si>
    <t>0.15466384881223513</t>
  </si>
  <si>
    <t>B02840</t>
  </si>
  <si>
    <t>0.1068869071530758</t>
  </si>
  <si>
    <t>B02841</t>
  </si>
  <si>
    <t>0.13458506694381867</t>
  </si>
  <si>
    <t>B02842</t>
  </si>
  <si>
    <t>0.12135585257651592</t>
  </si>
  <si>
    <t>B02843</t>
  </si>
  <si>
    <t>B02844</t>
  </si>
  <si>
    <t>0.12634858406975494</t>
  </si>
  <si>
    <t>B02845</t>
  </si>
  <si>
    <t>B02846</t>
  </si>
  <si>
    <t>0.10879904337619198</t>
  </si>
  <si>
    <t>B02847</t>
  </si>
  <si>
    <t>B02848</t>
  </si>
  <si>
    <t>0.10211340002376673</t>
  </si>
  <si>
    <t>B02849</t>
  </si>
  <si>
    <t>B02850</t>
  </si>
  <si>
    <t>B02851</t>
  </si>
  <si>
    <t>C0994</t>
  </si>
  <si>
    <t>B02852</t>
  </si>
  <si>
    <t>C0995</t>
  </si>
  <si>
    <t>B02853</t>
  </si>
  <si>
    <t>0.1251745291457603</t>
  </si>
  <si>
    <t>B02854</t>
  </si>
  <si>
    <t>C0996</t>
  </si>
  <si>
    <t>B02855</t>
  </si>
  <si>
    <t>C0997</t>
  </si>
  <si>
    <t>0.12985090560970805</t>
  </si>
  <si>
    <t>B02856</t>
  </si>
  <si>
    <t>0.1898481080831828</t>
  </si>
  <si>
    <t>B02857</t>
  </si>
  <si>
    <t>0.10004341484054945</t>
  </si>
  <si>
    <t>B02858</t>
  </si>
  <si>
    <t>C0998</t>
  </si>
  <si>
    <t>B02859</t>
  </si>
  <si>
    <t>B02860</t>
  </si>
  <si>
    <t>B02861</t>
  </si>
  <si>
    <t>0.13262137557136502</t>
  </si>
  <si>
    <t>B02862</t>
  </si>
  <si>
    <t>C0999</t>
  </si>
  <si>
    <t>B02863</t>
  </si>
  <si>
    <t>C1000</t>
  </si>
  <si>
    <t>0.12688078298557814</t>
  </si>
  <si>
    <t>B02864</t>
  </si>
  <si>
    <t>0.12348195797475471</t>
  </si>
  <si>
    <t>B02865</t>
  </si>
  <si>
    <t>B02866</t>
  </si>
  <si>
    <t>0.10309332968879725</t>
  </si>
  <si>
    <t>B02867</t>
  </si>
  <si>
    <t>C1001</t>
  </si>
  <si>
    <t>0.15020629096319474</t>
  </si>
  <si>
    <t>B02868</t>
  </si>
  <si>
    <t>B02869</t>
  </si>
  <si>
    <t>0.12014120662151806</t>
  </si>
  <si>
    <t>B02870</t>
  </si>
  <si>
    <t>B02871</t>
  </si>
  <si>
    <t>C1002</t>
  </si>
  <si>
    <t>0.10920637369203526</t>
  </si>
  <si>
    <t>B02872</t>
  </si>
  <si>
    <t>0.11291219173896448</t>
  </si>
  <si>
    <t>B02873</t>
  </si>
  <si>
    <t>0.11377317537323263</t>
  </si>
  <si>
    <t>B02874</t>
  </si>
  <si>
    <t>B02875</t>
  </si>
  <si>
    <t>B02876</t>
  </si>
  <si>
    <t>B02877</t>
  </si>
  <si>
    <t>B02878</t>
  </si>
  <si>
    <t>C1003</t>
  </si>
  <si>
    <t>B02879</t>
  </si>
  <si>
    <t>0.12192431882126295</t>
  </si>
  <si>
    <t>B02880</t>
  </si>
  <si>
    <t>0.10645909778939032</t>
  </si>
  <si>
    <t>B02881</t>
  </si>
  <si>
    <t>B02882</t>
  </si>
  <si>
    <t>0.1033134650296606</t>
  </si>
  <si>
    <t>B02883</t>
  </si>
  <si>
    <t>0.058975213759637456</t>
  </si>
  <si>
    <t>B02884</t>
  </si>
  <si>
    <t>0.13420869412452852</t>
  </si>
  <si>
    <t>B02885</t>
  </si>
  <si>
    <t>0.14997166412244936</t>
  </si>
  <si>
    <t>B02886</t>
  </si>
  <si>
    <t>C1004</t>
  </si>
  <si>
    <t>B02887</t>
  </si>
  <si>
    <t>C1005</t>
  </si>
  <si>
    <t>0.1460278614447316</t>
  </si>
  <si>
    <t>B02888</t>
  </si>
  <si>
    <t>0.15765891729832665</t>
  </si>
  <si>
    <t>B02889</t>
  </si>
  <si>
    <t>C1006</t>
  </si>
  <si>
    <t>0.1576280971449019</t>
  </si>
  <si>
    <t>B02890</t>
  </si>
  <si>
    <t>0.14313950645072482</t>
  </si>
  <si>
    <t>B02891</t>
  </si>
  <si>
    <t>B02892</t>
  </si>
  <si>
    <t>C1007</t>
  </si>
  <si>
    <t>B02893</t>
  </si>
  <si>
    <t>0.049396625475855875</t>
  </si>
  <si>
    <t>B02894</t>
  </si>
  <si>
    <t>0.12641586513097797</t>
  </si>
  <si>
    <t>B02895</t>
  </si>
  <si>
    <t>C1008</t>
  </si>
  <si>
    <t>B02896</t>
  </si>
  <si>
    <t>C1009</t>
  </si>
  <si>
    <t>0.10956935060412458</t>
  </si>
  <si>
    <t>B02897</t>
  </si>
  <si>
    <t>B02898</t>
  </si>
  <si>
    <t>B02899</t>
  </si>
  <si>
    <t>B02900</t>
  </si>
  <si>
    <t>0.1125490419744903</t>
  </si>
  <si>
    <t>B02901</t>
  </si>
  <si>
    <t>0.14246314479971015</t>
  </si>
  <si>
    <t>B02902</t>
  </si>
  <si>
    <t>C1010</t>
  </si>
  <si>
    <t>B02903</t>
  </si>
  <si>
    <t>C1011</t>
  </si>
  <si>
    <t>0.11789595525319453</t>
  </si>
  <si>
    <t>B02904</t>
  </si>
  <si>
    <t>B02905</t>
  </si>
  <si>
    <t>0.12911060375072747</t>
  </si>
  <si>
    <t>B02906</t>
  </si>
  <si>
    <t>0.053716445841953585</t>
  </si>
  <si>
    <t>B02907</t>
  </si>
  <si>
    <t>0.10225957719699796</t>
  </si>
  <si>
    <t>B02908</t>
  </si>
  <si>
    <t>C1012</t>
  </si>
  <si>
    <t>B02909</t>
  </si>
  <si>
    <t>B02910</t>
  </si>
  <si>
    <t>C1013</t>
  </si>
  <si>
    <t>0.11154276536900927</t>
  </si>
  <si>
    <t>B02911</t>
  </si>
  <si>
    <t>B02912</t>
  </si>
  <si>
    <t>C1014</t>
  </si>
  <si>
    <t>0.15141206319893563</t>
  </si>
  <si>
    <t>B02913</t>
  </si>
  <si>
    <t>B02914</t>
  </si>
  <si>
    <t>B02915</t>
  </si>
  <si>
    <t>B02916</t>
  </si>
  <si>
    <t>0.12423298042298027</t>
  </si>
  <si>
    <t>B02917</t>
  </si>
  <si>
    <t>0.1360698560727239</t>
  </si>
  <si>
    <t>B02918</t>
  </si>
  <si>
    <t>C1015</t>
  </si>
  <si>
    <t>B02919</t>
  </si>
  <si>
    <t>0.10333433715372706</t>
  </si>
  <si>
    <t>B02920</t>
  </si>
  <si>
    <t>0.1386095421745712</t>
  </si>
  <si>
    <t>B02921</t>
  </si>
  <si>
    <t>C1016</t>
  </si>
  <si>
    <t>B02922</t>
  </si>
  <si>
    <t>B02923</t>
  </si>
  <si>
    <t>B02924</t>
  </si>
  <si>
    <t>C1017</t>
  </si>
  <si>
    <t>0.12754988140854262</t>
  </si>
  <si>
    <t>B02925</t>
  </si>
  <si>
    <t>C1018</t>
  </si>
  <si>
    <t>0.13646835317964315</t>
  </si>
  <si>
    <t>B02926</t>
  </si>
  <si>
    <t>0.10341905462550348</t>
  </si>
  <si>
    <t>B02927</t>
  </si>
  <si>
    <t>B02928</t>
  </si>
  <si>
    <t>0.17933466759629282</t>
  </si>
  <si>
    <t>B02929</t>
  </si>
  <si>
    <t>B02930</t>
  </si>
  <si>
    <t>C1019</t>
  </si>
  <si>
    <t>B02931</t>
  </si>
  <si>
    <t>B02932</t>
  </si>
  <si>
    <t>0.13525876160221678</t>
  </si>
  <si>
    <t>B02933</t>
  </si>
  <si>
    <t>0.12938319055400244</t>
  </si>
  <si>
    <t>B02934</t>
  </si>
  <si>
    <t>C1020</t>
  </si>
  <si>
    <t>0.1534517160727656</t>
  </si>
  <si>
    <t>B02935</t>
  </si>
  <si>
    <t>C1021</t>
  </si>
  <si>
    <t>B02936</t>
  </si>
  <si>
    <t>C1022</t>
  </si>
  <si>
    <t>0.13230480358405727</t>
  </si>
  <si>
    <t>B02937</t>
  </si>
  <si>
    <t>C1023</t>
  </si>
  <si>
    <t>B02938</t>
  </si>
  <si>
    <t>B02939</t>
  </si>
  <si>
    <t>C1024</t>
  </si>
  <si>
    <t>B02940</t>
  </si>
  <si>
    <t>0.062015165542916716</t>
  </si>
  <si>
    <t>B02941</t>
  </si>
  <si>
    <t>0.10871596160624505</t>
  </si>
  <si>
    <t>B02942</t>
  </si>
  <si>
    <t>0.13040052001676694</t>
  </si>
  <si>
    <t>B02943</t>
  </si>
  <si>
    <t>0.12321241829369375</t>
  </si>
  <si>
    <t>B02944</t>
  </si>
  <si>
    <t>0.1716189437267367</t>
  </si>
  <si>
    <t>B02945</t>
  </si>
  <si>
    <t>0.1414580391406182</t>
  </si>
  <si>
    <t>B02946</t>
  </si>
  <si>
    <t>C1025</t>
  </si>
  <si>
    <t>0.17189917185245085</t>
  </si>
  <si>
    <t>B02947</t>
  </si>
  <si>
    <t>C1026</t>
  </si>
  <si>
    <t>B02948</t>
  </si>
  <si>
    <t>B02949</t>
  </si>
  <si>
    <t>C1027</t>
  </si>
  <si>
    <t>0.19746596131833855</t>
  </si>
  <si>
    <t>B02950</t>
  </si>
  <si>
    <t>0.13016186278341135</t>
  </si>
  <si>
    <t>B02951</t>
  </si>
  <si>
    <t>B02952</t>
  </si>
  <si>
    <t>B02953</t>
  </si>
  <si>
    <t>0.033234981440619094</t>
  </si>
  <si>
    <t>B02954</t>
  </si>
  <si>
    <t>0.10221311103075516</t>
  </si>
  <si>
    <t>B02955</t>
  </si>
  <si>
    <t>0.044789916503592674</t>
  </si>
  <si>
    <t>B02956</t>
  </si>
  <si>
    <t>C1028</t>
  </si>
  <si>
    <t>B02957</t>
  </si>
  <si>
    <t>0.1176611434768707</t>
  </si>
  <si>
    <t>B02958</t>
  </si>
  <si>
    <t>B02959</t>
  </si>
  <si>
    <t>B02960</t>
  </si>
  <si>
    <t>C1029</t>
  </si>
  <si>
    <t>0.1239509162778596</t>
  </si>
  <si>
    <t>B02961</t>
  </si>
  <si>
    <t>C1030</t>
  </si>
  <si>
    <t>0.12690895024982154</t>
  </si>
  <si>
    <t>B02962</t>
  </si>
  <si>
    <t>0.1153035632300038</t>
  </si>
  <si>
    <t>B02963</t>
  </si>
  <si>
    <t>0.11414839062099104</t>
  </si>
  <si>
    <t>B02964</t>
  </si>
  <si>
    <t>B02965</t>
  </si>
  <si>
    <t>B02966</t>
  </si>
  <si>
    <t>C1031</t>
  </si>
  <si>
    <t>0.16490820707679216</t>
  </si>
  <si>
    <t>B02967</t>
  </si>
  <si>
    <t>0.1826484613127934</t>
  </si>
  <si>
    <t>B02968</t>
  </si>
  <si>
    <t>C1032</t>
  </si>
  <si>
    <t>B02969</t>
  </si>
  <si>
    <t>C1033</t>
  </si>
  <si>
    <t>B02970</t>
  </si>
  <si>
    <t>Ho Chi Minh City</t>
  </si>
  <si>
    <t>B02971</t>
  </si>
  <si>
    <t>C1034</t>
  </si>
  <si>
    <t>B02972</t>
  </si>
  <si>
    <t>B02973</t>
  </si>
  <si>
    <t>0.10002563602894395</t>
  </si>
  <si>
    <t>B02974</t>
  </si>
  <si>
    <t>B02975</t>
  </si>
  <si>
    <t>B02976</t>
  </si>
  <si>
    <t>C1035</t>
  </si>
  <si>
    <t>B02977</t>
  </si>
  <si>
    <t>C1036</t>
  </si>
  <si>
    <t>B02978</t>
  </si>
  <si>
    <t>0.10962069781769689</t>
  </si>
  <si>
    <t>B02979</t>
  </si>
  <si>
    <t>0.15325619896567202</t>
  </si>
  <si>
    <t>B02980</t>
  </si>
  <si>
    <t>C1037</t>
  </si>
  <si>
    <t>0.030088225341266026</t>
  </si>
  <si>
    <t>B02981</t>
  </si>
  <si>
    <t>0.11575701665413075</t>
  </si>
  <si>
    <t>B02982</t>
  </si>
  <si>
    <t>0.11923804275652834</t>
  </si>
  <si>
    <t>B02983</t>
  </si>
  <si>
    <t>C1038</t>
  </si>
  <si>
    <t>B02984</t>
  </si>
  <si>
    <t>B02985</t>
  </si>
  <si>
    <t>0.10590306452863732</t>
  </si>
  <si>
    <t>B02986</t>
  </si>
  <si>
    <t>C1039</t>
  </si>
  <si>
    <t>0.11301575521939362</t>
  </si>
  <si>
    <t>B02987</t>
  </si>
  <si>
    <t>C1040</t>
  </si>
  <si>
    <t>0.11503889809240984</t>
  </si>
  <si>
    <t>B02988</t>
  </si>
  <si>
    <t>C1041</t>
  </si>
  <si>
    <t>B02989</t>
  </si>
  <si>
    <t>C1042</t>
  </si>
  <si>
    <t>0.13447107692537863</t>
  </si>
  <si>
    <t>B02990</t>
  </si>
  <si>
    <t>C1043</t>
  </si>
  <si>
    <t>0.1215835988799618</t>
  </si>
  <si>
    <t>B02991</t>
  </si>
  <si>
    <t>C1044</t>
  </si>
  <si>
    <t>B02992</t>
  </si>
  <si>
    <t>B02993</t>
  </si>
  <si>
    <t>B02994</t>
  </si>
  <si>
    <t>C1045</t>
  </si>
  <si>
    <t>B02995</t>
  </si>
  <si>
    <t>0.15009040590951445</t>
  </si>
  <si>
    <t>B02996</t>
  </si>
  <si>
    <t>B02997</t>
  </si>
  <si>
    <t>C1046</t>
  </si>
  <si>
    <t>B02998</t>
  </si>
  <si>
    <t>0.10945426541957717</t>
  </si>
  <si>
    <t>B02999</t>
  </si>
  <si>
    <t>B03000</t>
  </si>
  <si>
    <t>B03001</t>
  </si>
  <si>
    <t>B03002</t>
  </si>
  <si>
    <t>0.10985363103745435</t>
  </si>
  <si>
    <t>B03003</t>
  </si>
  <si>
    <t>0.10081808699040715</t>
  </si>
  <si>
    <t>B03004</t>
  </si>
  <si>
    <t>C1047</t>
  </si>
  <si>
    <t>0.10848066681996361</t>
  </si>
  <si>
    <t>B03005</t>
  </si>
  <si>
    <t>0.11449547352143385</t>
  </si>
  <si>
    <t>B03006</t>
  </si>
  <si>
    <t>C1048</t>
  </si>
  <si>
    <t>0.047860580872394295</t>
  </si>
  <si>
    <t>B03007</t>
  </si>
  <si>
    <t>0.051655925044581524</t>
  </si>
  <si>
    <t>B03008</t>
  </si>
  <si>
    <t>C1049</t>
  </si>
  <si>
    <t>B03009</t>
  </si>
  <si>
    <t>B03010</t>
  </si>
  <si>
    <t>C1050</t>
  </si>
  <si>
    <t>0.12474396843755446</t>
  </si>
  <si>
    <t>B03011</t>
  </si>
  <si>
    <t>0.11622179993662186</t>
  </si>
  <si>
    <t>B03012</t>
  </si>
  <si>
    <t>C1051</t>
  </si>
  <si>
    <t>0.11133340023667304</t>
  </si>
  <si>
    <t>B03013</t>
  </si>
  <si>
    <t>0.14595968032911538</t>
  </si>
  <si>
    <t>B03014</t>
  </si>
  <si>
    <t>0.10916831350333081</t>
  </si>
  <si>
    <t>B03015</t>
  </si>
  <si>
    <t>C1052</t>
  </si>
  <si>
    <t>B03016</t>
  </si>
  <si>
    <t>C1053</t>
  </si>
  <si>
    <t>0.13088681840394573</t>
  </si>
  <si>
    <t>B03017</t>
  </si>
  <si>
    <t>B03018</t>
  </si>
  <si>
    <t>C1054</t>
  </si>
  <si>
    <t>B03019</t>
  </si>
  <si>
    <t>C1055</t>
  </si>
  <si>
    <t>0.1288660944907332</t>
  </si>
  <si>
    <t>B03020</t>
  </si>
  <si>
    <t>0.11888904653460067</t>
  </si>
  <si>
    <t>B03021</t>
  </si>
  <si>
    <t>0.13199190285488602</t>
  </si>
  <si>
    <t>B03022</t>
  </si>
  <si>
    <t>C1056</t>
  </si>
  <si>
    <t>B03023</t>
  </si>
  <si>
    <t>B03024</t>
  </si>
  <si>
    <t>C1057</t>
  </si>
  <si>
    <t>0.12847127035199615</t>
  </si>
  <si>
    <t>B03025</t>
  </si>
  <si>
    <t>B03026</t>
  </si>
  <si>
    <t>0.1345614651580368</t>
  </si>
  <si>
    <t>B03027</t>
  </si>
  <si>
    <t>C1058</t>
  </si>
  <si>
    <t>B03028</t>
  </si>
  <si>
    <t>C1059</t>
  </si>
  <si>
    <t>B03029</t>
  </si>
  <si>
    <t>B03030</t>
  </si>
  <si>
    <t>0.15031558784683827</t>
  </si>
  <si>
    <t>B03031</t>
  </si>
  <si>
    <t>C1060</t>
  </si>
  <si>
    <t>B03032</t>
  </si>
  <si>
    <t>C1061</t>
  </si>
  <si>
    <t>0.13685753747835477</t>
  </si>
  <si>
    <t>B03033</t>
  </si>
  <si>
    <t>B03034</t>
  </si>
  <si>
    <t>0.10278749272171762</t>
  </si>
  <si>
    <t>B03035</t>
  </si>
  <si>
    <t>C1062</t>
  </si>
  <si>
    <t>0.10391100748260727</t>
  </si>
  <si>
    <t>B03036</t>
  </si>
  <si>
    <t>0.11227489341364515</t>
  </si>
  <si>
    <t>B03037</t>
  </si>
  <si>
    <t>C1063</t>
  </si>
  <si>
    <t>B03038</t>
  </si>
  <si>
    <t>C1064</t>
  </si>
  <si>
    <t>B03039</t>
  </si>
  <si>
    <t>C1065</t>
  </si>
  <si>
    <t>B03040</t>
  </si>
  <si>
    <t>0.13659891099818622</t>
  </si>
  <si>
    <t>B03041</t>
  </si>
  <si>
    <t>0.14719057505137156</t>
  </si>
  <si>
    <t>B03042</t>
  </si>
  <si>
    <t>0.10100440523272503</t>
  </si>
  <si>
    <t>B03043</t>
  </si>
  <si>
    <t>C1066</t>
  </si>
  <si>
    <t>0.015317531488365066</t>
  </si>
  <si>
    <t>B03044</t>
  </si>
  <si>
    <t>C1067</t>
  </si>
  <si>
    <t>0.12796346637627432</t>
  </si>
  <si>
    <t>B03045</t>
  </si>
  <si>
    <t>B03046</t>
  </si>
  <si>
    <t>B03047</t>
  </si>
  <si>
    <t>C1068</t>
  </si>
  <si>
    <t>0.10184094416421409</t>
  </si>
  <si>
    <t>B03048</t>
  </si>
  <si>
    <t>B03049</t>
  </si>
  <si>
    <t>C1069</t>
  </si>
  <si>
    <t>0.12256284099040608</t>
  </si>
  <si>
    <t>B03050</t>
  </si>
  <si>
    <t>C1070</t>
  </si>
  <si>
    <t>B03051</t>
  </si>
  <si>
    <t>B03052</t>
  </si>
  <si>
    <t>B03053</t>
  </si>
  <si>
    <t>0.058252561582802405</t>
  </si>
  <si>
    <t>B03054</t>
  </si>
  <si>
    <t>C1071</t>
  </si>
  <si>
    <t>0.042603415473101716</t>
  </si>
  <si>
    <t>B03055</t>
  </si>
  <si>
    <t>B03056</t>
  </si>
  <si>
    <t>C1072</t>
  </si>
  <si>
    <t>0.15819652152968433</t>
  </si>
  <si>
    <t>B03057</t>
  </si>
  <si>
    <t>C1073</t>
  </si>
  <si>
    <t>0.14800989848761706</t>
  </si>
  <si>
    <t>B03058</t>
  </si>
  <si>
    <t>C1074</t>
  </si>
  <si>
    <t>B03059</t>
  </si>
  <si>
    <t>0.20024053003181744</t>
  </si>
  <si>
    <t>B03060</t>
  </si>
  <si>
    <t>C1075</t>
  </si>
  <si>
    <t>B03061</t>
  </si>
  <si>
    <t>C1076</t>
  </si>
  <si>
    <t>B03062</t>
  </si>
  <si>
    <t>C1077</t>
  </si>
  <si>
    <t>0.17598146273826507</t>
  </si>
  <si>
    <t>B03063</t>
  </si>
  <si>
    <t>0.11074100304504335</t>
  </si>
  <si>
    <t>B03064</t>
  </si>
  <si>
    <t>0.13486800251765188</t>
  </si>
  <si>
    <t>B03065</t>
  </si>
  <si>
    <t>B03066</t>
  </si>
  <si>
    <t>0.13360824605702148</t>
  </si>
  <si>
    <t>B03067</t>
  </si>
  <si>
    <t>C1078</t>
  </si>
  <si>
    <t>B03068</t>
  </si>
  <si>
    <t>0.1416594362353122</t>
  </si>
  <si>
    <t>B03069</t>
  </si>
  <si>
    <t>C1079</t>
  </si>
  <si>
    <t>B03070</t>
  </si>
  <si>
    <t>0.13613365578833267</t>
  </si>
  <si>
    <t>B03071</t>
  </si>
  <si>
    <t>C1080</t>
  </si>
  <si>
    <t>0.053859812853276436</t>
  </si>
  <si>
    <t>B03072</t>
  </si>
  <si>
    <t>B03073</t>
  </si>
  <si>
    <t>C1081</t>
  </si>
  <si>
    <t>0.12519701502215833</t>
  </si>
  <si>
    <t>B03074</t>
  </si>
  <si>
    <t>B03075</t>
  </si>
  <si>
    <t>C1082</t>
  </si>
  <si>
    <t>0.10878050760170657</t>
  </si>
  <si>
    <t>B03076</t>
  </si>
  <si>
    <t>B03077</t>
  </si>
  <si>
    <t>0.13765979719361596</t>
  </si>
  <si>
    <t>B03078</t>
  </si>
  <si>
    <t>0.049072251485909796</t>
  </si>
  <si>
    <t>B03079</t>
  </si>
  <si>
    <t>C1083</t>
  </si>
  <si>
    <t>0.13563573911700266</t>
  </si>
  <si>
    <t>B03080</t>
  </si>
  <si>
    <t>0.16774674406124362</t>
  </si>
  <si>
    <t>B03081</t>
  </si>
  <si>
    <t>B03082</t>
  </si>
  <si>
    <t>0.11381030799410505</t>
  </si>
  <si>
    <t>B03083</t>
  </si>
  <si>
    <t>0.10199883505277627</t>
  </si>
  <si>
    <t>B03084</t>
  </si>
  <si>
    <t>C1084</t>
  </si>
  <si>
    <t>0.18742669901783887</t>
  </si>
  <si>
    <t>B03085</t>
  </si>
  <si>
    <t>C1085</t>
  </si>
  <si>
    <t>B03086</t>
  </si>
  <si>
    <t>B03087</t>
  </si>
  <si>
    <t>C1086</t>
  </si>
  <si>
    <t>B03088</t>
  </si>
  <si>
    <t>B03089</t>
  </si>
  <si>
    <t>C1087</t>
  </si>
  <si>
    <t>0.10586985184785556</t>
  </si>
  <si>
    <t>B03090</t>
  </si>
  <si>
    <t>C1088</t>
  </si>
  <si>
    <t>B03091</t>
  </si>
  <si>
    <t>B03092</t>
  </si>
  <si>
    <t>0.10590286342645439</t>
  </si>
  <si>
    <t>B03093</t>
  </si>
  <si>
    <t>0.17148842277366258</t>
  </si>
  <si>
    <t>B03094</t>
  </si>
  <si>
    <t>B03095</t>
  </si>
  <si>
    <t>C1089</t>
  </si>
  <si>
    <t>0.11399522563755618</t>
  </si>
  <si>
    <t>B03096</t>
  </si>
  <si>
    <t>0.043991847838548676</t>
  </si>
  <si>
    <t>B03097</t>
  </si>
  <si>
    <t>B03098</t>
  </si>
  <si>
    <t>C1090</t>
  </si>
  <si>
    <t>B03099</t>
  </si>
  <si>
    <t>0.1689416092653476</t>
  </si>
  <si>
    <t>B03100</t>
  </si>
  <si>
    <t>B03101</t>
  </si>
  <si>
    <t>C1091</t>
  </si>
  <si>
    <t>0.15745416481944863</t>
  </si>
  <si>
    <t>B03102</t>
  </si>
  <si>
    <t>C1092</t>
  </si>
  <si>
    <t>0.10865913216442785</t>
  </si>
  <si>
    <t>B03103</t>
  </si>
  <si>
    <t>C1093</t>
  </si>
  <si>
    <t>0.1120008053087203</t>
  </si>
  <si>
    <t>B03104</t>
  </si>
  <si>
    <t>B03105</t>
  </si>
  <si>
    <t>B03106</t>
  </si>
  <si>
    <t>0.11229631297885224</t>
  </si>
  <si>
    <t>B03107</t>
  </si>
  <si>
    <t>C1094</t>
  </si>
  <si>
    <t>B03108</t>
  </si>
  <si>
    <t>0.045969972068059216</t>
  </si>
  <si>
    <t>B03109</t>
  </si>
  <si>
    <t>0.1464526090343985</t>
  </si>
  <si>
    <t>B03110</t>
  </si>
  <si>
    <t>B03111</t>
  </si>
  <si>
    <t>C1095</t>
  </si>
  <si>
    <t>0.1258126168752167</t>
  </si>
  <si>
    <t>B03112</t>
  </si>
  <si>
    <t>B03113</t>
  </si>
  <si>
    <t>B03114</t>
  </si>
  <si>
    <t>0.1459870453391392</t>
  </si>
  <si>
    <t>B03115</t>
  </si>
  <si>
    <t>B03116</t>
  </si>
  <si>
    <t>B03117</t>
  </si>
  <si>
    <t>0.16082110460000548</t>
  </si>
  <si>
    <t>B03118</t>
  </si>
  <si>
    <t>B03119</t>
  </si>
  <si>
    <t>B03120</t>
  </si>
  <si>
    <t>0.11422434364742429</t>
  </si>
  <si>
    <t>B03121</t>
  </si>
  <si>
    <t>B03122</t>
  </si>
  <si>
    <t>0.10154474969613901</t>
  </si>
  <si>
    <t>B03123</t>
  </si>
  <si>
    <t>C1096</t>
  </si>
  <si>
    <t>0.11433871175807671</t>
  </si>
  <si>
    <t>B03124</t>
  </si>
  <si>
    <t>0.1349827607088391</t>
  </si>
  <si>
    <t>B03125</t>
  </si>
  <si>
    <t>C1097</t>
  </si>
  <si>
    <t>0.13991045411783956</t>
  </si>
  <si>
    <t>B03126</t>
  </si>
  <si>
    <t>B03127</t>
  </si>
  <si>
    <t>B03128</t>
  </si>
  <si>
    <t>0.14382803910756287</t>
  </si>
  <si>
    <t>B03129</t>
  </si>
  <si>
    <t>0.15392595106002743</t>
  </si>
  <si>
    <t>B03130</t>
  </si>
  <si>
    <t>0.012476743833767942</t>
  </si>
  <si>
    <t>B03131</t>
  </si>
  <si>
    <t>B03132</t>
  </si>
  <si>
    <t>B03133</t>
  </si>
  <si>
    <t>B03134</t>
  </si>
  <si>
    <t>C1098</t>
  </si>
  <si>
    <t>B03135</t>
  </si>
  <si>
    <t>0.16810228136609107</t>
  </si>
  <si>
    <t>B03136</t>
  </si>
  <si>
    <t>B03137</t>
  </si>
  <si>
    <t>C1099</t>
  </si>
  <si>
    <t>B03138</t>
  </si>
  <si>
    <t>0.10028260446398424</t>
  </si>
  <si>
    <t>B03139</t>
  </si>
  <si>
    <t>B03140</t>
  </si>
  <si>
    <t>B03141</t>
  </si>
  <si>
    <t>C1100</t>
  </si>
  <si>
    <t>B03142</t>
  </si>
  <si>
    <t>C1101</t>
  </si>
  <si>
    <t>B03143</t>
  </si>
  <si>
    <t>0.024760425488510096</t>
  </si>
  <si>
    <t>B03144</t>
  </si>
  <si>
    <t>0.14501217486981072</t>
  </si>
  <si>
    <t>B03145</t>
  </si>
  <si>
    <t>0.10150495330354696</t>
  </si>
  <si>
    <t>B03146</t>
  </si>
  <si>
    <t>B03147</t>
  </si>
  <si>
    <t>B03148</t>
  </si>
  <si>
    <t>C1102</t>
  </si>
  <si>
    <t>0.11925433339427041</t>
  </si>
  <si>
    <t>B03149</t>
  </si>
  <si>
    <t>C1103</t>
  </si>
  <si>
    <t>B03150</t>
  </si>
  <si>
    <t>C1104</t>
  </si>
  <si>
    <t>0.12374295687697984</t>
  </si>
  <si>
    <t>B03151</t>
  </si>
  <si>
    <t>0.011997711283476195</t>
  </si>
  <si>
    <t>B03152</t>
  </si>
  <si>
    <t>C1105</t>
  </si>
  <si>
    <t>B03153</t>
  </si>
  <si>
    <t>C1106</t>
  </si>
  <si>
    <t>B03154</t>
  </si>
  <si>
    <t>0.10531806011011338</t>
  </si>
  <si>
    <t>B03155</t>
  </si>
  <si>
    <t>0.14465117477192407</t>
  </si>
  <si>
    <t>B03156</t>
  </si>
  <si>
    <t>B03157</t>
  </si>
  <si>
    <t>0.10707146251567191</t>
  </si>
  <si>
    <t>B03158</t>
  </si>
  <si>
    <t>0.14908841606866347</t>
  </si>
  <si>
    <t>B03159</t>
  </si>
  <si>
    <t>C1107</t>
  </si>
  <si>
    <t>B03160</t>
  </si>
  <si>
    <t>B03161</t>
  </si>
  <si>
    <t>0.12282045906500477</t>
  </si>
  <si>
    <t>B03162</t>
  </si>
  <si>
    <t>B03163</t>
  </si>
  <si>
    <t>0.14659504168532528</t>
  </si>
  <si>
    <t>B03164</t>
  </si>
  <si>
    <t>B03165</t>
  </si>
  <si>
    <t>C1108</t>
  </si>
  <si>
    <t>B03166</t>
  </si>
  <si>
    <t>C1109</t>
  </si>
  <si>
    <t>B03167</t>
  </si>
  <si>
    <t>B03168</t>
  </si>
  <si>
    <t>C1110</t>
  </si>
  <si>
    <t>0.12302891832966914</t>
  </si>
  <si>
    <t>B03169</t>
  </si>
  <si>
    <t>0.12522308761329992</t>
  </si>
  <si>
    <t>B03170</t>
  </si>
  <si>
    <t>B03171</t>
  </si>
  <si>
    <t>C1111</t>
  </si>
  <si>
    <t>B03172</t>
  </si>
  <si>
    <t>C1112</t>
  </si>
  <si>
    <t>B03173</t>
  </si>
  <si>
    <t>C1113</t>
  </si>
  <si>
    <t>B03174</t>
  </si>
  <si>
    <t>C1114</t>
  </si>
  <si>
    <t>B03175</t>
  </si>
  <si>
    <t>B03176</t>
  </si>
  <si>
    <t>0.12936145756849335</t>
  </si>
  <si>
    <t>B03177</t>
  </si>
  <si>
    <t>0.10507113572892124</t>
  </si>
  <si>
    <t>B03178</t>
  </si>
  <si>
    <t>0.1335113633861724</t>
  </si>
  <si>
    <t>B03179</t>
  </si>
  <si>
    <t>B03180</t>
  </si>
  <si>
    <t>B03181</t>
  </si>
  <si>
    <t>B03182</t>
  </si>
  <si>
    <t>C1115</t>
  </si>
  <si>
    <t>B03183</t>
  </si>
  <si>
    <t>C1116</t>
  </si>
  <si>
    <t>0.12229587155119291</t>
  </si>
  <si>
    <t>B03184</t>
  </si>
  <si>
    <t>B03185</t>
  </si>
  <si>
    <t>B03186</t>
  </si>
  <si>
    <t>C1117</t>
  </si>
  <si>
    <t>0.16668569344181766</t>
  </si>
  <si>
    <t>B03187</t>
  </si>
  <si>
    <t>0.10293517570959326</t>
  </si>
  <si>
    <t>B03188</t>
  </si>
  <si>
    <t>C1118</t>
  </si>
  <si>
    <t>0.10245897614084494</t>
  </si>
  <si>
    <t>B03189</t>
  </si>
  <si>
    <t>B03190</t>
  </si>
  <si>
    <t>0.1262196774962636</t>
  </si>
  <si>
    <t>B03191</t>
  </si>
  <si>
    <t>B03192</t>
  </si>
  <si>
    <t>0.11778393464734548</t>
  </si>
  <si>
    <t>B03193</t>
  </si>
  <si>
    <t>C1119</t>
  </si>
  <si>
    <t>B03194</t>
  </si>
  <si>
    <t>C1120</t>
  </si>
  <si>
    <t>B03195</t>
  </si>
  <si>
    <t>C1121</t>
  </si>
  <si>
    <t>0.013729091038782865</t>
  </si>
  <si>
    <t>B03196</t>
  </si>
  <si>
    <t>C1122</t>
  </si>
  <si>
    <t>B03197</t>
  </si>
  <si>
    <t>B03198</t>
  </si>
  <si>
    <t>0.030482866167795844</t>
  </si>
  <si>
    <t>B03199</t>
  </si>
  <si>
    <t>C1123</t>
  </si>
  <si>
    <t>0.14341839447392363</t>
  </si>
  <si>
    <t>B03200</t>
  </si>
  <si>
    <t>C1124</t>
  </si>
  <si>
    <t>B03201</t>
  </si>
  <si>
    <t>C1125</t>
  </si>
  <si>
    <t>0.11021299320146934</t>
  </si>
  <si>
    <t>B03202</t>
  </si>
  <si>
    <t>0.11488958386448768</t>
  </si>
  <si>
    <t>B03203</t>
  </si>
  <si>
    <t>C1126</t>
  </si>
  <si>
    <t>B03204</t>
  </si>
  <si>
    <t>B03205</t>
  </si>
  <si>
    <t>B03206</t>
  </si>
  <si>
    <t>C1127</t>
  </si>
  <si>
    <t>B03207</t>
  </si>
  <si>
    <t>B03208</t>
  </si>
  <si>
    <t>0.19642559414976596</t>
  </si>
  <si>
    <t>B03209</t>
  </si>
  <si>
    <t>B03210</t>
  </si>
  <si>
    <t>B03211</t>
  </si>
  <si>
    <t>B03212</t>
  </si>
  <si>
    <t>0.14904525524941567</t>
  </si>
  <si>
    <t>B03213</t>
  </si>
  <si>
    <t>0.14409576327589596</t>
  </si>
  <si>
    <t>B03214</t>
  </si>
  <si>
    <t>B03215</t>
  </si>
  <si>
    <t>0.13401813462688617</t>
  </si>
  <si>
    <t>B03216</t>
  </si>
  <si>
    <t>C1128</t>
  </si>
  <si>
    <t>0.10647992415552804</t>
  </si>
  <si>
    <t>B03217</t>
  </si>
  <si>
    <t>B03218</t>
  </si>
  <si>
    <t>0.10375641410027271</t>
  </si>
  <si>
    <t>B03219</t>
  </si>
  <si>
    <t>0.061518260725496716</t>
  </si>
  <si>
    <t>B03220</t>
  </si>
  <si>
    <t>C1129</t>
  </si>
  <si>
    <t>B03221</t>
  </si>
  <si>
    <t>C1130</t>
  </si>
  <si>
    <t>B03222</t>
  </si>
  <si>
    <t>C1131</t>
  </si>
  <si>
    <t>B03223</t>
  </si>
  <si>
    <t>B03224</t>
  </si>
  <si>
    <t>0.1434582582859796</t>
  </si>
  <si>
    <t>B03225</t>
  </si>
  <si>
    <t>C1132</t>
  </si>
  <si>
    <t>B03226</t>
  </si>
  <si>
    <t>B03227</t>
  </si>
  <si>
    <t>B03228</t>
  </si>
  <si>
    <t>C1133</t>
  </si>
  <si>
    <t>0.054140581962050044</t>
  </si>
  <si>
    <t>B03229</t>
  </si>
  <si>
    <t>C1134</t>
  </si>
  <si>
    <t>B03230</t>
  </si>
  <si>
    <t>B03231</t>
  </si>
  <si>
    <t>B03232</t>
  </si>
  <si>
    <t>B03233</t>
  </si>
  <si>
    <t>0.12601659653288133</t>
  </si>
  <si>
    <t>B03234</t>
  </si>
  <si>
    <t>0.11056511921259281</t>
  </si>
  <si>
    <t>B03235</t>
  </si>
  <si>
    <t>C1135</t>
  </si>
  <si>
    <t>0.1789408984688115</t>
  </si>
  <si>
    <t>B03236</t>
  </si>
  <si>
    <t>C1136</t>
  </si>
  <si>
    <t>0.14712303554437783</t>
  </si>
  <si>
    <t>B03237</t>
  </si>
  <si>
    <t>0.14861455783463148</t>
  </si>
  <si>
    <t>B03238</t>
  </si>
  <si>
    <t>C1137</t>
  </si>
  <si>
    <t>B03239</t>
  </si>
  <si>
    <t>0.12905027298793945</t>
  </si>
  <si>
    <t>B03240</t>
  </si>
  <si>
    <t>C1138</t>
  </si>
  <si>
    <t>0.12109877821015536</t>
  </si>
  <si>
    <t>B03241</t>
  </si>
  <si>
    <t>B03242</t>
  </si>
  <si>
    <t>B03243</t>
  </si>
  <si>
    <t>B03244</t>
  </si>
  <si>
    <t>0.041960156807714456</t>
  </si>
  <si>
    <t>B03245</t>
  </si>
  <si>
    <t>B03246</t>
  </si>
  <si>
    <t>0.11991833611898473</t>
  </si>
  <si>
    <t>B03247</t>
  </si>
  <si>
    <t>B03248</t>
  </si>
  <si>
    <t>C1139</t>
  </si>
  <si>
    <t>0.11565365291346512</t>
  </si>
  <si>
    <t>B03249</t>
  </si>
  <si>
    <t>B03250</t>
  </si>
  <si>
    <t>0.1274422226221981</t>
  </si>
  <si>
    <t>B03251</t>
  </si>
  <si>
    <t>C1140</t>
  </si>
  <si>
    <t>0.10135389490017929</t>
  </si>
  <si>
    <t>B03252</t>
  </si>
  <si>
    <t>C1141</t>
  </si>
  <si>
    <t>0.1472580867323525</t>
  </si>
  <si>
    <t>B03253</t>
  </si>
  <si>
    <t>C1142</t>
  </si>
  <si>
    <t>0.1186681841722833</t>
  </si>
  <si>
    <t>B03254</t>
  </si>
  <si>
    <t>C1143</t>
  </si>
  <si>
    <t>0.023643519144171538</t>
  </si>
  <si>
    <t>B03255</t>
  </si>
  <si>
    <t>0.1450181158696392</t>
  </si>
  <si>
    <t>B03256</t>
  </si>
  <si>
    <t>C1144</t>
  </si>
  <si>
    <t>0.10736199100809585</t>
  </si>
  <si>
    <t>B03257</t>
  </si>
  <si>
    <t>0.038662460339943326</t>
  </si>
  <si>
    <t>B03258</t>
  </si>
  <si>
    <t>C1145</t>
  </si>
  <si>
    <t>B03259</t>
  </si>
  <si>
    <t>C1146</t>
  </si>
  <si>
    <t>0.15373371488365362</t>
  </si>
  <si>
    <t>B03260</t>
  </si>
  <si>
    <t>C1147</t>
  </si>
  <si>
    <t>B03261</t>
  </si>
  <si>
    <t>0.11113773480374396</t>
  </si>
  <si>
    <t>B03262</t>
  </si>
  <si>
    <t>C1148</t>
  </si>
  <si>
    <t>0.11241746255972154</t>
  </si>
  <si>
    <t>B03263</t>
  </si>
  <si>
    <t>C1149</t>
  </si>
  <si>
    <t>B03264</t>
  </si>
  <si>
    <t>B03265</t>
  </si>
  <si>
    <t>0.15828903989203938</t>
  </si>
  <si>
    <t>B03266</t>
  </si>
  <si>
    <t>0.13719197488033458</t>
  </si>
  <si>
    <t>B03267</t>
  </si>
  <si>
    <t>0.11184439199925045</t>
  </si>
  <si>
    <t>B03268</t>
  </si>
  <si>
    <t>0.13064200170174636</t>
  </si>
  <si>
    <t>B03269</t>
  </si>
  <si>
    <t>C1150</t>
  </si>
  <si>
    <t>B03270</t>
  </si>
  <si>
    <t>C1151</t>
  </si>
  <si>
    <t>0.15765279729994977</t>
  </si>
  <si>
    <t>B03271</t>
  </si>
  <si>
    <t>0.12071215724613854</t>
  </si>
  <si>
    <t>B03272</t>
  </si>
  <si>
    <t>0.10625071684073667</t>
  </si>
  <si>
    <t>B03273</t>
  </si>
  <si>
    <t>B03274</t>
  </si>
  <si>
    <t>C1152</t>
  </si>
  <si>
    <t>B03275</t>
  </si>
  <si>
    <t>0.11714849077093635</t>
  </si>
  <si>
    <t>B03276</t>
  </si>
  <si>
    <t>C1153</t>
  </si>
  <si>
    <t>0.1459409227254822</t>
  </si>
  <si>
    <t>B03277</t>
  </si>
  <si>
    <t>0.12125904879265216</t>
  </si>
  <si>
    <t>B03278</t>
  </si>
  <si>
    <t>B03279</t>
  </si>
  <si>
    <t>B03280</t>
  </si>
  <si>
    <t>B03281</t>
  </si>
  <si>
    <t>C1154</t>
  </si>
  <si>
    <t>B03282</t>
  </si>
  <si>
    <t>C1155</t>
  </si>
  <si>
    <t>0.060266580448109654</t>
  </si>
  <si>
    <t>B03283</t>
  </si>
  <si>
    <t>B03284</t>
  </si>
  <si>
    <t>B03285</t>
  </si>
  <si>
    <t>C1156</t>
  </si>
  <si>
    <t>B03286</t>
  </si>
  <si>
    <t>0.2127027041188756</t>
  </si>
  <si>
    <t>B03287</t>
  </si>
  <si>
    <t>C1157</t>
  </si>
  <si>
    <t>B03288</t>
  </si>
  <si>
    <t>C1158</t>
  </si>
  <si>
    <t>0.15634233511813173</t>
  </si>
  <si>
    <t>B03289</t>
  </si>
  <si>
    <t>B03290</t>
  </si>
  <si>
    <t>B03291</t>
  </si>
  <si>
    <t>B03292</t>
  </si>
  <si>
    <t>B03293</t>
  </si>
  <si>
    <t>0.12780331468131517</t>
  </si>
  <si>
    <t>B03294</t>
  </si>
  <si>
    <t>0.1330825683314914</t>
  </si>
  <si>
    <t>B03295</t>
  </si>
  <si>
    <t>0.13541393667457052</t>
  </si>
  <si>
    <t>B03296</t>
  </si>
  <si>
    <t>C1159</t>
  </si>
  <si>
    <t>B03297</t>
  </si>
  <si>
    <t>0.14471528604075204</t>
  </si>
  <si>
    <t>B03298</t>
  </si>
  <si>
    <t>0.12468086751333704</t>
  </si>
  <si>
    <t>B03299</t>
  </si>
  <si>
    <t>C1160</t>
  </si>
  <si>
    <t>0.15074141587301085</t>
  </si>
  <si>
    <t>B03300</t>
  </si>
  <si>
    <t>B03301</t>
  </si>
  <si>
    <t>B03302</t>
  </si>
  <si>
    <t>0.1269681295193428</t>
  </si>
  <si>
    <t>B03303</t>
  </si>
  <si>
    <t>0.14576156348643438</t>
  </si>
  <si>
    <t>B03304</t>
  </si>
  <si>
    <t>0.015522656838100196</t>
  </si>
  <si>
    <t>B03305</t>
  </si>
  <si>
    <t>C1161</t>
  </si>
  <si>
    <t>0.17772123047156943</t>
  </si>
  <si>
    <t>B03306</t>
  </si>
  <si>
    <t>0.10826936543767435</t>
  </si>
  <si>
    <t>B03307</t>
  </si>
  <si>
    <t>C1162</t>
  </si>
  <si>
    <t>0.025593318071040566</t>
  </si>
  <si>
    <t>B03308</t>
  </si>
  <si>
    <t>B03309</t>
  </si>
  <si>
    <t>0.14850487698012704</t>
  </si>
  <si>
    <t>B03310</t>
  </si>
  <si>
    <t>0.12044596440945193</t>
  </si>
  <si>
    <t>B03311</t>
  </si>
  <si>
    <t>C1163</t>
  </si>
  <si>
    <t>0.11154054621470244</t>
  </si>
  <si>
    <t>B03312</t>
  </si>
  <si>
    <t>C1164</t>
  </si>
  <si>
    <t>0.12672749487926901</t>
  </si>
  <si>
    <t>B03313</t>
  </si>
  <si>
    <t>0.16119083756988906</t>
  </si>
  <si>
    <t>B03314</t>
  </si>
  <si>
    <t>C1165</t>
  </si>
  <si>
    <t>B03315</t>
  </si>
  <si>
    <t>B03316</t>
  </si>
  <si>
    <t>0.13389493918123335</t>
  </si>
  <si>
    <t>B03317</t>
  </si>
  <si>
    <t>C1166</t>
  </si>
  <si>
    <t>B03318</t>
  </si>
  <si>
    <t>B03319</t>
  </si>
  <si>
    <t>C1167</t>
  </si>
  <si>
    <t>B03320</t>
  </si>
  <si>
    <t>0.14226699287705633</t>
  </si>
  <si>
    <t>B03321</t>
  </si>
  <si>
    <t>C1168</t>
  </si>
  <si>
    <t>0.14380209830504448</t>
  </si>
  <si>
    <t>B03322</t>
  </si>
  <si>
    <t>0.047163917045008705</t>
  </si>
  <si>
    <t>B03323</t>
  </si>
  <si>
    <t>B03324</t>
  </si>
  <si>
    <t>0.10069409679631336</t>
  </si>
  <si>
    <t>B03325</t>
  </si>
  <si>
    <t>B03326</t>
  </si>
  <si>
    <t>B03327</t>
  </si>
  <si>
    <t>C1169</t>
  </si>
  <si>
    <t>0.1530308303332415</t>
  </si>
  <si>
    <t>B03328</t>
  </si>
  <si>
    <t>B03329</t>
  </si>
  <si>
    <t>0.15873532750412878</t>
  </si>
  <si>
    <t>B03330</t>
  </si>
  <si>
    <t>C1170</t>
  </si>
  <si>
    <t>B03331</t>
  </si>
  <si>
    <t>C1171</t>
  </si>
  <si>
    <t>0.10978191965077251</t>
  </si>
  <si>
    <t>B03332</t>
  </si>
  <si>
    <t>0.10328151810671342</t>
  </si>
  <si>
    <t>B03333</t>
  </si>
  <si>
    <t>0.15873127319884478</t>
  </si>
  <si>
    <t>B03334</t>
  </si>
  <si>
    <t>C1172</t>
  </si>
  <si>
    <t>0.10768739859314486</t>
  </si>
  <si>
    <t>B03335</t>
  </si>
  <si>
    <t>C1173</t>
  </si>
  <si>
    <t>0.13265101666440568</t>
  </si>
  <si>
    <t>B03336</t>
  </si>
  <si>
    <t>C1174</t>
  </si>
  <si>
    <t>B03337</t>
  </si>
  <si>
    <t>B03338</t>
  </si>
  <si>
    <t>B03339</t>
  </si>
  <si>
    <t>C1175</t>
  </si>
  <si>
    <t>0.15985082295003553</t>
  </si>
  <si>
    <t>B03340</t>
  </si>
  <si>
    <t>B03341</t>
  </si>
  <si>
    <t>B03342</t>
  </si>
  <si>
    <t>B03343</t>
  </si>
  <si>
    <t>0.12471559404365663</t>
  </si>
  <si>
    <t>B03344</t>
  </si>
  <si>
    <t>0.024380813560072698</t>
  </si>
  <si>
    <t>B03345</t>
  </si>
  <si>
    <t>B03346</t>
  </si>
  <si>
    <t>0.040099658966855696</t>
  </si>
  <si>
    <t>B03347</t>
  </si>
  <si>
    <t>C1176</t>
  </si>
  <si>
    <t>0.14532526828918646</t>
  </si>
  <si>
    <t>B03348</t>
  </si>
  <si>
    <t>C1177</t>
  </si>
  <si>
    <t>0.10889834734506747</t>
  </si>
  <si>
    <t>B03349</t>
  </si>
  <si>
    <t>C1178</t>
  </si>
  <si>
    <t>B03350</t>
  </si>
  <si>
    <t>B03351</t>
  </si>
  <si>
    <t>C1179</t>
  </si>
  <si>
    <t>0.13467874109224662</t>
  </si>
  <si>
    <t>B03352</t>
  </si>
  <si>
    <t>C1180</t>
  </si>
  <si>
    <t>B03353</t>
  </si>
  <si>
    <t>0.1311361969882473</t>
  </si>
  <si>
    <t>B03354</t>
  </si>
  <si>
    <t>B03355</t>
  </si>
  <si>
    <t>0.11847900691547567</t>
  </si>
  <si>
    <t>B03356</t>
  </si>
  <si>
    <t>C1181</t>
  </si>
  <si>
    <t>0.10060859364773089</t>
  </si>
  <si>
    <t>B03357</t>
  </si>
  <si>
    <t>0.13684047989867548</t>
  </si>
  <si>
    <t>B03358</t>
  </si>
  <si>
    <t>0.13560671054782306</t>
  </si>
  <si>
    <t>B03359</t>
  </si>
  <si>
    <t>B03360</t>
  </si>
  <si>
    <t>B03361</t>
  </si>
  <si>
    <t>C1182</t>
  </si>
  <si>
    <t>0.12705316973086805</t>
  </si>
  <si>
    <t>B03362</t>
  </si>
  <si>
    <t>0.10850779355088604</t>
  </si>
  <si>
    <t>B03363</t>
  </si>
  <si>
    <t>0.10175239222506828</t>
  </si>
  <si>
    <t>B03364</t>
  </si>
  <si>
    <t>B03365</t>
  </si>
  <si>
    <t>C1183</t>
  </si>
  <si>
    <t>B03366</t>
  </si>
  <si>
    <t>C1184</t>
  </si>
  <si>
    <t>0.11645697553301004</t>
  </si>
  <si>
    <t>B03367</t>
  </si>
  <si>
    <t>B03368</t>
  </si>
  <si>
    <t>B03369</t>
  </si>
  <si>
    <t>C1185</t>
  </si>
  <si>
    <t>0.12637514473562012</t>
  </si>
  <si>
    <t>B03370</t>
  </si>
  <si>
    <t>C1186</t>
  </si>
  <si>
    <t>0.1372062731304166</t>
  </si>
  <si>
    <t>B03371</t>
  </si>
  <si>
    <t>C1187</t>
  </si>
  <si>
    <t>B03372</t>
  </si>
  <si>
    <t>C1188</t>
  </si>
  <si>
    <t>0.11503674111093717</t>
  </si>
  <si>
    <t>B03373</t>
  </si>
  <si>
    <t>B03374</t>
  </si>
  <si>
    <t>B03375</t>
  </si>
  <si>
    <t>0.1397535428805824</t>
  </si>
  <si>
    <t>B03376</t>
  </si>
  <si>
    <t>C1189</t>
  </si>
  <si>
    <t>0.12164128723262216</t>
  </si>
  <si>
    <t>B03377</t>
  </si>
  <si>
    <t>0.11540083028599299</t>
  </si>
  <si>
    <t>B03378</t>
  </si>
  <si>
    <t>C1190</t>
  </si>
  <si>
    <t>0.15358795134353473</t>
  </si>
  <si>
    <t>B03379</t>
  </si>
  <si>
    <t>B03380</t>
  </si>
  <si>
    <t>C1191</t>
  </si>
  <si>
    <t>B03381</t>
  </si>
  <si>
    <t>B03382</t>
  </si>
  <si>
    <t>0.12125616513125781</t>
  </si>
  <si>
    <t>B03383</t>
  </si>
  <si>
    <t>C1192</t>
  </si>
  <si>
    <t>0.16079139596887795</t>
  </si>
  <si>
    <t>B03384</t>
  </si>
  <si>
    <t>0.11439869591027658</t>
  </si>
  <si>
    <t>B03385</t>
  </si>
  <si>
    <t>C1193</t>
  </si>
  <si>
    <t>B03386</t>
  </si>
  <si>
    <t>C1194</t>
  </si>
  <si>
    <t>B03387</t>
  </si>
  <si>
    <t>B03388</t>
  </si>
  <si>
    <t>0.13177770589091875</t>
  </si>
  <si>
    <t>B03389</t>
  </si>
  <si>
    <t>0.12434088550889957</t>
  </si>
  <si>
    <t>B03390</t>
  </si>
  <si>
    <t>0.11375275923076185</t>
  </si>
  <si>
    <t>B03391</t>
  </si>
  <si>
    <t>B03392</t>
  </si>
  <si>
    <t>C1195</t>
  </si>
  <si>
    <t>B03393</t>
  </si>
  <si>
    <t>B03394</t>
  </si>
  <si>
    <t>0.15914086437192043</t>
  </si>
  <si>
    <t>B03395</t>
  </si>
  <si>
    <t>B03396</t>
  </si>
  <si>
    <t>B03397</t>
  </si>
  <si>
    <t>C1196</t>
  </si>
  <si>
    <t>0.12528355533084937</t>
  </si>
  <si>
    <t>B03398</t>
  </si>
  <si>
    <t>B03399</t>
  </si>
  <si>
    <t>C1197</t>
  </si>
  <si>
    <t>B03400</t>
  </si>
  <si>
    <t>B03401</t>
  </si>
  <si>
    <t>C1198</t>
  </si>
  <si>
    <t>B03402</t>
  </si>
  <si>
    <t>0.12922848049377492</t>
  </si>
  <si>
    <t>B03403</t>
  </si>
  <si>
    <t>C1199</t>
  </si>
  <si>
    <t>0.21002897007382254</t>
  </si>
  <si>
    <t>B03404</t>
  </si>
  <si>
    <t>C1200</t>
  </si>
  <si>
    <t>0.11730715978283873</t>
  </si>
  <si>
    <t>B03405</t>
  </si>
  <si>
    <t>0.12201358228501069</t>
  </si>
  <si>
    <t>B03406</t>
  </si>
  <si>
    <t>C1201</t>
  </si>
  <si>
    <t>B03407</t>
  </si>
  <si>
    <t>0.18124689821738016</t>
  </si>
  <si>
    <t>B03408</t>
  </si>
  <si>
    <t>C1202</t>
  </si>
  <si>
    <t>B03409</t>
  </si>
  <si>
    <t>B03410</t>
  </si>
  <si>
    <t>B03411</t>
  </si>
  <si>
    <t>C1203</t>
  </si>
  <si>
    <t>B03412</t>
  </si>
  <si>
    <t>C1204</t>
  </si>
  <si>
    <t>B03413</t>
  </si>
  <si>
    <t>0.11295100343665032</t>
  </si>
  <si>
    <t>B03414</t>
  </si>
  <si>
    <t>C1205</t>
  </si>
  <si>
    <t>0.020265909035834043</t>
  </si>
  <si>
    <t>B03415</t>
  </si>
  <si>
    <t>B03416</t>
  </si>
  <si>
    <t>0.11469034174980422</t>
  </si>
  <si>
    <t>B03417</t>
  </si>
  <si>
    <t>C1206</t>
  </si>
  <si>
    <t>0.12824030526190447</t>
  </si>
  <si>
    <t>B03418</t>
  </si>
  <si>
    <t>C1207</t>
  </si>
  <si>
    <t>B03419</t>
  </si>
  <si>
    <t>B03420</t>
  </si>
  <si>
    <t>0.1384398649670674</t>
  </si>
  <si>
    <t>B03421</t>
  </si>
  <si>
    <t>B03422</t>
  </si>
  <si>
    <t>B03423</t>
  </si>
  <si>
    <t>C1208</t>
  </si>
  <si>
    <t>0.12553445055707407</t>
  </si>
  <si>
    <t>B03424</t>
  </si>
  <si>
    <t>C1209</t>
  </si>
  <si>
    <t>0.11740712740629237</t>
  </si>
  <si>
    <t>B03425</t>
  </si>
  <si>
    <t>C1210</t>
  </si>
  <si>
    <t>0.1254123532651489</t>
  </si>
  <si>
    <t>B03426</t>
  </si>
  <si>
    <t>B03427</t>
  </si>
  <si>
    <t>B03428</t>
  </si>
  <si>
    <t>B03429</t>
  </si>
  <si>
    <t>B03430</t>
  </si>
  <si>
    <t>0.10826511975427974</t>
  </si>
  <si>
    <t>B03431</t>
  </si>
  <si>
    <t>0.015675322999027366</t>
  </si>
  <si>
    <t>B03432</t>
  </si>
  <si>
    <t>0.1602611523478701</t>
  </si>
  <si>
    <t>B03433</t>
  </si>
  <si>
    <t>B03434</t>
  </si>
  <si>
    <t>C1211</t>
  </si>
  <si>
    <t>0.056214554735852545</t>
  </si>
  <si>
    <t>B03435</t>
  </si>
  <si>
    <t>B03436</t>
  </si>
  <si>
    <t>C1212</t>
  </si>
  <si>
    <t>0.12572148417203485</t>
  </si>
  <si>
    <t>B03437</t>
  </si>
  <si>
    <t>0.15236939696071422</t>
  </si>
  <si>
    <t>B03438</t>
  </si>
  <si>
    <t>C1213</t>
  </si>
  <si>
    <t>0.10294039023374894</t>
  </si>
  <si>
    <t>B03439</t>
  </si>
  <si>
    <t>C1214</t>
  </si>
  <si>
    <t>0.1804904764313362</t>
  </si>
  <si>
    <t>B03440</t>
  </si>
  <si>
    <t>B03441</t>
  </si>
  <si>
    <t>B03442</t>
  </si>
  <si>
    <t>C1215</t>
  </si>
  <si>
    <t>0.12406223405572445</t>
  </si>
  <si>
    <t>B03443</t>
  </si>
  <si>
    <t>B03444</t>
  </si>
  <si>
    <t>0.10548138181248574</t>
  </si>
  <si>
    <t>B03445</t>
  </si>
  <si>
    <t>0.11469147673899753</t>
  </si>
  <si>
    <t>B03446</t>
  </si>
  <si>
    <t>C1216</t>
  </si>
  <si>
    <t>0.12011888606147725</t>
  </si>
  <si>
    <t>B03447</t>
  </si>
  <si>
    <t>B03448</t>
  </si>
  <si>
    <t>C1217</t>
  </si>
  <si>
    <t>0.1187867910074501</t>
  </si>
  <si>
    <t>B03449</t>
  </si>
  <si>
    <t>C1218</t>
  </si>
  <si>
    <t>0.16304972017518765</t>
  </si>
  <si>
    <t>B03450</t>
  </si>
  <si>
    <t>0.13394249052851073</t>
  </si>
  <si>
    <t>B03451</t>
  </si>
  <si>
    <t>B03452</t>
  </si>
  <si>
    <t>0.10669224400473988</t>
  </si>
  <si>
    <t>B03453</t>
  </si>
  <si>
    <t>B03454</t>
  </si>
  <si>
    <t>C1219</t>
  </si>
  <si>
    <t>0.12722117430159435</t>
  </si>
  <si>
    <t>B03455</t>
  </si>
  <si>
    <t>B03456</t>
  </si>
  <si>
    <t>0.16578069310461663</t>
  </si>
  <si>
    <t>B03457</t>
  </si>
  <si>
    <t>C1220</t>
  </si>
  <si>
    <t>0.040819570762734146</t>
  </si>
  <si>
    <t>B03458</t>
  </si>
  <si>
    <t>C1221</t>
  </si>
  <si>
    <t>0.10694571664786638</t>
  </si>
  <si>
    <t>B03459</t>
  </si>
  <si>
    <t>0.10838675717484693</t>
  </si>
  <si>
    <t>B03460</t>
  </si>
  <si>
    <t>B03461</t>
  </si>
  <si>
    <t>0.1257410259575635</t>
  </si>
  <si>
    <t>B03462</t>
  </si>
  <si>
    <t>B03463</t>
  </si>
  <si>
    <t>0.15647135608229076</t>
  </si>
  <si>
    <t>B03464</t>
  </si>
  <si>
    <t>C1222</t>
  </si>
  <si>
    <t>B03465</t>
  </si>
  <si>
    <t>0.047504029258906545</t>
  </si>
  <si>
    <t>B03466</t>
  </si>
  <si>
    <t>C1223</t>
  </si>
  <si>
    <t>B03467</t>
  </si>
  <si>
    <t>0.11097533358127555</t>
  </si>
  <si>
    <t>B03468</t>
  </si>
  <si>
    <t>C1224</t>
  </si>
  <si>
    <t>B03469</t>
  </si>
  <si>
    <t>0.16004156619270243</t>
  </si>
  <si>
    <t>B03470</t>
  </si>
  <si>
    <t>B03471</t>
  </si>
  <si>
    <t>0.2013628733059676</t>
  </si>
  <si>
    <t>B03472</t>
  </si>
  <si>
    <t>B03473</t>
  </si>
  <si>
    <t>C1225</t>
  </si>
  <si>
    <t>0.10745750860288612</t>
  </si>
  <si>
    <t>B03474</t>
  </si>
  <si>
    <t>0.10721011670637287</t>
  </si>
  <si>
    <t>B03475</t>
  </si>
  <si>
    <t>B03476</t>
  </si>
  <si>
    <t>C1226</t>
  </si>
  <si>
    <t>0.14469584326411128</t>
  </si>
  <si>
    <t>B03477</t>
  </si>
  <si>
    <t>C1227</t>
  </si>
  <si>
    <t>0.11296358669965835</t>
  </si>
  <si>
    <t>B03478</t>
  </si>
  <si>
    <t>C1228</t>
  </si>
  <si>
    <t>0.1503042570899597</t>
  </si>
  <si>
    <t>B03479</t>
  </si>
  <si>
    <t>C1229</t>
  </si>
  <si>
    <t>0.11211865654801058</t>
  </si>
  <si>
    <t>B03480</t>
  </si>
  <si>
    <t>0.10979819890715459</t>
  </si>
  <si>
    <t>B03481</t>
  </si>
  <si>
    <t>B03482</t>
  </si>
  <si>
    <t>0.1359566347164438</t>
  </si>
  <si>
    <t>B03483</t>
  </si>
  <si>
    <t>0.14722606611768563</t>
  </si>
  <si>
    <t>B03484</t>
  </si>
  <si>
    <t>B03485</t>
  </si>
  <si>
    <t>C1230</t>
  </si>
  <si>
    <t>0.1336326256906703</t>
  </si>
  <si>
    <t>B03486</t>
  </si>
  <si>
    <t>0.15130490872596963</t>
  </si>
  <si>
    <t>B03487</t>
  </si>
  <si>
    <t>0.14432031674723403</t>
  </si>
  <si>
    <t>B03488</t>
  </si>
  <si>
    <t>0.13030909838105445</t>
  </si>
  <si>
    <t>B03489</t>
  </si>
  <si>
    <t>C1231</t>
  </si>
  <si>
    <t>B03490</t>
  </si>
  <si>
    <t>C1232</t>
  </si>
  <si>
    <t>B03491</t>
  </si>
  <si>
    <t>B03492</t>
  </si>
  <si>
    <t>B03493</t>
  </si>
  <si>
    <t>0.10877135937916484</t>
  </si>
  <si>
    <t>B03494</t>
  </si>
  <si>
    <t>C1233</t>
  </si>
  <si>
    <t>0.15051369298439815</t>
  </si>
  <si>
    <t>B03495</t>
  </si>
  <si>
    <t>0.10720159729661138</t>
  </si>
  <si>
    <t>B03496</t>
  </si>
  <si>
    <t>B03497</t>
  </si>
  <si>
    <t>B03498</t>
  </si>
  <si>
    <t>C1234</t>
  </si>
  <si>
    <t>0.12509100324680747</t>
  </si>
  <si>
    <t>B03499</t>
  </si>
  <si>
    <t>B03500</t>
  </si>
  <si>
    <t>B03501</t>
  </si>
  <si>
    <t>B03502</t>
  </si>
  <si>
    <t>0.11271693068639532</t>
  </si>
  <si>
    <t>B03503</t>
  </si>
  <si>
    <t>B03504</t>
  </si>
  <si>
    <t>0.17569213121618243</t>
  </si>
  <si>
    <t>B03505</t>
  </si>
  <si>
    <t>B03506</t>
  </si>
  <si>
    <t>0.13296545450501462</t>
  </si>
  <si>
    <t>B03507</t>
  </si>
  <si>
    <t>C1235</t>
  </si>
  <si>
    <t>0.13453693668715977</t>
  </si>
  <si>
    <t>B03508</t>
  </si>
  <si>
    <t>C1236</t>
  </si>
  <si>
    <t>B03509</t>
  </si>
  <si>
    <t>0.1480795932868928</t>
  </si>
  <si>
    <t>B03510</t>
  </si>
  <si>
    <t>B03511</t>
  </si>
  <si>
    <t>B03512</t>
  </si>
  <si>
    <t>0.10590445966553369</t>
  </si>
  <si>
    <t>B03513</t>
  </si>
  <si>
    <t>B03514</t>
  </si>
  <si>
    <t>0.1046459106428921</t>
  </si>
  <si>
    <t>B03515</t>
  </si>
  <si>
    <t>0.027570393429735676</t>
  </si>
  <si>
    <t>B03516</t>
  </si>
  <si>
    <t>C1237</t>
  </si>
  <si>
    <t>B03517</t>
  </si>
  <si>
    <t>C1238</t>
  </si>
  <si>
    <t>0.10032719080986034</t>
  </si>
  <si>
    <t>B03518</t>
  </si>
  <si>
    <t>B03519</t>
  </si>
  <si>
    <t>C1239</t>
  </si>
  <si>
    <t>0.11125938948671864</t>
  </si>
  <si>
    <t>B03520</t>
  </si>
  <si>
    <t>C1240</t>
  </si>
  <si>
    <t>0.11882042041034346</t>
  </si>
  <si>
    <t>B03521</t>
  </si>
  <si>
    <t>C1241</t>
  </si>
  <si>
    <t>0.13564556569011163</t>
  </si>
  <si>
    <t>B03522</t>
  </si>
  <si>
    <t>0.14834876400948807</t>
  </si>
  <si>
    <t>B03523</t>
  </si>
  <si>
    <t>B03524</t>
  </si>
  <si>
    <t>0.14434146155866767</t>
  </si>
  <si>
    <t>B03525</t>
  </si>
  <si>
    <t>C1242</t>
  </si>
  <si>
    <t>0.16343811847031475</t>
  </si>
  <si>
    <t>B03526</t>
  </si>
  <si>
    <t>B03527</t>
  </si>
  <si>
    <t>B03528</t>
  </si>
  <si>
    <t>0.12313738438979543</t>
  </si>
  <si>
    <t>B03529</t>
  </si>
  <si>
    <t>C1243</t>
  </si>
  <si>
    <t>B03530</t>
  </si>
  <si>
    <t>C1244</t>
  </si>
  <si>
    <t>B03531</t>
  </si>
  <si>
    <t>C1245</t>
  </si>
  <si>
    <t>B03532</t>
  </si>
  <si>
    <t>C1246</t>
  </si>
  <si>
    <t>0.10130915484768958</t>
  </si>
  <si>
    <t>B03533</t>
  </si>
  <si>
    <t>B03534</t>
  </si>
  <si>
    <t>C1247</t>
  </si>
  <si>
    <t>0.11177478035421504</t>
  </si>
  <si>
    <t>B03535</t>
  </si>
  <si>
    <t>0.13248647748882386</t>
  </si>
  <si>
    <t>B03536</t>
  </si>
  <si>
    <t>B03537</t>
  </si>
  <si>
    <t>B03538</t>
  </si>
  <si>
    <t>B03539</t>
  </si>
  <si>
    <t>C1248</t>
  </si>
  <si>
    <t>0.1316065893780376</t>
  </si>
  <si>
    <t>B03540</t>
  </si>
  <si>
    <t>B03541</t>
  </si>
  <si>
    <t>C1249</t>
  </si>
  <si>
    <t>0.011375943879283146</t>
  </si>
  <si>
    <t>B03542</t>
  </si>
  <si>
    <t>C1250</t>
  </si>
  <si>
    <t>0.11208548719305023</t>
  </si>
  <si>
    <t>B03543</t>
  </si>
  <si>
    <t>B03544</t>
  </si>
  <si>
    <t>0.1658285786625331</t>
  </si>
  <si>
    <t>B03545</t>
  </si>
  <si>
    <t>B03546</t>
  </si>
  <si>
    <t>C1251</t>
  </si>
  <si>
    <t>0.13802183855177258</t>
  </si>
  <si>
    <t>B03547</t>
  </si>
  <si>
    <t>C1252</t>
  </si>
  <si>
    <t>0.1265137126475278</t>
  </si>
  <si>
    <t>B03548</t>
  </si>
  <si>
    <t>C1253</t>
  </si>
  <si>
    <t>B03549</t>
  </si>
  <si>
    <t>B03550</t>
  </si>
  <si>
    <t>0.1534160801664201</t>
  </si>
  <si>
    <t>B03551</t>
  </si>
  <si>
    <t>B03552</t>
  </si>
  <si>
    <t>0.13957486321733364</t>
  </si>
  <si>
    <t>B03553</t>
  </si>
  <si>
    <t>C1254</t>
  </si>
  <si>
    <t>0.10686922244987113</t>
  </si>
  <si>
    <t>B03554</t>
  </si>
  <si>
    <t>B03555</t>
  </si>
  <si>
    <t>0.10669864375393433</t>
  </si>
  <si>
    <t>B03556</t>
  </si>
  <si>
    <t>0.10250389436805243</t>
  </si>
  <si>
    <t>B03557</t>
  </si>
  <si>
    <t>0.14995540568978594</t>
  </si>
  <si>
    <t>B03558</t>
  </si>
  <si>
    <t>0.15796392084342048</t>
  </si>
  <si>
    <t>B03559</t>
  </si>
  <si>
    <t>C1255</t>
  </si>
  <si>
    <t>0.13004202899025205</t>
  </si>
  <si>
    <t>B03560</t>
  </si>
  <si>
    <t>0.14950239482359262</t>
  </si>
  <si>
    <t>B03561</t>
  </si>
  <si>
    <t>C1256</t>
  </si>
  <si>
    <t>B03562</t>
  </si>
  <si>
    <t>0.1120824108376835</t>
  </si>
  <si>
    <t>B03563</t>
  </si>
  <si>
    <t>B03564</t>
  </si>
  <si>
    <t>0.10420889501253788</t>
  </si>
  <si>
    <t>B03565</t>
  </si>
  <si>
    <t>B03566</t>
  </si>
  <si>
    <t>C1257</t>
  </si>
  <si>
    <t>0.1221527017531067</t>
  </si>
  <si>
    <t>B03567</t>
  </si>
  <si>
    <t>0.1266427032837423</t>
  </si>
  <si>
    <t>B03568</t>
  </si>
  <si>
    <t>0.16379659335624394</t>
  </si>
  <si>
    <t>B03569</t>
  </si>
  <si>
    <t>B03570</t>
  </si>
  <si>
    <t>C1258</t>
  </si>
  <si>
    <t>0.1887769548628144</t>
  </si>
  <si>
    <t>B03571</t>
  </si>
  <si>
    <t>C1259</t>
  </si>
  <si>
    <t>B03572</t>
  </si>
  <si>
    <t>B03573</t>
  </si>
  <si>
    <t>C1260</t>
  </si>
  <si>
    <t>0.12267420881887588</t>
  </si>
  <si>
    <t>B03574</t>
  </si>
  <si>
    <t>B03575</t>
  </si>
  <si>
    <t>B03576</t>
  </si>
  <si>
    <t>C1261</t>
  </si>
  <si>
    <t>0.12441361808987807</t>
  </si>
  <si>
    <t>B03577</t>
  </si>
  <si>
    <t>C1262</t>
  </si>
  <si>
    <t>0.11655223464934249</t>
  </si>
  <si>
    <t>B03578</t>
  </si>
  <si>
    <t>B03579</t>
  </si>
  <si>
    <t>C1263</t>
  </si>
  <si>
    <t>0.14455598311125203</t>
  </si>
  <si>
    <t>B03580</t>
  </si>
  <si>
    <t>B03581</t>
  </si>
  <si>
    <t>0.17329407233635605</t>
  </si>
  <si>
    <t>B03582</t>
  </si>
  <si>
    <t>B03583</t>
  </si>
  <si>
    <t>C1264</t>
  </si>
  <si>
    <t>0.1005955059945498</t>
  </si>
  <si>
    <t>B03584</t>
  </si>
  <si>
    <t>C1265</t>
  </si>
  <si>
    <t>0.1450411431193148</t>
  </si>
  <si>
    <t>B03585</t>
  </si>
  <si>
    <t>0.14924459192966766</t>
  </si>
  <si>
    <t>B03586</t>
  </si>
  <si>
    <t>0.17987179868484904</t>
  </si>
  <si>
    <t>B03587</t>
  </si>
  <si>
    <t>0.1514596622838638</t>
  </si>
  <si>
    <t>B03588</t>
  </si>
  <si>
    <t>C1266</t>
  </si>
  <si>
    <t>0.10003720741246099</t>
  </si>
  <si>
    <t>B03589</t>
  </si>
  <si>
    <t>C1267</t>
  </si>
  <si>
    <t>0.1263621799784014</t>
  </si>
  <si>
    <t>B03590</t>
  </si>
  <si>
    <t>C1268</t>
  </si>
  <si>
    <t>B03591</t>
  </si>
  <si>
    <t>0.051848353137856865</t>
  </si>
  <si>
    <t>B03592</t>
  </si>
  <si>
    <t>0.10755347486240743</t>
  </si>
  <si>
    <t>B03593</t>
  </si>
  <si>
    <t>0.14079991449506293</t>
  </si>
  <si>
    <t>B03594</t>
  </si>
  <si>
    <t>B03595</t>
  </si>
  <si>
    <t>C1269</t>
  </si>
  <si>
    <t>0.1214943357191575</t>
  </si>
  <si>
    <t>B03596</t>
  </si>
  <si>
    <t>B03597</t>
  </si>
  <si>
    <t>0.10025565595462642</t>
  </si>
  <si>
    <t>B03598</t>
  </si>
  <si>
    <t>0.10341229401734289</t>
  </si>
  <si>
    <t>B03599</t>
  </si>
  <si>
    <t>0.11114561267254486</t>
  </si>
  <si>
    <t>B03600</t>
  </si>
  <si>
    <t>C1270</t>
  </si>
  <si>
    <t>0.10997454193963649</t>
  </si>
  <si>
    <t>B03601</t>
  </si>
  <si>
    <t>B03602</t>
  </si>
  <si>
    <t>B03603</t>
  </si>
  <si>
    <t>C1271</t>
  </si>
  <si>
    <t>B03604</t>
  </si>
  <si>
    <t>B03605</t>
  </si>
  <si>
    <t>0.12356095624019295</t>
  </si>
  <si>
    <t>B03606</t>
  </si>
  <si>
    <t>B03607</t>
  </si>
  <si>
    <t>C1272</t>
  </si>
  <si>
    <t>0.16504408785184485</t>
  </si>
  <si>
    <t>B03608</t>
  </si>
  <si>
    <t>C1273</t>
  </si>
  <si>
    <t>0.16003945339997394</t>
  </si>
  <si>
    <t>B03609</t>
  </si>
  <si>
    <t>C1274</t>
  </si>
  <si>
    <t>B03610</t>
  </si>
  <si>
    <t>B03611</t>
  </si>
  <si>
    <t>B03612</t>
  </si>
  <si>
    <t>B03613</t>
  </si>
  <si>
    <t>0.1469500777988027</t>
  </si>
  <si>
    <t>B03614</t>
  </si>
  <si>
    <t>C1275</t>
  </si>
  <si>
    <t>0.10516022895156753</t>
  </si>
  <si>
    <t>B03615</t>
  </si>
  <si>
    <t>B03616</t>
  </si>
  <si>
    <t>0.10183366736092528</t>
  </si>
  <si>
    <t>B03617</t>
  </si>
  <si>
    <t>C1276</t>
  </si>
  <si>
    <t>0.10268484328991162</t>
  </si>
  <si>
    <t>B03618</t>
  </si>
  <si>
    <t>0.11655718565504233</t>
  </si>
  <si>
    <t>B03619</t>
  </si>
  <si>
    <t>C1277</t>
  </si>
  <si>
    <t>B03620</t>
  </si>
  <si>
    <t>0.1364134085996179</t>
  </si>
  <si>
    <t>B03621</t>
  </si>
  <si>
    <t>C1278</t>
  </si>
  <si>
    <t>0.027627271580604226</t>
  </si>
  <si>
    <t>B03622</t>
  </si>
  <si>
    <t>0.15412252756278122</t>
  </si>
  <si>
    <t>B03623</t>
  </si>
  <si>
    <t>C1279</t>
  </si>
  <si>
    <t>B03624</t>
  </si>
  <si>
    <t>C1280</t>
  </si>
  <si>
    <t>0.21789209961519818</t>
  </si>
  <si>
    <t>B03625</t>
  </si>
  <si>
    <t>C1281</t>
  </si>
  <si>
    <t>B03626</t>
  </si>
  <si>
    <t>0.10792772601035615</t>
  </si>
  <si>
    <t>B03627</t>
  </si>
  <si>
    <t>0.11307573941255303</t>
  </si>
  <si>
    <t>B03628</t>
  </si>
  <si>
    <t>B03629</t>
  </si>
  <si>
    <t>B03630</t>
  </si>
  <si>
    <t>C1282</t>
  </si>
  <si>
    <t>0.14510000632788939</t>
  </si>
  <si>
    <t>B03631</t>
  </si>
  <si>
    <t>0.10441661550951944</t>
  </si>
  <si>
    <t>B03632</t>
  </si>
  <si>
    <t>B03633</t>
  </si>
  <si>
    <t>C1283</t>
  </si>
  <si>
    <t>B03634</t>
  </si>
  <si>
    <t>0.14586521498238955</t>
  </si>
  <si>
    <t>B03635</t>
  </si>
  <si>
    <t>B03636</t>
  </si>
  <si>
    <t>0.10930283670292099</t>
  </si>
  <si>
    <t>B03637</t>
  </si>
  <si>
    <t>0.11238173568262118</t>
  </si>
  <si>
    <t>B03638</t>
  </si>
  <si>
    <t>C1284</t>
  </si>
  <si>
    <t>B03639</t>
  </si>
  <si>
    <t>B03640</t>
  </si>
  <si>
    <t>C1285</t>
  </si>
  <si>
    <t>B03641</t>
  </si>
  <si>
    <t>B03642</t>
  </si>
  <si>
    <t>B03643</t>
  </si>
  <si>
    <t>C1286</t>
  </si>
  <si>
    <t>B03644</t>
  </si>
  <si>
    <t>C1287</t>
  </si>
  <si>
    <t>0.060743867397584125</t>
  </si>
  <si>
    <t>B03645</t>
  </si>
  <si>
    <t>B03646</t>
  </si>
  <si>
    <t>0.053813996410012735</t>
  </si>
  <si>
    <t>B03647</t>
  </si>
  <si>
    <t>0.14516999138679948</t>
  </si>
  <si>
    <t>B03648</t>
  </si>
  <si>
    <t>C1288</t>
  </si>
  <si>
    <t>0.12900228221430732</t>
  </si>
  <si>
    <t>B03649</t>
  </si>
  <si>
    <t>B03650</t>
  </si>
  <si>
    <t>B03651</t>
  </si>
  <si>
    <t>C1289</t>
  </si>
  <si>
    <t>0.13227086188753312</t>
  </si>
  <si>
    <t>B03652</t>
  </si>
  <si>
    <t>C1290</t>
  </si>
  <si>
    <t>0.12255630711059365</t>
  </si>
  <si>
    <t>B03653</t>
  </si>
  <si>
    <t>0.12444142349626289</t>
  </si>
  <si>
    <t>B03654</t>
  </si>
  <si>
    <t>C1291</t>
  </si>
  <si>
    <t>0.13567462823066218</t>
  </si>
  <si>
    <t>B03655</t>
  </si>
  <si>
    <t>0.1386876539778126</t>
  </si>
  <si>
    <t>B03656</t>
  </si>
  <si>
    <t>B03657</t>
  </si>
  <si>
    <t>0.10203536506772419</t>
  </si>
  <si>
    <t>B03658</t>
  </si>
  <si>
    <t>0.16192548803503465</t>
  </si>
  <si>
    <t>B03659</t>
  </si>
  <si>
    <t>C1292</t>
  </si>
  <si>
    <t>0.1999971949349626</t>
  </si>
  <si>
    <t>B03660</t>
  </si>
  <si>
    <t>B03661</t>
  </si>
  <si>
    <t>B03662</t>
  </si>
  <si>
    <t>0.17090598525901257</t>
  </si>
  <si>
    <t>B03663</t>
  </si>
  <si>
    <t>B03664</t>
  </si>
  <si>
    <t>0.11957541030005633</t>
  </si>
  <si>
    <t>B03665</t>
  </si>
  <si>
    <t>0.027265578880004165</t>
  </si>
  <si>
    <t>B03666</t>
  </si>
  <si>
    <t>B03667</t>
  </si>
  <si>
    <t>B03668</t>
  </si>
  <si>
    <t>0.12347096972280305</t>
  </si>
  <si>
    <t>B03669</t>
  </si>
  <si>
    <t>0.10818345765166211</t>
  </si>
  <si>
    <t>B03670</t>
  </si>
  <si>
    <t>0.17015668481544285</t>
  </si>
  <si>
    <t>B03671</t>
  </si>
  <si>
    <t>0.12986374775048815</t>
  </si>
  <si>
    <t>B03672</t>
  </si>
  <si>
    <t>B03673</t>
  </si>
  <si>
    <t>C1293</t>
  </si>
  <si>
    <t>B03674</t>
  </si>
  <si>
    <t>C1294</t>
  </si>
  <si>
    <t>B03675</t>
  </si>
  <si>
    <t>B03676</t>
  </si>
  <si>
    <t>B03677</t>
  </si>
  <si>
    <t>C1295</t>
  </si>
  <si>
    <t>B03678</t>
  </si>
  <si>
    <t>0.12098489264516965</t>
  </si>
  <si>
    <t>B03679</t>
  </si>
  <si>
    <t>B03680</t>
  </si>
  <si>
    <t>C1296</t>
  </si>
  <si>
    <t>B03681</t>
  </si>
  <si>
    <t>B03682</t>
  </si>
  <si>
    <t>B03683</t>
  </si>
  <si>
    <t>B03684</t>
  </si>
  <si>
    <t>B03685</t>
  </si>
  <si>
    <t>0.17942509240190568</t>
  </si>
  <si>
    <t>B03686</t>
  </si>
  <si>
    <t>B03687</t>
  </si>
  <si>
    <t>C1297</t>
  </si>
  <si>
    <t>B03688</t>
  </si>
  <si>
    <t>0.16866358286272992</t>
  </si>
  <si>
    <t>B03689</t>
  </si>
  <si>
    <t>C1298</t>
  </si>
  <si>
    <t>B03690</t>
  </si>
  <si>
    <t>C1299</t>
  </si>
  <si>
    <t>B03691</t>
  </si>
  <si>
    <t>C1300</t>
  </si>
  <si>
    <t>0.14630205709975974</t>
  </si>
  <si>
    <t>B03692</t>
  </si>
  <si>
    <t>B03693</t>
  </si>
  <si>
    <t>B03694</t>
  </si>
  <si>
    <t>0.13998493277621366</t>
  </si>
  <si>
    <t>B03695</t>
  </si>
  <si>
    <t>C1301</t>
  </si>
  <si>
    <t>0.12840117386076222</t>
  </si>
  <si>
    <t>B03696</t>
  </si>
  <si>
    <t>C1302</t>
  </si>
  <si>
    <t>0.14689881278683686</t>
  </si>
  <si>
    <t>B03697</t>
  </si>
  <si>
    <t>0.15645264563438216</t>
  </si>
  <si>
    <t>B03698</t>
  </si>
  <si>
    <t>B03699</t>
  </si>
  <si>
    <t>C1303</t>
  </si>
  <si>
    <t>B03700</t>
  </si>
  <si>
    <t>0.1332665369738185</t>
  </si>
  <si>
    <t>B03701</t>
  </si>
  <si>
    <t>C1304</t>
  </si>
  <si>
    <t>B03702</t>
  </si>
  <si>
    <t>0.048606637026109165</t>
  </si>
  <si>
    <t>B03703</t>
  </si>
  <si>
    <t>C1305</t>
  </si>
  <si>
    <t>B03704</t>
  </si>
  <si>
    <t>B03705</t>
  </si>
  <si>
    <t>B03706</t>
  </si>
  <si>
    <t>B03707</t>
  </si>
  <si>
    <t>0.1556117759203732</t>
  </si>
  <si>
    <t>B03708</t>
  </si>
  <si>
    <t>0.10564016179900791</t>
  </si>
  <si>
    <t>B03709</t>
  </si>
  <si>
    <t>0.13340358876029346</t>
  </si>
  <si>
    <t>B03710</t>
  </si>
  <si>
    <t>B03711</t>
  </si>
  <si>
    <t>0.16318370760169687</t>
  </si>
  <si>
    <t>B03712</t>
  </si>
  <si>
    <t>0.10392163451241623</t>
  </si>
  <si>
    <t>B03713</t>
  </si>
  <si>
    <t>C1306</t>
  </si>
  <si>
    <t>B03714</t>
  </si>
  <si>
    <t>C1307</t>
  </si>
  <si>
    <t>B03715</t>
  </si>
  <si>
    <t>B03716</t>
  </si>
  <si>
    <t>C1308</t>
  </si>
  <si>
    <t>0.061248734100839655</t>
  </si>
  <si>
    <t>B03717</t>
  </si>
  <si>
    <t>0.11686126324152792</t>
  </si>
  <si>
    <t>B03718</t>
  </si>
  <si>
    <t>C1309</t>
  </si>
  <si>
    <t>B03719</t>
  </si>
  <si>
    <t>B03720</t>
  </si>
  <si>
    <t>B03721</t>
  </si>
  <si>
    <t>B03722</t>
  </si>
  <si>
    <t>B03723</t>
  </si>
  <si>
    <t>B03724</t>
  </si>
  <si>
    <t>C1310</t>
  </si>
  <si>
    <t>B03725</t>
  </si>
  <si>
    <t>B03726</t>
  </si>
  <si>
    <t>B03727</t>
  </si>
  <si>
    <t>0.011649867475520284</t>
  </si>
  <si>
    <t>B03728</t>
  </si>
  <si>
    <t>C1311</t>
  </si>
  <si>
    <t>B03729</t>
  </si>
  <si>
    <t>C1312</t>
  </si>
  <si>
    <t>B03730</t>
  </si>
  <si>
    <t>0.16301898682730606</t>
  </si>
  <si>
    <t>B03731</t>
  </si>
  <si>
    <t>0.12717104740963978</t>
  </si>
  <si>
    <t>B03732</t>
  </si>
  <si>
    <t>C1313</t>
  </si>
  <si>
    <t>B03733</t>
  </si>
  <si>
    <t>C1314</t>
  </si>
  <si>
    <t>B03734</t>
  </si>
  <si>
    <t>0.15087931799156468</t>
  </si>
  <si>
    <t>B03735</t>
  </si>
  <si>
    <t>0.16435784382315954</t>
  </si>
  <si>
    <t>B03736</t>
  </si>
  <si>
    <t>0.12173836091852369</t>
  </si>
  <si>
    <t>B03737</t>
  </si>
  <si>
    <t>B03738</t>
  </si>
  <si>
    <t>0.10225769260485416</t>
  </si>
  <si>
    <t>B03739</t>
  </si>
  <si>
    <t>B03740</t>
  </si>
  <si>
    <t>C1315</t>
  </si>
  <si>
    <t>0.1288155639445812</t>
  </si>
  <si>
    <t>B03741</t>
  </si>
  <si>
    <t>B03742</t>
  </si>
  <si>
    <t>B03743</t>
  </si>
  <si>
    <t>C1316</t>
  </si>
  <si>
    <t>0.14847084335895824</t>
  </si>
  <si>
    <t>B03744</t>
  </si>
  <si>
    <t>0.11013667213689261</t>
  </si>
  <si>
    <t>B03745</t>
  </si>
  <si>
    <t>C1317</t>
  </si>
  <si>
    <t>B03746</t>
  </si>
  <si>
    <t>C1318</t>
  </si>
  <si>
    <t>0.10714183538875294</t>
  </si>
  <si>
    <t>B03747</t>
  </si>
  <si>
    <t>B03748</t>
  </si>
  <si>
    <t>B03749</t>
  </si>
  <si>
    <t>B03750</t>
  </si>
  <si>
    <t>B03751</t>
  </si>
  <si>
    <t>C1319</t>
  </si>
  <si>
    <t>0.11202530138855932</t>
  </si>
  <si>
    <t>B03752</t>
  </si>
  <si>
    <t>C1320</t>
  </si>
  <si>
    <t>B03753</t>
  </si>
  <si>
    <t>B03754</t>
  </si>
  <si>
    <t>C1321</t>
  </si>
  <si>
    <t>B03755</t>
  </si>
  <si>
    <t>B03756</t>
  </si>
  <si>
    <t>0.20496775059728045</t>
  </si>
  <si>
    <t>B03757</t>
  </si>
  <si>
    <t>B03758</t>
  </si>
  <si>
    <t>C1322</t>
  </si>
  <si>
    <t>0.12547981615792209</t>
  </si>
  <si>
    <t>B03759</t>
  </si>
  <si>
    <t>0.1503785763501757</t>
  </si>
  <si>
    <t>B03760</t>
  </si>
  <si>
    <t>B03761</t>
  </si>
  <si>
    <t>C1323</t>
  </si>
  <si>
    <t>0.11655538757143515</t>
  </si>
  <si>
    <t>B03762</t>
  </si>
  <si>
    <t>B03763</t>
  </si>
  <si>
    <t>B03764</t>
  </si>
  <si>
    <t>C1324</t>
  </si>
  <si>
    <t>B03765</t>
  </si>
  <si>
    <t>C1325</t>
  </si>
  <si>
    <t>0.019952582482720138</t>
  </si>
  <si>
    <t>B03766</t>
  </si>
  <si>
    <t>B03767</t>
  </si>
  <si>
    <t>B03768</t>
  </si>
  <si>
    <t>B03769</t>
  </si>
  <si>
    <t>0.11853341624701966</t>
  </si>
  <si>
    <t>B03770</t>
  </si>
  <si>
    <t>B03771</t>
  </si>
  <si>
    <t>0.10506896502947817</t>
  </si>
  <si>
    <t>B03772</t>
  </si>
  <si>
    <t>0.12186965736964078</t>
  </si>
  <si>
    <t>B03773</t>
  </si>
  <si>
    <t>B03774</t>
  </si>
  <si>
    <t>0.051655526403236535</t>
  </si>
  <si>
    <t>B03775</t>
  </si>
  <si>
    <t>B03776</t>
  </si>
  <si>
    <t>C1326</t>
  </si>
  <si>
    <t>0.14831340273382382</t>
  </si>
  <si>
    <t>B03777</t>
  </si>
  <si>
    <t>0.15196266440314216</t>
  </si>
  <si>
    <t>B03778</t>
  </si>
  <si>
    <t>C1327</t>
  </si>
  <si>
    <t>0.057840992286764877</t>
  </si>
  <si>
    <t>B03779</t>
  </si>
  <si>
    <t>B03780</t>
  </si>
  <si>
    <t>0.1343524546124145</t>
  </si>
  <si>
    <t>B03781</t>
  </si>
  <si>
    <t>0.10999033757641162</t>
  </si>
  <si>
    <t>B03782</t>
  </si>
  <si>
    <t>0.1446087437484716</t>
  </si>
  <si>
    <t>B03783</t>
  </si>
  <si>
    <t>B03784</t>
  </si>
  <si>
    <t>B03785</t>
  </si>
  <si>
    <t>C1328</t>
  </si>
  <si>
    <t>0.14302363950782557</t>
  </si>
  <si>
    <t>B03786</t>
  </si>
  <si>
    <t>B03787</t>
  </si>
  <si>
    <t>B03788</t>
  </si>
  <si>
    <t>C1329</t>
  </si>
  <si>
    <t>0.11896817890686431</t>
  </si>
  <si>
    <t>B03789</t>
  </si>
  <si>
    <t>0.1687678873165828</t>
  </si>
  <si>
    <t>B03790</t>
  </si>
  <si>
    <t>C1330</t>
  </si>
  <si>
    <t>B03791</t>
  </si>
  <si>
    <t>C1331</t>
  </si>
  <si>
    <t>B03792</t>
  </si>
  <si>
    <t>0.059189907511929304</t>
  </si>
  <si>
    <t>B03793</t>
  </si>
  <si>
    <t>0.11148818669643094</t>
  </si>
  <si>
    <t>B03794</t>
  </si>
  <si>
    <t>C1332</t>
  </si>
  <si>
    <t>B03795</t>
  </si>
  <si>
    <t>B03796</t>
  </si>
  <si>
    <t>0.14679994792077947</t>
  </si>
  <si>
    <t>B03797</t>
  </si>
  <si>
    <t>0.11033407944415047</t>
  </si>
  <si>
    <t>B03798</t>
  </si>
  <si>
    <t>0.10777355186205156</t>
  </si>
  <si>
    <t>B03799</t>
  </si>
  <si>
    <t>C1333</t>
  </si>
  <si>
    <t>B03800</t>
  </si>
  <si>
    <t>C1334</t>
  </si>
  <si>
    <t>B03801</t>
  </si>
  <si>
    <t>B03802</t>
  </si>
  <si>
    <t>C1335</t>
  </si>
  <si>
    <t>0.20564997061103754</t>
  </si>
  <si>
    <t>B03803</t>
  </si>
  <si>
    <t>B03804</t>
  </si>
  <si>
    <t>B03805</t>
  </si>
  <si>
    <t>0.11217409616028955</t>
  </si>
  <si>
    <t>B03806</t>
  </si>
  <si>
    <t>B03807</t>
  </si>
  <si>
    <t>B03808</t>
  </si>
  <si>
    <t>B03809</t>
  </si>
  <si>
    <t>C1336</t>
  </si>
  <si>
    <t>B03810</t>
  </si>
  <si>
    <t>0.13421036290282967</t>
  </si>
  <si>
    <t>B03811</t>
  </si>
  <si>
    <t>0.1524404345818128</t>
  </si>
  <si>
    <t>B03812</t>
  </si>
  <si>
    <t>B03813</t>
  </si>
  <si>
    <t>C1337</t>
  </si>
  <si>
    <t>0.10623016278949753</t>
  </si>
  <si>
    <t>B03814</t>
  </si>
  <si>
    <t>C1338</t>
  </si>
  <si>
    <t>B03815</t>
  </si>
  <si>
    <t>C1339</t>
  </si>
  <si>
    <t>0.13664999128980398</t>
  </si>
  <si>
    <t>B03816</t>
  </si>
  <si>
    <t>B03817</t>
  </si>
  <si>
    <t>0.019545123861593877</t>
  </si>
  <si>
    <t>B03818</t>
  </si>
  <si>
    <t>C1340</t>
  </si>
  <si>
    <t>0.12140089856293323</t>
  </si>
  <si>
    <t>B03819</t>
  </si>
  <si>
    <t>C1341</t>
  </si>
  <si>
    <t>B03820</t>
  </si>
  <si>
    <t>B03821</t>
  </si>
  <si>
    <t>0.041068032163283724</t>
  </si>
  <si>
    <t>B03822</t>
  </si>
  <si>
    <t>0.045147420010355536</t>
  </si>
  <si>
    <t>B03823</t>
  </si>
  <si>
    <t>B03824</t>
  </si>
  <si>
    <t>0.10634415945002271</t>
  </si>
  <si>
    <t>B03825</t>
  </si>
  <si>
    <t>B03826</t>
  </si>
  <si>
    <t>B03827</t>
  </si>
  <si>
    <t>0.040639667130114354</t>
  </si>
  <si>
    <t>B03828</t>
  </si>
  <si>
    <t>0.026911903398183765</t>
  </si>
  <si>
    <t>B03829</t>
  </si>
  <si>
    <t>B03830</t>
  </si>
  <si>
    <t>B03831</t>
  </si>
  <si>
    <t>C1342</t>
  </si>
  <si>
    <t>B03832</t>
  </si>
  <si>
    <t>B03833</t>
  </si>
  <si>
    <t>C1343</t>
  </si>
  <si>
    <t>B03834</t>
  </si>
  <si>
    <t>0.14442460285369024</t>
  </si>
  <si>
    <t>B03835</t>
  </si>
  <si>
    <t>C1344</t>
  </si>
  <si>
    <t>0.039931715490394065</t>
  </si>
  <si>
    <t>B03836</t>
  </si>
  <si>
    <t>B03837</t>
  </si>
  <si>
    <t>0.10758255273441711</t>
  </si>
  <si>
    <t>B03838</t>
  </si>
  <si>
    <t>0.1346117684807075</t>
  </si>
  <si>
    <t>B03839</t>
  </si>
  <si>
    <t>0.11100705613645796</t>
  </si>
  <si>
    <t>B03840</t>
  </si>
  <si>
    <t>0.10132802413560076</t>
  </si>
  <si>
    <t>B03841</t>
  </si>
  <si>
    <t>0.15580808774547697</t>
  </si>
  <si>
    <t>B03842</t>
  </si>
  <si>
    <t>B03843</t>
  </si>
  <si>
    <t>C1345</t>
  </si>
  <si>
    <t>0.12346207183976178</t>
  </si>
  <si>
    <t>B03844</t>
  </si>
  <si>
    <t>C1346</t>
  </si>
  <si>
    <t>B03845</t>
  </si>
  <si>
    <t>0.10145300944580361</t>
  </si>
  <si>
    <t>B03846</t>
  </si>
  <si>
    <t>C1347</t>
  </si>
  <si>
    <t>0.1503246024090758</t>
  </si>
  <si>
    <t>B03847</t>
  </si>
  <si>
    <t>B03848</t>
  </si>
  <si>
    <t>0.011409521058645358</t>
  </si>
  <si>
    <t>B03849</t>
  </si>
  <si>
    <t>0.046193819407929215</t>
  </si>
  <si>
    <t>B03850</t>
  </si>
  <si>
    <t>0.19768219177584212</t>
  </si>
  <si>
    <t>B03851</t>
  </si>
  <si>
    <t>0.11766974012795953</t>
  </si>
  <si>
    <t>B03852</t>
  </si>
  <si>
    <t>0.13443884534337874</t>
  </si>
  <si>
    <t>B03853</t>
  </si>
  <si>
    <t>C1348</t>
  </si>
  <si>
    <t>0.19458525819836556</t>
  </si>
  <si>
    <t>B03854</t>
  </si>
  <si>
    <t>0.16955474071417515</t>
  </si>
  <si>
    <t>B03855</t>
  </si>
  <si>
    <t>0.15403684356494346</t>
  </si>
  <si>
    <t>B03856</t>
  </si>
  <si>
    <t>C1349</t>
  </si>
  <si>
    <t>0.1359968356020299</t>
  </si>
  <si>
    <t>B03857</t>
  </si>
  <si>
    <t>0.054758497076575305</t>
  </si>
  <si>
    <t>B03858</t>
  </si>
  <si>
    <t>0.037852991203102294</t>
  </si>
  <si>
    <t>B03859</t>
  </si>
  <si>
    <t>B03860</t>
  </si>
  <si>
    <t>0.11544081003895236</t>
  </si>
  <si>
    <t>B03861</t>
  </si>
  <si>
    <t>0.10856188069793844</t>
  </si>
  <si>
    <t>B03862</t>
  </si>
  <si>
    <t>0.13936211897306605</t>
  </si>
  <si>
    <t>B03863</t>
  </si>
  <si>
    <t>C1350</t>
  </si>
  <si>
    <t>0.1168109483933572</t>
  </si>
  <si>
    <t>B03864</t>
  </si>
  <si>
    <t>0.10199019837025654</t>
  </si>
  <si>
    <t>B03865</t>
  </si>
  <si>
    <t>C1351</t>
  </si>
  <si>
    <t>0.19933003020801443</t>
  </si>
  <si>
    <t>B03866</t>
  </si>
  <si>
    <t>B03867</t>
  </si>
  <si>
    <t>0.13237385463364415</t>
  </si>
  <si>
    <t>B03868</t>
  </si>
  <si>
    <t>C1352</t>
  </si>
  <si>
    <t>B03869</t>
  </si>
  <si>
    <t>0.12811614957971618</t>
  </si>
  <si>
    <t>B03870</t>
  </si>
  <si>
    <t>0.10796243618729001</t>
  </si>
  <si>
    <t>B03871</t>
  </si>
  <si>
    <t>B03872</t>
  </si>
  <si>
    <t>B03873</t>
  </si>
  <si>
    <t>0.13035841282056115</t>
  </si>
  <si>
    <t>B03874</t>
  </si>
  <si>
    <t>C1353</t>
  </si>
  <si>
    <t>0.16502212767493696</t>
  </si>
  <si>
    <t>B03875</t>
  </si>
  <si>
    <t>B03876</t>
  </si>
  <si>
    <t>0.15459740307075515</t>
  </si>
  <si>
    <t>B03877</t>
  </si>
  <si>
    <t>0.12614356955339365</t>
  </si>
  <si>
    <t>B03878</t>
  </si>
  <si>
    <t>B03879</t>
  </si>
  <si>
    <t>C1354</t>
  </si>
  <si>
    <t>B03880</t>
  </si>
  <si>
    <t>C1355</t>
  </si>
  <si>
    <t>0.1360828236287974</t>
  </si>
  <si>
    <t>B03881</t>
  </si>
  <si>
    <t>0.1524946252484872</t>
  </si>
  <si>
    <t>B03882</t>
  </si>
  <si>
    <t>0.12078796231409952</t>
  </si>
  <si>
    <t>B03883</t>
  </si>
  <si>
    <t>0.15025917682999435</t>
  </si>
  <si>
    <t>B03884</t>
  </si>
  <si>
    <t>C1356</t>
  </si>
  <si>
    <t>0.14802287050031251</t>
  </si>
  <si>
    <t>B03885</t>
  </si>
  <si>
    <t>0.1311390968879121</t>
  </si>
  <si>
    <t>B03886</t>
  </si>
  <si>
    <t>B03887</t>
  </si>
  <si>
    <t>0.12209055058486495</t>
  </si>
  <si>
    <t>B03888</t>
  </si>
  <si>
    <t>C1357</t>
  </si>
  <si>
    <t>B03889</t>
  </si>
  <si>
    <t>0.14111502972346543</t>
  </si>
  <si>
    <t>B03890</t>
  </si>
  <si>
    <t>C1358</t>
  </si>
  <si>
    <t>0.10963093608223101</t>
  </si>
  <si>
    <t>B03891</t>
  </si>
  <si>
    <t>C1359</t>
  </si>
  <si>
    <t>B03892</t>
  </si>
  <si>
    <t>C1360</t>
  </si>
  <si>
    <t>B03893</t>
  </si>
  <si>
    <t>B03894</t>
  </si>
  <si>
    <t>C1361</t>
  </si>
  <si>
    <t>B03895</t>
  </si>
  <si>
    <t>0.11071843428605044</t>
  </si>
  <si>
    <t>B03896</t>
  </si>
  <si>
    <t>C1362</t>
  </si>
  <si>
    <t>0.045631993651999395</t>
  </si>
  <si>
    <t>B03897</t>
  </si>
  <si>
    <t>B03898</t>
  </si>
  <si>
    <t>B03899</t>
  </si>
  <si>
    <t>0.12184186452943623</t>
  </si>
  <si>
    <t>B03900</t>
  </si>
  <si>
    <t>0.1492227450771076</t>
  </si>
  <si>
    <t>B03901</t>
  </si>
  <si>
    <t>B03902</t>
  </si>
  <si>
    <t>C1363</t>
  </si>
  <si>
    <t>0.10944296474529332</t>
  </si>
  <si>
    <t>B03903</t>
  </si>
  <si>
    <t>B03904</t>
  </si>
  <si>
    <t>C1364</t>
  </si>
  <si>
    <t>B03905</t>
  </si>
  <si>
    <t>C1365</t>
  </si>
  <si>
    <t>0.1387520807637169</t>
  </si>
  <si>
    <t>B03906</t>
  </si>
  <si>
    <t>C1366</t>
  </si>
  <si>
    <t>0.12345803300429702</t>
  </si>
  <si>
    <t>B03907</t>
  </si>
  <si>
    <t>C1367</t>
  </si>
  <si>
    <t>0.060832064627616894</t>
  </si>
  <si>
    <t>B03908</t>
  </si>
  <si>
    <t>0.11771708633136124</t>
  </si>
  <si>
    <t>B03909</t>
  </si>
  <si>
    <t>C1368</t>
  </si>
  <si>
    <t>0.11403515769065137</t>
  </si>
  <si>
    <t>B03910</t>
  </si>
  <si>
    <t>B03911</t>
  </si>
  <si>
    <t>B03912</t>
  </si>
  <si>
    <t>C1369</t>
  </si>
  <si>
    <t>0.13447523635776704</t>
  </si>
  <si>
    <t>B03913</t>
  </si>
  <si>
    <t>0.14291954337149892</t>
  </si>
  <si>
    <t>B03914</t>
  </si>
  <si>
    <t>C1370</t>
  </si>
  <si>
    <t>0.13699234489495524</t>
  </si>
  <si>
    <t>B03915</t>
  </si>
  <si>
    <t>B03916</t>
  </si>
  <si>
    <t>0.1799818878843768</t>
  </si>
  <si>
    <t>B03917</t>
  </si>
  <si>
    <t>B03918</t>
  </si>
  <si>
    <t>B03919</t>
  </si>
  <si>
    <t>B03920</t>
  </si>
  <si>
    <t>B03921</t>
  </si>
  <si>
    <t>0.16012514769940123</t>
  </si>
  <si>
    <t>B03922</t>
  </si>
  <si>
    <t>B03923</t>
  </si>
  <si>
    <t>0.11549936278519012</t>
  </si>
  <si>
    <t>B03924</t>
  </si>
  <si>
    <t>B03925</t>
  </si>
  <si>
    <t>0.12007543498323806</t>
  </si>
  <si>
    <t>B03926</t>
  </si>
  <si>
    <t>C1371</t>
  </si>
  <si>
    <t>0.1602289332647575</t>
  </si>
  <si>
    <t>B03927</t>
  </si>
  <si>
    <t>B03928</t>
  </si>
  <si>
    <t>C1372</t>
  </si>
  <si>
    <t>B03929</t>
  </si>
  <si>
    <t>C1373</t>
  </si>
  <si>
    <t>B03930</t>
  </si>
  <si>
    <t>0.1307858900547298</t>
  </si>
  <si>
    <t>B03931</t>
  </si>
  <si>
    <t>C1374</t>
  </si>
  <si>
    <t>B03932</t>
  </si>
  <si>
    <t>C1375</t>
  </si>
  <si>
    <t>0.15018973198982638</t>
  </si>
  <si>
    <t>B03933</t>
  </si>
  <si>
    <t>C1376</t>
  </si>
  <si>
    <t>0.12223442186256261</t>
  </si>
  <si>
    <t>B03934</t>
  </si>
  <si>
    <t>B03935</t>
  </si>
  <si>
    <t>B03936</t>
  </si>
  <si>
    <t>C1377</t>
  </si>
  <si>
    <t>B03937</t>
  </si>
  <si>
    <t>0.11382837565220469</t>
  </si>
  <si>
    <t>B03938</t>
  </si>
  <si>
    <t>0.13592337996147857</t>
  </si>
  <si>
    <t>B03939</t>
  </si>
  <si>
    <t>0.17084149242343927</t>
  </si>
  <si>
    <t>B03940</t>
  </si>
  <si>
    <t>0.014089146541932093</t>
  </si>
  <si>
    <t>B03941</t>
  </si>
  <si>
    <t>0.10372010492441716</t>
  </si>
  <si>
    <t>B03942</t>
  </si>
  <si>
    <t>B03943</t>
  </si>
  <si>
    <t>C1378</t>
  </si>
  <si>
    <t>B03944</t>
  </si>
  <si>
    <t>0.12001370873981108</t>
  </si>
  <si>
    <t>B03945</t>
  </si>
  <si>
    <t>C1379</t>
  </si>
  <si>
    <t>0.1174001266794307</t>
  </si>
  <si>
    <t>B03946</t>
  </si>
  <si>
    <t>0.13209985790523882</t>
  </si>
  <si>
    <t>B03947</t>
  </si>
  <si>
    <t>0.13878879225419466</t>
  </si>
  <si>
    <t>B03948</t>
  </si>
  <si>
    <t>0.10970574733932587</t>
  </si>
  <si>
    <t>B03949</t>
  </si>
  <si>
    <t>0.13977895094797715</t>
  </si>
  <si>
    <t>B03950</t>
  </si>
  <si>
    <t>C1380</t>
  </si>
  <si>
    <t>0.10204583593921468</t>
  </si>
  <si>
    <t>B03951</t>
  </si>
  <si>
    <t>C1381</t>
  </si>
  <si>
    <t>B03952</t>
  </si>
  <si>
    <t>C1382</t>
  </si>
  <si>
    <t>0.11418947026015498</t>
  </si>
  <si>
    <t>B03953</t>
  </si>
  <si>
    <t>B03954</t>
  </si>
  <si>
    <t>0.14499202549984902</t>
  </si>
  <si>
    <t>B03955</t>
  </si>
  <si>
    <t>0.11557056146002347</t>
  </si>
  <si>
    <t>B03956</t>
  </si>
  <si>
    <t>C1383</t>
  </si>
  <si>
    <t>0.10187299068042778</t>
  </si>
  <si>
    <t>B03957</t>
  </si>
  <si>
    <t>0.1220954143141081</t>
  </si>
  <si>
    <t>B03958</t>
  </si>
  <si>
    <t>B03959</t>
  </si>
  <si>
    <t>B03960</t>
  </si>
  <si>
    <t>B03961</t>
  </si>
  <si>
    <t>C1384</t>
  </si>
  <si>
    <t>B03962</t>
  </si>
  <si>
    <t>0.12086077598147281</t>
  </si>
  <si>
    <t>B03963</t>
  </si>
  <si>
    <t>C1385</t>
  </si>
  <si>
    <t>0.1326068643228746</t>
  </si>
  <si>
    <t>B03964</t>
  </si>
  <si>
    <t>C1386</t>
  </si>
  <si>
    <t>B03965</t>
  </si>
  <si>
    <t>B03966</t>
  </si>
  <si>
    <t>C1387</t>
  </si>
  <si>
    <t>0.1321640131078448</t>
  </si>
  <si>
    <t>B03967</t>
  </si>
  <si>
    <t>B03968</t>
  </si>
  <si>
    <t>0.12443974356260341</t>
  </si>
  <si>
    <t>B03969</t>
  </si>
  <si>
    <t>C1388</t>
  </si>
  <si>
    <t>0.10799540440060465</t>
  </si>
  <si>
    <t>B03970</t>
  </si>
  <si>
    <t>0.11121031565043035</t>
  </si>
  <si>
    <t>B03971</t>
  </si>
  <si>
    <t>0.1200771909675522</t>
  </si>
  <si>
    <t>B03972</t>
  </si>
  <si>
    <t>B03973</t>
  </si>
  <si>
    <t>C1389</t>
  </si>
  <si>
    <t>0.16566736271387458</t>
  </si>
  <si>
    <t>B03974</t>
  </si>
  <si>
    <t>0.16933975592714656</t>
  </si>
  <si>
    <t>B03975</t>
  </si>
  <si>
    <t>C1390</t>
  </si>
  <si>
    <t>B03976</t>
  </si>
  <si>
    <t>B03977</t>
  </si>
  <si>
    <t>0.1274877575487976</t>
  </si>
  <si>
    <t>B03978</t>
  </si>
  <si>
    <t>B03979</t>
  </si>
  <si>
    <t>C1391</t>
  </si>
  <si>
    <t>0.14811544360272902</t>
  </si>
  <si>
    <t>B03980</t>
  </si>
  <si>
    <t>C1392</t>
  </si>
  <si>
    <t>0.1262988946377235</t>
  </si>
  <si>
    <t>B03981</t>
  </si>
  <si>
    <t>C1393</t>
  </si>
  <si>
    <t>0.10537425334833721</t>
  </si>
  <si>
    <t>B03982</t>
  </si>
  <si>
    <t>B03983</t>
  </si>
  <si>
    <t>0.12649780267803834</t>
  </si>
  <si>
    <t>B03984</t>
  </si>
  <si>
    <t>0.1222278052739968</t>
  </si>
  <si>
    <t>B03985</t>
  </si>
  <si>
    <t>C1394</t>
  </si>
  <si>
    <t>B03986</t>
  </si>
  <si>
    <t>0.11752195422084769</t>
  </si>
  <si>
    <t>B03987</t>
  </si>
  <si>
    <t>0.10141417827452752</t>
  </si>
  <si>
    <t>B03988</t>
  </si>
  <si>
    <t>B03989</t>
  </si>
  <si>
    <t>B03990</t>
  </si>
  <si>
    <t>B03991</t>
  </si>
  <si>
    <t>0.11427387831895036</t>
  </si>
  <si>
    <t>B03992</t>
  </si>
  <si>
    <t>0.10000003238485639</t>
  </si>
  <si>
    <t>B03993</t>
  </si>
  <si>
    <t>C1395</t>
  </si>
  <si>
    <t>0.1179317104432423</t>
  </si>
  <si>
    <t>B03994</t>
  </si>
  <si>
    <t>0.14280912330631765</t>
  </si>
  <si>
    <t>B03995</t>
  </si>
  <si>
    <t>C1396</t>
  </si>
  <si>
    <t>B03996</t>
  </si>
  <si>
    <t>0.14193740639419808</t>
  </si>
  <si>
    <t>B03997</t>
  </si>
  <si>
    <t>C1397</t>
  </si>
  <si>
    <t>B03998</t>
  </si>
  <si>
    <t>B03999</t>
  </si>
  <si>
    <t>B04000</t>
  </si>
  <si>
    <t>0.13622166517130868</t>
  </si>
  <si>
    <t>B04001</t>
  </si>
  <si>
    <t>C1398</t>
  </si>
  <si>
    <t>B04002</t>
  </si>
  <si>
    <t>0.16353394016340692</t>
  </si>
  <si>
    <t>B04003</t>
  </si>
  <si>
    <t>0.13385444880025965</t>
  </si>
  <si>
    <t>B04004</t>
  </si>
  <si>
    <t>0.11859767754655288</t>
  </si>
  <si>
    <t>B04005</t>
  </si>
  <si>
    <t>0.1378509726923872</t>
  </si>
  <si>
    <t>B04006</t>
  </si>
  <si>
    <t>0.14071377575463928</t>
  </si>
  <si>
    <t>B04007</t>
  </si>
  <si>
    <t>0.11221339503931971</t>
  </si>
  <si>
    <t>B04008</t>
  </si>
  <si>
    <t>0.14113701474319817</t>
  </si>
  <si>
    <t>B04009</t>
  </si>
  <si>
    <t>0.20228350142485477</t>
  </si>
  <si>
    <t>B04010</t>
  </si>
  <si>
    <t>C1399</t>
  </si>
  <si>
    <t>B04011</t>
  </si>
  <si>
    <t>C1400</t>
  </si>
  <si>
    <t>0.055029674458163445</t>
  </si>
  <si>
    <t>B04012</t>
  </si>
  <si>
    <t>C1401</t>
  </si>
  <si>
    <t>B04013</t>
  </si>
  <si>
    <t>B04014</t>
  </si>
  <si>
    <t>C1402</t>
  </si>
  <si>
    <t>B04015</t>
  </si>
  <si>
    <t>0.11014537544059773</t>
  </si>
  <si>
    <t>B04016</t>
  </si>
  <si>
    <t>C1403</t>
  </si>
  <si>
    <t>B04017</t>
  </si>
  <si>
    <t>C1404</t>
  </si>
  <si>
    <t>0.053313768352406844</t>
  </si>
  <si>
    <t>B04018</t>
  </si>
  <si>
    <t>0.10426168079479607</t>
  </si>
  <si>
    <t>B04019</t>
  </si>
  <si>
    <t>B04020</t>
  </si>
  <si>
    <t>0.1085503024845156</t>
  </si>
  <si>
    <t>B04021</t>
  </si>
  <si>
    <t>B04022</t>
  </si>
  <si>
    <t>C1405</t>
  </si>
  <si>
    <t>0.10435544139298605</t>
  </si>
  <si>
    <t>B04023</t>
  </si>
  <si>
    <t>B04024</t>
  </si>
  <si>
    <t>C1406</t>
  </si>
  <si>
    <t>B04025</t>
  </si>
  <si>
    <t>0.015101886203560982</t>
  </si>
  <si>
    <t>B04026</t>
  </si>
  <si>
    <t>0.11398339215861493</t>
  </si>
  <si>
    <t>B04027</t>
  </si>
  <si>
    <t>B04028</t>
  </si>
  <si>
    <t>C1407</t>
  </si>
  <si>
    <t>B04029</t>
  </si>
  <si>
    <t>C1408</t>
  </si>
  <si>
    <t>B04030</t>
  </si>
  <si>
    <t>B04031</t>
  </si>
  <si>
    <t>B04032</t>
  </si>
  <si>
    <t>C1409</t>
  </si>
  <si>
    <t>0.1686044930059685</t>
  </si>
  <si>
    <t>B04033</t>
  </si>
  <si>
    <t>C1410</t>
  </si>
  <si>
    <t>0.11271181210368046</t>
  </si>
  <si>
    <t>B04034</t>
  </si>
  <si>
    <t>B04035</t>
  </si>
  <si>
    <t>0.14011571838666348</t>
  </si>
  <si>
    <t>B04036</t>
  </si>
  <si>
    <t>0.17013961191401344</t>
  </si>
  <si>
    <t>B04037</t>
  </si>
  <si>
    <t>0.11037779583121707</t>
  </si>
  <si>
    <t>B04038</t>
  </si>
  <si>
    <t>0.14257243330190755</t>
  </si>
  <si>
    <t>B04039</t>
  </si>
  <si>
    <t>0.11158701758511098</t>
  </si>
  <si>
    <t>B04040</t>
  </si>
  <si>
    <t>B04041</t>
  </si>
  <si>
    <t>C1411</t>
  </si>
  <si>
    <t>0.13263769757513283</t>
  </si>
  <si>
    <t>B04042</t>
  </si>
  <si>
    <t>C1412</t>
  </si>
  <si>
    <t>0.047295178172643525</t>
  </si>
  <si>
    <t>B04043</t>
  </si>
  <si>
    <t>0.039902171921175004</t>
  </si>
  <si>
    <t>B04044</t>
  </si>
  <si>
    <t>B04045</t>
  </si>
  <si>
    <t>B04046</t>
  </si>
  <si>
    <t>B04047</t>
  </si>
  <si>
    <t>B04048</t>
  </si>
  <si>
    <t>0.1546568030447209</t>
  </si>
  <si>
    <t>B04049</t>
  </si>
  <si>
    <t>B04050</t>
  </si>
  <si>
    <t>C1413</t>
  </si>
  <si>
    <t>0.11647855084153273</t>
  </si>
  <si>
    <t>B04051</t>
  </si>
  <si>
    <t>B04052</t>
  </si>
  <si>
    <t>B04053</t>
  </si>
  <si>
    <t>C1414</t>
  </si>
  <si>
    <t>B04054</t>
  </si>
  <si>
    <t>C1415</t>
  </si>
  <si>
    <t>B04055</t>
  </si>
  <si>
    <t>0.11489379534223537</t>
  </si>
  <si>
    <t>B04056</t>
  </si>
  <si>
    <t>C1416</t>
  </si>
  <si>
    <t>0.10659123879013187</t>
  </si>
  <si>
    <t>B04057</t>
  </si>
  <si>
    <t>0.036952768347015844</t>
  </si>
  <si>
    <t>B04058</t>
  </si>
  <si>
    <t>0.15636899188286457</t>
  </si>
  <si>
    <t>B04059</t>
  </si>
  <si>
    <t>0.038086095675399195</t>
  </si>
  <si>
    <t>B04060</t>
  </si>
  <si>
    <t>0.11734316117357232</t>
  </si>
  <si>
    <t>B04061</t>
  </si>
  <si>
    <t>B04062</t>
  </si>
  <si>
    <t>B04063</t>
  </si>
  <si>
    <t>0.10456299657344799</t>
  </si>
  <si>
    <t>B04064</t>
  </si>
  <si>
    <t>0.015626972486212226</t>
  </si>
  <si>
    <t>B04065</t>
  </si>
  <si>
    <t>C1417</t>
  </si>
  <si>
    <t>0.10572852694546003</t>
  </si>
  <si>
    <t>B04066</t>
  </si>
  <si>
    <t>B04067</t>
  </si>
  <si>
    <t>0.14142127765099613</t>
  </si>
  <si>
    <t>B04068</t>
  </si>
  <si>
    <t>C1418</t>
  </si>
  <si>
    <t>B04069</t>
  </si>
  <si>
    <t>0.15560128199860235</t>
  </si>
  <si>
    <t>B04070</t>
  </si>
  <si>
    <t>0.11194451747261917</t>
  </si>
  <si>
    <t>B04071</t>
  </si>
  <si>
    <t>B04072</t>
  </si>
  <si>
    <t>C1419</t>
  </si>
  <si>
    <t>0.10184990642576637</t>
  </si>
  <si>
    <t>B04073</t>
  </si>
  <si>
    <t>B04074</t>
  </si>
  <si>
    <t>B04075</t>
  </si>
  <si>
    <t>0.11873615013286924</t>
  </si>
  <si>
    <t>B04076</t>
  </si>
  <si>
    <t>0.11479233399089955</t>
  </si>
  <si>
    <t>B04077</t>
  </si>
  <si>
    <t>0.10639885877719352</t>
  </si>
  <si>
    <t>B04078</t>
  </si>
  <si>
    <t>C1420</t>
  </si>
  <si>
    <t>0.14455187762722646</t>
  </si>
  <si>
    <t>B04079</t>
  </si>
  <si>
    <t>B04080</t>
  </si>
  <si>
    <t>B04081</t>
  </si>
  <si>
    <t>0.15706046217035946</t>
  </si>
  <si>
    <t>B04082</t>
  </si>
  <si>
    <t>C1421</t>
  </si>
  <si>
    <t>0.16996930307885907</t>
  </si>
  <si>
    <t>B04083</t>
  </si>
  <si>
    <t>B04084</t>
  </si>
  <si>
    <t>C1422</t>
  </si>
  <si>
    <t>B04085</t>
  </si>
  <si>
    <t>0.1605074838469999</t>
  </si>
  <si>
    <t>B04086</t>
  </si>
  <si>
    <t>0.1276789770133405</t>
  </si>
  <si>
    <t>B04087</t>
  </si>
  <si>
    <t>C1423</t>
  </si>
  <si>
    <t>0.045963871136686395</t>
  </si>
  <si>
    <t>B04088</t>
  </si>
  <si>
    <t>C1424</t>
  </si>
  <si>
    <t>B04089</t>
  </si>
  <si>
    <t>B04090</t>
  </si>
  <si>
    <t>0.12199380305885424</t>
  </si>
  <si>
    <t>B04091</t>
  </si>
  <si>
    <t>0.11483068809407453</t>
  </si>
  <si>
    <t>B04092</t>
  </si>
  <si>
    <t>B04093</t>
  </si>
  <si>
    <t>0.028058700448942528</t>
  </si>
  <si>
    <t>B04094</t>
  </si>
  <si>
    <t>B04095</t>
  </si>
  <si>
    <t>0.10799677140303529</t>
  </si>
  <si>
    <t>B04096</t>
  </si>
  <si>
    <t>C1425</t>
  </si>
  <si>
    <t>0.12983652313145883</t>
  </si>
  <si>
    <t>B04097</t>
  </si>
  <si>
    <t>0.026950919903689793</t>
  </si>
  <si>
    <t>B04098</t>
  </si>
  <si>
    <t>0.014389774788043319</t>
  </si>
  <si>
    <t>B04099</t>
  </si>
  <si>
    <t>B04100</t>
  </si>
  <si>
    <t>B04101</t>
  </si>
  <si>
    <t>B04102</t>
  </si>
  <si>
    <t>C1426</t>
  </si>
  <si>
    <t>0.15416363716456222</t>
  </si>
  <si>
    <t>B04103</t>
  </si>
  <si>
    <t>B04104</t>
  </si>
  <si>
    <t>0.10835262609548435</t>
  </si>
  <si>
    <t>B04105</t>
  </si>
  <si>
    <t>C1427</t>
  </si>
  <si>
    <t>B04106</t>
  </si>
  <si>
    <t>0.10988092612744886</t>
  </si>
  <si>
    <t>B04107</t>
  </si>
  <si>
    <t>C1428</t>
  </si>
  <si>
    <t>B04108</t>
  </si>
  <si>
    <t>0.12896444912022892</t>
  </si>
  <si>
    <t>B04109</t>
  </si>
  <si>
    <t>0.13486869682273248</t>
  </si>
  <si>
    <t>B04110</t>
  </si>
  <si>
    <t>0.11390108779335864</t>
  </si>
  <si>
    <t>B04111</t>
  </si>
  <si>
    <t>C1429</t>
  </si>
  <si>
    <t>0.11903055976112449</t>
  </si>
  <si>
    <t>B04112</t>
  </si>
  <si>
    <t>C1430</t>
  </si>
  <si>
    <t>0.18762365616548582</t>
  </si>
  <si>
    <t>B04113</t>
  </si>
  <si>
    <t>0.10926970996488357</t>
  </si>
  <si>
    <t>B04114</t>
  </si>
  <si>
    <t>0.10235122558131295</t>
  </si>
  <si>
    <t>B04115</t>
  </si>
  <si>
    <t>B04116</t>
  </si>
  <si>
    <t>C1431</t>
  </si>
  <si>
    <t>B04117</t>
  </si>
  <si>
    <t>0.14129195555829754</t>
  </si>
  <si>
    <t>B04118</t>
  </si>
  <si>
    <t>B04119</t>
  </si>
  <si>
    <t>C1432</t>
  </si>
  <si>
    <t>B04120</t>
  </si>
  <si>
    <t>C1433</t>
  </si>
  <si>
    <t>0.11751894148436025</t>
  </si>
  <si>
    <t>B04121</t>
  </si>
  <si>
    <t>C1434</t>
  </si>
  <si>
    <t>0.12092179327389684</t>
  </si>
  <si>
    <t>B04122</t>
  </si>
  <si>
    <t>B04123</t>
  </si>
  <si>
    <t>0.15559713499280142</t>
  </si>
  <si>
    <t>B04124</t>
  </si>
  <si>
    <t>0.12241928147913946</t>
  </si>
  <si>
    <t>B04125</t>
  </si>
  <si>
    <t>C1435</t>
  </si>
  <si>
    <t>B04126</t>
  </si>
  <si>
    <t>B04127</t>
  </si>
  <si>
    <t>0.13286808760617222</t>
  </si>
  <si>
    <t>B04128</t>
  </si>
  <si>
    <t>B04129</t>
  </si>
  <si>
    <t>B04130</t>
  </si>
  <si>
    <t>0.14539645323059977</t>
  </si>
  <si>
    <t>B04131</t>
  </si>
  <si>
    <t>B04132</t>
  </si>
  <si>
    <t>C1436</t>
  </si>
  <si>
    <t>0.10978587278848513</t>
  </si>
  <si>
    <t>B04133</t>
  </si>
  <si>
    <t>0.1351344686437739</t>
  </si>
  <si>
    <t>B04134</t>
  </si>
  <si>
    <t>C1437</t>
  </si>
  <si>
    <t>0.10083231904280572</t>
  </si>
  <si>
    <t>B04135</t>
  </si>
  <si>
    <t>B04136</t>
  </si>
  <si>
    <t>B04137</t>
  </si>
  <si>
    <t>C1438</t>
  </si>
  <si>
    <t>0.12298688353734383</t>
  </si>
  <si>
    <t>B04138</t>
  </si>
  <si>
    <t>0.12112701000825665</t>
  </si>
  <si>
    <t>B04139</t>
  </si>
  <si>
    <t>B04140</t>
  </si>
  <si>
    <t>B04141</t>
  </si>
  <si>
    <t>B04142</t>
  </si>
  <si>
    <t>C1439</t>
  </si>
  <si>
    <t>0.12979817556601705</t>
  </si>
  <si>
    <t>B04143</t>
  </si>
  <si>
    <t>C1440</t>
  </si>
  <si>
    <t>0.17571947672717014</t>
  </si>
  <si>
    <t>B04144</t>
  </si>
  <si>
    <t>0.1729338779447988</t>
  </si>
  <si>
    <t>B04145</t>
  </si>
  <si>
    <t>0.12309052432579737</t>
  </si>
  <si>
    <t>B04146</t>
  </si>
  <si>
    <t>B04147</t>
  </si>
  <si>
    <t>B04148</t>
  </si>
  <si>
    <t>0.1282533390654388</t>
  </si>
  <si>
    <t>B04149</t>
  </si>
  <si>
    <t>0.11586620072677992</t>
  </si>
  <si>
    <t>B04150</t>
  </si>
  <si>
    <t>0.11355646455898184</t>
  </si>
  <si>
    <t>B04151</t>
  </si>
  <si>
    <t>0.1314558068449947</t>
  </si>
  <si>
    <t>B04152</t>
  </si>
  <si>
    <t>B04153</t>
  </si>
  <si>
    <t>C1441</t>
  </si>
  <si>
    <t>B04154</t>
  </si>
  <si>
    <t>0.17459723463258517</t>
  </si>
  <si>
    <t>B04155</t>
  </si>
  <si>
    <t>0.13016969994376715</t>
  </si>
  <si>
    <t>B04156</t>
  </si>
  <si>
    <t>C1442</t>
  </si>
  <si>
    <t>B04157</t>
  </si>
  <si>
    <t>0.11960904339009165</t>
  </si>
  <si>
    <t>B04158</t>
  </si>
  <si>
    <t>C1443</t>
  </si>
  <si>
    <t>0.11068455912660963</t>
  </si>
  <si>
    <t>B04159</t>
  </si>
  <si>
    <t>B04160</t>
  </si>
  <si>
    <t>B04161</t>
  </si>
  <si>
    <t>B04162</t>
  </si>
  <si>
    <t>B04163</t>
  </si>
  <si>
    <t>B04164</t>
  </si>
  <si>
    <t>0.037685387009857366</t>
  </si>
  <si>
    <t>B04165</t>
  </si>
  <si>
    <t>C1444</t>
  </si>
  <si>
    <t>B04166</t>
  </si>
  <si>
    <t>B04167</t>
  </si>
  <si>
    <t>0.12093624648296084</t>
  </si>
  <si>
    <t>B04168</t>
  </si>
  <si>
    <t>C1445</t>
  </si>
  <si>
    <t>0.13350167176556968</t>
  </si>
  <si>
    <t>B04169</t>
  </si>
  <si>
    <t>B04170</t>
  </si>
  <si>
    <t>C1446</t>
  </si>
  <si>
    <t>0.10796212139713167</t>
  </si>
  <si>
    <t>B04171</t>
  </si>
  <si>
    <t>C1447</t>
  </si>
  <si>
    <t>0.12291612068289051</t>
  </si>
  <si>
    <t>B04172</t>
  </si>
  <si>
    <t>C1448</t>
  </si>
  <si>
    <t>0.2022415712174087</t>
  </si>
  <si>
    <t>B04173</t>
  </si>
  <si>
    <t>0.13200568287515416</t>
  </si>
  <si>
    <t>B04174</t>
  </si>
  <si>
    <t>B04175</t>
  </si>
  <si>
    <t>B04176</t>
  </si>
  <si>
    <t>0.1358735541966191</t>
  </si>
  <si>
    <t>B04177</t>
  </si>
  <si>
    <t>B04178</t>
  </si>
  <si>
    <t>0.12683357754570243</t>
  </si>
  <si>
    <t>B04179</t>
  </si>
  <si>
    <t>0.11592607226937979</t>
  </si>
  <si>
    <t>B04180</t>
  </si>
  <si>
    <t>C1449</t>
  </si>
  <si>
    <t>0.11382445989501562</t>
  </si>
  <si>
    <t>B04181</t>
  </si>
  <si>
    <t>C1450</t>
  </si>
  <si>
    <t>0.1144799597742157</t>
  </si>
  <si>
    <t>B04182</t>
  </si>
  <si>
    <t>C1451</t>
  </si>
  <si>
    <t>B04183</t>
  </si>
  <si>
    <t>0.11815467270547803</t>
  </si>
  <si>
    <t>B04184</t>
  </si>
  <si>
    <t>0.10090074985883084</t>
  </si>
  <si>
    <t>B04185</t>
  </si>
  <si>
    <t>C1452</t>
  </si>
  <si>
    <t>B04186</t>
  </si>
  <si>
    <t>0.1051011861522655</t>
  </si>
  <si>
    <t>B04187</t>
  </si>
  <si>
    <t>B04188</t>
  </si>
  <si>
    <t>0.12289903084980087</t>
  </si>
  <si>
    <t>B04189</t>
  </si>
  <si>
    <t>0.14226253845574846</t>
  </si>
  <si>
    <t>B04190</t>
  </si>
  <si>
    <t>C1453</t>
  </si>
  <si>
    <t>B04191</t>
  </si>
  <si>
    <t>0.057882256385807525</t>
  </si>
  <si>
    <t>B04192</t>
  </si>
  <si>
    <t>B04193</t>
  </si>
  <si>
    <t>C1454</t>
  </si>
  <si>
    <t>0.12064249278565675</t>
  </si>
  <si>
    <t>B04194</t>
  </si>
  <si>
    <t>B04195</t>
  </si>
  <si>
    <t>0.13239882231289266</t>
  </si>
  <si>
    <t>B04196</t>
  </si>
  <si>
    <t>C1455</t>
  </si>
  <si>
    <t>0.11960205145237733</t>
  </si>
  <si>
    <t>B04197</t>
  </si>
  <si>
    <t>B04198</t>
  </si>
  <si>
    <t>B04199</t>
  </si>
  <si>
    <t>C1456</t>
  </si>
  <si>
    <t>0.14861142769044464</t>
  </si>
  <si>
    <t>B04200</t>
  </si>
  <si>
    <t>0.12872684240508156</t>
  </si>
  <si>
    <t>B04201</t>
  </si>
  <si>
    <t>C1457</t>
  </si>
  <si>
    <t>B04202</t>
  </si>
  <si>
    <t>C1458</t>
  </si>
  <si>
    <t>0.024841010942330752</t>
  </si>
  <si>
    <t>B04203</t>
  </si>
  <si>
    <t>0.10051483070592096</t>
  </si>
  <si>
    <t>B04204</t>
  </si>
  <si>
    <t>B04205</t>
  </si>
  <si>
    <t>C1459</t>
  </si>
  <si>
    <t>B04206</t>
  </si>
  <si>
    <t>0.058714164051352845</t>
  </si>
  <si>
    <t>B04207</t>
  </si>
  <si>
    <t>C1460</t>
  </si>
  <si>
    <t>0.13665109897884115</t>
  </si>
  <si>
    <t>B04208</t>
  </si>
  <si>
    <t>C1461</t>
  </si>
  <si>
    <t>B04209</t>
  </si>
  <si>
    <t>0.13876580933726962</t>
  </si>
  <si>
    <t>B04210</t>
  </si>
  <si>
    <t>0.14617713009524402</t>
  </si>
  <si>
    <t>B04211</t>
  </si>
  <si>
    <t>C1462</t>
  </si>
  <si>
    <t>B04212</t>
  </si>
  <si>
    <t>C1463</t>
  </si>
  <si>
    <t>0.1314747010042817</t>
  </si>
  <si>
    <t>B04213</t>
  </si>
  <si>
    <t>C1464</t>
  </si>
  <si>
    <t>B04214</t>
  </si>
  <si>
    <t>B04215</t>
  </si>
  <si>
    <t>0.15189218186373352</t>
  </si>
  <si>
    <t>B04216</t>
  </si>
  <si>
    <t>0.1502723429100408</t>
  </si>
  <si>
    <t>B04217</t>
  </si>
  <si>
    <t>B04218</t>
  </si>
  <si>
    <t>C1465</t>
  </si>
  <si>
    <t>0.10476481215200585</t>
  </si>
  <si>
    <t>B04219</t>
  </si>
  <si>
    <t>C1466</t>
  </si>
  <si>
    <t>0.056316547064620553</t>
  </si>
  <si>
    <t>B04220</t>
  </si>
  <si>
    <t>C1467</t>
  </si>
  <si>
    <t>0.10244507126599409</t>
  </si>
  <si>
    <t>B04221</t>
  </si>
  <si>
    <t>B04222</t>
  </si>
  <si>
    <t>B04223</t>
  </si>
  <si>
    <t>0.048027302807166924</t>
  </si>
  <si>
    <t>B04224</t>
  </si>
  <si>
    <t>B04225</t>
  </si>
  <si>
    <t>C1468</t>
  </si>
  <si>
    <t>0.10073200528279203</t>
  </si>
  <si>
    <t>B04226</t>
  </si>
  <si>
    <t>0.10656321152419199</t>
  </si>
  <si>
    <t>B04227</t>
  </si>
  <si>
    <t>C1469</t>
  </si>
  <si>
    <t>B04228</t>
  </si>
  <si>
    <t>B04229</t>
  </si>
  <si>
    <t>0.17193867526420403</t>
  </si>
  <si>
    <t>B04230</t>
  </si>
  <si>
    <t>B04231</t>
  </si>
  <si>
    <t>0.16703543228788864</t>
  </si>
  <si>
    <t>B04232</t>
  </si>
  <si>
    <t>C1470</t>
  </si>
  <si>
    <t>0.18326165879451706</t>
  </si>
  <si>
    <t>B04233</t>
  </si>
  <si>
    <t>B04234</t>
  </si>
  <si>
    <t>0.14558044434488634</t>
  </si>
  <si>
    <t>B04235</t>
  </si>
  <si>
    <t>B04236</t>
  </si>
  <si>
    <t>0.13922306363268697</t>
  </si>
  <si>
    <t>B04237</t>
  </si>
  <si>
    <t>C1471</t>
  </si>
  <si>
    <t>B04238</t>
  </si>
  <si>
    <t>0.1498264216165541</t>
  </si>
  <si>
    <t>B04239</t>
  </si>
  <si>
    <t>0.012286908770640856</t>
  </si>
  <si>
    <t>B04240</t>
  </si>
  <si>
    <t>0.1962848934193283</t>
  </si>
  <si>
    <t>B04241</t>
  </si>
  <si>
    <t>B04242</t>
  </si>
  <si>
    <t>B04243</t>
  </si>
  <si>
    <t>B04244</t>
  </si>
  <si>
    <t>C1472</t>
  </si>
  <si>
    <t>B04245</t>
  </si>
  <si>
    <t>C1473</t>
  </si>
  <si>
    <t>0.15471686479019997</t>
  </si>
  <si>
    <t>B04246</t>
  </si>
  <si>
    <t>0.17485270186347024</t>
  </si>
  <si>
    <t>B04247</t>
  </si>
  <si>
    <t>0.13847085666512354</t>
  </si>
  <si>
    <t>B04248</t>
  </si>
  <si>
    <t>0.058074900013437084</t>
  </si>
  <si>
    <t>B04249</t>
  </si>
  <si>
    <t>C1474</t>
  </si>
  <si>
    <t>B04250</t>
  </si>
  <si>
    <t>B04251</t>
  </si>
  <si>
    <t>0.11914715766575547</t>
  </si>
  <si>
    <t>B04252</t>
  </si>
  <si>
    <t>B04253</t>
  </si>
  <si>
    <t>0.1178283880713062</t>
  </si>
  <si>
    <t>B04254</t>
  </si>
  <si>
    <t>C1475</t>
  </si>
  <si>
    <t>0.1495976047862554</t>
  </si>
  <si>
    <t>B04255</t>
  </si>
  <si>
    <t>C1476</t>
  </si>
  <si>
    <t>B04256</t>
  </si>
  <si>
    <t>C1477</t>
  </si>
  <si>
    <t>0.11163465256372065</t>
  </si>
  <si>
    <t>B04257</t>
  </si>
  <si>
    <t>C1478</t>
  </si>
  <si>
    <t>B04258</t>
  </si>
  <si>
    <t>C1479</t>
  </si>
  <si>
    <t>0.1114355612096101</t>
  </si>
  <si>
    <t>B04259</t>
  </si>
  <si>
    <t>B04260</t>
  </si>
  <si>
    <t>B04261</t>
  </si>
  <si>
    <t>C1480</t>
  </si>
  <si>
    <t>B04262</t>
  </si>
  <si>
    <t>0.030373620320793826</t>
  </si>
  <si>
    <t>B04263</t>
  </si>
  <si>
    <t>B04264</t>
  </si>
  <si>
    <t>0.10661948432152002</t>
  </si>
  <si>
    <t>B04265</t>
  </si>
  <si>
    <t>C1481</t>
  </si>
  <si>
    <t>B04266</t>
  </si>
  <si>
    <t>C1482</t>
  </si>
  <si>
    <t>B04267</t>
  </si>
  <si>
    <t>C1483</t>
  </si>
  <si>
    <t>B04268</t>
  </si>
  <si>
    <t>C1484</t>
  </si>
  <si>
    <t>0.12939733587353144</t>
  </si>
  <si>
    <t>B04269</t>
  </si>
  <si>
    <t>C1485</t>
  </si>
  <si>
    <t>0.11482584019593085</t>
  </si>
  <si>
    <t>B04270</t>
  </si>
  <si>
    <t>B04271</t>
  </si>
  <si>
    <t>B04272</t>
  </si>
  <si>
    <t>C1486</t>
  </si>
  <si>
    <t>0.10997707353016868</t>
  </si>
  <si>
    <t>B04273</t>
  </si>
  <si>
    <t>0.1550636587259978</t>
  </si>
  <si>
    <t>B04274</t>
  </si>
  <si>
    <t>B04275</t>
  </si>
  <si>
    <t>B04276</t>
  </si>
  <si>
    <t>0.1096944683904308</t>
  </si>
  <si>
    <t>B04277</t>
  </si>
  <si>
    <t>C1487</t>
  </si>
  <si>
    <t>B04278</t>
  </si>
  <si>
    <t>0.13682904740456667</t>
  </si>
  <si>
    <t>B04279</t>
  </si>
  <si>
    <t>B04280</t>
  </si>
  <si>
    <t>B04281</t>
  </si>
  <si>
    <t>0.22115553140043426</t>
  </si>
  <si>
    <t>B04282</t>
  </si>
  <si>
    <t>0.14615623362597988</t>
  </si>
  <si>
    <t>B04283</t>
  </si>
  <si>
    <t>B04284</t>
  </si>
  <si>
    <t>0.11811093731271778</t>
  </si>
  <si>
    <t>B04285</t>
  </si>
  <si>
    <t>B04286</t>
  </si>
  <si>
    <t>0.10695834665624171</t>
  </si>
  <si>
    <t>B04287</t>
  </si>
  <si>
    <t>0.16661433450188054</t>
  </si>
  <si>
    <t>B04288</t>
  </si>
  <si>
    <t>0.19586000686583677</t>
  </si>
  <si>
    <t>B04289</t>
  </si>
  <si>
    <t>B04290</t>
  </si>
  <si>
    <t>B04291</t>
  </si>
  <si>
    <t>0.12427332808016593</t>
  </si>
  <si>
    <t>B04292</t>
  </si>
  <si>
    <t>B04293</t>
  </si>
  <si>
    <t>B04294</t>
  </si>
  <si>
    <t>0.14850517529655743</t>
  </si>
  <si>
    <t>B04295</t>
  </si>
  <si>
    <t>C1488</t>
  </si>
  <si>
    <t>0.1372903847632685</t>
  </si>
  <si>
    <t>B04296</t>
  </si>
  <si>
    <t>B04297</t>
  </si>
  <si>
    <t>B04298</t>
  </si>
  <si>
    <t>C1489</t>
  </si>
  <si>
    <t>0.13178215087775666</t>
  </si>
  <si>
    <t>B04299</t>
  </si>
  <si>
    <t>0.15373456533326393</t>
  </si>
  <si>
    <t>B04300</t>
  </si>
  <si>
    <t>B04301</t>
  </si>
  <si>
    <t>0.056743778988839526</t>
  </si>
  <si>
    <t>B04302</t>
  </si>
  <si>
    <t>B04303</t>
  </si>
  <si>
    <t>0.14585253776796697</t>
  </si>
  <si>
    <t>B04304</t>
  </si>
  <si>
    <t>0.15530010594207944</t>
  </si>
  <si>
    <t>B04305</t>
  </si>
  <si>
    <t>C1490</t>
  </si>
  <si>
    <t>B04306</t>
  </si>
  <si>
    <t>C1491</t>
  </si>
  <si>
    <t>B04307</t>
  </si>
  <si>
    <t>0.035421230002823434</t>
  </si>
  <si>
    <t>B04308</t>
  </si>
  <si>
    <t>C1492</t>
  </si>
  <si>
    <t>B04309</t>
  </si>
  <si>
    <t>0.11919786088802765</t>
  </si>
  <si>
    <t>B04310</t>
  </si>
  <si>
    <t>C1493</t>
  </si>
  <si>
    <t>B04311</t>
  </si>
  <si>
    <t>B04312</t>
  </si>
  <si>
    <t>B04313</t>
  </si>
  <si>
    <t>B04314</t>
  </si>
  <si>
    <t>0.15917992333543785</t>
  </si>
  <si>
    <t>B04315</t>
  </si>
  <si>
    <t>B04316</t>
  </si>
  <si>
    <t>C1494</t>
  </si>
  <si>
    <t>B04317</t>
  </si>
  <si>
    <t>0.1441174383407286</t>
  </si>
  <si>
    <t>B04318</t>
  </si>
  <si>
    <t>0.034014616668945605</t>
  </si>
  <si>
    <t>B04319</t>
  </si>
  <si>
    <t>B04320</t>
  </si>
  <si>
    <t>0.14638579425486425</t>
  </si>
  <si>
    <t>B04321</t>
  </si>
  <si>
    <t>B04322</t>
  </si>
  <si>
    <t>C1495</t>
  </si>
  <si>
    <t>B04323</t>
  </si>
  <si>
    <t>0.12402226830447158</t>
  </si>
  <si>
    <t>B04324</t>
  </si>
  <si>
    <t>C1496</t>
  </si>
  <si>
    <t>0.12109949226720565</t>
  </si>
  <si>
    <t>B04325</t>
  </si>
  <si>
    <t>0.11133139136981367</t>
  </si>
  <si>
    <t>B04326</t>
  </si>
  <si>
    <t>C1497</t>
  </si>
  <si>
    <t>B04327</t>
  </si>
  <si>
    <t>B04328</t>
  </si>
  <si>
    <t>B04329</t>
  </si>
  <si>
    <t>0.12067549036613684</t>
  </si>
  <si>
    <t>B04330</t>
  </si>
  <si>
    <t>0.14593998588522847</t>
  </si>
  <si>
    <t>B04331</t>
  </si>
  <si>
    <t>C1498</t>
  </si>
  <si>
    <t>B04332</t>
  </si>
  <si>
    <t>B04333</t>
  </si>
  <si>
    <t>C1499</t>
  </si>
  <si>
    <t>0.15625137437385567</t>
  </si>
  <si>
    <t>B04334</t>
  </si>
  <si>
    <t>C1500</t>
  </si>
  <si>
    <t>B04335</t>
  </si>
  <si>
    <t>0.1261200639898924</t>
  </si>
  <si>
    <t>B04336</t>
  </si>
  <si>
    <t>B04337</t>
  </si>
  <si>
    <t>C1501</t>
  </si>
  <si>
    <t>B04338</t>
  </si>
  <si>
    <t>0.1409596250820385</t>
  </si>
  <si>
    <t>B04339</t>
  </si>
  <si>
    <t>C1502</t>
  </si>
  <si>
    <t>0.13410308203123453</t>
  </si>
  <si>
    <t>B04340</t>
  </si>
  <si>
    <t>C1503</t>
  </si>
  <si>
    <t>0.1692417604668141</t>
  </si>
  <si>
    <t>B04341</t>
  </si>
  <si>
    <t>0.11558558138049399</t>
  </si>
  <si>
    <t>B04342</t>
  </si>
  <si>
    <t>0.11050479072901064</t>
  </si>
  <si>
    <t>B04343</t>
  </si>
  <si>
    <t>B04344</t>
  </si>
  <si>
    <t>C1504</t>
  </si>
  <si>
    <t>0.15271378894305837</t>
  </si>
  <si>
    <t>B04345</t>
  </si>
  <si>
    <t>0.15146744124173545</t>
  </si>
  <si>
    <t>B04346</t>
  </si>
  <si>
    <t>B04347</t>
  </si>
  <si>
    <t>B04348</t>
  </si>
  <si>
    <t>0.1090392986267994</t>
  </si>
  <si>
    <t>B04349</t>
  </si>
  <si>
    <t>B04350</t>
  </si>
  <si>
    <t>0.026023898487581132</t>
  </si>
  <si>
    <t>B04351</t>
  </si>
  <si>
    <t>0.12282913207916855</t>
  </si>
  <si>
    <t>B04352</t>
  </si>
  <si>
    <t>B04353</t>
  </si>
  <si>
    <t>0.13247016063988265</t>
  </si>
  <si>
    <t>B04354</t>
  </si>
  <si>
    <t>B04355</t>
  </si>
  <si>
    <t>0.12316011129116088</t>
  </si>
  <si>
    <t>B04356</t>
  </si>
  <si>
    <t>C1505</t>
  </si>
  <si>
    <t>0.060067575915376176</t>
  </si>
  <si>
    <t>B04357</t>
  </si>
  <si>
    <t>0.16326244047740165</t>
  </si>
  <si>
    <t>B04358</t>
  </si>
  <si>
    <t>B04359</t>
  </si>
  <si>
    <t>B04360</t>
  </si>
  <si>
    <t>B04361</t>
  </si>
  <si>
    <t>0.12227840366598132</t>
  </si>
  <si>
    <t>B04362</t>
  </si>
  <si>
    <t>B04363</t>
  </si>
  <si>
    <t>0.14595123136804242</t>
  </si>
  <si>
    <t>B04364</t>
  </si>
  <si>
    <t>B04365</t>
  </si>
  <si>
    <t>C1506</t>
  </si>
  <si>
    <t>B04366</t>
  </si>
  <si>
    <t>B04367</t>
  </si>
  <si>
    <t>0.1279845687293909</t>
  </si>
  <si>
    <t>B04368</t>
  </si>
  <si>
    <t>C1507</t>
  </si>
  <si>
    <t>B04369</t>
  </si>
  <si>
    <t>C1508</t>
  </si>
  <si>
    <t>0.10747109589227477</t>
  </si>
  <si>
    <t>B04370</t>
  </si>
  <si>
    <t>0.11861666610334241</t>
  </si>
  <si>
    <t>B04371</t>
  </si>
  <si>
    <t>0.1573999935010725</t>
  </si>
  <si>
    <t>B04372</t>
  </si>
  <si>
    <t>C1509</t>
  </si>
  <si>
    <t>B04373</t>
  </si>
  <si>
    <t>0.10909248193706952</t>
  </si>
  <si>
    <t>B04374</t>
  </si>
  <si>
    <t>0.16840889908322965</t>
  </si>
  <si>
    <t>Travel Date</t>
  </si>
  <si>
    <t>Customer Segment</t>
  </si>
  <si>
    <t>Tour Type</t>
  </si>
  <si>
    <t>Channel</t>
  </si>
  <si>
    <t>Destination</t>
  </si>
  <si>
    <t>Number of Traveler</t>
  </si>
  <si>
    <t>Base Price (Vnd)</t>
  </si>
  <si>
    <t>Discount Rate (%)</t>
  </si>
  <si>
    <t>Satisfaction</t>
  </si>
  <si>
    <t>Returning</t>
  </si>
  <si>
    <t>Đà Nẵng</t>
  </si>
  <si>
    <t>Đà Lạt</t>
  </si>
  <si>
    <t>Hà Nội</t>
  </si>
  <si>
    <t>Hội An</t>
  </si>
  <si>
    <t>Phú Quốc</t>
  </si>
  <si>
    <t>Huế</t>
  </si>
  <si>
    <t>TP. HCM</t>
  </si>
  <si>
    <t>Hạ Long</t>
  </si>
  <si>
    <t>Market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</si>
  <si>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</si>
  <si>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</si>
  <si>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</si>
  <si>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</si>
  <si>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</si>
  <si>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</si>
  <si>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</si>
  <si>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</si>
  <si>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</si>
  <si>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</si>
  <si>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</si>
  <si>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</si>
  <si>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1. Asia</t>
  </si>
  <si>
    <t>Cambodia</t>
  </si>
  <si>
    <t>China</t>
  </si>
  <si>
    <t>Philippines</t>
  </si>
  <si>
    <t>Laos</t>
  </si>
  <si>
    <t>Japan</t>
  </si>
  <si>
    <t>Taiwan</t>
  </si>
  <si>
    <t>Indonesia</t>
  </si>
  <si>
    <t>India</t>
  </si>
  <si>
    <t>Republic of Korea</t>
  </si>
  <si>
    <t>Thailand</t>
  </si>
  <si>
    <t>Malaysia</t>
  </si>
  <si>
    <t>Singapore</t>
  </si>
  <si>
    <t>Other countries in ASI</t>
  </si>
  <si>
    <t>2. America</t>
  </si>
  <si>
    <t>Canada</t>
  </si>
  <si>
    <t>USA</t>
  </si>
  <si>
    <t>Other countries in AME</t>
  </si>
  <si>
    <t>3. Europe</t>
  </si>
  <si>
    <t>Russia</t>
  </si>
  <si>
    <t>Norway</t>
  </si>
  <si>
    <t>Sweden</t>
  </si>
  <si>
    <t>Poland</t>
  </si>
  <si>
    <t>Germany</t>
  </si>
  <si>
    <t>Italy</t>
  </si>
  <si>
    <t>Denmark</t>
  </si>
  <si>
    <t>France</t>
  </si>
  <si>
    <t>United Kingdom</t>
  </si>
  <si>
    <t>Switzerland</t>
  </si>
  <si>
    <t>Netherlands</t>
  </si>
  <si>
    <t>Spain</t>
  </si>
  <si>
    <t>Belgium</t>
  </si>
  <si>
    <t>Other countries in EU</t>
  </si>
  <si>
    <t>4. Oceania</t>
  </si>
  <si>
    <t>New Zealand</t>
  </si>
  <si>
    <t>Australia</t>
  </si>
  <si>
    <t>Other countries in OCE</t>
  </si>
  <si>
    <t>5. Africa</t>
  </si>
  <si>
    <t>Other countries in AFR</t>
  </si>
  <si>
    <t>Total</t>
  </si>
  <si>
    <t>Row Labels</t>
  </si>
  <si>
    <t>Grand Total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</si>
  <si>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</si>
  <si>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</si>
  <si>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</si>
  <si>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</si>
  <si>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</si>
  <si>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</si>
  <si>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</si>
  <si>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</si>
  <si>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</si>
  <si>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</si>
  <si>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</si>
  <si>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/>
  </si>
  <si>
    <t># of Traveler</t>
  </si>
  <si>
    <t># of Travelers</t>
  </si>
  <si>
    <t>Years (Travel Date)</t>
  </si>
  <si>
    <t>(All)</t>
  </si>
  <si>
    <t>Sum of January</t>
  </si>
  <si>
    <t>Sum of February</t>
  </si>
  <si>
    <t>Sum of March</t>
  </si>
  <si>
    <t>Sum of April</t>
  </si>
  <si>
    <t>Sum of May</t>
  </si>
  <si>
    <t>Sum of June</t>
  </si>
  <si>
    <t>Sum of July</t>
  </si>
  <si>
    <t>Sum of August</t>
  </si>
  <si>
    <t>Sum of September</t>
  </si>
  <si>
    <t>Sum of October</t>
  </si>
  <si>
    <t>Sum of November</t>
  </si>
  <si>
    <t>Sum of December</t>
  </si>
  <si>
    <t>Sum of Total</t>
  </si>
  <si>
    <t>Country From</t>
  </si>
  <si>
    <t>Sum of Number of Traveler</t>
  </si>
  <si>
    <t>TRUE</t>
  </si>
  <si>
    <t>Column Labels</t>
  </si>
  <si>
    <t>2-3</t>
  </si>
  <si>
    <t>3-4</t>
  </si>
  <si>
    <t>4-5</t>
  </si>
  <si>
    <t>Rating-Returning/ Customer Segment</t>
  </si>
  <si>
    <t>Total:</t>
  </si>
  <si>
    <t>Rating-Returning/ Tour Type</t>
  </si>
  <si>
    <t>Discounted Price (Vnd)</t>
  </si>
  <si>
    <t>Average of Discounted Price (Vnd)</t>
  </si>
  <si>
    <t>Average of Discount Rate (%)</t>
  </si>
  <si>
    <t>Average of Base Price (Vnd)</t>
  </si>
  <si>
    <t>Sastifaction / Base Price - Discount Rate - Discounted Price</t>
  </si>
  <si>
    <t>Avg of Base Price (vnd)</t>
  </si>
  <si>
    <t>Avg of Discount Rate (%)</t>
  </si>
  <si>
    <t>Avg of Discounted Price</t>
  </si>
  <si>
    <t>Customer Type / Destinations</t>
  </si>
  <si>
    <t>Sa pa</t>
  </si>
  <si>
    <t>Max</t>
  </si>
  <si>
    <t>Min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</si>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</sst>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\ [$₫-42A]_-;\-* #,##0\ [$₫-42A]_-;_-* &quot;-&quot;??\ [$₫-42A]_-;_-@_-"/>
    <numFmt numFmtId="165" formatCode="mm/dd/yy;@"/>
    <numFmt numFmtId="166" formatCode="#,##0\ [$₫-42A]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7E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0" fillId="0" borderId="0" xfId="0" quotePrefix="1"/>
    <xf numFmtId="10" fontId="0" fillId="0" borderId="0" xfId="0" applyNumberFormat="1"/>
    <xf numFmtId="0" fontId="19" fillId="33" borderId="0" xfId="0" applyFont="1" applyFill="1"/>
    <xf numFmtId="0" fontId="19" fillId="34" borderId="0" xfId="0" applyFont="1" applyFill="1"/>
    <xf numFmtId="0" fontId="0" fillId="34" borderId="0" xfId="0" applyFill="1"/>
    <xf numFmtId="0" fontId="0" fillId="33" borderId="0" xfId="0" applyFill="1"/>
    <xf numFmtId="0" fontId="19" fillId="36" borderId="0" xfId="0" applyFont="1" applyFill="1"/>
    <xf numFmtId="0" fontId="0" fillId="36" borderId="0" xfId="0" applyFill="1"/>
    <xf numFmtId="0" fontId="16" fillId="35" borderId="0" xfId="0" applyFont="1" applyFill="1"/>
    <xf numFmtId="0" fontId="0" fillId="35" borderId="0" xfId="0" applyFill="1"/>
    <xf numFmtId="0" fontId="19" fillId="37" borderId="0" xfId="0" applyFont="1" applyFill="1"/>
    <xf numFmtId="0" fontId="0" fillId="37" borderId="0" xfId="0" applyFill="1"/>
    <xf numFmtId="10" fontId="0" fillId="0" borderId="0" xfId="43" applyNumberFormat="1" applyFont="1"/>
    <xf numFmtId="164" fontId="0" fillId="0" borderId="0" xfId="42" applyNumberFormat="1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0" fontId="0" fillId="38" borderId="0" xfId="0" applyFill="1"/>
    <xf numFmtId="0" fontId="0" fillId="39" borderId="0" xfId="0" applyFill="1"/>
    <xf numFmtId="0" fontId="16" fillId="39" borderId="0" xfId="0" applyFont="1" applyFill="1"/>
    <xf numFmtId="0" fontId="16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6" fillId="0" borderId="10" xfId="0" applyFont="1" applyBorder="1"/>
    <xf numFmtId="166" fontId="0" fillId="0" borderId="0" xfId="43" applyNumberFormat="1" applyFont="1"/>
    <xf numFmtId="164" fontId="0" fillId="0" borderId="0" xfId="0" applyNumberFormat="1"/>
    <xf numFmtId="166" fontId="0" fillId="0" borderId="0" xfId="0" applyNumberFormat="1"/>
    <xf numFmtId="0" fontId="19" fillId="0" borderId="0" xfId="0" applyFont="1" applyAlignment="1">
      <alignment horizontal="left"/>
    </xf>
    <xf numFmtId="0" fontId="0" fillId="41" borderId="0" xfId="0" applyFill="1"/>
    <xf numFmtId="0" fontId="0" fillId="42" borderId="0" xfId="0" applyFill="1"/>
    <xf numFmtId="0" fontId="16" fillId="0" borderId="11" xfId="0" applyFont="1" applyBorder="1"/>
    <xf numFmtId="0" fontId="19" fillId="0" borderId="11" xfId="0" applyFont="1" applyBorder="1"/>
    <xf numFmtId="0" fontId="0" fillId="40" borderId="11" xfId="0" applyFill="1" applyBorder="1" applyAlignment="1">
      <alignment horizontal="left"/>
    </xf>
    <xf numFmtId="0" fontId="0" fillId="0" borderId="11" xfId="0" applyBorder="1"/>
    <xf numFmtId="0" fontId="0" fillId="0" borderId="11" xfId="0" applyBorder="1" applyAlignment="1">
      <alignment horizontal="lef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indexed="64"/>
          <bgColor theme="7" tint="0.59999389629810485"/>
        </patternFill>
      </fill>
    </dxf>
    <dxf>
      <font>
        <b/>
        <i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</dxfs>
  <tableStyles count="0" defaultTableStyle="TableStyleMedium2" defaultPivotStyle="PivotStyleLight16"/>
  <colors>
    <mruColors>
      <color rgb="FFFF7E79"/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</a:t>
            </a:r>
            <a:r>
              <a:rPr lang="en-US" baseline="0"/>
              <a:t> Across Different</a:t>
            </a:r>
            <a:r>
              <a:rPr lang="en-US"/>
              <a:t> Destinations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Type vs Destinations'!$A$2</c:f>
              <c:strCache>
                <c:ptCount val="1"/>
                <c:pt idx="0">
                  <c:v>Family</c:v>
                </c:pt>
              </c:strCache>
            </c:strRef>
          </c:tx>
          <c:spPr>
            <a:solidFill>
              <a:schemeClr val="accent2">
                <a:shade val="58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Type vs Destinations'!$B$1:$K$1</c:f>
              <c:strCache>
                <c:ptCount val="10"/>
                <c:pt idx="0">
                  <c:v>Phú Quốc</c:v>
                </c:pt>
                <c:pt idx="1">
                  <c:v>Đà Nẵng</c:v>
                </c:pt>
                <c:pt idx="2">
                  <c:v>Nha Trang</c:v>
                </c:pt>
                <c:pt idx="3">
                  <c:v>Hạ Long</c:v>
                </c:pt>
                <c:pt idx="4">
                  <c:v>Hội An</c:v>
                </c:pt>
                <c:pt idx="5">
                  <c:v>TP. HCM</c:v>
                </c:pt>
                <c:pt idx="6">
                  <c:v>Đà Lạt</c:v>
                </c:pt>
                <c:pt idx="7">
                  <c:v>Huế</c:v>
                </c:pt>
                <c:pt idx="8">
                  <c:v>Hà Nội</c:v>
                </c:pt>
                <c:pt idx="9">
                  <c:v>Sa pa</c:v>
                </c:pt>
              </c:strCache>
            </c:strRef>
          </c:cat>
          <c:val>
            <c:numRef>
              <c:f>'Customer Type vs Destinations'!$B$2:$K$2</c:f>
              <c:numCache>
                <c:formatCode>General</c:formatCode>
                <c:ptCount val="10"/>
                <c:pt idx="0">
                  <c:v>327</c:v>
                </c:pt>
                <c:pt idx="1">
                  <c:v>317</c:v>
                </c:pt>
                <c:pt idx="2">
                  <c:v>323</c:v>
                </c:pt>
                <c:pt idx="3">
                  <c:v>290</c:v>
                </c:pt>
                <c:pt idx="4">
                  <c:v>305</c:v>
                </c:pt>
                <c:pt idx="5">
                  <c:v>260</c:v>
                </c:pt>
                <c:pt idx="6">
                  <c:v>247</c:v>
                </c:pt>
                <c:pt idx="7">
                  <c:v>243</c:v>
                </c:pt>
                <c:pt idx="8">
                  <c:v>209</c:v>
                </c:pt>
                <c:pt idx="9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7-6143-93C6-FA42DA4919C0}"/>
            </c:ext>
          </c:extLst>
        </c:ser>
        <c:ser>
          <c:idx val="1"/>
          <c:order val="1"/>
          <c:tx>
            <c:strRef>
              <c:f>'Customer Type vs Destinations'!$A$3</c:f>
              <c:strCache>
                <c:ptCount val="1"/>
                <c:pt idx="0">
                  <c:v>Young Professional</c:v>
                </c:pt>
              </c:strCache>
            </c:strRef>
          </c:tx>
          <c:spPr>
            <a:solidFill>
              <a:schemeClr val="accent2">
                <a:shade val="8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Type vs Destinations'!$B$1:$K$1</c:f>
              <c:strCache>
                <c:ptCount val="10"/>
                <c:pt idx="0">
                  <c:v>Phú Quốc</c:v>
                </c:pt>
                <c:pt idx="1">
                  <c:v>Đà Nẵng</c:v>
                </c:pt>
                <c:pt idx="2">
                  <c:v>Nha Trang</c:v>
                </c:pt>
                <c:pt idx="3">
                  <c:v>Hạ Long</c:v>
                </c:pt>
                <c:pt idx="4">
                  <c:v>Hội An</c:v>
                </c:pt>
                <c:pt idx="5">
                  <c:v>TP. HCM</c:v>
                </c:pt>
                <c:pt idx="6">
                  <c:v>Đà Lạt</c:v>
                </c:pt>
                <c:pt idx="7">
                  <c:v>Huế</c:v>
                </c:pt>
                <c:pt idx="8">
                  <c:v>Hà Nội</c:v>
                </c:pt>
                <c:pt idx="9">
                  <c:v>Sa pa</c:v>
                </c:pt>
              </c:strCache>
            </c:strRef>
          </c:cat>
          <c:val>
            <c:numRef>
              <c:f>'Customer Type vs Destinations'!$B$3:$K$3</c:f>
              <c:numCache>
                <c:formatCode>General</c:formatCode>
                <c:ptCount val="10"/>
                <c:pt idx="0">
                  <c:v>318</c:v>
                </c:pt>
                <c:pt idx="1">
                  <c:v>255</c:v>
                </c:pt>
                <c:pt idx="2">
                  <c:v>225</c:v>
                </c:pt>
                <c:pt idx="3">
                  <c:v>259</c:v>
                </c:pt>
                <c:pt idx="4">
                  <c:v>239</c:v>
                </c:pt>
                <c:pt idx="5">
                  <c:v>294</c:v>
                </c:pt>
                <c:pt idx="6">
                  <c:v>237</c:v>
                </c:pt>
                <c:pt idx="7">
                  <c:v>232</c:v>
                </c:pt>
                <c:pt idx="8">
                  <c:v>190</c:v>
                </c:pt>
                <c:pt idx="9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E7-6143-93C6-FA42DA4919C0}"/>
            </c:ext>
          </c:extLst>
        </c:ser>
        <c:ser>
          <c:idx val="2"/>
          <c:order val="2"/>
          <c:tx>
            <c:strRef>
              <c:f>'Customer Type vs Destinations'!$A$4</c:f>
              <c:strCache>
                <c:ptCount val="1"/>
                <c:pt idx="0">
                  <c:v>Student</c:v>
                </c:pt>
              </c:strCache>
            </c:strRef>
          </c:tx>
          <c:spPr>
            <a:solidFill>
              <a:schemeClr val="accent2">
                <a:tint val="8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Type vs Destinations'!$B$1:$K$1</c:f>
              <c:strCache>
                <c:ptCount val="10"/>
                <c:pt idx="0">
                  <c:v>Phú Quốc</c:v>
                </c:pt>
                <c:pt idx="1">
                  <c:v>Đà Nẵng</c:v>
                </c:pt>
                <c:pt idx="2">
                  <c:v>Nha Trang</c:v>
                </c:pt>
                <c:pt idx="3">
                  <c:v>Hạ Long</c:v>
                </c:pt>
                <c:pt idx="4">
                  <c:v>Hội An</c:v>
                </c:pt>
                <c:pt idx="5">
                  <c:v>TP. HCM</c:v>
                </c:pt>
                <c:pt idx="6">
                  <c:v>Đà Lạt</c:v>
                </c:pt>
                <c:pt idx="7">
                  <c:v>Huế</c:v>
                </c:pt>
                <c:pt idx="8">
                  <c:v>Hà Nội</c:v>
                </c:pt>
                <c:pt idx="9">
                  <c:v>Sa pa</c:v>
                </c:pt>
              </c:strCache>
            </c:strRef>
          </c:cat>
          <c:val>
            <c:numRef>
              <c:f>'Customer Type vs Destinations'!$B$4:$K$4</c:f>
              <c:numCache>
                <c:formatCode>General</c:formatCode>
                <c:ptCount val="10"/>
                <c:pt idx="0">
                  <c:v>233</c:v>
                </c:pt>
                <c:pt idx="1">
                  <c:v>240</c:v>
                </c:pt>
                <c:pt idx="2">
                  <c:v>195</c:v>
                </c:pt>
                <c:pt idx="3">
                  <c:v>179</c:v>
                </c:pt>
                <c:pt idx="4">
                  <c:v>163</c:v>
                </c:pt>
                <c:pt idx="5">
                  <c:v>155</c:v>
                </c:pt>
                <c:pt idx="6">
                  <c:v>170</c:v>
                </c:pt>
                <c:pt idx="7">
                  <c:v>149</c:v>
                </c:pt>
                <c:pt idx="8">
                  <c:v>152</c:v>
                </c:pt>
                <c:pt idx="9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E7-6143-93C6-FA42DA4919C0}"/>
            </c:ext>
          </c:extLst>
        </c:ser>
        <c:ser>
          <c:idx val="3"/>
          <c:order val="3"/>
          <c:tx>
            <c:strRef>
              <c:f>'Customer Type vs Destinations'!$A$5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>
                <a:tint val="58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Type vs Destinations'!$B$1:$K$1</c:f>
              <c:strCache>
                <c:ptCount val="10"/>
                <c:pt idx="0">
                  <c:v>Phú Quốc</c:v>
                </c:pt>
                <c:pt idx="1">
                  <c:v>Đà Nẵng</c:v>
                </c:pt>
                <c:pt idx="2">
                  <c:v>Nha Trang</c:v>
                </c:pt>
                <c:pt idx="3">
                  <c:v>Hạ Long</c:v>
                </c:pt>
                <c:pt idx="4">
                  <c:v>Hội An</c:v>
                </c:pt>
                <c:pt idx="5">
                  <c:v>TP. HCM</c:v>
                </c:pt>
                <c:pt idx="6">
                  <c:v>Đà Lạt</c:v>
                </c:pt>
                <c:pt idx="7">
                  <c:v>Huế</c:v>
                </c:pt>
                <c:pt idx="8">
                  <c:v>Hà Nội</c:v>
                </c:pt>
                <c:pt idx="9">
                  <c:v>Sa pa</c:v>
                </c:pt>
              </c:strCache>
            </c:strRef>
          </c:cat>
          <c:val>
            <c:numRef>
              <c:f>'Customer Type vs Destinations'!$B$5:$K$5</c:f>
              <c:numCache>
                <c:formatCode>General</c:formatCode>
                <c:ptCount val="10"/>
                <c:pt idx="0">
                  <c:v>149</c:v>
                </c:pt>
                <c:pt idx="1">
                  <c:v>136</c:v>
                </c:pt>
                <c:pt idx="2">
                  <c:v>116</c:v>
                </c:pt>
                <c:pt idx="3">
                  <c:v>104</c:v>
                </c:pt>
                <c:pt idx="4">
                  <c:v>124</c:v>
                </c:pt>
                <c:pt idx="5">
                  <c:v>101</c:v>
                </c:pt>
                <c:pt idx="6">
                  <c:v>129</c:v>
                </c:pt>
                <c:pt idx="7">
                  <c:v>133</c:v>
                </c:pt>
                <c:pt idx="8">
                  <c:v>108</c:v>
                </c:pt>
                <c:pt idx="9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E7-6143-93C6-FA42DA4919C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43956143"/>
        <c:axId val="1322374383"/>
      </c:barChart>
      <c:catAx>
        <c:axId val="134395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22374383"/>
        <c:crosses val="autoZero"/>
        <c:auto val="1"/>
        <c:lblAlgn val="ctr"/>
        <c:lblOffset val="100"/>
        <c:noMultiLvlLbl val="0"/>
      </c:catAx>
      <c:valAx>
        <c:axId val="1322374383"/>
        <c:scaling>
          <c:orientation val="minMax"/>
          <c:max val="110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alpha val="1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4395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/>
              <a:t>Satisfaction Rating Per Tour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'Tour Type'!$B$1</c:f>
              <c:strCache>
                <c:ptCount val="1"/>
                <c:pt idx="0">
                  <c:v>Beach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'Tour Type'!$A$2:$A$25</c:f>
              <c:numCache>
                <c:formatCode>General</c:formatCode>
                <c:ptCount val="24"/>
                <c:pt idx="0">
                  <c:v>2.2999999999999998</c:v>
                </c:pt>
                <c:pt idx="1">
                  <c:v>2.8</c:v>
                </c:pt>
                <c:pt idx="2">
                  <c:v>2.9</c:v>
                </c:pt>
                <c:pt idx="3">
                  <c:v>3</c:v>
                </c:pt>
                <c:pt idx="4">
                  <c:v>3.1</c:v>
                </c:pt>
                <c:pt idx="5">
                  <c:v>3.2</c:v>
                </c:pt>
                <c:pt idx="6">
                  <c:v>3.3</c:v>
                </c:pt>
                <c:pt idx="7">
                  <c:v>3.4</c:v>
                </c:pt>
                <c:pt idx="8">
                  <c:v>3.5</c:v>
                </c:pt>
                <c:pt idx="9">
                  <c:v>3.6</c:v>
                </c:pt>
                <c:pt idx="10">
                  <c:v>3.7</c:v>
                </c:pt>
                <c:pt idx="11">
                  <c:v>3.8</c:v>
                </c:pt>
                <c:pt idx="12">
                  <c:v>3.9</c:v>
                </c:pt>
                <c:pt idx="13">
                  <c:v>4</c:v>
                </c:pt>
                <c:pt idx="14">
                  <c:v>4.0999999999999996</c:v>
                </c:pt>
                <c:pt idx="15">
                  <c:v>4.2</c:v>
                </c:pt>
                <c:pt idx="16">
                  <c:v>4.3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4.7</c:v>
                </c:pt>
                <c:pt idx="21">
                  <c:v>4.8</c:v>
                </c:pt>
                <c:pt idx="22">
                  <c:v>4.9000000000000004</c:v>
                </c:pt>
                <c:pt idx="23">
                  <c:v>5</c:v>
                </c:pt>
              </c:numCache>
            </c:numRef>
          </c:cat>
          <c:val>
            <c:numRef>
              <c:f>'Tour Type'!$B$2:$B$25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9</c:v>
                </c:pt>
                <c:pt idx="4">
                  <c:v>3</c:v>
                </c:pt>
                <c:pt idx="5">
                  <c:v>22</c:v>
                </c:pt>
                <c:pt idx="6">
                  <c:v>18</c:v>
                </c:pt>
                <c:pt idx="7">
                  <c:v>32</c:v>
                </c:pt>
                <c:pt idx="8">
                  <c:v>24</c:v>
                </c:pt>
                <c:pt idx="9">
                  <c:v>36</c:v>
                </c:pt>
                <c:pt idx="10">
                  <c:v>91</c:v>
                </c:pt>
                <c:pt idx="11">
                  <c:v>92</c:v>
                </c:pt>
                <c:pt idx="12">
                  <c:v>97</c:v>
                </c:pt>
                <c:pt idx="13">
                  <c:v>124</c:v>
                </c:pt>
                <c:pt idx="14">
                  <c:v>123</c:v>
                </c:pt>
                <c:pt idx="15">
                  <c:v>77</c:v>
                </c:pt>
                <c:pt idx="16">
                  <c:v>116</c:v>
                </c:pt>
                <c:pt idx="17">
                  <c:v>104</c:v>
                </c:pt>
                <c:pt idx="18">
                  <c:v>94</c:v>
                </c:pt>
                <c:pt idx="19">
                  <c:v>72</c:v>
                </c:pt>
                <c:pt idx="20">
                  <c:v>60</c:v>
                </c:pt>
                <c:pt idx="21">
                  <c:v>49</c:v>
                </c:pt>
                <c:pt idx="22">
                  <c:v>30</c:v>
                </c:pt>
                <c:pt idx="2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E-FC47-8488-A20075C6372E}"/>
            </c:ext>
          </c:extLst>
        </c:ser>
        <c:ser>
          <c:idx val="1"/>
          <c:order val="1"/>
          <c:tx>
            <c:strRef>
              <c:f>'Tour Type'!$C$1</c:f>
              <c:strCache>
                <c:ptCount val="1"/>
                <c:pt idx="0">
                  <c:v>Cultural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'Tour Type'!$A$2:$A$25</c:f>
              <c:numCache>
                <c:formatCode>General</c:formatCode>
                <c:ptCount val="24"/>
                <c:pt idx="0">
                  <c:v>2.2999999999999998</c:v>
                </c:pt>
                <c:pt idx="1">
                  <c:v>2.8</c:v>
                </c:pt>
                <c:pt idx="2">
                  <c:v>2.9</c:v>
                </c:pt>
                <c:pt idx="3">
                  <c:v>3</c:v>
                </c:pt>
                <c:pt idx="4">
                  <c:v>3.1</c:v>
                </c:pt>
                <c:pt idx="5">
                  <c:v>3.2</c:v>
                </c:pt>
                <c:pt idx="6">
                  <c:v>3.3</c:v>
                </c:pt>
                <c:pt idx="7">
                  <c:v>3.4</c:v>
                </c:pt>
                <c:pt idx="8">
                  <c:v>3.5</c:v>
                </c:pt>
                <c:pt idx="9">
                  <c:v>3.6</c:v>
                </c:pt>
                <c:pt idx="10">
                  <c:v>3.7</c:v>
                </c:pt>
                <c:pt idx="11">
                  <c:v>3.8</c:v>
                </c:pt>
                <c:pt idx="12">
                  <c:v>3.9</c:v>
                </c:pt>
                <c:pt idx="13">
                  <c:v>4</c:v>
                </c:pt>
                <c:pt idx="14">
                  <c:v>4.0999999999999996</c:v>
                </c:pt>
                <c:pt idx="15">
                  <c:v>4.2</c:v>
                </c:pt>
                <c:pt idx="16">
                  <c:v>4.3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4.7</c:v>
                </c:pt>
                <c:pt idx="21">
                  <c:v>4.8</c:v>
                </c:pt>
                <c:pt idx="22">
                  <c:v>4.9000000000000004</c:v>
                </c:pt>
                <c:pt idx="23">
                  <c:v>5</c:v>
                </c:pt>
              </c:numCache>
            </c:numRef>
          </c:cat>
          <c:val>
            <c:numRef>
              <c:f>'Tour Type'!$C$2:$C$25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14</c:v>
                </c:pt>
                <c:pt idx="6">
                  <c:v>18</c:v>
                </c:pt>
                <c:pt idx="7">
                  <c:v>14</c:v>
                </c:pt>
                <c:pt idx="8">
                  <c:v>33</c:v>
                </c:pt>
                <c:pt idx="9">
                  <c:v>40</c:v>
                </c:pt>
                <c:pt idx="10">
                  <c:v>73</c:v>
                </c:pt>
                <c:pt idx="11">
                  <c:v>85</c:v>
                </c:pt>
                <c:pt idx="12">
                  <c:v>69</c:v>
                </c:pt>
                <c:pt idx="13">
                  <c:v>61</c:v>
                </c:pt>
                <c:pt idx="14">
                  <c:v>105</c:v>
                </c:pt>
                <c:pt idx="15">
                  <c:v>127</c:v>
                </c:pt>
                <c:pt idx="16">
                  <c:v>63</c:v>
                </c:pt>
                <c:pt idx="17">
                  <c:v>89</c:v>
                </c:pt>
                <c:pt idx="18">
                  <c:v>93</c:v>
                </c:pt>
                <c:pt idx="19">
                  <c:v>77</c:v>
                </c:pt>
                <c:pt idx="20">
                  <c:v>57</c:v>
                </c:pt>
                <c:pt idx="21">
                  <c:v>50</c:v>
                </c:pt>
                <c:pt idx="22">
                  <c:v>48</c:v>
                </c:pt>
                <c:pt idx="23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9E-FC47-8488-A20075C6372E}"/>
            </c:ext>
          </c:extLst>
        </c:ser>
        <c:ser>
          <c:idx val="2"/>
          <c:order val="2"/>
          <c:tx>
            <c:strRef>
              <c:f>'Tour Type'!$D$1</c:f>
              <c:strCache>
                <c:ptCount val="1"/>
                <c:pt idx="0">
                  <c:v>Family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'Tour Type'!$A$2:$A$25</c:f>
              <c:numCache>
                <c:formatCode>General</c:formatCode>
                <c:ptCount val="24"/>
                <c:pt idx="0">
                  <c:v>2.2999999999999998</c:v>
                </c:pt>
                <c:pt idx="1">
                  <c:v>2.8</c:v>
                </c:pt>
                <c:pt idx="2">
                  <c:v>2.9</c:v>
                </c:pt>
                <c:pt idx="3">
                  <c:v>3</c:v>
                </c:pt>
                <c:pt idx="4">
                  <c:v>3.1</c:v>
                </c:pt>
                <c:pt idx="5">
                  <c:v>3.2</c:v>
                </c:pt>
                <c:pt idx="6">
                  <c:v>3.3</c:v>
                </c:pt>
                <c:pt idx="7">
                  <c:v>3.4</c:v>
                </c:pt>
                <c:pt idx="8">
                  <c:v>3.5</c:v>
                </c:pt>
                <c:pt idx="9">
                  <c:v>3.6</c:v>
                </c:pt>
                <c:pt idx="10">
                  <c:v>3.7</c:v>
                </c:pt>
                <c:pt idx="11">
                  <c:v>3.8</c:v>
                </c:pt>
                <c:pt idx="12">
                  <c:v>3.9</c:v>
                </c:pt>
                <c:pt idx="13">
                  <c:v>4</c:v>
                </c:pt>
                <c:pt idx="14">
                  <c:v>4.0999999999999996</c:v>
                </c:pt>
                <c:pt idx="15">
                  <c:v>4.2</c:v>
                </c:pt>
                <c:pt idx="16">
                  <c:v>4.3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4.7</c:v>
                </c:pt>
                <c:pt idx="21">
                  <c:v>4.8</c:v>
                </c:pt>
                <c:pt idx="22">
                  <c:v>4.9000000000000004</c:v>
                </c:pt>
                <c:pt idx="23">
                  <c:v>5</c:v>
                </c:pt>
              </c:numCache>
            </c:numRef>
          </c:cat>
          <c:val>
            <c:numRef>
              <c:f>'Tour Type'!$D$2:$D$25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13</c:v>
                </c:pt>
                <c:pt idx="6">
                  <c:v>7</c:v>
                </c:pt>
                <c:pt idx="7">
                  <c:v>6</c:v>
                </c:pt>
                <c:pt idx="8">
                  <c:v>37</c:v>
                </c:pt>
                <c:pt idx="9">
                  <c:v>29</c:v>
                </c:pt>
                <c:pt idx="10">
                  <c:v>36</c:v>
                </c:pt>
                <c:pt idx="11">
                  <c:v>69</c:v>
                </c:pt>
                <c:pt idx="12">
                  <c:v>81</c:v>
                </c:pt>
                <c:pt idx="13">
                  <c:v>92</c:v>
                </c:pt>
                <c:pt idx="14">
                  <c:v>87</c:v>
                </c:pt>
                <c:pt idx="15">
                  <c:v>96</c:v>
                </c:pt>
                <c:pt idx="16">
                  <c:v>85</c:v>
                </c:pt>
                <c:pt idx="17">
                  <c:v>135</c:v>
                </c:pt>
                <c:pt idx="18">
                  <c:v>70</c:v>
                </c:pt>
                <c:pt idx="19">
                  <c:v>80</c:v>
                </c:pt>
                <c:pt idx="20">
                  <c:v>45</c:v>
                </c:pt>
                <c:pt idx="21">
                  <c:v>28</c:v>
                </c:pt>
                <c:pt idx="22">
                  <c:v>53</c:v>
                </c:pt>
                <c:pt idx="2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9E-FC47-8488-A20075C6372E}"/>
            </c:ext>
          </c:extLst>
        </c:ser>
        <c:ser>
          <c:idx val="3"/>
          <c:order val="3"/>
          <c:tx>
            <c:strRef>
              <c:f>'Tour Type'!$E$1</c:f>
              <c:strCache>
                <c:ptCount val="1"/>
                <c:pt idx="0">
                  <c:v>Adventure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'Tour Type'!$A$2:$A$25</c:f>
              <c:numCache>
                <c:formatCode>General</c:formatCode>
                <c:ptCount val="24"/>
                <c:pt idx="0">
                  <c:v>2.2999999999999998</c:v>
                </c:pt>
                <c:pt idx="1">
                  <c:v>2.8</c:v>
                </c:pt>
                <c:pt idx="2">
                  <c:v>2.9</c:v>
                </c:pt>
                <c:pt idx="3">
                  <c:v>3</c:v>
                </c:pt>
                <c:pt idx="4">
                  <c:v>3.1</c:v>
                </c:pt>
                <c:pt idx="5">
                  <c:v>3.2</c:v>
                </c:pt>
                <c:pt idx="6">
                  <c:v>3.3</c:v>
                </c:pt>
                <c:pt idx="7">
                  <c:v>3.4</c:v>
                </c:pt>
                <c:pt idx="8">
                  <c:v>3.5</c:v>
                </c:pt>
                <c:pt idx="9">
                  <c:v>3.6</c:v>
                </c:pt>
                <c:pt idx="10">
                  <c:v>3.7</c:v>
                </c:pt>
                <c:pt idx="11">
                  <c:v>3.8</c:v>
                </c:pt>
                <c:pt idx="12">
                  <c:v>3.9</c:v>
                </c:pt>
                <c:pt idx="13">
                  <c:v>4</c:v>
                </c:pt>
                <c:pt idx="14">
                  <c:v>4.0999999999999996</c:v>
                </c:pt>
                <c:pt idx="15">
                  <c:v>4.2</c:v>
                </c:pt>
                <c:pt idx="16">
                  <c:v>4.3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4.7</c:v>
                </c:pt>
                <c:pt idx="21">
                  <c:v>4.8</c:v>
                </c:pt>
                <c:pt idx="22">
                  <c:v>4.9000000000000004</c:v>
                </c:pt>
                <c:pt idx="23">
                  <c:v>5</c:v>
                </c:pt>
              </c:numCache>
            </c:numRef>
          </c:cat>
          <c:val>
            <c:numRef>
              <c:f>'Tour Type'!$E$2:$E$25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4</c:v>
                </c:pt>
                <c:pt idx="6">
                  <c:v>16</c:v>
                </c:pt>
                <c:pt idx="7">
                  <c:v>9</c:v>
                </c:pt>
                <c:pt idx="8">
                  <c:v>13</c:v>
                </c:pt>
                <c:pt idx="9">
                  <c:v>24</c:v>
                </c:pt>
                <c:pt idx="10">
                  <c:v>35</c:v>
                </c:pt>
                <c:pt idx="11">
                  <c:v>27</c:v>
                </c:pt>
                <c:pt idx="12">
                  <c:v>40</c:v>
                </c:pt>
                <c:pt idx="13">
                  <c:v>35</c:v>
                </c:pt>
                <c:pt idx="14">
                  <c:v>58</c:v>
                </c:pt>
                <c:pt idx="15">
                  <c:v>72</c:v>
                </c:pt>
                <c:pt idx="16">
                  <c:v>54</c:v>
                </c:pt>
                <c:pt idx="17">
                  <c:v>50</c:v>
                </c:pt>
                <c:pt idx="18">
                  <c:v>60</c:v>
                </c:pt>
                <c:pt idx="19">
                  <c:v>29</c:v>
                </c:pt>
                <c:pt idx="20">
                  <c:v>29</c:v>
                </c:pt>
                <c:pt idx="21">
                  <c:v>37</c:v>
                </c:pt>
                <c:pt idx="22">
                  <c:v>25</c:v>
                </c:pt>
                <c:pt idx="2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9E-FC47-8488-A20075C6372E}"/>
            </c:ext>
          </c:extLst>
        </c:ser>
        <c:ser>
          <c:idx val="4"/>
          <c:order val="4"/>
          <c:tx>
            <c:strRef>
              <c:f>'Tour Type'!$F$1</c:f>
              <c:strCache>
                <c:ptCount val="1"/>
                <c:pt idx="0">
                  <c:v>City Break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'Tour Type'!$A$2:$A$25</c:f>
              <c:numCache>
                <c:formatCode>General</c:formatCode>
                <c:ptCount val="24"/>
                <c:pt idx="0">
                  <c:v>2.2999999999999998</c:v>
                </c:pt>
                <c:pt idx="1">
                  <c:v>2.8</c:v>
                </c:pt>
                <c:pt idx="2">
                  <c:v>2.9</c:v>
                </c:pt>
                <c:pt idx="3">
                  <c:v>3</c:v>
                </c:pt>
                <c:pt idx="4">
                  <c:v>3.1</c:v>
                </c:pt>
                <c:pt idx="5">
                  <c:v>3.2</c:v>
                </c:pt>
                <c:pt idx="6">
                  <c:v>3.3</c:v>
                </c:pt>
                <c:pt idx="7">
                  <c:v>3.4</c:v>
                </c:pt>
                <c:pt idx="8">
                  <c:v>3.5</c:v>
                </c:pt>
                <c:pt idx="9">
                  <c:v>3.6</c:v>
                </c:pt>
                <c:pt idx="10">
                  <c:v>3.7</c:v>
                </c:pt>
                <c:pt idx="11">
                  <c:v>3.8</c:v>
                </c:pt>
                <c:pt idx="12">
                  <c:v>3.9</c:v>
                </c:pt>
                <c:pt idx="13">
                  <c:v>4</c:v>
                </c:pt>
                <c:pt idx="14">
                  <c:v>4.0999999999999996</c:v>
                </c:pt>
                <c:pt idx="15">
                  <c:v>4.2</c:v>
                </c:pt>
                <c:pt idx="16">
                  <c:v>4.3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4.7</c:v>
                </c:pt>
                <c:pt idx="21">
                  <c:v>4.8</c:v>
                </c:pt>
                <c:pt idx="22">
                  <c:v>4.9000000000000004</c:v>
                </c:pt>
                <c:pt idx="23">
                  <c:v>5</c:v>
                </c:pt>
              </c:numCache>
            </c:numRef>
          </c:cat>
          <c:val>
            <c:numRef>
              <c:f>'Tour Type'!$F$2:$F$25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8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41</c:v>
                </c:pt>
                <c:pt idx="13">
                  <c:v>62</c:v>
                </c:pt>
                <c:pt idx="14">
                  <c:v>50</c:v>
                </c:pt>
                <c:pt idx="15">
                  <c:v>67</c:v>
                </c:pt>
                <c:pt idx="16">
                  <c:v>55</c:v>
                </c:pt>
                <c:pt idx="17">
                  <c:v>50</c:v>
                </c:pt>
                <c:pt idx="18">
                  <c:v>42</c:v>
                </c:pt>
                <c:pt idx="19">
                  <c:v>26</c:v>
                </c:pt>
                <c:pt idx="20">
                  <c:v>29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9E-FC47-8488-A20075C6372E}"/>
            </c:ext>
          </c:extLst>
        </c:ser>
        <c:ser>
          <c:idx val="5"/>
          <c:order val="5"/>
          <c:tx>
            <c:strRef>
              <c:f>'Tour Type'!$G$1</c:f>
              <c:strCache>
                <c:ptCount val="1"/>
                <c:pt idx="0">
                  <c:v>Foodie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'Tour Type'!$A$2:$A$25</c:f>
              <c:numCache>
                <c:formatCode>General</c:formatCode>
                <c:ptCount val="24"/>
                <c:pt idx="0">
                  <c:v>2.2999999999999998</c:v>
                </c:pt>
                <c:pt idx="1">
                  <c:v>2.8</c:v>
                </c:pt>
                <c:pt idx="2">
                  <c:v>2.9</c:v>
                </c:pt>
                <c:pt idx="3">
                  <c:v>3</c:v>
                </c:pt>
                <c:pt idx="4">
                  <c:v>3.1</c:v>
                </c:pt>
                <c:pt idx="5">
                  <c:v>3.2</c:v>
                </c:pt>
                <c:pt idx="6">
                  <c:v>3.3</c:v>
                </c:pt>
                <c:pt idx="7">
                  <c:v>3.4</c:v>
                </c:pt>
                <c:pt idx="8">
                  <c:v>3.5</c:v>
                </c:pt>
                <c:pt idx="9">
                  <c:v>3.6</c:v>
                </c:pt>
                <c:pt idx="10">
                  <c:v>3.7</c:v>
                </c:pt>
                <c:pt idx="11">
                  <c:v>3.8</c:v>
                </c:pt>
                <c:pt idx="12">
                  <c:v>3.9</c:v>
                </c:pt>
                <c:pt idx="13">
                  <c:v>4</c:v>
                </c:pt>
                <c:pt idx="14">
                  <c:v>4.0999999999999996</c:v>
                </c:pt>
                <c:pt idx="15">
                  <c:v>4.2</c:v>
                </c:pt>
                <c:pt idx="16">
                  <c:v>4.3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4.7</c:v>
                </c:pt>
                <c:pt idx="21">
                  <c:v>4.8</c:v>
                </c:pt>
                <c:pt idx="22">
                  <c:v>4.9000000000000004</c:v>
                </c:pt>
                <c:pt idx="23">
                  <c:v>5</c:v>
                </c:pt>
              </c:numCache>
            </c:numRef>
          </c:cat>
          <c:val>
            <c:numRef>
              <c:f>'Tour Type'!$G$2:$G$25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5</c:v>
                </c:pt>
                <c:pt idx="7">
                  <c:v>10</c:v>
                </c:pt>
                <c:pt idx="8">
                  <c:v>7</c:v>
                </c:pt>
                <c:pt idx="9">
                  <c:v>7</c:v>
                </c:pt>
                <c:pt idx="10">
                  <c:v>33</c:v>
                </c:pt>
                <c:pt idx="11">
                  <c:v>40</c:v>
                </c:pt>
                <c:pt idx="12">
                  <c:v>26</c:v>
                </c:pt>
                <c:pt idx="13">
                  <c:v>37</c:v>
                </c:pt>
                <c:pt idx="14">
                  <c:v>30</c:v>
                </c:pt>
                <c:pt idx="15">
                  <c:v>50</c:v>
                </c:pt>
                <c:pt idx="16">
                  <c:v>59</c:v>
                </c:pt>
                <c:pt idx="17">
                  <c:v>30</c:v>
                </c:pt>
                <c:pt idx="18">
                  <c:v>30</c:v>
                </c:pt>
                <c:pt idx="19">
                  <c:v>19</c:v>
                </c:pt>
                <c:pt idx="20">
                  <c:v>23</c:v>
                </c:pt>
                <c:pt idx="21">
                  <c:v>26</c:v>
                </c:pt>
                <c:pt idx="22">
                  <c:v>13</c:v>
                </c:pt>
                <c:pt idx="2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9E-FC47-8488-A20075C63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2714975"/>
        <c:axId val="1642560976"/>
      </c:barChart>
      <c:catAx>
        <c:axId val="6927149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Satisfaction</a:t>
                </a:r>
                <a:r>
                  <a:rPr lang="en-US" sz="1200" baseline="0"/>
                  <a:t> Rating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7.2833211944646759E-3"/>
              <c:y val="0.353327823244212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560976"/>
        <c:crosses val="autoZero"/>
        <c:auto val="1"/>
        <c:lblAlgn val="ctr"/>
        <c:lblOffset val="100"/>
        <c:noMultiLvlLbl val="0"/>
      </c:catAx>
      <c:valAx>
        <c:axId val="1642560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bg1">
                  <a:alpha val="4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Count</a:t>
                </a:r>
                <a:r>
                  <a:rPr lang="en-US" sz="1200" baseline="0"/>
                  <a:t> of Foreign Traveler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41978275905954482"/>
              <c:y val="0.900982555915615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71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Satisfaction Rating Per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Type'!$B$1</c:f>
              <c:strCache>
                <c:ptCount val="1"/>
                <c:pt idx="0">
                  <c:v>Family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'Customer Type'!$A$2:$A$25</c:f>
              <c:numCache>
                <c:formatCode>General</c:formatCode>
                <c:ptCount val="24"/>
                <c:pt idx="0">
                  <c:v>2.2999999999999998</c:v>
                </c:pt>
                <c:pt idx="1">
                  <c:v>2.8</c:v>
                </c:pt>
                <c:pt idx="2">
                  <c:v>2.9</c:v>
                </c:pt>
                <c:pt idx="3">
                  <c:v>3</c:v>
                </c:pt>
                <c:pt idx="4">
                  <c:v>3.1</c:v>
                </c:pt>
                <c:pt idx="5">
                  <c:v>3.2</c:v>
                </c:pt>
                <c:pt idx="6">
                  <c:v>3.3</c:v>
                </c:pt>
                <c:pt idx="7">
                  <c:v>3.4</c:v>
                </c:pt>
                <c:pt idx="8">
                  <c:v>3.5</c:v>
                </c:pt>
                <c:pt idx="9">
                  <c:v>3.6</c:v>
                </c:pt>
                <c:pt idx="10">
                  <c:v>3.7</c:v>
                </c:pt>
                <c:pt idx="11">
                  <c:v>3.8</c:v>
                </c:pt>
                <c:pt idx="12">
                  <c:v>3.9</c:v>
                </c:pt>
                <c:pt idx="13">
                  <c:v>4</c:v>
                </c:pt>
                <c:pt idx="14">
                  <c:v>4.0999999999999996</c:v>
                </c:pt>
                <c:pt idx="15">
                  <c:v>4.2</c:v>
                </c:pt>
                <c:pt idx="16">
                  <c:v>4.3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4.7</c:v>
                </c:pt>
                <c:pt idx="21">
                  <c:v>4.8</c:v>
                </c:pt>
                <c:pt idx="22">
                  <c:v>4.9000000000000004</c:v>
                </c:pt>
                <c:pt idx="23">
                  <c:v>5</c:v>
                </c:pt>
              </c:numCache>
            </c:numRef>
          </c:cat>
          <c:val>
            <c:numRef>
              <c:f>'Customer Type'!$B$2:$B$25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13</c:v>
                </c:pt>
                <c:pt idx="4">
                  <c:v>1</c:v>
                </c:pt>
                <c:pt idx="5">
                  <c:v>23</c:v>
                </c:pt>
                <c:pt idx="6">
                  <c:v>25</c:v>
                </c:pt>
                <c:pt idx="7">
                  <c:v>26</c:v>
                </c:pt>
                <c:pt idx="8">
                  <c:v>41</c:v>
                </c:pt>
                <c:pt idx="9">
                  <c:v>70</c:v>
                </c:pt>
                <c:pt idx="10">
                  <c:v>84</c:v>
                </c:pt>
                <c:pt idx="11">
                  <c:v>119</c:v>
                </c:pt>
                <c:pt idx="12">
                  <c:v>114</c:v>
                </c:pt>
                <c:pt idx="13">
                  <c:v>143</c:v>
                </c:pt>
                <c:pt idx="14">
                  <c:v>143</c:v>
                </c:pt>
                <c:pt idx="15">
                  <c:v>163</c:v>
                </c:pt>
                <c:pt idx="16">
                  <c:v>166</c:v>
                </c:pt>
                <c:pt idx="17">
                  <c:v>152</c:v>
                </c:pt>
                <c:pt idx="18">
                  <c:v>146</c:v>
                </c:pt>
                <c:pt idx="19">
                  <c:v>96</c:v>
                </c:pt>
                <c:pt idx="20">
                  <c:v>69</c:v>
                </c:pt>
                <c:pt idx="21">
                  <c:v>67</c:v>
                </c:pt>
                <c:pt idx="22">
                  <c:v>82</c:v>
                </c:pt>
                <c:pt idx="23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1-C348-B5EF-0D0E281F3A59}"/>
            </c:ext>
          </c:extLst>
        </c:ser>
        <c:ser>
          <c:idx val="1"/>
          <c:order val="1"/>
          <c:tx>
            <c:strRef>
              <c:f>'Customer Type'!$C$1</c:f>
              <c:strCache>
                <c:ptCount val="1"/>
                <c:pt idx="0">
                  <c:v>Young Professional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'Customer Type'!$A$2:$A$25</c:f>
              <c:numCache>
                <c:formatCode>General</c:formatCode>
                <c:ptCount val="24"/>
                <c:pt idx="0">
                  <c:v>2.2999999999999998</c:v>
                </c:pt>
                <c:pt idx="1">
                  <c:v>2.8</c:v>
                </c:pt>
                <c:pt idx="2">
                  <c:v>2.9</c:v>
                </c:pt>
                <c:pt idx="3">
                  <c:v>3</c:v>
                </c:pt>
                <c:pt idx="4">
                  <c:v>3.1</c:v>
                </c:pt>
                <c:pt idx="5">
                  <c:v>3.2</c:v>
                </c:pt>
                <c:pt idx="6">
                  <c:v>3.3</c:v>
                </c:pt>
                <c:pt idx="7">
                  <c:v>3.4</c:v>
                </c:pt>
                <c:pt idx="8">
                  <c:v>3.5</c:v>
                </c:pt>
                <c:pt idx="9">
                  <c:v>3.6</c:v>
                </c:pt>
                <c:pt idx="10">
                  <c:v>3.7</c:v>
                </c:pt>
                <c:pt idx="11">
                  <c:v>3.8</c:v>
                </c:pt>
                <c:pt idx="12">
                  <c:v>3.9</c:v>
                </c:pt>
                <c:pt idx="13">
                  <c:v>4</c:v>
                </c:pt>
                <c:pt idx="14">
                  <c:v>4.0999999999999996</c:v>
                </c:pt>
                <c:pt idx="15">
                  <c:v>4.2</c:v>
                </c:pt>
                <c:pt idx="16">
                  <c:v>4.3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4.7</c:v>
                </c:pt>
                <c:pt idx="21">
                  <c:v>4.8</c:v>
                </c:pt>
                <c:pt idx="22">
                  <c:v>4.9000000000000004</c:v>
                </c:pt>
                <c:pt idx="23">
                  <c:v>5</c:v>
                </c:pt>
              </c:numCache>
            </c:numRef>
          </c:cat>
          <c:val>
            <c:numRef>
              <c:f>'Customer Type'!$C$2:$C$25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  <c:pt idx="5">
                  <c:v>16</c:v>
                </c:pt>
                <c:pt idx="6">
                  <c:v>23</c:v>
                </c:pt>
                <c:pt idx="7">
                  <c:v>14</c:v>
                </c:pt>
                <c:pt idx="8">
                  <c:v>42</c:v>
                </c:pt>
                <c:pt idx="9">
                  <c:v>50</c:v>
                </c:pt>
                <c:pt idx="10">
                  <c:v>92</c:v>
                </c:pt>
                <c:pt idx="11">
                  <c:v>102</c:v>
                </c:pt>
                <c:pt idx="12">
                  <c:v>108</c:v>
                </c:pt>
                <c:pt idx="13">
                  <c:v>116</c:v>
                </c:pt>
                <c:pt idx="14">
                  <c:v>132</c:v>
                </c:pt>
                <c:pt idx="15">
                  <c:v>119</c:v>
                </c:pt>
                <c:pt idx="16">
                  <c:v>134</c:v>
                </c:pt>
                <c:pt idx="17">
                  <c:v>137</c:v>
                </c:pt>
                <c:pt idx="18">
                  <c:v>119</c:v>
                </c:pt>
                <c:pt idx="19">
                  <c:v>94</c:v>
                </c:pt>
                <c:pt idx="20">
                  <c:v>79</c:v>
                </c:pt>
                <c:pt idx="21">
                  <c:v>59</c:v>
                </c:pt>
                <c:pt idx="22">
                  <c:v>40</c:v>
                </c:pt>
                <c:pt idx="2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1-C348-B5EF-0D0E281F3A59}"/>
            </c:ext>
          </c:extLst>
        </c:ser>
        <c:ser>
          <c:idx val="2"/>
          <c:order val="2"/>
          <c:tx>
            <c:strRef>
              <c:f>'Customer Type'!$D$1</c:f>
              <c:strCache>
                <c:ptCount val="1"/>
                <c:pt idx="0">
                  <c:v>Student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'Customer Type'!$A$2:$A$25</c:f>
              <c:numCache>
                <c:formatCode>General</c:formatCode>
                <c:ptCount val="24"/>
                <c:pt idx="0">
                  <c:v>2.2999999999999998</c:v>
                </c:pt>
                <c:pt idx="1">
                  <c:v>2.8</c:v>
                </c:pt>
                <c:pt idx="2">
                  <c:v>2.9</c:v>
                </c:pt>
                <c:pt idx="3">
                  <c:v>3</c:v>
                </c:pt>
                <c:pt idx="4">
                  <c:v>3.1</c:v>
                </c:pt>
                <c:pt idx="5">
                  <c:v>3.2</c:v>
                </c:pt>
                <c:pt idx="6">
                  <c:v>3.3</c:v>
                </c:pt>
                <c:pt idx="7">
                  <c:v>3.4</c:v>
                </c:pt>
                <c:pt idx="8">
                  <c:v>3.5</c:v>
                </c:pt>
                <c:pt idx="9">
                  <c:v>3.6</c:v>
                </c:pt>
                <c:pt idx="10">
                  <c:v>3.7</c:v>
                </c:pt>
                <c:pt idx="11">
                  <c:v>3.8</c:v>
                </c:pt>
                <c:pt idx="12">
                  <c:v>3.9</c:v>
                </c:pt>
                <c:pt idx="13">
                  <c:v>4</c:v>
                </c:pt>
                <c:pt idx="14">
                  <c:v>4.0999999999999996</c:v>
                </c:pt>
                <c:pt idx="15">
                  <c:v>4.2</c:v>
                </c:pt>
                <c:pt idx="16">
                  <c:v>4.3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4.7</c:v>
                </c:pt>
                <c:pt idx="21">
                  <c:v>4.8</c:v>
                </c:pt>
                <c:pt idx="22">
                  <c:v>4.9000000000000004</c:v>
                </c:pt>
                <c:pt idx="23">
                  <c:v>5</c:v>
                </c:pt>
              </c:numCache>
            </c:numRef>
          </c:cat>
          <c:val>
            <c:numRef>
              <c:f>'Customer Type'!$D$2:$D$25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5</c:v>
                </c:pt>
                <c:pt idx="5">
                  <c:v>11</c:v>
                </c:pt>
                <c:pt idx="6">
                  <c:v>15</c:v>
                </c:pt>
                <c:pt idx="7">
                  <c:v>24</c:v>
                </c:pt>
                <c:pt idx="8">
                  <c:v>22</c:v>
                </c:pt>
                <c:pt idx="9">
                  <c:v>20</c:v>
                </c:pt>
                <c:pt idx="10">
                  <c:v>57</c:v>
                </c:pt>
                <c:pt idx="11">
                  <c:v>66</c:v>
                </c:pt>
                <c:pt idx="12">
                  <c:v>72</c:v>
                </c:pt>
                <c:pt idx="13">
                  <c:v>103</c:v>
                </c:pt>
                <c:pt idx="14">
                  <c:v>120</c:v>
                </c:pt>
                <c:pt idx="15">
                  <c:v>105</c:v>
                </c:pt>
                <c:pt idx="16">
                  <c:v>77</c:v>
                </c:pt>
                <c:pt idx="17">
                  <c:v>114</c:v>
                </c:pt>
                <c:pt idx="18">
                  <c:v>72</c:v>
                </c:pt>
                <c:pt idx="19">
                  <c:v>80</c:v>
                </c:pt>
                <c:pt idx="20">
                  <c:v>65</c:v>
                </c:pt>
                <c:pt idx="21">
                  <c:v>43</c:v>
                </c:pt>
                <c:pt idx="22">
                  <c:v>32</c:v>
                </c:pt>
                <c:pt idx="2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C1-C348-B5EF-0D0E281F3A59}"/>
            </c:ext>
          </c:extLst>
        </c:ser>
        <c:ser>
          <c:idx val="3"/>
          <c:order val="3"/>
          <c:tx>
            <c:strRef>
              <c:f>'Customer Type'!$E$1</c:f>
              <c:strCache>
                <c:ptCount val="1"/>
                <c:pt idx="0">
                  <c:v>Corporate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'Customer Type'!$A$2:$A$25</c:f>
              <c:numCache>
                <c:formatCode>General</c:formatCode>
                <c:ptCount val="24"/>
                <c:pt idx="0">
                  <c:v>2.2999999999999998</c:v>
                </c:pt>
                <c:pt idx="1">
                  <c:v>2.8</c:v>
                </c:pt>
                <c:pt idx="2">
                  <c:v>2.9</c:v>
                </c:pt>
                <c:pt idx="3">
                  <c:v>3</c:v>
                </c:pt>
                <c:pt idx="4">
                  <c:v>3.1</c:v>
                </c:pt>
                <c:pt idx="5">
                  <c:v>3.2</c:v>
                </c:pt>
                <c:pt idx="6">
                  <c:v>3.3</c:v>
                </c:pt>
                <c:pt idx="7">
                  <c:v>3.4</c:v>
                </c:pt>
                <c:pt idx="8">
                  <c:v>3.5</c:v>
                </c:pt>
                <c:pt idx="9">
                  <c:v>3.6</c:v>
                </c:pt>
                <c:pt idx="10">
                  <c:v>3.7</c:v>
                </c:pt>
                <c:pt idx="11">
                  <c:v>3.8</c:v>
                </c:pt>
                <c:pt idx="12">
                  <c:v>3.9</c:v>
                </c:pt>
                <c:pt idx="13">
                  <c:v>4</c:v>
                </c:pt>
                <c:pt idx="14">
                  <c:v>4.0999999999999996</c:v>
                </c:pt>
                <c:pt idx="15">
                  <c:v>4.2</c:v>
                </c:pt>
                <c:pt idx="16">
                  <c:v>4.3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4.5999999999999996</c:v>
                </c:pt>
                <c:pt idx="20">
                  <c:v>4.7</c:v>
                </c:pt>
                <c:pt idx="21">
                  <c:v>4.8</c:v>
                </c:pt>
                <c:pt idx="22">
                  <c:v>4.9000000000000004</c:v>
                </c:pt>
                <c:pt idx="23">
                  <c:v>5</c:v>
                </c:pt>
              </c:numCache>
            </c:numRef>
          </c:cat>
          <c:val>
            <c:numRef>
              <c:f>'Customer Type'!$E$2:$E$25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7</c:v>
                </c:pt>
                <c:pt idx="4">
                  <c:v>1</c:v>
                </c:pt>
                <c:pt idx="5">
                  <c:v>4</c:v>
                </c:pt>
                <c:pt idx="6">
                  <c:v>6</c:v>
                </c:pt>
                <c:pt idx="7">
                  <c:v>15</c:v>
                </c:pt>
                <c:pt idx="8">
                  <c:v>24</c:v>
                </c:pt>
                <c:pt idx="9">
                  <c:v>13</c:v>
                </c:pt>
                <c:pt idx="10">
                  <c:v>53</c:v>
                </c:pt>
                <c:pt idx="11">
                  <c:v>42</c:v>
                </c:pt>
                <c:pt idx="12">
                  <c:v>60</c:v>
                </c:pt>
                <c:pt idx="13">
                  <c:v>49</c:v>
                </c:pt>
                <c:pt idx="14">
                  <c:v>58</c:v>
                </c:pt>
                <c:pt idx="15">
                  <c:v>102</c:v>
                </c:pt>
                <c:pt idx="16">
                  <c:v>55</c:v>
                </c:pt>
                <c:pt idx="17">
                  <c:v>55</c:v>
                </c:pt>
                <c:pt idx="18">
                  <c:v>52</c:v>
                </c:pt>
                <c:pt idx="19">
                  <c:v>33</c:v>
                </c:pt>
                <c:pt idx="20">
                  <c:v>30</c:v>
                </c:pt>
                <c:pt idx="21">
                  <c:v>38</c:v>
                </c:pt>
                <c:pt idx="22">
                  <c:v>33</c:v>
                </c:pt>
                <c:pt idx="2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C1-C348-B5EF-0D0E281F3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5190031"/>
        <c:axId val="564565071"/>
      </c:barChart>
      <c:catAx>
        <c:axId val="945190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565071"/>
        <c:crosses val="autoZero"/>
        <c:auto val="1"/>
        <c:lblAlgn val="ctr"/>
        <c:lblOffset val="100"/>
        <c:noMultiLvlLbl val="0"/>
      </c:catAx>
      <c:valAx>
        <c:axId val="56456507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Count of Foreign Traveler</a:t>
                </a:r>
              </a:p>
            </c:rich>
          </c:tx>
          <c:layout>
            <c:manualLayout>
              <c:xMode val="edge"/>
              <c:yMode val="edge"/>
              <c:x val="7.8175895765472316E-3"/>
              <c:y val="0.285624369069250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190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Destination Popularity</a:t>
            </a:r>
            <a:r>
              <a:rPr lang="en-US" baseline="0"/>
              <a:t> Across One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'Popularity vs Seasonality'!$A$2</c:f>
              <c:strCache>
                <c:ptCount val="1"/>
                <c:pt idx="0">
                  <c:v>Phú Quốc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'Popularity vs Seasonality'!$B$1:$M$1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'Popularity vs Seasonality'!$B$2:$M$2</c:f>
              <c:numCache>
                <c:formatCode>General</c:formatCode>
                <c:ptCount val="12"/>
                <c:pt idx="0">
                  <c:v>81</c:v>
                </c:pt>
                <c:pt idx="1">
                  <c:v>57</c:v>
                </c:pt>
                <c:pt idx="2">
                  <c:v>105</c:v>
                </c:pt>
                <c:pt idx="3">
                  <c:v>69</c:v>
                </c:pt>
                <c:pt idx="4">
                  <c:v>105</c:v>
                </c:pt>
                <c:pt idx="5">
                  <c:v>93</c:v>
                </c:pt>
                <c:pt idx="6">
                  <c:v>67</c:v>
                </c:pt>
                <c:pt idx="7">
                  <c:v>97</c:v>
                </c:pt>
                <c:pt idx="8">
                  <c:v>96</c:v>
                </c:pt>
                <c:pt idx="9">
                  <c:v>111</c:v>
                </c:pt>
                <c:pt idx="10">
                  <c:v>62</c:v>
                </c:pt>
                <c:pt idx="1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F-2042-BD11-195D65B9532E}"/>
            </c:ext>
          </c:extLst>
        </c:ser>
        <c:ser>
          <c:idx val="1"/>
          <c:order val="1"/>
          <c:tx>
            <c:strRef>
              <c:f>'Popularity vs Seasonality'!$A$3</c:f>
              <c:strCache>
                <c:ptCount val="1"/>
                <c:pt idx="0">
                  <c:v>Đà Nẵng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'Popularity vs Seasonality'!$B$1:$M$1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'Popularity vs Seasonality'!$B$3:$M$3</c:f>
              <c:numCache>
                <c:formatCode>General</c:formatCode>
                <c:ptCount val="12"/>
                <c:pt idx="0">
                  <c:v>70</c:v>
                </c:pt>
                <c:pt idx="1">
                  <c:v>61</c:v>
                </c:pt>
                <c:pt idx="2">
                  <c:v>75</c:v>
                </c:pt>
                <c:pt idx="3">
                  <c:v>97</c:v>
                </c:pt>
                <c:pt idx="4">
                  <c:v>72</c:v>
                </c:pt>
                <c:pt idx="5">
                  <c:v>77</c:v>
                </c:pt>
                <c:pt idx="6">
                  <c:v>75</c:v>
                </c:pt>
                <c:pt idx="7">
                  <c:v>118</c:v>
                </c:pt>
                <c:pt idx="8">
                  <c:v>82</c:v>
                </c:pt>
                <c:pt idx="9">
                  <c:v>87</c:v>
                </c:pt>
                <c:pt idx="10">
                  <c:v>80</c:v>
                </c:pt>
                <c:pt idx="1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0F-2042-BD11-195D65B9532E}"/>
            </c:ext>
          </c:extLst>
        </c:ser>
        <c:ser>
          <c:idx val="2"/>
          <c:order val="2"/>
          <c:tx>
            <c:strRef>
              <c:f>'Popularity vs Seasonality'!$A$4</c:f>
              <c:strCache>
                <c:ptCount val="1"/>
                <c:pt idx="0">
                  <c:v>Nha Trang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'Popularity vs Seasonality'!$B$1:$M$1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'Popularity vs Seasonality'!$B$4:$M$4</c:f>
              <c:numCache>
                <c:formatCode>General</c:formatCode>
                <c:ptCount val="12"/>
                <c:pt idx="0">
                  <c:v>49</c:v>
                </c:pt>
                <c:pt idx="1">
                  <c:v>53</c:v>
                </c:pt>
                <c:pt idx="2">
                  <c:v>88</c:v>
                </c:pt>
                <c:pt idx="3">
                  <c:v>46</c:v>
                </c:pt>
                <c:pt idx="4">
                  <c:v>60</c:v>
                </c:pt>
                <c:pt idx="5">
                  <c:v>85</c:v>
                </c:pt>
                <c:pt idx="6">
                  <c:v>106</c:v>
                </c:pt>
                <c:pt idx="7">
                  <c:v>75</c:v>
                </c:pt>
                <c:pt idx="8">
                  <c:v>81</c:v>
                </c:pt>
                <c:pt idx="9">
                  <c:v>81</c:v>
                </c:pt>
                <c:pt idx="10">
                  <c:v>86</c:v>
                </c:pt>
                <c:pt idx="1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0F-2042-BD11-195D65B9532E}"/>
            </c:ext>
          </c:extLst>
        </c:ser>
        <c:ser>
          <c:idx val="3"/>
          <c:order val="3"/>
          <c:tx>
            <c:strRef>
              <c:f>'Popularity vs Seasonality'!$A$5</c:f>
              <c:strCache>
                <c:ptCount val="1"/>
                <c:pt idx="0">
                  <c:v>Hạ Long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'Popularity vs Seasonality'!$B$1:$M$1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'Popularity vs Seasonality'!$B$5:$M$5</c:f>
              <c:numCache>
                <c:formatCode>General</c:formatCode>
                <c:ptCount val="12"/>
                <c:pt idx="0">
                  <c:v>74</c:v>
                </c:pt>
                <c:pt idx="1">
                  <c:v>70</c:v>
                </c:pt>
                <c:pt idx="2">
                  <c:v>53</c:v>
                </c:pt>
                <c:pt idx="3">
                  <c:v>61</c:v>
                </c:pt>
                <c:pt idx="4">
                  <c:v>61</c:v>
                </c:pt>
                <c:pt idx="5">
                  <c:v>100</c:v>
                </c:pt>
                <c:pt idx="6">
                  <c:v>72</c:v>
                </c:pt>
                <c:pt idx="7">
                  <c:v>70</c:v>
                </c:pt>
                <c:pt idx="8">
                  <c:v>74</c:v>
                </c:pt>
                <c:pt idx="9">
                  <c:v>83</c:v>
                </c:pt>
                <c:pt idx="10">
                  <c:v>55</c:v>
                </c:pt>
                <c:pt idx="11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0F-2042-BD11-195D65B9532E}"/>
            </c:ext>
          </c:extLst>
        </c:ser>
        <c:ser>
          <c:idx val="4"/>
          <c:order val="4"/>
          <c:tx>
            <c:strRef>
              <c:f>'Popularity vs Seasonality'!$A$6</c:f>
              <c:strCache>
                <c:ptCount val="1"/>
                <c:pt idx="0">
                  <c:v>Hội An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'Popularity vs Seasonality'!$B$1:$M$1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'Popularity vs Seasonality'!$B$6:$M$6</c:f>
              <c:numCache>
                <c:formatCode>General</c:formatCode>
                <c:ptCount val="12"/>
                <c:pt idx="0">
                  <c:v>69</c:v>
                </c:pt>
                <c:pt idx="1">
                  <c:v>43</c:v>
                </c:pt>
                <c:pt idx="2">
                  <c:v>66</c:v>
                </c:pt>
                <c:pt idx="3">
                  <c:v>77</c:v>
                </c:pt>
                <c:pt idx="4">
                  <c:v>77</c:v>
                </c:pt>
                <c:pt idx="5">
                  <c:v>87</c:v>
                </c:pt>
                <c:pt idx="6">
                  <c:v>70</c:v>
                </c:pt>
                <c:pt idx="7">
                  <c:v>72</c:v>
                </c:pt>
                <c:pt idx="8">
                  <c:v>72</c:v>
                </c:pt>
                <c:pt idx="9">
                  <c:v>84</c:v>
                </c:pt>
                <c:pt idx="10">
                  <c:v>72</c:v>
                </c:pt>
                <c:pt idx="1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0F-2042-BD11-195D65B9532E}"/>
            </c:ext>
          </c:extLst>
        </c:ser>
        <c:ser>
          <c:idx val="5"/>
          <c:order val="5"/>
          <c:tx>
            <c:strRef>
              <c:f>'Popularity vs Seasonality'!$A$7</c:f>
              <c:strCache>
                <c:ptCount val="1"/>
                <c:pt idx="0">
                  <c:v>TP. HCM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'Popularity vs Seasonality'!$B$1:$M$1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'Popularity vs Seasonality'!$B$7:$M$7</c:f>
              <c:numCache>
                <c:formatCode>General</c:formatCode>
                <c:ptCount val="12"/>
                <c:pt idx="0">
                  <c:v>50</c:v>
                </c:pt>
                <c:pt idx="1">
                  <c:v>74</c:v>
                </c:pt>
                <c:pt idx="2">
                  <c:v>87</c:v>
                </c:pt>
                <c:pt idx="3">
                  <c:v>56</c:v>
                </c:pt>
                <c:pt idx="4">
                  <c:v>74</c:v>
                </c:pt>
                <c:pt idx="5">
                  <c:v>71</c:v>
                </c:pt>
                <c:pt idx="6">
                  <c:v>81</c:v>
                </c:pt>
                <c:pt idx="7">
                  <c:v>66</c:v>
                </c:pt>
                <c:pt idx="8">
                  <c:v>86</c:v>
                </c:pt>
                <c:pt idx="9">
                  <c:v>65</c:v>
                </c:pt>
                <c:pt idx="10">
                  <c:v>49</c:v>
                </c:pt>
                <c:pt idx="1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0F-2042-BD11-195D65B9532E}"/>
            </c:ext>
          </c:extLst>
        </c:ser>
        <c:ser>
          <c:idx val="6"/>
          <c:order val="6"/>
          <c:tx>
            <c:strRef>
              <c:f>'Popularity vs Seasonality'!$A$8</c:f>
              <c:strCache>
                <c:ptCount val="1"/>
                <c:pt idx="0">
                  <c:v>Đà Lạt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'Popularity vs Seasonality'!$B$1:$M$1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'Popularity vs Seasonality'!$B$8:$M$8</c:f>
              <c:numCache>
                <c:formatCode>General</c:formatCode>
                <c:ptCount val="12"/>
                <c:pt idx="0">
                  <c:v>48</c:v>
                </c:pt>
                <c:pt idx="1">
                  <c:v>57</c:v>
                </c:pt>
                <c:pt idx="2">
                  <c:v>77</c:v>
                </c:pt>
                <c:pt idx="3">
                  <c:v>72</c:v>
                </c:pt>
                <c:pt idx="4">
                  <c:v>55</c:v>
                </c:pt>
                <c:pt idx="5">
                  <c:v>75</c:v>
                </c:pt>
                <c:pt idx="6">
                  <c:v>93</c:v>
                </c:pt>
                <c:pt idx="7">
                  <c:v>74</c:v>
                </c:pt>
                <c:pt idx="8">
                  <c:v>81</c:v>
                </c:pt>
                <c:pt idx="9">
                  <c:v>59</c:v>
                </c:pt>
                <c:pt idx="10">
                  <c:v>42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0F-2042-BD11-195D65B9532E}"/>
            </c:ext>
          </c:extLst>
        </c:ser>
        <c:ser>
          <c:idx val="7"/>
          <c:order val="7"/>
          <c:tx>
            <c:strRef>
              <c:f>'Popularity vs Seasonality'!$A$9</c:f>
              <c:strCache>
                <c:ptCount val="1"/>
                <c:pt idx="0">
                  <c:v>Huế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'Popularity vs Seasonality'!$B$1:$M$1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'Popularity vs Seasonality'!$B$9:$M$9</c:f>
              <c:numCache>
                <c:formatCode>General</c:formatCode>
                <c:ptCount val="12"/>
                <c:pt idx="0">
                  <c:v>37</c:v>
                </c:pt>
                <c:pt idx="1">
                  <c:v>58</c:v>
                </c:pt>
                <c:pt idx="2">
                  <c:v>62</c:v>
                </c:pt>
                <c:pt idx="3">
                  <c:v>60</c:v>
                </c:pt>
                <c:pt idx="4">
                  <c:v>61</c:v>
                </c:pt>
                <c:pt idx="5">
                  <c:v>79</c:v>
                </c:pt>
                <c:pt idx="6">
                  <c:v>66</c:v>
                </c:pt>
                <c:pt idx="7">
                  <c:v>94</c:v>
                </c:pt>
                <c:pt idx="8">
                  <c:v>60</c:v>
                </c:pt>
                <c:pt idx="9">
                  <c:v>63</c:v>
                </c:pt>
                <c:pt idx="10">
                  <c:v>69</c:v>
                </c:pt>
                <c:pt idx="1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00F-2042-BD11-195D65B9532E}"/>
            </c:ext>
          </c:extLst>
        </c:ser>
        <c:ser>
          <c:idx val="8"/>
          <c:order val="8"/>
          <c:tx>
            <c:strRef>
              <c:f>'Popularity vs Seasonality'!$A$10</c:f>
              <c:strCache>
                <c:ptCount val="1"/>
                <c:pt idx="0">
                  <c:v>Hà Nội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'Popularity vs Seasonality'!$B$1:$M$1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'Popularity vs Seasonality'!$B$10:$M$10</c:f>
              <c:numCache>
                <c:formatCode>General</c:formatCode>
                <c:ptCount val="12"/>
                <c:pt idx="0">
                  <c:v>61</c:v>
                </c:pt>
                <c:pt idx="1">
                  <c:v>55</c:v>
                </c:pt>
                <c:pt idx="2">
                  <c:v>59</c:v>
                </c:pt>
                <c:pt idx="3">
                  <c:v>51</c:v>
                </c:pt>
                <c:pt idx="4">
                  <c:v>60</c:v>
                </c:pt>
                <c:pt idx="5">
                  <c:v>43</c:v>
                </c:pt>
                <c:pt idx="6">
                  <c:v>49</c:v>
                </c:pt>
                <c:pt idx="7">
                  <c:v>56</c:v>
                </c:pt>
                <c:pt idx="8">
                  <c:v>65</c:v>
                </c:pt>
                <c:pt idx="9">
                  <c:v>60</c:v>
                </c:pt>
                <c:pt idx="10">
                  <c:v>49</c:v>
                </c:pt>
                <c:pt idx="1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0F-2042-BD11-195D65B9532E}"/>
            </c:ext>
          </c:extLst>
        </c:ser>
        <c:ser>
          <c:idx val="9"/>
          <c:order val="9"/>
          <c:tx>
            <c:strRef>
              <c:f>'Popularity vs Seasonality'!$A$11</c:f>
              <c:strCache>
                <c:ptCount val="1"/>
                <c:pt idx="0">
                  <c:v>Sa Pa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'Popularity vs Seasonality'!$B$1:$M$1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'Popularity vs Seasonality'!$B$11:$M$11</c:f>
              <c:numCache>
                <c:formatCode>General</c:formatCode>
                <c:ptCount val="12"/>
                <c:pt idx="0">
                  <c:v>62</c:v>
                </c:pt>
                <c:pt idx="1">
                  <c:v>35</c:v>
                </c:pt>
                <c:pt idx="2">
                  <c:v>48</c:v>
                </c:pt>
                <c:pt idx="3">
                  <c:v>56</c:v>
                </c:pt>
                <c:pt idx="4">
                  <c:v>71</c:v>
                </c:pt>
                <c:pt idx="5">
                  <c:v>81</c:v>
                </c:pt>
                <c:pt idx="6">
                  <c:v>40</c:v>
                </c:pt>
                <c:pt idx="7">
                  <c:v>76</c:v>
                </c:pt>
                <c:pt idx="8">
                  <c:v>41</c:v>
                </c:pt>
                <c:pt idx="9">
                  <c:v>38</c:v>
                </c:pt>
                <c:pt idx="10">
                  <c:v>43</c:v>
                </c:pt>
                <c:pt idx="1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00F-2042-BD11-195D65B95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238064"/>
        <c:axId val="864895247"/>
      </c:areaChart>
      <c:catAx>
        <c:axId val="15442380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95247"/>
        <c:crosses val="autoZero"/>
        <c:auto val="1"/>
        <c:lblAlgn val="ctr"/>
        <c:lblOffset val="100"/>
        <c:noMultiLvlLbl val="0"/>
      </c:catAx>
      <c:valAx>
        <c:axId val="864895247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60474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238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786529419468386"/>
          <c:y val="0.16466449614499579"/>
          <c:w val="8.1200480564096594E-2"/>
          <c:h val="0.734703519738139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Most Popular Tourism Destinations at Vietnam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popular destinations'!$B$1</c:f>
              <c:strCache>
                <c:ptCount val="1"/>
                <c:pt idx="0">
                  <c:v># of Travelers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tx1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5 popular destinations'!$A$2:$A$11</c:f>
              <c:strCache>
                <c:ptCount val="10"/>
                <c:pt idx="0">
                  <c:v>Phú Quốc</c:v>
                </c:pt>
                <c:pt idx="1">
                  <c:v>Đà Nẵng</c:v>
                </c:pt>
                <c:pt idx="2">
                  <c:v>Nha Trang</c:v>
                </c:pt>
                <c:pt idx="3">
                  <c:v>Hạ Long</c:v>
                </c:pt>
                <c:pt idx="4">
                  <c:v>Hội An</c:v>
                </c:pt>
                <c:pt idx="5">
                  <c:v>TP. HCM</c:v>
                </c:pt>
                <c:pt idx="6">
                  <c:v>Đà Lạt</c:v>
                </c:pt>
                <c:pt idx="7">
                  <c:v>Huế</c:v>
                </c:pt>
                <c:pt idx="8">
                  <c:v>Hà Nội</c:v>
                </c:pt>
                <c:pt idx="9">
                  <c:v>Sa Pa</c:v>
                </c:pt>
              </c:strCache>
            </c:strRef>
          </c:cat>
          <c:val>
            <c:numRef>
              <c:f>'Top 5 popular destinations'!$B$2:$B$11</c:f>
              <c:numCache>
                <c:formatCode>General</c:formatCode>
                <c:ptCount val="10"/>
                <c:pt idx="0">
                  <c:v>1027</c:v>
                </c:pt>
                <c:pt idx="1">
                  <c:v>948</c:v>
                </c:pt>
                <c:pt idx="2">
                  <c:v>859</c:v>
                </c:pt>
                <c:pt idx="3">
                  <c:v>832</c:v>
                </c:pt>
                <c:pt idx="4">
                  <c:v>831</c:v>
                </c:pt>
                <c:pt idx="5">
                  <c:v>810</c:v>
                </c:pt>
                <c:pt idx="6">
                  <c:v>783</c:v>
                </c:pt>
                <c:pt idx="7">
                  <c:v>757</c:v>
                </c:pt>
                <c:pt idx="8">
                  <c:v>659</c:v>
                </c:pt>
                <c:pt idx="9">
                  <c:v>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A-B742-A193-F49DD44AFAB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91735808"/>
        <c:axId val="1643250896"/>
      </c:barChart>
      <c:catAx>
        <c:axId val="791735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Destination Name</a:t>
                </a:r>
              </a:p>
            </c:rich>
          </c:tx>
          <c:layout>
            <c:manualLayout>
              <c:xMode val="edge"/>
              <c:yMode val="edge"/>
              <c:x val="0.448544008037571"/>
              <c:y val="0.94446278578589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3250896"/>
        <c:crosses val="autoZero"/>
        <c:auto val="1"/>
        <c:lblAlgn val="ctr"/>
        <c:lblOffset val="100"/>
        <c:noMultiLvlLbl val="0"/>
      </c:catAx>
      <c:valAx>
        <c:axId val="1643250896"/>
        <c:scaling>
          <c:orientation val="minMax"/>
          <c:max val="110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alpha val="1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Count of Foreign Travelers</a:t>
                </a:r>
              </a:p>
            </c:rich>
          </c:tx>
          <c:layout>
            <c:manualLayout>
              <c:xMode val="edge"/>
              <c:yMode val="edge"/>
              <c:x val="8.359362664671275E-3"/>
              <c:y val="0.33998050450021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crossAx val="79173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Int. Travelers Per Country/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'Nationality vs Seasonality'!$A$2</c:f>
              <c:strCache>
                <c:ptCount val="1"/>
                <c:pt idx="0">
                  <c:v>China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'Nationality vs Seasonality'!$B$1:$M$1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'Nationality vs Seasonality'!$B$2:$M$2</c:f>
              <c:numCache>
                <c:formatCode>General</c:formatCode>
                <c:ptCount val="12"/>
                <c:pt idx="0">
                  <c:v>574950</c:v>
                </c:pt>
                <c:pt idx="1">
                  <c:v>380745</c:v>
                </c:pt>
                <c:pt idx="2">
                  <c:v>630898</c:v>
                </c:pt>
                <c:pt idx="3">
                  <c:v>368074</c:v>
                </c:pt>
                <c:pt idx="4">
                  <c:v>407572</c:v>
                </c:pt>
                <c:pt idx="5">
                  <c:v>364801</c:v>
                </c:pt>
                <c:pt idx="6">
                  <c:v>391051</c:v>
                </c:pt>
                <c:pt idx="7">
                  <c:v>414247</c:v>
                </c:pt>
                <c:pt idx="8">
                  <c:v>361627</c:v>
                </c:pt>
                <c:pt idx="9">
                  <c:v>433390</c:v>
                </c:pt>
                <c:pt idx="10">
                  <c:v>467090</c:v>
                </c:pt>
                <c:pt idx="11">
                  <c:v>487557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9-9042-8215-4699F2BC414F}"/>
            </c:ext>
          </c:extLst>
        </c:ser>
        <c:ser>
          <c:idx val="1"/>
          <c:order val="1"/>
          <c:tx>
            <c:strRef>
              <c:f>'Nationality vs Seasonality'!$A$3</c:f>
              <c:strCache>
                <c:ptCount val="1"/>
                <c:pt idx="0">
                  <c:v>Republic of Korea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'Nationality vs Seasonality'!$B$1:$M$1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'Nationality vs Seasonality'!$B$3:$M$3</c:f>
              <c:numCache>
                <c:formatCode>General</c:formatCode>
                <c:ptCount val="12"/>
                <c:pt idx="0">
                  <c:v>417116</c:v>
                </c:pt>
                <c:pt idx="1">
                  <c:v>468026</c:v>
                </c:pt>
                <c:pt idx="2">
                  <c:v>374989</c:v>
                </c:pt>
                <c:pt idx="3">
                  <c:v>326140</c:v>
                </c:pt>
                <c:pt idx="4">
                  <c:v>318572</c:v>
                </c:pt>
                <c:pt idx="5">
                  <c:v>303130</c:v>
                </c:pt>
                <c:pt idx="6">
                  <c:v>317070</c:v>
                </c:pt>
                <c:pt idx="7">
                  <c:v>384167</c:v>
                </c:pt>
                <c:pt idx="8">
                  <c:v>328530</c:v>
                </c:pt>
                <c:pt idx="9">
                  <c:v>360941</c:v>
                </c:pt>
                <c:pt idx="10">
                  <c:v>343998</c:v>
                </c:pt>
                <c:pt idx="11">
                  <c:v>388732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E9-9042-8215-4699F2BC414F}"/>
            </c:ext>
          </c:extLst>
        </c:ser>
        <c:ser>
          <c:idx val="2"/>
          <c:order val="2"/>
          <c:tx>
            <c:strRef>
              <c:f>'Nationality vs Seasonality'!$A$4</c:f>
              <c:strCache>
                <c:ptCount val="1"/>
                <c:pt idx="0">
                  <c:v>Taiwan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'Nationality vs Seasonality'!$B$1:$M$1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'Nationality vs Seasonality'!$B$4:$M$4</c:f>
              <c:numCache>
                <c:formatCode>General</c:formatCode>
                <c:ptCount val="12"/>
                <c:pt idx="0">
                  <c:v>91373</c:v>
                </c:pt>
                <c:pt idx="1">
                  <c:v>126929</c:v>
                </c:pt>
                <c:pt idx="2">
                  <c:v>112215</c:v>
                </c:pt>
                <c:pt idx="3">
                  <c:v>109697</c:v>
                </c:pt>
                <c:pt idx="4">
                  <c:v>92683</c:v>
                </c:pt>
                <c:pt idx="5">
                  <c:v>97089</c:v>
                </c:pt>
                <c:pt idx="6">
                  <c:v>106653</c:v>
                </c:pt>
                <c:pt idx="7">
                  <c:v>102543</c:v>
                </c:pt>
                <c:pt idx="8">
                  <c:v>87218</c:v>
                </c:pt>
                <c:pt idx="9">
                  <c:v>106865</c:v>
                </c:pt>
                <c:pt idx="10">
                  <c:v>100149</c:v>
                </c:pt>
                <c:pt idx="11">
                  <c:v>98096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E9-9042-8215-4699F2BC414F}"/>
            </c:ext>
          </c:extLst>
        </c:ser>
        <c:ser>
          <c:idx val="3"/>
          <c:order val="3"/>
          <c:tx>
            <c:strRef>
              <c:f>'Nationality vs Seasonality'!$A$5</c:f>
              <c:strCache>
                <c:ptCount val="1"/>
                <c:pt idx="0">
                  <c:v>USA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'Nationality vs Seasonality'!$B$1:$M$1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'Nationality vs Seasonality'!$B$5:$M$5</c:f>
              <c:numCache>
                <c:formatCode>General</c:formatCode>
                <c:ptCount val="12"/>
                <c:pt idx="0">
                  <c:v>92538</c:v>
                </c:pt>
                <c:pt idx="1">
                  <c:v>87676</c:v>
                </c:pt>
                <c:pt idx="2">
                  <c:v>78356</c:v>
                </c:pt>
                <c:pt idx="3">
                  <c:v>64892</c:v>
                </c:pt>
                <c:pt idx="4">
                  <c:v>51955</c:v>
                </c:pt>
                <c:pt idx="5">
                  <c:v>73715</c:v>
                </c:pt>
                <c:pt idx="6">
                  <c:v>72509</c:v>
                </c:pt>
                <c:pt idx="7">
                  <c:v>51166</c:v>
                </c:pt>
                <c:pt idx="8">
                  <c:v>49769</c:v>
                </c:pt>
                <c:pt idx="9">
                  <c:v>62083</c:v>
                </c:pt>
                <c:pt idx="10">
                  <c:v>81044</c:v>
                </c:pt>
                <c:pt idx="11">
                  <c:v>83024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E9-9042-8215-4699F2BC414F}"/>
            </c:ext>
          </c:extLst>
        </c:ser>
        <c:ser>
          <c:idx val="4"/>
          <c:order val="4"/>
          <c:tx>
            <c:strRef>
              <c:f>'Nationality vs Seasonality'!$A$6</c:f>
              <c:strCache>
                <c:ptCount val="1"/>
                <c:pt idx="0">
                  <c:v>Japan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'Nationality vs Seasonality'!$B$1:$M$1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'Nationality vs Seasonality'!$B$6:$M$6</c:f>
              <c:numCache>
                <c:formatCode>General</c:formatCode>
                <c:ptCount val="12"/>
                <c:pt idx="0">
                  <c:v>72311</c:v>
                </c:pt>
                <c:pt idx="1">
                  <c:v>75087</c:v>
                </c:pt>
                <c:pt idx="2">
                  <c:v>78779</c:v>
                </c:pt>
                <c:pt idx="3">
                  <c:v>54182</c:v>
                </c:pt>
                <c:pt idx="4">
                  <c:v>61797</c:v>
                </c:pt>
                <c:pt idx="5">
                  <c:v>51162</c:v>
                </c:pt>
                <c:pt idx="6">
                  <c:v>55947</c:v>
                </c:pt>
                <c:pt idx="7">
                  <c:v>90421</c:v>
                </c:pt>
                <c:pt idx="8">
                  <c:v>78086</c:v>
                </c:pt>
                <c:pt idx="9">
                  <c:v>60861</c:v>
                </c:pt>
                <c:pt idx="10">
                  <c:v>75441</c:v>
                </c:pt>
                <c:pt idx="11">
                  <c:v>60095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E9-9042-8215-4699F2BC414F}"/>
            </c:ext>
          </c:extLst>
        </c:ser>
        <c:ser>
          <c:idx val="5"/>
          <c:order val="5"/>
          <c:tx>
            <c:strRef>
              <c:f>'Nationality vs Seasonality'!$A$7</c:f>
              <c:strCache>
                <c:ptCount val="1"/>
                <c:pt idx="0">
                  <c:v>India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'Nationality vs Seasonality'!$B$1:$M$1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'Nationality vs Seasonality'!$B$7:$M$7</c:f>
              <c:numCache>
                <c:formatCode>General</c:formatCode>
                <c:ptCount val="12"/>
                <c:pt idx="0">
                  <c:v>48536</c:v>
                </c:pt>
                <c:pt idx="1">
                  <c:v>43678</c:v>
                </c:pt>
                <c:pt idx="2">
                  <c:v>51141</c:v>
                </c:pt>
                <c:pt idx="3">
                  <c:v>60541</c:v>
                </c:pt>
                <c:pt idx="4">
                  <c:v>67629</c:v>
                </c:pt>
                <c:pt idx="5">
                  <c:v>65993</c:v>
                </c:pt>
                <c:pt idx="6">
                  <c:v>49599</c:v>
                </c:pt>
                <c:pt idx="7">
                  <c:v>56131</c:v>
                </c:pt>
                <c:pt idx="8">
                  <c:v>61395</c:v>
                </c:pt>
                <c:pt idx="9">
                  <c:v>70325</c:v>
                </c:pt>
                <c:pt idx="10">
                  <c:v>80878</c:v>
                </c:pt>
                <c:pt idx="11">
                  <c:v>90634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E9-9042-8215-4699F2BC414F}"/>
            </c:ext>
          </c:extLst>
        </c:ser>
        <c:ser>
          <c:idx val="6"/>
          <c:order val="6"/>
          <c:tx>
            <c:strRef>
              <c:f>'Nationality vs Seasonality'!$A$8</c:f>
              <c:strCache>
                <c:ptCount val="1"/>
                <c:pt idx="0">
                  <c:v>Russia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'Nationality vs Seasonality'!$B$1:$M$1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'Nationality vs Seasonality'!$B$8:$M$8</c:f>
              <c:numCache>
                <c:formatCode>General</c:formatCode>
                <c:ptCount val="12"/>
                <c:pt idx="0">
                  <c:v>42515</c:v>
                </c:pt>
                <c:pt idx="1">
                  <c:v>36500</c:v>
                </c:pt>
                <c:pt idx="2">
                  <c:v>45639</c:v>
                </c:pt>
                <c:pt idx="3">
                  <c:v>41806</c:v>
                </c:pt>
                <c:pt idx="4">
                  <c:v>43671</c:v>
                </c:pt>
                <c:pt idx="5">
                  <c:v>49718</c:v>
                </c:pt>
                <c:pt idx="6">
                  <c:v>55289</c:v>
                </c:pt>
                <c:pt idx="7">
                  <c:v>61534</c:v>
                </c:pt>
                <c:pt idx="8">
                  <c:v>58489</c:v>
                </c:pt>
                <c:pt idx="9">
                  <c:v>66534</c:v>
                </c:pt>
                <c:pt idx="10">
                  <c:v>91145</c:v>
                </c:pt>
                <c:pt idx="11">
                  <c:v>96874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E9-9042-8215-4699F2BC414F}"/>
            </c:ext>
          </c:extLst>
        </c:ser>
        <c:ser>
          <c:idx val="7"/>
          <c:order val="7"/>
          <c:tx>
            <c:strRef>
              <c:f>'Nationality vs Seasonality'!$A$9</c:f>
              <c:strCache>
                <c:ptCount val="1"/>
                <c:pt idx="0">
                  <c:v>Cambodia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'Nationality vs Seasonality'!$B$1:$M$1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'Nationality vs Seasonality'!$B$9:$M$9</c:f>
              <c:numCache>
                <c:formatCode>General</c:formatCode>
                <c:ptCount val="12"/>
                <c:pt idx="0">
                  <c:v>100150</c:v>
                </c:pt>
                <c:pt idx="1">
                  <c:v>41916</c:v>
                </c:pt>
                <c:pt idx="2">
                  <c:v>91845</c:v>
                </c:pt>
                <c:pt idx="3">
                  <c:v>45626</c:v>
                </c:pt>
                <c:pt idx="4">
                  <c:v>44981</c:v>
                </c:pt>
                <c:pt idx="5">
                  <c:v>35753</c:v>
                </c:pt>
                <c:pt idx="6">
                  <c:v>41151</c:v>
                </c:pt>
                <c:pt idx="7">
                  <c:v>43211</c:v>
                </c:pt>
                <c:pt idx="8">
                  <c:v>45237</c:v>
                </c:pt>
                <c:pt idx="9">
                  <c:v>59784</c:v>
                </c:pt>
                <c:pt idx="10">
                  <c:v>64601</c:v>
                </c:pt>
                <c:pt idx="11">
                  <c:v>72877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EE9-9042-8215-4699F2BC414F}"/>
            </c:ext>
          </c:extLst>
        </c:ser>
        <c:ser>
          <c:idx val="8"/>
          <c:order val="8"/>
          <c:tx>
            <c:strRef>
              <c:f>'Nationality vs Seasonality'!$A$10</c:f>
              <c:strCache>
                <c:ptCount val="1"/>
                <c:pt idx="0">
                  <c:v>Malaysia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'Nationality vs Seasonality'!$B$1:$M$1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'Nationality vs Seasonality'!$B$10:$M$10</c:f>
              <c:numCache>
                <c:formatCode>General</c:formatCode>
                <c:ptCount val="12"/>
                <c:pt idx="0">
                  <c:v>42935</c:v>
                </c:pt>
                <c:pt idx="1">
                  <c:v>60051</c:v>
                </c:pt>
                <c:pt idx="2">
                  <c:v>38114</c:v>
                </c:pt>
                <c:pt idx="3">
                  <c:v>41239</c:v>
                </c:pt>
                <c:pt idx="4">
                  <c:v>38178</c:v>
                </c:pt>
                <c:pt idx="5">
                  <c:v>46352</c:v>
                </c:pt>
                <c:pt idx="6">
                  <c:v>36933</c:v>
                </c:pt>
                <c:pt idx="7">
                  <c:v>40246</c:v>
                </c:pt>
                <c:pt idx="8">
                  <c:v>61214</c:v>
                </c:pt>
                <c:pt idx="9">
                  <c:v>49261</c:v>
                </c:pt>
                <c:pt idx="10">
                  <c:v>55507</c:v>
                </c:pt>
                <c:pt idx="11">
                  <c:v>63686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E9-9042-8215-4699F2BC414F}"/>
            </c:ext>
          </c:extLst>
        </c:ser>
        <c:ser>
          <c:idx val="9"/>
          <c:order val="9"/>
          <c:tx>
            <c:strRef>
              <c:f>'Nationality vs Seasonality'!$A$11</c:f>
              <c:strCache>
                <c:ptCount val="1"/>
                <c:pt idx="0">
                  <c:v>Australia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'Nationality vs Seasonality'!$B$1:$M$1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'Nationality vs Seasonality'!$B$11:$M$11</c:f>
              <c:numCache>
                <c:formatCode>General</c:formatCode>
                <c:ptCount val="12"/>
                <c:pt idx="0">
                  <c:v>66504</c:v>
                </c:pt>
                <c:pt idx="1">
                  <c:v>38313</c:v>
                </c:pt>
                <c:pt idx="2">
                  <c:v>42303</c:v>
                </c:pt>
                <c:pt idx="3">
                  <c:v>58379</c:v>
                </c:pt>
                <c:pt idx="4">
                  <c:v>35597</c:v>
                </c:pt>
                <c:pt idx="5">
                  <c:v>34869</c:v>
                </c:pt>
                <c:pt idx="6">
                  <c:v>47701</c:v>
                </c:pt>
                <c:pt idx="7">
                  <c:v>34313</c:v>
                </c:pt>
                <c:pt idx="8">
                  <c:v>43255</c:v>
                </c:pt>
                <c:pt idx="9">
                  <c:v>46236</c:v>
                </c:pt>
                <c:pt idx="10">
                  <c:v>48410</c:v>
                </c:pt>
                <c:pt idx="11">
                  <c:v>52591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EE9-9042-8215-4699F2BC4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928976"/>
        <c:axId val="464095839"/>
      </c:areaChart>
      <c:catAx>
        <c:axId val="154392897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095839"/>
        <c:crosses val="autoZero"/>
        <c:auto val="1"/>
        <c:lblAlgn val="ctr"/>
        <c:lblOffset val="100"/>
        <c:noMultiLvlLbl val="0"/>
      </c:catAx>
      <c:valAx>
        <c:axId val="464095839"/>
        <c:scaling>
          <c:orientation val="minMax"/>
          <c:max val="17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60000"/>
                </a:schemeClr>
              </a:solidFill>
              <a:round/>
            </a:ln>
            <a:effectLst/>
          </c:spPr>
        </c:majorGridlines>
        <c:numFmt formatCode="#,##0" sourceLinked="0"/>
        <c:majorTickMark val="cross"/>
        <c:minorTickMark val="none"/>
        <c:tickLblPos val="nextTo"/>
        <c:spPr>
          <a:noFill/>
          <a:ln w="25400">
            <a:solidFill>
              <a:schemeClr val="tx1"/>
            </a:solidFill>
            <a:tailEnd type="non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928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993979062083905"/>
          <c:y val="0.1809330803170974"/>
          <c:w val="0.10598166892792685"/>
          <c:h val="0.66957020974328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7</xdr:row>
      <xdr:rowOff>133350</xdr:rowOff>
    </xdr:from>
    <xdr:to>
      <xdr:col>14</xdr:col>
      <xdr:colOff>635000</xdr:colOff>
      <xdr:row>29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B6D0D4-5962-B206-37F3-176E41228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603250</xdr:colOff>
      <xdr:row>0</xdr:row>
      <xdr:rowOff>120650</xdr:rowOff>
    </xdr:from>
    <xdr:to>
      <xdr:col>18</xdr:col>
      <xdr:colOff>558800</xdr:colOff>
      <xdr:row>34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74C53E-B38F-CED8-BD1D-2E273451F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38100</xdr:rowOff>
    </xdr:from>
    <xdr:to>
      <xdr:col>19</xdr:col>
      <xdr:colOff>50800</xdr:colOff>
      <xdr:row>30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7B61C4-A122-B50D-603B-7AD28D0E6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111834</xdr:colOff>
      <xdr:row>7</xdr:row>
      <xdr:rowOff>125862</xdr:rowOff>
    </xdr:from>
    <xdr:to>
      <xdr:col>29</xdr:col>
      <xdr:colOff>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FE8A87-E4C5-F670-583E-0E4AA974D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787400</xdr:colOff>
      <xdr:row>0</xdr:row>
      <xdr:rowOff>82550</xdr:rowOff>
    </xdr:from>
    <xdr:to>
      <xdr:col>14</xdr:col>
      <xdr:colOff>266700</xdr:colOff>
      <xdr:row>25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9960C5-B941-7547-C324-A12FA73F1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84667</xdr:colOff>
      <xdr:row>4</xdr:row>
      <xdr:rowOff>16933</xdr:rowOff>
    </xdr:from>
    <xdr:to>
      <xdr:col>27</xdr:col>
      <xdr:colOff>558800</xdr:colOff>
      <xdr:row>45</xdr:row>
      <xdr:rowOff>84667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79F18F-DD5D-F86F-92B6-8EC80A4EF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 Nguyen" refreshedDate="46051.860604745372" createdVersion="8" refreshedVersion="8" minRefreshableVersion="3" recordCount="39" xr:uid="{7609EE10-7B58-3A4F-B883-2D9C8CE17B98}">
  <cacheSource type="worksheet">
    <worksheetSource name="Table1"/>
  </cacheSource>
  <cacheFields count="14">
    <cacheField name="Market" numFmtId="0">
      <sharedItems count="39">
        <s v="1. Asia"/>
        <s v="Cambodia"/>
        <s v="China"/>
        <s v="Philippines"/>
        <s v="Laos"/>
        <s v="Japan"/>
        <s v="Taiwan"/>
        <s v="Indonesia"/>
        <s v="India"/>
        <s v="Republic of Korea"/>
        <s v="Thailand"/>
        <s v="Malaysia"/>
        <s v="Singapore"/>
        <s v="Other countries in ASI"/>
        <s v="2. America"/>
        <s v="Canada"/>
        <s v="USA"/>
        <s v="Other countries in AME"/>
        <s v="3. Europe"/>
        <s v="Russia"/>
        <s v="Norway"/>
        <s v="Sweden"/>
        <s v="Poland"/>
        <s v="Germany"/>
        <s v="Italy"/>
        <s v="Denmark"/>
        <s v="France"/>
        <s v="United Kingdom"/>
        <s v="Switzerland"/>
        <s v="Netherlands"/>
        <s v="Spain"/>
        <s v="Belgium"/>
        <s v="Other countries in EU"/>
        <s v="4. Oceania"/>
        <s v="New Zealand"/>
        <s v="Australia"/>
        <s v="Other countries in OCE"/>
        <s v="5. Africa"/>
        <s v="Other countries in AFR"/>
      </sharedItems>
    </cacheField>
    <cacheField name="January" numFmtId="0">
      <sharedItems containsSemiMixedTypes="0" containsString="0" containsNumber="1" containsInteger="1" minValue="135" maxValue="1606888" count="38">
        <n v="1606888"/>
        <n v="100150"/>
        <n v="574950"/>
        <n v="34578"/>
        <n v="15072"/>
        <n v="72311"/>
        <n v="91373"/>
        <n v="19274"/>
        <n v="48536"/>
        <n v="417116"/>
        <n v="40464"/>
        <n v="42935"/>
        <n v="25817"/>
        <n v="124312"/>
        <n v="119656"/>
        <n v="18785"/>
        <n v="92538"/>
        <n v="8333"/>
        <n v="266644"/>
        <n v="42515"/>
        <n v="3764"/>
        <n v="6048"/>
        <n v="8678"/>
        <n v="27994"/>
        <n v="11490"/>
        <n v="4898"/>
        <n v="28012"/>
        <n v="33435"/>
        <n v="3999"/>
        <n v="7595"/>
        <n v="5584"/>
        <n v="2531"/>
        <n v="80101"/>
        <n v="72243"/>
        <n v="5604"/>
        <n v="66504"/>
        <n v="135"/>
        <n v="5035"/>
      </sharedItems>
    </cacheField>
    <cacheField name="February" numFmtId="0">
      <sharedItems containsSemiMixedTypes="0" containsString="0" containsNumber="1" containsInteger="1" minValue="120" maxValue="1491673"/>
    </cacheField>
    <cacheField name="March" numFmtId="0">
      <sharedItems containsSemiMixedTypes="0" containsString="0" containsNumber="1" containsInteger="1" minValue="102" maxValue="1614360"/>
    </cacheField>
    <cacheField name="April" numFmtId="0">
      <sharedItems containsSemiMixedTypes="0" containsString="0" containsNumber="1" containsInteger="1" minValue="148" maxValue="1250571"/>
    </cacheField>
    <cacheField name="May" numFmtId="0">
      <sharedItems containsSemiMixedTypes="0" containsString="0" containsNumber="1" containsInteger="1" minValue="163" maxValue="1253268"/>
    </cacheField>
    <cacheField name="June" numFmtId="0">
      <sharedItems containsSemiMixedTypes="0" containsString="0" containsNumber="1" containsInteger="1" minValue="121" maxValue="1195406"/>
    </cacheField>
    <cacheField name="July" numFmtId="0">
      <sharedItems containsSemiMixedTypes="0" containsString="0" containsNumber="1" containsInteger="1" minValue="163" maxValue="1225257"/>
    </cacheField>
    <cacheField name="August" numFmtId="0">
      <sharedItems containsSemiMixedTypes="0" containsString="0" containsNumber="1" containsInteger="1" minValue="123" maxValue="1360039"/>
    </cacheField>
    <cacheField name="September" numFmtId="0">
      <sharedItems containsSemiMixedTypes="0" containsString="0" containsNumber="1" containsInteger="1" minValue="143" maxValue="1244379"/>
    </cacheField>
    <cacheField name="October" numFmtId="0">
      <sharedItems containsSemiMixedTypes="0" containsString="0" containsNumber="1" containsInteger="1" minValue="189" maxValue="1376126"/>
    </cacheField>
    <cacheField name="November" numFmtId="0">
      <sharedItems containsSemiMixedTypes="0" containsString="0" containsNumber="1" containsInteger="1" minValue="198" maxValue="1477295" count="38">
        <n v="1477295"/>
        <n v="64601"/>
        <n v="467090"/>
        <n v="50702"/>
        <n v="10283"/>
        <n v="75441"/>
        <n v="100149"/>
        <n v="18820"/>
        <n v="80878"/>
        <n v="343998"/>
        <n v="40797"/>
        <n v="55507"/>
        <n v="39672"/>
        <n v="129357"/>
        <n v="111835"/>
        <n v="20881"/>
        <n v="81044"/>
        <n v="9910"/>
        <n v="329963"/>
        <n v="91145"/>
        <n v="2904"/>
        <n v="3921"/>
        <n v="12737"/>
        <n v="34457"/>
        <n v="12609"/>
        <n v="3454"/>
        <n v="38957"/>
        <n v="36548"/>
        <n v="4886"/>
        <n v="9482"/>
        <n v="12270"/>
        <n v="4726"/>
        <n v="61867"/>
        <n v="53663"/>
        <n v="5055"/>
        <n v="48410"/>
        <n v="198"/>
        <n v="5418"/>
      </sharedItems>
    </cacheField>
    <cacheField name="December" numFmtId="0">
      <sharedItems containsSemiMixedTypes="0" containsString="0" containsNumber="1" containsInteger="1" minValue="200" maxValue="1533979" count="38">
        <n v="1533979"/>
        <n v="72877"/>
        <n v="487557"/>
        <n v="51328"/>
        <n v="10876"/>
        <n v="60095"/>
        <n v="98096"/>
        <n v="18025"/>
        <n v="90634"/>
        <n v="388732"/>
        <n v="42767"/>
        <n v="63686"/>
        <n v="61055"/>
        <n v="88251"/>
        <n v="111189"/>
        <n v="17612"/>
        <n v="83024"/>
        <n v="10553"/>
        <n v="313851"/>
        <n v="96874"/>
        <n v="3906"/>
        <n v="6394"/>
        <n v="10646"/>
        <n v="27574"/>
        <n v="9490"/>
        <n v="3909"/>
        <n v="28573"/>
        <n v="30768"/>
        <n v="4507"/>
        <n v="7545"/>
        <n v="7788"/>
        <n v="3127"/>
        <n v="72750"/>
        <n v="57563"/>
        <n v="4772"/>
        <n v="52591"/>
        <n v="200"/>
        <n v="5037"/>
      </sharedItems>
    </cacheField>
    <cacheField name="Total" numFmtId="0">
      <sharedItems containsSemiMixedTypes="0" containsString="0" containsNumber="1" containsInteger="1" minValue="1805" maxValue="16629241" count="38">
        <n v="16629241"/>
        <n v="687132"/>
        <n v="5282002"/>
        <n v="482173"/>
        <n v="179340"/>
        <n v="814169"/>
        <n v="1231510"/>
        <n v="207196"/>
        <n v="746480"/>
        <n v="4331411"/>
        <n v="457775"/>
        <n v="573716"/>
        <n v="401420"/>
        <n v="1234917"/>
        <n v="1104882"/>
        <n v="173391"/>
        <n v="848727"/>
        <n v="82764"/>
        <n v="2770502"/>
        <n v="689714"/>
        <n v="33264"/>
        <n v="39499"/>
        <n v="72928"/>
        <n v="291039"/>
        <n v="107358"/>
        <n v="41410"/>
        <n v="337729"/>
        <n v="368318"/>
        <n v="39875"/>
        <n v="91709"/>
        <n v="97442"/>
        <n v="37566"/>
        <n v="522651"/>
        <n v="607404"/>
        <n v="57128"/>
        <n v="548471"/>
        <n v="1805"/>
        <n v="5626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 Nguyen" refreshedDate="46056.898368402777" createdVersion="8" refreshedVersion="8" minRefreshableVersion="3" recordCount="3939" xr:uid="{20C7764F-993A-D242-B239-D4420E3759CA}">
  <cacheSource type="worksheet">
    <worksheetSource ref="A1:K3940" sheet="kaggle_booking_clean_data "/>
  </cacheSource>
  <cacheFields count="15">
    <cacheField name="Travel Date" numFmtId="165">
      <sharedItems containsSemiMixedTypes="0" containsNonDate="0" containsDate="1" containsString="0" minDate="2022-01-02T00:00:00" maxDate="2025-12-31T00:00:00" count="1288">
        <d v="2022-01-02T00:00:00"/>
        <d v="2022-01-21T00:00:00"/>
        <d v="2022-01-24T00:00:00"/>
        <d v="2022-01-26T00:00:00"/>
        <d v="2022-01-31T00:00:00"/>
        <d v="2022-02-02T00:00:00"/>
        <d v="2022-02-03T00:00:00"/>
        <d v="2022-02-06T00:00:00"/>
        <d v="2022-02-07T00:00:00"/>
        <d v="2022-02-09T00:00:00"/>
        <d v="2022-02-10T00:00:00"/>
        <d v="2022-02-13T00:00:00"/>
        <d v="2022-02-14T00:00:00"/>
        <d v="2022-02-16T00:00:00"/>
        <d v="2022-02-18T00:00:00"/>
        <d v="2022-02-19T00:00:00"/>
        <d v="2022-02-21T00:00:00"/>
        <d v="2022-02-22T00:00:00"/>
        <d v="2022-02-24T00:00:00"/>
        <d v="2022-02-25T00:00:00"/>
        <d v="2022-02-26T00:00:00"/>
        <d v="2022-03-01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8T00:00:00"/>
        <d v="2022-04-19T00:00:00"/>
        <d v="2022-04-20T00:00:00"/>
        <d v="2022-04-22T00:00:00"/>
        <d v="2022-04-23T00:00:00"/>
        <d v="2022-04-24T00:00:00"/>
        <d v="2022-04-25T00:00:00"/>
        <d v="2022-04-27T00:00:00"/>
        <d v="2022-04-28T00:00:00"/>
        <d v="2022-05-01T00:00:00"/>
        <d v="2022-05-02T00:00:00"/>
        <d v="2022-05-03T00:00:00"/>
        <d v="2022-05-04T00:00:00"/>
        <d v="2022-05-05T00:00:00"/>
        <d v="2022-05-07T00:00:00"/>
        <d v="2022-05-08T00:00:00"/>
        <d v="2022-05-09T00:00:00"/>
        <d v="2022-05-10T00:00:00"/>
        <d v="2022-05-11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7T00:00:00"/>
        <d v="2022-06-18T00:00:00"/>
        <d v="2022-06-19T00:00:00"/>
        <d v="2022-06-20T00:00:00"/>
        <d v="2022-06-22T00:00:00"/>
        <d v="2022-06-24T00:00:00"/>
        <d v="2022-06-26T00:00:00"/>
        <d v="2022-06-28T00:00:00"/>
        <d v="2022-06-29T00:00:00"/>
        <d v="2022-06-30T00:00:00"/>
        <d v="2022-07-01T00:00:00"/>
        <d v="2022-07-03T00:00:00"/>
        <d v="2022-07-04T00:00:00"/>
        <d v="2022-07-05T00:00:00"/>
        <d v="2022-07-06T00:00:00"/>
        <d v="2022-07-07T00:00:00"/>
        <d v="2022-07-09T00:00:00"/>
        <d v="2022-07-11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1T00:00:00"/>
        <d v="2022-08-01T00:00:00"/>
        <d v="2022-08-02T00:00:00"/>
        <d v="2022-08-03T00:00:00"/>
        <d v="2022-08-05T00:00:00"/>
        <d v="2022-08-06T00:00:00"/>
        <d v="2022-08-07T00:00:00"/>
        <d v="2022-08-09T00:00:00"/>
        <d v="2022-08-10T00:00:00"/>
        <d v="2022-08-11T00:00:00"/>
        <d v="2022-08-12T00:00:00"/>
        <d v="2022-08-13T00:00:00"/>
        <d v="2022-08-15T00:00:00"/>
        <d v="2022-08-16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7T00:00:00"/>
        <d v="2022-08-29T00:00:00"/>
        <d v="2022-08-30T00:00:00"/>
        <d v="2022-08-31T00:00:00"/>
        <d v="2022-09-01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7T00:00:00"/>
        <d v="2022-09-29T00:00:00"/>
        <d v="2022-09-30T00:00:00"/>
        <d v="2022-10-01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9T00:00:00"/>
        <d v="2022-11-30T00:00:00"/>
        <d v="2022-12-01T00:00:00"/>
        <d v="2022-12-02T00:00:00"/>
        <d v="2022-12-05T00:00:00"/>
        <d v="2022-12-07T00:00:00"/>
        <d v="2022-12-08T00:00:00"/>
        <d v="2022-12-11T00:00:00"/>
        <d v="2022-12-12T00:00:00"/>
        <d v="2022-12-16T00:00:00"/>
        <d v="2022-12-17T00:00:00"/>
        <d v="2022-12-18T00:00:00"/>
        <d v="2022-12-19T00:00:00"/>
        <d v="2022-12-20T00:00:00"/>
        <d v="2022-12-22T00:00:00"/>
        <d v="2022-12-23T00:00:00"/>
        <d v="2022-12-24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5T00:00:00"/>
        <d v="2023-01-06T00:00:00"/>
        <d v="2023-01-07T00:00:00"/>
        <d v="2023-01-08T00:00:00"/>
        <d v="2023-01-09T00:00:00"/>
        <d v="2023-01-10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9T00:00:00"/>
        <d v="2023-01-30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3-01T00:00:00"/>
        <d v="2023-03-02T00:00:00"/>
        <d v="2023-03-03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5T00:00:00"/>
        <d v="2023-05-16T00:00:00"/>
        <d v="2023-05-17T00:00:00"/>
        <d v="2023-05-20T00:00:00"/>
        <d v="2023-05-21T00:00:00"/>
        <d v="2023-05-22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5T00:00:00"/>
        <d v="2023-06-06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30T00:00:00"/>
        <d v="2023-07-02T00:00:00"/>
        <d v="2023-07-03T00:00:00"/>
        <d v="2023-07-04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5T00:00:00"/>
        <d v="2023-08-16T00:00:00"/>
        <d v="2023-08-17T00:00:00"/>
        <d v="2023-08-18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9-01T00:00:00"/>
        <d v="2023-09-02T00:00:00"/>
        <d v="2023-09-03T00:00:00"/>
        <d v="2023-09-04T00:00:00"/>
        <d v="2023-09-05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8T00:00:00"/>
        <d v="2023-09-19T00:00:00"/>
        <d v="2023-09-20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3T00:00:00"/>
        <d v="2023-10-04T00:00:00"/>
        <d v="2023-10-05T00:00:00"/>
        <d v="2023-10-06T00:00:00"/>
        <d v="2023-10-08T00:00:00"/>
        <d v="2023-10-09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2-01T00:00:00"/>
        <d v="2023-12-02T00:00:00"/>
        <d v="2023-12-03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2T00:00:00"/>
        <d v="2024-02-03T00:00:00"/>
        <d v="2024-02-04T00:00:00"/>
        <d v="2024-02-05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7T00:00:00"/>
        <d v="2024-02-28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2T00:00:00"/>
        <d v="2025-05-03T00:00:00"/>
        <d v="2025-05-04T00:00:00"/>
        <d v="2025-05-05T00:00:00"/>
        <d v="2025-05-06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4T00:00:00"/>
        <d v="2025-11-15T00:00:00"/>
        <d v="2025-11-16T00:00:00"/>
        <d v="2025-11-17T00:00:00"/>
        <d v="2025-11-18T00:00:00"/>
        <d v="2025-11-20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2-01T00:00:00"/>
        <d v="2025-12-04T00:00:00"/>
        <d v="2025-12-05T00:00:00"/>
        <d v="2025-12-07T00:00:00"/>
        <d v="2025-12-08T00:00:00"/>
        <d v="2025-12-12T00:00:00"/>
        <d v="2025-12-16T00:00:00"/>
        <d v="2025-12-22T00:00:00"/>
        <d v="2025-12-30T00:00:00"/>
      </sharedItems>
      <fieldGroup par="13"/>
    </cacheField>
    <cacheField name="Customer Segment" numFmtId="0">
      <sharedItems count="4">
        <s v="Student"/>
        <s v="Family"/>
        <s v="Corporate"/>
        <s v="Young Professional"/>
      </sharedItems>
    </cacheField>
    <cacheField name="Tour Type" numFmtId="0">
      <sharedItems count="8">
        <s v="Cultural"/>
        <s v="Family"/>
        <s v="Beach"/>
        <s v="City Break"/>
        <s v="Foodie"/>
        <s v="Adventure"/>
        <s v="Cultral" u="1"/>
        <s v="bech" u="1"/>
      </sharedItems>
    </cacheField>
    <cacheField name="Channel" numFmtId="0">
      <sharedItems/>
    </cacheField>
    <cacheField name="Destination" numFmtId="0">
      <sharedItems count="10">
        <s v="Đà Nẵng"/>
        <s v="Đà Lạt"/>
        <s v="Nha Trang"/>
        <s v="Hà Nội"/>
        <s v="Hội An"/>
        <s v="Phú Quốc"/>
        <s v="Sa Pa"/>
        <s v="Huế"/>
        <s v="TP. HCM"/>
        <s v="Hạ Long"/>
      </sharedItems>
    </cacheField>
    <cacheField name="Number of Traveler" numFmtId="0">
      <sharedItems containsSemiMixedTypes="0" containsString="0" containsNumber="1" containsInteger="1" minValue="1" maxValue="5"/>
    </cacheField>
    <cacheField name="Base Price (Vnd)" numFmtId="164">
      <sharedItems containsSemiMixedTypes="0" containsString="0" containsNumber="1" containsInteger="1" minValue="-100000" maxValue="7001000"/>
    </cacheField>
    <cacheField name="Discount Rate (%)" numFmtId="10">
      <sharedItems containsSemiMixedTypes="0" containsString="0" containsNumber="1" minValue="-0.2" maxValue="0.75"/>
    </cacheField>
    <cacheField name="Revenue (Vnd)" numFmtId="164">
      <sharedItems containsSemiMixedTypes="0" containsString="0" containsNumber="1" containsInteger="1" minValue="0" maxValue="29471000"/>
    </cacheField>
    <cacheField name="Satisfaction" numFmtId="0">
      <sharedItems containsSemiMixedTypes="0" containsString="0" containsNumber="1" minValue="2.2999999999999998" maxValue="5" count="26">
        <n v="4.0999999999999996"/>
        <n v="4"/>
        <n v="4.2"/>
        <n v="3.6"/>
        <n v="4.3"/>
        <n v="4.7"/>
        <n v="4.4000000000000004"/>
        <n v="4.9000000000000004"/>
        <n v="4.5999999999999996"/>
        <n v="3.7"/>
        <n v="4.8"/>
        <n v="3.3"/>
        <n v="4.5"/>
        <n v="3.9"/>
        <n v="3.8"/>
        <n v="5"/>
        <n v="3.2"/>
        <n v="3.5"/>
        <n v="3.4"/>
        <n v="3"/>
        <n v="3.1"/>
        <n v="2.6"/>
        <n v="2.9"/>
        <n v="2.5"/>
        <n v="2.8"/>
        <n v="2.2999999999999998"/>
      </sharedItems>
      <fieldGroup par="14"/>
    </cacheField>
    <cacheField name="Returning" numFmtId="0">
      <sharedItems count="2">
        <b v="0"/>
        <b v="1"/>
      </sharedItems>
    </cacheField>
    <cacheField name="Months (Travel Date)" numFmtId="0" databaseField="0">
      <fieldGroup base="0">
        <rangePr groupBy="months" startDate="2022-01-02T00:00:00" endDate="2025-12-31T00:00:00"/>
        <groupItems count="14">
          <s v="&lt;1/2/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5"/>
        </groupItems>
      </fieldGroup>
    </cacheField>
    <cacheField name="Quarters (Travel Date)" numFmtId="0" databaseField="0">
      <fieldGroup base="0">
        <rangePr groupBy="quarters" startDate="2022-01-02T00:00:00" endDate="2025-12-31T00:00:00"/>
        <groupItems count="6">
          <s v="&lt;1/2/22"/>
          <s v="Qtr1"/>
          <s v="Qtr2"/>
          <s v="Qtr3"/>
          <s v="Qtr4"/>
          <s v="&gt;12/31/25"/>
        </groupItems>
      </fieldGroup>
    </cacheField>
    <cacheField name="Years (Travel Date)" numFmtId="0" databaseField="0">
      <fieldGroup base="0">
        <rangePr groupBy="years" startDate="2022-01-02T00:00:00" endDate="2025-12-31T00:00:00"/>
        <groupItems count="6">
          <s v="&lt;1/2/22"/>
          <s v="2022"/>
          <s v="2023"/>
          <s v="2024"/>
          <s v="2025"/>
          <s v="&gt;12/31/25"/>
        </groupItems>
      </fieldGroup>
    </cacheField>
    <cacheField name="Satisfaction2" numFmtId="0" databaseField="0">
      <fieldGroup base="9">
        <discretePr count="26">
          <x v="2"/>
          <x v="4"/>
          <x v="2"/>
          <x v="4"/>
          <x v="2"/>
          <x v="2"/>
          <x v="2"/>
          <x v="2"/>
          <x v="2"/>
          <x v="4"/>
          <x v="2"/>
          <x v="4"/>
          <x v="2"/>
          <x v="4"/>
          <x v="4"/>
          <x v="2"/>
          <x v="4"/>
          <x v="4"/>
          <x v="4"/>
          <x v="3"/>
          <x v="4"/>
          <x v="0"/>
          <x v="3"/>
          <x v="1"/>
          <x v="3"/>
          <x v="3"/>
        </discretePr>
        <groupItems count="5">
          <n v="2.6"/>
          <n v="2.5"/>
          <s v="Group3"/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 Nguyen" refreshedDate="46056.909643171297" createdVersion="8" refreshedVersion="8" minRefreshableVersion="3" recordCount="3949" xr:uid="{5B8042D1-467D-1448-B19A-45D1F7D75D95}">
  <cacheSource type="worksheet">
    <worksheetSource ref="A1:K3950" sheet="kaggle_booking_clean_data "/>
  </cacheSource>
  <cacheFields count="12">
    <cacheField name="Travel Date" numFmtId="165">
      <sharedItems containsNonDate="0" containsDate="1" containsString="0" containsBlank="1" minDate="2022-01-02T00:00:00" maxDate="2025-12-31T00:00:00"/>
    </cacheField>
    <cacheField name="Customer Segment" numFmtId="0">
      <sharedItems containsBlank="1" count="5">
        <s v="Student"/>
        <s v="Family"/>
        <s v="Corporate"/>
        <s v="Young Professional"/>
        <m/>
      </sharedItems>
    </cacheField>
    <cacheField name="Tour Type" numFmtId="0">
      <sharedItems containsBlank="1"/>
    </cacheField>
    <cacheField name="Channel" numFmtId="0">
      <sharedItems containsBlank="1"/>
    </cacheField>
    <cacheField name="Destination" numFmtId="0">
      <sharedItems containsBlank="1" count="11">
        <s v="Đà Nẵng"/>
        <s v="Đà Lạt"/>
        <s v="Nha Trang"/>
        <s v="Hà Nội"/>
        <s v="Hội An"/>
        <s v="Phú Quốc"/>
        <s v="Sa Pa"/>
        <s v="Huế"/>
        <s v="TP. HCM"/>
        <s v="Hạ Long"/>
        <m/>
      </sharedItems>
    </cacheField>
    <cacheField name="Number of Traveler" numFmtId="0">
      <sharedItems containsString="0" containsBlank="1" containsNumber="1" containsInteger="1" minValue="1" maxValue="5"/>
    </cacheField>
    <cacheField name="Base Price (Vnd)" numFmtId="164">
      <sharedItems containsSemiMixedTypes="0" containsString="0" containsNumber="1" containsInteger="1" minValue="2596000" maxValue="4398000" count="11">
        <n v="2596000"/>
        <n v="2824000"/>
        <n v="3186000"/>
        <n v="2761000"/>
        <n v="2652000"/>
        <n v="2631000"/>
        <n v="4192000"/>
        <n v="2787000"/>
        <n v="2738000"/>
        <n v="4398000"/>
        <n v="2710000"/>
      </sharedItems>
    </cacheField>
    <cacheField name="Discount Rate (%)" numFmtId="10">
      <sharedItems containsSemiMixedTypes="0" containsString="0" containsNumber="1" minValue="3.5451565775699898E-2" maxValue="0.19670810648009801"/>
    </cacheField>
    <cacheField name="Discounted Price (Vnd)" numFmtId="0">
      <sharedItems containsString="0" containsBlank="1" containsNumber="1" minValue="2085345.7555776655" maxValue="3805418.8991865055" count="12">
        <n v="2085345.7555776655"/>
        <n v="2712900.9570474774"/>
        <n v="2753532.5284056072"/>
        <n v="2399779.5417739991"/>
        <n v="2313791.8749678638"/>
        <n v="2322537.4777194285"/>
        <n v="3805418.8991865055"/>
        <n v="2467802.9682801547"/>
        <n v="2640933.6129061338"/>
        <n v="3694744.6285793763"/>
        <n v="2355642.3037711792"/>
        <m/>
      </sharedItems>
    </cacheField>
    <cacheField name="Satisfaction" numFmtId="0">
      <sharedItems containsString="0" containsBlank="1" containsNumber="1" minValue="2.2999999999999998" maxValue="5" count="27">
        <n v="4.0999999999999996"/>
        <n v="4"/>
        <n v="4.2"/>
        <n v="3.6"/>
        <n v="4.3"/>
        <n v="4.7"/>
        <n v="4.4000000000000004"/>
        <n v="4.9000000000000004"/>
        <n v="4.5999999999999996"/>
        <n v="3.7"/>
        <n v="4.8"/>
        <n v="3.3"/>
        <n v="4.5"/>
        <n v="3.9"/>
        <n v="3.8"/>
        <n v="5"/>
        <n v="3.2"/>
        <n v="3.5"/>
        <n v="3.4"/>
        <n v="3"/>
        <n v="3.1"/>
        <n v="2.6"/>
        <n v="2.9"/>
        <n v="2.5"/>
        <n v="2.8"/>
        <n v="2.2999999999999998"/>
        <m/>
      </sharedItems>
      <fieldGroup par="11"/>
    </cacheField>
    <cacheField name="Returning" numFmtId="0">
      <sharedItems containsBlank="1" count="3">
        <b v="0"/>
        <b v="1"/>
        <m/>
      </sharedItems>
    </cacheField>
    <cacheField name="Satisfaction2" numFmtId="0" databaseField="0">
      <fieldGroup base="9">
        <discretePr count="27">
          <x v="3"/>
          <x v="2"/>
          <x v="3"/>
          <x v="2"/>
          <x v="3"/>
          <x v="3"/>
          <x v="3"/>
          <x v="3"/>
          <x v="3"/>
          <x v="2"/>
          <x v="3"/>
          <x v="2"/>
          <x v="3"/>
          <x v="2"/>
          <x v="2"/>
          <x v="3"/>
          <x v="2"/>
          <x v="2"/>
          <x v="2"/>
          <x v="1"/>
          <x v="2"/>
          <x v="1"/>
          <x v="1"/>
          <x v="1"/>
          <x v="1"/>
          <x v="1"/>
          <x v="0"/>
        </discretePr>
        <groupItems count="4">
          <m/>
          <s v="Group1"/>
          <s v="Group2"/>
          <s v="Group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x v="0"/>
    <n v="1491673"/>
    <n v="1614360"/>
    <n v="1250571"/>
    <n v="1253268"/>
    <n v="1195406"/>
    <n v="1225257"/>
    <n v="1360039"/>
    <n v="1244379"/>
    <n v="1376126"/>
    <x v="0"/>
    <x v="0"/>
    <x v="0"/>
  </r>
  <r>
    <x v="1"/>
    <x v="1"/>
    <n v="41916"/>
    <n v="91845"/>
    <n v="45626"/>
    <n v="44981"/>
    <n v="35753"/>
    <n v="41151"/>
    <n v="43211"/>
    <n v="45237"/>
    <n v="59784"/>
    <x v="1"/>
    <x v="1"/>
    <x v="1"/>
  </r>
  <r>
    <x v="2"/>
    <x v="2"/>
    <n v="380745"/>
    <n v="630898"/>
    <n v="368074"/>
    <n v="407572"/>
    <n v="364801"/>
    <n v="391051"/>
    <n v="414247"/>
    <n v="361627"/>
    <n v="433390"/>
    <x v="2"/>
    <x v="2"/>
    <x v="2"/>
  </r>
  <r>
    <x v="3"/>
    <x v="3"/>
    <n v="30003"/>
    <n v="31673"/>
    <n v="39697"/>
    <n v="39578"/>
    <n v="42104"/>
    <n v="37034"/>
    <n v="40712"/>
    <n v="41372"/>
    <n v="43392"/>
    <x v="3"/>
    <x v="3"/>
    <x v="3"/>
  </r>
  <r>
    <x v="4"/>
    <x v="4"/>
    <n v="18511"/>
    <n v="17260"/>
    <n v="11871"/>
    <n v="12183"/>
    <n v="13786"/>
    <n v="25906"/>
    <n v="19918"/>
    <n v="13076"/>
    <n v="10598"/>
    <x v="4"/>
    <x v="4"/>
    <x v="4"/>
  </r>
  <r>
    <x v="5"/>
    <x v="5"/>
    <n v="75087"/>
    <n v="78779"/>
    <n v="54182"/>
    <n v="61797"/>
    <n v="51162"/>
    <n v="55947"/>
    <n v="90421"/>
    <n v="78086"/>
    <n v="60861"/>
    <x v="5"/>
    <x v="5"/>
    <x v="5"/>
  </r>
  <r>
    <x v="6"/>
    <x v="6"/>
    <n v="126929"/>
    <n v="112215"/>
    <n v="109697"/>
    <n v="92683"/>
    <n v="97089"/>
    <n v="106653"/>
    <n v="102543"/>
    <n v="87218"/>
    <n v="106865"/>
    <x v="6"/>
    <x v="6"/>
    <x v="6"/>
  </r>
  <r>
    <x v="7"/>
    <x v="7"/>
    <n v="16676"/>
    <n v="12876"/>
    <n v="23535"/>
    <n v="17624"/>
    <n v="16879"/>
    <n v="16784"/>
    <n v="14553"/>
    <n v="16655"/>
    <n v="15495"/>
    <x v="7"/>
    <x v="7"/>
    <x v="7"/>
  </r>
  <r>
    <x v="8"/>
    <x v="8"/>
    <n v="43678"/>
    <n v="51141"/>
    <n v="60541"/>
    <n v="67629"/>
    <n v="65993"/>
    <n v="49599"/>
    <n v="56131"/>
    <n v="61395"/>
    <n v="70325"/>
    <x v="8"/>
    <x v="8"/>
    <x v="8"/>
  </r>
  <r>
    <x v="9"/>
    <x v="9"/>
    <n v="468026"/>
    <n v="374989"/>
    <n v="326140"/>
    <n v="318572"/>
    <n v="303130"/>
    <n v="317070"/>
    <n v="384167"/>
    <n v="328530"/>
    <n v="360941"/>
    <x v="9"/>
    <x v="9"/>
    <x v="9"/>
  </r>
  <r>
    <x v="10"/>
    <x v="10"/>
    <n v="37518"/>
    <n v="46147"/>
    <n v="44759"/>
    <n v="36929"/>
    <n v="30154"/>
    <n v="29125"/>
    <n v="31279"/>
    <n v="30142"/>
    <n v="47694"/>
    <x v="10"/>
    <x v="10"/>
    <x v="10"/>
  </r>
  <r>
    <x v="11"/>
    <x v="11"/>
    <n v="60051"/>
    <n v="38114"/>
    <n v="41239"/>
    <n v="38178"/>
    <n v="46352"/>
    <n v="36933"/>
    <n v="40246"/>
    <n v="61214"/>
    <n v="49261"/>
    <x v="11"/>
    <x v="11"/>
    <x v="11"/>
  </r>
  <r>
    <x v="12"/>
    <x v="12"/>
    <n v="25851"/>
    <n v="30813"/>
    <n v="27666"/>
    <n v="28498"/>
    <n v="40364"/>
    <n v="26997"/>
    <n v="29169"/>
    <n v="33012"/>
    <n v="32506"/>
    <x v="12"/>
    <x v="12"/>
    <x v="12"/>
  </r>
  <r>
    <x v="13"/>
    <x v="13"/>
    <n v="166682"/>
    <n v="97610"/>
    <n v="97544"/>
    <n v="87044"/>
    <n v="87839"/>
    <n v="91007"/>
    <n v="93442"/>
    <n v="86815"/>
    <n v="85014"/>
    <x v="13"/>
    <x v="13"/>
    <x v="13"/>
  </r>
  <r>
    <x v="14"/>
    <x v="14"/>
    <n v="116971"/>
    <n v="104874"/>
    <n v="86594"/>
    <n v="68772"/>
    <n v="85919"/>
    <n v="87242"/>
    <n v="65452"/>
    <n v="63962"/>
    <n v="82416"/>
    <x v="14"/>
    <x v="14"/>
    <x v="14"/>
  </r>
  <r>
    <x v="15"/>
    <x v="15"/>
    <n v="21950"/>
    <n v="19389"/>
    <n v="14265"/>
    <n v="11170"/>
    <n v="7441"/>
    <n v="10003"/>
    <n v="9540"/>
    <n v="8963"/>
    <n v="13392"/>
    <x v="15"/>
    <x v="15"/>
    <x v="15"/>
  </r>
  <r>
    <x v="16"/>
    <x v="16"/>
    <n v="87676"/>
    <n v="78356"/>
    <n v="64892"/>
    <n v="51955"/>
    <n v="73715"/>
    <n v="72509"/>
    <n v="51166"/>
    <n v="49769"/>
    <n v="62083"/>
    <x v="16"/>
    <x v="16"/>
    <x v="16"/>
  </r>
  <r>
    <x v="17"/>
    <x v="17"/>
    <n v="7345"/>
    <n v="7129"/>
    <n v="7437"/>
    <n v="5647"/>
    <n v="4763"/>
    <n v="4730"/>
    <n v="4746"/>
    <n v="5230"/>
    <n v="6941"/>
    <x v="17"/>
    <x v="17"/>
    <x v="17"/>
  </r>
  <r>
    <x v="18"/>
    <x v="18"/>
    <n v="239702"/>
    <n v="285526"/>
    <n v="247050"/>
    <n v="162550"/>
    <n v="138750"/>
    <n v="191942"/>
    <n v="214925"/>
    <n v="161503"/>
    <n v="218096"/>
    <x v="18"/>
    <x v="18"/>
    <x v="18"/>
  </r>
  <r>
    <x v="19"/>
    <x v="19"/>
    <n v="36500"/>
    <n v="45639"/>
    <n v="41806"/>
    <n v="43671"/>
    <n v="49718"/>
    <n v="55289"/>
    <n v="61534"/>
    <n v="58489"/>
    <n v="66534"/>
    <x v="19"/>
    <x v="19"/>
    <x v="19"/>
  </r>
  <r>
    <x v="20"/>
    <x v="20"/>
    <n v="4068"/>
    <n v="2922"/>
    <n v="2337"/>
    <n v="989"/>
    <n v="2767"/>
    <n v="5197"/>
    <n v="1235"/>
    <n v="1384"/>
    <n v="1791"/>
    <x v="20"/>
    <x v="20"/>
    <x v="20"/>
  </r>
  <r>
    <x v="21"/>
    <x v="21"/>
    <n v="5038"/>
    <n v="3960"/>
    <n v="2628"/>
    <n v="1504"/>
    <n v="2236"/>
    <n v="2616"/>
    <n v="1384"/>
    <n v="1475"/>
    <n v="2295"/>
    <x v="21"/>
    <x v="21"/>
    <x v="21"/>
  </r>
  <r>
    <x v="22"/>
    <x v="22"/>
    <n v="12653"/>
    <n v="9674"/>
    <n v="3656"/>
    <n v="2246"/>
    <n v="1406"/>
    <n v="2128"/>
    <n v="2478"/>
    <n v="3044"/>
    <n v="3582"/>
    <x v="22"/>
    <x v="22"/>
    <x v="22"/>
  </r>
  <r>
    <x v="23"/>
    <x v="23"/>
    <n v="33331"/>
    <n v="34935"/>
    <n v="28579"/>
    <n v="14615"/>
    <n v="11396"/>
    <n v="16081"/>
    <n v="22419"/>
    <n v="16900"/>
    <n v="22758"/>
    <x v="23"/>
    <x v="23"/>
    <x v="23"/>
  </r>
  <r>
    <x v="24"/>
    <x v="24"/>
    <n v="9699"/>
    <n v="10544"/>
    <n v="10763"/>
    <n v="4946"/>
    <n v="3866"/>
    <n v="5491"/>
    <n v="16210"/>
    <n v="5576"/>
    <n v="6674"/>
    <x v="24"/>
    <x v="24"/>
    <x v="24"/>
  </r>
  <r>
    <x v="25"/>
    <x v="25"/>
    <n v="6120"/>
    <n v="5158"/>
    <n v="4013"/>
    <n v="1694"/>
    <n v="1301"/>
    <n v="4536"/>
    <n v="1603"/>
    <n v="1778"/>
    <n v="2946"/>
    <x v="25"/>
    <x v="25"/>
    <x v="25"/>
  </r>
  <r>
    <x v="26"/>
    <x v="26"/>
    <n v="35034"/>
    <n v="39370"/>
    <n v="35220"/>
    <n v="22528"/>
    <n v="13590"/>
    <n v="24534"/>
    <n v="28333"/>
    <n v="17026"/>
    <n v="26552"/>
    <x v="26"/>
    <x v="26"/>
    <x v="26"/>
  </r>
  <r>
    <x v="27"/>
    <x v="27"/>
    <n v="39148"/>
    <n v="41026"/>
    <n v="41779"/>
    <n v="23659"/>
    <n v="20319"/>
    <n v="26248"/>
    <n v="27901"/>
    <n v="19751"/>
    <n v="27736"/>
    <x v="27"/>
    <x v="27"/>
    <x v="27"/>
  </r>
  <r>
    <x v="28"/>
    <x v="28"/>
    <n v="4172"/>
    <n v="3734"/>
    <n v="4497"/>
    <n v="1648"/>
    <n v="1441"/>
    <n v="3664"/>
    <n v="2023"/>
    <n v="1987"/>
    <n v="3317"/>
    <x v="28"/>
    <x v="28"/>
    <x v="28"/>
  </r>
  <r>
    <x v="29"/>
    <x v="29"/>
    <n v="8525"/>
    <n v="8870"/>
    <n v="8503"/>
    <n v="5126"/>
    <n v="3878"/>
    <n v="11913"/>
    <n v="8690"/>
    <n v="5109"/>
    <n v="6473"/>
    <x v="29"/>
    <x v="29"/>
    <x v="29"/>
  </r>
  <r>
    <x v="30"/>
    <x v="30"/>
    <n v="6052"/>
    <n v="6430"/>
    <n v="7256"/>
    <n v="5562"/>
    <n v="5152"/>
    <n v="8340"/>
    <n v="15922"/>
    <n v="8240"/>
    <n v="8846"/>
    <x v="30"/>
    <x v="30"/>
    <x v="30"/>
  </r>
  <r>
    <x v="31"/>
    <x v="31"/>
    <n v="3164"/>
    <n v="3874"/>
    <n v="3570"/>
    <n v="1868"/>
    <n v="1290"/>
    <n v="4878"/>
    <n v="2899"/>
    <n v="2556"/>
    <n v="3083"/>
    <x v="31"/>
    <x v="31"/>
    <x v="31"/>
  </r>
  <r>
    <x v="32"/>
    <x v="32"/>
    <n v="36198"/>
    <n v="69390"/>
    <n v="52443"/>
    <n v="32494"/>
    <n v="20390"/>
    <n v="21027"/>
    <n v="22294"/>
    <n v="18188"/>
    <n v="35509"/>
    <x v="32"/>
    <x v="32"/>
    <x v="32"/>
  </r>
  <r>
    <x v="33"/>
    <x v="33"/>
    <n v="41464"/>
    <n v="46383"/>
    <n v="65218"/>
    <n v="39720"/>
    <n v="39216"/>
    <n v="53273"/>
    <n v="38823"/>
    <n v="48682"/>
    <n v="51156"/>
    <x v="33"/>
    <x v="33"/>
    <x v="33"/>
  </r>
  <r>
    <x v="34"/>
    <x v="34"/>
    <n v="3031"/>
    <n v="3978"/>
    <n v="6691"/>
    <n v="3960"/>
    <n v="4226"/>
    <n v="5409"/>
    <n v="4387"/>
    <n v="5284"/>
    <n v="4731"/>
    <x v="34"/>
    <x v="34"/>
    <x v="34"/>
  </r>
  <r>
    <x v="35"/>
    <x v="35"/>
    <n v="38313"/>
    <n v="42303"/>
    <n v="58379"/>
    <n v="35597"/>
    <n v="34869"/>
    <n v="47701"/>
    <n v="34313"/>
    <n v="43255"/>
    <n v="46236"/>
    <x v="35"/>
    <x v="35"/>
    <x v="35"/>
  </r>
  <r>
    <x v="36"/>
    <x v="36"/>
    <n v="120"/>
    <n v="102"/>
    <n v="148"/>
    <n v="163"/>
    <n v="121"/>
    <n v="163"/>
    <n v="123"/>
    <n v="143"/>
    <n v="189"/>
    <x v="36"/>
    <x v="36"/>
    <x v="36"/>
  </r>
  <r>
    <x v="37"/>
    <x v="37"/>
    <n v="4123"/>
    <n v="3166"/>
    <n v="5248"/>
    <n v="4042"/>
    <n v="3576"/>
    <n v="4874"/>
    <n v="5733"/>
    <n v="4862"/>
    <n v="5148"/>
    <x v="37"/>
    <x v="37"/>
    <x v="37"/>
  </r>
  <r>
    <x v="38"/>
    <x v="37"/>
    <n v="4123"/>
    <n v="3166"/>
    <n v="5248"/>
    <n v="4042"/>
    <n v="3576"/>
    <n v="4874"/>
    <n v="5733"/>
    <n v="4862"/>
    <n v="5148"/>
    <x v="37"/>
    <x v="37"/>
    <x v="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9">
  <r>
    <x v="0"/>
    <x v="0"/>
    <x v="0"/>
    <s v="Website"/>
    <x v="0"/>
    <n v="1"/>
    <n v="2596000"/>
    <n v="0.19670810648009801"/>
    <n v="2085000"/>
    <x v="0"/>
    <x v="0"/>
  </r>
  <r>
    <x v="1"/>
    <x v="1"/>
    <x v="1"/>
    <s v="Website"/>
    <x v="1"/>
    <n v="3"/>
    <n v="2824000"/>
    <n v="3.9341020875539097E-2"/>
    <n v="8139000"/>
    <x v="1"/>
    <x v="1"/>
  </r>
  <r>
    <x v="2"/>
    <x v="2"/>
    <x v="0"/>
    <s v="Website"/>
    <x v="2"/>
    <n v="2"/>
    <n v="3186000"/>
    <n v="0.135739947141994"/>
    <n v="5507000"/>
    <x v="2"/>
    <x v="0"/>
  </r>
  <r>
    <x v="3"/>
    <x v="0"/>
    <x v="0"/>
    <s v="Website"/>
    <x v="0"/>
    <n v="1"/>
    <n v="2761000"/>
    <n v="0.13082957559797201"/>
    <n v="2400000"/>
    <x v="2"/>
    <x v="0"/>
  </r>
  <r>
    <x v="3"/>
    <x v="3"/>
    <x v="0"/>
    <s v="Website"/>
    <x v="3"/>
    <n v="2"/>
    <n v="2652000"/>
    <n v="0.12752945891106199"/>
    <n v="4628000"/>
    <x v="3"/>
    <x v="1"/>
  </r>
  <r>
    <x v="4"/>
    <x v="0"/>
    <x v="1"/>
    <s v="Agent"/>
    <x v="4"/>
    <n v="1"/>
    <n v="2631000"/>
    <n v="0.11724155160797101"/>
    <n v="2323000"/>
    <x v="4"/>
    <x v="0"/>
  </r>
  <r>
    <x v="4"/>
    <x v="1"/>
    <x v="2"/>
    <s v="Agent"/>
    <x v="0"/>
    <n v="3"/>
    <n v="4192000"/>
    <n v="9.2218774049020596E-2"/>
    <n v="11416000"/>
    <x v="5"/>
    <x v="0"/>
  </r>
  <r>
    <x v="5"/>
    <x v="1"/>
    <x v="0"/>
    <s v="Agent"/>
    <x v="5"/>
    <n v="1"/>
    <n v="2787000"/>
    <n v="0.114530689529905"/>
    <n v="2468000"/>
    <x v="0"/>
    <x v="1"/>
  </r>
  <r>
    <x v="6"/>
    <x v="3"/>
    <x v="0"/>
    <s v="Website"/>
    <x v="5"/>
    <n v="1"/>
    <n v="2738000"/>
    <n v="3.5451565775699898E-2"/>
    <n v="2641000"/>
    <x v="6"/>
    <x v="1"/>
  </r>
  <r>
    <x v="7"/>
    <x v="2"/>
    <x v="2"/>
    <s v="Website"/>
    <x v="4"/>
    <n v="3"/>
    <n v="4398000"/>
    <n v="0.15990344961815001"/>
    <n v="11084000"/>
    <x v="2"/>
    <x v="1"/>
  </r>
  <r>
    <x v="7"/>
    <x v="1"/>
    <x v="3"/>
    <s v="Agent"/>
    <x v="0"/>
    <n v="2"/>
    <n v="2710000"/>
    <n v="0.13075929750140999"/>
    <n v="4711000"/>
    <x v="7"/>
    <x v="1"/>
  </r>
  <r>
    <x v="8"/>
    <x v="3"/>
    <x v="2"/>
    <s v="Agent"/>
    <x v="3"/>
    <n v="1"/>
    <n v="4480000"/>
    <n v="9.1358751731309598E-2"/>
    <n v="4071000"/>
    <x v="1"/>
    <x v="1"/>
  </r>
  <r>
    <x v="9"/>
    <x v="0"/>
    <x v="1"/>
    <s v="Website"/>
    <x v="1"/>
    <n v="3"/>
    <n v="3275000"/>
    <n v="8.1225113930112405E-2"/>
    <n v="9027000"/>
    <x v="2"/>
    <x v="0"/>
  </r>
  <r>
    <x v="10"/>
    <x v="0"/>
    <x v="4"/>
    <s v="Website"/>
    <x v="5"/>
    <n v="4"/>
    <n v="2898000"/>
    <n v="7.3069228023393898E-2"/>
    <n v="10745000"/>
    <x v="1"/>
    <x v="1"/>
  </r>
  <r>
    <x v="10"/>
    <x v="1"/>
    <x v="0"/>
    <s v="Agent"/>
    <x v="6"/>
    <n v="1"/>
    <n v="2781000"/>
    <n v="2.84936111724611E-2"/>
    <n v="2702000"/>
    <x v="1"/>
    <x v="1"/>
  </r>
  <r>
    <x v="10"/>
    <x v="1"/>
    <x v="1"/>
    <s v="Mobile App"/>
    <x v="1"/>
    <n v="2"/>
    <n v="3281000"/>
    <n v="9.0094600136353606E-2"/>
    <n v="5971000"/>
    <x v="8"/>
    <x v="0"/>
  </r>
  <r>
    <x v="11"/>
    <x v="3"/>
    <x v="0"/>
    <s v="Website"/>
    <x v="4"/>
    <n v="1"/>
    <n v="3209000"/>
    <n v="3.7202431152934597E-2"/>
    <n v="3090000"/>
    <x v="9"/>
    <x v="1"/>
  </r>
  <r>
    <x v="11"/>
    <x v="2"/>
    <x v="2"/>
    <s v="Agent"/>
    <x v="4"/>
    <n v="3"/>
    <n v="4052000"/>
    <n v="0.103327722841269"/>
    <n v="10900000"/>
    <x v="8"/>
    <x v="1"/>
  </r>
  <r>
    <x v="12"/>
    <x v="2"/>
    <x v="3"/>
    <s v="Website"/>
    <x v="7"/>
    <n v="1"/>
    <n v="2154000"/>
    <n v="4.8252214360538399E-2"/>
    <n v="2050000"/>
    <x v="10"/>
    <x v="1"/>
  </r>
  <r>
    <x v="12"/>
    <x v="1"/>
    <x v="3"/>
    <s v="Website"/>
    <x v="2"/>
    <n v="1"/>
    <n v="2768000"/>
    <n v="0.10248872618197"/>
    <n v="2484000"/>
    <x v="1"/>
    <x v="1"/>
  </r>
  <r>
    <x v="12"/>
    <x v="1"/>
    <x v="3"/>
    <s v="Website"/>
    <x v="2"/>
    <n v="4"/>
    <n v="2563000"/>
    <n v="9.3650924903231902E-2"/>
    <n v="9292000"/>
    <x v="1"/>
    <x v="1"/>
  </r>
  <r>
    <x v="13"/>
    <x v="0"/>
    <x v="2"/>
    <s v="Agent"/>
    <x v="8"/>
    <n v="3"/>
    <n v="4024000"/>
    <n v="9.5703756945631296E-2"/>
    <n v="10917000"/>
    <x v="1"/>
    <x v="1"/>
  </r>
  <r>
    <x v="14"/>
    <x v="3"/>
    <x v="2"/>
    <s v="Mobile App"/>
    <x v="8"/>
    <n v="4"/>
    <n v="3980000"/>
    <n v="0.15400732937515299"/>
    <n v="13468000"/>
    <x v="4"/>
    <x v="1"/>
  </r>
  <r>
    <x v="14"/>
    <x v="1"/>
    <x v="0"/>
    <s v="Website"/>
    <x v="8"/>
    <n v="1"/>
    <n v="2320000"/>
    <n v="5.7234855109499098E-2"/>
    <n v="2187000"/>
    <x v="6"/>
    <x v="1"/>
  </r>
  <r>
    <x v="14"/>
    <x v="1"/>
    <x v="1"/>
    <s v="Website"/>
    <x v="1"/>
    <n v="3"/>
    <n v="3204000"/>
    <n v="7.8882308378718805E-2"/>
    <n v="8854000"/>
    <x v="7"/>
    <x v="1"/>
  </r>
  <r>
    <x v="15"/>
    <x v="1"/>
    <x v="2"/>
    <s v="Website"/>
    <x v="5"/>
    <n v="2"/>
    <n v="4472000"/>
    <n v="8.2415287049109998E-2"/>
    <n v="8207000"/>
    <x v="11"/>
    <x v="0"/>
  </r>
  <r>
    <x v="15"/>
    <x v="3"/>
    <x v="0"/>
    <s v="Mobile App"/>
    <x v="9"/>
    <n v="1"/>
    <n v="2756000"/>
    <n v="7.3179582663098194E-2"/>
    <n v="2554000"/>
    <x v="12"/>
    <x v="0"/>
  </r>
  <r>
    <x v="16"/>
    <x v="3"/>
    <x v="1"/>
    <s v="Website"/>
    <x v="9"/>
    <n v="1"/>
    <n v="3703000"/>
    <n v="0.10318184709882899"/>
    <n v="3321000"/>
    <x v="1"/>
    <x v="1"/>
  </r>
  <r>
    <x v="16"/>
    <x v="1"/>
    <x v="1"/>
    <s v="Mobile App"/>
    <x v="8"/>
    <n v="5"/>
    <n v="3131000"/>
    <n v="0.164775824536568"/>
    <n v="13075000"/>
    <x v="2"/>
    <x v="0"/>
  </r>
  <r>
    <x v="17"/>
    <x v="1"/>
    <x v="1"/>
    <s v="Mobile App"/>
    <x v="2"/>
    <n v="1"/>
    <n v="3917000"/>
    <n v="0.15884503090646299"/>
    <n v="3295000"/>
    <x v="3"/>
    <x v="0"/>
  </r>
  <r>
    <x v="18"/>
    <x v="2"/>
    <x v="5"/>
    <s v="Website"/>
    <x v="6"/>
    <n v="2"/>
    <n v="5059000"/>
    <n v="0.100438028102076"/>
    <n v="9102000"/>
    <x v="6"/>
    <x v="1"/>
  </r>
  <r>
    <x v="19"/>
    <x v="2"/>
    <x v="2"/>
    <s v="Agent"/>
    <x v="8"/>
    <n v="2"/>
    <n v="3727000"/>
    <n v="8.0000132688909306E-2"/>
    <n v="6858000"/>
    <x v="6"/>
    <x v="1"/>
  </r>
  <r>
    <x v="20"/>
    <x v="0"/>
    <x v="3"/>
    <s v="Website"/>
    <x v="9"/>
    <n v="1"/>
    <n v="2637000"/>
    <n v="0.13651687625331299"/>
    <n v="2277000"/>
    <x v="0"/>
    <x v="1"/>
  </r>
  <r>
    <x v="21"/>
    <x v="1"/>
    <x v="3"/>
    <s v="Website"/>
    <x v="5"/>
    <n v="1"/>
    <n v="2125000"/>
    <n v="0.13302371014898101"/>
    <n v="1842000"/>
    <x v="13"/>
    <x v="1"/>
  </r>
  <r>
    <x v="22"/>
    <x v="3"/>
    <x v="0"/>
    <s v="Call Center"/>
    <x v="3"/>
    <n v="1"/>
    <n v="2555000"/>
    <n v="3.1754480148840199E-2"/>
    <n v="2474000"/>
    <x v="13"/>
    <x v="1"/>
  </r>
  <r>
    <x v="23"/>
    <x v="1"/>
    <x v="1"/>
    <s v="Website"/>
    <x v="8"/>
    <n v="1"/>
    <n v="3210000"/>
    <n v="9.2191823282959107E-2"/>
    <n v="2914000"/>
    <x v="13"/>
    <x v="0"/>
  </r>
  <r>
    <x v="24"/>
    <x v="3"/>
    <x v="2"/>
    <s v="Website"/>
    <x v="7"/>
    <n v="1"/>
    <n v="3645000"/>
    <n v="0.134272289668844"/>
    <n v="3156000"/>
    <x v="0"/>
    <x v="1"/>
  </r>
  <r>
    <x v="24"/>
    <x v="0"/>
    <x v="3"/>
    <s v="Website"/>
    <x v="6"/>
    <n v="1"/>
    <n v="2003000"/>
    <n v="0.12145488233352"/>
    <n v="1760000"/>
    <x v="2"/>
    <x v="1"/>
  </r>
  <r>
    <x v="24"/>
    <x v="1"/>
    <x v="5"/>
    <s v="Agent"/>
    <x v="9"/>
    <n v="2"/>
    <n v="5779000"/>
    <n v="0.129575025404632"/>
    <n v="10060000"/>
    <x v="3"/>
    <x v="1"/>
  </r>
  <r>
    <x v="24"/>
    <x v="1"/>
    <x v="2"/>
    <s v="Agent"/>
    <x v="2"/>
    <n v="2"/>
    <n v="4429000"/>
    <n v="8.7027459160401194E-2"/>
    <n v="8087000"/>
    <x v="3"/>
    <x v="1"/>
  </r>
  <r>
    <x v="24"/>
    <x v="1"/>
    <x v="4"/>
    <s v="Mobile App"/>
    <x v="7"/>
    <n v="2"/>
    <n v="2512000"/>
    <n v="7.7617004397037698E-2"/>
    <n v="4634000"/>
    <x v="0"/>
    <x v="0"/>
  </r>
  <r>
    <x v="25"/>
    <x v="3"/>
    <x v="5"/>
    <s v="Website"/>
    <x v="2"/>
    <n v="2"/>
    <n v="5110000"/>
    <n v="0.13444310107207399"/>
    <n v="8846000"/>
    <x v="6"/>
    <x v="0"/>
  </r>
  <r>
    <x v="26"/>
    <x v="1"/>
    <x v="2"/>
    <s v="Mobile App"/>
    <x v="5"/>
    <n v="4"/>
    <n v="4218000"/>
    <n v="0.160714414548603"/>
    <n v="14160000"/>
    <x v="10"/>
    <x v="1"/>
  </r>
  <r>
    <x v="27"/>
    <x v="1"/>
    <x v="0"/>
    <s v="Mobile App"/>
    <x v="9"/>
    <n v="2"/>
    <n v="2608000"/>
    <n v="9.5324029047655998E-3"/>
    <n v="5166000"/>
    <x v="2"/>
    <x v="0"/>
  </r>
  <r>
    <x v="28"/>
    <x v="0"/>
    <x v="2"/>
    <s v="Website"/>
    <x v="5"/>
    <n v="3"/>
    <n v="3991000"/>
    <n v="0.15827700096389599"/>
    <n v="10078000"/>
    <x v="4"/>
    <x v="1"/>
  </r>
  <r>
    <x v="28"/>
    <x v="1"/>
    <x v="3"/>
    <s v="Website"/>
    <x v="7"/>
    <n v="2"/>
    <n v="1697000"/>
    <n v="0.13893791261383201"/>
    <n v="2922000"/>
    <x v="0"/>
    <x v="1"/>
  </r>
  <r>
    <x v="29"/>
    <x v="3"/>
    <x v="1"/>
    <s v="Website"/>
    <x v="0"/>
    <n v="3"/>
    <n v="3248000"/>
    <n v="9.4973322801571905E-2"/>
    <n v="8819000"/>
    <x v="8"/>
    <x v="1"/>
  </r>
  <r>
    <x v="30"/>
    <x v="1"/>
    <x v="1"/>
    <s v="Agent"/>
    <x v="0"/>
    <n v="2"/>
    <n v="2625000"/>
    <n v="7.7080492643573403E-2"/>
    <n v="4845000"/>
    <x v="2"/>
    <x v="1"/>
  </r>
  <r>
    <x v="31"/>
    <x v="3"/>
    <x v="3"/>
    <s v="Mobile App"/>
    <x v="0"/>
    <n v="3"/>
    <n v="2585000"/>
    <n v="0.112647801192285"/>
    <n v="6881000"/>
    <x v="12"/>
    <x v="0"/>
  </r>
  <r>
    <x v="32"/>
    <x v="2"/>
    <x v="0"/>
    <s v="Agent"/>
    <x v="2"/>
    <n v="1"/>
    <n v="3205000"/>
    <n v="0.12025438696179"/>
    <n v="2820000"/>
    <x v="1"/>
    <x v="1"/>
  </r>
  <r>
    <x v="32"/>
    <x v="2"/>
    <x v="4"/>
    <s v="Agent"/>
    <x v="0"/>
    <n v="2"/>
    <n v="2521000"/>
    <n v="7.3796626487497796E-2"/>
    <n v="4670000"/>
    <x v="14"/>
    <x v="1"/>
  </r>
  <r>
    <x v="32"/>
    <x v="3"/>
    <x v="1"/>
    <s v="Website"/>
    <x v="6"/>
    <n v="4"/>
    <n v="3194000"/>
    <n v="0.12708659701254199"/>
    <n v="11152000"/>
    <x v="15"/>
    <x v="1"/>
  </r>
  <r>
    <x v="32"/>
    <x v="0"/>
    <x v="0"/>
    <s v="Website"/>
    <x v="4"/>
    <n v="1"/>
    <n v="2507000"/>
    <n v="0.128868442611864"/>
    <n v="2184000"/>
    <x v="2"/>
    <x v="1"/>
  </r>
  <r>
    <x v="33"/>
    <x v="3"/>
    <x v="0"/>
    <s v="Website"/>
    <x v="4"/>
    <n v="2"/>
    <n v="2646000"/>
    <n v="0.108711528689012"/>
    <n v="4717000"/>
    <x v="13"/>
    <x v="1"/>
  </r>
  <r>
    <x v="33"/>
    <x v="1"/>
    <x v="0"/>
    <s v="Agent"/>
    <x v="0"/>
    <n v="1"/>
    <n v="2578000"/>
    <n v="0.11416649579681901"/>
    <n v="2284000"/>
    <x v="16"/>
    <x v="1"/>
  </r>
  <r>
    <x v="34"/>
    <x v="1"/>
    <x v="1"/>
    <s v="Website"/>
    <x v="2"/>
    <n v="2"/>
    <n v="3440000"/>
    <n v="0.110216742355987"/>
    <n v="6122000"/>
    <x v="0"/>
    <x v="1"/>
  </r>
  <r>
    <x v="34"/>
    <x v="0"/>
    <x v="0"/>
    <s v="Mobile App"/>
    <x v="2"/>
    <n v="3"/>
    <n v="2877000"/>
    <n v="6.6446628501656904E-2"/>
    <n v="8057000"/>
    <x v="11"/>
    <x v="0"/>
  </r>
  <r>
    <x v="34"/>
    <x v="2"/>
    <x v="5"/>
    <s v="Website"/>
    <x v="8"/>
    <n v="1"/>
    <n v="4970000"/>
    <n v="2.0164886149435901E-2"/>
    <n v="4870000"/>
    <x v="2"/>
    <x v="1"/>
  </r>
  <r>
    <x v="34"/>
    <x v="2"/>
    <x v="1"/>
    <s v="Mobile App"/>
    <x v="6"/>
    <n v="1"/>
    <n v="3085000"/>
    <n v="0.13603588552835599"/>
    <n v="2665000"/>
    <x v="1"/>
    <x v="1"/>
  </r>
  <r>
    <x v="35"/>
    <x v="3"/>
    <x v="5"/>
    <s v="Agent"/>
    <x v="2"/>
    <n v="1"/>
    <n v="5053000"/>
    <n v="9.9453988725498405E-2"/>
    <n v="4550000"/>
    <x v="4"/>
    <x v="1"/>
  </r>
  <r>
    <x v="36"/>
    <x v="2"/>
    <x v="3"/>
    <s v="Mobile App"/>
    <x v="1"/>
    <n v="2"/>
    <n v="2294000"/>
    <n v="0.120982284169024"/>
    <n v="4033000"/>
    <x v="2"/>
    <x v="1"/>
  </r>
  <r>
    <x v="36"/>
    <x v="0"/>
    <x v="4"/>
    <s v="Website"/>
    <x v="0"/>
    <n v="3"/>
    <n v="2586000"/>
    <n v="0.13374412132701399"/>
    <n v="6720000"/>
    <x v="8"/>
    <x v="0"/>
  </r>
  <r>
    <x v="37"/>
    <x v="3"/>
    <x v="0"/>
    <s v="Website"/>
    <x v="9"/>
    <n v="1"/>
    <n v="2729000"/>
    <n v="5.3742888684712803E-2"/>
    <n v="2582000"/>
    <x v="9"/>
    <x v="1"/>
  </r>
  <r>
    <x v="38"/>
    <x v="2"/>
    <x v="2"/>
    <s v="Mobile App"/>
    <x v="1"/>
    <n v="1"/>
    <n v="3225000"/>
    <n v="9.0824229644964102E-2"/>
    <n v="2932000"/>
    <x v="15"/>
    <x v="1"/>
  </r>
  <r>
    <x v="39"/>
    <x v="0"/>
    <x v="1"/>
    <s v="Mobile App"/>
    <x v="6"/>
    <n v="4"/>
    <n v="2897000"/>
    <n v="9.7186382417029801E-2"/>
    <n v="10462000"/>
    <x v="5"/>
    <x v="0"/>
  </r>
  <r>
    <x v="39"/>
    <x v="1"/>
    <x v="0"/>
    <s v="Website"/>
    <x v="3"/>
    <n v="2"/>
    <n v="2725000"/>
    <n v="4.5415605429606702E-2"/>
    <n v="5202000"/>
    <x v="13"/>
    <x v="1"/>
  </r>
  <r>
    <x v="39"/>
    <x v="0"/>
    <x v="4"/>
    <s v="Website"/>
    <x v="2"/>
    <n v="2"/>
    <n v="2373000"/>
    <n v="9.3457471558131694E-2"/>
    <n v="4302000"/>
    <x v="14"/>
    <x v="0"/>
  </r>
  <r>
    <x v="40"/>
    <x v="0"/>
    <x v="2"/>
    <s v="Mobile App"/>
    <x v="6"/>
    <n v="1"/>
    <n v="3715000"/>
    <n v="0.15400642418715499"/>
    <n v="3143000"/>
    <x v="8"/>
    <x v="0"/>
  </r>
  <r>
    <x v="41"/>
    <x v="3"/>
    <x v="5"/>
    <s v="Website"/>
    <x v="0"/>
    <n v="4"/>
    <n v="5490000"/>
    <n v="0"/>
    <n v="21960000"/>
    <x v="3"/>
    <x v="1"/>
  </r>
  <r>
    <x v="41"/>
    <x v="3"/>
    <x v="5"/>
    <s v="Website"/>
    <x v="8"/>
    <n v="3"/>
    <n v="5056000"/>
    <n v="0.104939543832749"/>
    <n v="13576000"/>
    <x v="17"/>
    <x v="0"/>
  </r>
  <r>
    <x v="41"/>
    <x v="0"/>
    <x v="5"/>
    <s v="Website"/>
    <x v="1"/>
    <n v="1"/>
    <n v="4811000"/>
    <n v="6.7092424592663694E-2"/>
    <n v="4488000"/>
    <x v="8"/>
    <x v="1"/>
  </r>
  <r>
    <x v="41"/>
    <x v="1"/>
    <x v="3"/>
    <s v="Mobile App"/>
    <x v="1"/>
    <n v="1"/>
    <n v="1921000"/>
    <n v="8.3811329065410403E-2"/>
    <n v="1760000"/>
    <x v="6"/>
    <x v="0"/>
  </r>
  <r>
    <x v="42"/>
    <x v="3"/>
    <x v="2"/>
    <s v="Agent"/>
    <x v="7"/>
    <n v="2"/>
    <n v="3288000"/>
    <n v="3.9765898404569802E-2"/>
    <n v="6314000"/>
    <x v="9"/>
    <x v="1"/>
  </r>
  <r>
    <x v="43"/>
    <x v="3"/>
    <x v="2"/>
    <s v="Agent"/>
    <x v="4"/>
    <n v="1"/>
    <n v="3841000"/>
    <n v="0.20389088280793699"/>
    <n v="3058000"/>
    <x v="4"/>
    <x v="0"/>
  </r>
  <r>
    <x v="43"/>
    <x v="1"/>
    <x v="4"/>
    <s v="Website"/>
    <x v="2"/>
    <n v="1"/>
    <n v="2562000"/>
    <n v="0.128381200830364"/>
    <n v="2233000"/>
    <x v="15"/>
    <x v="1"/>
  </r>
  <r>
    <x v="43"/>
    <x v="3"/>
    <x v="2"/>
    <s v="Website"/>
    <x v="8"/>
    <n v="3"/>
    <n v="3548000"/>
    <n v="0.11416520175398701"/>
    <n v="9429000"/>
    <x v="8"/>
    <x v="0"/>
  </r>
  <r>
    <x v="44"/>
    <x v="3"/>
    <x v="2"/>
    <s v="Website"/>
    <x v="5"/>
    <n v="1"/>
    <n v="4139000"/>
    <n v="9.0202889409665601E-2"/>
    <n v="3766000"/>
    <x v="11"/>
    <x v="0"/>
  </r>
  <r>
    <x v="44"/>
    <x v="1"/>
    <x v="2"/>
    <s v="Mobile App"/>
    <x v="5"/>
    <n v="2"/>
    <n v="3993000"/>
    <n v="0.122620820790054"/>
    <n v="7007000"/>
    <x v="1"/>
    <x v="1"/>
  </r>
  <r>
    <x v="45"/>
    <x v="2"/>
    <x v="2"/>
    <s v="Agent"/>
    <x v="2"/>
    <n v="4"/>
    <n v="4165000"/>
    <n v="0.156496451123013"/>
    <n v="14053000"/>
    <x v="16"/>
    <x v="1"/>
  </r>
  <r>
    <x v="46"/>
    <x v="3"/>
    <x v="1"/>
    <s v="Mobile App"/>
    <x v="2"/>
    <n v="2"/>
    <n v="3473000"/>
    <n v="3.87609135308465E-2"/>
    <n v="6677000"/>
    <x v="12"/>
    <x v="1"/>
  </r>
  <r>
    <x v="47"/>
    <x v="0"/>
    <x v="2"/>
    <s v="Mobile App"/>
    <x v="5"/>
    <n v="4"/>
    <n v="3981000"/>
    <n v="0.12679839204384699"/>
    <n v="13905000"/>
    <x v="1"/>
    <x v="1"/>
  </r>
  <r>
    <x v="47"/>
    <x v="3"/>
    <x v="2"/>
    <s v="Agent"/>
    <x v="0"/>
    <n v="2"/>
    <n v="4626000"/>
    <n v="0.121779637167913"/>
    <n v="8125000"/>
    <x v="6"/>
    <x v="1"/>
  </r>
  <r>
    <x v="47"/>
    <x v="1"/>
    <x v="2"/>
    <s v="Website"/>
    <x v="5"/>
    <n v="2"/>
    <n v="4085000"/>
    <n v="0.10727347983072801"/>
    <n v="7294000"/>
    <x v="2"/>
    <x v="0"/>
  </r>
  <r>
    <x v="48"/>
    <x v="2"/>
    <x v="1"/>
    <s v="Website"/>
    <x v="5"/>
    <n v="4"/>
    <n v="3388000"/>
    <n v="7.4365058159567898E-2"/>
    <n v="12544000"/>
    <x v="6"/>
    <x v="0"/>
  </r>
  <r>
    <x v="49"/>
    <x v="1"/>
    <x v="4"/>
    <s v="Website"/>
    <x v="0"/>
    <n v="4"/>
    <n v="2722000"/>
    <n v="1.79966052627849E-2"/>
    <n v="10692000"/>
    <x v="15"/>
    <x v="1"/>
  </r>
  <r>
    <x v="50"/>
    <x v="2"/>
    <x v="3"/>
    <s v="Agent"/>
    <x v="3"/>
    <n v="2"/>
    <n v="2706000"/>
    <n v="8.4000000000000005E-2"/>
    <n v="4957000"/>
    <x v="7"/>
    <x v="0"/>
  </r>
  <r>
    <x v="50"/>
    <x v="1"/>
    <x v="1"/>
    <s v="Website"/>
    <x v="8"/>
    <n v="1"/>
    <n v="3415000"/>
    <n v="9.2233913669334394E-2"/>
    <n v="3100000"/>
    <x v="12"/>
    <x v="1"/>
  </r>
  <r>
    <x v="51"/>
    <x v="0"/>
    <x v="4"/>
    <s v="Website"/>
    <x v="1"/>
    <n v="4"/>
    <n v="2575000"/>
    <n v="0.166883039225274"/>
    <n v="8581000"/>
    <x v="5"/>
    <x v="1"/>
  </r>
  <r>
    <x v="51"/>
    <x v="0"/>
    <x v="0"/>
    <s v="Mobile App"/>
    <x v="6"/>
    <n v="1"/>
    <n v="2644000"/>
    <n v="6.9948125036166806E-2"/>
    <n v="2459000"/>
    <x v="5"/>
    <x v="1"/>
  </r>
  <r>
    <x v="52"/>
    <x v="3"/>
    <x v="3"/>
    <s v="Mobile App"/>
    <x v="6"/>
    <n v="2"/>
    <n v="2220000"/>
    <n v="0.118961302655418"/>
    <n v="3912000"/>
    <x v="9"/>
    <x v="0"/>
  </r>
  <r>
    <x v="53"/>
    <x v="3"/>
    <x v="2"/>
    <s v="Mobile App"/>
    <x v="1"/>
    <n v="1"/>
    <n v="3590000"/>
    <n v="9.0157254227715505E-2"/>
    <n v="3266000"/>
    <x v="2"/>
    <x v="1"/>
  </r>
  <r>
    <x v="53"/>
    <x v="1"/>
    <x v="0"/>
    <s v="Website"/>
    <x v="3"/>
    <n v="2"/>
    <n v="2549000"/>
    <n v="0.157"/>
    <n v="4296000"/>
    <x v="3"/>
    <x v="0"/>
  </r>
  <r>
    <x v="54"/>
    <x v="3"/>
    <x v="2"/>
    <s v="Website"/>
    <x v="9"/>
    <n v="3"/>
    <n v="4375000"/>
    <n v="6.2280378574532197E-2"/>
    <n v="12308000"/>
    <x v="12"/>
    <x v="1"/>
  </r>
  <r>
    <x v="55"/>
    <x v="3"/>
    <x v="4"/>
    <s v="Mobile App"/>
    <x v="1"/>
    <n v="1"/>
    <n v="2524000"/>
    <n v="0.18882886719195199"/>
    <n v="2047000"/>
    <x v="1"/>
    <x v="0"/>
  </r>
  <r>
    <x v="55"/>
    <x v="3"/>
    <x v="0"/>
    <s v="Website"/>
    <x v="9"/>
    <n v="2"/>
    <n v="2667000"/>
    <n v="0.175981761852186"/>
    <n v="4395000"/>
    <x v="4"/>
    <x v="1"/>
  </r>
  <r>
    <x v="56"/>
    <x v="3"/>
    <x v="3"/>
    <s v="Website"/>
    <x v="1"/>
    <n v="1"/>
    <n v="2581000"/>
    <n v="0.114547231150933"/>
    <n v="2285000"/>
    <x v="12"/>
    <x v="0"/>
  </r>
  <r>
    <x v="57"/>
    <x v="2"/>
    <x v="0"/>
    <s v="Website"/>
    <x v="7"/>
    <n v="1"/>
    <n v="2513000"/>
    <n v="7.8682556171137702E-2"/>
    <n v="2315000"/>
    <x v="5"/>
    <x v="0"/>
  </r>
  <r>
    <x v="58"/>
    <x v="0"/>
    <x v="4"/>
    <s v="Website"/>
    <x v="5"/>
    <n v="1"/>
    <n v="3009000"/>
    <n v="0.14451507345041001"/>
    <n v="2574000"/>
    <x v="2"/>
    <x v="0"/>
  </r>
  <r>
    <x v="59"/>
    <x v="0"/>
    <x v="2"/>
    <s v="Agent"/>
    <x v="2"/>
    <n v="1"/>
    <n v="4946000"/>
    <n v="0.127943232021998"/>
    <n v="4313000"/>
    <x v="3"/>
    <x v="1"/>
  </r>
  <r>
    <x v="59"/>
    <x v="2"/>
    <x v="2"/>
    <s v="Agent"/>
    <x v="8"/>
    <n v="1"/>
    <n v="3810000"/>
    <n v="6.2735056910978304E-2"/>
    <n v="3571000"/>
    <x v="6"/>
    <x v="1"/>
  </r>
  <r>
    <x v="60"/>
    <x v="3"/>
    <x v="2"/>
    <s v="Agent"/>
    <x v="8"/>
    <n v="1"/>
    <n v="3972000"/>
    <n v="2E-3"/>
    <n v="3962000"/>
    <x v="5"/>
    <x v="1"/>
  </r>
  <r>
    <x v="60"/>
    <x v="0"/>
    <x v="4"/>
    <s v="Website"/>
    <x v="0"/>
    <n v="2"/>
    <n v="2838000"/>
    <n v="0.15391916239940401"/>
    <n v="4802000"/>
    <x v="12"/>
    <x v="1"/>
  </r>
  <r>
    <x v="61"/>
    <x v="3"/>
    <x v="1"/>
    <s v="Website"/>
    <x v="0"/>
    <n v="2"/>
    <n v="3594000"/>
    <n v="7.3322230738122093E-2"/>
    <n v="6661000"/>
    <x v="2"/>
    <x v="0"/>
  </r>
  <r>
    <x v="61"/>
    <x v="1"/>
    <x v="0"/>
    <s v="Website"/>
    <x v="4"/>
    <n v="4"/>
    <n v="2964000"/>
    <n v="8.3637775769713804E-2"/>
    <n v="10864000"/>
    <x v="14"/>
    <x v="0"/>
  </r>
  <r>
    <x v="62"/>
    <x v="0"/>
    <x v="1"/>
    <s v="Agent"/>
    <x v="5"/>
    <n v="1"/>
    <n v="3693000"/>
    <n v="0.19920435710729001"/>
    <n v="2957000"/>
    <x v="7"/>
    <x v="0"/>
  </r>
  <r>
    <x v="62"/>
    <x v="3"/>
    <x v="3"/>
    <s v="Website"/>
    <x v="0"/>
    <n v="1"/>
    <n v="2913000"/>
    <n v="0.17062818607665201"/>
    <n v="2416000"/>
    <x v="10"/>
    <x v="0"/>
  </r>
  <r>
    <x v="62"/>
    <x v="2"/>
    <x v="0"/>
    <s v="Website"/>
    <x v="1"/>
    <n v="1"/>
    <n v="2709000"/>
    <n v="0.14523271525065501"/>
    <n v="2316000"/>
    <x v="13"/>
    <x v="1"/>
  </r>
  <r>
    <x v="63"/>
    <x v="0"/>
    <x v="5"/>
    <s v="Website"/>
    <x v="8"/>
    <n v="5"/>
    <n v="5430000"/>
    <n v="0.156193604965085"/>
    <n v="22909000"/>
    <x v="15"/>
    <x v="1"/>
  </r>
  <r>
    <x v="63"/>
    <x v="3"/>
    <x v="0"/>
    <s v="Website"/>
    <x v="6"/>
    <n v="2"/>
    <n v="2469000"/>
    <n v="4.4156843931578003E-2"/>
    <n v="4720000"/>
    <x v="1"/>
    <x v="1"/>
  </r>
  <r>
    <x v="64"/>
    <x v="0"/>
    <x v="4"/>
    <s v="Website"/>
    <x v="6"/>
    <n v="2"/>
    <n v="2783000"/>
    <n v="0.13387071261979999"/>
    <n v="4821000"/>
    <x v="14"/>
    <x v="1"/>
  </r>
  <r>
    <x v="64"/>
    <x v="0"/>
    <x v="2"/>
    <s v="Mobile App"/>
    <x v="6"/>
    <n v="3"/>
    <n v="4141000"/>
    <n v="0.13281092918975301"/>
    <n v="10773000"/>
    <x v="6"/>
    <x v="1"/>
  </r>
  <r>
    <x v="65"/>
    <x v="1"/>
    <x v="2"/>
    <s v="Website"/>
    <x v="0"/>
    <n v="1"/>
    <n v="4666000"/>
    <n v="8.4297912478143305E-2"/>
    <n v="4273000"/>
    <x v="6"/>
    <x v="0"/>
  </r>
  <r>
    <x v="65"/>
    <x v="0"/>
    <x v="4"/>
    <s v="Website"/>
    <x v="8"/>
    <n v="2"/>
    <n v="2633000"/>
    <n v="4.9760663482878303E-2"/>
    <n v="5004000"/>
    <x v="0"/>
    <x v="0"/>
  </r>
  <r>
    <x v="65"/>
    <x v="1"/>
    <x v="2"/>
    <s v="Mobile App"/>
    <x v="5"/>
    <n v="4"/>
    <n v="4378000"/>
    <n v="9.9450511601287206E-2"/>
    <n v="15770000"/>
    <x v="0"/>
    <x v="1"/>
  </r>
  <r>
    <x v="65"/>
    <x v="3"/>
    <x v="0"/>
    <s v="Call Center"/>
    <x v="9"/>
    <n v="4"/>
    <n v="2859000"/>
    <n v="7.3000676844494697E-2"/>
    <n v="10601000"/>
    <x v="4"/>
    <x v="1"/>
  </r>
  <r>
    <x v="66"/>
    <x v="0"/>
    <x v="2"/>
    <s v="Website"/>
    <x v="7"/>
    <n v="3"/>
    <n v="3741000"/>
    <n v="7.1536754493837298E-2"/>
    <n v="10420000"/>
    <x v="0"/>
    <x v="1"/>
  </r>
  <r>
    <x v="66"/>
    <x v="3"/>
    <x v="0"/>
    <s v="Website"/>
    <x v="8"/>
    <n v="3"/>
    <n v="2546000"/>
    <n v="0.13512606007036901"/>
    <n v="6606000"/>
    <x v="5"/>
    <x v="0"/>
  </r>
  <r>
    <x v="67"/>
    <x v="1"/>
    <x v="0"/>
    <s v="Mobile App"/>
    <x v="7"/>
    <n v="1"/>
    <n v="2455000"/>
    <n v="0.153"/>
    <n v="2079000"/>
    <x v="5"/>
    <x v="1"/>
  </r>
  <r>
    <x v="68"/>
    <x v="3"/>
    <x v="1"/>
    <s v="Website"/>
    <x v="4"/>
    <n v="2"/>
    <n v="2956000"/>
    <n v="8.6138998087960106E-2"/>
    <n v="5403000"/>
    <x v="11"/>
    <x v="0"/>
  </r>
  <r>
    <x v="68"/>
    <x v="1"/>
    <x v="0"/>
    <s v="Agent"/>
    <x v="0"/>
    <n v="1"/>
    <n v="2766000"/>
    <n v="8.2043770821651499E-2"/>
    <n v="2539000"/>
    <x v="6"/>
    <x v="1"/>
  </r>
  <r>
    <x v="69"/>
    <x v="1"/>
    <x v="3"/>
    <s v="Agent"/>
    <x v="6"/>
    <n v="3"/>
    <n v="2348000"/>
    <n v="8.4716420793418401E-2"/>
    <n v="6447000"/>
    <x v="16"/>
    <x v="0"/>
  </r>
  <r>
    <x v="70"/>
    <x v="0"/>
    <x v="2"/>
    <s v="Mobile App"/>
    <x v="1"/>
    <n v="1"/>
    <n v="3632000"/>
    <n v="0.11789198014961599"/>
    <n v="3204000"/>
    <x v="6"/>
    <x v="1"/>
  </r>
  <r>
    <x v="70"/>
    <x v="0"/>
    <x v="2"/>
    <s v="Mobile App"/>
    <x v="4"/>
    <n v="4"/>
    <n v="4308000"/>
    <n v="7.0813423202578898E-2"/>
    <n v="16012000"/>
    <x v="1"/>
    <x v="1"/>
  </r>
  <r>
    <x v="71"/>
    <x v="1"/>
    <x v="2"/>
    <s v="Website"/>
    <x v="2"/>
    <n v="1"/>
    <n v="4550000"/>
    <n v="0.12609947533782601"/>
    <n v="3976000"/>
    <x v="8"/>
    <x v="1"/>
  </r>
  <r>
    <x v="71"/>
    <x v="0"/>
    <x v="1"/>
    <s v="Website"/>
    <x v="3"/>
    <n v="1"/>
    <n v="3568000"/>
    <n v="0"/>
    <n v="3568000"/>
    <x v="15"/>
    <x v="1"/>
  </r>
  <r>
    <x v="71"/>
    <x v="3"/>
    <x v="4"/>
    <s v="Mobile App"/>
    <x v="6"/>
    <n v="2"/>
    <n v="2685000"/>
    <n v="8.6142210296706101E-2"/>
    <n v="4907000"/>
    <x v="10"/>
    <x v="1"/>
  </r>
  <r>
    <x v="72"/>
    <x v="3"/>
    <x v="0"/>
    <s v="Mobile App"/>
    <x v="9"/>
    <n v="3"/>
    <n v="2511000"/>
    <n v="8.0368734196418101E-2"/>
    <n v="6928000"/>
    <x v="10"/>
    <x v="1"/>
  </r>
  <r>
    <x v="73"/>
    <x v="0"/>
    <x v="1"/>
    <s v="Call Center"/>
    <x v="0"/>
    <n v="3"/>
    <n v="3527000"/>
    <n v="0.12783483309067101"/>
    <n v="9228000"/>
    <x v="14"/>
    <x v="1"/>
  </r>
  <r>
    <x v="73"/>
    <x v="3"/>
    <x v="1"/>
    <s v="Website"/>
    <x v="8"/>
    <n v="2"/>
    <n v="3173000"/>
    <n v="6.7339157801239197E-2"/>
    <n v="5919000"/>
    <x v="3"/>
    <x v="1"/>
  </r>
  <r>
    <x v="74"/>
    <x v="3"/>
    <x v="3"/>
    <s v="Mobile App"/>
    <x v="7"/>
    <n v="2"/>
    <n v="2040000"/>
    <n v="1.3892088009350099E-2"/>
    <n v="4023000"/>
    <x v="1"/>
    <x v="0"/>
  </r>
  <r>
    <x v="75"/>
    <x v="0"/>
    <x v="2"/>
    <s v="Website"/>
    <x v="5"/>
    <n v="2"/>
    <n v="4057000"/>
    <n v="6.9076706858312006E-2"/>
    <n v="7554000"/>
    <x v="8"/>
    <x v="1"/>
  </r>
  <r>
    <x v="75"/>
    <x v="0"/>
    <x v="2"/>
    <s v="Agent"/>
    <x v="2"/>
    <n v="3"/>
    <n v="4113000"/>
    <n v="7.2311288775931806E-2"/>
    <n v="11447000"/>
    <x v="4"/>
    <x v="1"/>
  </r>
  <r>
    <x v="76"/>
    <x v="0"/>
    <x v="4"/>
    <s v="Agent"/>
    <x v="2"/>
    <n v="1"/>
    <n v="2693000"/>
    <n v="0.111940891992479"/>
    <n v="2392000"/>
    <x v="6"/>
    <x v="1"/>
  </r>
  <r>
    <x v="76"/>
    <x v="1"/>
    <x v="3"/>
    <s v="Mobile App"/>
    <x v="6"/>
    <n v="1"/>
    <n v="2051000"/>
    <n v="6.6938956645630293E-2"/>
    <n v="1914000"/>
    <x v="6"/>
    <x v="1"/>
  </r>
  <r>
    <x v="77"/>
    <x v="0"/>
    <x v="1"/>
    <s v="Agent"/>
    <x v="5"/>
    <n v="3"/>
    <n v="3516000"/>
    <n v="0.10419670682347899"/>
    <n v="9449000"/>
    <x v="17"/>
    <x v="0"/>
  </r>
  <r>
    <x v="78"/>
    <x v="3"/>
    <x v="3"/>
    <s v="Website"/>
    <x v="8"/>
    <n v="2"/>
    <n v="2468000"/>
    <n v="5.5E-2"/>
    <n v="4663000"/>
    <x v="4"/>
    <x v="1"/>
  </r>
  <r>
    <x v="78"/>
    <x v="1"/>
    <x v="0"/>
    <s v="Mobile App"/>
    <x v="4"/>
    <n v="4"/>
    <n v="2760000"/>
    <n v="0.110294754051509"/>
    <n v="9822000"/>
    <x v="12"/>
    <x v="1"/>
  </r>
  <r>
    <x v="78"/>
    <x v="0"/>
    <x v="2"/>
    <s v="Mobile App"/>
    <x v="6"/>
    <n v="1"/>
    <n v="3645000"/>
    <n v="3.5397325903460702E-2"/>
    <n v="3516000"/>
    <x v="13"/>
    <x v="1"/>
  </r>
  <r>
    <x v="79"/>
    <x v="3"/>
    <x v="5"/>
    <s v="Website"/>
    <x v="5"/>
    <n v="1"/>
    <n v="5425000"/>
    <n v="0.17196222786223"/>
    <n v="4492000"/>
    <x v="0"/>
    <x v="1"/>
  </r>
  <r>
    <x v="80"/>
    <x v="0"/>
    <x v="5"/>
    <s v="Website"/>
    <x v="6"/>
    <n v="1"/>
    <n v="4275000"/>
    <n v="8.0885578628725696E-2"/>
    <n v="3929000"/>
    <x v="0"/>
    <x v="0"/>
  </r>
  <r>
    <x v="81"/>
    <x v="3"/>
    <x v="4"/>
    <s v="Website"/>
    <x v="4"/>
    <n v="1"/>
    <n v="1923000"/>
    <n v="0.102396331162972"/>
    <n v="1726000"/>
    <x v="12"/>
    <x v="1"/>
  </r>
  <r>
    <x v="81"/>
    <x v="1"/>
    <x v="0"/>
    <s v="Website"/>
    <x v="4"/>
    <n v="2"/>
    <n v="2809000"/>
    <n v="0.133374024365123"/>
    <n v="4869000"/>
    <x v="12"/>
    <x v="1"/>
  </r>
  <r>
    <x v="81"/>
    <x v="1"/>
    <x v="0"/>
    <s v="Agent"/>
    <x v="4"/>
    <n v="5"/>
    <n v="2738000"/>
    <n v="9.2652908351346194E-2"/>
    <n v="12422000"/>
    <x v="11"/>
    <x v="1"/>
  </r>
  <r>
    <x v="82"/>
    <x v="0"/>
    <x v="0"/>
    <s v="Mobile App"/>
    <x v="5"/>
    <n v="1"/>
    <n v="2401000"/>
    <n v="7.8637319945696699E-2"/>
    <n v="2212000"/>
    <x v="6"/>
    <x v="1"/>
  </r>
  <r>
    <x v="82"/>
    <x v="1"/>
    <x v="2"/>
    <s v="Website"/>
    <x v="8"/>
    <n v="1"/>
    <n v="3586000"/>
    <n v="0.13753359569649101"/>
    <n v="3093000"/>
    <x v="7"/>
    <x v="0"/>
  </r>
  <r>
    <x v="83"/>
    <x v="2"/>
    <x v="2"/>
    <s v="Website"/>
    <x v="8"/>
    <n v="1"/>
    <n v="3730000"/>
    <n v="7.5616169924574997E-2"/>
    <n v="3448000"/>
    <x v="15"/>
    <x v="1"/>
  </r>
  <r>
    <x v="83"/>
    <x v="3"/>
    <x v="5"/>
    <s v="Mobile App"/>
    <x v="9"/>
    <n v="2"/>
    <n v="5612000"/>
    <n v="3.8364554441674401E-2"/>
    <n v="10793000"/>
    <x v="0"/>
    <x v="1"/>
  </r>
  <r>
    <x v="83"/>
    <x v="1"/>
    <x v="2"/>
    <s v="Website"/>
    <x v="8"/>
    <n v="2"/>
    <n v="3539000"/>
    <n v="0.14212746094812101"/>
    <n v="6072000"/>
    <x v="13"/>
    <x v="1"/>
  </r>
  <r>
    <x v="84"/>
    <x v="3"/>
    <x v="4"/>
    <s v="Agent"/>
    <x v="8"/>
    <n v="2"/>
    <n v="2438000"/>
    <n v="0.12094327257905201"/>
    <n v="4286000"/>
    <x v="6"/>
    <x v="0"/>
  </r>
  <r>
    <x v="84"/>
    <x v="0"/>
    <x v="0"/>
    <s v="Agent"/>
    <x v="9"/>
    <n v="2"/>
    <n v="2549000"/>
    <n v="8.2417042769382595E-2"/>
    <n v="4678000"/>
    <x v="12"/>
    <x v="0"/>
  </r>
  <r>
    <x v="84"/>
    <x v="0"/>
    <x v="4"/>
    <s v="Agent"/>
    <x v="7"/>
    <n v="1"/>
    <n v="2513000"/>
    <n v="0.155861976168195"/>
    <n v="2121000"/>
    <x v="7"/>
    <x v="0"/>
  </r>
  <r>
    <x v="84"/>
    <x v="3"/>
    <x v="0"/>
    <s v="Website"/>
    <x v="2"/>
    <n v="5"/>
    <n v="3155000"/>
    <n v="0.15674433004062399"/>
    <n v="13302000"/>
    <x v="2"/>
    <x v="0"/>
  </r>
  <r>
    <x v="85"/>
    <x v="0"/>
    <x v="4"/>
    <s v="Website"/>
    <x v="0"/>
    <n v="1"/>
    <n v="2465000"/>
    <n v="0.104563134008435"/>
    <n v="2207000"/>
    <x v="5"/>
    <x v="1"/>
  </r>
  <r>
    <x v="85"/>
    <x v="2"/>
    <x v="2"/>
    <s v="Mobile App"/>
    <x v="7"/>
    <n v="1"/>
    <n v="3501000"/>
    <n v="9.6878106841820896E-2"/>
    <n v="3162000"/>
    <x v="1"/>
    <x v="1"/>
  </r>
  <r>
    <x v="85"/>
    <x v="0"/>
    <x v="0"/>
    <s v="Agent"/>
    <x v="8"/>
    <n v="2"/>
    <n v="2246000"/>
    <n v="0.16759702632825099"/>
    <n v="3739000"/>
    <x v="2"/>
    <x v="1"/>
  </r>
  <r>
    <x v="85"/>
    <x v="0"/>
    <x v="5"/>
    <s v="Website"/>
    <x v="6"/>
    <n v="1"/>
    <n v="4534000"/>
    <n v="0.14734216035389"/>
    <n v="3866000"/>
    <x v="2"/>
    <x v="0"/>
  </r>
  <r>
    <x v="86"/>
    <x v="0"/>
    <x v="0"/>
    <s v="Agent"/>
    <x v="6"/>
    <n v="2"/>
    <n v="2521000"/>
    <n v="0.12562815974480401"/>
    <n v="4409000"/>
    <x v="16"/>
    <x v="1"/>
  </r>
  <r>
    <x v="86"/>
    <x v="0"/>
    <x v="0"/>
    <s v="Website"/>
    <x v="4"/>
    <n v="2"/>
    <n v="2524000"/>
    <n v="0.105395034195198"/>
    <n v="4516000"/>
    <x v="13"/>
    <x v="1"/>
  </r>
  <r>
    <x v="87"/>
    <x v="1"/>
    <x v="0"/>
    <s v="Agent"/>
    <x v="7"/>
    <n v="3"/>
    <n v="2310000"/>
    <n v="9.4838791376219395E-2"/>
    <n v="6273000"/>
    <x v="3"/>
    <x v="1"/>
  </r>
  <r>
    <x v="88"/>
    <x v="3"/>
    <x v="2"/>
    <s v="Agent"/>
    <x v="1"/>
    <n v="3"/>
    <n v="3118000"/>
    <n v="0.122940895688548"/>
    <n v="8204000"/>
    <x v="4"/>
    <x v="1"/>
  </r>
  <r>
    <x v="88"/>
    <x v="1"/>
    <x v="5"/>
    <s v="Agent"/>
    <x v="7"/>
    <n v="1"/>
    <n v="4503000"/>
    <n v="4.1588791383779501E-2"/>
    <n v="4316000"/>
    <x v="4"/>
    <x v="1"/>
  </r>
  <r>
    <x v="88"/>
    <x v="3"/>
    <x v="0"/>
    <s v="Agent"/>
    <x v="1"/>
    <n v="1"/>
    <n v="2550000"/>
    <n v="9.3809217899780806E-2"/>
    <n v="2311000"/>
    <x v="14"/>
    <x v="0"/>
  </r>
  <r>
    <x v="89"/>
    <x v="1"/>
    <x v="2"/>
    <s v="Website"/>
    <x v="7"/>
    <n v="2"/>
    <n v="3686000"/>
    <n v="5.5312585726901099E-2"/>
    <n v="6964000"/>
    <x v="5"/>
    <x v="0"/>
  </r>
  <r>
    <x v="89"/>
    <x v="1"/>
    <x v="0"/>
    <s v="Agent"/>
    <x v="7"/>
    <n v="3"/>
    <n v="2676000"/>
    <n v="0.10063278909301999"/>
    <n v="7220000"/>
    <x v="2"/>
    <x v="0"/>
  </r>
  <r>
    <x v="89"/>
    <x v="0"/>
    <x v="0"/>
    <s v="Agent"/>
    <x v="3"/>
    <n v="2"/>
    <n v="2721000"/>
    <n v="6.3267709777479905E-2"/>
    <n v="5098000"/>
    <x v="4"/>
    <x v="1"/>
  </r>
  <r>
    <x v="89"/>
    <x v="1"/>
    <x v="1"/>
    <s v="Mobile App"/>
    <x v="2"/>
    <n v="1"/>
    <n v="3660000"/>
    <n v="3.2883341630761898E-2"/>
    <n v="3540000"/>
    <x v="12"/>
    <x v="0"/>
  </r>
  <r>
    <x v="90"/>
    <x v="1"/>
    <x v="2"/>
    <s v="Website"/>
    <x v="0"/>
    <n v="1"/>
    <n v="4245000"/>
    <n v="0.10002646908233501"/>
    <n v="3820000"/>
    <x v="9"/>
    <x v="1"/>
  </r>
  <r>
    <x v="91"/>
    <x v="1"/>
    <x v="4"/>
    <s v="Website"/>
    <x v="8"/>
    <n v="1"/>
    <n v="2375000"/>
    <n v="8.4371364619449205E-2"/>
    <n v="2175000"/>
    <x v="12"/>
    <x v="1"/>
  </r>
  <r>
    <x v="91"/>
    <x v="3"/>
    <x v="2"/>
    <s v="Website"/>
    <x v="2"/>
    <n v="1"/>
    <n v="4423000"/>
    <n v="4.5254702195700498E-2"/>
    <n v="4223000"/>
    <x v="9"/>
    <x v="1"/>
  </r>
  <r>
    <x v="91"/>
    <x v="1"/>
    <x v="0"/>
    <s v="Mobile App"/>
    <x v="7"/>
    <n v="1"/>
    <n v="2220000"/>
    <n v="0.114966090636514"/>
    <n v="1965000"/>
    <x v="4"/>
    <x v="1"/>
  </r>
  <r>
    <x v="92"/>
    <x v="1"/>
    <x v="0"/>
    <s v="Website"/>
    <x v="4"/>
    <n v="1"/>
    <n v="2659000"/>
    <n v="5.15487225333775E-2"/>
    <n v="2522000"/>
    <x v="14"/>
    <x v="1"/>
  </r>
  <r>
    <x v="93"/>
    <x v="2"/>
    <x v="1"/>
    <s v="Mobile App"/>
    <x v="3"/>
    <n v="2"/>
    <n v="3077000"/>
    <n v="4.8573744338062101E-2"/>
    <n v="5855000"/>
    <x v="4"/>
    <x v="1"/>
  </r>
  <r>
    <x v="93"/>
    <x v="1"/>
    <x v="0"/>
    <s v="Website"/>
    <x v="7"/>
    <n v="1"/>
    <n v="2213000"/>
    <n v="0.113937444546272"/>
    <n v="1961000"/>
    <x v="4"/>
    <x v="0"/>
  </r>
  <r>
    <x v="93"/>
    <x v="3"/>
    <x v="2"/>
    <s v="Website"/>
    <x v="8"/>
    <n v="1"/>
    <n v="3692000"/>
    <n v="0.106269017334941"/>
    <n v="3300000"/>
    <x v="7"/>
    <x v="1"/>
  </r>
  <r>
    <x v="94"/>
    <x v="3"/>
    <x v="4"/>
    <s v="Call Center"/>
    <x v="3"/>
    <n v="1"/>
    <n v="2144000"/>
    <n v="4.0063034815549903E-2"/>
    <n v="2058000"/>
    <x v="12"/>
    <x v="1"/>
  </r>
  <r>
    <x v="95"/>
    <x v="3"/>
    <x v="0"/>
    <s v="Website"/>
    <x v="0"/>
    <n v="1"/>
    <n v="2516000"/>
    <n v="0.18055209711999501"/>
    <n v="2062000"/>
    <x v="13"/>
    <x v="1"/>
  </r>
  <r>
    <x v="95"/>
    <x v="2"/>
    <x v="0"/>
    <s v="Agent"/>
    <x v="0"/>
    <n v="1"/>
    <n v="2666000"/>
    <n v="0.12298555949267501"/>
    <n v="2338000"/>
    <x v="12"/>
    <x v="1"/>
  </r>
  <r>
    <x v="95"/>
    <x v="2"/>
    <x v="0"/>
    <s v="Agent"/>
    <x v="4"/>
    <n v="2"/>
    <n v="2738000"/>
    <n v="0.101747765391031"/>
    <n v="4919000"/>
    <x v="2"/>
    <x v="0"/>
  </r>
  <r>
    <x v="96"/>
    <x v="1"/>
    <x v="1"/>
    <s v="Website"/>
    <x v="5"/>
    <n v="1"/>
    <n v="3173000"/>
    <n v="0.15477027760800999"/>
    <n v="2682000"/>
    <x v="0"/>
    <x v="1"/>
  </r>
  <r>
    <x v="96"/>
    <x v="0"/>
    <x v="5"/>
    <s v="Website"/>
    <x v="9"/>
    <n v="2"/>
    <n v="5677000"/>
    <n v="0.11867496356339501"/>
    <n v="10007000"/>
    <x v="3"/>
    <x v="1"/>
  </r>
  <r>
    <x v="96"/>
    <x v="2"/>
    <x v="5"/>
    <s v="Agent"/>
    <x v="8"/>
    <n v="3"/>
    <n v="4941000"/>
    <n v="0.12094171137698501"/>
    <n v="13030000"/>
    <x v="4"/>
    <x v="0"/>
  </r>
  <r>
    <x v="97"/>
    <x v="1"/>
    <x v="4"/>
    <s v="Mobile App"/>
    <x v="7"/>
    <n v="3"/>
    <n v="2620000"/>
    <n v="0.116400308972344"/>
    <n v="6945000"/>
    <x v="11"/>
    <x v="1"/>
  </r>
  <r>
    <x v="97"/>
    <x v="1"/>
    <x v="2"/>
    <s v="Website"/>
    <x v="4"/>
    <n v="1"/>
    <n v="3879000"/>
    <n v="0.15052496588969999"/>
    <n v="3295000"/>
    <x v="1"/>
    <x v="1"/>
  </r>
  <r>
    <x v="97"/>
    <x v="1"/>
    <x v="4"/>
    <s v="Website"/>
    <x v="6"/>
    <n v="4"/>
    <n v="2506000"/>
    <n v="4.2309185764337398E-2"/>
    <n v="9600000"/>
    <x v="17"/>
    <x v="0"/>
  </r>
  <r>
    <x v="98"/>
    <x v="1"/>
    <x v="1"/>
    <s v="Website"/>
    <x v="3"/>
    <n v="2"/>
    <n v="3110000"/>
    <n v="0.121401959902759"/>
    <n v="5465000"/>
    <x v="3"/>
    <x v="1"/>
  </r>
  <r>
    <x v="99"/>
    <x v="3"/>
    <x v="0"/>
    <s v="Mobile App"/>
    <x v="5"/>
    <n v="1"/>
    <n v="2774000"/>
    <n v="0.120371474680924"/>
    <n v="2440000"/>
    <x v="12"/>
    <x v="0"/>
  </r>
  <r>
    <x v="99"/>
    <x v="2"/>
    <x v="5"/>
    <s v="Website"/>
    <x v="4"/>
    <n v="2"/>
    <n v="5036000"/>
    <n v="9.1057273563481297E-2"/>
    <n v="9155000"/>
    <x v="1"/>
    <x v="1"/>
  </r>
  <r>
    <x v="100"/>
    <x v="1"/>
    <x v="2"/>
    <s v="Agent"/>
    <x v="0"/>
    <n v="3"/>
    <n v="4924000"/>
    <n v="0.14236232561717499"/>
    <n v="12669000"/>
    <x v="1"/>
    <x v="1"/>
  </r>
  <r>
    <x v="100"/>
    <x v="1"/>
    <x v="2"/>
    <s v="Website"/>
    <x v="2"/>
    <n v="3"/>
    <n v="4936000"/>
    <n v="0.16025916197552201"/>
    <n v="12435000"/>
    <x v="8"/>
    <x v="0"/>
  </r>
  <r>
    <x v="100"/>
    <x v="1"/>
    <x v="0"/>
    <s v="Mobile App"/>
    <x v="7"/>
    <n v="2"/>
    <n v="2437000"/>
    <n v="0.15382725755957"/>
    <n v="4124000"/>
    <x v="13"/>
    <x v="1"/>
  </r>
  <r>
    <x v="101"/>
    <x v="1"/>
    <x v="0"/>
    <s v="Agent"/>
    <x v="0"/>
    <n v="3"/>
    <n v="2856000"/>
    <n v="0.10935271896724599"/>
    <n v="7631000"/>
    <x v="9"/>
    <x v="0"/>
  </r>
  <r>
    <x v="101"/>
    <x v="0"/>
    <x v="2"/>
    <s v="Agent"/>
    <x v="8"/>
    <n v="4"/>
    <n v="3890000"/>
    <n v="0.11337861620835001"/>
    <n v="13796000"/>
    <x v="0"/>
    <x v="1"/>
  </r>
  <r>
    <x v="101"/>
    <x v="1"/>
    <x v="1"/>
    <s v="Agent"/>
    <x v="2"/>
    <n v="1"/>
    <n v="3952000"/>
    <n v="0.14079493584793201"/>
    <n v="3396000"/>
    <x v="3"/>
    <x v="0"/>
  </r>
  <r>
    <x v="102"/>
    <x v="2"/>
    <x v="2"/>
    <s v="Website"/>
    <x v="0"/>
    <n v="4"/>
    <n v="4220000"/>
    <n v="0.12592690917688701"/>
    <n v="14754000"/>
    <x v="18"/>
    <x v="1"/>
  </r>
  <r>
    <x v="103"/>
    <x v="2"/>
    <x v="0"/>
    <s v="Website"/>
    <x v="3"/>
    <n v="1"/>
    <n v="2796000"/>
    <n v="3.8953236977517201E-2"/>
    <n v="2687000"/>
    <x v="4"/>
    <x v="0"/>
  </r>
  <r>
    <x v="103"/>
    <x v="2"/>
    <x v="1"/>
    <s v="Website"/>
    <x v="8"/>
    <n v="1"/>
    <n v="3434000"/>
    <n v="5.2041198491874698E-2"/>
    <n v="3255000"/>
    <x v="0"/>
    <x v="0"/>
  </r>
  <r>
    <x v="103"/>
    <x v="1"/>
    <x v="5"/>
    <s v="Mobile App"/>
    <x v="4"/>
    <n v="4"/>
    <n v="5095000"/>
    <n v="0.108863190252328"/>
    <n v="18161000"/>
    <x v="2"/>
    <x v="0"/>
  </r>
  <r>
    <x v="104"/>
    <x v="1"/>
    <x v="3"/>
    <s v="Agent"/>
    <x v="2"/>
    <n v="1"/>
    <n v="2807000"/>
    <n v="7.1245375212328099E-2"/>
    <n v="2607000"/>
    <x v="9"/>
    <x v="1"/>
  </r>
  <r>
    <x v="105"/>
    <x v="1"/>
    <x v="2"/>
    <s v="Website"/>
    <x v="9"/>
    <n v="2"/>
    <n v="4495000"/>
    <n v="3.9055316582980802E-2"/>
    <n v="8639000"/>
    <x v="9"/>
    <x v="1"/>
  </r>
  <r>
    <x v="105"/>
    <x v="0"/>
    <x v="3"/>
    <s v="Mobile App"/>
    <x v="2"/>
    <n v="4"/>
    <n v="2574000"/>
    <n v="0.11799999999999999"/>
    <n v="9079000"/>
    <x v="1"/>
    <x v="1"/>
  </r>
  <r>
    <x v="105"/>
    <x v="0"/>
    <x v="3"/>
    <s v="Agent"/>
    <x v="0"/>
    <n v="2"/>
    <n v="2984000"/>
    <n v="7.12757962999441E-2"/>
    <n v="5543000"/>
    <x v="2"/>
    <x v="1"/>
  </r>
  <r>
    <x v="105"/>
    <x v="1"/>
    <x v="1"/>
    <s v="Website"/>
    <x v="0"/>
    <n v="3"/>
    <n v="3459000"/>
    <n v="7.9849626830977197E-2"/>
    <n v="9548000"/>
    <x v="12"/>
    <x v="0"/>
  </r>
  <r>
    <x v="106"/>
    <x v="1"/>
    <x v="3"/>
    <s v="Mobile App"/>
    <x v="0"/>
    <n v="2"/>
    <n v="2817000"/>
    <n v="9.8933152281011696E-2"/>
    <n v="5077000"/>
    <x v="3"/>
    <x v="0"/>
  </r>
  <r>
    <x v="106"/>
    <x v="2"/>
    <x v="3"/>
    <s v="Website"/>
    <x v="2"/>
    <n v="2"/>
    <n v="2579000"/>
    <n v="3.5334419458691702E-2"/>
    <n v="4976000"/>
    <x v="9"/>
    <x v="1"/>
  </r>
  <r>
    <x v="107"/>
    <x v="1"/>
    <x v="2"/>
    <s v="Website"/>
    <x v="8"/>
    <n v="5"/>
    <n v="3835000"/>
    <n v="6.5014693459712197E-2"/>
    <n v="17928000"/>
    <x v="13"/>
    <x v="1"/>
  </r>
  <r>
    <x v="107"/>
    <x v="3"/>
    <x v="2"/>
    <s v="Website"/>
    <x v="8"/>
    <n v="3"/>
    <n v="4012000"/>
    <n v="1.0801916299112001E-2"/>
    <n v="11906000"/>
    <x v="11"/>
    <x v="0"/>
  </r>
  <r>
    <x v="107"/>
    <x v="3"/>
    <x v="4"/>
    <s v="Agent"/>
    <x v="9"/>
    <n v="4"/>
    <n v="2662000"/>
    <n v="0.11351221133257"/>
    <n v="9439000"/>
    <x v="9"/>
    <x v="1"/>
  </r>
  <r>
    <x v="107"/>
    <x v="1"/>
    <x v="3"/>
    <s v="Agent"/>
    <x v="7"/>
    <n v="2"/>
    <n v="2148000"/>
    <n v="0.109831141144591"/>
    <n v="3824000"/>
    <x v="12"/>
    <x v="1"/>
  </r>
  <r>
    <x v="108"/>
    <x v="3"/>
    <x v="0"/>
    <s v="Call Center"/>
    <x v="7"/>
    <n v="3"/>
    <n v="2529000"/>
    <n v="0.100583898416107"/>
    <n v="6824000"/>
    <x v="15"/>
    <x v="1"/>
  </r>
  <r>
    <x v="108"/>
    <x v="3"/>
    <x v="0"/>
    <s v="Website"/>
    <x v="5"/>
    <n v="2"/>
    <n v="2746000"/>
    <n v="8.4652828538088601E-2"/>
    <n v="5027000"/>
    <x v="12"/>
    <x v="1"/>
  </r>
  <r>
    <x v="108"/>
    <x v="3"/>
    <x v="2"/>
    <s v="Website"/>
    <x v="5"/>
    <n v="1"/>
    <n v="3408000"/>
    <n v="0.141092598857669"/>
    <n v="2927000"/>
    <x v="4"/>
    <x v="0"/>
  </r>
  <r>
    <x v="109"/>
    <x v="3"/>
    <x v="0"/>
    <s v="Mobile App"/>
    <x v="7"/>
    <n v="2"/>
    <n v="2290000"/>
    <n v="0.13153304108060099"/>
    <n v="3978000"/>
    <x v="13"/>
    <x v="1"/>
  </r>
  <r>
    <x v="109"/>
    <x v="1"/>
    <x v="5"/>
    <s v="Website"/>
    <x v="9"/>
    <n v="1"/>
    <n v="6327000"/>
    <n v="0.15158201723680001"/>
    <n v="5368000"/>
    <x v="13"/>
    <x v="0"/>
  </r>
  <r>
    <x v="110"/>
    <x v="1"/>
    <x v="4"/>
    <s v="Website"/>
    <x v="1"/>
    <n v="1"/>
    <n v="2624000"/>
    <n v="0.14080868680126099"/>
    <n v="2255000"/>
    <x v="5"/>
    <x v="0"/>
  </r>
  <r>
    <x v="110"/>
    <x v="3"/>
    <x v="0"/>
    <s v="Website"/>
    <x v="5"/>
    <n v="2"/>
    <n v="3022000"/>
    <n v="0.12962992186934399"/>
    <n v="5261000"/>
    <x v="13"/>
    <x v="1"/>
  </r>
  <r>
    <x v="110"/>
    <x v="1"/>
    <x v="5"/>
    <s v="Agent"/>
    <x v="1"/>
    <n v="4"/>
    <n v="5114000"/>
    <n v="0.12373610562604"/>
    <n v="17925000"/>
    <x v="1"/>
    <x v="1"/>
  </r>
  <r>
    <x v="110"/>
    <x v="0"/>
    <x v="3"/>
    <s v="Agent"/>
    <x v="1"/>
    <n v="3"/>
    <n v="2365000"/>
    <n v="0.13948790391101001"/>
    <n v="6105000"/>
    <x v="5"/>
    <x v="1"/>
  </r>
  <r>
    <x v="110"/>
    <x v="3"/>
    <x v="4"/>
    <s v="Website"/>
    <x v="9"/>
    <n v="2"/>
    <n v="2738000"/>
    <n v="0.14800498358627501"/>
    <n v="4666000"/>
    <x v="0"/>
    <x v="1"/>
  </r>
  <r>
    <x v="111"/>
    <x v="1"/>
    <x v="3"/>
    <s v="Website"/>
    <x v="4"/>
    <n v="3"/>
    <n v="1555000"/>
    <n v="6.0628168330652203E-2"/>
    <n v="4382000"/>
    <x v="10"/>
    <x v="1"/>
  </r>
  <r>
    <x v="111"/>
    <x v="1"/>
    <x v="1"/>
    <s v="Website"/>
    <x v="8"/>
    <n v="2"/>
    <n v="3573000"/>
    <n v="0.152840738723068"/>
    <n v="6054000"/>
    <x v="4"/>
    <x v="1"/>
  </r>
  <r>
    <x v="112"/>
    <x v="1"/>
    <x v="0"/>
    <s v="Mobile App"/>
    <x v="5"/>
    <n v="3"/>
    <n v="2955000"/>
    <n v="7.2900807957947802E-2"/>
    <n v="8219000"/>
    <x v="14"/>
    <x v="1"/>
  </r>
  <r>
    <x v="113"/>
    <x v="3"/>
    <x v="2"/>
    <s v="Website"/>
    <x v="6"/>
    <n v="3"/>
    <n v="4322000"/>
    <n v="7.9199676678789105E-2"/>
    <n v="11939000"/>
    <x v="8"/>
    <x v="1"/>
  </r>
  <r>
    <x v="113"/>
    <x v="1"/>
    <x v="5"/>
    <s v="Mobile App"/>
    <x v="6"/>
    <n v="2"/>
    <n v="4820000"/>
    <n v="8.78098896232576E-2"/>
    <n v="8794000"/>
    <x v="15"/>
    <x v="1"/>
  </r>
  <r>
    <x v="113"/>
    <x v="3"/>
    <x v="1"/>
    <s v="Website"/>
    <x v="9"/>
    <n v="2"/>
    <n v="3472000"/>
    <n v="7.8363841680998497E-2"/>
    <n v="6400000"/>
    <x v="9"/>
    <x v="0"/>
  </r>
  <r>
    <x v="113"/>
    <x v="2"/>
    <x v="1"/>
    <s v="Agent"/>
    <x v="8"/>
    <n v="1"/>
    <n v="3450000"/>
    <n v="0.144705624704175"/>
    <n v="2951000"/>
    <x v="8"/>
    <x v="1"/>
  </r>
  <r>
    <x v="114"/>
    <x v="3"/>
    <x v="0"/>
    <s v="Website"/>
    <x v="1"/>
    <n v="4"/>
    <n v="2928000"/>
    <n v="6.16729349797236E-2"/>
    <n v="10990000"/>
    <x v="13"/>
    <x v="0"/>
  </r>
  <r>
    <x v="115"/>
    <x v="3"/>
    <x v="3"/>
    <s v="Mobile App"/>
    <x v="5"/>
    <n v="3"/>
    <n v="2421000"/>
    <n v="6.0883910493221803E-2"/>
    <n v="6821000"/>
    <x v="12"/>
    <x v="1"/>
  </r>
  <r>
    <x v="115"/>
    <x v="2"/>
    <x v="2"/>
    <s v="Mobile App"/>
    <x v="5"/>
    <n v="1"/>
    <n v="4611000"/>
    <n v="5.84771405554056E-2"/>
    <n v="4341000"/>
    <x v="4"/>
    <x v="1"/>
  </r>
  <r>
    <x v="115"/>
    <x v="1"/>
    <x v="5"/>
    <s v="Website"/>
    <x v="5"/>
    <n v="1"/>
    <n v="6011000"/>
    <n v="0.166738636829253"/>
    <n v="5009000"/>
    <x v="4"/>
    <x v="0"/>
  </r>
  <r>
    <x v="115"/>
    <x v="3"/>
    <x v="0"/>
    <s v="Mobile App"/>
    <x v="4"/>
    <n v="2"/>
    <n v="2973000"/>
    <n v="5.2288116241397897E-2"/>
    <n v="5635000"/>
    <x v="8"/>
    <x v="1"/>
  </r>
  <r>
    <x v="116"/>
    <x v="1"/>
    <x v="2"/>
    <s v="Website"/>
    <x v="4"/>
    <n v="1"/>
    <n v="4393000"/>
    <n v="0.11986437209586"/>
    <n v="3866000"/>
    <x v="8"/>
    <x v="0"/>
  </r>
  <r>
    <x v="116"/>
    <x v="3"/>
    <x v="3"/>
    <s v="Website"/>
    <x v="8"/>
    <n v="1"/>
    <n v="2668000"/>
    <n v="0.129308818442151"/>
    <n v="2323000"/>
    <x v="13"/>
    <x v="1"/>
  </r>
  <r>
    <x v="116"/>
    <x v="1"/>
    <x v="1"/>
    <s v="Mobile App"/>
    <x v="8"/>
    <n v="2"/>
    <n v="3570000"/>
    <n v="0.119558425421062"/>
    <n v="6286000"/>
    <x v="11"/>
    <x v="1"/>
  </r>
  <r>
    <x v="116"/>
    <x v="1"/>
    <x v="3"/>
    <s v="Website"/>
    <x v="1"/>
    <n v="3"/>
    <n v="2632000"/>
    <n v="6.8227448256473894E-2"/>
    <n v="7357000"/>
    <x v="4"/>
    <x v="1"/>
  </r>
  <r>
    <x v="117"/>
    <x v="1"/>
    <x v="4"/>
    <s v="Website"/>
    <x v="5"/>
    <n v="2"/>
    <n v="2796000"/>
    <n v="4.3482126396665502E-2"/>
    <n v="5349000"/>
    <x v="4"/>
    <x v="0"/>
  </r>
  <r>
    <x v="117"/>
    <x v="1"/>
    <x v="4"/>
    <s v="Website"/>
    <x v="3"/>
    <n v="1"/>
    <n v="2368000"/>
    <n v="2.6781291572757701E-2"/>
    <n v="2305000"/>
    <x v="1"/>
    <x v="0"/>
  </r>
  <r>
    <x v="117"/>
    <x v="1"/>
    <x v="2"/>
    <s v="Agent"/>
    <x v="1"/>
    <n v="2"/>
    <n v="3148000"/>
    <n v="0.17392060801280801"/>
    <n v="5201000"/>
    <x v="9"/>
    <x v="0"/>
  </r>
  <r>
    <x v="118"/>
    <x v="1"/>
    <x v="2"/>
    <s v="Agent"/>
    <x v="2"/>
    <n v="3"/>
    <n v="4785000"/>
    <n v="0.15035539108349499"/>
    <n v="12197000"/>
    <x v="1"/>
    <x v="1"/>
  </r>
  <r>
    <x v="118"/>
    <x v="2"/>
    <x v="0"/>
    <s v="Call Center"/>
    <x v="2"/>
    <n v="1"/>
    <n v="2589000"/>
    <n v="3.22664109642226E-2"/>
    <n v="2505000"/>
    <x v="6"/>
    <x v="1"/>
  </r>
  <r>
    <x v="119"/>
    <x v="1"/>
    <x v="1"/>
    <s v="Call Center"/>
    <x v="4"/>
    <n v="1"/>
    <n v="2651000"/>
    <n v="0.111805819687257"/>
    <n v="2355000"/>
    <x v="12"/>
    <x v="0"/>
  </r>
  <r>
    <x v="119"/>
    <x v="1"/>
    <x v="4"/>
    <s v="Mobile App"/>
    <x v="3"/>
    <n v="3"/>
    <n v="2286000"/>
    <n v="8.2937242502285596E-2"/>
    <n v="6289000"/>
    <x v="15"/>
    <x v="0"/>
  </r>
  <r>
    <x v="119"/>
    <x v="3"/>
    <x v="2"/>
    <s v="Website"/>
    <x v="3"/>
    <n v="1"/>
    <n v="3439000"/>
    <n v="0.129320488151871"/>
    <n v="2994000"/>
    <x v="8"/>
    <x v="0"/>
  </r>
  <r>
    <x v="120"/>
    <x v="1"/>
    <x v="1"/>
    <s v="Website"/>
    <x v="3"/>
    <n v="3"/>
    <n v="3343000"/>
    <n v="0.10099147180488501"/>
    <n v="9016000"/>
    <x v="6"/>
    <x v="1"/>
  </r>
  <r>
    <x v="120"/>
    <x v="1"/>
    <x v="1"/>
    <s v="Website"/>
    <x v="3"/>
    <n v="4"/>
    <n v="3507000"/>
    <n v="0.128483278992091"/>
    <n v="12226000"/>
    <x v="10"/>
    <x v="1"/>
  </r>
  <r>
    <x v="121"/>
    <x v="1"/>
    <x v="0"/>
    <s v="Agent"/>
    <x v="6"/>
    <n v="1"/>
    <n v="2784000"/>
    <n v="0.110248689843016"/>
    <n v="2477000"/>
    <x v="4"/>
    <x v="1"/>
  </r>
  <r>
    <x v="122"/>
    <x v="1"/>
    <x v="3"/>
    <s v="Mobile App"/>
    <x v="8"/>
    <n v="1"/>
    <n v="2388000"/>
    <n v="0.13924548277599499"/>
    <n v="2055000"/>
    <x v="15"/>
    <x v="1"/>
  </r>
  <r>
    <x v="122"/>
    <x v="0"/>
    <x v="3"/>
    <s v="Website"/>
    <x v="5"/>
    <n v="2"/>
    <n v="2281000"/>
    <n v="0.19005600399984801"/>
    <n v="3695000"/>
    <x v="1"/>
    <x v="1"/>
  </r>
  <r>
    <x v="123"/>
    <x v="0"/>
    <x v="5"/>
    <s v="Agent"/>
    <x v="4"/>
    <n v="1"/>
    <n v="4958000"/>
    <n v="0.10033017637762701"/>
    <n v="4461000"/>
    <x v="12"/>
    <x v="1"/>
  </r>
  <r>
    <x v="123"/>
    <x v="1"/>
    <x v="0"/>
    <s v="Mobile App"/>
    <x v="6"/>
    <n v="4"/>
    <n v="2493000"/>
    <n v="0.12418004067428499"/>
    <n v="8734000"/>
    <x v="7"/>
    <x v="1"/>
  </r>
  <r>
    <x v="124"/>
    <x v="1"/>
    <x v="2"/>
    <s v="Website"/>
    <x v="0"/>
    <n v="1"/>
    <n v="4654000"/>
    <n v="2.0311082860872399E-2"/>
    <n v="4559000"/>
    <x v="4"/>
    <x v="1"/>
  </r>
  <r>
    <x v="124"/>
    <x v="0"/>
    <x v="2"/>
    <s v="Agent"/>
    <x v="3"/>
    <n v="1"/>
    <n v="4738000"/>
    <n v="6.4000000000000001E-2"/>
    <n v="4436000"/>
    <x v="4"/>
    <x v="0"/>
  </r>
  <r>
    <x v="124"/>
    <x v="0"/>
    <x v="0"/>
    <s v="Website"/>
    <x v="1"/>
    <n v="2"/>
    <n v="2695000"/>
    <n v="1.6191471425702399E-2"/>
    <n v="5303000"/>
    <x v="9"/>
    <x v="0"/>
  </r>
  <r>
    <x v="124"/>
    <x v="0"/>
    <x v="2"/>
    <s v="Agent"/>
    <x v="8"/>
    <n v="1"/>
    <n v="4110000"/>
    <n v="0.18871338584518799"/>
    <n v="3334000"/>
    <x v="10"/>
    <x v="1"/>
  </r>
  <r>
    <x v="124"/>
    <x v="0"/>
    <x v="3"/>
    <s v="Agent"/>
    <x v="8"/>
    <n v="1"/>
    <n v="2608000"/>
    <n v="2.2509439511175602E-3"/>
    <n v="2602000"/>
    <x v="2"/>
    <x v="1"/>
  </r>
  <r>
    <x v="125"/>
    <x v="3"/>
    <x v="0"/>
    <s v="Website"/>
    <x v="7"/>
    <n v="1"/>
    <n v="2428000"/>
    <n v="0.108101160413848"/>
    <n v="2166000"/>
    <x v="2"/>
    <x v="1"/>
  </r>
  <r>
    <x v="125"/>
    <x v="0"/>
    <x v="2"/>
    <s v="Call Center"/>
    <x v="3"/>
    <n v="2"/>
    <n v="4618000"/>
    <n v="6.8522588968125006E-2"/>
    <n v="8603000"/>
    <x v="5"/>
    <x v="1"/>
  </r>
  <r>
    <x v="126"/>
    <x v="0"/>
    <x v="0"/>
    <s v="Website"/>
    <x v="8"/>
    <n v="1"/>
    <n v="2742000"/>
    <n v="8.3152481926669394E-2"/>
    <n v="2514000"/>
    <x v="0"/>
    <x v="1"/>
  </r>
  <r>
    <x v="126"/>
    <x v="3"/>
    <x v="1"/>
    <s v="Mobile App"/>
    <x v="6"/>
    <n v="2"/>
    <n v="3581000"/>
    <n v="0.114249447017124"/>
    <n v="6344000"/>
    <x v="8"/>
    <x v="1"/>
  </r>
  <r>
    <x v="127"/>
    <x v="0"/>
    <x v="5"/>
    <s v="Website"/>
    <x v="6"/>
    <n v="3"/>
    <n v="5149000"/>
    <n v="0.14145835226912101"/>
    <n v="13262000"/>
    <x v="0"/>
    <x v="0"/>
  </r>
  <r>
    <x v="127"/>
    <x v="0"/>
    <x v="2"/>
    <s v="Call Center"/>
    <x v="4"/>
    <n v="1"/>
    <n v="4478000"/>
    <n v="0.21449240142336501"/>
    <n v="3518000"/>
    <x v="13"/>
    <x v="1"/>
  </r>
  <r>
    <x v="127"/>
    <x v="3"/>
    <x v="1"/>
    <s v="Mobile App"/>
    <x v="0"/>
    <n v="1"/>
    <n v="3761000"/>
    <n v="8.61841462278162E-2"/>
    <n v="3437000"/>
    <x v="3"/>
    <x v="1"/>
  </r>
  <r>
    <x v="127"/>
    <x v="3"/>
    <x v="5"/>
    <s v="Website"/>
    <x v="5"/>
    <n v="2"/>
    <n v="5443000"/>
    <n v="9.2440144277137204E-2"/>
    <n v="9880000"/>
    <x v="12"/>
    <x v="1"/>
  </r>
  <r>
    <x v="128"/>
    <x v="1"/>
    <x v="1"/>
    <s v="Agent"/>
    <x v="4"/>
    <n v="3"/>
    <n v="2692000"/>
    <n v="7.7027635137935896E-2"/>
    <n v="7454000"/>
    <x v="0"/>
    <x v="0"/>
  </r>
  <r>
    <x v="128"/>
    <x v="2"/>
    <x v="0"/>
    <s v="Mobile App"/>
    <x v="0"/>
    <n v="1"/>
    <n v="2791000"/>
    <n v="9.0362562152126194E-2"/>
    <n v="2539000"/>
    <x v="5"/>
    <x v="1"/>
  </r>
  <r>
    <x v="128"/>
    <x v="2"/>
    <x v="1"/>
    <s v="Mobile App"/>
    <x v="0"/>
    <n v="2"/>
    <n v="3295000"/>
    <n v="8.3664240592375497E-2"/>
    <n v="6039000"/>
    <x v="4"/>
    <x v="0"/>
  </r>
  <r>
    <x v="128"/>
    <x v="1"/>
    <x v="5"/>
    <s v="Website"/>
    <x v="0"/>
    <n v="1"/>
    <n v="5894000"/>
    <n v="9.3028636854518398E-2"/>
    <n v="5346000"/>
    <x v="14"/>
    <x v="0"/>
  </r>
  <r>
    <x v="128"/>
    <x v="0"/>
    <x v="1"/>
    <s v="Mobile App"/>
    <x v="4"/>
    <n v="2"/>
    <n v="2529000"/>
    <n v="0.16262669559784301"/>
    <n v="4235000"/>
    <x v="15"/>
    <x v="0"/>
  </r>
  <r>
    <x v="129"/>
    <x v="3"/>
    <x v="0"/>
    <s v="Website"/>
    <x v="1"/>
    <n v="1"/>
    <n v="2733000"/>
    <n v="9.5086809614440201E-2"/>
    <n v="2473000"/>
    <x v="10"/>
    <x v="1"/>
  </r>
  <r>
    <x v="129"/>
    <x v="3"/>
    <x v="0"/>
    <s v="Agent"/>
    <x v="5"/>
    <n v="3"/>
    <n v="2648000"/>
    <n v="4.62313976964124E-2"/>
    <n v="7577000"/>
    <x v="6"/>
    <x v="1"/>
  </r>
  <r>
    <x v="129"/>
    <x v="0"/>
    <x v="3"/>
    <s v="Mobile App"/>
    <x v="3"/>
    <n v="3"/>
    <n v="2926000"/>
    <n v="7.8901238007753699E-2"/>
    <n v="8085000"/>
    <x v="2"/>
    <x v="1"/>
  </r>
  <r>
    <x v="129"/>
    <x v="2"/>
    <x v="5"/>
    <s v="Website"/>
    <x v="8"/>
    <n v="2"/>
    <n v="5573000"/>
    <n v="0.12822399514556701"/>
    <n v="9717000"/>
    <x v="6"/>
    <x v="1"/>
  </r>
  <r>
    <x v="129"/>
    <x v="0"/>
    <x v="1"/>
    <s v="Mobile App"/>
    <x v="2"/>
    <n v="2"/>
    <n v="3822000"/>
    <n v="0.115779936335367"/>
    <n v="6759000"/>
    <x v="14"/>
    <x v="1"/>
  </r>
  <r>
    <x v="129"/>
    <x v="0"/>
    <x v="1"/>
    <s v="Mobile App"/>
    <x v="5"/>
    <n v="2"/>
    <n v="3539000"/>
    <n v="0.13717554580691799"/>
    <n v="6107000"/>
    <x v="15"/>
    <x v="0"/>
  </r>
  <r>
    <x v="130"/>
    <x v="0"/>
    <x v="0"/>
    <s v="Mobile App"/>
    <x v="9"/>
    <n v="3"/>
    <n v="2925000"/>
    <n v="0.104425028124961"/>
    <n v="7859000"/>
    <x v="12"/>
    <x v="1"/>
  </r>
  <r>
    <x v="130"/>
    <x v="3"/>
    <x v="2"/>
    <s v="Call Center"/>
    <x v="1"/>
    <n v="1"/>
    <n v="3478000"/>
    <n v="0.111551815433777"/>
    <n v="3090000"/>
    <x v="13"/>
    <x v="1"/>
  </r>
  <r>
    <x v="130"/>
    <x v="1"/>
    <x v="2"/>
    <s v="Mobile App"/>
    <x v="4"/>
    <n v="2"/>
    <n v="4665000"/>
    <n v="0.173260652568898"/>
    <n v="7713000"/>
    <x v="6"/>
    <x v="1"/>
  </r>
  <r>
    <x v="131"/>
    <x v="0"/>
    <x v="2"/>
    <s v="Website"/>
    <x v="8"/>
    <n v="2"/>
    <n v="4147000"/>
    <n v="7.1491676446912802E-2"/>
    <n v="7701000"/>
    <x v="15"/>
    <x v="0"/>
  </r>
  <r>
    <x v="132"/>
    <x v="3"/>
    <x v="4"/>
    <s v="Call Center"/>
    <x v="9"/>
    <n v="2"/>
    <n v="2762000"/>
    <n v="5.18305449047506E-2"/>
    <n v="5238000"/>
    <x v="6"/>
    <x v="1"/>
  </r>
  <r>
    <x v="133"/>
    <x v="1"/>
    <x v="2"/>
    <s v="Website"/>
    <x v="6"/>
    <n v="2"/>
    <n v="4137000"/>
    <n v="0.14490338648668799"/>
    <n v="7075000"/>
    <x v="6"/>
    <x v="0"/>
  </r>
  <r>
    <x v="133"/>
    <x v="2"/>
    <x v="2"/>
    <s v="Website"/>
    <x v="0"/>
    <n v="2"/>
    <n v="4770000"/>
    <n v="0.10441888332431799"/>
    <n v="8544000"/>
    <x v="15"/>
    <x v="1"/>
  </r>
  <r>
    <x v="134"/>
    <x v="0"/>
    <x v="0"/>
    <s v="Website"/>
    <x v="1"/>
    <n v="1"/>
    <n v="2955000"/>
    <n v="9.7000000000000003E-2"/>
    <n v="2670000"/>
    <x v="19"/>
    <x v="0"/>
  </r>
  <r>
    <x v="134"/>
    <x v="1"/>
    <x v="4"/>
    <s v="Website"/>
    <x v="0"/>
    <n v="4"/>
    <n v="2703000"/>
    <n v="0.111456608934951"/>
    <n v="9607000"/>
    <x v="10"/>
    <x v="1"/>
  </r>
  <r>
    <x v="134"/>
    <x v="1"/>
    <x v="2"/>
    <s v="Website"/>
    <x v="4"/>
    <n v="1"/>
    <n v="4501000"/>
    <n v="4.7071232792888003E-2"/>
    <n v="4289000"/>
    <x v="8"/>
    <x v="1"/>
  </r>
  <r>
    <x v="135"/>
    <x v="3"/>
    <x v="0"/>
    <s v="Mobile App"/>
    <x v="6"/>
    <n v="5"/>
    <n v="2565000"/>
    <n v="9.1202347363290207E-2"/>
    <n v="11655000"/>
    <x v="4"/>
    <x v="1"/>
  </r>
  <r>
    <x v="135"/>
    <x v="1"/>
    <x v="2"/>
    <s v="Website"/>
    <x v="0"/>
    <n v="1"/>
    <n v="4634000"/>
    <n v="7.0362784791244096E-2"/>
    <n v="4308000"/>
    <x v="13"/>
    <x v="0"/>
  </r>
  <r>
    <x v="136"/>
    <x v="1"/>
    <x v="5"/>
    <s v="Agent"/>
    <x v="9"/>
    <n v="1"/>
    <n v="6162000"/>
    <n v="9.8381114748162704E-2"/>
    <n v="5556000"/>
    <x v="5"/>
    <x v="1"/>
  </r>
  <r>
    <x v="136"/>
    <x v="1"/>
    <x v="1"/>
    <s v="Website"/>
    <x v="9"/>
    <n v="4"/>
    <n v="3562000"/>
    <n v="2.9186518955173799E-2"/>
    <n v="13832000"/>
    <x v="6"/>
    <x v="1"/>
  </r>
  <r>
    <x v="136"/>
    <x v="3"/>
    <x v="1"/>
    <s v="Website"/>
    <x v="4"/>
    <n v="3"/>
    <n v="2871000"/>
    <n v="0.126761686349249"/>
    <n v="7521000"/>
    <x v="18"/>
    <x v="0"/>
  </r>
  <r>
    <x v="136"/>
    <x v="2"/>
    <x v="3"/>
    <s v="Call Center"/>
    <x v="7"/>
    <n v="2"/>
    <n v="2033000"/>
    <n v="8.0490472460963899E-2"/>
    <n v="3739000"/>
    <x v="4"/>
    <x v="1"/>
  </r>
  <r>
    <x v="137"/>
    <x v="2"/>
    <x v="2"/>
    <s v="Website"/>
    <x v="0"/>
    <n v="2"/>
    <n v="4924000"/>
    <n v="5.8375611635130602E-2"/>
    <n v="9273000"/>
    <x v="6"/>
    <x v="0"/>
  </r>
  <r>
    <x v="138"/>
    <x v="3"/>
    <x v="3"/>
    <s v="Agent"/>
    <x v="6"/>
    <n v="1"/>
    <n v="2131000"/>
    <n v="0.105087640444657"/>
    <n v="1907000"/>
    <x v="2"/>
    <x v="1"/>
  </r>
  <r>
    <x v="138"/>
    <x v="0"/>
    <x v="0"/>
    <s v="Call Center"/>
    <x v="1"/>
    <n v="2"/>
    <n v="2774000"/>
    <n v="0.103825734190979"/>
    <n v="4972000"/>
    <x v="15"/>
    <x v="1"/>
  </r>
  <r>
    <x v="139"/>
    <x v="2"/>
    <x v="1"/>
    <s v="Website"/>
    <x v="2"/>
    <n v="1"/>
    <n v="4391000"/>
    <n v="7.3302922452416305E-2"/>
    <n v="4069000"/>
    <x v="5"/>
    <x v="0"/>
  </r>
  <r>
    <x v="139"/>
    <x v="0"/>
    <x v="3"/>
    <s v="Website"/>
    <x v="2"/>
    <n v="1"/>
    <n v="2682000"/>
    <n v="0.13479613295791601"/>
    <n v="2320000"/>
    <x v="14"/>
    <x v="0"/>
  </r>
  <r>
    <x v="140"/>
    <x v="1"/>
    <x v="0"/>
    <s v="Website"/>
    <x v="2"/>
    <n v="1"/>
    <n v="3637000"/>
    <n v="0.13229587165958201"/>
    <n v="3156000"/>
    <x v="1"/>
    <x v="1"/>
  </r>
  <r>
    <x v="140"/>
    <x v="3"/>
    <x v="5"/>
    <s v="Agent"/>
    <x v="4"/>
    <n v="3"/>
    <n v="4864000"/>
    <n v="0.11688524112584001"/>
    <n v="12886000"/>
    <x v="14"/>
    <x v="1"/>
  </r>
  <r>
    <x v="141"/>
    <x v="1"/>
    <x v="5"/>
    <s v="Agent"/>
    <x v="2"/>
    <n v="3"/>
    <n v="5393000"/>
    <n v="0.133577763334882"/>
    <n v="14018000"/>
    <x v="4"/>
    <x v="1"/>
  </r>
  <r>
    <x v="142"/>
    <x v="0"/>
    <x v="1"/>
    <s v="Mobile App"/>
    <x v="0"/>
    <n v="1"/>
    <n v="3871000"/>
    <n v="0.12274595809396099"/>
    <n v="3396000"/>
    <x v="14"/>
    <x v="0"/>
  </r>
  <r>
    <x v="142"/>
    <x v="1"/>
    <x v="1"/>
    <s v="Mobile App"/>
    <x v="9"/>
    <n v="2"/>
    <n v="3841000"/>
    <n v="0.13959205107761799"/>
    <n v="6610000"/>
    <x v="7"/>
    <x v="0"/>
  </r>
  <r>
    <x v="143"/>
    <x v="0"/>
    <x v="5"/>
    <s v="Agent"/>
    <x v="9"/>
    <n v="1"/>
    <n v="4699000"/>
    <n v="0.114415378337847"/>
    <n v="4161000"/>
    <x v="10"/>
    <x v="1"/>
  </r>
  <r>
    <x v="143"/>
    <x v="0"/>
    <x v="5"/>
    <s v="Agent"/>
    <x v="3"/>
    <n v="2"/>
    <n v="5115000"/>
    <n v="0.15529737385499301"/>
    <n v="8641000"/>
    <x v="10"/>
    <x v="1"/>
  </r>
  <r>
    <x v="144"/>
    <x v="1"/>
    <x v="0"/>
    <s v="Mobile App"/>
    <x v="3"/>
    <n v="2"/>
    <n v="2696000"/>
    <n v="8.8963521086540501E-2"/>
    <n v="4912000"/>
    <x v="8"/>
    <x v="1"/>
  </r>
  <r>
    <x v="144"/>
    <x v="1"/>
    <x v="2"/>
    <s v="Website"/>
    <x v="8"/>
    <n v="3"/>
    <n v="4212000"/>
    <n v="0.109956456250403"/>
    <n v="11247000"/>
    <x v="13"/>
    <x v="1"/>
  </r>
  <r>
    <x v="144"/>
    <x v="0"/>
    <x v="2"/>
    <s v="Website"/>
    <x v="5"/>
    <n v="2"/>
    <n v="4618000"/>
    <n v="0.13453457881367401"/>
    <n v="7993000"/>
    <x v="14"/>
    <x v="1"/>
  </r>
  <r>
    <x v="145"/>
    <x v="3"/>
    <x v="1"/>
    <s v="Website"/>
    <x v="1"/>
    <n v="5"/>
    <n v="2723000"/>
    <n v="3.56315585424107E-2"/>
    <n v="13130000"/>
    <x v="4"/>
    <x v="1"/>
  </r>
  <r>
    <x v="145"/>
    <x v="0"/>
    <x v="5"/>
    <s v="Mobile App"/>
    <x v="0"/>
    <n v="3"/>
    <n v="5842000"/>
    <n v="0.156507832943139"/>
    <n v="14783000"/>
    <x v="1"/>
    <x v="0"/>
  </r>
  <r>
    <x v="145"/>
    <x v="3"/>
    <x v="2"/>
    <s v="Website"/>
    <x v="2"/>
    <n v="2"/>
    <n v="4704000"/>
    <n v="0.14688478805237301"/>
    <n v="8026000"/>
    <x v="6"/>
    <x v="1"/>
  </r>
  <r>
    <x v="145"/>
    <x v="1"/>
    <x v="0"/>
    <s v="Mobile App"/>
    <x v="8"/>
    <n v="3"/>
    <n v="2419000"/>
    <n v="6.7141603393910607E-2"/>
    <n v="6770000"/>
    <x v="12"/>
    <x v="0"/>
  </r>
  <r>
    <x v="146"/>
    <x v="3"/>
    <x v="5"/>
    <s v="Website"/>
    <x v="9"/>
    <n v="1"/>
    <n v="5981000"/>
    <n v="9.0725245872666199E-2"/>
    <n v="5438000"/>
    <x v="9"/>
    <x v="1"/>
  </r>
  <r>
    <x v="147"/>
    <x v="2"/>
    <x v="4"/>
    <s v="Website"/>
    <x v="7"/>
    <n v="1"/>
    <n v="3010000"/>
    <n v="0.12757255270034401"/>
    <n v="2626000"/>
    <x v="13"/>
    <x v="0"/>
  </r>
  <r>
    <x v="147"/>
    <x v="0"/>
    <x v="5"/>
    <s v="Website"/>
    <x v="6"/>
    <n v="1"/>
    <n v="4868000"/>
    <n v="0.101757157937228"/>
    <n v="4373000"/>
    <x v="15"/>
    <x v="1"/>
  </r>
  <r>
    <x v="147"/>
    <x v="2"/>
    <x v="5"/>
    <s v="Website"/>
    <x v="1"/>
    <n v="4"/>
    <n v="4467000"/>
    <n v="6.1056892053026203E-2"/>
    <n v="16777000"/>
    <x v="2"/>
    <x v="1"/>
  </r>
  <r>
    <x v="148"/>
    <x v="3"/>
    <x v="0"/>
    <s v="Mobile App"/>
    <x v="1"/>
    <n v="2"/>
    <n v="2737000"/>
    <n v="8.9098980297901698E-2"/>
    <n v="4986000"/>
    <x v="17"/>
    <x v="0"/>
  </r>
  <r>
    <x v="148"/>
    <x v="1"/>
    <x v="1"/>
    <s v="Mobile App"/>
    <x v="2"/>
    <n v="1"/>
    <n v="3855000"/>
    <n v="7.8961714409864395E-2"/>
    <n v="3551000"/>
    <x v="4"/>
    <x v="1"/>
  </r>
  <r>
    <x v="148"/>
    <x v="0"/>
    <x v="0"/>
    <s v="Agent"/>
    <x v="2"/>
    <n v="1"/>
    <n v="3383000"/>
    <n v="5.0849701184642097E-2"/>
    <n v="3211000"/>
    <x v="9"/>
    <x v="1"/>
  </r>
  <r>
    <x v="149"/>
    <x v="0"/>
    <x v="0"/>
    <s v="Agent"/>
    <x v="0"/>
    <n v="2"/>
    <n v="3009000"/>
    <n v="0.16901728963913701"/>
    <n v="5001000"/>
    <x v="15"/>
    <x v="1"/>
  </r>
  <r>
    <x v="149"/>
    <x v="3"/>
    <x v="0"/>
    <s v="Website"/>
    <x v="5"/>
    <n v="1"/>
    <n v="2739000"/>
    <n v="0.187909389251527"/>
    <n v="2224000"/>
    <x v="9"/>
    <x v="1"/>
  </r>
  <r>
    <x v="149"/>
    <x v="1"/>
    <x v="5"/>
    <s v="Website"/>
    <x v="5"/>
    <n v="1"/>
    <n v="5050000"/>
    <n v="4.5374422274226202E-2"/>
    <n v="4821000"/>
    <x v="12"/>
    <x v="0"/>
  </r>
  <r>
    <x v="150"/>
    <x v="3"/>
    <x v="1"/>
    <s v="Website"/>
    <x v="6"/>
    <n v="4"/>
    <n v="3160000"/>
    <n v="0.10943837196897301"/>
    <n v="11257000"/>
    <x v="6"/>
    <x v="1"/>
  </r>
  <r>
    <x v="150"/>
    <x v="3"/>
    <x v="1"/>
    <s v="Website"/>
    <x v="0"/>
    <n v="1"/>
    <n v="3358000"/>
    <n v="0.14794103333379599"/>
    <n v="2861000"/>
    <x v="19"/>
    <x v="0"/>
  </r>
  <r>
    <x v="151"/>
    <x v="0"/>
    <x v="0"/>
    <s v="Mobile App"/>
    <x v="4"/>
    <n v="1"/>
    <n v="2869000"/>
    <n v="0.152433493154469"/>
    <n v="2432000"/>
    <x v="9"/>
    <x v="0"/>
  </r>
  <r>
    <x v="151"/>
    <x v="0"/>
    <x v="2"/>
    <s v="Mobile App"/>
    <x v="9"/>
    <n v="2"/>
    <n v="4184000"/>
    <n v="7.0576563716043803E-2"/>
    <n v="7777000"/>
    <x v="8"/>
    <x v="1"/>
  </r>
  <r>
    <x v="152"/>
    <x v="0"/>
    <x v="2"/>
    <s v="Website"/>
    <x v="2"/>
    <n v="1"/>
    <n v="4321000"/>
    <n v="6.2100044403566999E-2"/>
    <n v="4053000"/>
    <x v="12"/>
    <x v="0"/>
  </r>
  <r>
    <x v="152"/>
    <x v="0"/>
    <x v="4"/>
    <s v="Mobile App"/>
    <x v="8"/>
    <n v="1"/>
    <n v="2507000"/>
    <n v="0.17332845277123901"/>
    <n v="2072000"/>
    <x v="15"/>
    <x v="1"/>
  </r>
  <r>
    <x v="152"/>
    <x v="3"/>
    <x v="5"/>
    <s v="Agent"/>
    <x v="2"/>
    <n v="1"/>
    <n v="5026000"/>
    <n v="8.3210975721356398E-2"/>
    <n v="4608000"/>
    <x v="8"/>
    <x v="0"/>
  </r>
  <r>
    <x v="152"/>
    <x v="1"/>
    <x v="4"/>
    <s v="Website"/>
    <x v="3"/>
    <n v="1"/>
    <n v="2377000"/>
    <n v="8.8144484337912499E-2"/>
    <n v="2167000"/>
    <x v="2"/>
    <x v="1"/>
  </r>
  <r>
    <x v="153"/>
    <x v="1"/>
    <x v="2"/>
    <s v="Website"/>
    <x v="5"/>
    <n v="1"/>
    <n v="4478000"/>
    <n v="0.15762619161958799"/>
    <n v="3772000"/>
    <x v="0"/>
    <x v="1"/>
  </r>
  <r>
    <x v="154"/>
    <x v="1"/>
    <x v="1"/>
    <s v="Agent"/>
    <x v="7"/>
    <n v="3"/>
    <n v="3150000"/>
    <n v="7.7291890027287993E-2"/>
    <n v="8720000"/>
    <x v="8"/>
    <x v="0"/>
  </r>
  <r>
    <x v="154"/>
    <x v="2"/>
    <x v="1"/>
    <s v="Website"/>
    <x v="4"/>
    <n v="1"/>
    <n v="2775000"/>
    <n v="0.12127803263804"/>
    <n v="2438000"/>
    <x v="15"/>
    <x v="0"/>
  </r>
  <r>
    <x v="154"/>
    <x v="1"/>
    <x v="2"/>
    <s v="Mobile App"/>
    <x v="8"/>
    <n v="3"/>
    <n v="3953000"/>
    <n v="0.14958038563506501"/>
    <n v="10085000"/>
    <x v="15"/>
    <x v="0"/>
  </r>
  <r>
    <x v="154"/>
    <x v="3"/>
    <x v="2"/>
    <s v="Agent"/>
    <x v="0"/>
    <n v="1"/>
    <n v="4507000"/>
    <n v="0.104"/>
    <n v="4038000"/>
    <x v="8"/>
    <x v="1"/>
  </r>
  <r>
    <x v="154"/>
    <x v="3"/>
    <x v="0"/>
    <s v="Mobile App"/>
    <x v="6"/>
    <n v="1"/>
    <n v="2564000"/>
    <n v="8.8845967972523004E-2"/>
    <n v="2336000"/>
    <x v="14"/>
    <x v="1"/>
  </r>
  <r>
    <x v="155"/>
    <x v="1"/>
    <x v="5"/>
    <s v="Mobile App"/>
    <x v="8"/>
    <n v="1"/>
    <n v="5123000"/>
    <n v="0.16408318690932999"/>
    <n v="4282000"/>
    <x v="12"/>
    <x v="0"/>
  </r>
  <r>
    <x v="155"/>
    <x v="0"/>
    <x v="0"/>
    <s v="Website"/>
    <x v="9"/>
    <n v="1"/>
    <n v="2873000"/>
    <n v="8.5868840306755706E-2"/>
    <n v="2626000"/>
    <x v="15"/>
    <x v="1"/>
  </r>
  <r>
    <x v="155"/>
    <x v="1"/>
    <x v="1"/>
    <s v="Website"/>
    <x v="0"/>
    <n v="1"/>
    <n v="3768000"/>
    <n v="9.0604113146251899E-2"/>
    <n v="3427000"/>
    <x v="12"/>
    <x v="1"/>
  </r>
  <r>
    <x v="155"/>
    <x v="1"/>
    <x v="3"/>
    <s v="Mobile App"/>
    <x v="0"/>
    <n v="1"/>
    <n v="2798000"/>
    <n v="9.3426525529964694E-2"/>
    <n v="2537000"/>
    <x v="2"/>
    <x v="1"/>
  </r>
  <r>
    <x v="155"/>
    <x v="1"/>
    <x v="3"/>
    <s v="Mobile App"/>
    <x v="6"/>
    <n v="4"/>
    <n v="2305000"/>
    <n v="8.6978673473297699E-2"/>
    <n v="8418000"/>
    <x v="7"/>
    <x v="1"/>
  </r>
  <r>
    <x v="155"/>
    <x v="1"/>
    <x v="2"/>
    <s v="Mobile App"/>
    <x v="6"/>
    <n v="5"/>
    <n v="4577000"/>
    <n v="0.10844487080319"/>
    <n v="20403000"/>
    <x v="12"/>
    <x v="1"/>
  </r>
  <r>
    <x v="156"/>
    <x v="0"/>
    <x v="3"/>
    <s v="Mobile App"/>
    <x v="0"/>
    <n v="1"/>
    <n v="2515000"/>
    <n v="9.8483605064938307E-2"/>
    <n v="2267000"/>
    <x v="9"/>
    <x v="1"/>
  </r>
  <r>
    <x v="156"/>
    <x v="1"/>
    <x v="1"/>
    <s v="Website"/>
    <x v="5"/>
    <n v="2"/>
    <n v="3847000"/>
    <n v="0.16151335957606799"/>
    <n v="6451000"/>
    <x v="2"/>
    <x v="1"/>
  </r>
  <r>
    <x v="157"/>
    <x v="1"/>
    <x v="1"/>
    <s v="Website"/>
    <x v="5"/>
    <n v="4"/>
    <n v="3937000"/>
    <n v="9.48844623219533E-2"/>
    <n v="14254000"/>
    <x v="8"/>
    <x v="1"/>
  </r>
  <r>
    <x v="158"/>
    <x v="0"/>
    <x v="5"/>
    <s v="Mobile App"/>
    <x v="0"/>
    <n v="1"/>
    <n v="5404000"/>
    <n v="6.21641730195793E-2"/>
    <n v="5068000"/>
    <x v="1"/>
    <x v="1"/>
  </r>
  <r>
    <x v="159"/>
    <x v="1"/>
    <x v="1"/>
    <s v="Website"/>
    <x v="7"/>
    <n v="1"/>
    <n v="3244000"/>
    <n v="8.5042948372395094E-2"/>
    <n v="2968000"/>
    <x v="6"/>
    <x v="0"/>
  </r>
  <r>
    <x v="159"/>
    <x v="2"/>
    <x v="0"/>
    <s v="Agent"/>
    <x v="3"/>
    <n v="1"/>
    <n v="2850000"/>
    <n v="4.3460255759039397E-2"/>
    <n v="2726000"/>
    <x v="4"/>
    <x v="1"/>
  </r>
  <r>
    <x v="159"/>
    <x v="1"/>
    <x v="0"/>
    <s v="Website"/>
    <x v="2"/>
    <n v="2"/>
    <n v="3467000"/>
    <n v="0.15188122252674499"/>
    <n v="5881000"/>
    <x v="6"/>
    <x v="1"/>
  </r>
  <r>
    <x v="159"/>
    <x v="1"/>
    <x v="2"/>
    <s v="Website"/>
    <x v="5"/>
    <n v="1"/>
    <n v="4313000"/>
    <n v="0.10340855519133101"/>
    <n v="3867000"/>
    <x v="8"/>
    <x v="1"/>
  </r>
  <r>
    <x v="160"/>
    <x v="3"/>
    <x v="5"/>
    <s v="Website"/>
    <x v="1"/>
    <n v="2"/>
    <n v="5166000"/>
    <n v="0.144685536163426"/>
    <n v="8837000"/>
    <x v="15"/>
    <x v="1"/>
  </r>
  <r>
    <x v="160"/>
    <x v="1"/>
    <x v="4"/>
    <s v="Agent"/>
    <x v="2"/>
    <n v="2"/>
    <n v="2552000"/>
    <n v="8.2785199562849895E-2"/>
    <n v="4681000"/>
    <x v="10"/>
    <x v="0"/>
  </r>
  <r>
    <x v="160"/>
    <x v="3"/>
    <x v="1"/>
    <s v="Website"/>
    <x v="0"/>
    <n v="2"/>
    <n v="3732000"/>
    <n v="6.3498775353667505E-2"/>
    <n v="6990000"/>
    <x v="13"/>
    <x v="1"/>
  </r>
  <r>
    <x v="160"/>
    <x v="2"/>
    <x v="3"/>
    <s v="Mobile App"/>
    <x v="7"/>
    <n v="1"/>
    <n v="2061000"/>
    <n v="4.3964453894884001E-2"/>
    <n v="1970000"/>
    <x v="12"/>
    <x v="0"/>
  </r>
  <r>
    <x v="160"/>
    <x v="1"/>
    <x v="0"/>
    <s v="Website"/>
    <x v="8"/>
    <n v="3"/>
    <n v="2428000"/>
    <n v="7.8269637473999204E-2"/>
    <n v="6714000"/>
    <x v="8"/>
    <x v="1"/>
  </r>
  <r>
    <x v="161"/>
    <x v="2"/>
    <x v="3"/>
    <s v="Website"/>
    <x v="6"/>
    <n v="1"/>
    <n v="2240000"/>
    <n v="9.5284947626855895E-2"/>
    <n v="2027000"/>
    <x v="15"/>
    <x v="1"/>
  </r>
  <r>
    <x v="161"/>
    <x v="2"/>
    <x v="2"/>
    <s v="Website"/>
    <x v="3"/>
    <n v="2"/>
    <n v="4951000"/>
    <n v="7.07941302306761E-2"/>
    <n v="9201000"/>
    <x v="14"/>
    <x v="1"/>
  </r>
  <r>
    <x v="162"/>
    <x v="1"/>
    <x v="1"/>
    <s v="Agent"/>
    <x v="4"/>
    <n v="2"/>
    <n v="2854000"/>
    <n v="7.9352903678816894E-2"/>
    <n v="5255000"/>
    <x v="4"/>
    <x v="0"/>
  </r>
  <r>
    <x v="162"/>
    <x v="1"/>
    <x v="2"/>
    <s v="Mobile App"/>
    <x v="0"/>
    <n v="2"/>
    <n v="4435000"/>
    <n v="0.13551494933809399"/>
    <n v="7668000"/>
    <x v="4"/>
    <x v="1"/>
  </r>
  <r>
    <x v="163"/>
    <x v="3"/>
    <x v="0"/>
    <s v="Website"/>
    <x v="7"/>
    <n v="2"/>
    <n v="2286000"/>
    <n v="0.108390797346418"/>
    <n v="4076000"/>
    <x v="9"/>
    <x v="1"/>
  </r>
  <r>
    <x v="163"/>
    <x v="0"/>
    <x v="4"/>
    <s v="Agent"/>
    <x v="7"/>
    <n v="3"/>
    <n v="2194000"/>
    <n v="0.173589697241361"/>
    <n v="5439000"/>
    <x v="5"/>
    <x v="1"/>
  </r>
  <r>
    <x v="163"/>
    <x v="1"/>
    <x v="3"/>
    <s v="Agent"/>
    <x v="1"/>
    <n v="4"/>
    <n v="2346000"/>
    <n v="0.102700605401883"/>
    <n v="8420000"/>
    <x v="4"/>
    <x v="1"/>
  </r>
  <r>
    <x v="164"/>
    <x v="0"/>
    <x v="2"/>
    <s v="Call Center"/>
    <x v="2"/>
    <n v="1"/>
    <n v="4483000"/>
    <n v="7.7922931429249095E-2"/>
    <n v="4134000"/>
    <x v="6"/>
    <x v="1"/>
  </r>
  <r>
    <x v="164"/>
    <x v="3"/>
    <x v="2"/>
    <s v="Agent"/>
    <x v="9"/>
    <n v="3"/>
    <n v="4215000"/>
    <n v="0.126215465889293"/>
    <n v="11049000"/>
    <x v="4"/>
    <x v="1"/>
  </r>
  <r>
    <x v="165"/>
    <x v="1"/>
    <x v="0"/>
    <s v="Website"/>
    <x v="9"/>
    <n v="1"/>
    <n v="2687000"/>
    <n v="0.102474410156115"/>
    <n v="2412000"/>
    <x v="6"/>
    <x v="0"/>
  </r>
  <r>
    <x v="165"/>
    <x v="3"/>
    <x v="3"/>
    <s v="Agent"/>
    <x v="8"/>
    <n v="3"/>
    <n v="2835000"/>
    <n v="6.5000000000000002E-2"/>
    <n v="7948000"/>
    <x v="12"/>
    <x v="1"/>
  </r>
  <r>
    <x v="165"/>
    <x v="3"/>
    <x v="0"/>
    <s v="Agent"/>
    <x v="5"/>
    <n v="5"/>
    <n v="2768000"/>
    <n v="8.9848927713844298E-2"/>
    <n v="12596000"/>
    <x v="9"/>
    <x v="0"/>
  </r>
  <r>
    <x v="165"/>
    <x v="0"/>
    <x v="2"/>
    <s v="Agent"/>
    <x v="8"/>
    <n v="2"/>
    <n v="4120000"/>
    <n v="5.8558663693185797E-2"/>
    <n v="7757000"/>
    <x v="7"/>
    <x v="0"/>
  </r>
  <r>
    <x v="166"/>
    <x v="1"/>
    <x v="2"/>
    <s v="Website"/>
    <x v="9"/>
    <n v="2"/>
    <n v="4343000"/>
    <n v="0.104421891003829"/>
    <n v="7779000"/>
    <x v="9"/>
    <x v="0"/>
  </r>
  <r>
    <x v="166"/>
    <x v="1"/>
    <x v="2"/>
    <s v="Website"/>
    <x v="6"/>
    <n v="1"/>
    <n v="4162000"/>
    <n v="0.142687730358874"/>
    <n v="3568000"/>
    <x v="1"/>
    <x v="1"/>
  </r>
  <r>
    <x v="166"/>
    <x v="3"/>
    <x v="2"/>
    <s v="Website"/>
    <x v="2"/>
    <n v="4"/>
    <n v="4362000"/>
    <n v="8.7433272123601899E-2"/>
    <n v="15922000"/>
    <x v="1"/>
    <x v="1"/>
  </r>
  <r>
    <x v="167"/>
    <x v="3"/>
    <x v="0"/>
    <s v="Website"/>
    <x v="1"/>
    <n v="1"/>
    <n v="2646000"/>
    <n v="8.1000000000000003E-2"/>
    <n v="2431000"/>
    <x v="1"/>
    <x v="1"/>
  </r>
  <r>
    <x v="167"/>
    <x v="2"/>
    <x v="1"/>
    <s v="Mobile App"/>
    <x v="8"/>
    <n v="1"/>
    <n v="3423000"/>
    <n v="0.21848904523277399"/>
    <n v="2675000"/>
    <x v="6"/>
    <x v="1"/>
  </r>
  <r>
    <x v="167"/>
    <x v="0"/>
    <x v="0"/>
    <s v="Website"/>
    <x v="0"/>
    <n v="3"/>
    <n v="2802000"/>
    <n v="0.15625002965773699"/>
    <n v="7093000"/>
    <x v="13"/>
    <x v="1"/>
  </r>
  <r>
    <x v="168"/>
    <x v="2"/>
    <x v="0"/>
    <s v="Website"/>
    <x v="1"/>
    <n v="2"/>
    <n v="2811000"/>
    <n v="8.0790298383325895E-2"/>
    <n v="5168000"/>
    <x v="0"/>
    <x v="1"/>
  </r>
  <r>
    <x v="169"/>
    <x v="3"/>
    <x v="2"/>
    <s v="Agent"/>
    <x v="4"/>
    <n v="1"/>
    <n v="4093000"/>
    <n v="4.5214481022051403E-2"/>
    <n v="3908000"/>
    <x v="13"/>
    <x v="1"/>
  </r>
  <r>
    <x v="170"/>
    <x v="1"/>
    <x v="2"/>
    <s v="Website"/>
    <x v="9"/>
    <n v="2"/>
    <n v="4161000"/>
    <n v="0.115172206924309"/>
    <n v="7364000"/>
    <x v="4"/>
    <x v="0"/>
  </r>
  <r>
    <x v="171"/>
    <x v="1"/>
    <x v="3"/>
    <s v="Website"/>
    <x v="4"/>
    <n v="1"/>
    <n v="1474000"/>
    <n v="8.0785527852395095E-2"/>
    <n v="1355000"/>
    <x v="1"/>
    <x v="1"/>
  </r>
  <r>
    <x v="171"/>
    <x v="1"/>
    <x v="5"/>
    <s v="Agent"/>
    <x v="4"/>
    <n v="3"/>
    <n v="3602000"/>
    <n v="0.107792735923065"/>
    <n v="9641000"/>
    <x v="6"/>
    <x v="0"/>
  </r>
  <r>
    <x v="171"/>
    <x v="1"/>
    <x v="2"/>
    <s v="Website"/>
    <x v="5"/>
    <n v="1"/>
    <n v="4035000"/>
    <n v="7.2289318681509299E-2"/>
    <n v="3743000"/>
    <x v="0"/>
    <x v="1"/>
  </r>
  <r>
    <x v="171"/>
    <x v="3"/>
    <x v="2"/>
    <s v="Website"/>
    <x v="3"/>
    <n v="1"/>
    <n v="4783000"/>
    <n v="8.3732746276136499E-2"/>
    <n v="4383000"/>
    <x v="4"/>
    <x v="1"/>
  </r>
  <r>
    <x v="172"/>
    <x v="1"/>
    <x v="2"/>
    <s v="Agent"/>
    <x v="9"/>
    <n v="4"/>
    <n v="4119000"/>
    <n v="0.104506381557556"/>
    <n v="14754000"/>
    <x v="19"/>
    <x v="1"/>
  </r>
  <r>
    <x v="173"/>
    <x v="1"/>
    <x v="0"/>
    <s v="Mobile App"/>
    <x v="2"/>
    <n v="3"/>
    <n v="3365000"/>
    <n v="0.149985848451413"/>
    <n v="8581000"/>
    <x v="0"/>
    <x v="0"/>
  </r>
  <r>
    <x v="173"/>
    <x v="1"/>
    <x v="5"/>
    <s v="Website"/>
    <x v="1"/>
    <n v="1"/>
    <n v="4952000"/>
    <n v="5.8066270270785002E-2"/>
    <n v="4664000"/>
    <x v="15"/>
    <x v="1"/>
  </r>
  <r>
    <x v="174"/>
    <x v="0"/>
    <x v="1"/>
    <s v="Agent"/>
    <x v="1"/>
    <n v="2"/>
    <n v="3075000"/>
    <n v="0.110712560886203"/>
    <n v="5469000"/>
    <x v="14"/>
    <x v="1"/>
  </r>
  <r>
    <x v="174"/>
    <x v="1"/>
    <x v="5"/>
    <s v="Agent"/>
    <x v="4"/>
    <n v="2"/>
    <n v="4530000"/>
    <n v="7.4756615049533404E-2"/>
    <n v="8383000"/>
    <x v="6"/>
    <x v="1"/>
  </r>
  <r>
    <x v="174"/>
    <x v="1"/>
    <x v="2"/>
    <s v="Mobile App"/>
    <x v="3"/>
    <n v="3"/>
    <n v="4058000"/>
    <n v="0.115325443178311"/>
    <n v="10770000"/>
    <x v="12"/>
    <x v="0"/>
  </r>
  <r>
    <x v="174"/>
    <x v="0"/>
    <x v="3"/>
    <s v="Agent"/>
    <x v="7"/>
    <n v="2"/>
    <n v="2075000"/>
    <n v="0.107187805449873"/>
    <n v="3705000"/>
    <x v="2"/>
    <x v="0"/>
  </r>
  <r>
    <x v="175"/>
    <x v="1"/>
    <x v="4"/>
    <s v="Website"/>
    <x v="6"/>
    <n v="1"/>
    <n v="2618000"/>
    <n v="0.13884271773764501"/>
    <n v="2255000"/>
    <x v="8"/>
    <x v="1"/>
  </r>
  <r>
    <x v="175"/>
    <x v="2"/>
    <x v="1"/>
    <s v="Mobile App"/>
    <x v="9"/>
    <n v="1"/>
    <n v="3735000"/>
    <n v="5.4848557030624301E-2"/>
    <n v="3530000"/>
    <x v="0"/>
    <x v="1"/>
  </r>
  <r>
    <x v="176"/>
    <x v="1"/>
    <x v="4"/>
    <s v="Agent"/>
    <x v="7"/>
    <n v="4"/>
    <n v="2428000"/>
    <n v="6.5416149021603906E-2"/>
    <n v="9077000"/>
    <x v="4"/>
    <x v="1"/>
  </r>
  <r>
    <x v="176"/>
    <x v="1"/>
    <x v="2"/>
    <s v="Agent"/>
    <x v="5"/>
    <n v="1"/>
    <n v="3626000"/>
    <n v="7.3369418636622594E-2"/>
    <n v="3360000"/>
    <x v="8"/>
    <x v="0"/>
  </r>
  <r>
    <x v="177"/>
    <x v="3"/>
    <x v="2"/>
    <s v="Website"/>
    <x v="0"/>
    <n v="5"/>
    <n v="4439000"/>
    <n v="9.9903915672048801E-2"/>
    <n v="19978000"/>
    <x v="1"/>
    <x v="1"/>
  </r>
  <r>
    <x v="177"/>
    <x v="3"/>
    <x v="0"/>
    <s v="Mobile App"/>
    <x v="4"/>
    <n v="2"/>
    <n v="2873000"/>
    <n v="0.17169044276663301"/>
    <n v="4759000"/>
    <x v="15"/>
    <x v="0"/>
  </r>
  <r>
    <x v="177"/>
    <x v="0"/>
    <x v="2"/>
    <s v="Website"/>
    <x v="6"/>
    <n v="1"/>
    <n v="4137000"/>
    <n v="8.3899344334990994E-2"/>
    <n v="3790000"/>
    <x v="6"/>
    <x v="1"/>
  </r>
  <r>
    <x v="177"/>
    <x v="0"/>
    <x v="0"/>
    <s v="Mobile App"/>
    <x v="8"/>
    <n v="1"/>
    <n v="2297000"/>
    <n v="5.00004958858387E-2"/>
    <n v="2182000"/>
    <x v="12"/>
    <x v="1"/>
  </r>
  <r>
    <x v="178"/>
    <x v="3"/>
    <x v="0"/>
    <s v="Mobile App"/>
    <x v="7"/>
    <n v="1"/>
    <n v="2149000"/>
    <n v="8.8684819601674098E-2"/>
    <n v="1958000"/>
    <x v="12"/>
    <x v="0"/>
  </r>
  <r>
    <x v="179"/>
    <x v="1"/>
    <x v="1"/>
    <s v="Mobile App"/>
    <x v="3"/>
    <n v="2"/>
    <n v="2782000"/>
    <n v="9.4999642264041895E-2"/>
    <n v="5035000"/>
    <x v="6"/>
    <x v="1"/>
  </r>
  <r>
    <x v="180"/>
    <x v="1"/>
    <x v="5"/>
    <s v="Mobile App"/>
    <x v="9"/>
    <n v="3"/>
    <n v="5342000"/>
    <n v="7.9360184045064605E-2"/>
    <n v="14754000"/>
    <x v="12"/>
    <x v="0"/>
  </r>
  <r>
    <x v="181"/>
    <x v="1"/>
    <x v="2"/>
    <s v="Agent"/>
    <x v="6"/>
    <n v="4"/>
    <n v="3773000"/>
    <n v="3.26623079179445E-2"/>
    <n v="14599000"/>
    <x v="18"/>
    <x v="1"/>
  </r>
  <r>
    <x v="181"/>
    <x v="3"/>
    <x v="3"/>
    <s v="Website"/>
    <x v="5"/>
    <n v="1"/>
    <n v="2208000"/>
    <n v="0.11977122205614101"/>
    <n v="1944000"/>
    <x v="14"/>
    <x v="1"/>
  </r>
  <r>
    <x v="181"/>
    <x v="1"/>
    <x v="2"/>
    <s v="Agent"/>
    <x v="1"/>
    <n v="2"/>
    <n v="2845000"/>
    <n v="0.103877167292515"/>
    <n v="5099000"/>
    <x v="4"/>
    <x v="0"/>
  </r>
  <r>
    <x v="181"/>
    <x v="2"/>
    <x v="3"/>
    <s v="Call Center"/>
    <x v="6"/>
    <n v="5"/>
    <n v="1873000"/>
    <n v="0.149693141576937"/>
    <n v="7963000"/>
    <x v="2"/>
    <x v="1"/>
  </r>
  <r>
    <x v="181"/>
    <x v="3"/>
    <x v="2"/>
    <s v="Mobile App"/>
    <x v="7"/>
    <n v="1"/>
    <n v="3143000"/>
    <n v="0.107992020553725"/>
    <n v="2804000"/>
    <x v="15"/>
    <x v="1"/>
  </r>
  <r>
    <x v="182"/>
    <x v="1"/>
    <x v="1"/>
    <s v="Website"/>
    <x v="8"/>
    <n v="1"/>
    <n v="2972000"/>
    <n v="7.9081786680435404E-2"/>
    <n v="2737000"/>
    <x v="12"/>
    <x v="0"/>
  </r>
  <r>
    <x v="182"/>
    <x v="2"/>
    <x v="1"/>
    <s v="Mobile App"/>
    <x v="8"/>
    <n v="4"/>
    <n v="3154000"/>
    <n v="0.116568748300069"/>
    <n v="11145000"/>
    <x v="3"/>
    <x v="0"/>
  </r>
  <r>
    <x v="182"/>
    <x v="3"/>
    <x v="2"/>
    <s v="Website"/>
    <x v="8"/>
    <n v="2"/>
    <n v="3872000"/>
    <n v="0.15690268680751801"/>
    <n v="6529000"/>
    <x v="1"/>
    <x v="0"/>
  </r>
  <r>
    <x v="182"/>
    <x v="2"/>
    <x v="1"/>
    <s v="Website"/>
    <x v="5"/>
    <n v="1"/>
    <n v="3298000"/>
    <n v="0"/>
    <n v="3298000"/>
    <x v="15"/>
    <x v="0"/>
  </r>
  <r>
    <x v="182"/>
    <x v="1"/>
    <x v="2"/>
    <s v="Agent"/>
    <x v="4"/>
    <n v="1"/>
    <n v="3875000"/>
    <n v="0.119774640114037"/>
    <n v="3411000"/>
    <x v="13"/>
    <x v="1"/>
  </r>
  <r>
    <x v="182"/>
    <x v="3"/>
    <x v="1"/>
    <s v="Agent"/>
    <x v="5"/>
    <n v="1"/>
    <n v="3545000"/>
    <n v="0.115228320280508"/>
    <n v="3137000"/>
    <x v="15"/>
    <x v="1"/>
  </r>
  <r>
    <x v="183"/>
    <x v="0"/>
    <x v="0"/>
    <s v="Agent"/>
    <x v="5"/>
    <n v="2"/>
    <n v="2888000"/>
    <n v="0.112750928886954"/>
    <n v="5125000"/>
    <x v="0"/>
    <x v="1"/>
  </r>
  <r>
    <x v="183"/>
    <x v="3"/>
    <x v="1"/>
    <s v="Website"/>
    <x v="7"/>
    <n v="1"/>
    <n v="2835000"/>
    <n v="1.53925888214477E-2"/>
    <n v="2791000"/>
    <x v="8"/>
    <x v="1"/>
  </r>
  <r>
    <x v="183"/>
    <x v="1"/>
    <x v="2"/>
    <s v="Website"/>
    <x v="1"/>
    <n v="2"/>
    <n v="3450000"/>
    <n v="7.0988831165386193E-2"/>
    <n v="6410000"/>
    <x v="12"/>
    <x v="1"/>
  </r>
  <r>
    <x v="184"/>
    <x v="0"/>
    <x v="0"/>
    <s v="Website"/>
    <x v="0"/>
    <n v="3"/>
    <n v="2754000"/>
    <n v="7.2999999999999995E-2"/>
    <n v="7662000"/>
    <x v="13"/>
    <x v="1"/>
  </r>
  <r>
    <x v="184"/>
    <x v="0"/>
    <x v="2"/>
    <s v="Mobile App"/>
    <x v="7"/>
    <n v="4"/>
    <n v="3436000"/>
    <n v="6.7061116104372903E-2"/>
    <n v="12822000"/>
    <x v="10"/>
    <x v="1"/>
  </r>
  <r>
    <x v="184"/>
    <x v="1"/>
    <x v="1"/>
    <s v="Website"/>
    <x v="7"/>
    <n v="2"/>
    <n v="2923000"/>
    <n v="0.157556947055074"/>
    <n v="4925000"/>
    <x v="3"/>
    <x v="1"/>
  </r>
  <r>
    <x v="184"/>
    <x v="1"/>
    <x v="0"/>
    <s v="Website"/>
    <x v="4"/>
    <n v="3"/>
    <n v="2705000"/>
    <n v="0.14829496731849801"/>
    <n v="6912000"/>
    <x v="12"/>
    <x v="0"/>
  </r>
  <r>
    <x v="185"/>
    <x v="0"/>
    <x v="1"/>
    <s v="Website"/>
    <x v="4"/>
    <n v="1"/>
    <n v="3157000"/>
    <n v="8.2528343211940594E-2"/>
    <n v="2896000"/>
    <x v="2"/>
    <x v="0"/>
  </r>
  <r>
    <x v="185"/>
    <x v="0"/>
    <x v="0"/>
    <s v="Website"/>
    <x v="9"/>
    <n v="1"/>
    <n v="2943000"/>
    <n v="0.118819927039044"/>
    <n v="2593000"/>
    <x v="7"/>
    <x v="1"/>
  </r>
  <r>
    <x v="185"/>
    <x v="0"/>
    <x v="0"/>
    <s v="Website"/>
    <x v="9"/>
    <n v="1"/>
    <n v="2712000"/>
    <n v="0.120759077899759"/>
    <n v="2385000"/>
    <x v="4"/>
    <x v="0"/>
  </r>
  <r>
    <x v="185"/>
    <x v="0"/>
    <x v="3"/>
    <s v="Website"/>
    <x v="5"/>
    <n v="2"/>
    <n v="2199000"/>
    <n v="9.4551716832947205E-2"/>
    <n v="3982000"/>
    <x v="18"/>
    <x v="1"/>
  </r>
  <r>
    <x v="186"/>
    <x v="3"/>
    <x v="1"/>
    <s v="Agent"/>
    <x v="5"/>
    <n v="2"/>
    <n v="3337000"/>
    <n v="0.12697123288620801"/>
    <n v="5827000"/>
    <x v="3"/>
    <x v="0"/>
  </r>
  <r>
    <x v="186"/>
    <x v="1"/>
    <x v="1"/>
    <s v="Agent"/>
    <x v="2"/>
    <n v="4"/>
    <n v="3525000"/>
    <n v="0.12855094274426199"/>
    <n v="12287000"/>
    <x v="10"/>
    <x v="1"/>
  </r>
  <r>
    <x v="186"/>
    <x v="3"/>
    <x v="3"/>
    <s v="Website"/>
    <x v="0"/>
    <n v="3"/>
    <n v="2490000"/>
    <n v="7.6999999999999999E-2"/>
    <n v="6893000"/>
    <x v="17"/>
    <x v="1"/>
  </r>
  <r>
    <x v="187"/>
    <x v="0"/>
    <x v="1"/>
    <s v="Agent"/>
    <x v="0"/>
    <n v="2"/>
    <n v="3552000"/>
    <n v="9.6728222032732902E-2"/>
    <n v="6417000"/>
    <x v="6"/>
    <x v="1"/>
  </r>
  <r>
    <x v="187"/>
    <x v="0"/>
    <x v="2"/>
    <s v="Agent"/>
    <x v="1"/>
    <n v="5"/>
    <n v="3124000"/>
    <n v="0.14482895388721601"/>
    <n v="13358000"/>
    <x v="1"/>
    <x v="0"/>
  </r>
  <r>
    <x v="187"/>
    <x v="0"/>
    <x v="0"/>
    <s v="Agent"/>
    <x v="7"/>
    <n v="1"/>
    <n v="2016000"/>
    <n v="6.4588673714730496E-2"/>
    <n v="1886000"/>
    <x v="8"/>
    <x v="1"/>
  </r>
  <r>
    <x v="187"/>
    <x v="0"/>
    <x v="2"/>
    <s v="Agent"/>
    <x v="2"/>
    <n v="2"/>
    <n v="4524000"/>
    <n v="0.147183333158042"/>
    <n v="7716000"/>
    <x v="3"/>
    <x v="1"/>
  </r>
  <r>
    <x v="188"/>
    <x v="1"/>
    <x v="1"/>
    <s v="Agent"/>
    <x v="2"/>
    <n v="2"/>
    <n v="3557000"/>
    <n v="3.08242111165818E-2"/>
    <n v="6895000"/>
    <x v="13"/>
    <x v="1"/>
  </r>
  <r>
    <x v="188"/>
    <x v="3"/>
    <x v="3"/>
    <s v="Mobile App"/>
    <x v="2"/>
    <n v="2"/>
    <n v="2447000"/>
    <n v="9.7674451648339294E-2"/>
    <n v="4416000"/>
    <x v="18"/>
    <x v="1"/>
  </r>
  <r>
    <x v="188"/>
    <x v="1"/>
    <x v="4"/>
    <s v="Website"/>
    <x v="8"/>
    <n v="2"/>
    <n v="2531000"/>
    <n v="0.109223594843163"/>
    <n v="4509000"/>
    <x v="9"/>
    <x v="1"/>
  </r>
  <r>
    <x v="189"/>
    <x v="3"/>
    <x v="0"/>
    <s v="Mobile App"/>
    <x v="0"/>
    <n v="1"/>
    <n v="2584000"/>
    <n v="0.121073376561072"/>
    <n v="2271000"/>
    <x v="14"/>
    <x v="1"/>
  </r>
  <r>
    <x v="189"/>
    <x v="1"/>
    <x v="1"/>
    <s v="Agent"/>
    <x v="0"/>
    <n v="1"/>
    <n v="2535000"/>
    <n v="6.3853022537926504E-2"/>
    <n v="2373000"/>
    <x v="17"/>
    <x v="0"/>
  </r>
  <r>
    <x v="190"/>
    <x v="0"/>
    <x v="2"/>
    <s v="Website"/>
    <x v="4"/>
    <n v="3"/>
    <n v="3722000"/>
    <n v="0.10554915284777699"/>
    <n v="9987000"/>
    <x v="6"/>
    <x v="0"/>
  </r>
  <r>
    <x v="190"/>
    <x v="3"/>
    <x v="2"/>
    <s v="Website"/>
    <x v="1"/>
    <n v="1"/>
    <n v="3083000"/>
    <n v="0.11633161635497"/>
    <n v="2724000"/>
    <x v="9"/>
    <x v="1"/>
  </r>
  <r>
    <x v="191"/>
    <x v="2"/>
    <x v="1"/>
    <s v="Agent"/>
    <x v="7"/>
    <n v="4"/>
    <n v="2793000"/>
    <n v="0.13236992312349"/>
    <n v="9693000"/>
    <x v="4"/>
    <x v="1"/>
  </r>
  <r>
    <x v="191"/>
    <x v="2"/>
    <x v="1"/>
    <s v="Website"/>
    <x v="2"/>
    <n v="4"/>
    <n v="3750000"/>
    <n v="0.154"/>
    <n v="12685000"/>
    <x v="1"/>
    <x v="0"/>
  </r>
  <r>
    <x v="191"/>
    <x v="3"/>
    <x v="3"/>
    <s v="Website"/>
    <x v="8"/>
    <n v="4"/>
    <n v="2609000"/>
    <n v="3.96832697998524E-2"/>
    <n v="10022000"/>
    <x v="3"/>
    <x v="0"/>
  </r>
  <r>
    <x v="191"/>
    <x v="0"/>
    <x v="5"/>
    <s v="Agent"/>
    <x v="2"/>
    <n v="2"/>
    <n v="4934000"/>
    <n v="6.9224759956837495E-2"/>
    <n v="9185000"/>
    <x v="14"/>
    <x v="0"/>
  </r>
  <r>
    <x v="192"/>
    <x v="0"/>
    <x v="1"/>
    <s v="Website"/>
    <x v="0"/>
    <n v="4"/>
    <n v="3321000"/>
    <n v="9.7381840476851597E-2"/>
    <n v="11990000"/>
    <x v="6"/>
    <x v="0"/>
  </r>
  <r>
    <x v="193"/>
    <x v="3"/>
    <x v="0"/>
    <s v="Website"/>
    <x v="2"/>
    <n v="2"/>
    <n v="3248000"/>
    <n v="8.92375593535112E-2"/>
    <n v="5916000"/>
    <x v="5"/>
    <x v="1"/>
  </r>
  <r>
    <x v="194"/>
    <x v="3"/>
    <x v="0"/>
    <s v="Mobile App"/>
    <x v="1"/>
    <n v="2"/>
    <n v="2576000"/>
    <n v="7.53408430316444E-2"/>
    <n v="4764000"/>
    <x v="17"/>
    <x v="1"/>
  </r>
  <r>
    <x v="194"/>
    <x v="0"/>
    <x v="2"/>
    <s v="Agent"/>
    <x v="3"/>
    <n v="1"/>
    <n v="4228000"/>
    <n v="6.28285480576046E-2"/>
    <n v="3962000"/>
    <x v="13"/>
    <x v="1"/>
  </r>
  <r>
    <x v="194"/>
    <x v="2"/>
    <x v="5"/>
    <s v="Mobile App"/>
    <x v="1"/>
    <n v="2"/>
    <n v="4459000"/>
    <n v="5.20640279229393E-2"/>
    <n v="8454000"/>
    <x v="2"/>
    <x v="1"/>
  </r>
  <r>
    <x v="194"/>
    <x v="3"/>
    <x v="1"/>
    <s v="Website"/>
    <x v="2"/>
    <n v="1"/>
    <n v="3892000"/>
    <n v="0.157"/>
    <n v="3280000"/>
    <x v="10"/>
    <x v="1"/>
  </r>
  <r>
    <x v="195"/>
    <x v="1"/>
    <x v="2"/>
    <s v="Website"/>
    <x v="1"/>
    <n v="2"/>
    <n v="3097000"/>
    <n v="7.6996872306653502E-2"/>
    <n v="5717000"/>
    <x v="12"/>
    <x v="0"/>
  </r>
  <r>
    <x v="195"/>
    <x v="1"/>
    <x v="2"/>
    <s v="Mobile App"/>
    <x v="7"/>
    <n v="1"/>
    <n v="3535000"/>
    <n v="9.0865926175130396E-2"/>
    <n v="3214000"/>
    <x v="8"/>
    <x v="1"/>
  </r>
  <r>
    <x v="195"/>
    <x v="1"/>
    <x v="2"/>
    <s v="Agent"/>
    <x v="3"/>
    <n v="3"/>
    <n v="4317000"/>
    <n v="3.7022754333122701E-2"/>
    <n v="12472000"/>
    <x v="3"/>
    <x v="1"/>
  </r>
  <r>
    <x v="195"/>
    <x v="0"/>
    <x v="4"/>
    <s v="Agent"/>
    <x v="8"/>
    <n v="2"/>
    <n v="2415000"/>
    <n v="0.13837480661794499"/>
    <n v="4162000"/>
    <x v="6"/>
    <x v="1"/>
  </r>
  <r>
    <x v="195"/>
    <x v="2"/>
    <x v="2"/>
    <s v="Agent"/>
    <x v="7"/>
    <n v="2"/>
    <n v="3317000"/>
    <n v="8.3234164061865998E-2"/>
    <n v="6082000"/>
    <x v="0"/>
    <x v="1"/>
  </r>
  <r>
    <x v="195"/>
    <x v="3"/>
    <x v="1"/>
    <s v="Mobile App"/>
    <x v="0"/>
    <n v="4"/>
    <n v="3448000"/>
    <n v="0.136401446152044"/>
    <n v="11911000"/>
    <x v="17"/>
    <x v="0"/>
  </r>
  <r>
    <x v="196"/>
    <x v="1"/>
    <x v="2"/>
    <s v="Mobile App"/>
    <x v="0"/>
    <n v="1"/>
    <n v="4396000"/>
    <n v="4.4968491337144603E-2"/>
    <n v="4198000"/>
    <x v="13"/>
    <x v="1"/>
  </r>
  <r>
    <x v="196"/>
    <x v="1"/>
    <x v="5"/>
    <s v="Agent"/>
    <x v="5"/>
    <n v="2"/>
    <n v="5082000"/>
    <n v="9.5502538473220294E-2"/>
    <n v="9193000"/>
    <x v="2"/>
    <x v="1"/>
  </r>
  <r>
    <x v="197"/>
    <x v="1"/>
    <x v="0"/>
    <s v="Mobile App"/>
    <x v="7"/>
    <n v="2"/>
    <n v="2398000"/>
    <n v="0.16707493917560701"/>
    <n v="3995000"/>
    <x v="12"/>
    <x v="1"/>
  </r>
  <r>
    <x v="197"/>
    <x v="3"/>
    <x v="0"/>
    <s v="Website"/>
    <x v="2"/>
    <n v="2"/>
    <n v="3158000"/>
    <n v="5.1168678811441798E-2"/>
    <n v="5993000"/>
    <x v="13"/>
    <x v="1"/>
  </r>
  <r>
    <x v="197"/>
    <x v="1"/>
    <x v="5"/>
    <s v="Mobile App"/>
    <x v="7"/>
    <n v="4"/>
    <n v="4664000"/>
    <n v="7.1617264312074394E-2"/>
    <n v="17320000"/>
    <x v="3"/>
    <x v="0"/>
  </r>
  <r>
    <x v="197"/>
    <x v="1"/>
    <x v="2"/>
    <s v="Mobile App"/>
    <x v="4"/>
    <n v="3"/>
    <n v="3907000"/>
    <n v="1.76254208981977E-2"/>
    <n v="11514000"/>
    <x v="6"/>
    <x v="0"/>
  </r>
  <r>
    <x v="198"/>
    <x v="0"/>
    <x v="1"/>
    <s v="Website"/>
    <x v="0"/>
    <n v="1"/>
    <n v="3488000"/>
    <n v="7.6916574844365093E-2"/>
    <n v="3220000"/>
    <x v="6"/>
    <x v="1"/>
  </r>
  <r>
    <x v="198"/>
    <x v="1"/>
    <x v="2"/>
    <s v="Website"/>
    <x v="9"/>
    <n v="1"/>
    <n v="3969000"/>
    <n v="8.3167818400454493E-2"/>
    <n v="3639000"/>
    <x v="1"/>
    <x v="1"/>
  </r>
  <r>
    <x v="199"/>
    <x v="0"/>
    <x v="0"/>
    <s v="Website"/>
    <x v="4"/>
    <n v="4"/>
    <n v="2683000"/>
    <n v="0.13149150091901601"/>
    <n v="9321000"/>
    <x v="10"/>
    <x v="0"/>
  </r>
  <r>
    <x v="199"/>
    <x v="1"/>
    <x v="0"/>
    <s v="Agent"/>
    <x v="5"/>
    <n v="1"/>
    <n v="2519000"/>
    <n v="7.7718304571380806E-2"/>
    <n v="2323000"/>
    <x v="2"/>
    <x v="1"/>
  </r>
  <r>
    <x v="200"/>
    <x v="2"/>
    <x v="0"/>
    <s v="Agent"/>
    <x v="1"/>
    <n v="2"/>
    <n v="2480000"/>
    <n v="0.10089409198676901"/>
    <n v="4460000"/>
    <x v="13"/>
    <x v="1"/>
  </r>
  <r>
    <x v="201"/>
    <x v="0"/>
    <x v="1"/>
    <s v="Website"/>
    <x v="3"/>
    <n v="2"/>
    <n v="3009000"/>
    <n v="0.101473429675959"/>
    <n v="5407000"/>
    <x v="14"/>
    <x v="1"/>
  </r>
  <r>
    <x v="201"/>
    <x v="3"/>
    <x v="5"/>
    <s v="Mobile App"/>
    <x v="4"/>
    <n v="1"/>
    <n v="4468000"/>
    <n v="6.00649071858173E-2"/>
    <n v="4200000"/>
    <x v="1"/>
    <x v="1"/>
  </r>
  <r>
    <x v="202"/>
    <x v="1"/>
    <x v="4"/>
    <s v="Agent"/>
    <x v="5"/>
    <n v="4"/>
    <n v="2686000"/>
    <n v="4.7323638383693002E-2"/>
    <n v="10236000"/>
    <x v="4"/>
    <x v="1"/>
  </r>
  <r>
    <x v="203"/>
    <x v="2"/>
    <x v="5"/>
    <s v="Website"/>
    <x v="3"/>
    <n v="2"/>
    <n v="4549000"/>
    <n v="0.19558162307294399"/>
    <n v="7319000"/>
    <x v="7"/>
    <x v="1"/>
  </r>
  <r>
    <x v="203"/>
    <x v="1"/>
    <x v="2"/>
    <s v="Website"/>
    <x v="7"/>
    <n v="2"/>
    <n v="3375000"/>
    <n v="0.131741698841815"/>
    <n v="5861000"/>
    <x v="1"/>
    <x v="0"/>
  </r>
  <r>
    <x v="203"/>
    <x v="1"/>
    <x v="0"/>
    <s v="Website"/>
    <x v="5"/>
    <n v="2"/>
    <n v="2343000"/>
    <n v="8.78234548678756E-2"/>
    <n v="4274000"/>
    <x v="12"/>
    <x v="0"/>
  </r>
  <r>
    <x v="204"/>
    <x v="3"/>
    <x v="1"/>
    <s v="Website"/>
    <x v="0"/>
    <n v="2"/>
    <n v="3421000"/>
    <n v="0.11147217363676599"/>
    <n v="6079000"/>
    <x v="8"/>
    <x v="0"/>
  </r>
  <r>
    <x v="205"/>
    <x v="3"/>
    <x v="0"/>
    <s v="Call Center"/>
    <x v="7"/>
    <n v="1"/>
    <n v="2122000"/>
    <n v="0.121304084870326"/>
    <n v="1865000"/>
    <x v="1"/>
    <x v="0"/>
  </r>
  <r>
    <x v="206"/>
    <x v="1"/>
    <x v="0"/>
    <s v="Website"/>
    <x v="9"/>
    <n v="1"/>
    <n v="2618000"/>
    <n v="0.16719930511208"/>
    <n v="2180000"/>
    <x v="2"/>
    <x v="1"/>
  </r>
  <r>
    <x v="206"/>
    <x v="1"/>
    <x v="3"/>
    <s v="Agent"/>
    <x v="2"/>
    <n v="3"/>
    <n v="2460000"/>
    <n v="0.118310869476614"/>
    <n v="6507000"/>
    <x v="6"/>
    <x v="1"/>
  </r>
  <r>
    <x v="207"/>
    <x v="0"/>
    <x v="5"/>
    <s v="Website"/>
    <x v="9"/>
    <n v="1"/>
    <n v="5635000"/>
    <n v="0.10617469485173101"/>
    <n v="5037000"/>
    <x v="1"/>
    <x v="1"/>
  </r>
  <r>
    <x v="207"/>
    <x v="1"/>
    <x v="0"/>
    <s v="Agent"/>
    <x v="4"/>
    <n v="1"/>
    <n v="2583000"/>
    <n v="0.111859366894733"/>
    <n v="2294000"/>
    <x v="15"/>
    <x v="0"/>
  </r>
  <r>
    <x v="208"/>
    <x v="3"/>
    <x v="4"/>
    <s v="Website"/>
    <x v="5"/>
    <n v="1"/>
    <n v="2751000"/>
    <n v="8.1722916118442096E-2"/>
    <n v="2526000"/>
    <x v="4"/>
    <x v="1"/>
  </r>
  <r>
    <x v="208"/>
    <x v="1"/>
    <x v="0"/>
    <s v="Website"/>
    <x v="0"/>
    <n v="1"/>
    <n v="2549000"/>
    <n v="0.12962132947265001"/>
    <n v="2219000"/>
    <x v="12"/>
    <x v="1"/>
  </r>
  <r>
    <x v="209"/>
    <x v="1"/>
    <x v="2"/>
    <s v="Website"/>
    <x v="5"/>
    <n v="1"/>
    <n v="3919000"/>
    <n v="0.12229112667325499"/>
    <n v="3440000"/>
    <x v="9"/>
    <x v="1"/>
  </r>
  <r>
    <x v="209"/>
    <x v="3"/>
    <x v="0"/>
    <s v="Website"/>
    <x v="4"/>
    <n v="1"/>
    <n v="2644000"/>
    <n v="0.104083828786806"/>
    <n v="2369000"/>
    <x v="6"/>
    <x v="1"/>
  </r>
  <r>
    <x v="210"/>
    <x v="1"/>
    <x v="4"/>
    <s v="Website"/>
    <x v="5"/>
    <n v="1"/>
    <n v="2587000"/>
    <n v="4.3546395994017398E-2"/>
    <n v="2474000"/>
    <x v="6"/>
    <x v="1"/>
  </r>
  <r>
    <x v="210"/>
    <x v="2"/>
    <x v="1"/>
    <s v="Website"/>
    <x v="9"/>
    <n v="1"/>
    <n v="3518000"/>
    <n v="0.111747117461336"/>
    <n v="3125000"/>
    <x v="6"/>
    <x v="0"/>
  </r>
  <r>
    <x v="210"/>
    <x v="0"/>
    <x v="5"/>
    <s v="Mobile App"/>
    <x v="0"/>
    <n v="3"/>
    <n v="5189000"/>
    <n v="8.6881988983589398E-2"/>
    <n v="14215000"/>
    <x v="18"/>
    <x v="1"/>
  </r>
  <r>
    <x v="210"/>
    <x v="1"/>
    <x v="2"/>
    <s v="Mobile App"/>
    <x v="3"/>
    <n v="1"/>
    <n v="4191000"/>
    <n v="0.10751270318065501"/>
    <n v="3740000"/>
    <x v="5"/>
    <x v="1"/>
  </r>
  <r>
    <x v="210"/>
    <x v="0"/>
    <x v="0"/>
    <s v="Website"/>
    <x v="6"/>
    <n v="3"/>
    <n v="2302000"/>
    <n v="0.14862998423686499"/>
    <n v="5880000"/>
    <x v="14"/>
    <x v="1"/>
  </r>
  <r>
    <x v="211"/>
    <x v="2"/>
    <x v="2"/>
    <s v="Call Center"/>
    <x v="7"/>
    <n v="1"/>
    <n v="3589000"/>
    <n v="2.9857685758340798E-2"/>
    <n v="3482000"/>
    <x v="6"/>
    <x v="1"/>
  </r>
  <r>
    <x v="211"/>
    <x v="3"/>
    <x v="1"/>
    <s v="Agent"/>
    <x v="4"/>
    <n v="2"/>
    <n v="2624000"/>
    <n v="0.105888615916867"/>
    <n v="4692000"/>
    <x v="14"/>
    <x v="0"/>
  </r>
  <r>
    <x v="212"/>
    <x v="0"/>
    <x v="1"/>
    <s v="Website"/>
    <x v="5"/>
    <n v="1"/>
    <n v="3390000"/>
    <n v="0.12556533978406401"/>
    <n v="2964000"/>
    <x v="2"/>
    <x v="1"/>
  </r>
  <r>
    <x v="212"/>
    <x v="0"/>
    <x v="5"/>
    <s v="Agent"/>
    <x v="2"/>
    <n v="1"/>
    <n v="4842000"/>
    <n v="5.5924513802977402E-2"/>
    <n v="4571000"/>
    <x v="13"/>
    <x v="1"/>
  </r>
  <r>
    <x v="212"/>
    <x v="1"/>
    <x v="0"/>
    <s v="Agent"/>
    <x v="1"/>
    <n v="2"/>
    <n v="2623000"/>
    <n v="9.7901298343677598E-2"/>
    <n v="4732000"/>
    <x v="9"/>
    <x v="1"/>
  </r>
  <r>
    <x v="213"/>
    <x v="3"/>
    <x v="4"/>
    <s v="Mobile App"/>
    <x v="6"/>
    <n v="4"/>
    <n v="2544000"/>
    <n v="5.7464319378895297E-2"/>
    <n v="9591000"/>
    <x v="2"/>
    <x v="1"/>
  </r>
  <r>
    <x v="213"/>
    <x v="1"/>
    <x v="0"/>
    <s v="Agent"/>
    <x v="2"/>
    <n v="2"/>
    <n v="3208000"/>
    <n v="0.10441192535023899"/>
    <n v="5746000"/>
    <x v="8"/>
    <x v="1"/>
  </r>
  <r>
    <x v="213"/>
    <x v="0"/>
    <x v="5"/>
    <s v="Mobile App"/>
    <x v="5"/>
    <n v="2"/>
    <n v="4954000"/>
    <n v="9.9343977708268694E-2"/>
    <n v="8924000"/>
    <x v="14"/>
    <x v="1"/>
  </r>
  <r>
    <x v="213"/>
    <x v="0"/>
    <x v="1"/>
    <s v="Website"/>
    <x v="4"/>
    <n v="3"/>
    <n v="2557000"/>
    <n v="7.7284104475187798E-2"/>
    <n v="7078000"/>
    <x v="8"/>
    <x v="1"/>
  </r>
  <r>
    <x v="213"/>
    <x v="0"/>
    <x v="1"/>
    <s v="Website"/>
    <x v="3"/>
    <n v="1"/>
    <n v="3185000"/>
    <n v="6.3450389985539493E-2"/>
    <n v="2983000"/>
    <x v="0"/>
    <x v="1"/>
  </r>
  <r>
    <x v="214"/>
    <x v="1"/>
    <x v="0"/>
    <s v="Agent"/>
    <x v="3"/>
    <n v="1"/>
    <n v="2693000"/>
    <n v="9.6374924990434999E-2"/>
    <n v="2433000"/>
    <x v="4"/>
    <x v="1"/>
  </r>
  <r>
    <x v="214"/>
    <x v="0"/>
    <x v="2"/>
    <s v="Website"/>
    <x v="7"/>
    <n v="4"/>
    <n v="3288000"/>
    <n v="0.108385230202588"/>
    <n v="11727000"/>
    <x v="18"/>
    <x v="1"/>
  </r>
  <r>
    <x v="214"/>
    <x v="0"/>
    <x v="0"/>
    <s v="Website"/>
    <x v="7"/>
    <n v="2"/>
    <n v="2529000"/>
    <n v="0.148555058515208"/>
    <n v="4307000"/>
    <x v="15"/>
    <x v="0"/>
  </r>
  <r>
    <x v="214"/>
    <x v="1"/>
    <x v="5"/>
    <s v="Agent"/>
    <x v="4"/>
    <n v="3"/>
    <n v="4467000"/>
    <n v="8.6664632345394205E-2"/>
    <n v="12240000"/>
    <x v="10"/>
    <x v="0"/>
  </r>
  <r>
    <x v="215"/>
    <x v="1"/>
    <x v="0"/>
    <s v="Mobile App"/>
    <x v="4"/>
    <n v="4"/>
    <n v="2614000"/>
    <n v="4.8000000000000001E-2"/>
    <n v="9959000"/>
    <x v="4"/>
    <x v="1"/>
  </r>
  <r>
    <x v="215"/>
    <x v="0"/>
    <x v="2"/>
    <s v="Mobile App"/>
    <x v="0"/>
    <n v="2"/>
    <n v="4090000"/>
    <n v="7.7292373247989904E-2"/>
    <n v="7548000"/>
    <x v="0"/>
    <x v="1"/>
  </r>
  <r>
    <x v="216"/>
    <x v="0"/>
    <x v="1"/>
    <s v="Mobile App"/>
    <x v="1"/>
    <n v="4"/>
    <n v="3055000"/>
    <n v="7.1926191476351403E-2"/>
    <n v="11341000"/>
    <x v="6"/>
    <x v="1"/>
  </r>
  <r>
    <x v="217"/>
    <x v="3"/>
    <x v="1"/>
    <s v="Mobile App"/>
    <x v="0"/>
    <n v="1"/>
    <n v="3267000"/>
    <n v="8.9301775545139697E-2"/>
    <n v="2975000"/>
    <x v="0"/>
    <x v="0"/>
  </r>
  <r>
    <x v="217"/>
    <x v="1"/>
    <x v="2"/>
    <s v="Mobile App"/>
    <x v="9"/>
    <n v="2"/>
    <n v="4050000"/>
    <n v="0.20566363143569599"/>
    <n v="6434000"/>
    <x v="13"/>
    <x v="0"/>
  </r>
  <r>
    <x v="218"/>
    <x v="0"/>
    <x v="0"/>
    <s v="Website"/>
    <x v="0"/>
    <n v="2"/>
    <n v="2930000"/>
    <n v="0.139458791122301"/>
    <n v="5043000"/>
    <x v="2"/>
    <x v="1"/>
  </r>
  <r>
    <x v="219"/>
    <x v="3"/>
    <x v="2"/>
    <s v="Agent"/>
    <x v="4"/>
    <n v="2"/>
    <n v="4002000"/>
    <n v="0.136390447091017"/>
    <n v="6912000"/>
    <x v="14"/>
    <x v="1"/>
  </r>
  <r>
    <x v="220"/>
    <x v="1"/>
    <x v="2"/>
    <s v="Mobile App"/>
    <x v="8"/>
    <n v="4"/>
    <n v="3570000"/>
    <n v="7.3733424667300901E-2"/>
    <n v="13227000"/>
    <x v="4"/>
    <x v="1"/>
  </r>
  <r>
    <x v="220"/>
    <x v="3"/>
    <x v="3"/>
    <s v="Call Center"/>
    <x v="8"/>
    <n v="1"/>
    <n v="2425000"/>
    <n v="5.4620043664357E-2"/>
    <n v="2293000"/>
    <x v="1"/>
    <x v="0"/>
  </r>
  <r>
    <x v="221"/>
    <x v="1"/>
    <x v="0"/>
    <s v="Website"/>
    <x v="9"/>
    <n v="2"/>
    <n v="2782000"/>
    <n v="6.1036651669570702E-2"/>
    <n v="5224000"/>
    <x v="7"/>
    <x v="1"/>
  </r>
  <r>
    <x v="221"/>
    <x v="2"/>
    <x v="3"/>
    <s v="Agent"/>
    <x v="0"/>
    <n v="2"/>
    <n v="2330000"/>
    <n v="0.146816293032693"/>
    <n v="3976000"/>
    <x v="9"/>
    <x v="1"/>
  </r>
  <r>
    <x v="221"/>
    <x v="3"/>
    <x v="2"/>
    <s v="Call Center"/>
    <x v="0"/>
    <n v="1"/>
    <n v="3072000"/>
    <n v="0.165423097482506"/>
    <n v="2564000"/>
    <x v="0"/>
    <x v="0"/>
  </r>
  <r>
    <x v="222"/>
    <x v="0"/>
    <x v="2"/>
    <s v="Mobile App"/>
    <x v="3"/>
    <n v="4"/>
    <n v="3849000"/>
    <n v="0.124719609940997"/>
    <n v="13476000"/>
    <x v="4"/>
    <x v="1"/>
  </r>
  <r>
    <x v="222"/>
    <x v="2"/>
    <x v="4"/>
    <s v="Agent"/>
    <x v="4"/>
    <n v="2"/>
    <n v="1947000"/>
    <n v="0.120961719848141"/>
    <n v="3423000"/>
    <x v="10"/>
    <x v="1"/>
  </r>
  <r>
    <x v="223"/>
    <x v="2"/>
    <x v="5"/>
    <s v="Agent"/>
    <x v="0"/>
    <n v="1"/>
    <n v="5425000"/>
    <n v="0.149093521205649"/>
    <n v="4616000"/>
    <x v="4"/>
    <x v="0"/>
  </r>
  <r>
    <x v="223"/>
    <x v="0"/>
    <x v="0"/>
    <s v="Call Center"/>
    <x v="4"/>
    <n v="1"/>
    <n v="2708000"/>
    <n v="0.13319126771642001"/>
    <n v="2347000"/>
    <x v="2"/>
    <x v="0"/>
  </r>
  <r>
    <x v="224"/>
    <x v="0"/>
    <x v="5"/>
    <s v="Mobile App"/>
    <x v="5"/>
    <n v="3"/>
    <n v="4934000"/>
    <n v="4.5275618610992802E-2"/>
    <n v="14132000"/>
    <x v="14"/>
    <x v="0"/>
  </r>
  <r>
    <x v="224"/>
    <x v="3"/>
    <x v="3"/>
    <s v="Website"/>
    <x v="3"/>
    <n v="3"/>
    <n v="2487000"/>
    <n v="8.1966564913223502E-2"/>
    <n v="6849000"/>
    <x v="5"/>
    <x v="0"/>
  </r>
  <r>
    <x v="224"/>
    <x v="3"/>
    <x v="2"/>
    <s v="Website"/>
    <x v="5"/>
    <n v="3"/>
    <n v="3990000"/>
    <n v="8.3112953326439407E-2"/>
    <n v="10975000"/>
    <x v="7"/>
    <x v="1"/>
  </r>
  <r>
    <x v="225"/>
    <x v="3"/>
    <x v="1"/>
    <s v="Website"/>
    <x v="7"/>
    <n v="4"/>
    <n v="2828000"/>
    <n v="0.134479122116793"/>
    <n v="9791000"/>
    <x v="6"/>
    <x v="1"/>
  </r>
  <r>
    <x v="225"/>
    <x v="0"/>
    <x v="2"/>
    <s v="Website"/>
    <x v="8"/>
    <n v="1"/>
    <n v="3500000"/>
    <n v="0.15993921382968801"/>
    <n v="2940000"/>
    <x v="0"/>
    <x v="0"/>
  </r>
  <r>
    <x v="226"/>
    <x v="1"/>
    <x v="5"/>
    <s v="Website"/>
    <x v="0"/>
    <n v="1"/>
    <n v="5396000"/>
    <n v="8.7999765584220804E-2"/>
    <n v="4921000"/>
    <x v="1"/>
    <x v="1"/>
  </r>
  <r>
    <x v="226"/>
    <x v="1"/>
    <x v="0"/>
    <s v="Agent"/>
    <x v="2"/>
    <n v="1"/>
    <n v="3053000"/>
    <n v="0.117847049396288"/>
    <n v="2693000"/>
    <x v="14"/>
    <x v="1"/>
  </r>
  <r>
    <x v="227"/>
    <x v="1"/>
    <x v="1"/>
    <s v="Agent"/>
    <x v="4"/>
    <n v="2"/>
    <n v="2641000"/>
    <n v="0.13100000000000001"/>
    <n v="4588000"/>
    <x v="7"/>
    <x v="0"/>
  </r>
  <r>
    <x v="227"/>
    <x v="1"/>
    <x v="0"/>
    <s v="Agent"/>
    <x v="0"/>
    <n v="4"/>
    <n v="2704000"/>
    <n v="4.1577739879347597E-2"/>
    <n v="10366000"/>
    <x v="0"/>
    <x v="0"/>
  </r>
  <r>
    <x v="227"/>
    <x v="3"/>
    <x v="0"/>
    <s v="Mobile App"/>
    <x v="6"/>
    <n v="2"/>
    <n v="2446000"/>
    <n v="6.7340756966377202E-2"/>
    <n v="4563000"/>
    <x v="15"/>
    <x v="1"/>
  </r>
  <r>
    <x v="228"/>
    <x v="1"/>
    <x v="1"/>
    <s v="Agent"/>
    <x v="9"/>
    <n v="2"/>
    <n v="3538000"/>
    <n v="6.1836873412452101E-2"/>
    <n v="6638000"/>
    <x v="1"/>
    <x v="1"/>
  </r>
  <r>
    <x v="228"/>
    <x v="1"/>
    <x v="5"/>
    <s v="Mobile App"/>
    <x v="5"/>
    <n v="1"/>
    <n v="5033000"/>
    <n v="0.123020511155427"/>
    <n v="4414000"/>
    <x v="2"/>
    <x v="0"/>
  </r>
  <r>
    <x v="229"/>
    <x v="3"/>
    <x v="2"/>
    <s v="Website"/>
    <x v="8"/>
    <n v="3"/>
    <n v="3430000"/>
    <n v="0.10077122711040699"/>
    <n v="9253000"/>
    <x v="1"/>
    <x v="1"/>
  </r>
  <r>
    <x v="229"/>
    <x v="1"/>
    <x v="5"/>
    <s v="Website"/>
    <x v="0"/>
    <n v="2"/>
    <n v="5170000"/>
    <n v="6.7600090288159997E-2"/>
    <n v="9641000"/>
    <x v="4"/>
    <x v="0"/>
  </r>
  <r>
    <x v="230"/>
    <x v="1"/>
    <x v="2"/>
    <s v="Website"/>
    <x v="7"/>
    <n v="3"/>
    <n v="3370000"/>
    <n v="2.6452028446048801E-2"/>
    <n v="9843000"/>
    <x v="6"/>
    <x v="1"/>
  </r>
  <r>
    <x v="231"/>
    <x v="2"/>
    <x v="2"/>
    <s v="Agent"/>
    <x v="5"/>
    <n v="3"/>
    <n v="4032000"/>
    <n v="0.13929992687996401"/>
    <n v="10411000"/>
    <x v="12"/>
    <x v="1"/>
  </r>
  <r>
    <x v="231"/>
    <x v="3"/>
    <x v="2"/>
    <s v="Website"/>
    <x v="7"/>
    <n v="1"/>
    <n v="3408000"/>
    <n v="8.8769513413230097E-2"/>
    <n v="3105000"/>
    <x v="2"/>
    <x v="0"/>
  </r>
  <r>
    <x v="232"/>
    <x v="3"/>
    <x v="0"/>
    <s v="Website"/>
    <x v="4"/>
    <n v="1"/>
    <n v="2487000"/>
    <n v="6.6026489986679204E-2"/>
    <n v="2323000"/>
    <x v="6"/>
    <x v="0"/>
  </r>
  <r>
    <x v="232"/>
    <x v="1"/>
    <x v="0"/>
    <s v="Agent"/>
    <x v="4"/>
    <n v="2"/>
    <n v="2206000"/>
    <n v="9.88262388328527E-2"/>
    <n v="3976000"/>
    <x v="14"/>
    <x v="1"/>
  </r>
  <r>
    <x v="233"/>
    <x v="0"/>
    <x v="1"/>
    <s v="Agent"/>
    <x v="0"/>
    <n v="4"/>
    <n v="3125000"/>
    <n v="9.5612907349388307E-2"/>
    <n v="11305000"/>
    <x v="6"/>
    <x v="1"/>
  </r>
  <r>
    <x v="233"/>
    <x v="2"/>
    <x v="2"/>
    <s v="Agent"/>
    <x v="9"/>
    <n v="1"/>
    <n v="4313000"/>
    <n v="0.11043750526263101"/>
    <n v="3837000"/>
    <x v="1"/>
    <x v="1"/>
  </r>
  <r>
    <x v="233"/>
    <x v="2"/>
    <x v="5"/>
    <s v="Mobile App"/>
    <x v="3"/>
    <n v="2"/>
    <n v="4372000"/>
    <n v="9.7507532117513396E-2"/>
    <n v="7891000"/>
    <x v="17"/>
    <x v="1"/>
  </r>
  <r>
    <x v="234"/>
    <x v="3"/>
    <x v="2"/>
    <s v="Agent"/>
    <x v="7"/>
    <n v="1"/>
    <n v="3636000"/>
    <n v="0.100429584511771"/>
    <n v="3271000"/>
    <x v="7"/>
    <x v="0"/>
  </r>
  <r>
    <x v="234"/>
    <x v="1"/>
    <x v="1"/>
    <s v="Website"/>
    <x v="9"/>
    <n v="2"/>
    <n v="3683000"/>
    <n v="2.6166606738432699E-2"/>
    <n v="7173000"/>
    <x v="12"/>
    <x v="1"/>
  </r>
  <r>
    <x v="235"/>
    <x v="1"/>
    <x v="0"/>
    <s v="Mobile App"/>
    <x v="8"/>
    <n v="2"/>
    <n v="2217000"/>
    <n v="0.12775707089365701"/>
    <n v="3868000"/>
    <x v="0"/>
    <x v="1"/>
  </r>
  <r>
    <x v="235"/>
    <x v="0"/>
    <x v="4"/>
    <s v="Website"/>
    <x v="2"/>
    <n v="3"/>
    <n v="2753000"/>
    <n v="0.18168327533881001"/>
    <n v="6758000"/>
    <x v="5"/>
    <x v="1"/>
  </r>
  <r>
    <x v="236"/>
    <x v="0"/>
    <x v="2"/>
    <s v="Agent"/>
    <x v="3"/>
    <n v="2"/>
    <n v="4096000"/>
    <n v="0.10816137492438201"/>
    <n v="7306000"/>
    <x v="12"/>
    <x v="1"/>
  </r>
  <r>
    <x v="236"/>
    <x v="3"/>
    <x v="2"/>
    <s v="Agent"/>
    <x v="0"/>
    <n v="1"/>
    <n v="4573000"/>
    <n v="6.3596406005343303E-2"/>
    <n v="4282000"/>
    <x v="16"/>
    <x v="1"/>
  </r>
  <r>
    <x v="237"/>
    <x v="3"/>
    <x v="1"/>
    <s v="Website"/>
    <x v="7"/>
    <n v="3"/>
    <n v="3078000"/>
    <n v="9.7472298613380595E-2"/>
    <n v="8334000"/>
    <x v="8"/>
    <x v="1"/>
  </r>
  <r>
    <x v="238"/>
    <x v="0"/>
    <x v="1"/>
    <s v="Website"/>
    <x v="5"/>
    <n v="1"/>
    <n v="3386000"/>
    <n v="9.2642647581703194E-2"/>
    <n v="3072000"/>
    <x v="8"/>
    <x v="1"/>
  </r>
  <r>
    <x v="239"/>
    <x v="3"/>
    <x v="4"/>
    <s v="Mobile App"/>
    <x v="4"/>
    <n v="4"/>
    <n v="1851000"/>
    <n v="6.8981693483859699E-2"/>
    <n v="6893000"/>
    <x v="9"/>
    <x v="1"/>
  </r>
  <r>
    <x v="239"/>
    <x v="3"/>
    <x v="0"/>
    <s v="Agent"/>
    <x v="6"/>
    <n v="3"/>
    <n v="2475000"/>
    <n v="8.5218083475040105E-2"/>
    <n v="6792000"/>
    <x v="8"/>
    <x v="1"/>
  </r>
  <r>
    <x v="240"/>
    <x v="1"/>
    <x v="0"/>
    <s v="Website"/>
    <x v="1"/>
    <n v="2"/>
    <n v="2475000"/>
    <n v="0.16498079670822299"/>
    <n v="4133000"/>
    <x v="13"/>
    <x v="1"/>
  </r>
  <r>
    <x v="240"/>
    <x v="2"/>
    <x v="1"/>
    <s v="Website"/>
    <x v="7"/>
    <n v="3"/>
    <n v="2885000"/>
    <n v="0.104992669537462"/>
    <n v="7746000"/>
    <x v="10"/>
    <x v="0"/>
  </r>
  <r>
    <x v="241"/>
    <x v="0"/>
    <x v="4"/>
    <s v="Website"/>
    <x v="0"/>
    <n v="3"/>
    <n v="2597000"/>
    <n v="4.8250038194344799E-2"/>
    <n v="7415000"/>
    <x v="2"/>
    <x v="1"/>
  </r>
  <r>
    <x v="242"/>
    <x v="3"/>
    <x v="1"/>
    <s v="Website"/>
    <x v="2"/>
    <n v="2"/>
    <n v="3559000"/>
    <n v="0.16676285972336999"/>
    <n v="5931000"/>
    <x v="0"/>
    <x v="0"/>
  </r>
  <r>
    <x v="242"/>
    <x v="1"/>
    <x v="1"/>
    <s v="Mobile App"/>
    <x v="2"/>
    <n v="2"/>
    <n v="3157000"/>
    <n v="0.13170766519152699"/>
    <n v="5482000"/>
    <x v="8"/>
    <x v="1"/>
  </r>
  <r>
    <x v="242"/>
    <x v="3"/>
    <x v="0"/>
    <s v="Website"/>
    <x v="8"/>
    <n v="1"/>
    <n v="2412000"/>
    <n v="6.4503279008703604E-2"/>
    <n v="2256000"/>
    <x v="4"/>
    <x v="1"/>
  </r>
  <r>
    <x v="243"/>
    <x v="0"/>
    <x v="1"/>
    <s v="Website"/>
    <x v="3"/>
    <n v="1"/>
    <n v="2920000"/>
    <n v="0.15633968622625499"/>
    <n v="2463000"/>
    <x v="12"/>
    <x v="0"/>
  </r>
  <r>
    <x v="243"/>
    <x v="3"/>
    <x v="3"/>
    <s v="Website"/>
    <x v="7"/>
    <n v="5"/>
    <n v="1837000"/>
    <n v="8.8153012617586499E-2"/>
    <n v="8375000"/>
    <x v="9"/>
    <x v="0"/>
  </r>
  <r>
    <x v="244"/>
    <x v="1"/>
    <x v="2"/>
    <s v="Website"/>
    <x v="7"/>
    <n v="2"/>
    <n v="3575000"/>
    <n v="9.5209737888704404E-2"/>
    <n v="6469000"/>
    <x v="15"/>
    <x v="1"/>
  </r>
  <r>
    <x v="244"/>
    <x v="2"/>
    <x v="2"/>
    <s v="Mobile App"/>
    <x v="7"/>
    <n v="2"/>
    <n v="3440000"/>
    <n v="0.11769816824889701"/>
    <n v="6070000"/>
    <x v="15"/>
    <x v="1"/>
  </r>
  <r>
    <x v="244"/>
    <x v="3"/>
    <x v="0"/>
    <s v="Mobile App"/>
    <x v="2"/>
    <n v="1"/>
    <n v="3341000"/>
    <n v="4.0539153659216398E-2"/>
    <n v="3206000"/>
    <x v="18"/>
    <x v="1"/>
  </r>
  <r>
    <x v="245"/>
    <x v="3"/>
    <x v="1"/>
    <s v="Website"/>
    <x v="0"/>
    <n v="1"/>
    <n v="3384000"/>
    <n v="0.12105187010101399"/>
    <n v="2974000"/>
    <x v="8"/>
    <x v="1"/>
  </r>
  <r>
    <x v="246"/>
    <x v="2"/>
    <x v="0"/>
    <s v="Website"/>
    <x v="0"/>
    <n v="1"/>
    <n v="2574000"/>
    <n v="8.9823408180482206E-2"/>
    <n v="2343000"/>
    <x v="0"/>
    <x v="0"/>
  </r>
  <r>
    <x v="246"/>
    <x v="1"/>
    <x v="3"/>
    <s v="Mobile App"/>
    <x v="1"/>
    <n v="4"/>
    <n v="2362000"/>
    <n v="9.4869844437675099E-2"/>
    <n v="8552000"/>
    <x v="12"/>
    <x v="1"/>
  </r>
  <r>
    <x v="247"/>
    <x v="1"/>
    <x v="2"/>
    <s v="Agent"/>
    <x v="7"/>
    <n v="2"/>
    <n v="3447000"/>
    <n v="3.8873253983132301E-2"/>
    <n v="6626000"/>
    <x v="9"/>
    <x v="1"/>
  </r>
  <r>
    <x v="247"/>
    <x v="0"/>
    <x v="2"/>
    <s v="Agent"/>
    <x v="1"/>
    <n v="2"/>
    <n v="3180000"/>
    <n v="0.142035854916855"/>
    <n v="5457000"/>
    <x v="4"/>
    <x v="1"/>
  </r>
  <r>
    <x v="247"/>
    <x v="1"/>
    <x v="1"/>
    <s v="Website"/>
    <x v="2"/>
    <n v="1"/>
    <n v="3362000"/>
    <n v="0.10193340513348099"/>
    <n v="3019000"/>
    <x v="9"/>
    <x v="1"/>
  </r>
  <r>
    <x v="248"/>
    <x v="2"/>
    <x v="4"/>
    <s v="Agent"/>
    <x v="5"/>
    <n v="1"/>
    <n v="2674000"/>
    <n v="0.100981882615886"/>
    <n v="2404000"/>
    <x v="15"/>
    <x v="0"/>
  </r>
  <r>
    <x v="248"/>
    <x v="3"/>
    <x v="4"/>
    <s v="Call Center"/>
    <x v="5"/>
    <n v="1"/>
    <n v="2739000"/>
    <n v="0.120021000737671"/>
    <n v="2410000"/>
    <x v="15"/>
    <x v="1"/>
  </r>
  <r>
    <x v="248"/>
    <x v="0"/>
    <x v="0"/>
    <s v="Website"/>
    <x v="5"/>
    <n v="1"/>
    <n v="2357000"/>
    <n v="0.11540220178003401"/>
    <n v="2085000"/>
    <x v="12"/>
    <x v="1"/>
  </r>
  <r>
    <x v="248"/>
    <x v="1"/>
    <x v="3"/>
    <s v="Website"/>
    <x v="7"/>
    <n v="4"/>
    <n v="2019000"/>
    <n v="8.4207025172289701E-2"/>
    <n v="7396000"/>
    <x v="12"/>
    <x v="1"/>
  </r>
  <r>
    <x v="249"/>
    <x v="1"/>
    <x v="1"/>
    <s v="Website"/>
    <x v="5"/>
    <n v="1"/>
    <n v="3362000"/>
    <n v="9.3186182394002795E-2"/>
    <n v="3049000"/>
    <x v="2"/>
    <x v="1"/>
  </r>
  <r>
    <x v="249"/>
    <x v="2"/>
    <x v="2"/>
    <s v="Agent"/>
    <x v="9"/>
    <n v="3"/>
    <n v="4178000"/>
    <n v="5.7803770935052901E-2"/>
    <n v="11809000"/>
    <x v="9"/>
    <x v="1"/>
  </r>
  <r>
    <x v="250"/>
    <x v="2"/>
    <x v="0"/>
    <s v="Website"/>
    <x v="9"/>
    <n v="4"/>
    <n v="2592000"/>
    <n v="8.1639719318697707E-2"/>
    <n v="9522000"/>
    <x v="9"/>
    <x v="1"/>
  </r>
  <r>
    <x v="250"/>
    <x v="1"/>
    <x v="3"/>
    <s v="Website"/>
    <x v="0"/>
    <n v="1"/>
    <n v="2491000"/>
    <n v="0.108804249617274"/>
    <n v="2220000"/>
    <x v="14"/>
    <x v="1"/>
  </r>
  <r>
    <x v="251"/>
    <x v="3"/>
    <x v="1"/>
    <s v="Website"/>
    <x v="7"/>
    <n v="2"/>
    <n v="3018000"/>
    <n v="5.8955118508818502E-2"/>
    <n v="5680000"/>
    <x v="6"/>
    <x v="0"/>
  </r>
  <r>
    <x v="252"/>
    <x v="3"/>
    <x v="4"/>
    <s v="Website"/>
    <x v="4"/>
    <n v="1"/>
    <n v="1894000"/>
    <n v="0.13721113313341099"/>
    <n v="1634000"/>
    <x v="4"/>
    <x v="1"/>
  </r>
  <r>
    <x v="252"/>
    <x v="2"/>
    <x v="1"/>
    <s v="Mobile App"/>
    <x v="2"/>
    <n v="2"/>
    <n v="3610000"/>
    <n v="0.108"/>
    <n v="6439000"/>
    <x v="7"/>
    <x v="1"/>
  </r>
  <r>
    <x v="253"/>
    <x v="0"/>
    <x v="2"/>
    <s v="Website"/>
    <x v="5"/>
    <n v="2"/>
    <n v="4094000"/>
    <n v="0.107404725612307"/>
    <n v="7309000"/>
    <x v="2"/>
    <x v="1"/>
  </r>
  <r>
    <x v="254"/>
    <x v="0"/>
    <x v="3"/>
    <s v="Agent"/>
    <x v="2"/>
    <n v="3"/>
    <n v="2567000"/>
    <n v="7.3157423257969104E-2"/>
    <n v="7138000"/>
    <x v="0"/>
    <x v="1"/>
  </r>
  <r>
    <x v="254"/>
    <x v="3"/>
    <x v="2"/>
    <s v="Website"/>
    <x v="2"/>
    <n v="1"/>
    <n v="3232000"/>
    <n v="0.17039727533497201"/>
    <n v="2681000"/>
    <x v="2"/>
    <x v="1"/>
  </r>
  <r>
    <x v="255"/>
    <x v="3"/>
    <x v="0"/>
    <s v="Website"/>
    <x v="3"/>
    <n v="3"/>
    <n v="2778000"/>
    <n v="9.7614223259001501E-2"/>
    <n v="7520000"/>
    <x v="3"/>
    <x v="1"/>
  </r>
  <r>
    <x v="255"/>
    <x v="3"/>
    <x v="1"/>
    <s v="Call Center"/>
    <x v="3"/>
    <n v="4"/>
    <n v="2980000"/>
    <n v="0.118701323240699"/>
    <n v="10505000"/>
    <x v="0"/>
    <x v="0"/>
  </r>
  <r>
    <x v="255"/>
    <x v="2"/>
    <x v="1"/>
    <s v="Mobile App"/>
    <x v="9"/>
    <n v="1"/>
    <n v="3338000"/>
    <n v="0.12934542894991799"/>
    <n v="2906000"/>
    <x v="0"/>
    <x v="0"/>
  </r>
  <r>
    <x v="256"/>
    <x v="2"/>
    <x v="2"/>
    <s v="Website"/>
    <x v="2"/>
    <n v="1"/>
    <n v="4345000"/>
    <n v="0.189227748270174"/>
    <n v="3523000"/>
    <x v="0"/>
    <x v="0"/>
  </r>
  <r>
    <x v="256"/>
    <x v="3"/>
    <x v="0"/>
    <s v="Agent"/>
    <x v="1"/>
    <n v="3"/>
    <n v="2580000"/>
    <n v="4.4851964519367099E-2"/>
    <n v="7393000"/>
    <x v="8"/>
    <x v="0"/>
  </r>
  <r>
    <x v="257"/>
    <x v="1"/>
    <x v="1"/>
    <s v="Mobile App"/>
    <x v="8"/>
    <n v="2"/>
    <n v="3472000"/>
    <n v="0.103015000301277"/>
    <n v="6229000"/>
    <x v="12"/>
    <x v="1"/>
  </r>
  <r>
    <x v="257"/>
    <x v="1"/>
    <x v="0"/>
    <s v="Agent"/>
    <x v="8"/>
    <n v="3"/>
    <n v="2305000"/>
    <n v="0.127570699213961"/>
    <n v="6033000"/>
    <x v="2"/>
    <x v="1"/>
  </r>
  <r>
    <x v="258"/>
    <x v="0"/>
    <x v="0"/>
    <s v="Website"/>
    <x v="5"/>
    <n v="3"/>
    <n v="2563000"/>
    <n v="7.5283712440257097E-2"/>
    <n v="7110000"/>
    <x v="14"/>
    <x v="1"/>
  </r>
  <r>
    <x v="259"/>
    <x v="3"/>
    <x v="0"/>
    <s v="Website"/>
    <x v="4"/>
    <n v="2"/>
    <n v="2833000"/>
    <n v="0.13606014866705901"/>
    <n v="4895000"/>
    <x v="10"/>
    <x v="0"/>
  </r>
  <r>
    <x v="259"/>
    <x v="3"/>
    <x v="2"/>
    <s v="Website"/>
    <x v="8"/>
    <n v="4"/>
    <n v="3860000"/>
    <n v="0.12780605521626401"/>
    <n v="13467000"/>
    <x v="14"/>
    <x v="1"/>
  </r>
  <r>
    <x v="260"/>
    <x v="2"/>
    <x v="5"/>
    <s v="Agent"/>
    <x v="5"/>
    <n v="2"/>
    <n v="5774000"/>
    <n v="0.16408436730675299"/>
    <n v="9653000"/>
    <x v="2"/>
    <x v="0"/>
  </r>
  <r>
    <x v="260"/>
    <x v="1"/>
    <x v="2"/>
    <s v="Agent"/>
    <x v="7"/>
    <n v="2"/>
    <n v="3632000"/>
    <n v="0.15171388052538901"/>
    <n v="6162000"/>
    <x v="13"/>
    <x v="1"/>
  </r>
  <r>
    <x v="260"/>
    <x v="3"/>
    <x v="2"/>
    <s v="Website"/>
    <x v="9"/>
    <n v="3"/>
    <n v="4389000"/>
    <n v="0.13441557789171801"/>
    <n v="11397000"/>
    <x v="5"/>
    <x v="1"/>
  </r>
  <r>
    <x v="260"/>
    <x v="2"/>
    <x v="0"/>
    <s v="Website"/>
    <x v="6"/>
    <n v="2"/>
    <n v="2448000"/>
    <n v="0.14505445135383199"/>
    <n v="4186000"/>
    <x v="8"/>
    <x v="1"/>
  </r>
  <r>
    <x v="261"/>
    <x v="1"/>
    <x v="2"/>
    <s v="Agent"/>
    <x v="6"/>
    <n v="1"/>
    <n v="4437000"/>
    <n v="9.0844858955256194E-2"/>
    <n v="4034000"/>
    <x v="6"/>
    <x v="1"/>
  </r>
  <r>
    <x v="261"/>
    <x v="1"/>
    <x v="4"/>
    <s v="Agent"/>
    <x v="0"/>
    <n v="3"/>
    <n v="2922000"/>
    <n v="0.16299668583299401"/>
    <n v="7337000"/>
    <x v="14"/>
    <x v="1"/>
  </r>
  <r>
    <x v="262"/>
    <x v="3"/>
    <x v="4"/>
    <s v="Website"/>
    <x v="6"/>
    <n v="1"/>
    <n v="2716000"/>
    <n v="1.33167080465297E-2"/>
    <n v="2680000"/>
    <x v="1"/>
    <x v="0"/>
  </r>
  <r>
    <x v="262"/>
    <x v="2"/>
    <x v="2"/>
    <s v="Mobile App"/>
    <x v="7"/>
    <n v="1"/>
    <n v="3758000"/>
    <n v="7.2641166020130599E-2"/>
    <n v="3485000"/>
    <x v="12"/>
    <x v="0"/>
  </r>
  <r>
    <x v="262"/>
    <x v="3"/>
    <x v="5"/>
    <s v="Mobile App"/>
    <x v="3"/>
    <n v="3"/>
    <n v="4711000"/>
    <n v="0.14732018758372101"/>
    <n v="12051000"/>
    <x v="1"/>
    <x v="0"/>
  </r>
  <r>
    <x v="263"/>
    <x v="1"/>
    <x v="3"/>
    <s v="Agent"/>
    <x v="3"/>
    <n v="3"/>
    <n v="2560000"/>
    <n v="0.16317548251945199"/>
    <n v="6427000"/>
    <x v="1"/>
    <x v="1"/>
  </r>
  <r>
    <x v="264"/>
    <x v="1"/>
    <x v="2"/>
    <s v="Website"/>
    <x v="2"/>
    <n v="3"/>
    <n v="4740000"/>
    <n v="9.7424952268093196E-2"/>
    <n v="12835000"/>
    <x v="13"/>
    <x v="1"/>
  </r>
  <r>
    <x v="264"/>
    <x v="1"/>
    <x v="1"/>
    <s v="Agent"/>
    <x v="1"/>
    <n v="3"/>
    <n v="3110000"/>
    <n v="9.3309290660022595E-2"/>
    <n v="8459000"/>
    <x v="14"/>
    <x v="1"/>
  </r>
  <r>
    <x v="265"/>
    <x v="3"/>
    <x v="0"/>
    <s v="Website"/>
    <x v="4"/>
    <n v="2"/>
    <n v="2886000"/>
    <n v="5.2057857351097102E-2"/>
    <n v="5472000"/>
    <x v="10"/>
    <x v="1"/>
  </r>
  <r>
    <x v="265"/>
    <x v="1"/>
    <x v="1"/>
    <s v="Website"/>
    <x v="9"/>
    <n v="3"/>
    <n v="3648000"/>
    <n v="0.10009992380001501"/>
    <n v="9849000"/>
    <x v="8"/>
    <x v="1"/>
  </r>
  <r>
    <x v="265"/>
    <x v="3"/>
    <x v="2"/>
    <s v="Website"/>
    <x v="8"/>
    <n v="3"/>
    <n v="3910000"/>
    <n v="0.107140196112551"/>
    <n v="10473000"/>
    <x v="4"/>
    <x v="1"/>
  </r>
  <r>
    <x v="265"/>
    <x v="1"/>
    <x v="0"/>
    <s v="Agent"/>
    <x v="4"/>
    <n v="3"/>
    <n v="3017000"/>
    <n v="0.172022142589322"/>
    <n v="7494000"/>
    <x v="0"/>
    <x v="1"/>
  </r>
  <r>
    <x v="266"/>
    <x v="0"/>
    <x v="0"/>
    <s v="Website"/>
    <x v="2"/>
    <n v="2"/>
    <n v="3500000"/>
    <n v="6.9173206823718095E-2"/>
    <n v="6516000"/>
    <x v="8"/>
    <x v="1"/>
  </r>
  <r>
    <x v="266"/>
    <x v="0"/>
    <x v="0"/>
    <s v="Mobile App"/>
    <x v="3"/>
    <n v="3"/>
    <n v="2926000"/>
    <n v="0.13831933966439999"/>
    <n v="7564000"/>
    <x v="6"/>
    <x v="1"/>
  </r>
  <r>
    <x v="266"/>
    <x v="0"/>
    <x v="2"/>
    <s v="Website"/>
    <x v="4"/>
    <n v="1"/>
    <n v="4051000"/>
    <n v="3.77288136486802E-2"/>
    <n v="3898000"/>
    <x v="13"/>
    <x v="1"/>
  </r>
  <r>
    <x v="267"/>
    <x v="3"/>
    <x v="3"/>
    <s v="Call Center"/>
    <x v="0"/>
    <n v="2"/>
    <n v="2761000"/>
    <n v="3.8789899071537702E-2"/>
    <n v="5308000"/>
    <x v="10"/>
    <x v="1"/>
  </r>
  <r>
    <x v="267"/>
    <x v="0"/>
    <x v="2"/>
    <s v="Website"/>
    <x v="2"/>
    <n v="2"/>
    <n v="4927000"/>
    <n v="8.6447451072759501E-2"/>
    <n v="9002000"/>
    <x v="16"/>
    <x v="1"/>
  </r>
  <r>
    <x v="268"/>
    <x v="0"/>
    <x v="0"/>
    <s v="Website"/>
    <x v="0"/>
    <n v="2"/>
    <n v="2739000"/>
    <n v="9.8580323583585996E-2"/>
    <n v="4938000"/>
    <x v="15"/>
    <x v="0"/>
  </r>
  <r>
    <x v="268"/>
    <x v="3"/>
    <x v="0"/>
    <s v="Mobile App"/>
    <x v="7"/>
    <n v="4"/>
    <n v="2520000"/>
    <n v="5.6001812429244902E-2"/>
    <n v="9516000"/>
    <x v="12"/>
    <x v="1"/>
  </r>
  <r>
    <x v="268"/>
    <x v="3"/>
    <x v="0"/>
    <s v="Website"/>
    <x v="1"/>
    <n v="4"/>
    <n v="2552000"/>
    <n v="0.14623166384604699"/>
    <n v="8715000"/>
    <x v="13"/>
    <x v="1"/>
  </r>
  <r>
    <x v="269"/>
    <x v="1"/>
    <x v="1"/>
    <s v="Website"/>
    <x v="9"/>
    <n v="2"/>
    <n v="3334000"/>
    <n v="0"/>
    <n v="6668000"/>
    <x v="15"/>
    <x v="1"/>
  </r>
  <r>
    <x v="269"/>
    <x v="2"/>
    <x v="2"/>
    <s v="Website"/>
    <x v="7"/>
    <n v="5"/>
    <n v="3843000"/>
    <n v="7.6912082680077001E-2"/>
    <n v="17737000"/>
    <x v="17"/>
    <x v="0"/>
  </r>
  <r>
    <x v="269"/>
    <x v="1"/>
    <x v="4"/>
    <s v="Website"/>
    <x v="0"/>
    <n v="1"/>
    <n v="2625000"/>
    <n v="0.11651984110123501"/>
    <n v="2319000"/>
    <x v="1"/>
    <x v="1"/>
  </r>
  <r>
    <x v="269"/>
    <x v="1"/>
    <x v="0"/>
    <s v="Agent"/>
    <x v="1"/>
    <n v="1"/>
    <n v="2805000"/>
    <n v="0.13818424679644201"/>
    <n v="2417000"/>
    <x v="2"/>
    <x v="1"/>
  </r>
  <r>
    <x v="270"/>
    <x v="0"/>
    <x v="1"/>
    <s v="Mobile App"/>
    <x v="0"/>
    <n v="1"/>
    <n v="3754000"/>
    <n v="0.12576391942089901"/>
    <n v="3282000"/>
    <x v="18"/>
    <x v="0"/>
  </r>
  <r>
    <x v="271"/>
    <x v="1"/>
    <x v="4"/>
    <s v="Mobile App"/>
    <x v="9"/>
    <n v="4"/>
    <n v="2675000"/>
    <n v="0.15137249793278501"/>
    <n v="9080000"/>
    <x v="15"/>
    <x v="1"/>
  </r>
  <r>
    <x v="271"/>
    <x v="1"/>
    <x v="0"/>
    <s v="Website"/>
    <x v="8"/>
    <n v="1"/>
    <n v="2390000"/>
    <n v="0.171557557522279"/>
    <n v="1980000"/>
    <x v="14"/>
    <x v="1"/>
  </r>
  <r>
    <x v="271"/>
    <x v="1"/>
    <x v="3"/>
    <s v="Website"/>
    <x v="0"/>
    <n v="2"/>
    <n v="2875000"/>
    <n v="0.11888991310649701"/>
    <n v="5066000"/>
    <x v="10"/>
    <x v="0"/>
  </r>
  <r>
    <x v="271"/>
    <x v="0"/>
    <x v="5"/>
    <s v="Website"/>
    <x v="1"/>
    <n v="2"/>
    <n v="4612000"/>
    <n v="4.8600816453009697E-2"/>
    <n v="8776000"/>
    <x v="6"/>
    <x v="0"/>
  </r>
  <r>
    <x v="272"/>
    <x v="2"/>
    <x v="2"/>
    <s v="Website"/>
    <x v="1"/>
    <n v="1"/>
    <n v="3462000"/>
    <n v="8.9943727980189195E-2"/>
    <n v="3151000"/>
    <x v="13"/>
    <x v="1"/>
  </r>
  <r>
    <x v="272"/>
    <x v="2"/>
    <x v="0"/>
    <s v="Mobile App"/>
    <x v="7"/>
    <n v="2"/>
    <n v="2504000"/>
    <n v="0.12925463471557699"/>
    <n v="4361000"/>
    <x v="1"/>
    <x v="1"/>
  </r>
  <r>
    <x v="272"/>
    <x v="2"/>
    <x v="4"/>
    <s v="Agent"/>
    <x v="9"/>
    <n v="4"/>
    <n v="2817000"/>
    <n v="7.4510415161675198E-2"/>
    <n v="10428000"/>
    <x v="3"/>
    <x v="0"/>
  </r>
  <r>
    <x v="273"/>
    <x v="1"/>
    <x v="3"/>
    <s v="Website"/>
    <x v="6"/>
    <n v="1"/>
    <n v="2327000"/>
    <n v="7.5456194058956205E-2"/>
    <n v="2151000"/>
    <x v="14"/>
    <x v="1"/>
  </r>
  <r>
    <x v="273"/>
    <x v="0"/>
    <x v="3"/>
    <s v="Mobile App"/>
    <x v="0"/>
    <n v="3"/>
    <n v="2736000"/>
    <n v="7.3152371126876295E-2"/>
    <n v="7608000"/>
    <x v="9"/>
    <x v="0"/>
  </r>
  <r>
    <x v="273"/>
    <x v="3"/>
    <x v="0"/>
    <s v="Agent"/>
    <x v="5"/>
    <n v="3"/>
    <n v="2654000"/>
    <n v="0.168178185561072"/>
    <n v="6623000"/>
    <x v="9"/>
    <x v="1"/>
  </r>
  <r>
    <x v="273"/>
    <x v="3"/>
    <x v="2"/>
    <s v="Website"/>
    <x v="5"/>
    <n v="2"/>
    <n v="3885000"/>
    <n v="8.5474709124505596E-2"/>
    <n v="7106000"/>
    <x v="12"/>
    <x v="0"/>
  </r>
  <r>
    <x v="274"/>
    <x v="2"/>
    <x v="0"/>
    <s v="Agent"/>
    <x v="5"/>
    <n v="2"/>
    <n v="2671000"/>
    <n v="0.127247995992055"/>
    <n v="4662000"/>
    <x v="2"/>
    <x v="1"/>
  </r>
  <r>
    <x v="274"/>
    <x v="2"/>
    <x v="5"/>
    <s v="Website"/>
    <x v="6"/>
    <n v="2"/>
    <n v="4583000"/>
    <n v="0.13230188593908801"/>
    <n v="7953000"/>
    <x v="12"/>
    <x v="1"/>
  </r>
  <r>
    <x v="275"/>
    <x v="0"/>
    <x v="0"/>
    <s v="Website"/>
    <x v="5"/>
    <n v="3"/>
    <n v="2927000"/>
    <n v="0.115211673035433"/>
    <n v="7769000"/>
    <x v="1"/>
    <x v="1"/>
  </r>
  <r>
    <x v="275"/>
    <x v="1"/>
    <x v="1"/>
    <s v="Website"/>
    <x v="3"/>
    <n v="1"/>
    <n v="3606000"/>
    <n v="0.11051272363452599"/>
    <n v="3207000"/>
    <x v="12"/>
    <x v="0"/>
  </r>
  <r>
    <x v="276"/>
    <x v="1"/>
    <x v="1"/>
    <s v="Website"/>
    <x v="2"/>
    <n v="2"/>
    <n v="3608000"/>
    <n v="0.14026436065987599"/>
    <n v="6204000"/>
    <x v="15"/>
    <x v="1"/>
  </r>
  <r>
    <x v="277"/>
    <x v="0"/>
    <x v="1"/>
    <s v="Agent"/>
    <x v="5"/>
    <n v="5"/>
    <n v="3699000"/>
    <n v="5.4370560606659797E-2"/>
    <n v="17489000"/>
    <x v="13"/>
    <x v="0"/>
  </r>
  <r>
    <x v="278"/>
    <x v="1"/>
    <x v="3"/>
    <s v="Mobile App"/>
    <x v="7"/>
    <n v="1"/>
    <n v="2222000"/>
    <n v="0.14299999999999999"/>
    <n v="1905000"/>
    <x v="3"/>
    <x v="1"/>
  </r>
  <r>
    <x v="278"/>
    <x v="1"/>
    <x v="2"/>
    <s v="Agent"/>
    <x v="2"/>
    <n v="1"/>
    <n v="4253000"/>
    <n v="6.2917321373030993E-2"/>
    <n v="3985000"/>
    <x v="2"/>
    <x v="1"/>
  </r>
  <r>
    <x v="278"/>
    <x v="1"/>
    <x v="3"/>
    <s v="Mobile App"/>
    <x v="2"/>
    <n v="4"/>
    <n v="2696000"/>
    <n v="1.33568340626096E-2"/>
    <n v="10640000"/>
    <x v="0"/>
    <x v="1"/>
  </r>
  <r>
    <x v="279"/>
    <x v="1"/>
    <x v="3"/>
    <s v="Mobile App"/>
    <x v="0"/>
    <n v="4"/>
    <n v="2634000"/>
    <n v="7.5999999999999998E-2"/>
    <n v="9731000"/>
    <x v="4"/>
    <x v="1"/>
  </r>
  <r>
    <x v="280"/>
    <x v="1"/>
    <x v="1"/>
    <s v="Agent"/>
    <x v="1"/>
    <n v="3"/>
    <n v="2880000"/>
    <n v="0.16977480288611899"/>
    <n v="7173000"/>
    <x v="17"/>
    <x v="1"/>
  </r>
  <r>
    <x v="281"/>
    <x v="1"/>
    <x v="5"/>
    <s v="Mobile App"/>
    <x v="4"/>
    <n v="1"/>
    <n v="4657000"/>
    <n v="8.6345037402271493E-2"/>
    <n v="4255000"/>
    <x v="10"/>
    <x v="0"/>
  </r>
  <r>
    <x v="281"/>
    <x v="0"/>
    <x v="3"/>
    <s v="Website"/>
    <x v="7"/>
    <n v="3"/>
    <n v="1951000"/>
    <n v="7.4201871058203306E-2"/>
    <n v="5419000"/>
    <x v="5"/>
    <x v="0"/>
  </r>
  <r>
    <x v="282"/>
    <x v="1"/>
    <x v="1"/>
    <s v="Website"/>
    <x v="3"/>
    <n v="3"/>
    <n v="3162000"/>
    <n v="6.9677126225226399E-2"/>
    <n v="8825000"/>
    <x v="4"/>
    <x v="0"/>
  </r>
  <r>
    <x v="282"/>
    <x v="1"/>
    <x v="3"/>
    <s v="Website"/>
    <x v="0"/>
    <n v="1"/>
    <n v="2446000"/>
    <n v="0.16572170443472001"/>
    <n v="2041000"/>
    <x v="13"/>
    <x v="1"/>
  </r>
  <r>
    <x v="283"/>
    <x v="0"/>
    <x v="2"/>
    <s v="Agent"/>
    <x v="9"/>
    <n v="3"/>
    <n v="3959000"/>
    <n v="9.0976713242621493E-2"/>
    <n v="10796000"/>
    <x v="0"/>
    <x v="1"/>
  </r>
  <r>
    <x v="283"/>
    <x v="2"/>
    <x v="2"/>
    <s v="Agent"/>
    <x v="0"/>
    <n v="2"/>
    <n v="4302000"/>
    <n v="2.7537222777853299E-2"/>
    <n v="8367000"/>
    <x v="16"/>
    <x v="0"/>
  </r>
  <r>
    <x v="284"/>
    <x v="1"/>
    <x v="5"/>
    <s v="Website"/>
    <x v="4"/>
    <n v="1"/>
    <n v="4558000"/>
    <n v="0.102233229541173"/>
    <n v="4092000"/>
    <x v="8"/>
    <x v="1"/>
  </r>
  <r>
    <x v="284"/>
    <x v="3"/>
    <x v="3"/>
    <s v="Agent"/>
    <x v="1"/>
    <n v="2"/>
    <n v="2147000"/>
    <n v="0.130758517681659"/>
    <n v="3733000"/>
    <x v="1"/>
    <x v="0"/>
  </r>
  <r>
    <x v="285"/>
    <x v="0"/>
    <x v="0"/>
    <s v="Agent"/>
    <x v="1"/>
    <n v="2"/>
    <n v="2367000"/>
    <n v="0.11284148729578"/>
    <n v="4200000"/>
    <x v="4"/>
    <x v="0"/>
  </r>
  <r>
    <x v="286"/>
    <x v="1"/>
    <x v="0"/>
    <s v="Agent"/>
    <x v="3"/>
    <n v="3"/>
    <n v="2609000"/>
    <n v="8.4407601778934596E-2"/>
    <n v="7166000"/>
    <x v="4"/>
    <x v="1"/>
  </r>
  <r>
    <x v="286"/>
    <x v="3"/>
    <x v="0"/>
    <s v="Website"/>
    <x v="8"/>
    <n v="3"/>
    <n v="2184000"/>
    <n v="0.14267345599971201"/>
    <n v="5617000"/>
    <x v="14"/>
    <x v="1"/>
  </r>
  <r>
    <x v="286"/>
    <x v="3"/>
    <x v="0"/>
    <s v="Website"/>
    <x v="8"/>
    <n v="1"/>
    <n v="2368000"/>
    <n v="0.133689499791593"/>
    <n v="2051000"/>
    <x v="12"/>
    <x v="1"/>
  </r>
  <r>
    <x v="286"/>
    <x v="3"/>
    <x v="3"/>
    <s v="Website"/>
    <x v="4"/>
    <n v="1"/>
    <n v="1450000"/>
    <n v="0.10136108617563901"/>
    <n v="1303000"/>
    <x v="17"/>
    <x v="0"/>
  </r>
  <r>
    <x v="287"/>
    <x v="3"/>
    <x v="0"/>
    <s v="Agent"/>
    <x v="4"/>
    <n v="1"/>
    <n v="2760000"/>
    <n v="0.109122059503586"/>
    <n v="2459000"/>
    <x v="2"/>
    <x v="0"/>
  </r>
  <r>
    <x v="287"/>
    <x v="0"/>
    <x v="3"/>
    <s v="Mobile App"/>
    <x v="4"/>
    <n v="1"/>
    <n v="2104000"/>
    <n v="4.3932925590490599E-2"/>
    <n v="2012000"/>
    <x v="15"/>
    <x v="1"/>
  </r>
  <r>
    <x v="288"/>
    <x v="1"/>
    <x v="0"/>
    <s v="Mobile App"/>
    <x v="6"/>
    <n v="1"/>
    <n v="2457000"/>
    <n v="0.132497856651551"/>
    <n v="2131000"/>
    <x v="15"/>
    <x v="1"/>
  </r>
  <r>
    <x v="288"/>
    <x v="1"/>
    <x v="2"/>
    <s v="Website"/>
    <x v="9"/>
    <n v="1"/>
    <n v="4268000"/>
    <n v="8.2209703763252706E-2"/>
    <n v="3917000"/>
    <x v="2"/>
    <x v="0"/>
  </r>
  <r>
    <x v="288"/>
    <x v="3"/>
    <x v="2"/>
    <s v="Mobile App"/>
    <x v="0"/>
    <n v="1"/>
    <n v="4361000"/>
    <n v="0.104760411066877"/>
    <n v="3904000"/>
    <x v="13"/>
    <x v="1"/>
  </r>
  <r>
    <x v="289"/>
    <x v="1"/>
    <x v="0"/>
    <s v="Agent"/>
    <x v="0"/>
    <n v="3"/>
    <n v="2667000"/>
    <n v="0.112947364118565"/>
    <n v="7097000"/>
    <x v="14"/>
    <x v="1"/>
  </r>
  <r>
    <x v="289"/>
    <x v="1"/>
    <x v="0"/>
    <s v="Website"/>
    <x v="0"/>
    <n v="5"/>
    <n v="2591000"/>
    <n v="6.6898485525669599E-2"/>
    <n v="12088000"/>
    <x v="2"/>
    <x v="1"/>
  </r>
  <r>
    <x v="290"/>
    <x v="2"/>
    <x v="2"/>
    <s v="Mobile App"/>
    <x v="6"/>
    <n v="2"/>
    <n v="3636000"/>
    <n v="7.2360466244839203E-2"/>
    <n v="6746000"/>
    <x v="5"/>
    <x v="1"/>
  </r>
  <r>
    <x v="290"/>
    <x v="2"/>
    <x v="1"/>
    <s v="Call Center"/>
    <x v="9"/>
    <n v="1"/>
    <n v="3659000"/>
    <n v="4.1761044419584802E-2"/>
    <n v="3506000"/>
    <x v="14"/>
    <x v="1"/>
  </r>
  <r>
    <x v="290"/>
    <x v="1"/>
    <x v="0"/>
    <s v="Mobile App"/>
    <x v="9"/>
    <n v="1"/>
    <n v="2558000"/>
    <n v="8.6328989396618205E-2"/>
    <n v="2337000"/>
    <x v="13"/>
    <x v="0"/>
  </r>
  <r>
    <x v="290"/>
    <x v="3"/>
    <x v="5"/>
    <s v="Website"/>
    <x v="3"/>
    <n v="3"/>
    <n v="4641000"/>
    <n v="7.3451899110173302E-2"/>
    <n v="12900000"/>
    <x v="5"/>
    <x v="0"/>
  </r>
  <r>
    <x v="291"/>
    <x v="0"/>
    <x v="2"/>
    <s v="Agent"/>
    <x v="0"/>
    <n v="4"/>
    <n v="4495000"/>
    <n v="0.104950235233776"/>
    <n v="16093000"/>
    <x v="16"/>
    <x v="1"/>
  </r>
  <r>
    <x v="291"/>
    <x v="0"/>
    <x v="1"/>
    <s v="Agent"/>
    <x v="2"/>
    <n v="4"/>
    <n v="3548000"/>
    <n v="0.13695539400405399"/>
    <n v="12248000"/>
    <x v="9"/>
    <x v="1"/>
  </r>
  <r>
    <x v="291"/>
    <x v="0"/>
    <x v="2"/>
    <s v="Website"/>
    <x v="3"/>
    <n v="3"/>
    <n v="4484000"/>
    <n v="7.7475510393036203E-3"/>
    <n v="13348000"/>
    <x v="14"/>
    <x v="1"/>
  </r>
  <r>
    <x v="292"/>
    <x v="0"/>
    <x v="2"/>
    <s v="Agent"/>
    <x v="4"/>
    <n v="2"/>
    <n v="4225000"/>
    <n v="2.19268038206871E-2"/>
    <n v="8265000"/>
    <x v="15"/>
    <x v="1"/>
  </r>
  <r>
    <x v="292"/>
    <x v="2"/>
    <x v="0"/>
    <s v="Website"/>
    <x v="1"/>
    <n v="2"/>
    <n v="2458000"/>
    <n v="0.13682350465512699"/>
    <n v="4243000"/>
    <x v="6"/>
    <x v="1"/>
  </r>
  <r>
    <x v="293"/>
    <x v="1"/>
    <x v="2"/>
    <s v="Mobile App"/>
    <x v="9"/>
    <n v="2"/>
    <n v="4095000"/>
    <n v="0.105"/>
    <n v="7334000"/>
    <x v="2"/>
    <x v="1"/>
  </r>
  <r>
    <x v="293"/>
    <x v="2"/>
    <x v="5"/>
    <s v="Website"/>
    <x v="9"/>
    <n v="3"/>
    <n v="3302000"/>
    <n v="0.126304102245299"/>
    <n v="8655000"/>
    <x v="1"/>
    <x v="1"/>
  </r>
  <r>
    <x v="293"/>
    <x v="3"/>
    <x v="2"/>
    <s v="Agent"/>
    <x v="7"/>
    <n v="5"/>
    <n v="3358000"/>
    <n v="6.2107235411787698E-2"/>
    <n v="15747000"/>
    <x v="9"/>
    <x v="1"/>
  </r>
  <r>
    <x v="293"/>
    <x v="3"/>
    <x v="1"/>
    <s v="Agent"/>
    <x v="3"/>
    <n v="1"/>
    <n v="3162000"/>
    <n v="0.125"/>
    <n v="2767000"/>
    <x v="8"/>
    <x v="1"/>
  </r>
  <r>
    <x v="294"/>
    <x v="3"/>
    <x v="2"/>
    <s v="Website"/>
    <x v="8"/>
    <n v="4"/>
    <n v="3686000"/>
    <n v="0.115525928171039"/>
    <n v="13041000"/>
    <x v="11"/>
    <x v="1"/>
  </r>
  <r>
    <x v="295"/>
    <x v="3"/>
    <x v="1"/>
    <s v="Mobile App"/>
    <x v="4"/>
    <n v="1"/>
    <n v="2588000"/>
    <n v="0.100599464643924"/>
    <n v="2328000"/>
    <x v="4"/>
    <x v="0"/>
  </r>
  <r>
    <x v="295"/>
    <x v="1"/>
    <x v="5"/>
    <s v="Website"/>
    <x v="8"/>
    <n v="4"/>
    <n v="4899000"/>
    <n v="2.1671805552921201E-2"/>
    <n v="19171000"/>
    <x v="4"/>
    <x v="0"/>
  </r>
  <r>
    <x v="295"/>
    <x v="1"/>
    <x v="0"/>
    <s v="Website"/>
    <x v="1"/>
    <n v="4"/>
    <n v="2544000"/>
    <n v="0.15851758300458199"/>
    <n v="8563000"/>
    <x v="12"/>
    <x v="1"/>
  </r>
  <r>
    <x v="296"/>
    <x v="3"/>
    <x v="1"/>
    <s v="Mobile App"/>
    <x v="5"/>
    <n v="1"/>
    <n v="3369000"/>
    <n v="2.6688474277689701E-2"/>
    <n v="3279000"/>
    <x v="5"/>
    <x v="1"/>
  </r>
  <r>
    <x v="297"/>
    <x v="1"/>
    <x v="0"/>
    <s v="Website"/>
    <x v="5"/>
    <n v="3"/>
    <n v="2641000"/>
    <n v="0.140627628138913"/>
    <n v="6809000"/>
    <x v="0"/>
    <x v="1"/>
  </r>
  <r>
    <x v="297"/>
    <x v="2"/>
    <x v="2"/>
    <s v="Website"/>
    <x v="2"/>
    <n v="2"/>
    <n v="3849000"/>
    <n v="2.6199737121129201E-2"/>
    <n v="7496000"/>
    <x v="12"/>
    <x v="0"/>
  </r>
  <r>
    <x v="298"/>
    <x v="3"/>
    <x v="2"/>
    <s v="Mobile App"/>
    <x v="6"/>
    <n v="3"/>
    <n v="3747000"/>
    <n v="0.173881624024328"/>
    <n v="9286000"/>
    <x v="15"/>
    <x v="0"/>
  </r>
  <r>
    <x v="299"/>
    <x v="1"/>
    <x v="0"/>
    <s v="Agent"/>
    <x v="0"/>
    <n v="1"/>
    <n v="2734000"/>
    <n v="8.2946506597246394E-2"/>
    <n v="2507000"/>
    <x v="4"/>
    <x v="0"/>
  </r>
  <r>
    <x v="299"/>
    <x v="0"/>
    <x v="2"/>
    <s v="Mobile App"/>
    <x v="6"/>
    <n v="4"/>
    <n v="3839000"/>
    <n v="7.4175178845114306E-2"/>
    <n v="14217000"/>
    <x v="13"/>
    <x v="0"/>
  </r>
  <r>
    <x v="299"/>
    <x v="1"/>
    <x v="1"/>
    <s v="Website"/>
    <x v="7"/>
    <n v="1"/>
    <n v="3103000"/>
    <n v="9.0896411044354503E-2"/>
    <n v="2821000"/>
    <x v="5"/>
    <x v="1"/>
  </r>
  <r>
    <x v="299"/>
    <x v="2"/>
    <x v="2"/>
    <s v="Mobile App"/>
    <x v="4"/>
    <n v="1"/>
    <n v="3809000"/>
    <n v="0.136014474024094"/>
    <n v="3291000"/>
    <x v="10"/>
    <x v="0"/>
  </r>
  <r>
    <x v="299"/>
    <x v="1"/>
    <x v="1"/>
    <s v="Website"/>
    <x v="7"/>
    <n v="1"/>
    <n v="2975000"/>
    <n v="0.136594469960855"/>
    <n v="2569000"/>
    <x v="9"/>
    <x v="1"/>
  </r>
  <r>
    <x v="300"/>
    <x v="0"/>
    <x v="0"/>
    <s v="Website"/>
    <x v="5"/>
    <n v="1"/>
    <n v="2420000"/>
    <n v="0.116572071269146"/>
    <n v="2138000"/>
    <x v="15"/>
    <x v="1"/>
  </r>
  <r>
    <x v="301"/>
    <x v="0"/>
    <x v="2"/>
    <s v="Website"/>
    <x v="1"/>
    <n v="2"/>
    <n v="3137000"/>
    <n v="9.8845619079168598E-2"/>
    <n v="5654000"/>
    <x v="5"/>
    <x v="1"/>
  </r>
  <r>
    <x v="301"/>
    <x v="0"/>
    <x v="2"/>
    <s v="Website"/>
    <x v="6"/>
    <n v="1"/>
    <n v="3842000"/>
    <n v="0.16818908074296601"/>
    <n v="3196000"/>
    <x v="13"/>
    <x v="0"/>
  </r>
  <r>
    <x v="301"/>
    <x v="1"/>
    <x v="0"/>
    <s v="Website"/>
    <x v="3"/>
    <n v="1"/>
    <n v="2435000"/>
    <n v="5.30205610811227E-2"/>
    <n v="2306000"/>
    <x v="13"/>
    <x v="1"/>
  </r>
  <r>
    <x v="301"/>
    <x v="2"/>
    <x v="3"/>
    <s v="Website"/>
    <x v="5"/>
    <n v="2"/>
    <n v="2228000"/>
    <n v="0.11351672249156899"/>
    <n v="3950000"/>
    <x v="13"/>
    <x v="1"/>
  </r>
  <r>
    <x v="301"/>
    <x v="3"/>
    <x v="1"/>
    <s v="Website"/>
    <x v="5"/>
    <n v="3"/>
    <n v="3395000"/>
    <n v="8.5212893542904802E-2"/>
    <n v="9317000"/>
    <x v="14"/>
    <x v="1"/>
  </r>
  <r>
    <x v="302"/>
    <x v="3"/>
    <x v="3"/>
    <s v="Website"/>
    <x v="5"/>
    <n v="3"/>
    <n v="2019000"/>
    <n v="0.115671314617748"/>
    <n v="5356000"/>
    <x v="6"/>
    <x v="1"/>
  </r>
  <r>
    <x v="303"/>
    <x v="3"/>
    <x v="5"/>
    <s v="Agent"/>
    <x v="7"/>
    <n v="2"/>
    <n v="4653000"/>
    <n v="4.5046062034659398E-2"/>
    <n v="8887000"/>
    <x v="10"/>
    <x v="0"/>
  </r>
  <r>
    <x v="303"/>
    <x v="1"/>
    <x v="5"/>
    <s v="Website"/>
    <x v="4"/>
    <n v="1"/>
    <n v="4866000"/>
    <n v="6.9205425497710901E-2"/>
    <n v="4529000"/>
    <x v="15"/>
    <x v="1"/>
  </r>
  <r>
    <x v="304"/>
    <x v="0"/>
    <x v="4"/>
    <s v="Agent"/>
    <x v="2"/>
    <n v="3"/>
    <n v="2685000"/>
    <n v="0.112770501192703"/>
    <n v="7147000"/>
    <x v="6"/>
    <x v="1"/>
  </r>
  <r>
    <x v="304"/>
    <x v="2"/>
    <x v="1"/>
    <s v="Agent"/>
    <x v="8"/>
    <n v="2"/>
    <n v="3191000"/>
    <n v="0.14106922531606"/>
    <n v="5482000"/>
    <x v="17"/>
    <x v="1"/>
  </r>
  <r>
    <x v="305"/>
    <x v="3"/>
    <x v="2"/>
    <s v="Website"/>
    <x v="8"/>
    <n v="3"/>
    <n v="3337000"/>
    <n v="0.107720187149545"/>
    <n v="8933000"/>
    <x v="9"/>
    <x v="0"/>
  </r>
  <r>
    <x v="305"/>
    <x v="3"/>
    <x v="1"/>
    <s v="Website"/>
    <x v="9"/>
    <n v="4"/>
    <n v="3194000"/>
    <n v="5.51757560518263E-2"/>
    <n v="12071000"/>
    <x v="1"/>
    <x v="1"/>
  </r>
  <r>
    <x v="305"/>
    <x v="1"/>
    <x v="1"/>
    <s v="Website"/>
    <x v="3"/>
    <n v="2"/>
    <n v="3156000"/>
    <n v="0.13697725596238799"/>
    <n v="5447000"/>
    <x v="13"/>
    <x v="1"/>
  </r>
  <r>
    <x v="305"/>
    <x v="0"/>
    <x v="3"/>
    <s v="Website"/>
    <x v="1"/>
    <n v="1"/>
    <n v="2203000"/>
    <n v="0.112810638787984"/>
    <n v="1954000"/>
    <x v="19"/>
    <x v="1"/>
  </r>
  <r>
    <x v="306"/>
    <x v="0"/>
    <x v="2"/>
    <s v="Call Center"/>
    <x v="6"/>
    <n v="3"/>
    <n v="4303000"/>
    <n v="2.1282482244805001E-2"/>
    <n v="12634000"/>
    <x v="0"/>
    <x v="0"/>
  </r>
  <r>
    <x v="307"/>
    <x v="1"/>
    <x v="4"/>
    <s v="Website"/>
    <x v="3"/>
    <n v="1"/>
    <n v="2386000"/>
    <n v="0.15344711665618899"/>
    <n v="2020000"/>
    <x v="4"/>
    <x v="1"/>
  </r>
  <r>
    <x v="307"/>
    <x v="3"/>
    <x v="2"/>
    <s v="Mobile App"/>
    <x v="3"/>
    <n v="1"/>
    <n v="4494000"/>
    <n v="0.119689479079078"/>
    <n v="3956000"/>
    <x v="2"/>
    <x v="1"/>
  </r>
  <r>
    <x v="307"/>
    <x v="2"/>
    <x v="2"/>
    <s v="Agent"/>
    <x v="9"/>
    <n v="1"/>
    <n v="4019000"/>
    <n v="0.10200426197670601"/>
    <n v="3609000"/>
    <x v="17"/>
    <x v="1"/>
  </r>
  <r>
    <x v="308"/>
    <x v="1"/>
    <x v="3"/>
    <s v="Agent"/>
    <x v="1"/>
    <n v="1"/>
    <n v="2452000"/>
    <n v="8.7442955641753806E-2"/>
    <n v="2238000"/>
    <x v="1"/>
    <x v="1"/>
  </r>
  <r>
    <x v="308"/>
    <x v="3"/>
    <x v="1"/>
    <s v="Website"/>
    <x v="1"/>
    <n v="2"/>
    <n v="3318000"/>
    <n v="0.13327949798856201"/>
    <n v="5752000"/>
    <x v="2"/>
    <x v="1"/>
  </r>
  <r>
    <x v="308"/>
    <x v="3"/>
    <x v="1"/>
    <s v="Website"/>
    <x v="8"/>
    <n v="4"/>
    <n v="3436000"/>
    <n v="0.116588812431404"/>
    <n v="12142000"/>
    <x v="15"/>
    <x v="1"/>
  </r>
  <r>
    <x v="309"/>
    <x v="2"/>
    <x v="5"/>
    <s v="Website"/>
    <x v="2"/>
    <n v="1"/>
    <n v="5126000"/>
    <n v="7.3905038429858405E-2"/>
    <n v="4747000"/>
    <x v="8"/>
    <x v="0"/>
  </r>
  <r>
    <x v="309"/>
    <x v="1"/>
    <x v="0"/>
    <s v="Website"/>
    <x v="1"/>
    <n v="4"/>
    <n v="2757000"/>
    <n v="0.10649670094725699"/>
    <n v="9854000"/>
    <x v="0"/>
    <x v="1"/>
  </r>
  <r>
    <x v="309"/>
    <x v="1"/>
    <x v="4"/>
    <s v="Agent"/>
    <x v="4"/>
    <n v="2"/>
    <n v="2003000"/>
    <n v="0.104"/>
    <n v="3589000"/>
    <x v="3"/>
    <x v="0"/>
  </r>
  <r>
    <x v="309"/>
    <x v="2"/>
    <x v="2"/>
    <s v="Website"/>
    <x v="4"/>
    <n v="1"/>
    <n v="4142000"/>
    <n v="9.7637759056094897E-2"/>
    <n v="3738000"/>
    <x v="17"/>
    <x v="0"/>
  </r>
  <r>
    <x v="310"/>
    <x v="0"/>
    <x v="5"/>
    <s v="Mobile App"/>
    <x v="9"/>
    <n v="1"/>
    <n v="6050000"/>
    <n v="0.117188421797339"/>
    <n v="5341000"/>
    <x v="9"/>
    <x v="1"/>
  </r>
  <r>
    <x v="311"/>
    <x v="0"/>
    <x v="0"/>
    <s v="Website"/>
    <x v="9"/>
    <n v="1"/>
    <n v="2949000"/>
    <n v="8.70900724218448E-2"/>
    <n v="2692000"/>
    <x v="8"/>
    <x v="0"/>
  </r>
  <r>
    <x v="311"/>
    <x v="0"/>
    <x v="4"/>
    <s v="Website"/>
    <x v="2"/>
    <n v="3"/>
    <n v="2952000"/>
    <n v="0.10636073970010899"/>
    <n v="7914000"/>
    <x v="0"/>
    <x v="0"/>
  </r>
  <r>
    <x v="312"/>
    <x v="1"/>
    <x v="0"/>
    <s v="Agent"/>
    <x v="1"/>
    <n v="3"/>
    <n v="2673000"/>
    <n v="6.8878007493960794E-2"/>
    <n v="7467000"/>
    <x v="5"/>
    <x v="1"/>
  </r>
  <r>
    <x v="313"/>
    <x v="1"/>
    <x v="2"/>
    <s v="Agent"/>
    <x v="9"/>
    <n v="3"/>
    <n v="4339000"/>
    <n v="0.135166404517714"/>
    <n v="11258000"/>
    <x v="16"/>
    <x v="1"/>
  </r>
  <r>
    <x v="313"/>
    <x v="3"/>
    <x v="5"/>
    <s v="Mobile App"/>
    <x v="9"/>
    <n v="1"/>
    <n v="6130000"/>
    <n v="0.10880999303830199"/>
    <n v="5463000"/>
    <x v="4"/>
    <x v="1"/>
  </r>
  <r>
    <x v="314"/>
    <x v="2"/>
    <x v="4"/>
    <s v="Agent"/>
    <x v="9"/>
    <n v="4"/>
    <n v="2491000"/>
    <n v="0.12537389598592599"/>
    <n v="8715000"/>
    <x v="15"/>
    <x v="1"/>
  </r>
  <r>
    <x v="314"/>
    <x v="3"/>
    <x v="4"/>
    <s v="Agent"/>
    <x v="9"/>
    <n v="5"/>
    <n v="2708000"/>
    <n v="8.2421259552631701E-2"/>
    <n v="12424000"/>
    <x v="2"/>
    <x v="1"/>
  </r>
  <r>
    <x v="315"/>
    <x v="3"/>
    <x v="0"/>
    <s v="Agent"/>
    <x v="9"/>
    <n v="1"/>
    <n v="2761000"/>
    <n v="5.5E-2"/>
    <n v="2609000"/>
    <x v="9"/>
    <x v="1"/>
  </r>
  <r>
    <x v="315"/>
    <x v="3"/>
    <x v="1"/>
    <s v="Agent"/>
    <x v="2"/>
    <n v="2"/>
    <n v="3872000"/>
    <n v="0.110982699646009"/>
    <n v="6885000"/>
    <x v="6"/>
    <x v="1"/>
  </r>
  <r>
    <x v="315"/>
    <x v="0"/>
    <x v="3"/>
    <s v="Mobile App"/>
    <x v="2"/>
    <n v="2"/>
    <n v="2865000"/>
    <n v="9.3062543176462398E-2"/>
    <n v="5197000"/>
    <x v="1"/>
    <x v="1"/>
  </r>
  <r>
    <x v="316"/>
    <x v="3"/>
    <x v="4"/>
    <s v="Website"/>
    <x v="7"/>
    <n v="1"/>
    <n v="2600000"/>
    <n v="0.113238280423481"/>
    <n v="2306000"/>
    <x v="6"/>
    <x v="1"/>
  </r>
  <r>
    <x v="316"/>
    <x v="3"/>
    <x v="4"/>
    <s v="Mobile App"/>
    <x v="7"/>
    <n v="1"/>
    <n v="2847000"/>
    <n v="0.115696346063673"/>
    <n v="2518000"/>
    <x v="11"/>
    <x v="1"/>
  </r>
  <r>
    <x v="316"/>
    <x v="2"/>
    <x v="0"/>
    <s v="Website"/>
    <x v="5"/>
    <n v="4"/>
    <n v="2743000"/>
    <n v="6.1929750867765802E-2"/>
    <n v="10293000"/>
    <x v="4"/>
    <x v="1"/>
  </r>
  <r>
    <x v="317"/>
    <x v="3"/>
    <x v="1"/>
    <s v="Agent"/>
    <x v="8"/>
    <n v="1"/>
    <n v="3391000"/>
    <n v="0.14507950940050199"/>
    <n v="2899000"/>
    <x v="9"/>
    <x v="1"/>
  </r>
  <r>
    <x v="317"/>
    <x v="0"/>
    <x v="3"/>
    <s v="Agent"/>
    <x v="6"/>
    <n v="1"/>
    <n v="2369000"/>
    <n v="8.7004302414365506E-2"/>
    <n v="2163000"/>
    <x v="12"/>
    <x v="1"/>
  </r>
  <r>
    <x v="317"/>
    <x v="1"/>
    <x v="5"/>
    <s v="Mobile App"/>
    <x v="8"/>
    <n v="4"/>
    <n v="5600000"/>
    <n v="3.83059612984974E-2"/>
    <n v="21542000"/>
    <x v="0"/>
    <x v="1"/>
  </r>
  <r>
    <x v="317"/>
    <x v="1"/>
    <x v="0"/>
    <s v="Mobile App"/>
    <x v="1"/>
    <n v="1"/>
    <n v="2684000"/>
    <n v="0.14299999999999999"/>
    <n v="2301000"/>
    <x v="14"/>
    <x v="0"/>
  </r>
  <r>
    <x v="318"/>
    <x v="3"/>
    <x v="5"/>
    <s v="Agent"/>
    <x v="1"/>
    <n v="1"/>
    <n v="4811000"/>
    <n v="0.12311927077932899"/>
    <n v="4219000"/>
    <x v="5"/>
    <x v="0"/>
  </r>
  <r>
    <x v="318"/>
    <x v="0"/>
    <x v="2"/>
    <s v="Mobile App"/>
    <x v="7"/>
    <n v="3"/>
    <n v="3784000"/>
    <n v="8.6860844733231996E-2"/>
    <n v="10366000"/>
    <x v="12"/>
    <x v="1"/>
  </r>
  <r>
    <x v="319"/>
    <x v="0"/>
    <x v="0"/>
    <s v="Agent"/>
    <x v="2"/>
    <n v="3"/>
    <n v="3597000"/>
    <n v="4.59710304412978E-2"/>
    <n v="10295000"/>
    <x v="15"/>
    <x v="1"/>
  </r>
  <r>
    <x v="319"/>
    <x v="1"/>
    <x v="2"/>
    <s v="Website"/>
    <x v="8"/>
    <n v="2"/>
    <n v="4100000"/>
    <n v="0.10463640195573699"/>
    <n v="7342000"/>
    <x v="4"/>
    <x v="1"/>
  </r>
  <r>
    <x v="319"/>
    <x v="3"/>
    <x v="3"/>
    <s v="Website"/>
    <x v="0"/>
    <n v="5"/>
    <n v="2862000"/>
    <n v="0.124312923227665"/>
    <n v="12531000"/>
    <x v="13"/>
    <x v="1"/>
  </r>
  <r>
    <x v="320"/>
    <x v="1"/>
    <x v="5"/>
    <s v="Website"/>
    <x v="0"/>
    <n v="4"/>
    <n v="5717000"/>
    <n v="0.100459926696201"/>
    <n v="20571000"/>
    <x v="3"/>
    <x v="1"/>
  </r>
  <r>
    <x v="320"/>
    <x v="3"/>
    <x v="3"/>
    <s v="Website"/>
    <x v="9"/>
    <n v="4"/>
    <n v="2630000"/>
    <n v="0.14615300962585401"/>
    <n v="8982000"/>
    <x v="8"/>
    <x v="1"/>
  </r>
  <r>
    <x v="320"/>
    <x v="2"/>
    <x v="1"/>
    <s v="Website"/>
    <x v="3"/>
    <n v="2"/>
    <n v="3268000"/>
    <n v="4.3554525600029599E-2"/>
    <n v="6251000"/>
    <x v="13"/>
    <x v="0"/>
  </r>
  <r>
    <x v="321"/>
    <x v="2"/>
    <x v="1"/>
    <s v="Website"/>
    <x v="2"/>
    <n v="1"/>
    <n v="3860000"/>
    <n v="8.3436355636251E-2"/>
    <n v="3538000"/>
    <x v="14"/>
    <x v="1"/>
  </r>
  <r>
    <x v="322"/>
    <x v="3"/>
    <x v="3"/>
    <s v="Agent"/>
    <x v="4"/>
    <n v="1"/>
    <n v="1433000"/>
    <n v="8.4571649315757197E-2"/>
    <n v="1312000"/>
    <x v="2"/>
    <x v="1"/>
  </r>
  <r>
    <x v="323"/>
    <x v="3"/>
    <x v="2"/>
    <s v="Website"/>
    <x v="0"/>
    <n v="3"/>
    <n v="4664000"/>
    <n v="6.7697411236956398E-2"/>
    <n v="13045000"/>
    <x v="5"/>
    <x v="1"/>
  </r>
  <r>
    <x v="323"/>
    <x v="1"/>
    <x v="4"/>
    <s v="Mobile App"/>
    <x v="6"/>
    <n v="3"/>
    <n v="2870000"/>
    <n v="0.13672134294094501"/>
    <n v="7433000"/>
    <x v="4"/>
    <x v="1"/>
  </r>
  <r>
    <x v="323"/>
    <x v="1"/>
    <x v="3"/>
    <s v="Website"/>
    <x v="2"/>
    <n v="2"/>
    <n v="2643000"/>
    <n v="6.7783689600943497E-2"/>
    <n v="4928000"/>
    <x v="13"/>
    <x v="1"/>
  </r>
  <r>
    <x v="323"/>
    <x v="1"/>
    <x v="0"/>
    <s v="Website"/>
    <x v="4"/>
    <n v="3"/>
    <n v="2777000"/>
    <n v="9.6670901086522404E-2"/>
    <n v="7526000"/>
    <x v="9"/>
    <x v="0"/>
  </r>
  <r>
    <x v="324"/>
    <x v="1"/>
    <x v="3"/>
    <s v="Mobile App"/>
    <x v="4"/>
    <n v="1"/>
    <n v="1467000"/>
    <n v="0.11732301595009501"/>
    <n v="1295000"/>
    <x v="7"/>
    <x v="1"/>
  </r>
  <r>
    <x v="324"/>
    <x v="0"/>
    <x v="5"/>
    <s v="Website"/>
    <x v="4"/>
    <n v="4"/>
    <n v="4594000"/>
    <n v="0.126600667637248"/>
    <n v="16050000"/>
    <x v="17"/>
    <x v="1"/>
  </r>
  <r>
    <x v="325"/>
    <x v="0"/>
    <x v="1"/>
    <s v="Website"/>
    <x v="5"/>
    <n v="3"/>
    <n v="3740000"/>
    <n v="0.08"/>
    <n v="10321000"/>
    <x v="5"/>
    <x v="1"/>
  </r>
  <r>
    <x v="325"/>
    <x v="1"/>
    <x v="2"/>
    <s v="Website"/>
    <x v="1"/>
    <n v="2"/>
    <n v="3388000"/>
    <n v="5.09057986976649E-2"/>
    <n v="6431000"/>
    <x v="1"/>
    <x v="0"/>
  </r>
  <r>
    <x v="325"/>
    <x v="0"/>
    <x v="1"/>
    <s v="Website"/>
    <x v="0"/>
    <n v="4"/>
    <n v="3737000"/>
    <n v="6.2891029113189598E-2"/>
    <n v="14008000"/>
    <x v="0"/>
    <x v="0"/>
  </r>
  <r>
    <x v="325"/>
    <x v="2"/>
    <x v="4"/>
    <s v="Mobile App"/>
    <x v="2"/>
    <n v="2"/>
    <n v="2821000"/>
    <n v="0.10959379664065"/>
    <n v="5024000"/>
    <x v="18"/>
    <x v="1"/>
  </r>
  <r>
    <x v="325"/>
    <x v="0"/>
    <x v="1"/>
    <s v="Mobile App"/>
    <x v="0"/>
    <n v="5"/>
    <n v="3507000"/>
    <n v="5.7372522337373902E-2"/>
    <n v="16529000"/>
    <x v="4"/>
    <x v="1"/>
  </r>
  <r>
    <x v="325"/>
    <x v="2"/>
    <x v="4"/>
    <s v="Website"/>
    <x v="5"/>
    <n v="4"/>
    <n v="2822000"/>
    <n v="8.9789808157360596E-2"/>
    <n v="10274000"/>
    <x v="9"/>
    <x v="1"/>
  </r>
  <r>
    <x v="325"/>
    <x v="2"/>
    <x v="3"/>
    <s v="Agent"/>
    <x v="1"/>
    <n v="1"/>
    <n v="2448000"/>
    <n v="0.1092561651921"/>
    <n v="2181000"/>
    <x v="1"/>
    <x v="1"/>
  </r>
  <r>
    <x v="326"/>
    <x v="2"/>
    <x v="1"/>
    <s v="Mobile App"/>
    <x v="1"/>
    <n v="4"/>
    <n v="3090000"/>
    <n v="6.4069091020757904E-2"/>
    <n v="11568000"/>
    <x v="1"/>
    <x v="0"/>
  </r>
  <r>
    <x v="326"/>
    <x v="3"/>
    <x v="2"/>
    <s v="Website"/>
    <x v="3"/>
    <n v="3"/>
    <n v="4691000"/>
    <n v="4.6679199463172297E-2"/>
    <n v="13416000"/>
    <x v="13"/>
    <x v="1"/>
  </r>
  <r>
    <x v="326"/>
    <x v="3"/>
    <x v="0"/>
    <s v="Website"/>
    <x v="9"/>
    <n v="1"/>
    <n v="2828000"/>
    <n v="0.104468899340805"/>
    <n v="2533000"/>
    <x v="8"/>
    <x v="1"/>
  </r>
  <r>
    <x v="327"/>
    <x v="1"/>
    <x v="4"/>
    <s v="Mobile App"/>
    <x v="9"/>
    <n v="2"/>
    <n v="2729000"/>
    <n v="8.1263931286872995E-2"/>
    <n v="5014000"/>
    <x v="4"/>
    <x v="1"/>
  </r>
  <r>
    <x v="328"/>
    <x v="3"/>
    <x v="3"/>
    <s v="Mobile App"/>
    <x v="1"/>
    <n v="1"/>
    <n v="2377000"/>
    <n v="7.7766302135571203E-2"/>
    <n v="2192000"/>
    <x v="9"/>
    <x v="0"/>
  </r>
  <r>
    <x v="328"/>
    <x v="1"/>
    <x v="0"/>
    <s v="Website"/>
    <x v="3"/>
    <n v="5"/>
    <n v="2781000"/>
    <n v="0.104788655997544"/>
    <n v="12448000"/>
    <x v="15"/>
    <x v="0"/>
  </r>
  <r>
    <x v="329"/>
    <x v="1"/>
    <x v="5"/>
    <s v="Mobile App"/>
    <x v="7"/>
    <n v="2"/>
    <n v="5271000"/>
    <n v="7.0294481835015701E-2"/>
    <n v="9801000"/>
    <x v="10"/>
    <x v="0"/>
  </r>
  <r>
    <x v="329"/>
    <x v="3"/>
    <x v="4"/>
    <s v="Mobile App"/>
    <x v="3"/>
    <n v="4"/>
    <n v="2122000"/>
    <n v="5.1238271179045301E-2"/>
    <n v="8053000"/>
    <x v="9"/>
    <x v="1"/>
  </r>
  <r>
    <x v="329"/>
    <x v="0"/>
    <x v="0"/>
    <s v="Website"/>
    <x v="5"/>
    <n v="1"/>
    <n v="2700000"/>
    <n v="0.132632998652221"/>
    <n v="2342000"/>
    <x v="2"/>
    <x v="1"/>
  </r>
  <r>
    <x v="330"/>
    <x v="2"/>
    <x v="5"/>
    <s v="Call Center"/>
    <x v="5"/>
    <n v="3"/>
    <n v="5893000"/>
    <n v="0.137635080077815"/>
    <n v="15246000"/>
    <x v="13"/>
    <x v="1"/>
  </r>
  <r>
    <x v="330"/>
    <x v="1"/>
    <x v="2"/>
    <s v="Website"/>
    <x v="6"/>
    <n v="1"/>
    <n v="4078000"/>
    <n v="5.0026995018711599E-2"/>
    <n v="3874000"/>
    <x v="0"/>
    <x v="1"/>
  </r>
  <r>
    <x v="330"/>
    <x v="3"/>
    <x v="1"/>
    <s v="Mobile App"/>
    <x v="1"/>
    <n v="1"/>
    <n v="3105000"/>
    <n v="5.9597748473727202E-2"/>
    <n v="2920000"/>
    <x v="13"/>
    <x v="1"/>
  </r>
  <r>
    <x v="331"/>
    <x v="3"/>
    <x v="0"/>
    <s v="Website"/>
    <x v="5"/>
    <n v="4"/>
    <n v="2538000"/>
    <n v="0.124183138051892"/>
    <n v="8891000"/>
    <x v="14"/>
    <x v="1"/>
  </r>
  <r>
    <x v="331"/>
    <x v="0"/>
    <x v="2"/>
    <s v="Website"/>
    <x v="8"/>
    <n v="3"/>
    <n v="3649000"/>
    <n v="5.1640033374143003E-2"/>
    <n v="10382000"/>
    <x v="6"/>
    <x v="1"/>
  </r>
  <r>
    <x v="332"/>
    <x v="3"/>
    <x v="5"/>
    <s v="Website"/>
    <x v="8"/>
    <n v="3"/>
    <n v="4563000"/>
    <n v="4.91249915559532E-2"/>
    <n v="13017000"/>
    <x v="10"/>
    <x v="0"/>
  </r>
  <r>
    <x v="333"/>
    <x v="3"/>
    <x v="2"/>
    <s v="Website"/>
    <x v="9"/>
    <n v="2"/>
    <n v="3993000"/>
    <n v="8.5799811539092996E-2"/>
    <n v="7301000"/>
    <x v="1"/>
    <x v="0"/>
  </r>
  <r>
    <x v="334"/>
    <x v="1"/>
    <x v="1"/>
    <s v="Website"/>
    <x v="4"/>
    <n v="2"/>
    <n v="2614000"/>
    <n v="5.4178930988450398E-2"/>
    <n v="4945000"/>
    <x v="3"/>
    <x v="0"/>
  </r>
  <r>
    <x v="335"/>
    <x v="3"/>
    <x v="4"/>
    <s v="Website"/>
    <x v="2"/>
    <n v="2"/>
    <n v="2419000"/>
    <n v="4.3096943446688102E-2"/>
    <n v="4629000"/>
    <x v="0"/>
    <x v="1"/>
  </r>
  <r>
    <x v="336"/>
    <x v="0"/>
    <x v="2"/>
    <s v="Agent"/>
    <x v="7"/>
    <n v="5"/>
    <n v="3509000"/>
    <n v="0.17929984727092199"/>
    <n v="14399000"/>
    <x v="6"/>
    <x v="1"/>
  </r>
  <r>
    <x v="336"/>
    <x v="3"/>
    <x v="1"/>
    <s v="Website"/>
    <x v="9"/>
    <n v="2"/>
    <n v="3247000"/>
    <n v="0.105577443923666"/>
    <n v="5808000"/>
    <x v="19"/>
    <x v="0"/>
  </r>
  <r>
    <x v="336"/>
    <x v="3"/>
    <x v="1"/>
    <s v="Agent"/>
    <x v="7"/>
    <n v="3"/>
    <n v="3068000"/>
    <n v="0.13271063226728599"/>
    <n v="7983000"/>
    <x v="8"/>
    <x v="1"/>
  </r>
  <r>
    <x v="337"/>
    <x v="2"/>
    <x v="4"/>
    <s v="Website"/>
    <x v="5"/>
    <n v="2"/>
    <n v="2862000"/>
    <n v="2.61772493314433E-2"/>
    <n v="5574000"/>
    <x v="0"/>
    <x v="0"/>
  </r>
  <r>
    <x v="338"/>
    <x v="1"/>
    <x v="5"/>
    <s v="Website"/>
    <x v="5"/>
    <n v="3"/>
    <n v="5364000"/>
    <n v="0.17190049858714901"/>
    <n v="13326000"/>
    <x v="0"/>
    <x v="1"/>
  </r>
  <r>
    <x v="338"/>
    <x v="0"/>
    <x v="5"/>
    <s v="Agent"/>
    <x v="3"/>
    <n v="1"/>
    <n v="4677000"/>
    <n v="3.9107572424788503E-2"/>
    <n v="4494000"/>
    <x v="9"/>
    <x v="0"/>
  </r>
  <r>
    <x v="339"/>
    <x v="1"/>
    <x v="0"/>
    <s v="Agent"/>
    <x v="0"/>
    <n v="4"/>
    <n v="2526000"/>
    <n v="7.7206323140794897E-2"/>
    <n v="9324000"/>
    <x v="12"/>
    <x v="0"/>
  </r>
  <r>
    <x v="339"/>
    <x v="2"/>
    <x v="3"/>
    <s v="Agent"/>
    <x v="2"/>
    <n v="2"/>
    <n v="2549000"/>
    <n v="9.4354997109397695E-2"/>
    <n v="4617000"/>
    <x v="14"/>
    <x v="0"/>
  </r>
  <r>
    <x v="339"/>
    <x v="2"/>
    <x v="0"/>
    <s v="Agent"/>
    <x v="2"/>
    <n v="2"/>
    <n v="3018000"/>
    <n v="3.5435024773332498E-2"/>
    <n v="5822000"/>
    <x v="15"/>
    <x v="1"/>
  </r>
  <r>
    <x v="339"/>
    <x v="0"/>
    <x v="1"/>
    <s v="Website"/>
    <x v="0"/>
    <n v="3"/>
    <n v="3232000"/>
    <n v="4.7148271888507398E-2"/>
    <n v="9239000"/>
    <x v="13"/>
    <x v="1"/>
  </r>
  <r>
    <x v="340"/>
    <x v="0"/>
    <x v="0"/>
    <s v="Website"/>
    <x v="9"/>
    <n v="1"/>
    <n v="2552000"/>
    <n v="0.106301774375407"/>
    <n v="2281000"/>
    <x v="17"/>
    <x v="1"/>
  </r>
  <r>
    <x v="340"/>
    <x v="3"/>
    <x v="5"/>
    <s v="Website"/>
    <x v="9"/>
    <n v="3"/>
    <n v="4519000"/>
    <n v="9.1600412820751806E-2"/>
    <n v="12315000"/>
    <x v="6"/>
    <x v="0"/>
  </r>
  <r>
    <x v="341"/>
    <x v="2"/>
    <x v="5"/>
    <s v="Website"/>
    <x v="4"/>
    <n v="3"/>
    <n v="4485000"/>
    <n v="0.118016433937712"/>
    <n v="11867000"/>
    <x v="2"/>
    <x v="0"/>
  </r>
  <r>
    <x v="342"/>
    <x v="1"/>
    <x v="3"/>
    <s v="Agent"/>
    <x v="7"/>
    <n v="2"/>
    <n v="2137000"/>
    <n v="6.07074274478107E-2"/>
    <n v="4015000"/>
    <x v="9"/>
    <x v="0"/>
  </r>
  <r>
    <x v="343"/>
    <x v="2"/>
    <x v="2"/>
    <s v="Call Center"/>
    <x v="1"/>
    <n v="3"/>
    <n v="3005000"/>
    <n v="8.45109120469206E-2"/>
    <n v="8253000"/>
    <x v="15"/>
    <x v="1"/>
  </r>
  <r>
    <x v="343"/>
    <x v="0"/>
    <x v="2"/>
    <s v="Website"/>
    <x v="2"/>
    <n v="1"/>
    <n v="4299000"/>
    <n v="7.0885789616403294E-2"/>
    <n v="3994000"/>
    <x v="9"/>
    <x v="0"/>
  </r>
  <r>
    <x v="344"/>
    <x v="0"/>
    <x v="0"/>
    <s v="Mobile App"/>
    <x v="3"/>
    <n v="1"/>
    <n v="2613000"/>
    <n v="0.109083712307534"/>
    <n v="2328000"/>
    <x v="12"/>
    <x v="0"/>
  </r>
  <r>
    <x v="344"/>
    <x v="2"/>
    <x v="4"/>
    <s v="Website"/>
    <x v="4"/>
    <n v="1"/>
    <n v="2025000"/>
    <n v="0.159268699311858"/>
    <n v="1702000"/>
    <x v="5"/>
    <x v="1"/>
  </r>
  <r>
    <x v="344"/>
    <x v="0"/>
    <x v="0"/>
    <s v="Website"/>
    <x v="6"/>
    <n v="3"/>
    <n v="2250000"/>
    <n v="0.11871544795900101"/>
    <n v="5949000"/>
    <x v="2"/>
    <x v="1"/>
  </r>
  <r>
    <x v="345"/>
    <x v="1"/>
    <x v="2"/>
    <s v="Website"/>
    <x v="1"/>
    <n v="4"/>
    <n v="3326000"/>
    <n v="3.8913067192049497E-2"/>
    <n v="12786000"/>
    <x v="0"/>
    <x v="1"/>
  </r>
  <r>
    <x v="345"/>
    <x v="1"/>
    <x v="1"/>
    <s v="Website"/>
    <x v="1"/>
    <n v="2"/>
    <n v="3000000"/>
    <n v="0.169175297554054"/>
    <n v="4985000"/>
    <x v="15"/>
    <x v="0"/>
  </r>
  <r>
    <x v="346"/>
    <x v="3"/>
    <x v="5"/>
    <s v="Mobile App"/>
    <x v="2"/>
    <n v="1"/>
    <n v="4321000"/>
    <n v="0.17824341401875299"/>
    <n v="3551000"/>
    <x v="13"/>
    <x v="0"/>
  </r>
  <r>
    <x v="346"/>
    <x v="3"/>
    <x v="4"/>
    <s v="Website"/>
    <x v="6"/>
    <n v="1"/>
    <n v="2530000"/>
    <n v="0.18400886173098699"/>
    <n v="2064000"/>
    <x v="14"/>
    <x v="1"/>
  </r>
  <r>
    <x v="346"/>
    <x v="1"/>
    <x v="2"/>
    <s v="Website"/>
    <x v="0"/>
    <n v="4"/>
    <n v="4086000"/>
    <n v="0.135358782326362"/>
    <n v="14132000"/>
    <x v="9"/>
    <x v="1"/>
  </r>
  <r>
    <x v="346"/>
    <x v="1"/>
    <x v="0"/>
    <s v="Website"/>
    <x v="6"/>
    <n v="1"/>
    <n v="2264000"/>
    <n v="7.6410923940603198E-2"/>
    <n v="2091000"/>
    <x v="2"/>
    <x v="1"/>
  </r>
  <r>
    <x v="346"/>
    <x v="1"/>
    <x v="0"/>
    <s v="Agent"/>
    <x v="3"/>
    <n v="1"/>
    <n v="2623000"/>
    <n v="9.9498170021088003E-2"/>
    <n v="2362000"/>
    <x v="5"/>
    <x v="1"/>
  </r>
  <r>
    <x v="347"/>
    <x v="3"/>
    <x v="0"/>
    <s v="Website"/>
    <x v="2"/>
    <n v="2"/>
    <n v="3156000"/>
    <n v="0.121743183209485"/>
    <n v="5544000"/>
    <x v="14"/>
    <x v="1"/>
  </r>
  <r>
    <x v="347"/>
    <x v="0"/>
    <x v="1"/>
    <s v="Website"/>
    <x v="5"/>
    <n v="1"/>
    <n v="3611000"/>
    <n v="0.141223840143298"/>
    <n v="3101000"/>
    <x v="9"/>
    <x v="1"/>
  </r>
  <r>
    <x v="348"/>
    <x v="3"/>
    <x v="2"/>
    <s v="Agent"/>
    <x v="9"/>
    <n v="2"/>
    <n v="3837000"/>
    <n v="0.108261768874263"/>
    <n v="6843000"/>
    <x v="14"/>
    <x v="0"/>
  </r>
  <r>
    <x v="348"/>
    <x v="2"/>
    <x v="5"/>
    <s v="Agent"/>
    <x v="5"/>
    <n v="1"/>
    <n v="5015000"/>
    <n v="0.17064212205541801"/>
    <n v="4159000"/>
    <x v="19"/>
    <x v="1"/>
  </r>
  <r>
    <x v="349"/>
    <x v="2"/>
    <x v="2"/>
    <s v="Agent"/>
    <x v="5"/>
    <n v="1"/>
    <n v="3666000"/>
    <n v="9.4155905098299394E-2"/>
    <n v="3321000"/>
    <x v="9"/>
    <x v="1"/>
  </r>
  <r>
    <x v="349"/>
    <x v="1"/>
    <x v="5"/>
    <s v="Mobile App"/>
    <x v="9"/>
    <n v="1"/>
    <n v="5771000"/>
    <n v="0.104499003094336"/>
    <n v="5168000"/>
    <x v="9"/>
    <x v="1"/>
  </r>
  <r>
    <x v="349"/>
    <x v="1"/>
    <x v="0"/>
    <s v="Website"/>
    <x v="3"/>
    <n v="2"/>
    <n v="2420000"/>
    <n v="8.4013401141625602E-2"/>
    <n v="4433000"/>
    <x v="7"/>
    <x v="0"/>
  </r>
  <r>
    <x v="350"/>
    <x v="3"/>
    <x v="1"/>
    <s v="Agent"/>
    <x v="4"/>
    <n v="3"/>
    <n v="2522000"/>
    <n v="6.6696273728937897E-2"/>
    <n v="7061000"/>
    <x v="17"/>
    <x v="0"/>
  </r>
  <r>
    <x v="350"/>
    <x v="1"/>
    <x v="2"/>
    <s v="Agent"/>
    <x v="4"/>
    <n v="2"/>
    <n v="4138000"/>
    <n v="9.1237656336234194E-2"/>
    <n v="7521000"/>
    <x v="13"/>
    <x v="1"/>
  </r>
  <r>
    <x v="350"/>
    <x v="2"/>
    <x v="2"/>
    <s v="Agent"/>
    <x v="1"/>
    <n v="1"/>
    <n v="3162000"/>
    <n v="7.7212386156081794E-2"/>
    <n v="2918000"/>
    <x v="11"/>
    <x v="1"/>
  </r>
  <r>
    <x v="351"/>
    <x v="3"/>
    <x v="5"/>
    <s v="Website"/>
    <x v="7"/>
    <n v="2"/>
    <n v="4369000"/>
    <n v="0.10219141383208299"/>
    <n v="7845000"/>
    <x v="3"/>
    <x v="0"/>
  </r>
  <r>
    <x v="351"/>
    <x v="0"/>
    <x v="2"/>
    <s v="Mobile App"/>
    <x v="4"/>
    <n v="1"/>
    <n v="4156000"/>
    <n v="0.1224182370157"/>
    <n v="3647000"/>
    <x v="16"/>
    <x v="1"/>
  </r>
  <r>
    <x v="351"/>
    <x v="2"/>
    <x v="2"/>
    <s v="Website"/>
    <x v="8"/>
    <n v="1"/>
    <n v="3823000"/>
    <n v="0.13445498527729799"/>
    <n v="3309000"/>
    <x v="4"/>
    <x v="1"/>
  </r>
  <r>
    <x v="352"/>
    <x v="2"/>
    <x v="0"/>
    <s v="Agent"/>
    <x v="8"/>
    <n v="2"/>
    <n v="2137000"/>
    <n v="0.15238678027087199"/>
    <n v="3623000"/>
    <x v="0"/>
    <x v="1"/>
  </r>
  <r>
    <x v="352"/>
    <x v="1"/>
    <x v="0"/>
    <s v="Website"/>
    <x v="0"/>
    <n v="1"/>
    <n v="2606000"/>
    <n v="5.28826152321634E-2"/>
    <n v="2468000"/>
    <x v="14"/>
    <x v="1"/>
  </r>
  <r>
    <x v="352"/>
    <x v="1"/>
    <x v="2"/>
    <s v="Mobile App"/>
    <x v="0"/>
    <n v="4"/>
    <n v="4087000"/>
    <n v="0.199862382543226"/>
    <n v="13081000"/>
    <x v="1"/>
    <x v="1"/>
  </r>
  <r>
    <x v="352"/>
    <x v="2"/>
    <x v="5"/>
    <s v="Website"/>
    <x v="0"/>
    <n v="1"/>
    <n v="5799000"/>
    <n v="0.16745482550430099"/>
    <n v="4828000"/>
    <x v="2"/>
    <x v="1"/>
  </r>
  <r>
    <x v="352"/>
    <x v="0"/>
    <x v="1"/>
    <s v="Mobile App"/>
    <x v="8"/>
    <n v="2"/>
    <n v="3158000"/>
    <n v="8.0102590428657E-2"/>
    <n v="5810000"/>
    <x v="9"/>
    <x v="1"/>
  </r>
  <r>
    <x v="353"/>
    <x v="3"/>
    <x v="2"/>
    <s v="Mobile App"/>
    <x v="0"/>
    <n v="3"/>
    <n v="4521000"/>
    <n v="0.110058356461206"/>
    <n v="12070000"/>
    <x v="6"/>
    <x v="1"/>
  </r>
  <r>
    <x v="354"/>
    <x v="1"/>
    <x v="2"/>
    <s v="Website"/>
    <x v="1"/>
    <n v="3"/>
    <n v="3274000"/>
    <n v="0"/>
    <n v="9822000"/>
    <x v="4"/>
    <x v="0"/>
  </r>
  <r>
    <x v="354"/>
    <x v="3"/>
    <x v="0"/>
    <s v="Website"/>
    <x v="5"/>
    <n v="3"/>
    <n v="2552000"/>
    <n v="0"/>
    <n v="7656000"/>
    <x v="6"/>
    <x v="1"/>
  </r>
  <r>
    <x v="354"/>
    <x v="3"/>
    <x v="1"/>
    <s v="Agent"/>
    <x v="3"/>
    <n v="1"/>
    <n v="3045000"/>
    <n v="0.109816101979128"/>
    <n v="2711000"/>
    <x v="10"/>
    <x v="0"/>
  </r>
  <r>
    <x v="355"/>
    <x v="3"/>
    <x v="2"/>
    <s v="Website"/>
    <x v="3"/>
    <n v="1"/>
    <n v="4045000"/>
    <n v="3.3910663786152297E-2"/>
    <n v="3908000"/>
    <x v="2"/>
    <x v="1"/>
  </r>
  <r>
    <x v="355"/>
    <x v="0"/>
    <x v="1"/>
    <s v="Agent"/>
    <x v="9"/>
    <n v="2"/>
    <n v="3718000"/>
    <n v="1.16529266913716E-2"/>
    <n v="7349000"/>
    <x v="2"/>
    <x v="1"/>
  </r>
  <r>
    <x v="355"/>
    <x v="3"/>
    <x v="0"/>
    <s v="Mobile App"/>
    <x v="6"/>
    <n v="3"/>
    <n v="2403000"/>
    <n v="0.16430590873040901"/>
    <n v="6025000"/>
    <x v="12"/>
    <x v="1"/>
  </r>
  <r>
    <x v="356"/>
    <x v="3"/>
    <x v="4"/>
    <s v="Website"/>
    <x v="8"/>
    <n v="2"/>
    <n v="2312000"/>
    <n v="0.12494149700011201"/>
    <n v="4046000"/>
    <x v="2"/>
    <x v="1"/>
  </r>
  <r>
    <x v="356"/>
    <x v="1"/>
    <x v="2"/>
    <s v="Agent"/>
    <x v="7"/>
    <n v="1"/>
    <n v="3715000"/>
    <n v="6.1528339290009601E-2"/>
    <n v="3486000"/>
    <x v="5"/>
    <x v="1"/>
  </r>
  <r>
    <x v="356"/>
    <x v="1"/>
    <x v="2"/>
    <s v="Agent"/>
    <x v="7"/>
    <n v="4"/>
    <n v="3880000"/>
    <n v="7.4176258852792304E-2"/>
    <n v="14369000"/>
    <x v="13"/>
    <x v="1"/>
  </r>
  <r>
    <x v="357"/>
    <x v="2"/>
    <x v="1"/>
    <s v="Website"/>
    <x v="7"/>
    <n v="4"/>
    <n v="2838000"/>
    <n v="4.7758784003426702E-2"/>
    <n v="10810000"/>
    <x v="0"/>
    <x v="1"/>
  </r>
  <r>
    <x v="358"/>
    <x v="1"/>
    <x v="3"/>
    <s v="Agent"/>
    <x v="8"/>
    <n v="4"/>
    <n v="2584000"/>
    <n v="0.16254775528698101"/>
    <n v="8656000"/>
    <x v="14"/>
    <x v="1"/>
  </r>
  <r>
    <x v="358"/>
    <x v="3"/>
    <x v="2"/>
    <s v="Website"/>
    <x v="0"/>
    <n v="1"/>
    <n v="4453000"/>
    <n v="0.139887301770308"/>
    <n v="3830000"/>
    <x v="0"/>
    <x v="1"/>
  </r>
  <r>
    <x v="359"/>
    <x v="0"/>
    <x v="0"/>
    <s v="Website"/>
    <x v="7"/>
    <n v="2"/>
    <n v="2230000"/>
    <n v="0.12665082361091701"/>
    <n v="3895000"/>
    <x v="2"/>
    <x v="1"/>
  </r>
  <r>
    <x v="360"/>
    <x v="3"/>
    <x v="2"/>
    <s v="Website"/>
    <x v="1"/>
    <n v="1"/>
    <n v="3211000"/>
    <n v="4.5031291923686198E-2"/>
    <n v="3066000"/>
    <x v="4"/>
    <x v="1"/>
  </r>
  <r>
    <x v="360"/>
    <x v="0"/>
    <x v="0"/>
    <s v="Website"/>
    <x v="6"/>
    <n v="1"/>
    <n v="2519000"/>
    <n v="6.9970989308442005E-2"/>
    <n v="2343000"/>
    <x v="0"/>
    <x v="1"/>
  </r>
  <r>
    <x v="360"/>
    <x v="3"/>
    <x v="0"/>
    <s v="Mobile App"/>
    <x v="8"/>
    <n v="4"/>
    <n v="2447000"/>
    <n v="0.107989284269594"/>
    <n v="8731000"/>
    <x v="12"/>
    <x v="1"/>
  </r>
  <r>
    <x v="361"/>
    <x v="3"/>
    <x v="1"/>
    <s v="Agent"/>
    <x v="4"/>
    <n v="5"/>
    <n v="2665000"/>
    <n v="0.15051451744548699"/>
    <n v="11319000"/>
    <x v="12"/>
    <x v="0"/>
  </r>
  <r>
    <x v="361"/>
    <x v="0"/>
    <x v="2"/>
    <s v="Agent"/>
    <x v="4"/>
    <n v="1"/>
    <n v="3806000"/>
    <n v="0.140910559975407"/>
    <n v="3270000"/>
    <x v="9"/>
    <x v="1"/>
  </r>
  <r>
    <x v="361"/>
    <x v="1"/>
    <x v="2"/>
    <s v="Website"/>
    <x v="4"/>
    <n v="1"/>
    <n v="4047000"/>
    <n v="0.106914594894192"/>
    <n v="3614000"/>
    <x v="3"/>
    <x v="1"/>
  </r>
  <r>
    <x v="361"/>
    <x v="0"/>
    <x v="2"/>
    <s v="Agent"/>
    <x v="1"/>
    <n v="4"/>
    <n v="3762000"/>
    <n v="0.107048772568918"/>
    <n v="13437000"/>
    <x v="12"/>
    <x v="1"/>
  </r>
  <r>
    <x v="362"/>
    <x v="0"/>
    <x v="2"/>
    <s v="Agent"/>
    <x v="4"/>
    <n v="1"/>
    <n v="4236000"/>
    <n v="0.110145305354224"/>
    <n v="3769000"/>
    <x v="8"/>
    <x v="0"/>
  </r>
  <r>
    <x v="362"/>
    <x v="3"/>
    <x v="5"/>
    <s v="Website"/>
    <x v="0"/>
    <n v="1"/>
    <n v="6098000"/>
    <n v="9.3015020451471198E-2"/>
    <n v="5531000"/>
    <x v="5"/>
    <x v="1"/>
  </r>
  <r>
    <x v="362"/>
    <x v="1"/>
    <x v="0"/>
    <s v="Website"/>
    <x v="2"/>
    <n v="2"/>
    <n v="3470000"/>
    <n v="5.8792666689216802E-2"/>
    <n v="6532000"/>
    <x v="5"/>
    <x v="1"/>
  </r>
  <r>
    <x v="363"/>
    <x v="2"/>
    <x v="2"/>
    <s v="Website"/>
    <x v="1"/>
    <n v="4"/>
    <n v="3277000"/>
    <n v="0.127203524017654"/>
    <n v="11441000"/>
    <x v="8"/>
    <x v="0"/>
  </r>
  <r>
    <x v="363"/>
    <x v="1"/>
    <x v="1"/>
    <s v="Website"/>
    <x v="7"/>
    <n v="2"/>
    <n v="3169000"/>
    <n v="7.0860391902660205E-2"/>
    <n v="5889000"/>
    <x v="15"/>
    <x v="1"/>
  </r>
  <r>
    <x v="364"/>
    <x v="3"/>
    <x v="1"/>
    <s v="Mobile App"/>
    <x v="1"/>
    <n v="4"/>
    <n v="3263000"/>
    <n v="8.9186976590982195E-2"/>
    <n v="11888000"/>
    <x v="6"/>
    <x v="1"/>
  </r>
  <r>
    <x v="364"/>
    <x v="3"/>
    <x v="2"/>
    <s v="Agent"/>
    <x v="8"/>
    <n v="1"/>
    <n v="3781000"/>
    <n v="9.3212760085229995E-2"/>
    <n v="3429000"/>
    <x v="19"/>
    <x v="1"/>
  </r>
  <r>
    <x v="365"/>
    <x v="3"/>
    <x v="0"/>
    <s v="Website"/>
    <x v="7"/>
    <n v="1"/>
    <n v="2411000"/>
    <n v="0.130646893993629"/>
    <n v="2096000"/>
    <x v="2"/>
    <x v="1"/>
  </r>
  <r>
    <x v="366"/>
    <x v="1"/>
    <x v="2"/>
    <s v="Website"/>
    <x v="7"/>
    <n v="1"/>
    <n v="3975000"/>
    <n v="9.2925360181898703E-2"/>
    <n v="3606000"/>
    <x v="3"/>
    <x v="1"/>
  </r>
  <r>
    <x v="366"/>
    <x v="2"/>
    <x v="1"/>
    <s v="Agent"/>
    <x v="3"/>
    <n v="2"/>
    <n v="3088000"/>
    <n v="0.12670582897715801"/>
    <n v="5393000"/>
    <x v="7"/>
    <x v="1"/>
  </r>
  <r>
    <x v="366"/>
    <x v="0"/>
    <x v="2"/>
    <s v="Agent"/>
    <x v="5"/>
    <n v="2"/>
    <n v="3910000"/>
    <n v="0.109225475289219"/>
    <n v="6966000"/>
    <x v="5"/>
    <x v="1"/>
  </r>
  <r>
    <x v="367"/>
    <x v="1"/>
    <x v="5"/>
    <s v="Website"/>
    <x v="6"/>
    <n v="3"/>
    <n v="4877000"/>
    <n v="2.9191919929262199E-2"/>
    <n v="14204000"/>
    <x v="9"/>
    <x v="0"/>
  </r>
  <r>
    <x v="368"/>
    <x v="1"/>
    <x v="0"/>
    <s v="Website"/>
    <x v="9"/>
    <n v="2"/>
    <n v="2955000"/>
    <n v="7.4890012393021094E-2"/>
    <n v="5467000"/>
    <x v="2"/>
    <x v="0"/>
  </r>
  <r>
    <x v="369"/>
    <x v="3"/>
    <x v="0"/>
    <s v="Agent"/>
    <x v="0"/>
    <n v="5"/>
    <n v="2857000"/>
    <n v="6.5796808274251495E-2"/>
    <n v="13345000"/>
    <x v="4"/>
    <x v="1"/>
  </r>
  <r>
    <x v="369"/>
    <x v="3"/>
    <x v="4"/>
    <s v="Mobile App"/>
    <x v="1"/>
    <n v="1"/>
    <n v="2616000"/>
    <n v="6.4785933082423294E-2"/>
    <n v="2447000"/>
    <x v="15"/>
    <x v="1"/>
  </r>
  <r>
    <x v="370"/>
    <x v="3"/>
    <x v="2"/>
    <s v="Call Center"/>
    <x v="8"/>
    <n v="3"/>
    <n v="3683000"/>
    <n v="0.145484591725454"/>
    <n v="9442000"/>
    <x v="10"/>
    <x v="1"/>
  </r>
  <r>
    <x v="370"/>
    <x v="1"/>
    <x v="5"/>
    <s v="Mobile App"/>
    <x v="8"/>
    <n v="3"/>
    <n v="5467000"/>
    <n v="0.12895040238230401"/>
    <n v="14286000"/>
    <x v="12"/>
    <x v="1"/>
  </r>
  <r>
    <x v="371"/>
    <x v="0"/>
    <x v="2"/>
    <s v="Mobile App"/>
    <x v="7"/>
    <n v="1"/>
    <n v="3622000"/>
    <n v="0.116590661586797"/>
    <n v="3200000"/>
    <x v="6"/>
    <x v="0"/>
  </r>
  <r>
    <x v="372"/>
    <x v="1"/>
    <x v="5"/>
    <s v="Website"/>
    <x v="0"/>
    <n v="3"/>
    <n v="5748000"/>
    <n v="0.14966759845118599"/>
    <n v="14663000"/>
    <x v="4"/>
    <x v="1"/>
  </r>
  <r>
    <x v="372"/>
    <x v="1"/>
    <x v="2"/>
    <s v="Website"/>
    <x v="2"/>
    <n v="1"/>
    <n v="4398000"/>
    <n v="0.13043644347063599"/>
    <n v="3824000"/>
    <x v="6"/>
    <x v="1"/>
  </r>
  <r>
    <x v="373"/>
    <x v="0"/>
    <x v="2"/>
    <s v="Website"/>
    <x v="0"/>
    <n v="4"/>
    <n v="4966000"/>
    <n v="0.14732591650792701"/>
    <n v="16938000"/>
    <x v="6"/>
    <x v="1"/>
  </r>
  <r>
    <x v="374"/>
    <x v="2"/>
    <x v="3"/>
    <s v="Agent"/>
    <x v="4"/>
    <n v="4"/>
    <n v="1563000"/>
    <n v="0.10869780463963299"/>
    <n v="5572000"/>
    <x v="0"/>
    <x v="1"/>
  </r>
  <r>
    <x v="374"/>
    <x v="3"/>
    <x v="5"/>
    <s v="Agent"/>
    <x v="4"/>
    <n v="4"/>
    <n v="5105000"/>
    <n v="0.11417285222538601"/>
    <n v="18089000"/>
    <x v="0"/>
    <x v="1"/>
  </r>
  <r>
    <x v="374"/>
    <x v="0"/>
    <x v="1"/>
    <s v="Agent"/>
    <x v="5"/>
    <n v="1"/>
    <n v="3595000"/>
    <n v="0.134446824980094"/>
    <n v="3112000"/>
    <x v="4"/>
    <x v="1"/>
  </r>
  <r>
    <x v="375"/>
    <x v="1"/>
    <x v="4"/>
    <s v="Website"/>
    <x v="9"/>
    <n v="1"/>
    <n v="2732000"/>
    <n v="0.14857537528989501"/>
    <n v="2326000"/>
    <x v="9"/>
    <x v="1"/>
  </r>
  <r>
    <x v="375"/>
    <x v="3"/>
    <x v="2"/>
    <s v="Agent"/>
    <x v="1"/>
    <n v="1"/>
    <n v="3441000"/>
    <n v="0.14315961410401501"/>
    <n v="2948000"/>
    <x v="18"/>
    <x v="1"/>
  </r>
  <r>
    <x v="376"/>
    <x v="3"/>
    <x v="2"/>
    <s v="Agent"/>
    <x v="9"/>
    <n v="1"/>
    <n v="4191000"/>
    <n v="0.106982582198502"/>
    <n v="3743000"/>
    <x v="1"/>
    <x v="1"/>
  </r>
  <r>
    <x v="376"/>
    <x v="1"/>
    <x v="5"/>
    <s v="Agent"/>
    <x v="5"/>
    <n v="3"/>
    <n v="5930000"/>
    <n v="0.13254787820087999"/>
    <n v="15432000"/>
    <x v="2"/>
    <x v="1"/>
  </r>
  <r>
    <x v="377"/>
    <x v="2"/>
    <x v="5"/>
    <s v="Mobile App"/>
    <x v="0"/>
    <n v="2"/>
    <n v="6160000"/>
    <n v="0.117463045422083"/>
    <n v="10873000"/>
    <x v="4"/>
    <x v="1"/>
  </r>
  <r>
    <x v="377"/>
    <x v="0"/>
    <x v="3"/>
    <s v="Website"/>
    <x v="1"/>
    <n v="1"/>
    <n v="2531000"/>
    <n v="0.137044324811783"/>
    <n v="2184000"/>
    <x v="9"/>
    <x v="1"/>
  </r>
  <r>
    <x v="377"/>
    <x v="1"/>
    <x v="1"/>
    <s v="Agent"/>
    <x v="4"/>
    <n v="3"/>
    <n v="2621000"/>
    <n v="0.19375364372565601"/>
    <n v="6340000"/>
    <x v="14"/>
    <x v="0"/>
  </r>
  <r>
    <x v="377"/>
    <x v="3"/>
    <x v="1"/>
    <s v="Mobile App"/>
    <x v="6"/>
    <n v="1"/>
    <n v="3276000"/>
    <n v="0.121068577259282"/>
    <n v="2879000"/>
    <x v="1"/>
    <x v="1"/>
  </r>
  <r>
    <x v="378"/>
    <x v="0"/>
    <x v="1"/>
    <s v="Website"/>
    <x v="5"/>
    <n v="4"/>
    <n v="3395000"/>
    <n v="8.3077096627625302E-2"/>
    <n v="12452000"/>
    <x v="20"/>
    <x v="0"/>
  </r>
  <r>
    <x v="378"/>
    <x v="3"/>
    <x v="2"/>
    <s v="Mobile App"/>
    <x v="1"/>
    <n v="3"/>
    <n v="3308000"/>
    <n v="5.5464424919359399E-2"/>
    <n v="9374000"/>
    <x v="6"/>
    <x v="0"/>
  </r>
  <r>
    <x v="379"/>
    <x v="2"/>
    <x v="1"/>
    <s v="Agent"/>
    <x v="5"/>
    <n v="1"/>
    <n v="3703000"/>
    <n v="9.1922891497319706E-2"/>
    <n v="3363000"/>
    <x v="7"/>
    <x v="0"/>
  </r>
  <r>
    <x v="379"/>
    <x v="3"/>
    <x v="4"/>
    <s v="Website"/>
    <x v="7"/>
    <n v="1"/>
    <n v="2865000"/>
    <n v="0.17546798438036099"/>
    <n v="2362000"/>
    <x v="15"/>
    <x v="1"/>
  </r>
  <r>
    <x v="380"/>
    <x v="1"/>
    <x v="1"/>
    <s v="Website"/>
    <x v="0"/>
    <n v="3"/>
    <n v="3810000"/>
    <n v="6.1783349151387799E-2"/>
    <n v="10724000"/>
    <x v="12"/>
    <x v="0"/>
  </r>
  <r>
    <x v="381"/>
    <x v="2"/>
    <x v="1"/>
    <s v="Agent"/>
    <x v="5"/>
    <n v="1"/>
    <n v="3491000"/>
    <n v="0.143946990137305"/>
    <n v="2988000"/>
    <x v="6"/>
    <x v="1"/>
  </r>
  <r>
    <x v="382"/>
    <x v="1"/>
    <x v="1"/>
    <s v="Mobile App"/>
    <x v="0"/>
    <n v="3"/>
    <n v="3731000"/>
    <n v="0.119392352114184"/>
    <n v="9857000"/>
    <x v="0"/>
    <x v="1"/>
  </r>
  <r>
    <x v="382"/>
    <x v="1"/>
    <x v="2"/>
    <s v="Website"/>
    <x v="2"/>
    <n v="2"/>
    <n v="4855000"/>
    <n v="3.8057474422866701E-2"/>
    <n v="9340000"/>
    <x v="4"/>
    <x v="1"/>
  </r>
  <r>
    <x v="382"/>
    <x v="3"/>
    <x v="0"/>
    <s v="Mobile App"/>
    <x v="9"/>
    <n v="1"/>
    <n v="2713000"/>
    <n v="0.16900000000000001"/>
    <n v="2255000"/>
    <x v="16"/>
    <x v="1"/>
  </r>
  <r>
    <x v="382"/>
    <x v="2"/>
    <x v="3"/>
    <s v="Mobile App"/>
    <x v="0"/>
    <n v="2"/>
    <n v="2453000"/>
    <n v="0.10120991329732899"/>
    <n v="4409000"/>
    <x v="2"/>
    <x v="1"/>
  </r>
  <r>
    <x v="383"/>
    <x v="0"/>
    <x v="0"/>
    <s v="Website"/>
    <x v="0"/>
    <n v="2"/>
    <n v="2962000"/>
    <n v="3.9983437187693302E-2"/>
    <n v="5687000"/>
    <x v="15"/>
    <x v="1"/>
  </r>
  <r>
    <x v="384"/>
    <x v="1"/>
    <x v="0"/>
    <s v="Website"/>
    <x v="5"/>
    <n v="3"/>
    <n v="2612000"/>
    <n v="5.2359440839432198E-2"/>
    <n v="7426000"/>
    <x v="8"/>
    <x v="1"/>
  </r>
  <r>
    <x v="384"/>
    <x v="1"/>
    <x v="4"/>
    <s v="Agent"/>
    <x v="2"/>
    <n v="4"/>
    <n v="2906000"/>
    <n v="0.112012234797934"/>
    <n v="10322000"/>
    <x v="12"/>
    <x v="1"/>
  </r>
  <r>
    <x v="384"/>
    <x v="3"/>
    <x v="0"/>
    <s v="Agent"/>
    <x v="4"/>
    <n v="1"/>
    <n v="2808000"/>
    <n v="0.14099878425547299"/>
    <n v="2412000"/>
    <x v="1"/>
    <x v="1"/>
  </r>
  <r>
    <x v="385"/>
    <x v="3"/>
    <x v="1"/>
    <s v="Agent"/>
    <x v="5"/>
    <n v="1"/>
    <n v="3385000"/>
    <n v="5.8318076873758701E-2"/>
    <n v="3188000"/>
    <x v="0"/>
    <x v="0"/>
  </r>
  <r>
    <x v="386"/>
    <x v="2"/>
    <x v="0"/>
    <s v="Website"/>
    <x v="3"/>
    <n v="3"/>
    <n v="2792000"/>
    <n v="6.1792806933285899E-2"/>
    <n v="7858000"/>
    <x v="12"/>
    <x v="1"/>
  </r>
  <r>
    <x v="386"/>
    <x v="1"/>
    <x v="4"/>
    <s v="Mobile App"/>
    <x v="9"/>
    <n v="4"/>
    <n v="2471000"/>
    <n v="0.123324825131454"/>
    <n v="8665000"/>
    <x v="14"/>
    <x v="1"/>
  </r>
  <r>
    <x v="386"/>
    <x v="1"/>
    <x v="2"/>
    <s v="Agent"/>
    <x v="1"/>
    <n v="1"/>
    <n v="3312000"/>
    <n v="0.12999826623163499"/>
    <n v="2881000"/>
    <x v="13"/>
    <x v="0"/>
  </r>
  <r>
    <x v="387"/>
    <x v="1"/>
    <x v="1"/>
    <s v="Mobile App"/>
    <x v="1"/>
    <n v="2"/>
    <n v="2862000"/>
    <n v="0.10639470225346601"/>
    <n v="5115000"/>
    <x v="19"/>
    <x v="0"/>
  </r>
  <r>
    <x v="388"/>
    <x v="3"/>
    <x v="2"/>
    <s v="Mobile App"/>
    <x v="6"/>
    <n v="3"/>
    <n v="3900000"/>
    <n v="0.107498970752268"/>
    <n v="10442000"/>
    <x v="8"/>
    <x v="1"/>
  </r>
  <r>
    <x v="388"/>
    <x v="2"/>
    <x v="2"/>
    <s v="Agent"/>
    <x v="3"/>
    <n v="1"/>
    <n v="4280000"/>
    <n v="8.4524759129356697E-2"/>
    <n v="3918000"/>
    <x v="2"/>
    <x v="0"/>
  </r>
  <r>
    <x v="388"/>
    <x v="1"/>
    <x v="0"/>
    <s v="Agent"/>
    <x v="8"/>
    <n v="2"/>
    <n v="2239000"/>
    <n v="0.15877027466388899"/>
    <n v="3767000"/>
    <x v="17"/>
    <x v="1"/>
  </r>
  <r>
    <x v="389"/>
    <x v="2"/>
    <x v="1"/>
    <s v="Website"/>
    <x v="0"/>
    <n v="3"/>
    <n v="3543000"/>
    <n v="0.126881443653136"/>
    <n v="9280000"/>
    <x v="6"/>
    <x v="0"/>
  </r>
  <r>
    <x v="390"/>
    <x v="2"/>
    <x v="1"/>
    <s v="Mobile App"/>
    <x v="4"/>
    <n v="1"/>
    <n v="2691000"/>
    <n v="7.1593771640811807E-2"/>
    <n v="2498000"/>
    <x v="1"/>
    <x v="1"/>
  </r>
  <r>
    <x v="390"/>
    <x v="1"/>
    <x v="2"/>
    <s v="Website"/>
    <x v="1"/>
    <n v="3"/>
    <n v="3107000"/>
    <n v="8.2460287570931198E-2"/>
    <n v="8552000"/>
    <x v="7"/>
    <x v="1"/>
  </r>
  <r>
    <x v="391"/>
    <x v="0"/>
    <x v="1"/>
    <s v="Website"/>
    <x v="9"/>
    <n v="5"/>
    <n v="3587000"/>
    <n v="8.2079618053690906E-2"/>
    <n v="16463000"/>
    <x v="5"/>
    <x v="1"/>
  </r>
  <r>
    <x v="392"/>
    <x v="0"/>
    <x v="5"/>
    <s v="Agent"/>
    <x v="5"/>
    <n v="4"/>
    <n v="5178000"/>
    <n v="6.6000000000000003E-2"/>
    <n v="19352000"/>
    <x v="16"/>
    <x v="0"/>
  </r>
  <r>
    <x v="392"/>
    <x v="3"/>
    <x v="2"/>
    <s v="Agent"/>
    <x v="0"/>
    <n v="1"/>
    <n v="4655000"/>
    <n v="2.6754401583002602E-2"/>
    <n v="4530000"/>
    <x v="13"/>
    <x v="0"/>
  </r>
  <r>
    <x v="392"/>
    <x v="0"/>
    <x v="5"/>
    <s v="Mobile App"/>
    <x v="7"/>
    <n v="1"/>
    <n v="4799000"/>
    <n v="4.64312847906748E-2"/>
    <n v="4576000"/>
    <x v="4"/>
    <x v="1"/>
  </r>
  <r>
    <x v="393"/>
    <x v="0"/>
    <x v="0"/>
    <s v="Agent"/>
    <x v="5"/>
    <n v="2"/>
    <n v="2462000"/>
    <n v="9.9635190062569601E-2"/>
    <n v="4433000"/>
    <x v="0"/>
    <x v="1"/>
  </r>
  <r>
    <x v="393"/>
    <x v="0"/>
    <x v="1"/>
    <s v="Agent"/>
    <x v="3"/>
    <n v="2"/>
    <n v="3071000"/>
    <n v="9.3688745839379403E-2"/>
    <n v="5567000"/>
    <x v="1"/>
    <x v="0"/>
  </r>
  <r>
    <x v="394"/>
    <x v="0"/>
    <x v="1"/>
    <s v="Mobile App"/>
    <x v="4"/>
    <n v="1"/>
    <n v="2481000"/>
    <n v="6.6278594725758894E-2"/>
    <n v="2317000"/>
    <x v="9"/>
    <x v="1"/>
  </r>
  <r>
    <x v="394"/>
    <x v="1"/>
    <x v="0"/>
    <s v="Agent"/>
    <x v="0"/>
    <n v="1"/>
    <n v="2877000"/>
    <n v="5.8634516116387501E-2"/>
    <n v="2708000"/>
    <x v="12"/>
    <x v="0"/>
  </r>
  <r>
    <x v="395"/>
    <x v="0"/>
    <x v="2"/>
    <s v="Mobile App"/>
    <x v="0"/>
    <n v="4"/>
    <n v="3409000"/>
    <n v="0.111081131503821"/>
    <n v="12121000"/>
    <x v="1"/>
    <x v="1"/>
  </r>
  <r>
    <x v="395"/>
    <x v="1"/>
    <x v="2"/>
    <s v="Agent"/>
    <x v="4"/>
    <n v="1"/>
    <n v="4020000"/>
    <n v="3.08384493125404E-2"/>
    <n v="3896000"/>
    <x v="3"/>
    <x v="1"/>
  </r>
  <r>
    <x v="396"/>
    <x v="3"/>
    <x v="2"/>
    <s v="Website"/>
    <x v="7"/>
    <n v="2"/>
    <n v="3534000"/>
    <n v="5.4309553105563402E-2"/>
    <n v="6684000"/>
    <x v="8"/>
    <x v="0"/>
  </r>
  <r>
    <x v="396"/>
    <x v="1"/>
    <x v="2"/>
    <s v="Website"/>
    <x v="8"/>
    <n v="1"/>
    <n v="3718000"/>
    <n v="0.112238901099232"/>
    <n v="3301000"/>
    <x v="2"/>
    <x v="1"/>
  </r>
  <r>
    <x v="396"/>
    <x v="3"/>
    <x v="0"/>
    <s v="Website"/>
    <x v="4"/>
    <n v="1"/>
    <n v="2620000"/>
    <n v="9.0062503944730907E-2"/>
    <n v="2384000"/>
    <x v="15"/>
    <x v="1"/>
  </r>
  <r>
    <x v="396"/>
    <x v="1"/>
    <x v="2"/>
    <s v="Agent"/>
    <x v="2"/>
    <n v="3"/>
    <n v="4209000"/>
    <n v="6.5906497484724505E-2"/>
    <n v="11795000"/>
    <x v="8"/>
    <x v="1"/>
  </r>
  <r>
    <x v="397"/>
    <x v="2"/>
    <x v="2"/>
    <s v="Website"/>
    <x v="0"/>
    <n v="3"/>
    <n v="4264000"/>
    <n v="9.1985166755835804E-2"/>
    <n v="11615000"/>
    <x v="15"/>
    <x v="0"/>
  </r>
  <r>
    <x v="397"/>
    <x v="3"/>
    <x v="2"/>
    <s v="Mobile App"/>
    <x v="6"/>
    <n v="4"/>
    <n v="3820000"/>
    <n v="0.114098885917311"/>
    <n v="13537000"/>
    <x v="13"/>
    <x v="1"/>
  </r>
  <r>
    <x v="398"/>
    <x v="0"/>
    <x v="2"/>
    <s v="Website"/>
    <x v="0"/>
    <n v="1"/>
    <n v="4387000"/>
    <n v="6.7061688845947501E-2"/>
    <n v="4093000"/>
    <x v="2"/>
    <x v="0"/>
  </r>
  <r>
    <x v="398"/>
    <x v="3"/>
    <x v="4"/>
    <s v="Website"/>
    <x v="9"/>
    <n v="1"/>
    <n v="2486000"/>
    <n v="0.13700000000000001"/>
    <n v="2145000"/>
    <x v="5"/>
    <x v="1"/>
  </r>
  <r>
    <x v="399"/>
    <x v="0"/>
    <x v="1"/>
    <s v="Website"/>
    <x v="0"/>
    <n v="2"/>
    <n v="3613000"/>
    <n v="6.5000000000000002E-2"/>
    <n v="6755000"/>
    <x v="11"/>
    <x v="1"/>
  </r>
  <r>
    <x v="399"/>
    <x v="1"/>
    <x v="3"/>
    <s v="Mobile App"/>
    <x v="5"/>
    <n v="1"/>
    <n v="2172000"/>
    <n v="8.4847648063396702E-2"/>
    <n v="1988000"/>
    <x v="6"/>
    <x v="1"/>
  </r>
  <r>
    <x v="399"/>
    <x v="0"/>
    <x v="2"/>
    <s v="Website"/>
    <x v="7"/>
    <n v="1"/>
    <n v="3408000"/>
    <n v="0.17235086219281601"/>
    <n v="2821000"/>
    <x v="14"/>
    <x v="1"/>
  </r>
  <r>
    <x v="400"/>
    <x v="0"/>
    <x v="4"/>
    <s v="Website"/>
    <x v="3"/>
    <n v="3"/>
    <n v="2054000"/>
    <n v="7.1768693613265697E-2"/>
    <n v="5720000"/>
    <x v="8"/>
    <x v="1"/>
  </r>
  <r>
    <x v="400"/>
    <x v="3"/>
    <x v="2"/>
    <s v="Mobile App"/>
    <x v="7"/>
    <n v="2"/>
    <n v="3294000"/>
    <n v="0.14142224583395799"/>
    <n v="5656000"/>
    <x v="4"/>
    <x v="1"/>
  </r>
  <r>
    <x v="400"/>
    <x v="3"/>
    <x v="4"/>
    <s v="Website"/>
    <x v="1"/>
    <n v="1"/>
    <n v="2468000"/>
    <n v="9.6142923055295301E-2"/>
    <n v="2231000"/>
    <x v="1"/>
    <x v="0"/>
  </r>
  <r>
    <x v="401"/>
    <x v="1"/>
    <x v="2"/>
    <s v="Website"/>
    <x v="2"/>
    <n v="2"/>
    <n v="3980000"/>
    <n v="5.57294337889883E-2"/>
    <n v="7516000"/>
    <x v="0"/>
    <x v="1"/>
  </r>
  <r>
    <x v="401"/>
    <x v="3"/>
    <x v="1"/>
    <s v="Agent"/>
    <x v="5"/>
    <n v="3"/>
    <n v="3396000"/>
    <n v="0.12569686321266399"/>
    <n v="8907000"/>
    <x v="6"/>
    <x v="1"/>
  </r>
  <r>
    <x v="401"/>
    <x v="3"/>
    <x v="0"/>
    <s v="Mobile App"/>
    <x v="2"/>
    <n v="1"/>
    <n v="3188000"/>
    <n v="8.0204112387389906E-2"/>
    <n v="2932000"/>
    <x v="2"/>
    <x v="0"/>
  </r>
  <r>
    <x v="401"/>
    <x v="1"/>
    <x v="0"/>
    <s v="Website"/>
    <x v="4"/>
    <n v="4"/>
    <n v="2622000"/>
    <n v="0.182158999040158"/>
    <n v="8578000"/>
    <x v="6"/>
    <x v="1"/>
  </r>
  <r>
    <x v="402"/>
    <x v="2"/>
    <x v="1"/>
    <s v="Website"/>
    <x v="3"/>
    <n v="1"/>
    <n v="3127000"/>
    <n v="0.15770397989788901"/>
    <n v="2634000"/>
    <x v="6"/>
    <x v="0"/>
  </r>
  <r>
    <x v="402"/>
    <x v="3"/>
    <x v="2"/>
    <s v="Mobile App"/>
    <x v="8"/>
    <n v="4"/>
    <n v="3698000"/>
    <n v="4.7003791392393399E-2"/>
    <n v="14097000"/>
    <x v="3"/>
    <x v="1"/>
  </r>
  <r>
    <x v="402"/>
    <x v="1"/>
    <x v="2"/>
    <s v="Agent"/>
    <x v="6"/>
    <n v="2"/>
    <n v="3895000"/>
    <n v="8.5529143829896195E-2"/>
    <n v="7124000"/>
    <x v="18"/>
    <x v="0"/>
  </r>
  <r>
    <x v="403"/>
    <x v="3"/>
    <x v="5"/>
    <s v="Agent"/>
    <x v="9"/>
    <n v="2"/>
    <n v="5899000"/>
    <n v="7.3110405280568905E-2"/>
    <n v="10935000"/>
    <x v="4"/>
    <x v="1"/>
  </r>
  <r>
    <x v="403"/>
    <x v="0"/>
    <x v="3"/>
    <s v="Agent"/>
    <x v="3"/>
    <n v="2"/>
    <n v="2614000"/>
    <n v="9.5876461437419402E-2"/>
    <n v="4727000"/>
    <x v="0"/>
    <x v="1"/>
  </r>
  <r>
    <x v="404"/>
    <x v="0"/>
    <x v="0"/>
    <s v="Agent"/>
    <x v="3"/>
    <n v="1"/>
    <n v="2755000"/>
    <n v="0.12662266181262499"/>
    <n v="2406000"/>
    <x v="15"/>
    <x v="1"/>
  </r>
  <r>
    <x v="404"/>
    <x v="0"/>
    <x v="4"/>
    <s v="Website"/>
    <x v="6"/>
    <n v="3"/>
    <n v="2561000"/>
    <n v="8.5087839498580106E-2"/>
    <n v="7029000"/>
    <x v="0"/>
    <x v="1"/>
  </r>
  <r>
    <x v="404"/>
    <x v="2"/>
    <x v="2"/>
    <s v="Website"/>
    <x v="4"/>
    <n v="2"/>
    <n v="3862000"/>
    <n v="6.8686636662449702E-2"/>
    <n v="7193000"/>
    <x v="15"/>
    <x v="1"/>
  </r>
  <r>
    <x v="405"/>
    <x v="2"/>
    <x v="1"/>
    <s v="Website"/>
    <x v="7"/>
    <n v="1"/>
    <n v="3008000"/>
    <n v="4.21886048220061E-2"/>
    <n v="2881000"/>
    <x v="6"/>
    <x v="1"/>
  </r>
  <r>
    <x v="405"/>
    <x v="1"/>
    <x v="1"/>
    <s v="Agent"/>
    <x v="8"/>
    <n v="3"/>
    <n v="3136000"/>
    <n v="0.121"/>
    <n v="8270000"/>
    <x v="10"/>
    <x v="0"/>
  </r>
  <r>
    <x v="405"/>
    <x v="0"/>
    <x v="4"/>
    <s v="Website"/>
    <x v="8"/>
    <n v="4"/>
    <n v="2443000"/>
    <n v="8.3314142240809505E-2"/>
    <n v="8958000"/>
    <x v="8"/>
    <x v="1"/>
  </r>
  <r>
    <x v="406"/>
    <x v="0"/>
    <x v="0"/>
    <s v="Website"/>
    <x v="8"/>
    <n v="1"/>
    <n v="2191000"/>
    <n v="9.4016386029431798E-2"/>
    <n v="1985000"/>
    <x v="18"/>
    <x v="1"/>
  </r>
  <r>
    <x v="406"/>
    <x v="0"/>
    <x v="4"/>
    <s v="Call Center"/>
    <x v="6"/>
    <n v="1"/>
    <n v="2429000"/>
    <n v="0.13775030285754999"/>
    <n v="2094000"/>
    <x v="6"/>
    <x v="1"/>
  </r>
  <r>
    <x v="407"/>
    <x v="1"/>
    <x v="5"/>
    <s v="Call Center"/>
    <x v="5"/>
    <n v="2"/>
    <n v="5120000"/>
    <n v="9.6598965456200905E-2"/>
    <n v="9251000"/>
    <x v="14"/>
    <x v="1"/>
  </r>
  <r>
    <x v="408"/>
    <x v="1"/>
    <x v="1"/>
    <s v="Website"/>
    <x v="4"/>
    <n v="2"/>
    <n v="2451000"/>
    <n v="1.4216097307539101E-2"/>
    <n v="4832000"/>
    <x v="4"/>
    <x v="1"/>
  </r>
  <r>
    <x v="408"/>
    <x v="2"/>
    <x v="1"/>
    <s v="Website"/>
    <x v="4"/>
    <n v="1"/>
    <n v="2681000"/>
    <n v="7.6072898822352894E-2"/>
    <n v="2477000"/>
    <x v="10"/>
    <x v="1"/>
  </r>
  <r>
    <x v="408"/>
    <x v="1"/>
    <x v="2"/>
    <s v="Agent"/>
    <x v="6"/>
    <n v="1"/>
    <n v="3745000"/>
    <n v="8.4612025048886305E-2"/>
    <n v="3428000"/>
    <x v="1"/>
    <x v="1"/>
  </r>
  <r>
    <x v="409"/>
    <x v="1"/>
    <x v="0"/>
    <s v="Website"/>
    <x v="2"/>
    <n v="2"/>
    <n v="3098000"/>
    <n v="0.13068989941656201"/>
    <n v="5386000"/>
    <x v="0"/>
    <x v="1"/>
  </r>
  <r>
    <x v="409"/>
    <x v="1"/>
    <x v="5"/>
    <s v="Website"/>
    <x v="4"/>
    <n v="2"/>
    <n v="4594000"/>
    <n v="7.8691863792689998E-2"/>
    <n v="8465000"/>
    <x v="1"/>
    <x v="0"/>
  </r>
  <r>
    <x v="409"/>
    <x v="3"/>
    <x v="1"/>
    <s v="Call Center"/>
    <x v="1"/>
    <n v="3"/>
    <n v="2590000"/>
    <n v="0.10928227439014999"/>
    <n v="6921000"/>
    <x v="8"/>
    <x v="1"/>
  </r>
  <r>
    <x v="410"/>
    <x v="3"/>
    <x v="1"/>
    <s v="Website"/>
    <x v="2"/>
    <n v="1"/>
    <n v="3340000"/>
    <n v="5.0999999999999997E-2"/>
    <n v="3169000"/>
    <x v="18"/>
    <x v="0"/>
  </r>
  <r>
    <x v="410"/>
    <x v="1"/>
    <x v="2"/>
    <s v="Agent"/>
    <x v="1"/>
    <n v="2"/>
    <n v="2987000"/>
    <n v="6.6015126901289106E-2"/>
    <n v="5580000"/>
    <x v="14"/>
    <x v="1"/>
  </r>
  <r>
    <x v="411"/>
    <x v="1"/>
    <x v="1"/>
    <s v="Website"/>
    <x v="6"/>
    <n v="1"/>
    <n v="3237000"/>
    <n v="0.117790653032641"/>
    <n v="2856000"/>
    <x v="12"/>
    <x v="0"/>
  </r>
  <r>
    <x v="412"/>
    <x v="3"/>
    <x v="5"/>
    <s v="Website"/>
    <x v="6"/>
    <n v="2"/>
    <n v="4740000"/>
    <n v="5.2867409790005697E-2"/>
    <n v="8979000"/>
    <x v="13"/>
    <x v="1"/>
  </r>
  <r>
    <x v="412"/>
    <x v="3"/>
    <x v="4"/>
    <s v="Mobile App"/>
    <x v="2"/>
    <n v="1"/>
    <n v="2848000"/>
    <n v="9.7809739220794403E-2"/>
    <n v="2569000"/>
    <x v="14"/>
    <x v="1"/>
  </r>
  <r>
    <x v="412"/>
    <x v="1"/>
    <x v="1"/>
    <s v="Agent"/>
    <x v="9"/>
    <n v="1"/>
    <n v="4061000"/>
    <n v="0.16293989976083001"/>
    <n v="3399000"/>
    <x v="1"/>
    <x v="1"/>
  </r>
  <r>
    <x v="412"/>
    <x v="1"/>
    <x v="1"/>
    <s v="Website"/>
    <x v="9"/>
    <n v="1"/>
    <n v="3142000"/>
    <n v="0.17462575114999701"/>
    <n v="2593000"/>
    <x v="0"/>
    <x v="1"/>
  </r>
  <r>
    <x v="413"/>
    <x v="3"/>
    <x v="4"/>
    <s v="Website"/>
    <x v="5"/>
    <n v="2"/>
    <n v="2894000"/>
    <n v="0.15316715201237999"/>
    <n v="4901000"/>
    <x v="6"/>
    <x v="1"/>
  </r>
  <r>
    <x v="413"/>
    <x v="3"/>
    <x v="3"/>
    <s v="Mobile App"/>
    <x v="7"/>
    <n v="1"/>
    <n v="2106000"/>
    <n v="0.133765526089968"/>
    <n v="1824000"/>
    <x v="2"/>
    <x v="0"/>
  </r>
  <r>
    <x v="413"/>
    <x v="3"/>
    <x v="2"/>
    <s v="Agent"/>
    <x v="6"/>
    <n v="3"/>
    <n v="4053000"/>
    <n v="8.5472901493691106E-2"/>
    <n v="11120000"/>
    <x v="6"/>
    <x v="0"/>
  </r>
  <r>
    <x v="414"/>
    <x v="1"/>
    <x v="5"/>
    <s v="Mobile App"/>
    <x v="6"/>
    <n v="1"/>
    <n v="5211000"/>
    <n v="3.6179563906791501E-2"/>
    <n v="5022000"/>
    <x v="0"/>
    <x v="1"/>
  </r>
  <r>
    <x v="415"/>
    <x v="0"/>
    <x v="4"/>
    <s v="Agent"/>
    <x v="6"/>
    <n v="2"/>
    <n v="3292000"/>
    <n v="0.18199372503067901"/>
    <n v="5386000"/>
    <x v="2"/>
    <x v="0"/>
  </r>
  <r>
    <x v="415"/>
    <x v="1"/>
    <x v="3"/>
    <s v="Mobile App"/>
    <x v="7"/>
    <n v="1"/>
    <n v="2117000"/>
    <n v="0.13570568234570199"/>
    <n v="1830000"/>
    <x v="4"/>
    <x v="1"/>
  </r>
  <r>
    <x v="415"/>
    <x v="0"/>
    <x v="2"/>
    <s v="Website"/>
    <x v="7"/>
    <n v="4"/>
    <n v="3503000"/>
    <n v="0.127051249220898"/>
    <n v="12232000"/>
    <x v="0"/>
    <x v="1"/>
  </r>
  <r>
    <x v="416"/>
    <x v="3"/>
    <x v="0"/>
    <s v="Website"/>
    <x v="6"/>
    <n v="1"/>
    <n v="2495000"/>
    <n v="0.100715144673049"/>
    <n v="2244000"/>
    <x v="5"/>
    <x v="0"/>
  </r>
  <r>
    <x v="417"/>
    <x v="1"/>
    <x v="2"/>
    <s v="Website"/>
    <x v="9"/>
    <n v="1"/>
    <n v="4544000"/>
    <n v="0.14132717028410799"/>
    <n v="3902000"/>
    <x v="8"/>
    <x v="1"/>
  </r>
  <r>
    <x v="418"/>
    <x v="1"/>
    <x v="2"/>
    <s v="Website"/>
    <x v="9"/>
    <n v="3"/>
    <n v="4604000"/>
    <n v="9.3656750832715893E-2"/>
    <n v="12518000"/>
    <x v="6"/>
    <x v="0"/>
  </r>
  <r>
    <x v="418"/>
    <x v="3"/>
    <x v="2"/>
    <s v="Website"/>
    <x v="2"/>
    <n v="3"/>
    <n v="4533000"/>
    <n v="5.2772286328735499E-2"/>
    <n v="12881000"/>
    <x v="9"/>
    <x v="0"/>
  </r>
  <r>
    <x v="418"/>
    <x v="0"/>
    <x v="2"/>
    <s v="Agent"/>
    <x v="1"/>
    <n v="2"/>
    <n v="3728000"/>
    <n v="7.6713568308371699E-2"/>
    <n v="6884000"/>
    <x v="13"/>
    <x v="1"/>
  </r>
  <r>
    <x v="419"/>
    <x v="3"/>
    <x v="5"/>
    <s v="Agent"/>
    <x v="0"/>
    <n v="1"/>
    <n v="5107000"/>
    <n v="5.4022069185235798E-2"/>
    <n v="4831000"/>
    <x v="12"/>
    <x v="1"/>
  </r>
  <r>
    <x v="420"/>
    <x v="0"/>
    <x v="3"/>
    <s v="Mobile App"/>
    <x v="8"/>
    <n v="2"/>
    <n v="2634000"/>
    <n v="0.124976935626781"/>
    <n v="4610000"/>
    <x v="4"/>
    <x v="0"/>
  </r>
  <r>
    <x v="420"/>
    <x v="2"/>
    <x v="5"/>
    <s v="Website"/>
    <x v="7"/>
    <n v="1"/>
    <n v="5360000"/>
    <n v="9.5184283069525796E-2"/>
    <n v="4850000"/>
    <x v="4"/>
    <x v="0"/>
  </r>
  <r>
    <x v="420"/>
    <x v="1"/>
    <x v="0"/>
    <s v="Agent"/>
    <x v="0"/>
    <n v="1"/>
    <n v="2879000"/>
    <n v="0.14685260985375601"/>
    <n v="2456000"/>
    <x v="4"/>
    <x v="0"/>
  </r>
  <r>
    <x v="420"/>
    <x v="3"/>
    <x v="0"/>
    <s v="Agent"/>
    <x v="3"/>
    <n v="2"/>
    <n v="2854000"/>
    <n v="0.149803692664738"/>
    <n v="4853000"/>
    <x v="8"/>
    <x v="1"/>
  </r>
  <r>
    <x v="420"/>
    <x v="2"/>
    <x v="0"/>
    <s v="Agent"/>
    <x v="5"/>
    <n v="1"/>
    <n v="2731000"/>
    <n v="0.17377397537009701"/>
    <n v="2256000"/>
    <x v="18"/>
    <x v="0"/>
  </r>
  <r>
    <x v="421"/>
    <x v="0"/>
    <x v="5"/>
    <s v="Website"/>
    <x v="5"/>
    <n v="3"/>
    <n v="5648000"/>
    <n v="7.2530088015574104E-2"/>
    <n v="15715000"/>
    <x v="15"/>
    <x v="0"/>
  </r>
  <r>
    <x v="421"/>
    <x v="3"/>
    <x v="5"/>
    <s v="Website"/>
    <x v="5"/>
    <n v="1"/>
    <n v="5090000"/>
    <n v="0.117022639390286"/>
    <n v="4494000"/>
    <x v="17"/>
    <x v="1"/>
  </r>
  <r>
    <x v="421"/>
    <x v="0"/>
    <x v="3"/>
    <s v="Website"/>
    <x v="6"/>
    <n v="2"/>
    <n v="2211000"/>
    <n v="0.17379833526933899"/>
    <n v="3653000"/>
    <x v="4"/>
    <x v="1"/>
  </r>
  <r>
    <x v="422"/>
    <x v="0"/>
    <x v="0"/>
    <s v="Website"/>
    <x v="4"/>
    <n v="4"/>
    <n v="3100000"/>
    <n v="0.14286344398220699"/>
    <n v="10628000"/>
    <x v="10"/>
    <x v="1"/>
  </r>
  <r>
    <x v="423"/>
    <x v="0"/>
    <x v="2"/>
    <s v="Website"/>
    <x v="5"/>
    <n v="2"/>
    <n v="4445000"/>
    <n v="3.3913277953145603E-2"/>
    <n v="8589000"/>
    <x v="12"/>
    <x v="1"/>
  </r>
  <r>
    <x v="423"/>
    <x v="0"/>
    <x v="4"/>
    <s v="Mobile App"/>
    <x v="4"/>
    <n v="2"/>
    <n v="2146000"/>
    <n v="0.13542534520097299"/>
    <n v="3711000"/>
    <x v="4"/>
    <x v="1"/>
  </r>
  <r>
    <x v="423"/>
    <x v="3"/>
    <x v="1"/>
    <s v="Agent"/>
    <x v="4"/>
    <n v="1"/>
    <n v="2603000"/>
    <n v="8.04863185770988E-2"/>
    <n v="2393000"/>
    <x v="6"/>
    <x v="1"/>
  </r>
  <r>
    <x v="423"/>
    <x v="3"/>
    <x v="2"/>
    <s v="Website"/>
    <x v="0"/>
    <n v="4"/>
    <n v="4463000"/>
    <n v="4.6754688880138499E-2"/>
    <n v="17017000"/>
    <x v="12"/>
    <x v="0"/>
  </r>
  <r>
    <x v="423"/>
    <x v="0"/>
    <x v="5"/>
    <s v="Call Center"/>
    <x v="9"/>
    <n v="3"/>
    <n v="6298000"/>
    <n v="9.0273313902922897E-2"/>
    <n v="17188000"/>
    <x v="8"/>
    <x v="0"/>
  </r>
  <r>
    <x v="424"/>
    <x v="1"/>
    <x v="0"/>
    <s v="Website"/>
    <x v="5"/>
    <n v="3"/>
    <n v="2736000"/>
    <n v="6.9570705855789602E-2"/>
    <n v="7637000"/>
    <x v="12"/>
    <x v="1"/>
  </r>
  <r>
    <x v="425"/>
    <x v="0"/>
    <x v="2"/>
    <s v="Website"/>
    <x v="9"/>
    <n v="4"/>
    <n v="4336000"/>
    <n v="0.123608216711525"/>
    <n v="15200000"/>
    <x v="14"/>
    <x v="1"/>
  </r>
  <r>
    <x v="425"/>
    <x v="0"/>
    <x v="0"/>
    <s v="Website"/>
    <x v="5"/>
    <n v="2"/>
    <n v="2884000"/>
    <n v="9.3122535346764401E-2"/>
    <n v="5231000"/>
    <x v="1"/>
    <x v="0"/>
  </r>
  <r>
    <x v="426"/>
    <x v="3"/>
    <x v="1"/>
    <s v="Website"/>
    <x v="8"/>
    <n v="2"/>
    <n v="3376000"/>
    <n v="8.3439482565833306E-2"/>
    <n v="6189000"/>
    <x v="4"/>
    <x v="1"/>
  </r>
  <r>
    <x v="426"/>
    <x v="1"/>
    <x v="5"/>
    <s v="Website"/>
    <x v="3"/>
    <n v="1"/>
    <n v="4966000"/>
    <n v="0.100066289041344"/>
    <n v="4469000"/>
    <x v="2"/>
    <x v="0"/>
  </r>
  <r>
    <x v="426"/>
    <x v="1"/>
    <x v="1"/>
    <s v="Website"/>
    <x v="4"/>
    <n v="5"/>
    <n v="2738000"/>
    <n v="4.4271809988218502E-2"/>
    <n v="13084000"/>
    <x v="14"/>
    <x v="0"/>
  </r>
  <r>
    <x v="427"/>
    <x v="0"/>
    <x v="1"/>
    <s v="Website"/>
    <x v="0"/>
    <n v="1"/>
    <n v="3661000"/>
    <n v="5.1201765777634203E-2"/>
    <n v="3474000"/>
    <x v="4"/>
    <x v="0"/>
  </r>
  <r>
    <x v="427"/>
    <x v="1"/>
    <x v="3"/>
    <s v="Website"/>
    <x v="0"/>
    <n v="2"/>
    <n v="2771000"/>
    <n v="7.4677017402467197E-2"/>
    <n v="5128000"/>
    <x v="3"/>
    <x v="1"/>
  </r>
  <r>
    <x v="427"/>
    <x v="3"/>
    <x v="2"/>
    <s v="Agent"/>
    <x v="9"/>
    <n v="1"/>
    <n v="4234000"/>
    <n v="0.13673344761558201"/>
    <n v="3655000"/>
    <x v="11"/>
    <x v="1"/>
  </r>
  <r>
    <x v="427"/>
    <x v="2"/>
    <x v="0"/>
    <s v="Website"/>
    <x v="2"/>
    <n v="2"/>
    <n v="3232000"/>
    <n v="8.4456605465062395E-2"/>
    <n v="5918000"/>
    <x v="14"/>
    <x v="1"/>
  </r>
  <r>
    <x v="428"/>
    <x v="3"/>
    <x v="5"/>
    <s v="Mobile App"/>
    <x v="6"/>
    <n v="4"/>
    <n v="4885000"/>
    <n v="8.1519223215848799E-2"/>
    <n v="17947000"/>
    <x v="12"/>
    <x v="1"/>
  </r>
  <r>
    <x v="428"/>
    <x v="1"/>
    <x v="0"/>
    <s v="Website"/>
    <x v="6"/>
    <n v="2"/>
    <n v="2513000"/>
    <n v="0.100996906694413"/>
    <n v="4518000"/>
    <x v="15"/>
    <x v="1"/>
  </r>
  <r>
    <x v="429"/>
    <x v="3"/>
    <x v="0"/>
    <s v="Website"/>
    <x v="9"/>
    <n v="4"/>
    <n v="2945000"/>
    <n v="7.6268226925179705E-2"/>
    <n v="10882000"/>
    <x v="17"/>
    <x v="1"/>
  </r>
  <r>
    <x v="429"/>
    <x v="0"/>
    <x v="5"/>
    <s v="Website"/>
    <x v="2"/>
    <n v="2"/>
    <n v="5453000"/>
    <n v="0.11064257212579801"/>
    <n v="9699000"/>
    <x v="5"/>
    <x v="0"/>
  </r>
  <r>
    <x v="429"/>
    <x v="1"/>
    <x v="0"/>
    <s v="Website"/>
    <x v="2"/>
    <n v="2"/>
    <n v="2981000"/>
    <n v="3.0953279541140601E-2"/>
    <n v="5777000"/>
    <x v="1"/>
    <x v="1"/>
  </r>
  <r>
    <x v="430"/>
    <x v="0"/>
    <x v="0"/>
    <s v="Website"/>
    <x v="9"/>
    <n v="4"/>
    <n v="3043000"/>
    <n v="8.7999999999999995E-2"/>
    <n v="11102000"/>
    <x v="17"/>
    <x v="0"/>
  </r>
  <r>
    <x v="430"/>
    <x v="3"/>
    <x v="3"/>
    <s v="Mobile App"/>
    <x v="1"/>
    <n v="2"/>
    <n v="2523000"/>
    <n v="6.9207894524166397E-2"/>
    <n v="4697000"/>
    <x v="13"/>
    <x v="1"/>
  </r>
  <r>
    <x v="430"/>
    <x v="3"/>
    <x v="5"/>
    <s v="Agent"/>
    <x v="1"/>
    <n v="3"/>
    <n v="6202000"/>
    <n v="0.12793945380426"/>
    <n v="16226000"/>
    <x v="8"/>
    <x v="0"/>
  </r>
  <r>
    <x v="430"/>
    <x v="2"/>
    <x v="5"/>
    <s v="Mobile App"/>
    <x v="9"/>
    <n v="1"/>
    <n v="6034000"/>
    <n v="0.17399046471753299"/>
    <n v="4984000"/>
    <x v="13"/>
    <x v="0"/>
  </r>
  <r>
    <x v="431"/>
    <x v="3"/>
    <x v="0"/>
    <s v="Website"/>
    <x v="9"/>
    <n v="2"/>
    <n v="2886000"/>
    <n v="7.6728013095688094E-2"/>
    <n v="5329000"/>
    <x v="10"/>
    <x v="1"/>
  </r>
  <r>
    <x v="432"/>
    <x v="0"/>
    <x v="5"/>
    <s v="Agent"/>
    <x v="7"/>
    <n v="2"/>
    <n v="5382000"/>
    <n v="0.13258362517463901"/>
    <n v="9337000"/>
    <x v="0"/>
    <x v="0"/>
  </r>
  <r>
    <x v="433"/>
    <x v="1"/>
    <x v="2"/>
    <s v="Website"/>
    <x v="4"/>
    <n v="2"/>
    <n v="4352000"/>
    <n v="0.10947483109636599"/>
    <n v="7751000"/>
    <x v="15"/>
    <x v="0"/>
  </r>
  <r>
    <x v="434"/>
    <x v="3"/>
    <x v="2"/>
    <s v="Agent"/>
    <x v="7"/>
    <n v="1"/>
    <n v="3853000"/>
    <n v="3.8089045736568003E-2"/>
    <n v="3706000"/>
    <x v="4"/>
    <x v="1"/>
  </r>
  <r>
    <x v="434"/>
    <x v="2"/>
    <x v="5"/>
    <s v="Mobile App"/>
    <x v="4"/>
    <n v="1"/>
    <n v="5555000"/>
    <n v="6.0823960268477299E-2"/>
    <n v="5217000"/>
    <x v="0"/>
    <x v="0"/>
  </r>
  <r>
    <x v="435"/>
    <x v="1"/>
    <x v="2"/>
    <s v="Website"/>
    <x v="0"/>
    <n v="5"/>
    <n v="4850000"/>
    <n v="6.5830638833835997E-2"/>
    <n v="22654000"/>
    <x v="0"/>
    <x v="1"/>
  </r>
  <r>
    <x v="435"/>
    <x v="0"/>
    <x v="1"/>
    <s v="Mobile App"/>
    <x v="5"/>
    <n v="2"/>
    <n v="3532000"/>
    <n v="0.13204174655054399"/>
    <n v="6131000"/>
    <x v="2"/>
    <x v="1"/>
  </r>
  <r>
    <x v="435"/>
    <x v="3"/>
    <x v="2"/>
    <s v="Mobile App"/>
    <x v="4"/>
    <n v="2"/>
    <n v="4389000"/>
    <n v="6.5676197611079498E-2"/>
    <n v="8201000"/>
    <x v="4"/>
    <x v="1"/>
  </r>
  <r>
    <x v="435"/>
    <x v="0"/>
    <x v="2"/>
    <s v="Agent"/>
    <x v="3"/>
    <n v="2"/>
    <n v="4543000"/>
    <n v="0.117226450698163"/>
    <n v="8021000"/>
    <x v="2"/>
    <x v="0"/>
  </r>
  <r>
    <x v="435"/>
    <x v="3"/>
    <x v="0"/>
    <s v="Mobile App"/>
    <x v="9"/>
    <n v="2"/>
    <n v="2798000"/>
    <n v="0.15827460246348299"/>
    <n v="4710000"/>
    <x v="4"/>
    <x v="1"/>
  </r>
  <r>
    <x v="435"/>
    <x v="0"/>
    <x v="0"/>
    <s v="Website"/>
    <x v="2"/>
    <n v="2"/>
    <n v="3735000"/>
    <n v="2.28815481009292E-3"/>
    <n v="7453000"/>
    <x v="6"/>
    <x v="1"/>
  </r>
  <r>
    <x v="436"/>
    <x v="0"/>
    <x v="0"/>
    <s v="Website"/>
    <x v="3"/>
    <n v="4"/>
    <n v="2770000"/>
    <n v="8.7700106945843195E-2"/>
    <n v="10108000"/>
    <x v="3"/>
    <x v="1"/>
  </r>
  <r>
    <x v="437"/>
    <x v="0"/>
    <x v="5"/>
    <s v="Agent"/>
    <x v="8"/>
    <n v="1"/>
    <n v="5315000"/>
    <n v="0.148427385585612"/>
    <n v="4526000"/>
    <x v="14"/>
    <x v="1"/>
  </r>
  <r>
    <x v="437"/>
    <x v="0"/>
    <x v="1"/>
    <s v="Agent"/>
    <x v="7"/>
    <n v="2"/>
    <n v="3092000"/>
    <n v="0.114295913589163"/>
    <n v="5477000"/>
    <x v="10"/>
    <x v="0"/>
  </r>
  <r>
    <x v="437"/>
    <x v="0"/>
    <x v="5"/>
    <s v="Website"/>
    <x v="8"/>
    <n v="2"/>
    <n v="5967000"/>
    <n v="6.83162566154107E-2"/>
    <n v="11119000"/>
    <x v="5"/>
    <x v="1"/>
  </r>
  <r>
    <x v="437"/>
    <x v="2"/>
    <x v="2"/>
    <s v="Website"/>
    <x v="5"/>
    <n v="1"/>
    <n v="4209000"/>
    <n v="8.5594685055893002E-2"/>
    <n v="3849000"/>
    <x v="0"/>
    <x v="1"/>
  </r>
  <r>
    <x v="438"/>
    <x v="2"/>
    <x v="5"/>
    <s v="Website"/>
    <x v="1"/>
    <n v="4"/>
    <n v="4608000"/>
    <n v="0.124423552066331"/>
    <n v="16139000"/>
    <x v="1"/>
    <x v="0"/>
  </r>
  <r>
    <x v="438"/>
    <x v="0"/>
    <x v="1"/>
    <s v="Website"/>
    <x v="9"/>
    <n v="2"/>
    <n v="3956000"/>
    <n v="0.20366543581375099"/>
    <n v="6301000"/>
    <x v="15"/>
    <x v="0"/>
  </r>
  <r>
    <x v="438"/>
    <x v="2"/>
    <x v="4"/>
    <s v="Agent"/>
    <x v="7"/>
    <n v="3"/>
    <n v="2640000"/>
    <n v="5.2874960392156001E-2"/>
    <n v="7501000"/>
    <x v="4"/>
    <x v="0"/>
  </r>
  <r>
    <x v="438"/>
    <x v="3"/>
    <x v="2"/>
    <s v="Website"/>
    <x v="7"/>
    <n v="2"/>
    <n v="3976000"/>
    <n v="0.125123196050998"/>
    <n v="6957000"/>
    <x v="6"/>
    <x v="0"/>
  </r>
  <r>
    <x v="439"/>
    <x v="0"/>
    <x v="0"/>
    <s v="Website"/>
    <x v="2"/>
    <n v="1"/>
    <n v="3101000"/>
    <n v="6.0057452898307502E-2"/>
    <n v="2915000"/>
    <x v="6"/>
    <x v="1"/>
  </r>
  <r>
    <x v="440"/>
    <x v="2"/>
    <x v="2"/>
    <s v="Website"/>
    <x v="2"/>
    <n v="1"/>
    <n v="4949000"/>
    <n v="0.111359904216477"/>
    <n v="4398000"/>
    <x v="6"/>
    <x v="0"/>
  </r>
  <r>
    <x v="440"/>
    <x v="1"/>
    <x v="5"/>
    <s v="Website"/>
    <x v="6"/>
    <n v="1"/>
    <n v="5020000"/>
    <n v="0.101948688529621"/>
    <n v="4508000"/>
    <x v="1"/>
    <x v="0"/>
  </r>
  <r>
    <x v="440"/>
    <x v="2"/>
    <x v="0"/>
    <s v="Mobile App"/>
    <x v="9"/>
    <n v="2"/>
    <n v="2867000"/>
    <n v="5.3398356269768799E-2"/>
    <n v="5428000"/>
    <x v="5"/>
    <x v="1"/>
  </r>
  <r>
    <x v="441"/>
    <x v="0"/>
    <x v="2"/>
    <s v="Website"/>
    <x v="4"/>
    <n v="2"/>
    <n v="4240000"/>
    <n v="0.15560900605168199"/>
    <n v="7160000"/>
    <x v="12"/>
    <x v="0"/>
  </r>
  <r>
    <x v="441"/>
    <x v="3"/>
    <x v="3"/>
    <s v="Website"/>
    <x v="1"/>
    <n v="2"/>
    <n v="2394000"/>
    <n v="8.9340682649048403E-2"/>
    <n v="4360000"/>
    <x v="7"/>
    <x v="1"/>
  </r>
  <r>
    <x v="441"/>
    <x v="2"/>
    <x v="5"/>
    <s v="Website"/>
    <x v="2"/>
    <n v="2"/>
    <n v="5670000"/>
    <n v="0.122767470280419"/>
    <n v="9948000"/>
    <x v="2"/>
    <x v="1"/>
  </r>
  <r>
    <x v="441"/>
    <x v="1"/>
    <x v="3"/>
    <s v="Website"/>
    <x v="4"/>
    <n v="3"/>
    <n v="1585000"/>
    <n v="0.103737508427379"/>
    <n v="4262000"/>
    <x v="2"/>
    <x v="1"/>
  </r>
  <r>
    <x v="441"/>
    <x v="1"/>
    <x v="1"/>
    <s v="Agent"/>
    <x v="2"/>
    <n v="2"/>
    <n v="4003000"/>
    <n v="4.5471538213515197E-2"/>
    <n v="7642000"/>
    <x v="2"/>
    <x v="0"/>
  </r>
  <r>
    <x v="441"/>
    <x v="0"/>
    <x v="3"/>
    <s v="Website"/>
    <x v="2"/>
    <n v="1"/>
    <n v="2644000"/>
    <n v="9.1402509818639899E-2"/>
    <n v="2402000"/>
    <x v="13"/>
    <x v="0"/>
  </r>
  <r>
    <x v="442"/>
    <x v="3"/>
    <x v="5"/>
    <s v="Agent"/>
    <x v="2"/>
    <n v="1"/>
    <n v="5098000"/>
    <n v="0.154976108662188"/>
    <n v="4308000"/>
    <x v="12"/>
    <x v="0"/>
  </r>
  <r>
    <x v="443"/>
    <x v="2"/>
    <x v="2"/>
    <s v="Agent"/>
    <x v="9"/>
    <n v="1"/>
    <n v="4334000"/>
    <n v="0.11861897738093199"/>
    <n v="3820000"/>
    <x v="7"/>
    <x v="0"/>
  </r>
  <r>
    <x v="444"/>
    <x v="3"/>
    <x v="2"/>
    <s v="Website"/>
    <x v="9"/>
    <n v="2"/>
    <n v="4294000"/>
    <n v="0.164431903509625"/>
    <n v="7176000"/>
    <x v="15"/>
    <x v="1"/>
  </r>
  <r>
    <x v="444"/>
    <x v="1"/>
    <x v="5"/>
    <s v="Website"/>
    <x v="0"/>
    <n v="1"/>
    <n v="6012000"/>
    <n v="0.13269492499444699"/>
    <n v="5214000"/>
    <x v="6"/>
    <x v="1"/>
  </r>
  <r>
    <x v="445"/>
    <x v="0"/>
    <x v="2"/>
    <s v="Website"/>
    <x v="8"/>
    <n v="2"/>
    <n v="3748000"/>
    <n v="6.6433000762457395E-2"/>
    <n v="6998000"/>
    <x v="2"/>
    <x v="0"/>
  </r>
  <r>
    <x v="446"/>
    <x v="3"/>
    <x v="3"/>
    <s v="Agent"/>
    <x v="9"/>
    <n v="2"/>
    <n v="2855000"/>
    <n v="8.2231304231431102E-2"/>
    <n v="5240000"/>
    <x v="1"/>
    <x v="1"/>
  </r>
  <r>
    <x v="446"/>
    <x v="1"/>
    <x v="2"/>
    <s v="Website"/>
    <x v="5"/>
    <n v="3"/>
    <n v="4546000"/>
    <n v="9.0452102092185502E-2"/>
    <n v="12404000"/>
    <x v="1"/>
    <x v="0"/>
  </r>
  <r>
    <x v="446"/>
    <x v="2"/>
    <x v="5"/>
    <s v="Website"/>
    <x v="4"/>
    <n v="1"/>
    <n v="4881000"/>
    <n v="0.13458175477714199"/>
    <n v="4224000"/>
    <x v="13"/>
    <x v="1"/>
  </r>
  <r>
    <x v="447"/>
    <x v="3"/>
    <x v="2"/>
    <s v="Website"/>
    <x v="8"/>
    <n v="2"/>
    <n v="3981000"/>
    <n v="7.0855396078077199E-2"/>
    <n v="7398000"/>
    <x v="16"/>
    <x v="0"/>
  </r>
  <r>
    <x v="447"/>
    <x v="1"/>
    <x v="2"/>
    <s v="Mobile App"/>
    <x v="1"/>
    <n v="2"/>
    <n v="3415000"/>
    <n v="0.1411120110994"/>
    <n v="5866000"/>
    <x v="3"/>
    <x v="1"/>
  </r>
  <r>
    <x v="447"/>
    <x v="3"/>
    <x v="5"/>
    <s v="Website"/>
    <x v="2"/>
    <n v="4"/>
    <n v="5547000"/>
    <n v="7.65727516792859E-2"/>
    <n v="20489000"/>
    <x v="6"/>
    <x v="0"/>
  </r>
  <r>
    <x v="448"/>
    <x v="1"/>
    <x v="0"/>
    <s v="Website"/>
    <x v="2"/>
    <n v="2"/>
    <n v="2828000"/>
    <n v="8.3226599917736399E-2"/>
    <n v="5185000"/>
    <x v="14"/>
    <x v="1"/>
  </r>
  <r>
    <x v="449"/>
    <x v="0"/>
    <x v="1"/>
    <s v="Website"/>
    <x v="2"/>
    <n v="2"/>
    <n v="3931000"/>
    <n v="0.13504362076175"/>
    <n v="6800000"/>
    <x v="12"/>
    <x v="0"/>
  </r>
  <r>
    <x v="450"/>
    <x v="3"/>
    <x v="5"/>
    <s v="Website"/>
    <x v="8"/>
    <n v="2"/>
    <n v="5461000"/>
    <n v="4.7087188282491699E-2"/>
    <n v="10408000"/>
    <x v="1"/>
    <x v="0"/>
  </r>
  <r>
    <x v="451"/>
    <x v="0"/>
    <x v="2"/>
    <s v="Agent"/>
    <x v="7"/>
    <n v="2"/>
    <n v="3706000"/>
    <n v="0.15838453272722"/>
    <n v="6238000"/>
    <x v="14"/>
    <x v="1"/>
  </r>
  <r>
    <x v="452"/>
    <x v="1"/>
    <x v="0"/>
    <s v="Mobile App"/>
    <x v="2"/>
    <n v="2"/>
    <n v="3488000"/>
    <n v="0.189218631616758"/>
    <n v="5656000"/>
    <x v="8"/>
    <x v="1"/>
  </r>
  <r>
    <x v="452"/>
    <x v="3"/>
    <x v="1"/>
    <s v="Website"/>
    <x v="2"/>
    <n v="2"/>
    <n v="3614000"/>
    <n v="0.16476262837053601"/>
    <n v="6037000"/>
    <x v="4"/>
    <x v="1"/>
  </r>
  <r>
    <x v="452"/>
    <x v="3"/>
    <x v="1"/>
    <s v="Website"/>
    <x v="5"/>
    <n v="1"/>
    <n v="3663000"/>
    <n v="7.8954814313162494E-2"/>
    <n v="3374000"/>
    <x v="2"/>
    <x v="0"/>
  </r>
  <r>
    <x v="452"/>
    <x v="3"/>
    <x v="5"/>
    <s v="Website"/>
    <x v="9"/>
    <n v="1"/>
    <n v="5810000"/>
    <n v="0.14198387069743601"/>
    <n v="4985000"/>
    <x v="1"/>
    <x v="0"/>
  </r>
  <r>
    <x v="452"/>
    <x v="1"/>
    <x v="5"/>
    <s v="Mobile App"/>
    <x v="1"/>
    <n v="1"/>
    <n v="4990000"/>
    <n v="0.12662180676528201"/>
    <n v="4358000"/>
    <x v="5"/>
    <x v="1"/>
  </r>
  <r>
    <x v="453"/>
    <x v="0"/>
    <x v="0"/>
    <s v="Website"/>
    <x v="5"/>
    <n v="1"/>
    <n v="2990000"/>
    <n v="0.12471921327626399"/>
    <n v="2617000"/>
    <x v="15"/>
    <x v="1"/>
  </r>
  <r>
    <x v="454"/>
    <x v="1"/>
    <x v="2"/>
    <s v="Agent"/>
    <x v="4"/>
    <n v="1"/>
    <n v="4400000"/>
    <n v="0.13940708361008999"/>
    <n v="3787000"/>
    <x v="4"/>
    <x v="1"/>
  </r>
  <r>
    <x v="455"/>
    <x v="3"/>
    <x v="5"/>
    <s v="Agent"/>
    <x v="9"/>
    <n v="1"/>
    <n v="6113000"/>
    <n v="8.2682930637395693E-2"/>
    <n v="5608000"/>
    <x v="2"/>
    <x v="0"/>
  </r>
  <r>
    <x v="455"/>
    <x v="1"/>
    <x v="0"/>
    <s v="Mobile App"/>
    <x v="3"/>
    <n v="2"/>
    <n v="2700000"/>
    <n v="6.2724028109945304E-2"/>
    <n v="5061000"/>
    <x v="17"/>
    <x v="1"/>
  </r>
  <r>
    <x v="455"/>
    <x v="1"/>
    <x v="5"/>
    <s v="Website"/>
    <x v="8"/>
    <n v="2"/>
    <n v="5541000"/>
    <n v="0.117107383066525"/>
    <n v="9784000"/>
    <x v="2"/>
    <x v="1"/>
  </r>
  <r>
    <x v="456"/>
    <x v="0"/>
    <x v="2"/>
    <s v="Website"/>
    <x v="8"/>
    <n v="1"/>
    <n v="3302000"/>
    <n v="0.147210963928493"/>
    <n v="2816000"/>
    <x v="12"/>
    <x v="0"/>
  </r>
  <r>
    <x v="457"/>
    <x v="1"/>
    <x v="2"/>
    <s v="Agent"/>
    <x v="7"/>
    <n v="2"/>
    <n v="3939000"/>
    <n v="0.14081123331357001"/>
    <n v="6769000"/>
    <x v="12"/>
    <x v="1"/>
  </r>
  <r>
    <x v="457"/>
    <x v="0"/>
    <x v="2"/>
    <s v="Website"/>
    <x v="2"/>
    <n v="4"/>
    <n v="4960000"/>
    <n v="0.11324080408019201"/>
    <n v="17593000"/>
    <x v="5"/>
    <x v="1"/>
  </r>
  <r>
    <x v="458"/>
    <x v="0"/>
    <x v="4"/>
    <s v="Website"/>
    <x v="1"/>
    <n v="4"/>
    <n v="2700000"/>
    <n v="7.6729460098988497E-2"/>
    <n v="9971000"/>
    <x v="7"/>
    <x v="0"/>
  </r>
  <r>
    <x v="458"/>
    <x v="0"/>
    <x v="0"/>
    <s v="Mobile App"/>
    <x v="0"/>
    <n v="1"/>
    <n v="3132000"/>
    <n v="0.104314620817462"/>
    <n v="2805000"/>
    <x v="11"/>
    <x v="1"/>
  </r>
  <r>
    <x v="459"/>
    <x v="2"/>
    <x v="4"/>
    <s v="Mobile App"/>
    <x v="7"/>
    <n v="2"/>
    <n v="2697000"/>
    <n v="0.104734625624911"/>
    <n v="4829000"/>
    <x v="7"/>
    <x v="1"/>
  </r>
  <r>
    <x v="459"/>
    <x v="3"/>
    <x v="0"/>
    <s v="Mobile App"/>
    <x v="4"/>
    <n v="2"/>
    <n v="2846000"/>
    <n v="0.160641710108476"/>
    <n v="4778000"/>
    <x v="2"/>
    <x v="0"/>
  </r>
  <r>
    <x v="460"/>
    <x v="1"/>
    <x v="2"/>
    <s v="Website"/>
    <x v="3"/>
    <n v="3"/>
    <n v="4604000"/>
    <n v="9.4037720706173597E-2"/>
    <n v="12513000"/>
    <x v="2"/>
    <x v="0"/>
  </r>
  <r>
    <x v="460"/>
    <x v="1"/>
    <x v="2"/>
    <s v="Website"/>
    <x v="4"/>
    <n v="1"/>
    <n v="4559000"/>
    <n v="0.116508372422684"/>
    <n v="4028000"/>
    <x v="0"/>
    <x v="1"/>
  </r>
  <r>
    <x v="461"/>
    <x v="1"/>
    <x v="5"/>
    <s v="Mobile App"/>
    <x v="2"/>
    <n v="1"/>
    <n v="5081000"/>
    <n v="0.112700363254159"/>
    <n v="4508000"/>
    <x v="2"/>
    <x v="0"/>
  </r>
  <r>
    <x v="462"/>
    <x v="0"/>
    <x v="2"/>
    <s v="Website"/>
    <x v="0"/>
    <n v="1"/>
    <n v="4383000"/>
    <n v="2.29030885423833E-2"/>
    <n v="4283000"/>
    <x v="14"/>
    <x v="0"/>
  </r>
  <r>
    <x v="462"/>
    <x v="3"/>
    <x v="3"/>
    <s v="Mobile App"/>
    <x v="0"/>
    <n v="2"/>
    <n v="2765000"/>
    <n v="7.8397065440028002E-2"/>
    <n v="5096000"/>
    <x v="10"/>
    <x v="0"/>
  </r>
  <r>
    <x v="462"/>
    <x v="0"/>
    <x v="1"/>
    <s v="Mobile App"/>
    <x v="1"/>
    <n v="2"/>
    <n v="2955000"/>
    <n v="9.3287011363696395E-2"/>
    <n v="5359000"/>
    <x v="12"/>
    <x v="1"/>
  </r>
  <r>
    <x v="463"/>
    <x v="1"/>
    <x v="0"/>
    <s v="Website"/>
    <x v="9"/>
    <n v="3"/>
    <n v="3034000"/>
    <n v="0.11169350643588601"/>
    <n v="8085000"/>
    <x v="14"/>
    <x v="1"/>
  </r>
  <r>
    <x v="463"/>
    <x v="2"/>
    <x v="1"/>
    <s v="Website"/>
    <x v="4"/>
    <n v="1"/>
    <n v="2850000"/>
    <n v="0.122230951011554"/>
    <n v="2502000"/>
    <x v="2"/>
    <x v="1"/>
  </r>
  <r>
    <x v="463"/>
    <x v="3"/>
    <x v="1"/>
    <s v="Website"/>
    <x v="0"/>
    <n v="3"/>
    <n v="3819000"/>
    <n v="0.14870093821087901"/>
    <n v="9753000"/>
    <x v="11"/>
    <x v="1"/>
  </r>
  <r>
    <x v="464"/>
    <x v="0"/>
    <x v="2"/>
    <s v="Agent"/>
    <x v="6"/>
    <n v="1"/>
    <n v="4320000"/>
    <n v="7.9390252649871304E-2"/>
    <n v="3977000"/>
    <x v="6"/>
    <x v="1"/>
  </r>
  <r>
    <x v="464"/>
    <x v="0"/>
    <x v="3"/>
    <s v="Mobile App"/>
    <x v="0"/>
    <n v="4"/>
    <n v="2602000"/>
    <n v="6.6546663694323605E-2"/>
    <n v="9715000"/>
    <x v="1"/>
    <x v="0"/>
  </r>
  <r>
    <x v="465"/>
    <x v="0"/>
    <x v="0"/>
    <s v="Website"/>
    <x v="4"/>
    <n v="1"/>
    <n v="2794000"/>
    <n v="8.0021199513723301E-2"/>
    <n v="2570000"/>
    <x v="9"/>
    <x v="0"/>
  </r>
  <r>
    <x v="465"/>
    <x v="1"/>
    <x v="3"/>
    <s v="Website"/>
    <x v="6"/>
    <n v="2"/>
    <n v="2276000"/>
    <n v="6.5256016514168194E-2"/>
    <n v="4255000"/>
    <x v="9"/>
    <x v="0"/>
  </r>
  <r>
    <x v="466"/>
    <x v="2"/>
    <x v="0"/>
    <s v="Website"/>
    <x v="3"/>
    <n v="3"/>
    <n v="3086000"/>
    <n v="0.13400302477846601"/>
    <n v="8017000"/>
    <x v="2"/>
    <x v="0"/>
  </r>
  <r>
    <x v="466"/>
    <x v="1"/>
    <x v="2"/>
    <s v="Website"/>
    <x v="0"/>
    <n v="3"/>
    <n v="4647000"/>
    <n v="0.14169311583833799"/>
    <n v="11966000"/>
    <x v="1"/>
    <x v="0"/>
  </r>
  <r>
    <x v="467"/>
    <x v="2"/>
    <x v="4"/>
    <s v="Website"/>
    <x v="1"/>
    <n v="3"/>
    <n v="2577000"/>
    <n v="0.11524478930448299"/>
    <n v="6840000"/>
    <x v="2"/>
    <x v="1"/>
  </r>
  <r>
    <x v="467"/>
    <x v="2"/>
    <x v="3"/>
    <s v="Website"/>
    <x v="3"/>
    <n v="1"/>
    <n v="2825000"/>
    <n v="0.101457383072213"/>
    <n v="2538000"/>
    <x v="5"/>
    <x v="0"/>
  </r>
  <r>
    <x v="468"/>
    <x v="1"/>
    <x v="5"/>
    <s v="Website"/>
    <x v="2"/>
    <n v="2"/>
    <n v="5254000"/>
    <n v="5.3931708082166997E-2"/>
    <n v="9941000"/>
    <x v="10"/>
    <x v="1"/>
  </r>
  <r>
    <x v="468"/>
    <x v="3"/>
    <x v="1"/>
    <s v="Agent"/>
    <x v="9"/>
    <n v="3"/>
    <n v="3850000"/>
    <n v="0.13420475130187701"/>
    <n v="10000000"/>
    <x v="12"/>
    <x v="0"/>
  </r>
  <r>
    <x v="469"/>
    <x v="3"/>
    <x v="1"/>
    <s v="Mobile App"/>
    <x v="9"/>
    <n v="2"/>
    <n v="3726000"/>
    <n v="3.7948429734742502E-2"/>
    <n v="7169000"/>
    <x v="4"/>
    <x v="0"/>
  </r>
  <r>
    <x v="469"/>
    <x v="3"/>
    <x v="1"/>
    <s v="Mobile App"/>
    <x v="7"/>
    <n v="1"/>
    <n v="3460000"/>
    <n v="4.0609226156576E-2"/>
    <n v="3319000"/>
    <x v="0"/>
    <x v="0"/>
  </r>
  <r>
    <x v="470"/>
    <x v="0"/>
    <x v="0"/>
    <s v="Website"/>
    <x v="8"/>
    <n v="2"/>
    <n v="2311000"/>
    <n v="0.11016718453428199"/>
    <n v="4113000"/>
    <x v="14"/>
    <x v="0"/>
  </r>
  <r>
    <x v="471"/>
    <x v="3"/>
    <x v="3"/>
    <s v="Mobile App"/>
    <x v="0"/>
    <n v="1"/>
    <n v="2726000"/>
    <n v="0.127933006628865"/>
    <n v="2377000"/>
    <x v="7"/>
    <x v="0"/>
  </r>
  <r>
    <x v="471"/>
    <x v="3"/>
    <x v="1"/>
    <s v="Website"/>
    <x v="7"/>
    <n v="1"/>
    <n v="3449000"/>
    <n v="0.1"/>
    <n v="3103000"/>
    <x v="18"/>
    <x v="1"/>
  </r>
  <r>
    <x v="471"/>
    <x v="3"/>
    <x v="1"/>
    <s v="Agent"/>
    <x v="2"/>
    <n v="1"/>
    <n v="3741000"/>
    <n v="4.3647443433565303E-2"/>
    <n v="3578000"/>
    <x v="5"/>
    <x v="1"/>
  </r>
  <r>
    <x v="472"/>
    <x v="1"/>
    <x v="0"/>
    <s v="Website"/>
    <x v="6"/>
    <n v="1"/>
    <n v="2395000"/>
    <n v="0.15034543293222799"/>
    <n v="2035000"/>
    <x v="3"/>
    <x v="1"/>
  </r>
  <r>
    <x v="473"/>
    <x v="3"/>
    <x v="1"/>
    <s v="Agent"/>
    <x v="0"/>
    <n v="1"/>
    <n v="3807000"/>
    <n v="0.153164873709567"/>
    <n v="3224000"/>
    <x v="6"/>
    <x v="1"/>
  </r>
  <r>
    <x v="473"/>
    <x v="3"/>
    <x v="2"/>
    <s v="Website"/>
    <x v="6"/>
    <n v="1"/>
    <n v="3796000"/>
    <n v="0.14407494957466899"/>
    <n v="3249000"/>
    <x v="8"/>
    <x v="1"/>
  </r>
  <r>
    <x v="473"/>
    <x v="1"/>
    <x v="5"/>
    <s v="Agent"/>
    <x v="3"/>
    <n v="4"/>
    <n v="4955000"/>
    <n v="4.9266847332627997E-2"/>
    <n v="18844000"/>
    <x v="5"/>
    <x v="1"/>
  </r>
  <r>
    <x v="473"/>
    <x v="3"/>
    <x v="0"/>
    <s v="Agent"/>
    <x v="3"/>
    <n v="2"/>
    <n v="2788000"/>
    <n v="7.2187424533436101E-2"/>
    <n v="5173000"/>
    <x v="6"/>
    <x v="1"/>
  </r>
  <r>
    <x v="474"/>
    <x v="3"/>
    <x v="0"/>
    <s v="Website"/>
    <x v="0"/>
    <n v="1"/>
    <n v="2721000"/>
    <n v="0.105804578194848"/>
    <n v="2433000"/>
    <x v="8"/>
    <x v="0"/>
  </r>
  <r>
    <x v="475"/>
    <x v="1"/>
    <x v="4"/>
    <s v="Website"/>
    <x v="5"/>
    <n v="2"/>
    <n v="2942000"/>
    <n v="0.16068236561292301"/>
    <n v="4939000"/>
    <x v="6"/>
    <x v="1"/>
  </r>
  <r>
    <x v="475"/>
    <x v="1"/>
    <x v="0"/>
    <s v="Website"/>
    <x v="0"/>
    <n v="1"/>
    <n v="2904000"/>
    <n v="9.0665092583160495E-2"/>
    <n v="2641000"/>
    <x v="15"/>
    <x v="1"/>
  </r>
  <r>
    <x v="475"/>
    <x v="3"/>
    <x v="5"/>
    <s v="Mobile App"/>
    <x v="8"/>
    <n v="1"/>
    <n v="5506000"/>
    <n v="8.3323797268078204E-2"/>
    <n v="5047000"/>
    <x v="10"/>
    <x v="1"/>
  </r>
  <r>
    <x v="476"/>
    <x v="3"/>
    <x v="1"/>
    <s v="Website"/>
    <x v="8"/>
    <n v="1"/>
    <n v="3217000"/>
    <n v="0.12850427223619801"/>
    <n v="2804000"/>
    <x v="0"/>
    <x v="1"/>
  </r>
  <r>
    <x v="477"/>
    <x v="3"/>
    <x v="5"/>
    <s v="Website"/>
    <x v="0"/>
    <n v="2"/>
    <n v="5838000"/>
    <n v="0.14258325580335399"/>
    <n v="10011000"/>
    <x v="4"/>
    <x v="0"/>
  </r>
  <r>
    <x v="477"/>
    <x v="0"/>
    <x v="2"/>
    <s v="Agent"/>
    <x v="0"/>
    <n v="1"/>
    <n v="3556000"/>
    <n v="0.125167513217501"/>
    <n v="3111000"/>
    <x v="3"/>
    <x v="1"/>
  </r>
  <r>
    <x v="478"/>
    <x v="0"/>
    <x v="0"/>
    <s v="Mobile App"/>
    <x v="0"/>
    <n v="2"/>
    <n v="3162000"/>
    <n v="0.115940797433796"/>
    <n v="5591000"/>
    <x v="8"/>
    <x v="1"/>
  </r>
  <r>
    <x v="478"/>
    <x v="1"/>
    <x v="3"/>
    <s v="Website"/>
    <x v="5"/>
    <n v="4"/>
    <n v="2246000"/>
    <n v="0.101202400294302"/>
    <n v="8075000"/>
    <x v="2"/>
    <x v="0"/>
  </r>
  <r>
    <x v="479"/>
    <x v="1"/>
    <x v="2"/>
    <s v="Website"/>
    <x v="9"/>
    <n v="1"/>
    <n v="4351000"/>
    <n v="0.10678868466512299"/>
    <n v="3886000"/>
    <x v="10"/>
    <x v="1"/>
  </r>
  <r>
    <x v="479"/>
    <x v="3"/>
    <x v="2"/>
    <s v="Mobile App"/>
    <x v="1"/>
    <n v="5"/>
    <n v="3212000"/>
    <n v="0.120719148423214"/>
    <n v="14121000"/>
    <x v="7"/>
    <x v="1"/>
  </r>
  <r>
    <x v="479"/>
    <x v="0"/>
    <x v="3"/>
    <s v="Mobile App"/>
    <x v="7"/>
    <n v="3"/>
    <n v="2034000"/>
    <n v="0.174145166791291"/>
    <n v="5039000"/>
    <x v="10"/>
    <x v="0"/>
  </r>
  <r>
    <x v="479"/>
    <x v="0"/>
    <x v="1"/>
    <s v="Agent"/>
    <x v="8"/>
    <n v="2"/>
    <n v="3613000"/>
    <n v="0.128438854227056"/>
    <n v="6298000"/>
    <x v="8"/>
    <x v="0"/>
  </r>
  <r>
    <x v="480"/>
    <x v="0"/>
    <x v="2"/>
    <s v="Website"/>
    <x v="8"/>
    <n v="2"/>
    <n v="3743000"/>
    <n v="8.0010246108465299E-2"/>
    <n v="6887000"/>
    <x v="12"/>
    <x v="1"/>
  </r>
  <r>
    <x v="481"/>
    <x v="1"/>
    <x v="1"/>
    <s v="Agent"/>
    <x v="2"/>
    <n v="1"/>
    <n v="3718000"/>
    <n v="9.1096984835510902E-2"/>
    <n v="3379000"/>
    <x v="1"/>
    <x v="0"/>
  </r>
  <r>
    <x v="481"/>
    <x v="1"/>
    <x v="0"/>
    <s v="Website"/>
    <x v="5"/>
    <n v="3"/>
    <n v="2851000"/>
    <n v="0.103129922024771"/>
    <n v="7671000"/>
    <x v="4"/>
    <x v="0"/>
  </r>
  <r>
    <x v="482"/>
    <x v="2"/>
    <x v="2"/>
    <s v="Website"/>
    <x v="6"/>
    <n v="4"/>
    <n v="3964000"/>
    <n v="0.16020431008428701"/>
    <n v="13316000"/>
    <x v="14"/>
    <x v="1"/>
  </r>
  <r>
    <x v="482"/>
    <x v="3"/>
    <x v="1"/>
    <s v="Website"/>
    <x v="2"/>
    <n v="3"/>
    <n v="3807000"/>
    <n v="0.159879206767779"/>
    <n v="9595000"/>
    <x v="1"/>
    <x v="0"/>
  </r>
  <r>
    <x v="482"/>
    <x v="3"/>
    <x v="5"/>
    <s v="Website"/>
    <x v="3"/>
    <n v="1"/>
    <n v="5031000"/>
    <n v="9.1034383593199597E-2"/>
    <n v="4573000"/>
    <x v="0"/>
    <x v="1"/>
  </r>
  <r>
    <x v="482"/>
    <x v="0"/>
    <x v="2"/>
    <s v="Agent"/>
    <x v="7"/>
    <n v="1"/>
    <n v="3801000"/>
    <n v="7.4694283567098396E-2"/>
    <n v="3517000"/>
    <x v="7"/>
    <x v="1"/>
  </r>
  <r>
    <x v="483"/>
    <x v="1"/>
    <x v="2"/>
    <s v="Website"/>
    <x v="6"/>
    <n v="1"/>
    <n v="3963000"/>
    <n v="0.199369269038805"/>
    <n v="3173000"/>
    <x v="0"/>
    <x v="1"/>
  </r>
  <r>
    <x v="483"/>
    <x v="0"/>
    <x v="2"/>
    <s v="Website"/>
    <x v="0"/>
    <n v="1"/>
    <n v="4892000"/>
    <n v="5.1399345319872003E-2"/>
    <n v="4641000"/>
    <x v="10"/>
    <x v="1"/>
  </r>
  <r>
    <x v="483"/>
    <x v="0"/>
    <x v="2"/>
    <s v="Mobile App"/>
    <x v="1"/>
    <n v="1"/>
    <n v="3519000"/>
    <n v="7.3529934749281406E-2"/>
    <n v="3260000"/>
    <x v="1"/>
    <x v="0"/>
  </r>
  <r>
    <x v="484"/>
    <x v="1"/>
    <x v="4"/>
    <s v="Agent"/>
    <x v="9"/>
    <n v="1"/>
    <n v="2838000"/>
    <n v="8.3192848295271696E-2"/>
    <n v="2602000"/>
    <x v="17"/>
    <x v="0"/>
  </r>
  <r>
    <x v="484"/>
    <x v="3"/>
    <x v="1"/>
    <s v="Mobile App"/>
    <x v="2"/>
    <n v="1"/>
    <n v="3685000"/>
    <n v="0.15525809257785"/>
    <n v="3113000"/>
    <x v="0"/>
    <x v="1"/>
  </r>
  <r>
    <x v="485"/>
    <x v="2"/>
    <x v="2"/>
    <s v="Website"/>
    <x v="9"/>
    <n v="2"/>
    <n v="4035000"/>
    <n v="0.125142922017214"/>
    <n v="7060000"/>
    <x v="6"/>
    <x v="0"/>
  </r>
  <r>
    <x v="485"/>
    <x v="1"/>
    <x v="1"/>
    <s v="Mobile App"/>
    <x v="3"/>
    <n v="2"/>
    <n v="3419000"/>
    <n v="7.9924187908225502E-2"/>
    <n v="6291000"/>
    <x v="18"/>
    <x v="1"/>
  </r>
  <r>
    <x v="485"/>
    <x v="3"/>
    <x v="3"/>
    <s v="Website"/>
    <x v="0"/>
    <n v="1"/>
    <n v="2769000"/>
    <n v="8.8790273541166101E-2"/>
    <n v="2523000"/>
    <x v="13"/>
    <x v="0"/>
  </r>
  <r>
    <x v="485"/>
    <x v="0"/>
    <x v="3"/>
    <s v="Website"/>
    <x v="1"/>
    <n v="1"/>
    <n v="2457000"/>
    <n v="0.15107048814509699"/>
    <n v="2086000"/>
    <x v="15"/>
    <x v="0"/>
  </r>
  <r>
    <x v="486"/>
    <x v="1"/>
    <x v="1"/>
    <s v="Website"/>
    <x v="0"/>
    <n v="2"/>
    <n v="3703000"/>
    <n v="0.136626958520114"/>
    <n v="6394000"/>
    <x v="0"/>
    <x v="1"/>
  </r>
  <r>
    <x v="486"/>
    <x v="2"/>
    <x v="3"/>
    <s v="Mobile App"/>
    <x v="5"/>
    <n v="1"/>
    <n v="2186000"/>
    <n v="0.10504854631608899"/>
    <n v="1956000"/>
    <x v="8"/>
    <x v="0"/>
  </r>
  <r>
    <x v="486"/>
    <x v="1"/>
    <x v="4"/>
    <s v="Mobile App"/>
    <x v="6"/>
    <n v="2"/>
    <n v="2569000"/>
    <n v="0.11236709870363799"/>
    <n v="4561000"/>
    <x v="4"/>
    <x v="1"/>
  </r>
  <r>
    <x v="486"/>
    <x v="3"/>
    <x v="5"/>
    <s v="Website"/>
    <x v="8"/>
    <n v="1"/>
    <n v="5383000"/>
    <n v="7.0484972579844596E-2"/>
    <n v="5004000"/>
    <x v="10"/>
    <x v="1"/>
  </r>
  <r>
    <x v="487"/>
    <x v="1"/>
    <x v="5"/>
    <s v="Website"/>
    <x v="3"/>
    <n v="1"/>
    <n v="4896000"/>
    <n v="0.16300000000000001"/>
    <n v="4099000"/>
    <x v="18"/>
    <x v="0"/>
  </r>
  <r>
    <x v="488"/>
    <x v="2"/>
    <x v="3"/>
    <s v="Call Center"/>
    <x v="4"/>
    <n v="1"/>
    <n v="1556000"/>
    <n v="0.13706741348322099"/>
    <n v="1343000"/>
    <x v="18"/>
    <x v="0"/>
  </r>
  <r>
    <x v="489"/>
    <x v="3"/>
    <x v="1"/>
    <s v="Website"/>
    <x v="4"/>
    <n v="2"/>
    <n v="2622000"/>
    <n v="0.146575044647242"/>
    <n v="4475000"/>
    <x v="20"/>
    <x v="1"/>
  </r>
  <r>
    <x v="489"/>
    <x v="3"/>
    <x v="0"/>
    <s v="Website"/>
    <x v="4"/>
    <n v="1"/>
    <n v="2969000"/>
    <n v="8.2961873012239395E-2"/>
    <n v="2723000"/>
    <x v="5"/>
    <x v="0"/>
  </r>
  <r>
    <x v="489"/>
    <x v="1"/>
    <x v="1"/>
    <s v="Website"/>
    <x v="1"/>
    <n v="1"/>
    <n v="3377000"/>
    <n v="4.5747405385142999E-2"/>
    <n v="3223000"/>
    <x v="13"/>
    <x v="0"/>
  </r>
  <r>
    <x v="490"/>
    <x v="2"/>
    <x v="1"/>
    <s v="Agent"/>
    <x v="8"/>
    <n v="3"/>
    <n v="3394000"/>
    <n v="9.0321756839252601E-2"/>
    <n v="9262000"/>
    <x v="6"/>
    <x v="1"/>
  </r>
  <r>
    <x v="490"/>
    <x v="1"/>
    <x v="2"/>
    <s v="Agent"/>
    <x v="4"/>
    <n v="1"/>
    <n v="4169000"/>
    <n v="0.17139362136911601"/>
    <n v="3454000"/>
    <x v="13"/>
    <x v="1"/>
  </r>
  <r>
    <x v="491"/>
    <x v="1"/>
    <x v="4"/>
    <s v="Mobile App"/>
    <x v="7"/>
    <n v="3"/>
    <n v="2712000"/>
    <n v="0.15182776379604601"/>
    <n v="6901000"/>
    <x v="5"/>
    <x v="0"/>
  </r>
  <r>
    <x v="491"/>
    <x v="2"/>
    <x v="4"/>
    <s v="Website"/>
    <x v="4"/>
    <n v="1"/>
    <n v="2236000"/>
    <n v="0.127903854058314"/>
    <n v="1950000"/>
    <x v="2"/>
    <x v="0"/>
  </r>
  <r>
    <x v="491"/>
    <x v="3"/>
    <x v="5"/>
    <s v="Mobile App"/>
    <x v="9"/>
    <n v="2"/>
    <n v="6193000"/>
    <n v="0.10924846309889499"/>
    <n v="11033000"/>
    <x v="18"/>
    <x v="0"/>
  </r>
  <r>
    <x v="492"/>
    <x v="1"/>
    <x v="5"/>
    <s v="Agent"/>
    <x v="0"/>
    <n v="4"/>
    <n v="5338000"/>
    <n v="6.6441126213695703E-2"/>
    <n v="19933000"/>
    <x v="5"/>
    <x v="1"/>
  </r>
  <r>
    <x v="492"/>
    <x v="1"/>
    <x v="1"/>
    <s v="Mobile App"/>
    <x v="0"/>
    <n v="2"/>
    <n v="3150000"/>
    <n v="4.9715894033436202E-2"/>
    <n v="5987000"/>
    <x v="6"/>
    <x v="1"/>
  </r>
  <r>
    <x v="493"/>
    <x v="3"/>
    <x v="0"/>
    <s v="Mobile App"/>
    <x v="2"/>
    <n v="3"/>
    <n v="3440000"/>
    <n v="6.0050407140215797E-2"/>
    <n v="9700000"/>
    <x v="15"/>
    <x v="0"/>
  </r>
  <r>
    <x v="494"/>
    <x v="2"/>
    <x v="0"/>
    <s v="Website"/>
    <x v="0"/>
    <n v="2"/>
    <n v="2676000"/>
    <n v="0.171847670074074"/>
    <n v="4432000"/>
    <x v="15"/>
    <x v="0"/>
  </r>
  <r>
    <x v="494"/>
    <x v="1"/>
    <x v="3"/>
    <s v="Website"/>
    <x v="2"/>
    <n v="1"/>
    <n v="2559000"/>
    <n v="0.109792390793668"/>
    <n v="2278000"/>
    <x v="12"/>
    <x v="1"/>
  </r>
  <r>
    <x v="495"/>
    <x v="2"/>
    <x v="2"/>
    <s v="Website"/>
    <x v="9"/>
    <n v="2"/>
    <n v="4003000"/>
    <n v="0.10224145044958299"/>
    <n v="7187000"/>
    <x v="2"/>
    <x v="0"/>
  </r>
  <r>
    <x v="495"/>
    <x v="2"/>
    <x v="5"/>
    <s v="Website"/>
    <x v="4"/>
    <n v="2"/>
    <n v="4828000"/>
    <n v="8.77630914835483E-2"/>
    <n v="8809000"/>
    <x v="12"/>
    <x v="1"/>
  </r>
  <r>
    <x v="495"/>
    <x v="1"/>
    <x v="2"/>
    <s v="Website"/>
    <x v="5"/>
    <n v="1"/>
    <n v="3620000"/>
    <n v="0.104585070447354"/>
    <n v="3241000"/>
    <x v="3"/>
    <x v="1"/>
  </r>
  <r>
    <x v="496"/>
    <x v="0"/>
    <x v="2"/>
    <s v="Website"/>
    <x v="5"/>
    <n v="3"/>
    <n v="4127000"/>
    <n v="0.14171092831822699"/>
    <n v="10626000"/>
    <x v="2"/>
    <x v="0"/>
  </r>
  <r>
    <x v="496"/>
    <x v="1"/>
    <x v="2"/>
    <s v="Website"/>
    <x v="5"/>
    <n v="2"/>
    <n v="3994000"/>
    <n v="7.7160049455889695E-2"/>
    <n v="7372000"/>
    <x v="0"/>
    <x v="1"/>
  </r>
  <r>
    <x v="497"/>
    <x v="0"/>
    <x v="1"/>
    <s v="Mobile App"/>
    <x v="4"/>
    <n v="1"/>
    <n v="2721000"/>
    <n v="5.1277417808923503E-2"/>
    <n v="2581000"/>
    <x v="8"/>
    <x v="0"/>
  </r>
  <r>
    <x v="498"/>
    <x v="3"/>
    <x v="2"/>
    <s v="Website"/>
    <x v="9"/>
    <n v="2"/>
    <n v="3837000"/>
    <n v="0.102723790741164"/>
    <n v="6886000"/>
    <x v="2"/>
    <x v="1"/>
  </r>
  <r>
    <x v="499"/>
    <x v="0"/>
    <x v="4"/>
    <s v="Website"/>
    <x v="5"/>
    <n v="2"/>
    <n v="2626000"/>
    <n v="0.112055039236959"/>
    <n v="4663000"/>
    <x v="1"/>
    <x v="1"/>
  </r>
  <r>
    <x v="500"/>
    <x v="0"/>
    <x v="2"/>
    <s v="Website"/>
    <x v="2"/>
    <n v="2"/>
    <n v="4328000"/>
    <n v="5.3987505509118502E-2"/>
    <n v="8189000"/>
    <x v="4"/>
    <x v="0"/>
  </r>
  <r>
    <x v="501"/>
    <x v="3"/>
    <x v="5"/>
    <s v="Mobile App"/>
    <x v="4"/>
    <n v="1"/>
    <n v="4834000"/>
    <n v="0.115809213642458"/>
    <n v="4274000"/>
    <x v="8"/>
    <x v="1"/>
  </r>
  <r>
    <x v="502"/>
    <x v="2"/>
    <x v="2"/>
    <s v="Website"/>
    <x v="3"/>
    <n v="1"/>
    <n v="4189000"/>
    <n v="0.14794855985119701"/>
    <n v="3569000"/>
    <x v="0"/>
    <x v="0"/>
  </r>
  <r>
    <x v="503"/>
    <x v="0"/>
    <x v="2"/>
    <s v="Website"/>
    <x v="9"/>
    <n v="1"/>
    <n v="4411000"/>
    <n v="7.5586015471592105E-2"/>
    <n v="4078000"/>
    <x v="19"/>
    <x v="1"/>
  </r>
  <r>
    <x v="503"/>
    <x v="0"/>
    <x v="2"/>
    <s v="Website"/>
    <x v="4"/>
    <n v="1"/>
    <n v="3980000"/>
    <n v="0.14886721031189101"/>
    <n v="3388000"/>
    <x v="6"/>
    <x v="0"/>
  </r>
  <r>
    <x v="504"/>
    <x v="0"/>
    <x v="1"/>
    <s v="Website"/>
    <x v="5"/>
    <n v="1"/>
    <n v="3154000"/>
    <n v="8.6999999999999994E-2"/>
    <n v="2880000"/>
    <x v="2"/>
    <x v="1"/>
  </r>
  <r>
    <x v="504"/>
    <x v="3"/>
    <x v="1"/>
    <s v="Website"/>
    <x v="3"/>
    <n v="2"/>
    <n v="3071000"/>
    <n v="6.3314410038078001E-2"/>
    <n v="5753000"/>
    <x v="14"/>
    <x v="1"/>
  </r>
  <r>
    <x v="504"/>
    <x v="3"/>
    <x v="0"/>
    <s v="Agent"/>
    <x v="3"/>
    <n v="1"/>
    <n v="2721000"/>
    <n v="9.3779896464215598E-2"/>
    <n v="2466000"/>
    <x v="12"/>
    <x v="0"/>
  </r>
  <r>
    <x v="505"/>
    <x v="1"/>
    <x v="0"/>
    <s v="Agent"/>
    <x v="1"/>
    <n v="1"/>
    <n v="2375000"/>
    <n v="0.128"/>
    <n v="2071000"/>
    <x v="4"/>
    <x v="1"/>
  </r>
  <r>
    <x v="505"/>
    <x v="1"/>
    <x v="5"/>
    <s v="Agent"/>
    <x v="6"/>
    <n v="1"/>
    <n v="4907000"/>
    <n v="0.13636791463589301"/>
    <n v="4238000"/>
    <x v="18"/>
    <x v="0"/>
  </r>
  <r>
    <x v="506"/>
    <x v="0"/>
    <x v="3"/>
    <s v="Mobile App"/>
    <x v="1"/>
    <n v="2"/>
    <n v="2383000"/>
    <n v="5.6641178424408301E-2"/>
    <n v="4496000"/>
    <x v="9"/>
    <x v="1"/>
  </r>
  <r>
    <x v="506"/>
    <x v="0"/>
    <x v="1"/>
    <s v="Website"/>
    <x v="1"/>
    <n v="1"/>
    <n v="2729000"/>
    <n v="7.0961213399315104E-2"/>
    <n v="2535000"/>
    <x v="3"/>
    <x v="1"/>
  </r>
  <r>
    <x v="506"/>
    <x v="2"/>
    <x v="2"/>
    <s v="Website"/>
    <x v="4"/>
    <n v="1"/>
    <n v="4112000"/>
    <n v="1.6756647879440499E-2"/>
    <n v="4043000"/>
    <x v="2"/>
    <x v="1"/>
  </r>
  <r>
    <x v="507"/>
    <x v="3"/>
    <x v="0"/>
    <s v="Website"/>
    <x v="5"/>
    <n v="2"/>
    <n v="2571000"/>
    <n v="0.10604448851893"/>
    <n v="4597000"/>
    <x v="11"/>
    <x v="0"/>
  </r>
  <r>
    <x v="508"/>
    <x v="2"/>
    <x v="4"/>
    <s v="Website"/>
    <x v="5"/>
    <n v="1"/>
    <n v="2552000"/>
    <n v="3.6214820993086497E-2"/>
    <n v="2460000"/>
    <x v="13"/>
    <x v="1"/>
  </r>
  <r>
    <x v="508"/>
    <x v="3"/>
    <x v="2"/>
    <s v="Website"/>
    <x v="8"/>
    <n v="1"/>
    <n v="3393000"/>
    <n v="0.145233414644063"/>
    <n v="2900000"/>
    <x v="17"/>
    <x v="0"/>
  </r>
  <r>
    <x v="509"/>
    <x v="3"/>
    <x v="5"/>
    <s v="Website"/>
    <x v="2"/>
    <n v="3"/>
    <n v="4976000"/>
    <n v="9.9256873154685801E-2"/>
    <n v="13446000"/>
    <x v="0"/>
    <x v="0"/>
  </r>
  <r>
    <x v="509"/>
    <x v="2"/>
    <x v="5"/>
    <s v="Website"/>
    <x v="4"/>
    <n v="2"/>
    <n v="4731000"/>
    <n v="0.108432895804813"/>
    <n v="8436000"/>
    <x v="7"/>
    <x v="0"/>
  </r>
  <r>
    <x v="509"/>
    <x v="3"/>
    <x v="0"/>
    <s v="Mobile App"/>
    <x v="8"/>
    <n v="1"/>
    <n v="2359000"/>
    <n v="6.49066611241777E-2"/>
    <n v="2206000"/>
    <x v="15"/>
    <x v="1"/>
  </r>
  <r>
    <x v="510"/>
    <x v="3"/>
    <x v="0"/>
    <s v="Website"/>
    <x v="9"/>
    <n v="4"/>
    <n v="2626000"/>
    <n v="0.145449480231683"/>
    <n v="8976000"/>
    <x v="0"/>
    <x v="1"/>
  </r>
  <r>
    <x v="510"/>
    <x v="2"/>
    <x v="3"/>
    <s v="Agent"/>
    <x v="3"/>
    <n v="1"/>
    <n v="2359000"/>
    <n v="9.3018053280497906E-2"/>
    <n v="2140000"/>
    <x v="12"/>
    <x v="0"/>
  </r>
  <r>
    <x v="511"/>
    <x v="1"/>
    <x v="0"/>
    <s v="Agent"/>
    <x v="3"/>
    <n v="2"/>
    <n v="2623000"/>
    <n v="9.9429637883838004E-2"/>
    <n v="4724000"/>
    <x v="0"/>
    <x v="1"/>
  </r>
  <r>
    <x v="512"/>
    <x v="1"/>
    <x v="3"/>
    <s v="Agent"/>
    <x v="1"/>
    <n v="3"/>
    <n v="2135000"/>
    <n v="0.13832694015955899"/>
    <n v="5519000"/>
    <x v="5"/>
    <x v="1"/>
  </r>
  <r>
    <x v="512"/>
    <x v="0"/>
    <x v="1"/>
    <s v="Website"/>
    <x v="1"/>
    <n v="1"/>
    <n v="3093000"/>
    <n v="0.13095240644613801"/>
    <n v="2688000"/>
    <x v="1"/>
    <x v="1"/>
  </r>
  <r>
    <x v="512"/>
    <x v="0"/>
    <x v="1"/>
    <s v="Mobile App"/>
    <x v="1"/>
    <n v="1"/>
    <n v="3042000"/>
    <n v="0.141698133585132"/>
    <n v="2611000"/>
    <x v="12"/>
    <x v="1"/>
  </r>
  <r>
    <x v="513"/>
    <x v="1"/>
    <x v="1"/>
    <s v="Mobile App"/>
    <x v="3"/>
    <n v="4"/>
    <n v="3022000"/>
    <n v="8.8637827696862903E-2"/>
    <n v="11017000"/>
    <x v="8"/>
    <x v="1"/>
  </r>
  <r>
    <x v="513"/>
    <x v="1"/>
    <x v="5"/>
    <s v="Website"/>
    <x v="2"/>
    <n v="3"/>
    <n v="5081000"/>
    <n v="0.105495855970009"/>
    <n v="13635000"/>
    <x v="0"/>
    <x v="1"/>
  </r>
  <r>
    <x v="513"/>
    <x v="0"/>
    <x v="0"/>
    <s v="Call Center"/>
    <x v="0"/>
    <n v="1"/>
    <n v="2654000"/>
    <n v="7.8530209310246707E-2"/>
    <n v="2446000"/>
    <x v="13"/>
    <x v="0"/>
  </r>
  <r>
    <x v="513"/>
    <x v="1"/>
    <x v="0"/>
    <s v="Call Center"/>
    <x v="4"/>
    <n v="3"/>
    <n v="2715000"/>
    <n v="3.8346679975200602E-2"/>
    <n v="7833000"/>
    <x v="2"/>
    <x v="1"/>
  </r>
  <r>
    <x v="513"/>
    <x v="2"/>
    <x v="3"/>
    <s v="Website"/>
    <x v="0"/>
    <n v="4"/>
    <n v="2393000"/>
    <n v="0.119426878385175"/>
    <n v="8429000"/>
    <x v="2"/>
    <x v="1"/>
  </r>
  <r>
    <x v="513"/>
    <x v="1"/>
    <x v="1"/>
    <s v="Website"/>
    <x v="3"/>
    <n v="1"/>
    <n v="3279000"/>
    <n v="1.9194187450557398E-2"/>
    <n v="3216000"/>
    <x v="13"/>
    <x v="1"/>
  </r>
  <r>
    <x v="514"/>
    <x v="1"/>
    <x v="3"/>
    <s v="Website"/>
    <x v="2"/>
    <n v="2"/>
    <n v="2592000"/>
    <n v="0.14847324441277299"/>
    <n v="4414000"/>
    <x v="13"/>
    <x v="1"/>
  </r>
  <r>
    <x v="514"/>
    <x v="0"/>
    <x v="1"/>
    <s v="Mobile App"/>
    <x v="8"/>
    <n v="1"/>
    <n v="3285000"/>
    <n v="7.0969385175677802E-2"/>
    <n v="3052000"/>
    <x v="14"/>
    <x v="0"/>
  </r>
  <r>
    <x v="514"/>
    <x v="0"/>
    <x v="0"/>
    <s v="Website"/>
    <x v="5"/>
    <n v="2"/>
    <n v="2543000"/>
    <n v="5.9513373578398802E-2"/>
    <n v="4783000"/>
    <x v="14"/>
    <x v="1"/>
  </r>
  <r>
    <x v="514"/>
    <x v="3"/>
    <x v="1"/>
    <s v="Website"/>
    <x v="9"/>
    <n v="2"/>
    <n v="3544000"/>
    <n v="0.11712867846354499"/>
    <n v="6258000"/>
    <x v="0"/>
    <x v="0"/>
  </r>
  <r>
    <x v="514"/>
    <x v="1"/>
    <x v="0"/>
    <s v="Website"/>
    <x v="2"/>
    <n v="1"/>
    <n v="2806000"/>
    <n v="0.14411167640559699"/>
    <n v="2402000"/>
    <x v="11"/>
    <x v="0"/>
  </r>
  <r>
    <x v="515"/>
    <x v="2"/>
    <x v="2"/>
    <s v="Mobile App"/>
    <x v="4"/>
    <n v="1"/>
    <n v="4038000"/>
    <n v="0.101751166735361"/>
    <n v="3627000"/>
    <x v="5"/>
    <x v="1"/>
  </r>
  <r>
    <x v="516"/>
    <x v="3"/>
    <x v="5"/>
    <s v="Website"/>
    <x v="3"/>
    <n v="2"/>
    <n v="4643000"/>
    <n v="5.16290727946426E-2"/>
    <n v="8807000"/>
    <x v="13"/>
    <x v="0"/>
  </r>
  <r>
    <x v="516"/>
    <x v="3"/>
    <x v="0"/>
    <s v="Website"/>
    <x v="6"/>
    <n v="1"/>
    <n v="2265000"/>
    <n v="0.155943067100387"/>
    <n v="1912000"/>
    <x v="8"/>
    <x v="1"/>
  </r>
  <r>
    <x v="516"/>
    <x v="1"/>
    <x v="2"/>
    <s v="Agent"/>
    <x v="4"/>
    <n v="3"/>
    <n v="3937000"/>
    <n v="4.8323573873910598E-2"/>
    <n v="11240000"/>
    <x v="0"/>
    <x v="1"/>
  </r>
  <r>
    <x v="517"/>
    <x v="3"/>
    <x v="0"/>
    <s v="Agent"/>
    <x v="6"/>
    <n v="1"/>
    <n v="2513000"/>
    <n v="7.2669967248700701E-2"/>
    <n v="2330000"/>
    <x v="6"/>
    <x v="0"/>
  </r>
  <r>
    <x v="517"/>
    <x v="1"/>
    <x v="2"/>
    <s v="Website"/>
    <x v="0"/>
    <n v="2"/>
    <n v="4100000"/>
    <n v="4.9418473620112001E-2"/>
    <n v="7795000"/>
    <x v="8"/>
    <x v="1"/>
  </r>
  <r>
    <x v="517"/>
    <x v="1"/>
    <x v="3"/>
    <s v="Agent"/>
    <x v="0"/>
    <n v="2"/>
    <n v="2495000"/>
    <n v="0.14790666737628499"/>
    <n v="4252000"/>
    <x v="1"/>
    <x v="1"/>
  </r>
  <r>
    <x v="518"/>
    <x v="3"/>
    <x v="3"/>
    <s v="Website"/>
    <x v="2"/>
    <n v="3"/>
    <n v="2486000"/>
    <n v="6.0694164943602497E-2"/>
    <n v="7005000"/>
    <x v="0"/>
    <x v="1"/>
  </r>
  <r>
    <x v="518"/>
    <x v="3"/>
    <x v="0"/>
    <s v="Agent"/>
    <x v="1"/>
    <n v="3"/>
    <n v="2584000"/>
    <n v="5.5E-2"/>
    <n v="7329000"/>
    <x v="14"/>
    <x v="1"/>
  </r>
  <r>
    <x v="518"/>
    <x v="3"/>
    <x v="2"/>
    <s v="Mobile App"/>
    <x v="5"/>
    <n v="2"/>
    <n v="3893000"/>
    <n v="9.1728158448028799E-2"/>
    <n v="7072000"/>
    <x v="1"/>
    <x v="0"/>
  </r>
  <r>
    <x v="519"/>
    <x v="0"/>
    <x v="4"/>
    <s v="Website"/>
    <x v="5"/>
    <n v="1"/>
    <n v="2593000"/>
    <n v="0.10531767738055201"/>
    <n v="2320000"/>
    <x v="20"/>
    <x v="0"/>
  </r>
  <r>
    <x v="519"/>
    <x v="3"/>
    <x v="4"/>
    <s v="Website"/>
    <x v="5"/>
    <n v="4"/>
    <n v="2647000"/>
    <n v="0.17373681921190801"/>
    <n v="8748000"/>
    <x v="4"/>
    <x v="1"/>
  </r>
  <r>
    <x v="520"/>
    <x v="1"/>
    <x v="0"/>
    <s v="Mobile App"/>
    <x v="5"/>
    <n v="2"/>
    <n v="2491000"/>
    <n v="6.5413331697152202E-2"/>
    <n v="4656000"/>
    <x v="15"/>
    <x v="1"/>
  </r>
  <r>
    <x v="520"/>
    <x v="1"/>
    <x v="5"/>
    <s v="Agent"/>
    <x v="1"/>
    <n v="1"/>
    <n v="4566000"/>
    <n v="0.11369091108700501"/>
    <n v="4047000"/>
    <x v="6"/>
    <x v="1"/>
  </r>
  <r>
    <x v="521"/>
    <x v="1"/>
    <x v="5"/>
    <s v="Call Center"/>
    <x v="2"/>
    <n v="3"/>
    <n v="4729000"/>
    <n v="0.14474670415869101"/>
    <n v="12133000"/>
    <x v="4"/>
    <x v="1"/>
  </r>
  <r>
    <x v="521"/>
    <x v="3"/>
    <x v="5"/>
    <s v="Agent"/>
    <x v="9"/>
    <n v="4"/>
    <n v="5355000"/>
    <n v="5.3947709769190097E-2"/>
    <n v="20264000"/>
    <x v="4"/>
    <x v="1"/>
  </r>
  <r>
    <x v="521"/>
    <x v="2"/>
    <x v="2"/>
    <s v="Agent"/>
    <x v="5"/>
    <n v="1"/>
    <n v="4048000"/>
    <n v="0.12873801808042001"/>
    <n v="3527000"/>
    <x v="0"/>
    <x v="1"/>
  </r>
  <r>
    <x v="521"/>
    <x v="0"/>
    <x v="2"/>
    <s v="Website"/>
    <x v="9"/>
    <n v="1"/>
    <n v="4013000"/>
    <n v="0.105505970297726"/>
    <n v="3590000"/>
    <x v="17"/>
    <x v="0"/>
  </r>
  <r>
    <x v="521"/>
    <x v="1"/>
    <x v="0"/>
    <s v="Agent"/>
    <x v="2"/>
    <n v="4"/>
    <n v="3335000"/>
    <n v="0.13471839538004199"/>
    <n v="11543000"/>
    <x v="9"/>
    <x v="1"/>
  </r>
  <r>
    <x v="522"/>
    <x v="2"/>
    <x v="2"/>
    <s v="Agent"/>
    <x v="2"/>
    <n v="1"/>
    <n v="4222000"/>
    <n v="0.152805924583238"/>
    <n v="3577000"/>
    <x v="2"/>
    <x v="1"/>
  </r>
  <r>
    <x v="523"/>
    <x v="1"/>
    <x v="0"/>
    <s v="Website"/>
    <x v="9"/>
    <n v="3"/>
    <n v="2705000"/>
    <n v="0.11082514341449"/>
    <n v="7216000"/>
    <x v="17"/>
    <x v="1"/>
  </r>
  <r>
    <x v="523"/>
    <x v="1"/>
    <x v="5"/>
    <s v="Agent"/>
    <x v="2"/>
    <n v="3"/>
    <n v="4708000"/>
    <n v="9.0905437327957306E-2"/>
    <n v="12840000"/>
    <x v="2"/>
    <x v="1"/>
  </r>
  <r>
    <x v="524"/>
    <x v="0"/>
    <x v="1"/>
    <s v="Website"/>
    <x v="4"/>
    <n v="5"/>
    <n v="2713000"/>
    <n v="7.2911674394815204E-2"/>
    <n v="12576000"/>
    <x v="17"/>
    <x v="1"/>
  </r>
  <r>
    <x v="525"/>
    <x v="2"/>
    <x v="0"/>
    <s v="Agent"/>
    <x v="4"/>
    <n v="1"/>
    <n v="2449000"/>
    <n v="2.8760942812680199E-2"/>
    <n v="2379000"/>
    <x v="8"/>
    <x v="1"/>
  </r>
  <r>
    <x v="526"/>
    <x v="0"/>
    <x v="3"/>
    <s v="Agent"/>
    <x v="0"/>
    <n v="1"/>
    <n v="2396000"/>
    <n v="7.4072315344032497E-2"/>
    <n v="2219000"/>
    <x v="13"/>
    <x v="0"/>
  </r>
  <r>
    <x v="526"/>
    <x v="0"/>
    <x v="2"/>
    <s v="Mobile App"/>
    <x v="0"/>
    <n v="1"/>
    <n v="4320000"/>
    <n v="3.2529042302431699E-2"/>
    <n v="4179000"/>
    <x v="6"/>
    <x v="1"/>
  </r>
  <r>
    <x v="527"/>
    <x v="2"/>
    <x v="0"/>
    <s v="Mobile App"/>
    <x v="5"/>
    <n v="1"/>
    <n v="2521000"/>
    <n v="5.4922712174741803E-2"/>
    <n v="2383000"/>
    <x v="18"/>
    <x v="1"/>
  </r>
  <r>
    <x v="527"/>
    <x v="2"/>
    <x v="0"/>
    <s v="Website"/>
    <x v="1"/>
    <n v="2"/>
    <n v="2490000"/>
    <n v="0.11039585019831299"/>
    <n v="4430000"/>
    <x v="3"/>
    <x v="0"/>
  </r>
  <r>
    <x v="527"/>
    <x v="3"/>
    <x v="5"/>
    <s v="Agent"/>
    <x v="7"/>
    <n v="1"/>
    <n v="4736000"/>
    <n v="0.100719854621483"/>
    <n v="4259000"/>
    <x v="19"/>
    <x v="0"/>
  </r>
  <r>
    <x v="528"/>
    <x v="2"/>
    <x v="2"/>
    <s v="Website"/>
    <x v="9"/>
    <n v="1"/>
    <n v="4016000"/>
    <n v="0.16871793561211301"/>
    <n v="3338000"/>
    <x v="14"/>
    <x v="0"/>
  </r>
  <r>
    <x v="528"/>
    <x v="0"/>
    <x v="3"/>
    <s v="Mobile App"/>
    <x v="7"/>
    <n v="1"/>
    <n v="1906000"/>
    <n v="0.12376460043366699"/>
    <n v="1670000"/>
    <x v="2"/>
    <x v="0"/>
  </r>
  <r>
    <x v="528"/>
    <x v="1"/>
    <x v="0"/>
    <s v="Agent"/>
    <x v="3"/>
    <n v="1"/>
    <n v="2499000"/>
    <n v="0.10537140966556401"/>
    <n v="2236000"/>
    <x v="12"/>
    <x v="1"/>
  </r>
  <r>
    <x v="529"/>
    <x v="2"/>
    <x v="2"/>
    <s v="Website"/>
    <x v="1"/>
    <n v="2"/>
    <n v="3015000"/>
    <n v="0.137681052135674"/>
    <n v="5200000"/>
    <x v="1"/>
    <x v="1"/>
  </r>
  <r>
    <x v="529"/>
    <x v="3"/>
    <x v="5"/>
    <s v="Website"/>
    <x v="3"/>
    <n v="4"/>
    <n v="4334000"/>
    <n v="0.11433043454731601"/>
    <n v="15354000"/>
    <x v="2"/>
    <x v="1"/>
  </r>
  <r>
    <x v="529"/>
    <x v="0"/>
    <x v="4"/>
    <s v="Website"/>
    <x v="7"/>
    <n v="2"/>
    <n v="2511000"/>
    <n v="0.11964739184772299"/>
    <n v="4421000"/>
    <x v="0"/>
    <x v="0"/>
  </r>
  <r>
    <x v="530"/>
    <x v="1"/>
    <x v="1"/>
    <s v="Website"/>
    <x v="2"/>
    <n v="3"/>
    <n v="3579000"/>
    <n v="0.19452297382372"/>
    <n v="8648000"/>
    <x v="12"/>
    <x v="0"/>
  </r>
  <r>
    <x v="530"/>
    <x v="3"/>
    <x v="4"/>
    <s v="Agent"/>
    <x v="2"/>
    <n v="2"/>
    <n v="3076000"/>
    <n v="5.9627778233163002E-2"/>
    <n v="5785000"/>
    <x v="0"/>
    <x v="1"/>
  </r>
  <r>
    <x v="530"/>
    <x v="1"/>
    <x v="0"/>
    <s v="Website"/>
    <x v="0"/>
    <n v="2"/>
    <n v="2652000"/>
    <n v="0.107057832603398"/>
    <n v="4736000"/>
    <x v="7"/>
    <x v="1"/>
  </r>
  <r>
    <x v="530"/>
    <x v="0"/>
    <x v="0"/>
    <s v="Agent"/>
    <x v="2"/>
    <n v="4"/>
    <n v="2973000"/>
    <n v="0.115564270616036"/>
    <n v="10518000"/>
    <x v="4"/>
    <x v="0"/>
  </r>
  <r>
    <x v="530"/>
    <x v="0"/>
    <x v="1"/>
    <s v="Mobile App"/>
    <x v="4"/>
    <n v="3"/>
    <n v="2521000"/>
    <n v="7.7272937778130199E-2"/>
    <n v="6979000"/>
    <x v="15"/>
    <x v="1"/>
  </r>
  <r>
    <x v="531"/>
    <x v="3"/>
    <x v="1"/>
    <s v="Mobile App"/>
    <x v="2"/>
    <n v="3"/>
    <n v="3670000"/>
    <n v="0.17061327309708199"/>
    <n v="9132000"/>
    <x v="15"/>
    <x v="1"/>
  </r>
  <r>
    <x v="531"/>
    <x v="0"/>
    <x v="1"/>
    <s v="Website"/>
    <x v="0"/>
    <n v="1"/>
    <n v="3535000"/>
    <n v="0.18269395841338301"/>
    <n v="2889000"/>
    <x v="3"/>
    <x v="1"/>
  </r>
  <r>
    <x v="532"/>
    <x v="3"/>
    <x v="2"/>
    <s v="Website"/>
    <x v="5"/>
    <n v="1"/>
    <n v="3723000"/>
    <n v="0.114483856240887"/>
    <n v="3297000"/>
    <x v="6"/>
    <x v="0"/>
  </r>
  <r>
    <x v="533"/>
    <x v="1"/>
    <x v="5"/>
    <s v="Call Center"/>
    <x v="3"/>
    <n v="1"/>
    <n v="4708000"/>
    <n v="9.5132674148269702E-2"/>
    <n v="4260000"/>
    <x v="6"/>
    <x v="0"/>
  </r>
  <r>
    <x v="533"/>
    <x v="1"/>
    <x v="1"/>
    <s v="Agent"/>
    <x v="6"/>
    <n v="4"/>
    <n v="2990000"/>
    <n v="1.11571892213959E-2"/>
    <n v="11827000"/>
    <x v="15"/>
    <x v="1"/>
  </r>
  <r>
    <x v="534"/>
    <x v="3"/>
    <x v="4"/>
    <s v="Website"/>
    <x v="8"/>
    <n v="2"/>
    <n v="2396000"/>
    <n v="0.10843746909995"/>
    <n v="4272000"/>
    <x v="1"/>
    <x v="1"/>
  </r>
  <r>
    <x v="534"/>
    <x v="3"/>
    <x v="3"/>
    <s v="Agent"/>
    <x v="8"/>
    <n v="4"/>
    <n v="2229000"/>
    <n v="7.3485509476229102E-2"/>
    <n v="8261000"/>
    <x v="4"/>
    <x v="1"/>
  </r>
  <r>
    <x v="535"/>
    <x v="1"/>
    <x v="2"/>
    <s v="Mobile App"/>
    <x v="9"/>
    <n v="1"/>
    <n v="4105000"/>
    <n v="9.7553758420279007E-3"/>
    <n v="4065000"/>
    <x v="2"/>
    <x v="0"/>
  </r>
  <r>
    <x v="536"/>
    <x v="3"/>
    <x v="2"/>
    <s v="Website"/>
    <x v="2"/>
    <n v="1"/>
    <n v="4101000"/>
    <n v="7.6724762107631295E-2"/>
    <n v="3786000"/>
    <x v="6"/>
    <x v="1"/>
  </r>
  <r>
    <x v="536"/>
    <x v="1"/>
    <x v="5"/>
    <s v="Mobile App"/>
    <x v="0"/>
    <n v="3"/>
    <n v="5485000"/>
    <n v="0.12399576027923"/>
    <n v="14415000"/>
    <x v="8"/>
    <x v="0"/>
  </r>
  <r>
    <x v="536"/>
    <x v="1"/>
    <x v="1"/>
    <s v="Agent"/>
    <x v="2"/>
    <n v="1"/>
    <n v="3803000"/>
    <n v="7.7165126508507903E-2"/>
    <n v="3510000"/>
    <x v="14"/>
    <x v="1"/>
  </r>
  <r>
    <x v="537"/>
    <x v="2"/>
    <x v="0"/>
    <s v="Mobile App"/>
    <x v="2"/>
    <n v="2"/>
    <n v="3259000"/>
    <n v="0.100597734544303"/>
    <n v="5862000"/>
    <x v="2"/>
    <x v="1"/>
  </r>
  <r>
    <x v="538"/>
    <x v="3"/>
    <x v="0"/>
    <s v="Website"/>
    <x v="2"/>
    <n v="3"/>
    <n v="3443000"/>
    <n v="0.18354890304168001"/>
    <n v="8433000"/>
    <x v="3"/>
    <x v="1"/>
  </r>
  <r>
    <x v="539"/>
    <x v="1"/>
    <x v="3"/>
    <s v="Website"/>
    <x v="0"/>
    <n v="3"/>
    <n v="2589000"/>
    <n v="8.2871435023286602E-2"/>
    <n v="7123000"/>
    <x v="15"/>
    <x v="1"/>
  </r>
  <r>
    <x v="540"/>
    <x v="0"/>
    <x v="2"/>
    <s v="Mobile App"/>
    <x v="5"/>
    <n v="3"/>
    <n v="3803000"/>
    <n v="0.10100000000000001"/>
    <n v="10252000"/>
    <x v="8"/>
    <x v="1"/>
  </r>
  <r>
    <x v="540"/>
    <x v="1"/>
    <x v="2"/>
    <s v="Website"/>
    <x v="4"/>
    <n v="1"/>
    <n v="4112000"/>
    <n v="0.107530477605428"/>
    <n v="3670000"/>
    <x v="0"/>
    <x v="1"/>
  </r>
  <r>
    <x v="541"/>
    <x v="1"/>
    <x v="1"/>
    <s v="Website"/>
    <x v="4"/>
    <n v="4"/>
    <n v="2853000"/>
    <n v="0.122734374927861"/>
    <n v="10011000"/>
    <x v="7"/>
    <x v="0"/>
  </r>
  <r>
    <x v="541"/>
    <x v="0"/>
    <x v="2"/>
    <s v="Website"/>
    <x v="4"/>
    <n v="1"/>
    <n v="4541000"/>
    <n v="6.2669982771096699E-2"/>
    <n v="4256000"/>
    <x v="12"/>
    <x v="1"/>
  </r>
  <r>
    <x v="542"/>
    <x v="1"/>
    <x v="2"/>
    <s v="Website"/>
    <x v="0"/>
    <n v="3"/>
    <n v="4365000"/>
    <n v="0.15319154165468701"/>
    <n v="11089000"/>
    <x v="4"/>
    <x v="1"/>
  </r>
  <r>
    <x v="542"/>
    <x v="1"/>
    <x v="2"/>
    <s v="Website"/>
    <x v="1"/>
    <n v="3"/>
    <n v="3172000"/>
    <n v="0.17100000000000001"/>
    <n v="7892000"/>
    <x v="2"/>
    <x v="1"/>
  </r>
  <r>
    <x v="542"/>
    <x v="2"/>
    <x v="2"/>
    <s v="Website"/>
    <x v="5"/>
    <n v="2"/>
    <n v="4097000"/>
    <n v="5.4357648432563299E-2"/>
    <n v="7749000"/>
    <x v="0"/>
    <x v="1"/>
  </r>
  <r>
    <x v="542"/>
    <x v="2"/>
    <x v="0"/>
    <s v="Website"/>
    <x v="7"/>
    <n v="2"/>
    <n v="2240000"/>
    <n v="0.139406716030821"/>
    <n v="3855000"/>
    <x v="2"/>
    <x v="1"/>
  </r>
  <r>
    <x v="543"/>
    <x v="1"/>
    <x v="0"/>
    <s v="Website"/>
    <x v="3"/>
    <n v="1"/>
    <n v="2856000"/>
    <n v="0.153500811009469"/>
    <n v="2418000"/>
    <x v="2"/>
    <x v="1"/>
  </r>
  <r>
    <x v="544"/>
    <x v="1"/>
    <x v="2"/>
    <s v="Website"/>
    <x v="5"/>
    <n v="2"/>
    <n v="4130000"/>
    <n v="7.9495958611926501E-2"/>
    <n v="7603000"/>
    <x v="6"/>
    <x v="0"/>
  </r>
  <r>
    <x v="544"/>
    <x v="1"/>
    <x v="3"/>
    <s v="Website"/>
    <x v="9"/>
    <n v="4"/>
    <n v="2627000"/>
    <n v="0.14486039281909399"/>
    <n v="8986000"/>
    <x v="2"/>
    <x v="1"/>
  </r>
  <r>
    <x v="544"/>
    <x v="3"/>
    <x v="0"/>
    <s v="Website"/>
    <x v="9"/>
    <n v="2"/>
    <n v="2402000"/>
    <n v="3.4437458607415303E-2"/>
    <n v="4639000"/>
    <x v="12"/>
    <x v="0"/>
  </r>
  <r>
    <x v="544"/>
    <x v="0"/>
    <x v="5"/>
    <s v="Mobile App"/>
    <x v="9"/>
    <n v="1"/>
    <n v="3455000"/>
    <n v="0.13142154419045801"/>
    <n v="3001000"/>
    <x v="13"/>
    <x v="0"/>
  </r>
  <r>
    <x v="544"/>
    <x v="0"/>
    <x v="4"/>
    <s v="Mobile App"/>
    <x v="5"/>
    <n v="1"/>
    <n v="2703000"/>
    <n v="3.9180333137494701E-2"/>
    <n v="2597000"/>
    <x v="7"/>
    <x v="0"/>
  </r>
  <r>
    <x v="545"/>
    <x v="0"/>
    <x v="3"/>
    <s v="Mobile App"/>
    <x v="2"/>
    <n v="2"/>
    <n v="2345000"/>
    <n v="7.81813383485227E-2"/>
    <n v="4323000"/>
    <x v="16"/>
    <x v="0"/>
  </r>
  <r>
    <x v="545"/>
    <x v="1"/>
    <x v="2"/>
    <s v="Mobile App"/>
    <x v="7"/>
    <n v="1"/>
    <n v="3340000"/>
    <n v="3.9196094181905103E-2"/>
    <n v="3209000"/>
    <x v="8"/>
    <x v="1"/>
  </r>
  <r>
    <x v="545"/>
    <x v="1"/>
    <x v="1"/>
    <s v="Agent"/>
    <x v="0"/>
    <n v="3"/>
    <n v="3496000"/>
    <n v="0.104243093211808"/>
    <n v="9395000"/>
    <x v="14"/>
    <x v="0"/>
  </r>
  <r>
    <x v="545"/>
    <x v="1"/>
    <x v="4"/>
    <s v="Website"/>
    <x v="1"/>
    <n v="4"/>
    <n v="2390000"/>
    <n v="2.0854890390379901E-3"/>
    <n v="9540000"/>
    <x v="4"/>
    <x v="1"/>
  </r>
  <r>
    <x v="546"/>
    <x v="1"/>
    <x v="1"/>
    <s v="Mobile App"/>
    <x v="2"/>
    <n v="2"/>
    <n v="3533000"/>
    <n v="0.112027741059648"/>
    <n v="6274000"/>
    <x v="14"/>
    <x v="0"/>
  </r>
  <r>
    <x v="547"/>
    <x v="0"/>
    <x v="1"/>
    <s v="Agent"/>
    <x v="8"/>
    <n v="1"/>
    <n v="3250000"/>
    <n v="0.14908997456185799"/>
    <n v="2765000"/>
    <x v="9"/>
    <x v="1"/>
  </r>
  <r>
    <x v="547"/>
    <x v="0"/>
    <x v="2"/>
    <s v="Website"/>
    <x v="2"/>
    <n v="3"/>
    <n v="4174000"/>
    <n v="0.16400000000000001"/>
    <n v="10469000"/>
    <x v="15"/>
    <x v="1"/>
  </r>
  <r>
    <x v="548"/>
    <x v="0"/>
    <x v="4"/>
    <s v="Mobile App"/>
    <x v="5"/>
    <n v="2"/>
    <n v="2399000"/>
    <n v="8.5978321122212903E-2"/>
    <n v="4385000"/>
    <x v="8"/>
    <x v="0"/>
  </r>
  <r>
    <x v="549"/>
    <x v="2"/>
    <x v="3"/>
    <s v="Website"/>
    <x v="5"/>
    <n v="4"/>
    <n v="2133000"/>
    <n v="3.2954102677427197E-2"/>
    <n v="8251000"/>
    <x v="2"/>
    <x v="1"/>
  </r>
  <r>
    <x v="549"/>
    <x v="2"/>
    <x v="5"/>
    <s v="Website"/>
    <x v="9"/>
    <n v="4"/>
    <n v="5601000"/>
    <n v="0.100227306529985"/>
    <n v="20159000"/>
    <x v="13"/>
    <x v="1"/>
  </r>
  <r>
    <x v="550"/>
    <x v="3"/>
    <x v="2"/>
    <s v="Website"/>
    <x v="8"/>
    <n v="2"/>
    <n v="3482000"/>
    <n v="7.4813613104725896E-2"/>
    <n v="6443000"/>
    <x v="6"/>
    <x v="1"/>
  </r>
  <r>
    <x v="550"/>
    <x v="0"/>
    <x v="2"/>
    <s v="Website"/>
    <x v="6"/>
    <n v="2"/>
    <n v="3847000"/>
    <n v="0.121465754028535"/>
    <n v="6759000"/>
    <x v="2"/>
    <x v="1"/>
  </r>
  <r>
    <x v="550"/>
    <x v="3"/>
    <x v="2"/>
    <s v="Mobile App"/>
    <x v="2"/>
    <n v="1"/>
    <n v="4544000"/>
    <n v="0.10270820330291"/>
    <n v="4077000"/>
    <x v="6"/>
    <x v="0"/>
  </r>
  <r>
    <x v="551"/>
    <x v="3"/>
    <x v="0"/>
    <s v="Agent"/>
    <x v="8"/>
    <n v="2"/>
    <n v="2211000"/>
    <n v="0.12979601533830201"/>
    <n v="3848000"/>
    <x v="17"/>
    <x v="0"/>
  </r>
  <r>
    <x v="551"/>
    <x v="1"/>
    <x v="2"/>
    <s v="Website"/>
    <x v="7"/>
    <n v="1"/>
    <n v="3337000"/>
    <n v="7.5315729186966399E-2"/>
    <n v="3086000"/>
    <x v="2"/>
    <x v="1"/>
  </r>
  <r>
    <x v="552"/>
    <x v="0"/>
    <x v="1"/>
    <s v="Website"/>
    <x v="3"/>
    <n v="1"/>
    <n v="3124000"/>
    <n v="9.5519209973466995E-2"/>
    <n v="2826000"/>
    <x v="13"/>
    <x v="1"/>
  </r>
  <r>
    <x v="552"/>
    <x v="3"/>
    <x v="2"/>
    <s v="Website"/>
    <x v="1"/>
    <n v="1"/>
    <n v="3177000"/>
    <n v="0.106918609046925"/>
    <n v="2837000"/>
    <x v="3"/>
    <x v="1"/>
  </r>
  <r>
    <x v="552"/>
    <x v="3"/>
    <x v="0"/>
    <s v="Website"/>
    <x v="0"/>
    <n v="4"/>
    <n v="2573000"/>
    <n v="0.112"/>
    <n v="9140000"/>
    <x v="9"/>
    <x v="1"/>
  </r>
  <r>
    <x v="553"/>
    <x v="3"/>
    <x v="2"/>
    <s v="Website"/>
    <x v="0"/>
    <n v="3"/>
    <n v="4570000"/>
    <n v="0.15732887071063401"/>
    <n v="11553000"/>
    <x v="0"/>
    <x v="0"/>
  </r>
  <r>
    <x v="553"/>
    <x v="3"/>
    <x v="1"/>
    <s v="Mobile App"/>
    <x v="0"/>
    <n v="4"/>
    <n v="3413000"/>
    <n v="7.4585270732234102E-2"/>
    <n v="12634000"/>
    <x v="2"/>
    <x v="1"/>
  </r>
  <r>
    <x v="554"/>
    <x v="1"/>
    <x v="3"/>
    <s v="Agent"/>
    <x v="0"/>
    <n v="1"/>
    <n v="2546000"/>
    <n v="0.17203666824981501"/>
    <n v="2108000"/>
    <x v="13"/>
    <x v="1"/>
  </r>
  <r>
    <x v="554"/>
    <x v="0"/>
    <x v="5"/>
    <s v="Agent"/>
    <x v="0"/>
    <n v="2"/>
    <n v="5081000"/>
    <n v="0.108320221120688"/>
    <n v="9061000"/>
    <x v="18"/>
    <x v="1"/>
  </r>
  <r>
    <x v="555"/>
    <x v="0"/>
    <x v="4"/>
    <s v="Mobile App"/>
    <x v="4"/>
    <n v="1"/>
    <n v="1990000"/>
    <n v="5.3346621176091E-2"/>
    <n v="1884000"/>
    <x v="1"/>
    <x v="0"/>
  </r>
  <r>
    <x v="556"/>
    <x v="0"/>
    <x v="5"/>
    <s v="Mobile App"/>
    <x v="0"/>
    <n v="1"/>
    <n v="5463000"/>
    <n v="0.115"/>
    <n v="4835000"/>
    <x v="11"/>
    <x v="0"/>
  </r>
  <r>
    <x v="556"/>
    <x v="0"/>
    <x v="2"/>
    <s v="Mobile App"/>
    <x v="6"/>
    <n v="3"/>
    <n v="3736000"/>
    <n v="9.2302720562217805E-2"/>
    <n v="10173000"/>
    <x v="1"/>
    <x v="1"/>
  </r>
  <r>
    <x v="556"/>
    <x v="0"/>
    <x v="2"/>
    <s v="Agent"/>
    <x v="0"/>
    <n v="1"/>
    <n v="3963000"/>
    <n v="0.11602720991141"/>
    <n v="3503000"/>
    <x v="6"/>
    <x v="1"/>
  </r>
  <r>
    <x v="556"/>
    <x v="0"/>
    <x v="5"/>
    <s v="Mobile App"/>
    <x v="0"/>
    <n v="1"/>
    <n v="5117000"/>
    <n v="0.14979221417949401"/>
    <n v="4351000"/>
    <x v="11"/>
    <x v="1"/>
  </r>
  <r>
    <x v="556"/>
    <x v="0"/>
    <x v="3"/>
    <s v="Mobile App"/>
    <x v="7"/>
    <n v="2"/>
    <n v="1973000"/>
    <n v="2.4E-2"/>
    <n v="3853000"/>
    <x v="4"/>
    <x v="1"/>
  </r>
  <r>
    <x v="557"/>
    <x v="1"/>
    <x v="4"/>
    <s v="Agent"/>
    <x v="8"/>
    <n v="1"/>
    <n v="2385000"/>
    <n v="7.0785833435562995E-2"/>
    <n v="2216000"/>
    <x v="5"/>
    <x v="1"/>
  </r>
  <r>
    <x v="558"/>
    <x v="2"/>
    <x v="0"/>
    <s v="Mobile App"/>
    <x v="4"/>
    <n v="3"/>
    <n v="2629000"/>
    <n v="6.6503663681898903E-2"/>
    <n v="7362000"/>
    <x v="13"/>
    <x v="1"/>
  </r>
  <r>
    <x v="559"/>
    <x v="0"/>
    <x v="0"/>
    <s v="Agent"/>
    <x v="0"/>
    <n v="1"/>
    <n v="2722000"/>
    <n v="0"/>
    <n v="2722000"/>
    <x v="8"/>
    <x v="1"/>
  </r>
  <r>
    <x v="560"/>
    <x v="3"/>
    <x v="1"/>
    <s v="Website"/>
    <x v="8"/>
    <n v="1"/>
    <n v="3261000"/>
    <n v="8.86843788426456E-2"/>
    <n v="2972000"/>
    <x v="3"/>
    <x v="1"/>
  </r>
  <r>
    <x v="560"/>
    <x v="2"/>
    <x v="1"/>
    <s v="Website"/>
    <x v="0"/>
    <n v="1"/>
    <n v="3325000"/>
    <n v="7.8238291045460095E-2"/>
    <n v="3065000"/>
    <x v="4"/>
    <x v="0"/>
  </r>
  <r>
    <x v="561"/>
    <x v="3"/>
    <x v="5"/>
    <s v="Agent"/>
    <x v="6"/>
    <n v="2"/>
    <n v="4511000"/>
    <n v="9.4185234010262894E-2"/>
    <n v="8172000"/>
    <x v="2"/>
    <x v="0"/>
  </r>
  <r>
    <x v="562"/>
    <x v="1"/>
    <x v="0"/>
    <s v="Agent"/>
    <x v="2"/>
    <n v="1"/>
    <n v="3248000"/>
    <n v="0.17542832116107901"/>
    <n v="2678000"/>
    <x v="4"/>
    <x v="1"/>
  </r>
  <r>
    <x v="562"/>
    <x v="3"/>
    <x v="2"/>
    <s v="Website"/>
    <x v="4"/>
    <n v="3"/>
    <n v="3780000"/>
    <n v="9.4651124688166596E-2"/>
    <n v="10267000"/>
    <x v="14"/>
    <x v="1"/>
  </r>
  <r>
    <x v="562"/>
    <x v="0"/>
    <x v="2"/>
    <s v="Website"/>
    <x v="4"/>
    <n v="5"/>
    <n v="2994000"/>
    <n v="0.16055505159137701"/>
    <n v="12566000"/>
    <x v="0"/>
    <x v="0"/>
  </r>
  <r>
    <x v="562"/>
    <x v="1"/>
    <x v="0"/>
    <s v="Website"/>
    <x v="3"/>
    <n v="3"/>
    <n v="2526000"/>
    <n v="0.13092736607446001"/>
    <n v="6586000"/>
    <x v="2"/>
    <x v="1"/>
  </r>
  <r>
    <x v="562"/>
    <x v="1"/>
    <x v="3"/>
    <s v="Website"/>
    <x v="5"/>
    <n v="2"/>
    <n v="2105000"/>
    <n v="0.141864398639199"/>
    <n v="3613000"/>
    <x v="3"/>
    <x v="1"/>
  </r>
  <r>
    <x v="563"/>
    <x v="3"/>
    <x v="1"/>
    <s v="Website"/>
    <x v="1"/>
    <n v="3"/>
    <n v="2863000"/>
    <n v="9.7313038186523704E-2"/>
    <n v="7753000"/>
    <x v="14"/>
    <x v="0"/>
  </r>
  <r>
    <x v="563"/>
    <x v="3"/>
    <x v="2"/>
    <s v="Website"/>
    <x v="8"/>
    <n v="4"/>
    <n v="3588000"/>
    <n v="0.10728997329014101"/>
    <n v="12812000"/>
    <x v="12"/>
    <x v="1"/>
  </r>
  <r>
    <x v="563"/>
    <x v="1"/>
    <x v="2"/>
    <s v="Mobile App"/>
    <x v="5"/>
    <n v="1"/>
    <n v="4400000"/>
    <n v="6.8111124066404793E-2"/>
    <n v="4100000"/>
    <x v="1"/>
    <x v="0"/>
  </r>
  <r>
    <x v="563"/>
    <x v="2"/>
    <x v="0"/>
    <s v="Agent"/>
    <x v="1"/>
    <n v="1"/>
    <n v="2381000"/>
    <n v="3.3378544396675598E-2"/>
    <n v="2302000"/>
    <x v="8"/>
    <x v="0"/>
  </r>
  <r>
    <x v="563"/>
    <x v="3"/>
    <x v="0"/>
    <s v="Agent"/>
    <x v="5"/>
    <n v="4"/>
    <n v="2504000"/>
    <n v="7.0400556171078904E-2"/>
    <n v="9311000"/>
    <x v="0"/>
    <x v="1"/>
  </r>
  <r>
    <x v="563"/>
    <x v="3"/>
    <x v="1"/>
    <s v="Mobile App"/>
    <x v="5"/>
    <n v="1"/>
    <n v="3311000"/>
    <n v="0.144986465210936"/>
    <n v="2831000"/>
    <x v="15"/>
    <x v="1"/>
  </r>
  <r>
    <x v="563"/>
    <x v="3"/>
    <x v="5"/>
    <s v="Agent"/>
    <x v="5"/>
    <n v="1"/>
    <n v="5112000"/>
    <n v="0.111345237050177"/>
    <n v="4543000"/>
    <x v="5"/>
    <x v="1"/>
  </r>
  <r>
    <x v="563"/>
    <x v="2"/>
    <x v="2"/>
    <s v="Website"/>
    <x v="9"/>
    <n v="2"/>
    <n v="3948000"/>
    <n v="0.126848663750532"/>
    <n v="6894000"/>
    <x v="17"/>
    <x v="1"/>
  </r>
  <r>
    <x v="563"/>
    <x v="3"/>
    <x v="2"/>
    <s v="Mobile App"/>
    <x v="2"/>
    <n v="2"/>
    <n v="4103000"/>
    <n v="0.122059188194773"/>
    <n v="7204000"/>
    <x v="1"/>
    <x v="1"/>
  </r>
  <r>
    <x v="564"/>
    <x v="3"/>
    <x v="2"/>
    <s v="Mobile App"/>
    <x v="6"/>
    <n v="1"/>
    <n v="3833000"/>
    <n v="5.8000000000000003E-2"/>
    <n v="3610000"/>
    <x v="0"/>
    <x v="1"/>
  </r>
  <r>
    <x v="564"/>
    <x v="1"/>
    <x v="0"/>
    <s v="Website"/>
    <x v="9"/>
    <n v="4"/>
    <n v="2576000"/>
    <n v="9.61495397975132E-2"/>
    <n v="9313000"/>
    <x v="15"/>
    <x v="1"/>
  </r>
  <r>
    <x v="564"/>
    <x v="1"/>
    <x v="0"/>
    <s v="Mobile App"/>
    <x v="5"/>
    <n v="1"/>
    <n v="2412000"/>
    <n v="0.11109133729882199"/>
    <n v="2144000"/>
    <x v="4"/>
    <x v="1"/>
  </r>
  <r>
    <x v="565"/>
    <x v="1"/>
    <x v="0"/>
    <s v="Agent"/>
    <x v="6"/>
    <n v="1"/>
    <n v="2260000"/>
    <n v="0.107540956006065"/>
    <n v="2017000"/>
    <x v="2"/>
    <x v="0"/>
  </r>
  <r>
    <x v="565"/>
    <x v="2"/>
    <x v="2"/>
    <s v="Website"/>
    <x v="9"/>
    <n v="1"/>
    <n v="3702000"/>
    <n v="8.8258550714436904E-2"/>
    <n v="3375000"/>
    <x v="6"/>
    <x v="1"/>
  </r>
  <r>
    <x v="566"/>
    <x v="2"/>
    <x v="2"/>
    <s v="Agent"/>
    <x v="4"/>
    <n v="1"/>
    <n v="4202000"/>
    <n v="0.117255480173879"/>
    <n v="3709000"/>
    <x v="0"/>
    <x v="1"/>
  </r>
  <r>
    <x v="567"/>
    <x v="3"/>
    <x v="3"/>
    <s v="Mobile App"/>
    <x v="6"/>
    <n v="3"/>
    <n v="2095000"/>
    <n v="0.114940640978639"/>
    <n v="5563000"/>
    <x v="14"/>
    <x v="0"/>
  </r>
  <r>
    <x v="567"/>
    <x v="0"/>
    <x v="0"/>
    <s v="Website"/>
    <x v="9"/>
    <n v="1"/>
    <n v="2760000"/>
    <n v="7.3439102347649193E-2"/>
    <n v="2557000"/>
    <x v="13"/>
    <x v="0"/>
  </r>
  <r>
    <x v="567"/>
    <x v="3"/>
    <x v="1"/>
    <s v="Mobile App"/>
    <x v="5"/>
    <n v="1"/>
    <n v="3295000"/>
    <n v="0.11432480342649699"/>
    <n v="2918000"/>
    <x v="14"/>
    <x v="0"/>
  </r>
  <r>
    <x v="567"/>
    <x v="0"/>
    <x v="1"/>
    <s v="Agent"/>
    <x v="1"/>
    <n v="3"/>
    <n v="3023000"/>
    <n v="9.7639760723741795E-2"/>
    <n v="8184000"/>
    <x v="13"/>
    <x v="1"/>
  </r>
  <r>
    <x v="568"/>
    <x v="1"/>
    <x v="2"/>
    <s v="Website"/>
    <x v="7"/>
    <n v="1"/>
    <n v="3586000"/>
    <n v="0.11093433380545099"/>
    <n v="3188000"/>
    <x v="1"/>
    <x v="1"/>
  </r>
  <r>
    <x v="568"/>
    <x v="3"/>
    <x v="0"/>
    <s v="Website"/>
    <x v="7"/>
    <n v="3"/>
    <n v="2727000"/>
    <n v="0.111301943921827"/>
    <n v="7270000"/>
    <x v="8"/>
    <x v="0"/>
  </r>
  <r>
    <x v="568"/>
    <x v="3"/>
    <x v="2"/>
    <s v="Website"/>
    <x v="1"/>
    <n v="3"/>
    <n v="3305000"/>
    <n v="0.14903035501513601"/>
    <n v="8437000"/>
    <x v="15"/>
    <x v="0"/>
  </r>
  <r>
    <x v="569"/>
    <x v="0"/>
    <x v="0"/>
    <s v="Agent"/>
    <x v="6"/>
    <n v="3"/>
    <n v="2352000"/>
    <n v="0.166494104551553"/>
    <n v="5881000"/>
    <x v="4"/>
    <x v="0"/>
  </r>
  <r>
    <x v="569"/>
    <x v="2"/>
    <x v="5"/>
    <s v="Website"/>
    <x v="2"/>
    <n v="4"/>
    <n v="5057000"/>
    <n v="0.14969828937359"/>
    <n v="17200000"/>
    <x v="6"/>
    <x v="0"/>
  </r>
  <r>
    <x v="570"/>
    <x v="1"/>
    <x v="4"/>
    <s v="Website"/>
    <x v="4"/>
    <n v="1"/>
    <n v="1931000"/>
    <n v="0.110930576260243"/>
    <n v="1717000"/>
    <x v="13"/>
    <x v="1"/>
  </r>
  <r>
    <x v="570"/>
    <x v="0"/>
    <x v="2"/>
    <s v="Website"/>
    <x v="3"/>
    <n v="1"/>
    <n v="4327000"/>
    <n v="0.15642692984096601"/>
    <n v="3650000"/>
    <x v="3"/>
    <x v="1"/>
  </r>
  <r>
    <x v="571"/>
    <x v="2"/>
    <x v="1"/>
    <s v="Agent"/>
    <x v="8"/>
    <n v="2"/>
    <n v="3112000"/>
    <n v="8.6236953251099396E-2"/>
    <n v="5687000"/>
    <x v="12"/>
    <x v="1"/>
  </r>
  <r>
    <x v="571"/>
    <x v="3"/>
    <x v="0"/>
    <s v="Website"/>
    <x v="4"/>
    <n v="2"/>
    <n v="2709000"/>
    <n v="0.148127104237496"/>
    <n v="4615000"/>
    <x v="13"/>
    <x v="1"/>
  </r>
  <r>
    <x v="571"/>
    <x v="3"/>
    <x v="1"/>
    <s v="Mobile App"/>
    <x v="4"/>
    <n v="2"/>
    <n v="3383000"/>
    <n v="8.39135674042088E-2"/>
    <n v="6198000"/>
    <x v="12"/>
    <x v="1"/>
  </r>
  <r>
    <x v="572"/>
    <x v="1"/>
    <x v="2"/>
    <s v="Website"/>
    <x v="4"/>
    <n v="2"/>
    <n v="3848000"/>
    <n v="6.4265674981560106E-2"/>
    <n v="7201000"/>
    <x v="14"/>
    <x v="0"/>
  </r>
  <r>
    <x v="572"/>
    <x v="1"/>
    <x v="4"/>
    <s v="Agent"/>
    <x v="4"/>
    <n v="2"/>
    <n v="3058000"/>
    <n v="0.11"/>
    <n v="5446000"/>
    <x v="12"/>
    <x v="1"/>
  </r>
  <r>
    <x v="572"/>
    <x v="0"/>
    <x v="4"/>
    <s v="Mobile App"/>
    <x v="3"/>
    <n v="2"/>
    <n v="2053000"/>
    <n v="5.7360123851109203E-2"/>
    <n v="3870000"/>
    <x v="2"/>
    <x v="1"/>
  </r>
  <r>
    <x v="572"/>
    <x v="0"/>
    <x v="5"/>
    <s v="Website"/>
    <x v="0"/>
    <n v="2"/>
    <n v="5345000"/>
    <n v="0.11042188961086601"/>
    <n v="9510000"/>
    <x v="6"/>
    <x v="1"/>
  </r>
  <r>
    <x v="573"/>
    <x v="2"/>
    <x v="2"/>
    <s v="Website"/>
    <x v="6"/>
    <n v="1"/>
    <n v="3769000"/>
    <n v="0.152559553026164"/>
    <n v="3194000"/>
    <x v="2"/>
    <x v="0"/>
  </r>
  <r>
    <x v="574"/>
    <x v="0"/>
    <x v="0"/>
    <s v="Agent"/>
    <x v="3"/>
    <n v="1"/>
    <n v="2980000"/>
    <n v="0.122721040862229"/>
    <n v="2614000"/>
    <x v="4"/>
    <x v="0"/>
  </r>
  <r>
    <x v="574"/>
    <x v="3"/>
    <x v="1"/>
    <s v="Website"/>
    <x v="4"/>
    <n v="2"/>
    <n v="2941000"/>
    <n v="7.8014681834912294E-2"/>
    <n v="5423000"/>
    <x v="14"/>
    <x v="0"/>
  </r>
  <r>
    <x v="575"/>
    <x v="1"/>
    <x v="2"/>
    <s v="Website"/>
    <x v="9"/>
    <n v="3"/>
    <n v="4172000"/>
    <n v="0.119596562505507"/>
    <n v="11019000"/>
    <x v="12"/>
    <x v="1"/>
  </r>
  <r>
    <x v="575"/>
    <x v="2"/>
    <x v="2"/>
    <s v="Website"/>
    <x v="3"/>
    <n v="3"/>
    <n v="4483000"/>
    <n v="6.7507771286466497E-2"/>
    <n v="12541000"/>
    <x v="14"/>
    <x v="0"/>
  </r>
  <r>
    <x v="575"/>
    <x v="1"/>
    <x v="1"/>
    <s v="Website"/>
    <x v="5"/>
    <n v="1"/>
    <n v="3700000"/>
    <n v="0.114386173419216"/>
    <n v="3277000"/>
    <x v="10"/>
    <x v="1"/>
  </r>
  <r>
    <x v="576"/>
    <x v="3"/>
    <x v="3"/>
    <s v="Website"/>
    <x v="9"/>
    <n v="3"/>
    <n v="2457000"/>
    <n v="0.12979361153793301"/>
    <n v="6414000"/>
    <x v="1"/>
    <x v="0"/>
  </r>
  <r>
    <x v="577"/>
    <x v="2"/>
    <x v="0"/>
    <s v="Agent"/>
    <x v="8"/>
    <n v="1"/>
    <n v="2364000"/>
    <n v="6.0414113979192503E-2"/>
    <n v="2221000"/>
    <x v="13"/>
    <x v="1"/>
  </r>
  <r>
    <x v="577"/>
    <x v="3"/>
    <x v="0"/>
    <s v="Website"/>
    <x v="1"/>
    <n v="4"/>
    <n v="2571000"/>
    <n v="0.10659322055989599"/>
    <n v="9188000"/>
    <x v="6"/>
    <x v="1"/>
  </r>
  <r>
    <x v="577"/>
    <x v="0"/>
    <x v="1"/>
    <s v="Website"/>
    <x v="8"/>
    <n v="2"/>
    <n v="3448000"/>
    <n v="0.116006418721817"/>
    <n v="6096000"/>
    <x v="15"/>
    <x v="1"/>
  </r>
  <r>
    <x v="578"/>
    <x v="2"/>
    <x v="1"/>
    <s v="Website"/>
    <x v="2"/>
    <n v="2"/>
    <n v="3884000"/>
    <n v="7.2825579400417798E-2"/>
    <n v="7202000"/>
    <x v="13"/>
    <x v="0"/>
  </r>
  <r>
    <x v="579"/>
    <x v="0"/>
    <x v="5"/>
    <s v="Website"/>
    <x v="3"/>
    <n v="1"/>
    <n v="4829000"/>
    <n v="0"/>
    <n v="4829000"/>
    <x v="12"/>
    <x v="1"/>
  </r>
  <r>
    <x v="580"/>
    <x v="1"/>
    <x v="3"/>
    <s v="Website"/>
    <x v="6"/>
    <n v="2"/>
    <n v="2362000"/>
    <n v="0.12874440676252699"/>
    <n v="4116000"/>
    <x v="8"/>
    <x v="1"/>
  </r>
  <r>
    <x v="580"/>
    <x v="3"/>
    <x v="1"/>
    <s v="Website"/>
    <x v="0"/>
    <n v="3"/>
    <n v="3550000"/>
    <n v="0.14722342949963901"/>
    <n v="9082000"/>
    <x v="6"/>
    <x v="1"/>
  </r>
  <r>
    <x v="581"/>
    <x v="3"/>
    <x v="5"/>
    <s v="Website"/>
    <x v="9"/>
    <n v="1"/>
    <n v="5787000"/>
    <n v="8.3565090906712297E-2"/>
    <n v="5303000"/>
    <x v="12"/>
    <x v="1"/>
  </r>
  <r>
    <x v="581"/>
    <x v="3"/>
    <x v="1"/>
    <s v="Website"/>
    <x v="5"/>
    <n v="3"/>
    <n v="3587000"/>
    <n v="0.116408510203775"/>
    <n v="9508000"/>
    <x v="6"/>
    <x v="0"/>
  </r>
  <r>
    <x v="581"/>
    <x v="1"/>
    <x v="2"/>
    <s v="Website"/>
    <x v="0"/>
    <n v="4"/>
    <n v="4572000"/>
    <n v="3.0360890851035601E-2"/>
    <n v="17733000"/>
    <x v="7"/>
    <x v="0"/>
  </r>
  <r>
    <x v="581"/>
    <x v="1"/>
    <x v="0"/>
    <s v="Agent"/>
    <x v="4"/>
    <n v="1"/>
    <n v="2752000"/>
    <n v="3.8793035980492697E-2"/>
    <n v="2645000"/>
    <x v="1"/>
    <x v="0"/>
  </r>
  <r>
    <x v="582"/>
    <x v="3"/>
    <x v="3"/>
    <s v="Website"/>
    <x v="0"/>
    <n v="2"/>
    <n v="2644000"/>
    <n v="0.11990608774105101"/>
    <n v="4654000"/>
    <x v="10"/>
    <x v="0"/>
  </r>
  <r>
    <x v="582"/>
    <x v="1"/>
    <x v="5"/>
    <s v="Website"/>
    <x v="5"/>
    <n v="2"/>
    <n v="5635000"/>
    <n v="7.20244801693459E-2"/>
    <n v="10458000"/>
    <x v="9"/>
    <x v="0"/>
  </r>
  <r>
    <x v="582"/>
    <x v="1"/>
    <x v="1"/>
    <s v="Agent"/>
    <x v="9"/>
    <n v="3"/>
    <n v="3765000"/>
    <n v="0.110924095198062"/>
    <n v="10042000"/>
    <x v="4"/>
    <x v="1"/>
  </r>
  <r>
    <x v="583"/>
    <x v="0"/>
    <x v="0"/>
    <s v="Website"/>
    <x v="3"/>
    <n v="2"/>
    <n v="2835000"/>
    <n v="0.12921627425696"/>
    <n v="4937000"/>
    <x v="12"/>
    <x v="1"/>
  </r>
  <r>
    <x v="583"/>
    <x v="3"/>
    <x v="0"/>
    <s v="Website"/>
    <x v="2"/>
    <n v="3"/>
    <n v="3160000"/>
    <n v="0.211255922906883"/>
    <n v="7477000"/>
    <x v="1"/>
    <x v="0"/>
  </r>
  <r>
    <x v="583"/>
    <x v="3"/>
    <x v="2"/>
    <s v="Mobile App"/>
    <x v="6"/>
    <n v="2"/>
    <n v="4051000"/>
    <n v="7.7383075424935305E-2"/>
    <n v="7475000"/>
    <x v="1"/>
    <x v="1"/>
  </r>
  <r>
    <x v="584"/>
    <x v="3"/>
    <x v="0"/>
    <s v="Mobile App"/>
    <x v="0"/>
    <n v="1"/>
    <n v="2858000"/>
    <n v="9.1261301924776106E-2"/>
    <n v="2597000"/>
    <x v="16"/>
    <x v="1"/>
  </r>
  <r>
    <x v="584"/>
    <x v="3"/>
    <x v="2"/>
    <s v="Website"/>
    <x v="8"/>
    <n v="2"/>
    <n v="3700000"/>
    <n v="9.5880981187167702E-2"/>
    <n v="6690000"/>
    <x v="6"/>
    <x v="1"/>
  </r>
  <r>
    <x v="585"/>
    <x v="3"/>
    <x v="2"/>
    <s v="Website"/>
    <x v="5"/>
    <n v="2"/>
    <n v="4591000"/>
    <n v="0.107381104383068"/>
    <n v="8196000"/>
    <x v="0"/>
    <x v="0"/>
  </r>
  <r>
    <x v="585"/>
    <x v="2"/>
    <x v="5"/>
    <s v="Website"/>
    <x v="3"/>
    <n v="3"/>
    <n v="4922000"/>
    <n v="0.131028347606333"/>
    <n v="12831000"/>
    <x v="12"/>
    <x v="0"/>
  </r>
  <r>
    <x v="586"/>
    <x v="0"/>
    <x v="5"/>
    <s v="Website"/>
    <x v="1"/>
    <n v="1"/>
    <n v="4930000"/>
    <n v="0.121280107400644"/>
    <n v="4332000"/>
    <x v="2"/>
    <x v="0"/>
  </r>
  <r>
    <x v="586"/>
    <x v="0"/>
    <x v="2"/>
    <s v="Agent"/>
    <x v="1"/>
    <n v="2"/>
    <n v="3687000"/>
    <n v="0.10608787348878999"/>
    <n v="6592000"/>
    <x v="1"/>
    <x v="1"/>
  </r>
  <r>
    <x v="586"/>
    <x v="0"/>
    <x v="0"/>
    <s v="Website"/>
    <x v="7"/>
    <n v="2"/>
    <n v="2169000"/>
    <n v="8.5457162075181003E-2"/>
    <n v="3967000"/>
    <x v="8"/>
    <x v="1"/>
  </r>
  <r>
    <x v="587"/>
    <x v="3"/>
    <x v="0"/>
    <s v="Website"/>
    <x v="9"/>
    <n v="1"/>
    <n v="2955000"/>
    <n v="0.11711422523420099"/>
    <n v="2609000"/>
    <x v="2"/>
    <x v="1"/>
  </r>
  <r>
    <x v="587"/>
    <x v="2"/>
    <x v="2"/>
    <s v="Agent"/>
    <x v="9"/>
    <n v="1"/>
    <n v="4347000"/>
    <n v="0.124497010895812"/>
    <n v="3806000"/>
    <x v="5"/>
    <x v="1"/>
  </r>
  <r>
    <x v="588"/>
    <x v="1"/>
    <x v="2"/>
    <s v="Website"/>
    <x v="6"/>
    <n v="2"/>
    <n v="4278000"/>
    <n v="0.136529281292082"/>
    <n v="7388000"/>
    <x v="2"/>
    <x v="1"/>
  </r>
  <r>
    <x v="588"/>
    <x v="2"/>
    <x v="5"/>
    <s v="Mobile App"/>
    <x v="5"/>
    <n v="1"/>
    <n v="5947000"/>
    <n v="0.13557771218467701"/>
    <n v="5141000"/>
    <x v="5"/>
    <x v="1"/>
  </r>
  <r>
    <x v="589"/>
    <x v="3"/>
    <x v="2"/>
    <s v="Call Center"/>
    <x v="5"/>
    <n v="1"/>
    <n v="3304000"/>
    <n v="7.7426954780131202E-2"/>
    <n v="3048000"/>
    <x v="0"/>
    <x v="1"/>
  </r>
  <r>
    <x v="589"/>
    <x v="3"/>
    <x v="0"/>
    <s v="Website"/>
    <x v="5"/>
    <n v="2"/>
    <n v="2595000"/>
    <n v="0.12575874218375399"/>
    <n v="4537000"/>
    <x v="12"/>
    <x v="1"/>
  </r>
  <r>
    <x v="590"/>
    <x v="2"/>
    <x v="0"/>
    <s v="Website"/>
    <x v="2"/>
    <n v="3"/>
    <n v="3075000"/>
    <n v="0.12718085264073101"/>
    <n v="8052000"/>
    <x v="12"/>
    <x v="1"/>
  </r>
  <r>
    <x v="590"/>
    <x v="3"/>
    <x v="0"/>
    <s v="Agent"/>
    <x v="5"/>
    <n v="4"/>
    <n v="2898000"/>
    <n v="0.129"/>
    <n v="10102000"/>
    <x v="0"/>
    <x v="0"/>
  </r>
  <r>
    <x v="590"/>
    <x v="1"/>
    <x v="2"/>
    <s v="Website"/>
    <x v="8"/>
    <n v="1"/>
    <n v="3897000"/>
    <n v="0.16716652986604799"/>
    <n v="3246000"/>
    <x v="0"/>
    <x v="0"/>
  </r>
  <r>
    <x v="591"/>
    <x v="2"/>
    <x v="5"/>
    <s v="Website"/>
    <x v="5"/>
    <n v="3"/>
    <n v="5676000"/>
    <n v="6.0101353458235703E-2"/>
    <n v="16005000"/>
    <x v="1"/>
    <x v="0"/>
  </r>
  <r>
    <x v="591"/>
    <x v="3"/>
    <x v="0"/>
    <s v="Website"/>
    <x v="5"/>
    <n v="3"/>
    <n v="2778000"/>
    <n v="0.15475806064367301"/>
    <n v="7044000"/>
    <x v="1"/>
    <x v="0"/>
  </r>
  <r>
    <x v="592"/>
    <x v="0"/>
    <x v="3"/>
    <s v="Agent"/>
    <x v="4"/>
    <n v="2"/>
    <n v="1535000"/>
    <n v="0.125618897315183"/>
    <n v="2684000"/>
    <x v="1"/>
    <x v="1"/>
  </r>
  <r>
    <x v="593"/>
    <x v="0"/>
    <x v="5"/>
    <s v="Agent"/>
    <x v="8"/>
    <n v="1"/>
    <n v="5652000"/>
    <n v="0.120984578444539"/>
    <n v="4968000"/>
    <x v="9"/>
    <x v="1"/>
  </r>
  <r>
    <x v="593"/>
    <x v="3"/>
    <x v="1"/>
    <s v="Mobile App"/>
    <x v="5"/>
    <n v="1"/>
    <n v="3709000"/>
    <n v="0.137668521030921"/>
    <n v="3198000"/>
    <x v="15"/>
    <x v="1"/>
  </r>
  <r>
    <x v="594"/>
    <x v="3"/>
    <x v="0"/>
    <s v="Mobile App"/>
    <x v="8"/>
    <n v="3"/>
    <n v="2170000"/>
    <n v="0.13540722866875399"/>
    <n v="5628000"/>
    <x v="4"/>
    <x v="0"/>
  </r>
  <r>
    <x v="594"/>
    <x v="1"/>
    <x v="0"/>
    <s v="Agent"/>
    <x v="6"/>
    <n v="2"/>
    <n v="2615000"/>
    <n v="0.17592042575841699"/>
    <n v="4310000"/>
    <x v="0"/>
    <x v="1"/>
  </r>
  <r>
    <x v="595"/>
    <x v="0"/>
    <x v="0"/>
    <s v="Mobile App"/>
    <x v="1"/>
    <n v="3"/>
    <n v="2775000"/>
    <n v="0.145954711002801"/>
    <n v="7110000"/>
    <x v="4"/>
    <x v="0"/>
  </r>
  <r>
    <x v="595"/>
    <x v="1"/>
    <x v="5"/>
    <s v="Website"/>
    <x v="0"/>
    <n v="3"/>
    <n v="5994000"/>
    <n v="0.110814860501228"/>
    <n v="15989000"/>
    <x v="6"/>
    <x v="1"/>
  </r>
  <r>
    <x v="595"/>
    <x v="3"/>
    <x v="2"/>
    <s v="Agent"/>
    <x v="4"/>
    <n v="3"/>
    <n v="4631000"/>
    <n v="0.105726720155394"/>
    <n v="12424000"/>
    <x v="4"/>
    <x v="0"/>
  </r>
  <r>
    <x v="596"/>
    <x v="3"/>
    <x v="3"/>
    <s v="Mobile App"/>
    <x v="4"/>
    <n v="3"/>
    <n v="1503000"/>
    <n v="8.32843225244322E-2"/>
    <n v="4133000"/>
    <x v="9"/>
    <x v="0"/>
  </r>
  <r>
    <x v="596"/>
    <x v="1"/>
    <x v="4"/>
    <s v="Website"/>
    <x v="4"/>
    <n v="3"/>
    <n v="2218000"/>
    <n v="0.16430272399941701"/>
    <n v="5561000"/>
    <x v="6"/>
    <x v="0"/>
  </r>
  <r>
    <x v="597"/>
    <x v="1"/>
    <x v="2"/>
    <s v="Agent"/>
    <x v="2"/>
    <n v="3"/>
    <n v="4606000"/>
    <n v="0.10391034336914"/>
    <n v="12382000"/>
    <x v="15"/>
    <x v="1"/>
  </r>
  <r>
    <x v="597"/>
    <x v="3"/>
    <x v="2"/>
    <s v="Agent"/>
    <x v="3"/>
    <n v="3"/>
    <n v="4544000"/>
    <n v="9.6234756041671907E-2"/>
    <n v="12320000"/>
    <x v="2"/>
    <x v="0"/>
  </r>
  <r>
    <x v="598"/>
    <x v="0"/>
    <x v="4"/>
    <s v="Mobile App"/>
    <x v="9"/>
    <n v="1"/>
    <n v="2556000"/>
    <n v="5.58837406363E-2"/>
    <n v="2413000"/>
    <x v="12"/>
    <x v="0"/>
  </r>
  <r>
    <x v="599"/>
    <x v="1"/>
    <x v="1"/>
    <s v="Mobile App"/>
    <x v="8"/>
    <n v="2"/>
    <n v="3196000"/>
    <n v="0.11089611132225501"/>
    <n v="5683000"/>
    <x v="13"/>
    <x v="0"/>
  </r>
  <r>
    <x v="599"/>
    <x v="0"/>
    <x v="4"/>
    <s v="Website"/>
    <x v="8"/>
    <n v="2"/>
    <n v="2553000"/>
    <n v="6.2212090905980899E-2"/>
    <n v="4788000"/>
    <x v="5"/>
    <x v="0"/>
  </r>
  <r>
    <x v="600"/>
    <x v="0"/>
    <x v="2"/>
    <s v="Website"/>
    <x v="6"/>
    <n v="2"/>
    <n v="4013000"/>
    <n v="0.15277985394229701"/>
    <n v="6800000"/>
    <x v="10"/>
    <x v="1"/>
  </r>
  <r>
    <x v="600"/>
    <x v="1"/>
    <x v="1"/>
    <s v="Website"/>
    <x v="8"/>
    <n v="2"/>
    <n v="3620000"/>
    <n v="0.125809451780271"/>
    <n v="6329000"/>
    <x v="7"/>
    <x v="1"/>
  </r>
  <r>
    <x v="600"/>
    <x v="1"/>
    <x v="4"/>
    <s v="Mobile App"/>
    <x v="1"/>
    <n v="1"/>
    <n v="2672000"/>
    <n v="0.10655932750777"/>
    <n v="2387000"/>
    <x v="3"/>
    <x v="1"/>
  </r>
  <r>
    <x v="601"/>
    <x v="1"/>
    <x v="3"/>
    <s v="Website"/>
    <x v="4"/>
    <n v="2"/>
    <n v="1300000"/>
    <n v="8.0043061636593693E-2"/>
    <n v="2392000"/>
    <x v="10"/>
    <x v="0"/>
  </r>
  <r>
    <x v="601"/>
    <x v="1"/>
    <x v="2"/>
    <s v="Agent"/>
    <x v="3"/>
    <n v="4"/>
    <n v="4015000"/>
    <n v="0.105"/>
    <n v="14374000"/>
    <x v="13"/>
    <x v="1"/>
  </r>
  <r>
    <x v="602"/>
    <x v="0"/>
    <x v="5"/>
    <s v="Agent"/>
    <x v="6"/>
    <n v="3"/>
    <n v="4702000"/>
    <n v="0.12532039247208901"/>
    <n v="12338000"/>
    <x v="1"/>
    <x v="0"/>
  </r>
  <r>
    <x v="602"/>
    <x v="3"/>
    <x v="1"/>
    <s v="Website"/>
    <x v="6"/>
    <n v="3"/>
    <n v="3165000"/>
    <n v="0.109573198786677"/>
    <n v="8455000"/>
    <x v="6"/>
    <x v="1"/>
  </r>
  <r>
    <x v="602"/>
    <x v="2"/>
    <x v="0"/>
    <s v="Agent"/>
    <x v="6"/>
    <n v="3"/>
    <n v="2223000"/>
    <n v="9.7481870428447207E-2"/>
    <n v="6019000"/>
    <x v="0"/>
    <x v="1"/>
  </r>
  <r>
    <x v="602"/>
    <x v="3"/>
    <x v="4"/>
    <s v="Mobile App"/>
    <x v="3"/>
    <n v="2"/>
    <n v="2146000"/>
    <n v="5.89752137596374E-2"/>
    <n v="4039000"/>
    <x v="14"/>
    <x v="1"/>
  </r>
  <r>
    <x v="603"/>
    <x v="3"/>
    <x v="3"/>
    <s v="Website"/>
    <x v="6"/>
    <n v="2"/>
    <n v="2083000"/>
    <n v="8.4641203210175903E-2"/>
    <n v="3813000"/>
    <x v="2"/>
    <x v="0"/>
  </r>
  <r>
    <x v="604"/>
    <x v="1"/>
    <x v="4"/>
    <s v="Website"/>
    <x v="3"/>
    <n v="2"/>
    <n v="2036000"/>
    <n v="0"/>
    <n v="4072000"/>
    <x v="17"/>
    <x v="0"/>
  </r>
  <r>
    <x v="604"/>
    <x v="3"/>
    <x v="1"/>
    <s v="Website"/>
    <x v="3"/>
    <n v="1"/>
    <n v="2995000"/>
    <n v="9.7258002050251299E-2"/>
    <n v="2704000"/>
    <x v="5"/>
    <x v="1"/>
  </r>
  <r>
    <x v="604"/>
    <x v="3"/>
    <x v="2"/>
    <s v="Website"/>
    <x v="5"/>
    <n v="1"/>
    <n v="4066000"/>
    <n v="1.7379995208049899E-2"/>
    <n v="3995000"/>
    <x v="12"/>
    <x v="1"/>
  </r>
  <r>
    <x v="604"/>
    <x v="3"/>
    <x v="1"/>
    <s v="Agent"/>
    <x v="1"/>
    <n v="1"/>
    <n v="2972000"/>
    <n v="0.123481957974754"/>
    <n v="2605000"/>
    <x v="17"/>
    <x v="1"/>
  </r>
  <r>
    <x v="605"/>
    <x v="1"/>
    <x v="0"/>
    <s v="Call Center"/>
    <x v="1"/>
    <n v="2"/>
    <n v="2422000"/>
    <n v="0.13614162541976399"/>
    <n v="4185000"/>
    <x v="18"/>
    <x v="1"/>
  </r>
  <r>
    <x v="605"/>
    <x v="3"/>
    <x v="0"/>
    <s v="Website"/>
    <x v="9"/>
    <n v="1"/>
    <n v="2628000"/>
    <n v="5.5547490285983797E-2"/>
    <n v="2482000"/>
    <x v="13"/>
    <x v="0"/>
  </r>
  <r>
    <x v="606"/>
    <x v="0"/>
    <x v="1"/>
    <s v="Website"/>
    <x v="1"/>
    <n v="1"/>
    <n v="2950000"/>
    <n v="9.7724439371842498E-2"/>
    <n v="2662000"/>
    <x v="13"/>
    <x v="1"/>
  </r>
  <r>
    <x v="606"/>
    <x v="0"/>
    <x v="2"/>
    <s v="Agent"/>
    <x v="9"/>
    <n v="2"/>
    <n v="4251000"/>
    <n v="0.109256441319696"/>
    <n v="7573000"/>
    <x v="18"/>
    <x v="1"/>
  </r>
  <r>
    <x v="606"/>
    <x v="2"/>
    <x v="1"/>
    <s v="Agent"/>
    <x v="8"/>
    <n v="4"/>
    <n v="3075000"/>
    <n v="0.12084997041562"/>
    <n v="10814000"/>
    <x v="6"/>
    <x v="1"/>
  </r>
  <r>
    <x v="607"/>
    <x v="3"/>
    <x v="5"/>
    <s v="Call Center"/>
    <x v="0"/>
    <n v="1"/>
    <n v="5498000"/>
    <n v="9.4105097570978194E-2"/>
    <n v="4981000"/>
    <x v="15"/>
    <x v="1"/>
  </r>
  <r>
    <x v="608"/>
    <x v="1"/>
    <x v="1"/>
    <s v="Mobile App"/>
    <x v="4"/>
    <n v="1"/>
    <n v="2657000"/>
    <n v="9.6021802297581699E-2"/>
    <n v="2402000"/>
    <x v="14"/>
    <x v="0"/>
  </r>
  <r>
    <x v="608"/>
    <x v="0"/>
    <x v="0"/>
    <s v="Mobile App"/>
    <x v="7"/>
    <n v="1"/>
    <n v="2228000"/>
    <n v="6.7529409275526905E-2"/>
    <n v="2078000"/>
    <x v="1"/>
    <x v="1"/>
  </r>
  <r>
    <x v="608"/>
    <x v="1"/>
    <x v="2"/>
    <s v="Agent"/>
    <x v="0"/>
    <n v="3"/>
    <n v="4365000"/>
    <n v="1.38576616809907E-2"/>
    <n v="12914000"/>
    <x v="4"/>
    <x v="1"/>
  </r>
  <r>
    <x v="608"/>
    <x v="2"/>
    <x v="2"/>
    <s v="Mobile App"/>
    <x v="6"/>
    <n v="1"/>
    <n v="3838000"/>
    <n v="0.113366757462306"/>
    <n v="3403000"/>
    <x v="3"/>
    <x v="0"/>
  </r>
  <r>
    <x v="608"/>
    <x v="3"/>
    <x v="1"/>
    <s v="Mobile App"/>
    <x v="9"/>
    <n v="3"/>
    <n v="3176000"/>
    <n v="0.14224267422258199"/>
    <n v="8173000"/>
    <x v="8"/>
    <x v="1"/>
  </r>
  <r>
    <x v="608"/>
    <x v="1"/>
    <x v="2"/>
    <s v="Website"/>
    <x v="9"/>
    <n v="2"/>
    <n v="3706000"/>
    <n v="3.1998709141297398E-2"/>
    <n v="7175000"/>
    <x v="4"/>
    <x v="0"/>
  </r>
  <r>
    <x v="608"/>
    <x v="0"/>
    <x v="3"/>
    <s v="Agent"/>
    <x v="8"/>
    <n v="3"/>
    <n v="2519000"/>
    <n v="0.108400946844751"/>
    <n v="6738000"/>
    <x v="1"/>
    <x v="1"/>
  </r>
  <r>
    <x v="609"/>
    <x v="3"/>
    <x v="0"/>
    <s v="Mobile App"/>
    <x v="5"/>
    <n v="1"/>
    <n v="2435000"/>
    <n v="0.15161686672331001"/>
    <n v="2066000"/>
    <x v="4"/>
    <x v="1"/>
  </r>
  <r>
    <x v="609"/>
    <x v="0"/>
    <x v="5"/>
    <s v="Mobile App"/>
    <x v="1"/>
    <n v="1"/>
    <n v="4488000"/>
    <n v="0.12979793152692001"/>
    <n v="3905000"/>
    <x v="6"/>
    <x v="1"/>
  </r>
  <r>
    <x v="609"/>
    <x v="0"/>
    <x v="5"/>
    <s v="Mobile App"/>
    <x v="5"/>
    <n v="3"/>
    <n v="5172000"/>
    <n v="5.20666946426298E-2"/>
    <n v="14708000"/>
    <x v="9"/>
    <x v="1"/>
  </r>
  <r>
    <x v="610"/>
    <x v="1"/>
    <x v="5"/>
    <s v="Agent"/>
    <x v="2"/>
    <n v="3"/>
    <n v="4846000"/>
    <n v="0.108172715636611"/>
    <n v="12965000"/>
    <x v="10"/>
    <x v="1"/>
  </r>
  <r>
    <x v="610"/>
    <x v="1"/>
    <x v="0"/>
    <s v="Mobile App"/>
    <x v="4"/>
    <n v="2"/>
    <n v="2719000"/>
    <n v="6.4462436719038896E-2"/>
    <n v="5087000"/>
    <x v="18"/>
    <x v="1"/>
  </r>
  <r>
    <x v="610"/>
    <x v="1"/>
    <x v="3"/>
    <s v="Mobile App"/>
    <x v="2"/>
    <n v="1"/>
    <n v="2348000"/>
    <n v="0.15969184590474"/>
    <n v="1973000"/>
    <x v="4"/>
    <x v="1"/>
  </r>
  <r>
    <x v="610"/>
    <x v="1"/>
    <x v="4"/>
    <s v="Agent"/>
    <x v="2"/>
    <n v="3"/>
    <n v="2726000"/>
    <n v="6.4974109912814201E-2"/>
    <n v="7647000"/>
    <x v="2"/>
    <x v="1"/>
  </r>
  <r>
    <x v="610"/>
    <x v="2"/>
    <x v="2"/>
    <s v="Agent"/>
    <x v="5"/>
    <n v="1"/>
    <n v="4223000"/>
    <n v="0.15020629096319399"/>
    <n v="3589000"/>
    <x v="16"/>
    <x v="0"/>
  </r>
  <r>
    <x v="611"/>
    <x v="0"/>
    <x v="5"/>
    <s v="Website"/>
    <x v="5"/>
    <n v="1"/>
    <n v="5730000"/>
    <n v="0.12119986615895099"/>
    <n v="5036000"/>
    <x v="5"/>
    <x v="1"/>
  </r>
  <r>
    <x v="612"/>
    <x v="1"/>
    <x v="5"/>
    <s v="Agent"/>
    <x v="2"/>
    <n v="2"/>
    <n v="4795000"/>
    <n v="9.6774776271232002E-2"/>
    <n v="8662000"/>
    <x v="9"/>
    <x v="1"/>
  </r>
  <r>
    <x v="613"/>
    <x v="1"/>
    <x v="4"/>
    <s v="Website"/>
    <x v="7"/>
    <n v="1"/>
    <n v="2404000"/>
    <n v="0.162186302414385"/>
    <n v="2014000"/>
    <x v="12"/>
    <x v="0"/>
  </r>
  <r>
    <x v="613"/>
    <x v="2"/>
    <x v="2"/>
    <s v="Agent"/>
    <x v="7"/>
    <n v="1"/>
    <n v="3600000"/>
    <n v="2.7043356284631701E-2"/>
    <n v="3503000"/>
    <x v="1"/>
    <x v="1"/>
  </r>
  <r>
    <x v="613"/>
    <x v="1"/>
    <x v="4"/>
    <s v="Website"/>
    <x v="5"/>
    <n v="1"/>
    <n v="2939000"/>
    <n v="9.73661197190204E-2"/>
    <n v="2653000"/>
    <x v="4"/>
    <x v="1"/>
  </r>
  <r>
    <x v="613"/>
    <x v="3"/>
    <x v="0"/>
    <s v="Agent"/>
    <x v="9"/>
    <n v="3"/>
    <n v="2677000"/>
    <n v="7.9316246237708901E-2"/>
    <n v="7394000"/>
    <x v="0"/>
    <x v="1"/>
  </r>
  <r>
    <x v="613"/>
    <x v="3"/>
    <x v="2"/>
    <s v="Agent"/>
    <x v="1"/>
    <n v="2"/>
    <n v="3179000"/>
    <n v="0.105017556364806"/>
    <n v="5690000"/>
    <x v="15"/>
    <x v="1"/>
  </r>
  <r>
    <x v="613"/>
    <x v="2"/>
    <x v="1"/>
    <s v="Mobile App"/>
    <x v="6"/>
    <n v="1"/>
    <n v="3205000"/>
    <n v="0.14281517206594299"/>
    <n v="2747000"/>
    <x v="19"/>
    <x v="1"/>
  </r>
  <r>
    <x v="613"/>
    <x v="3"/>
    <x v="5"/>
    <s v="Website"/>
    <x v="9"/>
    <n v="1"/>
    <n v="6064000"/>
    <n v="0.137404289149098"/>
    <n v="5231000"/>
    <x v="12"/>
    <x v="1"/>
  </r>
  <r>
    <x v="614"/>
    <x v="0"/>
    <x v="1"/>
    <s v="Website"/>
    <x v="9"/>
    <n v="5"/>
    <n v="3520000"/>
    <n v="8.7811355452514603E-2"/>
    <n v="16055000"/>
    <x v="1"/>
    <x v="1"/>
  </r>
  <r>
    <x v="615"/>
    <x v="1"/>
    <x v="4"/>
    <s v="Mobile App"/>
    <x v="9"/>
    <n v="2"/>
    <n v="2528000"/>
    <n v="0.120813292535809"/>
    <n v="4445000"/>
    <x v="12"/>
    <x v="1"/>
  </r>
  <r>
    <x v="615"/>
    <x v="3"/>
    <x v="0"/>
    <s v="Website"/>
    <x v="3"/>
    <n v="2"/>
    <n v="2513000"/>
    <n v="0.101768304670851"/>
    <n v="4515000"/>
    <x v="0"/>
    <x v="1"/>
  </r>
  <r>
    <x v="615"/>
    <x v="1"/>
    <x v="5"/>
    <s v="Website"/>
    <x v="2"/>
    <n v="1"/>
    <n v="4974000"/>
    <n v="7.8926733355346501E-2"/>
    <n v="4581000"/>
    <x v="5"/>
    <x v="0"/>
  </r>
  <r>
    <x v="615"/>
    <x v="1"/>
    <x v="5"/>
    <s v="Website"/>
    <x v="1"/>
    <n v="1"/>
    <n v="4291000"/>
    <n v="0"/>
    <n v="4291000"/>
    <x v="6"/>
    <x v="1"/>
  </r>
  <r>
    <x v="615"/>
    <x v="3"/>
    <x v="5"/>
    <s v="Mobile App"/>
    <x v="0"/>
    <n v="2"/>
    <n v="6569000"/>
    <n v="0.105"/>
    <n v="11759000"/>
    <x v="6"/>
    <x v="0"/>
  </r>
  <r>
    <x v="616"/>
    <x v="3"/>
    <x v="2"/>
    <s v="Website"/>
    <x v="1"/>
    <n v="1"/>
    <n v="3146000"/>
    <n v="0.113372075427085"/>
    <n v="2789000"/>
    <x v="15"/>
    <x v="1"/>
  </r>
  <r>
    <x v="617"/>
    <x v="3"/>
    <x v="2"/>
    <s v="Agent"/>
    <x v="0"/>
    <n v="4"/>
    <n v="4556000"/>
    <n v="5.6900922903666599E-2"/>
    <n v="17187000"/>
    <x v="14"/>
    <x v="0"/>
  </r>
  <r>
    <x v="618"/>
    <x v="1"/>
    <x v="5"/>
    <s v="Agent"/>
    <x v="0"/>
    <n v="2"/>
    <n v="3654000"/>
    <n v="5.1329620361832799E-2"/>
    <n v="6933000"/>
    <x v="8"/>
    <x v="0"/>
  </r>
  <r>
    <x v="618"/>
    <x v="3"/>
    <x v="2"/>
    <s v="Website"/>
    <x v="6"/>
    <n v="5"/>
    <n v="3648000"/>
    <n v="8.62221589140207E-2"/>
    <n v="16667000"/>
    <x v="13"/>
    <x v="1"/>
  </r>
  <r>
    <x v="618"/>
    <x v="0"/>
    <x v="2"/>
    <s v="Mobile App"/>
    <x v="0"/>
    <n v="1"/>
    <n v="4337000"/>
    <n v="0.12265585265531"/>
    <n v="3805000"/>
    <x v="14"/>
    <x v="1"/>
  </r>
  <r>
    <x v="618"/>
    <x v="1"/>
    <x v="1"/>
    <s v="Website"/>
    <x v="0"/>
    <n v="1"/>
    <n v="3265000"/>
    <n v="0.189848108083182"/>
    <n v="2645000"/>
    <x v="3"/>
    <x v="1"/>
  </r>
  <r>
    <x v="619"/>
    <x v="1"/>
    <x v="5"/>
    <s v="Mobile App"/>
    <x v="5"/>
    <n v="2"/>
    <n v="5264000"/>
    <n v="9.2609292420520101E-2"/>
    <n v="9553000"/>
    <x v="14"/>
    <x v="1"/>
  </r>
  <r>
    <x v="619"/>
    <x v="0"/>
    <x v="2"/>
    <s v="Website"/>
    <x v="5"/>
    <n v="1"/>
    <n v="4163000"/>
    <n v="7.4160995053664205E-2"/>
    <n v="3854000"/>
    <x v="6"/>
    <x v="1"/>
  </r>
  <r>
    <x v="619"/>
    <x v="1"/>
    <x v="0"/>
    <s v="Mobile App"/>
    <x v="8"/>
    <n v="2"/>
    <n v="2261000"/>
    <n v="7.7195989091578696E-2"/>
    <n v="4173000"/>
    <x v="0"/>
    <x v="1"/>
  </r>
  <r>
    <x v="619"/>
    <x v="1"/>
    <x v="2"/>
    <s v="Mobile App"/>
    <x v="6"/>
    <n v="2"/>
    <n v="3959000"/>
    <n v="0.113163347987669"/>
    <n v="7022000"/>
    <x v="9"/>
    <x v="1"/>
  </r>
  <r>
    <x v="619"/>
    <x v="0"/>
    <x v="1"/>
    <s v="Website"/>
    <x v="0"/>
    <n v="1"/>
    <n v="3393000"/>
    <n v="0.110432640949798"/>
    <n v="3018000"/>
    <x v="1"/>
    <x v="1"/>
  </r>
  <r>
    <x v="619"/>
    <x v="3"/>
    <x v="1"/>
    <s v="Agent"/>
    <x v="5"/>
    <n v="1"/>
    <n v="3426000"/>
    <n v="0.12688078298557801"/>
    <n v="2991000"/>
    <x v="1"/>
    <x v="0"/>
  </r>
  <r>
    <x v="619"/>
    <x v="2"/>
    <x v="1"/>
    <s v="Website"/>
    <x v="4"/>
    <n v="1"/>
    <n v="2682000"/>
    <n v="0.120141206621518"/>
    <n v="2360000"/>
    <x v="2"/>
    <x v="1"/>
  </r>
  <r>
    <x v="619"/>
    <x v="3"/>
    <x v="5"/>
    <s v="Call Center"/>
    <x v="7"/>
    <n v="2"/>
    <n v="3861000"/>
    <n v="5.1999999999999998E-2"/>
    <n v="7320000"/>
    <x v="8"/>
    <x v="0"/>
  </r>
  <r>
    <x v="620"/>
    <x v="1"/>
    <x v="4"/>
    <s v="Website"/>
    <x v="5"/>
    <n v="5"/>
    <n v="2525000"/>
    <n v="0.106981157394255"/>
    <n v="11274000"/>
    <x v="0"/>
    <x v="0"/>
  </r>
  <r>
    <x v="621"/>
    <x v="2"/>
    <x v="3"/>
    <s v="Agent"/>
    <x v="5"/>
    <n v="2"/>
    <n v="2562000"/>
    <n v="0.16098195163954701"/>
    <n v="4299000"/>
    <x v="7"/>
    <x v="0"/>
  </r>
  <r>
    <x v="621"/>
    <x v="1"/>
    <x v="2"/>
    <s v="Agent"/>
    <x v="5"/>
    <n v="2"/>
    <n v="4068000"/>
    <n v="8.0501295238973106E-2"/>
    <n v="7481000"/>
    <x v="6"/>
    <x v="1"/>
  </r>
  <r>
    <x v="621"/>
    <x v="3"/>
    <x v="1"/>
    <s v="Website"/>
    <x v="5"/>
    <n v="3"/>
    <n v="3272000"/>
    <n v="5.4853244837173999E-2"/>
    <n v="9278000"/>
    <x v="14"/>
    <x v="1"/>
  </r>
  <r>
    <x v="621"/>
    <x v="1"/>
    <x v="5"/>
    <s v="Website"/>
    <x v="4"/>
    <n v="2"/>
    <n v="4596000"/>
    <n v="0.109769446297262"/>
    <n v="8183000"/>
    <x v="0"/>
    <x v="0"/>
  </r>
  <r>
    <x v="621"/>
    <x v="1"/>
    <x v="3"/>
    <s v="Website"/>
    <x v="4"/>
    <n v="2"/>
    <n v="2155000"/>
    <n v="0.145834897971201"/>
    <n v="3681000"/>
    <x v="6"/>
    <x v="1"/>
  </r>
  <r>
    <x v="621"/>
    <x v="1"/>
    <x v="5"/>
    <s v="Mobile App"/>
    <x v="0"/>
    <n v="1"/>
    <n v="5199000"/>
    <n v="8.0598727430991099E-2"/>
    <n v="4780000"/>
    <x v="9"/>
    <x v="0"/>
  </r>
  <r>
    <x v="621"/>
    <x v="3"/>
    <x v="0"/>
    <s v="Website"/>
    <x v="5"/>
    <n v="5"/>
    <n v="2554000"/>
    <n v="0.14560997298817099"/>
    <n v="10911000"/>
    <x v="15"/>
    <x v="1"/>
  </r>
  <r>
    <x v="621"/>
    <x v="0"/>
    <x v="2"/>
    <s v="Website"/>
    <x v="0"/>
    <n v="2"/>
    <n v="5012000"/>
    <n v="6.0999999999999999E-2"/>
    <n v="9413000"/>
    <x v="7"/>
    <x v="0"/>
  </r>
  <r>
    <x v="622"/>
    <x v="3"/>
    <x v="1"/>
    <s v="Website"/>
    <x v="6"/>
    <n v="2"/>
    <n v="3148000"/>
    <n v="0.155403793382768"/>
    <n v="5318000"/>
    <x v="12"/>
    <x v="0"/>
  </r>
  <r>
    <x v="623"/>
    <x v="3"/>
    <x v="0"/>
    <s v="Website"/>
    <x v="7"/>
    <n v="1"/>
    <n v="2263000"/>
    <n v="3.7761821715740197E-2"/>
    <n v="2178000"/>
    <x v="15"/>
    <x v="0"/>
  </r>
  <r>
    <x v="623"/>
    <x v="3"/>
    <x v="5"/>
    <s v="Website"/>
    <x v="1"/>
    <n v="3"/>
    <n v="4364000"/>
    <n v="0.12517452914575999"/>
    <n v="11453000"/>
    <x v="11"/>
    <x v="1"/>
  </r>
  <r>
    <x v="624"/>
    <x v="0"/>
    <x v="2"/>
    <s v="Mobile App"/>
    <x v="5"/>
    <n v="3"/>
    <n v="3979000"/>
    <n v="0.137446397569463"/>
    <n v="10296000"/>
    <x v="10"/>
    <x v="0"/>
  </r>
  <r>
    <x v="624"/>
    <x v="3"/>
    <x v="0"/>
    <s v="Website"/>
    <x v="0"/>
    <n v="1"/>
    <n v="2658000"/>
    <n v="0.104535490851504"/>
    <n v="2380000"/>
    <x v="18"/>
    <x v="0"/>
  </r>
  <r>
    <x v="624"/>
    <x v="1"/>
    <x v="0"/>
    <s v="Agent"/>
    <x v="9"/>
    <n v="2"/>
    <n v="1763000"/>
    <n v="0.23100000000000001"/>
    <n v="2711000"/>
    <x v="0"/>
    <x v="0"/>
  </r>
  <r>
    <x v="625"/>
    <x v="0"/>
    <x v="4"/>
    <s v="Website"/>
    <x v="8"/>
    <n v="2"/>
    <n v="2360000"/>
    <n v="9.2128223914213395E-2"/>
    <n v="4285000"/>
    <x v="12"/>
    <x v="1"/>
  </r>
  <r>
    <x v="625"/>
    <x v="0"/>
    <x v="1"/>
    <s v="Website"/>
    <x v="0"/>
    <n v="2"/>
    <n v="3335000"/>
    <n v="7.2510505317591095E-2"/>
    <n v="6186000"/>
    <x v="6"/>
    <x v="1"/>
  </r>
  <r>
    <x v="625"/>
    <x v="3"/>
    <x v="1"/>
    <s v="Agent"/>
    <x v="8"/>
    <n v="4"/>
    <n v="2985000"/>
    <n v="7.9767171660816497E-2"/>
    <n v="10988000"/>
    <x v="15"/>
    <x v="0"/>
  </r>
  <r>
    <x v="625"/>
    <x v="2"/>
    <x v="2"/>
    <s v="Website"/>
    <x v="1"/>
    <n v="1"/>
    <n v="3937000"/>
    <n v="5.0999999999999997E-2"/>
    <n v="3736000"/>
    <x v="15"/>
    <x v="0"/>
  </r>
  <r>
    <x v="626"/>
    <x v="1"/>
    <x v="2"/>
    <s v="Agent"/>
    <x v="6"/>
    <n v="2"/>
    <n v="3786000"/>
    <n v="0"/>
    <n v="7572000"/>
    <x v="2"/>
    <x v="0"/>
  </r>
  <r>
    <x v="626"/>
    <x v="1"/>
    <x v="0"/>
    <s v="Mobile App"/>
    <x v="1"/>
    <n v="2"/>
    <n v="2281000"/>
    <n v="0.13387789512248699"/>
    <n v="3951000"/>
    <x v="10"/>
    <x v="1"/>
  </r>
  <r>
    <x v="626"/>
    <x v="3"/>
    <x v="4"/>
    <s v="Mobile App"/>
    <x v="5"/>
    <n v="2"/>
    <n v="2794000"/>
    <n v="6.33990568124813E-2"/>
    <n v="5234000"/>
    <x v="15"/>
    <x v="0"/>
  </r>
  <r>
    <x v="626"/>
    <x v="1"/>
    <x v="4"/>
    <s v="Website"/>
    <x v="5"/>
    <n v="2"/>
    <n v="2668000"/>
    <n v="8.4980037292791105E-2"/>
    <n v="4883000"/>
    <x v="2"/>
    <x v="1"/>
  </r>
  <r>
    <x v="626"/>
    <x v="0"/>
    <x v="5"/>
    <s v="Mobile App"/>
    <x v="5"/>
    <n v="1"/>
    <n v="5268000"/>
    <n v="0"/>
    <n v="5268000"/>
    <x v="0"/>
    <x v="0"/>
  </r>
  <r>
    <x v="627"/>
    <x v="3"/>
    <x v="3"/>
    <s v="Website"/>
    <x v="8"/>
    <n v="2"/>
    <n v="2616000"/>
    <n v="0.17933466759629199"/>
    <n v="4294000"/>
    <x v="2"/>
    <x v="1"/>
  </r>
  <r>
    <x v="627"/>
    <x v="1"/>
    <x v="2"/>
    <s v="Agent"/>
    <x v="2"/>
    <n v="2"/>
    <n v="4581000"/>
    <n v="9.30948557130893E-2"/>
    <n v="8309000"/>
    <x v="5"/>
    <x v="0"/>
  </r>
  <r>
    <x v="628"/>
    <x v="1"/>
    <x v="0"/>
    <s v="Website"/>
    <x v="6"/>
    <n v="1"/>
    <n v="2444000"/>
    <n v="2.8793789911527101E-2"/>
    <n v="2374000"/>
    <x v="6"/>
    <x v="0"/>
  </r>
  <r>
    <x v="628"/>
    <x v="3"/>
    <x v="0"/>
    <s v="Agent"/>
    <x v="2"/>
    <n v="1"/>
    <n v="3188000"/>
    <n v="7.20662169403717E-2"/>
    <n v="2958000"/>
    <x v="12"/>
    <x v="1"/>
  </r>
  <r>
    <x v="628"/>
    <x v="3"/>
    <x v="0"/>
    <s v="Website"/>
    <x v="1"/>
    <n v="1"/>
    <n v="2305000"/>
    <n v="9.3419530612245893E-2"/>
    <n v="2090000"/>
    <x v="12"/>
    <x v="1"/>
  </r>
  <r>
    <x v="629"/>
    <x v="0"/>
    <x v="3"/>
    <s v="Website"/>
    <x v="6"/>
    <n v="1"/>
    <n v="2012000"/>
    <n v="8.0781448457296998E-2"/>
    <n v="1849000"/>
    <x v="17"/>
    <x v="0"/>
  </r>
  <r>
    <x v="630"/>
    <x v="1"/>
    <x v="4"/>
    <s v="Website"/>
    <x v="3"/>
    <n v="2"/>
    <n v="2236000"/>
    <n v="9.7742457436446301E-2"/>
    <n v="4035000"/>
    <x v="14"/>
    <x v="1"/>
  </r>
  <r>
    <x v="630"/>
    <x v="1"/>
    <x v="1"/>
    <s v="Mobile App"/>
    <x v="5"/>
    <n v="4"/>
    <n v="4101000"/>
    <n v="0.13500000000000001"/>
    <n v="14189000"/>
    <x v="9"/>
    <x v="0"/>
  </r>
  <r>
    <x v="631"/>
    <x v="1"/>
    <x v="1"/>
    <s v="Mobile App"/>
    <x v="7"/>
    <n v="1"/>
    <n v="3397000"/>
    <n v="0.10934259647762"/>
    <n v="3026000"/>
    <x v="1"/>
    <x v="0"/>
  </r>
  <r>
    <x v="631"/>
    <x v="3"/>
    <x v="0"/>
    <s v="Website"/>
    <x v="7"/>
    <n v="4"/>
    <n v="2374000"/>
    <n v="0.15765891729832601"/>
    <n v="7999000"/>
    <x v="10"/>
    <x v="1"/>
  </r>
  <r>
    <x v="632"/>
    <x v="2"/>
    <x v="5"/>
    <s v="Website"/>
    <x v="0"/>
    <n v="1"/>
    <n v="5825000"/>
    <n v="0.22352215025361"/>
    <n v="4523000"/>
    <x v="1"/>
    <x v="1"/>
  </r>
  <r>
    <x v="633"/>
    <x v="2"/>
    <x v="0"/>
    <s v="Website"/>
    <x v="3"/>
    <n v="1"/>
    <n v="2821000"/>
    <n v="0.12634858406975399"/>
    <n v="2465000"/>
    <x v="4"/>
    <x v="1"/>
  </r>
  <r>
    <x v="633"/>
    <x v="3"/>
    <x v="3"/>
    <s v="Website"/>
    <x v="3"/>
    <n v="1"/>
    <n v="1933000"/>
    <n v="0.248"/>
    <n v="1454000"/>
    <x v="4"/>
    <x v="0"/>
  </r>
  <r>
    <x v="634"/>
    <x v="3"/>
    <x v="3"/>
    <s v="Website"/>
    <x v="3"/>
    <n v="1"/>
    <n v="2778000"/>
    <n v="9.41905289776475E-2"/>
    <n v="2516000"/>
    <x v="6"/>
    <x v="1"/>
  </r>
  <r>
    <x v="634"/>
    <x v="0"/>
    <x v="2"/>
    <s v="Agent"/>
    <x v="2"/>
    <n v="2"/>
    <n v="4317000"/>
    <n v="7.7518403339497804E-2"/>
    <n v="7965000"/>
    <x v="15"/>
    <x v="1"/>
  </r>
  <r>
    <x v="634"/>
    <x v="1"/>
    <x v="4"/>
    <s v="Agent"/>
    <x v="7"/>
    <n v="1"/>
    <n v="2707000"/>
    <n v="0.12192431882126201"/>
    <n v="2377000"/>
    <x v="2"/>
    <x v="1"/>
  </r>
  <r>
    <x v="634"/>
    <x v="0"/>
    <x v="5"/>
    <s v="Mobile App"/>
    <x v="9"/>
    <n v="1"/>
    <n v="6312000"/>
    <n v="8.9851559956472704E-2"/>
    <n v="5745000"/>
    <x v="4"/>
    <x v="1"/>
  </r>
  <r>
    <x v="635"/>
    <x v="3"/>
    <x v="1"/>
    <s v="Website"/>
    <x v="3"/>
    <n v="3"/>
    <n v="3319000"/>
    <n v="0.12570319133907701"/>
    <n v="8705000"/>
    <x v="4"/>
    <x v="1"/>
  </r>
  <r>
    <x v="635"/>
    <x v="0"/>
    <x v="5"/>
    <s v="Agent"/>
    <x v="6"/>
    <n v="1"/>
    <n v="4861000"/>
    <n v="3.9051634804683502E-2"/>
    <n v="4671000"/>
    <x v="1"/>
    <x v="0"/>
  </r>
  <r>
    <x v="635"/>
    <x v="1"/>
    <x v="0"/>
    <s v="Agent"/>
    <x v="4"/>
    <n v="1"/>
    <n v="2983000"/>
    <n v="0.134585066943818"/>
    <n v="2582000"/>
    <x v="3"/>
    <x v="1"/>
  </r>
  <r>
    <x v="636"/>
    <x v="1"/>
    <x v="2"/>
    <s v="Mobile App"/>
    <x v="3"/>
    <n v="1"/>
    <n v="4719000"/>
    <n v="7.3526911004187206E-2"/>
    <n v="4372000"/>
    <x v="12"/>
    <x v="1"/>
  </r>
  <r>
    <x v="636"/>
    <x v="1"/>
    <x v="5"/>
    <s v="Mobile App"/>
    <x v="5"/>
    <n v="1"/>
    <n v="5061000"/>
    <n v="0.19500000000000001"/>
    <n v="4074000"/>
    <x v="3"/>
    <x v="0"/>
  </r>
  <r>
    <x v="637"/>
    <x v="0"/>
    <x v="0"/>
    <s v="Agent"/>
    <x v="5"/>
    <n v="2"/>
    <n v="3030000"/>
    <n v="9.5695913821087594E-2"/>
    <n v="5480000"/>
    <x v="13"/>
    <x v="1"/>
  </r>
  <r>
    <x v="637"/>
    <x v="0"/>
    <x v="5"/>
    <s v="Website"/>
    <x v="3"/>
    <n v="2"/>
    <n v="5486000"/>
    <n v="0.17829094846547699"/>
    <n v="9016000"/>
    <x v="8"/>
    <x v="0"/>
  </r>
  <r>
    <x v="637"/>
    <x v="1"/>
    <x v="5"/>
    <s v="Agent"/>
    <x v="9"/>
    <n v="1"/>
    <n v="5778000"/>
    <n v="5.8408682040266398E-2"/>
    <n v="5441000"/>
    <x v="0"/>
    <x v="1"/>
  </r>
  <r>
    <x v="637"/>
    <x v="2"/>
    <x v="0"/>
    <s v="Website"/>
    <x v="7"/>
    <n v="1"/>
    <n v="2368000"/>
    <n v="0.126415865130977"/>
    <n v="2069000"/>
    <x v="12"/>
    <x v="1"/>
  </r>
  <r>
    <x v="637"/>
    <x v="0"/>
    <x v="0"/>
    <s v="Agent"/>
    <x v="6"/>
    <n v="1"/>
    <n v="2733000"/>
    <n v="0.109569350604124"/>
    <n v="2434000"/>
    <x v="6"/>
    <x v="0"/>
  </r>
  <r>
    <x v="637"/>
    <x v="3"/>
    <x v="5"/>
    <s v="Website"/>
    <x v="1"/>
    <n v="1"/>
    <n v="3061000"/>
    <n v="2.4E-2"/>
    <n v="2988000"/>
    <x v="2"/>
    <x v="0"/>
  </r>
  <r>
    <x v="637"/>
    <x v="1"/>
    <x v="3"/>
    <s v="Agent"/>
    <x v="2"/>
    <n v="3"/>
    <n v="1768000"/>
    <n v="8.5000000000000006E-2"/>
    <n v="4853000"/>
    <x v="6"/>
    <x v="0"/>
  </r>
  <r>
    <x v="637"/>
    <x v="1"/>
    <x v="3"/>
    <s v="Agent"/>
    <x v="2"/>
    <n v="1"/>
    <n v="2983000"/>
    <n v="0.153451716072765"/>
    <n v="2525000"/>
    <x v="1"/>
    <x v="0"/>
  </r>
  <r>
    <x v="638"/>
    <x v="0"/>
    <x v="5"/>
    <s v="Website"/>
    <x v="9"/>
    <n v="1"/>
    <n v="6469000"/>
    <n v="9.2631166546595201E-2"/>
    <n v="5870000"/>
    <x v="12"/>
    <x v="1"/>
  </r>
  <r>
    <x v="638"/>
    <x v="3"/>
    <x v="2"/>
    <s v="Mobile App"/>
    <x v="4"/>
    <n v="3"/>
    <n v="4165000"/>
    <n v="8.9255131084895398E-2"/>
    <n v="11380000"/>
    <x v="12"/>
    <x v="1"/>
  </r>
  <r>
    <x v="639"/>
    <x v="1"/>
    <x v="0"/>
    <s v="Website"/>
    <x v="6"/>
    <n v="1"/>
    <n v="2697000"/>
    <n v="0.112912191738964"/>
    <n v="2392000"/>
    <x v="12"/>
    <x v="1"/>
  </r>
  <r>
    <x v="640"/>
    <x v="1"/>
    <x v="4"/>
    <s v="Website"/>
    <x v="7"/>
    <n v="4"/>
    <n v="2689000"/>
    <n v="4.05109035519692E-2"/>
    <n v="10320000"/>
    <x v="13"/>
    <x v="0"/>
  </r>
  <r>
    <x v="640"/>
    <x v="2"/>
    <x v="1"/>
    <s v="Call Center"/>
    <x v="7"/>
    <n v="4"/>
    <n v="3417000"/>
    <n v="0.171199737739339"/>
    <n v="11328000"/>
    <x v="1"/>
    <x v="1"/>
  </r>
  <r>
    <x v="640"/>
    <x v="3"/>
    <x v="0"/>
    <s v="Website"/>
    <x v="6"/>
    <n v="2"/>
    <n v="2509000"/>
    <n v="0.10645909778939"/>
    <n v="4484000"/>
    <x v="2"/>
    <x v="1"/>
  </r>
  <r>
    <x v="640"/>
    <x v="1"/>
    <x v="0"/>
    <s v="Website"/>
    <x v="1"/>
    <n v="1"/>
    <n v="2534000"/>
    <n v="0.10331346502966"/>
    <n v="2272000"/>
    <x v="13"/>
    <x v="1"/>
  </r>
  <r>
    <x v="640"/>
    <x v="2"/>
    <x v="1"/>
    <s v="Mobile App"/>
    <x v="0"/>
    <n v="5"/>
    <n v="4572000"/>
    <n v="0.14000000000000001"/>
    <n v="19660000"/>
    <x v="1"/>
    <x v="0"/>
  </r>
  <r>
    <x v="641"/>
    <x v="1"/>
    <x v="2"/>
    <s v="Mobile App"/>
    <x v="5"/>
    <n v="3"/>
    <n v="4098000"/>
    <n v="9.4105346299596895E-2"/>
    <n v="11137000"/>
    <x v="18"/>
    <x v="1"/>
  </r>
  <r>
    <x v="641"/>
    <x v="0"/>
    <x v="3"/>
    <s v="Website"/>
    <x v="7"/>
    <n v="2"/>
    <n v="2096000"/>
    <n v="0.129850905609708"/>
    <n v="3648000"/>
    <x v="3"/>
    <x v="0"/>
  </r>
  <r>
    <x v="641"/>
    <x v="1"/>
    <x v="1"/>
    <s v="Mobile App"/>
    <x v="8"/>
    <n v="2"/>
    <n v="3656000"/>
    <n v="3.3080842737684399E-2"/>
    <n v="7070000"/>
    <x v="2"/>
    <x v="1"/>
  </r>
  <r>
    <x v="641"/>
    <x v="0"/>
    <x v="2"/>
    <s v="Agent"/>
    <x v="9"/>
    <n v="1"/>
    <n v="4043000"/>
    <n v="0.15141206319893499"/>
    <n v="3431000"/>
    <x v="4"/>
    <x v="0"/>
  </r>
  <r>
    <x v="641"/>
    <x v="0"/>
    <x v="0"/>
    <s v="Mobile App"/>
    <x v="9"/>
    <n v="2"/>
    <n v="2887000"/>
    <n v="8.0514616784124401E-2"/>
    <n v="5309000"/>
    <x v="0"/>
    <x v="1"/>
  </r>
  <r>
    <x v="642"/>
    <x v="3"/>
    <x v="2"/>
    <s v="Website"/>
    <x v="4"/>
    <n v="4"/>
    <n v="4505000"/>
    <n v="9.3992671922329199E-2"/>
    <n v="16326000"/>
    <x v="1"/>
    <x v="1"/>
  </r>
  <r>
    <x v="642"/>
    <x v="3"/>
    <x v="0"/>
    <s v="Website"/>
    <x v="9"/>
    <n v="2"/>
    <n v="2718000"/>
    <n v="9.9283309736955594E-2"/>
    <n v="4896000"/>
    <x v="6"/>
    <x v="0"/>
  </r>
  <r>
    <x v="642"/>
    <x v="1"/>
    <x v="0"/>
    <s v="Website"/>
    <x v="8"/>
    <n v="1"/>
    <n v="2488000"/>
    <n v="0.138609542174571"/>
    <n v="2143000"/>
    <x v="2"/>
    <x v="1"/>
  </r>
  <r>
    <x v="643"/>
    <x v="3"/>
    <x v="0"/>
    <s v="Mobile App"/>
    <x v="9"/>
    <n v="2"/>
    <n v="2806000"/>
    <n v="0.14391769173192301"/>
    <n v="4804000"/>
    <x v="12"/>
    <x v="1"/>
  </r>
  <r>
    <x v="643"/>
    <x v="1"/>
    <x v="1"/>
    <s v="Website"/>
    <x v="3"/>
    <n v="2"/>
    <n v="3045000"/>
    <n v="0.106886907153075"/>
    <n v="5439000"/>
    <x v="4"/>
    <x v="1"/>
  </r>
  <r>
    <x v="643"/>
    <x v="1"/>
    <x v="5"/>
    <s v="Website"/>
    <x v="1"/>
    <n v="2"/>
    <n v="4592000"/>
    <n v="8.2109024469208799E-2"/>
    <n v="8430000"/>
    <x v="5"/>
    <x v="0"/>
  </r>
  <r>
    <x v="644"/>
    <x v="1"/>
    <x v="5"/>
    <s v="Website"/>
    <x v="5"/>
    <n v="1"/>
    <n v="5529000"/>
    <n v="6.7646559132950701E-2"/>
    <n v="5155000"/>
    <x v="16"/>
    <x v="0"/>
  </r>
  <r>
    <x v="644"/>
    <x v="0"/>
    <x v="2"/>
    <s v="Website"/>
    <x v="6"/>
    <n v="1"/>
    <n v="4263000"/>
    <n v="9.4915445093986001E-2"/>
    <n v="3858000"/>
    <x v="2"/>
    <x v="1"/>
  </r>
  <r>
    <x v="644"/>
    <x v="3"/>
    <x v="0"/>
    <s v="Website"/>
    <x v="0"/>
    <n v="2"/>
    <n v="2931000"/>
    <n v="9.45571853912167E-2"/>
    <n v="5308000"/>
    <x v="8"/>
    <x v="1"/>
  </r>
  <r>
    <x v="645"/>
    <x v="0"/>
    <x v="4"/>
    <s v="Website"/>
    <x v="8"/>
    <n v="4"/>
    <n v="2589000"/>
    <n v="8.6754404724034895E-2"/>
    <n v="9458000"/>
    <x v="14"/>
    <x v="1"/>
  </r>
  <r>
    <x v="645"/>
    <x v="1"/>
    <x v="4"/>
    <s v="Website"/>
    <x v="7"/>
    <n v="1"/>
    <n v="2719000"/>
    <n v="6.5806288927677606E-2"/>
    <n v="2540000"/>
    <x v="0"/>
    <x v="0"/>
  </r>
  <r>
    <x v="646"/>
    <x v="2"/>
    <x v="3"/>
    <s v="Website"/>
    <x v="2"/>
    <n v="4"/>
    <n v="2691000"/>
    <n v="4.2160690430215003E-2"/>
    <n v="10310000"/>
    <x v="12"/>
    <x v="0"/>
  </r>
  <r>
    <x v="646"/>
    <x v="3"/>
    <x v="2"/>
    <s v="Website"/>
    <x v="8"/>
    <n v="1"/>
    <n v="4144000"/>
    <n v="0.117895955253194"/>
    <n v="3655000"/>
    <x v="0"/>
    <x v="0"/>
  </r>
  <r>
    <x v="646"/>
    <x v="2"/>
    <x v="4"/>
    <s v="Website"/>
    <x v="3"/>
    <n v="1"/>
    <n v="1526000"/>
    <n v="4.7E-2"/>
    <n v="1454000"/>
    <x v="5"/>
    <x v="0"/>
  </r>
  <r>
    <x v="646"/>
    <x v="0"/>
    <x v="2"/>
    <s v="Website"/>
    <x v="8"/>
    <n v="1"/>
    <n v="4146000"/>
    <n v="4.9000000000000002E-2"/>
    <n v="3944000"/>
    <x v="4"/>
    <x v="1"/>
  </r>
  <r>
    <x v="646"/>
    <x v="3"/>
    <x v="0"/>
    <s v="Agent"/>
    <x v="7"/>
    <n v="1"/>
    <n v="2477000"/>
    <n v="7.5543289637531902E-2"/>
    <n v="2290000"/>
    <x v="14"/>
    <x v="1"/>
  </r>
  <r>
    <x v="647"/>
    <x v="3"/>
    <x v="4"/>
    <s v="Mobile App"/>
    <x v="2"/>
    <n v="3"/>
    <n v="2945000"/>
    <n v="3.69435773866994E-2"/>
    <n v="8509000"/>
    <x v="12"/>
    <x v="0"/>
  </r>
  <r>
    <x v="647"/>
    <x v="3"/>
    <x v="2"/>
    <s v="Agent"/>
    <x v="0"/>
    <n v="2"/>
    <n v="5206000"/>
    <n v="7.6334901835467997E-2"/>
    <n v="9617000"/>
    <x v="7"/>
    <x v="1"/>
  </r>
  <r>
    <x v="647"/>
    <x v="1"/>
    <x v="0"/>
    <s v="Mobile App"/>
    <x v="7"/>
    <n v="1"/>
    <n v="2351000"/>
    <n v="0.14599999999999999"/>
    <n v="2008000"/>
    <x v="12"/>
    <x v="0"/>
  </r>
  <r>
    <x v="647"/>
    <x v="3"/>
    <x v="0"/>
    <s v="Mobile App"/>
    <x v="9"/>
    <n v="2"/>
    <n v="3532000"/>
    <n v="0.21299999999999999"/>
    <n v="5559000"/>
    <x v="3"/>
    <x v="0"/>
  </r>
  <r>
    <x v="647"/>
    <x v="0"/>
    <x v="2"/>
    <s v="Website"/>
    <x v="0"/>
    <n v="4"/>
    <n v="4515000"/>
    <n v="0.12690895024982099"/>
    <n v="15768000"/>
    <x v="16"/>
    <x v="0"/>
  </r>
  <r>
    <x v="647"/>
    <x v="0"/>
    <x v="4"/>
    <s v="Website"/>
    <x v="1"/>
    <n v="1"/>
    <n v="2649000"/>
    <n v="5.3716445841953502E-2"/>
    <n v="2507000"/>
    <x v="4"/>
    <x v="1"/>
  </r>
  <r>
    <x v="648"/>
    <x v="0"/>
    <x v="4"/>
    <s v="Agent"/>
    <x v="3"/>
    <n v="2"/>
    <n v="1949000"/>
    <n v="5.3999999999999999E-2"/>
    <n v="3688000"/>
    <x v="1"/>
    <x v="0"/>
  </r>
  <r>
    <x v="648"/>
    <x v="3"/>
    <x v="2"/>
    <s v="Website"/>
    <x v="4"/>
    <n v="1"/>
    <n v="3695000"/>
    <n v="0.11899999999999999"/>
    <n v="3255000"/>
    <x v="0"/>
    <x v="0"/>
  </r>
  <r>
    <x v="648"/>
    <x v="0"/>
    <x v="0"/>
    <s v="Mobile App"/>
    <x v="3"/>
    <n v="3"/>
    <n v="1712000"/>
    <n v="8.4000000000000005E-2"/>
    <n v="4705000"/>
    <x v="4"/>
    <x v="0"/>
  </r>
  <r>
    <x v="649"/>
    <x v="1"/>
    <x v="5"/>
    <s v="Website"/>
    <x v="5"/>
    <n v="1"/>
    <n v="5792000"/>
    <n v="7.1947307712144706E-2"/>
    <n v="5375000"/>
    <x v="1"/>
    <x v="0"/>
  </r>
  <r>
    <x v="650"/>
    <x v="2"/>
    <x v="2"/>
    <s v="Website"/>
    <x v="7"/>
    <n v="2"/>
    <n v="3898000"/>
    <n v="3.7799419822872299E-2"/>
    <n v="7501000"/>
    <x v="17"/>
    <x v="1"/>
  </r>
  <r>
    <x v="650"/>
    <x v="3"/>
    <x v="0"/>
    <s v="Website"/>
    <x v="1"/>
    <n v="4"/>
    <n v="2697000"/>
    <n v="0.153256198965672"/>
    <n v="9135000"/>
    <x v="15"/>
    <x v="1"/>
  </r>
  <r>
    <x v="651"/>
    <x v="0"/>
    <x v="0"/>
    <s v="Website"/>
    <x v="2"/>
    <n v="1"/>
    <n v="3392000"/>
    <n v="0.15466384881223499"/>
    <n v="2867000"/>
    <x v="3"/>
    <x v="0"/>
  </r>
  <r>
    <x v="651"/>
    <x v="1"/>
    <x v="2"/>
    <s v="Mobile App"/>
    <x v="9"/>
    <n v="1"/>
    <n v="4410000"/>
    <n v="6.3798840049799799E-2"/>
    <n v="4129000"/>
    <x v="7"/>
    <x v="1"/>
  </r>
  <r>
    <x v="651"/>
    <x v="0"/>
    <x v="5"/>
    <s v="Agent"/>
    <x v="2"/>
    <n v="1"/>
    <n v="4644000"/>
    <n v="2.1000000000000001E-2"/>
    <n v="4546000"/>
    <x v="4"/>
    <x v="0"/>
  </r>
  <r>
    <x v="651"/>
    <x v="3"/>
    <x v="3"/>
    <s v="Mobile App"/>
    <x v="0"/>
    <n v="1"/>
    <n v="3419000"/>
    <n v="0.11600000000000001"/>
    <n v="3022000"/>
    <x v="5"/>
    <x v="0"/>
  </r>
  <r>
    <x v="651"/>
    <x v="3"/>
    <x v="1"/>
    <s v="Website"/>
    <x v="2"/>
    <n v="1"/>
    <n v="4027000"/>
    <n v="7.63189413206386E-2"/>
    <n v="3720000"/>
    <x v="0"/>
    <x v="1"/>
  </r>
  <r>
    <x v="652"/>
    <x v="3"/>
    <x v="2"/>
    <s v="Website"/>
    <x v="1"/>
    <n v="3"/>
    <n v="3769000"/>
    <n v="6.6729005016758394E-2"/>
    <n v="10552000"/>
    <x v="3"/>
    <x v="0"/>
  </r>
  <r>
    <x v="652"/>
    <x v="2"/>
    <x v="2"/>
    <s v="Agent"/>
    <x v="5"/>
    <n v="2"/>
    <n v="3950000"/>
    <n v="4.7E-2"/>
    <n v="7529000"/>
    <x v="1"/>
    <x v="0"/>
  </r>
  <r>
    <x v="652"/>
    <x v="1"/>
    <x v="3"/>
    <s v="Website"/>
    <x v="6"/>
    <n v="2"/>
    <n v="1423000"/>
    <n v="4.9000000000000002E-2"/>
    <n v="2707000"/>
    <x v="0"/>
    <x v="0"/>
  </r>
  <r>
    <x v="653"/>
    <x v="3"/>
    <x v="0"/>
    <s v="Agent"/>
    <x v="4"/>
    <n v="1"/>
    <n v="2895000"/>
    <n v="0.157628097144901"/>
    <n v="2439000"/>
    <x v="2"/>
    <x v="0"/>
  </r>
  <r>
    <x v="653"/>
    <x v="0"/>
    <x v="2"/>
    <s v="Mobile App"/>
    <x v="4"/>
    <n v="2"/>
    <n v="4400000"/>
    <n v="3.5990261213370303E-2"/>
    <n v="8483000"/>
    <x v="4"/>
    <x v="1"/>
  </r>
  <r>
    <x v="653"/>
    <x v="3"/>
    <x v="2"/>
    <s v="Mobile App"/>
    <x v="5"/>
    <n v="3"/>
    <n v="4900000"/>
    <n v="8.2000000000000003E-2"/>
    <n v="13495000"/>
    <x v="14"/>
    <x v="0"/>
  </r>
  <r>
    <x v="654"/>
    <x v="1"/>
    <x v="2"/>
    <s v="Mobile App"/>
    <x v="1"/>
    <n v="1"/>
    <n v="2998000"/>
    <n v="0.102113400023766"/>
    <n v="2692000"/>
    <x v="5"/>
    <x v="1"/>
  </r>
  <r>
    <x v="654"/>
    <x v="1"/>
    <x v="0"/>
    <s v="Agent"/>
    <x v="4"/>
    <n v="3"/>
    <n v="2817000"/>
    <n v="0"/>
    <n v="8451000"/>
    <x v="0"/>
    <x v="0"/>
  </r>
  <r>
    <x v="655"/>
    <x v="1"/>
    <x v="0"/>
    <s v="Website"/>
    <x v="7"/>
    <n v="3"/>
    <n v="2166000"/>
    <n v="0.121355852576515"/>
    <n v="5709000"/>
    <x v="12"/>
    <x v="1"/>
  </r>
  <r>
    <x v="655"/>
    <x v="0"/>
    <x v="2"/>
    <s v="Website"/>
    <x v="6"/>
    <n v="1"/>
    <n v="3887000"/>
    <n v="0.100043414840549"/>
    <n v="3498000"/>
    <x v="12"/>
    <x v="1"/>
  </r>
  <r>
    <x v="655"/>
    <x v="3"/>
    <x v="5"/>
    <s v="Website"/>
    <x v="6"/>
    <n v="1"/>
    <n v="5719000"/>
    <n v="7.1999999999999995E-2"/>
    <n v="5307000"/>
    <x v="6"/>
    <x v="0"/>
  </r>
  <r>
    <x v="655"/>
    <x v="1"/>
    <x v="2"/>
    <s v="Website"/>
    <x v="6"/>
    <n v="1"/>
    <n v="3950000"/>
    <n v="8.7134090197996894E-2"/>
    <n v="3606000"/>
    <x v="13"/>
    <x v="1"/>
  </r>
  <r>
    <x v="655"/>
    <x v="1"/>
    <x v="2"/>
    <s v="Website"/>
    <x v="3"/>
    <n v="1"/>
    <n v="4220000"/>
    <n v="0.171618943726736"/>
    <n v="3496000"/>
    <x v="6"/>
    <x v="1"/>
  </r>
  <r>
    <x v="655"/>
    <x v="1"/>
    <x v="1"/>
    <s v="Mobile App"/>
    <x v="8"/>
    <n v="2"/>
    <n v="2983000"/>
    <n v="3.0088225341266001E-2"/>
    <n v="5786000"/>
    <x v="3"/>
    <x v="0"/>
  </r>
  <r>
    <x v="656"/>
    <x v="1"/>
    <x v="5"/>
    <s v="Mobile App"/>
    <x v="6"/>
    <n v="1"/>
    <n v="4604000"/>
    <n v="0.14313950645072401"/>
    <n v="3945000"/>
    <x v="5"/>
    <x v="1"/>
  </r>
  <r>
    <x v="656"/>
    <x v="3"/>
    <x v="2"/>
    <s v="Mobile App"/>
    <x v="4"/>
    <n v="2"/>
    <n v="3502000"/>
    <n v="0.01"/>
    <n v="6934000"/>
    <x v="8"/>
    <x v="0"/>
  </r>
  <r>
    <x v="656"/>
    <x v="3"/>
    <x v="5"/>
    <s v="Website"/>
    <x v="4"/>
    <n v="2"/>
    <n v="5593000"/>
    <n v="0.129"/>
    <n v="9743000"/>
    <x v="6"/>
    <x v="1"/>
  </r>
  <r>
    <x v="656"/>
    <x v="1"/>
    <x v="3"/>
    <s v="Website"/>
    <x v="1"/>
    <n v="3"/>
    <n v="2262000"/>
    <n v="8.0669713198877405E-2"/>
    <n v="6239000"/>
    <x v="13"/>
    <x v="0"/>
  </r>
  <r>
    <x v="656"/>
    <x v="1"/>
    <x v="0"/>
    <s v="Website"/>
    <x v="5"/>
    <n v="1"/>
    <n v="2447000"/>
    <n v="2.1000000000000001E-2"/>
    <n v="2396000"/>
    <x v="9"/>
    <x v="0"/>
  </r>
  <r>
    <x v="657"/>
    <x v="2"/>
    <x v="0"/>
    <s v="Mobile App"/>
    <x v="5"/>
    <n v="2"/>
    <n v="2744000"/>
    <n v="0.16700000000000001"/>
    <n v="4573000"/>
    <x v="13"/>
    <x v="0"/>
  </r>
  <r>
    <x v="657"/>
    <x v="1"/>
    <x v="2"/>
    <s v="Website"/>
    <x v="2"/>
    <n v="1"/>
    <n v="4840000"/>
    <n v="0.14299999999999999"/>
    <n v="4148000"/>
    <x v="3"/>
    <x v="0"/>
  </r>
  <r>
    <x v="657"/>
    <x v="3"/>
    <x v="3"/>
    <s v="Agent"/>
    <x v="8"/>
    <n v="4"/>
    <n v="2599000"/>
    <n v="0.129110603750727"/>
    <n v="9054000"/>
    <x v="1"/>
    <x v="1"/>
  </r>
  <r>
    <x v="657"/>
    <x v="3"/>
    <x v="5"/>
    <s v="Website"/>
    <x v="0"/>
    <n v="1"/>
    <n v="6402000"/>
    <n v="0.106"/>
    <n v="5723000"/>
    <x v="19"/>
    <x v="0"/>
  </r>
  <r>
    <x v="657"/>
    <x v="3"/>
    <x v="3"/>
    <s v="Website"/>
    <x v="0"/>
    <n v="3"/>
    <n v="3444000"/>
    <n v="0.152"/>
    <n v="8762000"/>
    <x v="5"/>
    <x v="0"/>
  </r>
  <r>
    <x v="658"/>
    <x v="2"/>
    <x v="4"/>
    <s v="Agent"/>
    <x v="1"/>
    <n v="3"/>
    <n v="2392000"/>
    <n v="8.3314404116933805E-2"/>
    <n v="6578000"/>
    <x v="17"/>
    <x v="1"/>
  </r>
  <r>
    <x v="658"/>
    <x v="1"/>
    <x v="4"/>
    <s v="Call Center"/>
    <x v="8"/>
    <n v="1"/>
    <n v="2256000"/>
    <n v="6.9000000000000006E-2"/>
    <n v="2100000"/>
    <x v="14"/>
    <x v="1"/>
  </r>
  <r>
    <x v="658"/>
    <x v="0"/>
    <x v="1"/>
    <s v="Website"/>
    <x v="3"/>
    <n v="4"/>
    <n v="3008000"/>
    <n v="0.18"/>
    <n v="9866000"/>
    <x v="4"/>
    <x v="0"/>
  </r>
  <r>
    <x v="659"/>
    <x v="3"/>
    <x v="2"/>
    <s v="Website"/>
    <x v="0"/>
    <n v="1"/>
    <n v="4488000"/>
    <n v="5.6393105408661298E-2"/>
    <n v="4235000"/>
    <x v="8"/>
    <x v="1"/>
  </r>
  <r>
    <x v="660"/>
    <x v="3"/>
    <x v="5"/>
    <s v="Website"/>
    <x v="4"/>
    <n v="1"/>
    <n v="4555000"/>
    <n v="0.13646835317964301"/>
    <n v="3933000"/>
    <x v="14"/>
    <x v="0"/>
  </r>
  <r>
    <x v="660"/>
    <x v="3"/>
    <x v="4"/>
    <s v="Website"/>
    <x v="8"/>
    <n v="2"/>
    <n v="1997000"/>
    <n v="0.156"/>
    <n v="3371000"/>
    <x v="4"/>
    <x v="1"/>
  </r>
  <r>
    <x v="660"/>
    <x v="1"/>
    <x v="3"/>
    <s v="Agent"/>
    <x v="0"/>
    <n v="1"/>
    <n v="1922000"/>
    <n v="0.112"/>
    <n v="1707000"/>
    <x v="10"/>
    <x v="0"/>
  </r>
  <r>
    <x v="661"/>
    <x v="1"/>
    <x v="5"/>
    <s v="Website"/>
    <x v="5"/>
    <n v="1"/>
    <n v="5611000"/>
    <n v="4.9396625475855799E-2"/>
    <n v="5334000"/>
    <x v="6"/>
    <x v="1"/>
  </r>
  <r>
    <x v="661"/>
    <x v="1"/>
    <x v="5"/>
    <s v="Website"/>
    <x v="9"/>
    <n v="2"/>
    <n v="5479000"/>
    <n v="6.7276482279982702E-2"/>
    <n v="10221000"/>
    <x v="7"/>
    <x v="1"/>
  </r>
  <r>
    <x v="662"/>
    <x v="3"/>
    <x v="4"/>
    <s v="Mobile App"/>
    <x v="4"/>
    <n v="1"/>
    <n v="2155000"/>
    <n v="0.11254904197449001"/>
    <n v="1912000"/>
    <x v="6"/>
    <x v="1"/>
  </r>
  <r>
    <x v="662"/>
    <x v="0"/>
    <x v="0"/>
    <s v="Agent"/>
    <x v="2"/>
    <n v="2"/>
    <n v="3227000"/>
    <n v="0.19"/>
    <n v="5228000"/>
    <x v="12"/>
    <x v="0"/>
  </r>
  <r>
    <x v="662"/>
    <x v="0"/>
    <x v="5"/>
    <s v="Website"/>
    <x v="9"/>
    <n v="2"/>
    <n v="5935000"/>
    <n v="0.12938319055400199"/>
    <n v="10334000"/>
    <x v="4"/>
    <x v="1"/>
  </r>
  <r>
    <x v="662"/>
    <x v="0"/>
    <x v="2"/>
    <s v="Mobile App"/>
    <x v="6"/>
    <n v="1"/>
    <n v="3858000"/>
    <n v="0.75"/>
    <n v="3576000"/>
    <x v="9"/>
    <x v="0"/>
  </r>
  <r>
    <x v="662"/>
    <x v="3"/>
    <x v="1"/>
    <s v="Mobile App"/>
    <x v="3"/>
    <n v="4"/>
    <n v="2327000"/>
    <n v="0.19700000000000001"/>
    <n v="7474000"/>
    <x v="12"/>
    <x v="0"/>
  </r>
  <r>
    <x v="662"/>
    <x v="1"/>
    <x v="1"/>
    <s v="Website"/>
    <x v="9"/>
    <n v="4"/>
    <n v="3596000"/>
    <n v="8.81216644148268E-3"/>
    <n v="14257000"/>
    <x v="0"/>
    <x v="0"/>
  </r>
  <r>
    <x v="663"/>
    <x v="0"/>
    <x v="2"/>
    <s v="Website"/>
    <x v="6"/>
    <n v="2"/>
    <n v="3895000"/>
    <n v="0.15290386044051299"/>
    <n v="6599000"/>
    <x v="8"/>
    <x v="0"/>
  </r>
  <r>
    <x v="663"/>
    <x v="1"/>
    <x v="3"/>
    <s v="Agent"/>
    <x v="0"/>
    <n v="1"/>
    <n v="2018000"/>
    <n v="0.12"/>
    <n v="1776000"/>
    <x v="3"/>
    <x v="0"/>
  </r>
  <r>
    <x v="663"/>
    <x v="1"/>
    <x v="5"/>
    <s v="Website"/>
    <x v="3"/>
    <n v="1"/>
    <n v="4353000"/>
    <n v="8.2231051494608895E-2"/>
    <n v="3995000"/>
    <x v="2"/>
    <x v="1"/>
  </r>
  <r>
    <x v="663"/>
    <x v="3"/>
    <x v="2"/>
    <s v="Website"/>
    <x v="2"/>
    <n v="2"/>
    <n v="5098000"/>
    <n v="9.4E-2"/>
    <n v="9238000"/>
    <x v="5"/>
    <x v="0"/>
  </r>
  <r>
    <x v="664"/>
    <x v="3"/>
    <x v="2"/>
    <s v="Mobile App"/>
    <x v="7"/>
    <n v="5"/>
    <n v="3390000"/>
    <n v="0.14602786144473101"/>
    <n v="14475000"/>
    <x v="12"/>
    <x v="0"/>
  </r>
  <r>
    <x v="664"/>
    <x v="1"/>
    <x v="0"/>
    <s v="Agent"/>
    <x v="1"/>
    <n v="2"/>
    <n v="2534000"/>
    <n v="0.12754988140854201"/>
    <n v="4422000"/>
    <x v="15"/>
    <x v="0"/>
  </r>
  <r>
    <x v="664"/>
    <x v="0"/>
    <x v="0"/>
    <s v="Website"/>
    <x v="6"/>
    <n v="2"/>
    <n v="2432000"/>
    <n v="6.4219233487671196E-2"/>
    <n v="4552000"/>
    <x v="5"/>
    <x v="1"/>
  </r>
  <r>
    <x v="664"/>
    <x v="1"/>
    <x v="4"/>
    <s v="Agent"/>
    <x v="7"/>
    <n v="3"/>
    <n v="2127000"/>
    <n v="5.3999999999999999E-2"/>
    <n v="6036000"/>
    <x v="12"/>
    <x v="0"/>
  </r>
  <r>
    <x v="664"/>
    <x v="1"/>
    <x v="2"/>
    <s v="Website"/>
    <x v="8"/>
    <n v="3"/>
    <n v="3551000"/>
    <n v="9.4730653407038998E-2"/>
    <n v="9644000"/>
    <x v="6"/>
    <x v="1"/>
  </r>
  <r>
    <x v="664"/>
    <x v="2"/>
    <x v="3"/>
    <s v="Website"/>
    <x v="0"/>
    <n v="4"/>
    <n v="2587000"/>
    <n v="9.5142605550982001E-2"/>
    <n v="9363000"/>
    <x v="7"/>
    <x v="1"/>
  </r>
  <r>
    <x v="665"/>
    <x v="3"/>
    <x v="0"/>
    <s v="Agent"/>
    <x v="9"/>
    <n v="1"/>
    <n v="3390000"/>
    <n v="-0.2"/>
    <n v="3207000"/>
    <x v="0"/>
    <x v="0"/>
  </r>
  <r>
    <x v="665"/>
    <x v="1"/>
    <x v="4"/>
    <s v="Website"/>
    <x v="1"/>
    <n v="4"/>
    <n v="2419000"/>
    <n v="9.4213406554798998E-2"/>
    <n v="8764000"/>
    <x v="15"/>
    <x v="0"/>
  </r>
  <r>
    <x v="666"/>
    <x v="1"/>
    <x v="2"/>
    <s v="Website"/>
    <x v="2"/>
    <n v="3"/>
    <n v="4324000"/>
    <n v="0.149971664122449"/>
    <n v="11027000"/>
    <x v="4"/>
    <x v="1"/>
  </r>
  <r>
    <x v="666"/>
    <x v="1"/>
    <x v="0"/>
    <s v="Website"/>
    <x v="2"/>
    <n v="1"/>
    <n v="2786000"/>
    <n v="8.5492585780207395E-2"/>
    <n v="2548000"/>
    <x v="2"/>
    <x v="1"/>
  </r>
  <r>
    <x v="666"/>
    <x v="0"/>
    <x v="2"/>
    <s v="Website"/>
    <x v="5"/>
    <n v="3"/>
    <n v="3875000"/>
    <n v="0.11449547352143299"/>
    <n v="10294000"/>
    <x v="12"/>
    <x v="1"/>
  </r>
  <r>
    <x v="667"/>
    <x v="1"/>
    <x v="2"/>
    <s v="Mobile App"/>
    <x v="8"/>
    <n v="1"/>
    <n v="3487000"/>
    <n v="0.108480666819963"/>
    <n v="3109000"/>
    <x v="4"/>
    <x v="0"/>
  </r>
  <r>
    <x v="668"/>
    <x v="0"/>
    <x v="3"/>
    <s v="Agent"/>
    <x v="0"/>
    <n v="3"/>
    <n v="2805000"/>
    <n v="0.129"/>
    <n v="7329000"/>
    <x v="5"/>
    <x v="0"/>
  </r>
  <r>
    <x v="668"/>
    <x v="3"/>
    <x v="5"/>
    <s v="Website"/>
    <x v="4"/>
    <n v="1"/>
    <n v="4548000"/>
    <n v="3.5962031946122297E-2"/>
    <n v="4384000"/>
    <x v="13"/>
    <x v="0"/>
  </r>
  <r>
    <x v="668"/>
    <x v="3"/>
    <x v="0"/>
    <s v="Website"/>
    <x v="0"/>
    <n v="3"/>
    <n v="2830000"/>
    <n v="0.14820464786607801"/>
    <n v="7232000"/>
    <x v="0"/>
    <x v="0"/>
  </r>
  <r>
    <x v="669"/>
    <x v="2"/>
    <x v="0"/>
    <s v="Agent"/>
    <x v="6"/>
    <n v="1"/>
    <n v="2337000"/>
    <n v="3.9562159752465499E-2"/>
    <n v="2245000"/>
    <x v="2"/>
    <x v="0"/>
  </r>
  <r>
    <x v="669"/>
    <x v="2"/>
    <x v="5"/>
    <s v="Agent"/>
    <x v="8"/>
    <n v="1"/>
    <n v="5801000"/>
    <n v="0.21099999999999999"/>
    <n v="4577000"/>
    <x v="6"/>
    <x v="1"/>
  </r>
  <r>
    <x v="670"/>
    <x v="3"/>
    <x v="0"/>
    <s v="Website"/>
    <x v="3"/>
    <n v="1"/>
    <n v="1793000"/>
    <n v="0.111"/>
    <n v="1594000"/>
    <x v="1"/>
    <x v="0"/>
  </r>
  <r>
    <x v="670"/>
    <x v="0"/>
    <x v="4"/>
    <s v="Mobile App"/>
    <x v="8"/>
    <n v="1"/>
    <n v="2399000"/>
    <n v="8.1211884561166098E-2"/>
    <n v="2204000"/>
    <x v="13"/>
    <x v="1"/>
  </r>
  <r>
    <x v="670"/>
    <x v="3"/>
    <x v="1"/>
    <s v="Mobile App"/>
    <x v="1"/>
    <n v="2"/>
    <n v="2583000"/>
    <n v="9.5000000000000001E-2"/>
    <n v="4675000"/>
    <x v="0"/>
    <x v="0"/>
  </r>
  <r>
    <x v="671"/>
    <x v="1"/>
    <x v="0"/>
    <s v="Website"/>
    <x v="7"/>
    <n v="2"/>
    <n v="2140000"/>
    <n v="5.9786555194102198E-2"/>
    <n v="4024000"/>
    <x v="1"/>
    <x v="1"/>
  </r>
  <r>
    <x v="671"/>
    <x v="3"/>
    <x v="2"/>
    <s v="Agent"/>
    <x v="2"/>
    <n v="2"/>
    <n v="5753000"/>
    <n v="0.11"/>
    <n v="10240000"/>
    <x v="0"/>
    <x v="0"/>
  </r>
  <r>
    <x v="671"/>
    <x v="0"/>
    <x v="5"/>
    <s v="Website"/>
    <x v="3"/>
    <n v="2"/>
    <n v="4188000"/>
    <n v="0.16"/>
    <n v="7036000"/>
    <x v="15"/>
    <x v="1"/>
  </r>
  <r>
    <x v="671"/>
    <x v="3"/>
    <x v="4"/>
    <s v="Website"/>
    <x v="4"/>
    <n v="1"/>
    <n v="2003000"/>
    <n v="0.101004405232725"/>
    <n v="1801000"/>
    <x v="14"/>
    <x v="1"/>
  </r>
  <r>
    <x v="672"/>
    <x v="3"/>
    <x v="0"/>
    <s v="Website"/>
    <x v="8"/>
    <n v="1"/>
    <n v="2212000"/>
    <n v="0.103334337153727"/>
    <n v="1983000"/>
    <x v="4"/>
    <x v="1"/>
  </r>
  <r>
    <x v="672"/>
    <x v="0"/>
    <x v="2"/>
    <s v="Agent"/>
    <x v="4"/>
    <n v="3"/>
    <n v="4053000"/>
    <n v="3.3234981440619003E-2"/>
    <n v="11755000"/>
    <x v="7"/>
    <x v="1"/>
  </r>
  <r>
    <x v="672"/>
    <x v="3"/>
    <x v="0"/>
    <s v="Agent"/>
    <x v="5"/>
    <n v="4"/>
    <n v="2646000"/>
    <n v="9.71883459119771E-2"/>
    <n v="9555000"/>
    <x v="2"/>
    <x v="1"/>
  </r>
  <r>
    <x v="673"/>
    <x v="3"/>
    <x v="3"/>
    <s v="Website"/>
    <x v="5"/>
    <n v="4"/>
    <n v="2023000"/>
    <n v="0.132621375571365"/>
    <n v="7019000"/>
    <x v="13"/>
    <x v="1"/>
  </r>
  <r>
    <x v="673"/>
    <x v="1"/>
    <x v="5"/>
    <s v="Website"/>
    <x v="5"/>
    <n v="1"/>
    <n v="5030000"/>
    <n v="0.126"/>
    <n v="4396000"/>
    <x v="15"/>
    <x v="0"/>
  </r>
  <r>
    <x v="673"/>
    <x v="1"/>
    <x v="0"/>
    <s v="Website"/>
    <x v="9"/>
    <n v="1"/>
    <n v="2590000"/>
    <n v="8.3253494184912999E-2"/>
    <n v="2374000"/>
    <x v="0"/>
    <x v="0"/>
  </r>
  <r>
    <x v="673"/>
    <x v="3"/>
    <x v="1"/>
    <s v="Mobile App"/>
    <x v="9"/>
    <n v="1"/>
    <n v="3473000"/>
    <n v="7.7916123868611006E-2"/>
    <n v="3202000"/>
    <x v="0"/>
    <x v="1"/>
  </r>
  <r>
    <x v="673"/>
    <x v="0"/>
    <x v="1"/>
    <s v="Website"/>
    <x v="3"/>
    <n v="2"/>
    <n v="3222000"/>
    <n v="6.2015165542916702E-2"/>
    <n v="6044000"/>
    <x v="6"/>
    <x v="1"/>
  </r>
  <r>
    <x v="673"/>
    <x v="2"/>
    <x v="2"/>
    <s v="Website"/>
    <x v="3"/>
    <n v="1"/>
    <n v="4335000"/>
    <n v="0.122562840990406"/>
    <n v="3804000"/>
    <x v="2"/>
    <x v="0"/>
  </r>
  <r>
    <x v="674"/>
    <x v="3"/>
    <x v="1"/>
    <s v="Mobile App"/>
    <x v="8"/>
    <n v="5"/>
    <n v="2499000"/>
    <n v="0.1"/>
    <n v="11246000"/>
    <x v="5"/>
    <x v="1"/>
  </r>
  <r>
    <x v="674"/>
    <x v="1"/>
    <x v="1"/>
    <s v="Website"/>
    <x v="5"/>
    <n v="5"/>
    <n v="3476000"/>
    <n v="0.152"/>
    <n v="14738000"/>
    <x v="15"/>
    <x v="0"/>
  </r>
  <r>
    <x v="674"/>
    <x v="0"/>
    <x v="0"/>
    <s v="Agent"/>
    <x v="2"/>
    <n v="1"/>
    <n v="3315000"/>
    <n v="8.5999999999999993E-2"/>
    <n v="3029000"/>
    <x v="6"/>
    <x v="1"/>
  </r>
  <r>
    <x v="674"/>
    <x v="3"/>
    <x v="0"/>
    <s v="Mobile App"/>
    <x v="8"/>
    <n v="2"/>
    <n v="2274000"/>
    <n v="0.10916831350333001"/>
    <n v="4052000"/>
    <x v="2"/>
    <x v="1"/>
  </r>
  <r>
    <x v="675"/>
    <x v="2"/>
    <x v="3"/>
    <s v="Mobile App"/>
    <x v="4"/>
    <n v="3"/>
    <n v="1356000"/>
    <n v="7.5403192864387597E-2"/>
    <n v="3761000"/>
    <x v="2"/>
    <x v="0"/>
  </r>
  <r>
    <x v="675"/>
    <x v="2"/>
    <x v="5"/>
    <s v="Agent"/>
    <x v="8"/>
    <n v="1"/>
    <n v="5252000"/>
    <n v="0.13420869412452799"/>
    <n v="4547000"/>
    <x v="2"/>
    <x v="1"/>
  </r>
  <r>
    <x v="675"/>
    <x v="1"/>
    <x v="0"/>
    <s v="Website"/>
    <x v="5"/>
    <n v="3"/>
    <n v="3788000"/>
    <n v="4.8000000000000001E-2"/>
    <n v="10819000"/>
    <x v="6"/>
    <x v="0"/>
  </r>
  <r>
    <x v="675"/>
    <x v="2"/>
    <x v="0"/>
    <s v="Website"/>
    <x v="8"/>
    <n v="1"/>
    <n v="3453000"/>
    <n v="6.5000000000000002E-2"/>
    <n v="3229000"/>
    <x v="19"/>
    <x v="0"/>
  </r>
  <r>
    <x v="676"/>
    <x v="0"/>
    <x v="1"/>
    <s v="Website"/>
    <x v="2"/>
    <n v="4"/>
    <n v="3784000"/>
    <n v="0.11377317537323201"/>
    <n v="13414000"/>
    <x v="2"/>
    <x v="1"/>
  </r>
  <r>
    <x v="676"/>
    <x v="0"/>
    <x v="4"/>
    <s v="Agent"/>
    <x v="2"/>
    <n v="2"/>
    <n v="2006000"/>
    <n v="7.4244940347343205E-2"/>
    <n v="3714000"/>
    <x v="8"/>
    <x v="0"/>
  </r>
  <r>
    <x v="676"/>
    <x v="3"/>
    <x v="2"/>
    <s v="Mobile App"/>
    <x v="1"/>
    <n v="1"/>
    <n v="3156000"/>
    <n v="6.6946444295826205E-2"/>
    <n v="2945000"/>
    <x v="15"/>
    <x v="0"/>
  </r>
  <r>
    <x v="676"/>
    <x v="2"/>
    <x v="1"/>
    <s v="Agent"/>
    <x v="3"/>
    <n v="2"/>
    <n v="3104000"/>
    <n v="9.4899641005169302E-2"/>
    <n v="5619000"/>
    <x v="7"/>
    <x v="1"/>
  </r>
  <r>
    <x v="677"/>
    <x v="1"/>
    <x v="2"/>
    <s v="Mobile App"/>
    <x v="0"/>
    <n v="1"/>
    <n v="4578000"/>
    <n v="8.3716265586271807E-2"/>
    <n v="4195000"/>
    <x v="0"/>
    <x v="1"/>
  </r>
  <r>
    <x v="677"/>
    <x v="0"/>
    <x v="5"/>
    <s v="Mobile App"/>
    <x v="4"/>
    <n v="2"/>
    <n v="4909000"/>
    <n v="0.113015755219393"/>
    <n v="8708000"/>
    <x v="13"/>
    <x v="0"/>
  </r>
  <r>
    <x v="677"/>
    <x v="0"/>
    <x v="0"/>
    <s v="Website"/>
    <x v="5"/>
    <n v="2"/>
    <n v="2958000"/>
    <n v="0.126"/>
    <n v="5171000"/>
    <x v="8"/>
    <x v="1"/>
  </r>
  <r>
    <x v="677"/>
    <x v="0"/>
    <x v="3"/>
    <s v="Mobile App"/>
    <x v="5"/>
    <n v="1"/>
    <n v="1996000"/>
    <n v="0.136598910998186"/>
    <n v="1723000"/>
    <x v="0"/>
    <x v="1"/>
  </r>
  <r>
    <x v="678"/>
    <x v="1"/>
    <x v="4"/>
    <s v="Agent"/>
    <x v="3"/>
    <n v="1"/>
    <n v="2135000"/>
    <n v="7.1999999999999995E-2"/>
    <n v="1981000"/>
    <x v="13"/>
    <x v="0"/>
  </r>
  <r>
    <x v="678"/>
    <x v="3"/>
    <x v="3"/>
    <s v="Website"/>
    <x v="2"/>
    <n v="3"/>
    <n v="2575000"/>
    <n v="0.135258761602216"/>
    <n v="6680000"/>
    <x v="2"/>
    <x v="1"/>
  </r>
  <r>
    <x v="678"/>
    <x v="0"/>
    <x v="1"/>
    <s v="Agent"/>
    <x v="2"/>
    <n v="2"/>
    <n v="3686000"/>
    <n v="8.1441922722682802E-2"/>
    <n v="6772000"/>
    <x v="12"/>
    <x v="0"/>
  </r>
  <r>
    <x v="678"/>
    <x v="0"/>
    <x v="2"/>
    <s v="Call Center"/>
    <x v="9"/>
    <n v="1"/>
    <n v="3971000"/>
    <n v="8.1363677367320503E-2"/>
    <n v="3648000"/>
    <x v="13"/>
    <x v="1"/>
  </r>
  <r>
    <x v="678"/>
    <x v="1"/>
    <x v="2"/>
    <s v="Mobile App"/>
    <x v="2"/>
    <n v="3"/>
    <n v="5527000"/>
    <n v="0.14399999999999999"/>
    <n v="14193000"/>
    <x v="9"/>
    <x v="1"/>
  </r>
  <r>
    <x v="679"/>
    <x v="2"/>
    <x v="0"/>
    <s v="Mobile App"/>
    <x v="0"/>
    <n v="2"/>
    <n v="2211000"/>
    <n v="0.14899999999999999"/>
    <n v="3763000"/>
    <x v="4"/>
    <x v="0"/>
  </r>
  <r>
    <x v="679"/>
    <x v="3"/>
    <x v="2"/>
    <s v="Agent"/>
    <x v="1"/>
    <n v="1"/>
    <n v="3126000"/>
    <n v="0.111"/>
    <n v="2779000"/>
    <x v="14"/>
    <x v="0"/>
  </r>
  <r>
    <x v="679"/>
    <x v="2"/>
    <x v="2"/>
    <s v="Agent"/>
    <x v="8"/>
    <n v="4"/>
    <n v="3499000"/>
    <n v="0.13447107692537799"/>
    <n v="12114000"/>
    <x v="5"/>
    <x v="0"/>
  </r>
  <r>
    <x v="680"/>
    <x v="2"/>
    <x v="0"/>
    <s v="Website"/>
    <x v="3"/>
    <n v="2"/>
    <n v="2069000"/>
    <n v="0.126"/>
    <n v="3617000"/>
    <x v="12"/>
    <x v="0"/>
  </r>
  <r>
    <x v="680"/>
    <x v="3"/>
    <x v="2"/>
    <s v="Website"/>
    <x v="5"/>
    <n v="2"/>
    <n v="4063000"/>
    <n v="0.10221311103075501"/>
    <n v="7295000"/>
    <x v="14"/>
    <x v="1"/>
  </r>
  <r>
    <x v="680"/>
    <x v="3"/>
    <x v="0"/>
    <s v="Agent"/>
    <x v="4"/>
    <n v="1"/>
    <n v="2685000"/>
    <n v="8.4000000000000005E-2"/>
    <n v="2459000"/>
    <x v="12"/>
    <x v="0"/>
  </r>
  <r>
    <x v="680"/>
    <x v="1"/>
    <x v="0"/>
    <s v="Mobile App"/>
    <x v="8"/>
    <n v="2"/>
    <n v="2272000"/>
    <n v="8.9817329364771506E-2"/>
    <n v="4136000"/>
    <x v="16"/>
    <x v="1"/>
  </r>
  <r>
    <x v="680"/>
    <x v="3"/>
    <x v="2"/>
    <s v="Website"/>
    <x v="4"/>
    <n v="5"/>
    <n v="4171000"/>
    <n v="0.113"/>
    <n v="18495000"/>
    <x v="17"/>
    <x v="0"/>
  </r>
  <r>
    <x v="680"/>
    <x v="1"/>
    <x v="0"/>
    <s v="Website"/>
    <x v="8"/>
    <n v="1"/>
    <n v="1713000"/>
    <n v="0.154"/>
    <n v="1449000"/>
    <x v="6"/>
    <x v="0"/>
  </r>
  <r>
    <x v="681"/>
    <x v="1"/>
    <x v="1"/>
    <s v="Website"/>
    <x v="1"/>
    <n v="4"/>
    <n v="3003000"/>
    <n v="0.100025636028943"/>
    <n v="10810000"/>
    <x v="1"/>
    <x v="1"/>
  </r>
  <r>
    <x v="681"/>
    <x v="0"/>
    <x v="2"/>
    <s v="Website"/>
    <x v="0"/>
    <n v="1"/>
    <n v="4321000"/>
    <n v="0.13456146515803599"/>
    <n v="3740000"/>
    <x v="8"/>
    <x v="1"/>
  </r>
  <r>
    <x v="682"/>
    <x v="1"/>
    <x v="2"/>
    <s v="Website"/>
    <x v="9"/>
    <n v="1"/>
    <n v="5380000"/>
    <n v="0.20399999999999999"/>
    <n v="4282000"/>
    <x v="5"/>
    <x v="0"/>
  </r>
  <r>
    <x v="682"/>
    <x v="1"/>
    <x v="3"/>
    <s v="Agent"/>
    <x v="7"/>
    <n v="3"/>
    <n v="1985000"/>
    <n v="0.130400520016766"/>
    <n v="5178000"/>
    <x v="1"/>
    <x v="1"/>
  </r>
  <r>
    <x v="682"/>
    <x v="3"/>
    <x v="3"/>
    <s v="Website"/>
    <x v="3"/>
    <n v="1"/>
    <n v="2430000"/>
    <n v="0.115038898092409"/>
    <n v="2150000"/>
    <x v="17"/>
    <x v="0"/>
  </r>
  <r>
    <x v="682"/>
    <x v="3"/>
    <x v="0"/>
    <s v="Mobile App"/>
    <x v="3"/>
    <n v="2"/>
    <n v="2950000"/>
    <n v="0.10081808699040699"/>
    <n v="5305000"/>
    <x v="5"/>
    <x v="1"/>
  </r>
  <r>
    <x v="682"/>
    <x v="3"/>
    <x v="1"/>
    <s v="Mobile App"/>
    <x v="8"/>
    <n v="2"/>
    <n v="2776000"/>
    <n v="0.11899999999999999"/>
    <n v="4891000"/>
    <x v="5"/>
    <x v="1"/>
  </r>
  <r>
    <x v="682"/>
    <x v="2"/>
    <x v="3"/>
    <s v="Website"/>
    <x v="8"/>
    <n v="4"/>
    <n v="2450000"/>
    <n v="0.103911007482607"/>
    <n v="8782000"/>
    <x v="15"/>
    <x v="0"/>
  </r>
  <r>
    <x v="683"/>
    <x v="1"/>
    <x v="1"/>
    <s v="Mobile App"/>
    <x v="8"/>
    <n v="3"/>
    <n v="3057000"/>
    <n v="0.13606985607272301"/>
    <n v="7923000"/>
    <x v="0"/>
    <x v="1"/>
  </r>
  <r>
    <x v="683"/>
    <x v="1"/>
    <x v="1"/>
    <s v="Website"/>
    <x v="9"/>
    <n v="3"/>
    <n v="3625000"/>
    <n v="0.14599999999999999"/>
    <n v="9287000"/>
    <x v="13"/>
    <x v="0"/>
  </r>
  <r>
    <x v="683"/>
    <x v="1"/>
    <x v="5"/>
    <s v="Call Center"/>
    <x v="8"/>
    <n v="2"/>
    <n v="5365000"/>
    <n v="0.12395091627785899"/>
    <n v="9400000"/>
    <x v="8"/>
    <x v="0"/>
  </r>
  <r>
    <x v="683"/>
    <x v="2"/>
    <x v="3"/>
    <s v="Mobile App"/>
    <x v="1"/>
    <n v="2"/>
    <n v="-100000"/>
    <n v="0.16200000000000001"/>
    <n v="2774000"/>
    <x v="12"/>
    <x v="1"/>
  </r>
  <r>
    <x v="683"/>
    <x v="1"/>
    <x v="0"/>
    <s v="Website"/>
    <x v="1"/>
    <n v="1"/>
    <n v="1795000"/>
    <n v="5.0999999999999997E-2"/>
    <n v="1703000"/>
    <x v="4"/>
    <x v="0"/>
  </r>
  <r>
    <x v="684"/>
    <x v="3"/>
    <x v="1"/>
    <s v="Mobile App"/>
    <x v="0"/>
    <n v="3"/>
    <n v="2682000"/>
    <n v="0.20699999999999999"/>
    <n v="6380000"/>
    <x v="0"/>
    <x v="0"/>
  </r>
  <r>
    <x v="684"/>
    <x v="3"/>
    <x v="2"/>
    <s v="Call Center"/>
    <x v="1"/>
    <n v="2"/>
    <n v="4644000"/>
    <n v="8.5999999999999993E-2"/>
    <n v="8489000"/>
    <x v="13"/>
    <x v="0"/>
  </r>
  <r>
    <x v="684"/>
    <x v="3"/>
    <x v="4"/>
    <s v="Website"/>
    <x v="3"/>
    <n v="1"/>
    <n v="2135000"/>
    <n v="0.16490820707679199"/>
    <n v="1783000"/>
    <x v="18"/>
    <x v="0"/>
  </r>
  <r>
    <x v="684"/>
    <x v="1"/>
    <x v="4"/>
    <s v="Website"/>
    <x v="1"/>
    <n v="1"/>
    <n v="2457000"/>
    <n v="0.119238042756528"/>
    <n v="2164000"/>
    <x v="1"/>
    <x v="1"/>
  </r>
  <r>
    <x v="684"/>
    <x v="3"/>
    <x v="1"/>
    <s v="Website"/>
    <x v="5"/>
    <n v="5"/>
    <n v="2686000"/>
    <n v="0.112"/>
    <n v="11926000"/>
    <x v="3"/>
    <x v="0"/>
  </r>
  <r>
    <x v="684"/>
    <x v="3"/>
    <x v="3"/>
    <s v="Agent"/>
    <x v="6"/>
    <n v="1"/>
    <n v="2116000"/>
    <n v="0.110741003045043"/>
    <n v="1882000"/>
    <x v="10"/>
    <x v="1"/>
  </r>
  <r>
    <x v="685"/>
    <x v="3"/>
    <x v="5"/>
    <s v="Call Center"/>
    <x v="0"/>
    <n v="2"/>
    <n v="6120000"/>
    <n v="0.12"/>
    <n v="10771000"/>
    <x v="5"/>
    <x v="0"/>
  </r>
  <r>
    <x v="685"/>
    <x v="2"/>
    <x v="4"/>
    <s v="Mobile App"/>
    <x v="2"/>
    <n v="3"/>
    <n v="2966000"/>
    <n v="5.1999999999999998E-2"/>
    <n v="8435000"/>
    <x v="11"/>
    <x v="0"/>
  </r>
  <r>
    <x v="686"/>
    <x v="0"/>
    <x v="2"/>
    <s v="Mobile App"/>
    <x v="9"/>
    <n v="4"/>
    <n v="4277000"/>
    <n v="0.10299999999999999"/>
    <n v="15346000"/>
    <x v="4"/>
    <x v="1"/>
  </r>
  <r>
    <x v="686"/>
    <x v="1"/>
    <x v="5"/>
    <s v="Mobile App"/>
    <x v="9"/>
    <n v="1"/>
    <n v="6204000"/>
    <n v="4.9803776163847902E-2"/>
    <n v="5895000"/>
    <x v="1"/>
    <x v="0"/>
  </r>
  <r>
    <x v="687"/>
    <x v="0"/>
    <x v="0"/>
    <s v="Website"/>
    <x v="7"/>
    <n v="3"/>
    <n v="2393000"/>
    <n v="0.14399999999999999"/>
    <n v="6145000"/>
    <x v="0"/>
    <x v="0"/>
  </r>
  <r>
    <x v="687"/>
    <x v="3"/>
    <x v="2"/>
    <s v="Website"/>
    <x v="6"/>
    <n v="1"/>
    <n v="4537000"/>
    <n v="6.4868509025489601E-2"/>
    <n v="4243000"/>
    <x v="16"/>
    <x v="1"/>
  </r>
  <r>
    <x v="687"/>
    <x v="1"/>
    <x v="1"/>
    <s v="Agent"/>
    <x v="6"/>
    <n v="2"/>
    <n v="3153000"/>
    <n v="0.11600000000000001"/>
    <n v="5577000"/>
    <x v="8"/>
    <x v="1"/>
  </r>
  <r>
    <x v="687"/>
    <x v="2"/>
    <x v="0"/>
    <s v="Website"/>
    <x v="7"/>
    <n v="4"/>
    <n v="2570000"/>
    <n v="5.1655925044581497E-2"/>
    <n v="9749000"/>
    <x v="12"/>
    <x v="1"/>
  </r>
  <r>
    <x v="687"/>
    <x v="2"/>
    <x v="3"/>
    <s v="Website"/>
    <x v="8"/>
    <n v="1"/>
    <n v="2885000"/>
    <n v="7.2999999999999995E-2"/>
    <n v="2674000"/>
    <x v="9"/>
    <x v="0"/>
  </r>
  <r>
    <x v="688"/>
    <x v="3"/>
    <x v="4"/>
    <s v="Website"/>
    <x v="0"/>
    <n v="3"/>
    <n v="3628000"/>
    <n v="0.75"/>
    <n v="8968000"/>
    <x v="12"/>
    <x v="0"/>
  </r>
  <r>
    <x v="688"/>
    <x v="1"/>
    <x v="0"/>
    <s v="Website"/>
    <x v="5"/>
    <n v="1"/>
    <n v="1668000"/>
    <n v="0.26300000000000001"/>
    <n v="1229000"/>
    <x v="0"/>
    <x v="0"/>
  </r>
  <r>
    <x v="688"/>
    <x v="3"/>
    <x v="5"/>
    <s v="Agent"/>
    <x v="5"/>
    <n v="4"/>
    <n v="3792000"/>
    <n v="9.3130084091797294E-2"/>
    <n v="13755000"/>
    <x v="5"/>
    <x v="0"/>
  </r>
  <r>
    <x v="688"/>
    <x v="1"/>
    <x v="4"/>
    <s v="Website"/>
    <x v="2"/>
    <n v="2"/>
    <n v="2711000"/>
    <n v="0.113"/>
    <n v="4809000"/>
    <x v="15"/>
    <x v="0"/>
  </r>
  <r>
    <x v="688"/>
    <x v="1"/>
    <x v="5"/>
    <s v="Website"/>
    <x v="4"/>
    <n v="1"/>
    <n v="3179000"/>
    <n v="9.1999999999999998E-2"/>
    <n v="2887000"/>
    <x v="4"/>
    <x v="0"/>
  </r>
  <r>
    <x v="689"/>
    <x v="0"/>
    <x v="5"/>
    <s v="Website"/>
    <x v="9"/>
    <n v="2"/>
    <n v="5816000"/>
    <n v="0.126"/>
    <n v="10166000"/>
    <x v="5"/>
    <x v="0"/>
  </r>
  <r>
    <x v="689"/>
    <x v="3"/>
    <x v="2"/>
    <s v="Mobile App"/>
    <x v="4"/>
    <n v="1"/>
    <n v="4921000"/>
    <n v="0.249"/>
    <n v="3696000"/>
    <x v="4"/>
    <x v="0"/>
  </r>
  <r>
    <x v="689"/>
    <x v="3"/>
    <x v="5"/>
    <s v="Website"/>
    <x v="4"/>
    <n v="1"/>
    <n v="5041000"/>
    <n v="0.141458039140618"/>
    <n v="4328000"/>
    <x v="0"/>
    <x v="1"/>
  </r>
  <r>
    <x v="689"/>
    <x v="1"/>
    <x v="2"/>
    <s v="Website"/>
    <x v="4"/>
    <n v="2"/>
    <n v="4895000"/>
    <n v="9.7000000000000003E-2"/>
    <n v="8840000"/>
    <x v="1"/>
    <x v="1"/>
  </r>
  <r>
    <x v="689"/>
    <x v="1"/>
    <x v="1"/>
    <s v="Agent"/>
    <x v="4"/>
    <n v="2"/>
    <n v="3816000"/>
    <n v="1.5317531488365E-2"/>
    <n v="7515000"/>
    <x v="1"/>
    <x v="0"/>
  </r>
  <r>
    <x v="689"/>
    <x v="1"/>
    <x v="4"/>
    <s v="Call Center"/>
    <x v="5"/>
    <n v="1"/>
    <n v="3365000"/>
    <n v="0"/>
    <n v="3365000"/>
    <x v="4"/>
    <x v="0"/>
  </r>
  <r>
    <x v="689"/>
    <x v="3"/>
    <x v="5"/>
    <s v="Agent"/>
    <x v="5"/>
    <n v="5"/>
    <n v="5110000"/>
    <n v="0.17598146273826501"/>
    <n v="21054000"/>
    <x v="0"/>
    <x v="0"/>
  </r>
  <r>
    <x v="690"/>
    <x v="3"/>
    <x v="5"/>
    <s v="Mobile App"/>
    <x v="1"/>
    <n v="1"/>
    <n v="4816000"/>
    <n v="0"/>
    <n v="4816000"/>
    <x v="1"/>
    <x v="0"/>
  </r>
  <r>
    <x v="690"/>
    <x v="2"/>
    <x v="5"/>
    <s v="Website"/>
    <x v="7"/>
    <n v="2"/>
    <n v="5113000"/>
    <n v="0.19746596131833799"/>
    <n v="8207000"/>
    <x v="7"/>
    <x v="0"/>
  </r>
  <r>
    <x v="690"/>
    <x v="1"/>
    <x v="5"/>
    <s v="Mobile App"/>
    <x v="7"/>
    <n v="2"/>
    <n v="4100000"/>
    <n v="0.111333400236673"/>
    <n v="7287000"/>
    <x v="2"/>
    <x v="0"/>
  </r>
  <r>
    <x v="690"/>
    <x v="3"/>
    <x v="0"/>
    <s v="Agent"/>
    <x v="3"/>
    <n v="1"/>
    <n v="1665000"/>
    <n v="4.8000000000000001E-2"/>
    <n v="1585000"/>
    <x v="10"/>
    <x v="0"/>
  </r>
  <r>
    <x v="691"/>
    <x v="1"/>
    <x v="4"/>
    <s v="Agent"/>
    <x v="2"/>
    <n v="1"/>
    <n v="3526000"/>
    <n v="0.16700000000000001"/>
    <n v="2937000"/>
    <x v="18"/>
    <x v="0"/>
  </r>
  <r>
    <x v="691"/>
    <x v="1"/>
    <x v="3"/>
    <s v="Website"/>
    <x v="2"/>
    <n v="2"/>
    <n v="2647000"/>
    <n v="4.4789916503592597E-2"/>
    <n v="5057000"/>
    <x v="17"/>
    <x v="1"/>
  </r>
  <r>
    <x v="691"/>
    <x v="1"/>
    <x v="1"/>
    <s v="Website"/>
    <x v="3"/>
    <n v="2"/>
    <n v="3263000"/>
    <n v="7.7106566008046301E-2"/>
    <n v="6023000"/>
    <x v="12"/>
    <x v="0"/>
  </r>
  <r>
    <x v="691"/>
    <x v="2"/>
    <x v="0"/>
    <s v="Mobile App"/>
    <x v="1"/>
    <n v="2"/>
    <n v="2556000"/>
    <n v="0.10945426541957699"/>
    <n v="4552000"/>
    <x v="3"/>
    <x v="1"/>
  </r>
  <r>
    <x v="691"/>
    <x v="3"/>
    <x v="4"/>
    <s v="Website"/>
    <x v="6"/>
    <n v="1"/>
    <n v="2953000"/>
    <n v="5.5481501696177701E-2"/>
    <n v="2789000"/>
    <x v="0"/>
    <x v="0"/>
  </r>
  <r>
    <x v="691"/>
    <x v="1"/>
    <x v="5"/>
    <s v="Mobile App"/>
    <x v="0"/>
    <n v="1"/>
    <n v="4281000"/>
    <n v="0.13100000000000001"/>
    <n v="3720000"/>
    <x v="4"/>
    <x v="1"/>
  </r>
  <r>
    <x v="692"/>
    <x v="1"/>
    <x v="4"/>
    <s v="Website"/>
    <x v="4"/>
    <n v="3"/>
    <n v="2110000"/>
    <n v="0.10225957719699701"/>
    <n v="5683000"/>
    <x v="2"/>
    <x v="1"/>
  </r>
  <r>
    <x v="692"/>
    <x v="1"/>
    <x v="2"/>
    <s v="Website"/>
    <x v="9"/>
    <n v="2"/>
    <n v="3761000"/>
    <n v="1.4999999999999999E-2"/>
    <n v="7409000"/>
    <x v="14"/>
    <x v="0"/>
  </r>
  <r>
    <x v="692"/>
    <x v="0"/>
    <x v="5"/>
    <s v="Agent"/>
    <x v="1"/>
    <n v="2"/>
    <n v="3400000"/>
    <n v="0.125"/>
    <n v="5950000"/>
    <x v="0"/>
    <x v="0"/>
  </r>
  <r>
    <x v="692"/>
    <x v="3"/>
    <x v="2"/>
    <s v="Website"/>
    <x v="2"/>
    <n v="1"/>
    <n v="4522000"/>
    <n v="0.105903064528637"/>
    <n v="4043000"/>
    <x v="15"/>
    <x v="1"/>
  </r>
  <r>
    <x v="692"/>
    <x v="1"/>
    <x v="5"/>
    <s v="Agent"/>
    <x v="3"/>
    <n v="4"/>
    <n v="4827000"/>
    <n v="0.116221799936621"/>
    <n v="17064000"/>
    <x v="7"/>
    <x v="1"/>
  </r>
  <r>
    <x v="693"/>
    <x v="1"/>
    <x v="1"/>
    <s v="Agent"/>
    <x v="1"/>
    <n v="5"/>
    <n v="3529000"/>
    <n v="0.115"/>
    <n v="15616000"/>
    <x v="14"/>
    <x v="0"/>
  </r>
  <r>
    <x v="693"/>
    <x v="2"/>
    <x v="0"/>
    <s v="Mobile App"/>
    <x v="4"/>
    <n v="2"/>
    <n v="2598000"/>
    <n v="0.10299999999999999"/>
    <n v="4661000"/>
    <x v="8"/>
    <x v="0"/>
  </r>
  <r>
    <x v="693"/>
    <x v="2"/>
    <x v="1"/>
    <s v="Mobile App"/>
    <x v="3"/>
    <n v="4"/>
    <n v="3166000"/>
    <n v="0.10985363103745401"/>
    <n v="11273000"/>
    <x v="13"/>
    <x v="1"/>
  </r>
  <r>
    <x v="693"/>
    <x v="0"/>
    <x v="1"/>
    <s v="Agent"/>
    <x v="6"/>
    <n v="2"/>
    <n v="3355000"/>
    <n v="0.13600000000000001"/>
    <n v="5797000"/>
    <x v="3"/>
    <x v="0"/>
  </r>
  <r>
    <x v="693"/>
    <x v="1"/>
    <x v="2"/>
    <s v="Mobile App"/>
    <x v="8"/>
    <n v="2"/>
    <n v="3684000"/>
    <n v="0.109"/>
    <n v="6565000"/>
    <x v="8"/>
    <x v="1"/>
  </r>
  <r>
    <x v="694"/>
    <x v="0"/>
    <x v="1"/>
    <s v="Mobile App"/>
    <x v="8"/>
    <n v="3"/>
    <n v="3627000"/>
    <n v="0.14246314479971001"/>
    <n v="9331000"/>
    <x v="14"/>
    <x v="1"/>
  </r>
  <r>
    <x v="694"/>
    <x v="1"/>
    <x v="2"/>
    <s v="Website"/>
    <x v="3"/>
    <n v="2"/>
    <n v="4775000"/>
    <n v="5.7000000000000002E-2"/>
    <n v="9006000"/>
    <x v="1"/>
    <x v="0"/>
  </r>
  <r>
    <x v="694"/>
    <x v="3"/>
    <x v="0"/>
    <s v="Agent"/>
    <x v="7"/>
    <n v="1"/>
    <n v="2244000"/>
    <n v="0.16400000000000001"/>
    <n v="1876000"/>
    <x v="9"/>
    <x v="0"/>
  </r>
  <r>
    <x v="694"/>
    <x v="1"/>
    <x v="4"/>
    <s v="Website"/>
    <x v="5"/>
    <n v="1"/>
    <n v="3016000"/>
    <n v="0.130886818403945"/>
    <n v="2621000"/>
    <x v="6"/>
    <x v="0"/>
  </r>
  <r>
    <x v="694"/>
    <x v="3"/>
    <x v="1"/>
    <s v="Website"/>
    <x v="0"/>
    <n v="4"/>
    <n v="2549000"/>
    <n v="0.14099999999999999"/>
    <n v="8758000"/>
    <x v="1"/>
    <x v="0"/>
  </r>
  <r>
    <x v="694"/>
    <x v="0"/>
    <x v="2"/>
    <s v="Website"/>
    <x v="2"/>
    <n v="1"/>
    <n v="2774000"/>
    <n v="0.186"/>
    <n v="2258000"/>
    <x v="4"/>
    <x v="0"/>
  </r>
  <r>
    <x v="695"/>
    <x v="3"/>
    <x v="2"/>
    <s v="Website"/>
    <x v="2"/>
    <n v="2"/>
    <n v="3612000"/>
    <n v="1.6E-2"/>
    <n v="7108000"/>
    <x v="21"/>
    <x v="0"/>
  </r>
  <r>
    <x v="695"/>
    <x v="1"/>
    <x v="1"/>
    <s v="Website"/>
    <x v="5"/>
    <n v="1"/>
    <n v="3749000"/>
    <n v="0.12158359887996099"/>
    <n v="3293000"/>
    <x v="10"/>
    <x v="0"/>
  </r>
  <r>
    <x v="695"/>
    <x v="0"/>
    <x v="5"/>
    <s v="Website"/>
    <x v="4"/>
    <n v="2"/>
    <n v="5048000"/>
    <n v="5.3859812853276401E-2"/>
    <n v="9552000"/>
    <x v="6"/>
    <x v="0"/>
  </r>
  <r>
    <x v="695"/>
    <x v="1"/>
    <x v="2"/>
    <s v="Agent"/>
    <x v="9"/>
    <n v="2"/>
    <n v="2938000"/>
    <n v="0.16200000000000001"/>
    <n v="4924000"/>
    <x v="4"/>
    <x v="0"/>
  </r>
  <r>
    <x v="695"/>
    <x v="0"/>
    <x v="3"/>
    <s v="Mobile App"/>
    <x v="9"/>
    <n v="1"/>
    <n v="2356000"/>
    <n v="0.15031558784683799"/>
    <n v="2002000"/>
    <x v="15"/>
    <x v="1"/>
  </r>
  <r>
    <x v="696"/>
    <x v="1"/>
    <x v="1"/>
    <s v="Website"/>
    <x v="6"/>
    <n v="2"/>
    <n v="3615000"/>
    <n v="0.10100000000000001"/>
    <n v="6500000"/>
    <x v="2"/>
    <x v="0"/>
  </r>
  <r>
    <x v="696"/>
    <x v="1"/>
    <x v="3"/>
    <s v="Website"/>
    <x v="8"/>
    <n v="1"/>
    <n v="2843000"/>
    <n v="0.136857537478354"/>
    <n v="2454000"/>
    <x v="19"/>
    <x v="0"/>
  </r>
  <r>
    <x v="697"/>
    <x v="0"/>
    <x v="0"/>
    <s v="Website"/>
    <x v="5"/>
    <n v="2"/>
    <n v="2745000"/>
    <n v="0.188"/>
    <n v="4458000"/>
    <x v="8"/>
    <x v="0"/>
  </r>
  <r>
    <x v="697"/>
    <x v="2"/>
    <x v="0"/>
    <s v="Agent"/>
    <x v="5"/>
    <n v="1"/>
    <n v="2237000"/>
    <n v="6.9000000000000006E-2"/>
    <n v="2083000"/>
    <x v="1"/>
    <x v="0"/>
  </r>
  <r>
    <x v="697"/>
    <x v="3"/>
    <x v="5"/>
    <s v="Call Center"/>
    <x v="6"/>
    <n v="1"/>
    <n v="5628000"/>
    <n v="8.5000000000000006E-2"/>
    <n v="5150000"/>
    <x v="6"/>
    <x v="0"/>
  </r>
  <r>
    <x v="697"/>
    <x v="1"/>
    <x v="1"/>
    <s v="Website"/>
    <x v="7"/>
    <n v="4"/>
    <n v="3063000"/>
    <n v="0.13900000000000001"/>
    <n v="10549000"/>
    <x v="12"/>
    <x v="0"/>
  </r>
  <r>
    <x v="697"/>
    <x v="3"/>
    <x v="1"/>
    <s v="Mobile App"/>
    <x v="0"/>
    <n v="4"/>
    <n v="3454000"/>
    <n v="0.126"/>
    <n v="12075000"/>
    <x v="1"/>
    <x v="0"/>
  </r>
  <r>
    <x v="698"/>
    <x v="1"/>
    <x v="0"/>
    <s v="Agent"/>
    <x v="9"/>
    <n v="2"/>
    <n v="2175000"/>
    <n v="0.184"/>
    <n v="3550000"/>
    <x v="6"/>
    <x v="0"/>
  </r>
  <r>
    <x v="698"/>
    <x v="1"/>
    <x v="3"/>
    <s v="Website"/>
    <x v="7"/>
    <n v="1"/>
    <n v="-100000"/>
    <n v="6.2E-2"/>
    <n v="1444000"/>
    <x v="6"/>
    <x v="0"/>
  </r>
  <r>
    <x v="698"/>
    <x v="3"/>
    <x v="0"/>
    <s v="Website"/>
    <x v="7"/>
    <n v="1"/>
    <n v="2478000"/>
    <n v="9.8688247953564096E-2"/>
    <n v="2233000"/>
    <x v="7"/>
    <x v="1"/>
  </r>
  <r>
    <x v="699"/>
    <x v="1"/>
    <x v="5"/>
    <s v="Mobile App"/>
    <x v="9"/>
    <n v="1"/>
    <n v="4691000"/>
    <n v="0.13800000000000001"/>
    <n v="4044000"/>
    <x v="7"/>
    <x v="1"/>
  </r>
  <r>
    <x v="699"/>
    <x v="2"/>
    <x v="2"/>
    <s v="Website"/>
    <x v="2"/>
    <n v="1"/>
    <n v="3849000"/>
    <n v="2.3E-2"/>
    <n v="3760000"/>
    <x v="13"/>
    <x v="0"/>
  </r>
  <r>
    <x v="700"/>
    <x v="2"/>
    <x v="1"/>
    <s v="Agent"/>
    <x v="4"/>
    <n v="3"/>
    <n v="2870000"/>
    <n v="0.18"/>
    <n v="7058000"/>
    <x v="6"/>
    <x v="0"/>
  </r>
  <r>
    <x v="700"/>
    <x v="3"/>
    <x v="2"/>
    <s v="Agent"/>
    <x v="4"/>
    <n v="1"/>
    <n v="3125000"/>
    <n v="0.115303563230003"/>
    <n v="2765000"/>
    <x v="5"/>
    <x v="1"/>
  </r>
  <r>
    <x v="700"/>
    <x v="3"/>
    <x v="2"/>
    <s v="Website"/>
    <x v="9"/>
    <n v="1"/>
    <n v="4995000"/>
    <n v="7.4999999999999997E-2"/>
    <n v="4620000"/>
    <x v="2"/>
    <x v="1"/>
  </r>
  <r>
    <x v="700"/>
    <x v="1"/>
    <x v="2"/>
    <s v="Mobile App"/>
    <x v="5"/>
    <n v="2"/>
    <n v="4501000"/>
    <n v="0.1188890465346"/>
    <n v="7932000"/>
    <x v="10"/>
    <x v="1"/>
  </r>
  <r>
    <x v="701"/>
    <x v="1"/>
    <x v="4"/>
    <s v="Mobile App"/>
    <x v="7"/>
    <n v="1"/>
    <n v="2997000"/>
    <n v="0.14299999999999999"/>
    <n v="2568000"/>
    <x v="4"/>
    <x v="0"/>
  </r>
  <r>
    <x v="701"/>
    <x v="2"/>
    <x v="3"/>
    <s v="Mobile App"/>
    <x v="3"/>
    <n v="2"/>
    <n v="2719000"/>
    <n v="0.14595968032911499"/>
    <n v="4644000"/>
    <x v="0"/>
    <x v="1"/>
  </r>
  <r>
    <x v="701"/>
    <x v="3"/>
    <x v="2"/>
    <s v="Agent"/>
    <x v="7"/>
    <n v="1"/>
    <n v="3134000"/>
    <n v="6.3E-2"/>
    <n v="2937000"/>
    <x v="15"/>
    <x v="0"/>
  </r>
  <r>
    <x v="701"/>
    <x v="3"/>
    <x v="2"/>
    <s v="Website"/>
    <x v="7"/>
    <n v="2"/>
    <n v="4441000"/>
    <n v="0.171488422773662"/>
    <n v="7359000"/>
    <x v="12"/>
    <x v="1"/>
  </r>
  <r>
    <x v="702"/>
    <x v="2"/>
    <x v="4"/>
    <s v="Website"/>
    <x v="3"/>
    <n v="1"/>
    <n v="2291000"/>
    <n v="0.12423298042298"/>
    <n v="2006000"/>
    <x v="2"/>
    <x v="1"/>
  </r>
  <r>
    <x v="703"/>
    <x v="1"/>
    <x v="3"/>
    <s v="Website"/>
    <x v="1"/>
    <n v="2"/>
    <n v="2359000"/>
    <n v="0.124743968437554"/>
    <n v="4129000"/>
    <x v="14"/>
    <x v="0"/>
  </r>
  <r>
    <x v="703"/>
    <x v="3"/>
    <x v="0"/>
    <s v="Website"/>
    <x v="6"/>
    <n v="1"/>
    <n v="2454000"/>
    <n v="9.5000000000000001E-2"/>
    <n v="2221000"/>
    <x v="6"/>
    <x v="0"/>
  </r>
  <r>
    <x v="703"/>
    <x v="2"/>
    <x v="2"/>
    <s v="Website"/>
    <x v="4"/>
    <n v="2"/>
    <n v="4257000"/>
    <n v="0.136133655788332"/>
    <n v="7355000"/>
    <x v="6"/>
    <x v="1"/>
  </r>
  <r>
    <x v="703"/>
    <x v="0"/>
    <x v="2"/>
    <s v="Agent"/>
    <x v="4"/>
    <n v="1"/>
    <n v="3639000"/>
    <n v="8.6999999999999994E-2"/>
    <n v="3322000"/>
    <x v="0"/>
    <x v="1"/>
  </r>
  <r>
    <x v="703"/>
    <x v="1"/>
    <x v="2"/>
    <s v="Agent"/>
    <x v="6"/>
    <n v="1"/>
    <n v="4220000"/>
    <n v="7.0997424638088794E-2"/>
    <n v="3920000"/>
    <x v="2"/>
    <x v="1"/>
  </r>
  <r>
    <x v="704"/>
    <x v="0"/>
    <x v="2"/>
    <s v="Website"/>
    <x v="4"/>
    <n v="1"/>
    <n v="2906000"/>
    <n v="0.189"/>
    <n v="2357000"/>
    <x v="2"/>
    <x v="0"/>
  </r>
  <r>
    <x v="704"/>
    <x v="1"/>
    <x v="2"/>
    <s v="Website"/>
    <x v="1"/>
    <n v="2"/>
    <n v="3593000"/>
    <n v="0.182648461312793"/>
    <n v="5873000"/>
    <x v="0"/>
    <x v="1"/>
  </r>
  <r>
    <x v="704"/>
    <x v="1"/>
    <x v="0"/>
    <s v="Agent"/>
    <x v="9"/>
    <n v="3"/>
    <n v="2873000"/>
    <n v="0.219"/>
    <n v="6731000"/>
    <x v="1"/>
    <x v="1"/>
  </r>
  <r>
    <x v="704"/>
    <x v="3"/>
    <x v="2"/>
    <s v="Website"/>
    <x v="7"/>
    <n v="2"/>
    <n v="3603000"/>
    <n v="4.2603415473101702E-2"/>
    <n v="6899000"/>
    <x v="6"/>
    <x v="0"/>
  </r>
  <r>
    <x v="705"/>
    <x v="1"/>
    <x v="1"/>
    <s v="Mobile App"/>
    <x v="0"/>
    <n v="4"/>
    <n v="3538000"/>
    <n v="0.17189917185244999"/>
    <n v="11719000"/>
    <x v="10"/>
    <x v="0"/>
  </r>
  <r>
    <x v="705"/>
    <x v="2"/>
    <x v="2"/>
    <s v="Website"/>
    <x v="2"/>
    <n v="2"/>
    <n v="4416000"/>
    <n v="8.4000000000000005E-2"/>
    <n v="8090000"/>
    <x v="2"/>
    <x v="0"/>
  </r>
  <r>
    <x v="705"/>
    <x v="1"/>
    <x v="2"/>
    <s v="Website"/>
    <x v="5"/>
    <n v="2"/>
    <n v="5034000"/>
    <n v="0.156"/>
    <n v="8497000"/>
    <x v="1"/>
    <x v="1"/>
  </r>
  <r>
    <x v="705"/>
    <x v="1"/>
    <x v="2"/>
    <s v="Website"/>
    <x v="0"/>
    <n v="1"/>
    <n v="3672000"/>
    <n v="3.9E-2"/>
    <n v="3529000"/>
    <x v="5"/>
    <x v="1"/>
  </r>
  <r>
    <x v="705"/>
    <x v="2"/>
    <x v="2"/>
    <s v="Website"/>
    <x v="0"/>
    <n v="2"/>
    <n v="3229000"/>
    <n v="7.4999999999999997E-2"/>
    <n v="5974000"/>
    <x v="4"/>
    <x v="1"/>
  </r>
  <r>
    <x v="706"/>
    <x v="2"/>
    <x v="0"/>
    <s v="Website"/>
    <x v="2"/>
    <n v="1"/>
    <n v="3355000"/>
    <n v="0.103093329688797"/>
    <n v="3009000"/>
    <x v="3"/>
    <x v="1"/>
  </r>
  <r>
    <x v="706"/>
    <x v="2"/>
    <x v="2"/>
    <s v="Mobile App"/>
    <x v="1"/>
    <n v="4"/>
    <n v="3653000"/>
    <n v="0.150090405909514"/>
    <n v="12419000"/>
    <x v="13"/>
    <x v="1"/>
  </r>
  <r>
    <x v="706"/>
    <x v="3"/>
    <x v="1"/>
    <s v="Website"/>
    <x v="8"/>
    <n v="2"/>
    <n v="3198000"/>
    <n v="9.5203606353152698E-2"/>
    <n v="5787000"/>
    <x v="5"/>
    <x v="0"/>
  </r>
  <r>
    <x v="706"/>
    <x v="0"/>
    <x v="0"/>
    <s v="Agent"/>
    <x v="7"/>
    <n v="1"/>
    <n v="2060000"/>
    <n v="6.9000000000000006E-2"/>
    <n v="1918000"/>
    <x v="13"/>
    <x v="1"/>
  </r>
  <r>
    <x v="707"/>
    <x v="0"/>
    <x v="2"/>
    <s v="Website"/>
    <x v="1"/>
    <n v="1"/>
    <n v="3478000"/>
    <n v="0.10184094416421401"/>
    <n v="3124000"/>
    <x v="8"/>
    <x v="0"/>
  </r>
  <r>
    <x v="707"/>
    <x v="2"/>
    <x v="5"/>
    <s v="Website"/>
    <x v="0"/>
    <n v="3"/>
    <n v="6908000"/>
    <n v="0.13500000000000001"/>
    <n v="17926000"/>
    <x v="2"/>
    <x v="1"/>
  </r>
  <r>
    <x v="707"/>
    <x v="1"/>
    <x v="3"/>
    <s v="Website"/>
    <x v="0"/>
    <n v="3"/>
    <n v="2707000"/>
    <n v="0.146452609034398"/>
    <n v="6932000"/>
    <x v="13"/>
    <x v="1"/>
  </r>
  <r>
    <x v="707"/>
    <x v="0"/>
    <x v="1"/>
    <s v="Website"/>
    <x v="9"/>
    <n v="3"/>
    <n v="3742000"/>
    <n v="9.0062531607541102E-2"/>
    <n v="10215000"/>
    <x v="10"/>
    <x v="1"/>
  </r>
  <r>
    <x v="708"/>
    <x v="3"/>
    <x v="3"/>
    <s v="Agent"/>
    <x v="7"/>
    <n v="1"/>
    <n v="1640000"/>
    <n v="0.13800000000000001"/>
    <n v="1414000"/>
    <x v="10"/>
    <x v="0"/>
  </r>
  <r>
    <x v="708"/>
    <x v="1"/>
    <x v="2"/>
    <s v="Mobile App"/>
    <x v="9"/>
    <n v="1"/>
    <n v="5715000"/>
    <n v="4.1000000000000002E-2"/>
    <n v="5481000"/>
    <x v="15"/>
    <x v="0"/>
  </r>
  <r>
    <x v="708"/>
    <x v="3"/>
    <x v="3"/>
    <s v="Website"/>
    <x v="8"/>
    <n v="3"/>
    <n v="2964000"/>
    <n v="6.1501500935149202E-2"/>
    <n v="8345000"/>
    <x v="13"/>
    <x v="0"/>
  </r>
  <r>
    <x v="708"/>
    <x v="3"/>
    <x v="5"/>
    <s v="Website"/>
    <x v="3"/>
    <n v="1"/>
    <n v="5233000"/>
    <n v="2.1000000000000001E-2"/>
    <n v="5123000"/>
    <x v="17"/>
    <x v="0"/>
  </r>
  <r>
    <x v="708"/>
    <x v="0"/>
    <x v="0"/>
    <s v="Mobile App"/>
    <x v="3"/>
    <n v="1"/>
    <n v="2534000"/>
    <n v="0.245"/>
    <n v="1913000"/>
    <x v="10"/>
    <x v="0"/>
  </r>
  <r>
    <x v="709"/>
    <x v="3"/>
    <x v="3"/>
    <s v="Website"/>
    <x v="2"/>
    <n v="2"/>
    <n v="2651000"/>
    <n v="6.7697092146952603E-2"/>
    <n v="4943000"/>
    <x v="10"/>
    <x v="1"/>
  </r>
  <r>
    <x v="709"/>
    <x v="0"/>
    <x v="2"/>
    <s v="Mobile App"/>
    <x v="8"/>
    <n v="1"/>
    <n v="4109000"/>
    <n v="0.11766114347687"/>
    <n v="3626000"/>
    <x v="11"/>
    <x v="1"/>
  </r>
  <r>
    <x v="709"/>
    <x v="0"/>
    <x v="2"/>
    <s v="Agent"/>
    <x v="5"/>
    <n v="2"/>
    <n v="4185000"/>
    <n v="0.12847127035199599"/>
    <n v="7295000"/>
    <x v="0"/>
    <x v="0"/>
  </r>
  <r>
    <x v="709"/>
    <x v="0"/>
    <x v="1"/>
    <s v="Mobile App"/>
    <x v="3"/>
    <n v="2"/>
    <n v="2019000"/>
    <n v="0.14599999999999999"/>
    <n v="3448000"/>
    <x v="11"/>
    <x v="0"/>
  </r>
  <r>
    <x v="709"/>
    <x v="3"/>
    <x v="5"/>
    <s v="Agent"/>
    <x v="8"/>
    <n v="1"/>
    <n v="5943000"/>
    <n v="0.101998835052776"/>
    <n v="5337000"/>
    <x v="12"/>
    <x v="1"/>
  </r>
  <r>
    <x v="710"/>
    <x v="3"/>
    <x v="2"/>
    <s v="Website"/>
    <x v="1"/>
    <n v="2"/>
    <n v="3457000"/>
    <n v="0.13016186278341099"/>
    <n v="6014000"/>
    <x v="14"/>
    <x v="1"/>
  </r>
  <r>
    <x v="710"/>
    <x v="2"/>
    <x v="3"/>
    <s v="Website"/>
    <x v="1"/>
    <n v="1"/>
    <n v="2337000"/>
    <n v="0.245"/>
    <n v="1764000"/>
    <x v="9"/>
    <x v="0"/>
  </r>
  <r>
    <x v="710"/>
    <x v="0"/>
    <x v="2"/>
    <s v="Website"/>
    <x v="4"/>
    <n v="1"/>
    <n v="4618000"/>
    <n v="6.6254063362605406E-2"/>
    <n v="4312000"/>
    <x v="13"/>
    <x v="1"/>
  </r>
  <r>
    <x v="710"/>
    <x v="3"/>
    <x v="2"/>
    <s v="Website"/>
    <x v="7"/>
    <n v="2"/>
    <n v="4070000"/>
    <n v="0.18742669901783801"/>
    <n v="6614000"/>
    <x v="0"/>
    <x v="0"/>
  </r>
  <r>
    <x v="710"/>
    <x v="2"/>
    <x v="2"/>
    <s v="Website"/>
    <x v="1"/>
    <n v="2"/>
    <n v="3834000"/>
    <n v="6.4000000000000001E-2"/>
    <n v="7177000"/>
    <x v="3"/>
    <x v="1"/>
  </r>
  <r>
    <x v="711"/>
    <x v="1"/>
    <x v="1"/>
    <s v="Mobile App"/>
    <x v="4"/>
    <n v="1"/>
    <n v="2806000"/>
    <n v="9.1718302742280003E-2"/>
    <n v="2549000"/>
    <x v="4"/>
    <x v="1"/>
  </r>
  <r>
    <x v="711"/>
    <x v="1"/>
    <x v="3"/>
    <s v="Agent"/>
    <x v="6"/>
    <n v="3"/>
    <n v="2108000"/>
    <n v="9.5757302782550693E-2"/>
    <n v="5718000"/>
    <x v="4"/>
    <x v="0"/>
  </r>
  <r>
    <x v="711"/>
    <x v="0"/>
    <x v="1"/>
    <s v="Website"/>
    <x v="6"/>
    <n v="2"/>
    <n v="2215000"/>
    <n v="0.126"/>
    <n v="3872000"/>
    <x v="5"/>
    <x v="0"/>
  </r>
  <r>
    <x v="711"/>
    <x v="1"/>
    <x v="2"/>
    <s v="Website"/>
    <x v="7"/>
    <n v="5"/>
    <n v="3838000"/>
    <n v="9.5775921578399301E-2"/>
    <n v="17352000"/>
    <x v="15"/>
    <x v="1"/>
  </r>
  <r>
    <x v="711"/>
    <x v="3"/>
    <x v="2"/>
    <s v="Website"/>
    <x v="4"/>
    <n v="2"/>
    <n v="4497000"/>
    <n v="8.0027831437117003E-2"/>
    <n v="8274000"/>
    <x v="13"/>
    <x v="1"/>
  </r>
  <r>
    <x v="712"/>
    <x v="0"/>
    <x v="2"/>
    <s v="Website"/>
    <x v="3"/>
    <n v="3"/>
    <n v="5122000"/>
    <n v="4.43456241065101E-2"/>
    <n v="14685000"/>
    <x v="14"/>
    <x v="0"/>
  </r>
  <r>
    <x v="712"/>
    <x v="2"/>
    <x v="4"/>
    <s v="Website"/>
    <x v="9"/>
    <n v="3"/>
    <n v="3582000"/>
    <n v="0.129"/>
    <n v="9360000"/>
    <x v="2"/>
    <x v="1"/>
  </r>
  <r>
    <x v="712"/>
    <x v="2"/>
    <x v="0"/>
    <s v="Website"/>
    <x v="3"/>
    <n v="1"/>
    <n v="2233000"/>
    <n v="1.0999999999999999E-2"/>
    <n v="2208000"/>
    <x v="5"/>
    <x v="0"/>
  </r>
  <r>
    <x v="713"/>
    <x v="0"/>
    <x v="5"/>
    <s v="Mobile App"/>
    <x v="8"/>
    <n v="1"/>
    <n v="5820000"/>
    <n v="0.04"/>
    <n v="5587000"/>
    <x v="0"/>
    <x v="0"/>
  </r>
  <r>
    <x v="713"/>
    <x v="3"/>
    <x v="5"/>
    <s v="Website"/>
    <x v="0"/>
    <n v="1"/>
    <n v="5336000"/>
    <n v="0.14199999999999999"/>
    <n v="4578000"/>
    <x v="0"/>
    <x v="0"/>
  </r>
  <r>
    <x v="713"/>
    <x v="0"/>
    <x v="4"/>
    <s v="Website"/>
    <x v="5"/>
    <n v="1"/>
    <n v="2538000"/>
    <n v="0.16400000000000001"/>
    <n v="2122000"/>
    <x v="2"/>
    <x v="0"/>
  </r>
  <r>
    <x v="713"/>
    <x v="3"/>
    <x v="0"/>
    <s v="Website"/>
    <x v="5"/>
    <n v="1"/>
    <n v="2486000"/>
    <n v="0"/>
    <n v="2486000"/>
    <x v="9"/>
    <x v="0"/>
  </r>
  <r>
    <x v="713"/>
    <x v="3"/>
    <x v="2"/>
    <s v="Website"/>
    <x v="9"/>
    <n v="3"/>
    <n v="4219000"/>
    <n v="4.4553572905874597E-2"/>
    <n v="12093000"/>
    <x v="5"/>
    <x v="1"/>
  </r>
  <r>
    <x v="714"/>
    <x v="1"/>
    <x v="5"/>
    <s v="Website"/>
    <x v="0"/>
    <n v="1"/>
    <n v="3538000"/>
    <n v="2.7E-2"/>
    <n v="3442000"/>
    <x v="12"/>
    <x v="0"/>
  </r>
  <r>
    <x v="714"/>
    <x v="0"/>
    <x v="3"/>
    <s v="Website"/>
    <x v="3"/>
    <n v="2"/>
    <n v="2694000"/>
    <n v="1.7000000000000001E-2"/>
    <n v="5296000"/>
    <x v="6"/>
    <x v="1"/>
  </r>
  <r>
    <x v="714"/>
    <x v="1"/>
    <x v="2"/>
    <s v="Call Center"/>
    <x v="9"/>
    <n v="3"/>
    <n v="3711000"/>
    <n v="9.4676736212095297E-2"/>
    <n v="10079000"/>
    <x v="4"/>
    <x v="0"/>
  </r>
  <r>
    <x v="715"/>
    <x v="1"/>
    <x v="5"/>
    <s v="Website"/>
    <x v="8"/>
    <n v="1"/>
    <n v="4263000"/>
    <n v="0.186"/>
    <n v="3470000"/>
    <x v="6"/>
    <x v="0"/>
  </r>
  <r>
    <x v="715"/>
    <x v="3"/>
    <x v="3"/>
    <s v="Website"/>
    <x v="8"/>
    <n v="1"/>
    <n v="1375000"/>
    <n v="0.154"/>
    <n v="1163000"/>
    <x v="5"/>
    <x v="0"/>
  </r>
  <r>
    <x v="715"/>
    <x v="3"/>
    <x v="4"/>
    <s v="Mobile App"/>
    <x v="0"/>
    <n v="1"/>
    <n v="3350000"/>
    <n v="0.16200000000000001"/>
    <n v="2807000"/>
    <x v="2"/>
    <x v="1"/>
  </r>
  <r>
    <x v="716"/>
    <x v="2"/>
    <x v="2"/>
    <s v="Mobile App"/>
    <x v="5"/>
    <n v="2"/>
    <n v="3637000"/>
    <n v="9.4E-2"/>
    <n v="6590000"/>
    <x v="10"/>
    <x v="0"/>
  </r>
  <r>
    <x v="716"/>
    <x v="0"/>
    <x v="4"/>
    <s v="Website"/>
    <x v="0"/>
    <n v="4"/>
    <n v="2498000"/>
    <n v="7.0103750699165496E-2"/>
    <n v="9292000"/>
    <x v="12"/>
    <x v="0"/>
  </r>
  <r>
    <x v="717"/>
    <x v="2"/>
    <x v="2"/>
    <s v="Website"/>
    <x v="9"/>
    <n v="1"/>
    <n v="4171000"/>
    <n v="4.2309180140253699E-2"/>
    <n v="3995000"/>
    <x v="2"/>
    <x v="1"/>
  </r>
  <r>
    <x v="717"/>
    <x v="3"/>
    <x v="2"/>
    <s v="Mobile App"/>
    <x v="5"/>
    <n v="1"/>
    <n v="4052000"/>
    <n v="6.9005616269602096E-2"/>
    <n v="3772000"/>
    <x v="6"/>
    <x v="1"/>
  </r>
  <r>
    <x v="717"/>
    <x v="3"/>
    <x v="2"/>
    <s v="Website"/>
    <x v="3"/>
    <n v="1"/>
    <n v="4234000"/>
    <n v="0.13765979719361501"/>
    <n v="3651000"/>
    <x v="9"/>
    <x v="1"/>
  </r>
  <r>
    <x v="717"/>
    <x v="0"/>
    <x v="5"/>
    <s v="Agent"/>
    <x v="4"/>
    <n v="3"/>
    <n v="4703000"/>
    <n v="0.105"/>
    <n v="12628000"/>
    <x v="15"/>
    <x v="0"/>
  </r>
  <r>
    <x v="718"/>
    <x v="3"/>
    <x v="3"/>
    <s v="Website"/>
    <x v="9"/>
    <n v="3"/>
    <n v="2565000"/>
    <n v="0.151"/>
    <n v="6533000"/>
    <x v="20"/>
    <x v="0"/>
  </r>
  <r>
    <x v="718"/>
    <x v="1"/>
    <x v="0"/>
    <s v="Agent"/>
    <x v="5"/>
    <n v="1"/>
    <n v="2733000"/>
    <n v="6.0999999999999999E-2"/>
    <n v="2566000"/>
    <x v="12"/>
    <x v="0"/>
  </r>
  <r>
    <x v="718"/>
    <x v="1"/>
    <x v="2"/>
    <s v="Mobile App"/>
    <x v="7"/>
    <n v="3"/>
    <n v="4658000"/>
    <n v="3.6999999999999998E-2"/>
    <n v="13457000"/>
    <x v="2"/>
    <x v="0"/>
  </r>
  <r>
    <x v="718"/>
    <x v="1"/>
    <x v="2"/>
    <s v="Agent"/>
    <x v="5"/>
    <n v="2"/>
    <n v="4911000"/>
    <n v="0.185"/>
    <n v="8005000"/>
    <x v="13"/>
    <x v="0"/>
  </r>
  <r>
    <x v="719"/>
    <x v="0"/>
    <x v="0"/>
    <s v="Website"/>
    <x v="5"/>
    <n v="3"/>
    <n v="3745000"/>
    <n v="-0.2"/>
    <n v="10831000"/>
    <x v="1"/>
    <x v="0"/>
  </r>
  <r>
    <x v="719"/>
    <x v="2"/>
    <x v="4"/>
    <s v="Call Center"/>
    <x v="9"/>
    <n v="1"/>
    <n v="2273000"/>
    <n v="0.184"/>
    <n v="1855000"/>
    <x v="17"/>
    <x v="1"/>
  </r>
  <r>
    <x v="719"/>
    <x v="1"/>
    <x v="0"/>
    <s v="Website"/>
    <x v="3"/>
    <n v="3"/>
    <n v="2696000"/>
    <n v="0.102787492721717"/>
    <n v="7257000"/>
    <x v="14"/>
    <x v="1"/>
  </r>
  <r>
    <x v="719"/>
    <x v="1"/>
    <x v="4"/>
    <s v="Website"/>
    <x v="2"/>
    <n v="3"/>
    <n v="2565000"/>
    <n v="9.5036530107967795E-2"/>
    <n v="6964000"/>
    <x v="4"/>
    <x v="1"/>
  </r>
  <r>
    <x v="719"/>
    <x v="3"/>
    <x v="5"/>
    <s v="Mobile App"/>
    <x v="6"/>
    <n v="3"/>
    <n v="4766000"/>
    <n v="0.12522308761329901"/>
    <n v="12508000"/>
    <x v="9"/>
    <x v="1"/>
  </r>
  <r>
    <x v="720"/>
    <x v="1"/>
    <x v="3"/>
    <s v="Mobile App"/>
    <x v="4"/>
    <n v="2"/>
    <n v="2715000"/>
    <n v="0.152"/>
    <n v="4605000"/>
    <x v="8"/>
    <x v="0"/>
  </r>
  <r>
    <x v="720"/>
    <x v="3"/>
    <x v="0"/>
    <s v="Website"/>
    <x v="6"/>
    <n v="3"/>
    <n v="3138000"/>
    <n v="0.249"/>
    <n v="7070000"/>
    <x v="0"/>
    <x v="1"/>
  </r>
  <r>
    <x v="720"/>
    <x v="2"/>
    <x v="0"/>
    <s v="Agent"/>
    <x v="4"/>
    <n v="2"/>
    <n v="3058000"/>
    <n v="0.13200000000000001"/>
    <n v="5309000"/>
    <x v="11"/>
    <x v="0"/>
  </r>
  <r>
    <x v="720"/>
    <x v="0"/>
    <x v="0"/>
    <s v="Mobile App"/>
    <x v="8"/>
    <n v="1"/>
    <n v="2374000"/>
    <n v="0.13360824605702101"/>
    <n v="2057000"/>
    <x v="11"/>
    <x v="1"/>
  </r>
  <r>
    <x v="720"/>
    <x v="3"/>
    <x v="1"/>
    <s v="Website"/>
    <x v="5"/>
    <n v="4"/>
    <n v="2936000"/>
    <n v="9.4E-2"/>
    <n v="10640000"/>
    <x v="6"/>
    <x v="0"/>
  </r>
  <r>
    <x v="721"/>
    <x v="2"/>
    <x v="5"/>
    <s v="Website"/>
    <x v="8"/>
    <n v="2"/>
    <n v="4867000"/>
    <n v="1.2E-2"/>
    <n v="9617000"/>
    <x v="2"/>
    <x v="0"/>
  </r>
  <r>
    <x v="721"/>
    <x v="1"/>
    <x v="0"/>
    <s v="Website"/>
    <x v="8"/>
    <n v="1"/>
    <n v="2611000"/>
    <n v="0.108780507601706"/>
    <n v="2327000"/>
    <x v="6"/>
    <x v="0"/>
  </r>
  <r>
    <x v="721"/>
    <x v="3"/>
    <x v="0"/>
    <s v="Agent"/>
    <x v="4"/>
    <n v="2"/>
    <n v="2842000"/>
    <n v="0.13100000000000001"/>
    <n v="4939000"/>
    <x v="8"/>
    <x v="0"/>
  </r>
  <r>
    <x v="722"/>
    <x v="0"/>
    <x v="1"/>
    <s v="Agent"/>
    <x v="7"/>
    <n v="3"/>
    <n v="2382000"/>
    <n v="3.1E-2"/>
    <n v="6924000"/>
    <x v="5"/>
    <x v="0"/>
  </r>
  <r>
    <x v="722"/>
    <x v="0"/>
    <x v="3"/>
    <s v="Website"/>
    <x v="4"/>
    <n v="1"/>
    <n v="1448000"/>
    <n v="0.128866094490733"/>
    <n v="1261000"/>
    <x v="8"/>
    <x v="0"/>
  </r>
  <r>
    <x v="722"/>
    <x v="0"/>
    <x v="1"/>
    <s v="Website"/>
    <x v="0"/>
    <n v="3"/>
    <n v="4409000"/>
    <n v="0.16500000000000001"/>
    <n v="11045000"/>
    <x v="9"/>
    <x v="1"/>
  </r>
  <r>
    <x v="722"/>
    <x v="0"/>
    <x v="4"/>
    <s v="Mobile App"/>
    <x v="5"/>
    <n v="2"/>
    <n v="3616000"/>
    <n v="0.159"/>
    <n v="6082000"/>
    <x v="11"/>
    <x v="0"/>
  </r>
  <r>
    <x v="722"/>
    <x v="0"/>
    <x v="3"/>
    <s v="Website"/>
    <x v="8"/>
    <n v="1"/>
    <n v="2465000"/>
    <n v="5.3999999999999999E-2"/>
    <n v="2332000"/>
    <x v="1"/>
    <x v="0"/>
  </r>
  <r>
    <x v="722"/>
    <x v="3"/>
    <x v="0"/>
    <s v="Website"/>
    <x v="9"/>
    <n v="1"/>
    <n v="1834000"/>
    <n v="0.2"/>
    <n v="1467000"/>
    <x v="1"/>
    <x v="0"/>
  </r>
  <r>
    <x v="723"/>
    <x v="3"/>
    <x v="2"/>
    <s v="Website"/>
    <x v="4"/>
    <n v="2"/>
    <n v="4258000"/>
    <n v="4.3236001703542602E-2"/>
    <n v="8148000"/>
    <x v="1"/>
    <x v="1"/>
  </r>
  <r>
    <x v="723"/>
    <x v="2"/>
    <x v="0"/>
    <s v="Website"/>
    <x v="4"/>
    <n v="3"/>
    <n v="2605000"/>
    <n v="9.3194536520539398E-2"/>
    <n v="7087000"/>
    <x v="19"/>
    <x v="1"/>
  </r>
  <r>
    <x v="723"/>
    <x v="1"/>
    <x v="0"/>
    <s v="Website"/>
    <x v="4"/>
    <n v="2"/>
    <n v="3393000"/>
    <n v="0.14699999999999999"/>
    <n v="5788000"/>
    <x v="2"/>
    <x v="1"/>
  </r>
  <r>
    <x v="723"/>
    <x v="3"/>
    <x v="2"/>
    <s v="Website"/>
    <x v="9"/>
    <n v="2"/>
    <n v="4153000"/>
    <n v="6.4366030745854896E-2"/>
    <n v="7771000"/>
    <x v="17"/>
    <x v="1"/>
  </r>
  <r>
    <x v="724"/>
    <x v="1"/>
    <x v="2"/>
    <s v="Mobile App"/>
    <x v="0"/>
    <n v="4"/>
    <n v="4453000"/>
    <n v="0.16774674406124301"/>
    <n v="14824000"/>
    <x v="9"/>
    <x v="1"/>
  </r>
  <r>
    <x v="724"/>
    <x v="3"/>
    <x v="1"/>
    <s v="Website"/>
    <x v="5"/>
    <n v="2"/>
    <n v="3048000"/>
    <n v="0.113995225637556"/>
    <n v="5401000"/>
    <x v="5"/>
    <x v="0"/>
  </r>
  <r>
    <x v="724"/>
    <x v="0"/>
    <x v="4"/>
    <s v="Mobile App"/>
    <x v="4"/>
    <n v="2"/>
    <n v="2037000"/>
    <n v="0.11229631297885199"/>
    <n v="3617000"/>
    <x v="10"/>
    <x v="1"/>
  </r>
  <r>
    <x v="725"/>
    <x v="1"/>
    <x v="4"/>
    <s v="Website"/>
    <x v="5"/>
    <n v="2"/>
    <n v="2006000"/>
    <n v="0.223"/>
    <n v="3117000"/>
    <x v="4"/>
    <x v="0"/>
  </r>
  <r>
    <x v="725"/>
    <x v="3"/>
    <x v="0"/>
    <s v="Mobile App"/>
    <x v="4"/>
    <n v="2"/>
    <n v="2721000"/>
    <n v="0.11381030799410501"/>
    <n v="4823000"/>
    <x v="6"/>
    <x v="1"/>
  </r>
  <r>
    <x v="725"/>
    <x v="0"/>
    <x v="4"/>
    <s v="Agent"/>
    <x v="3"/>
    <n v="1"/>
    <n v="2673000"/>
    <n v="0.21199999999999999"/>
    <n v="2106000"/>
    <x v="4"/>
    <x v="1"/>
  </r>
  <r>
    <x v="725"/>
    <x v="0"/>
    <x v="3"/>
    <s v="Website"/>
    <x v="9"/>
    <n v="1"/>
    <n v="2452000"/>
    <n v="0.14799999999999999"/>
    <n v="2090000"/>
    <x v="8"/>
    <x v="1"/>
  </r>
  <r>
    <x v="726"/>
    <x v="1"/>
    <x v="4"/>
    <s v="Agent"/>
    <x v="7"/>
    <n v="2"/>
    <n v="2327000"/>
    <n v="0.135635739117002"/>
    <n v="4023000"/>
    <x v="2"/>
    <x v="0"/>
  </r>
  <r>
    <x v="727"/>
    <x v="1"/>
    <x v="1"/>
    <s v="Website"/>
    <x v="3"/>
    <n v="2"/>
    <n v="3262000"/>
    <n v="9.5107790409457604E-2"/>
    <n v="5904000"/>
    <x v="1"/>
    <x v="0"/>
  </r>
  <r>
    <x v="727"/>
    <x v="2"/>
    <x v="2"/>
    <s v="Agent"/>
    <x v="1"/>
    <n v="1"/>
    <n v="3260000"/>
    <n v="0.15745416481944799"/>
    <n v="2747000"/>
    <x v="0"/>
    <x v="0"/>
  </r>
  <r>
    <x v="728"/>
    <x v="3"/>
    <x v="5"/>
    <s v="Mobile App"/>
    <x v="9"/>
    <n v="3"/>
    <n v="5649000"/>
    <n v="8.0063831914057901E-2"/>
    <n v="15590000"/>
    <x v="4"/>
    <x v="1"/>
  </r>
  <r>
    <x v="728"/>
    <x v="1"/>
    <x v="4"/>
    <s v="Website"/>
    <x v="9"/>
    <n v="1"/>
    <n v="2512000"/>
    <n v="6.9186551393647197E-2"/>
    <n v="2338000"/>
    <x v="14"/>
    <x v="1"/>
  </r>
  <r>
    <x v="728"/>
    <x v="1"/>
    <x v="3"/>
    <s v="Website"/>
    <x v="5"/>
    <n v="1"/>
    <n v="2239000"/>
    <n v="0.105902863426454"/>
    <n v="2002000"/>
    <x v="1"/>
    <x v="1"/>
  </r>
  <r>
    <x v="728"/>
    <x v="0"/>
    <x v="0"/>
    <s v="Agent"/>
    <x v="7"/>
    <n v="2"/>
    <n v="2204000"/>
    <n v="8.0825322288105697E-2"/>
    <n v="4052000"/>
    <x v="9"/>
    <x v="1"/>
  </r>
  <r>
    <x v="729"/>
    <x v="3"/>
    <x v="1"/>
    <s v="Website"/>
    <x v="7"/>
    <n v="1"/>
    <n v="3007000"/>
    <n v="0.14165943623531199"/>
    <n v="2581000"/>
    <x v="6"/>
    <x v="1"/>
  </r>
  <r>
    <x v="729"/>
    <x v="2"/>
    <x v="2"/>
    <s v="Mobile App"/>
    <x v="7"/>
    <n v="1"/>
    <n v="3702000"/>
    <n v="8.0547801422711604E-2"/>
    <n v="3404000"/>
    <x v="15"/>
    <x v="0"/>
  </r>
  <r>
    <x v="729"/>
    <x v="2"/>
    <x v="5"/>
    <s v="Mobile App"/>
    <x v="5"/>
    <n v="4"/>
    <n v="5038000"/>
    <n v="7.0290119689966707E-2"/>
    <n v="18736000"/>
    <x v="6"/>
    <x v="0"/>
  </r>
  <r>
    <x v="729"/>
    <x v="2"/>
    <x v="2"/>
    <s v="Mobile App"/>
    <x v="9"/>
    <n v="2"/>
    <n v="3570000"/>
    <n v="0"/>
    <n v="7140000"/>
    <x v="13"/>
    <x v="0"/>
  </r>
  <r>
    <x v="729"/>
    <x v="0"/>
    <x v="2"/>
    <s v="Mobile App"/>
    <x v="0"/>
    <n v="1"/>
    <n v="4364000"/>
    <n v="7.0999999999999994E-2"/>
    <n v="4054000"/>
    <x v="3"/>
    <x v="1"/>
  </r>
  <r>
    <x v="729"/>
    <x v="1"/>
    <x v="0"/>
    <s v="Website"/>
    <x v="5"/>
    <n v="1"/>
    <n v="2497000"/>
    <n v="2.4760425488509999E-2"/>
    <n v="2435000"/>
    <x v="10"/>
    <x v="1"/>
  </r>
  <r>
    <x v="730"/>
    <x v="3"/>
    <x v="2"/>
    <s v="Website"/>
    <x v="6"/>
    <n v="4"/>
    <n v="4246000"/>
    <n v="0.114"/>
    <n v="15048000"/>
    <x v="0"/>
    <x v="0"/>
  </r>
  <r>
    <x v="730"/>
    <x v="3"/>
    <x v="2"/>
    <s v="Mobile App"/>
    <x v="9"/>
    <n v="2"/>
    <n v="3188000"/>
    <n v="6.0999999999999999E-2"/>
    <n v="5987000"/>
    <x v="9"/>
    <x v="1"/>
  </r>
  <r>
    <x v="731"/>
    <x v="3"/>
    <x v="3"/>
    <s v="Mobile App"/>
    <x v="5"/>
    <n v="1"/>
    <n v="2112000"/>
    <n v="0.108715961606245"/>
    <n v="1882000"/>
    <x v="9"/>
    <x v="1"/>
  </r>
  <r>
    <x v="731"/>
    <x v="1"/>
    <x v="4"/>
    <s v="Website"/>
    <x v="5"/>
    <n v="1"/>
    <n v="2595000"/>
    <n v="9.7523585247156097E-2"/>
    <n v="2342000"/>
    <x v="3"/>
    <x v="0"/>
  </r>
  <r>
    <x v="731"/>
    <x v="3"/>
    <x v="4"/>
    <s v="Agent"/>
    <x v="9"/>
    <n v="1"/>
    <n v="2355000"/>
    <n v="4.1091041719612399E-2"/>
    <n v="2258000"/>
    <x v="8"/>
    <x v="0"/>
  </r>
  <r>
    <x v="731"/>
    <x v="0"/>
    <x v="2"/>
    <s v="Website"/>
    <x v="8"/>
    <n v="3"/>
    <n v="3519000"/>
    <n v="2.7871718591295801E-2"/>
    <n v="10263000"/>
    <x v="14"/>
    <x v="1"/>
  </r>
  <r>
    <x v="731"/>
    <x v="1"/>
    <x v="2"/>
    <s v="Website"/>
    <x v="5"/>
    <n v="2"/>
    <n v="4777000"/>
    <n v="0.13100000000000001"/>
    <n v="8302000"/>
    <x v="13"/>
    <x v="0"/>
  </r>
  <r>
    <x v="731"/>
    <x v="1"/>
    <x v="0"/>
    <s v="Agent"/>
    <x v="0"/>
    <n v="3"/>
    <n v="3453000"/>
    <n v="0.123"/>
    <n v="9085000"/>
    <x v="12"/>
    <x v="1"/>
  </r>
  <r>
    <x v="732"/>
    <x v="3"/>
    <x v="0"/>
    <s v="Website"/>
    <x v="2"/>
    <n v="2"/>
    <n v="3272000"/>
    <n v="0.11575701665413"/>
    <n v="5786000"/>
    <x v="5"/>
    <x v="1"/>
  </r>
  <r>
    <x v="732"/>
    <x v="3"/>
    <x v="2"/>
    <s v="Website"/>
    <x v="2"/>
    <n v="5"/>
    <n v="4150000"/>
    <n v="8.0242302674556704E-2"/>
    <n v="19085000"/>
    <x v="2"/>
    <x v="0"/>
  </r>
  <r>
    <x v="732"/>
    <x v="0"/>
    <x v="0"/>
    <s v="Website"/>
    <x v="5"/>
    <n v="2"/>
    <n v="2203000"/>
    <n v="8.5999999999999993E-2"/>
    <n v="4027000"/>
    <x v="18"/>
    <x v="0"/>
  </r>
  <r>
    <x v="732"/>
    <x v="1"/>
    <x v="2"/>
    <s v="Website"/>
    <x v="0"/>
    <n v="1"/>
    <n v="4799000"/>
    <n v="9.0461089296593702E-2"/>
    <n v="4365000"/>
    <x v="9"/>
    <x v="0"/>
  </r>
  <r>
    <x v="732"/>
    <x v="1"/>
    <x v="0"/>
    <s v="Mobile App"/>
    <x v="3"/>
    <n v="1"/>
    <n v="3472000"/>
    <n v="0.222"/>
    <n v="2701000"/>
    <x v="7"/>
    <x v="0"/>
  </r>
  <r>
    <x v="733"/>
    <x v="3"/>
    <x v="3"/>
    <s v="Agent"/>
    <x v="3"/>
    <n v="1"/>
    <n v="2542000"/>
    <n v="8.5999999999999993E-2"/>
    <n v="2323000"/>
    <x v="2"/>
    <x v="0"/>
  </r>
  <r>
    <x v="733"/>
    <x v="2"/>
    <x v="0"/>
    <s v="Mobile App"/>
    <x v="1"/>
    <n v="4"/>
    <n v="2395000"/>
    <n v="6.4120175207870306E-2"/>
    <n v="8966000"/>
    <x v="10"/>
    <x v="1"/>
  </r>
  <r>
    <x v="733"/>
    <x v="1"/>
    <x v="0"/>
    <s v="Website"/>
    <x v="4"/>
    <n v="1"/>
    <n v="2798000"/>
    <n v="4.9072251485909699E-2"/>
    <n v="2661000"/>
    <x v="9"/>
    <x v="1"/>
  </r>
  <r>
    <x v="733"/>
    <x v="2"/>
    <x v="3"/>
    <s v="Agent"/>
    <x v="0"/>
    <n v="1"/>
    <n v="2363000"/>
    <n v="0.145987045339139"/>
    <n v="2018000"/>
    <x v="4"/>
    <x v="1"/>
  </r>
  <r>
    <x v="733"/>
    <x v="3"/>
    <x v="0"/>
    <s v="Agent"/>
    <x v="2"/>
    <n v="2"/>
    <n v="3287000"/>
    <n v="0.14501217486981"/>
    <n v="5621000"/>
    <x v="17"/>
    <x v="1"/>
  </r>
  <r>
    <x v="734"/>
    <x v="1"/>
    <x v="1"/>
    <s v="Website"/>
    <x v="8"/>
    <n v="3"/>
    <n v="3174000"/>
    <n v="0.10299999999999999"/>
    <n v="8541000"/>
    <x v="0"/>
    <x v="0"/>
  </r>
  <r>
    <x v="734"/>
    <x v="3"/>
    <x v="2"/>
    <s v="Agent"/>
    <x v="5"/>
    <n v="4"/>
    <n v="4257000"/>
    <n v="0.14699999999999999"/>
    <n v="14525000"/>
    <x v="1"/>
    <x v="1"/>
  </r>
  <r>
    <x v="734"/>
    <x v="3"/>
    <x v="2"/>
    <s v="Website"/>
    <x v="5"/>
    <n v="4"/>
    <n v="3455000"/>
    <n v="8.6999999999999994E-2"/>
    <n v="12618000"/>
    <x v="13"/>
    <x v="0"/>
  </r>
  <r>
    <x v="735"/>
    <x v="2"/>
    <x v="1"/>
    <s v="Agent"/>
    <x v="1"/>
    <n v="3"/>
    <n v="2610000"/>
    <n v="0.104"/>
    <n v="7016000"/>
    <x v="0"/>
    <x v="0"/>
  </r>
  <r>
    <x v="735"/>
    <x v="3"/>
    <x v="1"/>
    <s v="Call Center"/>
    <x v="7"/>
    <n v="2"/>
    <n v="2807000"/>
    <n v="9.8000000000000004E-2"/>
    <n v="5064000"/>
    <x v="15"/>
    <x v="1"/>
  </r>
  <r>
    <x v="735"/>
    <x v="3"/>
    <x v="2"/>
    <s v="Agent"/>
    <x v="1"/>
    <n v="2"/>
    <n v="2949000"/>
    <n v="0.14382803910756201"/>
    <n v="5050000"/>
    <x v="0"/>
    <x v="1"/>
  </r>
  <r>
    <x v="735"/>
    <x v="0"/>
    <x v="3"/>
    <s v="Website"/>
    <x v="5"/>
    <n v="1"/>
    <n v="3117000"/>
    <n v="0.124"/>
    <n v="2730000"/>
    <x v="2"/>
    <x v="0"/>
  </r>
  <r>
    <x v="736"/>
    <x v="0"/>
    <x v="1"/>
    <s v="Website"/>
    <x v="4"/>
    <n v="3"/>
    <n v="2767000"/>
    <n v="4.7860580872394198E-2"/>
    <n v="7904000"/>
    <x v="1"/>
    <x v="0"/>
  </r>
  <r>
    <x v="736"/>
    <x v="3"/>
    <x v="2"/>
    <s v="Call Center"/>
    <x v="2"/>
    <n v="2"/>
    <n v="3510000"/>
    <n v="0.112"/>
    <n v="6234000"/>
    <x v="22"/>
    <x v="0"/>
  </r>
  <r>
    <x v="736"/>
    <x v="0"/>
    <x v="1"/>
    <s v="Mobile App"/>
    <x v="0"/>
    <n v="4"/>
    <n v="2250000"/>
    <n v="0.14199999999999999"/>
    <n v="7722000"/>
    <x v="15"/>
    <x v="0"/>
  </r>
  <r>
    <x v="736"/>
    <x v="2"/>
    <x v="0"/>
    <s v="Website"/>
    <x v="0"/>
    <n v="1"/>
    <n v="2741000"/>
    <n v="7.0933873353878296E-2"/>
    <n v="2547000"/>
    <x v="2"/>
    <x v="0"/>
  </r>
  <r>
    <x v="736"/>
    <x v="2"/>
    <x v="2"/>
    <s v="Website"/>
    <x v="5"/>
    <n v="1"/>
    <n v="3908000"/>
    <n v="0.11200080530872"/>
    <n v="3470000"/>
    <x v="13"/>
    <x v="0"/>
  </r>
  <r>
    <x v="736"/>
    <x v="3"/>
    <x v="1"/>
    <s v="Website"/>
    <x v="1"/>
    <n v="2"/>
    <n v="2429000"/>
    <n v="0.09"/>
    <n v="4421000"/>
    <x v="5"/>
    <x v="1"/>
  </r>
  <r>
    <x v="737"/>
    <x v="1"/>
    <x v="3"/>
    <s v="Mobile App"/>
    <x v="7"/>
    <n v="2"/>
    <n v="1998000"/>
    <n v="0.115"/>
    <n v="3536000"/>
    <x v="10"/>
    <x v="0"/>
  </r>
  <r>
    <x v="737"/>
    <x v="0"/>
    <x v="1"/>
    <s v="Website"/>
    <x v="2"/>
    <n v="2"/>
    <n v="3509000"/>
    <n v="9.37313651697292E-2"/>
    <n v="6360000"/>
    <x v="13"/>
    <x v="1"/>
  </r>
  <r>
    <x v="737"/>
    <x v="1"/>
    <x v="5"/>
    <s v="Website"/>
    <x v="6"/>
    <n v="4"/>
    <n v="4725000"/>
    <n v="0.14908841606866299"/>
    <n v="16082000"/>
    <x v="2"/>
    <x v="1"/>
  </r>
  <r>
    <x v="737"/>
    <x v="3"/>
    <x v="2"/>
    <s v="Agent"/>
    <x v="2"/>
    <n v="3"/>
    <n v="4295000"/>
    <n v="0.123"/>
    <n v="11300000"/>
    <x v="1"/>
    <x v="0"/>
  </r>
  <r>
    <x v="738"/>
    <x v="0"/>
    <x v="4"/>
    <s v="Website"/>
    <x v="0"/>
    <n v="1"/>
    <n v="2504000"/>
    <n v="0.13199190285488599"/>
    <n v="2173000"/>
    <x v="15"/>
    <x v="1"/>
  </r>
  <r>
    <x v="738"/>
    <x v="3"/>
    <x v="0"/>
    <s v="Mobile App"/>
    <x v="8"/>
    <n v="2"/>
    <n v="2725000"/>
    <n v="4.2000000000000003E-2"/>
    <n v="5221000"/>
    <x v="1"/>
    <x v="0"/>
  </r>
  <r>
    <x v="738"/>
    <x v="0"/>
    <x v="2"/>
    <s v="Agent"/>
    <x v="3"/>
    <n v="1"/>
    <n v="4410000"/>
    <n v="0.17699999999999999"/>
    <n v="3629000"/>
    <x v="12"/>
    <x v="0"/>
  </r>
  <r>
    <x v="738"/>
    <x v="1"/>
    <x v="5"/>
    <s v="Mobile App"/>
    <x v="7"/>
    <n v="1"/>
    <n v="5253000"/>
    <n v="0.13500000000000001"/>
    <n v="4544000"/>
    <x v="1"/>
    <x v="1"/>
  </r>
  <r>
    <x v="738"/>
    <x v="2"/>
    <x v="2"/>
    <s v="Website"/>
    <x v="5"/>
    <n v="2"/>
    <n v="4153000"/>
    <n v="0.10865913216442701"/>
    <n v="7403000"/>
    <x v="16"/>
    <x v="0"/>
  </r>
  <r>
    <x v="738"/>
    <x v="0"/>
    <x v="5"/>
    <s v="Mobile App"/>
    <x v="5"/>
    <n v="1"/>
    <n v="6630000"/>
    <n v="4.9000000000000002E-2"/>
    <n v="6305000"/>
    <x v="2"/>
    <x v="0"/>
  </r>
  <r>
    <x v="738"/>
    <x v="3"/>
    <x v="2"/>
    <s v="Agent"/>
    <x v="6"/>
    <n v="3"/>
    <n v="3933000"/>
    <n v="0.101544749696139"/>
    <n v="10601000"/>
    <x v="5"/>
    <x v="1"/>
  </r>
  <r>
    <x v="739"/>
    <x v="3"/>
    <x v="2"/>
    <s v="Mobile App"/>
    <x v="0"/>
    <n v="1"/>
    <n v="4327000"/>
    <n v="8.7335473170907701E-2"/>
    <n v="3949000"/>
    <x v="15"/>
    <x v="1"/>
  </r>
  <r>
    <x v="740"/>
    <x v="0"/>
    <x v="4"/>
    <s v="Mobile App"/>
    <x v="8"/>
    <n v="2"/>
    <n v="2401000"/>
    <n v="0.14409576327589499"/>
    <n v="4110000"/>
    <x v="1"/>
    <x v="1"/>
  </r>
  <r>
    <x v="741"/>
    <x v="1"/>
    <x v="2"/>
    <s v="Website"/>
    <x v="9"/>
    <n v="1"/>
    <n v="3933000"/>
    <n v="5.8252561582802398E-2"/>
    <n v="3704000"/>
    <x v="6"/>
    <x v="1"/>
  </r>
  <r>
    <x v="741"/>
    <x v="0"/>
    <x v="5"/>
    <s v="Website"/>
    <x v="7"/>
    <n v="1"/>
    <n v="4778000"/>
    <n v="0.22600000000000001"/>
    <n v="3698000"/>
    <x v="3"/>
    <x v="1"/>
  </r>
  <r>
    <x v="741"/>
    <x v="3"/>
    <x v="5"/>
    <s v="Mobile App"/>
    <x v="9"/>
    <n v="3"/>
    <n v="5875000"/>
    <n v="4.5969972068059202E-2"/>
    <n v="16815000"/>
    <x v="3"/>
    <x v="1"/>
  </r>
  <r>
    <x v="741"/>
    <x v="0"/>
    <x v="5"/>
    <s v="Website"/>
    <x v="9"/>
    <n v="1"/>
    <n v="5898000"/>
    <n v="0.11700000000000001"/>
    <n v="5210000"/>
    <x v="15"/>
    <x v="1"/>
  </r>
  <r>
    <x v="741"/>
    <x v="3"/>
    <x v="0"/>
    <s v="Mobile App"/>
    <x v="9"/>
    <n v="3"/>
    <n v="2608000"/>
    <n v="0.11925433339427"/>
    <n v="6891000"/>
    <x v="2"/>
    <x v="0"/>
  </r>
  <r>
    <x v="741"/>
    <x v="3"/>
    <x v="3"/>
    <s v="Agent"/>
    <x v="5"/>
    <n v="4"/>
    <n v="1993000"/>
    <n v="0.183"/>
    <n v="6513000"/>
    <x v="5"/>
    <x v="0"/>
  </r>
  <r>
    <x v="741"/>
    <x v="3"/>
    <x v="0"/>
    <s v="Agent"/>
    <x v="1"/>
    <n v="1"/>
    <n v="2329000"/>
    <n v="7.8390597815222895E-2"/>
    <n v="2146000"/>
    <x v="8"/>
    <x v="1"/>
  </r>
  <r>
    <x v="741"/>
    <x v="0"/>
    <x v="5"/>
    <s v="Mobile App"/>
    <x v="2"/>
    <n v="4"/>
    <n v="4879000"/>
    <n v="0.103756414100272"/>
    <n v="17491000"/>
    <x v="15"/>
    <x v="1"/>
  </r>
  <r>
    <x v="742"/>
    <x v="1"/>
    <x v="0"/>
    <s v="Website"/>
    <x v="2"/>
    <n v="2"/>
    <n v="3151000"/>
    <n v="0.16894160926534699"/>
    <n v="5237000"/>
    <x v="1"/>
    <x v="1"/>
  </r>
  <r>
    <x v="742"/>
    <x v="3"/>
    <x v="2"/>
    <s v="Website"/>
    <x v="8"/>
    <n v="1"/>
    <n v="4654000"/>
    <n v="0.17499999999999999"/>
    <n v="3840000"/>
    <x v="6"/>
    <x v="1"/>
  </r>
  <r>
    <x v="742"/>
    <x v="1"/>
    <x v="0"/>
    <s v="Website"/>
    <x v="0"/>
    <n v="1"/>
    <n v="3541000"/>
    <n v="0.161"/>
    <n v="2971000"/>
    <x v="9"/>
    <x v="1"/>
  </r>
  <r>
    <x v="742"/>
    <x v="3"/>
    <x v="2"/>
    <s v="Website"/>
    <x v="7"/>
    <n v="1"/>
    <n v="3499000"/>
    <n v="6.5914669211327298E-2"/>
    <n v="3268000"/>
    <x v="9"/>
    <x v="0"/>
  </r>
  <r>
    <x v="743"/>
    <x v="0"/>
    <x v="1"/>
    <s v="Website"/>
    <x v="4"/>
    <n v="2"/>
    <n v="2700000"/>
    <n v="0.11227489341364499"/>
    <n v="4794000"/>
    <x v="5"/>
    <x v="1"/>
  </r>
  <r>
    <x v="743"/>
    <x v="3"/>
    <x v="0"/>
    <s v="Agent"/>
    <x v="1"/>
    <n v="4"/>
    <n v="2288000"/>
    <n v="0.14799999999999999"/>
    <n v="7798000"/>
    <x v="8"/>
    <x v="0"/>
  </r>
  <r>
    <x v="743"/>
    <x v="3"/>
    <x v="2"/>
    <s v="Website"/>
    <x v="1"/>
    <n v="1"/>
    <n v="3702000"/>
    <n v="8.8999999999999996E-2"/>
    <n v="3373000"/>
    <x v="14"/>
    <x v="1"/>
  </r>
  <r>
    <x v="744"/>
    <x v="0"/>
    <x v="2"/>
    <s v="Website"/>
    <x v="0"/>
    <n v="1"/>
    <n v="4696000"/>
    <n v="0.158196521529684"/>
    <n v="3953000"/>
    <x v="4"/>
    <x v="0"/>
  </r>
  <r>
    <x v="744"/>
    <x v="3"/>
    <x v="2"/>
    <s v="Agent"/>
    <x v="5"/>
    <n v="2"/>
    <n v="3254000"/>
    <n v="2.5999999999999999E-2"/>
    <n v="6339000"/>
    <x v="4"/>
    <x v="0"/>
  </r>
  <r>
    <x v="744"/>
    <x v="1"/>
    <x v="4"/>
    <s v="Website"/>
    <x v="4"/>
    <n v="3"/>
    <n v="1699000"/>
    <n v="0"/>
    <n v="5097000"/>
    <x v="15"/>
    <x v="0"/>
  </r>
  <r>
    <x v="744"/>
    <x v="0"/>
    <x v="4"/>
    <s v="Agent"/>
    <x v="3"/>
    <n v="1"/>
    <n v="1741000"/>
    <n v="0.12"/>
    <n v="1532000"/>
    <x v="15"/>
    <x v="0"/>
  </r>
  <r>
    <x v="744"/>
    <x v="3"/>
    <x v="5"/>
    <s v="Mobile App"/>
    <x v="8"/>
    <n v="2"/>
    <n v="5081000"/>
    <n v="6.3E-2"/>
    <n v="9522000"/>
    <x v="15"/>
    <x v="0"/>
  </r>
  <r>
    <x v="744"/>
    <x v="1"/>
    <x v="5"/>
    <s v="Website"/>
    <x v="0"/>
    <n v="1"/>
    <n v="5663000"/>
    <n v="3.7422081237755002E-3"/>
    <n v="5642000"/>
    <x v="18"/>
    <x v="0"/>
  </r>
  <r>
    <x v="744"/>
    <x v="1"/>
    <x v="0"/>
    <s v="Agent"/>
    <x v="8"/>
    <n v="2"/>
    <n v="2454000"/>
    <n v="7.6133381624196694E-2"/>
    <n v="4534000"/>
    <x v="5"/>
    <x v="1"/>
  </r>
  <r>
    <x v="745"/>
    <x v="3"/>
    <x v="1"/>
    <s v="Call Center"/>
    <x v="4"/>
    <n v="3"/>
    <n v="3245000"/>
    <n v="1.4999999999999999E-2"/>
    <n v="9589000"/>
    <x v="6"/>
    <x v="0"/>
  </r>
  <r>
    <x v="745"/>
    <x v="0"/>
    <x v="2"/>
    <s v="Agent"/>
    <x v="1"/>
    <n v="3"/>
    <n v="3302000"/>
    <n v="0.105869851847855"/>
    <n v="8857000"/>
    <x v="3"/>
    <x v="0"/>
  </r>
  <r>
    <x v="745"/>
    <x v="1"/>
    <x v="0"/>
    <s v="Mobile App"/>
    <x v="2"/>
    <n v="2"/>
    <n v="2999000"/>
    <n v="0.16082110460000501"/>
    <n v="5033000"/>
    <x v="8"/>
    <x v="1"/>
  </r>
  <r>
    <x v="745"/>
    <x v="1"/>
    <x v="0"/>
    <s v="Website"/>
    <x v="8"/>
    <n v="3"/>
    <n v="2316000"/>
    <n v="8.3758273752223E-2"/>
    <n v="6366000"/>
    <x v="13"/>
    <x v="1"/>
  </r>
  <r>
    <x v="745"/>
    <x v="1"/>
    <x v="0"/>
    <s v="Agent"/>
    <x v="8"/>
    <n v="2"/>
    <n v="2923000"/>
    <n v="6.3E-2"/>
    <n v="5478000"/>
    <x v="2"/>
    <x v="0"/>
  </r>
  <r>
    <x v="745"/>
    <x v="3"/>
    <x v="0"/>
    <s v="Agent"/>
    <x v="7"/>
    <n v="1"/>
    <n v="3351000"/>
    <n v="8.5000000000000006E-2"/>
    <n v="3066000"/>
    <x v="13"/>
    <x v="1"/>
  </r>
  <r>
    <x v="745"/>
    <x v="1"/>
    <x v="4"/>
    <s v="Website"/>
    <x v="2"/>
    <n v="1"/>
    <n v="1842000"/>
    <n v="0.06"/>
    <n v="1731000"/>
    <x v="7"/>
    <x v="1"/>
  </r>
  <r>
    <x v="746"/>
    <x v="1"/>
    <x v="5"/>
    <s v="Agent"/>
    <x v="5"/>
    <n v="4"/>
    <n v="5455000"/>
    <n v="0.123212418293693"/>
    <n v="19132000"/>
    <x v="10"/>
    <x v="1"/>
  </r>
  <r>
    <x v="746"/>
    <x v="0"/>
    <x v="0"/>
    <s v="Mobile App"/>
    <x v="5"/>
    <n v="4"/>
    <n v="2594000"/>
    <n v="0.20024053003181699"/>
    <n v="8298000"/>
    <x v="1"/>
    <x v="1"/>
  </r>
  <r>
    <x v="746"/>
    <x v="3"/>
    <x v="0"/>
    <s v="Website"/>
    <x v="8"/>
    <n v="2"/>
    <n v="2206000"/>
    <n v="5.2999999999999999E-2"/>
    <n v="4178000"/>
    <x v="16"/>
    <x v="1"/>
  </r>
  <r>
    <x v="746"/>
    <x v="1"/>
    <x v="0"/>
    <s v="Mobile App"/>
    <x v="4"/>
    <n v="2"/>
    <n v="3068000"/>
    <n v="4.3991847838548599E-2"/>
    <n v="5866000"/>
    <x v="17"/>
    <x v="1"/>
  </r>
  <r>
    <x v="746"/>
    <x v="1"/>
    <x v="2"/>
    <s v="Agent"/>
    <x v="6"/>
    <n v="2"/>
    <n v="4124000"/>
    <n v="4.1565075333974001E-2"/>
    <n v="7905000"/>
    <x v="16"/>
    <x v="1"/>
  </r>
  <r>
    <x v="747"/>
    <x v="3"/>
    <x v="0"/>
    <s v="Mobile App"/>
    <x v="2"/>
    <n v="3"/>
    <n v="3611000"/>
    <n v="5.5680278123558698E-2"/>
    <n v="10230000"/>
    <x v="17"/>
    <x v="0"/>
  </r>
  <r>
    <x v="747"/>
    <x v="0"/>
    <x v="0"/>
    <s v="Website"/>
    <x v="0"/>
    <n v="1"/>
    <n v="2228000"/>
    <n v="0.10100000000000001"/>
    <n v="2003000"/>
    <x v="0"/>
    <x v="0"/>
  </r>
  <r>
    <x v="748"/>
    <x v="0"/>
    <x v="3"/>
    <s v="Mobile App"/>
    <x v="4"/>
    <n v="2"/>
    <n v="1546000"/>
    <n v="8.9656443277120398E-2"/>
    <n v="2815000"/>
    <x v="10"/>
    <x v="1"/>
  </r>
  <r>
    <x v="748"/>
    <x v="1"/>
    <x v="5"/>
    <s v="Call Center"/>
    <x v="2"/>
    <n v="1"/>
    <n v="5120000"/>
    <n v="5.7686222352916303E-2"/>
    <n v="4825000"/>
    <x v="0"/>
    <x v="1"/>
  </r>
  <r>
    <x v="749"/>
    <x v="0"/>
    <x v="2"/>
    <s v="Website"/>
    <x v="2"/>
    <n v="1"/>
    <n v="4270000"/>
    <n v="5.8770688820267002E-2"/>
    <n v="4019000"/>
    <x v="8"/>
    <x v="1"/>
  </r>
  <r>
    <x v="749"/>
    <x v="1"/>
    <x v="3"/>
    <s v="Website"/>
    <x v="8"/>
    <n v="1"/>
    <n v="2551000"/>
    <n v="7.7826232576594406E-2"/>
    <n v="2352000"/>
    <x v="5"/>
    <x v="1"/>
  </r>
  <r>
    <x v="749"/>
    <x v="1"/>
    <x v="0"/>
    <s v="Website"/>
    <x v="6"/>
    <n v="2"/>
    <n v="2602000"/>
    <n v="0.125812616875216"/>
    <n v="4549000"/>
    <x v="3"/>
    <x v="0"/>
  </r>
  <r>
    <x v="750"/>
    <x v="2"/>
    <x v="0"/>
    <s v="Agent"/>
    <x v="9"/>
    <n v="2"/>
    <n v="1781000"/>
    <n v="2.3E-2"/>
    <n v="3480000"/>
    <x v="17"/>
    <x v="0"/>
  </r>
  <r>
    <x v="750"/>
    <x v="3"/>
    <x v="4"/>
    <s v="Website"/>
    <x v="5"/>
    <n v="2"/>
    <n v="2844000"/>
    <n v="0.10531806011011299"/>
    <n v="5089000"/>
    <x v="0"/>
    <x v="1"/>
  </r>
  <r>
    <x v="751"/>
    <x v="1"/>
    <x v="0"/>
    <s v="Website"/>
    <x v="4"/>
    <n v="2"/>
    <n v="3186000"/>
    <n v="3.5999999999999997E-2"/>
    <n v="6143000"/>
    <x v="13"/>
    <x v="0"/>
  </r>
  <r>
    <x v="751"/>
    <x v="3"/>
    <x v="0"/>
    <s v="Website"/>
    <x v="0"/>
    <n v="1"/>
    <n v="2279000"/>
    <n v="5.8000000000000003E-2"/>
    <n v="2147000"/>
    <x v="4"/>
    <x v="0"/>
  </r>
  <r>
    <x v="752"/>
    <x v="3"/>
    <x v="3"/>
    <s v="Website"/>
    <x v="1"/>
    <n v="2"/>
    <n v="2654000"/>
    <n v="7.4999999999999997E-2"/>
    <n v="4910000"/>
    <x v="3"/>
    <x v="1"/>
  </r>
  <r>
    <x v="752"/>
    <x v="1"/>
    <x v="1"/>
    <s v="Website"/>
    <x v="6"/>
    <n v="5"/>
    <n v="3466000"/>
    <n v="0.12519701502215799"/>
    <n v="15160000"/>
    <x v="10"/>
    <x v="0"/>
  </r>
  <r>
    <x v="752"/>
    <x v="1"/>
    <x v="2"/>
    <s v="Agent"/>
    <x v="6"/>
    <n v="1"/>
    <n v="4308000"/>
    <n v="8.5000000000000006E-2"/>
    <n v="3942000"/>
    <x v="18"/>
    <x v="0"/>
  </r>
  <r>
    <x v="752"/>
    <x v="3"/>
    <x v="2"/>
    <s v="Mobile App"/>
    <x v="8"/>
    <n v="1"/>
    <n v="3974000"/>
    <n v="6.3625457903941696E-2"/>
    <n v="3721000"/>
    <x v="6"/>
    <x v="0"/>
  </r>
  <r>
    <x v="752"/>
    <x v="2"/>
    <x v="2"/>
    <s v="Website"/>
    <x v="1"/>
    <n v="1"/>
    <n v="3189000"/>
    <n v="7.8542269659527694E-2"/>
    <n v="2939000"/>
    <x v="10"/>
    <x v="1"/>
  </r>
  <r>
    <x v="752"/>
    <x v="1"/>
    <x v="0"/>
    <s v="Agent"/>
    <x v="3"/>
    <n v="2"/>
    <n v="2906000"/>
    <n v="0.13351136338617201"/>
    <n v="5036000"/>
    <x v="13"/>
    <x v="1"/>
  </r>
  <r>
    <x v="752"/>
    <x v="3"/>
    <x v="0"/>
    <s v="Website"/>
    <x v="1"/>
    <n v="1"/>
    <n v="2215000"/>
    <n v="5.7000000000000002E-2"/>
    <n v="2089000"/>
    <x v="5"/>
    <x v="0"/>
  </r>
  <r>
    <x v="752"/>
    <x v="3"/>
    <x v="2"/>
    <s v="Agent"/>
    <x v="0"/>
    <n v="2"/>
    <n v="4914000"/>
    <n v="7.8E-2"/>
    <n v="9061000"/>
    <x v="1"/>
    <x v="1"/>
  </r>
  <r>
    <x v="753"/>
    <x v="0"/>
    <x v="0"/>
    <s v="Mobile App"/>
    <x v="1"/>
    <n v="2"/>
    <n v="-100000"/>
    <n v="5.5E-2"/>
    <n v="4351000"/>
    <x v="5"/>
    <x v="0"/>
  </r>
  <r>
    <x v="753"/>
    <x v="2"/>
    <x v="2"/>
    <s v="Website"/>
    <x v="6"/>
    <n v="3"/>
    <n v="4513000"/>
    <n v="0.12796346637627401"/>
    <n v="11807000"/>
    <x v="2"/>
    <x v="0"/>
  </r>
  <r>
    <x v="753"/>
    <x v="2"/>
    <x v="2"/>
    <s v="Mobile App"/>
    <x v="2"/>
    <n v="2"/>
    <n v="4634000"/>
    <n v="0.10299999999999999"/>
    <n v="8313000"/>
    <x v="13"/>
    <x v="0"/>
  </r>
  <r>
    <x v="753"/>
    <x v="3"/>
    <x v="0"/>
    <s v="Mobile App"/>
    <x v="6"/>
    <n v="2"/>
    <n v="2806000"/>
    <n v="0.13498276070883899"/>
    <n v="4854000"/>
    <x v="0"/>
    <x v="1"/>
  </r>
  <r>
    <x v="753"/>
    <x v="3"/>
    <x v="2"/>
    <s v="Mobile App"/>
    <x v="3"/>
    <n v="1"/>
    <n v="4421000"/>
    <n v="7.0037180778706298E-2"/>
    <n v="4111000"/>
    <x v="2"/>
    <x v="1"/>
  </r>
  <r>
    <x v="753"/>
    <x v="0"/>
    <x v="1"/>
    <s v="Mobile App"/>
    <x v="5"/>
    <n v="2"/>
    <n v="3383000"/>
    <n v="2.3643519144171499E-2"/>
    <n v="6606000"/>
    <x v="1"/>
    <x v="0"/>
  </r>
  <r>
    <x v="754"/>
    <x v="0"/>
    <x v="0"/>
    <s v="Mobile App"/>
    <x v="5"/>
    <n v="1"/>
    <n v="2959000"/>
    <n v="8.1061792376739106E-2"/>
    <n v="2719000"/>
    <x v="15"/>
    <x v="1"/>
  </r>
  <r>
    <x v="754"/>
    <x v="2"/>
    <x v="2"/>
    <s v="Mobile App"/>
    <x v="1"/>
    <n v="5"/>
    <n v="3305000"/>
    <n v="7.3939438000204902E-2"/>
    <n v="15303000"/>
    <x v="14"/>
    <x v="1"/>
  </r>
  <r>
    <x v="754"/>
    <x v="0"/>
    <x v="2"/>
    <s v="Agent"/>
    <x v="1"/>
    <n v="5"/>
    <n v="5196000"/>
    <n v="7.8727972015759096E-2"/>
    <n v="23935000"/>
    <x v="14"/>
    <x v="0"/>
  </r>
  <r>
    <x v="754"/>
    <x v="0"/>
    <x v="4"/>
    <s v="Website"/>
    <x v="6"/>
    <n v="3"/>
    <n v="2829000"/>
    <n v="0.110212993201469"/>
    <n v="0"/>
    <x v="14"/>
    <x v="0"/>
  </r>
  <r>
    <x v="755"/>
    <x v="1"/>
    <x v="5"/>
    <s v="Website"/>
    <x v="5"/>
    <n v="1"/>
    <n v="5389000"/>
    <n v="6.5000000000000002E-2"/>
    <n v="5039000"/>
    <x v="13"/>
    <x v="1"/>
  </r>
  <r>
    <x v="755"/>
    <x v="1"/>
    <x v="3"/>
    <s v="Agent"/>
    <x v="7"/>
    <n v="2"/>
    <n v="2104000"/>
    <n v="8.7999999999999995E-2"/>
    <n v="3839000"/>
    <x v="14"/>
    <x v="1"/>
  </r>
  <r>
    <x v="755"/>
    <x v="3"/>
    <x v="0"/>
    <s v="Website"/>
    <x v="7"/>
    <n v="3"/>
    <n v="2388000"/>
    <n v="4.4719731735879099E-2"/>
    <n v="6844000"/>
    <x v="1"/>
    <x v="0"/>
  </r>
  <r>
    <x v="755"/>
    <x v="0"/>
    <x v="2"/>
    <s v="Agent"/>
    <x v="2"/>
    <n v="1"/>
    <n v="5382000"/>
    <n v="9.6000000000000002E-2"/>
    <n v="4865000"/>
    <x v="13"/>
    <x v="1"/>
  </r>
  <r>
    <x v="756"/>
    <x v="1"/>
    <x v="2"/>
    <s v="Agent"/>
    <x v="7"/>
    <n v="1"/>
    <n v="2715000"/>
    <n v="1.7999999999999999E-2"/>
    <n v="2666000"/>
    <x v="6"/>
    <x v="1"/>
  </r>
  <r>
    <x v="756"/>
    <x v="0"/>
    <x v="0"/>
    <s v="Call Center"/>
    <x v="0"/>
    <n v="2"/>
    <n v="2936000"/>
    <n v="9.1353016153051997E-2"/>
    <n v="5336000"/>
    <x v="2"/>
    <x v="0"/>
  </r>
  <r>
    <x v="756"/>
    <x v="0"/>
    <x v="2"/>
    <s v="Website"/>
    <x v="9"/>
    <n v="1"/>
    <n v="4022000"/>
    <n v="1.37290910387828E-2"/>
    <n v="3967000"/>
    <x v="8"/>
    <x v="0"/>
  </r>
  <r>
    <x v="756"/>
    <x v="2"/>
    <x v="0"/>
    <s v="Agent"/>
    <x v="0"/>
    <n v="2"/>
    <n v="2999000"/>
    <n v="0.110565119212592"/>
    <n v="5335000"/>
    <x v="6"/>
    <x v="1"/>
  </r>
  <r>
    <x v="757"/>
    <x v="2"/>
    <x v="4"/>
    <s v="Website"/>
    <x v="2"/>
    <n v="2"/>
    <n v="2248000"/>
    <n v="3.4000000000000002E-2"/>
    <n v="4343000"/>
    <x v="0"/>
    <x v="0"/>
  </r>
  <r>
    <x v="757"/>
    <x v="2"/>
    <x v="1"/>
    <s v="Agent"/>
    <x v="3"/>
    <n v="2"/>
    <n v="2073000"/>
    <n v="1.6E-2"/>
    <n v="4080000"/>
    <x v="6"/>
    <x v="1"/>
  </r>
  <r>
    <x v="757"/>
    <x v="3"/>
    <x v="1"/>
    <s v="Website"/>
    <x v="9"/>
    <n v="3"/>
    <n v="3449000"/>
    <n v="5.0999999999999997E-2"/>
    <n v="9819000"/>
    <x v="2"/>
    <x v="0"/>
  </r>
  <r>
    <x v="758"/>
    <x v="2"/>
    <x v="1"/>
    <s v="Agent"/>
    <x v="7"/>
    <n v="2"/>
    <n v="3114000"/>
    <n v="0.08"/>
    <n v="5730000"/>
    <x v="4"/>
    <x v="1"/>
  </r>
  <r>
    <x v="758"/>
    <x v="3"/>
    <x v="1"/>
    <s v="Website"/>
    <x v="8"/>
    <n v="5"/>
    <n v="3767000"/>
    <n v="9.1999999999999998E-2"/>
    <n v="17102000"/>
    <x v="23"/>
    <x v="0"/>
  </r>
  <r>
    <x v="758"/>
    <x v="1"/>
    <x v="0"/>
    <s v="Agent"/>
    <x v="5"/>
    <n v="1"/>
    <n v="2825000"/>
    <n v="9.6904296889992705E-2"/>
    <n v="2551000"/>
    <x v="19"/>
    <x v="0"/>
  </r>
  <r>
    <x v="759"/>
    <x v="1"/>
    <x v="1"/>
    <s v="Website"/>
    <x v="9"/>
    <n v="4"/>
    <n v="4160000"/>
    <n v="0.05"/>
    <n v="15808000"/>
    <x v="2"/>
    <x v="1"/>
  </r>
  <r>
    <x v="759"/>
    <x v="0"/>
    <x v="3"/>
    <s v="Website"/>
    <x v="9"/>
    <n v="2"/>
    <n v="2302000"/>
    <n v="1.24767438337679E-2"/>
    <n v="4547000"/>
    <x v="13"/>
    <x v="1"/>
  </r>
  <r>
    <x v="759"/>
    <x v="1"/>
    <x v="0"/>
    <s v="Mobile App"/>
    <x v="2"/>
    <n v="2"/>
    <n v="3380000"/>
    <n v="8.01363992080069E-2"/>
    <n v="6218000"/>
    <x v="2"/>
    <x v="0"/>
  </r>
  <r>
    <x v="759"/>
    <x v="1"/>
    <x v="2"/>
    <s v="Mobile App"/>
    <x v="0"/>
    <n v="3"/>
    <n v="4586000"/>
    <n v="0.14341839447392299"/>
    <n v="11785000"/>
    <x v="12"/>
    <x v="0"/>
  </r>
  <r>
    <x v="759"/>
    <x v="2"/>
    <x v="2"/>
    <s v="Website"/>
    <x v="2"/>
    <n v="1"/>
    <n v="3410000"/>
    <n v="5.6000000000000001E-2"/>
    <n v="3219000"/>
    <x v="14"/>
    <x v="0"/>
  </r>
  <r>
    <x v="760"/>
    <x v="1"/>
    <x v="2"/>
    <s v="Website"/>
    <x v="1"/>
    <n v="2"/>
    <n v="2629000"/>
    <n v="5.0000000000000001E-3"/>
    <n v="5232000"/>
    <x v="5"/>
    <x v="0"/>
  </r>
  <r>
    <x v="760"/>
    <x v="1"/>
    <x v="5"/>
    <s v="Agent"/>
    <x v="8"/>
    <n v="2"/>
    <n v="5125000"/>
    <n v="0.109"/>
    <n v="9134000"/>
    <x v="2"/>
    <x v="0"/>
  </r>
  <r>
    <x v="760"/>
    <x v="1"/>
    <x v="3"/>
    <s v="Website"/>
    <x v="6"/>
    <n v="1"/>
    <n v="2309000"/>
    <n v="0.16810228136609101"/>
    <n v="1921000"/>
    <x v="19"/>
    <x v="1"/>
  </r>
  <r>
    <x v="760"/>
    <x v="0"/>
    <x v="5"/>
    <s v="Website"/>
    <x v="5"/>
    <n v="1"/>
    <n v="5415000"/>
    <n v="9.8423901106564696E-2"/>
    <n v="4882000"/>
    <x v="10"/>
    <x v="0"/>
  </r>
  <r>
    <x v="760"/>
    <x v="0"/>
    <x v="1"/>
    <s v="Website"/>
    <x v="8"/>
    <n v="3"/>
    <n v="3488000"/>
    <n v="6.8000000000000005E-2"/>
    <n v="9752000"/>
    <x v="6"/>
    <x v="1"/>
  </r>
  <r>
    <x v="760"/>
    <x v="1"/>
    <x v="4"/>
    <s v="Website"/>
    <x v="2"/>
    <n v="2"/>
    <n v="2606000"/>
    <n v="5.3635784899218102E-2"/>
    <n v="4932000"/>
    <x v="0"/>
    <x v="0"/>
  </r>
  <r>
    <x v="760"/>
    <x v="0"/>
    <x v="1"/>
    <s v="Mobile App"/>
    <x v="6"/>
    <n v="4"/>
    <n v="2006000"/>
    <n v="0.13500000000000001"/>
    <n v="6941000"/>
    <x v="2"/>
    <x v="0"/>
  </r>
  <r>
    <x v="760"/>
    <x v="2"/>
    <x v="5"/>
    <s v="Mobile App"/>
    <x v="5"/>
    <n v="3"/>
    <n v="5933000"/>
    <n v="9.1959966571167701E-2"/>
    <n v="16162000"/>
    <x v="11"/>
    <x v="1"/>
  </r>
  <r>
    <x v="760"/>
    <x v="1"/>
    <x v="0"/>
    <s v="Website"/>
    <x v="9"/>
    <n v="3"/>
    <n v="2898000"/>
    <n v="0.15765279729994899"/>
    <n v="7323000"/>
    <x v="10"/>
    <x v="0"/>
  </r>
  <r>
    <x v="761"/>
    <x v="1"/>
    <x v="4"/>
    <s v="Agent"/>
    <x v="1"/>
    <n v="1"/>
    <n v="2363000"/>
    <n v="0.14799999999999999"/>
    <n v="2013000"/>
    <x v="11"/>
    <x v="1"/>
  </r>
  <r>
    <x v="761"/>
    <x v="1"/>
    <x v="2"/>
    <s v="Website"/>
    <x v="4"/>
    <n v="2"/>
    <n v="5330000"/>
    <n v="9.0999999999999998E-2"/>
    <n v="9690000"/>
    <x v="2"/>
    <x v="0"/>
  </r>
  <r>
    <x v="761"/>
    <x v="1"/>
    <x v="5"/>
    <s v="Mobile App"/>
    <x v="4"/>
    <n v="3"/>
    <n v="3720000"/>
    <n v="0.111"/>
    <n v="9921000"/>
    <x v="5"/>
    <x v="0"/>
  </r>
  <r>
    <x v="762"/>
    <x v="2"/>
    <x v="2"/>
    <s v="Agent"/>
    <x v="8"/>
    <n v="1"/>
    <n v="3304000"/>
    <n v="7.2999999999999995E-2"/>
    <n v="3063000"/>
    <x v="10"/>
    <x v="0"/>
  </r>
  <r>
    <x v="762"/>
    <x v="1"/>
    <x v="2"/>
    <s v="Mobile App"/>
    <x v="0"/>
    <n v="2"/>
    <n v="5391000"/>
    <n v="0"/>
    <n v="10782000"/>
    <x v="4"/>
    <x v="1"/>
  </r>
  <r>
    <x v="762"/>
    <x v="2"/>
    <x v="4"/>
    <s v="Agent"/>
    <x v="2"/>
    <n v="3"/>
    <n v="1978000"/>
    <n v="4.0000000000000001E-3"/>
    <n v="5910000"/>
    <x v="2"/>
    <x v="0"/>
  </r>
  <r>
    <x v="762"/>
    <x v="3"/>
    <x v="0"/>
    <s v="Agent"/>
    <x v="2"/>
    <n v="2"/>
    <n v="2566000"/>
    <n v="6.8000000000000005E-2"/>
    <n v="4783000"/>
    <x v="9"/>
    <x v="0"/>
  </r>
  <r>
    <x v="763"/>
    <x v="3"/>
    <x v="4"/>
    <s v="Website"/>
    <x v="7"/>
    <n v="4"/>
    <n v="2698000"/>
    <n v="0.14465117477192399"/>
    <n v="9231000"/>
    <x v="12"/>
    <x v="1"/>
  </r>
  <r>
    <x v="763"/>
    <x v="1"/>
    <x v="5"/>
    <s v="Website"/>
    <x v="9"/>
    <n v="1"/>
    <n v="4667000"/>
    <n v="0.01"/>
    <n v="4620000"/>
    <x v="12"/>
    <x v="1"/>
  </r>
  <r>
    <x v="764"/>
    <x v="1"/>
    <x v="1"/>
    <s v="Website"/>
    <x v="9"/>
    <n v="2"/>
    <n v="2740000"/>
    <n v="6.4000000000000001E-2"/>
    <n v="5129000"/>
    <x v="15"/>
    <x v="0"/>
  </r>
  <r>
    <x v="764"/>
    <x v="1"/>
    <x v="1"/>
    <s v="Website"/>
    <x v="2"/>
    <n v="4"/>
    <n v="3599000"/>
    <n v="7.0999999999999994E-2"/>
    <n v="13374000"/>
    <x v="1"/>
    <x v="0"/>
  </r>
  <r>
    <x v="764"/>
    <x v="0"/>
    <x v="4"/>
    <s v="Website"/>
    <x v="4"/>
    <n v="2"/>
    <n v="2239000"/>
    <n v="5.4069056616010698E-2"/>
    <n v="4236000"/>
    <x v="13"/>
    <x v="1"/>
  </r>
  <r>
    <x v="764"/>
    <x v="3"/>
    <x v="0"/>
    <s v="Agent"/>
    <x v="6"/>
    <n v="1"/>
    <n v="2476000"/>
    <n v="0.09"/>
    <n v="2254000"/>
    <x v="4"/>
    <x v="1"/>
  </r>
  <r>
    <x v="764"/>
    <x v="0"/>
    <x v="5"/>
    <s v="Website"/>
    <x v="3"/>
    <n v="1"/>
    <n v="4977000"/>
    <n v="5.1601204709735497E-2"/>
    <n v="4720000"/>
    <x v="0"/>
    <x v="1"/>
  </r>
  <r>
    <x v="764"/>
    <x v="2"/>
    <x v="4"/>
    <s v="Website"/>
    <x v="5"/>
    <n v="2"/>
    <n v="2855000"/>
    <n v="0.149045255249415"/>
    <n v="4859000"/>
    <x v="0"/>
    <x v="1"/>
  </r>
  <r>
    <x v="764"/>
    <x v="3"/>
    <x v="0"/>
    <s v="Agent"/>
    <x v="3"/>
    <n v="2"/>
    <n v="2903000"/>
    <n v="6.7376687997973195E-2"/>
    <n v="5415000"/>
    <x v="12"/>
    <x v="1"/>
  </r>
  <r>
    <x v="765"/>
    <x v="0"/>
    <x v="0"/>
    <s v="Website"/>
    <x v="9"/>
    <n v="3"/>
    <n v="2739000"/>
    <n v="7.5461960509034406E-2"/>
    <n v="7597000"/>
    <x v="1"/>
    <x v="0"/>
  </r>
  <r>
    <x v="765"/>
    <x v="0"/>
    <x v="3"/>
    <s v="Mobile App"/>
    <x v="7"/>
    <n v="1"/>
    <n v="1449000"/>
    <n v="9.4E-2"/>
    <n v="1313000"/>
    <x v="0"/>
    <x v="0"/>
  </r>
  <r>
    <x v="765"/>
    <x v="2"/>
    <x v="5"/>
    <s v="Website"/>
    <x v="6"/>
    <n v="3"/>
    <n v="4676000"/>
    <n v="0.17446855025970201"/>
    <n v="11581000"/>
    <x v="9"/>
    <x v="1"/>
  </r>
  <r>
    <x v="765"/>
    <x v="1"/>
    <x v="2"/>
    <s v="Agent"/>
    <x v="9"/>
    <n v="2"/>
    <n v="4128000"/>
    <n v="3.8684148974231898E-2"/>
    <n v="7937000"/>
    <x v="12"/>
    <x v="1"/>
  </r>
  <r>
    <x v="765"/>
    <x v="0"/>
    <x v="2"/>
    <s v="Mobile App"/>
    <x v="6"/>
    <n v="3"/>
    <n v="4319000"/>
    <n v="0.101504953303546"/>
    <n v="11642000"/>
    <x v="11"/>
    <x v="1"/>
  </r>
  <r>
    <x v="766"/>
    <x v="0"/>
    <x v="0"/>
    <s v="Website"/>
    <x v="9"/>
    <n v="1"/>
    <n v="3548000"/>
    <n v="0.04"/>
    <n v="3406000"/>
    <x v="0"/>
    <x v="0"/>
  </r>
  <r>
    <x v="766"/>
    <x v="0"/>
    <x v="5"/>
    <s v="Mobile App"/>
    <x v="0"/>
    <n v="1"/>
    <n v="5857000"/>
    <n v="9.9060372296059407E-2"/>
    <n v="5277000"/>
    <x v="12"/>
    <x v="0"/>
  </r>
  <r>
    <x v="766"/>
    <x v="1"/>
    <x v="1"/>
    <s v="Agent"/>
    <x v="1"/>
    <n v="4"/>
    <n v="3551000"/>
    <n v="7.2999999999999995E-2"/>
    <n v="13167000"/>
    <x v="0"/>
    <x v="0"/>
  </r>
  <r>
    <x v="766"/>
    <x v="1"/>
    <x v="1"/>
    <s v="Website"/>
    <x v="4"/>
    <n v="1"/>
    <n v="2844000"/>
    <n v="5.8534813097797102E-2"/>
    <n v="0"/>
    <x v="0"/>
    <x v="1"/>
  </r>
  <r>
    <x v="766"/>
    <x v="3"/>
    <x v="2"/>
    <s v="Website"/>
    <x v="9"/>
    <n v="1"/>
    <n v="4332000"/>
    <n v="0.102935175709593"/>
    <n v="3886000"/>
    <x v="13"/>
    <x v="1"/>
  </r>
  <r>
    <x v="767"/>
    <x v="1"/>
    <x v="1"/>
    <s v="Website"/>
    <x v="8"/>
    <n v="4"/>
    <n v="3645000"/>
    <n v="0.126016596532881"/>
    <n v="12743000"/>
    <x v="8"/>
    <x v="1"/>
  </r>
  <r>
    <x v="768"/>
    <x v="2"/>
    <x v="5"/>
    <s v="Mobile App"/>
    <x v="2"/>
    <n v="1"/>
    <n v="4689000"/>
    <n v="3.5000000000000003E-2"/>
    <n v="4525000"/>
    <x v="8"/>
    <x v="1"/>
  </r>
  <r>
    <x v="769"/>
    <x v="2"/>
    <x v="4"/>
    <s v="Website"/>
    <x v="5"/>
    <n v="4"/>
    <n v="2703000"/>
    <n v="0.15392595106002699"/>
    <n v="9148000"/>
    <x v="0"/>
    <x v="1"/>
  </r>
  <r>
    <x v="769"/>
    <x v="3"/>
    <x v="2"/>
    <s v="Website"/>
    <x v="9"/>
    <n v="4"/>
    <n v="4591000"/>
    <n v="0.122295871551192"/>
    <n v="16118000"/>
    <x v="4"/>
    <x v="0"/>
  </r>
  <r>
    <x v="769"/>
    <x v="1"/>
    <x v="2"/>
    <s v="Website"/>
    <x v="9"/>
    <n v="1"/>
    <n v="4566000"/>
    <n v="2.8000000000000001E-2"/>
    <n v="4438000"/>
    <x v="2"/>
    <x v="1"/>
  </r>
  <r>
    <x v="770"/>
    <x v="3"/>
    <x v="0"/>
    <s v="Agent"/>
    <x v="7"/>
    <n v="4"/>
    <n v="2218000"/>
    <n v="7.1999999999999995E-2"/>
    <n v="8233000"/>
    <x v="4"/>
    <x v="0"/>
  </r>
  <r>
    <x v="771"/>
    <x v="1"/>
    <x v="0"/>
    <s v="Agent"/>
    <x v="6"/>
    <n v="2"/>
    <n v="1653000"/>
    <n v="2.3E-2"/>
    <n v="3230000"/>
    <x v="6"/>
    <x v="1"/>
  </r>
  <r>
    <x v="771"/>
    <x v="1"/>
    <x v="2"/>
    <s v="Agent"/>
    <x v="2"/>
    <n v="2"/>
    <n v="4207000"/>
    <n v="8.4984961344815702E-2"/>
    <n v="7699000"/>
    <x v="6"/>
    <x v="1"/>
  </r>
  <r>
    <x v="771"/>
    <x v="1"/>
    <x v="3"/>
    <s v="Agent"/>
    <x v="8"/>
    <n v="1"/>
    <n v="1849000"/>
    <n v="4.8000000000000001E-2"/>
    <n v="1760000"/>
    <x v="13"/>
    <x v="1"/>
  </r>
  <r>
    <x v="772"/>
    <x v="0"/>
    <x v="3"/>
    <s v="Agent"/>
    <x v="2"/>
    <n v="1"/>
    <n v="3110000"/>
    <n v="0"/>
    <n v="3110000"/>
    <x v="7"/>
    <x v="0"/>
  </r>
  <r>
    <x v="772"/>
    <x v="3"/>
    <x v="0"/>
    <s v="Website"/>
    <x v="0"/>
    <n v="2"/>
    <n v="2892000"/>
    <n v="1.9870657346119602E-2"/>
    <n v="5669000"/>
    <x v="10"/>
    <x v="1"/>
  </r>
  <r>
    <x v="772"/>
    <x v="3"/>
    <x v="1"/>
    <s v="Website"/>
    <x v="6"/>
    <n v="5"/>
    <n v="3361000"/>
    <n v="2.7E-2"/>
    <n v="16351000"/>
    <x v="6"/>
    <x v="1"/>
  </r>
  <r>
    <x v="773"/>
    <x v="2"/>
    <x v="2"/>
    <s v="Agent"/>
    <x v="1"/>
    <n v="1"/>
    <n v="2707000"/>
    <n v="0.10199999999999999"/>
    <n v="2431000"/>
    <x v="2"/>
    <x v="0"/>
  </r>
  <r>
    <x v="773"/>
    <x v="2"/>
    <x v="2"/>
    <s v="Agent"/>
    <x v="4"/>
    <n v="1"/>
    <n v="4023000"/>
    <n v="0.12109877821015499"/>
    <n v="3536000"/>
    <x v="9"/>
    <x v="0"/>
  </r>
  <r>
    <x v="774"/>
    <x v="3"/>
    <x v="2"/>
    <s v="Agent"/>
    <x v="1"/>
    <n v="4"/>
    <n v="3246000"/>
    <n v="0.104"/>
    <n v="11634000"/>
    <x v="15"/>
    <x v="1"/>
  </r>
  <r>
    <x v="774"/>
    <x v="0"/>
    <x v="4"/>
    <s v="Mobile App"/>
    <x v="5"/>
    <n v="2"/>
    <n v="2897000"/>
    <n v="9.0942337796275002E-2"/>
    <n v="5267000"/>
    <x v="4"/>
    <x v="0"/>
  </r>
  <r>
    <x v="775"/>
    <x v="0"/>
    <x v="5"/>
    <s v="Website"/>
    <x v="6"/>
    <n v="1"/>
    <n v="3528000"/>
    <n v="2.5000000000000001E-2"/>
    <n v="3440000"/>
    <x v="6"/>
    <x v="1"/>
  </r>
  <r>
    <x v="775"/>
    <x v="3"/>
    <x v="2"/>
    <s v="Website"/>
    <x v="3"/>
    <n v="1"/>
    <n v="4797000"/>
    <n v="5.8000000000000003E-2"/>
    <n v="4519000"/>
    <x v="14"/>
    <x v="0"/>
  </r>
  <r>
    <x v="775"/>
    <x v="3"/>
    <x v="2"/>
    <s v="Website"/>
    <x v="3"/>
    <n v="1"/>
    <n v="4373000"/>
    <n v="0.12936145756849299"/>
    <n v="3807000"/>
    <x v="12"/>
    <x v="1"/>
  </r>
  <r>
    <x v="775"/>
    <x v="2"/>
    <x v="2"/>
    <s v="Mobile App"/>
    <x v="0"/>
    <n v="2"/>
    <n v="5081000"/>
    <n v="7.8689947310496E-2"/>
    <n v="9362000"/>
    <x v="6"/>
    <x v="0"/>
  </r>
  <r>
    <x v="776"/>
    <x v="1"/>
    <x v="3"/>
    <s v="Website"/>
    <x v="7"/>
    <n v="1"/>
    <n v="2130000"/>
    <n v="9.2999999999999999E-2"/>
    <n v="1932000"/>
    <x v="6"/>
    <x v="0"/>
  </r>
  <r>
    <x v="776"/>
    <x v="2"/>
    <x v="2"/>
    <s v="Website"/>
    <x v="2"/>
    <n v="3"/>
    <n v="4208000"/>
    <n v="7.6999999999999999E-2"/>
    <n v="11652000"/>
    <x v="0"/>
    <x v="0"/>
  </r>
  <r>
    <x v="776"/>
    <x v="1"/>
    <x v="5"/>
    <s v="Mobile App"/>
    <x v="3"/>
    <n v="2"/>
    <n v="4252000"/>
    <n v="6.4000000000000001E-2"/>
    <n v="7960000"/>
    <x v="1"/>
    <x v="1"/>
  </r>
  <r>
    <x v="777"/>
    <x v="0"/>
    <x v="2"/>
    <s v="Website"/>
    <x v="1"/>
    <n v="1"/>
    <n v="3205000"/>
    <n v="7.0999999999999994E-2"/>
    <n v="2977000"/>
    <x v="10"/>
    <x v="0"/>
  </r>
  <r>
    <x v="777"/>
    <x v="3"/>
    <x v="4"/>
    <s v="Website"/>
    <x v="6"/>
    <n v="2"/>
    <n v="2589000"/>
    <n v="0.105071135728921"/>
    <n v="4634000"/>
    <x v="14"/>
    <x v="1"/>
  </r>
  <r>
    <x v="778"/>
    <x v="1"/>
    <x v="1"/>
    <s v="Website"/>
    <x v="6"/>
    <n v="3"/>
    <n v="3766000"/>
    <n v="9.8665052590278801E-2"/>
    <n v="10183000"/>
    <x v="6"/>
    <x v="1"/>
  </r>
  <r>
    <x v="778"/>
    <x v="0"/>
    <x v="3"/>
    <s v="Website"/>
    <x v="1"/>
    <n v="2"/>
    <n v="2546000"/>
    <n v="0.107071462515671"/>
    <n v="4547000"/>
    <x v="6"/>
    <x v="1"/>
  </r>
  <r>
    <x v="778"/>
    <x v="1"/>
    <x v="2"/>
    <s v="Mobile App"/>
    <x v="3"/>
    <n v="1"/>
    <n v="2878000"/>
    <n v="0"/>
    <n v="2878000"/>
    <x v="2"/>
    <x v="0"/>
  </r>
  <r>
    <x v="778"/>
    <x v="3"/>
    <x v="1"/>
    <s v="Mobile App"/>
    <x v="5"/>
    <n v="2"/>
    <n v="3340000"/>
    <n v="0"/>
    <n v="6680000"/>
    <x v="2"/>
    <x v="1"/>
  </r>
  <r>
    <x v="778"/>
    <x v="0"/>
    <x v="0"/>
    <s v="Mobile App"/>
    <x v="3"/>
    <n v="1"/>
    <n v="2904000"/>
    <n v="0.143458258285979"/>
    <n v="2487000"/>
    <x v="3"/>
    <x v="1"/>
  </r>
  <r>
    <x v="778"/>
    <x v="1"/>
    <x v="3"/>
    <s v="Mobile App"/>
    <x v="0"/>
    <n v="2"/>
    <n v="2709000"/>
    <n v="6.5032906066520998E-2"/>
    <n v="5066000"/>
    <x v="4"/>
    <x v="1"/>
  </r>
  <r>
    <x v="779"/>
    <x v="3"/>
    <x v="3"/>
    <s v="Website"/>
    <x v="5"/>
    <n v="1"/>
    <n v="1967000"/>
    <n v="0.14399999999999999"/>
    <n v="1684000"/>
    <x v="4"/>
    <x v="1"/>
  </r>
  <r>
    <x v="779"/>
    <x v="1"/>
    <x v="1"/>
    <s v="Website"/>
    <x v="5"/>
    <n v="2"/>
    <n v="3855000"/>
    <n v="8.2207184915217196E-2"/>
    <n v="7076000"/>
    <x v="1"/>
    <x v="1"/>
  </r>
  <r>
    <x v="779"/>
    <x v="3"/>
    <x v="1"/>
    <s v="Website"/>
    <x v="5"/>
    <n v="3"/>
    <n v="3607000"/>
    <n v="0.05"/>
    <n v="10280000"/>
    <x v="6"/>
    <x v="1"/>
  </r>
  <r>
    <x v="779"/>
    <x v="3"/>
    <x v="0"/>
    <s v="Call Center"/>
    <x v="1"/>
    <n v="5"/>
    <n v="2936000"/>
    <n v="4.1960156807714401E-2"/>
    <n v="14064000"/>
    <x v="3"/>
    <x v="1"/>
  </r>
  <r>
    <x v="780"/>
    <x v="0"/>
    <x v="1"/>
    <s v="Mobile App"/>
    <x v="2"/>
    <n v="3"/>
    <n v="4068000"/>
    <n v="1.9E-2"/>
    <n v="11972000"/>
    <x v="12"/>
    <x v="0"/>
  </r>
  <r>
    <x v="780"/>
    <x v="1"/>
    <x v="0"/>
    <s v="Mobile App"/>
    <x v="2"/>
    <n v="1"/>
    <n v="3573000"/>
    <n v="0.106250716840736"/>
    <n v="3193000"/>
    <x v="5"/>
    <x v="1"/>
  </r>
  <r>
    <x v="781"/>
    <x v="2"/>
    <x v="1"/>
    <s v="Agent"/>
    <x v="5"/>
    <n v="4"/>
    <n v="2997000"/>
    <n v="4.7E-2"/>
    <n v="11425000"/>
    <x v="20"/>
    <x v="0"/>
  </r>
  <r>
    <x v="781"/>
    <x v="3"/>
    <x v="2"/>
    <s v="Website"/>
    <x v="8"/>
    <n v="2"/>
    <n v="4275000"/>
    <n v="0.03"/>
    <n v="8294000"/>
    <x v="0"/>
    <x v="1"/>
  </r>
  <r>
    <x v="781"/>
    <x v="1"/>
    <x v="2"/>
    <s v="Agent"/>
    <x v="4"/>
    <n v="3"/>
    <n v="4756000"/>
    <n v="0.130642001701746"/>
    <n v="12404000"/>
    <x v="19"/>
    <x v="1"/>
  </r>
  <r>
    <x v="782"/>
    <x v="3"/>
    <x v="0"/>
    <s v="Call Center"/>
    <x v="9"/>
    <n v="2"/>
    <n v="2784000"/>
    <n v="0.123742956876979"/>
    <n v="4879000"/>
    <x v="8"/>
    <x v="0"/>
  </r>
  <r>
    <x v="782"/>
    <x v="1"/>
    <x v="5"/>
    <s v="Agent"/>
    <x v="7"/>
    <n v="1"/>
    <n v="5245000"/>
    <n v="6.0266580448109598E-2"/>
    <n v="4929000"/>
    <x v="14"/>
    <x v="0"/>
  </r>
  <r>
    <x v="783"/>
    <x v="3"/>
    <x v="4"/>
    <s v="Website"/>
    <x v="1"/>
    <n v="1"/>
    <n v="1795000"/>
    <n v="8.6999999999999994E-2"/>
    <n v="1639000"/>
    <x v="14"/>
    <x v="0"/>
  </r>
  <r>
    <x v="783"/>
    <x v="1"/>
    <x v="2"/>
    <s v="Agent"/>
    <x v="7"/>
    <n v="2"/>
    <n v="2936000"/>
    <n v="8.8999999999999996E-2"/>
    <n v="5349000"/>
    <x v="4"/>
    <x v="0"/>
  </r>
  <r>
    <x v="783"/>
    <x v="0"/>
    <x v="5"/>
    <s v="Website"/>
    <x v="4"/>
    <n v="1"/>
    <n v="4661000"/>
    <n v="9.7355746346674293E-2"/>
    <n v="4207000"/>
    <x v="13"/>
    <x v="1"/>
  </r>
  <r>
    <x v="783"/>
    <x v="1"/>
    <x v="3"/>
    <s v="Agent"/>
    <x v="6"/>
    <n v="4"/>
    <n v="2305000"/>
    <n v="7.7726124798847801E-2"/>
    <n v="8503000"/>
    <x v="7"/>
    <x v="0"/>
  </r>
  <r>
    <x v="783"/>
    <x v="1"/>
    <x v="2"/>
    <s v="Agent"/>
    <x v="4"/>
    <n v="2"/>
    <n v="3916000"/>
    <n v="6.0999999999999999E-2"/>
    <n v="7354000"/>
    <x v="15"/>
    <x v="0"/>
  </r>
  <r>
    <x v="784"/>
    <x v="1"/>
    <x v="5"/>
    <s v="Call Center"/>
    <x v="8"/>
    <n v="3"/>
    <n v="5995000"/>
    <n v="7.62276145749681E-2"/>
    <n v="16614000"/>
    <x v="12"/>
    <x v="1"/>
  </r>
  <r>
    <x v="784"/>
    <x v="0"/>
    <x v="1"/>
    <s v="Website"/>
    <x v="3"/>
    <n v="5"/>
    <n v="3271000"/>
    <n v="6.7000000000000004E-2"/>
    <n v="15259000"/>
    <x v="8"/>
    <x v="0"/>
  </r>
  <r>
    <x v="784"/>
    <x v="0"/>
    <x v="1"/>
    <s v="Website"/>
    <x v="8"/>
    <n v="1"/>
    <n v="3276000"/>
    <n v="7.8722131713126198E-2"/>
    <n v="3018000"/>
    <x v="4"/>
    <x v="1"/>
  </r>
  <r>
    <x v="784"/>
    <x v="3"/>
    <x v="1"/>
    <s v="Call Center"/>
    <x v="7"/>
    <n v="1"/>
    <n v="3213000"/>
    <n v="0.126806642261206"/>
    <n v="2806000"/>
    <x v="18"/>
    <x v="0"/>
  </r>
  <r>
    <x v="785"/>
    <x v="3"/>
    <x v="2"/>
    <s v="Call Center"/>
    <x v="8"/>
    <n v="4"/>
    <n v="3783000"/>
    <n v="4.4999999999999998E-2"/>
    <n v="14451000"/>
    <x v="14"/>
    <x v="1"/>
  </r>
  <r>
    <x v="785"/>
    <x v="1"/>
    <x v="5"/>
    <s v="Mobile App"/>
    <x v="1"/>
    <n v="1"/>
    <n v="5049000"/>
    <n v="8.5000000000000006E-2"/>
    <n v="4620000"/>
    <x v="1"/>
    <x v="0"/>
  </r>
  <r>
    <x v="785"/>
    <x v="3"/>
    <x v="3"/>
    <s v="Website"/>
    <x v="4"/>
    <n v="1"/>
    <n v="1400000"/>
    <n v="0"/>
    <n v="1400000"/>
    <x v="10"/>
    <x v="1"/>
  </r>
  <r>
    <x v="785"/>
    <x v="3"/>
    <x v="3"/>
    <s v="Website"/>
    <x v="7"/>
    <n v="1"/>
    <n v="2843000"/>
    <n v="9.9000000000000005E-2"/>
    <n v="2562000"/>
    <x v="8"/>
    <x v="0"/>
  </r>
  <r>
    <x v="785"/>
    <x v="1"/>
    <x v="0"/>
    <s v="Website"/>
    <x v="0"/>
    <n v="2"/>
    <n v="3027000"/>
    <n v="0.12744222262219801"/>
    <n v="5282000"/>
    <x v="9"/>
    <x v="1"/>
  </r>
  <r>
    <x v="786"/>
    <x v="2"/>
    <x v="4"/>
    <s v="Agent"/>
    <x v="4"/>
    <n v="1"/>
    <n v="2115000"/>
    <n v="6.6888127596075694E-2"/>
    <n v="1974000"/>
    <x v="2"/>
    <x v="1"/>
  </r>
  <r>
    <x v="786"/>
    <x v="1"/>
    <x v="0"/>
    <s v="Website"/>
    <x v="8"/>
    <n v="3"/>
    <n v="2380000"/>
    <n v="8.1378414291136E-2"/>
    <n v="6559000"/>
    <x v="7"/>
    <x v="1"/>
  </r>
  <r>
    <x v="787"/>
    <x v="3"/>
    <x v="2"/>
    <s v="Website"/>
    <x v="4"/>
    <n v="1"/>
    <n v="4418000"/>
    <n v="1.19977112834761E-2"/>
    <n v="4365000"/>
    <x v="15"/>
    <x v="1"/>
  </r>
  <r>
    <x v="787"/>
    <x v="1"/>
    <x v="0"/>
    <s v="Agent"/>
    <x v="9"/>
    <n v="2"/>
    <n v="2894000"/>
    <n v="9.9366562762986999E-2"/>
    <n v="5213000"/>
    <x v="0"/>
    <x v="1"/>
  </r>
  <r>
    <x v="787"/>
    <x v="1"/>
    <x v="0"/>
    <s v="Website"/>
    <x v="9"/>
    <n v="3"/>
    <n v="1786000"/>
    <n v="-0.2"/>
    <n v="5031000"/>
    <x v="7"/>
    <x v="1"/>
  </r>
  <r>
    <x v="787"/>
    <x v="3"/>
    <x v="5"/>
    <s v="Website"/>
    <x v="9"/>
    <n v="5"/>
    <n v="6240000"/>
    <n v="5.5405614529418903E-2"/>
    <n v="29471000"/>
    <x v="9"/>
    <x v="0"/>
  </r>
  <r>
    <x v="787"/>
    <x v="0"/>
    <x v="4"/>
    <s v="Website"/>
    <x v="1"/>
    <n v="2"/>
    <n v="1798000"/>
    <n v="1.7999999999999999E-2"/>
    <n v="3531000"/>
    <x v="15"/>
    <x v="1"/>
  </r>
  <r>
    <x v="787"/>
    <x v="2"/>
    <x v="0"/>
    <s v="Agent"/>
    <x v="2"/>
    <n v="1"/>
    <n v="3153000"/>
    <n v="0.118668184172283"/>
    <n v="2779000"/>
    <x v="1"/>
    <x v="0"/>
  </r>
  <r>
    <x v="788"/>
    <x v="1"/>
    <x v="5"/>
    <s v="Website"/>
    <x v="2"/>
    <n v="2"/>
    <n v="4866000"/>
    <n v="7.3999999999999996E-2"/>
    <n v="9012000"/>
    <x v="9"/>
    <x v="0"/>
  </r>
  <r>
    <x v="788"/>
    <x v="1"/>
    <x v="5"/>
    <s v="Website"/>
    <x v="3"/>
    <n v="1"/>
    <n v="4576000"/>
    <n v="0.159501618198851"/>
    <n v="3846000"/>
    <x v="6"/>
    <x v="1"/>
  </r>
  <r>
    <x v="788"/>
    <x v="0"/>
    <x v="1"/>
    <s v="Website"/>
    <x v="5"/>
    <n v="1"/>
    <n v="3689000"/>
    <n v="5.39627648385059E-2"/>
    <n v="3490000"/>
    <x v="2"/>
    <x v="1"/>
  </r>
  <r>
    <x v="789"/>
    <x v="1"/>
    <x v="0"/>
    <s v="Website"/>
    <x v="7"/>
    <n v="3"/>
    <n v="2479000"/>
    <n v="0.117783934647345"/>
    <n v="6561000"/>
    <x v="0"/>
    <x v="1"/>
  </r>
  <r>
    <x v="789"/>
    <x v="2"/>
    <x v="3"/>
    <s v="Website"/>
    <x v="7"/>
    <n v="5"/>
    <n v="2277000"/>
    <n v="3.1778527324889998E-2"/>
    <n v="11023000"/>
    <x v="12"/>
    <x v="1"/>
  </r>
  <r>
    <x v="789"/>
    <x v="0"/>
    <x v="1"/>
    <s v="Mobile App"/>
    <x v="0"/>
    <n v="4"/>
    <n v="3588000"/>
    <n v="5.7946816508321501E-2"/>
    <n v="13520000"/>
    <x v="6"/>
    <x v="0"/>
  </r>
  <r>
    <x v="789"/>
    <x v="0"/>
    <x v="2"/>
    <s v="Website"/>
    <x v="9"/>
    <n v="1"/>
    <n v="4067000"/>
    <n v="0.111137734803743"/>
    <n v="3615000"/>
    <x v="5"/>
    <x v="1"/>
  </r>
  <r>
    <x v="789"/>
    <x v="0"/>
    <x v="2"/>
    <s v="Agent"/>
    <x v="3"/>
    <n v="1"/>
    <n v="4624000"/>
    <n v="5.5E-2"/>
    <n v="4370000"/>
    <x v="4"/>
    <x v="1"/>
  </r>
  <r>
    <x v="790"/>
    <x v="1"/>
    <x v="0"/>
    <s v="Mobile App"/>
    <x v="0"/>
    <n v="2"/>
    <n v="2999000"/>
    <n v="0.13486800251765099"/>
    <n v="5189000"/>
    <x v="15"/>
    <x v="1"/>
  </r>
  <r>
    <x v="790"/>
    <x v="3"/>
    <x v="5"/>
    <s v="Website"/>
    <x v="0"/>
    <n v="2"/>
    <n v="4507000"/>
    <n v="0.111"/>
    <n v="8013000"/>
    <x v="5"/>
    <x v="0"/>
  </r>
  <r>
    <x v="790"/>
    <x v="3"/>
    <x v="0"/>
    <s v="Mobile App"/>
    <x v="5"/>
    <n v="2"/>
    <n v="2740000"/>
    <n v="9.3470663514040597E-2"/>
    <n v="4968000"/>
    <x v="0"/>
    <x v="1"/>
  </r>
  <r>
    <x v="791"/>
    <x v="1"/>
    <x v="4"/>
    <s v="Mobile App"/>
    <x v="2"/>
    <n v="1"/>
    <n v="2765000"/>
    <n v="0.12621967749626301"/>
    <n v="2416000"/>
    <x v="0"/>
    <x v="1"/>
  </r>
  <r>
    <x v="791"/>
    <x v="0"/>
    <x v="1"/>
    <s v="Agent"/>
    <x v="7"/>
    <n v="4"/>
    <n v="3944000"/>
    <n v="3.5999999999999997E-2"/>
    <n v="15208000"/>
    <x v="8"/>
    <x v="1"/>
  </r>
  <r>
    <x v="791"/>
    <x v="3"/>
    <x v="2"/>
    <s v="Website"/>
    <x v="6"/>
    <n v="1"/>
    <n v="4829000"/>
    <n v="4.2999999999999997E-2"/>
    <n v="4621000"/>
    <x v="11"/>
    <x v="0"/>
  </r>
  <r>
    <x v="791"/>
    <x v="0"/>
    <x v="0"/>
    <s v="Agent"/>
    <x v="0"/>
    <n v="1"/>
    <n v="1841000"/>
    <n v="0.04"/>
    <n v="1767000"/>
    <x v="2"/>
    <x v="1"/>
  </r>
  <r>
    <x v="792"/>
    <x v="0"/>
    <x v="5"/>
    <s v="Website"/>
    <x v="2"/>
    <n v="1"/>
    <n v="5273000"/>
    <n v="0.146595041685325"/>
    <n v="4500000"/>
    <x v="8"/>
    <x v="1"/>
  </r>
  <r>
    <x v="792"/>
    <x v="2"/>
    <x v="4"/>
    <s v="Website"/>
    <x v="4"/>
    <n v="2"/>
    <n v="1504000"/>
    <n v="9.7000000000000003E-2"/>
    <n v="2716000"/>
    <x v="13"/>
    <x v="0"/>
  </r>
  <r>
    <x v="792"/>
    <x v="1"/>
    <x v="0"/>
    <s v="Agent"/>
    <x v="4"/>
    <n v="2"/>
    <n v="2901000"/>
    <n v="5.5E-2"/>
    <n v="5483000"/>
    <x v="10"/>
    <x v="0"/>
  </r>
  <r>
    <x v="792"/>
    <x v="3"/>
    <x v="0"/>
    <s v="Website"/>
    <x v="2"/>
    <n v="1"/>
    <n v="3222000"/>
    <n v="8.7936315217333902E-2"/>
    <n v="2939000"/>
    <x v="13"/>
    <x v="0"/>
  </r>
  <r>
    <x v="793"/>
    <x v="3"/>
    <x v="4"/>
    <s v="Agent"/>
    <x v="4"/>
    <n v="2"/>
    <n v="1832000"/>
    <n v="3.3000000000000002E-2"/>
    <n v="3543000"/>
    <x v="15"/>
    <x v="1"/>
  </r>
  <r>
    <x v="794"/>
    <x v="0"/>
    <x v="1"/>
    <s v="Website"/>
    <x v="4"/>
    <n v="2"/>
    <n v="2833000"/>
    <n v="5.2128680638389699E-2"/>
    <n v="5371000"/>
    <x v="14"/>
    <x v="1"/>
  </r>
  <r>
    <x v="794"/>
    <x v="0"/>
    <x v="2"/>
    <s v="Mobile App"/>
    <x v="1"/>
    <n v="1"/>
    <n v="2677000"/>
    <n v="0.06"/>
    <n v="2516000"/>
    <x v="18"/>
    <x v="0"/>
  </r>
  <r>
    <x v="794"/>
    <x v="2"/>
    <x v="1"/>
    <s v="Website"/>
    <x v="5"/>
    <n v="3"/>
    <n v="3913000"/>
    <n v="3.4000000000000002E-2"/>
    <n v="11340000"/>
    <x v="13"/>
    <x v="0"/>
  </r>
  <r>
    <x v="795"/>
    <x v="3"/>
    <x v="4"/>
    <s v="Mobile App"/>
    <x v="8"/>
    <n v="2"/>
    <n v="2636000"/>
    <n v="0.13991045411783901"/>
    <n v="4534000"/>
    <x v="8"/>
    <x v="0"/>
  </r>
  <r>
    <x v="795"/>
    <x v="3"/>
    <x v="0"/>
    <s v="Website"/>
    <x v="4"/>
    <n v="1"/>
    <n v="2823000"/>
    <n v="3.0482866167795799E-2"/>
    <n v="2737000"/>
    <x v="4"/>
    <x v="1"/>
  </r>
  <r>
    <x v="795"/>
    <x v="1"/>
    <x v="5"/>
    <s v="Website"/>
    <x v="6"/>
    <n v="1"/>
    <n v="5330000"/>
    <n v="9.8000000000000004E-2"/>
    <n v="4808000"/>
    <x v="0"/>
    <x v="1"/>
  </r>
  <r>
    <x v="795"/>
    <x v="3"/>
    <x v="5"/>
    <s v="Mobile App"/>
    <x v="5"/>
    <n v="1"/>
    <n v="5490000"/>
    <n v="8.7887684642651606E-2"/>
    <n v="5007000"/>
    <x v="4"/>
    <x v="0"/>
  </r>
  <r>
    <x v="796"/>
    <x v="3"/>
    <x v="4"/>
    <s v="Mobile App"/>
    <x v="0"/>
    <n v="1"/>
    <n v="2921000"/>
    <n v="8.6999999999999994E-2"/>
    <n v="2667000"/>
    <x v="12"/>
    <x v="0"/>
  </r>
  <r>
    <x v="796"/>
    <x v="3"/>
    <x v="3"/>
    <s v="Website"/>
    <x v="8"/>
    <n v="3"/>
    <n v="2752000"/>
    <n v="9.5602358269596899E-2"/>
    <n v="7467000"/>
    <x v="15"/>
    <x v="0"/>
  </r>
  <r>
    <x v="796"/>
    <x v="0"/>
    <x v="0"/>
    <s v="Mobile App"/>
    <x v="2"/>
    <n v="2"/>
    <n v="3302000"/>
    <n v="8.66321084519735E-2"/>
    <n v="6032000"/>
    <x v="6"/>
    <x v="1"/>
  </r>
  <r>
    <x v="796"/>
    <x v="3"/>
    <x v="1"/>
    <s v="Website"/>
    <x v="9"/>
    <n v="2"/>
    <n v="4097000"/>
    <n v="5.1999999999999998E-2"/>
    <n v="7768000"/>
    <x v="18"/>
    <x v="0"/>
  </r>
  <r>
    <x v="796"/>
    <x v="2"/>
    <x v="3"/>
    <s v="Mobile App"/>
    <x v="0"/>
    <n v="1"/>
    <n v="2712000"/>
    <n v="7.1997572936348397E-2"/>
    <n v="2517000"/>
    <x v="7"/>
    <x v="0"/>
  </r>
  <r>
    <x v="796"/>
    <x v="3"/>
    <x v="4"/>
    <s v="Website"/>
    <x v="3"/>
    <n v="1"/>
    <n v="1518000"/>
    <n v="0"/>
    <n v="1518000"/>
    <x v="14"/>
    <x v="0"/>
  </r>
  <r>
    <x v="797"/>
    <x v="1"/>
    <x v="2"/>
    <s v="Website"/>
    <x v="7"/>
    <n v="1"/>
    <n v="3475000"/>
    <n v="2.5000000000000001E-2"/>
    <n v="3388000"/>
    <x v="15"/>
    <x v="0"/>
  </r>
  <r>
    <x v="797"/>
    <x v="1"/>
    <x v="0"/>
    <s v="Mobile App"/>
    <x v="6"/>
    <n v="1"/>
    <n v="1678000"/>
    <n v="6.4000000000000001E-2"/>
    <n v="1571000"/>
    <x v="1"/>
    <x v="0"/>
  </r>
  <r>
    <x v="797"/>
    <x v="3"/>
    <x v="2"/>
    <s v="Mobile App"/>
    <x v="2"/>
    <n v="3"/>
    <n v="5491000"/>
    <n v="0"/>
    <n v="16473000"/>
    <x v="6"/>
    <x v="0"/>
  </r>
  <r>
    <x v="798"/>
    <x v="3"/>
    <x v="2"/>
    <s v="Website"/>
    <x v="1"/>
    <n v="2"/>
    <n v="3404000"/>
    <n v="0.114224343647424"/>
    <n v="6030000"/>
    <x v="8"/>
    <x v="1"/>
  </r>
  <r>
    <x v="798"/>
    <x v="3"/>
    <x v="1"/>
    <s v="Website"/>
    <x v="9"/>
    <n v="2"/>
    <n v="4105000"/>
    <n v="0.123028918329669"/>
    <n v="7200000"/>
    <x v="2"/>
    <x v="0"/>
  </r>
  <r>
    <x v="798"/>
    <x v="0"/>
    <x v="1"/>
    <s v="Agent"/>
    <x v="5"/>
    <n v="1"/>
    <n v="3697000"/>
    <n v="9.5976562438645593E-2"/>
    <n v="3342000"/>
    <x v="3"/>
    <x v="0"/>
  </r>
  <r>
    <x v="799"/>
    <x v="1"/>
    <x v="2"/>
    <s v="Mobile App"/>
    <x v="2"/>
    <n v="2"/>
    <n v="5371000"/>
    <n v="0"/>
    <n v="10742000"/>
    <x v="6"/>
    <x v="0"/>
  </r>
  <r>
    <x v="799"/>
    <x v="0"/>
    <x v="1"/>
    <s v="Agent"/>
    <x v="7"/>
    <n v="1"/>
    <n v="3294000"/>
    <n v="9.0898150561895402E-2"/>
    <n v="2995000"/>
    <x v="2"/>
    <x v="0"/>
  </r>
  <r>
    <x v="800"/>
    <x v="1"/>
    <x v="1"/>
    <s v="Website"/>
    <x v="7"/>
    <n v="2"/>
    <n v="3009000"/>
    <n v="5.8999999999999997E-2"/>
    <n v="5663000"/>
    <x v="9"/>
    <x v="0"/>
  </r>
  <r>
    <x v="800"/>
    <x v="0"/>
    <x v="1"/>
    <s v="Website"/>
    <x v="5"/>
    <n v="2"/>
    <n v="3718000"/>
    <n v="0.120712157246138"/>
    <n v="6538000"/>
    <x v="0"/>
    <x v="1"/>
  </r>
  <r>
    <x v="801"/>
    <x v="1"/>
    <x v="5"/>
    <s v="Agent"/>
    <x v="2"/>
    <n v="2"/>
    <n v="5517000"/>
    <n v="0.13308256833149101"/>
    <n v="9566000"/>
    <x v="17"/>
    <x v="1"/>
  </r>
  <r>
    <x v="802"/>
    <x v="0"/>
    <x v="5"/>
    <s v="Website"/>
    <x v="4"/>
    <n v="1"/>
    <n v="5076000"/>
    <n v="6.1518260725496703E-2"/>
    <n v="4764000"/>
    <x v="7"/>
    <x v="1"/>
  </r>
  <r>
    <x v="802"/>
    <x v="1"/>
    <x v="4"/>
    <s v="Website"/>
    <x v="0"/>
    <n v="2"/>
    <n v="2756000"/>
    <n v="9.9268066068686503E-2"/>
    <n v="4965000"/>
    <x v="13"/>
    <x v="0"/>
  </r>
  <r>
    <x v="802"/>
    <x v="1"/>
    <x v="0"/>
    <s v="Mobile App"/>
    <x v="4"/>
    <n v="1"/>
    <n v="2522000"/>
    <n v="2.8000000000000001E-2"/>
    <n v="2451000"/>
    <x v="8"/>
    <x v="0"/>
  </r>
  <r>
    <x v="803"/>
    <x v="0"/>
    <x v="3"/>
    <s v="Website"/>
    <x v="1"/>
    <n v="2"/>
    <n v="2876000"/>
    <n v="9.0999999999999998E-2"/>
    <n v="5229000"/>
    <x v="1"/>
    <x v="1"/>
  </r>
  <r>
    <x v="803"/>
    <x v="3"/>
    <x v="0"/>
    <s v="Mobile App"/>
    <x v="1"/>
    <n v="2"/>
    <n v="2476000"/>
    <n v="4.4999999999999998E-2"/>
    <n v="4729000"/>
    <x v="12"/>
    <x v="1"/>
  </r>
  <r>
    <x v="803"/>
    <x v="1"/>
    <x v="2"/>
    <s v="Website"/>
    <x v="1"/>
    <n v="1"/>
    <n v="3292000"/>
    <n v="0.11565365291346499"/>
    <n v="2911000"/>
    <x v="1"/>
    <x v="0"/>
  </r>
  <r>
    <x v="803"/>
    <x v="1"/>
    <x v="0"/>
    <s v="Website"/>
    <x v="2"/>
    <n v="1"/>
    <n v="4029000"/>
    <n v="4.2999999999999997E-2"/>
    <n v="3856000"/>
    <x v="1"/>
    <x v="0"/>
  </r>
  <r>
    <x v="804"/>
    <x v="1"/>
    <x v="0"/>
    <s v="Website"/>
    <x v="2"/>
    <n v="4"/>
    <n v="3467000"/>
    <n v="0.100282604463984"/>
    <n v="12477000"/>
    <x v="12"/>
    <x v="1"/>
  </r>
  <r>
    <x v="804"/>
    <x v="3"/>
    <x v="2"/>
    <s v="Mobile App"/>
    <x v="5"/>
    <n v="3"/>
    <n v="4665000"/>
    <n v="0.14699999999999999"/>
    <n v="11938000"/>
    <x v="6"/>
    <x v="0"/>
  </r>
  <r>
    <x v="804"/>
    <x v="1"/>
    <x v="2"/>
    <s v="Mobile App"/>
    <x v="3"/>
    <n v="2"/>
    <n v="4267000"/>
    <n v="9.0978034192277596E-2"/>
    <n v="7758000"/>
    <x v="15"/>
    <x v="1"/>
  </r>
  <r>
    <x v="804"/>
    <x v="1"/>
    <x v="0"/>
    <s v="Agent"/>
    <x v="5"/>
    <n v="2"/>
    <n v="2055000"/>
    <n v="7.8E-2"/>
    <n v="3789000"/>
    <x v="2"/>
    <x v="1"/>
  </r>
  <r>
    <x v="804"/>
    <x v="2"/>
    <x v="3"/>
    <s v="Mobile App"/>
    <x v="8"/>
    <n v="2"/>
    <n v="3044000"/>
    <n v="0.112417462559721"/>
    <n v="5404000"/>
    <x v="14"/>
    <x v="0"/>
  </r>
  <r>
    <x v="804"/>
    <x v="1"/>
    <x v="0"/>
    <s v="Website"/>
    <x v="2"/>
    <n v="2"/>
    <n v="3608000"/>
    <n v="7.9978679431307903E-2"/>
    <n v="6639000"/>
    <x v="6"/>
    <x v="0"/>
  </r>
  <r>
    <x v="804"/>
    <x v="3"/>
    <x v="0"/>
    <s v="Website"/>
    <x v="7"/>
    <n v="1"/>
    <n v="1826000"/>
    <n v="4.5999999999999999E-2"/>
    <n v="1742000"/>
    <x v="6"/>
    <x v="0"/>
  </r>
  <r>
    <x v="804"/>
    <x v="0"/>
    <x v="1"/>
    <s v="Website"/>
    <x v="1"/>
    <n v="3"/>
    <n v="2590000"/>
    <n v="6.3E-2"/>
    <n v="7280000"/>
    <x v="1"/>
    <x v="1"/>
  </r>
  <r>
    <x v="805"/>
    <x v="3"/>
    <x v="3"/>
    <s v="Website"/>
    <x v="1"/>
    <n v="4"/>
    <n v="2816000"/>
    <n v="2.5999999999999999E-2"/>
    <n v="10971000"/>
    <x v="0"/>
    <x v="1"/>
  </r>
  <r>
    <x v="805"/>
    <x v="1"/>
    <x v="1"/>
    <s v="Agent"/>
    <x v="6"/>
    <n v="4"/>
    <n v="2264000"/>
    <n v="0.125"/>
    <n v="7924000"/>
    <x v="6"/>
    <x v="1"/>
  </r>
  <r>
    <x v="805"/>
    <x v="0"/>
    <x v="2"/>
    <s v="Agent"/>
    <x v="0"/>
    <n v="4"/>
    <n v="4677000"/>
    <n v="0.14576156348643399"/>
    <n v="15981000"/>
    <x v="9"/>
    <x v="1"/>
  </r>
  <r>
    <x v="806"/>
    <x v="1"/>
    <x v="2"/>
    <s v="Website"/>
    <x v="0"/>
    <n v="1"/>
    <n v="4537000"/>
    <n v="0.14648732509742601"/>
    <n v="3872000"/>
    <x v="2"/>
    <x v="0"/>
  </r>
  <r>
    <x v="806"/>
    <x v="3"/>
    <x v="0"/>
    <s v="Mobile App"/>
    <x v="7"/>
    <n v="1"/>
    <n v="2414000"/>
    <n v="9.0476757365841501E-2"/>
    <n v="2196000"/>
    <x v="5"/>
    <x v="1"/>
  </r>
  <r>
    <x v="807"/>
    <x v="3"/>
    <x v="0"/>
    <s v="Mobile App"/>
    <x v="8"/>
    <n v="2"/>
    <n v="2509000"/>
    <n v="4.2678733915286302E-2"/>
    <n v="4804000"/>
    <x v="7"/>
    <x v="1"/>
  </r>
  <r>
    <x v="807"/>
    <x v="0"/>
    <x v="2"/>
    <s v="Website"/>
    <x v="4"/>
    <n v="2"/>
    <n v="2991000"/>
    <n v="6.0000000000000001E-3"/>
    <n v="5946000"/>
    <x v="2"/>
    <x v="1"/>
  </r>
  <r>
    <x v="808"/>
    <x v="0"/>
    <x v="5"/>
    <s v="Website"/>
    <x v="4"/>
    <n v="1"/>
    <n v="5325000"/>
    <n v="0.11799999999999999"/>
    <n v="4697000"/>
    <x v="13"/>
    <x v="1"/>
  </r>
  <r>
    <x v="808"/>
    <x v="3"/>
    <x v="2"/>
    <s v="Website"/>
    <x v="0"/>
    <n v="4"/>
    <n v="3297000"/>
    <n v="4.2999999999999997E-2"/>
    <n v="12621000"/>
    <x v="15"/>
    <x v="0"/>
  </r>
  <r>
    <x v="808"/>
    <x v="3"/>
    <x v="5"/>
    <s v="Mobile App"/>
    <x v="8"/>
    <n v="3"/>
    <n v="5514000"/>
    <n v="0.04"/>
    <n v="15880000"/>
    <x v="18"/>
    <x v="1"/>
  </r>
  <r>
    <x v="808"/>
    <x v="2"/>
    <x v="5"/>
    <s v="Website"/>
    <x v="1"/>
    <n v="2"/>
    <n v="5907000"/>
    <n v="6.2E-2"/>
    <n v="11082000"/>
    <x v="0"/>
    <x v="1"/>
  </r>
  <r>
    <x v="809"/>
    <x v="2"/>
    <x v="0"/>
    <s v="Agent"/>
    <x v="7"/>
    <n v="3"/>
    <n v="2535000"/>
    <n v="0.107361991008095"/>
    <n v="6789000"/>
    <x v="6"/>
    <x v="0"/>
  </r>
  <r>
    <x v="809"/>
    <x v="1"/>
    <x v="0"/>
    <s v="Agent"/>
    <x v="0"/>
    <n v="3"/>
    <n v="2771000"/>
    <n v="2.55933180710405E-2"/>
    <n v="8100000"/>
    <x v="8"/>
    <x v="0"/>
  </r>
  <r>
    <x v="809"/>
    <x v="1"/>
    <x v="5"/>
    <s v="Website"/>
    <x v="1"/>
    <n v="1"/>
    <n v="4695000"/>
    <n v="9.1002017062507407E-2"/>
    <n v="4268000"/>
    <x v="1"/>
    <x v="1"/>
  </r>
  <r>
    <x v="810"/>
    <x v="1"/>
    <x v="0"/>
    <s v="Agent"/>
    <x v="4"/>
    <n v="1"/>
    <n v="2569000"/>
    <n v="4.7E-2"/>
    <n v="2448000"/>
    <x v="4"/>
    <x v="0"/>
  </r>
  <r>
    <x v="810"/>
    <x v="3"/>
    <x v="2"/>
    <s v="Call Center"/>
    <x v="7"/>
    <n v="4"/>
    <n v="3663000"/>
    <n v="0.119918336118984"/>
    <n v="12895000"/>
    <x v="0"/>
    <x v="1"/>
  </r>
  <r>
    <x v="810"/>
    <x v="3"/>
    <x v="0"/>
    <s v="Mobile App"/>
    <x v="8"/>
    <n v="2"/>
    <n v="2443000"/>
    <n v="7.7053957577813997E-2"/>
    <n v="4510000"/>
    <x v="0"/>
    <x v="1"/>
  </r>
  <r>
    <x v="810"/>
    <x v="0"/>
    <x v="5"/>
    <s v="Website"/>
    <x v="5"/>
    <n v="3"/>
    <n v="3669000"/>
    <n v="0.111"/>
    <n v="9785000"/>
    <x v="15"/>
    <x v="1"/>
  </r>
  <r>
    <x v="810"/>
    <x v="3"/>
    <x v="2"/>
    <s v="Call Center"/>
    <x v="9"/>
    <n v="2"/>
    <n v="3323000"/>
    <n v="2.5999999999999999E-2"/>
    <n v="6473000"/>
    <x v="6"/>
    <x v="1"/>
  </r>
  <r>
    <x v="811"/>
    <x v="0"/>
    <x v="5"/>
    <s v="Website"/>
    <x v="2"/>
    <n v="2"/>
    <n v="4962000"/>
    <n v="7.5765679215882994E-2"/>
    <n v="9172000"/>
    <x v="10"/>
    <x v="0"/>
  </r>
  <r>
    <x v="811"/>
    <x v="3"/>
    <x v="4"/>
    <s v="Website"/>
    <x v="6"/>
    <n v="2"/>
    <n v="2532000"/>
    <n v="0.122"/>
    <n v="4446000"/>
    <x v="1"/>
    <x v="1"/>
  </r>
  <r>
    <x v="811"/>
    <x v="3"/>
    <x v="3"/>
    <s v="Agent"/>
    <x v="5"/>
    <n v="2"/>
    <n v="1549000"/>
    <n v="9.5000000000000001E-2"/>
    <n v="2804000"/>
    <x v="13"/>
    <x v="1"/>
  </r>
  <r>
    <x v="811"/>
    <x v="1"/>
    <x v="4"/>
    <s v="Website"/>
    <x v="1"/>
    <n v="1"/>
    <n v="3073000"/>
    <n v="4.1000000000000002E-2"/>
    <n v="2947000"/>
    <x v="15"/>
    <x v="0"/>
  </r>
  <r>
    <x v="812"/>
    <x v="0"/>
    <x v="0"/>
    <s v="Mobile App"/>
    <x v="9"/>
    <n v="2"/>
    <n v="3069000"/>
    <n v="7.09467645319935E-2"/>
    <n v="5703000"/>
    <x v="14"/>
    <x v="1"/>
  </r>
  <r>
    <x v="812"/>
    <x v="0"/>
    <x v="0"/>
    <s v="Website"/>
    <x v="7"/>
    <n v="2"/>
    <n v="2162000"/>
    <n v="3.5999999999999997E-2"/>
    <n v="4168000"/>
    <x v="7"/>
    <x v="1"/>
  </r>
  <r>
    <x v="813"/>
    <x v="1"/>
    <x v="2"/>
    <s v="Website"/>
    <x v="1"/>
    <n v="2"/>
    <n v="4872000"/>
    <n v="0.153"/>
    <n v="8253000"/>
    <x v="17"/>
    <x v="0"/>
  </r>
  <r>
    <x v="813"/>
    <x v="2"/>
    <x v="2"/>
    <s v="Agent"/>
    <x v="1"/>
    <n v="1"/>
    <n v="3089000"/>
    <n v="2.4E-2"/>
    <n v="3015000"/>
    <x v="20"/>
    <x v="1"/>
  </r>
  <r>
    <x v="813"/>
    <x v="0"/>
    <x v="5"/>
    <s v="Website"/>
    <x v="5"/>
    <n v="1"/>
    <n v="5924000"/>
    <n v="0.15828903989203899"/>
    <n v="4986000"/>
    <x v="2"/>
    <x v="1"/>
  </r>
  <r>
    <x v="813"/>
    <x v="1"/>
    <x v="0"/>
    <s v="Website"/>
    <x v="5"/>
    <n v="3"/>
    <n v="2651000"/>
    <n v="8.1000000000000003E-2"/>
    <n v="7309000"/>
    <x v="6"/>
    <x v="0"/>
  </r>
  <r>
    <x v="813"/>
    <x v="0"/>
    <x v="3"/>
    <s v="Agent"/>
    <x v="0"/>
    <n v="3"/>
    <n v="2732000"/>
    <n v="0.103281518106713"/>
    <n v="7350000"/>
    <x v="11"/>
    <x v="1"/>
  </r>
  <r>
    <x v="813"/>
    <x v="1"/>
    <x v="3"/>
    <s v="Agent"/>
    <x v="0"/>
    <n v="2"/>
    <n v="2755000"/>
    <n v="4.6647114517574202E-2"/>
    <n v="5253000"/>
    <x v="6"/>
    <x v="1"/>
  </r>
  <r>
    <x v="814"/>
    <x v="1"/>
    <x v="5"/>
    <s v="Website"/>
    <x v="4"/>
    <n v="2"/>
    <n v="5329000"/>
    <n v="0.14861455783463101"/>
    <n v="9074000"/>
    <x v="1"/>
    <x v="1"/>
  </r>
  <r>
    <x v="814"/>
    <x v="3"/>
    <x v="4"/>
    <s v="Mobile App"/>
    <x v="0"/>
    <n v="1"/>
    <n v="2684000"/>
    <n v="0.145018115869639"/>
    <n v="2295000"/>
    <x v="4"/>
    <x v="1"/>
  </r>
  <r>
    <x v="814"/>
    <x v="0"/>
    <x v="3"/>
    <s v="Website"/>
    <x v="4"/>
    <n v="1"/>
    <n v="1641000"/>
    <n v="8.1339396887187804E-2"/>
    <n v="1508000"/>
    <x v="0"/>
    <x v="1"/>
  </r>
  <r>
    <x v="815"/>
    <x v="3"/>
    <x v="2"/>
    <s v="Agent"/>
    <x v="7"/>
    <n v="3"/>
    <n v="3641000"/>
    <n v="0.101353894900179"/>
    <n v="9816000"/>
    <x v="5"/>
    <x v="0"/>
  </r>
  <r>
    <x v="815"/>
    <x v="3"/>
    <x v="2"/>
    <s v="Website"/>
    <x v="7"/>
    <n v="1"/>
    <n v="3857000"/>
    <n v="8.7993155290041994E-2"/>
    <n v="3518000"/>
    <x v="14"/>
    <x v="0"/>
  </r>
  <r>
    <x v="815"/>
    <x v="1"/>
    <x v="4"/>
    <s v="Mobile App"/>
    <x v="7"/>
    <n v="1"/>
    <n v="2147000"/>
    <n v="3.6999999999999998E-2"/>
    <n v="2068000"/>
    <x v="4"/>
    <x v="0"/>
  </r>
  <r>
    <x v="816"/>
    <x v="3"/>
    <x v="1"/>
    <s v="Agent"/>
    <x v="1"/>
    <n v="3"/>
    <n v="3241000"/>
    <n v="8.0430329595509803E-2"/>
    <n v="8941000"/>
    <x v="3"/>
    <x v="1"/>
  </r>
  <r>
    <x v="816"/>
    <x v="3"/>
    <x v="0"/>
    <s v="Mobile App"/>
    <x v="9"/>
    <n v="3"/>
    <n v="3106000"/>
    <n v="2.3E-2"/>
    <n v="9104000"/>
    <x v="4"/>
    <x v="0"/>
  </r>
  <r>
    <x v="816"/>
    <x v="1"/>
    <x v="5"/>
    <s v="Mobile App"/>
    <x v="4"/>
    <n v="2"/>
    <n v="5624000"/>
    <n v="5.6000000000000001E-2"/>
    <n v="10618000"/>
    <x v="18"/>
    <x v="0"/>
  </r>
  <r>
    <x v="816"/>
    <x v="1"/>
    <x v="4"/>
    <s v="Mobile App"/>
    <x v="0"/>
    <n v="2"/>
    <n v="3397000"/>
    <n v="5.8000000000000003E-2"/>
    <n v="6400000"/>
    <x v="1"/>
    <x v="1"/>
  </r>
  <r>
    <x v="816"/>
    <x v="0"/>
    <x v="2"/>
    <s v="Mobile App"/>
    <x v="7"/>
    <n v="2"/>
    <n v="3614000"/>
    <n v="0.13684047989867501"/>
    <n v="6239000"/>
    <x v="16"/>
    <x v="1"/>
  </r>
  <r>
    <x v="817"/>
    <x v="3"/>
    <x v="0"/>
    <s v="Website"/>
    <x v="0"/>
    <n v="3"/>
    <n v="3912000"/>
    <n v="3.0000000000000001E-3"/>
    <n v="11701000"/>
    <x v="6"/>
    <x v="0"/>
  </r>
  <r>
    <x v="817"/>
    <x v="0"/>
    <x v="2"/>
    <s v="Website"/>
    <x v="9"/>
    <n v="4"/>
    <n v="4003000"/>
    <n v="3.4000000000000002E-2"/>
    <n v="15468000"/>
    <x v="1"/>
    <x v="0"/>
  </r>
  <r>
    <x v="817"/>
    <x v="2"/>
    <x v="2"/>
    <s v="Website"/>
    <x v="9"/>
    <n v="1"/>
    <n v="4429000"/>
    <n v="0.13719197488033399"/>
    <n v="3821000"/>
    <x v="8"/>
    <x v="1"/>
  </r>
  <r>
    <x v="817"/>
    <x v="0"/>
    <x v="0"/>
    <s v="Website"/>
    <x v="4"/>
    <n v="3"/>
    <n v="2728000"/>
    <n v="0"/>
    <n v="8184000"/>
    <x v="0"/>
    <x v="1"/>
  </r>
  <r>
    <x v="817"/>
    <x v="0"/>
    <x v="4"/>
    <s v="Call Center"/>
    <x v="4"/>
    <n v="2"/>
    <n v="1833000"/>
    <n v="0"/>
    <n v="3666000"/>
    <x v="0"/>
    <x v="1"/>
  </r>
  <r>
    <x v="817"/>
    <x v="2"/>
    <x v="4"/>
    <s v="Mobile App"/>
    <x v="1"/>
    <n v="1"/>
    <n v="2336000"/>
    <n v="0.151"/>
    <n v="1983000"/>
    <x v="14"/>
    <x v="0"/>
  </r>
  <r>
    <x v="818"/>
    <x v="3"/>
    <x v="5"/>
    <s v="Website"/>
    <x v="1"/>
    <n v="2"/>
    <n v="-100000"/>
    <n v="1.7000000000000001E-2"/>
    <n v="6956000"/>
    <x v="4"/>
    <x v="1"/>
  </r>
  <r>
    <x v="819"/>
    <x v="3"/>
    <x v="3"/>
    <s v="Agent"/>
    <x v="0"/>
    <n v="1"/>
    <n v="2710000"/>
    <n v="5.89560468702722E-2"/>
    <n v="2550000"/>
    <x v="1"/>
    <x v="0"/>
  </r>
  <r>
    <x v="819"/>
    <x v="0"/>
    <x v="2"/>
    <s v="Agent"/>
    <x v="0"/>
    <n v="3"/>
    <n v="4635000"/>
    <n v="0.129050272987939"/>
    <n v="12111000"/>
    <x v="0"/>
    <x v="1"/>
  </r>
  <r>
    <x v="819"/>
    <x v="2"/>
    <x v="2"/>
    <s v="Agent"/>
    <x v="1"/>
    <n v="1"/>
    <n v="2972000"/>
    <n v="0.13400000000000001"/>
    <n v="2574000"/>
    <x v="0"/>
    <x v="0"/>
  </r>
  <r>
    <x v="819"/>
    <x v="2"/>
    <x v="1"/>
    <s v="Mobile App"/>
    <x v="1"/>
    <n v="1"/>
    <n v="3162000"/>
    <n v="0.100694096796313"/>
    <n v="2844000"/>
    <x v="7"/>
    <x v="1"/>
  </r>
  <r>
    <x v="819"/>
    <x v="0"/>
    <x v="0"/>
    <s v="Website"/>
    <x v="0"/>
    <n v="4"/>
    <n v="1957000"/>
    <n v="4.3999999999999997E-2"/>
    <n v="7484000"/>
    <x v="0"/>
    <x v="0"/>
  </r>
  <r>
    <x v="820"/>
    <x v="2"/>
    <x v="0"/>
    <s v="Website"/>
    <x v="6"/>
    <n v="4"/>
    <n v="3069000"/>
    <n v="6.7000000000000004E-2"/>
    <n v="11454000"/>
    <x v="2"/>
    <x v="1"/>
  </r>
  <r>
    <x v="820"/>
    <x v="2"/>
    <x v="2"/>
    <s v="Mobile App"/>
    <x v="4"/>
    <n v="4"/>
    <n v="4328000"/>
    <n v="0.11184439199925"/>
    <n v="15376000"/>
    <x v="9"/>
    <x v="1"/>
  </r>
  <r>
    <x v="820"/>
    <x v="3"/>
    <x v="3"/>
    <s v="Website"/>
    <x v="4"/>
    <n v="2"/>
    <n v="1475000"/>
    <n v="4.0861879486044902E-2"/>
    <n v="2829000"/>
    <x v="0"/>
    <x v="1"/>
  </r>
  <r>
    <x v="820"/>
    <x v="2"/>
    <x v="0"/>
    <s v="Website"/>
    <x v="6"/>
    <n v="3"/>
    <n v="2582000"/>
    <n v="0.111540546214702"/>
    <n v="6882000"/>
    <x v="2"/>
    <x v="0"/>
  </r>
  <r>
    <x v="821"/>
    <x v="2"/>
    <x v="2"/>
    <s v="Call Center"/>
    <x v="6"/>
    <n v="1"/>
    <n v="3145000"/>
    <n v="0.122"/>
    <n v="2761000"/>
    <x v="11"/>
    <x v="1"/>
  </r>
  <r>
    <x v="821"/>
    <x v="0"/>
    <x v="4"/>
    <s v="Website"/>
    <x v="2"/>
    <n v="2"/>
    <n v="2645000"/>
    <n v="3.7951233703649502E-3"/>
    <n v="5270000"/>
    <x v="6"/>
    <x v="0"/>
  </r>
  <r>
    <x v="821"/>
    <x v="1"/>
    <x v="4"/>
    <s v="Mobile App"/>
    <x v="0"/>
    <n v="3"/>
    <n v="1682000"/>
    <n v="6.6000000000000003E-2"/>
    <n v="4713000"/>
    <x v="2"/>
    <x v="0"/>
  </r>
  <r>
    <x v="822"/>
    <x v="3"/>
    <x v="2"/>
    <s v="Website"/>
    <x v="2"/>
    <n v="2"/>
    <n v="4827000"/>
    <n v="0.106479924155528"/>
    <n v="8626000"/>
    <x v="1"/>
    <x v="0"/>
  </r>
  <r>
    <x v="823"/>
    <x v="0"/>
    <x v="4"/>
    <s v="Agent"/>
    <x v="5"/>
    <n v="1"/>
    <n v="2829000"/>
    <n v="8.7899944019559403E-2"/>
    <n v="2580000"/>
    <x v="9"/>
    <x v="0"/>
  </r>
  <r>
    <x v="824"/>
    <x v="3"/>
    <x v="1"/>
    <s v="Website"/>
    <x v="5"/>
    <n v="2"/>
    <n v="3841000"/>
    <n v="7.0999999999999994E-2"/>
    <n v="7137000"/>
    <x v="10"/>
    <x v="0"/>
  </r>
  <r>
    <x v="824"/>
    <x v="0"/>
    <x v="2"/>
    <s v="Mobile App"/>
    <x v="5"/>
    <n v="1"/>
    <n v="3431000"/>
    <n v="4.8000000000000001E-2"/>
    <n v="3266000"/>
    <x v="14"/>
    <x v="0"/>
  </r>
  <r>
    <x v="824"/>
    <x v="2"/>
    <x v="5"/>
    <s v="Website"/>
    <x v="2"/>
    <n v="1"/>
    <n v="4866000"/>
    <n v="0.11645697553301"/>
    <n v="4299000"/>
    <x v="1"/>
    <x v="0"/>
  </r>
  <r>
    <x v="824"/>
    <x v="3"/>
    <x v="3"/>
    <s v="Mobile App"/>
    <x v="1"/>
    <n v="1"/>
    <n v="2596000"/>
    <n v="6.7000000000000004E-2"/>
    <n v="2422000"/>
    <x v="9"/>
    <x v="0"/>
  </r>
  <r>
    <x v="825"/>
    <x v="1"/>
    <x v="5"/>
    <s v="Mobile App"/>
    <x v="5"/>
    <n v="2"/>
    <n v="4966000"/>
    <n v="0.01"/>
    <n v="9833000"/>
    <x v="9"/>
    <x v="1"/>
  </r>
  <r>
    <x v="826"/>
    <x v="3"/>
    <x v="4"/>
    <s v="Website"/>
    <x v="1"/>
    <n v="2"/>
    <n v="1543000"/>
    <n v="6.4000000000000001E-2"/>
    <n v="2888000"/>
    <x v="13"/>
    <x v="0"/>
  </r>
  <r>
    <x v="826"/>
    <x v="3"/>
    <x v="4"/>
    <s v="Website"/>
    <x v="2"/>
    <n v="2"/>
    <n v="2791000"/>
    <n v="4.5999999999999999E-2"/>
    <n v="5325000"/>
    <x v="4"/>
    <x v="1"/>
  </r>
  <r>
    <x v="826"/>
    <x v="3"/>
    <x v="0"/>
    <s v="Website"/>
    <x v="1"/>
    <n v="2"/>
    <n v="2638000"/>
    <n v="2.5960223510168998E-2"/>
    <n v="5139000"/>
    <x v="5"/>
    <x v="1"/>
  </r>
  <r>
    <x v="826"/>
    <x v="1"/>
    <x v="5"/>
    <s v="Website"/>
    <x v="4"/>
    <n v="2"/>
    <n v="4417000"/>
    <n v="8.3589590786195697E-2"/>
    <n v="8096000"/>
    <x v="4"/>
    <x v="1"/>
  </r>
  <r>
    <x v="826"/>
    <x v="2"/>
    <x v="0"/>
    <s v="Website"/>
    <x v="4"/>
    <n v="1"/>
    <n v="2913000"/>
    <n v="0.10060859364773"/>
    <n v="2620000"/>
    <x v="13"/>
    <x v="0"/>
  </r>
  <r>
    <x v="827"/>
    <x v="1"/>
    <x v="1"/>
    <s v="Agent"/>
    <x v="7"/>
    <n v="3"/>
    <n v="3166000"/>
    <n v="5.4140581962050002E-2"/>
    <n v="8984000"/>
    <x v="3"/>
    <x v="0"/>
  </r>
  <r>
    <x v="827"/>
    <x v="1"/>
    <x v="1"/>
    <s v="Website"/>
    <x v="7"/>
    <n v="5"/>
    <n v="2046000"/>
    <n v="0"/>
    <n v="10230000"/>
    <x v="15"/>
    <x v="1"/>
  </r>
  <r>
    <x v="827"/>
    <x v="1"/>
    <x v="2"/>
    <s v="Website"/>
    <x v="2"/>
    <n v="2"/>
    <n v="4281000"/>
    <n v="1.5522656838100101E-2"/>
    <n v="8429000"/>
    <x v="9"/>
    <x v="1"/>
  </r>
  <r>
    <x v="827"/>
    <x v="0"/>
    <x v="3"/>
    <s v="Website"/>
    <x v="1"/>
    <n v="1"/>
    <n v="2342000"/>
    <n v="0.115400830285992"/>
    <n v="2072000"/>
    <x v="18"/>
    <x v="1"/>
  </r>
  <r>
    <x v="828"/>
    <x v="3"/>
    <x v="2"/>
    <s v="Mobile App"/>
    <x v="8"/>
    <n v="1"/>
    <n v="4428000"/>
    <n v="9.0999999999999998E-2"/>
    <n v="4025000"/>
    <x v="0"/>
    <x v="0"/>
  </r>
  <r>
    <x v="828"/>
    <x v="0"/>
    <x v="3"/>
    <s v="Website"/>
    <x v="6"/>
    <n v="1"/>
    <n v="2232000"/>
    <n v="0.126968129519342"/>
    <n v="1949000"/>
    <x v="4"/>
    <x v="1"/>
  </r>
  <r>
    <x v="828"/>
    <x v="1"/>
    <x v="2"/>
    <s v="Website"/>
    <x v="2"/>
    <n v="1"/>
    <n v="4143000"/>
    <n v="0.14380209830504401"/>
    <n v="3547000"/>
    <x v="1"/>
    <x v="0"/>
  </r>
  <r>
    <x v="828"/>
    <x v="1"/>
    <x v="2"/>
    <s v="Website"/>
    <x v="5"/>
    <n v="2"/>
    <n v="4483000"/>
    <n v="0.13265101666440501"/>
    <n v="7777000"/>
    <x v="14"/>
    <x v="0"/>
  </r>
  <r>
    <x v="828"/>
    <x v="1"/>
    <x v="3"/>
    <s v="Mobile App"/>
    <x v="7"/>
    <n v="4"/>
    <n v="2074000"/>
    <n v="4.0099658966855599E-2"/>
    <n v="7963000"/>
    <x v="12"/>
    <x v="1"/>
  </r>
  <r>
    <x v="828"/>
    <x v="3"/>
    <x v="1"/>
    <s v="Website"/>
    <x v="7"/>
    <n v="4"/>
    <n v="3285000"/>
    <n v="0.101752392225068"/>
    <n v="11803000"/>
    <x v="1"/>
    <x v="1"/>
  </r>
  <r>
    <x v="829"/>
    <x v="1"/>
    <x v="0"/>
    <s v="Mobile App"/>
    <x v="6"/>
    <n v="1"/>
    <n v="4511000"/>
    <n v="0.108"/>
    <n v="4024000"/>
    <x v="2"/>
    <x v="0"/>
  </r>
  <r>
    <x v="829"/>
    <x v="3"/>
    <x v="1"/>
    <s v="Agent"/>
    <x v="7"/>
    <n v="5"/>
    <n v="3365000"/>
    <n v="9.20161034586649E-2"/>
    <n v="15277000"/>
    <x v="2"/>
    <x v="0"/>
  </r>
  <r>
    <x v="829"/>
    <x v="0"/>
    <x v="1"/>
    <s v="Website"/>
    <x v="8"/>
    <n v="4"/>
    <n v="3998000"/>
    <n v="5.8000000000000003E-2"/>
    <n v="15064000"/>
    <x v="0"/>
    <x v="0"/>
  </r>
  <r>
    <x v="829"/>
    <x v="3"/>
    <x v="1"/>
    <s v="Mobile App"/>
    <x v="5"/>
    <n v="4"/>
    <n v="3959000"/>
    <n v="0.10299999999999999"/>
    <n v="14205000"/>
    <x v="15"/>
    <x v="0"/>
  </r>
  <r>
    <x v="829"/>
    <x v="1"/>
    <x v="2"/>
    <s v="Agent"/>
    <x v="5"/>
    <n v="3"/>
    <n v="4334000"/>
    <n v="2.0500754842687902E-2"/>
    <n v="12735000"/>
    <x v="1"/>
    <x v="0"/>
  </r>
  <r>
    <x v="830"/>
    <x v="1"/>
    <x v="2"/>
    <s v="Website"/>
    <x v="5"/>
    <n v="3"/>
    <n v="4285000"/>
    <n v="0.178940898468811"/>
    <n v="10555000"/>
    <x v="8"/>
    <x v="0"/>
  </r>
  <r>
    <x v="830"/>
    <x v="2"/>
    <x v="2"/>
    <s v="Website"/>
    <x v="5"/>
    <n v="1"/>
    <n v="3282000"/>
    <n v="8.5131033800063594E-2"/>
    <n v="3003000"/>
    <x v="4"/>
    <x v="1"/>
  </r>
  <r>
    <x v="830"/>
    <x v="1"/>
    <x v="2"/>
    <s v="Website"/>
    <x v="2"/>
    <n v="3"/>
    <n v="4372000"/>
    <n v="0.124680867513337"/>
    <n v="11481000"/>
    <x v="2"/>
    <x v="1"/>
  </r>
  <r>
    <x v="830"/>
    <x v="1"/>
    <x v="5"/>
    <s v="Website"/>
    <x v="0"/>
    <n v="1"/>
    <n v="6112000"/>
    <n v="0.02"/>
    <n v="5990000"/>
    <x v="6"/>
    <x v="0"/>
  </r>
  <r>
    <x v="830"/>
    <x v="2"/>
    <x v="1"/>
    <s v="Website"/>
    <x v="3"/>
    <n v="4"/>
    <n v="3168000"/>
    <n v="5.1999999999999998E-2"/>
    <n v="12013000"/>
    <x v="1"/>
    <x v="1"/>
  </r>
  <r>
    <x v="831"/>
    <x v="3"/>
    <x v="1"/>
    <s v="Website"/>
    <x v="3"/>
    <n v="3"/>
    <n v="3349000"/>
    <n v="0.14594092272548201"/>
    <n v="8581000"/>
    <x v="4"/>
    <x v="0"/>
  </r>
  <r>
    <x v="831"/>
    <x v="3"/>
    <x v="1"/>
    <s v="Agent"/>
    <x v="7"/>
    <n v="3"/>
    <n v="2390000"/>
    <n v="8.8999999999999996E-2"/>
    <n v="6532000"/>
    <x v="13"/>
    <x v="1"/>
  </r>
  <r>
    <x v="831"/>
    <x v="2"/>
    <x v="2"/>
    <s v="Agent"/>
    <x v="5"/>
    <n v="3"/>
    <n v="4270000"/>
    <n v="4.7163917045008698E-2"/>
    <n v="12206000"/>
    <x v="10"/>
    <x v="1"/>
  </r>
  <r>
    <x v="832"/>
    <x v="2"/>
    <x v="1"/>
    <s v="Agent"/>
    <x v="0"/>
    <n v="5"/>
    <n v="3888000"/>
    <n v="7.0000000000000007E-2"/>
    <n v="18079000"/>
    <x v="12"/>
    <x v="0"/>
  </r>
  <r>
    <x v="832"/>
    <x v="1"/>
    <x v="0"/>
    <s v="Mobile App"/>
    <x v="0"/>
    <n v="2"/>
    <n v="2848000"/>
    <n v="0.117148490770936"/>
    <n v="5029000"/>
    <x v="5"/>
    <x v="1"/>
  </r>
  <r>
    <x v="832"/>
    <x v="0"/>
    <x v="1"/>
    <s v="Mobile App"/>
    <x v="1"/>
    <n v="2"/>
    <n v="3591000"/>
    <n v="4.2000000000000003E-2"/>
    <n v="6880000"/>
    <x v="9"/>
    <x v="0"/>
  </r>
  <r>
    <x v="832"/>
    <x v="1"/>
    <x v="2"/>
    <s v="Website"/>
    <x v="1"/>
    <n v="4"/>
    <n v="4140000"/>
    <n v="9.8000000000000004E-2"/>
    <n v="14934000"/>
    <x v="0"/>
    <x v="0"/>
  </r>
  <r>
    <x v="833"/>
    <x v="0"/>
    <x v="0"/>
    <s v="Website"/>
    <x v="8"/>
    <n v="4"/>
    <n v="2538000"/>
    <n v="8.0674617780562896E-2"/>
    <n v="9333000"/>
    <x v="2"/>
    <x v="0"/>
  </r>
  <r>
    <x v="833"/>
    <x v="1"/>
    <x v="3"/>
    <s v="Agent"/>
    <x v="3"/>
    <n v="1"/>
    <n v="2756000"/>
    <n v="0.17772123047156901"/>
    <n v="2266000"/>
    <x v="7"/>
    <x v="0"/>
  </r>
  <r>
    <x v="834"/>
    <x v="1"/>
    <x v="1"/>
    <s v="Website"/>
    <x v="3"/>
    <n v="3"/>
    <n v="3488000"/>
    <n v="0.75"/>
    <n v="9564000"/>
    <x v="8"/>
    <x v="0"/>
  </r>
  <r>
    <x v="834"/>
    <x v="2"/>
    <x v="3"/>
    <s v="Mobile App"/>
    <x v="9"/>
    <n v="3"/>
    <n v="2378000"/>
    <n v="3.1E-2"/>
    <n v="6913000"/>
    <x v="14"/>
    <x v="0"/>
  </r>
  <r>
    <x v="834"/>
    <x v="0"/>
    <x v="5"/>
    <s v="Agent"/>
    <x v="1"/>
    <n v="2"/>
    <n v="4728000"/>
    <n v="7.9416798998231702E-2"/>
    <n v="8705000"/>
    <x v="13"/>
    <x v="1"/>
  </r>
  <r>
    <x v="834"/>
    <x v="0"/>
    <x v="4"/>
    <s v="Agent"/>
    <x v="6"/>
    <n v="1"/>
    <n v="2599000"/>
    <n v="0.127053169730868"/>
    <n v="2269000"/>
    <x v="11"/>
    <x v="0"/>
  </r>
  <r>
    <x v="834"/>
    <x v="2"/>
    <x v="5"/>
    <s v="Mobile App"/>
    <x v="0"/>
    <n v="1"/>
    <n v="5672000"/>
    <n v="0.131777705890918"/>
    <n v="4925000"/>
    <x v="0"/>
    <x v="1"/>
  </r>
  <r>
    <x v="835"/>
    <x v="3"/>
    <x v="2"/>
    <s v="Website"/>
    <x v="8"/>
    <n v="2"/>
    <n v="2778000"/>
    <n v="0"/>
    <n v="5556000"/>
    <x v="5"/>
    <x v="1"/>
  </r>
  <r>
    <x v="835"/>
    <x v="2"/>
    <x v="2"/>
    <s v="Call Center"/>
    <x v="3"/>
    <n v="2"/>
    <n v="4347000"/>
    <n v="0.13541393667457"/>
    <n v="7517000"/>
    <x v="2"/>
    <x v="1"/>
  </r>
  <r>
    <x v="835"/>
    <x v="1"/>
    <x v="5"/>
    <s v="Website"/>
    <x v="5"/>
    <n v="4"/>
    <n v="5546000"/>
    <n v="0.120445964409451"/>
    <n v="19512000"/>
    <x v="6"/>
    <x v="1"/>
  </r>
  <r>
    <x v="835"/>
    <x v="2"/>
    <x v="0"/>
    <s v="Website"/>
    <x v="2"/>
    <n v="4"/>
    <n v="3289000"/>
    <n v="6.8728150844721003E-2"/>
    <n v="12252000"/>
    <x v="2"/>
    <x v="0"/>
  </r>
  <r>
    <x v="835"/>
    <x v="3"/>
    <x v="5"/>
    <s v="Mobile App"/>
    <x v="6"/>
    <n v="2"/>
    <n v="4857000"/>
    <n v="2.7E-2"/>
    <n v="9452000"/>
    <x v="3"/>
    <x v="1"/>
  </r>
  <r>
    <x v="835"/>
    <x v="1"/>
    <x v="2"/>
    <s v="Agent"/>
    <x v="2"/>
    <n v="2"/>
    <n v="5055000"/>
    <n v="9.1999999999999998E-2"/>
    <n v="9180000"/>
    <x v="1"/>
    <x v="1"/>
  </r>
  <r>
    <x v="835"/>
    <x v="0"/>
    <x v="1"/>
    <s v="Website"/>
    <x v="8"/>
    <n v="2"/>
    <n v="3349000"/>
    <n v="0.129228480493774"/>
    <n v="5832000"/>
    <x v="0"/>
    <x v="1"/>
  </r>
  <r>
    <x v="835"/>
    <x v="2"/>
    <x v="1"/>
    <s v="Website"/>
    <x v="7"/>
    <n v="1"/>
    <n v="3228000"/>
    <n v="0.12572148417203399"/>
    <n v="2822000"/>
    <x v="8"/>
    <x v="0"/>
  </r>
  <r>
    <x v="836"/>
    <x v="2"/>
    <x v="3"/>
    <s v="Mobile App"/>
    <x v="1"/>
    <n v="3"/>
    <n v="2138000"/>
    <n v="5.79323527474679E-2"/>
    <n v="6042000"/>
    <x v="4"/>
    <x v="1"/>
  </r>
  <r>
    <x v="836"/>
    <x v="3"/>
    <x v="5"/>
    <s v="Website"/>
    <x v="3"/>
    <n v="2"/>
    <n v="4477000"/>
    <n v="5.8216346481021801E-2"/>
    <n v="8433000"/>
    <x v="13"/>
    <x v="1"/>
  </r>
  <r>
    <x v="836"/>
    <x v="3"/>
    <x v="5"/>
    <s v="Website"/>
    <x v="2"/>
    <n v="1"/>
    <n v="4765000"/>
    <n v="7.8831399003334607E-2"/>
    <n v="4389000"/>
    <x v="12"/>
    <x v="1"/>
  </r>
  <r>
    <x v="837"/>
    <x v="1"/>
    <x v="2"/>
    <s v="Mobile App"/>
    <x v="8"/>
    <n v="1"/>
    <n v="3591000"/>
    <n v="9.6142955458302606E-2"/>
    <n v="3246000"/>
    <x v="14"/>
    <x v="1"/>
  </r>
  <r>
    <x v="837"/>
    <x v="0"/>
    <x v="1"/>
    <s v="Mobile App"/>
    <x v="4"/>
    <n v="1"/>
    <n v="2626000"/>
    <n v="0.14471528604075201"/>
    <n v="2246000"/>
    <x v="9"/>
    <x v="1"/>
  </r>
  <r>
    <x v="837"/>
    <x v="0"/>
    <x v="0"/>
    <s v="Website"/>
    <x v="2"/>
    <n v="1"/>
    <n v="3243000"/>
    <n v="0.118479006915475"/>
    <n v="2859000"/>
    <x v="8"/>
    <x v="1"/>
  </r>
  <r>
    <x v="838"/>
    <x v="2"/>
    <x v="1"/>
    <s v="Website"/>
    <x v="2"/>
    <n v="4"/>
    <n v="2735000"/>
    <n v="3.5999999999999997E-2"/>
    <n v="10546000"/>
    <x v="2"/>
    <x v="0"/>
  </r>
  <r>
    <x v="838"/>
    <x v="3"/>
    <x v="4"/>
    <s v="Website"/>
    <x v="2"/>
    <n v="1"/>
    <n v="2489000"/>
    <n v="0.115"/>
    <n v="2203000"/>
    <x v="6"/>
    <x v="0"/>
  </r>
  <r>
    <x v="838"/>
    <x v="3"/>
    <x v="1"/>
    <s v="Agent"/>
    <x v="0"/>
    <n v="2"/>
    <n v="3625000"/>
    <n v="0.158731273198844"/>
    <n v="6099000"/>
    <x v="8"/>
    <x v="1"/>
  </r>
  <r>
    <x v="838"/>
    <x v="3"/>
    <x v="2"/>
    <s v="Website"/>
    <x v="2"/>
    <n v="2"/>
    <n v="4308000"/>
    <n v="9.8919638405673499E-2"/>
    <n v="7764000"/>
    <x v="1"/>
    <x v="0"/>
  </r>
  <r>
    <x v="838"/>
    <x v="2"/>
    <x v="4"/>
    <s v="Mobile App"/>
    <x v="2"/>
    <n v="1"/>
    <n v="2497000"/>
    <n v="5.5496795014110201E-2"/>
    <n v="2358000"/>
    <x v="4"/>
    <x v="1"/>
  </r>
  <r>
    <x v="839"/>
    <x v="3"/>
    <x v="5"/>
    <s v="Agent"/>
    <x v="1"/>
    <n v="2"/>
    <n v="4251000"/>
    <n v="0.15373371488365301"/>
    <n v="7195000"/>
    <x v="4"/>
    <x v="0"/>
  </r>
  <r>
    <x v="839"/>
    <x v="0"/>
    <x v="0"/>
    <s v="Agent"/>
    <x v="0"/>
    <n v="2"/>
    <n v="1906000"/>
    <n v="0.193"/>
    <n v="3076000"/>
    <x v="13"/>
    <x v="0"/>
  </r>
  <r>
    <x v="839"/>
    <x v="3"/>
    <x v="2"/>
    <s v="Mobile App"/>
    <x v="6"/>
    <n v="2"/>
    <n v="3632000"/>
    <n v="0.15358795134353401"/>
    <n v="6148000"/>
    <x v="1"/>
    <x v="0"/>
  </r>
  <r>
    <x v="839"/>
    <x v="3"/>
    <x v="5"/>
    <s v="Agent"/>
    <x v="5"/>
    <n v="3"/>
    <n v="4665000"/>
    <n v="0.2"/>
    <n v="11196000"/>
    <x v="9"/>
    <x v="1"/>
  </r>
  <r>
    <x v="839"/>
    <x v="1"/>
    <x v="4"/>
    <s v="Website"/>
    <x v="8"/>
    <n v="1"/>
    <n v="2485000"/>
    <n v="7.9382709843305602E-2"/>
    <n v="2288000"/>
    <x v="9"/>
    <x v="0"/>
  </r>
  <r>
    <x v="839"/>
    <x v="2"/>
    <x v="1"/>
    <s v="Mobile App"/>
    <x v="9"/>
    <n v="4"/>
    <n v="3694000"/>
    <n v="0.102940390233748"/>
    <n v="13255000"/>
    <x v="7"/>
    <x v="0"/>
  </r>
  <r>
    <x v="840"/>
    <x v="1"/>
    <x v="2"/>
    <s v="Agent"/>
    <x v="0"/>
    <n v="1"/>
    <n v="5038000"/>
    <n v="0.125"/>
    <n v="4408000"/>
    <x v="18"/>
    <x v="1"/>
  </r>
  <r>
    <x v="840"/>
    <x v="0"/>
    <x v="4"/>
    <s v="Agent"/>
    <x v="0"/>
    <n v="2"/>
    <n v="2563000"/>
    <n v="0.12780331468131501"/>
    <n v="4471000"/>
    <x v="13"/>
    <x v="1"/>
  </r>
  <r>
    <x v="840"/>
    <x v="1"/>
    <x v="2"/>
    <s v="Agent"/>
    <x v="4"/>
    <n v="1"/>
    <n v="3987000"/>
    <n v="0.13113619698824699"/>
    <n v="3464000"/>
    <x v="17"/>
    <x v="1"/>
  </r>
  <r>
    <x v="840"/>
    <x v="1"/>
    <x v="2"/>
    <s v="Website"/>
    <x v="9"/>
    <n v="1"/>
    <n v="4028000"/>
    <n v="0.123"/>
    <n v="3533000"/>
    <x v="17"/>
    <x v="1"/>
  </r>
  <r>
    <x v="840"/>
    <x v="3"/>
    <x v="5"/>
    <s v="Website"/>
    <x v="5"/>
    <n v="1"/>
    <n v="6489000"/>
    <n v="0.187"/>
    <n v="5276000"/>
    <x v="8"/>
    <x v="1"/>
  </r>
  <r>
    <x v="841"/>
    <x v="1"/>
    <x v="1"/>
    <s v="Call Center"/>
    <x v="0"/>
    <n v="2"/>
    <n v="3322000"/>
    <n v="0.139753542880582"/>
    <n v="5715000"/>
    <x v="4"/>
    <x v="1"/>
  </r>
  <r>
    <x v="841"/>
    <x v="1"/>
    <x v="0"/>
    <s v="Website"/>
    <x v="4"/>
    <n v="2"/>
    <n v="2642000"/>
    <n v="6.6000000000000003E-2"/>
    <n v="4935000"/>
    <x v="6"/>
    <x v="1"/>
  </r>
  <r>
    <x v="841"/>
    <x v="1"/>
    <x v="1"/>
    <s v="Website"/>
    <x v="5"/>
    <n v="5"/>
    <n v="3368000"/>
    <n v="0.15030425708995901"/>
    <n v="14309000"/>
    <x v="2"/>
    <x v="0"/>
  </r>
  <r>
    <x v="842"/>
    <x v="1"/>
    <x v="0"/>
    <s v="Website"/>
    <x v="4"/>
    <n v="2"/>
    <n v="2519000"/>
    <n v="9.1976335907012693E-2"/>
    <n v="4575000"/>
    <x v="2"/>
    <x v="1"/>
  </r>
  <r>
    <x v="842"/>
    <x v="1"/>
    <x v="3"/>
    <s v="Website"/>
    <x v="4"/>
    <n v="1"/>
    <n v="1306000"/>
    <n v="0.14532526828918599"/>
    <n v="1116000"/>
    <x v="6"/>
    <x v="0"/>
  </r>
  <r>
    <x v="842"/>
    <x v="0"/>
    <x v="2"/>
    <s v="Website"/>
    <x v="4"/>
    <n v="1"/>
    <n v="3166000"/>
    <n v="8.6681742780134199E-2"/>
    <n v="2892000"/>
    <x v="6"/>
    <x v="1"/>
  </r>
  <r>
    <x v="842"/>
    <x v="3"/>
    <x v="2"/>
    <s v="Website"/>
    <x v="5"/>
    <n v="1"/>
    <n v="4102000"/>
    <n v="0.192"/>
    <n v="3314000"/>
    <x v="7"/>
    <x v="0"/>
  </r>
  <r>
    <x v="843"/>
    <x v="1"/>
    <x v="5"/>
    <s v="Website"/>
    <x v="7"/>
    <n v="1"/>
    <n v="4753000"/>
    <n v="0.104"/>
    <n v="4259000"/>
    <x v="18"/>
    <x v="0"/>
  </r>
  <r>
    <x v="843"/>
    <x v="1"/>
    <x v="0"/>
    <s v="Mobile App"/>
    <x v="0"/>
    <n v="2"/>
    <n v="2574000"/>
    <n v="8.17531814790525E-2"/>
    <n v="4727000"/>
    <x v="17"/>
    <x v="0"/>
  </r>
  <r>
    <x v="843"/>
    <x v="0"/>
    <x v="0"/>
    <s v="Agent"/>
    <x v="1"/>
    <n v="2"/>
    <n v="1757000"/>
    <n v="0.20799999999999999"/>
    <n v="2783000"/>
    <x v="14"/>
    <x v="1"/>
  </r>
  <r>
    <x v="843"/>
    <x v="3"/>
    <x v="2"/>
    <s v="Agent"/>
    <x v="3"/>
    <n v="2"/>
    <n v="4013000"/>
    <n v="8.6264879702084504E-2"/>
    <n v="7334000"/>
    <x v="14"/>
    <x v="1"/>
  </r>
  <r>
    <x v="843"/>
    <x v="1"/>
    <x v="0"/>
    <s v="Mobile App"/>
    <x v="4"/>
    <n v="2"/>
    <n v="1750000"/>
    <n v="7.5999999999999998E-2"/>
    <n v="3234000"/>
    <x v="0"/>
    <x v="1"/>
  </r>
  <r>
    <x v="844"/>
    <x v="3"/>
    <x v="5"/>
    <s v="Agent"/>
    <x v="6"/>
    <n v="1"/>
    <n v="3031000"/>
    <n v="0.10199999999999999"/>
    <n v="2722000"/>
    <x v="15"/>
    <x v="0"/>
  </r>
  <r>
    <x v="844"/>
    <x v="1"/>
    <x v="4"/>
    <s v="Mobile App"/>
    <x v="3"/>
    <n v="2"/>
    <n v="2483000"/>
    <n v="9.7000000000000003E-2"/>
    <n v="4484000"/>
    <x v="4"/>
    <x v="1"/>
  </r>
  <r>
    <x v="844"/>
    <x v="3"/>
    <x v="0"/>
    <s v="Website"/>
    <x v="1"/>
    <n v="3"/>
    <n v="2484000"/>
    <n v="0.161"/>
    <n v="6252000"/>
    <x v="11"/>
    <x v="0"/>
  </r>
  <r>
    <x v="844"/>
    <x v="1"/>
    <x v="0"/>
    <s v="Mobile App"/>
    <x v="9"/>
    <n v="3"/>
    <n v="2752000"/>
    <n v="0.158735327504128"/>
    <n v="6945000"/>
    <x v="14"/>
    <x v="1"/>
  </r>
  <r>
    <x v="844"/>
    <x v="1"/>
    <x v="0"/>
    <s v="Website"/>
    <x v="6"/>
    <n v="1"/>
    <n v="2320000"/>
    <n v="0.134853498204101"/>
    <n v="2007000"/>
    <x v="14"/>
    <x v="1"/>
  </r>
  <r>
    <x v="844"/>
    <x v="3"/>
    <x v="5"/>
    <s v="Mobile App"/>
    <x v="5"/>
    <n v="2"/>
    <n v="4792000"/>
    <n v="0.109"/>
    <n v="8539000"/>
    <x v="6"/>
    <x v="0"/>
  </r>
  <r>
    <x v="844"/>
    <x v="2"/>
    <x v="2"/>
    <s v="Mobile App"/>
    <x v="2"/>
    <n v="2"/>
    <n v="4330000"/>
    <n v="7.5931946693749405E-2"/>
    <n v="8002000"/>
    <x v="10"/>
    <x v="1"/>
  </r>
  <r>
    <x v="844"/>
    <x v="1"/>
    <x v="5"/>
    <s v="Agent"/>
    <x v="7"/>
    <n v="1"/>
    <n v="4679000"/>
    <n v="0.13030909838105401"/>
    <n v="4069000"/>
    <x v="17"/>
    <x v="1"/>
  </r>
  <r>
    <x v="845"/>
    <x v="0"/>
    <x v="4"/>
    <s v="Mobile App"/>
    <x v="1"/>
    <n v="2"/>
    <n v="3141000"/>
    <n v="9.0999999999999998E-2"/>
    <n v="5710000"/>
    <x v="0"/>
    <x v="0"/>
  </r>
  <r>
    <x v="845"/>
    <x v="2"/>
    <x v="2"/>
    <s v="Website"/>
    <x v="5"/>
    <n v="1"/>
    <n v="4112000"/>
    <n v="0.114690341749804"/>
    <n v="3640000"/>
    <x v="8"/>
    <x v="1"/>
  </r>
  <r>
    <x v="846"/>
    <x v="2"/>
    <x v="0"/>
    <s v="Agent"/>
    <x v="1"/>
    <n v="4"/>
    <n v="2483000"/>
    <n v="0.12"/>
    <n v="8741000"/>
    <x v="2"/>
    <x v="1"/>
  </r>
  <r>
    <x v="846"/>
    <x v="3"/>
    <x v="2"/>
    <s v="Website"/>
    <x v="6"/>
    <n v="4"/>
    <n v="3651000"/>
    <n v="7.0999999999999994E-2"/>
    <n v="13567000"/>
    <x v="9"/>
    <x v="0"/>
  </r>
  <r>
    <x v="847"/>
    <x v="1"/>
    <x v="2"/>
    <s v="Agent"/>
    <x v="9"/>
    <n v="2"/>
    <n v="4038000"/>
    <n v="0.114889583864487"/>
    <n v="7148000"/>
    <x v="12"/>
    <x v="1"/>
  </r>
  <r>
    <x v="847"/>
    <x v="0"/>
    <x v="2"/>
    <s v="Call Center"/>
    <x v="9"/>
    <n v="2"/>
    <n v="3019000"/>
    <n v="0.13467874109224601"/>
    <n v="5225000"/>
    <x v="1"/>
    <x v="0"/>
  </r>
  <r>
    <x v="847"/>
    <x v="3"/>
    <x v="0"/>
    <s v="Website"/>
    <x v="2"/>
    <n v="1"/>
    <n v="3633000"/>
    <n v="0.12"/>
    <n v="3197000"/>
    <x v="10"/>
    <x v="1"/>
  </r>
  <r>
    <x v="847"/>
    <x v="0"/>
    <x v="5"/>
    <s v="Mobile App"/>
    <x v="5"/>
    <n v="2"/>
    <n v="5436000"/>
    <n v="0.12164128723262201"/>
    <n v="9550000"/>
    <x v="12"/>
    <x v="0"/>
  </r>
  <r>
    <x v="848"/>
    <x v="3"/>
    <x v="0"/>
    <s v="Website"/>
    <x v="5"/>
    <n v="3"/>
    <n v="2533000"/>
    <n v="5.6214554735852497E-2"/>
    <n v="7172000"/>
    <x v="14"/>
    <x v="0"/>
  </r>
  <r>
    <x v="848"/>
    <x v="0"/>
    <x v="1"/>
    <s v="Mobile App"/>
    <x v="2"/>
    <n v="3"/>
    <n v="3717000"/>
    <n v="0.12574102595756301"/>
    <n v="9749000"/>
    <x v="0"/>
    <x v="1"/>
  </r>
  <r>
    <x v="849"/>
    <x v="1"/>
    <x v="1"/>
    <s v="Agent"/>
    <x v="7"/>
    <n v="1"/>
    <n v="3059000"/>
    <n v="8.8394667300256594E-2"/>
    <n v="2789000"/>
    <x v="14"/>
    <x v="1"/>
  </r>
  <r>
    <x v="849"/>
    <x v="0"/>
    <x v="2"/>
    <s v="Website"/>
    <x v="4"/>
    <n v="1"/>
    <n v="4300000"/>
    <n v="7.3150944429043505E-2"/>
    <n v="3985000"/>
    <x v="6"/>
    <x v="0"/>
  </r>
  <r>
    <x v="849"/>
    <x v="1"/>
    <x v="1"/>
    <s v="Mobile App"/>
    <x v="8"/>
    <n v="1"/>
    <n v="3571000"/>
    <n v="2.08369380310022E-2"/>
    <n v="3497000"/>
    <x v="10"/>
    <x v="0"/>
  </r>
  <r>
    <x v="849"/>
    <x v="0"/>
    <x v="1"/>
    <s v="Website"/>
    <x v="9"/>
    <n v="5"/>
    <n v="3065000"/>
    <n v="4.5999999999999999E-2"/>
    <n v="14620000"/>
    <x v="0"/>
    <x v="1"/>
  </r>
  <r>
    <x v="850"/>
    <x v="3"/>
    <x v="0"/>
    <s v="Website"/>
    <x v="1"/>
    <n v="3"/>
    <n v="2272000"/>
    <n v="0.134018134626886"/>
    <n v="5903000"/>
    <x v="2"/>
    <x v="1"/>
  </r>
  <r>
    <x v="850"/>
    <x v="3"/>
    <x v="0"/>
    <s v="Agent"/>
    <x v="6"/>
    <n v="1"/>
    <n v="3497000"/>
    <n v="8.7999999999999995E-2"/>
    <n v="3189000"/>
    <x v="0"/>
    <x v="1"/>
  </r>
  <r>
    <x v="850"/>
    <x v="1"/>
    <x v="2"/>
    <s v="Website"/>
    <x v="3"/>
    <n v="2"/>
    <n v="4429000"/>
    <n v="0.153030830333241"/>
    <n v="7502000"/>
    <x v="1"/>
    <x v="0"/>
  </r>
  <r>
    <x v="850"/>
    <x v="3"/>
    <x v="1"/>
    <s v="Website"/>
    <x v="2"/>
    <n v="4"/>
    <n v="4630000"/>
    <n v="2.9000000000000001E-2"/>
    <n v="17983000"/>
    <x v="9"/>
    <x v="1"/>
  </r>
  <r>
    <x v="850"/>
    <x v="3"/>
    <x v="4"/>
    <s v="Website"/>
    <x v="9"/>
    <n v="3"/>
    <n v="2473000"/>
    <n v="3.78994149839572E-2"/>
    <n v="7138000"/>
    <x v="1"/>
    <x v="1"/>
  </r>
  <r>
    <x v="850"/>
    <x v="0"/>
    <x v="2"/>
    <s v="Agent"/>
    <x v="4"/>
    <n v="1"/>
    <n v="4103000"/>
    <n v="0.11295100343665"/>
    <n v="3640000"/>
    <x v="8"/>
    <x v="1"/>
  </r>
  <r>
    <x v="850"/>
    <x v="3"/>
    <x v="3"/>
    <s v="Agent"/>
    <x v="0"/>
    <n v="2"/>
    <n v="2594000"/>
    <n v="0.114691476738997"/>
    <n v="4593000"/>
    <x v="15"/>
    <x v="1"/>
  </r>
  <r>
    <x v="850"/>
    <x v="3"/>
    <x v="5"/>
    <s v="Mobile App"/>
    <x v="4"/>
    <n v="2"/>
    <n v="4849000"/>
    <n v="2E-3"/>
    <n v="9679000"/>
    <x v="2"/>
    <x v="0"/>
  </r>
  <r>
    <x v="851"/>
    <x v="3"/>
    <x v="0"/>
    <s v="Website"/>
    <x v="3"/>
    <n v="2"/>
    <n v="2819000"/>
    <n v="4.4999999999999998E-2"/>
    <n v="5384000"/>
    <x v="4"/>
    <x v="1"/>
  </r>
  <r>
    <x v="851"/>
    <x v="0"/>
    <x v="1"/>
    <s v="Website"/>
    <x v="7"/>
    <n v="3"/>
    <n v="3487000"/>
    <n v="0.16"/>
    <n v="8787000"/>
    <x v="2"/>
    <x v="1"/>
  </r>
  <r>
    <x v="851"/>
    <x v="3"/>
    <x v="1"/>
    <s v="Website"/>
    <x v="5"/>
    <n v="4"/>
    <n v="3280000"/>
    <n v="0.13389493918123299"/>
    <n v="11363000"/>
    <x v="2"/>
    <x v="1"/>
  </r>
  <r>
    <x v="851"/>
    <x v="3"/>
    <x v="0"/>
    <s v="Website"/>
    <x v="9"/>
    <n v="1"/>
    <n v="2638000"/>
    <n v="8.8946619096360105E-2"/>
    <n v="2403000"/>
    <x v="14"/>
    <x v="1"/>
  </r>
  <r>
    <x v="852"/>
    <x v="1"/>
    <x v="1"/>
    <s v="Agent"/>
    <x v="0"/>
    <n v="2"/>
    <n v="3214000"/>
    <n v="6.9652104320968702E-2"/>
    <n v="5980000"/>
    <x v="17"/>
    <x v="1"/>
  </r>
  <r>
    <x v="852"/>
    <x v="1"/>
    <x v="5"/>
    <s v="Website"/>
    <x v="6"/>
    <n v="1"/>
    <n v="4889000"/>
    <n v="0.108269365437674"/>
    <n v="4360000"/>
    <x v="2"/>
    <x v="1"/>
  </r>
  <r>
    <x v="852"/>
    <x v="3"/>
    <x v="2"/>
    <s v="Website"/>
    <x v="8"/>
    <n v="3"/>
    <n v="3533000"/>
    <n v="0.14850487698012699"/>
    <n v="9025000"/>
    <x v="14"/>
    <x v="1"/>
  </r>
  <r>
    <x v="852"/>
    <x v="1"/>
    <x v="1"/>
    <s v="Website"/>
    <x v="9"/>
    <n v="2"/>
    <n v="3494000"/>
    <n v="8.2925538538221294E-2"/>
    <n v="6409000"/>
    <x v="9"/>
    <x v="1"/>
  </r>
  <r>
    <x v="852"/>
    <x v="2"/>
    <x v="3"/>
    <s v="Agent"/>
    <x v="5"/>
    <n v="1"/>
    <n v="2158000"/>
    <n v="9.9362016075802403E-2"/>
    <n v="1944000"/>
    <x v="0"/>
    <x v="1"/>
  </r>
  <r>
    <x v="853"/>
    <x v="3"/>
    <x v="1"/>
    <s v="Website"/>
    <x v="5"/>
    <n v="4"/>
    <n v="4649000"/>
    <n v="6.9000000000000006E-2"/>
    <n v="17313000"/>
    <x v="14"/>
    <x v="0"/>
  </r>
  <r>
    <x v="853"/>
    <x v="1"/>
    <x v="0"/>
    <s v="Website"/>
    <x v="4"/>
    <n v="1"/>
    <n v="2815000"/>
    <n v="9.1738264903241495E-2"/>
    <n v="2557000"/>
    <x v="7"/>
    <x v="1"/>
  </r>
  <r>
    <x v="853"/>
    <x v="1"/>
    <x v="0"/>
    <s v="Website"/>
    <x v="5"/>
    <n v="1"/>
    <n v="2046000"/>
    <n v="1.2999999999999999E-2"/>
    <n v="2019000"/>
    <x v="6"/>
    <x v="1"/>
  </r>
  <r>
    <x v="854"/>
    <x v="1"/>
    <x v="2"/>
    <s v="Website"/>
    <x v="5"/>
    <n v="1"/>
    <n v="4924000"/>
    <n v="0.16"/>
    <n v="4136000"/>
    <x v="6"/>
    <x v="1"/>
  </r>
  <r>
    <x v="854"/>
    <x v="3"/>
    <x v="2"/>
    <s v="Agent"/>
    <x v="9"/>
    <n v="1"/>
    <n v="5144000"/>
    <n v="5.8000000000000003E-2"/>
    <n v="4846000"/>
    <x v="13"/>
    <x v="0"/>
  </r>
  <r>
    <x v="854"/>
    <x v="3"/>
    <x v="0"/>
    <s v="Mobile App"/>
    <x v="2"/>
    <n v="2"/>
    <n v="3211000"/>
    <n v="0.120118886061477"/>
    <n v="5651000"/>
    <x v="3"/>
    <x v="0"/>
  </r>
  <r>
    <x v="855"/>
    <x v="1"/>
    <x v="5"/>
    <s v="Agent"/>
    <x v="0"/>
    <n v="3"/>
    <n v="5983000"/>
    <n v="0.192"/>
    <n v="14503000"/>
    <x v="0"/>
    <x v="1"/>
  </r>
  <r>
    <x v="855"/>
    <x v="3"/>
    <x v="2"/>
    <s v="Agent"/>
    <x v="5"/>
    <n v="4"/>
    <n v="3912000"/>
    <n v="1.0999999999999999E-2"/>
    <n v="15476000"/>
    <x v="13"/>
    <x v="0"/>
  </r>
  <r>
    <x v="855"/>
    <x v="3"/>
    <x v="3"/>
    <s v="Website"/>
    <x v="1"/>
    <n v="1"/>
    <n v="2203000"/>
    <n v="0.2"/>
    <n v="1762000"/>
    <x v="0"/>
    <x v="1"/>
  </r>
  <r>
    <x v="855"/>
    <x v="3"/>
    <x v="2"/>
    <s v="Website"/>
    <x v="4"/>
    <n v="2"/>
    <n v="4156000"/>
    <n v="5.8999999999999997E-2"/>
    <n v="7822000"/>
    <x v="2"/>
    <x v="1"/>
  </r>
  <r>
    <x v="856"/>
    <x v="1"/>
    <x v="5"/>
    <s v="Website"/>
    <x v="6"/>
    <n v="1"/>
    <n v="4508000"/>
    <n v="0.106"/>
    <n v="4028000"/>
    <x v="4"/>
    <x v="1"/>
  </r>
  <r>
    <x v="856"/>
    <x v="2"/>
    <x v="0"/>
    <s v="Mobile App"/>
    <x v="9"/>
    <n v="2"/>
    <n v="2588000"/>
    <n v="0.16079139596887701"/>
    <n v="4344000"/>
    <x v="10"/>
    <x v="0"/>
  </r>
  <r>
    <x v="856"/>
    <x v="1"/>
    <x v="5"/>
    <s v="Website"/>
    <x v="8"/>
    <n v="2"/>
    <n v="5295000"/>
    <n v="0.10669224400473901"/>
    <n v="9460000"/>
    <x v="0"/>
    <x v="1"/>
  </r>
  <r>
    <x v="856"/>
    <x v="1"/>
    <x v="0"/>
    <s v="Website"/>
    <x v="9"/>
    <n v="1"/>
    <n v="2661000"/>
    <n v="9.7352499088797603E-2"/>
    <n v="2402000"/>
    <x v="12"/>
    <x v="0"/>
  </r>
  <r>
    <x v="857"/>
    <x v="1"/>
    <x v="4"/>
    <s v="Website"/>
    <x v="1"/>
    <n v="4"/>
    <n v="2349000"/>
    <n v="0.121256165131257"/>
    <n v="8257000"/>
    <x v="13"/>
    <x v="1"/>
  </r>
  <r>
    <x v="858"/>
    <x v="3"/>
    <x v="5"/>
    <s v="Mobile App"/>
    <x v="7"/>
    <n v="4"/>
    <n v="4540000"/>
    <n v="0.12125904879265199"/>
    <n v="15958000"/>
    <x v="8"/>
    <x v="1"/>
  </r>
  <r>
    <x v="858"/>
    <x v="0"/>
    <x v="0"/>
    <s v="Mobile App"/>
    <x v="2"/>
    <n v="1"/>
    <n v="3007000"/>
    <n v="0.115"/>
    <n v="2661000"/>
    <x v="17"/>
    <x v="0"/>
  </r>
  <r>
    <x v="858"/>
    <x v="3"/>
    <x v="0"/>
    <s v="Mobile App"/>
    <x v="3"/>
    <n v="3"/>
    <n v="2507000"/>
    <n v="0.108898347345067"/>
    <n v="6702000"/>
    <x v="13"/>
    <x v="0"/>
  </r>
  <r>
    <x v="858"/>
    <x v="1"/>
    <x v="4"/>
    <s v="Agent"/>
    <x v="4"/>
    <n v="1"/>
    <n v="2081000"/>
    <n v="9.69724134837541E-2"/>
    <n v="1879000"/>
    <x v="6"/>
    <x v="0"/>
  </r>
  <r>
    <x v="859"/>
    <x v="3"/>
    <x v="1"/>
    <s v="Mobile App"/>
    <x v="0"/>
    <n v="1"/>
    <n v="3438000"/>
    <n v="8.8999999999999996E-2"/>
    <n v="3133000"/>
    <x v="7"/>
    <x v="1"/>
  </r>
  <r>
    <x v="859"/>
    <x v="3"/>
    <x v="2"/>
    <s v="Website"/>
    <x v="0"/>
    <n v="3"/>
    <n v="4135000"/>
    <n v="8.7015079099504899E-2"/>
    <n v="11326000"/>
    <x v="6"/>
    <x v="1"/>
  </r>
  <r>
    <x v="859"/>
    <x v="2"/>
    <x v="5"/>
    <s v="Website"/>
    <x v="7"/>
    <n v="1"/>
    <n v="4851000"/>
    <n v="8.5740711239793502E-2"/>
    <n v="4435000"/>
    <x v="2"/>
    <x v="1"/>
  </r>
  <r>
    <x v="859"/>
    <x v="2"/>
    <x v="2"/>
    <s v="Agent"/>
    <x v="3"/>
    <n v="2"/>
    <n v="3656000"/>
    <n v="0.193"/>
    <n v="5901000"/>
    <x v="18"/>
    <x v="0"/>
  </r>
  <r>
    <x v="860"/>
    <x v="3"/>
    <x v="5"/>
    <s v="Agent"/>
    <x v="9"/>
    <n v="2"/>
    <n v="5712000"/>
    <n v="0.11503674111093699"/>
    <n v="10110000"/>
    <x v="6"/>
    <x v="0"/>
  </r>
  <r>
    <x v="860"/>
    <x v="0"/>
    <x v="4"/>
    <s v="Mobile App"/>
    <x v="2"/>
    <n v="1"/>
    <n v="2539000"/>
    <n v="5.5468067466904199E-2"/>
    <n v="2398000"/>
    <x v="10"/>
    <x v="1"/>
  </r>
  <r>
    <x v="860"/>
    <x v="3"/>
    <x v="1"/>
    <s v="Website"/>
    <x v="7"/>
    <n v="1"/>
    <n v="2938000"/>
    <n v="0.18124689821737999"/>
    <n v="2405000"/>
    <x v="2"/>
    <x v="1"/>
  </r>
  <r>
    <x v="860"/>
    <x v="1"/>
    <x v="4"/>
    <s v="Agent"/>
    <x v="2"/>
    <n v="2"/>
    <n v="2498000"/>
    <n v="0.11878679100745"/>
    <n v="4403000"/>
    <x v="15"/>
    <x v="0"/>
  </r>
  <r>
    <x v="860"/>
    <x v="3"/>
    <x v="3"/>
    <s v="Mobile App"/>
    <x v="2"/>
    <n v="1"/>
    <n v="2745000"/>
    <n v="5.3999999999999999E-2"/>
    <n v="2597000"/>
    <x v="8"/>
    <x v="1"/>
  </r>
  <r>
    <x v="860"/>
    <x v="1"/>
    <x v="5"/>
    <s v="Website"/>
    <x v="2"/>
    <n v="1"/>
    <n v="5547000"/>
    <n v="0.13600000000000001"/>
    <n v="4793000"/>
    <x v="9"/>
    <x v="1"/>
  </r>
  <r>
    <x v="861"/>
    <x v="3"/>
    <x v="2"/>
    <s v="Agent"/>
    <x v="3"/>
    <n v="1"/>
    <n v="4149000"/>
    <n v="6.4000000000000001E-2"/>
    <n v="3883000"/>
    <x v="4"/>
    <x v="1"/>
  </r>
  <r>
    <x v="861"/>
    <x v="3"/>
    <x v="1"/>
    <s v="Website"/>
    <x v="7"/>
    <n v="3"/>
    <n v="2985000"/>
    <n v="8.4000000000000005E-2"/>
    <n v="8203000"/>
    <x v="10"/>
    <x v="0"/>
  </r>
  <r>
    <x v="861"/>
    <x v="3"/>
    <x v="1"/>
    <s v="Mobile App"/>
    <x v="5"/>
    <n v="3"/>
    <n v="3300000"/>
    <n v="5.24278199387107E-2"/>
    <n v="9381000"/>
    <x v="0"/>
    <x v="1"/>
  </r>
  <r>
    <x v="861"/>
    <x v="0"/>
    <x v="0"/>
    <s v="Mobile App"/>
    <x v="9"/>
    <n v="2"/>
    <n v="3198000"/>
    <n v="0.154"/>
    <n v="5411000"/>
    <x v="8"/>
    <x v="1"/>
  </r>
  <r>
    <x v="861"/>
    <x v="1"/>
    <x v="2"/>
    <s v="Agent"/>
    <x v="0"/>
    <n v="1"/>
    <n v="2995000"/>
    <n v="0.21099999999999999"/>
    <n v="2363000"/>
    <x v="3"/>
    <x v="1"/>
  </r>
  <r>
    <x v="862"/>
    <x v="1"/>
    <x v="5"/>
    <s v="Website"/>
    <x v="8"/>
    <n v="1"/>
    <n v="4943000"/>
    <n v="0.113752759230761"/>
    <n v="4381000"/>
    <x v="3"/>
    <x v="1"/>
  </r>
  <r>
    <x v="862"/>
    <x v="0"/>
    <x v="5"/>
    <s v="Mobile App"/>
    <x v="3"/>
    <n v="1"/>
    <n v="0"/>
    <n v="0.127"/>
    <n v="3434000"/>
    <x v="10"/>
    <x v="1"/>
  </r>
  <r>
    <x v="862"/>
    <x v="3"/>
    <x v="2"/>
    <s v="Agent"/>
    <x v="5"/>
    <n v="3"/>
    <n v="4068000"/>
    <n v="2.0265909035834001E-2"/>
    <n v="11957000"/>
    <x v="3"/>
    <x v="0"/>
  </r>
  <r>
    <x v="862"/>
    <x v="1"/>
    <x v="1"/>
    <s v="Agent"/>
    <x v="8"/>
    <n v="4"/>
    <n v="2033000"/>
    <n v="8.7999999999999995E-2"/>
    <n v="7416000"/>
    <x v="5"/>
    <x v="1"/>
  </r>
  <r>
    <x v="862"/>
    <x v="0"/>
    <x v="1"/>
    <s v="Website"/>
    <x v="1"/>
    <n v="2"/>
    <n v="3203000"/>
    <n v="8.7437777835955105E-2"/>
    <n v="5846000"/>
    <x v="15"/>
    <x v="1"/>
  </r>
  <r>
    <x v="863"/>
    <x v="0"/>
    <x v="0"/>
    <s v="Website"/>
    <x v="8"/>
    <n v="3"/>
    <n v="1780000"/>
    <n v="0.28599999999999998"/>
    <n v="3813000"/>
    <x v="9"/>
    <x v="1"/>
  </r>
  <r>
    <x v="863"/>
    <x v="3"/>
    <x v="5"/>
    <s v="Website"/>
    <x v="2"/>
    <n v="1"/>
    <n v="4781000"/>
    <n v="0.159850822950035"/>
    <n v="4017000"/>
    <x v="8"/>
    <x v="0"/>
  </r>
  <r>
    <x v="863"/>
    <x v="2"/>
    <x v="0"/>
    <s v="Website"/>
    <x v="8"/>
    <n v="3"/>
    <n v="2280000"/>
    <n v="0.17899999999999999"/>
    <n v="5616000"/>
    <x v="10"/>
    <x v="1"/>
  </r>
  <r>
    <x v="863"/>
    <x v="2"/>
    <x v="2"/>
    <s v="Website"/>
    <x v="8"/>
    <n v="4"/>
    <n v="3597000"/>
    <n v="7.4788212024849698E-2"/>
    <n v="13312000"/>
    <x v="14"/>
    <x v="1"/>
  </r>
  <r>
    <x v="864"/>
    <x v="1"/>
    <x v="5"/>
    <s v="Agent"/>
    <x v="6"/>
    <n v="3"/>
    <n v="4535000"/>
    <n v="8.7790675063537701E-2"/>
    <n v="12411000"/>
    <x v="9"/>
    <x v="1"/>
  </r>
  <r>
    <x v="864"/>
    <x v="3"/>
    <x v="4"/>
    <s v="Mobile App"/>
    <x v="6"/>
    <n v="1"/>
    <n v="2611000"/>
    <n v="8.8346898708478297E-2"/>
    <n v="2380000"/>
    <x v="2"/>
    <x v="0"/>
  </r>
  <r>
    <x v="864"/>
    <x v="3"/>
    <x v="2"/>
    <s v="Website"/>
    <x v="5"/>
    <n v="2"/>
    <n v="3905000"/>
    <n v="0.12637514473562"/>
    <n v="6823000"/>
    <x v="12"/>
    <x v="0"/>
  </r>
  <r>
    <x v="864"/>
    <x v="2"/>
    <x v="2"/>
    <s v="Website"/>
    <x v="2"/>
    <n v="5"/>
    <n v="4326000"/>
    <n v="3.9127428303167601E-2"/>
    <n v="20784000"/>
    <x v="8"/>
    <x v="1"/>
  </r>
  <r>
    <x v="864"/>
    <x v="1"/>
    <x v="2"/>
    <s v="Website"/>
    <x v="8"/>
    <n v="3"/>
    <n v="2525000"/>
    <n v="0.189"/>
    <n v="6143000"/>
    <x v="14"/>
    <x v="1"/>
  </r>
  <r>
    <x v="865"/>
    <x v="0"/>
    <x v="2"/>
    <s v="Agent"/>
    <x v="6"/>
    <n v="2"/>
    <n v="4569000"/>
    <n v="0.125"/>
    <n v="7996000"/>
    <x v="1"/>
    <x v="0"/>
  </r>
  <r>
    <x v="865"/>
    <x v="0"/>
    <x v="2"/>
    <s v="Mobile App"/>
    <x v="9"/>
    <n v="1"/>
    <n v="3759000"/>
    <n v="0.18049047643133601"/>
    <n v="3081000"/>
    <x v="12"/>
    <x v="0"/>
  </r>
  <r>
    <x v="866"/>
    <x v="1"/>
    <x v="3"/>
    <s v="Agent"/>
    <x v="2"/>
    <n v="2"/>
    <n v="2061000"/>
    <n v="6.4000000000000001E-2"/>
    <n v="3858000"/>
    <x v="7"/>
    <x v="0"/>
  </r>
  <r>
    <x v="866"/>
    <x v="3"/>
    <x v="5"/>
    <s v="Mobile App"/>
    <x v="4"/>
    <n v="2"/>
    <n v="4562000"/>
    <n v="0.137206273130416"/>
    <n v="7872000"/>
    <x v="4"/>
    <x v="0"/>
  </r>
  <r>
    <x v="866"/>
    <x v="3"/>
    <x v="5"/>
    <s v="Mobile App"/>
    <x v="2"/>
    <n v="4"/>
    <n v="4897000"/>
    <n v="8.9275815473192896E-2"/>
    <n v="17839000"/>
    <x v="4"/>
    <x v="0"/>
  </r>
  <r>
    <x v="866"/>
    <x v="3"/>
    <x v="5"/>
    <s v="Website"/>
    <x v="5"/>
    <n v="3"/>
    <n v="5140000"/>
    <n v="1.56753229990273E-2"/>
    <n v="15178000"/>
    <x v="12"/>
    <x v="1"/>
  </r>
  <r>
    <x v="866"/>
    <x v="2"/>
    <x v="0"/>
    <s v="Mobile App"/>
    <x v="5"/>
    <n v="2"/>
    <n v="2538000"/>
    <n v="9.0448675706395906E-2"/>
    <n v="4617000"/>
    <x v="19"/>
    <x v="1"/>
  </r>
  <r>
    <x v="866"/>
    <x v="1"/>
    <x v="0"/>
    <s v="Mobile App"/>
    <x v="9"/>
    <n v="3"/>
    <n v="1838000"/>
    <n v="6.3E-2"/>
    <n v="5167000"/>
    <x v="12"/>
    <x v="0"/>
  </r>
  <r>
    <x v="867"/>
    <x v="1"/>
    <x v="1"/>
    <s v="Website"/>
    <x v="5"/>
    <n v="2"/>
    <n v="3306000"/>
    <n v="0.14226699287705599"/>
    <n v="5671000"/>
    <x v="1"/>
    <x v="1"/>
  </r>
  <r>
    <x v="867"/>
    <x v="1"/>
    <x v="3"/>
    <s v="Mobile App"/>
    <x v="5"/>
    <n v="1"/>
    <n v="2336000"/>
    <n v="0.13600000000000001"/>
    <n v="2018000"/>
    <x v="18"/>
    <x v="1"/>
  </r>
  <r>
    <x v="867"/>
    <x v="1"/>
    <x v="5"/>
    <s v="Website"/>
    <x v="2"/>
    <n v="2"/>
    <n v="3458000"/>
    <n v="4.2999999999999997E-2"/>
    <n v="6619000"/>
    <x v="10"/>
    <x v="1"/>
  </r>
  <r>
    <x v="867"/>
    <x v="2"/>
    <x v="2"/>
    <s v="Website"/>
    <x v="6"/>
    <n v="2"/>
    <n v="3888000"/>
    <n v="9.3984809726409005E-2"/>
    <n v="7045000"/>
    <x v="9"/>
    <x v="1"/>
  </r>
  <r>
    <x v="868"/>
    <x v="0"/>
    <x v="2"/>
    <s v="Website"/>
    <x v="8"/>
    <n v="2"/>
    <n v="2530000"/>
    <n v="9.1999999999999998E-2"/>
    <n v="4594000"/>
    <x v="1"/>
    <x v="0"/>
  </r>
  <r>
    <x v="868"/>
    <x v="2"/>
    <x v="5"/>
    <s v="Website"/>
    <x v="3"/>
    <n v="2"/>
    <n v="4644000"/>
    <n v="0.135606710547823"/>
    <n v="8028000"/>
    <x v="0"/>
    <x v="1"/>
  </r>
  <r>
    <x v="868"/>
    <x v="1"/>
    <x v="1"/>
    <s v="Mobile App"/>
    <x v="2"/>
    <n v="3"/>
    <n v="3826000"/>
    <n v="0.222"/>
    <n v="8930000"/>
    <x v="9"/>
    <x v="0"/>
  </r>
  <r>
    <x v="869"/>
    <x v="1"/>
    <x v="2"/>
    <s v="Mobile App"/>
    <x v="5"/>
    <n v="3"/>
    <n v="3606000"/>
    <n v="0.161190837569889"/>
    <n v="9074000"/>
    <x v="4"/>
    <x v="1"/>
  </r>
  <r>
    <x v="869"/>
    <x v="2"/>
    <x v="0"/>
    <s v="Agent"/>
    <x v="4"/>
    <n v="2"/>
    <n v="1828000"/>
    <n v="0.11799999999999999"/>
    <n v="3225000"/>
    <x v="6"/>
    <x v="1"/>
  </r>
  <r>
    <x v="869"/>
    <x v="0"/>
    <x v="4"/>
    <s v="Agent"/>
    <x v="6"/>
    <n v="1"/>
    <n v="2696000"/>
    <n v="5.06552477009036E-2"/>
    <n v="2559000"/>
    <x v="1"/>
    <x v="1"/>
  </r>
  <r>
    <x v="869"/>
    <x v="3"/>
    <x v="5"/>
    <s v="Website"/>
    <x v="4"/>
    <n v="1"/>
    <n v="4437000"/>
    <n v="0.15647135608228999"/>
    <n v="3743000"/>
    <x v="18"/>
    <x v="1"/>
  </r>
  <r>
    <x v="869"/>
    <x v="3"/>
    <x v="0"/>
    <s v="Website"/>
    <x v="4"/>
    <n v="1"/>
    <n v="2493000"/>
    <n v="0.107457508602886"/>
    <n v="2225000"/>
    <x v="1"/>
    <x v="0"/>
  </r>
  <r>
    <x v="869"/>
    <x v="3"/>
    <x v="0"/>
    <s v="Website"/>
    <x v="5"/>
    <n v="1"/>
    <n v="2359000"/>
    <n v="0.13564556569011099"/>
    <n v="2039000"/>
    <x v="2"/>
    <x v="0"/>
  </r>
  <r>
    <x v="870"/>
    <x v="2"/>
    <x v="4"/>
    <s v="Website"/>
    <x v="7"/>
    <n v="3"/>
    <n v="2623000"/>
    <n v="7.9000000000000001E-2"/>
    <n v="7247000"/>
    <x v="5"/>
    <x v="0"/>
  </r>
  <r>
    <x v="870"/>
    <x v="2"/>
    <x v="2"/>
    <s v="Mobile App"/>
    <x v="6"/>
    <n v="1"/>
    <n v="2830000"/>
    <n v="6.9000000000000006E-2"/>
    <n v="2635000"/>
    <x v="14"/>
    <x v="1"/>
  </r>
  <r>
    <x v="870"/>
    <x v="3"/>
    <x v="0"/>
    <s v="Website"/>
    <x v="3"/>
    <n v="2"/>
    <n v="2409000"/>
    <n v="0.144695843264111"/>
    <n v="4121000"/>
    <x v="6"/>
    <x v="0"/>
  </r>
  <r>
    <x v="871"/>
    <x v="3"/>
    <x v="2"/>
    <s v="Website"/>
    <x v="2"/>
    <n v="1"/>
    <n v="4485000"/>
    <n v="0.12672749487926899"/>
    <n v="3917000"/>
    <x v="2"/>
    <x v="0"/>
  </r>
  <r>
    <x v="871"/>
    <x v="3"/>
    <x v="1"/>
    <s v="Website"/>
    <x v="2"/>
    <n v="2"/>
    <n v="3491000"/>
    <n v="9.5366188403714497E-2"/>
    <n v="6316000"/>
    <x v="5"/>
    <x v="1"/>
  </r>
  <r>
    <x v="871"/>
    <x v="2"/>
    <x v="5"/>
    <s v="Website"/>
    <x v="7"/>
    <n v="4"/>
    <n v="4314000"/>
    <n v="6.8724465504848398E-2"/>
    <n v="16070000"/>
    <x v="7"/>
    <x v="1"/>
  </r>
  <r>
    <x v="872"/>
    <x v="2"/>
    <x v="2"/>
    <s v="Website"/>
    <x v="7"/>
    <n v="3"/>
    <n v="3437000"/>
    <n v="7.6217387218295601E-2"/>
    <n v="9525000"/>
    <x v="12"/>
    <x v="1"/>
  </r>
  <r>
    <x v="872"/>
    <x v="0"/>
    <x v="1"/>
    <s v="Mobile App"/>
    <x v="5"/>
    <n v="1"/>
    <n v="3291000"/>
    <n v="3.4873860952223702E-2"/>
    <n v="3176000"/>
    <x v="6"/>
    <x v="1"/>
  </r>
  <r>
    <x v="872"/>
    <x v="3"/>
    <x v="5"/>
    <s v="Website"/>
    <x v="5"/>
    <n v="4"/>
    <n v="5150000"/>
    <n v="0.12553445055707399"/>
    <n v="18014000"/>
    <x v="1"/>
    <x v="0"/>
  </r>
  <r>
    <x v="872"/>
    <x v="1"/>
    <x v="0"/>
    <s v="Mobile App"/>
    <x v="5"/>
    <n v="2"/>
    <n v="2459000"/>
    <n v="0.14899999999999999"/>
    <n v="4185000"/>
    <x v="5"/>
    <x v="1"/>
  </r>
  <r>
    <x v="873"/>
    <x v="3"/>
    <x v="1"/>
    <s v="Website"/>
    <x v="3"/>
    <n v="3"/>
    <n v="2979000"/>
    <n v="7.3710223961468299E-2"/>
    <n v="8278000"/>
    <x v="14"/>
    <x v="0"/>
  </r>
  <r>
    <x v="873"/>
    <x v="0"/>
    <x v="0"/>
    <s v="Website"/>
    <x v="6"/>
    <n v="2"/>
    <n v="2392000"/>
    <n v="2.4380813560072601E-2"/>
    <n v="4667000"/>
    <x v="2"/>
    <x v="1"/>
  </r>
  <r>
    <x v="873"/>
    <x v="2"/>
    <x v="1"/>
    <s v="Website"/>
    <x v="4"/>
    <n v="5"/>
    <n v="3462000"/>
    <n v="0.13900000000000001"/>
    <n v="14904000"/>
    <x v="17"/>
    <x v="1"/>
  </r>
  <r>
    <x v="873"/>
    <x v="0"/>
    <x v="1"/>
    <s v="Website"/>
    <x v="7"/>
    <n v="4"/>
    <n v="2222000"/>
    <n v="3.2000000000000001E-2"/>
    <n v="8604000"/>
    <x v="8"/>
    <x v="1"/>
  </r>
  <r>
    <x v="874"/>
    <x v="1"/>
    <x v="1"/>
    <s v="Website"/>
    <x v="9"/>
    <n v="2"/>
    <n v="3445000"/>
    <n v="5.73414700160126E-2"/>
    <n v="6495000"/>
    <x v="5"/>
    <x v="0"/>
  </r>
  <r>
    <x v="874"/>
    <x v="0"/>
    <x v="0"/>
    <s v="Website"/>
    <x v="6"/>
    <n v="1"/>
    <n v="2397000"/>
    <n v="0.117307159782838"/>
    <n v="2116000"/>
    <x v="15"/>
    <x v="0"/>
  </r>
  <r>
    <x v="874"/>
    <x v="1"/>
    <x v="2"/>
    <s v="Agent"/>
    <x v="6"/>
    <n v="1"/>
    <n v="3178000"/>
    <n v="0.123"/>
    <n v="2787000"/>
    <x v="6"/>
    <x v="1"/>
  </r>
  <r>
    <x v="874"/>
    <x v="3"/>
    <x v="1"/>
    <s v="Agent"/>
    <x v="0"/>
    <n v="1"/>
    <n v="3113000"/>
    <n v="0.105904459665533"/>
    <n v="2783000"/>
    <x v="17"/>
    <x v="1"/>
  </r>
  <r>
    <x v="875"/>
    <x v="1"/>
    <x v="1"/>
    <s v="Website"/>
    <x v="5"/>
    <n v="4"/>
    <n v="2254000"/>
    <n v="0.185"/>
    <n v="7348000"/>
    <x v="12"/>
    <x v="0"/>
  </r>
  <r>
    <x v="875"/>
    <x v="0"/>
    <x v="0"/>
    <s v="Website"/>
    <x v="8"/>
    <n v="2"/>
    <n v="2409000"/>
    <n v="2.7E-2"/>
    <n v="4688000"/>
    <x v="0"/>
    <x v="1"/>
  </r>
  <r>
    <x v="875"/>
    <x v="3"/>
    <x v="2"/>
    <s v="Agent"/>
    <x v="5"/>
    <n v="1"/>
    <n v="3970000"/>
    <n v="8.1362318380941101E-2"/>
    <n v="3647000"/>
    <x v="14"/>
    <x v="1"/>
  </r>
  <r>
    <x v="875"/>
    <x v="1"/>
    <x v="1"/>
    <s v="Mobile App"/>
    <x v="8"/>
    <n v="4"/>
    <n v="3412000"/>
    <n v="4.4999999999999998E-2"/>
    <n v="13034000"/>
    <x v="8"/>
    <x v="0"/>
  </r>
  <r>
    <x v="875"/>
    <x v="3"/>
    <x v="0"/>
    <s v="Agent"/>
    <x v="0"/>
    <n v="1"/>
    <n v="2818000"/>
    <n v="0.16026115234787"/>
    <n v="2366000"/>
    <x v="4"/>
    <x v="1"/>
  </r>
  <r>
    <x v="875"/>
    <x v="3"/>
    <x v="4"/>
    <s v="Mobile App"/>
    <x v="1"/>
    <n v="3"/>
    <n v="2199000"/>
    <n v="8.7999999999999995E-2"/>
    <n v="6017000"/>
    <x v="0"/>
    <x v="1"/>
  </r>
  <r>
    <x v="876"/>
    <x v="3"/>
    <x v="2"/>
    <s v="Call Center"/>
    <x v="6"/>
    <n v="1"/>
    <n v="3927000"/>
    <n v="0.109798198907154"/>
    <n v="3496000"/>
    <x v="10"/>
    <x v="1"/>
  </r>
  <r>
    <x v="876"/>
    <x v="1"/>
    <x v="5"/>
    <s v="Mobile App"/>
    <x v="9"/>
    <n v="1"/>
    <n v="5820000"/>
    <n v="8.2000000000000003E-2"/>
    <n v="5343000"/>
    <x v="1"/>
    <x v="0"/>
  </r>
  <r>
    <x v="876"/>
    <x v="2"/>
    <x v="2"/>
    <s v="Website"/>
    <x v="7"/>
    <n v="3"/>
    <n v="2790000"/>
    <n v="5.7000000000000002E-2"/>
    <n v="7893000"/>
    <x v="9"/>
    <x v="1"/>
  </r>
  <r>
    <x v="876"/>
    <x v="0"/>
    <x v="0"/>
    <s v="Mobile App"/>
    <x v="3"/>
    <n v="1"/>
    <n v="2665000"/>
    <n v="0.16004156619270199"/>
    <n v="2238000"/>
    <x v="4"/>
    <x v="1"/>
  </r>
  <r>
    <x v="876"/>
    <x v="0"/>
    <x v="5"/>
    <s v="Website"/>
    <x v="9"/>
    <n v="2"/>
    <n v="5921000"/>
    <n v="4.4850495686173997E-2"/>
    <n v="11311000"/>
    <x v="12"/>
    <x v="1"/>
  </r>
  <r>
    <x v="877"/>
    <x v="2"/>
    <x v="4"/>
    <s v="Mobile App"/>
    <x v="7"/>
    <n v="3"/>
    <n v="2562000"/>
    <n v="4.4676700032957997E-2"/>
    <n v="7343000"/>
    <x v="2"/>
    <x v="1"/>
  </r>
  <r>
    <x v="877"/>
    <x v="0"/>
    <x v="0"/>
    <s v="Website"/>
    <x v="3"/>
    <n v="3"/>
    <n v="2464000"/>
    <n v="0.14699999999999999"/>
    <n v="6305000"/>
    <x v="15"/>
    <x v="0"/>
  </r>
  <r>
    <x v="877"/>
    <x v="2"/>
    <x v="1"/>
    <s v="Website"/>
    <x v="5"/>
    <n v="1"/>
    <n v="3411000"/>
    <n v="0.151304908725969"/>
    <n v="2895000"/>
    <x v="0"/>
    <x v="1"/>
  </r>
  <r>
    <x v="877"/>
    <x v="0"/>
    <x v="1"/>
    <s v="Website"/>
    <x v="5"/>
    <n v="4"/>
    <n v="3370000"/>
    <n v="9.3332881791882094E-2"/>
    <n v="12222000"/>
    <x v="6"/>
    <x v="1"/>
  </r>
  <r>
    <x v="878"/>
    <x v="0"/>
    <x v="1"/>
    <s v="Agent"/>
    <x v="0"/>
    <n v="3"/>
    <n v="3642000"/>
    <n v="9.9830996213451095E-2"/>
    <n v="9835000"/>
    <x v="9"/>
    <x v="1"/>
  </r>
  <r>
    <x v="879"/>
    <x v="1"/>
    <x v="3"/>
    <s v="Website"/>
    <x v="0"/>
    <n v="2"/>
    <n v="2448000"/>
    <n v="0.124340885508899"/>
    <n v="4287000"/>
    <x v="13"/>
    <x v="1"/>
  </r>
  <r>
    <x v="879"/>
    <x v="1"/>
    <x v="3"/>
    <s v="Website"/>
    <x v="7"/>
    <n v="3"/>
    <n v="1817000"/>
    <n v="0.11211865654801"/>
    <n v="4840000"/>
    <x v="4"/>
    <x v="0"/>
  </r>
  <r>
    <x v="880"/>
    <x v="1"/>
    <x v="1"/>
    <s v="Mobile App"/>
    <x v="9"/>
    <n v="3"/>
    <n v="3260000"/>
    <n v="0.129"/>
    <n v="8518000"/>
    <x v="9"/>
    <x v="1"/>
  </r>
  <r>
    <x v="880"/>
    <x v="0"/>
    <x v="2"/>
    <s v="Website"/>
    <x v="7"/>
    <n v="1"/>
    <n v="2938000"/>
    <n v="4.4999999999999998E-2"/>
    <n v="2806000"/>
    <x v="5"/>
    <x v="1"/>
  </r>
  <r>
    <x v="880"/>
    <x v="2"/>
    <x v="0"/>
    <s v="Website"/>
    <x v="8"/>
    <n v="1"/>
    <n v="2326000"/>
    <n v="0.13843986496706701"/>
    <n v="2004000"/>
    <x v="5"/>
    <x v="1"/>
  </r>
  <r>
    <x v="880"/>
    <x v="3"/>
    <x v="1"/>
    <s v="Call Center"/>
    <x v="5"/>
    <n v="2"/>
    <n v="3225000"/>
    <n v="0.16578069310461599"/>
    <n v="5381000"/>
    <x v="10"/>
    <x v="1"/>
  </r>
  <r>
    <x v="881"/>
    <x v="0"/>
    <x v="4"/>
    <s v="Mobile App"/>
    <x v="6"/>
    <n v="2"/>
    <n v="2760000"/>
    <n v="4.8047955238635399E-2"/>
    <n v="5255000"/>
    <x v="2"/>
    <x v="0"/>
  </r>
  <r>
    <x v="881"/>
    <x v="0"/>
    <x v="4"/>
    <s v="Mobile App"/>
    <x v="0"/>
    <n v="1"/>
    <n v="2746000"/>
    <n v="0.21002897007382201"/>
    <n v="2169000"/>
    <x v="2"/>
    <x v="0"/>
  </r>
  <r>
    <x v="881"/>
    <x v="3"/>
    <x v="0"/>
    <s v="Mobile App"/>
    <x v="4"/>
    <n v="2"/>
    <n v="2914000"/>
    <n v="0.12201358228501"/>
    <n v="5117000"/>
    <x v="15"/>
    <x v="1"/>
  </r>
  <r>
    <x v="881"/>
    <x v="1"/>
    <x v="1"/>
    <s v="Mobile App"/>
    <x v="2"/>
    <n v="3"/>
    <n v="3389000"/>
    <n v="6.2001805667740398E-2"/>
    <n v="9537000"/>
    <x v="7"/>
    <x v="0"/>
  </r>
  <r>
    <x v="881"/>
    <x v="1"/>
    <x v="1"/>
    <s v="Call Center"/>
    <x v="2"/>
    <n v="4"/>
    <n v="3107000"/>
    <n v="9.5000000000000001E-2"/>
    <n v="11247000"/>
    <x v="14"/>
    <x v="1"/>
  </r>
  <r>
    <x v="882"/>
    <x v="2"/>
    <x v="2"/>
    <s v="Mobile App"/>
    <x v="7"/>
    <n v="2"/>
    <n v="2417000"/>
    <n v="0.159"/>
    <n v="4065000"/>
    <x v="10"/>
    <x v="0"/>
  </r>
  <r>
    <x v="882"/>
    <x v="1"/>
    <x v="0"/>
    <s v="Website"/>
    <x v="4"/>
    <n v="1"/>
    <n v="3255000"/>
    <n v="0.104"/>
    <n v="2916000"/>
    <x v="15"/>
    <x v="0"/>
  </r>
  <r>
    <x v="882"/>
    <x v="1"/>
    <x v="2"/>
    <s v="Website"/>
    <x v="9"/>
    <n v="2"/>
    <n v="4914000"/>
    <n v="0.15"/>
    <n v="8354000"/>
    <x v="8"/>
    <x v="0"/>
  </r>
  <r>
    <x v="883"/>
    <x v="0"/>
    <x v="3"/>
    <s v="Mobile App"/>
    <x v="5"/>
    <n v="3"/>
    <n v="2165000"/>
    <n v="0.16304972017518701"/>
    <n v="5436000"/>
    <x v="9"/>
    <x v="0"/>
  </r>
  <r>
    <x v="883"/>
    <x v="2"/>
    <x v="1"/>
    <s v="Website"/>
    <x v="1"/>
    <n v="4"/>
    <n v="3011000"/>
    <n v="4.2000000000000003E-2"/>
    <n v="11544000"/>
    <x v="12"/>
    <x v="0"/>
  </r>
  <r>
    <x v="883"/>
    <x v="1"/>
    <x v="1"/>
    <s v="Website"/>
    <x v="3"/>
    <n v="1"/>
    <n v="2977000"/>
    <n v="0.132486477488823"/>
    <n v="2583000"/>
    <x v="4"/>
    <x v="1"/>
  </r>
  <r>
    <x v="884"/>
    <x v="2"/>
    <x v="5"/>
    <s v="Agent"/>
    <x v="5"/>
    <n v="2"/>
    <n v="5062000"/>
    <n v="7.8570511656702105E-2"/>
    <n v="9329000"/>
    <x v="10"/>
    <x v="1"/>
  </r>
  <r>
    <x v="885"/>
    <x v="3"/>
    <x v="0"/>
    <s v="Website"/>
    <x v="0"/>
    <n v="1"/>
    <n v="2680000"/>
    <n v="0.75"/>
    <n v="2238000"/>
    <x v="9"/>
    <x v="1"/>
  </r>
  <r>
    <x v="885"/>
    <x v="1"/>
    <x v="1"/>
    <s v="Mobile App"/>
    <x v="0"/>
    <n v="1"/>
    <n v="3547000"/>
    <n v="0.128240305261904"/>
    <n v="3092000"/>
    <x v="14"/>
    <x v="0"/>
  </r>
  <r>
    <x v="885"/>
    <x v="3"/>
    <x v="2"/>
    <s v="Website"/>
    <x v="8"/>
    <n v="3"/>
    <n v="3079000"/>
    <n v="0.188"/>
    <n v="7500000"/>
    <x v="1"/>
    <x v="1"/>
  </r>
  <r>
    <x v="885"/>
    <x v="3"/>
    <x v="3"/>
    <s v="Website"/>
    <x v="0"/>
    <n v="4"/>
    <n v="2578000"/>
    <n v="3.73295543467164E-2"/>
    <n v="9927000"/>
    <x v="0"/>
    <x v="0"/>
  </r>
  <r>
    <x v="885"/>
    <x v="1"/>
    <x v="3"/>
    <s v="Mobile App"/>
    <x v="5"/>
    <n v="2"/>
    <n v="2326000"/>
    <n v="0.153"/>
    <n v="3940000"/>
    <x v="5"/>
    <x v="1"/>
  </r>
  <r>
    <x v="886"/>
    <x v="1"/>
    <x v="1"/>
    <s v="Agent"/>
    <x v="1"/>
    <n v="1"/>
    <n v="3040000"/>
    <n v="0.114398695910276"/>
    <n v="2692000"/>
    <x v="9"/>
    <x v="1"/>
  </r>
  <r>
    <x v="886"/>
    <x v="3"/>
    <x v="0"/>
    <s v="Website"/>
    <x v="1"/>
    <n v="1"/>
    <n v="2973000"/>
    <n v="6.6206779918666997E-2"/>
    <n v="2776000"/>
    <x v="12"/>
    <x v="1"/>
  </r>
  <r>
    <x v="886"/>
    <x v="1"/>
    <x v="2"/>
    <s v="Website"/>
    <x v="4"/>
    <n v="1"/>
    <n v="3774000"/>
    <n v="0.13394249052851001"/>
    <n v="3269000"/>
    <x v="13"/>
    <x v="1"/>
  </r>
  <r>
    <x v="886"/>
    <x v="2"/>
    <x v="3"/>
    <s v="Mobile App"/>
    <x v="6"/>
    <n v="2"/>
    <n v="1850000"/>
    <n v="9.7000000000000003E-2"/>
    <n v="3341000"/>
    <x v="8"/>
    <x v="1"/>
  </r>
  <r>
    <x v="887"/>
    <x v="1"/>
    <x v="5"/>
    <s v="Website"/>
    <x v="5"/>
    <n v="1"/>
    <n v="5185000"/>
    <n v="0.10199999999999999"/>
    <n v="4656000"/>
    <x v="10"/>
    <x v="0"/>
  </r>
  <r>
    <x v="887"/>
    <x v="2"/>
    <x v="0"/>
    <s v="Website"/>
    <x v="4"/>
    <n v="2"/>
    <n v="1558000"/>
    <n v="3.5999999999999997E-2"/>
    <n v="3004000"/>
    <x v="9"/>
    <x v="1"/>
  </r>
  <r>
    <x v="888"/>
    <x v="1"/>
    <x v="0"/>
    <s v="Website"/>
    <x v="0"/>
    <n v="1"/>
    <n v="2702000"/>
    <n v="7.2107321391656098E-2"/>
    <n v="2507000"/>
    <x v="0"/>
    <x v="1"/>
  </r>
  <r>
    <x v="888"/>
    <x v="0"/>
    <x v="4"/>
    <s v="Mobile App"/>
    <x v="9"/>
    <n v="1"/>
    <n v="2309000"/>
    <n v="0.16800000000000001"/>
    <n v="1921000"/>
    <x v="7"/>
    <x v="1"/>
  </r>
  <r>
    <x v="889"/>
    <x v="3"/>
    <x v="4"/>
    <s v="Agent"/>
    <x v="8"/>
    <n v="4"/>
    <n v="2152000"/>
    <n v="0.22600000000000001"/>
    <n v="6663000"/>
    <x v="5"/>
    <x v="0"/>
  </r>
  <r>
    <x v="889"/>
    <x v="3"/>
    <x v="3"/>
    <s v="Mobile App"/>
    <x v="0"/>
    <n v="1"/>
    <n v="0"/>
    <n v="0.17100000000000001"/>
    <n v="1520000"/>
    <x v="6"/>
    <x v="0"/>
  </r>
  <r>
    <x v="889"/>
    <x v="0"/>
    <x v="3"/>
    <s v="Website"/>
    <x v="0"/>
    <n v="3"/>
    <n v="2585000"/>
    <n v="2.6446666721743801E-2"/>
    <n v="7550000"/>
    <x v="8"/>
    <x v="1"/>
  </r>
  <r>
    <x v="889"/>
    <x v="0"/>
    <x v="0"/>
    <s v="Mobile App"/>
    <x v="2"/>
    <n v="2"/>
    <n v="4948000"/>
    <n v="0.14499999999999999"/>
    <n v="8461000"/>
    <x v="17"/>
    <x v="1"/>
  </r>
  <r>
    <x v="889"/>
    <x v="3"/>
    <x v="0"/>
    <s v="Website"/>
    <x v="4"/>
    <n v="2"/>
    <n v="2766000"/>
    <n v="9.0921471351916097E-2"/>
    <n v="5029000"/>
    <x v="10"/>
    <x v="0"/>
  </r>
  <r>
    <x v="890"/>
    <x v="1"/>
    <x v="1"/>
    <s v="Agent"/>
    <x v="5"/>
    <n v="2"/>
    <n v="3036000"/>
    <n v="9.5000000000000001E-2"/>
    <n v="5495000"/>
    <x v="8"/>
    <x v="1"/>
  </r>
  <r>
    <x v="890"/>
    <x v="2"/>
    <x v="1"/>
    <s v="Website"/>
    <x v="3"/>
    <n v="3"/>
    <n v="2710000"/>
    <n v="0.16700000000000001"/>
    <n v="6772000"/>
    <x v="5"/>
    <x v="0"/>
  </r>
  <r>
    <x v="890"/>
    <x v="1"/>
    <x v="2"/>
    <s v="Agent"/>
    <x v="8"/>
    <n v="1"/>
    <n v="3895000"/>
    <n v="0.124"/>
    <n v="3412000"/>
    <x v="5"/>
    <x v="1"/>
  </r>
  <r>
    <x v="890"/>
    <x v="1"/>
    <x v="3"/>
    <s v="Website"/>
    <x v="4"/>
    <n v="1"/>
    <n v="1339000"/>
    <n v="0.14834876400948799"/>
    <n v="1140000"/>
    <x v="3"/>
    <x v="1"/>
  </r>
  <r>
    <x v="890"/>
    <x v="0"/>
    <x v="0"/>
    <s v="Website"/>
    <x v="9"/>
    <n v="2"/>
    <n v="2627000"/>
    <n v="0.13160658937803699"/>
    <n v="4563000"/>
    <x v="12"/>
    <x v="0"/>
  </r>
  <r>
    <x v="891"/>
    <x v="2"/>
    <x v="3"/>
    <s v="Website"/>
    <x v="3"/>
    <n v="2"/>
    <n v="2520000"/>
    <n v="8.0740837499363102E-2"/>
    <n v="4633000"/>
    <x v="1"/>
    <x v="0"/>
  </r>
  <r>
    <x v="891"/>
    <x v="3"/>
    <x v="2"/>
    <s v="Website"/>
    <x v="8"/>
    <n v="2"/>
    <n v="4986000"/>
    <n v="7.1999999999999995E-2"/>
    <n v="9254000"/>
    <x v="6"/>
    <x v="0"/>
  </r>
  <r>
    <x v="891"/>
    <x v="2"/>
    <x v="0"/>
    <s v="Website"/>
    <x v="5"/>
    <n v="3"/>
    <n v="2930000"/>
    <n v="9.5000000000000001E-2"/>
    <n v="7955000"/>
    <x v="10"/>
    <x v="1"/>
  </r>
  <r>
    <x v="891"/>
    <x v="0"/>
    <x v="5"/>
    <s v="Website"/>
    <x v="9"/>
    <n v="1"/>
    <n v="3523000"/>
    <n v="8.5000000000000006E-2"/>
    <n v="3224000"/>
    <x v="13"/>
    <x v="0"/>
  </r>
  <r>
    <x v="891"/>
    <x v="3"/>
    <x v="0"/>
    <s v="Mobile App"/>
    <x v="5"/>
    <n v="1"/>
    <n v="2656000"/>
    <n v="4.1000000000000002E-2"/>
    <n v="2547000"/>
    <x v="9"/>
    <x v="1"/>
  </r>
  <r>
    <x v="891"/>
    <x v="1"/>
    <x v="2"/>
    <s v="Mobile App"/>
    <x v="5"/>
    <n v="1"/>
    <n v="3275000"/>
    <n v="6.1708742773199599E-2"/>
    <n v="3073000"/>
    <x v="3"/>
    <x v="1"/>
  </r>
  <r>
    <x v="892"/>
    <x v="2"/>
    <x v="5"/>
    <s v="Website"/>
    <x v="1"/>
    <n v="2"/>
    <n v="4385000"/>
    <n v="0.15914086437191999"/>
    <n v="7374000"/>
    <x v="13"/>
    <x v="1"/>
  </r>
  <r>
    <x v="892"/>
    <x v="0"/>
    <x v="2"/>
    <s v="Website"/>
    <x v="7"/>
    <n v="2"/>
    <n v="3550000"/>
    <n v="0.117407127406292"/>
    <n v="6266000"/>
    <x v="13"/>
    <x v="0"/>
  </r>
  <r>
    <x v="892"/>
    <x v="0"/>
    <x v="2"/>
    <s v="Mobile App"/>
    <x v="5"/>
    <n v="1"/>
    <n v="3904000"/>
    <n v="0.10826511975427899"/>
    <n v="3481000"/>
    <x v="13"/>
    <x v="1"/>
  </r>
  <r>
    <x v="892"/>
    <x v="0"/>
    <x v="0"/>
    <s v="Website"/>
    <x v="9"/>
    <n v="1"/>
    <n v="2151000"/>
    <n v="5.1999999999999998E-2"/>
    <n v="2039000"/>
    <x v="13"/>
    <x v="0"/>
  </r>
  <r>
    <x v="892"/>
    <x v="1"/>
    <x v="1"/>
    <s v="Website"/>
    <x v="2"/>
    <n v="1"/>
    <n v="3341000"/>
    <n v="3.2045540836218897E-2"/>
    <n v="3234000"/>
    <x v="12"/>
    <x v="0"/>
  </r>
  <r>
    <x v="892"/>
    <x v="0"/>
    <x v="0"/>
    <s v="Agent"/>
    <x v="5"/>
    <n v="1"/>
    <n v="2081000"/>
    <n v="0.23100000000000001"/>
    <n v="1600000"/>
    <x v="10"/>
    <x v="1"/>
  </r>
  <r>
    <x v="893"/>
    <x v="3"/>
    <x v="1"/>
    <s v="Mobile App"/>
    <x v="4"/>
    <n v="5"/>
    <n v="2121000"/>
    <n v="6.5000000000000002E-2"/>
    <n v="9916000"/>
    <x v="15"/>
    <x v="0"/>
  </r>
  <r>
    <x v="893"/>
    <x v="1"/>
    <x v="2"/>
    <s v="Agent"/>
    <x v="1"/>
    <n v="2"/>
    <n v="2745000"/>
    <n v="0.75"/>
    <n v="4804000"/>
    <x v="14"/>
    <x v="0"/>
  </r>
  <r>
    <x v="893"/>
    <x v="3"/>
    <x v="3"/>
    <s v="Website"/>
    <x v="5"/>
    <n v="1"/>
    <n v="1684000"/>
    <n v="0.152"/>
    <n v="1428000"/>
    <x v="5"/>
    <x v="1"/>
  </r>
  <r>
    <x v="893"/>
    <x v="0"/>
    <x v="2"/>
    <s v="Agent"/>
    <x v="8"/>
    <n v="3"/>
    <n v="4114000"/>
    <n v="0.13600000000000001"/>
    <n v="10663000"/>
    <x v="0"/>
    <x v="0"/>
  </r>
  <r>
    <x v="893"/>
    <x v="0"/>
    <x v="2"/>
    <s v="Website"/>
    <x v="2"/>
    <n v="2"/>
    <n v="5068000"/>
    <n v="0.16500000000000001"/>
    <n v="8464000"/>
    <x v="14"/>
    <x v="0"/>
  </r>
  <r>
    <x v="893"/>
    <x v="0"/>
    <x v="2"/>
    <s v="Call Center"/>
    <x v="4"/>
    <n v="2"/>
    <n v="4068000"/>
    <n v="7.1775082290296693E-2"/>
    <n v="7552000"/>
    <x v="18"/>
    <x v="1"/>
  </r>
  <r>
    <x v="894"/>
    <x v="3"/>
    <x v="4"/>
    <s v="Call Center"/>
    <x v="9"/>
    <n v="4"/>
    <n v="2452000"/>
    <n v="5.9821747350467198E-2"/>
    <n v="9221000"/>
    <x v="1"/>
    <x v="1"/>
  </r>
  <r>
    <x v="894"/>
    <x v="0"/>
    <x v="4"/>
    <s v="Website"/>
    <x v="1"/>
    <n v="3"/>
    <n v="2310000"/>
    <n v="0.105481381812485"/>
    <n v="6199000"/>
    <x v="7"/>
    <x v="1"/>
  </r>
  <r>
    <x v="894"/>
    <x v="3"/>
    <x v="0"/>
    <s v="Agent"/>
    <x v="9"/>
    <n v="2"/>
    <n v="2665000"/>
    <n v="0.107201597296611"/>
    <n v="4759000"/>
    <x v="17"/>
    <x v="1"/>
  </r>
  <r>
    <x v="894"/>
    <x v="1"/>
    <x v="2"/>
    <s v="Agent"/>
    <x v="3"/>
    <n v="2"/>
    <n v="2653000"/>
    <n v="0.10199999999999999"/>
    <n v="4765000"/>
    <x v="17"/>
    <x v="1"/>
  </r>
  <r>
    <x v="895"/>
    <x v="0"/>
    <x v="2"/>
    <s v="Website"/>
    <x v="3"/>
    <n v="2"/>
    <n v="4124000"/>
    <n v="7.6277426897781095E-2"/>
    <n v="7619000"/>
    <x v="1"/>
    <x v="1"/>
  </r>
  <r>
    <x v="895"/>
    <x v="0"/>
    <x v="1"/>
    <s v="Website"/>
    <x v="8"/>
    <n v="3"/>
    <n v="3472000"/>
    <n v="2.5999999999999999E-2"/>
    <n v="10145000"/>
    <x v="9"/>
    <x v="1"/>
  </r>
  <r>
    <x v="895"/>
    <x v="0"/>
    <x v="5"/>
    <s v="Website"/>
    <x v="8"/>
    <n v="2"/>
    <n v="5344000"/>
    <n v="0.13100000000000001"/>
    <n v="9288000"/>
    <x v="0"/>
    <x v="0"/>
  </r>
  <r>
    <x v="895"/>
    <x v="1"/>
    <x v="0"/>
    <s v="Mobile App"/>
    <x v="3"/>
    <n v="1"/>
    <n v="2653000"/>
    <n v="8.4000000000000005E-2"/>
    <n v="2430000"/>
    <x v="11"/>
    <x v="1"/>
  </r>
  <r>
    <x v="896"/>
    <x v="1"/>
    <x v="2"/>
    <s v="Website"/>
    <x v="5"/>
    <n v="1"/>
    <n v="4348000"/>
    <n v="0.14000000000000001"/>
    <n v="3739000"/>
    <x v="5"/>
    <x v="1"/>
  </r>
  <r>
    <x v="896"/>
    <x v="2"/>
    <x v="2"/>
    <s v="Website"/>
    <x v="4"/>
    <n v="1"/>
    <n v="4271000"/>
    <n v="0.13595663471644301"/>
    <n v="3690000"/>
    <x v="17"/>
    <x v="1"/>
  </r>
  <r>
    <x v="896"/>
    <x v="1"/>
    <x v="1"/>
    <s v="Website"/>
    <x v="1"/>
    <n v="1"/>
    <n v="3098000"/>
    <n v="3.5999999999999997E-2"/>
    <n v="2985000"/>
    <x v="15"/>
    <x v="1"/>
  </r>
  <r>
    <x v="896"/>
    <x v="3"/>
    <x v="1"/>
    <s v="Website"/>
    <x v="0"/>
    <n v="3"/>
    <n v="3799000"/>
    <n v="6.0999999999999999E-2"/>
    <n v="10702000"/>
    <x v="17"/>
    <x v="1"/>
  </r>
  <r>
    <x v="896"/>
    <x v="3"/>
    <x v="2"/>
    <s v="Agent"/>
    <x v="7"/>
    <n v="1"/>
    <n v="3403000"/>
    <n v="7.1358027688717393E-2"/>
    <n v="3160000"/>
    <x v="0"/>
    <x v="0"/>
  </r>
  <r>
    <x v="897"/>
    <x v="2"/>
    <x v="2"/>
    <s v="Agent"/>
    <x v="0"/>
    <n v="1"/>
    <n v="4344000"/>
    <n v="4.0819570762734098E-2"/>
    <n v="4167000"/>
    <x v="7"/>
    <x v="0"/>
  </r>
  <r>
    <x v="897"/>
    <x v="3"/>
    <x v="2"/>
    <s v="Website"/>
    <x v="6"/>
    <n v="1"/>
    <n v="2194000"/>
    <n v="7.2999999999999995E-2"/>
    <n v="2034000"/>
    <x v="1"/>
    <x v="1"/>
  </r>
  <r>
    <x v="897"/>
    <x v="1"/>
    <x v="0"/>
    <s v="Website"/>
    <x v="7"/>
    <n v="2"/>
    <n v="2271000"/>
    <n v="8.0440237883976695E-2"/>
    <n v="4177000"/>
    <x v="10"/>
    <x v="1"/>
  </r>
  <r>
    <x v="898"/>
    <x v="2"/>
    <x v="0"/>
    <s v="Agent"/>
    <x v="9"/>
    <n v="1"/>
    <n v="2653000"/>
    <n v="0.152369396960714"/>
    <n v="2249000"/>
    <x v="9"/>
    <x v="1"/>
  </r>
  <r>
    <x v="898"/>
    <x v="0"/>
    <x v="2"/>
    <s v="Website"/>
    <x v="2"/>
    <n v="1"/>
    <n v="3567000"/>
    <n v="0.13400000000000001"/>
    <n v="3089000"/>
    <x v="7"/>
    <x v="1"/>
  </r>
  <r>
    <x v="898"/>
    <x v="0"/>
    <x v="5"/>
    <s v="Website"/>
    <x v="7"/>
    <n v="1"/>
    <n v="3283000"/>
    <n v="0.16600000000000001"/>
    <n v="2738000"/>
    <x v="0"/>
    <x v="1"/>
  </r>
  <r>
    <x v="898"/>
    <x v="3"/>
    <x v="5"/>
    <s v="Mobile App"/>
    <x v="4"/>
    <n v="2"/>
    <n v="4691000"/>
    <n v="0"/>
    <n v="9382000"/>
    <x v="4"/>
    <x v="0"/>
  </r>
  <r>
    <x v="898"/>
    <x v="1"/>
    <x v="5"/>
    <s v="Agent"/>
    <x v="0"/>
    <n v="2"/>
    <n v="6527000"/>
    <n v="0.17399999999999999"/>
    <n v="10783000"/>
    <x v="1"/>
    <x v="0"/>
  </r>
  <r>
    <x v="898"/>
    <x v="1"/>
    <x v="0"/>
    <s v="Agent"/>
    <x v="1"/>
    <n v="3"/>
    <n v="2473000"/>
    <n v="9.0940284826340298E-2"/>
    <n v="6744000"/>
    <x v="8"/>
    <x v="1"/>
  </r>
  <r>
    <x v="899"/>
    <x v="3"/>
    <x v="4"/>
    <s v="Website"/>
    <x v="4"/>
    <n v="1"/>
    <n v="2130000"/>
    <n v="8.6999999999999994E-2"/>
    <n v="1945000"/>
    <x v="5"/>
    <x v="1"/>
  </r>
  <r>
    <x v="899"/>
    <x v="1"/>
    <x v="2"/>
    <s v="Website"/>
    <x v="3"/>
    <n v="2"/>
    <n v="4134000"/>
    <n v="6.7690556429670007E-2"/>
    <n v="7708000"/>
    <x v="2"/>
    <x v="1"/>
  </r>
  <r>
    <x v="899"/>
    <x v="3"/>
    <x v="1"/>
    <s v="Agent"/>
    <x v="3"/>
    <n v="2"/>
    <n v="2612000"/>
    <n v="0.12722117430159399"/>
    <n v="4559000"/>
    <x v="1"/>
    <x v="0"/>
  </r>
  <r>
    <x v="899"/>
    <x v="1"/>
    <x v="1"/>
    <s v="Call Center"/>
    <x v="8"/>
    <n v="3"/>
    <n v="3198000"/>
    <n v="4.7504029258906497E-2"/>
    <n v="9138000"/>
    <x v="13"/>
    <x v="1"/>
  </r>
  <r>
    <x v="899"/>
    <x v="1"/>
    <x v="2"/>
    <s v="Agent"/>
    <x v="0"/>
    <n v="1"/>
    <n v="4451000"/>
    <n v="6.8000000000000005E-2"/>
    <n v="4148000"/>
    <x v="0"/>
    <x v="1"/>
  </r>
  <r>
    <x v="899"/>
    <x v="1"/>
    <x v="2"/>
    <s v="Mobile App"/>
    <x v="9"/>
    <n v="3"/>
    <n v="3691000"/>
    <n v="0.13957486321733301"/>
    <n v="9527000"/>
    <x v="12"/>
    <x v="1"/>
  </r>
  <r>
    <x v="900"/>
    <x v="1"/>
    <x v="2"/>
    <s v="Mobile App"/>
    <x v="3"/>
    <n v="1"/>
    <n v="3952000"/>
    <n v="6.5654758545962005E-2"/>
    <n v="3693000"/>
    <x v="6"/>
    <x v="0"/>
  </r>
  <r>
    <x v="900"/>
    <x v="3"/>
    <x v="1"/>
    <s v="Mobile App"/>
    <x v="0"/>
    <n v="2"/>
    <n v="3217000"/>
    <n v="7.3491214905956795E-2"/>
    <n v="5961000"/>
    <x v="13"/>
    <x v="1"/>
  </r>
  <r>
    <x v="900"/>
    <x v="0"/>
    <x v="0"/>
    <s v="Website"/>
    <x v="9"/>
    <n v="1"/>
    <n v="3567000"/>
    <n v="0.123"/>
    <n v="3128000"/>
    <x v="0"/>
    <x v="1"/>
  </r>
  <r>
    <x v="901"/>
    <x v="1"/>
    <x v="2"/>
    <s v="Website"/>
    <x v="5"/>
    <n v="1"/>
    <n v="4040000"/>
    <n v="9.5625982821752595E-2"/>
    <n v="3654000"/>
    <x v="10"/>
    <x v="1"/>
  </r>
  <r>
    <x v="901"/>
    <x v="1"/>
    <x v="5"/>
    <s v="Website"/>
    <x v="9"/>
    <n v="3"/>
    <n v="5956000"/>
    <n v="0.15051369298439801"/>
    <n v="15179000"/>
    <x v="12"/>
    <x v="0"/>
  </r>
  <r>
    <x v="901"/>
    <x v="3"/>
    <x v="5"/>
    <s v="Website"/>
    <x v="5"/>
    <n v="1"/>
    <n v="4307000"/>
    <n v="2.8000000000000001E-2"/>
    <n v="4186000"/>
    <x v="13"/>
    <x v="1"/>
  </r>
  <r>
    <x v="901"/>
    <x v="2"/>
    <x v="4"/>
    <s v="Website"/>
    <x v="7"/>
    <n v="4"/>
    <n v="2417000"/>
    <n v="7.4999999999999997E-2"/>
    <n v="8943000"/>
    <x v="18"/>
    <x v="1"/>
  </r>
  <r>
    <x v="902"/>
    <x v="0"/>
    <x v="3"/>
    <s v="Website"/>
    <x v="8"/>
    <n v="1"/>
    <n v="2410000"/>
    <n v="0.17569213121618199"/>
    <n v="1987000"/>
    <x v="8"/>
    <x v="1"/>
  </r>
  <r>
    <x v="902"/>
    <x v="2"/>
    <x v="5"/>
    <s v="Website"/>
    <x v="4"/>
    <n v="2"/>
    <n v="4411000"/>
    <n v="6.6123595463380994E-2"/>
    <n v="8239000"/>
    <x v="4"/>
    <x v="1"/>
  </r>
  <r>
    <x v="902"/>
    <x v="0"/>
    <x v="5"/>
    <s v="Website"/>
    <x v="7"/>
    <n v="1"/>
    <n v="4644000"/>
    <n v="0.163438118470314"/>
    <n v="3885000"/>
    <x v="0"/>
    <x v="0"/>
  </r>
  <r>
    <x v="902"/>
    <x v="2"/>
    <x v="5"/>
    <s v="Website"/>
    <x v="6"/>
    <n v="1"/>
    <n v="4610000"/>
    <n v="6.98754302435729E-2"/>
    <n v="4288000"/>
    <x v="0"/>
    <x v="1"/>
  </r>
  <r>
    <x v="902"/>
    <x v="0"/>
    <x v="0"/>
    <s v="Website"/>
    <x v="6"/>
    <n v="3"/>
    <n v="2891000"/>
    <n v="0.28999999999999998"/>
    <n v="6158000"/>
    <x v="5"/>
    <x v="0"/>
  </r>
  <r>
    <x v="903"/>
    <x v="1"/>
    <x v="4"/>
    <s v="Mobile App"/>
    <x v="4"/>
    <n v="3"/>
    <n v="2220000"/>
    <n v="9.9000000000000005E-2"/>
    <n v="6001000"/>
    <x v="3"/>
    <x v="0"/>
  </r>
  <r>
    <x v="903"/>
    <x v="1"/>
    <x v="2"/>
    <s v="Mobile App"/>
    <x v="2"/>
    <n v="2"/>
    <n v="3219000"/>
    <n v="7.2999999999999995E-2"/>
    <n v="5968000"/>
    <x v="15"/>
    <x v="0"/>
  </r>
  <r>
    <x v="903"/>
    <x v="3"/>
    <x v="2"/>
    <s v="Mobile App"/>
    <x v="6"/>
    <n v="1"/>
    <n v="4186000"/>
    <n v="0.17799999999999999"/>
    <n v="3441000"/>
    <x v="1"/>
    <x v="1"/>
  </r>
  <r>
    <x v="903"/>
    <x v="0"/>
    <x v="5"/>
    <s v="Website"/>
    <x v="9"/>
    <n v="1"/>
    <n v="6729000"/>
    <n v="0.10100000000000001"/>
    <n v="6049000"/>
    <x v="0"/>
    <x v="1"/>
  </r>
  <r>
    <x v="903"/>
    <x v="3"/>
    <x v="5"/>
    <s v="Mobile App"/>
    <x v="4"/>
    <n v="2"/>
    <n v="4543000"/>
    <n v="0.107553474862407"/>
    <n v="8109000"/>
    <x v="0"/>
    <x v="1"/>
  </r>
  <r>
    <x v="904"/>
    <x v="3"/>
    <x v="0"/>
    <s v="Website"/>
    <x v="0"/>
    <n v="2"/>
    <n v="2711000"/>
    <n v="0.124413618089878"/>
    <n v="4747000"/>
    <x v="0"/>
    <x v="0"/>
  </r>
  <r>
    <x v="905"/>
    <x v="0"/>
    <x v="2"/>
    <s v="Agent"/>
    <x v="8"/>
    <n v="2"/>
    <n v="3829000"/>
    <n v="9.1179137291347398E-2"/>
    <n v="6960000"/>
    <x v="15"/>
    <x v="0"/>
  </r>
  <r>
    <x v="905"/>
    <x v="1"/>
    <x v="1"/>
    <s v="Website"/>
    <x v="0"/>
    <n v="2"/>
    <n v="3457000"/>
    <n v="0.12541235326514799"/>
    <n v="6047000"/>
    <x v="18"/>
    <x v="0"/>
  </r>
  <r>
    <x v="905"/>
    <x v="3"/>
    <x v="4"/>
    <s v="Website"/>
    <x v="3"/>
    <n v="2"/>
    <n v="1915000"/>
    <n v="0.125091003246807"/>
    <n v="3351000"/>
    <x v="1"/>
    <x v="0"/>
  </r>
  <r>
    <x v="905"/>
    <x v="1"/>
    <x v="2"/>
    <s v="Mobile App"/>
    <x v="9"/>
    <n v="1"/>
    <n v="4172000"/>
    <n v="7.6365825572266496E-2"/>
    <n v="3853000"/>
    <x v="0"/>
    <x v="0"/>
  </r>
  <r>
    <x v="905"/>
    <x v="1"/>
    <x v="0"/>
    <s v="Mobile App"/>
    <x v="9"/>
    <n v="1"/>
    <n v="2586000"/>
    <n v="7.99124730936039E-2"/>
    <n v="2379000"/>
    <x v="15"/>
    <x v="1"/>
  </r>
  <r>
    <x v="905"/>
    <x v="0"/>
    <x v="0"/>
    <s v="Mobile App"/>
    <x v="2"/>
    <n v="1"/>
    <n v="2683000"/>
    <n v="0.126"/>
    <n v="2345000"/>
    <x v="4"/>
    <x v="1"/>
  </r>
  <r>
    <x v="906"/>
    <x v="1"/>
    <x v="0"/>
    <s v="Mobile App"/>
    <x v="6"/>
    <n v="4"/>
    <n v="2389000"/>
    <n v="4.7276548043990299E-2"/>
    <n v="9104000"/>
    <x v="2"/>
    <x v="1"/>
  </r>
  <r>
    <x v="906"/>
    <x v="3"/>
    <x v="5"/>
    <s v="Website"/>
    <x v="9"/>
    <n v="1"/>
    <n v="5476000"/>
    <n v="7.1999999999999995E-2"/>
    <n v="5082000"/>
    <x v="7"/>
    <x v="0"/>
  </r>
  <r>
    <x v="906"/>
    <x v="0"/>
    <x v="3"/>
    <s v="Website"/>
    <x v="4"/>
    <n v="2"/>
    <n v="1484000"/>
    <n v="0.10100000000000001"/>
    <n v="2668000"/>
    <x v="4"/>
    <x v="1"/>
  </r>
  <r>
    <x v="906"/>
    <x v="3"/>
    <x v="0"/>
    <s v="Website"/>
    <x v="7"/>
    <n v="1"/>
    <n v="2326000"/>
    <n v="6.5000000000000002E-2"/>
    <n v="2175000"/>
    <x v="15"/>
    <x v="1"/>
  </r>
  <r>
    <x v="906"/>
    <x v="0"/>
    <x v="5"/>
    <s v="Website"/>
    <x v="7"/>
    <n v="1"/>
    <n v="4708000"/>
    <n v="0.102503894368052"/>
    <n v="4225000"/>
    <x v="13"/>
    <x v="1"/>
  </r>
  <r>
    <x v="906"/>
    <x v="1"/>
    <x v="0"/>
    <s v="Mobile App"/>
    <x v="6"/>
    <n v="3"/>
    <n v="1723000"/>
    <n v="0.128"/>
    <n v="4507000"/>
    <x v="13"/>
    <x v="1"/>
  </r>
  <r>
    <x v="906"/>
    <x v="3"/>
    <x v="1"/>
    <s v="Website"/>
    <x v="1"/>
    <n v="1"/>
    <n v="2671000"/>
    <n v="5.4182037188185803E-2"/>
    <n v="2526000"/>
    <x v="1"/>
    <x v="0"/>
  </r>
  <r>
    <x v="906"/>
    <x v="3"/>
    <x v="1"/>
    <s v="Mobile App"/>
    <x v="0"/>
    <n v="2"/>
    <n v="2232000"/>
    <n v="0.09"/>
    <n v="4062000"/>
    <x v="10"/>
    <x v="0"/>
  </r>
  <r>
    <x v="907"/>
    <x v="2"/>
    <x v="2"/>
    <s v="Mobile App"/>
    <x v="2"/>
    <n v="1"/>
    <n v="4353000"/>
    <n v="9.8657856898907104E-2"/>
    <n v="3924000"/>
    <x v="1"/>
    <x v="0"/>
  </r>
  <r>
    <x v="907"/>
    <x v="3"/>
    <x v="3"/>
    <s v="Website"/>
    <x v="1"/>
    <n v="1"/>
    <n v="1532000"/>
    <n v="6.3E-2"/>
    <n v="1435000"/>
    <x v="4"/>
    <x v="0"/>
  </r>
  <r>
    <x v="907"/>
    <x v="3"/>
    <x v="4"/>
    <s v="Mobile App"/>
    <x v="8"/>
    <n v="2"/>
    <n v="2416000"/>
    <n v="0.122152701753106"/>
    <n v="4242000"/>
    <x v="13"/>
    <x v="0"/>
  </r>
  <r>
    <x v="907"/>
    <x v="0"/>
    <x v="5"/>
    <s v="Website"/>
    <x v="0"/>
    <n v="1"/>
    <n v="3863000"/>
    <n v="0.125"/>
    <n v="3380000"/>
    <x v="13"/>
    <x v="0"/>
  </r>
  <r>
    <x v="908"/>
    <x v="3"/>
    <x v="1"/>
    <s v="Website"/>
    <x v="4"/>
    <n v="3"/>
    <n v="2681000"/>
    <n v="5.1133603505506303E-2"/>
    <n v="7632000"/>
    <x v="4"/>
    <x v="1"/>
  </r>
  <r>
    <x v="908"/>
    <x v="0"/>
    <x v="2"/>
    <s v="Agent"/>
    <x v="5"/>
    <n v="1"/>
    <n v="3942000"/>
    <n v="8.3696199043204106E-2"/>
    <n v="3612000"/>
    <x v="0"/>
    <x v="0"/>
  </r>
  <r>
    <x v="908"/>
    <x v="3"/>
    <x v="4"/>
    <s v="Website"/>
    <x v="5"/>
    <n v="1"/>
    <n v="2494000"/>
    <n v="0.185"/>
    <n v="2033000"/>
    <x v="14"/>
    <x v="1"/>
  </r>
  <r>
    <x v="908"/>
    <x v="3"/>
    <x v="1"/>
    <s v="Agent"/>
    <x v="1"/>
    <n v="4"/>
    <n v="2926000"/>
    <n v="1.79480483413147E-2"/>
    <n v="11494000"/>
    <x v="2"/>
    <x v="1"/>
  </r>
  <r>
    <x v="909"/>
    <x v="3"/>
    <x v="0"/>
    <s v="Mobile App"/>
    <x v="6"/>
    <n v="1"/>
    <n v="2351000"/>
    <n v="0.108771359379164"/>
    <n v="2095000"/>
    <x v="14"/>
    <x v="1"/>
  </r>
  <r>
    <x v="909"/>
    <x v="0"/>
    <x v="4"/>
    <s v="Mobile App"/>
    <x v="2"/>
    <n v="1"/>
    <n v="2661000"/>
    <n v="0.13100000000000001"/>
    <n v="2312000"/>
    <x v="12"/>
    <x v="1"/>
  </r>
  <r>
    <x v="909"/>
    <x v="0"/>
    <x v="3"/>
    <s v="Website"/>
    <x v="1"/>
    <n v="3"/>
    <n v="2387000"/>
    <n v="7.4873774363981599E-2"/>
    <n v="6625000"/>
    <x v="5"/>
    <x v="1"/>
  </r>
  <r>
    <x v="910"/>
    <x v="1"/>
    <x v="1"/>
    <s v="Website"/>
    <x v="4"/>
    <n v="3"/>
    <n v="2034000"/>
    <n v="3.4000000000000002E-2"/>
    <n v="5895000"/>
    <x v="13"/>
    <x v="1"/>
  </r>
  <r>
    <x v="910"/>
    <x v="0"/>
    <x v="1"/>
    <s v="Website"/>
    <x v="0"/>
    <n v="4"/>
    <n v="4233000"/>
    <n v="0.155"/>
    <n v="14308000"/>
    <x v="5"/>
    <x v="0"/>
  </r>
  <r>
    <x v="910"/>
    <x v="3"/>
    <x v="0"/>
    <s v="Website"/>
    <x v="1"/>
    <n v="1"/>
    <n v="2533000"/>
    <n v="0.101309154847689"/>
    <n v="2276000"/>
    <x v="1"/>
    <x v="0"/>
  </r>
  <r>
    <x v="910"/>
    <x v="2"/>
    <x v="5"/>
    <s v="Website"/>
    <x v="5"/>
    <n v="2"/>
    <n v="5571000"/>
    <n v="0.163796593356243"/>
    <n v="9317000"/>
    <x v="2"/>
    <x v="1"/>
  </r>
  <r>
    <x v="910"/>
    <x v="0"/>
    <x v="0"/>
    <s v="Agent"/>
    <x v="9"/>
    <n v="1"/>
    <n v="2595000"/>
    <n v="6.0743867397584098E-2"/>
    <n v="2437000"/>
    <x v="13"/>
    <x v="0"/>
  </r>
  <r>
    <x v="911"/>
    <x v="1"/>
    <x v="4"/>
    <s v="Mobile App"/>
    <x v="7"/>
    <n v="2"/>
    <n v="3107000"/>
    <n v="7.6999999999999999E-2"/>
    <n v="5736000"/>
    <x v="0"/>
    <x v="0"/>
  </r>
  <r>
    <x v="911"/>
    <x v="2"/>
    <x v="1"/>
    <s v="Website"/>
    <x v="2"/>
    <n v="2"/>
    <n v="3530000"/>
    <n v="0.10032719080986"/>
    <n v="6352000"/>
    <x v="2"/>
    <x v="0"/>
  </r>
  <r>
    <x v="911"/>
    <x v="1"/>
    <x v="2"/>
    <s v="Website"/>
    <x v="0"/>
    <n v="1"/>
    <n v="4423000"/>
    <n v="0.13"/>
    <n v="3847000"/>
    <x v="0"/>
    <x v="1"/>
  </r>
  <r>
    <x v="911"/>
    <x v="1"/>
    <x v="2"/>
    <s v="Website"/>
    <x v="2"/>
    <n v="4"/>
    <n v="4230000"/>
    <n v="0.123137384389795"/>
    <n v="14837000"/>
    <x v="2"/>
    <x v="1"/>
  </r>
  <r>
    <x v="911"/>
    <x v="1"/>
    <x v="3"/>
    <s v="Agent"/>
    <x v="7"/>
    <n v="1"/>
    <n v="2050000"/>
    <n v="0.15341608016642"/>
    <n v="1735000"/>
    <x v="15"/>
    <x v="1"/>
  </r>
  <r>
    <x v="911"/>
    <x v="3"/>
    <x v="1"/>
    <s v="Mobile App"/>
    <x v="2"/>
    <n v="4"/>
    <n v="2625000"/>
    <n v="5.0999999999999997E-2"/>
    <n v="9964000"/>
    <x v="17"/>
    <x v="0"/>
  </r>
  <r>
    <x v="912"/>
    <x v="3"/>
    <x v="2"/>
    <s v="Website"/>
    <x v="7"/>
    <n v="3"/>
    <n v="4930000"/>
    <n v="4.5999999999999999E-2"/>
    <n v="14110000"/>
    <x v="18"/>
    <x v="0"/>
  </r>
  <r>
    <x v="912"/>
    <x v="1"/>
    <x v="2"/>
    <s v="Website"/>
    <x v="0"/>
    <n v="1"/>
    <n v="4211000"/>
    <n v="0.11208548719305"/>
    <n v="3739000"/>
    <x v="0"/>
    <x v="0"/>
  </r>
  <r>
    <x v="912"/>
    <x v="1"/>
    <x v="0"/>
    <s v="Website"/>
    <x v="2"/>
    <n v="2"/>
    <n v="3811000"/>
    <n v="0.14799999999999999"/>
    <n v="6494000"/>
    <x v="15"/>
    <x v="1"/>
  </r>
  <r>
    <x v="912"/>
    <x v="1"/>
    <x v="5"/>
    <s v="Website"/>
    <x v="7"/>
    <n v="2"/>
    <n v="3689000"/>
    <n v="0.13700000000000001"/>
    <n v="6367000"/>
    <x v="16"/>
    <x v="1"/>
  </r>
  <r>
    <x v="913"/>
    <x v="1"/>
    <x v="2"/>
    <s v="Agent"/>
    <x v="2"/>
    <n v="4"/>
    <n v="4207000"/>
    <n v="0.108386757174846"/>
    <n v="15004000"/>
    <x v="14"/>
    <x v="1"/>
  </r>
  <r>
    <x v="913"/>
    <x v="3"/>
    <x v="4"/>
    <s v="Mobile App"/>
    <x v="0"/>
    <n v="1"/>
    <n v="2462000"/>
    <n v="0.14807959328689199"/>
    <n v="2097000"/>
    <x v="14"/>
    <x v="1"/>
  </r>
  <r>
    <x v="913"/>
    <x v="2"/>
    <x v="2"/>
    <s v="Website"/>
    <x v="4"/>
    <n v="3"/>
    <n v="3900000"/>
    <n v="4.0913754906840398E-2"/>
    <n v="11221000"/>
    <x v="12"/>
    <x v="1"/>
  </r>
  <r>
    <x v="913"/>
    <x v="1"/>
    <x v="4"/>
    <s v="Website"/>
    <x v="2"/>
    <n v="3"/>
    <n v="2790000"/>
    <n v="0.1"/>
    <n v="7533000"/>
    <x v="6"/>
    <x v="0"/>
  </r>
  <r>
    <x v="913"/>
    <x v="3"/>
    <x v="2"/>
    <s v="Mobile App"/>
    <x v="6"/>
    <n v="1"/>
    <n v="3732000"/>
    <n v="0.10003720741246"/>
    <n v="3359000"/>
    <x v="1"/>
    <x v="0"/>
  </r>
  <r>
    <x v="913"/>
    <x v="2"/>
    <x v="0"/>
    <s v="Website"/>
    <x v="9"/>
    <n v="1"/>
    <n v="2679000"/>
    <n v="0.111145612672544"/>
    <n v="2381000"/>
    <x v="5"/>
    <x v="1"/>
  </r>
  <r>
    <x v="914"/>
    <x v="1"/>
    <x v="0"/>
    <s v="Website"/>
    <x v="9"/>
    <n v="1"/>
    <n v="2671000"/>
    <n v="0.13800000000000001"/>
    <n v="2302000"/>
    <x v="12"/>
    <x v="1"/>
  </r>
  <r>
    <x v="914"/>
    <x v="1"/>
    <x v="3"/>
    <s v="Agent"/>
    <x v="3"/>
    <n v="3"/>
    <n v="2448000"/>
    <n v="0.11177478035421499"/>
    <n v="6523000"/>
    <x v="17"/>
    <x v="0"/>
  </r>
  <r>
    <x v="914"/>
    <x v="1"/>
    <x v="5"/>
    <s v="Agent"/>
    <x v="8"/>
    <n v="1"/>
    <n v="4767000"/>
    <n v="0.12149433571915701"/>
    <n v="4188000"/>
    <x v="13"/>
    <x v="0"/>
  </r>
  <r>
    <x v="915"/>
    <x v="2"/>
    <x v="0"/>
    <s v="Website"/>
    <x v="7"/>
    <n v="1"/>
    <n v="1939000"/>
    <n v="0"/>
    <n v="1939000"/>
    <x v="9"/>
    <x v="1"/>
  </r>
  <r>
    <x v="915"/>
    <x v="1"/>
    <x v="4"/>
    <s v="Website"/>
    <x v="7"/>
    <n v="1"/>
    <n v="3088000"/>
    <n v="0.104208895012537"/>
    <n v="2766000"/>
    <x v="6"/>
    <x v="1"/>
  </r>
  <r>
    <x v="915"/>
    <x v="0"/>
    <x v="3"/>
    <s v="Agent"/>
    <x v="7"/>
    <n v="4"/>
    <n v="1946000"/>
    <n v="0.18877695486281401"/>
    <n v="6315000"/>
    <x v="2"/>
    <x v="0"/>
  </r>
  <r>
    <x v="915"/>
    <x v="0"/>
    <x v="5"/>
    <s v="Website"/>
    <x v="5"/>
    <n v="2"/>
    <n v="4726000"/>
    <n v="0.121"/>
    <n v="8308000"/>
    <x v="13"/>
    <x v="1"/>
  </r>
  <r>
    <x v="916"/>
    <x v="2"/>
    <x v="4"/>
    <s v="Website"/>
    <x v="0"/>
    <n v="2"/>
    <n v="2611000"/>
    <n v="0.13363262569067"/>
    <n v="4524000"/>
    <x v="2"/>
    <x v="0"/>
  </r>
  <r>
    <x v="916"/>
    <x v="0"/>
    <x v="4"/>
    <s v="Mobile App"/>
    <x v="0"/>
    <n v="1"/>
    <n v="2394000"/>
    <n v="0.104645910642892"/>
    <n v="2143000"/>
    <x v="1"/>
    <x v="1"/>
  </r>
  <r>
    <x v="916"/>
    <x v="3"/>
    <x v="5"/>
    <s v="Website"/>
    <x v="4"/>
    <n v="1"/>
    <n v="4478000"/>
    <n v="0.189"/>
    <n v="3632000"/>
    <x v="7"/>
    <x v="1"/>
  </r>
  <r>
    <x v="916"/>
    <x v="0"/>
    <x v="2"/>
    <s v="Agent"/>
    <x v="8"/>
    <n v="1"/>
    <n v="3849000"/>
    <n v="0.100255655954626"/>
    <n v="3463000"/>
    <x v="13"/>
    <x v="1"/>
  </r>
  <r>
    <x v="917"/>
    <x v="1"/>
    <x v="3"/>
    <s v="Website"/>
    <x v="8"/>
    <n v="2"/>
    <n v="2444000"/>
    <n v="0.124062234055724"/>
    <n v="4282000"/>
    <x v="8"/>
    <x v="0"/>
  </r>
  <r>
    <x v="917"/>
    <x v="2"/>
    <x v="0"/>
    <s v="Mobile App"/>
    <x v="0"/>
    <n v="3"/>
    <n v="2622000"/>
    <n v="0.183"/>
    <n v="6427000"/>
    <x v="9"/>
    <x v="0"/>
  </r>
  <r>
    <x v="917"/>
    <x v="2"/>
    <x v="5"/>
    <s v="Website"/>
    <x v="0"/>
    <n v="5"/>
    <n v="5348000"/>
    <n v="0.14722606611768499"/>
    <n v="22803000"/>
    <x v="9"/>
    <x v="1"/>
  </r>
  <r>
    <x v="918"/>
    <x v="2"/>
    <x v="0"/>
    <s v="Website"/>
    <x v="5"/>
    <n v="2"/>
    <n v="2830000"/>
    <n v="7.3999999999999996E-2"/>
    <n v="5241000"/>
    <x v="12"/>
    <x v="1"/>
  </r>
  <r>
    <x v="918"/>
    <x v="1"/>
    <x v="2"/>
    <s v="Website"/>
    <x v="0"/>
    <n v="1"/>
    <n v="4051000"/>
    <n v="0.11899999999999999"/>
    <n v="3568000"/>
    <x v="12"/>
    <x v="1"/>
  </r>
  <r>
    <x v="918"/>
    <x v="1"/>
    <x v="2"/>
    <s v="Agent"/>
    <x v="2"/>
    <n v="1"/>
    <n v="4524000"/>
    <n v="0.10299999999999999"/>
    <n v="4058000"/>
    <x v="4"/>
    <x v="1"/>
  </r>
  <r>
    <x v="918"/>
    <x v="1"/>
    <x v="5"/>
    <s v="Website"/>
    <x v="5"/>
    <n v="1"/>
    <n v="6253000"/>
    <n v="9.9000000000000005E-2"/>
    <n v="5634000"/>
    <x v="4"/>
    <x v="1"/>
  </r>
  <r>
    <x v="919"/>
    <x v="2"/>
    <x v="3"/>
    <s v="Website"/>
    <x v="3"/>
    <n v="1"/>
    <n v="2276000"/>
    <n v="9.5000000000000001E-2"/>
    <n v="2060000"/>
    <x v="5"/>
    <x v="1"/>
  </r>
  <r>
    <x v="919"/>
    <x v="2"/>
    <x v="2"/>
    <s v="Website"/>
    <x v="9"/>
    <n v="1"/>
    <n v="4018000"/>
    <n v="0.112716930686395"/>
    <n v="3565000"/>
    <x v="4"/>
    <x v="1"/>
  </r>
  <r>
    <x v="919"/>
    <x v="3"/>
    <x v="0"/>
    <s v="Mobile App"/>
    <x v="4"/>
    <n v="2"/>
    <n v="2894000"/>
    <n v="9.2851211225180696E-2"/>
    <n v="5251000"/>
    <x v="0"/>
    <x v="1"/>
  </r>
  <r>
    <x v="919"/>
    <x v="1"/>
    <x v="5"/>
    <s v="Agent"/>
    <x v="4"/>
    <n v="2"/>
    <n v="5243000"/>
    <n v="4.2404015887655203E-2"/>
    <n v="10041000"/>
    <x v="2"/>
    <x v="1"/>
  </r>
  <r>
    <x v="920"/>
    <x v="3"/>
    <x v="1"/>
    <s v="Website"/>
    <x v="3"/>
    <n v="2"/>
    <n v="2603000"/>
    <n v="4.2000000000000003E-2"/>
    <n v="4987000"/>
    <x v="8"/>
    <x v="0"/>
  </r>
  <r>
    <x v="920"/>
    <x v="3"/>
    <x v="4"/>
    <s v="Website"/>
    <x v="5"/>
    <n v="1"/>
    <n v="2969000"/>
    <n v="0.11700000000000001"/>
    <n v="2622000"/>
    <x v="4"/>
    <x v="1"/>
  </r>
  <r>
    <x v="920"/>
    <x v="0"/>
    <x v="5"/>
    <s v="Agent"/>
    <x v="5"/>
    <n v="1"/>
    <n v="5456000"/>
    <n v="0.13400000000000001"/>
    <n v="4725000"/>
    <x v="12"/>
    <x v="0"/>
  </r>
  <r>
    <x v="921"/>
    <x v="2"/>
    <x v="3"/>
    <s v="Mobile App"/>
    <x v="2"/>
    <n v="1"/>
    <n v="2838000"/>
    <n v="0.17"/>
    <n v="2356000"/>
    <x v="14"/>
    <x v="0"/>
  </r>
  <r>
    <x v="921"/>
    <x v="2"/>
    <x v="3"/>
    <s v="Agent"/>
    <x v="2"/>
    <n v="2"/>
    <n v="2394000"/>
    <n v="9.7928249830535996E-2"/>
    <n v="4319000"/>
    <x v="2"/>
    <x v="1"/>
  </r>
  <r>
    <x v="921"/>
    <x v="2"/>
    <x v="2"/>
    <s v="Mobile App"/>
    <x v="0"/>
    <n v="1"/>
    <n v="3097000"/>
    <n v="0.16800000000000001"/>
    <n v="2577000"/>
    <x v="8"/>
    <x v="0"/>
  </r>
  <r>
    <x v="922"/>
    <x v="0"/>
    <x v="2"/>
    <s v="Website"/>
    <x v="2"/>
    <n v="1"/>
    <n v="3523000"/>
    <n v="0.10199999999999999"/>
    <n v="3164000"/>
    <x v="14"/>
    <x v="1"/>
  </r>
  <r>
    <x v="923"/>
    <x v="0"/>
    <x v="5"/>
    <s v="Mobile App"/>
    <x v="3"/>
    <n v="1"/>
    <n v="4778000"/>
    <n v="0.112082410837683"/>
    <n v="4242000"/>
    <x v="1"/>
    <x v="1"/>
  </r>
  <r>
    <x v="923"/>
    <x v="3"/>
    <x v="3"/>
    <s v="Website"/>
    <x v="4"/>
    <n v="4"/>
    <n v="1390000"/>
    <n v="8.7919985068375506E-2"/>
    <n v="5071000"/>
    <x v="6"/>
    <x v="1"/>
  </r>
  <r>
    <x v="923"/>
    <x v="3"/>
    <x v="1"/>
    <s v="Website"/>
    <x v="2"/>
    <n v="3"/>
    <n v="2599000"/>
    <n v="0.08"/>
    <n v="7173000"/>
    <x v="1"/>
    <x v="1"/>
  </r>
  <r>
    <x v="923"/>
    <x v="1"/>
    <x v="2"/>
    <s v="Website"/>
    <x v="3"/>
    <n v="4"/>
    <n v="3958000"/>
    <n v="0.17329407233635599"/>
    <n v="13088000"/>
    <x v="4"/>
    <x v="1"/>
  </r>
  <r>
    <x v="923"/>
    <x v="1"/>
    <x v="4"/>
    <s v="Call Center"/>
    <x v="8"/>
    <n v="1"/>
    <n v="2434000"/>
    <n v="5.5E-2"/>
    <n v="2300000"/>
    <x v="5"/>
    <x v="1"/>
  </r>
  <r>
    <x v="923"/>
    <x v="0"/>
    <x v="4"/>
    <s v="Website"/>
    <x v="5"/>
    <n v="1"/>
    <n v="3320000"/>
    <n v="5.3999999999999999E-2"/>
    <n v="3141000"/>
    <x v="8"/>
    <x v="1"/>
  </r>
  <r>
    <x v="923"/>
    <x v="0"/>
    <x v="5"/>
    <s v="Mobile App"/>
    <x v="0"/>
    <n v="1"/>
    <n v="5141000"/>
    <n v="8.4000000000000005E-2"/>
    <n v="4708000"/>
    <x v="6"/>
    <x v="0"/>
  </r>
  <r>
    <x v="924"/>
    <x v="3"/>
    <x v="5"/>
    <s v="Website"/>
    <x v="4"/>
    <n v="2"/>
    <n v="4981000"/>
    <n v="7.1495560396512406E-2"/>
    <n v="9250000"/>
    <x v="0"/>
    <x v="1"/>
  </r>
  <r>
    <x v="924"/>
    <x v="1"/>
    <x v="2"/>
    <s v="Website"/>
    <x v="3"/>
    <n v="1"/>
    <n v="4046000"/>
    <n v="0.13453693668715899"/>
    <n v="3502000"/>
    <x v="12"/>
    <x v="0"/>
  </r>
  <r>
    <x v="924"/>
    <x v="3"/>
    <x v="0"/>
    <s v="Website"/>
    <x v="0"/>
    <n v="2"/>
    <n v="2817000"/>
    <n v="7.9705157760211795E-2"/>
    <n v="5185000"/>
    <x v="1"/>
    <x v="1"/>
  </r>
  <r>
    <x v="924"/>
    <x v="2"/>
    <x v="0"/>
    <s v="Website"/>
    <x v="0"/>
    <n v="1"/>
    <n v="2623000"/>
    <n v="0.126513712647527"/>
    <n v="2291000"/>
    <x v="3"/>
    <x v="0"/>
  </r>
  <r>
    <x v="924"/>
    <x v="2"/>
    <x v="5"/>
    <s v="Website"/>
    <x v="0"/>
    <n v="4"/>
    <n v="5272000"/>
    <n v="5.96831292953817E-2"/>
    <n v="19829000"/>
    <x v="15"/>
    <x v="1"/>
  </r>
  <r>
    <x v="925"/>
    <x v="0"/>
    <x v="2"/>
    <s v="Mobile App"/>
    <x v="4"/>
    <n v="1"/>
    <n v="5056000"/>
    <n v="8.6999999999999994E-2"/>
    <n v="4616000"/>
    <x v="7"/>
    <x v="0"/>
  </r>
  <r>
    <x v="925"/>
    <x v="0"/>
    <x v="5"/>
    <s v="Website"/>
    <x v="6"/>
    <n v="1"/>
    <n v="4559000"/>
    <n v="9.98995910966472E-2"/>
    <n v="4104000"/>
    <x v="12"/>
    <x v="1"/>
  </r>
  <r>
    <x v="925"/>
    <x v="3"/>
    <x v="5"/>
    <s v="Agent"/>
    <x v="2"/>
    <n v="2"/>
    <n v="6836000"/>
    <n v="3.5000000000000003E-2"/>
    <n v="13193000"/>
    <x v="0"/>
    <x v="1"/>
  </r>
  <r>
    <x v="925"/>
    <x v="3"/>
    <x v="0"/>
    <s v="Agent"/>
    <x v="3"/>
    <n v="2"/>
    <n v="2632000"/>
    <n v="0.13296545450501401"/>
    <n v="4564000"/>
    <x v="6"/>
    <x v="1"/>
  </r>
  <r>
    <x v="925"/>
    <x v="2"/>
    <x v="0"/>
    <s v="Website"/>
    <x v="5"/>
    <n v="1"/>
    <n v="2693000"/>
    <n v="5.38139964100127E-2"/>
    <n v="2548000"/>
    <x v="13"/>
    <x v="1"/>
  </r>
  <r>
    <x v="926"/>
    <x v="3"/>
    <x v="0"/>
    <s v="Website"/>
    <x v="3"/>
    <n v="2"/>
    <n v="2949000"/>
    <n v="5.1999999999999998E-2"/>
    <n v="5591000"/>
    <x v="24"/>
    <x v="1"/>
  </r>
  <r>
    <x v="926"/>
    <x v="0"/>
    <x v="1"/>
    <s v="Agent"/>
    <x v="8"/>
    <n v="4"/>
    <n v="2459000"/>
    <n v="8.7999999999999995E-2"/>
    <n v="8970000"/>
    <x v="0"/>
    <x v="1"/>
  </r>
  <r>
    <x v="926"/>
    <x v="2"/>
    <x v="2"/>
    <s v="Website"/>
    <x v="5"/>
    <n v="1"/>
    <n v="2900000"/>
    <n v="0"/>
    <n v="2900000"/>
    <x v="4"/>
    <x v="1"/>
  </r>
  <r>
    <x v="926"/>
    <x v="1"/>
    <x v="0"/>
    <s v="Mobile App"/>
    <x v="3"/>
    <n v="2"/>
    <n v="3361000"/>
    <n v="0.13"/>
    <n v="5848000"/>
    <x v="7"/>
    <x v="1"/>
  </r>
  <r>
    <x v="926"/>
    <x v="0"/>
    <x v="0"/>
    <s v="Mobile App"/>
    <x v="5"/>
    <n v="3"/>
    <n v="2826000"/>
    <n v="0.14995540568978499"/>
    <n v="7207000"/>
    <x v="1"/>
    <x v="1"/>
  </r>
  <r>
    <x v="926"/>
    <x v="1"/>
    <x v="3"/>
    <s v="Website"/>
    <x v="6"/>
    <n v="2"/>
    <n v="2125000"/>
    <n v="0.14455598311125201"/>
    <n v="3636000"/>
    <x v="9"/>
    <x v="0"/>
  </r>
  <r>
    <x v="926"/>
    <x v="0"/>
    <x v="5"/>
    <s v="Website"/>
    <x v="5"/>
    <n v="1"/>
    <n v="4638000"/>
    <n v="6.0999999999999999E-2"/>
    <n v="4355000"/>
    <x v="2"/>
    <x v="1"/>
  </r>
  <r>
    <x v="927"/>
    <x v="1"/>
    <x v="0"/>
    <s v="Website"/>
    <x v="5"/>
    <n v="1"/>
    <n v="2667000"/>
    <n v="4.1919404478735899E-2"/>
    <n v="2555000"/>
    <x v="3"/>
    <x v="0"/>
  </r>
  <r>
    <x v="927"/>
    <x v="3"/>
    <x v="0"/>
    <s v="Website"/>
    <x v="3"/>
    <n v="1"/>
    <n v="2934000"/>
    <n v="0.201362873305967"/>
    <n v="2343000"/>
    <x v="18"/>
    <x v="1"/>
  </r>
  <r>
    <x v="927"/>
    <x v="0"/>
    <x v="2"/>
    <s v="Mobile App"/>
    <x v="0"/>
    <n v="1"/>
    <n v="4843000"/>
    <n v="0.144320316747234"/>
    <n v="4144000"/>
    <x v="2"/>
    <x v="1"/>
  </r>
  <r>
    <x v="927"/>
    <x v="1"/>
    <x v="0"/>
    <s v="Agent"/>
    <x v="5"/>
    <n v="1"/>
    <n v="1921000"/>
    <n v="6.8000000000000005E-2"/>
    <n v="1790000"/>
    <x v="16"/>
    <x v="1"/>
  </r>
  <r>
    <x v="927"/>
    <x v="1"/>
    <x v="2"/>
    <s v="Website"/>
    <x v="5"/>
    <n v="2"/>
    <n v="3544000"/>
    <n v="4.4111156549960999E-2"/>
    <n v="6775000"/>
    <x v="6"/>
    <x v="0"/>
  </r>
  <r>
    <x v="928"/>
    <x v="3"/>
    <x v="3"/>
    <s v="Website"/>
    <x v="1"/>
    <n v="2"/>
    <n v="1845000"/>
    <n v="2.1000000000000001E-2"/>
    <n v="3613000"/>
    <x v="0"/>
    <x v="1"/>
  </r>
  <r>
    <x v="928"/>
    <x v="1"/>
    <x v="2"/>
    <s v="Agent"/>
    <x v="5"/>
    <n v="2"/>
    <n v="3993000"/>
    <n v="7.4999999999999997E-2"/>
    <n v="7387000"/>
    <x v="12"/>
    <x v="0"/>
  </r>
  <r>
    <x v="928"/>
    <x v="0"/>
    <x v="2"/>
    <s v="Agent"/>
    <x v="1"/>
    <n v="2"/>
    <n v="3284000"/>
    <n v="0.10669864375393399"/>
    <n v="5867000"/>
    <x v="1"/>
    <x v="1"/>
  </r>
  <r>
    <x v="928"/>
    <x v="1"/>
    <x v="1"/>
    <s v="Mobile App"/>
    <x v="1"/>
    <n v="1"/>
    <n v="3157000"/>
    <n v="0.122674208818875"/>
    <n v="2770000"/>
    <x v="14"/>
    <x v="0"/>
  </r>
  <r>
    <x v="929"/>
    <x v="1"/>
    <x v="5"/>
    <s v="Website"/>
    <x v="0"/>
    <n v="1"/>
    <n v="3709000"/>
    <n v="-0.2"/>
    <n v="3438000"/>
    <x v="12"/>
    <x v="1"/>
  </r>
  <r>
    <x v="929"/>
    <x v="0"/>
    <x v="0"/>
    <s v="Website"/>
    <x v="6"/>
    <n v="1"/>
    <n v="2424000"/>
    <n v="0.11882042041034301"/>
    <n v="2136000"/>
    <x v="12"/>
    <x v="0"/>
  </r>
  <r>
    <x v="930"/>
    <x v="0"/>
    <x v="0"/>
    <s v="Website"/>
    <x v="4"/>
    <n v="2"/>
    <n v="2931000"/>
    <n v="0.14950239482359201"/>
    <n v="4986000"/>
    <x v="13"/>
    <x v="1"/>
  </r>
  <r>
    <x v="930"/>
    <x v="3"/>
    <x v="4"/>
    <s v="Agent"/>
    <x v="3"/>
    <n v="3"/>
    <n v="2222000"/>
    <n v="0.12986374775048801"/>
    <n v="5800000"/>
    <x v="12"/>
    <x v="1"/>
  </r>
  <r>
    <x v="931"/>
    <x v="1"/>
    <x v="2"/>
    <s v="Mobile App"/>
    <x v="0"/>
    <n v="1"/>
    <n v="3206000"/>
    <n v="8.1000000000000003E-2"/>
    <n v="2946000"/>
    <x v="16"/>
    <x v="0"/>
  </r>
  <r>
    <x v="931"/>
    <x v="2"/>
    <x v="0"/>
    <s v="Mobile App"/>
    <x v="8"/>
    <n v="1"/>
    <n v="2409000"/>
    <n v="9.9038122224940503E-2"/>
    <n v="2170000"/>
    <x v="2"/>
    <x v="1"/>
  </r>
  <r>
    <x v="931"/>
    <x v="3"/>
    <x v="1"/>
    <s v="Mobile App"/>
    <x v="0"/>
    <n v="2"/>
    <n v="3635000"/>
    <n v="5.1463128360173097E-2"/>
    <n v="6896000"/>
    <x v="6"/>
    <x v="0"/>
  </r>
  <r>
    <x v="931"/>
    <x v="3"/>
    <x v="3"/>
    <s v="Mobile App"/>
    <x v="6"/>
    <n v="1"/>
    <n v="1609000"/>
    <n v="0"/>
    <n v="1609000"/>
    <x v="4"/>
    <x v="1"/>
  </r>
  <r>
    <x v="931"/>
    <x v="2"/>
    <x v="1"/>
    <s v="Mobile App"/>
    <x v="7"/>
    <n v="1"/>
    <n v="2937000"/>
    <n v="2.86437079771222E-2"/>
    <n v="2853000"/>
    <x v="2"/>
    <x v="0"/>
  </r>
  <r>
    <x v="932"/>
    <x v="2"/>
    <x v="5"/>
    <s v="Agent"/>
    <x v="2"/>
    <n v="1"/>
    <n v="3995000"/>
    <n v="2.4E-2"/>
    <n v="3899000"/>
    <x v="14"/>
    <x v="1"/>
  </r>
  <r>
    <x v="933"/>
    <x v="1"/>
    <x v="2"/>
    <s v="Mobile App"/>
    <x v="4"/>
    <n v="3"/>
    <n v="4308000"/>
    <n v="0.123560956240192"/>
    <n v="11327000"/>
    <x v="6"/>
    <x v="1"/>
  </r>
  <r>
    <x v="933"/>
    <x v="2"/>
    <x v="0"/>
    <s v="Website"/>
    <x v="2"/>
    <n v="5"/>
    <n v="3383000"/>
    <n v="0.107927726010356"/>
    <n v="15089000"/>
    <x v="0"/>
    <x v="1"/>
  </r>
  <r>
    <x v="933"/>
    <x v="3"/>
    <x v="1"/>
    <s v="Agent"/>
    <x v="5"/>
    <n v="5"/>
    <n v="3097000"/>
    <n v="3.5000000000000003E-2"/>
    <n v="14943000"/>
    <x v="0"/>
    <x v="1"/>
  </r>
  <r>
    <x v="933"/>
    <x v="1"/>
    <x v="5"/>
    <s v="Agent"/>
    <x v="4"/>
    <n v="1"/>
    <n v="4991000"/>
    <n v="1.6E-2"/>
    <n v="4911000"/>
    <x v="6"/>
    <x v="0"/>
  </r>
  <r>
    <x v="933"/>
    <x v="1"/>
    <x v="0"/>
    <s v="Mobile App"/>
    <x v="2"/>
    <n v="3"/>
    <n v="4071000"/>
    <n v="-0.2"/>
    <n v="11224000"/>
    <x v="14"/>
    <x v="1"/>
  </r>
  <r>
    <x v="934"/>
    <x v="3"/>
    <x v="2"/>
    <s v="Website"/>
    <x v="3"/>
    <n v="2"/>
    <n v="4889000"/>
    <n v="3.1E-2"/>
    <n v="9475000"/>
    <x v="15"/>
    <x v="1"/>
  </r>
  <r>
    <x v="934"/>
    <x v="1"/>
    <x v="2"/>
    <s v="Website"/>
    <x v="7"/>
    <n v="1"/>
    <n v="3461000"/>
    <n v="0.15796392084342001"/>
    <n v="2914000"/>
    <x v="14"/>
    <x v="1"/>
  </r>
  <r>
    <x v="934"/>
    <x v="3"/>
    <x v="2"/>
    <s v="Website"/>
    <x v="2"/>
    <n v="1"/>
    <n v="3261000"/>
    <n v="3.7999999999999999E-2"/>
    <n v="3137000"/>
    <x v="9"/>
    <x v="1"/>
  </r>
  <r>
    <x v="934"/>
    <x v="1"/>
    <x v="3"/>
    <s v="Website"/>
    <x v="4"/>
    <n v="2"/>
    <n v="1314000"/>
    <n v="5.8000000000000003E-2"/>
    <n v="2476000"/>
    <x v="1"/>
    <x v="1"/>
  </r>
  <r>
    <x v="934"/>
    <x v="0"/>
    <x v="0"/>
    <s v="Agent"/>
    <x v="3"/>
    <n v="2"/>
    <n v="2760000"/>
    <n v="0.103412294017342"/>
    <n v="4949000"/>
    <x v="13"/>
    <x v="1"/>
  </r>
  <r>
    <x v="934"/>
    <x v="0"/>
    <x v="1"/>
    <s v="Website"/>
    <x v="6"/>
    <n v="3"/>
    <n v="2778000"/>
    <n v="8.2000000000000003E-2"/>
    <n v="7651000"/>
    <x v="20"/>
    <x v="0"/>
  </r>
  <r>
    <x v="934"/>
    <x v="0"/>
    <x v="0"/>
    <s v="Mobile App"/>
    <x v="6"/>
    <n v="1"/>
    <n v="2992000"/>
    <n v="0.123470969722803"/>
    <n v="2623000"/>
    <x v="5"/>
    <x v="1"/>
  </r>
  <r>
    <x v="935"/>
    <x v="1"/>
    <x v="2"/>
    <s v="Website"/>
    <x v="8"/>
    <n v="1"/>
    <n v="3565000"/>
    <n v="2.4E-2"/>
    <n v="3479000"/>
    <x v="13"/>
    <x v="1"/>
  </r>
  <r>
    <x v="935"/>
    <x v="1"/>
    <x v="1"/>
    <s v="Agent"/>
    <x v="2"/>
    <n v="4"/>
    <n v="2784000"/>
    <n v="0.17399999999999999"/>
    <n v="9198000"/>
    <x v="1"/>
    <x v="1"/>
  </r>
  <r>
    <x v="936"/>
    <x v="2"/>
    <x v="5"/>
    <s v="Mobile App"/>
    <x v="8"/>
    <n v="3"/>
    <n v="5525000"/>
    <n v="0.116552234649342"/>
    <n v="14643000"/>
    <x v="0"/>
    <x v="0"/>
  </r>
  <r>
    <x v="936"/>
    <x v="0"/>
    <x v="4"/>
    <s v="Website"/>
    <x v="3"/>
    <n v="1"/>
    <n v="2237000"/>
    <n v="0.16200000000000001"/>
    <n v="1875000"/>
    <x v="2"/>
    <x v="1"/>
  </r>
  <r>
    <x v="936"/>
    <x v="3"/>
    <x v="5"/>
    <s v="Website"/>
    <x v="4"/>
    <n v="2"/>
    <n v="5136000"/>
    <n v="2.7265578880004099E-2"/>
    <n v="9992000"/>
    <x v="9"/>
    <x v="1"/>
  </r>
  <r>
    <x v="937"/>
    <x v="3"/>
    <x v="2"/>
    <s v="Website"/>
    <x v="5"/>
    <n v="3"/>
    <n v="5423000"/>
    <n v="7.2999999999999995E-2"/>
    <n v="15081000"/>
    <x v="4"/>
    <x v="1"/>
  </r>
  <r>
    <x v="937"/>
    <x v="0"/>
    <x v="5"/>
    <s v="Call Center"/>
    <x v="9"/>
    <n v="2"/>
    <n v="6087000"/>
    <n v="0.22600000000000001"/>
    <n v="9423000"/>
    <x v="12"/>
    <x v="0"/>
  </r>
  <r>
    <x v="937"/>
    <x v="0"/>
    <x v="0"/>
    <s v="Agent"/>
    <x v="3"/>
    <n v="1"/>
    <n v="3380000"/>
    <n v="0"/>
    <n v="3380000"/>
    <x v="1"/>
    <x v="1"/>
  </r>
  <r>
    <x v="938"/>
    <x v="1"/>
    <x v="4"/>
    <s v="Website"/>
    <x v="5"/>
    <n v="2"/>
    <n v="3080000"/>
    <n v="0"/>
    <n v="6160000"/>
    <x v="15"/>
    <x v="1"/>
  </r>
  <r>
    <x v="938"/>
    <x v="0"/>
    <x v="2"/>
    <s v="Mobile App"/>
    <x v="7"/>
    <n v="2"/>
    <n v="3784000"/>
    <n v="5.4349103468698597E-2"/>
    <n v="7157000"/>
    <x v="9"/>
    <x v="1"/>
  </r>
  <r>
    <x v="938"/>
    <x v="3"/>
    <x v="0"/>
    <s v="Mobile App"/>
    <x v="8"/>
    <n v="2"/>
    <n v="2523000"/>
    <n v="8.2797270616102606E-2"/>
    <n v="4628000"/>
    <x v="15"/>
    <x v="1"/>
  </r>
  <r>
    <x v="938"/>
    <x v="3"/>
    <x v="1"/>
    <s v="Website"/>
    <x v="7"/>
    <n v="3"/>
    <n v="3605000"/>
    <n v="0.02"/>
    <n v="10599000"/>
    <x v="1"/>
    <x v="0"/>
  </r>
  <r>
    <x v="939"/>
    <x v="3"/>
    <x v="0"/>
    <s v="Website"/>
    <x v="3"/>
    <n v="2"/>
    <n v="2979000"/>
    <n v="4.8000000000000001E-2"/>
    <n v="5672000"/>
    <x v="10"/>
    <x v="1"/>
  </r>
  <r>
    <x v="940"/>
    <x v="3"/>
    <x v="0"/>
    <s v="Website"/>
    <x v="8"/>
    <n v="3"/>
    <n v="2460000"/>
    <n v="0.110975333581275"/>
    <n v="6561000"/>
    <x v="9"/>
    <x v="1"/>
  </r>
  <r>
    <x v="940"/>
    <x v="2"/>
    <x v="5"/>
    <s v="Agent"/>
    <x v="0"/>
    <n v="1"/>
    <n v="6417000"/>
    <n v="4.1000000000000002E-2"/>
    <n v="6154000"/>
    <x v="15"/>
    <x v="1"/>
  </r>
  <r>
    <x v="940"/>
    <x v="3"/>
    <x v="3"/>
    <s v="Mobile App"/>
    <x v="7"/>
    <n v="4"/>
    <n v="2592000"/>
    <n v="6.4000000000000001E-2"/>
    <n v="9704000"/>
    <x v="1"/>
    <x v="1"/>
  </r>
  <r>
    <x v="940"/>
    <x v="3"/>
    <x v="2"/>
    <s v="Agent"/>
    <x v="4"/>
    <n v="1"/>
    <n v="4409000"/>
    <n v="6.5749292525172795E-2"/>
    <n v="4119000"/>
    <x v="2"/>
    <x v="1"/>
  </r>
  <r>
    <x v="940"/>
    <x v="1"/>
    <x v="1"/>
    <s v="Agent"/>
    <x v="6"/>
    <n v="1"/>
    <n v="3466000"/>
    <n v="0.154122527562781"/>
    <n v="2932000"/>
    <x v="6"/>
    <x v="1"/>
  </r>
  <r>
    <x v="940"/>
    <x v="1"/>
    <x v="4"/>
    <s v="Agent"/>
    <x v="0"/>
    <n v="2"/>
    <n v="2640000"/>
    <n v="0.13868765397781199"/>
    <n v="4548000"/>
    <x v="6"/>
    <x v="1"/>
  </r>
  <r>
    <x v="941"/>
    <x v="1"/>
    <x v="0"/>
    <s v="Agent"/>
    <x v="5"/>
    <n v="2"/>
    <n v="3392000"/>
    <n v="2.7E-2"/>
    <n v="6601000"/>
    <x v="17"/>
    <x v="1"/>
  </r>
  <r>
    <x v="941"/>
    <x v="3"/>
    <x v="3"/>
    <s v="Agent"/>
    <x v="0"/>
    <n v="1"/>
    <n v="2787000"/>
    <n v="0.145100006327889"/>
    <n v="2383000"/>
    <x v="18"/>
    <x v="0"/>
  </r>
  <r>
    <x v="941"/>
    <x v="3"/>
    <x v="2"/>
    <s v="Agent"/>
    <x v="8"/>
    <n v="2"/>
    <n v="4299000"/>
    <n v="5.0999999999999997E-2"/>
    <n v="8160000"/>
    <x v="14"/>
    <x v="1"/>
  </r>
  <r>
    <x v="941"/>
    <x v="0"/>
    <x v="0"/>
    <s v="Mobile App"/>
    <x v="9"/>
    <n v="3"/>
    <n v="2429000"/>
    <n v="0.11700000000000001"/>
    <n v="6434000"/>
    <x v="13"/>
    <x v="1"/>
  </r>
  <r>
    <x v="942"/>
    <x v="1"/>
    <x v="2"/>
    <s v="Website"/>
    <x v="0"/>
    <n v="3"/>
    <n v="4522000"/>
    <n v="7.7982911469530403E-2"/>
    <n v="12508000"/>
    <x v="0"/>
    <x v="1"/>
  </r>
  <r>
    <x v="942"/>
    <x v="1"/>
    <x v="0"/>
    <s v="Agent"/>
    <x v="1"/>
    <n v="1"/>
    <n v="3237000"/>
    <n v="9.7000000000000003E-2"/>
    <n v="2923000"/>
    <x v="15"/>
    <x v="0"/>
  </r>
  <r>
    <x v="942"/>
    <x v="3"/>
    <x v="0"/>
    <s v="Website"/>
    <x v="5"/>
    <n v="2"/>
    <n v="1831000"/>
    <n v="0.1"/>
    <n v="3296000"/>
    <x v="2"/>
    <x v="1"/>
  </r>
  <r>
    <x v="942"/>
    <x v="1"/>
    <x v="2"/>
    <s v="Agent"/>
    <x v="9"/>
    <n v="4"/>
    <n v="4472000"/>
    <n v="0.109974541939636"/>
    <n v="15921000"/>
    <x v="10"/>
    <x v="0"/>
  </r>
  <r>
    <x v="942"/>
    <x v="3"/>
    <x v="4"/>
    <s v="Website"/>
    <x v="7"/>
    <n v="2"/>
    <n v="2767000"/>
    <n v="3.4051035129854801E-2"/>
    <n v="5346000"/>
    <x v="12"/>
    <x v="1"/>
  </r>
  <r>
    <x v="942"/>
    <x v="3"/>
    <x v="2"/>
    <s v="Agent"/>
    <x v="2"/>
    <n v="1"/>
    <n v="4770000"/>
    <n v="0.112381735682621"/>
    <n v="4234000"/>
    <x v="14"/>
    <x v="1"/>
  </r>
  <r>
    <x v="943"/>
    <x v="1"/>
    <x v="4"/>
    <s v="Agent"/>
    <x v="9"/>
    <n v="2"/>
    <n v="1909000"/>
    <n v="2.5000000000000001E-2"/>
    <n v="3723000"/>
    <x v="2"/>
    <x v="1"/>
  </r>
  <r>
    <x v="943"/>
    <x v="1"/>
    <x v="3"/>
    <s v="Website"/>
    <x v="4"/>
    <n v="2"/>
    <n v="2387000"/>
    <n v="0.10100000000000001"/>
    <n v="4292000"/>
    <x v="6"/>
    <x v="1"/>
  </r>
  <r>
    <x v="943"/>
    <x v="1"/>
    <x v="4"/>
    <s v="Website"/>
    <x v="0"/>
    <n v="1"/>
    <n v="2718000"/>
    <n v="9.6000000000000002E-2"/>
    <n v="2456000"/>
    <x v="7"/>
    <x v="1"/>
  </r>
  <r>
    <x v="943"/>
    <x v="2"/>
    <x v="4"/>
    <s v="Agent"/>
    <x v="4"/>
    <n v="1"/>
    <n v="1959000"/>
    <n v="3.5000000000000003E-2"/>
    <n v="1890000"/>
    <x v="22"/>
    <x v="1"/>
  </r>
  <r>
    <x v="944"/>
    <x v="3"/>
    <x v="0"/>
    <s v="Website"/>
    <x v="9"/>
    <n v="3"/>
    <n v="3072000"/>
    <n v="6.7203883594180697E-2"/>
    <n v="8597000"/>
    <x v="9"/>
    <x v="1"/>
  </r>
  <r>
    <x v="944"/>
    <x v="3"/>
    <x v="5"/>
    <s v="Mobile App"/>
    <x v="2"/>
    <n v="4"/>
    <n v="5488000"/>
    <n v="0.14516999138679901"/>
    <n v="18765000"/>
    <x v="11"/>
    <x v="1"/>
  </r>
  <r>
    <x v="944"/>
    <x v="3"/>
    <x v="2"/>
    <s v="Mobile App"/>
    <x v="8"/>
    <n v="1"/>
    <n v="3012000"/>
    <n v="0.106"/>
    <n v="2693000"/>
    <x v="15"/>
    <x v="1"/>
  </r>
  <r>
    <x v="945"/>
    <x v="1"/>
    <x v="1"/>
    <s v="Website"/>
    <x v="3"/>
    <n v="2"/>
    <n v="3307000"/>
    <n v="2.75703934297356E-2"/>
    <n v="6432000"/>
    <x v="0"/>
    <x v="1"/>
  </r>
  <r>
    <x v="945"/>
    <x v="1"/>
    <x v="1"/>
    <s v="Mobile App"/>
    <x v="1"/>
    <n v="1"/>
    <n v="3242000"/>
    <n v="0.138021838551772"/>
    <n v="2795000"/>
    <x v="9"/>
    <x v="0"/>
  </r>
  <r>
    <x v="945"/>
    <x v="3"/>
    <x v="5"/>
    <s v="Agent"/>
    <x v="3"/>
    <n v="1"/>
    <n v="3649000"/>
    <n v="4.9000000000000002E-2"/>
    <n v="3470000"/>
    <x v="1"/>
    <x v="1"/>
  </r>
  <r>
    <x v="945"/>
    <x v="0"/>
    <x v="0"/>
    <s v="Mobile App"/>
    <x v="1"/>
    <n v="3"/>
    <n v="3240000"/>
    <n v="5.1999999999999998E-2"/>
    <n v="9215000"/>
    <x v="2"/>
    <x v="1"/>
  </r>
  <r>
    <x v="945"/>
    <x v="1"/>
    <x v="2"/>
    <s v="Agent"/>
    <x v="6"/>
    <n v="2"/>
    <n v="4953000"/>
    <n v="0.02"/>
    <n v="9708000"/>
    <x v="12"/>
    <x v="1"/>
  </r>
  <r>
    <x v="945"/>
    <x v="3"/>
    <x v="5"/>
    <s v="Agent"/>
    <x v="9"/>
    <n v="1"/>
    <n v="5621000"/>
    <n v="5.3961433080061599E-2"/>
    <n v="5318000"/>
    <x v="2"/>
    <x v="0"/>
  </r>
  <r>
    <x v="945"/>
    <x v="1"/>
    <x v="0"/>
    <s v="Call Center"/>
    <x v="8"/>
    <n v="2"/>
    <n v="1924000"/>
    <n v="5.0000000000000001E-3"/>
    <n v="3829000"/>
    <x v="7"/>
    <x v="1"/>
  </r>
  <r>
    <x v="945"/>
    <x v="3"/>
    <x v="2"/>
    <s v="Website"/>
    <x v="1"/>
    <n v="2"/>
    <n v="3538000"/>
    <n v="0.15561177592037301"/>
    <n v="5975000"/>
    <x v="4"/>
    <x v="1"/>
  </r>
  <r>
    <x v="946"/>
    <x v="3"/>
    <x v="0"/>
    <s v="Mobile App"/>
    <x v="4"/>
    <n v="1"/>
    <n v="2884000"/>
    <n v="0.11600000000000001"/>
    <n v="2549000"/>
    <x v="14"/>
    <x v="1"/>
  </r>
  <r>
    <x v="946"/>
    <x v="2"/>
    <x v="0"/>
    <s v="Website"/>
    <x v="5"/>
    <n v="2"/>
    <n v="1909000"/>
    <n v="5.3999999999999999E-2"/>
    <n v="3612000"/>
    <x v="10"/>
    <x v="1"/>
  </r>
  <r>
    <x v="946"/>
    <x v="2"/>
    <x v="0"/>
    <s v="Agent"/>
    <x v="0"/>
    <n v="3"/>
    <n v="2872000"/>
    <n v="6.6154157557083398E-2"/>
    <n v="8046000"/>
    <x v="5"/>
    <x v="1"/>
  </r>
  <r>
    <x v="946"/>
    <x v="0"/>
    <x v="1"/>
    <s v="Mobile App"/>
    <x v="9"/>
    <n v="2"/>
    <n v="3833000"/>
    <n v="0.17015668481544199"/>
    <n v="6362000"/>
    <x v="19"/>
    <x v="1"/>
  </r>
  <r>
    <x v="947"/>
    <x v="1"/>
    <x v="0"/>
    <s v="Website"/>
    <x v="5"/>
    <n v="4"/>
    <n v="2905000"/>
    <n v="0.165828578662533"/>
    <n v="9693000"/>
    <x v="14"/>
    <x v="1"/>
  </r>
  <r>
    <x v="948"/>
    <x v="0"/>
    <x v="3"/>
    <s v="Agent"/>
    <x v="8"/>
    <n v="3"/>
    <n v="2056000"/>
    <n v="5.3999999999999999E-2"/>
    <n v="5835000"/>
    <x v="0"/>
    <x v="1"/>
  </r>
  <r>
    <x v="948"/>
    <x v="1"/>
    <x v="0"/>
    <s v="Website"/>
    <x v="1"/>
    <n v="3"/>
    <n v="2540000"/>
    <n v="0.14079991449506199"/>
    <n v="6547000"/>
    <x v="2"/>
    <x v="1"/>
  </r>
  <r>
    <x v="948"/>
    <x v="2"/>
    <x v="1"/>
    <s v="Mobile App"/>
    <x v="0"/>
    <n v="3"/>
    <n v="3456000"/>
    <n v="0.116557185655042"/>
    <n v="9160000"/>
    <x v="2"/>
    <x v="1"/>
  </r>
  <r>
    <x v="948"/>
    <x v="2"/>
    <x v="5"/>
    <s v="Mobile App"/>
    <x v="6"/>
    <n v="1"/>
    <n v="3482000"/>
    <n v="4.8000000000000001E-2"/>
    <n v="3315000"/>
    <x v="13"/>
    <x v="1"/>
  </r>
  <r>
    <x v="948"/>
    <x v="1"/>
    <x v="2"/>
    <s v="Call Center"/>
    <x v="9"/>
    <n v="5"/>
    <n v="3978000"/>
    <n v="7.0159938482514297E-2"/>
    <n v="18495000"/>
    <x v="9"/>
    <x v="1"/>
  </r>
  <r>
    <x v="949"/>
    <x v="1"/>
    <x v="2"/>
    <s v="Mobile App"/>
    <x v="1"/>
    <n v="3"/>
    <n v="3488000"/>
    <n v="0.160039453399973"/>
    <n v="8789000"/>
    <x v="12"/>
    <x v="0"/>
  </r>
  <r>
    <x v="949"/>
    <x v="1"/>
    <x v="4"/>
    <s v="Website"/>
    <x v="5"/>
    <n v="1"/>
    <n v="2113000"/>
    <n v="4.8000000000000001E-2"/>
    <n v="2012000"/>
    <x v="10"/>
    <x v="1"/>
  </r>
  <r>
    <x v="949"/>
    <x v="1"/>
    <x v="5"/>
    <s v="Mobile App"/>
    <x v="2"/>
    <n v="2"/>
    <n v="3972000"/>
    <n v="0.121"/>
    <n v="6983000"/>
    <x v="4"/>
    <x v="1"/>
  </r>
  <r>
    <x v="950"/>
    <x v="2"/>
    <x v="2"/>
    <s v="Mobile App"/>
    <x v="9"/>
    <n v="2"/>
    <n v="4154000"/>
    <n v="7.2752843856147401E-2"/>
    <n v="7704000"/>
    <x v="2"/>
    <x v="1"/>
  </r>
  <r>
    <x v="950"/>
    <x v="1"/>
    <x v="2"/>
    <s v="Mobile App"/>
    <x v="7"/>
    <n v="2"/>
    <n v="3901000"/>
    <n v="7.9440854090451304E-2"/>
    <n v="7182000"/>
    <x v="4"/>
    <x v="0"/>
  </r>
  <r>
    <x v="951"/>
    <x v="0"/>
    <x v="5"/>
    <s v="Agent"/>
    <x v="1"/>
    <n v="2"/>
    <n v="4434000"/>
    <n v="0.75"/>
    <n v="8292000"/>
    <x v="2"/>
    <x v="1"/>
  </r>
  <r>
    <x v="951"/>
    <x v="3"/>
    <x v="0"/>
    <s v="Website"/>
    <x v="3"/>
    <n v="1"/>
    <n v="1758000"/>
    <n v="6.3E-2"/>
    <n v="1647000"/>
    <x v="3"/>
    <x v="1"/>
  </r>
  <r>
    <x v="951"/>
    <x v="2"/>
    <x v="3"/>
    <s v="Website"/>
    <x v="7"/>
    <n v="2"/>
    <n v="1861000"/>
    <n v="0.13600000000000001"/>
    <n v="3216000"/>
    <x v="2"/>
    <x v="1"/>
  </r>
  <r>
    <x v="951"/>
    <x v="0"/>
    <x v="0"/>
    <s v="Mobile App"/>
    <x v="8"/>
    <n v="2"/>
    <n v="2680000"/>
    <n v="0.120984892645169"/>
    <n v="4712000"/>
    <x v="5"/>
    <x v="1"/>
  </r>
  <r>
    <x v="951"/>
    <x v="1"/>
    <x v="2"/>
    <s v="Website"/>
    <x v="1"/>
    <n v="1"/>
    <n v="2662000"/>
    <n v="0.05"/>
    <n v="2529000"/>
    <x v="10"/>
    <x v="1"/>
  </r>
  <r>
    <x v="952"/>
    <x v="3"/>
    <x v="0"/>
    <s v="Agent"/>
    <x v="7"/>
    <n v="1"/>
    <n v="1789000"/>
    <n v="0"/>
    <n v="1789000"/>
    <x v="15"/>
    <x v="0"/>
  </r>
  <r>
    <x v="953"/>
    <x v="1"/>
    <x v="1"/>
    <s v="Website"/>
    <x v="5"/>
    <n v="4"/>
    <n v="3537000"/>
    <n v="0.113075739412553"/>
    <n v="12548000"/>
    <x v="0"/>
    <x v="1"/>
  </r>
  <r>
    <x v="953"/>
    <x v="3"/>
    <x v="0"/>
    <s v="Website"/>
    <x v="6"/>
    <n v="3"/>
    <n v="2581000"/>
    <n v="7.4168028119973001E-2"/>
    <n v="7169000"/>
    <x v="3"/>
    <x v="1"/>
  </r>
  <r>
    <x v="953"/>
    <x v="3"/>
    <x v="2"/>
    <s v="Website"/>
    <x v="7"/>
    <n v="2"/>
    <n v="4460000"/>
    <n v="0"/>
    <n v="8920000"/>
    <x v="15"/>
    <x v="1"/>
  </r>
  <r>
    <x v="954"/>
    <x v="3"/>
    <x v="4"/>
    <s v="Website"/>
    <x v="1"/>
    <n v="1"/>
    <n v="2451000"/>
    <n v="0.126642703283742"/>
    <n v="2141000"/>
    <x v="3"/>
    <x v="1"/>
  </r>
  <r>
    <x v="954"/>
    <x v="2"/>
    <x v="0"/>
    <s v="Agent"/>
    <x v="1"/>
    <n v="1"/>
    <n v="1922000"/>
    <n v="9.8000000000000004E-2"/>
    <n v="1734000"/>
    <x v="9"/>
    <x v="1"/>
  </r>
  <r>
    <x v="954"/>
    <x v="0"/>
    <x v="5"/>
    <s v="Website"/>
    <x v="3"/>
    <n v="2"/>
    <n v="4937000"/>
    <n v="7.2999999999999995E-2"/>
    <n v="9153000"/>
    <x v="4"/>
    <x v="0"/>
  </r>
  <r>
    <x v="954"/>
    <x v="3"/>
    <x v="0"/>
    <s v="Website"/>
    <x v="7"/>
    <n v="1"/>
    <n v="2540000"/>
    <n v="0.112"/>
    <n v="2256000"/>
    <x v="3"/>
    <x v="0"/>
  </r>
  <r>
    <x v="954"/>
    <x v="2"/>
    <x v="0"/>
    <s v="Mobile App"/>
    <x v="4"/>
    <n v="1"/>
    <n v="2502000"/>
    <n v="3.6999999999999998E-2"/>
    <n v="2409000"/>
    <x v="15"/>
    <x v="1"/>
  </r>
  <r>
    <x v="955"/>
    <x v="0"/>
    <x v="3"/>
    <s v="Website"/>
    <x v="8"/>
    <n v="2"/>
    <n v="2953000"/>
    <n v="0.106869222449871"/>
    <n v="5275000"/>
    <x v="10"/>
    <x v="0"/>
  </r>
  <r>
    <x v="955"/>
    <x v="1"/>
    <x v="1"/>
    <s v="Agent"/>
    <x v="7"/>
    <n v="4"/>
    <n v="3141000"/>
    <n v="6.8000000000000005E-2"/>
    <n v="11710000"/>
    <x v="14"/>
    <x v="1"/>
  </r>
  <r>
    <x v="955"/>
    <x v="0"/>
    <x v="1"/>
    <s v="Agent"/>
    <x v="9"/>
    <n v="3"/>
    <n v="2499000"/>
    <n v="7.2999999999999995E-2"/>
    <n v="6950000"/>
    <x v="0"/>
    <x v="1"/>
  </r>
  <r>
    <x v="955"/>
    <x v="1"/>
    <x v="0"/>
    <s v="Website"/>
    <x v="4"/>
    <n v="1"/>
    <n v="3065000"/>
    <n v="0.13641340859961701"/>
    <n v="2647000"/>
    <x v="17"/>
    <x v="1"/>
  </r>
  <r>
    <x v="955"/>
    <x v="1"/>
    <x v="2"/>
    <s v="Website"/>
    <x v="8"/>
    <n v="1"/>
    <n v="4033000"/>
    <n v="9.5626918079867604E-2"/>
    <n v="3647000"/>
    <x v="5"/>
    <x v="1"/>
  </r>
  <r>
    <x v="956"/>
    <x v="3"/>
    <x v="2"/>
    <s v="Website"/>
    <x v="3"/>
    <n v="3"/>
    <n v="4882000"/>
    <n v="4.0169712401309503E-2"/>
    <n v="14058000"/>
    <x v="2"/>
    <x v="1"/>
  </r>
  <r>
    <x v="956"/>
    <x v="0"/>
    <x v="2"/>
    <s v="Website"/>
    <x v="3"/>
    <n v="1"/>
    <n v="4885000"/>
    <n v="4.3999999999999997E-2"/>
    <n v="4670000"/>
    <x v="2"/>
    <x v="1"/>
  </r>
  <r>
    <x v="956"/>
    <x v="1"/>
    <x v="5"/>
    <s v="Mobile App"/>
    <x v="5"/>
    <n v="2"/>
    <n v="5536000"/>
    <n v="0.154"/>
    <n v="9366000"/>
    <x v="12"/>
    <x v="1"/>
  </r>
  <r>
    <x v="956"/>
    <x v="3"/>
    <x v="5"/>
    <s v="Agent"/>
    <x v="0"/>
    <n v="2"/>
    <n v="4397000"/>
    <n v="0.107"/>
    <n v="7853000"/>
    <x v="2"/>
    <x v="1"/>
  </r>
  <r>
    <x v="957"/>
    <x v="1"/>
    <x v="3"/>
    <s v="Website"/>
    <x v="0"/>
    <n v="2"/>
    <n v="2739000"/>
    <n v="0.192"/>
    <n v="4426000"/>
    <x v="4"/>
    <x v="0"/>
  </r>
  <r>
    <x v="957"/>
    <x v="1"/>
    <x v="5"/>
    <s v="Website"/>
    <x v="6"/>
    <n v="1"/>
    <n v="5459000"/>
    <n v="2.3E-2"/>
    <n v="5333000"/>
    <x v="2"/>
    <x v="1"/>
  </r>
  <r>
    <x v="957"/>
    <x v="3"/>
    <x v="2"/>
    <s v="Website"/>
    <x v="3"/>
    <n v="1"/>
    <n v="4192000"/>
    <n v="0.102684843289911"/>
    <n v="3762000"/>
    <x v="8"/>
    <x v="0"/>
  </r>
  <r>
    <x v="958"/>
    <x v="1"/>
    <x v="2"/>
    <s v="Website"/>
    <x v="3"/>
    <n v="4"/>
    <n v="4065000"/>
    <n v="8.7160439619846403E-2"/>
    <n v="14843000"/>
    <x v="12"/>
    <x v="0"/>
  </r>
  <r>
    <x v="958"/>
    <x v="2"/>
    <x v="5"/>
    <s v="Agent"/>
    <x v="4"/>
    <n v="3"/>
    <n v="5676000"/>
    <n v="8.2000000000000003E-2"/>
    <n v="15632000"/>
    <x v="6"/>
    <x v="1"/>
  </r>
  <r>
    <x v="958"/>
    <x v="3"/>
    <x v="2"/>
    <s v="Call Center"/>
    <x v="3"/>
    <n v="4"/>
    <n v="4218000"/>
    <n v="0.21789209961519801"/>
    <n v="13196000"/>
    <x v="4"/>
    <x v="0"/>
  </r>
  <r>
    <x v="958"/>
    <x v="3"/>
    <x v="3"/>
    <s v="Agent"/>
    <x v="4"/>
    <n v="2"/>
    <n v="1411000"/>
    <n v="0.14199999999999999"/>
    <n v="2421000"/>
    <x v="5"/>
    <x v="1"/>
  </r>
  <r>
    <x v="958"/>
    <x v="0"/>
    <x v="5"/>
    <s v="Website"/>
    <x v="6"/>
    <n v="1"/>
    <n v="4595000"/>
    <n v="0.13567462823066201"/>
    <n v="3972000"/>
    <x v="12"/>
    <x v="0"/>
  </r>
  <r>
    <x v="958"/>
    <x v="3"/>
    <x v="0"/>
    <s v="Agent"/>
    <x v="0"/>
    <n v="3"/>
    <n v="3682000"/>
    <n v="0.112"/>
    <n v="9809000"/>
    <x v="9"/>
    <x v="1"/>
  </r>
  <r>
    <x v="958"/>
    <x v="3"/>
    <x v="4"/>
    <s v="Agent"/>
    <x v="4"/>
    <n v="2"/>
    <n v="2186000"/>
    <n v="0.14799999999999999"/>
    <n v="3725000"/>
    <x v="0"/>
    <x v="1"/>
  </r>
  <r>
    <x v="959"/>
    <x v="3"/>
    <x v="5"/>
    <s v="Website"/>
    <x v="9"/>
    <n v="3"/>
    <n v="4170000"/>
    <n v="7.2999999999999995E-2"/>
    <n v="11597000"/>
    <x v="4"/>
    <x v="1"/>
  </r>
  <r>
    <x v="959"/>
    <x v="1"/>
    <x v="0"/>
    <s v="Mobile App"/>
    <x v="9"/>
    <n v="2"/>
    <n v="3324000"/>
    <n v="3.7909821778450099E-2"/>
    <n v="6396000"/>
    <x v="3"/>
    <x v="1"/>
  </r>
  <r>
    <x v="959"/>
    <x v="0"/>
    <x v="0"/>
    <s v="Agent"/>
    <x v="9"/>
    <n v="4"/>
    <n v="2608000"/>
    <n v="0.13998493277621299"/>
    <n v="8972000"/>
    <x v="2"/>
    <x v="1"/>
  </r>
  <r>
    <x v="960"/>
    <x v="1"/>
    <x v="1"/>
    <s v="Website"/>
    <x v="9"/>
    <n v="3"/>
    <n v="2919000"/>
    <n v="4.3999999999999997E-2"/>
    <n v="8372000"/>
    <x v="13"/>
    <x v="0"/>
  </r>
  <r>
    <x v="960"/>
    <x v="3"/>
    <x v="5"/>
    <s v="Mobile App"/>
    <x v="5"/>
    <n v="2"/>
    <n v="5180000"/>
    <n v="4.1668680954953401E-2"/>
    <n v="9928000"/>
    <x v="2"/>
    <x v="0"/>
  </r>
  <r>
    <x v="960"/>
    <x v="1"/>
    <x v="1"/>
    <s v="Website"/>
    <x v="3"/>
    <n v="2"/>
    <n v="3855000"/>
    <n v="0.26800000000000002"/>
    <n v="5644000"/>
    <x v="3"/>
    <x v="1"/>
  </r>
  <r>
    <x v="960"/>
    <x v="0"/>
    <x v="3"/>
    <s v="Mobile App"/>
    <x v="1"/>
    <n v="3"/>
    <n v="2653000"/>
    <n v="8.5000000000000006E-2"/>
    <n v="7282000"/>
    <x v="2"/>
    <x v="1"/>
  </r>
  <r>
    <x v="960"/>
    <x v="3"/>
    <x v="0"/>
    <s v="Website"/>
    <x v="1"/>
    <n v="1"/>
    <n v="1506000"/>
    <n v="0.186"/>
    <n v="1226000"/>
    <x v="10"/>
    <x v="1"/>
  </r>
  <r>
    <x v="960"/>
    <x v="1"/>
    <x v="3"/>
    <s v="Agent"/>
    <x v="3"/>
    <n v="2"/>
    <n v="2663000"/>
    <n v="0.112025301388559"/>
    <n v="4729000"/>
    <x v="1"/>
    <x v="0"/>
  </r>
  <r>
    <x v="961"/>
    <x v="3"/>
    <x v="0"/>
    <s v="Agent"/>
    <x v="8"/>
    <n v="3"/>
    <n v="2292000"/>
    <n v="3.6907761967113997E-2"/>
    <n v="6622000"/>
    <x v="5"/>
    <x v="1"/>
  </r>
  <r>
    <x v="961"/>
    <x v="2"/>
    <x v="0"/>
    <s v="Website"/>
    <x v="8"/>
    <n v="2"/>
    <n v="2978000"/>
    <n v="0.09"/>
    <n v="5420000"/>
    <x v="18"/>
    <x v="1"/>
  </r>
  <r>
    <x v="962"/>
    <x v="3"/>
    <x v="2"/>
    <s v="Mobile App"/>
    <x v="3"/>
    <n v="3"/>
    <n v="4336000"/>
    <n v="5.1848353137856802E-2"/>
    <n v="12334000"/>
    <x v="13"/>
    <x v="1"/>
  </r>
  <r>
    <x v="962"/>
    <x v="2"/>
    <x v="2"/>
    <s v="Mobile App"/>
    <x v="4"/>
    <n v="1"/>
    <n v="3873000"/>
    <n v="0.14695007779880201"/>
    <n v="3304000"/>
    <x v="6"/>
    <x v="1"/>
  </r>
  <r>
    <x v="962"/>
    <x v="0"/>
    <x v="2"/>
    <s v="Agent"/>
    <x v="5"/>
    <n v="2"/>
    <n v="4211000"/>
    <n v="0.10930283670292"/>
    <n v="7501000"/>
    <x v="6"/>
    <x v="1"/>
  </r>
  <r>
    <x v="962"/>
    <x v="3"/>
    <x v="5"/>
    <s v="Website"/>
    <x v="7"/>
    <n v="1"/>
    <n v="4633000"/>
    <n v="0.10100000000000001"/>
    <n v="4165000"/>
    <x v="17"/>
    <x v="0"/>
  </r>
  <r>
    <x v="962"/>
    <x v="1"/>
    <x v="0"/>
    <s v="Website"/>
    <x v="7"/>
    <n v="2"/>
    <n v="4208000"/>
    <n v="0.14000000000000001"/>
    <n v="7238000"/>
    <x v="13"/>
    <x v="0"/>
  </r>
  <r>
    <x v="962"/>
    <x v="1"/>
    <x v="2"/>
    <s v="Mobile App"/>
    <x v="3"/>
    <n v="2"/>
    <n v="4076000"/>
    <n v="9.1646117491079704E-2"/>
    <n v="7405000"/>
    <x v="13"/>
    <x v="0"/>
  </r>
  <r>
    <x v="963"/>
    <x v="1"/>
    <x v="2"/>
    <s v="Mobile App"/>
    <x v="6"/>
    <n v="4"/>
    <n v="3884000"/>
    <n v="0.23100000000000001"/>
    <n v="11947000"/>
    <x v="4"/>
    <x v="1"/>
  </r>
  <r>
    <x v="963"/>
    <x v="0"/>
    <x v="0"/>
    <s v="Website"/>
    <x v="7"/>
    <n v="1"/>
    <n v="2193000"/>
    <n v="4.5264993769538797E-2"/>
    <n v="2094000"/>
    <x v="1"/>
    <x v="1"/>
  </r>
  <r>
    <x v="963"/>
    <x v="1"/>
    <x v="1"/>
    <s v="Website"/>
    <x v="0"/>
    <n v="1"/>
    <n v="3206000"/>
    <n v="5.7112894735888899E-4"/>
    <n v="3204000"/>
    <x v="10"/>
    <x v="1"/>
  </r>
  <r>
    <x v="963"/>
    <x v="1"/>
    <x v="1"/>
    <s v="Website"/>
    <x v="7"/>
    <n v="2"/>
    <n v="2349000"/>
    <n v="0.254"/>
    <n v="3505000"/>
    <x v="18"/>
    <x v="0"/>
  </r>
  <r>
    <x v="963"/>
    <x v="3"/>
    <x v="2"/>
    <s v="Mobile App"/>
    <x v="2"/>
    <n v="2"/>
    <n v="3440000"/>
    <n v="8.1000000000000003E-2"/>
    <n v="6323000"/>
    <x v="0"/>
    <x v="1"/>
  </r>
  <r>
    <x v="963"/>
    <x v="0"/>
    <x v="0"/>
    <s v="Agent"/>
    <x v="0"/>
    <n v="2"/>
    <n v="3437000"/>
    <n v="0.127"/>
    <n v="6001000"/>
    <x v="7"/>
    <x v="0"/>
  </r>
  <r>
    <x v="963"/>
    <x v="3"/>
    <x v="1"/>
    <s v="Mobile App"/>
    <x v="6"/>
    <n v="1"/>
    <n v="2898000"/>
    <n v="7.8224833547681796E-2"/>
    <n v="2671000"/>
    <x v="6"/>
    <x v="0"/>
  </r>
  <r>
    <x v="964"/>
    <x v="1"/>
    <x v="4"/>
    <s v="Agent"/>
    <x v="4"/>
    <n v="1"/>
    <n v="1924000"/>
    <n v="9.4400080404391101E-2"/>
    <n v="1742000"/>
    <x v="6"/>
    <x v="0"/>
  </r>
  <r>
    <x v="964"/>
    <x v="1"/>
    <x v="4"/>
    <s v="Agent"/>
    <x v="8"/>
    <n v="2"/>
    <n v="2416000"/>
    <n v="7.1761629466842697E-2"/>
    <n v="4485000"/>
    <x v="2"/>
    <x v="1"/>
  </r>
  <r>
    <x v="965"/>
    <x v="3"/>
    <x v="2"/>
    <s v="Agent"/>
    <x v="8"/>
    <n v="1"/>
    <n v="4261000"/>
    <n v="0.16504408785184399"/>
    <n v="3558000"/>
    <x v="6"/>
    <x v="0"/>
  </r>
  <r>
    <x v="965"/>
    <x v="3"/>
    <x v="2"/>
    <s v="Website"/>
    <x v="1"/>
    <n v="2"/>
    <n v="3108000"/>
    <n v="0.124441423496262"/>
    <n v="5442000"/>
    <x v="5"/>
    <x v="1"/>
  </r>
  <r>
    <x v="965"/>
    <x v="3"/>
    <x v="4"/>
    <s v="Website"/>
    <x v="2"/>
    <n v="3"/>
    <n v="2756000"/>
    <n v="0.16192548803503401"/>
    <n v="6929000"/>
    <x v="17"/>
    <x v="1"/>
  </r>
  <r>
    <x v="965"/>
    <x v="0"/>
    <x v="0"/>
    <s v="Website"/>
    <x v="0"/>
    <n v="2"/>
    <n v="2741000"/>
    <n v="0.16318370760169601"/>
    <n v="4587000"/>
    <x v="14"/>
    <x v="1"/>
  </r>
  <r>
    <x v="965"/>
    <x v="2"/>
    <x v="1"/>
    <s v="Website"/>
    <x v="1"/>
    <n v="2"/>
    <n v="2957000"/>
    <n v="6.12487341008396E-2"/>
    <n v="5552000"/>
    <x v="9"/>
    <x v="0"/>
  </r>
  <r>
    <x v="965"/>
    <x v="0"/>
    <x v="0"/>
    <s v="Website"/>
    <x v="6"/>
    <n v="1"/>
    <n v="2279000"/>
    <n v="8.1652136199289099E-2"/>
    <n v="2093000"/>
    <x v="4"/>
    <x v="1"/>
  </r>
  <r>
    <x v="966"/>
    <x v="3"/>
    <x v="1"/>
    <s v="Mobile App"/>
    <x v="9"/>
    <n v="5"/>
    <n v="4223000"/>
    <n v="0.13600000000000001"/>
    <n v="18243000"/>
    <x v="12"/>
    <x v="1"/>
  </r>
  <r>
    <x v="966"/>
    <x v="3"/>
    <x v="2"/>
    <s v="Call Center"/>
    <x v="2"/>
    <n v="2"/>
    <n v="4216000"/>
    <n v="7.0000000000000007E-2"/>
    <n v="7843000"/>
    <x v="17"/>
    <x v="1"/>
  </r>
  <r>
    <x v="966"/>
    <x v="3"/>
    <x v="2"/>
    <s v="Agent"/>
    <x v="0"/>
    <n v="4"/>
    <n v="3885000"/>
    <n v="0.100595505994549"/>
    <n v="13977000"/>
    <x v="6"/>
    <x v="0"/>
  </r>
  <r>
    <x v="966"/>
    <x v="1"/>
    <x v="2"/>
    <s v="Website"/>
    <x v="0"/>
    <n v="3"/>
    <n v="4283000"/>
    <n v="6.28802650137327E-2"/>
    <n v="12041000"/>
    <x v="13"/>
    <x v="1"/>
  </r>
  <r>
    <x v="966"/>
    <x v="2"/>
    <x v="4"/>
    <s v="Website"/>
    <x v="0"/>
    <n v="4"/>
    <n v="2680000"/>
    <n v="2.7627271580604199E-2"/>
    <n v="10424000"/>
    <x v="8"/>
    <x v="0"/>
  </r>
  <r>
    <x v="966"/>
    <x v="3"/>
    <x v="2"/>
    <s v="Website"/>
    <x v="9"/>
    <n v="2"/>
    <n v="4287000"/>
    <n v="0.13800000000000001"/>
    <n v="7391000"/>
    <x v="13"/>
    <x v="1"/>
  </r>
  <r>
    <x v="966"/>
    <x v="0"/>
    <x v="2"/>
    <s v="Mobile App"/>
    <x v="5"/>
    <n v="2"/>
    <n v="3767000"/>
    <n v="0.122556307110593"/>
    <n v="6611000"/>
    <x v="13"/>
    <x v="0"/>
  </r>
  <r>
    <x v="966"/>
    <x v="1"/>
    <x v="5"/>
    <s v="Website"/>
    <x v="6"/>
    <n v="1"/>
    <n v="4187000"/>
    <n v="0.18"/>
    <n v="3433000"/>
    <x v="0"/>
    <x v="1"/>
  </r>
  <r>
    <x v="967"/>
    <x v="3"/>
    <x v="1"/>
    <s v="Agent"/>
    <x v="9"/>
    <n v="1"/>
    <n v="3466000"/>
    <n v="0.119575410300056"/>
    <n v="3052000"/>
    <x v="5"/>
    <x v="1"/>
  </r>
  <r>
    <x v="967"/>
    <x v="3"/>
    <x v="2"/>
    <s v="Mobile App"/>
    <x v="4"/>
    <n v="3"/>
    <n v="2421000"/>
    <n v="0.11700000000000001"/>
    <n v="6413000"/>
    <x v="4"/>
    <x v="1"/>
  </r>
  <r>
    <x v="967"/>
    <x v="1"/>
    <x v="5"/>
    <s v="Website"/>
    <x v="4"/>
    <n v="3"/>
    <n v="4683000"/>
    <n v="8.4205385862831203E-2"/>
    <n v="12866000"/>
    <x v="11"/>
    <x v="1"/>
  </r>
  <r>
    <x v="967"/>
    <x v="3"/>
    <x v="1"/>
    <s v="Website"/>
    <x v="4"/>
    <n v="5"/>
    <n v="3185000"/>
    <n v="0.105640161799007"/>
    <n v="14243000"/>
    <x v="0"/>
    <x v="1"/>
  </r>
  <r>
    <x v="967"/>
    <x v="3"/>
    <x v="0"/>
    <s v="Website"/>
    <x v="2"/>
    <n v="1"/>
    <n v="3210000"/>
    <n v="5.0526966918253403E-2"/>
    <n v="3048000"/>
    <x v="4"/>
    <x v="1"/>
  </r>
  <r>
    <x v="968"/>
    <x v="2"/>
    <x v="2"/>
    <s v="Website"/>
    <x v="9"/>
    <n v="4"/>
    <n v="4251000"/>
    <n v="0.122"/>
    <n v="14930000"/>
    <x v="15"/>
    <x v="1"/>
  </r>
  <r>
    <x v="968"/>
    <x v="0"/>
    <x v="2"/>
    <s v="Website"/>
    <x v="7"/>
    <n v="2"/>
    <n v="3451000"/>
    <n v="9.5000000000000001E-2"/>
    <n v="6246000"/>
    <x v="15"/>
    <x v="1"/>
  </r>
  <r>
    <x v="968"/>
    <x v="0"/>
    <x v="3"/>
    <s v="Website"/>
    <x v="6"/>
    <n v="1"/>
    <n v="2151000"/>
    <n v="0.12636217997840099"/>
    <n v="1879000"/>
    <x v="4"/>
    <x v="0"/>
  </r>
  <r>
    <x v="968"/>
    <x v="1"/>
    <x v="1"/>
    <s v="Website"/>
    <x v="5"/>
    <n v="2"/>
    <n v="3083000"/>
    <n v="0.121"/>
    <n v="5420000"/>
    <x v="0"/>
    <x v="1"/>
  </r>
  <r>
    <x v="968"/>
    <x v="1"/>
    <x v="0"/>
    <s v="Agent"/>
    <x v="5"/>
    <n v="5"/>
    <n v="2676000"/>
    <n v="0.15037857635017499"/>
    <n v="11368000"/>
    <x v="11"/>
    <x v="1"/>
  </r>
  <r>
    <x v="969"/>
    <x v="1"/>
    <x v="4"/>
    <s v="Mobile App"/>
    <x v="7"/>
    <n v="5"/>
    <n v="2484000"/>
    <n v="0.14504114311931399"/>
    <n v="10619000"/>
    <x v="0"/>
    <x v="0"/>
  </r>
  <r>
    <x v="969"/>
    <x v="1"/>
    <x v="0"/>
    <s v="Agent"/>
    <x v="9"/>
    <n v="2"/>
    <n v="2838000"/>
    <n v="5.8196889711130698E-2"/>
    <n v="5346000"/>
    <x v="1"/>
    <x v="1"/>
  </r>
  <r>
    <x v="970"/>
    <x v="0"/>
    <x v="2"/>
    <s v="Mobile App"/>
    <x v="5"/>
    <n v="1"/>
    <n v="3657000"/>
    <n v="0.14924459192966699"/>
    <n v="3111000"/>
    <x v="5"/>
    <x v="1"/>
  </r>
  <r>
    <x v="970"/>
    <x v="2"/>
    <x v="5"/>
    <s v="Agent"/>
    <x v="2"/>
    <n v="2"/>
    <n v="3701000"/>
    <n v="6.8000000000000005E-2"/>
    <n v="6899000"/>
    <x v="13"/>
    <x v="1"/>
  </r>
  <r>
    <x v="970"/>
    <x v="3"/>
    <x v="2"/>
    <s v="Call Center"/>
    <x v="4"/>
    <n v="1"/>
    <n v="4041000"/>
    <n v="0.104416615509519"/>
    <n v="3619000"/>
    <x v="13"/>
    <x v="1"/>
  </r>
  <r>
    <x v="970"/>
    <x v="1"/>
    <x v="2"/>
    <s v="Website"/>
    <x v="4"/>
    <n v="3"/>
    <n v="3980000"/>
    <n v="0.13500000000000001"/>
    <n v="10333000"/>
    <x v="1"/>
    <x v="1"/>
  </r>
  <r>
    <x v="970"/>
    <x v="2"/>
    <x v="4"/>
    <s v="Website"/>
    <x v="5"/>
    <n v="4"/>
    <n v="2586000"/>
    <n v="9.8353411623977705E-2"/>
    <n v="9327000"/>
    <x v="10"/>
    <x v="1"/>
  </r>
  <r>
    <x v="970"/>
    <x v="2"/>
    <x v="5"/>
    <s v="Agent"/>
    <x v="6"/>
    <n v="3"/>
    <n v="4476000"/>
    <n v="8.5850734365302203E-2"/>
    <n v="12275000"/>
    <x v="4"/>
    <x v="1"/>
  </r>
  <r>
    <x v="971"/>
    <x v="0"/>
    <x v="5"/>
    <s v="Mobile App"/>
    <x v="6"/>
    <n v="3"/>
    <n v="4511000"/>
    <n v="0.111259389486718"/>
    <n v="12027000"/>
    <x v="5"/>
    <x v="0"/>
  </r>
  <r>
    <x v="971"/>
    <x v="3"/>
    <x v="0"/>
    <s v="Website"/>
    <x v="2"/>
    <n v="1"/>
    <n v="3199000"/>
    <n v="0.105"/>
    <n v="2863000"/>
    <x v="7"/>
    <x v="1"/>
  </r>
  <r>
    <x v="971"/>
    <x v="3"/>
    <x v="5"/>
    <s v="Website"/>
    <x v="1"/>
    <n v="2"/>
    <n v="4506000"/>
    <n v="6.61419178778751E-2"/>
    <n v="8416000"/>
    <x v="6"/>
    <x v="0"/>
  </r>
  <r>
    <x v="971"/>
    <x v="1"/>
    <x v="4"/>
    <s v="Agent"/>
    <x v="9"/>
    <n v="3"/>
    <n v="2508000"/>
    <n v="7.8796014522087399E-2"/>
    <n v="6931000"/>
    <x v="9"/>
    <x v="1"/>
  </r>
  <r>
    <x v="972"/>
    <x v="0"/>
    <x v="5"/>
    <s v="Website"/>
    <x v="9"/>
    <n v="1"/>
    <n v="4291000"/>
    <n v="0.19800000000000001"/>
    <n v="3441000"/>
    <x v="2"/>
    <x v="1"/>
  </r>
  <r>
    <x v="973"/>
    <x v="1"/>
    <x v="5"/>
    <s v="Website"/>
    <x v="1"/>
    <n v="1"/>
    <n v="4268000"/>
    <n v="8.6062638043554907E-2"/>
    <n v="3901000"/>
    <x v="5"/>
    <x v="1"/>
  </r>
  <r>
    <x v="973"/>
    <x v="0"/>
    <x v="1"/>
    <s v="Website"/>
    <x v="6"/>
    <n v="4"/>
    <n v="3584000"/>
    <n v="0.124"/>
    <n v="12558000"/>
    <x v="20"/>
    <x v="1"/>
  </r>
  <r>
    <x v="973"/>
    <x v="1"/>
    <x v="5"/>
    <s v="Website"/>
    <x v="5"/>
    <n v="3"/>
    <n v="5390000"/>
    <n v="5.9311366818849097E-2"/>
    <n v="15211000"/>
    <x v="1"/>
    <x v="1"/>
  </r>
  <r>
    <x v="973"/>
    <x v="1"/>
    <x v="0"/>
    <s v="Agent"/>
    <x v="6"/>
    <n v="3"/>
    <n v="2380000"/>
    <n v="0.16866358286272901"/>
    <n v="5936000"/>
    <x v="3"/>
    <x v="1"/>
  </r>
  <r>
    <x v="973"/>
    <x v="3"/>
    <x v="1"/>
    <s v="Website"/>
    <x v="5"/>
    <n v="1"/>
    <n v="3367000"/>
    <n v="0.127171047409639"/>
    <n v="2939000"/>
    <x v="5"/>
    <x v="1"/>
  </r>
  <r>
    <x v="974"/>
    <x v="1"/>
    <x v="4"/>
    <s v="Website"/>
    <x v="2"/>
    <n v="1"/>
    <n v="1739000"/>
    <n v="0.186"/>
    <n v="1416000"/>
    <x v="5"/>
    <x v="1"/>
  </r>
  <r>
    <x v="975"/>
    <x v="3"/>
    <x v="1"/>
    <s v="Website"/>
    <x v="3"/>
    <n v="4"/>
    <n v="3806000"/>
    <n v="0.17299999999999999"/>
    <n v="12590000"/>
    <x v="1"/>
    <x v="1"/>
  </r>
  <r>
    <x v="975"/>
    <x v="3"/>
    <x v="3"/>
    <s v="Mobile App"/>
    <x v="6"/>
    <n v="1"/>
    <n v="1736000"/>
    <n v="0.10100000000000001"/>
    <n v="1561000"/>
    <x v="15"/>
    <x v="1"/>
  </r>
  <r>
    <x v="975"/>
    <x v="3"/>
    <x v="0"/>
    <s v="Agent"/>
    <x v="4"/>
    <n v="2"/>
    <n v="2930000"/>
    <n v="7.5999999999999998E-2"/>
    <n v="5415000"/>
    <x v="8"/>
    <x v="1"/>
  </r>
  <r>
    <x v="975"/>
    <x v="0"/>
    <x v="2"/>
    <s v="Mobile App"/>
    <x v="6"/>
    <n v="1"/>
    <n v="3088000"/>
    <n v="8.1000000000000003E-2"/>
    <n v="2838000"/>
    <x v="9"/>
    <x v="1"/>
  </r>
  <r>
    <x v="976"/>
    <x v="2"/>
    <x v="2"/>
    <s v="Agent"/>
    <x v="0"/>
    <n v="2"/>
    <n v="5409000"/>
    <n v="0.17399999999999999"/>
    <n v="8936000"/>
    <x v="9"/>
    <x v="1"/>
  </r>
  <r>
    <x v="976"/>
    <x v="0"/>
    <x v="2"/>
    <s v="Agent"/>
    <x v="5"/>
    <n v="3"/>
    <n v="4262000"/>
    <n v="8.3777029673711201E-2"/>
    <n v="11715000"/>
    <x v="0"/>
    <x v="1"/>
  </r>
  <r>
    <x v="977"/>
    <x v="1"/>
    <x v="1"/>
    <s v="Agent"/>
    <x v="2"/>
    <n v="1"/>
    <n v="3526000"/>
    <n v="9.4128009657476502E-2"/>
    <n v="3194000"/>
    <x v="7"/>
    <x v="1"/>
  </r>
  <r>
    <x v="978"/>
    <x v="1"/>
    <x v="0"/>
    <s v="Website"/>
    <x v="4"/>
    <n v="2"/>
    <n v="2928000"/>
    <n v="1.7999999999999999E-2"/>
    <n v="5751000"/>
    <x v="10"/>
    <x v="1"/>
  </r>
  <r>
    <x v="978"/>
    <x v="1"/>
    <x v="5"/>
    <s v="Website"/>
    <x v="5"/>
    <n v="1"/>
    <n v="6195000"/>
    <n v="0.10199999999999999"/>
    <n v="5563000"/>
    <x v="4"/>
    <x v="1"/>
  </r>
  <r>
    <x v="978"/>
    <x v="1"/>
    <x v="4"/>
    <s v="Website"/>
    <x v="8"/>
    <n v="2"/>
    <n v="1903000"/>
    <n v="0.24099999999999999"/>
    <n v="2889000"/>
    <x v="4"/>
    <x v="1"/>
  </r>
  <r>
    <x v="979"/>
    <x v="0"/>
    <x v="0"/>
    <s v="Agent"/>
    <x v="3"/>
    <n v="1"/>
    <n v="2589000"/>
    <n v="0.101833667360925"/>
    <n v="2325000"/>
    <x v="4"/>
    <x v="1"/>
  </r>
  <r>
    <x v="979"/>
    <x v="0"/>
    <x v="4"/>
    <s v="Call Center"/>
    <x v="3"/>
    <n v="2"/>
    <n v="3005000"/>
    <n v="5.6050076373092401E-2"/>
    <n v="5673000"/>
    <x v="4"/>
    <x v="1"/>
  </r>
  <r>
    <x v="979"/>
    <x v="2"/>
    <x v="2"/>
    <s v="Mobile App"/>
    <x v="0"/>
    <n v="1"/>
    <n v="6530000"/>
    <n v="9.1999999999999998E-2"/>
    <n v="5929000"/>
    <x v="17"/>
    <x v="1"/>
  </r>
  <r>
    <x v="979"/>
    <x v="0"/>
    <x v="2"/>
    <s v="Website"/>
    <x v="3"/>
    <n v="1"/>
    <n v="4275000"/>
    <n v="0.108183457651662"/>
    <n v="3813000"/>
    <x v="12"/>
    <x v="1"/>
  </r>
  <r>
    <x v="979"/>
    <x v="1"/>
    <x v="1"/>
    <s v="Agent"/>
    <x v="4"/>
    <n v="3"/>
    <n v="2004000"/>
    <n v="6.2E-2"/>
    <n v="5639000"/>
    <x v="4"/>
    <x v="1"/>
  </r>
  <r>
    <x v="979"/>
    <x v="0"/>
    <x v="0"/>
    <s v="Agent"/>
    <x v="1"/>
    <n v="1"/>
    <n v="2645000"/>
    <n v="0.13200000000000001"/>
    <n v="2296000"/>
    <x v="6"/>
    <x v="1"/>
  </r>
  <r>
    <x v="979"/>
    <x v="0"/>
    <x v="0"/>
    <s v="Agent"/>
    <x v="4"/>
    <n v="3"/>
    <n v="1722000"/>
    <n v="0.12"/>
    <n v="4546000"/>
    <x v="6"/>
    <x v="1"/>
  </r>
  <r>
    <x v="980"/>
    <x v="0"/>
    <x v="0"/>
    <s v="Agent"/>
    <x v="2"/>
    <n v="1"/>
    <n v="3090000"/>
    <n v="0.105160228951567"/>
    <n v="2765000"/>
    <x v="5"/>
    <x v="0"/>
  </r>
  <r>
    <x v="980"/>
    <x v="3"/>
    <x v="0"/>
    <s v="Website"/>
    <x v="9"/>
    <n v="1"/>
    <n v="2694000"/>
    <n v="0.13340358876029301"/>
    <n v="2335000"/>
    <x v="1"/>
    <x v="1"/>
  </r>
  <r>
    <x v="980"/>
    <x v="0"/>
    <x v="0"/>
    <s v="Website"/>
    <x v="9"/>
    <n v="3"/>
    <n v="2721000"/>
    <n v="8.4428888883942704E-2"/>
    <n v="7474000"/>
    <x v="10"/>
    <x v="0"/>
  </r>
  <r>
    <x v="980"/>
    <x v="0"/>
    <x v="2"/>
    <s v="Website"/>
    <x v="5"/>
    <n v="2"/>
    <n v="3701000"/>
    <n v="0.109"/>
    <n v="6595000"/>
    <x v="4"/>
    <x v="1"/>
  </r>
  <r>
    <x v="981"/>
    <x v="0"/>
    <x v="2"/>
    <s v="Website"/>
    <x v="4"/>
    <n v="1"/>
    <n v="4899000"/>
    <n v="0.20100000000000001"/>
    <n v="3914000"/>
    <x v="1"/>
    <x v="1"/>
  </r>
  <r>
    <x v="981"/>
    <x v="2"/>
    <x v="0"/>
    <s v="Website"/>
    <x v="2"/>
    <n v="2"/>
    <n v="2577000"/>
    <n v="0.13100000000000001"/>
    <n v="4479000"/>
    <x v="2"/>
    <x v="1"/>
  </r>
  <r>
    <x v="981"/>
    <x v="3"/>
    <x v="1"/>
    <s v="Website"/>
    <x v="8"/>
    <n v="3"/>
    <n v="2103000"/>
    <n v="0.11899999999999999"/>
    <n v="5558000"/>
    <x v="10"/>
    <x v="1"/>
  </r>
  <r>
    <x v="981"/>
    <x v="0"/>
    <x v="0"/>
    <s v="Mobile App"/>
    <x v="3"/>
    <n v="1"/>
    <n v="2614000"/>
    <n v="0.14847084335895799"/>
    <n v="2226000"/>
    <x v="4"/>
    <x v="0"/>
  </r>
  <r>
    <x v="981"/>
    <x v="1"/>
    <x v="3"/>
    <s v="Agent"/>
    <x v="8"/>
    <n v="2"/>
    <n v="2968000"/>
    <n v="0"/>
    <n v="5936000"/>
    <x v="6"/>
    <x v="1"/>
  </r>
  <r>
    <x v="981"/>
    <x v="1"/>
    <x v="0"/>
    <s v="Website"/>
    <x v="2"/>
    <n v="2"/>
    <n v="3222000"/>
    <n v="8.6144257856556605E-2"/>
    <n v="5889000"/>
    <x v="2"/>
    <x v="1"/>
  </r>
  <r>
    <x v="982"/>
    <x v="0"/>
    <x v="1"/>
    <s v="Website"/>
    <x v="2"/>
    <n v="1"/>
    <n v="3019000"/>
    <n v="6.9074222211312403E-2"/>
    <n v="2810000"/>
    <x v="6"/>
    <x v="0"/>
  </r>
  <r>
    <x v="982"/>
    <x v="1"/>
    <x v="0"/>
    <s v="Website"/>
    <x v="2"/>
    <n v="1"/>
    <n v="3103000"/>
    <n v="2.9000000000000001E-2"/>
    <n v="3011000"/>
    <x v="1"/>
    <x v="1"/>
  </r>
  <r>
    <x v="982"/>
    <x v="1"/>
    <x v="2"/>
    <s v="Website"/>
    <x v="3"/>
    <n v="2"/>
    <n v="4027000"/>
    <n v="0.128401173860762"/>
    <n v="7020000"/>
    <x v="9"/>
    <x v="0"/>
  </r>
  <r>
    <x v="982"/>
    <x v="2"/>
    <x v="0"/>
    <s v="Agent"/>
    <x v="5"/>
    <n v="2"/>
    <n v="2128000"/>
    <n v="0.154"/>
    <n v="3601000"/>
    <x v="6"/>
    <x v="1"/>
  </r>
  <r>
    <x v="983"/>
    <x v="0"/>
    <x v="1"/>
    <s v="Agent"/>
    <x v="4"/>
    <n v="3"/>
    <n v="2829000"/>
    <n v="0.107"/>
    <n v="7579000"/>
    <x v="2"/>
    <x v="1"/>
  </r>
  <r>
    <x v="983"/>
    <x v="0"/>
    <x v="2"/>
    <s v="Mobile App"/>
    <x v="0"/>
    <n v="2"/>
    <n v="3188000"/>
    <n v="2.8000000000000001E-2"/>
    <n v="6197000"/>
    <x v="15"/>
    <x v="0"/>
  </r>
  <r>
    <x v="983"/>
    <x v="3"/>
    <x v="0"/>
    <s v="Call Center"/>
    <x v="2"/>
    <n v="2"/>
    <n v="3434000"/>
    <n v="0.20599999999999999"/>
    <n v="5453000"/>
    <x v="5"/>
    <x v="1"/>
  </r>
  <r>
    <x v="983"/>
    <x v="0"/>
    <x v="5"/>
    <s v="Mobile App"/>
    <x v="3"/>
    <n v="3"/>
    <n v="4833000"/>
    <n v="0.20399999999999999"/>
    <n v="11541000"/>
    <x v="0"/>
    <x v="1"/>
  </r>
  <r>
    <x v="983"/>
    <x v="3"/>
    <x v="5"/>
    <s v="Website"/>
    <x v="7"/>
    <n v="4"/>
    <n v="4837000"/>
    <n v="8.0148387491081496E-2"/>
    <n v="17797000"/>
    <x v="7"/>
    <x v="1"/>
  </r>
  <r>
    <x v="984"/>
    <x v="0"/>
    <x v="5"/>
    <s v="Agent"/>
    <x v="1"/>
    <n v="1"/>
    <n v="4393000"/>
    <n v="0.17987179868484901"/>
    <n v="3603000"/>
    <x v="8"/>
    <x v="1"/>
  </r>
  <r>
    <x v="984"/>
    <x v="1"/>
    <x v="5"/>
    <s v="Website"/>
    <x v="9"/>
    <n v="1"/>
    <n v="4662000"/>
    <n v="0.155"/>
    <n v="3939000"/>
    <x v="7"/>
    <x v="0"/>
  </r>
  <r>
    <x v="984"/>
    <x v="0"/>
    <x v="2"/>
    <s v="Mobile App"/>
    <x v="2"/>
    <n v="1"/>
    <n v="4272000"/>
    <n v="0.14799999999999999"/>
    <n v="3640000"/>
    <x v="12"/>
    <x v="1"/>
  </r>
  <r>
    <x v="984"/>
    <x v="3"/>
    <x v="2"/>
    <s v="Mobile App"/>
    <x v="4"/>
    <n v="1"/>
    <n v="4226000"/>
    <n v="0.18"/>
    <n v="3465000"/>
    <x v="15"/>
    <x v="1"/>
  </r>
  <r>
    <x v="984"/>
    <x v="1"/>
    <x v="3"/>
    <s v="Website"/>
    <x v="5"/>
    <n v="1"/>
    <n v="2180000"/>
    <n v="0.12881556394458099"/>
    <n v="1899000"/>
    <x v="6"/>
    <x v="0"/>
  </r>
  <r>
    <x v="985"/>
    <x v="3"/>
    <x v="4"/>
    <s v="Mobile App"/>
    <x v="4"/>
    <n v="4"/>
    <n v="1922000"/>
    <n v="0.17090598525901199"/>
    <n v="6374000"/>
    <x v="5"/>
    <x v="1"/>
  </r>
  <r>
    <x v="985"/>
    <x v="1"/>
    <x v="0"/>
    <s v="Mobile App"/>
    <x v="2"/>
    <n v="1"/>
    <n v="2942000"/>
    <n v="0.17899999999999999"/>
    <n v="2415000"/>
    <x v="12"/>
    <x v="1"/>
  </r>
  <r>
    <x v="985"/>
    <x v="3"/>
    <x v="1"/>
    <s v="Mobile App"/>
    <x v="4"/>
    <n v="3"/>
    <n v="2675000"/>
    <n v="0.16876788731658199"/>
    <n v="6671000"/>
    <x v="6"/>
    <x v="1"/>
  </r>
  <r>
    <x v="986"/>
    <x v="0"/>
    <x v="3"/>
    <s v="Website"/>
    <x v="0"/>
    <n v="1"/>
    <n v="2550000"/>
    <n v="6.10180955930908E-2"/>
    <n v="2394000"/>
    <x v="14"/>
    <x v="0"/>
  </r>
  <r>
    <x v="986"/>
    <x v="2"/>
    <x v="5"/>
    <s v="Mobile App"/>
    <x v="2"/>
    <n v="1"/>
    <n v="4615000"/>
    <n v="0"/>
    <n v="4615000"/>
    <x v="6"/>
    <x v="0"/>
  </r>
  <r>
    <x v="986"/>
    <x v="2"/>
    <x v="3"/>
    <s v="Mobile App"/>
    <x v="9"/>
    <n v="3"/>
    <n v="3145000"/>
    <n v="-0.2"/>
    <n v="9416000"/>
    <x v="14"/>
    <x v="1"/>
  </r>
  <r>
    <x v="987"/>
    <x v="0"/>
    <x v="2"/>
    <s v="Agent"/>
    <x v="7"/>
    <n v="2"/>
    <n v="3081000"/>
    <n v="0.128"/>
    <n v="5373000"/>
    <x v="4"/>
    <x v="1"/>
  </r>
  <r>
    <x v="987"/>
    <x v="1"/>
    <x v="2"/>
    <s v="Website"/>
    <x v="4"/>
    <n v="2"/>
    <n v="3878000"/>
    <n v="0.11600000000000001"/>
    <n v="6856000"/>
    <x v="4"/>
    <x v="1"/>
  </r>
  <r>
    <x v="987"/>
    <x v="3"/>
    <x v="5"/>
    <s v="Website"/>
    <x v="8"/>
    <n v="1"/>
    <n v="5880000"/>
    <n v="0.121"/>
    <n v="5169000"/>
    <x v="0"/>
    <x v="1"/>
  </r>
  <r>
    <x v="988"/>
    <x v="1"/>
    <x v="2"/>
    <s v="Website"/>
    <x v="5"/>
    <n v="3"/>
    <n v="3911000"/>
    <n v="0.15"/>
    <n v="9973000"/>
    <x v="13"/>
    <x v="0"/>
  </r>
  <r>
    <x v="988"/>
    <x v="0"/>
    <x v="4"/>
    <s v="Website"/>
    <x v="7"/>
    <n v="2"/>
    <n v="2621000"/>
    <n v="5.16555264032365E-2"/>
    <n v="4971000"/>
    <x v="10"/>
    <x v="1"/>
  </r>
  <r>
    <x v="989"/>
    <x v="3"/>
    <x v="2"/>
    <s v="Website"/>
    <x v="7"/>
    <n v="1"/>
    <n v="4181000"/>
    <n v="8.5999999999999993E-2"/>
    <n v="3821000"/>
    <x v="9"/>
    <x v="1"/>
  </r>
  <r>
    <x v="989"/>
    <x v="1"/>
    <x v="0"/>
    <s v="Website"/>
    <x v="5"/>
    <n v="1"/>
    <n v="2205000"/>
    <n v="0.01"/>
    <n v="2183000"/>
    <x v="15"/>
    <x v="1"/>
  </r>
  <r>
    <x v="989"/>
    <x v="0"/>
    <x v="5"/>
    <s v="Mobile App"/>
    <x v="0"/>
    <n v="2"/>
    <n v="5607000"/>
    <n v="0.123"/>
    <n v="9835000"/>
    <x v="1"/>
    <x v="1"/>
  </r>
  <r>
    <x v="989"/>
    <x v="3"/>
    <x v="1"/>
    <s v="Website"/>
    <x v="9"/>
    <n v="3"/>
    <n v="3897000"/>
    <n v="0.11799999999999999"/>
    <n v="10311000"/>
    <x v="14"/>
    <x v="1"/>
  </r>
  <r>
    <x v="989"/>
    <x v="1"/>
    <x v="4"/>
    <s v="Website"/>
    <x v="8"/>
    <n v="3"/>
    <n v="2483000"/>
    <n v="0.10714183538875199"/>
    <n v="6651000"/>
    <x v="4"/>
    <x v="0"/>
  </r>
  <r>
    <x v="990"/>
    <x v="2"/>
    <x v="2"/>
    <s v="Mobile App"/>
    <x v="8"/>
    <n v="1"/>
    <n v="3885000"/>
    <n v="0"/>
    <n v="3885000"/>
    <x v="4"/>
    <x v="1"/>
  </r>
  <r>
    <x v="991"/>
    <x v="2"/>
    <x v="1"/>
    <s v="Website"/>
    <x v="4"/>
    <n v="5"/>
    <n v="2945000"/>
    <n v="0.153"/>
    <n v="12472000"/>
    <x v="15"/>
    <x v="1"/>
  </r>
  <r>
    <x v="991"/>
    <x v="0"/>
    <x v="1"/>
    <s v="Website"/>
    <x v="5"/>
    <n v="1"/>
    <n v="3648000"/>
    <n v="5.0509478172382299E-2"/>
    <n v="3464000"/>
    <x v="17"/>
    <x v="1"/>
  </r>
  <r>
    <x v="992"/>
    <x v="2"/>
    <x v="1"/>
    <s v="Website"/>
    <x v="3"/>
    <n v="4"/>
    <n v="3146000"/>
    <n v="0.22900000000000001"/>
    <n v="9702000"/>
    <x v="12"/>
    <x v="1"/>
  </r>
  <r>
    <x v="992"/>
    <x v="2"/>
    <x v="5"/>
    <s v="Mobile App"/>
    <x v="3"/>
    <n v="1"/>
    <n v="3460000"/>
    <n v="0.16"/>
    <n v="2906000"/>
    <x v="1"/>
    <x v="0"/>
  </r>
  <r>
    <x v="992"/>
    <x v="1"/>
    <x v="1"/>
    <s v="Website"/>
    <x v="9"/>
    <n v="4"/>
    <n v="3694000"/>
    <n v="0.116861263241527"/>
    <n v="13049000"/>
    <x v="8"/>
    <x v="1"/>
  </r>
  <r>
    <x v="992"/>
    <x v="0"/>
    <x v="5"/>
    <s v="Website"/>
    <x v="0"/>
    <n v="1"/>
    <n v="5905000"/>
    <n v="7.8558535496565995E-2"/>
    <n v="5441000"/>
    <x v="12"/>
    <x v="1"/>
  </r>
  <r>
    <x v="993"/>
    <x v="0"/>
    <x v="4"/>
    <s v="Website"/>
    <x v="0"/>
    <n v="1"/>
    <n v="3244000"/>
    <n v="0.25"/>
    <n v="2433000"/>
    <x v="14"/>
    <x v="1"/>
  </r>
  <r>
    <x v="993"/>
    <x v="1"/>
    <x v="3"/>
    <s v="Website"/>
    <x v="7"/>
    <n v="3"/>
    <n v="2083000"/>
    <n v="4.8606637026109102E-2"/>
    <n v="5945000"/>
    <x v="1"/>
    <x v="1"/>
  </r>
  <r>
    <x v="993"/>
    <x v="2"/>
    <x v="3"/>
    <s v="Website"/>
    <x v="0"/>
    <n v="1"/>
    <n v="2529000"/>
    <n v="0.103921634512416"/>
    <n v="2266000"/>
    <x v="12"/>
    <x v="1"/>
  </r>
  <r>
    <x v="993"/>
    <x v="3"/>
    <x v="1"/>
    <s v="Website"/>
    <x v="8"/>
    <n v="4"/>
    <n v="2337000"/>
    <n v="0.16200000000000001"/>
    <n v="7834000"/>
    <x v="14"/>
    <x v="1"/>
  </r>
  <r>
    <x v="993"/>
    <x v="0"/>
    <x v="2"/>
    <s v="Website"/>
    <x v="8"/>
    <n v="2"/>
    <n v="3614000"/>
    <n v="7.9512936990914398E-2"/>
    <n v="6653000"/>
    <x v="3"/>
    <x v="0"/>
  </r>
  <r>
    <x v="993"/>
    <x v="1"/>
    <x v="1"/>
    <s v="Agent"/>
    <x v="1"/>
    <n v="2"/>
    <n v="3628000"/>
    <n v="0.151"/>
    <n v="6160000"/>
    <x v="13"/>
    <x v="1"/>
  </r>
  <r>
    <x v="993"/>
    <x v="1"/>
    <x v="5"/>
    <s v="Website"/>
    <x v="1"/>
    <n v="2"/>
    <n v="4817000"/>
    <n v="5.9189907511929298E-2"/>
    <n v="9064000"/>
    <x v="1"/>
    <x v="1"/>
  </r>
  <r>
    <x v="994"/>
    <x v="0"/>
    <x v="5"/>
    <s v="Mobile App"/>
    <x v="0"/>
    <n v="1"/>
    <n v="5934000"/>
    <n v="0"/>
    <n v="5934000"/>
    <x v="1"/>
    <x v="1"/>
  </r>
  <r>
    <x v="994"/>
    <x v="0"/>
    <x v="0"/>
    <s v="Website"/>
    <x v="8"/>
    <n v="1"/>
    <n v="2088000"/>
    <n v="9.1999999999999998E-2"/>
    <n v="1896000"/>
    <x v="8"/>
    <x v="1"/>
  </r>
  <r>
    <x v="995"/>
    <x v="3"/>
    <x v="5"/>
    <s v="Mobile App"/>
    <x v="6"/>
    <n v="4"/>
    <n v="5294000"/>
    <n v="6.5844166505925894E-2"/>
    <n v="19782000"/>
    <x v="2"/>
    <x v="1"/>
  </r>
  <r>
    <x v="995"/>
    <x v="2"/>
    <x v="2"/>
    <s v="Website"/>
    <x v="0"/>
    <n v="1"/>
    <n v="3770000"/>
    <n v="7.2999999999999995E-2"/>
    <n v="3495000"/>
    <x v="3"/>
    <x v="1"/>
  </r>
  <r>
    <x v="995"/>
    <x v="1"/>
    <x v="5"/>
    <s v="Website"/>
    <x v="8"/>
    <n v="2"/>
    <n v="4083000"/>
    <n v="0.17399999999999999"/>
    <n v="6745000"/>
    <x v="12"/>
    <x v="1"/>
  </r>
  <r>
    <x v="995"/>
    <x v="0"/>
    <x v="5"/>
    <s v="Website"/>
    <x v="2"/>
    <n v="2"/>
    <n v="5927000"/>
    <n v="8.5999999999999993E-2"/>
    <n v="10835000"/>
    <x v="10"/>
    <x v="1"/>
  </r>
  <r>
    <x v="995"/>
    <x v="1"/>
    <x v="5"/>
    <s v="Website"/>
    <x v="6"/>
    <n v="1"/>
    <n v="5271000"/>
    <n v="0.126"/>
    <n v="4607000"/>
    <x v="3"/>
    <x v="1"/>
  </r>
  <r>
    <x v="995"/>
    <x v="0"/>
    <x v="0"/>
    <s v="Agent"/>
    <x v="4"/>
    <n v="2"/>
    <n v="1651000"/>
    <n v="0.121"/>
    <n v="2902000"/>
    <x v="15"/>
    <x v="0"/>
  </r>
  <r>
    <x v="995"/>
    <x v="1"/>
    <x v="5"/>
    <s v="Mobile App"/>
    <x v="7"/>
    <n v="2"/>
    <n v="4638000"/>
    <n v="1.2999999999999999E-2"/>
    <n v="9155000"/>
    <x v="2"/>
    <x v="1"/>
  </r>
  <r>
    <x v="996"/>
    <x v="2"/>
    <x v="2"/>
    <s v="Website"/>
    <x v="1"/>
    <n v="2"/>
    <n v="2629000"/>
    <n v="0.13400000000000001"/>
    <n v="4553000"/>
    <x v="24"/>
    <x v="1"/>
  </r>
  <r>
    <x v="996"/>
    <x v="1"/>
    <x v="4"/>
    <s v="Website"/>
    <x v="8"/>
    <n v="1"/>
    <n v="2780000"/>
    <n v="0.12900228221430701"/>
    <n v="2421000"/>
    <x v="7"/>
    <x v="0"/>
  </r>
  <r>
    <x v="996"/>
    <x v="3"/>
    <x v="2"/>
    <s v="Website"/>
    <x v="9"/>
    <n v="1"/>
    <n v="4290000"/>
    <n v="0.115"/>
    <n v="3797000"/>
    <x v="1"/>
    <x v="0"/>
  </r>
  <r>
    <x v="996"/>
    <x v="1"/>
    <x v="2"/>
    <s v="Website"/>
    <x v="4"/>
    <n v="3"/>
    <n v="4277000"/>
    <n v="6.3778187837723099E-2"/>
    <n v="12013000"/>
    <x v="1"/>
    <x v="1"/>
  </r>
  <r>
    <x v="996"/>
    <x v="3"/>
    <x v="2"/>
    <s v="Website"/>
    <x v="5"/>
    <n v="1"/>
    <n v="4350000"/>
    <n v="0.107773551862051"/>
    <n v="3881000"/>
    <x v="18"/>
    <x v="1"/>
  </r>
  <r>
    <x v="997"/>
    <x v="0"/>
    <x v="3"/>
    <s v="Mobile App"/>
    <x v="3"/>
    <n v="1"/>
    <n v="2528000"/>
    <n v="5.0999999999999997E-2"/>
    <n v="2399000"/>
    <x v="9"/>
    <x v="1"/>
  </r>
  <r>
    <x v="997"/>
    <x v="0"/>
    <x v="1"/>
    <s v="Agent"/>
    <x v="3"/>
    <n v="2"/>
    <n v="3368000"/>
    <n v="9.9027743101558097E-2"/>
    <n v="6069000"/>
    <x v="12"/>
    <x v="0"/>
  </r>
  <r>
    <x v="997"/>
    <x v="0"/>
    <x v="1"/>
    <s v="Website"/>
    <x v="0"/>
    <n v="2"/>
    <n v="3827000"/>
    <n v="0.27700000000000002"/>
    <n v="5534000"/>
    <x v="13"/>
    <x v="1"/>
  </r>
  <r>
    <x v="997"/>
    <x v="2"/>
    <x v="2"/>
    <s v="Website"/>
    <x v="0"/>
    <n v="2"/>
    <n v="4449000"/>
    <n v="6.7899827238464494E-2"/>
    <n v="8294000"/>
    <x v="5"/>
    <x v="1"/>
  </r>
  <r>
    <x v="997"/>
    <x v="0"/>
    <x v="0"/>
    <s v="Website"/>
    <x v="9"/>
    <n v="3"/>
    <n v="2803000"/>
    <n v="0.16435784382315899"/>
    <n v="7027000"/>
    <x v="12"/>
    <x v="1"/>
  </r>
  <r>
    <x v="997"/>
    <x v="1"/>
    <x v="0"/>
    <s v="Website"/>
    <x v="2"/>
    <n v="2"/>
    <n v="2868000"/>
    <n v="0.19400000000000001"/>
    <n v="4623000"/>
    <x v="0"/>
    <x v="1"/>
  </r>
  <r>
    <x v="997"/>
    <x v="0"/>
    <x v="4"/>
    <s v="Website"/>
    <x v="1"/>
    <n v="3"/>
    <n v="2528000"/>
    <n v="0.125"/>
    <n v="6632000"/>
    <x v="10"/>
    <x v="1"/>
  </r>
  <r>
    <x v="998"/>
    <x v="0"/>
    <x v="2"/>
    <s v="Website"/>
    <x v="6"/>
    <n v="1"/>
    <n v="3868000"/>
    <n v="5.9225211445453001E-2"/>
    <n v="3639000"/>
    <x v="13"/>
    <x v="0"/>
  </r>
  <r>
    <x v="998"/>
    <x v="0"/>
    <x v="0"/>
    <s v="Mobile App"/>
    <x v="7"/>
    <n v="2"/>
    <n v="2280000"/>
    <n v="0.110136672136892"/>
    <n v="4058000"/>
    <x v="12"/>
    <x v="1"/>
  </r>
  <r>
    <x v="998"/>
    <x v="3"/>
    <x v="2"/>
    <s v="Mobile App"/>
    <x v="8"/>
    <n v="2"/>
    <n v="3919000"/>
    <n v="9.1928434517213095E-2"/>
    <n v="7117000"/>
    <x v="0"/>
    <x v="1"/>
  </r>
  <r>
    <x v="999"/>
    <x v="3"/>
    <x v="2"/>
    <s v="Mobile App"/>
    <x v="5"/>
    <n v="1"/>
    <n v="3927000"/>
    <n v="0.127"/>
    <n v="3428000"/>
    <x v="6"/>
    <x v="1"/>
  </r>
  <r>
    <x v="999"/>
    <x v="0"/>
    <x v="2"/>
    <s v="Website"/>
    <x v="0"/>
    <n v="1"/>
    <n v="5021000"/>
    <n v="5.4023845295674403E-2"/>
    <n v="4750000"/>
    <x v="20"/>
    <x v="1"/>
  </r>
  <r>
    <x v="999"/>
    <x v="3"/>
    <x v="5"/>
    <s v="Website"/>
    <x v="8"/>
    <n v="3"/>
    <n v="5041000"/>
    <n v="0.12186965736964001"/>
    <n v="13280000"/>
    <x v="2"/>
    <x v="1"/>
  </r>
  <r>
    <x v="1000"/>
    <x v="2"/>
    <x v="0"/>
    <s v="Mobile App"/>
    <x v="7"/>
    <n v="1"/>
    <n v="1445000"/>
    <n v="0.186"/>
    <n v="1176000"/>
    <x v="4"/>
    <x v="1"/>
  </r>
  <r>
    <x v="1000"/>
    <x v="1"/>
    <x v="0"/>
    <s v="Mobile App"/>
    <x v="8"/>
    <n v="1"/>
    <n v="2238000"/>
    <n v="0.219"/>
    <n v="1748000"/>
    <x v="0"/>
    <x v="1"/>
  </r>
  <r>
    <x v="1000"/>
    <x v="2"/>
    <x v="4"/>
    <s v="Mobile App"/>
    <x v="9"/>
    <n v="2"/>
    <n v="2488000"/>
    <n v="9.1999999999999998E-2"/>
    <n v="4518000"/>
    <x v="0"/>
    <x v="0"/>
  </r>
  <r>
    <x v="1000"/>
    <x v="1"/>
    <x v="5"/>
    <s v="Website"/>
    <x v="6"/>
    <n v="2"/>
    <n v="4544000"/>
    <n v="0.10299999999999999"/>
    <n v="8152000"/>
    <x v="17"/>
    <x v="0"/>
  </r>
  <r>
    <x v="1000"/>
    <x v="0"/>
    <x v="3"/>
    <s v="Website"/>
    <x v="2"/>
    <n v="4"/>
    <n v="1630000"/>
    <n v="0.09"/>
    <n v="5933000"/>
    <x v="2"/>
    <x v="1"/>
  </r>
  <r>
    <x v="1001"/>
    <x v="0"/>
    <x v="2"/>
    <s v="Website"/>
    <x v="1"/>
    <n v="2"/>
    <n v="-100000"/>
    <n v="0.127"/>
    <n v="5908000"/>
    <x v="0"/>
    <x v="1"/>
  </r>
  <r>
    <x v="1001"/>
    <x v="0"/>
    <x v="4"/>
    <s v="Website"/>
    <x v="8"/>
    <n v="2"/>
    <n v="2219000"/>
    <n v="0.19800000000000001"/>
    <n v="3559000"/>
    <x v="14"/>
    <x v="1"/>
  </r>
  <r>
    <x v="1001"/>
    <x v="1"/>
    <x v="2"/>
    <s v="Agent"/>
    <x v="9"/>
    <n v="3"/>
    <n v="3615000"/>
    <n v="0.14099999999999999"/>
    <n v="9316000"/>
    <x v="20"/>
    <x v="0"/>
  </r>
  <r>
    <x v="1001"/>
    <x v="0"/>
    <x v="0"/>
    <s v="Website"/>
    <x v="7"/>
    <n v="3"/>
    <n v="2259000"/>
    <n v="2.30715729448637E-2"/>
    <n v="6621000"/>
    <x v="7"/>
    <x v="1"/>
  </r>
  <r>
    <x v="1001"/>
    <x v="3"/>
    <x v="2"/>
    <s v="Agent"/>
    <x v="6"/>
    <n v="2"/>
    <n v="3639000"/>
    <n v="0.14399999999999999"/>
    <n v="6230000"/>
    <x v="12"/>
    <x v="1"/>
  </r>
  <r>
    <x v="1001"/>
    <x v="1"/>
    <x v="4"/>
    <s v="Website"/>
    <x v="7"/>
    <n v="1"/>
    <n v="2823000"/>
    <n v="4.0639667130114299E-2"/>
    <n v="2708000"/>
    <x v="2"/>
    <x v="1"/>
  </r>
  <r>
    <x v="1002"/>
    <x v="0"/>
    <x v="2"/>
    <s v="Website"/>
    <x v="4"/>
    <n v="1"/>
    <n v="4236000"/>
    <n v="0.04"/>
    <n v="4067000"/>
    <x v="2"/>
    <x v="1"/>
  </r>
  <r>
    <x v="1002"/>
    <x v="1"/>
    <x v="0"/>
    <s v="Website"/>
    <x v="6"/>
    <n v="3"/>
    <n v="2872000"/>
    <n v="0.154"/>
    <n v="7289000"/>
    <x v="15"/>
    <x v="1"/>
  </r>
  <r>
    <x v="1003"/>
    <x v="1"/>
    <x v="3"/>
    <s v="Website"/>
    <x v="5"/>
    <n v="3"/>
    <n v="2509000"/>
    <n v="7.8876511617943304E-2"/>
    <n v="6933000"/>
    <x v="6"/>
    <x v="1"/>
  </r>
  <r>
    <x v="1003"/>
    <x v="1"/>
    <x v="1"/>
    <s v="Mobile App"/>
    <x v="0"/>
    <n v="2"/>
    <n v="3548000"/>
    <n v="0.192"/>
    <n v="5734000"/>
    <x v="16"/>
    <x v="1"/>
  </r>
  <r>
    <x v="1003"/>
    <x v="1"/>
    <x v="0"/>
    <s v="Call Center"/>
    <x v="0"/>
    <n v="1"/>
    <n v="3710000"/>
    <n v="0.13300000000000001"/>
    <n v="3217000"/>
    <x v="15"/>
    <x v="1"/>
  </r>
  <r>
    <x v="1003"/>
    <x v="3"/>
    <x v="0"/>
    <s v="Website"/>
    <x v="8"/>
    <n v="3"/>
    <n v="2762000"/>
    <n v="0.16900000000000001"/>
    <n v="6886000"/>
    <x v="1"/>
    <x v="1"/>
  </r>
  <r>
    <x v="1004"/>
    <x v="3"/>
    <x v="0"/>
    <s v="Mobile App"/>
    <x v="9"/>
    <n v="2"/>
    <n v="2816000"/>
    <n v="8.8772158800485904E-2"/>
    <n v="5132000"/>
    <x v="11"/>
    <x v="1"/>
  </r>
  <r>
    <x v="1005"/>
    <x v="3"/>
    <x v="1"/>
    <s v="Agent"/>
    <x v="8"/>
    <n v="5"/>
    <n v="2003000"/>
    <n v="0.124"/>
    <n v="8773000"/>
    <x v="7"/>
    <x v="1"/>
  </r>
  <r>
    <x v="1005"/>
    <x v="1"/>
    <x v="2"/>
    <s v="Agent"/>
    <x v="9"/>
    <n v="2"/>
    <n v="4428000"/>
    <n v="3.6669677697927401E-2"/>
    <n v="8531000"/>
    <x v="1"/>
    <x v="1"/>
  </r>
  <r>
    <x v="1006"/>
    <x v="0"/>
    <x v="2"/>
    <s v="Website"/>
    <x v="9"/>
    <n v="1"/>
    <n v="4700000"/>
    <n v="0.15087931799156401"/>
    <n v="3991000"/>
    <x v="0"/>
    <x v="1"/>
  </r>
  <r>
    <x v="1006"/>
    <x v="0"/>
    <x v="2"/>
    <s v="Website"/>
    <x v="9"/>
    <n v="2"/>
    <n v="4484000"/>
    <n v="9.4851622795290302E-2"/>
    <n v="8117000"/>
    <x v="9"/>
    <x v="1"/>
  </r>
  <r>
    <x v="1007"/>
    <x v="0"/>
    <x v="1"/>
    <s v="Agent"/>
    <x v="9"/>
    <n v="1"/>
    <n v="3086000"/>
    <n v="5.4354008036691298E-2"/>
    <n v="2918000"/>
    <x v="8"/>
    <x v="1"/>
  </r>
  <r>
    <x v="1007"/>
    <x v="1"/>
    <x v="1"/>
    <s v="Website"/>
    <x v="2"/>
    <n v="3"/>
    <n v="3520000"/>
    <n v="0.150324602409075"/>
    <n v="8973000"/>
    <x v="6"/>
    <x v="0"/>
  </r>
  <r>
    <x v="1008"/>
    <x v="1"/>
    <x v="0"/>
    <s v="Mobile App"/>
    <x v="3"/>
    <n v="1"/>
    <n v="2947000"/>
    <n v="0.15645264563438199"/>
    <n v="2486000"/>
    <x v="14"/>
    <x v="1"/>
  </r>
  <r>
    <x v="1008"/>
    <x v="2"/>
    <x v="2"/>
    <s v="Agent"/>
    <x v="7"/>
    <n v="1"/>
    <n v="3547000"/>
    <n v="7.3999999999999996E-2"/>
    <n v="3283000"/>
    <x v="8"/>
    <x v="0"/>
  </r>
  <r>
    <x v="1008"/>
    <x v="1"/>
    <x v="0"/>
    <s v="Agent"/>
    <x v="1"/>
    <n v="1"/>
    <n v="2304000"/>
    <n v="0.105"/>
    <n v="2062000"/>
    <x v="14"/>
    <x v="1"/>
  </r>
  <r>
    <x v="1008"/>
    <x v="0"/>
    <x v="3"/>
    <s v="Website"/>
    <x v="2"/>
    <n v="1"/>
    <n v="2724000"/>
    <n v="4.1068032163283703E-2"/>
    <n v="2612000"/>
    <x v="2"/>
    <x v="1"/>
  </r>
  <r>
    <x v="1009"/>
    <x v="3"/>
    <x v="5"/>
    <s v="Mobile App"/>
    <x v="8"/>
    <n v="2"/>
    <n v="3673000"/>
    <n v="0.17499999999999999"/>
    <n v="6060000"/>
    <x v="4"/>
    <x v="1"/>
  </r>
  <r>
    <x v="1009"/>
    <x v="1"/>
    <x v="2"/>
    <s v="Agent"/>
    <x v="6"/>
    <n v="1"/>
    <n v="4136000"/>
    <n v="0.13326653697381799"/>
    <n v="3585000"/>
    <x v="12"/>
    <x v="1"/>
  </r>
  <r>
    <x v="1009"/>
    <x v="0"/>
    <x v="1"/>
    <s v="Agent"/>
    <x v="7"/>
    <n v="2"/>
    <n v="3299000"/>
    <n v="0.16301898682730601"/>
    <n v="5522000"/>
    <x v="7"/>
    <x v="1"/>
  </r>
  <r>
    <x v="1009"/>
    <x v="1"/>
    <x v="3"/>
    <s v="Website"/>
    <x v="7"/>
    <n v="4"/>
    <n v="2410000"/>
    <n v="6.5564986598618397E-2"/>
    <n v="9008000"/>
    <x v="6"/>
    <x v="1"/>
  </r>
  <r>
    <x v="1009"/>
    <x v="2"/>
    <x v="0"/>
    <s v="Mobile App"/>
    <x v="7"/>
    <n v="2"/>
    <n v="2458000"/>
    <n v="8.3699816309700206E-2"/>
    <n v="4505000"/>
    <x v="7"/>
    <x v="1"/>
  </r>
  <r>
    <x v="1009"/>
    <x v="1"/>
    <x v="2"/>
    <s v="Mobile App"/>
    <x v="9"/>
    <n v="1"/>
    <n v="4418000"/>
    <n v="0.10199999999999999"/>
    <n v="3967000"/>
    <x v="4"/>
    <x v="1"/>
  </r>
  <r>
    <x v="1009"/>
    <x v="1"/>
    <x v="5"/>
    <s v="Agent"/>
    <x v="3"/>
    <n v="1"/>
    <n v="3106000"/>
    <n v="0.17199999999999999"/>
    <n v="2572000"/>
    <x v="8"/>
    <x v="1"/>
  </r>
  <r>
    <x v="1010"/>
    <x v="3"/>
    <x v="0"/>
    <s v="Website"/>
    <x v="3"/>
    <n v="1"/>
    <n v="2980000"/>
    <n v="7.0058920830126895E-2"/>
    <n v="2771000"/>
    <x v="7"/>
    <x v="1"/>
  </r>
  <r>
    <x v="1010"/>
    <x v="3"/>
    <x v="4"/>
    <s v="Website"/>
    <x v="7"/>
    <n v="3"/>
    <n v="2780000"/>
    <n v="6.9000000000000006E-2"/>
    <n v="7765000"/>
    <x v="14"/>
    <x v="1"/>
  </r>
  <r>
    <x v="1011"/>
    <x v="1"/>
    <x v="3"/>
    <s v="Mobile App"/>
    <x v="9"/>
    <n v="1"/>
    <n v="2610000"/>
    <n v="0.145865214982389"/>
    <n v="2229000"/>
    <x v="2"/>
    <x v="1"/>
  </r>
  <r>
    <x v="1011"/>
    <x v="3"/>
    <x v="3"/>
    <s v="Website"/>
    <x v="9"/>
    <n v="4"/>
    <n v="2172000"/>
    <n v="6.8000000000000005E-2"/>
    <n v="8097000"/>
    <x v="17"/>
    <x v="1"/>
  </r>
  <r>
    <x v="1011"/>
    <x v="3"/>
    <x v="3"/>
    <s v="Website"/>
    <x v="1"/>
    <n v="2"/>
    <n v="2300000"/>
    <n v="0.22500000000000001"/>
    <n v="3565000"/>
    <x v="15"/>
    <x v="1"/>
  </r>
  <r>
    <x v="1011"/>
    <x v="0"/>
    <x v="0"/>
    <s v="Mobile App"/>
    <x v="4"/>
    <n v="1"/>
    <n v="3183000"/>
    <n v="0.19900000000000001"/>
    <n v="2550000"/>
    <x v="0"/>
    <x v="1"/>
  </r>
  <r>
    <x v="1011"/>
    <x v="2"/>
    <x v="5"/>
    <s v="Call Center"/>
    <x v="8"/>
    <n v="5"/>
    <n v="5272000"/>
    <n v="0.11148818669643"/>
    <n v="23421000"/>
    <x v="13"/>
    <x v="1"/>
  </r>
  <r>
    <x v="1012"/>
    <x v="0"/>
    <x v="4"/>
    <s v="Mobile App"/>
    <x v="2"/>
    <n v="2"/>
    <n v="2790000"/>
    <n v="5.9874919567369601E-2"/>
    <n v="5246000"/>
    <x v="6"/>
    <x v="1"/>
  </r>
  <r>
    <x v="1012"/>
    <x v="0"/>
    <x v="0"/>
    <s v="Website"/>
    <x v="5"/>
    <n v="1"/>
    <n v="2811000"/>
    <n v="7.96599423628081E-2"/>
    <n v="2587000"/>
    <x v="13"/>
    <x v="0"/>
  </r>
  <r>
    <x v="1012"/>
    <x v="1"/>
    <x v="3"/>
    <s v="Website"/>
    <x v="0"/>
    <n v="3"/>
    <n v="2727000"/>
    <n v="0"/>
    <n v="8181000"/>
    <x v="8"/>
    <x v="1"/>
  </r>
  <r>
    <x v="1012"/>
    <x v="1"/>
    <x v="1"/>
    <s v="Website"/>
    <x v="3"/>
    <n v="5"/>
    <n v="3929000"/>
    <n v="0.17899999999999999"/>
    <n v="16129000"/>
    <x v="4"/>
    <x v="1"/>
  </r>
  <r>
    <x v="1012"/>
    <x v="0"/>
    <x v="0"/>
    <s v="Website"/>
    <x v="5"/>
    <n v="2"/>
    <n v="2936000"/>
    <n v="0.216"/>
    <n v="4604000"/>
    <x v="10"/>
    <x v="1"/>
  </r>
  <r>
    <x v="1013"/>
    <x v="1"/>
    <x v="0"/>
    <s v="Agent"/>
    <x v="6"/>
    <n v="2"/>
    <n v="2552000"/>
    <n v="0.14630205709975899"/>
    <n v="4357000"/>
    <x v="12"/>
    <x v="0"/>
  </r>
  <r>
    <x v="1013"/>
    <x v="1"/>
    <x v="1"/>
    <s v="Agent"/>
    <x v="3"/>
    <n v="3"/>
    <n v="2673000"/>
    <n v="0.114"/>
    <n v="7105000"/>
    <x v="12"/>
    <x v="0"/>
  </r>
  <r>
    <x v="1013"/>
    <x v="3"/>
    <x v="1"/>
    <s v="Website"/>
    <x v="7"/>
    <n v="1"/>
    <n v="3164000"/>
    <n v="0.10299999999999999"/>
    <n v="2838000"/>
    <x v="13"/>
    <x v="0"/>
  </r>
  <r>
    <x v="1013"/>
    <x v="0"/>
    <x v="2"/>
    <s v="Website"/>
    <x v="8"/>
    <n v="2"/>
    <n v="2762000"/>
    <n v="0"/>
    <n v="5524000"/>
    <x v="0"/>
    <x v="1"/>
  </r>
  <r>
    <x v="1014"/>
    <x v="1"/>
    <x v="0"/>
    <s v="Agent"/>
    <x v="1"/>
    <n v="2"/>
    <n v="1735000"/>
    <n v="9.0999999999999998E-2"/>
    <n v="3154000"/>
    <x v="1"/>
    <x v="1"/>
  </r>
  <r>
    <x v="1014"/>
    <x v="1"/>
    <x v="1"/>
    <s v="Agent"/>
    <x v="5"/>
    <n v="4"/>
    <n v="4157000"/>
    <n v="0.153"/>
    <n v="14084000"/>
    <x v="7"/>
    <x v="1"/>
  </r>
  <r>
    <x v="1014"/>
    <x v="0"/>
    <x v="1"/>
    <s v="Agent"/>
    <x v="0"/>
    <n v="5"/>
    <n v="3890000"/>
    <n v="0.11655538757143501"/>
    <n v="17183000"/>
    <x v="6"/>
    <x v="0"/>
  </r>
  <r>
    <x v="1014"/>
    <x v="3"/>
    <x v="0"/>
    <s v="Website"/>
    <x v="2"/>
    <n v="1"/>
    <n v="2334000"/>
    <n v="-0.2"/>
    <n v="1919000"/>
    <x v="1"/>
    <x v="1"/>
  </r>
  <r>
    <x v="1015"/>
    <x v="0"/>
    <x v="1"/>
    <s v="Website"/>
    <x v="9"/>
    <n v="3"/>
    <n v="3588000"/>
    <n v="0.13800000000000001"/>
    <n v="9279000"/>
    <x v="0"/>
    <x v="1"/>
  </r>
  <r>
    <x v="1015"/>
    <x v="3"/>
    <x v="2"/>
    <s v="Website"/>
    <x v="3"/>
    <n v="3"/>
    <n v="4334000"/>
    <n v="6.9351142887983899E-2"/>
    <n v="12100000"/>
    <x v="2"/>
    <x v="0"/>
  </r>
  <r>
    <x v="1015"/>
    <x v="0"/>
    <x v="5"/>
    <s v="Agent"/>
    <x v="5"/>
    <n v="3"/>
    <n v="5653000"/>
    <n v="0.193"/>
    <n v="13686000"/>
    <x v="14"/>
    <x v="1"/>
  </r>
  <r>
    <x v="1015"/>
    <x v="3"/>
    <x v="1"/>
    <s v="Website"/>
    <x v="2"/>
    <n v="2"/>
    <n v="3482000"/>
    <n v="0.102257692604854"/>
    <n v="6252000"/>
    <x v="13"/>
    <x v="1"/>
  </r>
  <r>
    <x v="1015"/>
    <x v="3"/>
    <x v="5"/>
    <s v="Agent"/>
    <x v="2"/>
    <n v="1"/>
    <n v="3439000"/>
    <n v="0.22500000000000001"/>
    <n v="2665000"/>
    <x v="4"/>
    <x v="1"/>
  </r>
  <r>
    <x v="1015"/>
    <x v="3"/>
    <x v="5"/>
    <s v="Mobile App"/>
    <x v="4"/>
    <n v="1"/>
    <n v="4551000"/>
    <n v="0.109990337576411"/>
    <n v="4050000"/>
    <x v="9"/>
    <x v="1"/>
  </r>
  <r>
    <x v="1015"/>
    <x v="1"/>
    <x v="4"/>
    <s v="Website"/>
    <x v="1"/>
    <n v="3"/>
    <n v="1844000"/>
    <n v="0.14799999999999999"/>
    <n v="4713000"/>
    <x v="0"/>
    <x v="1"/>
  </r>
  <r>
    <x v="1015"/>
    <x v="0"/>
    <x v="1"/>
    <s v="Agent"/>
    <x v="0"/>
    <n v="4"/>
    <n v="3854000"/>
    <n v="3.9E-2"/>
    <n v="14815000"/>
    <x v="6"/>
    <x v="1"/>
  </r>
  <r>
    <x v="1015"/>
    <x v="1"/>
    <x v="2"/>
    <s v="Mobile App"/>
    <x v="7"/>
    <n v="3"/>
    <n v="3387000"/>
    <n v="0.116810948393357"/>
    <n v="8974000"/>
    <x v="4"/>
    <x v="0"/>
  </r>
  <r>
    <x v="1016"/>
    <x v="1"/>
    <x v="1"/>
    <s v="Mobile App"/>
    <x v="1"/>
    <n v="3"/>
    <n v="3856000"/>
    <n v="0.14000000000000001"/>
    <n v="9948000"/>
    <x v="1"/>
    <x v="1"/>
  </r>
  <r>
    <x v="1016"/>
    <x v="1"/>
    <x v="2"/>
    <s v="Website"/>
    <x v="4"/>
    <n v="5"/>
    <n v="3883000"/>
    <n v="8.1343914414693297E-2"/>
    <n v="17836000"/>
    <x v="9"/>
    <x v="0"/>
  </r>
  <r>
    <x v="1016"/>
    <x v="2"/>
    <x v="4"/>
    <s v="Website"/>
    <x v="1"/>
    <n v="4"/>
    <n v="2165000"/>
    <n v="0.14199999999999999"/>
    <n v="7430000"/>
    <x v="3"/>
    <x v="1"/>
  </r>
  <r>
    <x v="1017"/>
    <x v="1"/>
    <x v="3"/>
    <s v="Website"/>
    <x v="5"/>
    <n v="2"/>
    <n v="3036000"/>
    <n v="9.1999999999999998E-2"/>
    <n v="5513000"/>
    <x v="2"/>
    <x v="0"/>
  </r>
  <r>
    <x v="1018"/>
    <x v="3"/>
    <x v="0"/>
    <s v="Website"/>
    <x v="1"/>
    <n v="1"/>
    <n v="3818000"/>
    <n v="0.126"/>
    <n v="3337000"/>
    <x v="4"/>
    <x v="1"/>
  </r>
  <r>
    <x v="1019"/>
    <x v="0"/>
    <x v="3"/>
    <s v="Website"/>
    <x v="2"/>
    <n v="3"/>
    <n v="2580000"/>
    <n v="8.8825548323249903E-2"/>
    <n v="7052000"/>
    <x v="0"/>
    <x v="1"/>
  </r>
  <r>
    <x v="1019"/>
    <x v="1"/>
    <x v="1"/>
    <s v="Agent"/>
    <x v="6"/>
    <n v="3"/>
    <n v="2449000"/>
    <n v="7.1999999999999995E-2"/>
    <n v="6818000"/>
    <x v="3"/>
    <x v="1"/>
  </r>
  <r>
    <x v="1019"/>
    <x v="1"/>
    <x v="2"/>
    <s v="Website"/>
    <x v="9"/>
    <n v="1"/>
    <n v="5346000"/>
    <n v="4.0000000000000001E-3"/>
    <n v="5325000"/>
    <x v="17"/>
    <x v="1"/>
  </r>
  <r>
    <x v="1020"/>
    <x v="2"/>
    <x v="5"/>
    <s v="Website"/>
    <x v="3"/>
    <n v="4"/>
    <n v="4760000"/>
    <n v="8.2974495416731894E-2"/>
    <n v="17460000"/>
    <x v="2"/>
    <x v="1"/>
  </r>
  <r>
    <x v="1020"/>
    <x v="2"/>
    <x v="3"/>
    <s v="Website"/>
    <x v="4"/>
    <n v="3"/>
    <n v="1478000"/>
    <n v="5.78409922867648E-2"/>
    <n v="4178000"/>
    <x v="15"/>
    <x v="0"/>
  </r>
  <r>
    <x v="1020"/>
    <x v="2"/>
    <x v="0"/>
    <s v="Mobile App"/>
    <x v="3"/>
    <n v="1"/>
    <n v="2563000"/>
    <n v="0.155808087745476"/>
    <n v="2164000"/>
    <x v="2"/>
    <x v="1"/>
  </r>
  <r>
    <x v="1021"/>
    <x v="2"/>
    <x v="2"/>
    <s v="Mobile App"/>
    <x v="6"/>
    <n v="1"/>
    <n v="0"/>
    <n v="0.108"/>
    <n v="3062000"/>
    <x v="9"/>
    <x v="1"/>
  </r>
  <r>
    <x v="1021"/>
    <x v="3"/>
    <x v="0"/>
    <s v="Agent"/>
    <x v="8"/>
    <n v="2"/>
    <n v="2228000"/>
    <n v="9.9306527644756101E-2"/>
    <n v="4013000"/>
    <x v="15"/>
    <x v="0"/>
  </r>
  <r>
    <x v="1021"/>
    <x v="1"/>
    <x v="3"/>
    <s v="Agent"/>
    <x v="0"/>
    <n v="1"/>
    <n v="2675000"/>
    <n v="8.5078514976745304E-2"/>
    <n v="2447000"/>
    <x v="7"/>
    <x v="0"/>
  </r>
  <r>
    <x v="1021"/>
    <x v="0"/>
    <x v="4"/>
    <s v="Call Center"/>
    <x v="2"/>
    <n v="2"/>
    <n v="2578000"/>
    <n v="0.13421036290282901"/>
    <n v="4464000"/>
    <x v="13"/>
    <x v="1"/>
  </r>
  <r>
    <x v="1022"/>
    <x v="1"/>
    <x v="2"/>
    <s v="Mobile App"/>
    <x v="0"/>
    <n v="2"/>
    <n v="4539000"/>
    <n v="0.105068965029478"/>
    <n v="8124000"/>
    <x v="10"/>
    <x v="1"/>
  </r>
  <r>
    <x v="1022"/>
    <x v="0"/>
    <x v="5"/>
    <s v="Agent"/>
    <x v="5"/>
    <n v="1"/>
    <n v="6395000"/>
    <n v="4.9000000000000002E-2"/>
    <n v="6082000"/>
    <x v="7"/>
    <x v="1"/>
  </r>
  <r>
    <x v="1022"/>
    <x v="3"/>
    <x v="2"/>
    <s v="Website"/>
    <x v="7"/>
    <n v="2"/>
    <n v="3574000"/>
    <n v="0.23599999999999999"/>
    <n v="5461000"/>
    <x v="8"/>
    <x v="1"/>
  </r>
  <r>
    <x v="1023"/>
    <x v="0"/>
    <x v="3"/>
    <s v="Mobile App"/>
    <x v="1"/>
    <n v="1"/>
    <n v="2533000"/>
    <n v="0.113"/>
    <n v="2247000"/>
    <x v="13"/>
    <x v="1"/>
  </r>
  <r>
    <x v="1023"/>
    <x v="1"/>
    <x v="2"/>
    <s v="Call Center"/>
    <x v="5"/>
    <n v="2"/>
    <n v="3893000"/>
    <n v="0.14460874374847099"/>
    <n v="6660000"/>
    <x v="5"/>
    <x v="1"/>
  </r>
  <r>
    <x v="1023"/>
    <x v="1"/>
    <x v="5"/>
    <s v="Mobile App"/>
    <x v="7"/>
    <n v="1"/>
    <n v="3044000"/>
    <n v="0.08"/>
    <n v="2800000"/>
    <x v="12"/>
    <x v="1"/>
  </r>
  <r>
    <x v="1024"/>
    <x v="3"/>
    <x v="2"/>
    <s v="Mobile App"/>
    <x v="6"/>
    <n v="3"/>
    <n v="3679000"/>
    <n v="2.5000000000000001E-2"/>
    <n v="10761000"/>
    <x v="15"/>
    <x v="1"/>
  </r>
  <r>
    <x v="1024"/>
    <x v="3"/>
    <x v="1"/>
    <s v="Agent"/>
    <x v="3"/>
    <n v="4"/>
    <n v="2848000"/>
    <n v="0.13200000000000001"/>
    <n v="9888000"/>
    <x v="13"/>
    <x v="1"/>
  </r>
  <r>
    <x v="1024"/>
    <x v="0"/>
    <x v="1"/>
    <s v="Website"/>
    <x v="9"/>
    <n v="1"/>
    <n v="3359000"/>
    <n v="7.4440661534340993E-2"/>
    <n v="3109000"/>
    <x v="4"/>
    <x v="1"/>
  </r>
  <r>
    <x v="1024"/>
    <x v="0"/>
    <x v="2"/>
    <s v="Website"/>
    <x v="7"/>
    <n v="1"/>
    <n v="3235000"/>
    <n v="0.17699999999999999"/>
    <n v="2664000"/>
    <x v="4"/>
    <x v="0"/>
  </r>
  <r>
    <x v="1024"/>
    <x v="0"/>
    <x v="4"/>
    <s v="Mobile App"/>
    <x v="7"/>
    <n v="2"/>
    <n v="1911000"/>
    <n v="6.4000000000000001E-2"/>
    <n v="3578000"/>
    <x v="9"/>
    <x v="1"/>
  </r>
  <r>
    <x v="1024"/>
    <x v="0"/>
    <x v="0"/>
    <s v="Website"/>
    <x v="3"/>
    <n v="2"/>
    <n v="2911000"/>
    <n v="0.114"/>
    <n v="5158000"/>
    <x v="7"/>
    <x v="0"/>
  </r>
  <r>
    <x v="1024"/>
    <x v="0"/>
    <x v="5"/>
    <s v="Website"/>
    <x v="4"/>
    <n v="1"/>
    <n v="4561000"/>
    <n v="8.6495064729989399E-2"/>
    <n v="4166000"/>
    <x v="7"/>
    <x v="1"/>
  </r>
  <r>
    <x v="1024"/>
    <x v="0"/>
    <x v="1"/>
    <s v="Website"/>
    <x v="4"/>
    <n v="2"/>
    <n v="2704000"/>
    <n v="4.6351307841874197E-2"/>
    <n v="5157000"/>
    <x v="7"/>
    <x v="1"/>
  </r>
  <r>
    <x v="1025"/>
    <x v="0"/>
    <x v="0"/>
    <s v="Website"/>
    <x v="5"/>
    <n v="3"/>
    <n v="3276000"/>
    <n v="8.8999999999999996E-2"/>
    <n v="8953000"/>
    <x v="8"/>
    <x v="1"/>
  </r>
  <r>
    <x v="1025"/>
    <x v="1"/>
    <x v="0"/>
    <s v="Mobile App"/>
    <x v="1"/>
    <n v="1"/>
    <n v="2557000"/>
    <n v="9.8281409377433002E-2"/>
    <n v="2306000"/>
    <x v="15"/>
    <x v="1"/>
  </r>
  <r>
    <x v="1025"/>
    <x v="3"/>
    <x v="1"/>
    <s v="Call Center"/>
    <x v="9"/>
    <n v="4"/>
    <n v="3244000"/>
    <n v="0.20699999999999999"/>
    <n v="10290000"/>
    <x v="2"/>
    <x v="1"/>
  </r>
  <r>
    <x v="1026"/>
    <x v="0"/>
    <x v="0"/>
    <s v="Website"/>
    <x v="1"/>
    <n v="1"/>
    <n v="2479000"/>
    <n v="6.7000000000000004E-2"/>
    <n v="2313000"/>
    <x v="7"/>
    <x v="1"/>
  </r>
  <r>
    <x v="1026"/>
    <x v="1"/>
    <x v="1"/>
    <s v="Agent"/>
    <x v="4"/>
    <n v="3"/>
    <n v="1903000"/>
    <n v="0.11700000000000001"/>
    <n v="5041000"/>
    <x v="6"/>
    <x v="1"/>
  </r>
  <r>
    <x v="1027"/>
    <x v="0"/>
    <x v="5"/>
    <s v="Mobile App"/>
    <x v="4"/>
    <n v="3"/>
    <n v="3326000"/>
    <n v="0.18099999999999999"/>
    <n v="8172000"/>
    <x v="6"/>
    <x v="1"/>
  </r>
  <r>
    <x v="1027"/>
    <x v="2"/>
    <x v="0"/>
    <s v="Agent"/>
    <x v="4"/>
    <n v="1"/>
    <n v="2719000"/>
    <n v="0.16600000000000001"/>
    <n v="2268000"/>
    <x v="17"/>
    <x v="1"/>
  </r>
  <r>
    <x v="1027"/>
    <x v="0"/>
    <x v="5"/>
    <s v="Website"/>
    <x v="8"/>
    <n v="2"/>
    <n v="3512000"/>
    <n v="9.8000000000000004E-2"/>
    <n v="6336000"/>
    <x v="6"/>
    <x v="1"/>
  </r>
  <r>
    <x v="1028"/>
    <x v="3"/>
    <x v="2"/>
    <s v="Mobile App"/>
    <x v="2"/>
    <n v="2"/>
    <n v="4175000"/>
    <n v="0.146898812786836"/>
    <n v="7123000"/>
    <x v="9"/>
    <x v="0"/>
  </r>
  <r>
    <x v="1028"/>
    <x v="1"/>
    <x v="1"/>
    <s v="Website"/>
    <x v="8"/>
    <n v="3"/>
    <n v="2331000"/>
    <n v="0.14199999999999999"/>
    <n v="6000000"/>
    <x v="1"/>
    <x v="1"/>
  </r>
  <r>
    <x v="1028"/>
    <x v="0"/>
    <x v="2"/>
    <s v="Mobile App"/>
    <x v="3"/>
    <n v="1"/>
    <n v="4007000"/>
    <n v="0.20496775059728001"/>
    <n v="3186000"/>
    <x v="11"/>
    <x v="1"/>
  </r>
  <r>
    <x v="1028"/>
    <x v="2"/>
    <x v="1"/>
    <s v="Call Center"/>
    <x v="3"/>
    <n v="2"/>
    <n v="3069000"/>
    <n v="0.2"/>
    <n v="4910000"/>
    <x v="1"/>
    <x v="1"/>
  </r>
  <r>
    <x v="1028"/>
    <x v="1"/>
    <x v="2"/>
    <s v="Agent"/>
    <x v="1"/>
    <n v="1"/>
    <n v="3401000"/>
    <n v="0.107582552734417"/>
    <n v="3035000"/>
    <x v="9"/>
    <x v="1"/>
  </r>
  <r>
    <x v="1029"/>
    <x v="1"/>
    <x v="1"/>
    <s v="Agent"/>
    <x v="9"/>
    <n v="2"/>
    <n v="4024000"/>
    <n v="0.13200000000000001"/>
    <n v="6986000"/>
    <x v="0"/>
    <x v="1"/>
  </r>
  <r>
    <x v="1029"/>
    <x v="1"/>
    <x v="0"/>
    <s v="Mobile App"/>
    <x v="8"/>
    <n v="1"/>
    <n v="3161000"/>
    <n v="0.11"/>
    <n v="2813000"/>
    <x v="2"/>
    <x v="1"/>
  </r>
  <r>
    <x v="1029"/>
    <x v="2"/>
    <x v="5"/>
    <s v="Website"/>
    <x v="4"/>
    <n v="1"/>
    <n v="4511000"/>
    <n v="7.17963465895501E-2"/>
    <n v="4187000"/>
    <x v="8"/>
    <x v="1"/>
  </r>
  <r>
    <x v="1029"/>
    <x v="3"/>
    <x v="1"/>
    <s v="Website"/>
    <x v="2"/>
    <n v="3"/>
    <n v="3768000"/>
    <n v="0.222"/>
    <n v="8795000"/>
    <x v="3"/>
    <x v="1"/>
  </r>
  <r>
    <x v="1029"/>
    <x v="1"/>
    <x v="1"/>
    <s v="Website"/>
    <x v="2"/>
    <n v="2"/>
    <n v="3682000"/>
    <n v="0.14299999999999999"/>
    <n v="6311000"/>
    <x v="1"/>
    <x v="1"/>
  </r>
  <r>
    <x v="1029"/>
    <x v="3"/>
    <x v="4"/>
    <s v="Agent"/>
    <x v="5"/>
    <n v="2"/>
    <n v="2561000"/>
    <n v="8.7065551911553102E-2"/>
    <n v="4676000"/>
    <x v="0"/>
    <x v="1"/>
  </r>
  <r>
    <x v="1029"/>
    <x v="3"/>
    <x v="3"/>
    <s v="Website"/>
    <x v="5"/>
    <n v="2"/>
    <n v="2104000"/>
    <n v="5.5840881370448299E-2"/>
    <n v="3973000"/>
    <x v="9"/>
    <x v="1"/>
  </r>
  <r>
    <x v="1030"/>
    <x v="3"/>
    <x v="1"/>
    <s v="Mobile App"/>
    <x v="2"/>
    <n v="2"/>
    <n v="3679000"/>
    <n v="0.123462071839761"/>
    <n v="6450000"/>
    <x v="0"/>
    <x v="0"/>
  </r>
  <r>
    <x v="1031"/>
    <x v="1"/>
    <x v="2"/>
    <s v="Mobile App"/>
    <x v="3"/>
    <n v="1"/>
    <n v="3691000"/>
    <n v="0.14000000000000001"/>
    <n v="3174000"/>
    <x v="7"/>
    <x v="1"/>
  </r>
  <r>
    <x v="1031"/>
    <x v="3"/>
    <x v="1"/>
    <s v="Agent"/>
    <x v="7"/>
    <n v="3"/>
    <n v="2899000"/>
    <n v="0.14831340273382301"/>
    <n v="7407000"/>
    <x v="0"/>
    <x v="0"/>
  </r>
  <r>
    <x v="1031"/>
    <x v="1"/>
    <x v="0"/>
    <s v="Website"/>
    <x v="0"/>
    <n v="1"/>
    <n v="2695000"/>
    <n v="0.13435245461241399"/>
    <n v="2333000"/>
    <x v="13"/>
    <x v="1"/>
  </r>
  <r>
    <x v="1031"/>
    <x v="0"/>
    <x v="0"/>
    <s v="Mobile App"/>
    <x v="8"/>
    <n v="2"/>
    <n v="3314000"/>
    <n v="9.0999999999999998E-2"/>
    <n v="6025000"/>
    <x v="13"/>
    <x v="1"/>
  </r>
  <r>
    <x v="1031"/>
    <x v="1"/>
    <x v="0"/>
    <s v="Agent"/>
    <x v="8"/>
    <n v="3"/>
    <n v="2364000"/>
    <n v="9.00286945908398E-2"/>
    <n v="6454000"/>
    <x v="1"/>
    <x v="0"/>
  </r>
  <r>
    <x v="1032"/>
    <x v="0"/>
    <x v="1"/>
    <s v="Website"/>
    <x v="1"/>
    <n v="2"/>
    <n v="3265000"/>
    <n v="2.8000000000000001E-2"/>
    <n v="6347000"/>
    <x v="12"/>
    <x v="1"/>
  </r>
  <r>
    <x v="1032"/>
    <x v="1"/>
    <x v="0"/>
    <s v="Website"/>
    <x v="7"/>
    <n v="2"/>
    <n v="2396000"/>
    <n v="0.115459907767094"/>
    <n v="4239000"/>
    <x v="0"/>
    <x v="0"/>
  </r>
  <r>
    <x v="1032"/>
    <x v="0"/>
    <x v="5"/>
    <s v="Website"/>
    <x v="9"/>
    <n v="1"/>
    <n v="6609000"/>
    <n v="8.2000000000000003E-2"/>
    <n v="6067000"/>
    <x v="14"/>
    <x v="0"/>
  </r>
  <r>
    <x v="1032"/>
    <x v="1"/>
    <x v="1"/>
    <s v="Call Center"/>
    <x v="0"/>
    <n v="2"/>
    <n v="3538000"/>
    <n v="7.3836342293145604E-2"/>
    <n v="6554000"/>
    <x v="2"/>
    <x v="0"/>
  </r>
  <r>
    <x v="1032"/>
    <x v="1"/>
    <x v="1"/>
    <s v="Website"/>
    <x v="4"/>
    <n v="1"/>
    <n v="2532000"/>
    <n v="4.9537958999027E-2"/>
    <n v="2407000"/>
    <x v="17"/>
    <x v="0"/>
  </r>
  <r>
    <x v="1032"/>
    <x v="0"/>
    <x v="0"/>
    <s v="Agent"/>
    <x v="4"/>
    <n v="2"/>
    <n v="2297000"/>
    <n v="0.1"/>
    <n v="4135000"/>
    <x v="0"/>
    <x v="1"/>
  </r>
  <r>
    <x v="1033"/>
    <x v="0"/>
    <x v="0"/>
    <s v="Website"/>
    <x v="2"/>
    <n v="5"/>
    <n v="2932000"/>
    <n v="0.125479816157922"/>
    <n v="12820000"/>
    <x v="1"/>
    <x v="0"/>
  </r>
  <r>
    <x v="1033"/>
    <x v="3"/>
    <x v="2"/>
    <s v="Agent"/>
    <x v="3"/>
    <n v="3"/>
    <n v="2605000"/>
    <n v="3.6999999999999998E-2"/>
    <n v="7526000"/>
    <x v="14"/>
    <x v="0"/>
  </r>
  <r>
    <x v="1034"/>
    <x v="3"/>
    <x v="4"/>
    <s v="Agent"/>
    <x v="1"/>
    <n v="2"/>
    <n v="3070000"/>
    <n v="0.109"/>
    <n v="5471000"/>
    <x v="4"/>
    <x v="1"/>
  </r>
  <r>
    <x v="1034"/>
    <x v="1"/>
    <x v="2"/>
    <s v="Agent"/>
    <x v="2"/>
    <n v="1"/>
    <n v="4545000"/>
    <n v="2.6911903398183699E-2"/>
    <n v="4423000"/>
    <x v="4"/>
    <x v="1"/>
  </r>
  <r>
    <x v="1035"/>
    <x v="1"/>
    <x v="1"/>
    <s v="Website"/>
    <x v="2"/>
    <n v="1"/>
    <n v="3653000"/>
    <n v="9.7514619260748295E-2"/>
    <n v="3297000"/>
    <x v="5"/>
    <x v="1"/>
  </r>
  <r>
    <x v="1035"/>
    <x v="1"/>
    <x v="2"/>
    <s v="Website"/>
    <x v="8"/>
    <n v="1"/>
    <n v="2744000"/>
    <n v="0.108"/>
    <n v="2448000"/>
    <x v="14"/>
    <x v="1"/>
  </r>
  <r>
    <x v="1035"/>
    <x v="0"/>
    <x v="2"/>
    <s v="Website"/>
    <x v="2"/>
    <n v="4"/>
    <n v="3523000"/>
    <n v="0.215"/>
    <n v="11062000"/>
    <x v="8"/>
    <x v="1"/>
  </r>
  <r>
    <x v="1035"/>
    <x v="1"/>
    <x v="1"/>
    <s v="Mobile App"/>
    <x v="1"/>
    <n v="5"/>
    <n v="3690000"/>
    <n v="0.127"/>
    <n v="16107000"/>
    <x v="5"/>
    <x v="0"/>
  </r>
  <r>
    <x v="1036"/>
    <x v="1"/>
    <x v="0"/>
    <s v="Website"/>
    <x v="5"/>
    <n v="4"/>
    <n v="2586000"/>
    <n v="4.9715881376295699E-2"/>
    <n v="9830000"/>
    <x v="14"/>
    <x v="1"/>
  </r>
  <r>
    <x v="1036"/>
    <x v="0"/>
    <x v="3"/>
    <s v="Mobile App"/>
    <x v="9"/>
    <n v="1"/>
    <n v="2775000"/>
    <n v="3.3000000000000002E-2"/>
    <n v="2683000"/>
    <x v="17"/>
    <x v="1"/>
  </r>
  <r>
    <x v="1036"/>
    <x v="3"/>
    <x v="1"/>
    <s v="Mobile App"/>
    <x v="5"/>
    <n v="4"/>
    <n v="3466000"/>
    <n v="9.6228306477001702E-2"/>
    <n v="12530000"/>
    <x v="14"/>
    <x v="1"/>
  </r>
  <r>
    <x v="1037"/>
    <x v="1"/>
    <x v="0"/>
    <s v="Agent"/>
    <x v="6"/>
    <n v="5"/>
    <n v="2368000"/>
    <n v="0.13664999128980301"/>
    <n v="10222000"/>
    <x v="15"/>
    <x v="0"/>
  </r>
  <r>
    <x v="1037"/>
    <x v="1"/>
    <x v="3"/>
    <s v="Mobile App"/>
    <x v="9"/>
    <n v="2"/>
    <n v="2162000"/>
    <n v="0.13800000000000001"/>
    <n v="3727000"/>
    <x v="2"/>
    <x v="1"/>
  </r>
  <r>
    <x v="1038"/>
    <x v="2"/>
    <x v="3"/>
    <s v="Mobile App"/>
    <x v="8"/>
    <n v="4"/>
    <n v="2412000"/>
    <n v="0.11799999999999999"/>
    <n v="8511000"/>
    <x v="4"/>
    <x v="1"/>
  </r>
  <r>
    <x v="1038"/>
    <x v="1"/>
    <x v="2"/>
    <s v="Mobile App"/>
    <x v="1"/>
    <n v="2"/>
    <n v="3165000"/>
    <n v="9.7771841124584799E-2"/>
    <n v="5711000"/>
    <x v="5"/>
    <x v="1"/>
  </r>
  <r>
    <x v="1039"/>
    <x v="1"/>
    <x v="2"/>
    <s v="Call Center"/>
    <x v="6"/>
    <n v="2"/>
    <n v="3876000"/>
    <n v="6.6000000000000003E-2"/>
    <n v="7240000"/>
    <x v="15"/>
    <x v="1"/>
  </r>
  <r>
    <x v="1039"/>
    <x v="3"/>
    <x v="2"/>
    <s v="Website"/>
    <x v="7"/>
    <n v="2"/>
    <n v="2963000"/>
    <n v="0.193"/>
    <n v="4782000"/>
    <x v="8"/>
    <x v="1"/>
  </r>
  <r>
    <x v="1039"/>
    <x v="0"/>
    <x v="0"/>
    <s v="Website"/>
    <x v="1"/>
    <n v="1"/>
    <n v="3051000"/>
    <n v="0.05"/>
    <n v="2898000"/>
    <x v="6"/>
    <x v="1"/>
  </r>
  <r>
    <x v="1039"/>
    <x v="0"/>
    <x v="0"/>
    <s v="Website"/>
    <x v="7"/>
    <n v="1"/>
    <n v="2284000"/>
    <n v="0.11896817890686399"/>
    <n v="2012000"/>
    <x v="4"/>
    <x v="0"/>
  </r>
  <r>
    <x v="1039"/>
    <x v="0"/>
    <x v="1"/>
    <s v="Mobile App"/>
    <x v="5"/>
    <n v="2"/>
    <n v="3519000"/>
    <n v="4.63015726852882E-2"/>
    <n v="6712000"/>
    <x v="4"/>
    <x v="1"/>
  </r>
  <r>
    <x v="1039"/>
    <x v="0"/>
    <x v="5"/>
    <s v="Agent"/>
    <x v="9"/>
    <n v="2"/>
    <n v="5504000"/>
    <n v="0.117669740127959"/>
    <n v="9713000"/>
    <x v="0"/>
    <x v="1"/>
  </r>
  <r>
    <x v="1039"/>
    <x v="0"/>
    <x v="4"/>
    <s v="Mobile App"/>
    <x v="9"/>
    <n v="2"/>
    <n v="2584000"/>
    <n v="0.194585258198365"/>
    <n v="4162000"/>
    <x v="10"/>
    <x v="0"/>
  </r>
  <r>
    <x v="1040"/>
    <x v="3"/>
    <x v="5"/>
    <s v="Website"/>
    <x v="6"/>
    <n v="1"/>
    <n v="4414000"/>
    <n v="0.11771708633136101"/>
    <n v="3894000"/>
    <x v="2"/>
    <x v="1"/>
  </r>
  <r>
    <x v="1041"/>
    <x v="1"/>
    <x v="3"/>
    <s v="Website"/>
    <x v="6"/>
    <n v="3"/>
    <n v="2064000"/>
    <n v="8.6129147007777004E-2"/>
    <n v="5659000"/>
    <x v="8"/>
    <x v="1"/>
  </r>
  <r>
    <x v="1041"/>
    <x v="0"/>
    <x v="5"/>
    <s v="Website"/>
    <x v="8"/>
    <n v="1"/>
    <n v="5226000"/>
    <n v="9.0607240496700103E-2"/>
    <n v="4752000"/>
    <x v="10"/>
    <x v="1"/>
  </r>
  <r>
    <x v="1041"/>
    <x v="1"/>
    <x v="5"/>
    <s v="Mobile App"/>
    <x v="2"/>
    <n v="1"/>
    <n v="5840000"/>
    <n v="0.124"/>
    <n v="5116000"/>
    <x v="3"/>
    <x v="1"/>
  </r>
  <r>
    <x v="1042"/>
    <x v="0"/>
    <x v="2"/>
    <s v="Website"/>
    <x v="5"/>
    <n v="2"/>
    <n v="4008000"/>
    <n v="0.14599999999999999"/>
    <n v="6846000"/>
    <x v="15"/>
    <x v="1"/>
  </r>
  <r>
    <x v="1042"/>
    <x v="0"/>
    <x v="2"/>
    <s v="Website"/>
    <x v="3"/>
    <n v="3"/>
    <n v="4105000"/>
    <n v="0.106230162789497"/>
    <n v="11007000"/>
    <x v="8"/>
    <x v="0"/>
  </r>
  <r>
    <x v="1042"/>
    <x v="1"/>
    <x v="1"/>
    <s v="Website"/>
    <x v="5"/>
    <n v="2"/>
    <n v="3416000"/>
    <n v="5.3347692798985803E-2"/>
    <n v="6468000"/>
    <x v="0"/>
    <x v="1"/>
  </r>
  <r>
    <x v="1042"/>
    <x v="2"/>
    <x v="2"/>
    <s v="Call Center"/>
    <x v="5"/>
    <n v="4"/>
    <n v="4110000"/>
    <n v="0.10796243618729"/>
    <n v="14665000"/>
    <x v="15"/>
    <x v="1"/>
  </r>
  <r>
    <x v="1043"/>
    <x v="3"/>
    <x v="3"/>
    <s v="Website"/>
    <x v="1"/>
    <n v="2"/>
    <n v="2294000"/>
    <n v="0.14302363950782501"/>
    <n v="3932000"/>
    <x v="2"/>
    <x v="0"/>
  </r>
  <r>
    <x v="1043"/>
    <x v="1"/>
    <x v="3"/>
    <s v="Agent"/>
    <x v="2"/>
    <n v="1"/>
    <n v="2204000"/>
    <n v="0.151"/>
    <n v="1871000"/>
    <x v="15"/>
    <x v="1"/>
  </r>
  <r>
    <x v="1044"/>
    <x v="1"/>
    <x v="4"/>
    <s v="Website"/>
    <x v="7"/>
    <n v="1"/>
    <n v="1846000"/>
    <n v="0.09"/>
    <n v="1680000"/>
    <x v="12"/>
    <x v="0"/>
  </r>
  <r>
    <x v="1044"/>
    <x v="0"/>
    <x v="1"/>
    <s v="Website"/>
    <x v="4"/>
    <n v="2"/>
    <n v="2504000"/>
    <n v="3.5999999999999997E-2"/>
    <n v="4826000"/>
    <x v="14"/>
    <x v="0"/>
  </r>
  <r>
    <x v="1044"/>
    <x v="1"/>
    <x v="0"/>
    <s v="Mobile App"/>
    <x v="5"/>
    <n v="2"/>
    <n v="2450000"/>
    <n v="6.6507814494324594E-2"/>
    <n v="4574000"/>
    <x v="13"/>
    <x v="0"/>
  </r>
  <r>
    <x v="1044"/>
    <x v="3"/>
    <x v="1"/>
    <s v="Mobile App"/>
    <x v="1"/>
    <n v="3"/>
    <n v="2763000"/>
    <n v="3.1E-2"/>
    <n v="8032000"/>
    <x v="2"/>
    <x v="1"/>
  </r>
  <r>
    <x v="1044"/>
    <x v="1"/>
    <x v="3"/>
    <s v="Agent"/>
    <x v="2"/>
    <n v="2"/>
    <n v="1884000"/>
    <n v="6.0999999999999999E-2"/>
    <n v="3538000"/>
    <x v="13"/>
    <x v="1"/>
  </r>
  <r>
    <x v="1045"/>
    <x v="1"/>
    <x v="2"/>
    <s v="Website"/>
    <x v="8"/>
    <n v="3"/>
    <n v="3651000"/>
    <n v="4.3999999999999997E-2"/>
    <n v="10470000"/>
    <x v="2"/>
    <x v="1"/>
  </r>
  <r>
    <x v="1045"/>
    <x v="3"/>
    <x v="0"/>
    <s v="Website"/>
    <x v="9"/>
    <n v="2"/>
    <n v="3906000"/>
    <n v="0.189"/>
    <n v="6336000"/>
    <x v="17"/>
    <x v="0"/>
  </r>
  <r>
    <x v="1045"/>
    <x v="1"/>
    <x v="2"/>
    <s v="Website"/>
    <x v="7"/>
    <n v="3"/>
    <n v="4639000"/>
    <n v="0.153"/>
    <n v="11788000"/>
    <x v="12"/>
    <x v="1"/>
  </r>
  <r>
    <x v="1045"/>
    <x v="3"/>
    <x v="1"/>
    <s v="Website"/>
    <x v="4"/>
    <n v="4"/>
    <n v="2733000"/>
    <n v="0.129"/>
    <n v="9522000"/>
    <x v="12"/>
    <x v="1"/>
  </r>
  <r>
    <x v="1046"/>
    <x v="3"/>
    <x v="2"/>
    <s v="Website"/>
    <x v="1"/>
    <n v="1"/>
    <n v="3439000"/>
    <n v="0.121738360918523"/>
    <n v="3020000"/>
    <x v="4"/>
    <x v="1"/>
  </r>
  <r>
    <x v="1046"/>
    <x v="1"/>
    <x v="1"/>
    <s v="Mobile App"/>
    <x v="9"/>
    <n v="2"/>
    <n v="4264000"/>
    <n v="0.15"/>
    <n v="7249000"/>
    <x v="6"/>
    <x v="1"/>
  </r>
  <r>
    <x v="1046"/>
    <x v="0"/>
    <x v="0"/>
    <s v="Agent"/>
    <x v="3"/>
    <n v="3"/>
    <n v="2500000"/>
    <n v="0.19900000000000001"/>
    <n v="6007000"/>
    <x v="15"/>
    <x v="1"/>
  </r>
  <r>
    <x v="1046"/>
    <x v="1"/>
    <x v="2"/>
    <s v="Website"/>
    <x v="8"/>
    <n v="1"/>
    <n v="2612000"/>
    <n v="8.8999999999999996E-2"/>
    <n v="2380000"/>
    <x v="20"/>
    <x v="1"/>
  </r>
  <r>
    <x v="1046"/>
    <x v="1"/>
    <x v="0"/>
    <s v="Agent"/>
    <x v="8"/>
    <n v="3"/>
    <n v="2426000"/>
    <n v="9.1960171092853898E-2"/>
    <n v="6609000"/>
    <x v="3"/>
    <x v="1"/>
  </r>
  <r>
    <x v="1047"/>
    <x v="0"/>
    <x v="1"/>
    <s v="Agent"/>
    <x v="5"/>
    <n v="5"/>
    <n v="2345000"/>
    <n v="9.6000000000000002E-2"/>
    <n v="10599000"/>
    <x v="15"/>
    <x v="1"/>
  </r>
  <r>
    <x v="1047"/>
    <x v="3"/>
    <x v="1"/>
    <s v="Agent"/>
    <x v="4"/>
    <n v="4"/>
    <n v="2923000"/>
    <n v="9.9000000000000005E-2"/>
    <n v="10534000"/>
    <x v="13"/>
    <x v="1"/>
  </r>
  <r>
    <x v="1047"/>
    <x v="0"/>
    <x v="2"/>
    <s v="Mobile App"/>
    <x v="6"/>
    <n v="2"/>
    <n v="4187000"/>
    <n v="4.5147420010355502E-2"/>
    <n v="7996000"/>
    <x v="0"/>
    <x v="1"/>
  </r>
  <r>
    <x v="1048"/>
    <x v="2"/>
    <x v="5"/>
    <s v="Mobile App"/>
    <x v="7"/>
    <n v="1"/>
    <n v="4918000"/>
    <n v="8.1583202648443404E-2"/>
    <n v="4517000"/>
    <x v="3"/>
    <x v="0"/>
  </r>
  <r>
    <x v="1048"/>
    <x v="3"/>
    <x v="0"/>
    <s v="Website"/>
    <x v="8"/>
    <n v="1"/>
    <n v="2000000"/>
    <n v="0.153"/>
    <n v="1694000"/>
    <x v="3"/>
    <x v="1"/>
  </r>
  <r>
    <x v="1049"/>
    <x v="0"/>
    <x v="2"/>
    <s v="Mobile App"/>
    <x v="4"/>
    <n v="1"/>
    <n v="3423000"/>
    <n v="5.5E-2"/>
    <n v="3235000"/>
    <x v="8"/>
    <x v="1"/>
  </r>
  <r>
    <x v="1049"/>
    <x v="3"/>
    <x v="0"/>
    <s v="Agent"/>
    <x v="9"/>
    <n v="1"/>
    <n v="2854000"/>
    <n v="1.99525824827201E-2"/>
    <n v="2797000"/>
    <x v="9"/>
    <x v="0"/>
  </r>
  <r>
    <x v="1049"/>
    <x v="1"/>
    <x v="3"/>
    <s v="Mobile App"/>
    <x v="6"/>
    <n v="3"/>
    <n v="2519000"/>
    <n v="0.161"/>
    <n v="6340000"/>
    <x v="19"/>
    <x v="1"/>
  </r>
  <r>
    <x v="1049"/>
    <x v="1"/>
    <x v="2"/>
    <s v="Website"/>
    <x v="7"/>
    <n v="2"/>
    <n v="3510000"/>
    <n v="6.7903396417765494E-2"/>
    <n v="6543000"/>
    <x v="1"/>
    <x v="1"/>
  </r>
  <r>
    <x v="1049"/>
    <x v="0"/>
    <x v="0"/>
    <s v="Website"/>
    <x v="6"/>
    <n v="3"/>
    <n v="2619000"/>
    <n v="0.152440434581812"/>
    <n v="6659000"/>
    <x v="6"/>
    <x v="1"/>
  </r>
  <r>
    <x v="1049"/>
    <x v="1"/>
    <x v="0"/>
    <s v="Website"/>
    <x v="4"/>
    <n v="2"/>
    <n v="2732000"/>
    <n v="0.11700000000000001"/>
    <n v="4825000"/>
    <x v="15"/>
    <x v="0"/>
  </r>
  <r>
    <x v="1049"/>
    <x v="3"/>
    <x v="3"/>
    <s v="Agent"/>
    <x v="8"/>
    <n v="1"/>
    <n v="2465000"/>
    <n v="0.16502212767493599"/>
    <n v="2058000"/>
    <x v="10"/>
    <x v="0"/>
  </r>
  <r>
    <x v="1050"/>
    <x v="3"/>
    <x v="1"/>
    <s v="Mobile App"/>
    <x v="0"/>
    <n v="3"/>
    <n v="3384000"/>
    <n v="0.10199999999999999"/>
    <n v="9116000"/>
    <x v="13"/>
    <x v="1"/>
  </r>
  <r>
    <x v="1050"/>
    <x v="1"/>
    <x v="2"/>
    <s v="Call Center"/>
    <x v="7"/>
    <n v="3"/>
    <n v="3645000"/>
    <n v="0.122"/>
    <n v="9601000"/>
    <x v="15"/>
    <x v="1"/>
  </r>
  <r>
    <x v="1050"/>
    <x v="1"/>
    <x v="0"/>
    <s v="Website"/>
    <x v="9"/>
    <n v="4"/>
    <n v="2777000"/>
    <n v="3.9931715490394003E-2"/>
    <n v="10664000"/>
    <x v="5"/>
    <x v="0"/>
  </r>
  <r>
    <x v="1051"/>
    <x v="1"/>
    <x v="3"/>
    <s v="Mobile App"/>
    <x v="7"/>
    <n v="1"/>
    <n v="2224000"/>
    <n v="1.1649867475520201E-2"/>
    <n v="2198000"/>
    <x v="0"/>
    <x v="1"/>
  </r>
  <r>
    <x v="1052"/>
    <x v="1"/>
    <x v="0"/>
    <s v="Website"/>
    <x v="7"/>
    <n v="2"/>
    <n v="2350000"/>
    <n v="9.2282107013819697E-2"/>
    <n v="4266000"/>
    <x v="1"/>
    <x v="1"/>
  </r>
  <r>
    <x v="1052"/>
    <x v="0"/>
    <x v="3"/>
    <s v="Agent"/>
    <x v="0"/>
    <n v="3"/>
    <n v="1875000"/>
    <n v="0.14099999999999999"/>
    <n v="4832000"/>
    <x v="6"/>
    <x v="1"/>
  </r>
  <r>
    <x v="1053"/>
    <x v="0"/>
    <x v="2"/>
    <s v="Website"/>
    <x v="7"/>
    <n v="1"/>
    <n v="3833000"/>
    <n v="0.142938821625055"/>
    <n v="3285000"/>
    <x v="10"/>
    <x v="1"/>
  </r>
  <r>
    <x v="1053"/>
    <x v="1"/>
    <x v="3"/>
    <s v="Website"/>
    <x v="6"/>
    <n v="2"/>
    <n v="2908000"/>
    <n v="0.14399999999999999"/>
    <n v="4978000"/>
    <x v="1"/>
    <x v="1"/>
  </r>
  <r>
    <x v="1053"/>
    <x v="3"/>
    <x v="4"/>
    <s v="Mobile App"/>
    <x v="5"/>
    <n v="3"/>
    <n v="2188000"/>
    <n v="3.1E-2"/>
    <n v="6361000"/>
    <x v="1"/>
    <x v="1"/>
  </r>
  <r>
    <x v="1053"/>
    <x v="1"/>
    <x v="5"/>
    <s v="Website"/>
    <x v="2"/>
    <n v="1"/>
    <n v="5384000"/>
    <n v="0.11853341624701901"/>
    <n v="4746000"/>
    <x v="2"/>
    <x v="1"/>
  </r>
  <r>
    <x v="1053"/>
    <x v="1"/>
    <x v="3"/>
    <s v="Mobile App"/>
    <x v="7"/>
    <n v="1"/>
    <n v="1522000"/>
    <n v="0"/>
    <n v="1522000"/>
    <x v="9"/>
    <x v="0"/>
  </r>
  <r>
    <x v="1053"/>
    <x v="3"/>
    <x v="3"/>
    <s v="Agent"/>
    <x v="5"/>
    <n v="1"/>
    <n v="2034000"/>
    <n v="0.16800000000000001"/>
    <n v="1692000"/>
    <x v="0"/>
    <x v="1"/>
  </r>
  <r>
    <x v="1053"/>
    <x v="3"/>
    <x v="2"/>
    <s v="Mobile App"/>
    <x v="1"/>
    <n v="5"/>
    <n v="3478000"/>
    <n v="9.7347391980497106E-2"/>
    <n v="15697000"/>
    <x v="10"/>
    <x v="1"/>
  </r>
  <r>
    <x v="1053"/>
    <x v="3"/>
    <x v="2"/>
    <s v="Agent"/>
    <x v="8"/>
    <n v="3"/>
    <n v="3824000"/>
    <n v="8.9414978922394403E-2"/>
    <n v="10446000"/>
    <x v="6"/>
    <x v="0"/>
  </r>
  <r>
    <x v="1054"/>
    <x v="2"/>
    <x v="2"/>
    <s v="Website"/>
    <x v="6"/>
    <n v="1"/>
    <n v="2881000"/>
    <n v="2.1999999999999999E-2"/>
    <n v="2818000"/>
    <x v="9"/>
    <x v="1"/>
  </r>
  <r>
    <x v="1054"/>
    <x v="1"/>
    <x v="2"/>
    <s v="Website"/>
    <x v="0"/>
    <n v="1"/>
    <n v="5894000"/>
    <n v="0.20699999999999999"/>
    <n v="4674000"/>
    <x v="13"/>
    <x v="1"/>
  </r>
  <r>
    <x v="1055"/>
    <x v="0"/>
    <x v="0"/>
    <s v="Website"/>
    <x v="1"/>
    <n v="1"/>
    <n v="2881000"/>
    <n v="0.152"/>
    <n v="2443000"/>
    <x v="15"/>
    <x v="1"/>
  </r>
  <r>
    <x v="1055"/>
    <x v="1"/>
    <x v="0"/>
    <s v="Website"/>
    <x v="8"/>
    <n v="1"/>
    <n v="2410000"/>
    <n v="5.7013555069280297E-2"/>
    <n v="2273000"/>
    <x v="6"/>
    <x v="0"/>
  </r>
  <r>
    <x v="1055"/>
    <x v="3"/>
    <x v="2"/>
    <s v="Website"/>
    <x v="9"/>
    <n v="1"/>
    <n v="2925000"/>
    <n v="0.107"/>
    <n v="2612000"/>
    <x v="9"/>
    <x v="0"/>
  </r>
  <r>
    <x v="1056"/>
    <x v="0"/>
    <x v="5"/>
    <s v="Website"/>
    <x v="1"/>
    <n v="1"/>
    <n v="4542000"/>
    <n v="0.106344159450022"/>
    <n v="4059000"/>
    <x v="8"/>
    <x v="1"/>
  </r>
  <r>
    <x v="1056"/>
    <x v="1"/>
    <x v="4"/>
    <s v="Website"/>
    <x v="5"/>
    <n v="1"/>
    <n v="2940000"/>
    <n v="0.16955474071417501"/>
    <n v="2442000"/>
    <x v="12"/>
    <x v="1"/>
  </r>
  <r>
    <x v="1056"/>
    <x v="1"/>
    <x v="0"/>
    <s v="Agent"/>
    <x v="5"/>
    <n v="1"/>
    <n v="3474000"/>
    <n v="0.10299999999999999"/>
    <n v="3116000"/>
    <x v="6"/>
    <x v="1"/>
  </r>
  <r>
    <x v="1056"/>
    <x v="2"/>
    <x v="2"/>
    <s v="Agent"/>
    <x v="4"/>
    <n v="1"/>
    <n v="4150000"/>
    <n v="0.139362118973066"/>
    <n v="3572000"/>
    <x v="1"/>
    <x v="1"/>
  </r>
  <r>
    <x v="1056"/>
    <x v="2"/>
    <x v="0"/>
    <s v="Website"/>
    <x v="1"/>
    <n v="2"/>
    <n v="1941000"/>
    <n v="0.13400000000000001"/>
    <n v="3362000"/>
    <x v="2"/>
    <x v="1"/>
  </r>
  <r>
    <x v="1057"/>
    <x v="0"/>
    <x v="2"/>
    <s v="Agent"/>
    <x v="0"/>
    <n v="3"/>
    <n v="3375000"/>
    <n v="7.9000000000000001E-2"/>
    <n v="9325000"/>
    <x v="13"/>
    <x v="1"/>
  </r>
  <r>
    <x v="1057"/>
    <x v="1"/>
    <x v="5"/>
    <s v="Mobile App"/>
    <x v="0"/>
    <n v="2"/>
    <n v="3931000"/>
    <n v="-0.2"/>
    <n v="7445000"/>
    <x v="14"/>
    <x v="1"/>
  </r>
  <r>
    <x v="1058"/>
    <x v="3"/>
    <x v="2"/>
    <s v="Website"/>
    <x v="8"/>
    <n v="1"/>
    <n v="3691000"/>
    <n v="7.2227195612135406E-2"/>
    <n v="3424000"/>
    <x v="4"/>
    <x v="1"/>
  </r>
  <r>
    <x v="1058"/>
    <x v="1"/>
    <x v="3"/>
    <s v="Website"/>
    <x v="0"/>
    <n v="3"/>
    <n v="1271000"/>
    <n v="0.125"/>
    <n v="3336000"/>
    <x v="3"/>
    <x v="1"/>
  </r>
  <r>
    <x v="1058"/>
    <x v="2"/>
    <x v="4"/>
    <s v="Website"/>
    <x v="5"/>
    <n v="1"/>
    <n v="2926000"/>
    <n v="0.120787962314099"/>
    <n v="2573000"/>
    <x v="10"/>
    <x v="1"/>
  </r>
  <r>
    <x v="1058"/>
    <x v="0"/>
    <x v="1"/>
    <s v="Mobile App"/>
    <x v="6"/>
    <n v="3"/>
    <n v="3824000"/>
    <n v="0.08"/>
    <n v="10554000"/>
    <x v="4"/>
    <x v="1"/>
  </r>
  <r>
    <x v="1059"/>
    <x v="2"/>
    <x v="2"/>
    <s v="Mobile App"/>
    <x v="3"/>
    <n v="1"/>
    <n v="4396000"/>
    <n v="3.7852991203102197E-2"/>
    <n v="4230000"/>
    <x v="5"/>
    <x v="1"/>
  </r>
  <r>
    <x v="1059"/>
    <x v="1"/>
    <x v="1"/>
    <s v="Mobile App"/>
    <x v="0"/>
    <n v="4"/>
    <n v="2236000"/>
    <n v="5.8999999999999997E-2"/>
    <n v="8416000"/>
    <x v="4"/>
    <x v="1"/>
  </r>
  <r>
    <x v="1060"/>
    <x v="0"/>
    <x v="2"/>
    <s v="Website"/>
    <x v="1"/>
    <n v="2"/>
    <n v="3334000"/>
    <n v="9.0775067993508707E-2"/>
    <n v="6063000"/>
    <x v="4"/>
    <x v="0"/>
  </r>
  <r>
    <x v="1061"/>
    <x v="1"/>
    <x v="4"/>
    <s v="Website"/>
    <x v="5"/>
    <n v="1"/>
    <n v="2791000"/>
    <n v="0.14679994792077899"/>
    <n v="2381000"/>
    <x v="7"/>
    <x v="1"/>
  </r>
  <r>
    <x v="1061"/>
    <x v="0"/>
    <x v="3"/>
    <s v="Website"/>
    <x v="2"/>
    <n v="2"/>
    <n v="2774000"/>
    <n v="0.19933003020801399"/>
    <n v="4442000"/>
    <x v="11"/>
    <x v="0"/>
  </r>
  <r>
    <x v="1062"/>
    <x v="0"/>
    <x v="5"/>
    <s v="Website"/>
    <x v="3"/>
    <n v="3"/>
    <n v="4741000"/>
    <n v="0.19768219177584201"/>
    <n v="11411000"/>
    <x v="2"/>
    <x v="1"/>
  </r>
  <r>
    <x v="1062"/>
    <x v="0"/>
    <x v="0"/>
    <s v="Agent"/>
    <x v="9"/>
    <n v="2"/>
    <n v="4000000"/>
    <n v="0.14699999999999999"/>
    <n v="6824000"/>
    <x v="4"/>
    <x v="0"/>
  </r>
  <r>
    <x v="1062"/>
    <x v="0"/>
    <x v="2"/>
    <s v="Agent"/>
    <x v="1"/>
    <n v="2"/>
    <n v="3419000"/>
    <n v="6.3878785735837801E-2"/>
    <n v="6401000"/>
    <x v="1"/>
    <x v="1"/>
  </r>
  <r>
    <x v="1062"/>
    <x v="3"/>
    <x v="2"/>
    <s v="Website"/>
    <x v="0"/>
    <n v="2"/>
    <n v="4069000"/>
    <n v="0.126"/>
    <n v="7113000"/>
    <x v="0"/>
    <x v="1"/>
  </r>
  <r>
    <x v="1063"/>
    <x v="0"/>
    <x v="5"/>
    <s v="Website"/>
    <x v="0"/>
    <n v="1"/>
    <n v="4900000"/>
    <n v="0.159"/>
    <n v="4121000"/>
    <x v="15"/>
    <x v="0"/>
  </r>
  <r>
    <x v="1063"/>
    <x v="0"/>
    <x v="0"/>
    <s v="Mobile App"/>
    <x v="0"/>
    <n v="2"/>
    <n v="2161000"/>
    <n v="0.16900000000000001"/>
    <n v="3592000"/>
    <x v="7"/>
    <x v="1"/>
  </r>
  <r>
    <x v="1064"/>
    <x v="1"/>
    <x v="2"/>
    <s v="Website"/>
    <x v="5"/>
    <n v="1"/>
    <n v="4583000"/>
    <n v="0.109"/>
    <n v="4083000"/>
    <x v="10"/>
    <x v="1"/>
  </r>
  <r>
    <x v="1064"/>
    <x v="2"/>
    <x v="5"/>
    <s v="Website"/>
    <x v="5"/>
    <n v="2"/>
    <n v="5395000"/>
    <n v="0.106"/>
    <n v="9646000"/>
    <x v="11"/>
    <x v="0"/>
  </r>
  <r>
    <x v="1064"/>
    <x v="0"/>
    <x v="0"/>
    <s v="Website"/>
    <x v="1"/>
    <n v="2"/>
    <n v="2540000"/>
    <n v="0.15459740307075501"/>
    <n v="4295000"/>
    <x v="2"/>
    <x v="1"/>
  </r>
  <r>
    <x v="1064"/>
    <x v="3"/>
    <x v="5"/>
    <s v="Agent"/>
    <x v="2"/>
    <n v="3"/>
    <n v="3934000"/>
    <n v="9.5000000000000001E-2"/>
    <n v="10681000"/>
    <x v="15"/>
    <x v="1"/>
  </r>
  <r>
    <x v="1065"/>
    <x v="3"/>
    <x v="2"/>
    <s v="Agent"/>
    <x v="5"/>
    <n v="1"/>
    <n v="4539000"/>
    <n v="7.5593130582870899E-2"/>
    <n v="4196000"/>
    <x v="0"/>
    <x v="1"/>
  </r>
  <r>
    <x v="1065"/>
    <x v="1"/>
    <x v="1"/>
    <s v="Agent"/>
    <x v="3"/>
    <n v="5"/>
    <n v="3103000"/>
    <n v="0.13237385463364401"/>
    <n v="13461000"/>
    <x v="12"/>
    <x v="1"/>
  </r>
  <r>
    <x v="1065"/>
    <x v="1"/>
    <x v="0"/>
    <s v="Website"/>
    <x v="9"/>
    <n v="2"/>
    <n v="2895000"/>
    <n v="8.2523068448671494E-2"/>
    <n v="5312000"/>
    <x v="13"/>
    <x v="0"/>
  </r>
  <r>
    <x v="1066"/>
    <x v="0"/>
    <x v="3"/>
    <s v="Mobile App"/>
    <x v="4"/>
    <n v="1"/>
    <n v="1514000"/>
    <n v="6.41224069730012E-2"/>
    <n v="1417000"/>
    <x v="12"/>
    <x v="0"/>
  </r>
  <r>
    <x v="1066"/>
    <x v="3"/>
    <x v="0"/>
    <s v="Mobile App"/>
    <x v="5"/>
    <n v="3"/>
    <n v="2969000"/>
    <n v="4.8956746851922403E-2"/>
    <n v="8471000"/>
    <x v="9"/>
    <x v="1"/>
  </r>
  <r>
    <x v="1066"/>
    <x v="0"/>
    <x v="4"/>
    <s v="Agent"/>
    <x v="1"/>
    <n v="1"/>
    <n v="1672000"/>
    <n v="0.10199999999999999"/>
    <n v="1501000"/>
    <x v="9"/>
    <x v="1"/>
  </r>
  <r>
    <x v="1066"/>
    <x v="1"/>
    <x v="5"/>
    <s v="Website"/>
    <x v="3"/>
    <n v="2"/>
    <n v="4846000"/>
    <n v="5.8166129646495E-2"/>
    <n v="9128000"/>
    <x v="3"/>
    <x v="1"/>
  </r>
  <r>
    <x v="1066"/>
    <x v="0"/>
    <x v="1"/>
    <s v="Mobile App"/>
    <x v="2"/>
    <n v="4"/>
    <n v="2701000"/>
    <n v="0.114"/>
    <n v="9572000"/>
    <x v="1"/>
    <x v="1"/>
  </r>
  <r>
    <x v="1066"/>
    <x v="1"/>
    <x v="0"/>
    <s v="Mobile App"/>
    <x v="4"/>
    <n v="2"/>
    <n v="2464000"/>
    <n v="9.9000000000000005E-2"/>
    <n v="4440000"/>
    <x v="2"/>
    <x v="1"/>
  </r>
  <r>
    <x v="1066"/>
    <x v="3"/>
    <x v="5"/>
    <s v="Mobile App"/>
    <x v="0"/>
    <n v="1"/>
    <n v="3856000"/>
    <n v="0.12"/>
    <n v="3393000"/>
    <x v="8"/>
    <x v="1"/>
  </r>
  <r>
    <x v="1067"/>
    <x v="2"/>
    <x v="0"/>
    <s v="Website"/>
    <x v="0"/>
    <n v="3"/>
    <n v="2941000"/>
    <n v="0.10100000000000001"/>
    <n v="7932000"/>
    <x v="1"/>
    <x v="1"/>
  </r>
  <r>
    <x v="1067"/>
    <x v="3"/>
    <x v="5"/>
    <s v="Mobile App"/>
    <x v="9"/>
    <n v="1"/>
    <n v="6231000"/>
    <n v="0.11100705613645701"/>
    <n v="5539000"/>
    <x v="6"/>
    <x v="1"/>
  </r>
  <r>
    <x v="1067"/>
    <x v="2"/>
    <x v="3"/>
    <s v="Agent"/>
    <x v="3"/>
    <n v="1"/>
    <n v="2803000"/>
    <n v="5.4758497076575298E-2"/>
    <n v="2650000"/>
    <x v="6"/>
    <x v="1"/>
  </r>
  <r>
    <x v="1067"/>
    <x v="3"/>
    <x v="2"/>
    <s v="Website"/>
    <x v="9"/>
    <n v="1"/>
    <n v="4278000"/>
    <n v="0.13700000000000001"/>
    <n v="3692000"/>
    <x v="9"/>
    <x v="1"/>
  </r>
  <r>
    <x v="1068"/>
    <x v="3"/>
    <x v="2"/>
    <s v="Website"/>
    <x v="9"/>
    <n v="2"/>
    <n v="5594000"/>
    <n v="0.24399999999999999"/>
    <n v="8458000"/>
    <x v="3"/>
    <x v="1"/>
  </r>
  <r>
    <x v="1068"/>
    <x v="1"/>
    <x v="4"/>
    <s v="Website"/>
    <x v="2"/>
    <n v="2"/>
    <n v="2726000"/>
    <n v="9.8651638737651898E-2"/>
    <n v="4914000"/>
    <x v="8"/>
    <x v="1"/>
  </r>
  <r>
    <x v="1068"/>
    <x v="3"/>
    <x v="2"/>
    <s v="Mobile App"/>
    <x v="0"/>
    <n v="1"/>
    <n v="4413000"/>
    <n v="1.9545123861593801E-2"/>
    <n v="4327000"/>
    <x v="0"/>
    <x v="1"/>
  </r>
  <r>
    <x v="1068"/>
    <x v="0"/>
    <x v="5"/>
    <s v="Website"/>
    <x v="4"/>
    <n v="2"/>
    <n v="5105000"/>
    <n v="1.1409521058645299E-2"/>
    <n v="10094000"/>
    <x v="10"/>
    <x v="1"/>
  </r>
  <r>
    <x v="1069"/>
    <x v="0"/>
    <x v="5"/>
    <s v="Website"/>
    <x v="4"/>
    <n v="1"/>
    <n v="4671000"/>
    <n v="7.5999999999999998E-2"/>
    <n v="4316000"/>
    <x v="15"/>
    <x v="1"/>
  </r>
  <r>
    <x v="1069"/>
    <x v="0"/>
    <x v="0"/>
    <s v="Website"/>
    <x v="2"/>
    <n v="1"/>
    <n v="3543000"/>
    <n v="0.13608282362879701"/>
    <n v="3061000"/>
    <x v="6"/>
    <x v="0"/>
  </r>
  <r>
    <x v="1069"/>
    <x v="3"/>
    <x v="5"/>
    <s v="Mobile App"/>
    <x v="2"/>
    <n v="1"/>
    <n v="5966000"/>
    <n v="6.5000000000000002E-2"/>
    <n v="5578000"/>
    <x v="3"/>
    <x v="1"/>
  </r>
  <r>
    <x v="1069"/>
    <x v="3"/>
    <x v="1"/>
    <s v="Website"/>
    <x v="0"/>
    <n v="2"/>
    <n v="3773000"/>
    <n v="0.13878879225419399"/>
    <n v="6499000"/>
    <x v="6"/>
    <x v="1"/>
  </r>
  <r>
    <x v="1070"/>
    <x v="3"/>
    <x v="5"/>
    <s v="Website"/>
    <x v="5"/>
    <n v="4"/>
    <n v="5155000"/>
    <n v="0.11033407944415"/>
    <n v="18345000"/>
    <x v="8"/>
    <x v="1"/>
  </r>
  <r>
    <x v="1070"/>
    <x v="3"/>
    <x v="3"/>
    <s v="Website"/>
    <x v="8"/>
    <n v="3"/>
    <n v="2720000"/>
    <n v="0.101872990680427"/>
    <n v="7329000"/>
    <x v="13"/>
    <x v="0"/>
  </r>
  <r>
    <x v="1071"/>
    <x v="1"/>
    <x v="1"/>
    <s v="Agent"/>
    <x v="0"/>
    <n v="2"/>
    <n v="3759000"/>
    <n v="0.155"/>
    <n v="6353000"/>
    <x v="1"/>
    <x v="1"/>
  </r>
  <r>
    <x v="1071"/>
    <x v="1"/>
    <x v="2"/>
    <s v="Call Center"/>
    <x v="3"/>
    <n v="1"/>
    <n v="3446000"/>
    <n v="0.182"/>
    <n v="2819000"/>
    <x v="14"/>
    <x v="1"/>
  </r>
  <r>
    <x v="1071"/>
    <x v="3"/>
    <x v="2"/>
    <s v="Website"/>
    <x v="4"/>
    <n v="3"/>
    <n v="4283000"/>
    <n v="3.9806461222444099E-2"/>
    <n v="12338000"/>
    <x v="6"/>
    <x v="1"/>
  </r>
  <r>
    <x v="1072"/>
    <x v="0"/>
    <x v="1"/>
    <s v="Website"/>
    <x v="2"/>
    <n v="3"/>
    <n v="3874000"/>
    <n v="0.13443884534337799"/>
    <n v="10060000"/>
    <x v="12"/>
    <x v="1"/>
  </r>
  <r>
    <x v="1072"/>
    <x v="3"/>
    <x v="1"/>
    <s v="Mobile App"/>
    <x v="3"/>
    <n v="4"/>
    <n v="3225000"/>
    <n v="0.14399999999999999"/>
    <n v="11042000"/>
    <x v="16"/>
    <x v="1"/>
  </r>
  <r>
    <x v="1072"/>
    <x v="1"/>
    <x v="4"/>
    <s v="Mobile App"/>
    <x v="1"/>
    <n v="1"/>
    <n v="1865000"/>
    <n v="0.17799999999999999"/>
    <n v="1533000"/>
    <x v="6"/>
    <x v="1"/>
  </r>
  <r>
    <x v="1073"/>
    <x v="3"/>
    <x v="1"/>
    <s v="Website"/>
    <x v="6"/>
    <n v="3"/>
    <n v="3081000"/>
    <n v="0.115"/>
    <n v="8180000"/>
    <x v="1"/>
    <x v="1"/>
  </r>
  <r>
    <x v="1073"/>
    <x v="3"/>
    <x v="0"/>
    <s v="Website"/>
    <x v="6"/>
    <n v="3"/>
    <n v="2534000"/>
    <n v="9.5105811165446905E-2"/>
    <n v="6879000"/>
    <x v="0"/>
    <x v="1"/>
  </r>
  <r>
    <x v="1073"/>
    <x v="0"/>
    <x v="2"/>
    <s v="Mobile App"/>
    <x v="1"/>
    <n v="2"/>
    <n v="4387000"/>
    <n v="0.17599999999999999"/>
    <n v="7230000"/>
    <x v="1"/>
    <x v="1"/>
  </r>
  <r>
    <x v="1074"/>
    <x v="0"/>
    <x v="0"/>
    <s v="Website"/>
    <x v="6"/>
    <n v="4"/>
    <n v="2481000"/>
    <n v="9.1364695895449793E-2"/>
    <n v="9017000"/>
    <x v="17"/>
    <x v="1"/>
  </r>
  <r>
    <x v="1074"/>
    <x v="3"/>
    <x v="0"/>
    <s v="Agent"/>
    <x v="7"/>
    <n v="1"/>
    <n v="2212000"/>
    <n v="0.109630936082231"/>
    <n v="1969000"/>
    <x v="12"/>
    <x v="0"/>
  </r>
  <r>
    <x v="1074"/>
    <x v="1"/>
    <x v="2"/>
    <s v="Mobile App"/>
    <x v="5"/>
    <n v="1"/>
    <n v="4010000"/>
    <n v="0.13875208076371601"/>
    <n v="3454000"/>
    <x v="5"/>
    <x v="0"/>
  </r>
  <r>
    <x v="1074"/>
    <x v="3"/>
    <x v="0"/>
    <s v="Mobile App"/>
    <x v="0"/>
    <n v="2"/>
    <n v="3099000"/>
    <n v="0.19900000000000001"/>
    <n v="4965000"/>
    <x v="7"/>
    <x v="1"/>
  </r>
  <r>
    <x v="1074"/>
    <x v="3"/>
    <x v="2"/>
    <s v="Website"/>
    <x v="2"/>
    <n v="1"/>
    <n v="3359000"/>
    <n v="0.107"/>
    <n v="3000000"/>
    <x v="18"/>
    <x v="1"/>
  </r>
  <r>
    <x v="1075"/>
    <x v="1"/>
    <x v="1"/>
    <s v="Website"/>
    <x v="1"/>
    <n v="1"/>
    <n v="2792000"/>
    <n v="7.5966941365803106E-2"/>
    <n v="2580000"/>
    <x v="12"/>
    <x v="1"/>
  </r>
  <r>
    <x v="1075"/>
    <x v="3"/>
    <x v="2"/>
    <s v="Website"/>
    <x v="5"/>
    <n v="3"/>
    <n v="3840000"/>
    <n v="8.6389541114349502E-2"/>
    <n v="10525000"/>
    <x v="1"/>
    <x v="1"/>
  </r>
  <r>
    <x v="1075"/>
    <x v="2"/>
    <x v="4"/>
    <s v="Call Center"/>
    <x v="1"/>
    <n v="1"/>
    <n v="2750000"/>
    <n v="0.16600000000000001"/>
    <n v="2294000"/>
    <x v="0"/>
    <x v="0"/>
  </r>
  <r>
    <x v="1075"/>
    <x v="2"/>
    <x v="1"/>
    <s v="Website"/>
    <x v="3"/>
    <n v="4"/>
    <n v="3244000"/>
    <n v="0.121"/>
    <n v="11406000"/>
    <x v="12"/>
    <x v="1"/>
  </r>
  <r>
    <x v="1076"/>
    <x v="3"/>
    <x v="2"/>
    <s v="Mobile App"/>
    <x v="2"/>
    <n v="1"/>
    <n v="5308000"/>
    <n v="0.16200000000000001"/>
    <n v="4448000"/>
    <x v="6"/>
    <x v="1"/>
  </r>
  <r>
    <x v="1076"/>
    <x v="3"/>
    <x v="0"/>
    <s v="Website"/>
    <x v="5"/>
    <n v="1"/>
    <n v="2829000"/>
    <n v="9.0999999999999998E-2"/>
    <n v="2572000"/>
    <x v="3"/>
    <x v="1"/>
  </r>
  <r>
    <x v="1076"/>
    <x v="1"/>
    <x v="3"/>
    <s v="Agent"/>
    <x v="6"/>
    <n v="1"/>
    <n v="2233000"/>
    <n v="7.3999999999999996E-2"/>
    <n v="2068000"/>
    <x v="9"/>
    <x v="1"/>
  </r>
  <r>
    <x v="1077"/>
    <x v="3"/>
    <x v="5"/>
    <s v="Website"/>
    <x v="5"/>
    <n v="1"/>
    <n v="6756000"/>
    <n v="0.22"/>
    <n v="5270000"/>
    <x v="1"/>
    <x v="1"/>
  </r>
  <r>
    <x v="1077"/>
    <x v="3"/>
    <x v="1"/>
    <s v="Website"/>
    <x v="6"/>
    <n v="5"/>
    <n v="3396000"/>
    <n v="9.9000000000000005E-2"/>
    <n v="15299000"/>
    <x v="17"/>
    <x v="0"/>
  </r>
  <r>
    <x v="1077"/>
    <x v="3"/>
    <x v="4"/>
    <s v="Agent"/>
    <x v="2"/>
    <n v="1"/>
    <n v="2481000"/>
    <n v="0.14442460285368999"/>
    <n v="2123000"/>
    <x v="1"/>
    <x v="1"/>
  </r>
  <r>
    <x v="1077"/>
    <x v="3"/>
    <x v="5"/>
    <s v="Website"/>
    <x v="4"/>
    <n v="2"/>
    <n v="3118000"/>
    <n v="8.8999999999999996E-2"/>
    <n v="5681000"/>
    <x v="10"/>
    <x v="1"/>
  </r>
  <r>
    <x v="1077"/>
    <x v="3"/>
    <x v="3"/>
    <s v="Agent"/>
    <x v="9"/>
    <n v="1"/>
    <n v="2678000"/>
    <n v="8.9999999999999993E-3"/>
    <n v="2654000"/>
    <x v="0"/>
    <x v="1"/>
  </r>
  <r>
    <x v="1077"/>
    <x v="3"/>
    <x v="2"/>
    <s v="Agent"/>
    <x v="3"/>
    <n v="1"/>
    <n v="4902000"/>
    <n v="8.5999999999999993E-2"/>
    <n v="4480000"/>
    <x v="14"/>
    <x v="1"/>
  </r>
  <r>
    <x v="1078"/>
    <x v="3"/>
    <x v="1"/>
    <s v="Agent"/>
    <x v="0"/>
    <n v="3"/>
    <n v="3303000"/>
    <n v="0.11549936278519"/>
    <n v="8765000"/>
    <x v="0"/>
    <x v="1"/>
  </r>
  <r>
    <x v="1078"/>
    <x v="0"/>
    <x v="2"/>
    <s v="Mobile App"/>
    <x v="1"/>
    <n v="1"/>
    <n v="3380000"/>
    <n v="8.5690067229334699E-2"/>
    <n v="3090000"/>
    <x v="4"/>
    <x v="1"/>
  </r>
  <r>
    <x v="1078"/>
    <x v="0"/>
    <x v="4"/>
    <s v="Website"/>
    <x v="3"/>
    <n v="2"/>
    <n v="-100000"/>
    <n v="5.0999999999999997E-2"/>
    <n v="4810000"/>
    <x v="14"/>
    <x v="1"/>
  </r>
  <r>
    <x v="1079"/>
    <x v="2"/>
    <x v="2"/>
    <s v="Agent"/>
    <x v="4"/>
    <n v="2"/>
    <n v="2696000"/>
    <n v="0.23599999999999999"/>
    <n v="4119000"/>
    <x v="13"/>
    <x v="1"/>
  </r>
  <r>
    <x v="1079"/>
    <x v="2"/>
    <x v="0"/>
    <s v="Website"/>
    <x v="3"/>
    <n v="2"/>
    <n v="2679000"/>
    <n v="0.146996179863741"/>
    <n v="4570000"/>
    <x v="19"/>
    <x v="0"/>
  </r>
  <r>
    <x v="1079"/>
    <x v="0"/>
    <x v="5"/>
    <s v="Mobile App"/>
    <x v="2"/>
    <n v="1"/>
    <n v="5052000"/>
    <n v="0.13300000000000001"/>
    <n v="4380000"/>
    <x v="12"/>
    <x v="1"/>
  </r>
  <r>
    <x v="1079"/>
    <x v="0"/>
    <x v="1"/>
    <s v="Website"/>
    <x v="0"/>
    <n v="1"/>
    <n v="3477000"/>
    <n v="0.120860775981472"/>
    <n v="3057000"/>
    <x v="2"/>
    <x v="1"/>
  </r>
  <r>
    <x v="1080"/>
    <x v="1"/>
    <x v="2"/>
    <s v="Website"/>
    <x v="3"/>
    <n v="2"/>
    <n v="4070000"/>
    <n v="0.101990198370256"/>
    <n v="7310000"/>
    <x v="0"/>
    <x v="1"/>
  </r>
  <r>
    <x v="1080"/>
    <x v="1"/>
    <x v="0"/>
    <s v="Website"/>
    <x v="1"/>
    <n v="1"/>
    <n v="0"/>
    <n v="6.0999999999999999E-2"/>
    <n v="2761000"/>
    <x v="6"/>
    <x v="1"/>
  </r>
  <r>
    <x v="1080"/>
    <x v="1"/>
    <x v="2"/>
    <s v="Mobile App"/>
    <x v="3"/>
    <n v="1"/>
    <n v="4016000"/>
    <n v="0.11403515769065101"/>
    <n v="3558000"/>
    <x v="12"/>
    <x v="0"/>
  </r>
  <r>
    <x v="1081"/>
    <x v="3"/>
    <x v="0"/>
    <s v="Agent"/>
    <x v="7"/>
    <n v="2"/>
    <n v="2168000"/>
    <n v="0.13035841282056099"/>
    <n v="3771000"/>
    <x v="4"/>
    <x v="1"/>
  </r>
  <r>
    <x v="1081"/>
    <x v="3"/>
    <x v="1"/>
    <s v="Mobile App"/>
    <x v="7"/>
    <n v="5"/>
    <n v="3105000"/>
    <n v="0.13700000000000001"/>
    <n v="13403000"/>
    <x v="13"/>
    <x v="0"/>
  </r>
  <r>
    <x v="1081"/>
    <x v="1"/>
    <x v="5"/>
    <s v="Agent"/>
    <x v="4"/>
    <n v="4"/>
    <n v="4532000"/>
    <n v="0.120013708739811"/>
    <n v="15952000"/>
    <x v="14"/>
    <x v="1"/>
  </r>
  <r>
    <x v="1082"/>
    <x v="1"/>
    <x v="0"/>
    <s v="Agent"/>
    <x v="0"/>
    <n v="2"/>
    <n v="3031000"/>
    <n v="0.14899999999999999"/>
    <n v="5159000"/>
    <x v="18"/>
    <x v="1"/>
  </r>
  <r>
    <x v="1082"/>
    <x v="1"/>
    <x v="2"/>
    <s v="Mobile App"/>
    <x v="8"/>
    <n v="2"/>
    <n v="3480000"/>
    <n v="9.8000000000000004E-2"/>
    <n v="6278000"/>
    <x v="15"/>
    <x v="1"/>
  </r>
  <r>
    <x v="1082"/>
    <x v="3"/>
    <x v="0"/>
    <s v="Website"/>
    <x v="8"/>
    <n v="1"/>
    <n v="2251000"/>
    <n v="0.109442964745293"/>
    <n v="2005000"/>
    <x v="5"/>
    <x v="0"/>
  </r>
  <r>
    <x v="1082"/>
    <x v="0"/>
    <x v="0"/>
    <s v="Website"/>
    <x v="7"/>
    <n v="3"/>
    <n v="2257000"/>
    <n v="6.6267986098590206E-2"/>
    <n v="6322000"/>
    <x v="7"/>
    <x v="1"/>
  </r>
  <r>
    <x v="1082"/>
    <x v="1"/>
    <x v="2"/>
    <s v="Website"/>
    <x v="9"/>
    <n v="1"/>
    <n v="3264000"/>
    <n v="0.14299999999999999"/>
    <n v="2797000"/>
    <x v="6"/>
    <x v="1"/>
  </r>
  <r>
    <x v="1082"/>
    <x v="2"/>
    <x v="4"/>
    <s v="Website"/>
    <x v="8"/>
    <n v="4"/>
    <n v="2717000"/>
    <n v="7.3999999999999996E-2"/>
    <n v="10064000"/>
    <x v="7"/>
    <x v="1"/>
  </r>
  <r>
    <x v="1082"/>
    <x v="1"/>
    <x v="0"/>
    <s v="Mobile App"/>
    <x v="8"/>
    <n v="3"/>
    <n v="4350000"/>
    <n v="8.7999999999999995E-2"/>
    <n v="11902000"/>
    <x v="8"/>
    <x v="1"/>
  </r>
  <r>
    <x v="1082"/>
    <x v="1"/>
    <x v="5"/>
    <s v="Website"/>
    <x v="6"/>
    <n v="1"/>
    <n v="4673000"/>
    <n v="0.105374253348337"/>
    <n v="4181000"/>
    <x v="12"/>
    <x v="0"/>
  </r>
  <r>
    <x v="1083"/>
    <x v="1"/>
    <x v="5"/>
    <s v="Agent"/>
    <x v="5"/>
    <n v="1"/>
    <n v="5450000"/>
    <n v="0.152494625248487"/>
    <n v="4619000"/>
    <x v="6"/>
    <x v="1"/>
  </r>
  <r>
    <x v="1083"/>
    <x v="1"/>
    <x v="0"/>
    <s v="Website"/>
    <x v="7"/>
    <n v="1"/>
    <n v="2286000"/>
    <n v="0.14111502972346501"/>
    <n v="1963000"/>
    <x v="1"/>
    <x v="1"/>
  </r>
  <r>
    <x v="1083"/>
    <x v="1"/>
    <x v="2"/>
    <s v="Website"/>
    <x v="9"/>
    <n v="1"/>
    <n v="3635000"/>
    <n v="0.01"/>
    <n v="3599000"/>
    <x v="15"/>
    <x v="0"/>
  </r>
  <r>
    <x v="1084"/>
    <x v="1"/>
    <x v="0"/>
    <s v="Agent"/>
    <x v="3"/>
    <n v="1"/>
    <n v="2617000"/>
    <n v="0.10141417827452701"/>
    <n v="2352000"/>
    <x v="0"/>
    <x v="1"/>
  </r>
  <r>
    <x v="1084"/>
    <x v="1"/>
    <x v="0"/>
    <s v="Agent"/>
    <x v="5"/>
    <n v="2"/>
    <n v="2407000"/>
    <n v="0.13385444880025901"/>
    <n v="4170000"/>
    <x v="7"/>
    <x v="1"/>
  </r>
  <r>
    <x v="1085"/>
    <x v="3"/>
    <x v="3"/>
    <s v="Agent"/>
    <x v="0"/>
    <n v="2"/>
    <n v="2321000"/>
    <n v="0.158"/>
    <n v="3909000"/>
    <x v="2"/>
    <x v="1"/>
  </r>
  <r>
    <x v="1085"/>
    <x v="3"/>
    <x v="1"/>
    <s v="Agent"/>
    <x v="3"/>
    <n v="1"/>
    <n v="3150000"/>
    <n v="0.104355441392986"/>
    <n v="2821000"/>
    <x v="1"/>
    <x v="0"/>
  </r>
  <r>
    <x v="1086"/>
    <x v="1"/>
    <x v="2"/>
    <s v="Website"/>
    <x v="2"/>
    <n v="4"/>
    <n v="4065000"/>
    <n v="9.9011981536627894E-2"/>
    <n v="14650000"/>
    <x v="1"/>
    <x v="0"/>
  </r>
  <r>
    <x v="1086"/>
    <x v="1"/>
    <x v="1"/>
    <s v="Website"/>
    <x v="0"/>
    <n v="1"/>
    <n v="3317000"/>
    <n v="0.108561880697938"/>
    <n v="2957000"/>
    <x v="1"/>
    <x v="1"/>
  </r>
  <r>
    <x v="1086"/>
    <x v="3"/>
    <x v="4"/>
    <s v="Website"/>
    <x v="4"/>
    <n v="2"/>
    <n v="2284000"/>
    <n v="0.75"/>
    <n v="4006000"/>
    <x v="15"/>
    <x v="0"/>
  </r>
  <r>
    <x v="1086"/>
    <x v="0"/>
    <x v="4"/>
    <s v="Mobile App"/>
    <x v="0"/>
    <n v="1"/>
    <n v="1857000"/>
    <n v="0.14199999999999999"/>
    <n v="1593000"/>
    <x v="2"/>
    <x v="0"/>
  </r>
  <r>
    <x v="1086"/>
    <x v="3"/>
    <x v="1"/>
    <s v="Agent"/>
    <x v="0"/>
    <n v="3"/>
    <n v="3238000"/>
    <n v="8.6999999999999994E-2"/>
    <n v="8869000"/>
    <x v="12"/>
    <x v="1"/>
  </r>
  <r>
    <x v="1087"/>
    <x v="0"/>
    <x v="3"/>
    <s v="Website"/>
    <x v="6"/>
    <n v="1"/>
    <n v="2999000"/>
    <n v="0.11799999999999999"/>
    <n v="2645000"/>
    <x v="1"/>
    <x v="1"/>
  </r>
  <r>
    <x v="1088"/>
    <x v="2"/>
    <x v="3"/>
    <s v="Mobile App"/>
    <x v="1"/>
    <n v="1"/>
    <n v="1772000"/>
    <n v="0.182"/>
    <n v="1449000"/>
    <x v="0"/>
    <x v="1"/>
  </r>
  <r>
    <x v="1088"/>
    <x v="2"/>
    <x v="5"/>
    <s v="Agent"/>
    <x v="8"/>
    <n v="1"/>
    <n v="5033000"/>
    <n v="9.8193366953445604E-2"/>
    <n v="4539000"/>
    <x v="13"/>
    <x v="1"/>
  </r>
  <r>
    <x v="1088"/>
    <x v="2"/>
    <x v="1"/>
    <s v="Website"/>
    <x v="5"/>
    <n v="2"/>
    <n v="2496000"/>
    <n v="0.14299999999999999"/>
    <n v="4278000"/>
    <x v="12"/>
    <x v="1"/>
  </r>
  <r>
    <x v="1089"/>
    <x v="3"/>
    <x v="0"/>
    <s v="Website"/>
    <x v="3"/>
    <n v="2"/>
    <n v="2688000"/>
    <n v="5.1122950561810002E-2"/>
    <n v="5101000"/>
    <x v="1"/>
    <x v="0"/>
  </r>
  <r>
    <x v="1089"/>
    <x v="1"/>
    <x v="1"/>
    <s v="Mobile App"/>
    <x v="5"/>
    <n v="3"/>
    <n v="3805000"/>
    <n v="0.112"/>
    <n v="10137000"/>
    <x v="14"/>
    <x v="1"/>
  </r>
  <r>
    <x v="1089"/>
    <x v="2"/>
    <x v="0"/>
    <s v="Website"/>
    <x v="4"/>
    <n v="1"/>
    <n v="2513000"/>
    <n v="9.9581091289458107E-2"/>
    <n v="2263000"/>
    <x v="1"/>
    <x v="1"/>
  </r>
  <r>
    <x v="1089"/>
    <x v="3"/>
    <x v="5"/>
    <s v="Agent"/>
    <x v="2"/>
    <n v="2"/>
    <n v="5685000"/>
    <n v="8.4000000000000005E-2"/>
    <n v="10415000"/>
    <x v="8"/>
    <x v="0"/>
  </r>
  <r>
    <x v="1089"/>
    <x v="0"/>
    <x v="2"/>
    <s v="Agent"/>
    <x v="5"/>
    <n v="1"/>
    <n v="3531000"/>
    <n v="9.6000000000000002E-2"/>
    <n v="3192000"/>
    <x v="1"/>
    <x v="1"/>
  </r>
  <r>
    <x v="1089"/>
    <x v="1"/>
    <x v="2"/>
    <s v="Website"/>
    <x v="3"/>
    <n v="1"/>
    <n v="4205000"/>
    <n v="6.0999999999999999E-2"/>
    <n v="3948000"/>
    <x v="10"/>
    <x v="1"/>
  </r>
  <r>
    <x v="1090"/>
    <x v="3"/>
    <x v="5"/>
    <s v="Website"/>
    <x v="8"/>
    <n v="2"/>
    <n v="3059000"/>
    <n v="0.23499999999999999"/>
    <n v="4680000"/>
    <x v="12"/>
    <x v="1"/>
  </r>
  <r>
    <x v="1090"/>
    <x v="1"/>
    <x v="1"/>
    <s v="Mobile App"/>
    <x v="1"/>
    <n v="4"/>
    <n v="2099000"/>
    <n v="9.8000000000000004E-2"/>
    <n v="7573000"/>
    <x v="4"/>
    <x v="0"/>
  </r>
  <r>
    <x v="1090"/>
    <x v="3"/>
    <x v="0"/>
    <s v="Agent"/>
    <x v="1"/>
    <n v="1"/>
    <n v="2774000"/>
    <n v="0.122095414314108"/>
    <n v="2435000"/>
    <x v="14"/>
    <x v="1"/>
  </r>
  <r>
    <x v="1090"/>
    <x v="3"/>
    <x v="2"/>
    <s v="Website"/>
    <x v="5"/>
    <n v="2"/>
    <n v="3937000"/>
    <n v="0.12629889463772301"/>
    <n v="6880000"/>
    <x v="17"/>
    <x v="0"/>
  </r>
  <r>
    <x v="1091"/>
    <x v="1"/>
    <x v="2"/>
    <s v="Website"/>
    <x v="1"/>
    <n v="1"/>
    <n v="3519000"/>
    <n v="0.10199999999999999"/>
    <n v="3160000"/>
    <x v="10"/>
    <x v="1"/>
  </r>
  <r>
    <x v="1091"/>
    <x v="1"/>
    <x v="0"/>
    <s v="Mobile App"/>
    <x v="3"/>
    <n v="3"/>
    <n v="3080000"/>
    <n v="0.75"/>
    <n v="8584000"/>
    <x v="8"/>
    <x v="1"/>
  </r>
  <r>
    <x v="1091"/>
    <x v="3"/>
    <x v="5"/>
    <s v="Mobile App"/>
    <x v="3"/>
    <n v="1"/>
    <n v="4502000"/>
    <n v="6.93976383511965E-2"/>
    <n v="4190000"/>
    <x v="2"/>
    <x v="0"/>
  </r>
  <r>
    <x v="1091"/>
    <x v="0"/>
    <x v="2"/>
    <s v="Website"/>
    <x v="4"/>
    <n v="1"/>
    <n v="3947000"/>
    <n v="0.11427387831895"/>
    <n v="3496000"/>
    <x v="6"/>
    <x v="1"/>
  </r>
  <r>
    <x v="1092"/>
    <x v="1"/>
    <x v="2"/>
    <s v="Website"/>
    <x v="6"/>
    <n v="2"/>
    <n v="4152000"/>
    <n v="4.7E-2"/>
    <n v="7914000"/>
    <x v="12"/>
    <x v="1"/>
  </r>
  <r>
    <x v="1092"/>
    <x v="3"/>
    <x v="1"/>
    <s v="Website"/>
    <x v="0"/>
    <n v="4"/>
    <n v="3935000"/>
    <n v="9.2999999999999999E-2"/>
    <n v="14276000"/>
    <x v="7"/>
    <x v="1"/>
  </r>
  <r>
    <x v="1092"/>
    <x v="1"/>
    <x v="0"/>
    <s v="Mobile App"/>
    <x v="8"/>
    <n v="3"/>
    <n v="1946000"/>
    <n v="0.104"/>
    <n v="5231000"/>
    <x v="0"/>
    <x v="1"/>
  </r>
  <r>
    <x v="1092"/>
    <x v="1"/>
    <x v="0"/>
    <s v="Mobile App"/>
    <x v="7"/>
    <n v="4"/>
    <n v="2250000"/>
    <n v="0.11382837565220399"/>
    <n v="7976000"/>
    <x v="14"/>
    <x v="1"/>
  </r>
  <r>
    <x v="1092"/>
    <x v="1"/>
    <x v="2"/>
    <s v="Mobile App"/>
    <x v="1"/>
    <n v="3"/>
    <n v="3194000"/>
    <n v="0.10372010492441699"/>
    <n v="8588000"/>
    <x v="5"/>
    <x v="1"/>
  </r>
  <r>
    <x v="1092"/>
    <x v="3"/>
    <x v="5"/>
    <s v="Mobile App"/>
    <x v="2"/>
    <n v="2"/>
    <n v="3300000"/>
    <n v="0.14699999999999999"/>
    <n v="5630000"/>
    <x v="8"/>
    <x v="1"/>
  </r>
  <r>
    <x v="1093"/>
    <x v="3"/>
    <x v="0"/>
    <s v="Website"/>
    <x v="3"/>
    <n v="3"/>
    <n v="3052000"/>
    <n v="4.7E-2"/>
    <n v="8726000"/>
    <x v="0"/>
    <x v="1"/>
  </r>
  <r>
    <x v="1093"/>
    <x v="0"/>
    <x v="4"/>
    <s v="Website"/>
    <x v="8"/>
    <n v="1"/>
    <n v="2719000"/>
    <n v="0.75"/>
    <n v="2404000"/>
    <x v="3"/>
    <x v="1"/>
  </r>
  <r>
    <x v="1093"/>
    <x v="2"/>
    <x v="4"/>
    <s v="Agent"/>
    <x v="5"/>
    <n v="4"/>
    <n v="2709000"/>
    <n v="0.13977895094797699"/>
    <n v="9321000"/>
    <x v="1"/>
    <x v="1"/>
  </r>
  <r>
    <x v="1093"/>
    <x v="3"/>
    <x v="3"/>
    <s v="Website"/>
    <x v="5"/>
    <n v="1"/>
    <n v="2133000"/>
    <n v="7.2999999999999995E-2"/>
    <n v="1977000"/>
    <x v="0"/>
    <x v="1"/>
  </r>
  <r>
    <x v="1094"/>
    <x v="1"/>
    <x v="3"/>
    <s v="Agent"/>
    <x v="5"/>
    <n v="1"/>
    <n v="2175000"/>
    <n v="0.14802287050031199"/>
    <n v="1853000"/>
    <x v="14"/>
    <x v="0"/>
  </r>
  <r>
    <x v="1094"/>
    <x v="2"/>
    <x v="4"/>
    <s v="Website"/>
    <x v="9"/>
    <n v="1"/>
    <n v="2210000"/>
    <n v="0.107"/>
    <n v="1974000"/>
    <x v="9"/>
    <x v="1"/>
  </r>
  <r>
    <x v="1094"/>
    <x v="2"/>
    <x v="0"/>
    <s v="Website"/>
    <x v="6"/>
    <n v="3"/>
    <n v="2330000"/>
    <n v="5.9816109420101397E-2"/>
    <n v="6572000"/>
    <x v="14"/>
    <x v="1"/>
  </r>
  <r>
    <x v="1094"/>
    <x v="3"/>
    <x v="1"/>
    <s v="Website"/>
    <x v="6"/>
    <n v="4"/>
    <n v="3525000"/>
    <n v="1.2999999999999999E-2"/>
    <n v="13917000"/>
    <x v="14"/>
    <x v="1"/>
  </r>
  <r>
    <x v="1094"/>
    <x v="1"/>
    <x v="3"/>
    <s v="Website"/>
    <x v="1"/>
    <n v="1"/>
    <n v="2206000"/>
    <n v="0.16500000000000001"/>
    <n v="1842000"/>
    <x v="0"/>
    <x v="1"/>
  </r>
  <r>
    <x v="1095"/>
    <x v="0"/>
    <x v="3"/>
    <s v="Website"/>
    <x v="9"/>
    <n v="2"/>
    <n v="3177000"/>
    <n v="0.185"/>
    <n v="5179000"/>
    <x v="1"/>
    <x v="1"/>
  </r>
  <r>
    <x v="1095"/>
    <x v="2"/>
    <x v="3"/>
    <s v="Website"/>
    <x v="0"/>
    <n v="1"/>
    <n v="3201000"/>
    <n v="8.5999999999999993E-2"/>
    <n v="2926000"/>
    <x v="8"/>
    <x v="1"/>
  </r>
  <r>
    <x v="1095"/>
    <x v="1"/>
    <x v="0"/>
    <s v="Agent"/>
    <x v="5"/>
    <n v="2"/>
    <n v="2104000"/>
    <n v="0.14799999999999999"/>
    <n v="3585000"/>
    <x v="0"/>
    <x v="0"/>
  </r>
  <r>
    <x v="1096"/>
    <x v="1"/>
    <x v="4"/>
    <s v="Website"/>
    <x v="8"/>
    <n v="4"/>
    <n v="3063000"/>
    <n v="0.124"/>
    <n v="10733000"/>
    <x v="15"/>
    <x v="1"/>
  </r>
  <r>
    <x v="1096"/>
    <x v="1"/>
    <x v="1"/>
    <s v="Website"/>
    <x v="9"/>
    <n v="4"/>
    <n v="3370000"/>
    <n v="5.2999999999999999E-2"/>
    <n v="12766000"/>
    <x v="16"/>
    <x v="1"/>
  </r>
  <r>
    <x v="1097"/>
    <x v="3"/>
    <x v="4"/>
    <s v="Agent"/>
    <x v="1"/>
    <n v="1"/>
    <n v="2358000"/>
    <n v="7.8993383236512602E-2"/>
    <n v="2172000"/>
    <x v="6"/>
    <x v="0"/>
  </r>
  <r>
    <x v="1097"/>
    <x v="1"/>
    <x v="0"/>
    <s v="Website"/>
    <x v="8"/>
    <n v="1"/>
    <n v="2126000"/>
    <n v="6.3250016390521593E-2"/>
    <n v="1992000"/>
    <x v="8"/>
    <x v="0"/>
  </r>
  <r>
    <x v="1098"/>
    <x v="1"/>
    <x v="5"/>
    <s v="Website"/>
    <x v="3"/>
    <n v="4"/>
    <n v="4537000"/>
    <n v="0.11071843428604999"/>
    <n v="16139000"/>
    <x v="2"/>
    <x v="1"/>
  </r>
  <r>
    <x v="1098"/>
    <x v="1"/>
    <x v="3"/>
    <s v="Website"/>
    <x v="5"/>
    <n v="2"/>
    <n v="2126000"/>
    <n v="0.141937406394198"/>
    <n v="3648000"/>
    <x v="13"/>
    <x v="1"/>
  </r>
  <r>
    <x v="1098"/>
    <x v="3"/>
    <x v="1"/>
    <s v="Mobile App"/>
    <x v="5"/>
    <n v="4"/>
    <n v="4477000"/>
    <n v="4.4999999999999998E-2"/>
    <n v="17102000"/>
    <x v="7"/>
    <x v="0"/>
  </r>
  <r>
    <x v="1098"/>
    <x v="1"/>
    <x v="3"/>
    <s v="Website"/>
    <x v="2"/>
    <n v="1"/>
    <n v="2269000"/>
    <n v="5.77650214964327E-2"/>
    <n v="2138000"/>
    <x v="7"/>
    <x v="1"/>
  </r>
  <r>
    <x v="1098"/>
    <x v="1"/>
    <x v="2"/>
    <s v="Mobile App"/>
    <x v="2"/>
    <n v="2"/>
    <n v="3315000"/>
    <n v="0.14899999999999999"/>
    <n v="5642000"/>
    <x v="8"/>
    <x v="1"/>
  </r>
  <r>
    <x v="1099"/>
    <x v="1"/>
    <x v="1"/>
    <s v="Mobile App"/>
    <x v="9"/>
    <n v="1"/>
    <n v="3566000"/>
    <n v="0.121400898562933"/>
    <n v="3133000"/>
    <x v="0"/>
    <x v="0"/>
  </r>
  <r>
    <x v="1099"/>
    <x v="1"/>
    <x v="1"/>
    <s v="Website"/>
    <x v="1"/>
    <n v="3"/>
    <n v="2670000"/>
    <n v="0.14399999999999999"/>
    <n v="6857000"/>
    <x v="4"/>
    <x v="0"/>
  </r>
  <r>
    <x v="1099"/>
    <x v="3"/>
    <x v="2"/>
    <s v="Agent"/>
    <x v="6"/>
    <n v="3"/>
    <n v="3701000"/>
    <n v="0.131139096887912"/>
    <n v="9647000"/>
    <x v="9"/>
    <x v="1"/>
  </r>
  <r>
    <x v="1099"/>
    <x v="1"/>
    <x v="1"/>
    <s v="Website"/>
    <x v="6"/>
    <n v="3"/>
    <n v="4320000"/>
    <n v="0.16900000000000001"/>
    <n v="10770000"/>
    <x v="17"/>
    <x v="1"/>
  </r>
  <r>
    <x v="1099"/>
    <x v="3"/>
    <x v="0"/>
    <s v="Mobile App"/>
    <x v="1"/>
    <n v="2"/>
    <n v="3110000"/>
    <n v="0.19800000000000001"/>
    <n v="4988000"/>
    <x v="17"/>
    <x v="0"/>
  </r>
  <r>
    <x v="1100"/>
    <x v="0"/>
    <x v="2"/>
    <s v="Agent"/>
    <x v="7"/>
    <n v="1"/>
    <n v="4450000"/>
    <n v="0.14899999999999999"/>
    <n v="3787000"/>
    <x v="8"/>
    <x v="1"/>
  </r>
  <r>
    <x v="1100"/>
    <x v="0"/>
    <x v="2"/>
    <s v="Website"/>
    <x v="5"/>
    <n v="2"/>
    <n v="4103000"/>
    <n v="0.13699234489495499"/>
    <n v="7082000"/>
    <x v="6"/>
    <x v="0"/>
  </r>
  <r>
    <x v="1100"/>
    <x v="1"/>
    <x v="2"/>
    <s v="Agent"/>
    <x v="8"/>
    <n v="2"/>
    <n v="3676000"/>
    <n v="5.4461887210157101E-2"/>
    <n v="6952000"/>
    <x v="16"/>
    <x v="1"/>
  </r>
  <r>
    <x v="1100"/>
    <x v="1"/>
    <x v="3"/>
    <s v="Website"/>
    <x v="5"/>
    <n v="1"/>
    <n v="2214000"/>
    <n v="0.114189470260154"/>
    <n v="1961000"/>
    <x v="5"/>
    <x v="0"/>
  </r>
  <r>
    <x v="1100"/>
    <x v="3"/>
    <x v="2"/>
    <s v="Mobile App"/>
    <x v="5"/>
    <n v="1"/>
    <n v="3970000"/>
    <n v="8.5817856836440901E-2"/>
    <n v="3629000"/>
    <x v="12"/>
    <x v="1"/>
  </r>
  <r>
    <x v="1101"/>
    <x v="3"/>
    <x v="1"/>
    <s v="Website"/>
    <x v="5"/>
    <n v="1"/>
    <n v="3325000"/>
    <n v="0.120677535776161"/>
    <n v="2924000"/>
    <x v="12"/>
    <x v="0"/>
  </r>
  <r>
    <x v="1101"/>
    <x v="1"/>
    <x v="1"/>
    <s v="Agent"/>
    <x v="4"/>
    <n v="5"/>
    <n v="2666000"/>
    <n v="0.14922274507710701"/>
    <n v="11341000"/>
    <x v="15"/>
    <x v="1"/>
  </r>
  <r>
    <x v="1101"/>
    <x v="1"/>
    <x v="2"/>
    <s v="Website"/>
    <x v="0"/>
    <n v="1"/>
    <n v="4648000"/>
    <n v="8.9321698265631799E-2"/>
    <n v="4233000"/>
    <x v="1"/>
    <x v="1"/>
  </r>
  <r>
    <x v="1101"/>
    <x v="3"/>
    <x v="4"/>
    <s v="Website"/>
    <x v="0"/>
    <n v="2"/>
    <n v="3045000"/>
    <n v="6.8052910092090996E-2"/>
    <n v="5676000"/>
    <x v="6"/>
    <x v="1"/>
  </r>
  <r>
    <x v="1101"/>
    <x v="1"/>
    <x v="5"/>
    <s v="Mobile App"/>
    <x v="6"/>
    <n v="2"/>
    <n v="4751000"/>
    <n v="7.1940928623587599E-2"/>
    <n v="8818000"/>
    <x v="9"/>
    <x v="1"/>
  </r>
  <r>
    <x v="1102"/>
    <x v="1"/>
    <x v="2"/>
    <s v="Mobile App"/>
    <x v="0"/>
    <n v="2"/>
    <n v="5060000"/>
    <n v="9.0694955412171305E-2"/>
    <n v="9202000"/>
    <x v="14"/>
    <x v="1"/>
  </r>
  <r>
    <x v="1102"/>
    <x v="0"/>
    <x v="2"/>
    <s v="Website"/>
    <x v="3"/>
    <n v="2"/>
    <n v="4712000"/>
    <n v="0.123458033004297"/>
    <n v="8261000"/>
    <x v="3"/>
    <x v="0"/>
  </r>
  <r>
    <x v="1102"/>
    <x v="1"/>
    <x v="1"/>
    <s v="Website"/>
    <x v="8"/>
    <n v="5"/>
    <n v="3240000"/>
    <n v="0.12748775754879699"/>
    <n v="14135000"/>
    <x v="7"/>
    <x v="1"/>
  </r>
  <r>
    <x v="1102"/>
    <x v="1"/>
    <x v="1"/>
    <s v="Agent"/>
    <x v="4"/>
    <n v="3"/>
    <n v="2287000"/>
    <n v="0.111"/>
    <n v="6099000"/>
    <x v="12"/>
    <x v="1"/>
  </r>
  <r>
    <x v="1102"/>
    <x v="3"/>
    <x v="2"/>
    <s v="Website"/>
    <x v="9"/>
    <n v="2"/>
    <n v="4428000"/>
    <n v="0.114893795342235"/>
    <n v="7839000"/>
    <x v="2"/>
    <x v="1"/>
  </r>
  <r>
    <x v="1103"/>
    <x v="1"/>
    <x v="2"/>
    <s v="Mobile App"/>
    <x v="9"/>
    <n v="3"/>
    <n v="2781000"/>
    <n v="8.5999999999999993E-2"/>
    <n v="7626000"/>
    <x v="13"/>
    <x v="1"/>
  </r>
  <r>
    <x v="1103"/>
    <x v="1"/>
    <x v="3"/>
    <s v="Website"/>
    <x v="4"/>
    <n v="3"/>
    <n v="1415000"/>
    <n v="7.0627180977209006E-2"/>
    <n v="3945000"/>
    <x v="17"/>
    <x v="1"/>
  </r>
  <r>
    <x v="1103"/>
    <x v="2"/>
    <x v="0"/>
    <s v="Website"/>
    <x v="3"/>
    <n v="1"/>
    <n v="2846000"/>
    <n v="0.13592337996147799"/>
    <n v="2459000"/>
    <x v="17"/>
    <x v="1"/>
  </r>
  <r>
    <x v="1103"/>
    <x v="3"/>
    <x v="3"/>
    <s v="Website"/>
    <x v="6"/>
    <n v="3"/>
    <n v="2296000"/>
    <n v="0.132606864322874"/>
    <n v="5975000"/>
    <x v="4"/>
    <x v="0"/>
  </r>
  <r>
    <x v="1103"/>
    <x v="3"/>
    <x v="5"/>
    <s v="Website"/>
    <x v="0"/>
    <n v="2"/>
    <n v="5889000"/>
    <n v="0.11752195422084701"/>
    <n v="10394000"/>
    <x v="10"/>
    <x v="1"/>
  </r>
  <r>
    <x v="1103"/>
    <x v="3"/>
    <x v="3"/>
    <s v="Mobile App"/>
    <x v="0"/>
    <n v="2"/>
    <n v="2740000"/>
    <n v="0.118597677546552"/>
    <n v="4830000"/>
    <x v="2"/>
    <x v="1"/>
  </r>
  <r>
    <x v="1103"/>
    <x v="2"/>
    <x v="2"/>
    <s v="Agent"/>
    <x v="9"/>
    <n v="1"/>
    <n v="4488000"/>
    <n v="0.20228350142485399"/>
    <n v="3580000"/>
    <x v="10"/>
    <x v="1"/>
  </r>
  <r>
    <x v="1104"/>
    <x v="3"/>
    <x v="5"/>
    <s v="Website"/>
    <x v="5"/>
    <n v="3"/>
    <n v="6439000"/>
    <n v="0"/>
    <n v="19317000"/>
    <x v="17"/>
    <x v="1"/>
  </r>
  <r>
    <x v="1104"/>
    <x v="2"/>
    <x v="2"/>
    <s v="Website"/>
    <x v="5"/>
    <n v="1"/>
    <n v="4452000"/>
    <n v="9.6000872688108405E-2"/>
    <n v="4025000"/>
    <x v="12"/>
    <x v="0"/>
  </r>
  <r>
    <x v="1104"/>
    <x v="3"/>
    <x v="0"/>
    <s v="Website"/>
    <x v="2"/>
    <n v="2"/>
    <n v="3316000"/>
    <n v="0.11"/>
    <n v="5900000"/>
    <x v="1"/>
    <x v="0"/>
  </r>
  <r>
    <x v="1104"/>
    <x v="3"/>
    <x v="2"/>
    <s v="Website"/>
    <x v="5"/>
    <n v="1"/>
    <n v="3652000"/>
    <n v="5.0000000000000001E-3"/>
    <n v="3634000"/>
    <x v="6"/>
    <x v="1"/>
  </r>
  <r>
    <x v="1104"/>
    <x v="1"/>
    <x v="2"/>
    <s v="Agent"/>
    <x v="1"/>
    <n v="4"/>
    <n v="3511000"/>
    <n v="0.11158701758511"/>
    <n v="12477000"/>
    <x v="15"/>
    <x v="1"/>
  </r>
  <r>
    <x v="1105"/>
    <x v="1"/>
    <x v="0"/>
    <s v="Website"/>
    <x v="7"/>
    <n v="4"/>
    <n v="2314000"/>
    <n v="0.13447523635776701"/>
    <n v="8011000"/>
    <x v="5"/>
    <x v="0"/>
  </r>
  <r>
    <x v="1105"/>
    <x v="1"/>
    <x v="2"/>
    <s v="Call Center"/>
    <x v="5"/>
    <n v="1"/>
    <n v="3905000"/>
    <n v="5.0999999999999997E-2"/>
    <n v="3706000"/>
    <x v="4"/>
    <x v="1"/>
  </r>
  <r>
    <x v="1105"/>
    <x v="1"/>
    <x v="4"/>
    <s v="Website"/>
    <x v="5"/>
    <n v="3"/>
    <n v="2683000"/>
    <n v="9.2356639713933306E-2"/>
    <n v="7306000"/>
    <x v="8"/>
    <x v="1"/>
  </r>
  <r>
    <x v="1105"/>
    <x v="1"/>
    <x v="1"/>
    <s v="Website"/>
    <x v="7"/>
    <n v="1"/>
    <n v="3268000"/>
    <n v="0.17399999999999999"/>
    <n v="2699000"/>
    <x v="1"/>
    <x v="1"/>
  </r>
  <r>
    <x v="1106"/>
    <x v="0"/>
    <x v="3"/>
    <s v="Website"/>
    <x v="5"/>
    <n v="1"/>
    <n v="2209000"/>
    <n v="0.12811614957971601"/>
    <n v="1926000"/>
    <x v="4"/>
    <x v="1"/>
  </r>
  <r>
    <x v="1106"/>
    <x v="3"/>
    <x v="2"/>
    <s v="Website"/>
    <x v="0"/>
    <n v="4"/>
    <n v="4253000"/>
    <n v="6.5760824419885594E-2"/>
    <n v="15893000"/>
    <x v="9"/>
    <x v="1"/>
  </r>
  <r>
    <x v="1106"/>
    <x v="2"/>
    <x v="1"/>
    <s v="Agent"/>
    <x v="7"/>
    <n v="5"/>
    <n v="3312000"/>
    <n v="2.4E-2"/>
    <n v="16163000"/>
    <x v="7"/>
    <x v="1"/>
  </r>
  <r>
    <x v="1106"/>
    <x v="3"/>
    <x v="3"/>
    <s v="Website"/>
    <x v="0"/>
    <n v="1"/>
    <n v="2631000"/>
    <n v="8.3627876019224098E-2"/>
    <n v="2411000"/>
    <x v="5"/>
    <x v="1"/>
  </r>
  <r>
    <x v="1106"/>
    <x v="3"/>
    <x v="1"/>
    <s v="Agent"/>
    <x v="9"/>
    <n v="1"/>
    <n v="3835000"/>
    <n v="4.7848244815197699E-2"/>
    <n v="3652000"/>
    <x v="4"/>
    <x v="1"/>
  </r>
  <r>
    <x v="1106"/>
    <x v="1"/>
    <x v="4"/>
    <s v="Mobile App"/>
    <x v="2"/>
    <n v="2"/>
    <n v="2334000"/>
    <n v="8.8999999999999996E-2"/>
    <n v="4253000"/>
    <x v="9"/>
    <x v="1"/>
  </r>
  <r>
    <x v="1106"/>
    <x v="1"/>
    <x v="2"/>
    <s v="Mobile App"/>
    <x v="6"/>
    <n v="3"/>
    <n v="4110000"/>
    <n v="7.8646982869273699E-2"/>
    <n v="11360000"/>
    <x v="11"/>
    <x v="1"/>
  </r>
  <r>
    <x v="1106"/>
    <x v="0"/>
    <x v="3"/>
    <s v="Mobile App"/>
    <x v="2"/>
    <n v="3"/>
    <n v="2604000"/>
    <n v="0.113983392158614"/>
    <n v="6922000"/>
    <x v="4"/>
    <x v="1"/>
  </r>
  <r>
    <x v="1107"/>
    <x v="3"/>
    <x v="3"/>
    <s v="Agent"/>
    <x v="7"/>
    <n v="4"/>
    <n v="1907000"/>
    <n v="0.15025917682999401"/>
    <n v="6482000"/>
    <x v="4"/>
    <x v="1"/>
  </r>
  <r>
    <x v="1107"/>
    <x v="0"/>
    <x v="0"/>
    <s v="Website"/>
    <x v="8"/>
    <n v="1"/>
    <n v="2915000"/>
    <n v="1.7999999999999999E-2"/>
    <n v="2863000"/>
    <x v="12"/>
    <x v="1"/>
  </r>
  <r>
    <x v="1107"/>
    <x v="1"/>
    <x v="3"/>
    <s v="Agent"/>
    <x v="9"/>
    <n v="2"/>
    <n v="-100000"/>
    <n v="4.9000000000000002E-2"/>
    <n v="5714000"/>
    <x v="0"/>
    <x v="1"/>
  </r>
  <r>
    <x v="1107"/>
    <x v="2"/>
    <x v="5"/>
    <s v="Mobile App"/>
    <x v="6"/>
    <n v="4"/>
    <n v="4792000"/>
    <n v="6.3722026352267702E-2"/>
    <n v="17947000"/>
    <x v="4"/>
    <x v="0"/>
  </r>
  <r>
    <x v="1107"/>
    <x v="1"/>
    <x v="2"/>
    <s v="Agent"/>
    <x v="4"/>
    <n v="1"/>
    <n v="4391000"/>
    <n v="9.0746446931455393E-2"/>
    <n v="3993000"/>
    <x v="4"/>
    <x v="1"/>
  </r>
  <r>
    <x v="1107"/>
    <x v="0"/>
    <x v="0"/>
    <s v="Agent"/>
    <x v="9"/>
    <n v="3"/>
    <n v="2712000"/>
    <n v="0.11271181210368"/>
    <n v="7219000"/>
    <x v="1"/>
    <x v="0"/>
  </r>
  <r>
    <x v="1108"/>
    <x v="1"/>
    <x v="3"/>
    <s v="Website"/>
    <x v="0"/>
    <n v="1"/>
    <n v="2689000"/>
    <n v="0.15403684356494299"/>
    <n v="2275000"/>
    <x v="8"/>
    <x v="1"/>
  </r>
  <r>
    <x v="1108"/>
    <x v="1"/>
    <x v="1"/>
    <s v="Agent"/>
    <x v="9"/>
    <n v="3"/>
    <n v="3655000"/>
    <n v="0.115440810038952"/>
    <n v="9699000"/>
    <x v="2"/>
    <x v="1"/>
  </r>
  <r>
    <x v="1108"/>
    <x v="0"/>
    <x v="1"/>
    <s v="Website"/>
    <x v="9"/>
    <n v="1"/>
    <n v="3581000"/>
    <n v="8.6725406694988003E-2"/>
    <n v="3270000"/>
    <x v="5"/>
    <x v="1"/>
  </r>
  <r>
    <x v="1108"/>
    <x v="0"/>
    <x v="5"/>
    <s v="Agent"/>
    <x v="2"/>
    <n v="1"/>
    <n v="5180000"/>
    <n v="0.107995404400604"/>
    <n v="4621000"/>
    <x v="8"/>
    <x v="0"/>
  </r>
  <r>
    <x v="1108"/>
    <x v="0"/>
    <x v="2"/>
    <s v="Agent"/>
    <x v="9"/>
    <n v="1"/>
    <n v="4275000"/>
    <n v="0.16933975592714601"/>
    <n v="3551000"/>
    <x v="1"/>
    <x v="1"/>
  </r>
  <r>
    <x v="1109"/>
    <x v="2"/>
    <x v="5"/>
    <s v="Website"/>
    <x v="0"/>
    <n v="2"/>
    <n v="5589000"/>
    <n v="0.12614356955339301"/>
    <n v="9768000"/>
    <x v="0"/>
    <x v="1"/>
  </r>
  <r>
    <x v="1109"/>
    <x v="1"/>
    <x v="2"/>
    <s v="Website"/>
    <x v="2"/>
    <n v="1"/>
    <n v="4454000"/>
    <n v="7.1999999999999995E-2"/>
    <n v="4133000"/>
    <x v="2"/>
    <x v="1"/>
  </r>
  <r>
    <x v="1109"/>
    <x v="1"/>
    <x v="4"/>
    <s v="Mobile App"/>
    <x v="0"/>
    <n v="1"/>
    <n v="2427000"/>
    <n v="8.1414174615099796E-2"/>
    <n v="2229000"/>
    <x v="13"/>
    <x v="0"/>
  </r>
  <r>
    <x v="1109"/>
    <x v="0"/>
    <x v="0"/>
    <s v="Website"/>
    <x v="5"/>
    <n v="2"/>
    <n v="2768000"/>
    <n v="7.4579757844174505E-2"/>
    <n v="5123000"/>
    <x v="8"/>
    <x v="1"/>
  </r>
  <r>
    <x v="1109"/>
    <x v="3"/>
    <x v="3"/>
    <s v="Website"/>
    <x v="6"/>
    <n v="2"/>
    <n v="2308000"/>
    <n v="6.7893078676701302E-2"/>
    <n v="4303000"/>
    <x v="12"/>
    <x v="1"/>
  </r>
  <r>
    <x v="1109"/>
    <x v="3"/>
    <x v="2"/>
    <s v="Website"/>
    <x v="7"/>
    <n v="4"/>
    <n v="3794000"/>
    <n v="0.14113701474319801"/>
    <n v="13034000"/>
    <x v="9"/>
    <x v="1"/>
  </r>
  <r>
    <x v="1109"/>
    <x v="1"/>
    <x v="2"/>
    <s v="Website"/>
    <x v="5"/>
    <n v="3"/>
    <n v="4211000"/>
    <n v="9.07012580619002E-2"/>
    <n v="11487000"/>
    <x v="8"/>
    <x v="1"/>
  </r>
  <r>
    <x v="1110"/>
    <x v="3"/>
    <x v="0"/>
    <s v="Website"/>
    <x v="5"/>
    <n v="2"/>
    <n v="2682000"/>
    <n v="6.7425195851731207E-2"/>
    <n v="5002000"/>
    <x v="2"/>
    <x v="0"/>
  </r>
  <r>
    <x v="1110"/>
    <x v="0"/>
    <x v="5"/>
    <s v="Agent"/>
    <x v="9"/>
    <n v="4"/>
    <n v="5890000"/>
    <n v="0.13216401310784401"/>
    <n v="20446000"/>
    <x v="18"/>
    <x v="0"/>
  </r>
  <r>
    <x v="1110"/>
    <x v="0"/>
    <x v="2"/>
    <s v="Mobile App"/>
    <x v="9"/>
    <n v="1"/>
    <n v="3887000"/>
    <n v="2.5000000000000001E-2"/>
    <n v="3790000"/>
    <x v="6"/>
    <x v="1"/>
  </r>
  <r>
    <x v="1110"/>
    <x v="1"/>
    <x v="1"/>
    <s v="Agent"/>
    <x v="5"/>
    <n v="2"/>
    <n v="3793000"/>
    <n v="3.9E-2"/>
    <n v="7290000"/>
    <x v="12"/>
    <x v="1"/>
  </r>
  <r>
    <x v="1111"/>
    <x v="2"/>
    <x v="4"/>
    <s v="Call Center"/>
    <x v="6"/>
    <n v="1"/>
    <n v="2979000"/>
    <n v="8.5428096190272806E-2"/>
    <n v="2725000"/>
    <x v="10"/>
    <x v="1"/>
  </r>
  <r>
    <x v="1111"/>
    <x v="2"/>
    <x v="5"/>
    <s v="Mobile App"/>
    <x v="2"/>
    <n v="4"/>
    <n v="5178000"/>
    <n v="0.14280912330631701"/>
    <n v="17754000"/>
    <x v="14"/>
    <x v="1"/>
  </r>
  <r>
    <x v="1111"/>
    <x v="0"/>
    <x v="2"/>
    <s v="Website"/>
    <x v="1"/>
    <n v="1"/>
    <n v="4311000"/>
    <n v="5.0999999999999997E-2"/>
    <n v="4091000"/>
    <x v="1"/>
    <x v="1"/>
  </r>
  <r>
    <x v="1111"/>
    <x v="2"/>
    <x v="5"/>
    <s v="Agent"/>
    <x v="0"/>
    <n v="2"/>
    <n v="3666000"/>
    <n v="0.11700000000000001"/>
    <n v="6474000"/>
    <x v="12"/>
    <x v="1"/>
  </r>
  <r>
    <x v="1111"/>
    <x v="3"/>
    <x v="1"/>
    <s v="Mobile App"/>
    <x v="1"/>
    <n v="1"/>
    <n v="3202000"/>
    <n v="4.7295178172643497E-2"/>
    <n v="3051000"/>
    <x v="13"/>
    <x v="0"/>
  </r>
  <r>
    <x v="1112"/>
    <x v="2"/>
    <x v="0"/>
    <s v="Agent"/>
    <x v="9"/>
    <n v="1"/>
    <n v="2645000"/>
    <n v="9.5115038016876499E-2"/>
    <n v="2393000"/>
    <x v="6"/>
    <x v="1"/>
  </r>
  <r>
    <x v="1112"/>
    <x v="1"/>
    <x v="1"/>
    <s v="Mobile App"/>
    <x v="5"/>
    <n v="1"/>
    <n v="3538000"/>
    <n v="9.3630244478419999E-2"/>
    <n v="3207000"/>
    <x v="17"/>
    <x v="1"/>
  </r>
  <r>
    <x v="1112"/>
    <x v="3"/>
    <x v="2"/>
    <s v="Agent"/>
    <x v="5"/>
    <n v="1"/>
    <n v="4399000"/>
    <n v="9.3251095055811098E-2"/>
    <n v="3989000"/>
    <x v="3"/>
    <x v="1"/>
  </r>
  <r>
    <x v="1113"/>
    <x v="1"/>
    <x v="5"/>
    <s v="Agent"/>
    <x v="7"/>
    <n v="3"/>
    <n v="4637000"/>
    <n v="0.121841864529436"/>
    <n v="12216000"/>
    <x v="12"/>
    <x v="1"/>
  </r>
  <r>
    <x v="1113"/>
    <x v="1"/>
    <x v="0"/>
    <s v="Mobile App"/>
    <x v="7"/>
    <n v="1"/>
    <n v="2588000"/>
    <n v="3.7999999999999999E-2"/>
    <n v="2490000"/>
    <x v="12"/>
    <x v="1"/>
  </r>
  <r>
    <x v="1113"/>
    <x v="1"/>
    <x v="2"/>
    <s v="Website"/>
    <x v="5"/>
    <n v="2"/>
    <n v="4237000"/>
    <n v="0.115"/>
    <n v="7503000"/>
    <x v="6"/>
    <x v="1"/>
  </r>
  <r>
    <x v="1113"/>
    <x v="3"/>
    <x v="5"/>
    <s v="Agent"/>
    <x v="0"/>
    <n v="2"/>
    <n v="5398000"/>
    <n v="0.13600000000000001"/>
    <n v="9328000"/>
    <x v="8"/>
    <x v="0"/>
  </r>
  <r>
    <x v="1114"/>
    <x v="2"/>
    <x v="1"/>
    <s v="Website"/>
    <x v="9"/>
    <n v="4"/>
    <n v="3057000"/>
    <n v="9.4E-2"/>
    <n v="11079000"/>
    <x v="4"/>
    <x v="1"/>
  </r>
  <r>
    <x v="1114"/>
    <x v="1"/>
    <x v="2"/>
    <s v="Mobile App"/>
    <x v="9"/>
    <n v="2"/>
    <n v="2610000"/>
    <n v="6.7000000000000004E-2"/>
    <n v="4870000"/>
    <x v="17"/>
    <x v="1"/>
  </r>
  <r>
    <x v="1115"/>
    <x v="3"/>
    <x v="0"/>
    <s v="Agent"/>
    <x v="8"/>
    <n v="4"/>
    <n v="2305000"/>
    <n v="0.100000032384856"/>
    <n v="8298000"/>
    <x v="2"/>
    <x v="1"/>
  </r>
  <r>
    <x v="1115"/>
    <x v="2"/>
    <x v="2"/>
    <s v="Mobile App"/>
    <x v="4"/>
    <n v="1"/>
    <n v="3240000"/>
    <n v="6.2E-2"/>
    <n v="3039000"/>
    <x v="9"/>
    <x v="1"/>
  </r>
  <r>
    <x v="1115"/>
    <x v="1"/>
    <x v="1"/>
    <s v="Agent"/>
    <x v="7"/>
    <n v="1"/>
    <n v="3676000"/>
    <n v="6.4167264918252503E-2"/>
    <n v="3440000"/>
    <x v="14"/>
    <x v="1"/>
  </r>
  <r>
    <x v="1115"/>
    <x v="0"/>
    <x v="3"/>
    <s v="Website"/>
    <x v="7"/>
    <n v="3"/>
    <n v="1308000"/>
    <n v="0.10299999999999999"/>
    <n v="3520000"/>
    <x v="5"/>
    <x v="1"/>
  </r>
  <r>
    <x v="1115"/>
    <x v="3"/>
    <x v="0"/>
    <s v="Mobile App"/>
    <x v="7"/>
    <n v="2"/>
    <n v="2570000"/>
    <n v="0.128964449120228"/>
    <n v="4477000"/>
    <x v="10"/>
    <x v="1"/>
  </r>
  <r>
    <x v="1116"/>
    <x v="0"/>
    <x v="2"/>
    <s v="Agent"/>
    <x v="3"/>
    <n v="3"/>
    <n v="4339000"/>
    <n v="8.7173732459632503E-2"/>
    <n v="11882000"/>
    <x v="0"/>
    <x v="1"/>
  </r>
  <r>
    <x v="1116"/>
    <x v="3"/>
    <x v="2"/>
    <s v="Website"/>
    <x v="3"/>
    <n v="2"/>
    <n v="4841000"/>
    <n v="0.127"/>
    <n v="8453000"/>
    <x v="2"/>
    <x v="1"/>
  </r>
  <r>
    <x v="1116"/>
    <x v="3"/>
    <x v="5"/>
    <s v="Mobile App"/>
    <x v="3"/>
    <n v="2"/>
    <n v="3655000"/>
    <n v="0.104261680794796"/>
    <n v="6548000"/>
    <x v="6"/>
    <x v="1"/>
  </r>
  <r>
    <x v="1117"/>
    <x v="0"/>
    <x v="0"/>
    <s v="Website"/>
    <x v="4"/>
    <n v="2"/>
    <n v="2987000"/>
    <n v="4.3999999999999997E-2"/>
    <n v="5711000"/>
    <x v="3"/>
    <x v="0"/>
  </r>
  <r>
    <x v="1117"/>
    <x v="3"/>
    <x v="1"/>
    <s v="Agent"/>
    <x v="7"/>
    <n v="3"/>
    <n v="2330000"/>
    <n v="0.03"/>
    <n v="6780000"/>
    <x v="13"/>
    <x v="1"/>
  </r>
  <r>
    <x v="1118"/>
    <x v="3"/>
    <x v="2"/>
    <s v="Website"/>
    <x v="5"/>
    <n v="2"/>
    <n v="4706000"/>
    <n v="5.5E-2"/>
    <n v="8894000"/>
    <x v="0"/>
    <x v="1"/>
  </r>
  <r>
    <x v="1118"/>
    <x v="2"/>
    <x v="0"/>
    <s v="Agent"/>
    <x v="1"/>
    <n v="1"/>
    <n v="1935000"/>
    <n v="4.2999999999999997E-2"/>
    <n v="1852000"/>
    <x v="6"/>
    <x v="1"/>
  </r>
  <r>
    <x v="1119"/>
    <x v="1"/>
    <x v="2"/>
    <s v="Website"/>
    <x v="2"/>
    <n v="3"/>
    <n v="4430000"/>
    <n v="0.165667362713874"/>
    <n v="11088000"/>
    <x v="18"/>
    <x v="0"/>
  </r>
  <r>
    <x v="1119"/>
    <x v="0"/>
    <x v="2"/>
    <s v="Website"/>
    <x v="9"/>
    <n v="1"/>
    <n v="3641000"/>
    <n v="2E-3"/>
    <n v="3634000"/>
    <x v="4"/>
    <x v="1"/>
  </r>
  <r>
    <x v="1119"/>
    <x v="2"/>
    <x v="2"/>
    <s v="Website"/>
    <x v="7"/>
    <n v="2"/>
    <n v="3704000"/>
    <n v="5.3313768352406803E-2"/>
    <n v="7013000"/>
    <x v="15"/>
    <x v="0"/>
  </r>
  <r>
    <x v="1119"/>
    <x v="2"/>
    <x v="1"/>
    <s v="Website"/>
    <x v="4"/>
    <n v="1"/>
    <n v="2787000"/>
    <n v="6.9913332697967304E-2"/>
    <n v="2592000"/>
    <x v="8"/>
    <x v="1"/>
  </r>
  <r>
    <x v="1120"/>
    <x v="3"/>
    <x v="2"/>
    <s v="Website"/>
    <x v="4"/>
    <n v="2"/>
    <n v="5057000"/>
    <n v="3.4000000000000002E-2"/>
    <n v="9770000"/>
    <x v="15"/>
    <x v="1"/>
  </r>
  <r>
    <x v="1120"/>
    <x v="1"/>
    <x v="3"/>
    <s v="Call Center"/>
    <x v="4"/>
    <n v="5"/>
    <n v="2221000"/>
    <n v="8.4420664600603698E-2"/>
    <n v="10168000"/>
    <x v="6"/>
    <x v="1"/>
  </r>
  <r>
    <x v="1120"/>
    <x v="3"/>
    <x v="2"/>
    <s v="Website"/>
    <x v="4"/>
    <n v="1"/>
    <n v="4052000"/>
    <n v="0.112213395039319"/>
    <n v="3597000"/>
    <x v="0"/>
    <x v="1"/>
  </r>
  <r>
    <x v="1121"/>
    <x v="1"/>
    <x v="1"/>
    <s v="Website"/>
    <x v="4"/>
    <n v="4"/>
    <n v="3577000"/>
    <n v="0.109"/>
    <n v="12748000"/>
    <x v="4"/>
    <x v="1"/>
  </r>
  <r>
    <x v="1121"/>
    <x v="3"/>
    <x v="0"/>
    <s v="Website"/>
    <x v="7"/>
    <n v="1"/>
    <n v="2505000"/>
    <n v="0.14291954337149801"/>
    <n v="2147000"/>
    <x v="17"/>
    <x v="1"/>
  </r>
  <r>
    <x v="1121"/>
    <x v="1"/>
    <x v="3"/>
    <s v="Website"/>
    <x v="4"/>
    <n v="1"/>
    <n v="2071000"/>
    <n v="9.6000000000000002E-2"/>
    <n v="1872000"/>
    <x v="6"/>
    <x v="1"/>
  </r>
  <r>
    <x v="1121"/>
    <x v="3"/>
    <x v="4"/>
    <s v="Mobile App"/>
    <x v="9"/>
    <n v="2"/>
    <n v="2636000"/>
    <n v="3.9E-2"/>
    <n v="5066000"/>
    <x v="4"/>
    <x v="1"/>
  </r>
  <r>
    <x v="1121"/>
    <x v="3"/>
    <x v="5"/>
    <s v="Website"/>
    <x v="4"/>
    <n v="2"/>
    <n v="5055000"/>
    <n v="0.168604493005968"/>
    <n v="8405000"/>
    <x v="8"/>
    <x v="0"/>
  </r>
  <r>
    <x v="1122"/>
    <x v="3"/>
    <x v="4"/>
    <s v="Website"/>
    <x v="4"/>
    <n v="2"/>
    <n v="2042000"/>
    <n v="0.120075434983238"/>
    <n v="3594000"/>
    <x v="14"/>
    <x v="1"/>
  </r>
  <r>
    <x v="1122"/>
    <x v="1"/>
    <x v="5"/>
    <s v="Website"/>
    <x v="4"/>
    <n v="1"/>
    <n v="3492000"/>
    <n v="4.5999999999999999E-2"/>
    <n v="3331000"/>
    <x v="14"/>
    <x v="1"/>
  </r>
  <r>
    <x v="1123"/>
    <x v="1"/>
    <x v="2"/>
    <s v="Mobile App"/>
    <x v="1"/>
    <n v="3"/>
    <n v="3833000"/>
    <n v="0.13078589005472899"/>
    <n v="9995000"/>
    <x v="12"/>
    <x v="1"/>
  </r>
  <r>
    <x v="1123"/>
    <x v="3"/>
    <x v="2"/>
    <s v="Mobile App"/>
    <x v="4"/>
    <n v="1"/>
    <n v="4259000"/>
    <n v="0.109705747339325"/>
    <n v="3792000"/>
    <x v="6"/>
    <x v="1"/>
  </r>
  <r>
    <x v="1123"/>
    <x v="1"/>
    <x v="3"/>
    <s v="Agent"/>
    <x v="3"/>
    <n v="1"/>
    <n v="1360000"/>
    <n v="0.1"/>
    <n v="1224000"/>
    <x v="0"/>
    <x v="1"/>
  </r>
  <r>
    <x v="1123"/>
    <x v="3"/>
    <x v="4"/>
    <s v="Website"/>
    <x v="7"/>
    <n v="1"/>
    <n v="3049000"/>
    <n v="7.2130931257274794E-2"/>
    <n v="2829000"/>
    <x v="12"/>
    <x v="1"/>
  </r>
  <r>
    <x v="1124"/>
    <x v="0"/>
    <x v="4"/>
    <s v="Website"/>
    <x v="7"/>
    <n v="4"/>
    <n v="2664000"/>
    <n v="6.0832064627616797E-2"/>
    <n v="10008000"/>
    <x v="13"/>
    <x v="0"/>
  </r>
  <r>
    <x v="1124"/>
    <x v="2"/>
    <x v="3"/>
    <s v="Website"/>
    <x v="8"/>
    <n v="1"/>
    <n v="2762000"/>
    <n v="6.5000000000000002E-2"/>
    <n v="2582000"/>
    <x v="10"/>
    <x v="1"/>
  </r>
  <r>
    <x v="1125"/>
    <x v="3"/>
    <x v="0"/>
    <s v="Website"/>
    <x v="0"/>
    <n v="1"/>
    <n v="3351000"/>
    <n v="4.5999999999999999E-2"/>
    <n v="3197000"/>
    <x v="1"/>
    <x v="1"/>
  </r>
  <r>
    <x v="1125"/>
    <x v="2"/>
    <x v="2"/>
    <s v="Website"/>
    <x v="0"/>
    <n v="3"/>
    <n v="4535000"/>
    <n v="8.0858305243680095E-2"/>
    <n v="12505000"/>
    <x v="12"/>
    <x v="0"/>
  </r>
  <r>
    <x v="1125"/>
    <x v="1"/>
    <x v="2"/>
    <s v="Website"/>
    <x v="1"/>
    <n v="3"/>
    <n v="2643000"/>
    <n v="8.5000000000000006E-2"/>
    <n v="7255000"/>
    <x v="13"/>
    <x v="1"/>
  </r>
  <r>
    <x v="1125"/>
    <x v="1"/>
    <x v="0"/>
    <s v="Website"/>
    <x v="7"/>
    <n v="1"/>
    <n v="2411000"/>
    <n v="0.163533940163406"/>
    <n v="2017000"/>
    <x v="5"/>
    <x v="1"/>
  </r>
  <r>
    <x v="1125"/>
    <x v="3"/>
    <x v="5"/>
    <s v="Mobile App"/>
    <x v="4"/>
    <n v="2"/>
    <n v="3680000"/>
    <n v="7.5999999999999998E-2"/>
    <n v="6801000"/>
    <x v="8"/>
    <x v="1"/>
  </r>
  <r>
    <x v="1125"/>
    <x v="3"/>
    <x v="3"/>
    <s v="Mobile App"/>
    <x v="8"/>
    <n v="1"/>
    <n v="2589000"/>
    <n v="0.107996771403035"/>
    <n v="2309000"/>
    <x v="9"/>
    <x v="1"/>
  </r>
  <r>
    <x v="1126"/>
    <x v="2"/>
    <x v="3"/>
    <s v="Website"/>
    <x v="5"/>
    <n v="2"/>
    <n v="2228000"/>
    <n v="0.16022893326475701"/>
    <n v="3742000"/>
    <x v="0"/>
    <x v="0"/>
  </r>
  <r>
    <x v="1126"/>
    <x v="3"/>
    <x v="2"/>
    <s v="Mobile App"/>
    <x v="8"/>
    <n v="2"/>
    <n v="3571000"/>
    <n v="3.3000000000000002E-2"/>
    <n v="6906000"/>
    <x v="1"/>
    <x v="1"/>
  </r>
  <r>
    <x v="1126"/>
    <x v="3"/>
    <x v="0"/>
    <s v="Website"/>
    <x v="5"/>
    <n v="1"/>
    <n v="2504000"/>
    <n v="0.122227805273996"/>
    <n v="2198000"/>
    <x v="2"/>
    <x v="1"/>
  </r>
  <r>
    <x v="1126"/>
    <x v="0"/>
    <x v="3"/>
    <s v="Agent"/>
    <x v="6"/>
    <n v="1"/>
    <n v="2223000"/>
    <n v="0.137850972692387"/>
    <n v="1917000"/>
    <x v="4"/>
    <x v="1"/>
  </r>
  <r>
    <x v="1126"/>
    <x v="0"/>
    <x v="1"/>
    <s v="Mobile App"/>
    <x v="2"/>
    <n v="5"/>
    <n v="4535000"/>
    <n v="8.8999999999999996E-2"/>
    <n v="20657000"/>
    <x v="2"/>
    <x v="1"/>
  </r>
  <r>
    <x v="1126"/>
    <x v="2"/>
    <x v="3"/>
    <s v="Agent"/>
    <x v="5"/>
    <n v="2"/>
    <n v="2108000"/>
    <n v="0.112"/>
    <n v="3744000"/>
    <x v="3"/>
    <x v="0"/>
  </r>
  <r>
    <x v="1126"/>
    <x v="3"/>
    <x v="5"/>
    <s v="Website"/>
    <x v="2"/>
    <n v="1"/>
    <n v="5301000"/>
    <n v="9.1007681511329402E-2"/>
    <n v="4819000"/>
    <x v="6"/>
    <x v="1"/>
  </r>
  <r>
    <x v="1126"/>
    <x v="1"/>
    <x v="0"/>
    <s v="Website"/>
    <x v="1"/>
    <n v="1"/>
    <n v="2621000"/>
    <n v="2.5000000000000001E-2"/>
    <n v="2555000"/>
    <x v="0"/>
    <x v="1"/>
  </r>
  <r>
    <x v="1127"/>
    <x v="3"/>
    <x v="5"/>
    <s v="Agent"/>
    <x v="0"/>
    <n v="1"/>
    <n v="4458000"/>
    <n v="0.111"/>
    <n v="3963000"/>
    <x v="11"/>
    <x v="1"/>
  </r>
  <r>
    <x v="1127"/>
    <x v="1"/>
    <x v="1"/>
    <s v="Mobile App"/>
    <x v="2"/>
    <n v="5"/>
    <n v="4131000"/>
    <n v="0.13600000000000001"/>
    <n v="17846000"/>
    <x v="6"/>
    <x v="1"/>
  </r>
  <r>
    <x v="1127"/>
    <x v="3"/>
    <x v="2"/>
    <s v="Mobile App"/>
    <x v="7"/>
    <n v="2"/>
    <n v="3150000"/>
    <n v="6.6000000000000003E-2"/>
    <n v="5884000"/>
    <x v="25"/>
    <x v="1"/>
  </r>
  <r>
    <x v="1127"/>
    <x v="0"/>
    <x v="2"/>
    <s v="Website"/>
    <x v="8"/>
    <n v="1"/>
    <n v="3360000"/>
    <n v="4.1000000000000002E-2"/>
    <n v="3222000"/>
    <x v="8"/>
    <x v="1"/>
  </r>
  <r>
    <x v="1128"/>
    <x v="1"/>
    <x v="0"/>
    <s v="Website"/>
    <x v="8"/>
    <n v="1"/>
    <n v="3044000"/>
    <n v="0.14499202549984899"/>
    <n v="2603000"/>
    <x v="5"/>
    <x v="1"/>
  </r>
  <r>
    <x v="1128"/>
    <x v="2"/>
    <x v="1"/>
    <s v="Agent"/>
    <x v="1"/>
    <n v="3"/>
    <n v="2163000"/>
    <n v="6.4000000000000001E-2"/>
    <n v="6074000"/>
    <x v="3"/>
    <x v="1"/>
  </r>
  <r>
    <x v="1128"/>
    <x v="3"/>
    <x v="2"/>
    <s v="Agent"/>
    <x v="0"/>
    <n v="2"/>
    <n v="2842000"/>
    <n v="-0.2"/>
    <n v="5263000"/>
    <x v="14"/>
    <x v="1"/>
  </r>
  <r>
    <x v="1128"/>
    <x v="0"/>
    <x v="1"/>
    <s v="Mobile App"/>
    <x v="0"/>
    <n v="2"/>
    <n v="3510000"/>
    <n v="0.104562996573447"/>
    <n v="6286000"/>
    <x v="10"/>
    <x v="1"/>
  </r>
  <r>
    <x v="1128"/>
    <x v="2"/>
    <x v="2"/>
    <s v="Website"/>
    <x v="3"/>
    <n v="1"/>
    <n v="4752000"/>
    <n v="8.5240787559959494E-2"/>
    <n v="4347000"/>
    <x v="17"/>
    <x v="0"/>
  </r>
  <r>
    <x v="1129"/>
    <x v="3"/>
    <x v="3"/>
    <s v="Website"/>
    <x v="1"/>
    <n v="2"/>
    <n v="1242000"/>
    <n v="6.6000000000000003E-2"/>
    <n v="2320000"/>
    <x v="6"/>
    <x v="1"/>
  </r>
  <r>
    <x v="1129"/>
    <x v="3"/>
    <x v="2"/>
    <s v="Website"/>
    <x v="1"/>
    <n v="2"/>
    <n v="3389000"/>
    <n v="0.15018973198982599"/>
    <n v="5760000"/>
    <x v="2"/>
    <x v="0"/>
  </r>
  <r>
    <x v="1129"/>
    <x v="2"/>
    <x v="1"/>
    <s v="Website"/>
    <x v="1"/>
    <n v="2"/>
    <n v="3373000"/>
    <n v="0.11740012667943001"/>
    <n v="5954000"/>
    <x v="18"/>
    <x v="0"/>
  </r>
  <r>
    <x v="1129"/>
    <x v="0"/>
    <x v="2"/>
    <s v="Website"/>
    <x v="1"/>
    <n v="1"/>
    <n v="3032000"/>
    <n v="0.11557056146002299"/>
    <n v="2682000"/>
    <x v="4"/>
    <x v="1"/>
  </r>
  <r>
    <x v="1129"/>
    <x v="1"/>
    <x v="1"/>
    <s v="Website"/>
    <x v="5"/>
    <n v="2"/>
    <n v="3450000"/>
    <n v="6.9575532053757494E-2"/>
    <n v="6420000"/>
    <x v="1"/>
    <x v="0"/>
  </r>
  <r>
    <x v="1130"/>
    <x v="3"/>
    <x v="0"/>
    <s v="Mobile App"/>
    <x v="6"/>
    <n v="3"/>
    <n v="2434000"/>
    <n v="8.3294089752964595E-2"/>
    <n v="6694000"/>
    <x v="9"/>
    <x v="0"/>
  </r>
  <r>
    <x v="1130"/>
    <x v="1"/>
    <x v="2"/>
    <s v="Mobile App"/>
    <x v="4"/>
    <n v="3"/>
    <n v="4553000"/>
    <n v="8.61427569895446E-2"/>
    <n v="12482000"/>
    <x v="6"/>
    <x v="0"/>
  </r>
  <r>
    <x v="1130"/>
    <x v="0"/>
    <x v="3"/>
    <s v="Website"/>
    <x v="8"/>
    <n v="2"/>
    <n v="2768000"/>
    <n v="2.69509199036897E-2"/>
    <n v="5387000"/>
    <x v="12"/>
    <x v="1"/>
  </r>
  <r>
    <x v="1131"/>
    <x v="3"/>
    <x v="1"/>
    <s v="Website"/>
    <x v="8"/>
    <n v="2"/>
    <n v="3205000"/>
    <n v="9.9360262232448301E-2"/>
    <n v="5773000"/>
    <x v="10"/>
    <x v="1"/>
  </r>
  <r>
    <x v="1131"/>
    <x v="3"/>
    <x v="2"/>
    <s v="Website"/>
    <x v="1"/>
    <n v="2"/>
    <n v="3530000"/>
    <n v="7.2084381084265597E-2"/>
    <n v="6551000"/>
    <x v="9"/>
    <x v="1"/>
  </r>
  <r>
    <x v="1131"/>
    <x v="1"/>
    <x v="2"/>
    <s v="Website"/>
    <x v="2"/>
    <n v="4"/>
    <n v="4879000"/>
    <n v="5.4724951761110197E-2"/>
    <n v="18448000"/>
    <x v="13"/>
    <x v="0"/>
  </r>
  <r>
    <x v="1131"/>
    <x v="3"/>
    <x v="3"/>
    <s v="Website"/>
    <x v="4"/>
    <n v="2"/>
    <n v="1638000"/>
    <n v="0.108352626095484"/>
    <n v="2921000"/>
    <x v="5"/>
    <x v="1"/>
  </r>
  <r>
    <x v="1131"/>
    <x v="3"/>
    <x v="4"/>
    <s v="Agent"/>
    <x v="6"/>
    <n v="1"/>
    <n v="2563000"/>
    <n v="0.03"/>
    <n v="2486000"/>
    <x v="4"/>
    <x v="1"/>
  </r>
  <r>
    <x v="1131"/>
    <x v="3"/>
    <x v="2"/>
    <s v="Agent"/>
    <x v="9"/>
    <n v="1"/>
    <n v="3985000"/>
    <n v="4.2999999999999997E-2"/>
    <n v="3814000"/>
    <x v="4"/>
    <x v="1"/>
  </r>
  <r>
    <x v="1132"/>
    <x v="1"/>
    <x v="4"/>
    <s v="Mobile App"/>
    <x v="1"/>
    <n v="2"/>
    <n v="2992000"/>
    <n v="0"/>
    <n v="5984000"/>
    <x v="13"/>
    <x v="1"/>
  </r>
  <r>
    <x v="1132"/>
    <x v="1"/>
    <x v="2"/>
    <s v="Website"/>
    <x v="1"/>
    <n v="2"/>
    <n v="3118000"/>
    <n v="0.124439743562603"/>
    <n v="5460000"/>
    <x v="2"/>
    <x v="1"/>
  </r>
  <r>
    <x v="1132"/>
    <x v="2"/>
    <x v="1"/>
    <s v="Website"/>
    <x v="9"/>
    <n v="4"/>
    <n v="3960000"/>
    <n v="7.5378263264899201E-2"/>
    <n v="14646000"/>
    <x v="8"/>
    <x v="1"/>
  </r>
  <r>
    <x v="1133"/>
    <x v="1"/>
    <x v="1"/>
    <s v="Website"/>
    <x v="6"/>
    <n v="3"/>
    <n v="3189000"/>
    <n v="6.8000000000000005E-2"/>
    <n v="8916000"/>
    <x v="6"/>
    <x v="0"/>
  </r>
  <r>
    <x v="1133"/>
    <x v="0"/>
    <x v="0"/>
    <s v="Mobile App"/>
    <x v="0"/>
    <n v="3"/>
    <n v="2667000"/>
    <n v="4.2999999999999997E-2"/>
    <n v="7657000"/>
    <x v="2"/>
    <x v="1"/>
  </r>
  <r>
    <x v="1133"/>
    <x v="3"/>
    <x v="0"/>
    <s v="Mobile App"/>
    <x v="5"/>
    <n v="2"/>
    <n v="2680000"/>
    <n v="0.11121031565043001"/>
    <n v="4764000"/>
    <x v="9"/>
    <x v="1"/>
  </r>
  <r>
    <x v="1133"/>
    <x v="0"/>
    <x v="4"/>
    <s v="Agent"/>
    <x v="8"/>
    <n v="2"/>
    <n v="2668000"/>
    <n v="0.12649780267803801"/>
    <n v="4661000"/>
    <x v="10"/>
    <x v="1"/>
  </r>
  <r>
    <x v="1133"/>
    <x v="0"/>
    <x v="4"/>
    <s v="Agent"/>
    <x v="1"/>
    <n v="3"/>
    <n v="2784000"/>
    <n v="9.1999999999999998E-2"/>
    <n v="7584000"/>
    <x v="6"/>
    <x v="1"/>
  </r>
  <r>
    <x v="1134"/>
    <x v="1"/>
    <x v="0"/>
    <s v="Website"/>
    <x v="0"/>
    <n v="4"/>
    <n v="3071000"/>
    <n v="0.120077190967552"/>
    <n v="10809000"/>
    <x v="9"/>
    <x v="1"/>
  </r>
  <r>
    <x v="1134"/>
    <x v="3"/>
    <x v="2"/>
    <s v="Mobile App"/>
    <x v="5"/>
    <n v="1"/>
    <n v="4436000"/>
    <n v="3.6952768347015802E-2"/>
    <n v="4272000"/>
    <x v="4"/>
    <x v="1"/>
  </r>
  <r>
    <x v="1134"/>
    <x v="1"/>
    <x v="5"/>
    <s v="Mobile App"/>
    <x v="5"/>
    <n v="1"/>
    <n v="6242000"/>
    <n v="3.3000000000000002E-2"/>
    <n v="6036000"/>
    <x v="13"/>
    <x v="1"/>
  </r>
  <r>
    <x v="1135"/>
    <x v="3"/>
    <x v="2"/>
    <s v="Agent"/>
    <x v="1"/>
    <n v="1"/>
    <n v="2769000"/>
    <n v="8.7999999999999995E-2"/>
    <n v="2525000"/>
    <x v="12"/>
    <x v="1"/>
  </r>
  <r>
    <x v="1135"/>
    <x v="1"/>
    <x v="4"/>
    <s v="Call Center"/>
    <x v="5"/>
    <n v="2"/>
    <n v="2671000"/>
    <n v="3.3000000000000002E-2"/>
    <n v="5166000"/>
    <x v="13"/>
    <x v="1"/>
  </r>
  <r>
    <x v="1136"/>
    <x v="1"/>
    <x v="2"/>
    <s v="Website"/>
    <x v="1"/>
    <n v="3"/>
    <n v="5470000"/>
    <n v="4.4999999999999998E-2"/>
    <n v="15672000"/>
    <x v="9"/>
    <x v="1"/>
  </r>
  <r>
    <x v="1136"/>
    <x v="0"/>
    <x v="2"/>
    <s v="Mobile App"/>
    <x v="9"/>
    <n v="1"/>
    <n v="4605000"/>
    <n v="8.7858777844553898E-2"/>
    <n v="4200000"/>
    <x v="19"/>
    <x v="0"/>
  </r>
  <r>
    <x v="1136"/>
    <x v="2"/>
    <x v="4"/>
    <s v="Website"/>
    <x v="9"/>
    <n v="1"/>
    <n v="3496000"/>
    <n v="0.11734316117357201"/>
    <n v="3086000"/>
    <x v="1"/>
    <x v="1"/>
  </r>
  <r>
    <x v="1137"/>
    <x v="1"/>
    <x v="1"/>
    <s v="Website"/>
    <x v="9"/>
    <n v="1"/>
    <n v="4128000"/>
    <n v="0.101849906425766"/>
    <n v="3708000"/>
    <x v="2"/>
    <x v="0"/>
  </r>
  <r>
    <x v="1137"/>
    <x v="3"/>
    <x v="1"/>
    <s v="Website"/>
    <x v="8"/>
    <n v="4"/>
    <n v="3987000"/>
    <n v="0"/>
    <n v="15948000"/>
    <x v="8"/>
    <x v="1"/>
  </r>
  <r>
    <x v="1137"/>
    <x v="3"/>
    <x v="4"/>
    <s v="Call Center"/>
    <x v="2"/>
    <n v="1"/>
    <n v="2588000"/>
    <n v="0.13587355419661901"/>
    <n v="2236000"/>
    <x v="5"/>
    <x v="1"/>
  </r>
  <r>
    <x v="1138"/>
    <x v="0"/>
    <x v="2"/>
    <s v="Website"/>
    <x v="2"/>
    <n v="3"/>
    <n v="3305000"/>
    <n v="0"/>
    <n v="9915000"/>
    <x v="5"/>
    <x v="1"/>
  </r>
  <r>
    <x v="1138"/>
    <x v="2"/>
    <x v="5"/>
    <s v="Agent"/>
    <x v="0"/>
    <n v="1"/>
    <n v="6041000"/>
    <n v="0.160125147699401"/>
    <n v="5074000"/>
    <x v="4"/>
    <x v="1"/>
  </r>
  <r>
    <x v="1138"/>
    <x v="1"/>
    <x v="2"/>
    <s v="Mobile App"/>
    <x v="4"/>
    <n v="1"/>
    <n v="4245000"/>
    <n v="4.1832528218987197E-2"/>
    <n v="4067000"/>
    <x v="2"/>
    <x v="0"/>
  </r>
  <r>
    <x v="1138"/>
    <x v="0"/>
    <x v="1"/>
    <s v="Mobile App"/>
    <x v="2"/>
    <n v="3"/>
    <n v="3210000"/>
    <n v="7.2999999999999995E-2"/>
    <n v="8927000"/>
    <x v="12"/>
    <x v="0"/>
  </r>
  <r>
    <x v="1138"/>
    <x v="1"/>
    <x v="5"/>
    <s v="Website"/>
    <x v="0"/>
    <n v="3"/>
    <n v="6101000"/>
    <n v="7.2999999999999995E-2"/>
    <n v="16967000"/>
    <x v="2"/>
    <x v="1"/>
  </r>
  <r>
    <x v="1138"/>
    <x v="1"/>
    <x v="3"/>
    <s v="Agent"/>
    <x v="8"/>
    <n v="4"/>
    <n v="2262000"/>
    <n v="4.7E-2"/>
    <n v="8623000"/>
    <x v="6"/>
    <x v="1"/>
  </r>
  <r>
    <x v="1138"/>
    <x v="3"/>
    <x v="1"/>
    <s v="Agent"/>
    <x v="4"/>
    <n v="1"/>
    <n v="2945000"/>
    <n v="8.5670663145940601E-2"/>
    <n v="2693000"/>
    <x v="0"/>
    <x v="1"/>
  </r>
  <r>
    <x v="1138"/>
    <x v="3"/>
    <x v="1"/>
    <s v="Website"/>
    <x v="0"/>
    <n v="5"/>
    <n v="3546000"/>
    <n v="0.107"/>
    <n v="15833000"/>
    <x v="2"/>
    <x v="1"/>
  </r>
  <r>
    <x v="1138"/>
    <x v="1"/>
    <x v="1"/>
    <s v="Mobile App"/>
    <x v="8"/>
    <n v="4"/>
    <n v="3124000"/>
    <n v="4.2999999999999997E-2"/>
    <n v="11959000"/>
    <x v="17"/>
    <x v="1"/>
  </r>
  <r>
    <x v="1139"/>
    <x v="2"/>
    <x v="1"/>
    <s v="Agent"/>
    <x v="3"/>
    <n v="1"/>
    <n v="3309000"/>
    <n v="9.4867005354261E-2"/>
    <n v="2995000"/>
    <x v="0"/>
    <x v="1"/>
  </r>
  <r>
    <x v="1139"/>
    <x v="1"/>
    <x v="5"/>
    <s v="Website"/>
    <x v="3"/>
    <n v="3"/>
    <n v="4637000"/>
    <n v="0.116478550841532"/>
    <n v="12291000"/>
    <x v="3"/>
    <x v="0"/>
  </r>
  <r>
    <x v="1139"/>
    <x v="1"/>
    <x v="0"/>
    <s v="Mobile App"/>
    <x v="0"/>
    <n v="1"/>
    <n v="3100000"/>
    <n v="0.15560128199860199"/>
    <n v="2618000"/>
    <x v="5"/>
    <x v="1"/>
  </r>
  <r>
    <x v="1140"/>
    <x v="2"/>
    <x v="0"/>
    <s v="Mobile App"/>
    <x v="4"/>
    <n v="1"/>
    <n v="3085000"/>
    <n v="6.3E-2"/>
    <n v="2891000"/>
    <x v="1"/>
    <x v="1"/>
  </r>
  <r>
    <x v="1140"/>
    <x v="1"/>
    <x v="1"/>
    <s v="Website"/>
    <x v="0"/>
    <n v="1"/>
    <n v="3952000"/>
    <n v="5.5029674458163397E-2"/>
    <n v="3735000"/>
    <x v="12"/>
    <x v="0"/>
  </r>
  <r>
    <x v="1140"/>
    <x v="1"/>
    <x v="1"/>
    <s v="Website"/>
    <x v="8"/>
    <n v="3"/>
    <n v="3585000"/>
    <n v="0.170139611914013"/>
    <n v="8925000"/>
    <x v="8"/>
    <x v="1"/>
  </r>
  <r>
    <x v="1140"/>
    <x v="3"/>
    <x v="2"/>
    <s v="Mobile App"/>
    <x v="1"/>
    <n v="1"/>
    <n v="3580000"/>
    <n v="0.14142127765099599"/>
    <n v="3074000"/>
    <x v="14"/>
    <x v="1"/>
  </r>
  <r>
    <x v="1140"/>
    <x v="3"/>
    <x v="5"/>
    <s v="Website"/>
    <x v="3"/>
    <n v="1"/>
    <n v="5925000"/>
    <n v="1.0999999999999999E-2"/>
    <n v="5860000"/>
    <x v="12"/>
    <x v="1"/>
  </r>
  <r>
    <x v="1140"/>
    <x v="3"/>
    <x v="0"/>
    <s v="Agent"/>
    <x v="5"/>
    <n v="2"/>
    <n v="2729000"/>
    <n v="2.5000000000000001E-2"/>
    <n v="5322000"/>
    <x v="3"/>
    <x v="0"/>
  </r>
  <r>
    <x v="1140"/>
    <x v="3"/>
    <x v="1"/>
    <s v="Mobile App"/>
    <x v="7"/>
    <n v="3"/>
    <n v="3315000"/>
    <n v="6.2125236260260203E-2"/>
    <n v="9327000"/>
    <x v="12"/>
    <x v="1"/>
  </r>
  <r>
    <x v="1141"/>
    <x v="1"/>
    <x v="0"/>
    <s v="Website"/>
    <x v="5"/>
    <n v="1"/>
    <n v="2387000"/>
    <n v="0.140713775754639"/>
    <n v="2051000"/>
    <x v="8"/>
    <x v="1"/>
  </r>
  <r>
    <x v="1141"/>
    <x v="1"/>
    <x v="3"/>
    <s v="Website"/>
    <x v="4"/>
    <n v="2"/>
    <n v="1407000"/>
    <n v="9.0076460539383799E-2"/>
    <n v="2561000"/>
    <x v="10"/>
    <x v="1"/>
  </r>
  <r>
    <x v="1141"/>
    <x v="0"/>
    <x v="2"/>
    <s v="Agent"/>
    <x v="7"/>
    <n v="2"/>
    <n v="4962000"/>
    <n v="5.2999999999999999E-2"/>
    <n v="9398000"/>
    <x v="0"/>
    <x v="1"/>
  </r>
  <r>
    <x v="1141"/>
    <x v="0"/>
    <x v="2"/>
    <s v="Mobile App"/>
    <x v="6"/>
    <n v="1"/>
    <n v="2758000"/>
    <n v="9.2999999999999999E-2"/>
    <n v="2502000"/>
    <x v="5"/>
    <x v="1"/>
  </r>
  <r>
    <x v="1142"/>
    <x v="1"/>
    <x v="1"/>
    <s v="Mobile App"/>
    <x v="1"/>
    <n v="4"/>
    <n v="3747000"/>
    <n v="0"/>
    <n v="14988000"/>
    <x v="12"/>
    <x v="1"/>
  </r>
  <r>
    <x v="1142"/>
    <x v="3"/>
    <x v="5"/>
    <s v="Website"/>
    <x v="3"/>
    <n v="1"/>
    <n v="4957000"/>
    <n v="0.10572852694546001"/>
    <n v="4433000"/>
    <x v="1"/>
    <x v="0"/>
  </r>
  <r>
    <x v="1142"/>
    <x v="1"/>
    <x v="0"/>
    <s v="Agent"/>
    <x v="9"/>
    <n v="4"/>
    <n v="2982000"/>
    <n v="0.14455187762722599"/>
    <n v="10204000"/>
    <x v="4"/>
    <x v="0"/>
  </r>
  <r>
    <x v="1142"/>
    <x v="3"/>
    <x v="0"/>
    <s v="Website"/>
    <x v="8"/>
    <n v="2"/>
    <n v="2305000"/>
    <n v="8.4815228100144205E-2"/>
    <n v="4219000"/>
    <x v="6"/>
    <x v="1"/>
  </r>
  <r>
    <x v="1143"/>
    <x v="2"/>
    <x v="2"/>
    <s v="Website"/>
    <x v="7"/>
    <n v="4"/>
    <n v="4003000"/>
    <n v="7.8240699797202107E-2"/>
    <n v="14759000"/>
    <x v="1"/>
    <x v="0"/>
  </r>
  <r>
    <x v="1143"/>
    <x v="3"/>
    <x v="2"/>
    <s v="Website"/>
    <x v="1"/>
    <n v="1"/>
    <n v="3336000"/>
    <n v="3.9902171921174998E-2"/>
    <n v="3203000"/>
    <x v="12"/>
    <x v="1"/>
  </r>
  <r>
    <x v="1143"/>
    <x v="1"/>
    <x v="1"/>
    <s v="Mobile App"/>
    <x v="1"/>
    <n v="2"/>
    <n v="3380000"/>
    <n v="7.8966260412901099E-2"/>
    <n v="6226000"/>
    <x v="12"/>
    <x v="1"/>
  </r>
  <r>
    <x v="1143"/>
    <x v="3"/>
    <x v="0"/>
    <s v="Mobile App"/>
    <x v="9"/>
    <n v="4"/>
    <n v="3246000"/>
    <n v="5.6000000000000001E-2"/>
    <n v="12257000"/>
    <x v="15"/>
    <x v="1"/>
  </r>
  <r>
    <x v="1143"/>
    <x v="3"/>
    <x v="2"/>
    <s v="Website"/>
    <x v="2"/>
    <n v="2"/>
    <n v="0"/>
    <n v="0.16200000000000001"/>
    <n v="5377000"/>
    <x v="7"/>
    <x v="1"/>
  </r>
  <r>
    <x v="1144"/>
    <x v="3"/>
    <x v="0"/>
    <s v="Mobile App"/>
    <x v="1"/>
    <n v="2"/>
    <n v="2677000"/>
    <n v="0.12767897701333999"/>
    <n v="4670000"/>
    <x v="8"/>
    <x v="1"/>
  </r>
  <r>
    <x v="1144"/>
    <x v="1"/>
    <x v="1"/>
    <s v="Mobile App"/>
    <x v="6"/>
    <n v="1"/>
    <n v="3603000"/>
    <n v="2.80587004489425E-2"/>
    <n v="3502000"/>
    <x v="6"/>
    <x v="1"/>
  </r>
  <r>
    <x v="1145"/>
    <x v="3"/>
    <x v="0"/>
    <s v="Mobile App"/>
    <x v="8"/>
    <n v="1"/>
    <n v="2400000"/>
    <n v="1.43897747880433E-2"/>
    <n v="2365000"/>
    <x v="6"/>
    <x v="1"/>
  </r>
  <r>
    <x v="1146"/>
    <x v="0"/>
    <x v="5"/>
    <s v="Mobile App"/>
    <x v="8"/>
    <n v="1"/>
    <n v="5603000"/>
    <n v="8.7673273492933995E-2"/>
    <n v="5112000"/>
    <x v="10"/>
    <x v="1"/>
  </r>
  <r>
    <x v="1146"/>
    <x v="2"/>
    <x v="4"/>
    <s v="Website"/>
    <x v="9"/>
    <n v="1"/>
    <n v="3285000"/>
    <n v="9.8000000000000004E-2"/>
    <n v="2963000"/>
    <x v="15"/>
    <x v="1"/>
  </r>
  <r>
    <x v="1146"/>
    <x v="1"/>
    <x v="4"/>
    <s v="Website"/>
    <x v="9"/>
    <n v="1"/>
    <n v="2445000"/>
    <n v="6.8693165761827699E-2"/>
    <n v="2277000"/>
    <x v="5"/>
    <x v="1"/>
  </r>
  <r>
    <x v="1147"/>
    <x v="0"/>
    <x v="1"/>
    <s v="Website"/>
    <x v="6"/>
    <n v="2"/>
    <n v="3347000"/>
    <n v="8.7109694973513493E-2"/>
    <n v="6111000"/>
    <x v="2"/>
    <x v="1"/>
  </r>
  <r>
    <x v="1147"/>
    <x v="1"/>
    <x v="0"/>
    <s v="Mobile App"/>
    <x v="2"/>
    <n v="3"/>
    <n v="2305000"/>
    <n v="7.0999999999999994E-2"/>
    <n v="6424000"/>
    <x v="2"/>
    <x v="1"/>
  </r>
  <r>
    <x v="1147"/>
    <x v="0"/>
    <x v="3"/>
    <s v="Agent"/>
    <x v="0"/>
    <n v="1"/>
    <n v="2898000"/>
    <n v="0.15465680304471999"/>
    <n v="2450000"/>
    <x v="0"/>
    <x v="1"/>
  </r>
  <r>
    <x v="1147"/>
    <x v="1"/>
    <x v="0"/>
    <s v="Mobile App"/>
    <x v="1"/>
    <n v="2"/>
    <n v="2807000"/>
    <n v="0.11194451747261901"/>
    <n v="4986000"/>
    <x v="0"/>
    <x v="1"/>
  </r>
  <r>
    <x v="1148"/>
    <x v="0"/>
    <x v="0"/>
    <s v="Website"/>
    <x v="1"/>
    <n v="2"/>
    <n v="2515000"/>
    <n v="0.102045835939214"/>
    <n v="4517000"/>
    <x v="12"/>
    <x v="0"/>
  </r>
  <r>
    <x v="1148"/>
    <x v="0"/>
    <x v="0"/>
    <s v="Agent"/>
    <x v="5"/>
    <n v="4"/>
    <n v="2644000"/>
    <n v="0.142572433301907"/>
    <n v="9068000"/>
    <x v="0"/>
    <x v="1"/>
  </r>
  <r>
    <x v="1148"/>
    <x v="1"/>
    <x v="0"/>
    <s v="Website"/>
    <x v="2"/>
    <n v="2"/>
    <n v="3343000"/>
    <n v="9.1360461951817601E-2"/>
    <n v="6075000"/>
    <x v="19"/>
    <x v="1"/>
  </r>
  <r>
    <x v="1149"/>
    <x v="3"/>
    <x v="3"/>
    <s v="Agent"/>
    <x v="8"/>
    <n v="1"/>
    <n v="2731000"/>
    <n v="8.1861875500152101E-2"/>
    <n v="2507000"/>
    <x v="4"/>
    <x v="1"/>
  </r>
  <r>
    <x v="1149"/>
    <x v="3"/>
    <x v="2"/>
    <s v="Mobile App"/>
    <x v="2"/>
    <n v="1"/>
    <n v="4686000"/>
    <n v="0.114792333990899"/>
    <n v="4148000"/>
    <x v="2"/>
    <x v="1"/>
  </r>
  <r>
    <x v="1149"/>
    <x v="1"/>
    <x v="1"/>
    <s v="Mobile App"/>
    <x v="2"/>
    <n v="5"/>
    <n v="3681000"/>
    <n v="0"/>
    <n v="18405000"/>
    <x v="6"/>
    <x v="1"/>
  </r>
  <r>
    <x v="1149"/>
    <x v="0"/>
    <x v="0"/>
    <s v="Website"/>
    <x v="7"/>
    <n v="2"/>
    <n v="2207000"/>
    <n v="8.5999999999999993E-2"/>
    <n v="4034000"/>
    <x v="10"/>
    <x v="0"/>
  </r>
  <r>
    <x v="1150"/>
    <x v="1"/>
    <x v="4"/>
    <s v="Website"/>
    <x v="8"/>
    <n v="2"/>
    <n v="2697000"/>
    <n v="0.13700000000000001"/>
    <n v="4657000"/>
    <x v="13"/>
    <x v="1"/>
  </r>
  <r>
    <x v="1150"/>
    <x v="1"/>
    <x v="4"/>
    <s v="Call Center"/>
    <x v="3"/>
    <n v="4"/>
    <n v="2458000"/>
    <n v="0.18762365616548499"/>
    <n v="7987000"/>
    <x v="3"/>
    <x v="0"/>
  </r>
  <r>
    <x v="1150"/>
    <x v="0"/>
    <x v="5"/>
    <s v="Mobile App"/>
    <x v="0"/>
    <n v="2"/>
    <n v="6382000"/>
    <n v="0.122419281479139"/>
    <n v="11201000"/>
    <x v="0"/>
    <x v="1"/>
  </r>
  <r>
    <x v="1151"/>
    <x v="0"/>
    <x v="2"/>
    <s v="Website"/>
    <x v="7"/>
    <n v="3"/>
    <n v="3623000"/>
    <n v="0.122234421862562"/>
    <n v="9540000"/>
    <x v="3"/>
    <x v="0"/>
  </r>
  <r>
    <x v="1151"/>
    <x v="1"/>
    <x v="2"/>
    <s v="Agent"/>
    <x v="5"/>
    <n v="5"/>
    <n v="4346000"/>
    <n v="8.3318518367196795E-2"/>
    <n v="19919000"/>
    <x v="8"/>
    <x v="1"/>
  </r>
  <r>
    <x v="1152"/>
    <x v="1"/>
    <x v="0"/>
    <s v="Mobile App"/>
    <x v="5"/>
    <n v="2"/>
    <n v="2855000"/>
    <n v="4.4999999999999998E-2"/>
    <n v="5451000"/>
    <x v="3"/>
    <x v="0"/>
  </r>
  <r>
    <x v="1152"/>
    <x v="0"/>
    <x v="3"/>
    <s v="Mobile App"/>
    <x v="4"/>
    <n v="2"/>
    <n v="1383000"/>
    <n v="0"/>
    <n v="2766000"/>
    <x v="18"/>
    <x v="1"/>
  </r>
  <r>
    <x v="1152"/>
    <x v="0"/>
    <x v="2"/>
    <s v="Mobile App"/>
    <x v="5"/>
    <n v="1"/>
    <n v="4039000"/>
    <n v="5.7423579969818901E-2"/>
    <n v="3807000"/>
    <x v="9"/>
    <x v="1"/>
  </r>
  <r>
    <x v="1152"/>
    <x v="0"/>
    <x v="4"/>
    <s v="Website"/>
    <x v="0"/>
    <n v="1"/>
    <n v="1828000"/>
    <n v="0.05"/>
    <n v="1737000"/>
    <x v="9"/>
    <x v="1"/>
  </r>
  <r>
    <x v="1152"/>
    <x v="1"/>
    <x v="3"/>
    <s v="Website"/>
    <x v="0"/>
    <n v="2"/>
    <n v="2902000"/>
    <n v="8.2300584500332896E-2"/>
    <n v="5326000"/>
    <x v="12"/>
    <x v="1"/>
  </r>
  <r>
    <x v="1152"/>
    <x v="1"/>
    <x v="3"/>
    <s v="Website"/>
    <x v="8"/>
    <n v="2"/>
    <n v="2956000"/>
    <n v="4.1000000000000002E-2"/>
    <n v="5670000"/>
    <x v="3"/>
    <x v="1"/>
  </r>
  <r>
    <x v="1152"/>
    <x v="3"/>
    <x v="3"/>
    <s v="Website"/>
    <x v="4"/>
    <n v="2"/>
    <n v="1636000"/>
    <n v="0.120921793273896"/>
    <n v="2876000"/>
    <x v="12"/>
    <x v="0"/>
  </r>
  <r>
    <x v="1153"/>
    <x v="1"/>
    <x v="5"/>
    <s v="Call Center"/>
    <x v="7"/>
    <n v="1"/>
    <n v="3323000"/>
    <n v="5.2999999999999999E-2"/>
    <n v="3147000"/>
    <x v="6"/>
    <x v="1"/>
  </r>
  <r>
    <x v="1153"/>
    <x v="2"/>
    <x v="3"/>
    <s v="Website"/>
    <x v="3"/>
    <n v="4"/>
    <n v="1762000"/>
    <n v="4.2000000000000003E-2"/>
    <n v="6752000"/>
    <x v="6"/>
    <x v="0"/>
  </r>
  <r>
    <x v="1153"/>
    <x v="1"/>
    <x v="4"/>
    <s v="Website"/>
    <x v="1"/>
    <n v="3"/>
    <n v="2854000"/>
    <n v="8.2000000000000003E-2"/>
    <n v="7860000"/>
    <x v="1"/>
    <x v="1"/>
  </r>
  <r>
    <x v="1153"/>
    <x v="1"/>
    <x v="5"/>
    <s v="Website"/>
    <x v="4"/>
    <n v="3"/>
    <n v="4994000"/>
    <n v="0.12298688353734299"/>
    <n v="13139000"/>
    <x v="14"/>
    <x v="0"/>
  </r>
  <r>
    <x v="1154"/>
    <x v="3"/>
    <x v="1"/>
    <s v="Mobile App"/>
    <x v="2"/>
    <n v="3"/>
    <n v="3871000"/>
    <n v="0.13209985790523801"/>
    <n v="10079000"/>
    <x v="12"/>
    <x v="1"/>
  </r>
  <r>
    <x v="1154"/>
    <x v="3"/>
    <x v="2"/>
    <s v="Agent"/>
    <x v="7"/>
    <n v="4"/>
    <n v="3536000"/>
    <n v="0.14811544360272899"/>
    <n v="12049000"/>
    <x v="3"/>
    <x v="0"/>
  </r>
  <r>
    <x v="1154"/>
    <x v="1"/>
    <x v="2"/>
    <s v="Mobile App"/>
    <x v="6"/>
    <n v="3"/>
    <n v="4097000"/>
    <n v="9.0164935897379395E-2"/>
    <n v="11183000"/>
    <x v="15"/>
    <x v="0"/>
  </r>
  <r>
    <x v="1154"/>
    <x v="2"/>
    <x v="3"/>
    <s v="Website"/>
    <x v="2"/>
    <n v="1"/>
    <n v="2846000"/>
    <n v="0.11014537544059699"/>
    <n v="2533000"/>
    <x v="14"/>
    <x v="1"/>
  </r>
  <r>
    <x v="1154"/>
    <x v="0"/>
    <x v="1"/>
    <s v="Mobile App"/>
    <x v="2"/>
    <n v="4"/>
    <n v="3778000"/>
    <n v="7.9000000000000001E-2"/>
    <n v="13918000"/>
    <x v="7"/>
    <x v="1"/>
  </r>
  <r>
    <x v="1154"/>
    <x v="2"/>
    <x v="4"/>
    <s v="Website"/>
    <x v="0"/>
    <n v="3"/>
    <n v="2856000"/>
    <n v="9.8892628646013198E-2"/>
    <n v="7721000"/>
    <x v="2"/>
    <x v="1"/>
  </r>
  <r>
    <x v="1154"/>
    <x v="3"/>
    <x v="1"/>
    <s v="Agent"/>
    <x v="4"/>
    <n v="1"/>
    <n v="2658000"/>
    <n v="8.1724282064716602E-2"/>
    <n v="2441000"/>
    <x v="4"/>
    <x v="1"/>
  </r>
  <r>
    <x v="1154"/>
    <x v="1"/>
    <x v="0"/>
    <s v="Agent"/>
    <x v="4"/>
    <n v="2"/>
    <n v="3455000"/>
    <n v="0.172933877944798"/>
    <n v="5715000"/>
    <x v="7"/>
    <x v="1"/>
  </r>
  <r>
    <x v="1154"/>
    <x v="2"/>
    <x v="1"/>
    <s v="Website"/>
    <x v="4"/>
    <n v="3"/>
    <n v="2282000"/>
    <n v="3.5999999999999997E-2"/>
    <n v="6600000"/>
    <x v="6"/>
    <x v="1"/>
  </r>
  <r>
    <x v="1155"/>
    <x v="3"/>
    <x v="1"/>
    <s v="Agent"/>
    <x v="2"/>
    <n v="3"/>
    <n v="3910000"/>
    <n v="0.106398858777193"/>
    <n v="10482000"/>
    <x v="1"/>
    <x v="1"/>
  </r>
  <r>
    <x v="1155"/>
    <x v="3"/>
    <x v="3"/>
    <s v="Agent"/>
    <x v="3"/>
    <n v="1"/>
    <n v="2931000"/>
    <n v="0.11899999999999999"/>
    <n v="2583000"/>
    <x v="2"/>
    <x v="1"/>
  </r>
  <r>
    <x v="1155"/>
    <x v="0"/>
    <x v="5"/>
    <s v="Agent"/>
    <x v="4"/>
    <n v="3"/>
    <n v="4715000"/>
    <n v="0.119609043390091"/>
    <n v="12453000"/>
    <x v="5"/>
    <x v="1"/>
  </r>
  <r>
    <x v="1155"/>
    <x v="3"/>
    <x v="0"/>
    <s v="Mobile App"/>
    <x v="4"/>
    <n v="1"/>
    <n v="2421000"/>
    <n v="9.57212341047253E-2"/>
    <n v="2189000"/>
    <x v="6"/>
    <x v="1"/>
  </r>
  <r>
    <x v="1156"/>
    <x v="1"/>
    <x v="0"/>
    <s v="Mobile App"/>
    <x v="9"/>
    <n v="3"/>
    <n v="2805000"/>
    <n v="1.5101886203560899E-2"/>
    <n v="8288000"/>
    <x v="6"/>
    <x v="1"/>
  </r>
  <r>
    <x v="1156"/>
    <x v="1"/>
    <x v="5"/>
    <s v="Mobile App"/>
    <x v="9"/>
    <n v="2"/>
    <n v="4843000"/>
    <n v="0.16050748384699901"/>
    <n v="8131000"/>
    <x v="8"/>
    <x v="1"/>
  </r>
  <r>
    <x v="1156"/>
    <x v="2"/>
    <x v="1"/>
    <s v="Mobile App"/>
    <x v="7"/>
    <n v="3"/>
    <n v="3108000"/>
    <n v="4.5999999999999999E-2"/>
    <n v="8895000"/>
    <x v="14"/>
    <x v="1"/>
  </r>
  <r>
    <x v="1156"/>
    <x v="0"/>
    <x v="1"/>
    <s v="Website"/>
    <x v="7"/>
    <n v="4"/>
    <n v="2938000"/>
    <n v="4.3999999999999997E-2"/>
    <n v="11235000"/>
    <x v="4"/>
    <x v="1"/>
  </r>
  <r>
    <x v="1156"/>
    <x v="1"/>
    <x v="2"/>
    <s v="Agent"/>
    <x v="2"/>
    <n v="2"/>
    <n v="4561000"/>
    <n v="6.4608209189003299E-2"/>
    <n v="8533000"/>
    <x v="13"/>
    <x v="1"/>
  </r>
  <r>
    <x v="1157"/>
    <x v="0"/>
    <x v="4"/>
    <s v="Website"/>
    <x v="3"/>
    <n v="3"/>
    <n v="2013000"/>
    <n v="4.8000000000000001E-2"/>
    <n v="5749000"/>
    <x v="8"/>
    <x v="1"/>
  </r>
  <r>
    <x v="1158"/>
    <x v="3"/>
    <x v="4"/>
    <s v="Website"/>
    <x v="8"/>
    <n v="1"/>
    <n v="2609000"/>
    <n v="0.110377795831217"/>
    <n v="2321000"/>
    <x v="14"/>
    <x v="1"/>
  </r>
  <r>
    <x v="1158"/>
    <x v="3"/>
    <x v="5"/>
    <s v="Website"/>
    <x v="9"/>
    <n v="1"/>
    <n v="5650000"/>
    <n v="1.5626972486212198E-2"/>
    <n v="5562000"/>
    <x v="9"/>
    <x v="1"/>
  </r>
  <r>
    <x v="1158"/>
    <x v="3"/>
    <x v="1"/>
    <s v="Website"/>
    <x v="8"/>
    <n v="3"/>
    <n v="3390000"/>
    <n v="0.14539645323059899"/>
    <n v="8691000"/>
    <x v="7"/>
    <x v="1"/>
  </r>
  <r>
    <x v="1158"/>
    <x v="1"/>
    <x v="5"/>
    <s v="Website"/>
    <x v="6"/>
    <n v="1"/>
    <n v="5485000"/>
    <n v="0.125"/>
    <n v="4799000"/>
    <x v="6"/>
    <x v="1"/>
  </r>
  <r>
    <x v="1158"/>
    <x v="2"/>
    <x v="5"/>
    <s v="Website"/>
    <x v="8"/>
    <n v="3"/>
    <n v="5668000"/>
    <n v="7.8717118325100005E-2"/>
    <n v="15665000"/>
    <x v="6"/>
    <x v="1"/>
  </r>
  <r>
    <x v="1159"/>
    <x v="1"/>
    <x v="3"/>
    <s v="Website"/>
    <x v="2"/>
    <n v="3"/>
    <n v="2469000"/>
    <n v="0.132868087606172"/>
    <n v="6423000"/>
    <x v="3"/>
    <x v="1"/>
  </r>
  <r>
    <x v="1159"/>
    <x v="1"/>
    <x v="5"/>
    <s v="Website"/>
    <x v="8"/>
    <n v="1"/>
    <n v="5619000"/>
    <n v="8.9999999999999993E-3"/>
    <n v="5568000"/>
    <x v="15"/>
    <x v="1"/>
  </r>
  <r>
    <x v="1160"/>
    <x v="2"/>
    <x v="2"/>
    <s v="Agent"/>
    <x v="1"/>
    <n v="2"/>
    <n v="2836000"/>
    <n v="2.5999999999999999E-2"/>
    <n v="5525000"/>
    <x v="18"/>
    <x v="1"/>
  </r>
  <r>
    <x v="1161"/>
    <x v="3"/>
    <x v="0"/>
    <s v="Call Center"/>
    <x v="1"/>
    <n v="1"/>
    <n v="2661000"/>
    <n v="0.110684559126609"/>
    <n v="2366000"/>
    <x v="14"/>
    <x v="0"/>
  </r>
  <r>
    <x v="1161"/>
    <x v="3"/>
    <x v="5"/>
    <s v="Website"/>
    <x v="9"/>
    <n v="3"/>
    <n v="6225000"/>
    <n v="6.7211653704246893E-2"/>
    <n v="17420000"/>
    <x v="1"/>
    <x v="0"/>
  </r>
  <r>
    <x v="1162"/>
    <x v="3"/>
    <x v="2"/>
    <s v="Website"/>
    <x v="7"/>
    <n v="1"/>
    <n v="3927000"/>
    <n v="8.3695178931756806E-2"/>
    <n v="3598000"/>
    <x v="2"/>
    <x v="0"/>
  </r>
  <r>
    <x v="1162"/>
    <x v="3"/>
    <x v="0"/>
    <s v="Website"/>
    <x v="6"/>
    <n v="4"/>
    <n v="2143000"/>
    <n v="5.5E-2"/>
    <n v="8101000"/>
    <x v="19"/>
    <x v="1"/>
  </r>
  <r>
    <x v="1162"/>
    <x v="2"/>
    <x v="0"/>
    <s v="Website"/>
    <x v="7"/>
    <n v="1"/>
    <n v="2454000"/>
    <n v="0.114830688094074"/>
    <n v="2172000"/>
    <x v="11"/>
    <x v="1"/>
  </r>
  <r>
    <x v="1162"/>
    <x v="1"/>
    <x v="1"/>
    <s v="Agent"/>
    <x v="9"/>
    <n v="2"/>
    <n v="3215000"/>
    <n v="8.3000000000000004E-2"/>
    <n v="5896000"/>
    <x v="4"/>
    <x v="1"/>
  </r>
  <r>
    <x v="1162"/>
    <x v="3"/>
    <x v="2"/>
    <s v="Website"/>
    <x v="7"/>
    <n v="3"/>
    <n v="3003000"/>
    <n v="4.3999999999999997E-2"/>
    <n v="8613000"/>
    <x v="14"/>
    <x v="1"/>
  </r>
  <r>
    <x v="1162"/>
    <x v="1"/>
    <x v="0"/>
    <s v="Mobile App"/>
    <x v="5"/>
    <n v="1"/>
    <n v="2894000"/>
    <n v="0.115866200726779"/>
    <n v="2559000"/>
    <x v="4"/>
    <x v="1"/>
  </r>
  <r>
    <x v="1163"/>
    <x v="1"/>
    <x v="3"/>
    <s v="Agent"/>
    <x v="1"/>
    <n v="2"/>
    <n v="2519000"/>
    <n v="0.11751894148436"/>
    <n v="4446000"/>
    <x v="8"/>
    <x v="0"/>
  </r>
  <r>
    <x v="1163"/>
    <x v="3"/>
    <x v="5"/>
    <s v="Website"/>
    <x v="3"/>
    <n v="1"/>
    <n v="3601000"/>
    <n v="7.6999999999999999E-2"/>
    <n v="3324000"/>
    <x v="13"/>
    <x v="1"/>
  </r>
  <r>
    <x v="1163"/>
    <x v="1"/>
    <x v="0"/>
    <s v="Mobile App"/>
    <x v="5"/>
    <n v="1"/>
    <n v="2777000"/>
    <n v="0.148611427690444"/>
    <n v="2364000"/>
    <x v="4"/>
    <x v="0"/>
  </r>
  <r>
    <x v="1164"/>
    <x v="1"/>
    <x v="2"/>
    <s v="Website"/>
    <x v="1"/>
    <n v="2"/>
    <n v="3263000"/>
    <n v="9.2158430014023199E-2"/>
    <n v="5925000"/>
    <x v="13"/>
    <x v="1"/>
  </r>
  <r>
    <x v="1164"/>
    <x v="3"/>
    <x v="0"/>
    <s v="Website"/>
    <x v="1"/>
    <n v="1"/>
    <n v="3475000"/>
    <n v="0.13400000000000001"/>
    <n v="3009000"/>
    <x v="9"/>
    <x v="0"/>
  </r>
  <r>
    <x v="1164"/>
    <x v="0"/>
    <x v="2"/>
    <s v="Website"/>
    <x v="1"/>
    <n v="1"/>
    <n v="4503000"/>
    <n v="7.6999999999999999E-2"/>
    <n v="4156000"/>
    <x v="1"/>
    <x v="1"/>
  </r>
  <r>
    <x v="1164"/>
    <x v="0"/>
    <x v="1"/>
    <s v="Mobile App"/>
    <x v="0"/>
    <n v="4"/>
    <n v="2966000"/>
    <n v="0.115"/>
    <n v="10500000"/>
    <x v="0"/>
    <x v="1"/>
  </r>
  <r>
    <x v="1164"/>
    <x v="2"/>
    <x v="3"/>
    <s v="Agent"/>
    <x v="5"/>
    <n v="2"/>
    <n v="3049000"/>
    <n v="8.3000000000000004E-2"/>
    <n v="5592000"/>
    <x v="1"/>
    <x v="1"/>
  </r>
  <r>
    <x v="1165"/>
    <x v="0"/>
    <x v="4"/>
    <s v="Website"/>
    <x v="0"/>
    <n v="2"/>
    <n v="2626000"/>
    <n v="0.10659123879013099"/>
    <n v="4692000"/>
    <x v="12"/>
    <x v="0"/>
  </r>
  <r>
    <x v="1165"/>
    <x v="0"/>
    <x v="1"/>
    <s v="Website"/>
    <x v="6"/>
    <n v="4"/>
    <n v="3506000"/>
    <n v="8.3895440649862693E-2"/>
    <n v="12847000"/>
    <x v="2"/>
    <x v="1"/>
  </r>
  <r>
    <x v="1166"/>
    <x v="2"/>
    <x v="3"/>
    <s v="Agent"/>
    <x v="9"/>
    <n v="3"/>
    <n v="1307000"/>
    <n v="2.5999999999999999E-2"/>
    <n v="3819000"/>
    <x v="1"/>
    <x v="1"/>
  </r>
  <r>
    <x v="1166"/>
    <x v="3"/>
    <x v="2"/>
    <s v="Mobile App"/>
    <x v="4"/>
    <n v="4"/>
    <n v="4211000"/>
    <n v="3.7685387009857303E-2"/>
    <n v="16209000"/>
    <x v="1"/>
    <x v="1"/>
  </r>
  <r>
    <x v="1166"/>
    <x v="0"/>
    <x v="5"/>
    <s v="Agent"/>
    <x v="0"/>
    <n v="1"/>
    <n v="5797000"/>
    <n v="7.7592394765638797E-2"/>
    <n v="5347000"/>
    <x v="4"/>
    <x v="1"/>
  </r>
  <r>
    <x v="1167"/>
    <x v="3"/>
    <x v="1"/>
    <s v="Mobile App"/>
    <x v="6"/>
    <n v="5"/>
    <n v="2932000"/>
    <n v="2.7E-2"/>
    <n v="14264000"/>
    <x v="15"/>
    <x v="1"/>
  </r>
  <r>
    <x v="1167"/>
    <x v="1"/>
    <x v="0"/>
    <s v="Mobile App"/>
    <x v="9"/>
    <n v="2"/>
    <n v="2058000"/>
    <n v="9.6000000000000002E-2"/>
    <n v="3721000"/>
    <x v="15"/>
    <x v="1"/>
  </r>
  <r>
    <x v="1167"/>
    <x v="0"/>
    <x v="3"/>
    <s v="Mobile App"/>
    <x v="9"/>
    <n v="2"/>
    <n v="2062000"/>
    <n v="4.8091009811345002E-2"/>
    <n v="3926000"/>
    <x v="13"/>
    <x v="1"/>
  </r>
  <r>
    <x v="1167"/>
    <x v="1"/>
    <x v="3"/>
    <s v="Mobile App"/>
    <x v="5"/>
    <n v="1"/>
    <n v="2332000"/>
    <n v="9.5046998554931497E-2"/>
    <n v="2110000"/>
    <x v="9"/>
    <x v="1"/>
  </r>
  <r>
    <x v="1167"/>
    <x v="0"/>
    <x v="4"/>
    <s v="Agent"/>
    <x v="5"/>
    <n v="1"/>
    <n v="2891000"/>
    <n v="0.12683357754570199"/>
    <n v="2524000"/>
    <x v="6"/>
    <x v="1"/>
  </r>
  <r>
    <x v="1168"/>
    <x v="3"/>
    <x v="0"/>
    <s v="Website"/>
    <x v="3"/>
    <n v="3"/>
    <n v="2594000"/>
    <n v="0.14799999999999999"/>
    <n v="6630000"/>
    <x v="15"/>
    <x v="1"/>
  </r>
  <r>
    <x v="1168"/>
    <x v="1"/>
    <x v="1"/>
    <s v="Mobile App"/>
    <x v="3"/>
    <n v="3"/>
    <n v="2992000"/>
    <n v="0.17299999999999999"/>
    <n v="7423000"/>
    <x v="3"/>
    <x v="1"/>
  </r>
  <r>
    <x v="1168"/>
    <x v="3"/>
    <x v="5"/>
    <s v="Website"/>
    <x v="6"/>
    <n v="2"/>
    <n v="5329000"/>
    <n v="4.72916199119707E-2"/>
    <n v="10154000"/>
    <x v="6"/>
    <x v="1"/>
  </r>
  <r>
    <x v="1168"/>
    <x v="1"/>
    <x v="2"/>
    <s v="Website"/>
    <x v="0"/>
    <n v="2"/>
    <n v="5198000"/>
    <n v="6.5000000000000002E-2"/>
    <n v="9720000"/>
    <x v="22"/>
    <x v="1"/>
  </r>
  <r>
    <x v="1169"/>
    <x v="1"/>
    <x v="2"/>
    <s v="Website"/>
    <x v="4"/>
    <n v="3"/>
    <n v="4507000"/>
    <n v="4.6369711992478101E-2"/>
    <n v="12894000"/>
    <x v="6"/>
    <x v="1"/>
  </r>
  <r>
    <x v="1169"/>
    <x v="3"/>
    <x v="5"/>
    <s v="Website"/>
    <x v="5"/>
    <n v="1"/>
    <n v="3724000"/>
    <n v="0.10299999999999999"/>
    <n v="3340000"/>
    <x v="5"/>
    <x v="1"/>
  </r>
  <r>
    <x v="1169"/>
    <x v="1"/>
    <x v="2"/>
    <s v="Call Center"/>
    <x v="2"/>
    <n v="1"/>
    <n v="4973000"/>
    <n v="6.9725990308035002E-2"/>
    <n v="4626000"/>
    <x v="12"/>
    <x v="1"/>
  </r>
  <r>
    <x v="1170"/>
    <x v="3"/>
    <x v="5"/>
    <s v="Mobile App"/>
    <x v="5"/>
    <n v="2"/>
    <n v="5678000"/>
    <n v="0.132637697575132"/>
    <n v="9850000"/>
    <x v="15"/>
    <x v="0"/>
  </r>
  <r>
    <x v="1170"/>
    <x v="0"/>
    <x v="2"/>
    <s v="Mobile App"/>
    <x v="2"/>
    <n v="3"/>
    <n v="4922000"/>
    <n v="2.8000000000000001E-2"/>
    <n v="14354000"/>
    <x v="16"/>
    <x v="0"/>
  </r>
  <r>
    <x v="1170"/>
    <x v="2"/>
    <x v="2"/>
    <s v="Website"/>
    <x v="3"/>
    <n v="1"/>
    <n v="3494000"/>
    <n v="0.111"/>
    <n v="3106000"/>
    <x v="4"/>
    <x v="1"/>
  </r>
  <r>
    <x v="1170"/>
    <x v="2"/>
    <x v="1"/>
    <s v="Agent"/>
    <x v="4"/>
    <n v="4"/>
    <n v="2842000"/>
    <n v="0.10978587278848501"/>
    <n v="10120000"/>
    <x v="1"/>
    <x v="0"/>
  </r>
  <r>
    <x v="1170"/>
    <x v="1"/>
    <x v="2"/>
    <s v="Website"/>
    <x v="7"/>
    <n v="3"/>
    <n v="3639000"/>
    <n v="8.6432241427258694E-2"/>
    <n v="9973000"/>
    <x v="3"/>
    <x v="1"/>
  </r>
  <r>
    <x v="1170"/>
    <x v="3"/>
    <x v="4"/>
    <s v="Website"/>
    <x v="0"/>
    <n v="2"/>
    <n v="2621000"/>
    <n v="7.80738911974969E-2"/>
    <n v="4833000"/>
    <x v="2"/>
    <x v="1"/>
  </r>
  <r>
    <x v="1171"/>
    <x v="2"/>
    <x v="1"/>
    <s v="Agent"/>
    <x v="7"/>
    <n v="3"/>
    <n v="4025000"/>
    <n v="5.0999999999999997E-2"/>
    <n v="11459000"/>
    <x v="6"/>
    <x v="1"/>
  </r>
  <r>
    <x v="1171"/>
    <x v="2"/>
    <x v="2"/>
    <s v="Website"/>
    <x v="6"/>
    <n v="3"/>
    <n v="4648000"/>
    <n v="1.4999999999999999E-2"/>
    <n v="13735000"/>
    <x v="2"/>
    <x v="1"/>
  </r>
  <r>
    <x v="1171"/>
    <x v="2"/>
    <x v="2"/>
    <s v="Website"/>
    <x v="4"/>
    <n v="2"/>
    <n v="4177000"/>
    <n v="4.5963871136686298E-2"/>
    <n v="7970000"/>
    <x v="1"/>
    <x v="0"/>
  </r>
  <r>
    <x v="1171"/>
    <x v="0"/>
    <x v="3"/>
    <s v="Agent"/>
    <x v="3"/>
    <n v="2"/>
    <n v="2677000"/>
    <n v="0.10299999999999999"/>
    <n v="4803000"/>
    <x v="6"/>
    <x v="1"/>
  </r>
  <r>
    <x v="1171"/>
    <x v="1"/>
    <x v="0"/>
    <s v="Mobile App"/>
    <x v="1"/>
    <n v="2"/>
    <n v="2941000"/>
    <n v="6.8312212377796999E-2"/>
    <n v="5480000"/>
    <x v="7"/>
    <x v="1"/>
  </r>
  <r>
    <x v="1172"/>
    <x v="0"/>
    <x v="1"/>
    <s v="Website"/>
    <x v="1"/>
    <n v="4"/>
    <n v="3268000"/>
    <n v="3.8320725867937597E-2"/>
    <n v="12571000"/>
    <x v="13"/>
    <x v="0"/>
  </r>
  <r>
    <x v="1172"/>
    <x v="1"/>
    <x v="1"/>
    <s v="Agent"/>
    <x v="4"/>
    <n v="2"/>
    <n v="2803000"/>
    <n v="0.12983652313145799"/>
    <n v="4878000"/>
    <x v="13"/>
    <x v="0"/>
  </r>
  <r>
    <x v="1172"/>
    <x v="1"/>
    <x v="2"/>
    <s v="Agent"/>
    <x v="8"/>
    <n v="1"/>
    <n v="3908000"/>
    <n v="8.0962258746050897E-2"/>
    <n v="3592000"/>
    <x v="13"/>
    <x v="1"/>
  </r>
  <r>
    <x v="1172"/>
    <x v="1"/>
    <x v="3"/>
    <s v="Agent"/>
    <x v="2"/>
    <n v="2"/>
    <n v="2511000"/>
    <n v="0.12291612068289"/>
    <n v="4405000"/>
    <x v="15"/>
    <x v="0"/>
  </r>
  <r>
    <x v="1172"/>
    <x v="2"/>
    <x v="0"/>
    <s v="Agent"/>
    <x v="3"/>
    <n v="1"/>
    <n v="2824000"/>
    <n v="0.13200568287515399"/>
    <n v="2451000"/>
    <x v="13"/>
    <x v="1"/>
  </r>
  <r>
    <x v="1172"/>
    <x v="0"/>
    <x v="5"/>
    <s v="Website"/>
    <x v="9"/>
    <n v="3"/>
    <n v="6769000"/>
    <n v="0.128726842405081"/>
    <n v="17693000"/>
    <x v="1"/>
    <x v="1"/>
  </r>
  <r>
    <x v="1172"/>
    <x v="0"/>
    <x v="3"/>
    <s v="Website"/>
    <x v="9"/>
    <n v="2"/>
    <n v="2669000"/>
    <n v="7.0601580041895803E-2"/>
    <n v="4961000"/>
    <x v="4"/>
    <x v="0"/>
  </r>
  <r>
    <x v="1173"/>
    <x v="2"/>
    <x v="3"/>
    <s v="Agent"/>
    <x v="8"/>
    <n v="3"/>
    <n v="2874000"/>
    <n v="3.8086095675399098E-2"/>
    <n v="8294000"/>
    <x v="8"/>
    <x v="1"/>
  </r>
  <r>
    <x v="1173"/>
    <x v="0"/>
    <x v="1"/>
    <s v="Mobile App"/>
    <x v="4"/>
    <n v="1"/>
    <n v="2721000"/>
    <n v="4.7835135508391698E-2"/>
    <n v="2591000"/>
    <x v="12"/>
    <x v="0"/>
  </r>
  <r>
    <x v="1173"/>
    <x v="2"/>
    <x v="2"/>
    <s v="Mobile App"/>
    <x v="6"/>
    <n v="1"/>
    <n v="3940000"/>
    <n v="0.17571947672717"/>
    <n v="3248000"/>
    <x v="0"/>
    <x v="0"/>
  </r>
  <r>
    <x v="1173"/>
    <x v="2"/>
    <x v="2"/>
    <s v="Website"/>
    <x v="3"/>
    <n v="2"/>
    <n v="2788000"/>
    <n v="2.8000000000000001E-2"/>
    <n v="5420000"/>
    <x v="15"/>
    <x v="1"/>
  </r>
  <r>
    <x v="1173"/>
    <x v="3"/>
    <x v="1"/>
    <s v="Website"/>
    <x v="4"/>
    <n v="1"/>
    <n v="2857000"/>
    <n v="0.20224157121740799"/>
    <n v="2279000"/>
    <x v="0"/>
    <x v="0"/>
  </r>
  <r>
    <x v="1174"/>
    <x v="0"/>
    <x v="5"/>
    <s v="Agent"/>
    <x v="9"/>
    <n v="1"/>
    <n v="5654000"/>
    <n v="5.3999999999999999E-2"/>
    <n v="5349000"/>
    <x v="8"/>
    <x v="1"/>
  </r>
  <r>
    <x v="1174"/>
    <x v="1"/>
    <x v="2"/>
    <s v="Mobile App"/>
    <x v="0"/>
    <n v="4"/>
    <n v="4416000"/>
    <n v="7.6999999999999999E-2"/>
    <n v="16304000"/>
    <x v="7"/>
    <x v="1"/>
  </r>
  <r>
    <x v="1174"/>
    <x v="1"/>
    <x v="1"/>
    <s v="Mobile App"/>
    <x v="0"/>
    <n v="2"/>
    <n v="2994000"/>
    <n v="9.1999999999999998E-2"/>
    <n v="5437000"/>
    <x v="12"/>
    <x v="1"/>
  </r>
  <r>
    <x v="1174"/>
    <x v="1"/>
    <x v="5"/>
    <s v="Mobile App"/>
    <x v="0"/>
    <n v="1"/>
    <n v="5852000"/>
    <n v="8.5225831882945594E-2"/>
    <n v="5353000"/>
    <x v="15"/>
    <x v="1"/>
  </r>
  <r>
    <x v="1175"/>
    <x v="1"/>
    <x v="2"/>
    <s v="Agent"/>
    <x v="2"/>
    <n v="1"/>
    <n v="4219000"/>
    <n v="7.97578895890588E-2"/>
    <n v="3883000"/>
    <x v="3"/>
    <x v="0"/>
  </r>
  <r>
    <x v="1175"/>
    <x v="1"/>
    <x v="1"/>
    <s v="Website"/>
    <x v="3"/>
    <n v="2"/>
    <n v="3257000"/>
    <n v="0.121993803058854"/>
    <n v="5719000"/>
    <x v="7"/>
    <x v="1"/>
  </r>
  <r>
    <x v="1175"/>
    <x v="1"/>
    <x v="3"/>
    <s v="Mobile App"/>
    <x v="9"/>
    <n v="2"/>
    <n v="2860000"/>
    <n v="0.1228990308498"/>
    <n v="5017000"/>
    <x v="1"/>
    <x v="1"/>
  </r>
  <r>
    <x v="1175"/>
    <x v="3"/>
    <x v="1"/>
    <s v="Agent"/>
    <x v="0"/>
    <n v="3"/>
    <n v="3548000"/>
    <n v="8.4626659609206206E-2"/>
    <n v="9743000"/>
    <x v="14"/>
    <x v="1"/>
  </r>
  <r>
    <x v="1176"/>
    <x v="3"/>
    <x v="0"/>
    <s v="Website"/>
    <x v="5"/>
    <n v="2"/>
    <n v="2586000"/>
    <n v="0.14899999999999999"/>
    <n v="4403000"/>
    <x v="12"/>
    <x v="1"/>
  </r>
  <r>
    <x v="1176"/>
    <x v="3"/>
    <x v="5"/>
    <s v="Mobile App"/>
    <x v="4"/>
    <n v="1"/>
    <n v="5132000"/>
    <n v="0.100832319042805"/>
    <n v="4615000"/>
    <x v="4"/>
    <x v="0"/>
  </r>
  <r>
    <x v="1176"/>
    <x v="3"/>
    <x v="2"/>
    <s v="Website"/>
    <x v="9"/>
    <n v="1"/>
    <n v="3085000"/>
    <n v="0.106"/>
    <n v="2758000"/>
    <x v="6"/>
    <x v="1"/>
  </r>
  <r>
    <x v="1176"/>
    <x v="3"/>
    <x v="2"/>
    <s v="Website"/>
    <x v="9"/>
    <n v="1"/>
    <n v="4369000"/>
    <n v="5.8000000000000003E-2"/>
    <n v="4116000"/>
    <x v="11"/>
    <x v="1"/>
  </r>
  <r>
    <x v="1176"/>
    <x v="0"/>
    <x v="2"/>
    <s v="Agent"/>
    <x v="2"/>
    <n v="2"/>
    <n v="4842000"/>
    <n v="0.13016969994376701"/>
    <n v="8423000"/>
    <x v="15"/>
    <x v="1"/>
  </r>
  <r>
    <x v="1176"/>
    <x v="3"/>
    <x v="0"/>
    <s v="Agent"/>
    <x v="6"/>
    <n v="2"/>
    <n v="2142000"/>
    <n v="8.8999999999999996E-2"/>
    <n v="3903000"/>
    <x v="11"/>
    <x v="1"/>
  </r>
  <r>
    <x v="1176"/>
    <x v="1"/>
    <x v="0"/>
    <s v="Mobile App"/>
    <x v="9"/>
    <n v="1"/>
    <n v="1813000"/>
    <n v="1.7999999999999999E-2"/>
    <n v="1780000"/>
    <x v="2"/>
    <x v="1"/>
  </r>
  <r>
    <x v="1176"/>
    <x v="0"/>
    <x v="2"/>
    <s v="Agent"/>
    <x v="5"/>
    <n v="2"/>
    <n v="4307000"/>
    <n v="3.0721621289883799E-2"/>
    <n v="8349000"/>
    <x v="13"/>
    <x v="0"/>
  </r>
  <r>
    <x v="1177"/>
    <x v="0"/>
    <x v="0"/>
    <s v="Agent"/>
    <x v="7"/>
    <n v="1"/>
    <n v="2649000"/>
    <n v="6.5000000000000002E-2"/>
    <n v="2477000"/>
    <x v="14"/>
    <x v="1"/>
  </r>
  <r>
    <x v="1177"/>
    <x v="1"/>
    <x v="1"/>
    <s v="Website"/>
    <x v="9"/>
    <n v="3"/>
    <n v="3162000"/>
    <n v="0.104"/>
    <n v="8499000"/>
    <x v="1"/>
    <x v="1"/>
  </r>
  <r>
    <x v="1177"/>
    <x v="0"/>
    <x v="5"/>
    <s v="Mobile App"/>
    <x v="1"/>
    <n v="3"/>
    <n v="5004000"/>
    <n v="0.131455806844994"/>
    <n v="13039000"/>
    <x v="5"/>
    <x v="1"/>
  </r>
  <r>
    <x v="1177"/>
    <x v="3"/>
    <x v="0"/>
    <s v="Website"/>
    <x v="5"/>
    <n v="1"/>
    <n v="2854000"/>
    <n v="0.10051483070592"/>
    <n v="2567000"/>
    <x v="1"/>
    <x v="1"/>
  </r>
  <r>
    <x v="1178"/>
    <x v="0"/>
    <x v="5"/>
    <s v="Agent"/>
    <x v="0"/>
    <n v="3"/>
    <n v="6100000"/>
    <n v="0.14699999999999999"/>
    <n v="15609000"/>
    <x v="13"/>
    <x v="0"/>
  </r>
  <r>
    <x v="1178"/>
    <x v="1"/>
    <x v="3"/>
    <s v="Website"/>
    <x v="2"/>
    <n v="2"/>
    <n v="2562000"/>
    <n v="7.1999999999999995E-2"/>
    <n v="4755000"/>
    <x v="4"/>
    <x v="1"/>
  </r>
  <r>
    <x v="1178"/>
    <x v="2"/>
    <x v="3"/>
    <s v="Mobile App"/>
    <x v="5"/>
    <n v="1"/>
    <n v="2489000"/>
    <n v="0.118154672705478"/>
    <n v="2195000"/>
    <x v="12"/>
    <x v="1"/>
  </r>
  <r>
    <x v="1178"/>
    <x v="1"/>
    <x v="3"/>
    <s v="Website"/>
    <x v="6"/>
    <n v="1"/>
    <n v="2078000"/>
    <n v="2.3E-2"/>
    <n v="2030000"/>
    <x v="0"/>
    <x v="1"/>
  </r>
  <r>
    <x v="1179"/>
    <x v="2"/>
    <x v="1"/>
    <s v="Website"/>
    <x v="8"/>
    <n v="2"/>
    <n v="3449000"/>
    <n v="8.5299897404414099E-2"/>
    <n v="6310000"/>
    <x v="1"/>
    <x v="1"/>
  </r>
  <r>
    <x v="1179"/>
    <x v="1"/>
    <x v="3"/>
    <s v="Website"/>
    <x v="5"/>
    <n v="1"/>
    <n v="2427000"/>
    <n v="0.113556464558981"/>
    <n v="2151000"/>
    <x v="3"/>
    <x v="1"/>
  </r>
  <r>
    <x v="1179"/>
    <x v="1"/>
    <x v="5"/>
    <s v="Agent"/>
    <x v="8"/>
    <n v="1"/>
    <n v="5443000"/>
    <n v="0.174597234632585"/>
    <n v="4493000"/>
    <x v="14"/>
    <x v="1"/>
  </r>
  <r>
    <x v="1179"/>
    <x v="3"/>
    <x v="2"/>
    <s v="Website"/>
    <x v="2"/>
    <n v="5"/>
    <n v="4730000"/>
    <n v="0.13350167176556901"/>
    <n v="20493000"/>
    <x v="15"/>
    <x v="0"/>
  </r>
  <r>
    <x v="1179"/>
    <x v="2"/>
    <x v="5"/>
    <s v="Website"/>
    <x v="5"/>
    <n v="4"/>
    <n v="5248000"/>
    <n v="0.114479959774215"/>
    <n v="18589000"/>
    <x v="8"/>
    <x v="0"/>
  </r>
  <r>
    <x v="1179"/>
    <x v="1"/>
    <x v="0"/>
    <s v="Mobile App"/>
    <x v="0"/>
    <n v="2"/>
    <n v="2568000"/>
    <n v="1.0999999999999999E-2"/>
    <n v="5080000"/>
    <x v="9"/>
    <x v="1"/>
  </r>
  <r>
    <x v="1179"/>
    <x v="2"/>
    <x v="0"/>
    <s v="Website"/>
    <x v="9"/>
    <n v="2"/>
    <n v="2952000"/>
    <n v="0"/>
    <n v="5904000"/>
    <x v="9"/>
    <x v="1"/>
  </r>
  <r>
    <x v="1179"/>
    <x v="1"/>
    <x v="0"/>
    <s v="Mobile App"/>
    <x v="4"/>
    <n v="4"/>
    <n v="3345000"/>
    <n v="4.3999999999999997E-2"/>
    <n v="12791000"/>
    <x v="12"/>
    <x v="1"/>
  </r>
  <r>
    <x v="1180"/>
    <x v="1"/>
    <x v="3"/>
    <s v="Website"/>
    <x v="4"/>
    <n v="3"/>
    <n v="1457000"/>
    <n v="0.11793171044324199"/>
    <n v="3856000"/>
    <x v="15"/>
    <x v="0"/>
  </r>
  <r>
    <x v="1180"/>
    <x v="1"/>
    <x v="4"/>
    <s v="Website"/>
    <x v="2"/>
    <n v="3"/>
    <n v="3131000"/>
    <n v="6.2E-2"/>
    <n v="8811000"/>
    <x v="4"/>
    <x v="1"/>
  </r>
  <r>
    <x v="1180"/>
    <x v="3"/>
    <x v="1"/>
    <s v="Website"/>
    <x v="3"/>
    <n v="1"/>
    <n v="3363000"/>
    <n v="6.0504696559254501E-2"/>
    <n v="3160000"/>
    <x v="12"/>
    <x v="1"/>
  </r>
  <r>
    <x v="1180"/>
    <x v="1"/>
    <x v="0"/>
    <s v="Agent"/>
    <x v="0"/>
    <n v="2"/>
    <n v="2840000"/>
    <n v="0.109880926127448"/>
    <n v="5056000"/>
    <x v="5"/>
    <x v="1"/>
  </r>
  <r>
    <x v="1180"/>
    <x v="3"/>
    <x v="2"/>
    <s v="Agent"/>
    <x v="4"/>
    <n v="2"/>
    <n v="4262000"/>
    <n v="0"/>
    <n v="8524000"/>
    <x v="17"/>
    <x v="1"/>
  </r>
  <r>
    <x v="1180"/>
    <x v="3"/>
    <x v="5"/>
    <s v="Website"/>
    <x v="5"/>
    <n v="3"/>
    <n v="5343000"/>
    <n v="0.129798175566017"/>
    <n v="13948000"/>
    <x v="3"/>
    <x v="0"/>
  </r>
  <r>
    <x v="1180"/>
    <x v="1"/>
    <x v="3"/>
    <s v="Mobile App"/>
    <x v="8"/>
    <n v="1"/>
    <n v="2650000"/>
    <n v="2E-3"/>
    <n v="2645000"/>
    <x v="15"/>
    <x v="1"/>
  </r>
  <r>
    <x v="1180"/>
    <x v="0"/>
    <x v="3"/>
    <s v="Mobile App"/>
    <x v="8"/>
    <n v="3"/>
    <n v="2856000"/>
    <n v="0.107962121397131"/>
    <n v="7643000"/>
    <x v="5"/>
    <x v="0"/>
  </r>
  <r>
    <x v="1181"/>
    <x v="2"/>
    <x v="5"/>
    <s v="Mobile App"/>
    <x v="9"/>
    <n v="3"/>
    <n v="6331000"/>
    <n v="0.108550302484515"/>
    <n v="16931000"/>
    <x v="4"/>
    <x v="1"/>
  </r>
  <r>
    <x v="1182"/>
    <x v="2"/>
    <x v="1"/>
    <s v="Mobile App"/>
    <x v="7"/>
    <n v="4"/>
    <n v="2189000"/>
    <n v="6.0999999999999999E-2"/>
    <n v="8222000"/>
    <x v="15"/>
    <x v="1"/>
  </r>
  <r>
    <x v="1182"/>
    <x v="0"/>
    <x v="0"/>
    <s v="Website"/>
    <x v="2"/>
    <n v="2"/>
    <n v="1797000"/>
    <n v="6.8000000000000005E-2"/>
    <n v="3350000"/>
    <x v="12"/>
    <x v="1"/>
  </r>
  <r>
    <x v="1182"/>
    <x v="2"/>
    <x v="2"/>
    <s v="Website"/>
    <x v="3"/>
    <n v="2"/>
    <n v="4741000"/>
    <n v="9.1999999999999998E-2"/>
    <n v="8610000"/>
    <x v="14"/>
    <x v="1"/>
  </r>
  <r>
    <x v="1182"/>
    <x v="1"/>
    <x v="0"/>
    <s v="Website"/>
    <x v="4"/>
    <n v="2"/>
    <n v="2905000"/>
    <n v="2.48410109423307E-2"/>
    <n v="5666000"/>
    <x v="14"/>
    <x v="0"/>
  </r>
  <r>
    <x v="1183"/>
    <x v="2"/>
    <x v="1"/>
    <s v="Agent"/>
    <x v="7"/>
    <n v="4"/>
    <n v="3515000"/>
    <n v="0.12"/>
    <n v="12373000"/>
    <x v="15"/>
    <x v="0"/>
  </r>
  <r>
    <x v="1183"/>
    <x v="0"/>
    <x v="1"/>
    <s v="Website"/>
    <x v="5"/>
    <n v="4"/>
    <n v="2333000"/>
    <n v="0.153"/>
    <n v="7904000"/>
    <x v="17"/>
    <x v="1"/>
  </r>
  <r>
    <x v="1183"/>
    <x v="1"/>
    <x v="2"/>
    <s v="Mobile App"/>
    <x v="4"/>
    <n v="1"/>
    <n v="4364000"/>
    <n v="8.6138902465350303E-2"/>
    <n v="3988000"/>
    <x v="9"/>
    <x v="1"/>
  </r>
  <r>
    <x v="1183"/>
    <x v="3"/>
    <x v="1"/>
    <s v="Mobile App"/>
    <x v="1"/>
    <n v="2"/>
    <n v="3142000"/>
    <n v="0.115"/>
    <n v="5561000"/>
    <x v="6"/>
    <x v="1"/>
  </r>
  <r>
    <x v="1184"/>
    <x v="2"/>
    <x v="1"/>
    <s v="Mobile App"/>
    <x v="5"/>
    <n v="2"/>
    <n v="4120000"/>
    <n v="9.5598204425428698E-2"/>
    <n v="7452000"/>
    <x v="1"/>
    <x v="0"/>
  </r>
  <r>
    <x v="1184"/>
    <x v="1"/>
    <x v="0"/>
    <s v="Mobile App"/>
    <x v="4"/>
    <n v="2"/>
    <n v="3033000"/>
    <n v="0.11903055976112401"/>
    <n v="5344000"/>
    <x v="6"/>
    <x v="0"/>
  </r>
  <r>
    <x v="1184"/>
    <x v="0"/>
    <x v="5"/>
    <s v="Agent"/>
    <x v="2"/>
    <n v="1"/>
    <n v="4954000"/>
    <n v="8.2554264170229402E-2"/>
    <n v="4545000"/>
    <x v="11"/>
    <x v="1"/>
  </r>
  <r>
    <x v="1184"/>
    <x v="1"/>
    <x v="5"/>
    <s v="Website"/>
    <x v="3"/>
    <n v="1"/>
    <n v="4872000"/>
    <n v="0.113824459895015"/>
    <n v="4317000"/>
    <x v="14"/>
    <x v="0"/>
  </r>
  <r>
    <x v="1184"/>
    <x v="1"/>
    <x v="5"/>
    <s v="Call Center"/>
    <x v="7"/>
    <n v="1"/>
    <n v="5944000"/>
    <n v="6.2E-2"/>
    <n v="5575000"/>
    <x v="7"/>
    <x v="1"/>
  </r>
  <r>
    <x v="1185"/>
    <x v="1"/>
    <x v="1"/>
    <s v="Website"/>
    <x v="7"/>
    <n v="3"/>
    <n v="3120000"/>
    <n v="7.7397863531449104E-2"/>
    <n v="8636000"/>
    <x v="10"/>
    <x v="1"/>
  </r>
  <r>
    <x v="1185"/>
    <x v="0"/>
    <x v="1"/>
    <s v="Website"/>
    <x v="0"/>
    <n v="3"/>
    <n v="3488000"/>
    <n v="2.1266085353425002E-2"/>
    <n v="10241000"/>
    <x v="2"/>
    <x v="1"/>
  </r>
  <r>
    <x v="1185"/>
    <x v="2"/>
    <x v="1"/>
    <s v="Agent"/>
    <x v="0"/>
    <n v="5"/>
    <n v="3580000"/>
    <n v="0.13239882231289199"/>
    <n v="15530000"/>
    <x v="13"/>
    <x v="1"/>
  </r>
  <r>
    <x v="1186"/>
    <x v="3"/>
    <x v="4"/>
    <s v="Agent"/>
    <x v="3"/>
    <n v="2"/>
    <n v="2569000"/>
    <n v="1.7000000000000001E-2"/>
    <n v="5051000"/>
    <x v="6"/>
    <x v="1"/>
  </r>
  <r>
    <x v="1186"/>
    <x v="1"/>
    <x v="1"/>
    <s v="Mobile App"/>
    <x v="3"/>
    <n v="3"/>
    <n v="2592000"/>
    <n v="4.9000000000000002E-2"/>
    <n v="7395000"/>
    <x v="6"/>
    <x v="1"/>
  </r>
  <r>
    <x v="1187"/>
    <x v="1"/>
    <x v="5"/>
    <s v="Website"/>
    <x v="8"/>
    <n v="1"/>
    <n v="5488000"/>
    <n v="2.7E-2"/>
    <n v="5340000"/>
    <x v="18"/>
    <x v="0"/>
  </r>
  <r>
    <x v="1187"/>
    <x v="1"/>
    <x v="4"/>
    <s v="Website"/>
    <x v="5"/>
    <n v="1"/>
    <n v="3562000"/>
    <n v="5.8000000000000003E-2"/>
    <n v="3355000"/>
    <x v="15"/>
    <x v="1"/>
  </r>
  <r>
    <x v="1187"/>
    <x v="1"/>
    <x v="1"/>
    <s v="Website"/>
    <x v="2"/>
    <n v="3"/>
    <n v="3422000"/>
    <n v="7.0000000000000001E-3"/>
    <n v="10194000"/>
    <x v="14"/>
    <x v="1"/>
  </r>
  <r>
    <x v="1188"/>
    <x v="3"/>
    <x v="2"/>
    <s v="Website"/>
    <x v="6"/>
    <n v="1"/>
    <n v="4058000"/>
    <n v="0.04"/>
    <n v="3896000"/>
    <x v="10"/>
    <x v="1"/>
  </r>
  <r>
    <x v="1188"/>
    <x v="0"/>
    <x v="5"/>
    <s v="Agent"/>
    <x v="4"/>
    <n v="1"/>
    <n v="5463000"/>
    <n v="0.10299999999999999"/>
    <n v="4900000"/>
    <x v="6"/>
    <x v="0"/>
  </r>
  <r>
    <x v="1188"/>
    <x v="3"/>
    <x v="5"/>
    <s v="Website"/>
    <x v="8"/>
    <n v="4"/>
    <n v="5214000"/>
    <n v="3.4120147157193102E-2"/>
    <n v="20144000"/>
    <x v="15"/>
    <x v="0"/>
  </r>
  <r>
    <x v="1188"/>
    <x v="1"/>
    <x v="4"/>
    <s v="Agent"/>
    <x v="5"/>
    <n v="1"/>
    <n v="2353000"/>
    <n v="6.2E-2"/>
    <n v="2207000"/>
    <x v="16"/>
    <x v="1"/>
  </r>
  <r>
    <x v="1189"/>
    <x v="0"/>
    <x v="1"/>
    <s v="Agent"/>
    <x v="5"/>
    <n v="5"/>
    <n v="4109000"/>
    <n v="0.188"/>
    <n v="16683000"/>
    <x v="2"/>
    <x v="1"/>
  </r>
  <r>
    <x v="1189"/>
    <x v="1"/>
    <x v="0"/>
    <s v="Website"/>
    <x v="7"/>
    <n v="2"/>
    <n v="2346000"/>
    <n v="0.121127010008256"/>
    <n v="4124000"/>
    <x v="14"/>
    <x v="1"/>
  </r>
  <r>
    <x v="1189"/>
    <x v="0"/>
    <x v="0"/>
    <s v="Agent"/>
    <x v="2"/>
    <n v="4"/>
    <n v="3264000"/>
    <n v="0.10090074985883001"/>
    <n v="11739000"/>
    <x v="9"/>
    <x v="1"/>
  </r>
  <r>
    <x v="1189"/>
    <x v="3"/>
    <x v="4"/>
    <s v="Agent"/>
    <x v="5"/>
    <n v="2"/>
    <n v="3029000"/>
    <n v="4.9168419863503697E-2"/>
    <n v="5760000"/>
    <x v="2"/>
    <x v="0"/>
  </r>
  <r>
    <x v="1189"/>
    <x v="3"/>
    <x v="5"/>
    <s v="Mobile App"/>
    <x v="0"/>
    <n v="4"/>
    <n v="5804000"/>
    <n v="0.17193867526420401"/>
    <n v="19224000"/>
    <x v="10"/>
    <x v="1"/>
  </r>
  <r>
    <x v="1189"/>
    <x v="2"/>
    <x v="1"/>
    <s v="Website"/>
    <x v="8"/>
    <n v="4"/>
    <n v="3900000"/>
    <n v="0.05"/>
    <n v="14820000"/>
    <x v="13"/>
    <x v="1"/>
  </r>
  <r>
    <x v="1190"/>
    <x v="1"/>
    <x v="2"/>
    <s v="Website"/>
    <x v="2"/>
    <n v="3"/>
    <n v="4788000"/>
    <n v="3.4000000000000002E-2"/>
    <n v="13876000"/>
    <x v="1"/>
    <x v="1"/>
  </r>
  <r>
    <x v="1190"/>
    <x v="3"/>
    <x v="0"/>
    <s v="Agent"/>
    <x v="0"/>
    <n v="1"/>
    <n v="3093000"/>
    <n v="0.15559713499280101"/>
    <n v="2612000"/>
    <x v="1"/>
    <x v="1"/>
  </r>
  <r>
    <x v="1190"/>
    <x v="3"/>
    <x v="5"/>
    <s v="Mobile App"/>
    <x v="7"/>
    <n v="4"/>
    <n v="5135000"/>
    <n v="7.0729723933393801E-2"/>
    <n v="19087000"/>
    <x v="12"/>
    <x v="1"/>
  </r>
  <r>
    <x v="1190"/>
    <x v="0"/>
    <x v="0"/>
    <s v="Agent"/>
    <x v="6"/>
    <n v="1"/>
    <n v="2550000"/>
    <n v="6.7202655668508998E-2"/>
    <n v="2379000"/>
    <x v="4"/>
    <x v="0"/>
  </r>
  <r>
    <x v="1190"/>
    <x v="1"/>
    <x v="2"/>
    <s v="Mobile App"/>
    <x v="6"/>
    <n v="5"/>
    <n v="4324000"/>
    <n v="6.3430685462072298E-2"/>
    <n v="20249000"/>
    <x v="18"/>
    <x v="1"/>
  </r>
  <r>
    <x v="1191"/>
    <x v="1"/>
    <x v="2"/>
    <s v="Website"/>
    <x v="7"/>
    <n v="3"/>
    <n v="3503000"/>
    <n v="0.102351225581312"/>
    <n v="9433000"/>
    <x v="14"/>
    <x v="1"/>
  </r>
  <r>
    <x v="1191"/>
    <x v="1"/>
    <x v="3"/>
    <s v="Agent"/>
    <x v="0"/>
    <n v="1"/>
    <n v="1425000"/>
    <n v="0.75"/>
    <n v="1315000"/>
    <x v="4"/>
    <x v="1"/>
  </r>
  <r>
    <x v="1191"/>
    <x v="2"/>
    <x v="4"/>
    <s v="Mobile App"/>
    <x v="1"/>
    <n v="3"/>
    <n v="2664000"/>
    <n v="0.11143556120961"/>
    <n v="7101000"/>
    <x v="1"/>
    <x v="0"/>
  </r>
  <r>
    <x v="1192"/>
    <x v="1"/>
    <x v="2"/>
    <s v="Website"/>
    <x v="9"/>
    <n v="1"/>
    <n v="3245000"/>
    <n v="0.09"/>
    <n v="2953000"/>
    <x v="6"/>
    <x v="1"/>
  </r>
  <r>
    <x v="1193"/>
    <x v="1"/>
    <x v="1"/>
    <s v="Website"/>
    <x v="4"/>
    <n v="3"/>
    <n v="2476000"/>
    <n v="0.106"/>
    <n v="6641000"/>
    <x v="4"/>
    <x v="1"/>
  </r>
  <r>
    <x v="1193"/>
    <x v="1"/>
    <x v="2"/>
    <s v="Mobile App"/>
    <x v="3"/>
    <n v="1"/>
    <n v="3925000"/>
    <n v="6.9973515531587704E-2"/>
    <n v="3650000"/>
    <x v="4"/>
    <x v="1"/>
  </r>
  <r>
    <x v="1193"/>
    <x v="3"/>
    <x v="1"/>
    <s v="Mobile App"/>
    <x v="1"/>
    <n v="3"/>
    <n v="3071000"/>
    <n v="0.13665109897884101"/>
    <n v="7954000"/>
    <x v="2"/>
    <x v="0"/>
  </r>
  <r>
    <x v="1193"/>
    <x v="1"/>
    <x v="1"/>
    <s v="Mobile App"/>
    <x v="8"/>
    <n v="2"/>
    <n v="3202000"/>
    <n v="4.8027302807166897E-2"/>
    <n v="6096000"/>
    <x v="8"/>
    <x v="1"/>
  </r>
  <r>
    <x v="1193"/>
    <x v="0"/>
    <x v="1"/>
    <s v="Mobile App"/>
    <x v="6"/>
    <n v="3"/>
    <n v="2625000"/>
    <n v="9.6000000000000002E-2"/>
    <n v="7119000"/>
    <x v="4"/>
    <x v="1"/>
  </r>
  <r>
    <x v="1193"/>
    <x v="3"/>
    <x v="3"/>
    <s v="Mobile App"/>
    <x v="1"/>
    <n v="3"/>
    <n v="2280000"/>
    <n v="0.13500000000000001"/>
    <n v="5915000"/>
    <x v="5"/>
    <x v="1"/>
  </r>
  <r>
    <x v="1194"/>
    <x v="3"/>
    <x v="0"/>
    <s v="Mobile App"/>
    <x v="5"/>
    <n v="1"/>
    <n v="2502000"/>
    <n v="8.9232347212318194E-2"/>
    <n v="2279000"/>
    <x v="2"/>
    <x v="1"/>
  </r>
  <r>
    <x v="1194"/>
    <x v="0"/>
    <x v="4"/>
    <s v="Website"/>
    <x v="4"/>
    <n v="2"/>
    <n v="1966000"/>
    <n v="0.104"/>
    <n v="3523000"/>
    <x v="13"/>
    <x v="1"/>
  </r>
  <r>
    <x v="1194"/>
    <x v="1"/>
    <x v="2"/>
    <s v="Website"/>
    <x v="9"/>
    <n v="4"/>
    <n v="5619000"/>
    <n v="0.126"/>
    <n v="19644000"/>
    <x v="10"/>
    <x v="1"/>
  </r>
  <r>
    <x v="1195"/>
    <x v="2"/>
    <x v="2"/>
    <s v="Mobile App"/>
    <x v="4"/>
    <n v="1"/>
    <n v="4783000"/>
    <n v="7.5999999999999998E-2"/>
    <n v="4419000"/>
    <x v="8"/>
    <x v="1"/>
  </r>
  <r>
    <x v="1195"/>
    <x v="0"/>
    <x v="0"/>
    <s v="Website"/>
    <x v="8"/>
    <n v="2"/>
    <n v="4006000"/>
    <n v="4.7E-2"/>
    <n v="7635000"/>
    <x v="12"/>
    <x v="1"/>
  </r>
  <r>
    <x v="1195"/>
    <x v="0"/>
    <x v="2"/>
    <s v="Mobile App"/>
    <x v="0"/>
    <n v="1"/>
    <n v="4464000"/>
    <n v="7.6792379433702998E-2"/>
    <n v="4121000"/>
    <x v="15"/>
    <x v="1"/>
  </r>
  <r>
    <x v="1195"/>
    <x v="3"/>
    <x v="1"/>
    <s v="Agent"/>
    <x v="5"/>
    <n v="3"/>
    <n v="3408000"/>
    <n v="0.16409756911629"/>
    <n v="8546000"/>
    <x v="6"/>
    <x v="1"/>
  </r>
  <r>
    <x v="1196"/>
    <x v="2"/>
    <x v="1"/>
    <s v="Agent"/>
    <x v="8"/>
    <n v="3"/>
    <n v="3360000"/>
    <n v="0.134868696822732"/>
    <n v="8721000"/>
    <x v="15"/>
    <x v="1"/>
  </r>
  <r>
    <x v="1196"/>
    <x v="1"/>
    <x v="1"/>
    <s v="Website"/>
    <x v="0"/>
    <n v="3"/>
    <n v="3172000"/>
    <n v="0.10510118615226501"/>
    <n v="8516000"/>
    <x v="9"/>
    <x v="1"/>
  </r>
  <r>
    <x v="1196"/>
    <x v="3"/>
    <x v="2"/>
    <s v="Agent"/>
    <x v="6"/>
    <n v="1"/>
    <n v="4171000"/>
    <n v="9.03381411296902E-2"/>
    <n v="3794000"/>
    <x v="10"/>
    <x v="0"/>
  </r>
  <r>
    <x v="1196"/>
    <x v="3"/>
    <x v="0"/>
    <s v="Agent"/>
    <x v="4"/>
    <n v="1"/>
    <n v="2687000"/>
    <n v="7.0999999999999994E-2"/>
    <n v="2496000"/>
    <x v="4"/>
    <x v="1"/>
  </r>
  <r>
    <x v="1197"/>
    <x v="1"/>
    <x v="2"/>
    <s v="Website"/>
    <x v="7"/>
    <n v="2"/>
    <n v="4403000"/>
    <n v="7.5999999999999998E-2"/>
    <n v="8137000"/>
    <x v="12"/>
    <x v="1"/>
  </r>
  <r>
    <x v="1197"/>
    <x v="1"/>
    <x v="4"/>
    <s v="Mobile App"/>
    <x v="2"/>
    <n v="1"/>
    <n v="2626000"/>
    <n v="5.2325866179755202E-2"/>
    <n v="2489000"/>
    <x v="12"/>
    <x v="0"/>
  </r>
  <r>
    <x v="1197"/>
    <x v="1"/>
    <x v="2"/>
    <s v="Mobile App"/>
    <x v="8"/>
    <n v="5"/>
    <n v="3314000"/>
    <n v="3.2395792153636201E-2"/>
    <n v="16033000"/>
    <x v="2"/>
    <x v="1"/>
  </r>
  <r>
    <x v="1198"/>
    <x v="2"/>
    <x v="0"/>
    <s v="Agent"/>
    <x v="7"/>
    <n v="2"/>
    <n v="1500000"/>
    <n v="3.5999999999999997E-2"/>
    <n v="2892000"/>
    <x v="1"/>
    <x v="1"/>
  </r>
  <r>
    <x v="1198"/>
    <x v="2"/>
    <x v="4"/>
    <s v="Website"/>
    <x v="2"/>
    <n v="1"/>
    <n v="2692000"/>
    <n v="0.119602051452377"/>
    <n v="2370000"/>
    <x v="8"/>
    <x v="0"/>
  </r>
  <r>
    <x v="1198"/>
    <x v="3"/>
    <x v="4"/>
    <s v="Agent"/>
    <x v="1"/>
    <n v="1"/>
    <n v="2805000"/>
    <n v="0.13"/>
    <n v="2440000"/>
    <x v="10"/>
    <x v="1"/>
  </r>
  <r>
    <x v="1198"/>
    <x v="3"/>
    <x v="0"/>
    <s v="Website"/>
    <x v="1"/>
    <n v="1"/>
    <n v="3244000"/>
    <n v="1.2E-2"/>
    <n v="3205000"/>
    <x v="14"/>
    <x v="1"/>
  </r>
  <r>
    <x v="1199"/>
    <x v="3"/>
    <x v="0"/>
    <s v="Website"/>
    <x v="6"/>
    <n v="1"/>
    <n v="2393000"/>
    <n v="8.2000000000000003E-2"/>
    <n v="2197000"/>
    <x v="15"/>
    <x v="1"/>
  </r>
  <r>
    <x v="1199"/>
    <x v="0"/>
    <x v="4"/>
    <s v="Website"/>
    <x v="5"/>
    <n v="1"/>
    <n v="3055000"/>
    <n v="5.7000000000000002E-2"/>
    <n v="2881000"/>
    <x v="9"/>
    <x v="0"/>
  </r>
  <r>
    <x v="1199"/>
    <x v="0"/>
    <x v="1"/>
    <s v="Website"/>
    <x v="3"/>
    <n v="4"/>
    <n v="2247000"/>
    <n v="0.13800000000000001"/>
    <n v="7748000"/>
    <x v="6"/>
    <x v="1"/>
  </r>
  <r>
    <x v="1199"/>
    <x v="0"/>
    <x v="5"/>
    <s v="Agent"/>
    <x v="4"/>
    <n v="3"/>
    <n v="4383000"/>
    <n v="7.5774961675910593E-2"/>
    <n v="12153000"/>
    <x v="12"/>
    <x v="1"/>
  </r>
  <r>
    <x v="1200"/>
    <x v="3"/>
    <x v="4"/>
    <s v="Website"/>
    <x v="7"/>
    <n v="2"/>
    <n v="2652000"/>
    <n v="0.154163637164562"/>
    <n v="4486000"/>
    <x v="12"/>
    <x v="0"/>
  </r>
  <r>
    <x v="1200"/>
    <x v="3"/>
    <x v="3"/>
    <s v="Mobile App"/>
    <x v="1"/>
    <n v="2"/>
    <n v="2149000"/>
    <n v="6.1444038313080498E-2"/>
    <n v="4034000"/>
    <x v="2"/>
    <x v="1"/>
  </r>
  <r>
    <x v="1201"/>
    <x v="1"/>
    <x v="2"/>
    <s v="Website"/>
    <x v="8"/>
    <n v="2"/>
    <n v="4599000"/>
    <n v="0.152"/>
    <n v="7800000"/>
    <x v="0"/>
    <x v="0"/>
  </r>
  <r>
    <x v="1201"/>
    <x v="2"/>
    <x v="0"/>
    <s v="Website"/>
    <x v="4"/>
    <n v="2"/>
    <n v="2811000"/>
    <n v="6.0574441764090999E-2"/>
    <n v="5281000"/>
    <x v="5"/>
    <x v="0"/>
  </r>
  <r>
    <x v="1201"/>
    <x v="1"/>
    <x v="2"/>
    <s v="Website"/>
    <x v="3"/>
    <n v="4"/>
    <n v="3866000"/>
    <n v="8.6910032786722893E-2"/>
    <n v="14120000"/>
    <x v="12"/>
    <x v="1"/>
  </r>
  <r>
    <x v="1201"/>
    <x v="1"/>
    <x v="5"/>
    <s v="Agent"/>
    <x v="8"/>
    <n v="2"/>
    <n v="3070000"/>
    <n v="6.7000000000000004E-2"/>
    <n v="5729000"/>
    <x v="12"/>
    <x v="1"/>
  </r>
  <r>
    <x v="1202"/>
    <x v="3"/>
    <x v="2"/>
    <s v="Website"/>
    <x v="8"/>
    <n v="5"/>
    <n v="3138000"/>
    <n v="0.14129195555829699"/>
    <n v="13473000"/>
    <x v="0"/>
    <x v="1"/>
  </r>
  <r>
    <x v="1202"/>
    <x v="1"/>
    <x v="0"/>
    <s v="Website"/>
    <x v="5"/>
    <n v="4"/>
    <n v="2396000"/>
    <n v="0.14982642161655399"/>
    <n v="8148000"/>
    <x v="2"/>
    <x v="1"/>
  </r>
  <r>
    <x v="1202"/>
    <x v="2"/>
    <x v="0"/>
    <s v="Agent"/>
    <x v="7"/>
    <n v="1"/>
    <n v="2382000"/>
    <n v="8.9806583540098697E-2"/>
    <n v="2168000"/>
    <x v="5"/>
    <x v="1"/>
  </r>
  <r>
    <x v="1203"/>
    <x v="3"/>
    <x v="5"/>
    <s v="Website"/>
    <x v="4"/>
    <n v="1"/>
    <n v="3828000"/>
    <n v="0.20100000000000001"/>
    <n v="3059000"/>
    <x v="14"/>
    <x v="1"/>
  </r>
  <r>
    <x v="1203"/>
    <x v="1"/>
    <x v="0"/>
    <s v="Website"/>
    <x v="0"/>
    <n v="3"/>
    <n v="2797000"/>
    <n v="7.5999999999999998E-2"/>
    <n v="7753000"/>
    <x v="16"/>
    <x v="1"/>
  </r>
  <r>
    <x v="1203"/>
    <x v="3"/>
    <x v="0"/>
    <s v="Agent"/>
    <x v="9"/>
    <n v="2"/>
    <n v="2259000"/>
    <n v="8.2000000000000003E-2"/>
    <n v="4148000"/>
    <x v="9"/>
    <x v="1"/>
  </r>
  <r>
    <x v="1204"/>
    <x v="1"/>
    <x v="2"/>
    <s v="Website"/>
    <x v="6"/>
    <n v="1"/>
    <n v="4142000"/>
    <n v="0.113"/>
    <n v="3674000"/>
    <x v="10"/>
    <x v="1"/>
  </r>
  <r>
    <x v="1205"/>
    <x v="3"/>
    <x v="0"/>
    <s v="Website"/>
    <x v="8"/>
    <n v="4"/>
    <n v="2906000"/>
    <n v="0.129"/>
    <n v="10125000"/>
    <x v="6"/>
    <x v="1"/>
  </r>
  <r>
    <x v="1205"/>
    <x v="0"/>
    <x v="0"/>
    <s v="Website"/>
    <x v="0"/>
    <n v="1"/>
    <n v="3942000"/>
    <n v="0.13700000000000001"/>
    <n v="3402000"/>
    <x v="8"/>
    <x v="1"/>
  </r>
  <r>
    <x v="1205"/>
    <x v="2"/>
    <x v="1"/>
    <s v="Mobile App"/>
    <x v="5"/>
    <n v="1"/>
    <n v="3528000"/>
    <n v="4.8721844618297101E-2"/>
    <n v="3356000"/>
    <x v="10"/>
    <x v="1"/>
  </r>
  <r>
    <x v="1206"/>
    <x v="2"/>
    <x v="2"/>
    <s v="Website"/>
    <x v="7"/>
    <n v="1"/>
    <n v="3444000"/>
    <n v="3.9E-2"/>
    <n v="3310000"/>
    <x v="4"/>
    <x v="1"/>
  </r>
  <r>
    <x v="1206"/>
    <x v="2"/>
    <x v="0"/>
    <s v="Agent"/>
    <x v="5"/>
    <n v="2"/>
    <n v="2651000"/>
    <n v="0.146177130095244"/>
    <n v="4527000"/>
    <x v="10"/>
    <x v="1"/>
  </r>
  <r>
    <x v="1207"/>
    <x v="1"/>
    <x v="1"/>
    <s v="Website"/>
    <x v="0"/>
    <n v="1"/>
    <n v="3417000"/>
    <n v="0.15706046217035899"/>
    <n v="2880000"/>
    <x v="1"/>
    <x v="1"/>
  </r>
  <r>
    <x v="1207"/>
    <x v="1"/>
    <x v="5"/>
    <s v="Website"/>
    <x v="9"/>
    <n v="1"/>
    <n v="5930000"/>
    <n v="0.15027234291003999"/>
    <n v="5039000"/>
    <x v="15"/>
    <x v="1"/>
  </r>
  <r>
    <x v="1207"/>
    <x v="2"/>
    <x v="0"/>
    <s v="Mobile App"/>
    <x v="5"/>
    <n v="1"/>
    <n v="2704000"/>
    <n v="6.96273733008613E-2"/>
    <n v="2516000"/>
    <x v="9"/>
    <x v="1"/>
  </r>
  <r>
    <x v="1207"/>
    <x v="3"/>
    <x v="1"/>
    <s v="Agent"/>
    <x v="1"/>
    <n v="4"/>
    <n v="2679000"/>
    <n v="0.106"/>
    <n v="9580000"/>
    <x v="15"/>
    <x v="1"/>
  </r>
  <r>
    <x v="1207"/>
    <x v="3"/>
    <x v="2"/>
    <s v="Website"/>
    <x v="0"/>
    <n v="1"/>
    <n v="4102000"/>
    <n v="6.2921466124866696E-2"/>
    <n v="3844000"/>
    <x v="0"/>
    <x v="0"/>
  </r>
  <r>
    <x v="1208"/>
    <x v="2"/>
    <x v="3"/>
    <s v="Website"/>
    <x v="1"/>
    <n v="2"/>
    <n v="2398000"/>
    <n v="0.184"/>
    <n v="3914000"/>
    <x v="9"/>
    <x v="1"/>
  </r>
  <r>
    <x v="1208"/>
    <x v="1"/>
    <x v="1"/>
    <s v="Agent"/>
    <x v="0"/>
    <n v="3"/>
    <n v="3293000"/>
    <n v="0.19700000000000001"/>
    <n v="7933000"/>
    <x v="7"/>
    <x v="1"/>
  </r>
  <r>
    <x v="1208"/>
    <x v="1"/>
    <x v="2"/>
    <s v="Website"/>
    <x v="9"/>
    <n v="2"/>
    <n v="3914000"/>
    <n v="5.9490512346018397E-2"/>
    <n v="7362000"/>
    <x v="4"/>
    <x v="1"/>
  </r>
  <r>
    <x v="1209"/>
    <x v="1"/>
    <x v="1"/>
    <s v="Mobile App"/>
    <x v="1"/>
    <n v="1"/>
    <n v="2633000"/>
    <n v="0.12093624648296"/>
    <n v="2315000"/>
    <x v="9"/>
    <x v="1"/>
  </r>
  <r>
    <x v="1209"/>
    <x v="2"/>
    <x v="1"/>
    <s v="Website"/>
    <x v="4"/>
    <n v="2"/>
    <n v="3278000"/>
    <n v="0.125"/>
    <n v="5736000"/>
    <x v="17"/>
    <x v="1"/>
  </r>
  <r>
    <x v="1209"/>
    <x v="3"/>
    <x v="0"/>
    <s v="Website"/>
    <x v="7"/>
    <n v="2"/>
    <n v="3127000"/>
    <n v="9.5000000000000001E-2"/>
    <n v="5660000"/>
    <x v="8"/>
    <x v="1"/>
  </r>
  <r>
    <x v="1210"/>
    <x v="3"/>
    <x v="2"/>
    <s v="Website"/>
    <x v="0"/>
    <n v="1"/>
    <n v="4383000"/>
    <n v="0.12"/>
    <n v="3857000"/>
    <x v="13"/>
    <x v="1"/>
  </r>
  <r>
    <x v="1211"/>
    <x v="1"/>
    <x v="0"/>
    <s v="Website"/>
    <x v="0"/>
    <n v="1"/>
    <n v="2426000"/>
    <n v="0.17199999999999999"/>
    <n v="2009000"/>
    <x v="1"/>
    <x v="1"/>
  </r>
  <r>
    <x v="1211"/>
    <x v="2"/>
    <x v="3"/>
    <s v="Website"/>
    <x v="9"/>
    <n v="4"/>
    <n v="2640000"/>
    <n v="8.9528981602937596E-2"/>
    <n v="9615000"/>
    <x v="2"/>
    <x v="1"/>
  </r>
  <r>
    <x v="1211"/>
    <x v="1"/>
    <x v="4"/>
    <s v="Agent"/>
    <x v="4"/>
    <n v="1"/>
    <n v="1906000"/>
    <n v="0.117828388071306"/>
    <n v="1681000"/>
    <x v="18"/>
    <x v="1"/>
  </r>
  <r>
    <x v="1211"/>
    <x v="3"/>
    <x v="5"/>
    <s v="Agent"/>
    <x v="5"/>
    <n v="2"/>
    <n v="6369000"/>
    <n v="0.19500000000000001"/>
    <n v="10254000"/>
    <x v="5"/>
    <x v="1"/>
  </r>
  <r>
    <x v="1211"/>
    <x v="1"/>
    <x v="1"/>
    <s v="Agent"/>
    <x v="6"/>
    <n v="2"/>
    <n v="2971000"/>
    <n v="0.12"/>
    <n v="5229000"/>
    <x v="6"/>
    <x v="0"/>
  </r>
  <r>
    <x v="1212"/>
    <x v="1"/>
    <x v="1"/>
    <s v="Website"/>
    <x v="5"/>
    <n v="1"/>
    <n v="3227000"/>
    <n v="0.113901087793358"/>
    <n v="2859000"/>
    <x v="3"/>
    <x v="1"/>
  </r>
  <r>
    <x v="1212"/>
    <x v="3"/>
    <x v="0"/>
    <s v="Website"/>
    <x v="1"/>
    <n v="2"/>
    <n v="2318000"/>
    <n v="7.9624381745229095E-2"/>
    <n v="4267000"/>
    <x v="6"/>
    <x v="0"/>
  </r>
  <r>
    <x v="1212"/>
    <x v="3"/>
    <x v="4"/>
    <s v="Mobile App"/>
    <x v="8"/>
    <n v="3"/>
    <n v="2417000"/>
    <n v="8.2466901749906896E-2"/>
    <n v="6653000"/>
    <x v="13"/>
    <x v="1"/>
  </r>
  <r>
    <x v="1212"/>
    <x v="0"/>
    <x v="2"/>
    <s v="Website"/>
    <x v="5"/>
    <n v="2"/>
    <n v="3973000"/>
    <n v="0.14799999999999999"/>
    <n v="6770000"/>
    <x v="12"/>
    <x v="1"/>
  </r>
  <r>
    <x v="1212"/>
    <x v="1"/>
    <x v="2"/>
    <s v="Mobile App"/>
    <x v="4"/>
    <n v="1"/>
    <n v="3978000"/>
    <n v="0.13500000000000001"/>
    <n v="3441000"/>
    <x v="0"/>
    <x v="1"/>
  </r>
  <r>
    <x v="1213"/>
    <x v="3"/>
    <x v="3"/>
    <s v="Website"/>
    <x v="3"/>
    <n v="1"/>
    <n v="2657000"/>
    <n v="5.7882256385807497E-2"/>
    <n v="2503000"/>
    <x v="11"/>
    <x v="1"/>
  </r>
  <r>
    <x v="1213"/>
    <x v="0"/>
    <x v="1"/>
    <s v="Website"/>
    <x v="2"/>
    <n v="1"/>
    <n v="3501000"/>
    <n v="0.102445071265994"/>
    <n v="3142000"/>
    <x v="4"/>
    <x v="0"/>
  </r>
  <r>
    <x v="1214"/>
    <x v="0"/>
    <x v="0"/>
    <s v="Mobile App"/>
    <x v="8"/>
    <n v="1"/>
    <n v="2277000"/>
    <n v="0.12309052432579699"/>
    <n v="1997000"/>
    <x v="8"/>
    <x v="1"/>
  </r>
  <r>
    <x v="1214"/>
    <x v="2"/>
    <x v="2"/>
    <s v="Mobile App"/>
    <x v="1"/>
    <n v="3"/>
    <n v="3170000"/>
    <n v="0.136829047404566"/>
    <n v="8209000"/>
    <x v="6"/>
    <x v="1"/>
  </r>
  <r>
    <x v="1214"/>
    <x v="3"/>
    <x v="2"/>
    <s v="Website"/>
    <x v="5"/>
    <n v="2"/>
    <n v="4430000"/>
    <n v="0.10199999999999999"/>
    <n v="7956000"/>
    <x v="0"/>
    <x v="1"/>
  </r>
  <r>
    <x v="1214"/>
    <x v="1"/>
    <x v="0"/>
    <s v="Website"/>
    <x v="1"/>
    <n v="1"/>
    <n v="2552000"/>
    <n v="0.14411743834072799"/>
    <n v="2184000"/>
    <x v="6"/>
    <x v="1"/>
  </r>
  <r>
    <x v="1215"/>
    <x v="1"/>
    <x v="0"/>
    <s v="Website"/>
    <x v="8"/>
    <n v="2"/>
    <n v="1588000"/>
    <n v="0.127"/>
    <n v="2773000"/>
    <x v="7"/>
    <x v="1"/>
  </r>
  <r>
    <x v="1215"/>
    <x v="2"/>
    <x v="1"/>
    <s v="Website"/>
    <x v="6"/>
    <n v="2"/>
    <n v="2994000"/>
    <n v="0.15189218186373299"/>
    <n v="5078000"/>
    <x v="1"/>
    <x v="1"/>
  </r>
  <r>
    <x v="1215"/>
    <x v="3"/>
    <x v="1"/>
    <s v="Agent"/>
    <x v="2"/>
    <n v="2"/>
    <n v="3633000"/>
    <n v="0.106563211524191"/>
    <n v="6492000"/>
    <x v="0"/>
    <x v="1"/>
  </r>
  <r>
    <x v="1215"/>
    <x v="3"/>
    <x v="0"/>
    <s v="Mobile App"/>
    <x v="5"/>
    <n v="1"/>
    <n v="2532000"/>
    <n v="0.20599999999999999"/>
    <n v="2010000"/>
    <x v="1"/>
    <x v="1"/>
  </r>
  <r>
    <x v="1216"/>
    <x v="3"/>
    <x v="2"/>
    <s v="Mobile App"/>
    <x v="4"/>
    <n v="2"/>
    <n v="4511000"/>
    <n v="0.119147157665755"/>
    <n v="7947000"/>
    <x v="8"/>
    <x v="1"/>
  </r>
  <r>
    <x v="1216"/>
    <x v="3"/>
    <x v="2"/>
    <s v="Website"/>
    <x v="9"/>
    <n v="2"/>
    <n v="4006000"/>
    <n v="8.0559084274762605E-2"/>
    <n v="7367000"/>
    <x v="0"/>
    <x v="0"/>
  </r>
  <r>
    <x v="1216"/>
    <x v="0"/>
    <x v="2"/>
    <s v="Mobile App"/>
    <x v="3"/>
    <n v="1"/>
    <n v="4485000"/>
    <n v="8.3000000000000004E-2"/>
    <n v="4113000"/>
    <x v="12"/>
    <x v="1"/>
  </r>
  <r>
    <x v="1216"/>
    <x v="0"/>
    <x v="0"/>
    <s v="Website"/>
    <x v="2"/>
    <n v="1"/>
    <n v="3720000"/>
    <n v="0.193"/>
    <n v="3002000"/>
    <x v="15"/>
    <x v="1"/>
  </r>
  <r>
    <x v="1217"/>
    <x v="1"/>
    <x v="0"/>
    <s v="Mobile App"/>
    <x v="2"/>
    <n v="2"/>
    <n v="3396000"/>
    <n v="8.1000000000000003E-2"/>
    <n v="6242000"/>
    <x v="13"/>
    <x v="1"/>
  </r>
  <r>
    <x v="1217"/>
    <x v="3"/>
    <x v="3"/>
    <s v="Website"/>
    <x v="7"/>
    <n v="1"/>
    <n v="1933000"/>
    <n v="0.26500000000000001"/>
    <n v="1421000"/>
    <x v="4"/>
    <x v="1"/>
  </r>
  <r>
    <x v="1217"/>
    <x v="2"/>
    <x v="2"/>
    <s v="Mobile App"/>
    <x v="8"/>
    <n v="1"/>
    <n v="2548000"/>
    <n v="0.128"/>
    <n v="2222000"/>
    <x v="0"/>
    <x v="1"/>
  </r>
  <r>
    <x v="1217"/>
    <x v="2"/>
    <x v="0"/>
    <s v="Mobile App"/>
    <x v="0"/>
    <n v="1"/>
    <n v="1918000"/>
    <n v="8.7999999999999995E-2"/>
    <n v="1749000"/>
    <x v="8"/>
    <x v="1"/>
  </r>
  <r>
    <x v="1218"/>
    <x v="3"/>
    <x v="0"/>
    <s v="Website"/>
    <x v="3"/>
    <n v="3"/>
    <n v="2853000"/>
    <n v="0.02"/>
    <n v="8388000"/>
    <x v="8"/>
    <x v="1"/>
  </r>
  <r>
    <x v="1218"/>
    <x v="0"/>
    <x v="0"/>
    <s v="Agent"/>
    <x v="7"/>
    <n v="1"/>
    <n v="2292000"/>
    <n v="0.14558044434488601"/>
    <n v="1958000"/>
    <x v="0"/>
    <x v="1"/>
  </r>
  <r>
    <x v="1218"/>
    <x v="0"/>
    <x v="0"/>
    <s v="Website"/>
    <x v="0"/>
    <n v="1"/>
    <n v="3959000"/>
    <n v="0.15"/>
    <n v="3365000"/>
    <x v="2"/>
    <x v="1"/>
  </r>
  <r>
    <x v="1219"/>
    <x v="3"/>
    <x v="2"/>
    <s v="Website"/>
    <x v="9"/>
    <n v="2"/>
    <n v="4114000"/>
    <n v="6.97485333901572E-2"/>
    <n v="7654000"/>
    <x v="1"/>
    <x v="1"/>
  </r>
  <r>
    <x v="1219"/>
    <x v="3"/>
    <x v="1"/>
    <s v="Mobile App"/>
    <x v="5"/>
    <n v="4"/>
    <n v="3337000"/>
    <n v="6.4000000000000001E-2"/>
    <n v="12494000"/>
    <x v="13"/>
    <x v="1"/>
  </r>
  <r>
    <x v="1219"/>
    <x v="1"/>
    <x v="5"/>
    <s v="Website"/>
    <x v="8"/>
    <n v="1"/>
    <n v="5479000"/>
    <n v="0.20300000000000001"/>
    <n v="4367000"/>
    <x v="13"/>
    <x v="1"/>
  </r>
  <r>
    <x v="1219"/>
    <x v="0"/>
    <x v="2"/>
    <s v="Website"/>
    <x v="9"/>
    <n v="4"/>
    <n v="3995000"/>
    <n v="0.10969446839043"/>
    <n v="14227000"/>
    <x v="6"/>
    <x v="1"/>
  </r>
  <r>
    <x v="1219"/>
    <x v="3"/>
    <x v="0"/>
    <s v="Website"/>
    <x v="3"/>
    <n v="3"/>
    <n v="2747000"/>
    <n v="9.7635910425777503E-2"/>
    <n v="7436000"/>
    <x v="6"/>
    <x v="1"/>
  </r>
  <r>
    <x v="1219"/>
    <x v="3"/>
    <x v="3"/>
    <s v="Website"/>
    <x v="3"/>
    <n v="3"/>
    <n v="2672000"/>
    <n v="0.12067549036613601"/>
    <n v="7049000"/>
    <x v="12"/>
    <x v="1"/>
  </r>
  <r>
    <x v="1220"/>
    <x v="2"/>
    <x v="0"/>
    <s v="Website"/>
    <x v="8"/>
    <n v="4"/>
    <n v="2098000"/>
    <n v="3.6999999999999998E-2"/>
    <n v="8081000"/>
    <x v="5"/>
    <x v="1"/>
  </r>
  <r>
    <x v="1220"/>
    <x v="1"/>
    <x v="2"/>
    <s v="Mobile App"/>
    <x v="8"/>
    <n v="1"/>
    <n v="2969000"/>
    <n v="0.11899999999999999"/>
    <n v="2616000"/>
    <x v="1"/>
    <x v="1"/>
  </r>
  <r>
    <x v="1220"/>
    <x v="3"/>
    <x v="2"/>
    <s v="Mobile App"/>
    <x v="8"/>
    <n v="1"/>
    <n v="3392000"/>
    <n v="0.196284893419328"/>
    <n v="2726000"/>
    <x v="1"/>
    <x v="1"/>
  </r>
  <r>
    <x v="1220"/>
    <x v="0"/>
    <x v="0"/>
    <s v="Website"/>
    <x v="3"/>
    <n v="3"/>
    <n v="2813000"/>
    <n v="8.9000239482110194E-2"/>
    <n v="7688000"/>
    <x v="8"/>
    <x v="1"/>
  </r>
  <r>
    <x v="1220"/>
    <x v="3"/>
    <x v="1"/>
    <s v="Website"/>
    <x v="4"/>
    <n v="1"/>
    <n v="2519000"/>
    <n v="9.4535222499240706E-2"/>
    <n v="2281000"/>
    <x v="15"/>
    <x v="1"/>
  </r>
  <r>
    <x v="1220"/>
    <x v="3"/>
    <x v="1"/>
    <s v="Website"/>
    <x v="7"/>
    <n v="4"/>
    <n v="2789000"/>
    <n v="0.11482584019593001"/>
    <n v="9875000"/>
    <x v="14"/>
    <x v="0"/>
  </r>
  <r>
    <x v="1220"/>
    <x v="1"/>
    <x v="3"/>
    <s v="Agent"/>
    <x v="9"/>
    <n v="1"/>
    <n v="2253000"/>
    <n v="8.5999999999999993E-2"/>
    <n v="2059000"/>
    <x v="5"/>
    <x v="1"/>
  </r>
  <r>
    <x v="1221"/>
    <x v="3"/>
    <x v="5"/>
    <s v="Website"/>
    <x v="9"/>
    <n v="2"/>
    <n v="3513000"/>
    <n v="0.13147470100428099"/>
    <n v="6102000"/>
    <x v="6"/>
    <x v="0"/>
  </r>
  <r>
    <x v="1221"/>
    <x v="1"/>
    <x v="4"/>
    <s v="Call Center"/>
    <x v="3"/>
    <n v="1"/>
    <n v="1634000"/>
    <n v="0.106"/>
    <n v="1461000"/>
    <x v="13"/>
    <x v="1"/>
  </r>
  <r>
    <x v="1221"/>
    <x v="1"/>
    <x v="5"/>
    <s v="Agent"/>
    <x v="3"/>
    <n v="1"/>
    <n v="4414000"/>
    <n v="0.100732005282792"/>
    <n v="3969000"/>
    <x v="13"/>
    <x v="0"/>
  </r>
  <r>
    <x v="1221"/>
    <x v="3"/>
    <x v="5"/>
    <s v="Agent"/>
    <x v="8"/>
    <n v="2"/>
    <n v="4038000"/>
    <n v="1.9E-2"/>
    <n v="7923000"/>
    <x v="15"/>
    <x v="1"/>
  </r>
  <r>
    <x v="1222"/>
    <x v="3"/>
    <x v="1"/>
    <s v="Agent"/>
    <x v="5"/>
    <n v="1"/>
    <n v="3330000"/>
    <n v="0.13847085666512299"/>
    <n v="2869000"/>
    <x v="0"/>
    <x v="1"/>
  </r>
  <r>
    <x v="1223"/>
    <x v="3"/>
    <x v="0"/>
    <s v="Website"/>
    <x v="4"/>
    <n v="2"/>
    <n v="3256000"/>
    <n v="0.11899999999999999"/>
    <n v="5737000"/>
    <x v="2"/>
    <x v="1"/>
  </r>
  <r>
    <x v="1223"/>
    <x v="2"/>
    <x v="2"/>
    <s v="Website"/>
    <x v="1"/>
    <n v="3"/>
    <n v="3270000"/>
    <n v="0.167035432287888"/>
    <n v="8171000"/>
    <x v="5"/>
    <x v="1"/>
  </r>
  <r>
    <x v="1223"/>
    <x v="1"/>
    <x v="5"/>
    <s v="Website"/>
    <x v="9"/>
    <n v="1"/>
    <n v="7001000"/>
    <n v="0.106"/>
    <n v="6259000"/>
    <x v="4"/>
    <x v="1"/>
  </r>
  <r>
    <x v="1223"/>
    <x v="1"/>
    <x v="5"/>
    <s v="Mobile App"/>
    <x v="0"/>
    <n v="2"/>
    <n v="5387000"/>
    <n v="0.214"/>
    <n v="8468000"/>
    <x v="11"/>
    <x v="0"/>
  </r>
  <r>
    <x v="1224"/>
    <x v="3"/>
    <x v="1"/>
    <s v="Agent"/>
    <x v="8"/>
    <n v="3"/>
    <n v="3011000"/>
    <n v="0.104"/>
    <n v="8094000"/>
    <x v="13"/>
    <x v="1"/>
  </r>
  <r>
    <x v="1224"/>
    <x v="2"/>
    <x v="5"/>
    <s v="Agent"/>
    <x v="5"/>
    <n v="3"/>
    <n v="3878000"/>
    <n v="9.6000000000000002E-2"/>
    <n v="10517000"/>
    <x v="8"/>
    <x v="1"/>
  </r>
  <r>
    <x v="1224"/>
    <x v="3"/>
    <x v="0"/>
    <s v="Agent"/>
    <x v="9"/>
    <n v="1"/>
    <n v="2813000"/>
    <n v="0.114"/>
    <n v="2493000"/>
    <x v="0"/>
    <x v="0"/>
  </r>
  <r>
    <x v="1224"/>
    <x v="0"/>
    <x v="2"/>
    <s v="Mobile App"/>
    <x v="9"/>
    <n v="2"/>
    <n v="3043000"/>
    <n v="3.5421230002823399E-2"/>
    <n v="5870000"/>
    <x v="14"/>
    <x v="1"/>
  </r>
  <r>
    <x v="1224"/>
    <x v="3"/>
    <x v="1"/>
    <s v="Website"/>
    <x v="0"/>
    <n v="3"/>
    <n v="3284000"/>
    <n v="0.23300000000000001"/>
    <n v="7556000"/>
    <x v="8"/>
    <x v="1"/>
  </r>
  <r>
    <x v="1224"/>
    <x v="1"/>
    <x v="4"/>
    <s v="Call Center"/>
    <x v="1"/>
    <n v="3"/>
    <n v="2109000"/>
    <n v="0.11050479072901"/>
    <n v="5628000"/>
    <x v="4"/>
    <x v="1"/>
  </r>
  <r>
    <x v="1225"/>
    <x v="0"/>
    <x v="2"/>
    <s v="Agent"/>
    <x v="3"/>
    <n v="1"/>
    <n v="4363000"/>
    <n v="5.6316547064620498E-2"/>
    <n v="4117000"/>
    <x v="1"/>
    <x v="0"/>
  </r>
  <r>
    <x v="1225"/>
    <x v="0"/>
    <x v="2"/>
    <s v="Website"/>
    <x v="3"/>
    <n v="2"/>
    <n v="4671000"/>
    <n v="8.3000000000000004E-2"/>
    <n v="8567000"/>
    <x v="9"/>
    <x v="1"/>
  </r>
  <r>
    <x v="1225"/>
    <x v="2"/>
    <x v="0"/>
    <s v="Agent"/>
    <x v="3"/>
    <n v="2"/>
    <n v="2594000"/>
    <n v="0.15530010594207899"/>
    <n v="4382000"/>
    <x v="6"/>
    <x v="1"/>
  </r>
  <r>
    <x v="1225"/>
    <x v="2"/>
    <x v="3"/>
    <s v="Mobile App"/>
    <x v="1"/>
    <n v="1"/>
    <n v="1451000"/>
    <n v="0.13300000000000001"/>
    <n v="1258000"/>
    <x v="15"/>
    <x v="1"/>
  </r>
  <r>
    <x v="1226"/>
    <x v="3"/>
    <x v="0"/>
    <s v="Mobile App"/>
    <x v="0"/>
    <n v="1"/>
    <n v="1841000"/>
    <n v="7.1999999999999995E-2"/>
    <n v="1708000"/>
    <x v="5"/>
    <x v="1"/>
  </r>
  <r>
    <x v="1226"/>
    <x v="3"/>
    <x v="0"/>
    <s v="Website"/>
    <x v="1"/>
    <n v="4"/>
    <n v="2525000"/>
    <n v="8.3931090145733606E-2"/>
    <n v="9252000"/>
    <x v="6"/>
    <x v="1"/>
  </r>
  <r>
    <x v="1226"/>
    <x v="3"/>
    <x v="0"/>
    <s v="Call Center"/>
    <x v="3"/>
    <n v="1"/>
    <n v="3368000"/>
    <n v="1.7999999999999999E-2"/>
    <n v="3307000"/>
    <x v="15"/>
    <x v="0"/>
  </r>
  <r>
    <x v="1226"/>
    <x v="0"/>
    <x v="1"/>
    <s v="Agent"/>
    <x v="5"/>
    <n v="4"/>
    <n v="3594000"/>
    <n v="0.10199999999999999"/>
    <n v="12907000"/>
    <x v="0"/>
    <x v="1"/>
  </r>
  <r>
    <x v="1226"/>
    <x v="1"/>
    <x v="1"/>
    <s v="Website"/>
    <x v="9"/>
    <n v="4"/>
    <n v="3507000"/>
    <n v="5.8936525457772899E-2"/>
    <n v="13201000"/>
    <x v="4"/>
    <x v="0"/>
  </r>
  <r>
    <x v="1227"/>
    <x v="3"/>
    <x v="5"/>
    <s v="Mobile App"/>
    <x v="6"/>
    <n v="1"/>
    <n v="4440000"/>
    <n v="6.5032933195205603E-2"/>
    <n v="4151000"/>
    <x v="12"/>
    <x v="1"/>
  </r>
  <r>
    <x v="1227"/>
    <x v="2"/>
    <x v="3"/>
    <s v="Mobile App"/>
    <x v="7"/>
    <n v="2"/>
    <n v="2550000"/>
    <n v="4.3999999999999997E-2"/>
    <n v="4876000"/>
    <x v="14"/>
    <x v="1"/>
  </r>
  <r>
    <x v="1228"/>
    <x v="1"/>
    <x v="3"/>
    <s v="Website"/>
    <x v="6"/>
    <n v="3"/>
    <n v="2093000"/>
    <n v="9.8000000000000004E-2"/>
    <n v="5664000"/>
    <x v="15"/>
    <x v="1"/>
  </r>
  <r>
    <x v="1228"/>
    <x v="0"/>
    <x v="1"/>
    <s v="Website"/>
    <x v="6"/>
    <n v="3"/>
    <n v="3046000"/>
    <n v="9.7771029581951302E-2"/>
    <n v="8245000"/>
    <x v="15"/>
    <x v="1"/>
  </r>
  <r>
    <x v="1228"/>
    <x v="3"/>
    <x v="2"/>
    <s v="Mobile App"/>
    <x v="3"/>
    <n v="2"/>
    <n v="4123000"/>
    <n v="0.186"/>
    <n v="6712000"/>
    <x v="18"/>
    <x v="1"/>
  </r>
  <r>
    <x v="1228"/>
    <x v="0"/>
    <x v="5"/>
    <s v="Mobile App"/>
    <x v="8"/>
    <n v="3"/>
    <n v="4479000"/>
    <n v="0.145852537767966"/>
    <n v="11477000"/>
    <x v="12"/>
    <x v="1"/>
  </r>
  <r>
    <x v="1228"/>
    <x v="1"/>
    <x v="0"/>
    <s v="Website"/>
    <x v="6"/>
    <n v="1"/>
    <n v="2247000"/>
    <n v="0.121"/>
    <n v="1975000"/>
    <x v="5"/>
    <x v="1"/>
  </r>
  <r>
    <x v="1229"/>
    <x v="3"/>
    <x v="2"/>
    <s v="Website"/>
    <x v="2"/>
    <n v="1"/>
    <n v="4617000"/>
    <n v="0.183261658794517"/>
    <n v="3771000"/>
    <x v="12"/>
    <x v="0"/>
  </r>
  <r>
    <x v="1229"/>
    <x v="3"/>
    <x v="2"/>
    <s v="Website"/>
    <x v="3"/>
    <n v="2"/>
    <n v="3859000"/>
    <n v="7.5212421174613006E-2"/>
    <n v="7138000"/>
    <x v="10"/>
    <x v="1"/>
  </r>
  <r>
    <x v="1229"/>
    <x v="1"/>
    <x v="0"/>
    <s v="Agent"/>
    <x v="2"/>
    <n v="1"/>
    <n v="2956000"/>
    <n v="4.6193331262259399E-2"/>
    <n v="2819000"/>
    <x v="12"/>
    <x v="0"/>
  </r>
  <r>
    <x v="1229"/>
    <x v="1"/>
    <x v="1"/>
    <s v="Website"/>
    <x v="2"/>
    <n v="1"/>
    <n v="3228000"/>
    <n v="8.5580883504427399E-2"/>
    <n v="2952000"/>
    <x v="6"/>
    <x v="1"/>
  </r>
  <r>
    <x v="1229"/>
    <x v="1"/>
    <x v="2"/>
    <s v="Mobile App"/>
    <x v="5"/>
    <n v="1"/>
    <n v="3720000"/>
    <n v="0.13729038476326799"/>
    <n v="3209000"/>
    <x v="8"/>
    <x v="0"/>
  </r>
  <r>
    <x v="1229"/>
    <x v="1"/>
    <x v="0"/>
    <s v="Website"/>
    <x v="5"/>
    <n v="2"/>
    <n v="2628000"/>
    <n v="8.0776499313864394E-2"/>
    <n v="4831000"/>
    <x v="5"/>
    <x v="1"/>
  </r>
  <r>
    <x v="1230"/>
    <x v="0"/>
    <x v="0"/>
    <s v="Website"/>
    <x v="2"/>
    <n v="1"/>
    <n v="3202000"/>
    <n v="5.8714164051352803E-2"/>
    <n v="3014000"/>
    <x v="15"/>
    <x v="1"/>
  </r>
  <r>
    <x v="1230"/>
    <x v="1"/>
    <x v="2"/>
    <s v="Website"/>
    <x v="1"/>
    <n v="1"/>
    <n v="3104000"/>
    <n v="0.14615623362597899"/>
    <n v="2650000"/>
    <x v="0"/>
    <x v="1"/>
  </r>
  <r>
    <x v="1231"/>
    <x v="0"/>
    <x v="0"/>
    <s v="Website"/>
    <x v="7"/>
    <n v="2"/>
    <n v="2439000"/>
    <n v="0.104764812152005"/>
    <n v="4367000"/>
    <x v="4"/>
    <x v="0"/>
  </r>
  <r>
    <x v="1231"/>
    <x v="3"/>
    <x v="1"/>
    <s v="Agent"/>
    <x v="4"/>
    <n v="5"/>
    <n v="2402000"/>
    <n v="0.188"/>
    <n v="9752000"/>
    <x v="5"/>
    <x v="1"/>
  </r>
  <r>
    <x v="1231"/>
    <x v="3"/>
    <x v="0"/>
    <s v="Agent"/>
    <x v="9"/>
    <n v="1"/>
    <n v="3057000"/>
    <n v="9.9000000000000005E-2"/>
    <n v="2754000"/>
    <x v="6"/>
    <x v="1"/>
  </r>
  <r>
    <x v="1232"/>
    <x v="0"/>
    <x v="2"/>
    <s v="Call Center"/>
    <x v="5"/>
    <n v="2"/>
    <n v="3814000"/>
    <n v="9.4894633494106498E-2"/>
    <n v="6904000"/>
    <x v="0"/>
    <x v="1"/>
  </r>
  <r>
    <x v="1232"/>
    <x v="1"/>
    <x v="3"/>
    <s v="Website"/>
    <x v="0"/>
    <n v="1"/>
    <n v="2528000"/>
    <n v="0.20200000000000001"/>
    <n v="2017000"/>
    <x v="4"/>
    <x v="1"/>
  </r>
  <r>
    <x v="1232"/>
    <x v="0"/>
    <x v="5"/>
    <s v="Website"/>
    <x v="3"/>
    <n v="3"/>
    <n v="4324000"/>
    <n v="5.8403741235966998E-2"/>
    <n v="12214000"/>
    <x v="4"/>
    <x v="0"/>
  </r>
  <r>
    <x v="1232"/>
    <x v="0"/>
    <x v="3"/>
    <s v="Website"/>
    <x v="9"/>
    <n v="1"/>
    <n v="2579000"/>
    <n v="0.10661948432152001"/>
    <n v="2304000"/>
    <x v="11"/>
    <x v="1"/>
  </r>
  <r>
    <x v="1233"/>
    <x v="3"/>
    <x v="0"/>
    <s v="Agent"/>
    <x v="2"/>
    <n v="3"/>
    <n v="3310000"/>
    <n v="9.7690620345247101E-2"/>
    <n v="8960000"/>
    <x v="13"/>
    <x v="0"/>
  </r>
  <r>
    <x v="1233"/>
    <x v="0"/>
    <x v="0"/>
    <s v="Agent"/>
    <x v="7"/>
    <n v="1"/>
    <n v="2202000"/>
    <n v="4.4075948597570899E-2"/>
    <n v="2105000"/>
    <x v="18"/>
    <x v="0"/>
  </r>
  <r>
    <x v="1233"/>
    <x v="0"/>
    <x v="3"/>
    <s v="Agent"/>
    <x v="4"/>
    <n v="1"/>
    <n v="1370000"/>
    <n v="0.19586000686583599"/>
    <n v="1102000"/>
    <x v="8"/>
    <x v="1"/>
  </r>
  <r>
    <x v="1234"/>
    <x v="1"/>
    <x v="0"/>
    <s v="Agent"/>
    <x v="0"/>
    <n v="1"/>
    <n v="2792000"/>
    <n v="2.9000000000000001E-2"/>
    <n v="2711000"/>
    <x v="0"/>
    <x v="1"/>
  </r>
  <r>
    <x v="1234"/>
    <x v="1"/>
    <x v="0"/>
    <s v="Agent"/>
    <x v="8"/>
    <n v="4"/>
    <n v="1566000"/>
    <n v="0.13400000000000001"/>
    <n v="5425000"/>
    <x v="2"/>
    <x v="1"/>
  </r>
  <r>
    <x v="1234"/>
    <x v="2"/>
    <x v="4"/>
    <s v="Website"/>
    <x v="0"/>
    <n v="4"/>
    <n v="2585000"/>
    <n v="3.6117690362814397E-2"/>
    <n v="9967000"/>
    <x v="9"/>
    <x v="1"/>
  </r>
  <r>
    <x v="1235"/>
    <x v="1"/>
    <x v="1"/>
    <s v="Agent"/>
    <x v="9"/>
    <n v="2"/>
    <n v="3644000"/>
    <n v="7.9505380851819199E-2"/>
    <n v="6709000"/>
    <x v="6"/>
    <x v="1"/>
  </r>
  <r>
    <x v="1235"/>
    <x v="3"/>
    <x v="4"/>
    <s v="Agent"/>
    <x v="9"/>
    <n v="2"/>
    <n v="2554000"/>
    <n v="6.36543120134615E-2"/>
    <n v="4783000"/>
    <x v="8"/>
    <x v="1"/>
  </r>
  <r>
    <x v="1235"/>
    <x v="2"/>
    <x v="2"/>
    <s v="Agent"/>
    <x v="1"/>
    <n v="1"/>
    <n v="3032000"/>
    <n v="0.154716864790199"/>
    <n v="2563000"/>
    <x v="6"/>
    <x v="0"/>
  </r>
  <r>
    <x v="1235"/>
    <x v="0"/>
    <x v="2"/>
    <s v="Website"/>
    <x v="0"/>
    <n v="2"/>
    <n v="4404000"/>
    <n v="0.17485270186346999"/>
    <n v="7268000"/>
    <x v="12"/>
    <x v="1"/>
  </r>
  <r>
    <x v="1235"/>
    <x v="1"/>
    <x v="3"/>
    <s v="Website"/>
    <x v="4"/>
    <n v="1"/>
    <n v="1412000"/>
    <n v="6.9971795591205893E-2"/>
    <n v="1313000"/>
    <x v="5"/>
    <x v="0"/>
  </r>
  <r>
    <x v="1235"/>
    <x v="1"/>
    <x v="3"/>
    <s v="Mobile App"/>
    <x v="9"/>
    <n v="2"/>
    <n v="2591000"/>
    <n v="7.38475800688356E-2"/>
    <n v="4799000"/>
    <x v="2"/>
    <x v="1"/>
  </r>
  <r>
    <x v="1235"/>
    <x v="2"/>
    <x v="1"/>
    <s v="Mobile App"/>
    <x v="1"/>
    <n v="3"/>
    <n v="3098000"/>
    <n v="0.112"/>
    <n v="8253000"/>
    <x v="13"/>
    <x v="1"/>
  </r>
  <r>
    <x v="1236"/>
    <x v="2"/>
    <x v="0"/>
    <s v="Agent"/>
    <x v="5"/>
    <n v="1"/>
    <n v="3419000"/>
    <n v="0.224"/>
    <n v="2653000"/>
    <x v="8"/>
    <x v="1"/>
  </r>
  <r>
    <x v="1237"/>
    <x v="1"/>
    <x v="3"/>
    <s v="Mobile App"/>
    <x v="2"/>
    <n v="4"/>
    <n v="2428000"/>
    <n v="3.0373620320793802E-2"/>
    <n v="9417000"/>
    <x v="7"/>
    <x v="1"/>
  </r>
  <r>
    <x v="1238"/>
    <x v="1"/>
    <x v="5"/>
    <s v="Website"/>
    <x v="5"/>
    <n v="1"/>
    <n v="4235000"/>
    <n v="0.124"/>
    <n v="3710000"/>
    <x v="0"/>
    <x v="1"/>
  </r>
  <r>
    <x v="1238"/>
    <x v="2"/>
    <x v="0"/>
    <s v="Website"/>
    <x v="7"/>
    <n v="1"/>
    <n v="3108000"/>
    <n v="9.5000000000000001E-2"/>
    <n v="2813000"/>
    <x v="6"/>
    <x v="1"/>
  </r>
  <r>
    <x v="1238"/>
    <x v="2"/>
    <x v="1"/>
    <s v="Website"/>
    <x v="0"/>
    <n v="2"/>
    <n v="3281000"/>
    <n v="0"/>
    <n v="6562000"/>
    <x v="13"/>
    <x v="1"/>
  </r>
  <r>
    <x v="1238"/>
    <x v="2"/>
    <x v="1"/>
    <s v="Website"/>
    <x v="5"/>
    <n v="3"/>
    <n v="3418000"/>
    <n v="0.15271378894305801"/>
    <n v="8688000"/>
    <x v="0"/>
    <x v="0"/>
  </r>
  <r>
    <x v="1239"/>
    <x v="2"/>
    <x v="2"/>
    <s v="Mobile App"/>
    <x v="6"/>
    <n v="2"/>
    <n v="2843000"/>
    <n v="0.14499999999999999"/>
    <n v="4862000"/>
    <x v="10"/>
    <x v="1"/>
  </r>
  <r>
    <x v="1239"/>
    <x v="0"/>
    <x v="4"/>
    <s v="Website"/>
    <x v="5"/>
    <n v="1"/>
    <n v="2857000"/>
    <n v="0.22115553140043401"/>
    <n v="2225000"/>
    <x v="2"/>
    <x v="1"/>
  </r>
  <r>
    <x v="1239"/>
    <x v="1"/>
    <x v="2"/>
    <s v="Mobile App"/>
    <x v="9"/>
    <n v="2"/>
    <n v="2995000"/>
    <n v="4.8000000000000001E-2"/>
    <n v="5702000"/>
    <x v="11"/>
    <x v="1"/>
  </r>
  <r>
    <x v="1239"/>
    <x v="1"/>
    <x v="0"/>
    <s v="Mobile App"/>
    <x v="8"/>
    <n v="3"/>
    <n v="2214000"/>
    <n v="0.16661433450188001"/>
    <n v="5535000"/>
    <x v="15"/>
    <x v="1"/>
  </r>
  <r>
    <x v="1239"/>
    <x v="2"/>
    <x v="5"/>
    <s v="Mobile App"/>
    <x v="9"/>
    <n v="1"/>
    <n v="5519000"/>
    <n v="7.3049249624786095E-2"/>
    <n v="5116000"/>
    <x v="0"/>
    <x v="1"/>
  </r>
  <r>
    <x v="1240"/>
    <x v="1"/>
    <x v="0"/>
    <s v="Website"/>
    <x v="5"/>
    <n v="2"/>
    <n v="2838000"/>
    <n v="8.6999999999999994E-2"/>
    <n v="5182000"/>
    <x v="10"/>
    <x v="1"/>
  </r>
  <r>
    <x v="1240"/>
    <x v="0"/>
    <x v="1"/>
    <s v="Website"/>
    <x v="5"/>
    <n v="1"/>
    <n v="3551000"/>
    <n v="0.134103082031234"/>
    <n v="3075000"/>
    <x v="15"/>
    <x v="0"/>
  </r>
  <r>
    <x v="1241"/>
    <x v="0"/>
    <x v="0"/>
    <s v="Website"/>
    <x v="4"/>
    <n v="1"/>
    <n v="2708000"/>
    <n v="0.129397335873531"/>
    <n v="2358000"/>
    <x v="5"/>
    <x v="0"/>
  </r>
  <r>
    <x v="1241"/>
    <x v="2"/>
    <x v="3"/>
    <s v="Mobile App"/>
    <x v="0"/>
    <n v="1"/>
    <n v="2644000"/>
    <n v="0.118110937312717"/>
    <n v="2332000"/>
    <x v="14"/>
    <x v="1"/>
  </r>
  <r>
    <x v="1242"/>
    <x v="2"/>
    <x v="2"/>
    <s v="Mobile App"/>
    <x v="8"/>
    <n v="2"/>
    <n v="3752000"/>
    <n v="0.13400000000000001"/>
    <n v="6498000"/>
    <x v="0"/>
    <x v="1"/>
  </r>
  <r>
    <x v="1243"/>
    <x v="3"/>
    <x v="2"/>
    <s v="Agent"/>
    <x v="7"/>
    <n v="3"/>
    <n v="2707000"/>
    <n v="0.14000000000000001"/>
    <n v="6984000"/>
    <x v="15"/>
    <x v="1"/>
  </r>
  <r>
    <x v="1243"/>
    <x v="1"/>
    <x v="5"/>
    <s v="Website"/>
    <x v="0"/>
    <n v="3"/>
    <n v="5574000"/>
    <n v="0.13400000000000001"/>
    <n v="14481000"/>
    <x v="7"/>
    <x v="1"/>
  </r>
  <r>
    <x v="1243"/>
    <x v="3"/>
    <x v="3"/>
    <s v="Website"/>
    <x v="1"/>
    <n v="2"/>
    <n v="2201000"/>
    <n v="4.9041907586034099E-2"/>
    <n v="4186000"/>
    <x v="17"/>
    <x v="1"/>
  </r>
  <r>
    <x v="1243"/>
    <x v="3"/>
    <x v="2"/>
    <s v="Mobile App"/>
    <x v="6"/>
    <n v="1"/>
    <n v="2535000"/>
    <n v="0.19700000000000001"/>
    <n v="2036000"/>
    <x v="4"/>
    <x v="1"/>
  </r>
  <r>
    <x v="1243"/>
    <x v="0"/>
    <x v="5"/>
    <s v="Mobile App"/>
    <x v="1"/>
    <n v="1"/>
    <n v="4896000"/>
    <n v="0.111331391369813"/>
    <n v="4351000"/>
    <x v="1"/>
    <x v="1"/>
  </r>
  <r>
    <x v="1243"/>
    <x v="3"/>
    <x v="1"/>
    <s v="Website"/>
    <x v="8"/>
    <n v="3"/>
    <n v="3181000"/>
    <n v="0.15739999350107201"/>
    <n v="8041000"/>
    <x v="2"/>
    <x v="1"/>
  </r>
  <r>
    <x v="1244"/>
    <x v="1"/>
    <x v="0"/>
    <s v="Mobile App"/>
    <x v="9"/>
    <n v="1"/>
    <n v="2147000"/>
    <n v="0.107"/>
    <n v="1917000"/>
    <x v="5"/>
    <x v="1"/>
  </r>
  <r>
    <x v="1244"/>
    <x v="0"/>
    <x v="5"/>
    <s v="Website"/>
    <x v="1"/>
    <n v="1"/>
    <n v="5962000"/>
    <n v="8.7999999999999995E-2"/>
    <n v="5437000"/>
    <x v="5"/>
    <x v="1"/>
  </r>
  <r>
    <x v="1244"/>
    <x v="2"/>
    <x v="2"/>
    <s v="Agent"/>
    <x v="0"/>
    <n v="3"/>
    <n v="4215000"/>
    <n v="0.13247016063988201"/>
    <n v="10970000"/>
    <x v="0"/>
    <x v="1"/>
  </r>
  <r>
    <x v="1244"/>
    <x v="1"/>
    <x v="3"/>
    <s v="Call Center"/>
    <x v="4"/>
    <n v="1"/>
    <n v="1439000"/>
    <n v="6.0067575915376099E-2"/>
    <n v="1353000"/>
    <x v="10"/>
    <x v="0"/>
  </r>
  <r>
    <x v="1245"/>
    <x v="1"/>
    <x v="5"/>
    <s v="Agent"/>
    <x v="0"/>
    <n v="1"/>
    <n v="5365000"/>
    <n v="0.10299999999999999"/>
    <n v="4815000"/>
    <x v="1"/>
    <x v="0"/>
  </r>
  <r>
    <x v="1245"/>
    <x v="1"/>
    <x v="0"/>
    <s v="Mobile App"/>
    <x v="8"/>
    <n v="5"/>
    <n v="2152000"/>
    <n v="0.12316011129116"/>
    <n v="9435000"/>
    <x v="2"/>
    <x v="1"/>
  </r>
  <r>
    <x v="1246"/>
    <x v="0"/>
    <x v="2"/>
    <s v="Mobile App"/>
    <x v="5"/>
    <n v="1"/>
    <n v="4258000"/>
    <n v="0.13100000000000001"/>
    <n v="3700000"/>
    <x v="9"/>
    <x v="1"/>
  </r>
  <r>
    <x v="1246"/>
    <x v="1"/>
    <x v="5"/>
    <s v="Agent"/>
    <x v="2"/>
    <n v="4"/>
    <n v="4502000"/>
    <n v="6.2068284832810898E-2"/>
    <n v="16890000"/>
    <x v="8"/>
    <x v="0"/>
  </r>
  <r>
    <x v="1246"/>
    <x v="3"/>
    <x v="3"/>
    <s v="Call Center"/>
    <x v="5"/>
    <n v="2"/>
    <n v="2179000"/>
    <n v="0.12612006398989201"/>
    <n v="3808000"/>
    <x v="12"/>
    <x v="1"/>
  </r>
  <r>
    <x v="1247"/>
    <x v="3"/>
    <x v="5"/>
    <s v="Mobile App"/>
    <x v="4"/>
    <n v="2"/>
    <n v="3542000"/>
    <n v="0.13"/>
    <n v="6163000"/>
    <x v="16"/>
    <x v="1"/>
  </r>
  <r>
    <x v="1247"/>
    <x v="2"/>
    <x v="1"/>
    <s v="Website"/>
    <x v="4"/>
    <n v="4"/>
    <n v="2674000"/>
    <n v="0.129"/>
    <n v="9316000"/>
    <x v="2"/>
    <x v="1"/>
  </r>
  <r>
    <x v="1248"/>
    <x v="2"/>
    <x v="0"/>
    <s v="Agent"/>
    <x v="3"/>
    <n v="4"/>
    <n v="2535000"/>
    <n v="0.115585581380493"/>
    <n v="8968000"/>
    <x v="4"/>
    <x v="1"/>
  </r>
  <r>
    <x v="1249"/>
    <x v="3"/>
    <x v="0"/>
    <s v="Website"/>
    <x v="7"/>
    <n v="1"/>
    <n v="2269000"/>
    <n v="0.15506365872599701"/>
    <n v="1917000"/>
    <x v="9"/>
    <x v="1"/>
  </r>
  <r>
    <x v="1249"/>
    <x v="3"/>
    <x v="0"/>
    <s v="Mobile App"/>
    <x v="9"/>
    <n v="2"/>
    <n v="2845000"/>
    <n v="1.66437767392612E-2"/>
    <n v="5595000"/>
    <x v="14"/>
    <x v="1"/>
  </r>
  <r>
    <x v="1249"/>
    <x v="2"/>
    <x v="3"/>
    <s v="Website"/>
    <x v="9"/>
    <n v="2"/>
    <n v="2448000"/>
    <n v="0.10747109589227399"/>
    <n v="4370000"/>
    <x v="8"/>
    <x v="0"/>
  </r>
  <r>
    <x v="1250"/>
    <x v="0"/>
    <x v="0"/>
    <s v="Website"/>
    <x v="9"/>
    <n v="2"/>
    <n v="2610000"/>
    <n v="9.3399014235264796E-2"/>
    <n v="4732000"/>
    <x v="13"/>
    <x v="0"/>
  </r>
  <r>
    <x v="1250"/>
    <x v="2"/>
    <x v="5"/>
    <s v="Agent"/>
    <x v="2"/>
    <n v="1"/>
    <n v="5466000"/>
    <n v="0.19500000000000001"/>
    <n v="4400000"/>
    <x v="10"/>
    <x v="1"/>
  </r>
  <r>
    <x v="1250"/>
    <x v="0"/>
    <x v="2"/>
    <s v="Website"/>
    <x v="9"/>
    <n v="1"/>
    <n v="4079000"/>
    <n v="7.5672719867041605E-2"/>
    <n v="3770000"/>
    <x v="2"/>
    <x v="1"/>
  </r>
  <r>
    <x v="1250"/>
    <x v="3"/>
    <x v="3"/>
    <s v="Mobile App"/>
    <x v="9"/>
    <n v="3"/>
    <n v="2326000"/>
    <n v="8.5999999999999993E-2"/>
    <n v="6378000"/>
    <x v="13"/>
    <x v="1"/>
  </r>
  <r>
    <x v="1250"/>
    <x v="1"/>
    <x v="3"/>
    <s v="Call Center"/>
    <x v="1"/>
    <n v="3"/>
    <n v="2300000"/>
    <n v="6.6966286220317001E-2"/>
    <n v="6438000"/>
    <x v="1"/>
    <x v="1"/>
  </r>
  <r>
    <x v="1251"/>
    <x v="2"/>
    <x v="2"/>
    <s v="Agent"/>
    <x v="1"/>
    <n v="1"/>
    <n v="3004000"/>
    <n v="8.3000000000000004E-2"/>
    <n v="2755000"/>
    <x v="0"/>
    <x v="1"/>
  </r>
  <r>
    <x v="1252"/>
    <x v="0"/>
    <x v="5"/>
    <s v="Mobile App"/>
    <x v="6"/>
    <n v="1"/>
    <n v="4313000"/>
    <n v="0.124"/>
    <n v="3778000"/>
    <x v="5"/>
    <x v="1"/>
  </r>
  <r>
    <x v="1252"/>
    <x v="3"/>
    <x v="5"/>
    <s v="Mobile App"/>
    <x v="0"/>
    <n v="2"/>
    <n v="5060000"/>
    <n v="0.124"/>
    <n v="8865000"/>
    <x v="14"/>
    <x v="0"/>
  </r>
  <r>
    <x v="1252"/>
    <x v="3"/>
    <x v="1"/>
    <s v="Website"/>
    <x v="4"/>
    <n v="2"/>
    <n v="2405000"/>
    <n v="0.145951231368042"/>
    <n v="4108000"/>
    <x v="8"/>
    <x v="1"/>
  </r>
  <r>
    <x v="1253"/>
    <x v="1"/>
    <x v="4"/>
    <s v="Website"/>
    <x v="9"/>
    <n v="3"/>
    <n v="2519000"/>
    <n v="0.15"/>
    <n v="6423000"/>
    <x v="18"/>
    <x v="1"/>
  </r>
  <r>
    <x v="1254"/>
    <x v="3"/>
    <x v="1"/>
    <s v="Website"/>
    <x v="7"/>
    <n v="3"/>
    <n v="2481000"/>
    <n v="0.13100000000000001"/>
    <n v="6468000"/>
    <x v="16"/>
    <x v="1"/>
  </r>
  <r>
    <x v="1254"/>
    <x v="2"/>
    <x v="2"/>
    <s v="Mobile App"/>
    <x v="3"/>
    <n v="3"/>
    <n v="3767000"/>
    <n v="0.16800000000000001"/>
    <n v="9402000"/>
    <x v="7"/>
    <x v="1"/>
  </r>
  <r>
    <x v="1254"/>
    <x v="1"/>
    <x v="0"/>
    <s v="Mobile App"/>
    <x v="5"/>
    <n v="3"/>
    <n v="2680000"/>
    <n v="8.9981981259565802E-2"/>
    <n v="7317000"/>
    <x v="13"/>
    <x v="0"/>
  </r>
  <r>
    <x v="1254"/>
    <x v="2"/>
    <x v="0"/>
    <s v="Mobile App"/>
    <x v="5"/>
    <n v="1"/>
    <n v="2357000"/>
    <n v="0.13500000000000001"/>
    <n v="2039000"/>
    <x v="15"/>
    <x v="1"/>
  </r>
  <r>
    <x v="1255"/>
    <x v="1"/>
    <x v="5"/>
    <s v="Mobile App"/>
    <x v="2"/>
    <n v="1"/>
    <n v="4806000"/>
    <n v="0.13178215087775599"/>
    <n v="4173000"/>
    <x v="5"/>
    <x v="0"/>
  </r>
  <r>
    <x v="1255"/>
    <x v="2"/>
    <x v="0"/>
    <s v="Mobile App"/>
    <x v="2"/>
    <n v="2"/>
    <n v="2782000"/>
    <n v="4.2977683802303698E-2"/>
    <n v="5325000"/>
    <x v="13"/>
    <x v="1"/>
  </r>
  <r>
    <x v="1255"/>
    <x v="1"/>
    <x v="0"/>
    <s v="Website"/>
    <x v="4"/>
    <n v="3"/>
    <n v="2621000"/>
    <n v="7.9543763071919696E-2"/>
    <n v="7238000"/>
    <x v="9"/>
    <x v="1"/>
  </r>
  <r>
    <x v="1256"/>
    <x v="3"/>
    <x v="0"/>
    <s v="Website"/>
    <x v="9"/>
    <n v="1"/>
    <n v="2038000"/>
    <n v="0.13"/>
    <n v="1773000"/>
    <x v="4"/>
    <x v="1"/>
  </r>
  <r>
    <x v="1256"/>
    <x v="3"/>
    <x v="2"/>
    <s v="Website"/>
    <x v="2"/>
    <n v="4"/>
    <n v="4339000"/>
    <n v="0.15917992333543701"/>
    <n v="14593000"/>
    <x v="6"/>
    <x v="1"/>
  </r>
  <r>
    <x v="1256"/>
    <x v="3"/>
    <x v="2"/>
    <s v="Website"/>
    <x v="8"/>
    <n v="2"/>
    <n v="4211000"/>
    <n v="0.10100000000000001"/>
    <n v="7571000"/>
    <x v="17"/>
    <x v="1"/>
  </r>
  <r>
    <x v="1256"/>
    <x v="2"/>
    <x v="5"/>
    <s v="Website"/>
    <x v="0"/>
    <n v="2"/>
    <n v="3558000"/>
    <n v="8.5999999999999993E-2"/>
    <n v="6504000"/>
    <x v="0"/>
    <x v="1"/>
  </r>
  <r>
    <x v="1257"/>
    <x v="1"/>
    <x v="0"/>
    <s v="Mobile App"/>
    <x v="5"/>
    <n v="2"/>
    <n v="2652000"/>
    <n v="0.149597604786255"/>
    <n v="4511000"/>
    <x v="9"/>
    <x v="0"/>
  </r>
  <r>
    <x v="1258"/>
    <x v="3"/>
    <x v="4"/>
    <s v="Website"/>
    <x v="4"/>
    <n v="1"/>
    <n v="2250000"/>
    <n v="0.115"/>
    <n v="1991000"/>
    <x v="13"/>
    <x v="1"/>
  </r>
  <r>
    <x v="1259"/>
    <x v="1"/>
    <x v="2"/>
    <s v="Call Center"/>
    <x v="0"/>
    <n v="3"/>
    <n v="4339000"/>
    <n v="0.124273328080165"/>
    <n v="11399000"/>
    <x v="14"/>
    <x v="1"/>
  </r>
  <r>
    <x v="1259"/>
    <x v="1"/>
    <x v="3"/>
    <s v="Website"/>
    <x v="6"/>
    <n v="2"/>
    <n v="2090000"/>
    <n v="0.121099492267205"/>
    <n v="3674000"/>
    <x v="0"/>
    <x v="0"/>
  </r>
  <r>
    <x v="1259"/>
    <x v="1"/>
    <x v="1"/>
    <s v="Agent"/>
    <x v="2"/>
    <n v="4"/>
    <n v="3663000"/>
    <n v="7.5602511151725199E-2"/>
    <n v="13544000"/>
    <x v="13"/>
    <x v="0"/>
  </r>
  <r>
    <x v="1259"/>
    <x v="3"/>
    <x v="0"/>
    <s v="Agent"/>
    <x v="5"/>
    <n v="2"/>
    <n v="2431000"/>
    <n v="6.7685870359548206E-2"/>
    <n v="4533000"/>
    <x v="13"/>
    <x v="1"/>
  </r>
  <r>
    <x v="1260"/>
    <x v="1"/>
    <x v="4"/>
    <s v="Mobile App"/>
    <x v="4"/>
    <n v="1"/>
    <n v="1912000"/>
    <n v="8.3239187040952595E-2"/>
    <n v="1753000"/>
    <x v="4"/>
    <x v="1"/>
  </r>
  <r>
    <x v="1261"/>
    <x v="2"/>
    <x v="1"/>
    <s v="Website"/>
    <x v="2"/>
    <n v="4"/>
    <n v="3651000"/>
    <n v="5.6743778988839498E-2"/>
    <n v="13775000"/>
    <x v="5"/>
    <x v="1"/>
  </r>
  <r>
    <x v="1261"/>
    <x v="1"/>
    <x v="1"/>
    <s v="Mobile App"/>
    <x v="8"/>
    <n v="4"/>
    <n v="3454000"/>
    <n v="0.16840889908322901"/>
    <n v="11489000"/>
    <x v="2"/>
    <x v="1"/>
  </r>
  <r>
    <x v="1262"/>
    <x v="3"/>
    <x v="1"/>
    <s v="Mobile App"/>
    <x v="6"/>
    <n v="3"/>
    <n v="3448000"/>
    <n v="0.107"/>
    <n v="9237000"/>
    <x v="5"/>
    <x v="1"/>
  </r>
  <r>
    <x v="1262"/>
    <x v="3"/>
    <x v="3"/>
    <s v="Agent"/>
    <x v="7"/>
    <n v="1"/>
    <n v="2017000"/>
    <n v="5.8294011734991401E-2"/>
    <n v="1899000"/>
    <x v="13"/>
    <x v="0"/>
  </r>
  <r>
    <x v="1262"/>
    <x v="1"/>
    <x v="1"/>
    <s v="Website"/>
    <x v="9"/>
    <n v="3"/>
    <n v="3533000"/>
    <n v="0.122829132079168"/>
    <n v="9297000"/>
    <x v="13"/>
    <x v="1"/>
  </r>
  <r>
    <x v="1263"/>
    <x v="3"/>
    <x v="2"/>
    <s v="Agent"/>
    <x v="8"/>
    <n v="4"/>
    <n v="3461000"/>
    <n v="0.11163465256372"/>
    <n v="12299000"/>
    <x v="8"/>
    <x v="0"/>
  </r>
  <r>
    <x v="1264"/>
    <x v="1"/>
    <x v="5"/>
    <s v="Call Center"/>
    <x v="7"/>
    <n v="1"/>
    <n v="5610000"/>
    <n v="0.152"/>
    <n v="4757000"/>
    <x v="13"/>
    <x v="1"/>
  </r>
  <r>
    <x v="1265"/>
    <x v="1"/>
    <x v="1"/>
    <s v="Website"/>
    <x v="9"/>
    <n v="4"/>
    <n v="3549000"/>
    <n v="6.5659205974817503E-2"/>
    <n v="13264000"/>
    <x v="14"/>
    <x v="1"/>
  </r>
  <r>
    <x v="1265"/>
    <x v="1"/>
    <x v="3"/>
    <s v="Website"/>
    <x v="0"/>
    <n v="1"/>
    <n v="2522000"/>
    <n v="0.169241760466814"/>
    <n v="2095000"/>
    <x v="4"/>
    <x v="0"/>
  </r>
  <r>
    <x v="1265"/>
    <x v="1"/>
    <x v="3"/>
    <s v="Website"/>
    <x v="4"/>
    <n v="3"/>
    <n v="1308000"/>
    <n v="9.2203840587457703E-2"/>
    <n v="3562000"/>
    <x v="8"/>
    <x v="0"/>
  </r>
  <r>
    <x v="1266"/>
    <x v="1"/>
    <x v="2"/>
    <s v="Mobile App"/>
    <x v="0"/>
    <n v="1"/>
    <n v="3666000"/>
    <n v="0.11600000000000001"/>
    <n v="3241000"/>
    <x v="12"/>
    <x v="1"/>
  </r>
  <r>
    <x v="1266"/>
    <x v="0"/>
    <x v="2"/>
    <s v="Agent"/>
    <x v="1"/>
    <n v="4"/>
    <n v="3796000"/>
    <n v="0.13300000000000001"/>
    <n v="13165000"/>
    <x v="8"/>
    <x v="1"/>
  </r>
  <r>
    <x v="1266"/>
    <x v="1"/>
    <x v="0"/>
    <s v="Website"/>
    <x v="5"/>
    <n v="4"/>
    <n v="2556000"/>
    <n v="8.4059924929240706E-2"/>
    <n v="9365000"/>
    <x v="6"/>
    <x v="1"/>
  </r>
  <r>
    <x v="1266"/>
    <x v="3"/>
    <x v="5"/>
    <s v="Website"/>
    <x v="2"/>
    <n v="3"/>
    <n v="5022000"/>
    <n v="0.109092481937069"/>
    <n v="13422000"/>
    <x v="13"/>
    <x v="1"/>
  </r>
  <r>
    <x v="1267"/>
    <x v="3"/>
    <x v="2"/>
    <s v="Website"/>
    <x v="7"/>
    <n v="2"/>
    <n v="2496000"/>
    <n v="9.9000000000000005E-2"/>
    <n v="4498000"/>
    <x v="17"/>
    <x v="1"/>
  </r>
  <r>
    <x v="1268"/>
    <x v="3"/>
    <x v="0"/>
    <s v="Website"/>
    <x v="1"/>
    <n v="2"/>
    <n v="1694000"/>
    <n v="2.4E-2"/>
    <n v="3307000"/>
    <x v="15"/>
    <x v="1"/>
  </r>
  <r>
    <x v="1268"/>
    <x v="0"/>
    <x v="4"/>
    <s v="Website"/>
    <x v="4"/>
    <n v="1"/>
    <n v="1783000"/>
    <n v="0.107"/>
    <n v="1592000"/>
    <x v="14"/>
    <x v="1"/>
  </r>
  <r>
    <x v="1268"/>
    <x v="3"/>
    <x v="1"/>
    <s v="Agent"/>
    <x v="3"/>
    <n v="1"/>
    <n v="3208000"/>
    <n v="7.4077667661227004E-2"/>
    <n v="2970000"/>
    <x v="15"/>
    <x v="1"/>
  </r>
  <r>
    <x v="1268"/>
    <x v="0"/>
    <x v="0"/>
    <s v="Agent"/>
    <x v="9"/>
    <n v="3"/>
    <n v="2664000"/>
    <n v="0.118616666103342"/>
    <n v="7044000"/>
    <x v="1"/>
    <x v="1"/>
  </r>
  <r>
    <x v="1269"/>
    <x v="1"/>
    <x v="3"/>
    <s v="Agent"/>
    <x v="2"/>
    <n v="2"/>
    <n v="2518000"/>
    <n v="6.4599928961715194E-2"/>
    <n v="4711000"/>
    <x v="10"/>
    <x v="1"/>
  </r>
  <r>
    <x v="1269"/>
    <x v="3"/>
    <x v="2"/>
    <s v="Call Center"/>
    <x v="8"/>
    <n v="2"/>
    <n v="3634000"/>
    <n v="0.12798456872939001"/>
    <n v="6338000"/>
    <x v="13"/>
    <x v="1"/>
  </r>
  <r>
    <x v="1270"/>
    <x v="3"/>
    <x v="0"/>
    <s v="Mobile App"/>
    <x v="3"/>
    <n v="1"/>
    <n v="2778000"/>
    <n v="0.156251374373855"/>
    <n v="2344000"/>
    <x v="3"/>
    <x v="0"/>
  </r>
  <r>
    <x v="1270"/>
    <x v="3"/>
    <x v="0"/>
    <s v="Website"/>
    <x v="3"/>
    <n v="3"/>
    <n v="2316000"/>
    <n v="0.151467441241735"/>
    <n v="5896000"/>
    <x v="8"/>
    <x v="1"/>
  </r>
  <r>
    <x v="1271"/>
    <x v="3"/>
    <x v="2"/>
    <s v="Mobile App"/>
    <x v="5"/>
    <n v="1"/>
    <n v="3979000"/>
    <n v="0.16326244047740099"/>
    <n v="3329000"/>
    <x v="4"/>
    <x v="1"/>
  </r>
  <r>
    <x v="1272"/>
    <x v="3"/>
    <x v="2"/>
    <s v="Website"/>
    <x v="9"/>
    <n v="1"/>
    <n v="3848000"/>
    <n v="0.14095962508203799"/>
    <n v="3306000"/>
    <x v="0"/>
    <x v="1"/>
  </r>
  <r>
    <x v="1273"/>
    <x v="1"/>
    <x v="5"/>
    <s v="Website"/>
    <x v="6"/>
    <n v="3"/>
    <n v="4413000"/>
    <n v="0.15"/>
    <n v="11253000"/>
    <x v="10"/>
    <x v="1"/>
  </r>
  <r>
    <x v="1274"/>
    <x v="3"/>
    <x v="0"/>
    <s v="Mobile App"/>
    <x v="5"/>
    <n v="1"/>
    <n v="1702000"/>
    <n v="0.16600000000000001"/>
    <n v="1419000"/>
    <x v="16"/>
    <x v="1"/>
  </r>
  <r>
    <x v="1274"/>
    <x v="0"/>
    <x v="4"/>
    <s v="Mobile App"/>
    <x v="5"/>
    <n v="2"/>
    <n v="2332000"/>
    <n v="0.16700000000000001"/>
    <n v="3885000"/>
    <x v="15"/>
    <x v="1"/>
  </r>
  <r>
    <x v="1275"/>
    <x v="2"/>
    <x v="2"/>
    <s v="Website"/>
    <x v="7"/>
    <n v="2"/>
    <n v="3988000"/>
    <n v="0.152"/>
    <n v="6764000"/>
    <x v="13"/>
    <x v="1"/>
  </r>
  <r>
    <x v="1275"/>
    <x v="3"/>
    <x v="2"/>
    <s v="Agent"/>
    <x v="1"/>
    <n v="1"/>
    <n v="3247000"/>
    <n v="9.9738047825669696E-2"/>
    <n v="2923000"/>
    <x v="5"/>
    <x v="1"/>
  </r>
  <r>
    <x v="1276"/>
    <x v="1"/>
    <x v="0"/>
    <s v="Website"/>
    <x v="3"/>
    <n v="1"/>
    <n v="1825000"/>
    <n v="0.20899999999999999"/>
    <n v="1444000"/>
    <x v="17"/>
    <x v="1"/>
  </r>
  <r>
    <x v="1276"/>
    <x v="1"/>
    <x v="2"/>
    <s v="Mobile App"/>
    <x v="5"/>
    <n v="1"/>
    <n v="3881000"/>
    <n v="9.7911861673896095E-2"/>
    <n v="3501000"/>
    <x v="12"/>
    <x v="1"/>
  </r>
  <r>
    <x v="1276"/>
    <x v="3"/>
    <x v="1"/>
    <s v="Mobile App"/>
    <x v="8"/>
    <n v="3"/>
    <n v="3337000"/>
    <n v="0.122278403665981"/>
    <n v="8787000"/>
    <x v="1"/>
    <x v="1"/>
  </r>
  <r>
    <x v="1277"/>
    <x v="3"/>
    <x v="2"/>
    <s v="Mobile App"/>
    <x v="2"/>
    <n v="2"/>
    <n v="4201000"/>
    <n v="0.13100000000000001"/>
    <n v="7301000"/>
    <x v="2"/>
    <x v="1"/>
  </r>
  <r>
    <x v="1277"/>
    <x v="0"/>
    <x v="1"/>
    <s v="Agent"/>
    <x v="7"/>
    <n v="4"/>
    <n v="3096000"/>
    <n v="0.121"/>
    <n v="10886000"/>
    <x v="13"/>
    <x v="1"/>
  </r>
  <r>
    <x v="1278"/>
    <x v="3"/>
    <x v="4"/>
    <s v="Mobile App"/>
    <x v="9"/>
    <n v="3"/>
    <n v="2676000"/>
    <n v="2.6441228317277E-2"/>
    <n v="7816000"/>
    <x v="12"/>
    <x v="1"/>
  </r>
  <r>
    <x v="1278"/>
    <x v="3"/>
    <x v="2"/>
    <s v="Website"/>
    <x v="9"/>
    <n v="1"/>
    <n v="2781000"/>
    <n v="0.11600000000000001"/>
    <n v="2458000"/>
    <x v="13"/>
    <x v="1"/>
  </r>
  <r>
    <x v="1279"/>
    <x v="1"/>
    <x v="3"/>
    <s v="Agent"/>
    <x v="7"/>
    <n v="3"/>
    <n v="1457000"/>
    <n v="9.6000000000000002E-2"/>
    <n v="3951000"/>
    <x v="5"/>
    <x v="1"/>
  </r>
  <r>
    <x v="1279"/>
    <x v="3"/>
    <x v="4"/>
    <s v="Agent"/>
    <x v="5"/>
    <n v="1"/>
    <n v="3117000"/>
    <n v="2.42126160063303E-2"/>
    <n v="3042000"/>
    <x v="12"/>
    <x v="0"/>
  </r>
  <r>
    <x v="1280"/>
    <x v="0"/>
    <x v="1"/>
    <s v="Agent"/>
    <x v="4"/>
    <n v="3"/>
    <n v="2859000"/>
    <n v="7.9088531196301798E-2"/>
    <n v="7899000"/>
    <x v="18"/>
    <x v="1"/>
  </r>
  <r>
    <x v="1280"/>
    <x v="1"/>
    <x v="2"/>
    <s v="Website"/>
    <x v="9"/>
    <n v="1"/>
    <n v="4422000"/>
    <n v="8.4213985514812198E-2"/>
    <n v="4050000"/>
    <x v="2"/>
    <x v="0"/>
  </r>
  <r>
    <x v="1281"/>
    <x v="0"/>
    <x v="1"/>
    <s v="Website"/>
    <x v="3"/>
    <n v="2"/>
    <n v="3488000"/>
    <n v="0.13700000000000001"/>
    <n v="6022000"/>
    <x v="1"/>
    <x v="1"/>
  </r>
  <r>
    <x v="1282"/>
    <x v="2"/>
    <x v="1"/>
    <s v="Agent"/>
    <x v="9"/>
    <n v="2"/>
    <n v="3781000"/>
    <n v="0.145939985885228"/>
    <n v="6458000"/>
    <x v="12"/>
    <x v="1"/>
  </r>
  <r>
    <x v="1283"/>
    <x v="0"/>
    <x v="1"/>
    <s v="Website"/>
    <x v="6"/>
    <n v="1"/>
    <n v="3572000"/>
    <n v="0.14850517529655699"/>
    <n v="3042000"/>
    <x v="6"/>
    <x v="1"/>
  </r>
  <r>
    <x v="1283"/>
    <x v="3"/>
    <x v="0"/>
    <s v="Website"/>
    <x v="2"/>
    <n v="2"/>
    <n v="3670000"/>
    <n v="8.0871957678685505E-2"/>
    <n v="6746000"/>
    <x v="15"/>
    <x v="1"/>
  </r>
  <r>
    <x v="1284"/>
    <x v="0"/>
    <x v="1"/>
    <s v="Agent"/>
    <x v="2"/>
    <n v="1"/>
    <n v="3319000"/>
    <n v="3.4014616668945598E-2"/>
    <n v="3206000"/>
    <x v="4"/>
    <x v="1"/>
  </r>
  <r>
    <x v="1284"/>
    <x v="1"/>
    <x v="2"/>
    <s v="Agent"/>
    <x v="7"/>
    <n v="3"/>
    <n v="3855000"/>
    <n v="7.7876741398831495E-2"/>
    <n v="10664000"/>
    <x v="0"/>
    <x v="1"/>
  </r>
  <r>
    <x v="1284"/>
    <x v="0"/>
    <x v="2"/>
    <s v="Agent"/>
    <x v="1"/>
    <n v="2"/>
    <n v="2685000"/>
    <n v="0"/>
    <n v="5370000"/>
    <x v="6"/>
    <x v="1"/>
  </r>
  <r>
    <x v="1285"/>
    <x v="0"/>
    <x v="0"/>
    <s v="Agent"/>
    <x v="0"/>
    <n v="2"/>
    <n v="2886000"/>
    <n v="6.5921296263329196E-2"/>
    <n v="5392000"/>
    <x v="18"/>
    <x v="1"/>
  </r>
  <r>
    <x v="1286"/>
    <x v="0"/>
    <x v="2"/>
    <s v="Agent"/>
    <x v="1"/>
    <n v="3"/>
    <n v="3390000"/>
    <n v="0.124022268304471"/>
    <n v="8909000"/>
    <x v="3"/>
    <x v="1"/>
  </r>
  <r>
    <x v="1287"/>
    <x v="1"/>
    <x v="5"/>
    <s v="Agent"/>
    <x v="5"/>
    <n v="5"/>
    <n v="5434000"/>
    <n v="6.8054962887004494E-2"/>
    <n v="25321000"/>
    <x v="6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9">
  <r>
    <d v="2022-01-02T00:00:00"/>
    <x v="0"/>
    <s v="Cultural"/>
    <s v="Website"/>
    <x v="0"/>
    <n v="1"/>
    <x v="0"/>
    <n v="0.19670810648009801"/>
    <x v="0"/>
    <x v="0"/>
    <x v="0"/>
  </r>
  <r>
    <d v="2022-01-21T00:00:00"/>
    <x v="1"/>
    <s v="Family"/>
    <s v="Website"/>
    <x v="1"/>
    <n v="3"/>
    <x v="1"/>
    <n v="3.9341020875539097E-2"/>
    <x v="1"/>
    <x v="1"/>
    <x v="1"/>
  </r>
  <r>
    <d v="2022-01-24T00:00:00"/>
    <x v="2"/>
    <s v="Cultural"/>
    <s v="Website"/>
    <x v="2"/>
    <n v="2"/>
    <x v="2"/>
    <n v="0.135739947141994"/>
    <x v="2"/>
    <x v="2"/>
    <x v="0"/>
  </r>
  <r>
    <d v="2022-01-26T00:00:00"/>
    <x v="0"/>
    <s v="Cultural"/>
    <s v="Website"/>
    <x v="0"/>
    <n v="1"/>
    <x v="3"/>
    <n v="0.13082957559797201"/>
    <x v="3"/>
    <x v="2"/>
    <x v="0"/>
  </r>
  <r>
    <d v="2022-01-26T00:00:00"/>
    <x v="3"/>
    <s v="Cultural"/>
    <s v="Website"/>
    <x v="3"/>
    <n v="2"/>
    <x v="4"/>
    <n v="0.12752945891106199"/>
    <x v="4"/>
    <x v="3"/>
    <x v="1"/>
  </r>
  <r>
    <d v="2022-01-31T00:00:00"/>
    <x v="0"/>
    <s v="Family"/>
    <s v="Agent"/>
    <x v="4"/>
    <n v="1"/>
    <x v="5"/>
    <n v="0.11724155160797101"/>
    <x v="5"/>
    <x v="4"/>
    <x v="0"/>
  </r>
  <r>
    <d v="2022-01-31T00:00:00"/>
    <x v="1"/>
    <s v="Beach"/>
    <s v="Agent"/>
    <x v="0"/>
    <n v="3"/>
    <x v="6"/>
    <n v="9.2218774049020596E-2"/>
    <x v="6"/>
    <x v="5"/>
    <x v="0"/>
  </r>
  <r>
    <d v="2022-02-02T00:00:00"/>
    <x v="1"/>
    <s v="Cultural"/>
    <s v="Agent"/>
    <x v="5"/>
    <n v="1"/>
    <x v="7"/>
    <n v="0.114530689529905"/>
    <x v="7"/>
    <x v="0"/>
    <x v="1"/>
  </r>
  <r>
    <d v="2022-02-03T00:00:00"/>
    <x v="3"/>
    <s v="Cultural"/>
    <s v="Website"/>
    <x v="5"/>
    <n v="1"/>
    <x v="8"/>
    <n v="3.5451565775699898E-2"/>
    <x v="8"/>
    <x v="6"/>
    <x v="1"/>
  </r>
  <r>
    <d v="2022-02-06T00:00:00"/>
    <x v="2"/>
    <s v="Beach"/>
    <s v="Website"/>
    <x v="4"/>
    <n v="3"/>
    <x v="9"/>
    <n v="0.15990344961815001"/>
    <x v="9"/>
    <x v="2"/>
    <x v="1"/>
  </r>
  <r>
    <d v="2022-02-06T00:00:00"/>
    <x v="1"/>
    <s v="City Break"/>
    <s v="Agent"/>
    <x v="0"/>
    <n v="2"/>
    <x v="10"/>
    <n v="0.13075929750140999"/>
    <x v="10"/>
    <x v="7"/>
    <x v="1"/>
  </r>
  <r>
    <d v="2022-02-07T00:00:00"/>
    <x v="3"/>
    <s v="Beach"/>
    <s v="Agent"/>
    <x v="3"/>
    <n v="1"/>
    <x v="10"/>
    <n v="0.13075929750140999"/>
    <x v="10"/>
    <x v="1"/>
    <x v="1"/>
  </r>
  <r>
    <d v="2022-02-09T00:00:00"/>
    <x v="0"/>
    <s v="Family"/>
    <s v="Website"/>
    <x v="1"/>
    <n v="3"/>
    <x v="10"/>
    <n v="0.13075929750140999"/>
    <x v="10"/>
    <x v="2"/>
    <x v="0"/>
  </r>
  <r>
    <d v="2022-02-10T00:00:00"/>
    <x v="0"/>
    <s v="Foodie"/>
    <s v="Website"/>
    <x v="5"/>
    <n v="4"/>
    <x v="10"/>
    <n v="0.13075929750140999"/>
    <x v="10"/>
    <x v="1"/>
    <x v="1"/>
  </r>
  <r>
    <d v="2022-02-10T00:00:00"/>
    <x v="1"/>
    <s v="Cultural"/>
    <s v="Agent"/>
    <x v="6"/>
    <n v="1"/>
    <x v="10"/>
    <n v="0.13075929750140999"/>
    <x v="10"/>
    <x v="1"/>
    <x v="1"/>
  </r>
  <r>
    <d v="2022-02-10T00:00:00"/>
    <x v="1"/>
    <s v="Family"/>
    <s v="Mobile App"/>
    <x v="1"/>
    <n v="2"/>
    <x v="10"/>
    <n v="0.13075929750140999"/>
    <x v="10"/>
    <x v="8"/>
    <x v="0"/>
  </r>
  <r>
    <d v="2022-02-13T00:00:00"/>
    <x v="3"/>
    <s v="Cultural"/>
    <s v="Website"/>
    <x v="4"/>
    <n v="1"/>
    <x v="10"/>
    <n v="0.13075929750140999"/>
    <x v="10"/>
    <x v="9"/>
    <x v="1"/>
  </r>
  <r>
    <d v="2022-02-13T00:00:00"/>
    <x v="2"/>
    <s v="Beach"/>
    <s v="Agent"/>
    <x v="4"/>
    <n v="3"/>
    <x v="10"/>
    <n v="0.13075929750140999"/>
    <x v="10"/>
    <x v="8"/>
    <x v="1"/>
  </r>
  <r>
    <d v="2022-02-14T00:00:00"/>
    <x v="2"/>
    <s v="City Break"/>
    <s v="Website"/>
    <x v="7"/>
    <n v="1"/>
    <x v="10"/>
    <n v="0.13075929750140999"/>
    <x v="10"/>
    <x v="10"/>
    <x v="1"/>
  </r>
  <r>
    <d v="2022-02-14T00:00:00"/>
    <x v="1"/>
    <s v="City Break"/>
    <s v="Website"/>
    <x v="2"/>
    <n v="1"/>
    <x v="10"/>
    <n v="0.13075929750140999"/>
    <x v="10"/>
    <x v="1"/>
    <x v="1"/>
  </r>
  <r>
    <d v="2022-02-14T00:00:00"/>
    <x v="1"/>
    <s v="City Break"/>
    <s v="Website"/>
    <x v="2"/>
    <n v="4"/>
    <x v="10"/>
    <n v="0.13075929750140999"/>
    <x v="10"/>
    <x v="1"/>
    <x v="1"/>
  </r>
  <r>
    <d v="2022-02-16T00:00:00"/>
    <x v="0"/>
    <s v="Beach"/>
    <s v="Agent"/>
    <x v="8"/>
    <n v="3"/>
    <x v="10"/>
    <n v="0.13075929750140999"/>
    <x v="10"/>
    <x v="1"/>
    <x v="1"/>
  </r>
  <r>
    <d v="2022-02-18T00:00:00"/>
    <x v="3"/>
    <s v="Beach"/>
    <s v="Mobile App"/>
    <x v="8"/>
    <n v="4"/>
    <x v="10"/>
    <n v="0.13075929750140999"/>
    <x v="10"/>
    <x v="4"/>
    <x v="1"/>
  </r>
  <r>
    <d v="2022-02-18T00:00:00"/>
    <x v="1"/>
    <s v="Cultural"/>
    <s v="Website"/>
    <x v="8"/>
    <n v="1"/>
    <x v="10"/>
    <n v="0.13075929750140999"/>
    <x v="10"/>
    <x v="6"/>
    <x v="1"/>
  </r>
  <r>
    <d v="2022-02-18T00:00:00"/>
    <x v="1"/>
    <s v="Family"/>
    <s v="Website"/>
    <x v="1"/>
    <n v="3"/>
    <x v="10"/>
    <n v="0.13075929750140999"/>
    <x v="10"/>
    <x v="7"/>
    <x v="1"/>
  </r>
  <r>
    <d v="2022-02-19T00:00:00"/>
    <x v="1"/>
    <s v="Beach"/>
    <s v="Website"/>
    <x v="5"/>
    <n v="2"/>
    <x v="10"/>
    <n v="0.13075929750140999"/>
    <x v="10"/>
    <x v="11"/>
    <x v="0"/>
  </r>
  <r>
    <d v="2022-02-19T00:00:00"/>
    <x v="3"/>
    <s v="Cultural"/>
    <s v="Mobile App"/>
    <x v="9"/>
    <n v="1"/>
    <x v="10"/>
    <n v="0.13075929750140999"/>
    <x v="10"/>
    <x v="12"/>
    <x v="0"/>
  </r>
  <r>
    <d v="2022-02-21T00:00:00"/>
    <x v="3"/>
    <s v="Family"/>
    <s v="Website"/>
    <x v="9"/>
    <n v="1"/>
    <x v="10"/>
    <n v="0.13075929750140999"/>
    <x v="10"/>
    <x v="1"/>
    <x v="1"/>
  </r>
  <r>
    <d v="2022-02-21T00:00:00"/>
    <x v="1"/>
    <s v="Family"/>
    <s v="Mobile App"/>
    <x v="8"/>
    <n v="5"/>
    <x v="10"/>
    <n v="0.13075929750140999"/>
    <x v="10"/>
    <x v="2"/>
    <x v="0"/>
  </r>
  <r>
    <d v="2022-02-22T00:00:00"/>
    <x v="1"/>
    <s v="Family"/>
    <s v="Mobile App"/>
    <x v="2"/>
    <n v="1"/>
    <x v="10"/>
    <n v="0.13075929750140999"/>
    <x v="10"/>
    <x v="3"/>
    <x v="0"/>
  </r>
  <r>
    <d v="2022-02-24T00:00:00"/>
    <x v="2"/>
    <s v="Adventure"/>
    <s v="Website"/>
    <x v="6"/>
    <n v="2"/>
    <x v="10"/>
    <n v="0.13075929750140999"/>
    <x v="10"/>
    <x v="6"/>
    <x v="1"/>
  </r>
  <r>
    <d v="2022-02-25T00:00:00"/>
    <x v="2"/>
    <s v="Beach"/>
    <s v="Agent"/>
    <x v="8"/>
    <n v="2"/>
    <x v="10"/>
    <n v="0.13075929750140999"/>
    <x v="10"/>
    <x v="6"/>
    <x v="1"/>
  </r>
  <r>
    <d v="2022-02-26T00:00:00"/>
    <x v="0"/>
    <s v="City Break"/>
    <s v="Website"/>
    <x v="9"/>
    <n v="1"/>
    <x v="10"/>
    <n v="0.13075929750140999"/>
    <x v="10"/>
    <x v="0"/>
    <x v="1"/>
  </r>
  <r>
    <d v="2022-03-01T00:00:00"/>
    <x v="1"/>
    <s v="City Break"/>
    <s v="Website"/>
    <x v="5"/>
    <n v="1"/>
    <x v="10"/>
    <n v="0.13075929750140999"/>
    <x v="10"/>
    <x v="13"/>
    <x v="1"/>
  </r>
  <r>
    <d v="2022-03-03T00:00:00"/>
    <x v="3"/>
    <s v="Cultural"/>
    <s v="Call Center"/>
    <x v="3"/>
    <n v="1"/>
    <x v="10"/>
    <n v="0.13075929750140999"/>
    <x v="10"/>
    <x v="13"/>
    <x v="1"/>
  </r>
  <r>
    <d v="2022-03-04T00:00:00"/>
    <x v="1"/>
    <s v="Family"/>
    <s v="Website"/>
    <x v="8"/>
    <n v="1"/>
    <x v="10"/>
    <n v="0.13075929750140999"/>
    <x v="10"/>
    <x v="13"/>
    <x v="0"/>
  </r>
  <r>
    <d v="2022-03-05T00:00:00"/>
    <x v="3"/>
    <s v="Beach"/>
    <s v="Website"/>
    <x v="7"/>
    <n v="1"/>
    <x v="10"/>
    <n v="0.13075929750140999"/>
    <x v="10"/>
    <x v="0"/>
    <x v="1"/>
  </r>
  <r>
    <d v="2022-03-05T00:00:00"/>
    <x v="0"/>
    <s v="City Break"/>
    <s v="Website"/>
    <x v="6"/>
    <n v="1"/>
    <x v="10"/>
    <n v="0.13075929750140999"/>
    <x v="10"/>
    <x v="2"/>
    <x v="1"/>
  </r>
  <r>
    <d v="2022-03-05T00:00:00"/>
    <x v="1"/>
    <s v="Adventure"/>
    <s v="Agent"/>
    <x v="9"/>
    <n v="2"/>
    <x v="10"/>
    <n v="0.13075929750140999"/>
    <x v="10"/>
    <x v="3"/>
    <x v="1"/>
  </r>
  <r>
    <d v="2022-03-05T00:00:00"/>
    <x v="1"/>
    <s v="Beach"/>
    <s v="Agent"/>
    <x v="2"/>
    <n v="2"/>
    <x v="10"/>
    <n v="0.13075929750140999"/>
    <x v="10"/>
    <x v="3"/>
    <x v="1"/>
  </r>
  <r>
    <d v="2022-03-05T00:00:00"/>
    <x v="1"/>
    <s v="Foodie"/>
    <s v="Mobile App"/>
    <x v="7"/>
    <n v="2"/>
    <x v="10"/>
    <n v="0.13075929750140999"/>
    <x v="10"/>
    <x v="0"/>
    <x v="0"/>
  </r>
  <r>
    <d v="2022-03-06T00:00:00"/>
    <x v="3"/>
    <s v="Adventure"/>
    <s v="Website"/>
    <x v="2"/>
    <n v="2"/>
    <x v="10"/>
    <n v="0.13075929750140999"/>
    <x v="10"/>
    <x v="6"/>
    <x v="0"/>
  </r>
  <r>
    <d v="2022-03-07T00:00:00"/>
    <x v="1"/>
    <s v="Beach"/>
    <s v="Mobile App"/>
    <x v="5"/>
    <n v="4"/>
    <x v="10"/>
    <n v="0.13075929750140999"/>
    <x v="10"/>
    <x v="10"/>
    <x v="1"/>
  </r>
  <r>
    <d v="2022-03-08T00:00:00"/>
    <x v="1"/>
    <s v="Cultural"/>
    <s v="Mobile App"/>
    <x v="9"/>
    <n v="2"/>
    <x v="10"/>
    <n v="0.13075929750140999"/>
    <x v="10"/>
    <x v="2"/>
    <x v="0"/>
  </r>
  <r>
    <d v="2022-03-09T00:00:00"/>
    <x v="0"/>
    <s v="Beach"/>
    <s v="Website"/>
    <x v="5"/>
    <n v="3"/>
    <x v="10"/>
    <n v="0.13075929750140999"/>
    <x v="10"/>
    <x v="4"/>
    <x v="1"/>
  </r>
  <r>
    <d v="2022-03-09T00:00:00"/>
    <x v="1"/>
    <s v="City Break"/>
    <s v="Website"/>
    <x v="7"/>
    <n v="2"/>
    <x v="10"/>
    <n v="0.13075929750140999"/>
    <x v="10"/>
    <x v="0"/>
    <x v="1"/>
  </r>
  <r>
    <d v="2022-03-10T00:00:00"/>
    <x v="3"/>
    <s v="Family"/>
    <s v="Website"/>
    <x v="0"/>
    <n v="3"/>
    <x v="10"/>
    <n v="0.13075929750140999"/>
    <x v="10"/>
    <x v="8"/>
    <x v="1"/>
  </r>
  <r>
    <d v="2022-03-12T00:00:00"/>
    <x v="1"/>
    <s v="Family"/>
    <s v="Agent"/>
    <x v="0"/>
    <n v="2"/>
    <x v="10"/>
    <n v="0.13075929750140999"/>
    <x v="10"/>
    <x v="2"/>
    <x v="1"/>
  </r>
  <r>
    <d v="2022-03-13T00:00:00"/>
    <x v="3"/>
    <s v="City Break"/>
    <s v="Mobile App"/>
    <x v="0"/>
    <n v="3"/>
    <x v="10"/>
    <n v="0.13075929750140999"/>
    <x v="10"/>
    <x v="12"/>
    <x v="0"/>
  </r>
  <r>
    <d v="2022-03-14T00:00:00"/>
    <x v="2"/>
    <s v="Cultural"/>
    <s v="Agent"/>
    <x v="2"/>
    <n v="1"/>
    <x v="10"/>
    <n v="0.13075929750140999"/>
    <x v="10"/>
    <x v="1"/>
    <x v="1"/>
  </r>
  <r>
    <d v="2022-03-14T00:00:00"/>
    <x v="2"/>
    <s v="Foodie"/>
    <s v="Agent"/>
    <x v="0"/>
    <n v="2"/>
    <x v="10"/>
    <n v="0.13075929750140999"/>
    <x v="10"/>
    <x v="14"/>
    <x v="1"/>
  </r>
  <r>
    <d v="2022-03-14T00:00:00"/>
    <x v="3"/>
    <s v="Family"/>
    <s v="Website"/>
    <x v="6"/>
    <n v="4"/>
    <x v="10"/>
    <n v="0.13075929750140999"/>
    <x v="10"/>
    <x v="15"/>
    <x v="1"/>
  </r>
  <r>
    <d v="2022-03-14T00:00:00"/>
    <x v="0"/>
    <s v="Cultural"/>
    <s v="Website"/>
    <x v="4"/>
    <n v="1"/>
    <x v="10"/>
    <n v="0.13075929750140999"/>
    <x v="10"/>
    <x v="2"/>
    <x v="1"/>
  </r>
  <r>
    <d v="2022-03-15T00:00:00"/>
    <x v="3"/>
    <s v="Cultural"/>
    <s v="Website"/>
    <x v="4"/>
    <n v="2"/>
    <x v="10"/>
    <n v="0.13075929750140999"/>
    <x v="10"/>
    <x v="13"/>
    <x v="1"/>
  </r>
  <r>
    <d v="2022-03-15T00:00:00"/>
    <x v="1"/>
    <s v="Cultural"/>
    <s v="Agent"/>
    <x v="0"/>
    <n v="1"/>
    <x v="10"/>
    <n v="0.13075929750140999"/>
    <x v="10"/>
    <x v="16"/>
    <x v="1"/>
  </r>
  <r>
    <d v="2022-03-16T00:00:00"/>
    <x v="1"/>
    <s v="Family"/>
    <s v="Website"/>
    <x v="2"/>
    <n v="2"/>
    <x v="10"/>
    <n v="0.13075929750140999"/>
    <x v="10"/>
    <x v="0"/>
    <x v="1"/>
  </r>
  <r>
    <d v="2022-03-16T00:00:00"/>
    <x v="0"/>
    <s v="Cultural"/>
    <s v="Mobile App"/>
    <x v="2"/>
    <n v="3"/>
    <x v="10"/>
    <n v="0.13075929750140999"/>
    <x v="10"/>
    <x v="11"/>
    <x v="0"/>
  </r>
  <r>
    <d v="2022-03-16T00:00:00"/>
    <x v="2"/>
    <s v="Adventure"/>
    <s v="Website"/>
    <x v="8"/>
    <n v="1"/>
    <x v="10"/>
    <n v="0.13075929750140999"/>
    <x v="10"/>
    <x v="2"/>
    <x v="1"/>
  </r>
  <r>
    <d v="2022-03-16T00:00:00"/>
    <x v="2"/>
    <s v="Family"/>
    <s v="Mobile App"/>
    <x v="6"/>
    <n v="1"/>
    <x v="10"/>
    <n v="0.13075929750140999"/>
    <x v="10"/>
    <x v="1"/>
    <x v="1"/>
  </r>
  <r>
    <d v="2022-03-17T00:00:00"/>
    <x v="3"/>
    <s v="Adventure"/>
    <s v="Agent"/>
    <x v="2"/>
    <n v="1"/>
    <x v="10"/>
    <n v="0.13075929750140999"/>
    <x v="10"/>
    <x v="4"/>
    <x v="1"/>
  </r>
  <r>
    <d v="2022-03-18T00:00:00"/>
    <x v="2"/>
    <s v="City Break"/>
    <s v="Mobile App"/>
    <x v="1"/>
    <n v="2"/>
    <x v="10"/>
    <n v="0.13075929750140999"/>
    <x v="10"/>
    <x v="2"/>
    <x v="1"/>
  </r>
  <r>
    <d v="2022-03-18T00:00:00"/>
    <x v="0"/>
    <s v="Foodie"/>
    <s v="Website"/>
    <x v="0"/>
    <n v="3"/>
    <x v="10"/>
    <n v="0.13075929750140999"/>
    <x v="10"/>
    <x v="8"/>
    <x v="0"/>
  </r>
  <r>
    <d v="2022-03-19T00:00:00"/>
    <x v="3"/>
    <s v="Cultural"/>
    <s v="Website"/>
    <x v="9"/>
    <n v="1"/>
    <x v="10"/>
    <n v="0.13075929750140999"/>
    <x v="10"/>
    <x v="9"/>
    <x v="1"/>
  </r>
  <r>
    <d v="2022-03-20T00:00:00"/>
    <x v="2"/>
    <s v="Beach"/>
    <s v="Mobile App"/>
    <x v="1"/>
    <n v="1"/>
    <x v="10"/>
    <n v="0.13075929750140999"/>
    <x v="10"/>
    <x v="15"/>
    <x v="1"/>
  </r>
  <r>
    <d v="2022-03-21T00:00:00"/>
    <x v="0"/>
    <s v="Family"/>
    <s v="Mobile App"/>
    <x v="6"/>
    <n v="4"/>
    <x v="10"/>
    <n v="0.13075929750140999"/>
    <x v="10"/>
    <x v="5"/>
    <x v="0"/>
  </r>
  <r>
    <d v="2022-03-21T00:00:00"/>
    <x v="1"/>
    <s v="Cultural"/>
    <s v="Website"/>
    <x v="3"/>
    <n v="2"/>
    <x v="10"/>
    <n v="0.13075929750140999"/>
    <x v="10"/>
    <x v="13"/>
    <x v="1"/>
  </r>
  <r>
    <d v="2022-03-21T00:00:00"/>
    <x v="0"/>
    <s v="Foodie"/>
    <s v="Website"/>
    <x v="2"/>
    <n v="2"/>
    <x v="10"/>
    <n v="0.13075929750140999"/>
    <x v="10"/>
    <x v="14"/>
    <x v="0"/>
  </r>
  <r>
    <d v="2022-03-22T00:00:00"/>
    <x v="0"/>
    <s v="Beach"/>
    <s v="Mobile App"/>
    <x v="6"/>
    <n v="1"/>
    <x v="10"/>
    <n v="0.13075929750140999"/>
    <x v="10"/>
    <x v="8"/>
    <x v="0"/>
  </r>
  <r>
    <d v="2022-03-23T00:00:00"/>
    <x v="3"/>
    <s v="Adventure"/>
    <s v="Website"/>
    <x v="0"/>
    <n v="4"/>
    <x v="10"/>
    <n v="0.13075929750140999"/>
    <x v="10"/>
    <x v="3"/>
    <x v="1"/>
  </r>
  <r>
    <d v="2022-03-23T00:00:00"/>
    <x v="3"/>
    <s v="Adventure"/>
    <s v="Website"/>
    <x v="8"/>
    <n v="3"/>
    <x v="10"/>
    <n v="0.13075929750140999"/>
    <x v="10"/>
    <x v="17"/>
    <x v="0"/>
  </r>
  <r>
    <d v="2022-03-23T00:00:00"/>
    <x v="0"/>
    <s v="Adventure"/>
    <s v="Website"/>
    <x v="1"/>
    <n v="1"/>
    <x v="10"/>
    <n v="0.13075929750140999"/>
    <x v="10"/>
    <x v="8"/>
    <x v="1"/>
  </r>
  <r>
    <d v="2022-03-23T00:00:00"/>
    <x v="1"/>
    <s v="City Break"/>
    <s v="Mobile App"/>
    <x v="1"/>
    <n v="1"/>
    <x v="10"/>
    <n v="0.13075929750140999"/>
    <x v="10"/>
    <x v="6"/>
    <x v="0"/>
  </r>
  <r>
    <d v="2022-03-24T00:00:00"/>
    <x v="3"/>
    <s v="Beach"/>
    <s v="Agent"/>
    <x v="7"/>
    <n v="2"/>
    <x v="10"/>
    <n v="0.13075929750140999"/>
    <x v="10"/>
    <x v="9"/>
    <x v="1"/>
  </r>
  <r>
    <d v="2022-03-25T00:00:00"/>
    <x v="3"/>
    <s v="Beach"/>
    <s v="Agent"/>
    <x v="4"/>
    <n v="1"/>
    <x v="10"/>
    <n v="0.13075929750140999"/>
    <x v="10"/>
    <x v="4"/>
    <x v="0"/>
  </r>
  <r>
    <d v="2022-03-25T00:00:00"/>
    <x v="1"/>
    <s v="Foodie"/>
    <s v="Website"/>
    <x v="2"/>
    <n v="1"/>
    <x v="10"/>
    <n v="0.13075929750140999"/>
    <x v="10"/>
    <x v="15"/>
    <x v="1"/>
  </r>
  <r>
    <d v="2022-03-25T00:00:00"/>
    <x v="3"/>
    <s v="Beach"/>
    <s v="Website"/>
    <x v="8"/>
    <n v="3"/>
    <x v="10"/>
    <n v="0.13075929750140999"/>
    <x v="10"/>
    <x v="8"/>
    <x v="0"/>
  </r>
  <r>
    <d v="2022-03-26T00:00:00"/>
    <x v="3"/>
    <s v="Beach"/>
    <s v="Website"/>
    <x v="5"/>
    <n v="1"/>
    <x v="10"/>
    <n v="0.13075929750140999"/>
    <x v="10"/>
    <x v="11"/>
    <x v="0"/>
  </r>
  <r>
    <d v="2022-03-26T00:00:00"/>
    <x v="1"/>
    <s v="Beach"/>
    <s v="Mobile App"/>
    <x v="5"/>
    <n v="2"/>
    <x v="10"/>
    <n v="0.13075929750140999"/>
    <x v="10"/>
    <x v="1"/>
    <x v="1"/>
  </r>
  <r>
    <d v="2022-03-27T00:00:00"/>
    <x v="2"/>
    <s v="Beach"/>
    <s v="Agent"/>
    <x v="2"/>
    <n v="4"/>
    <x v="10"/>
    <n v="0.13075929750140999"/>
    <x v="10"/>
    <x v="16"/>
    <x v="1"/>
  </r>
  <r>
    <d v="2022-03-28T00:00:00"/>
    <x v="3"/>
    <s v="Family"/>
    <s v="Mobile App"/>
    <x v="2"/>
    <n v="2"/>
    <x v="10"/>
    <n v="0.13075929750140999"/>
    <x v="10"/>
    <x v="12"/>
    <x v="1"/>
  </r>
  <r>
    <d v="2022-03-29T00:00:00"/>
    <x v="0"/>
    <s v="Beach"/>
    <s v="Mobile App"/>
    <x v="5"/>
    <n v="4"/>
    <x v="10"/>
    <n v="0.13075929750140999"/>
    <x v="10"/>
    <x v="1"/>
    <x v="1"/>
  </r>
  <r>
    <d v="2022-03-29T00:00:00"/>
    <x v="3"/>
    <s v="Beach"/>
    <s v="Agent"/>
    <x v="0"/>
    <n v="2"/>
    <x v="10"/>
    <n v="0.13075929750140999"/>
    <x v="10"/>
    <x v="6"/>
    <x v="1"/>
  </r>
  <r>
    <d v="2022-03-29T00:00:00"/>
    <x v="1"/>
    <s v="Beach"/>
    <s v="Website"/>
    <x v="5"/>
    <n v="2"/>
    <x v="10"/>
    <n v="0.13075929750140999"/>
    <x v="10"/>
    <x v="2"/>
    <x v="0"/>
  </r>
  <r>
    <d v="2022-03-30T00:00:00"/>
    <x v="2"/>
    <s v="Family"/>
    <s v="Website"/>
    <x v="5"/>
    <n v="4"/>
    <x v="10"/>
    <n v="0.13075929750140999"/>
    <x v="10"/>
    <x v="6"/>
    <x v="0"/>
  </r>
  <r>
    <d v="2022-04-01T00:00:00"/>
    <x v="1"/>
    <s v="Foodie"/>
    <s v="Website"/>
    <x v="0"/>
    <n v="4"/>
    <x v="10"/>
    <n v="0.13075929750140999"/>
    <x v="10"/>
    <x v="15"/>
    <x v="1"/>
  </r>
  <r>
    <d v="2022-04-02T00:00:00"/>
    <x v="2"/>
    <s v="City Break"/>
    <s v="Agent"/>
    <x v="3"/>
    <n v="2"/>
    <x v="10"/>
    <n v="0.13075929750140999"/>
    <x v="10"/>
    <x v="7"/>
    <x v="0"/>
  </r>
  <r>
    <d v="2022-04-02T00:00:00"/>
    <x v="1"/>
    <s v="Family"/>
    <s v="Website"/>
    <x v="8"/>
    <n v="1"/>
    <x v="10"/>
    <n v="0.13075929750140999"/>
    <x v="10"/>
    <x v="12"/>
    <x v="1"/>
  </r>
  <r>
    <d v="2022-04-03T00:00:00"/>
    <x v="0"/>
    <s v="Foodie"/>
    <s v="Website"/>
    <x v="1"/>
    <n v="4"/>
    <x v="10"/>
    <n v="0.13075929750140999"/>
    <x v="10"/>
    <x v="5"/>
    <x v="1"/>
  </r>
  <r>
    <d v="2022-04-03T00:00:00"/>
    <x v="0"/>
    <s v="Cultural"/>
    <s v="Mobile App"/>
    <x v="6"/>
    <n v="1"/>
    <x v="10"/>
    <n v="0.13075929750140999"/>
    <x v="10"/>
    <x v="5"/>
    <x v="1"/>
  </r>
  <r>
    <d v="2022-04-04T00:00:00"/>
    <x v="3"/>
    <s v="City Break"/>
    <s v="Mobile App"/>
    <x v="6"/>
    <n v="2"/>
    <x v="10"/>
    <n v="0.13075929750140999"/>
    <x v="10"/>
    <x v="9"/>
    <x v="0"/>
  </r>
  <r>
    <d v="2022-04-05T00:00:00"/>
    <x v="3"/>
    <s v="Beach"/>
    <s v="Mobile App"/>
    <x v="1"/>
    <n v="1"/>
    <x v="10"/>
    <n v="0.13075929750140999"/>
    <x v="10"/>
    <x v="2"/>
    <x v="1"/>
  </r>
  <r>
    <d v="2022-04-05T00:00:00"/>
    <x v="1"/>
    <s v="Cultural"/>
    <s v="Website"/>
    <x v="3"/>
    <n v="2"/>
    <x v="10"/>
    <n v="0.13075929750140999"/>
    <x v="10"/>
    <x v="3"/>
    <x v="0"/>
  </r>
  <r>
    <d v="2022-04-06T00:00:00"/>
    <x v="3"/>
    <s v="Beach"/>
    <s v="Website"/>
    <x v="9"/>
    <n v="3"/>
    <x v="10"/>
    <n v="0.13075929750140999"/>
    <x v="10"/>
    <x v="12"/>
    <x v="1"/>
  </r>
  <r>
    <d v="2022-04-07T00:00:00"/>
    <x v="3"/>
    <s v="Foodie"/>
    <s v="Mobile App"/>
    <x v="1"/>
    <n v="1"/>
    <x v="10"/>
    <n v="0.13075929750140999"/>
    <x v="10"/>
    <x v="1"/>
    <x v="0"/>
  </r>
  <r>
    <d v="2022-04-07T00:00:00"/>
    <x v="3"/>
    <s v="Cultural"/>
    <s v="Website"/>
    <x v="9"/>
    <n v="2"/>
    <x v="10"/>
    <n v="0.13075929750140999"/>
    <x v="10"/>
    <x v="4"/>
    <x v="1"/>
  </r>
  <r>
    <d v="2022-04-09T00:00:00"/>
    <x v="3"/>
    <s v="City Break"/>
    <s v="Website"/>
    <x v="1"/>
    <n v="1"/>
    <x v="10"/>
    <n v="0.13075929750140999"/>
    <x v="10"/>
    <x v="12"/>
    <x v="0"/>
  </r>
  <r>
    <d v="2022-04-10T00:00:00"/>
    <x v="2"/>
    <s v="Cultural"/>
    <s v="Website"/>
    <x v="7"/>
    <n v="1"/>
    <x v="10"/>
    <n v="0.13075929750140999"/>
    <x v="10"/>
    <x v="5"/>
    <x v="0"/>
  </r>
  <r>
    <d v="2022-04-11T00:00:00"/>
    <x v="0"/>
    <s v="Foodie"/>
    <s v="Website"/>
    <x v="5"/>
    <n v="1"/>
    <x v="10"/>
    <n v="0.13075929750140999"/>
    <x v="10"/>
    <x v="2"/>
    <x v="0"/>
  </r>
  <r>
    <d v="2022-04-12T00:00:00"/>
    <x v="0"/>
    <s v="Beach"/>
    <s v="Agent"/>
    <x v="2"/>
    <n v="1"/>
    <x v="10"/>
    <n v="0.13075929750140999"/>
    <x v="10"/>
    <x v="3"/>
    <x v="1"/>
  </r>
  <r>
    <d v="2022-04-12T00:00:00"/>
    <x v="2"/>
    <s v="Beach"/>
    <s v="Agent"/>
    <x v="8"/>
    <n v="1"/>
    <x v="10"/>
    <n v="0.13075929750140999"/>
    <x v="10"/>
    <x v="6"/>
    <x v="1"/>
  </r>
  <r>
    <d v="2022-04-13T00:00:00"/>
    <x v="3"/>
    <s v="Beach"/>
    <s v="Agent"/>
    <x v="8"/>
    <n v="1"/>
    <x v="10"/>
    <n v="0.13075929750140999"/>
    <x v="10"/>
    <x v="5"/>
    <x v="1"/>
  </r>
  <r>
    <d v="2022-04-13T00:00:00"/>
    <x v="0"/>
    <s v="Foodie"/>
    <s v="Website"/>
    <x v="0"/>
    <n v="2"/>
    <x v="10"/>
    <n v="0.13075929750140999"/>
    <x v="10"/>
    <x v="12"/>
    <x v="1"/>
  </r>
  <r>
    <d v="2022-04-14T00:00:00"/>
    <x v="3"/>
    <s v="Family"/>
    <s v="Website"/>
    <x v="0"/>
    <n v="2"/>
    <x v="10"/>
    <n v="0.13075929750140999"/>
    <x v="10"/>
    <x v="2"/>
    <x v="0"/>
  </r>
  <r>
    <d v="2022-04-14T00:00:00"/>
    <x v="1"/>
    <s v="Cultural"/>
    <s v="Website"/>
    <x v="4"/>
    <n v="4"/>
    <x v="10"/>
    <n v="0.13075929750140999"/>
    <x v="10"/>
    <x v="14"/>
    <x v="0"/>
  </r>
  <r>
    <d v="2022-04-15T00:00:00"/>
    <x v="0"/>
    <s v="Family"/>
    <s v="Agent"/>
    <x v="5"/>
    <n v="1"/>
    <x v="10"/>
    <n v="0.13075929750140999"/>
    <x v="10"/>
    <x v="7"/>
    <x v="0"/>
  </r>
  <r>
    <d v="2022-04-15T00:00:00"/>
    <x v="3"/>
    <s v="City Break"/>
    <s v="Website"/>
    <x v="0"/>
    <n v="1"/>
    <x v="10"/>
    <n v="0.13075929750140999"/>
    <x v="10"/>
    <x v="10"/>
    <x v="0"/>
  </r>
  <r>
    <d v="2022-04-15T00:00:00"/>
    <x v="2"/>
    <s v="Cultural"/>
    <s v="Website"/>
    <x v="1"/>
    <n v="1"/>
    <x v="10"/>
    <n v="0.13075929750140999"/>
    <x v="10"/>
    <x v="13"/>
    <x v="1"/>
  </r>
  <r>
    <d v="2022-04-18T00:00:00"/>
    <x v="0"/>
    <s v="Adventure"/>
    <s v="Website"/>
    <x v="8"/>
    <n v="5"/>
    <x v="10"/>
    <n v="0.13075929750140999"/>
    <x v="10"/>
    <x v="15"/>
    <x v="1"/>
  </r>
  <r>
    <d v="2022-04-18T00:00:00"/>
    <x v="3"/>
    <s v="Cultural"/>
    <s v="Website"/>
    <x v="6"/>
    <n v="2"/>
    <x v="10"/>
    <n v="0.13075929750140999"/>
    <x v="10"/>
    <x v="1"/>
    <x v="1"/>
  </r>
  <r>
    <d v="2022-04-19T00:00:00"/>
    <x v="0"/>
    <s v="Foodie"/>
    <s v="Website"/>
    <x v="6"/>
    <n v="2"/>
    <x v="10"/>
    <n v="0.13075929750140999"/>
    <x v="10"/>
    <x v="14"/>
    <x v="1"/>
  </r>
  <r>
    <d v="2022-04-19T00:00:00"/>
    <x v="0"/>
    <s v="Beach"/>
    <s v="Mobile App"/>
    <x v="6"/>
    <n v="3"/>
    <x v="10"/>
    <n v="0.13075929750140999"/>
    <x v="10"/>
    <x v="6"/>
    <x v="1"/>
  </r>
  <r>
    <d v="2022-04-20T00:00:00"/>
    <x v="1"/>
    <s v="Beach"/>
    <s v="Website"/>
    <x v="0"/>
    <n v="1"/>
    <x v="10"/>
    <n v="0.13075929750140999"/>
    <x v="10"/>
    <x v="6"/>
    <x v="0"/>
  </r>
  <r>
    <d v="2022-04-20T00:00:00"/>
    <x v="0"/>
    <s v="Foodie"/>
    <s v="Website"/>
    <x v="8"/>
    <n v="2"/>
    <x v="10"/>
    <n v="0.13075929750140999"/>
    <x v="10"/>
    <x v="0"/>
    <x v="0"/>
  </r>
  <r>
    <d v="2022-04-20T00:00:00"/>
    <x v="1"/>
    <s v="Beach"/>
    <s v="Mobile App"/>
    <x v="5"/>
    <n v="4"/>
    <x v="10"/>
    <n v="0.13075929750140999"/>
    <x v="10"/>
    <x v="0"/>
    <x v="1"/>
  </r>
  <r>
    <d v="2022-04-20T00:00:00"/>
    <x v="3"/>
    <s v="Cultural"/>
    <s v="Call Center"/>
    <x v="9"/>
    <n v="4"/>
    <x v="10"/>
    <n v="0.13075929750140999"/>
    <x v="10"/>
    <x v="4"/>
    <x v="1"/>
  </r>
  <r>
    <d v="2022-04-22T00:00:00"/>
    <x v="0"/>
    <s v="Beach"/>
    <s v="Website"/>
    <x v="7"/>
    <n v="3"/>
    <x v="10"/>
    <n v="0.13075929750140999"/>
    <x v="10"/>
    <x v="0"/>
    <x v="1"/>
  </r>
  <r>
    <d v="2022-04-22T00:00:00"/>
    <x v="3"/>
    <s v="Cultural"/>
    <s v="Website"/>
    <x v="8"/>
    <n v="3"/>
    <x v="10"/>
    <n v="0.13075929750140999"/>
    <x v="10"/>
    <x v="5"/>
    <x v="0"/>
  </r>
  <r>
    <d v="2022-04-23T00:00:00"/>
    <x v="1"/>
    <s v="Cultural"/>
    <s v="Mobile App"/>
    <x v="7"/>
    <n v="1"/>
    <x v="10"/>
    <n v="0.13075929750140999"/>
    <x v="10"/>
    <x v="5"/>
    <x v="1"/>
  </r>
  <r>
    <d v="2022-04-24T00:00:00"/>
    <x v="3"/>
    <s v="Family"/>
    <s v="Website"/>
    <x v="4"/>
    <n v="2"/>
    <x v="10"/>
    <n v="0.13075929750140999"/>
    <x v="10"/>
    <x v="11"/>
    <x v="0"/>
  </r>
  <r>
    <d v="2022-04-24T00:00:00"/>
    <x v="1"/>
    <s v="Cultural"/>
    <s v="Agent"/>
    <x v="0"/>
    <n v="1"/>
    <x v="10"/>
    <n v="0.13075929750140999"/>
    <x v="10"/>
    <x v="6"/>
    <x v="1"/>
  </r>
  <r>
    <d v="2022-04-25T00:00:00"/>
    <x v="1"/>
    <s v="City Break"/>
    <s v="Agent"/>
    <x v="6"/>
    <n v="3"/>
    <x v="10"/>
    <n v="0.13075929750140999"/>
    <x v="10"/>
    <x v="16"/>
    <x v="0"/>
  </r>
  <r>
    <d v="2022-04-27T00:00:00"/>
    <x v="0"/>
    <s v="Beach"/>
    <s v="Mobile App"/>
    <x v="1"/>
    <n v="1"/>
    <x v="10"/>
    <n v="0.13075929750140999"/>
    <x v="10"/>
    <x v="6"/>
    <x v="1"/>
  </r>
  <r>
    <d v="2022-04-27T00:00:00"/>
    <x v="0"/>
    <s v="Beach"/>
    <s v="Mobile App"/>
    <x v="4"/>
    <n v="4"/>
    <x v="10"/>
    <n v="0.13075929750140999"/>
    <x v="10"/>
    <x v="1"/>
    <x v="1"/>
  </r>
  <r>
    <d v="2022-04-28T00:00:00"/>
    <x v="1"/>
    <s v="Beach"/>
    <s v="Website"/>
    <x v="2"/>
    <n v="1"/>
    <x v="10"/>
    <n v="0.13075929750140999"/>
    <x v="10"/>
    <x v="8"/>
    <x v="1"/>
  </r>
  <r>
    <d v="2022-04-28T00:00:00"/>
    <x v="0"/>
    <s v="Family"/>
    <s v="Website"/>
    <x v="3"/>
    <n v="1"/>
    <x v="10"/>
    <n v="0.13075929750140999"/>
    <x v="10"/>
    <x v="15"/>
    <x v="1"/>
  </r>
  <r>
    <d v="2022-04-28T00:00:00"/>
    <x v="3"/>
    <s v="Foodie"/>
    <s v="Mobile App"/>
    <x v="6"/>
    <n v="2"/>
    <x v="10"/>
    <n v="0.13075929750140999"/>
    <x v="10"/>
    <x v="10"/>
    <x v="1"/>
  </r>
  <r>
    <d v="2022-05-01T00:00:00"/>
    <x v="3"/>
    <s v="Cultural"/>
    <s v="Mobile App"/>
    <x v="9"/>
    <n v="3"/>
    <x v="10"/>
    <n v="0.13075929750140999"/>
    <x v="10"/>
    <x v="10"/>
    <x v="1"/>
  </r>
  <r>
    <d v="2022-05-02T00:00:00"/>
    <x v="0"/>
    <s v="Family"/>
    <s v="Call Center"/>
    <x v="0"/>
    <n v="3"/>
    <x v="10"/>
    <n v="0.13075929750140999"/>
    <x v="10"/>
    <x v="14"/>
    <x v="1"/>
  </r>
  <r>
    <d v="2022-05-02T00:00:00"/>
    <x v="3"/>
    <s v="Family"/>
    <s v="Website"/>
    <x v="8"/>
    <n v="2"/>
    <x v="10"/>
    <n v="0.13075929750140999"/>
    <x v="10"/>
    <x v="3"/>
    <x v="1"/>
  </r>
  <r>
    <d v="2022-05-03T00:00:00"/>
    <x v="3"/>
    <s v="City Break"/>
    <s v="Mobile App"/>
    <x v="7"/>
    <n v="2"/>
    <x v="10"/>
    <n v="0.13075929750140999"/>
    <x v="10"/>
    <x v="1"/>
    <x v="0"/>
  </r>
  <r>
    <d v="2022-05-04T00:00:00"/>
    <x v="0"/>
    <s v="Beach"/>
    <s v="Website"/>
    <x v="5"/>
    <n v="2"/>
    <x v="10"/>
    <n v="0.13075929750140999"/>
    <x v="10"/>
    <x v="8"/>
    <x v="1"/>
  </r>
  <r>
    <d v="2022-05-04T00:00:00"/>
    <x v="0"/>
    <s v="Beach"/>
    <s v="Agent"/>
    <x v="2"/>
    <n v="3"/>
    <x v="10"/>
    <n v="0.13075929750140999"/>
    <x v="10"/>
    <x v="4"/>
    <x v="1"/>
  </r>
  <r>
    <d v="2022-05-05T00:00:00"/>
    <x v="0"/>
    <s v="Foodie"/>
    <s v="Agent"/>
    <x v="2"/>
    <n v="1"/>
    <x v="10"/>
    <n v="0.13075929750140999"/>
    <x v="10"/>
    <x v="6"/>
    <x v="1"/>
  </r>
  <r>
    <d v="2022-05-05T00:00:00"/>
    <x v="1"/>
    <s v="City Break"/>
    <s v="Mobile App"/>
    <x v="6"/>
    <n v="1"/>
    <x v="10"/>
    <n v="0.13075929750140999"/>
    <x v="10"/>
    <x v="6"/>
    <x v="1"/>
  </r>
  <r>
    <d v="2022-05-07T00:00:00"/>
    <x v="0"/>
    <s v="Family"/>
    <s v="Agent"/>
    <x v="5"/>
    <n v="3"/>
    <x v="10"/>
    <n v="0.13075929750140999"/>
    <x v="10"/>
    <x v="17"/>
    <x v="0"/>
  </r>
  <r>
    <d v="2022-05-08T00:00:00"/>
    <x v="3"/>
    <s v="City Break"/>
    <s v="Website"/>
    <x v="8"/>
    <n v="2"/>
    <x v="10"/>
    <n v="0.13075929750140999"/>
    <x v="10"/>
    <x v="4"/>
    <x v="1"/>
  </r>
  <r>
    <d v="2022-05-08T00:00:00"/>
    <x v="1"/>
    <s v="Cultural"/>
    <s v="Mobile App"/>
    <x v="4"/>
    <n v="4"/>
    <x v="10"/>
    <n v="0.13075929750140999"/>
    <x v="10"/>
    <x v="12"/>
    <x v="1"/>
  </r>
  <r>
    <d v="2022-05-08T00:00:00"/>
    <x v="0"/>
    <s v="Beach"/>
    <s v="Mobile App"/>
    <x v="6"/>
    <n v="1"/>
    <x v="10"/>
    <n v="0.13075929750140999"/>
    <x v="10"/>
    <x v="13"/>
    <x v="1"/>
  </r>
  <r>
    <d v="2022-05-09T00:00:00"/>
    <x v="3"/>
    <s v="Adventure"/>
    <s v="Website"/>
    <x v="5"/>
    <n v="1"/>
    <x v="10"/>
    <n v="0.13075929750140999"/>
    <x v="10"/>
    <x v="0"/>
    <x v="1"/>
  </r>
  <r>
    <d v="2022-05-10T00:00:00"/>
    <x v="0"/>
    <s v="Adventure"/>
    <s v="Website"/>
    <x v="6"/>
    <n v="1"/>
    <x v="10"/>
    <n v="0.13075929750140999"/>
    <x v="10"/>
    <x v="0"/>
    <x v="0"/>
  </r>
  <r>
    <d v="2022-05-11T00:00:00"/>
    <x v="3"/>
    <s v="Foodie"/>
    <s v="Website"/>
    <x v="4"/>
    <n v="1"/>
    <x v="10"/>
    <n v="0.13075929750140999"/>
    <x v="10"/>
    <x v="12"/>
    <x v="1"/>
  </r>
  <r>
    <d v="2022-05-11T00:00:00"/>
    <x v="1"/>
    <s v="Cultural"/>
    <s v="Website"/>
    <x v="4"/>
    <n v="2"/>
    <x v="10"/>
    <n v="0.13075929750140999"/>
    <x v="10"/>
    <x v="12"/>
    <x v="1"/>
  </r>
  <r>
    <d v="2022-05-11T00:00:00"/>
    <x v="1"/>
    <s v="Cultural"/>
    <s v="Agent"/>
    <x v="4"/>
    <n v="5"/>
    <x v="10"/>
    <n v="0.13075929750140999"/>
    <x v="10"/>
    <x v="11"/>
    <x v="1"/>
  </r>
  <r>
    <d v="2022-05-13T00:00:00"/>
    <x v="0"/>
    <s v="Cultural"/>
    <s v="Mobile App"/>
    <x v="5"/>
    <n v="1"/>
    <x v="10"/>
    <n v="0.13075929750140999"/>
    <x v="10"/>
    <x v="6"/>
    <x v="1"/>
  </r>
  <r>
    <d v="2022-05-13T00:00:00"/>
    <x v="1"/>
    <s v="Beach"/>
    <s v="Website"/>
    <x v="8"/>
    <n v="1"/>
    <x v="10"/>
    <n v="0.13075929750140999"/>
    <x v="10"/>
    <x v="7"/>
    <x v="0"/>
  </r>
  <r>
    <d v="2022-05-14T00:00:00"/>
    <x v="2"/>
    <s v="Beach"/>
    <s v="Website"/>
    <x v="8"/>
    <n v="1"/>
    <x v="10"/>
    <n v="0.13075929750140999"/>
    <x v="10"/>
    <x v="15"/>
    <x v="1"/>
  </r>
  <r>
    <d v="2022-05-14T00:00:00"/>
    <x v="3"/>
    <s v="Adventure"/>
    <s v="Mobile App"/>
    <x v="9"/>
    <n v="2"/>
    <x v="10"/>
    <n v="0.13075929750140999"/>
    <x v="10"/>
    <x v="0"/>
    <x v="1"/>
  </r>
  <r>
    <d v="2022-05-14T00:00:00"/>
    <x v="1"/>
    <s v="Beach"/>
    <s v="Website"/>
    <x v="8"/>
    <n v="2"/>
    <x v="10"/>
    <n v="0.13075929750140999"/>
    <x v="10"/>
    <x v="13"/>
    <x v="1"/>
  </r>
  <r>
    <d v="2022-05-15T00:00:00"/>
    <x v="3"/>
    <s v="Foodie"/>
    <s v="Agent"/>
    <x v="8"/>
    <n v="2"/>
    <x v="10"/>
    <n v="0.13075929750140999"/>
    <x v="10"/>
    <x v="6"/>
    <x v="0"/>
  </r>
  <r>
    <d v="2022-05-15T00:00:00"/>
    <x v="0"/>
    <s v="Cultural"/>
    <s v="Agent"/>
    <x v="9"/>
    <n v="2"/>
    <x v="10"/>
    <n v="0.13075929750140999"/>
    <x v="10"/>
    <x v="12"/>
    <x v="0"/>
  </r>
  <r>
    <d v="2022-05-15T00:00:00"/>
    <x v="0"/>
    <s v="Foodie"/>
    <s v="Agent"/>
    <x v="7"/>
    <n v="1"/>
    <x v="10"/>
    <n v="0.13075929750140999"/>
    <x v="10"/>
    <x v="7"/>
    <x v="0"/>
  </r>
  <r>
    <d v="2022-05-15T00:00:00"/>
    <x v="3"/>
    <s v="Cultural"/>
    <s v="Website"/>
    <x v="2"/>
    <n v="5"/>
    <x v="10"/>
    <n v="0.13075929750140999"/>
    <x v="10"/>
    <x v="2"/>
    <x v="0"/>
  </r>
  <r>
    <d v="2022-05-16T00:00:00"/>
    <x v="0"/>
    <s v="Foodie"/>
    <s v="Website"/>
    <x v="0"/>
    <n v="1"/>
    <x v="10"/>
    <n v="0.13075929750140999"/>
    <x v="10"/>
    <x v="5"/>
    <x v="1"/>
  </r>
  <r>
    <d v="2022-05-16T00:00:00"/>
    <x v="2"/>
    <s v="Beach"/>
    <s v="Mobile App"/>
    <x v="7"/>
    <n v="1"/>
    <x v="10"/>
    <n v="0.13075929750140999"/>
    <x v="10"/>
    <x v="1"/>
    <x v="1"/>
  </r>
  <r>
    <d v="2022-05-16T00:00:00"/>
    <x v="0"/>
    <s v="Cultural"/>
    <s v="Agent"/>
    <x v="8"/>
    <n v="2"/>
    <x v="10"/>
    <n v="0.13075929750140999"/>
    <x v="10"/>
    <x v="2"/>
    <x v="1"/>
  </r>
  <r>
    <d v="2022-05-16T00:00:00"/>
    <x v="0"/>
    <s v="Adventure"/>
    <s v="Website"/>
    <x v="6"/>
    <n v="1"/>
    <x v="10"/>
    <n v="0.13075929750140999"/>
    <x v="10"/>
    <x v="2"/>
    <x v="0"/>
  </r>
  <r>
    <d v="2022-05-17T00:00:00"/>
    <x v="0"/>
    <s v="Cultural"/>
    <s v="Agent"/>
    <x v="6"/>
    <n v="2"/>
    <x v="10"/>
    <n v="0.13075929750140999"/>
    <x v="10"/>
    <x v="16"/>
    <x v="1"/>
  </r>
  <r>
    <d v="2022-05-17T00:00:00"/>
    <x v="0"/>
    <s v="Cultural"/>
    <s v="Website"/>
    <x v="4"/>
    <n v="2"/>
    <x v="10"/>
    <n v="0.13075929750140999"/>
    <x v="10"/>
    <x v="13"/>
    <x v="1"/>
  </r>
  <r>
    <d v="2022-05-18T00:00:00"/>
    <x v="1"/>
    <s v="Cultural"/>
    <s v="Agent"/>
    <x v="7"/>
    <n v="3"/>
    <x v="10"/>
    <n v="0.13075929750140999"/>
    <x v="10"/>
    <x v="3"/>
    <x v="1"/>
  </r>
  <r>
    <d v="2022-05-19T00:00:00"/>
    <x v="3"/>
    <s v="Beach"/>
    <s v="Agent"/>
    <x v="1"/>
    <n v="3"/>
    <x v="10"/>
    <n v="0.13075929750140999"/>
    <x v="10"/>
    <x v="4"/>
    <x v="1"/>
  </r>
  <r>
    <d v="2022-05-19T00:00:00"/>
    <x v="1"/>
    <s v="Adventure"/>
    <s v="Agent"/>
    <x v="7"/>
    <n v="1"/>
    <x v="10"/>
    <n v="0.13075929750140999"/>
    <x v="10"/>
    <x v="4"/>
    <x v="1"/>
  </r>
  <r>
    <d v="2022-05-19T00:00:00"/>
    <x v="3"/>
    <s v="Cultural"/>
    <s v="Agent"/>
    <x v="1"/>
    <n v="1"/>
    <x v="10"/>
    <n v="0.13075929750140999"/>
    <x v="10"/>
    <x v="14"/>
    <x v="0"/>
  </r>
  <r>
    <d v="2022-05-20T00:00:00"/>
    <x v="1"/>
    <s v="Beach"/>
    <s v="Website"/>
    <x v="7"/>
    <n v="2"/>
    <x v="10"/>
    <n v="0.13075929750140999"/>
    <x v="10"/>
    <x v="5"/>
    <x v="0"/>
  </r>
  <r>
    <d v="2022-05-20T00:00:00"/>
    <x v="1"/>
    <s v="Cultural"/>
    <s v="Agent"/>
    <x v="7"/>
    <n v="3"/>
    <x v="10"/>
    <n v="0.13075929750140999"/>
    <x v="10"/>
    <x v="2"/>
    <x v="0"/>
  </r>
  <r>
    <d v="2022-05-20T00:00:00"/>
    <x v="0"/>
    <s v="Cultural"/>
    <s v="Agent"/>
    <x v="3"/>
    <n v="2"/>
    <x v="10"/>
    <n v="0.13075929750140999"/>
    <x v="10"/>
    <x v="4"/>
    <x v="1"/>
  </r>
  <r>
    <d v="2022-05-20T00:00:00"/>
    <x v="1"/>
    <s v="Family"/>
    <s v="Mobile App"/>
    <x v="2"/>
    <n v="1"/>
    <x v="10"/>
    <n v="0.13075929750140999"/>
    <x v="10"/>
    <x v="12"/>
    <x v="0"/>
  </r>
  <r>
    <d v="2022-05-21T00:00:00"/>
    <x v="1"/>
    <s v="Beach"/>
    <s v="Website"/>
    <x v="0"/>
    <n v="1"/>
    <x v="10"/>
    <n v="0.13075929750140999"/>
    <x v="10"/>
    <x v="9"/>
    <x v="1"/>
  </r>
  <r>
    <d v="2022-05-22T00:00:00"/>
    <x v="1"/>
    <s v="Foodie"/>
    <s v="Website"/>
    <x v="8"/>
    <n v="1"/>
    <x v="10"/>
    <n v="0.13075929750140999"/>
    <x v="10"/>
    <x v="12"/>
    <x v="1"/>
  </r>
  <r>
    <d v="2022-05-22T00:00:00"/>
    <x v="3"/>
    <s v="Beach"/>
    <s v="Website"/>
    <x v="2"/>
    <n v="1"/>
    <x v="10"/>
    <n v="0.13075929750140999"/>
    <x v="10"/>
    <x v="9"/>
    <x v="1"/>
  </r>
  <r>
    <d v="2022-05-22T00:00:00"/>
    <x v="1"/>
    <s v="Cultural"/>
    <s v="Mobile App"/>
    <x v="7"/>
    <n v="1"/>
    <x v="10"/>
    <n v="0.13075929750140999"/>
    <x v="10"/>
    <x v="4"/>
    <x v="1"/>
  </r>
  <r>
    <d v="2022-05-23T00:00:00"/>
    <x v="1"/>
    <s v="Cultural"/>
    <s v="Website"/>
    <x v="4"/>
    <n v="1"/>
    <x v="10"/>
    <n v="0.13075929750140999"/>
    <x v="10"/>
    <x v="14"/>
    <x v="1"/>
  </r>
  <r>
    <d v="2022-05-24T00:00:00"/>
    <x v="2"/>
    <s v="Family"/>
    <s v="Mobile App"/>
    <x v="3"/>
    <n v="2"/>
    <x v="10"/>
    <n v="0.13075929750140999"/>
    <x v="10"/>
    <x v="4"/>
    <x v="1"/>
  </r>
  <r>
    <d v="2022-05-24T00:00:00"/>
    <x v="1"/>
    <s v="Cultural"/>
    <s v="Website"/>
    <x v="7"/>
    <n v="1"/>
    <x v="10"/>
    <n v="0.13075929750140999"/>
    <x v="10"/>
    <x v="4"/>
    <x v="0"/>
  </r>
  <r>
    <d v="2022-05-24T00:00:00"/>
    <x v="3"/>
    <s v="Beach"/>
    <s v="Website"/>
    <x v="8"/>
    <n v="1"/>
    <x v="10"/>
    <n v="0.13075929750140999"/>
    <x v="10"/>
    <x v="7"/>
    <x v="1"/>
  </r>
  <r>
    <d v="2022-05-25T00:00:00"/>
    <x v="3"/>
    <s v="Foodie"/>
    <s v="Call Center"/>
    <x v="3"/>
    <n v="1"/>
    <x v="10"/>
    <n v="0.13075929750140999"/>
    <x v="10"/>
    <x v="12"/>
    <x v="1"/>
  </r>
  <r>
    <d v="2022-05-26T00:00:00"/>
    <x v="3"/>
    <s v="Cultural"/>
    <s v="Website"/>
    <x v="0"/>
    <n v="1"/>
    <x v="10"/>
    <n v="0.13075929750140999"/>
    <x v="10"/>
    <x v="13"/>
    <x v="1"/>
  </r>
  <r>
    <d v="2022-05-26T00:00:00"/>
    <x v="2"/>
    <s v="Cultural"/>
    <s v="Agent"/>
    <x v="0"/>
    <n v="1"/>
    <x v="10"/>
    <n v="0.13075929750140999"/>
    <x v="10"/>
    <x v="12"/>
    <x v="1"/>
  </r>
  <r>
    <d v="2022-05-26T00:00:00"/>
    <x v="2"/>
    <s v="Cultural"/>
    <s v="Agent"/>
    <x v="4"/>
    <n v="2"/>
    <x v="10"/>
    <n v="0.13075929750140999"/>
    <x v="10"/>
    <x v="2"/>
    <x v="0"/>
  </r>
  <r>
    <d v="2022-05-27T00:00:00"/>
    <x v="1"/>
    <s v="Family"/>
    <s v="Website"/>
    <x v="5"/>
    <n v="1"/>
    <x v="10"/>
    <n v="0.13075929750140999"/>
    <x v="10"/>
    <x v="0"/>
    <x v="1"/>
  </r>
  <r>
    <d v="2022-05-27T00:00:00"/>
    <x v="0"/>
    <s v="Adventure"/>
    <s v="Website"/>
    <x v="9"/>
    <n v="2"/>
    <x v="10"/>
    <n v="0.13075929750140999"/>
    <x v="10"/>
    <x v="3"/>
    <x v="1"/>
  </r>
  <r>
    <d v="2022-05-27T00:00:00"/>
    <x v="2"/>
    <s v="Adventure"/>
    <s v="Agent"/>
    <x v="8"/>
    <n v="3"/>
    <x v="10"/>
    <n v="0.13075929750140999"/>
    <x v="10"/>
    <x v="4"/>
    <x v="0"/>
  </r>
  <r>
    <d v="2022-05-28T00:00:00"/>
    <x v="1"/>
    <s v="Foodie"/>
    <s v="Mobile App"/>
    <x v="7"/>
    <n v="3"/>
    <x v="10"/>
    <n v="0.13075929750140999"/>
    <x v="10"/>
    <x v="11"/>
    <x v="1"/>
  </r>
  <r>
    <d v="2022-05-28T00:00:00"/>
    <x v="1"/>
    <s v="Beach"/>
    <s v="Website"/>
    <x v="4"/>
    <n v="1"/>
    <x v="10"/>
    <n v="0.13075929750140999"/>
    <x v="10"/>
    <x v="1"/>
    <x v="1"/>
  </r>
  <r>
    <d v="2022-05-28T00:00:00"/>
    <x v="1"/>
    <s v="Foodie"/>
    <s v="Website"/>
    <x v="6"/>
    <n v="4"/>
    <x v="10"/>
    <n v="0.13075929750140999"/>
    <x v="10"/>
    <x v="17"/>
    <x v="0"/>
  </r>
  <r>
    <d v="2022-05-31T00:00:00"/>
    <x v="1"/>
    <s v="Family"/>
    <s v="Website"/>
    <x v="3"/>
    <n v="2"/>
    <x v="10"/>
    <n v="0.13075929750140999"/>
    <x v="10"/>
    <x v="3"/>
    <x v="1"/>
  </r>
  <r>
    <d v="2022-06-01T00:00:00"/>
    <x v="3"/>
    <s v="Cultural"/>
    <s v="Mobile App"/>
    <x v="5"/>
    <n v="1"/>
    <x v="10"/>
    <n v="0.13075929750140999"/>
    <x v="10"/>
    <x v="12"/>
    <x v="0"/>
  </r>
  <r>
    <d v="2022-06-01T00:00:00"/>
    <x v="2"/>
    <s v="Adventure"/>
    <s v="Website"/>
    <x v="4"/>
    <n v="2"/>
    <x v="10"/>
    <n v="0.13075929750140999"/>
    <x v="10"/>
    <x v="1"/>
    <x v="1"/>
  </r>
  <r>
    <d v="2022-06-02T00:00:00"/>
    <x v="1"/>
    <s v="Beach"/>
    <s v="Agent"/>
    <x v="0"/>
    <n v="3"/>
    <x v="10"/>
    <n v="0.13075929750140999"/>
    <x v="10"/>
    <x v="1"/>
    <x v="1"/>
  </r>
  <r>
    <d v="2022-06-02T00:00:00"/>
    <x v="1"/>
    <s v="Beach"/>
    <s v="Website"/>
    <x v="2"/>
    <n v="3"/>
    <x v="10"/>
    <n v="0.13075929750140999"/>
    <x v="10"/>
    <x v="8"/>
    <x v="0"/>
  </r>
  <r>
    <d v="2022-06-02T00:00:00"/>
    <x v="1"/>
    <s v="Cultural"/>
    <s v="Mobile App"/>
    <x v="7"/>
    <n v="2"/>
    <x v="10"/>
    <n v="0.13075929750140999"/>
    <x v="10"/>
    <x v="13"/>
    <x v="1"/>
  </r>
  <r>
    <d v="2022-06-03T00:00:00"/>
    <x v="1"/>
    <s v="Cultural"/>
    <s v="Agent"/>
    <x v="0"/>
    <n v="3"/>
    <x v="10"/>
    <n v="0.13075929750140999"/>
    <x v="10"/>
    <x v="9"/>
    <x v="0"/>
  </r>
  <r>
    <d v="2022-06-03T00:00:00"/>
    <x v="0"/>
    <s v="Beach"/>
    <s v="Agent"/>
    <x v="8"/>
    <n v="4"/>
    <x v="10"/>
    <n v="0.13075929750140999"/>
    <x v="10"/>
    <x v="0"/>
    <x v="1"/>
  </r>
  <r>
    <d v="2022-06-03T00:00:00"/>
    <x v="1"/>
    <s v="Family"/>
    <s v="Agent"/>
    <x v="2"/>
    <n v="1"/>
    <x v="10"/>
    <n v="0.13075929750140999"/>
    <x v="10"/>
    <x v="3"/>
    <x v="0"/>
  </r>
  <r>
    <d v="2022-06-04T00:00:00"/>
    <x v="2"/>
    <s v="Beach"/>
    <s v="Website"/>
    <x v="0"/>
    <n v="4"/>
    <x v="10"/>
    <n v="0.13075929750140999"/>
    <x v="10"/>
    <x v="18"/>
    <x v="1"/>
  </r>
  <r>
    <d v="2022-06-05T00:00:00"/>
    <x v="2"/>
    <s v="Cultural"/>
    <s v="Website"/>
    <x v="3"/>
    <n v="1"/>
    <x v="10"/>
    <n v="0.13075929750140999"/>
    <x v="10"/>
    <x v="4"/>
    <x v="0"/>
  </r>
  <r>
    <d v="2022-06-05T00:00:00"/>
    <x v="2"/>
    <s v="Family"/>
    <s v="Website"/>
    <x v="8"/>
    <n v="1"/>
    <x v="10"/>
    <n v="0.13075929750140999"/>
    <x v="10"/>
    <x v="0"/>
    <x v="0"/>
  </r>
  <r>
    <d v="2022-06-05T00:00:00"/>
    <x v="1"/>
    <s v="Adventure"/>
    <s v="Mobile App"/>
    <x v="4"/>
    <n v="4"/>
    <x v="10"/>
    <n v="0.13075929750140999"/>
    <x v="10"/>
    <x v="2"/>
    <x v="0"/>
  </r>
  <r>
    <d v="2022-06-06T00:00:00"/>
    <x v="1"/>
    <s v="City Break"/>
    <s v="Agent"/>
    <x v="2"/>
    <n v="1"/>
    <x v="10"/>
    <n v="0.13075929750140999"/>
    <x v="10"/>
    <x v="9"/>
    <x v="1"/>
  </r>
  <r>
    <d v="2022-06-07T00:00:00"/>
    <x v="1"/>
    <s v="Beach"/>
    <s v="Website"/>
    <x v="9"/>
    <n v="2"/>
    <x v="10"/>
    <n v="0.13075929750140999"/>
    <x v="10"/>
    <x v="9"/>
    <x v="1"/>
  </r>
  <r>
    <d v="2022-06-07T00:00:00"/>
    <x v="0"/>
    <s v="City Break"/>
    <s v="Mobile App"/>
    <x v="2"/>
    <n v="4"/>
    <x v="10"/>
    <n v="0.13075929750140999"/>
    <x v="10"/>
    <x v="1"/>
    <x v="1"/>
  </r>
  <r>
    <d v="2022-06-07T00:00:00"/>
    <x v="0"/>
    <s v="City Break"/>
    <s v="Agent"/>
    <x v="0"/>
    <n v="2"/>
    <x v="10"/>
    <n v="0.13075929750140999"/>
    <x v="10"/>
    <x v="2"/>
    <x v="1"/>
  </r>
  <r>
    <d v="2022-06-07T00:00:00"/>
    <x v="1"/>
    <s v="Family"/>
    <s v="Website"/>
    <x v="0"/>
    <n v="3"/>
    <x v="10"/>
    <n v="0.13075929750140999"/>
    <x v="10"/>
    <x v="12"/>
    <x v="0"/>
  </r>
  <r>
    <d v="2022-06-08T00:00:00"/>
    <x v="1"/>
    <s v="City Break"/>
    <s v="Mobile App"/>
    <x v="0"/>
    <n v="2"/>
    <x v="10"/>
    <n v="0.13075929750140999"/>
    <x v="10"/>
    <x v="3"/>
    <x v="0"/>
  </r>
  <r>
    <d v="2022-06-08T00:00:00"/>
    <x v="2"/>
    <s v="City Break"/>
    <s v="Website"/>
    <x v="2"/>
    <n v="2"/>
    <x v="10"/>
    <n v="0.13075929750140999"/>
    <x v="10"/>
    <x v="9"/>
    <x v="1"/>
  </r>
  <r>
    <d v="2022-06-09T00:00:00"/>
    <x v="1"/>
    <s v="Beach"/>
    <s v="Website"/>
    <x v="8"/>
    <n v="5"/>
    <x v="10"/>
    <n v="0.13075929750140999"/>
    <x v="10"/>
    <x v="13"/>
    <x v="1"/>
  </r>
  <r>
    <d v="2022-06-09T00:00:00"/>
    <x v="3"/>
    <s v="Beach"/>
    <s v="Website"/>
    <x v="8"/>
    <n v="3"/>
    <x v="10"/>
    <n v="0.13075929750140999"/>
    <x v="10"/>
    <x v="11"/>
    <x v="0"/>
  </r>
  <r>
    <d v="2022-06-09T00:00:00"/>
    <x v="3"/>
    <s v="Foodie"/>
    <s v="Agent"/>
    <x v="9"/>
    <n v="4"/>
    <x v="10"/>
    <n v="0.13075929750140999"/>
    <x v="10"/>
    <x v="9"/>
    <x v="1"/>
  </r>
  <r>
    <d v="2022-06-09T00:00:00"/>
    <x v="1"/>
    <s v="City Break"/>
    <s v="Agent"/>
    <x v="7"/>
    <n v="2"/>
    <x v="10"/>
    <n v="0.13075929750140999"/>
    <x v="10"/>
    <x v="12"/>
    <x v="1"/>
  </r>
  <r>
    <d v="2022-06-10T00:00:00"/>
    <x v="3"/>
    <s v="Cultural"/>
    <s v="Call Center"/>
    <x v="7"/>
    <n v="3"/>
    <x v="10"/>
    <n v="0.13075929750140999"/>
    <x v="10"/>
    <x v="15"/>
    <x v="1"/>
  </r>
  <r>
    <d v="2022-06-10T00:00:00"/>
    <x v="3"/>
    <s v="Cultural"/>
    <s v="Website"/>
    <x v="5"/>
    <n v="2"/>
    <x v="10"/>
    <n v="0.13075929750140999"/>
    <x v="10"/>
    <x v="12"/>
    <x v="1"/>
  </r>
  <r>
    <d v="2022-06-10T00:00:00"/>
    <x v="3"/>
    <s v="Beach"/>
    <s v="Website"/>
    <x v="5"/>
    <n v="1"/>
    <x v="10"/>
    <n v="0.13075929750140999"/>
    <x v="10"/>
    <x v="4"/>
    <x v="0"/>
  </r>
  <r>
    <d v="2022-06-11T00:00:00"/>
    <x v="3"/>
    <s v="Cultural"/>
    <s v="Mobile App"/>
    <x v="7"/>
    <n v="2"/>
    <x v="10"/>
    <n v="0.13075929750140999"/>
    <x v="10"/>
    <x v="13"/>
    <x v="1"/>
  </r>
  <r>
    <d v="2022-06-11T00:00:00"/>
    <x v="1"/>
    <s v="Adventure"/>
    <s v="Website"/>
    <x v="9"/>
    <n v="1"/>
    <x v="10"/>
    <n v="0.13075929750140999"/>
    <x v="10"/>
    <x v="13"/>
    <x v="0"/>
  </r>
  <r>
    <d v="2022-06-12T00:00:00"/>
    <x v="1"/>
    <s v="Foodie"/>
    <s v="Website"/>
    <x v="1"/>
    <n v="1"/>
    <x v="10"/>
    <n v="0.13075929750140999"/>
    <x v="10"/>
    <x v="5"/>
    <x v="0"/>
  </r>
  <r>
    <d v="2022-06-12T00:00:00"/>
    <x v="3"/>
    <s v="Cultural"/>
    <s v="Website"/>
    <x v="5"/>
    <n v="2"/>
    <x v="10"/>
    <n v="0.13075929750140999"/>
    <x v="10"/>
    <x v="13"/>
    <x v="1"/>
  </r>
  <r>
    <d v="2022-06-12T00:00:00"/>
    <x v="1"/>
    <s v="Adventure"/>
    <s v="Agent"/>
    <x v="1"/>
    <n v="4"/>
    <x v="10"/>
    <n v="0.13075929750140999"/>
    <x v="10"/>
    <x v="1"/>
    <x v="1"/>
  </r>
  <r>
    <d v="2022-06-12T00:00:00"/>
    <x v="0"/>
    <s v="City Break"/>
    <s v="Agent"/>
    <x v="1"/>
    <n v="3"/>
    <x v="10"/>
    <n v="0.13075929750140999"/>
    <x v="10"/>
    <x v="5"/>
    <x v="1"/>
  </r>
  <r>
    <d v="2022-06-12T00:00:00"/>
    <x v="3"/>
    <s v="Foodie"/>
    <s v="Website"/>
    <x v="9"/>
    <n v="2"/>
    <x v="10"/>
    <n v="0.13075929750140999"/>
    <x v="10"/>
    <x v="0"/>
    <x v="1"/>
  </r>
  <r>
    <d v="2022-06-13T00:00:00"/>
    <x v="1"/>
    <s v="City Break"/>
    <s v="Website"/>
    <x v="4"/>
    <n v="3"/>
    <x v="10"/>
    <n v="0.13075929750140999"/>
    <x v="10"/>
    <x v="10"/>
    <x v="1"/>
  </r>
  <r>
    <d v="2022-06-13T00:00:00"/>
    <x v="1"/>
    <s v="Family"/>
    <s v="Website"/>
    <x v="8"/>
    <n v="2"/>
    <x v="10"/>
    <n v="0.13075929750140999"/>
    <x v="10"/>
    <x v="4"/>
    <x v="1"/>
  </r>
  <r>
    <d v="2022-06-14T00:00:00"/>
    <x v="1"/>
    <s v="Cultural"/>
    <s v="Mobile App"/>
    <x v="5"/>
    <n v="3"/>
    <x v="10"/>
    <n v="0.13075929750140999"/>
    <x v="10"/>
    <x v="14"/>
    <x v="1"/>
  </r>
  <r>
    <d v="2022-06-15T00:00:00"/>
    <x v="3"/>
    <s v="Beach"/>
    <s v="Website"/>
    <x v="6"/>
    <n v="3"/>
    <x v="10"/>
    <n v="0.13075929750140999"/>
    <x v="10"/>
    <x v="8"/>
    <x v="1"/>
  </r>
  <r>
    <d v="2022-06-15T00:00:00"/>
    <x v="1"/>
    <s v="Adventure"/>
    <s v="Mobile App"/>
    <x v="6"/>
    <n v="2"/>
    <x v="10"/>
    <n v="0.13075929750140999"/>
    <x v="10"/>
    <x v="15"/>
    <x v="1"/>
  </r>
  <r>
    <d v="2022-06-15T00:00:00"/>
    <x v="3"/>
    <s v="Family"/>
    <s v="Website"/>
    <x v="9"/>
    <n v="2"/>
    <x v="10"/>
    <n v="0.13075929750140999"/>
    <x v="10"/>
    <x v="9"/>
    <x v="0"/>
  </r>
  <r>
    <d v="2022-06-15T00:00:00"/>
    <x v="2"/>
    <s v="Family"/>
    <s v="Agent"/>
    <x v="8"/>
    <n v="1"/>
    <x v="10"/>
    <n v="0.13075929750140999"/>
    <x v="10"/>
    <x v="8"/>
    <x v="1"/>
  </r>
  <r>
    <d v="2022-06-17T00:00:00"/>
    <x v="3"/>
    <s v="Cultural"/>
    <s v="Website"/>
    <x v="1"/>
    <n v="4"/>
    <x v="10"/>
    <n v="0.13075929750140999"/>
    <x v="10"/>
    <x v="13"/>
    <x v="0"/>
  </r>
  <r>
    <d v="2022-06-18T00:00:00"/>
    <x v="3"/>
    <s v="City Break"/>
    <s v="Mobile App"/>
    <x v="5"/>
    <n v="3"/>
    <x v="10"/>
    <n v="0.13075929750140999"/>
    <x v="10"/>
    <x v="12"/>
    <x v="1"/>
  </r>
  <r>
    <d v="2022-06-18T00:00:00"/>
    <x v="2"/>
    <s v="Beach"/>
    <s v="Mobile App"/>
    <x v="5"/>
    <n v="1"/>
    <x v="10"/>
    <n v="0.13075929750140999"/>
    <x v="10"/>
    <x v="4"/>
    <x v="1"/>
  </r>
  <r>
    <d v="2022-06-18T00:00:00"/>
    <x v="1"/>
    <s v="Adventure"/>
    <s v="Website"/>
    <x v="5"/>
    <n v="1"/>
    <x v="10"/>
    <n v="0.13075929750140999"/>
    <x v="10"/>
    <x v="4"/>
    <x v="0"/>
  </r>
  <r>
    <d v="2022-06-18T00:00:00"/>
    <x v="3"/>
    <s v="Cultural"/>
    <s v="Mobile App"/>
    <x v="4"/>
    <n v="2"/>
    <x v="10"/>
    <n v="0.13075929750140999"/>
    <x v="10"/>
    <x v="8"/>
    <x v="1"/>
  </r>
  <r>
    <d v="2022-06-19T00:00:00"/>
    <x v="1"/>
    <s v="Beach"/>
    <s v="Website"/>
    <x v="4"/>
    <n v="1"/>
    <x v="10"/>
    <n v="0.13075929750140999"/>
    <x v="10"/>
    <x v="8"/>
    <x v="0"/>
  </r>
  <r>
    <d v="2022-06-19T00:00:00"/>
    <x v="3"/>
    <s v="City Break"/>
    <s v="Website"/>
    <x v="8"/>
    <n v="1"/>
    <x v="10"/>
    <n v="0.13075929750140999"/>
    <x v="10"/>
    <x v="13"/>
    <x v="1"/>
  </r>
  <r>
    <d v="2022-06-19T00:00:00"/>
    <x v="1"/>
    <s v="Family"/>
    <s v="Mobile App"/>
    <x v="8"/>
    <n v="2"/>
    <x v="10"/>
    <n v="0.13075929750140999"/>
    <x v="10"/>
    <x v="11"/>
    <x v="1"/>
  </r>
  <r>
    <d v="2022-06-19T00:00:00"/>
    <x v="1"/>
    <s v="City Break"/>
    <s v="Website"/>
    <x v="1"/>
    <n v="3"/>
    <x v="10"/>
    <n v="0.13075929750140999"/>
    <x v="10"/>
    <x v="4"/>
    <x v="1"/>
  </r>
  <r>
    <d v="2022-06-20T00:00:00"/>
    <x v="1"/>
    <s v="Foodie"/>
    <s v="Website"/>
    <x v="5"/>
    <n v="2"/>
    <x v="10"/>
    <n v="0.13075929750140999"/>
    <x v="10"/>
    <x v="4"/>
    <x v="0"/>
  </r>
  <r>
    <d v="2022-06-20T00:00:00"/>
    <x v="1"/>
    <s v="Foodie"/>
    <s v="Website"/>
    <x v="3"/>
    <n v="1"/>
    <x v="10"/>
    <n v="0.13075929750140999"/>
    <x v="10"/>
    <x v="1"/>
    <x v="0"/>
  </r>
  <r>
    <d v="2022-06-20T00:00:00"/>
    <x v="1"/>
    <s v="Beach"/>
    <s v="Agent"/>
    <x v="1"/>
    <n v="2"/>
    <x v="10"/>
    <n v="0.13075929750140999"/>
    <x v="10"/>
    <x v="9"/>
    <x v="0"/>
  </r>
  <r>
    <d v="2022-06-22T00:00:00"/>
    <x v="1"/>
    <s v="Beach"/>
    <s v="Agent"/>
    <x v="2"/>
    <n v="3"/>
    <x v="10"/>
    <n v="0.13075929750140999"/>
    <x v="10"/>
    <x v="1"/>
    <x v="1"/>
  </r>
  <r>
    <d v="2022-06-22T00:00:00"/>
    <x v="2"/>
    <s v="Cultural"/>
    <s v="Call Center"/>
    <x v="2"/>
    <n v="1"/>
    <x v="10"/>
    <n v="0.13075929750140999"/>
    <x v="10"/>
    <x v="6"/>
    <x v="1"/>
  </r>
  <r>
    <d v="2022-06-24T00:00:00"/>
    <x v="1"/>
    <s v="Family"/>
    <s v="Call Center"/>
    <x v="4"/>
    <n v="1"/>
    <x v="10"/>
    <n v="0.13075929750140999"/>
    <x v="10"/>
    <x v="12"/>
    <x v="0"/>
  </r>
  <r>
    <d v="2022-06-24T00:00:00"/>
    <x v="1"/>
    <s v="Foodie"/>
    <s v="Mobile App"/>
    <x v="3"/>
    <n v="3"/>
    <x v="10"/>
    <n v="0.13075929750140999"/>
    <x v="10"/>
    <x v="15"/>
    <x v="0"/>
  </r>
  <r>
    <d v="2022-06-24T00:00:00"/>
    <x v="3"/>
    <s v="Beach"/>
    <s v="Website"/>
    <x v="3"/>
    <n v="1"/>
    <x v="10"/>
    <n v="0.13075929750140999"/>
    <x v="10"/>
    <x v="8"/>
    <x v="0"/>
  </r>
  <r>
    <d v="2022-06-26T00:00:00"/>
    <x v="1"/>
    <s v="Family"/>
    <s v="Website"/>
    <x v="3"/>
    <n v="3"/>
    <x v="10"/>
    <n v="0.13075929750140999"/>
    <x v="10"/>
    <x v="6"/>
    <x v="1"/>
  </r>
  <r>
    <d v="2022-06-26T00:00:00"/>
    <x v="1"/>
    <s v="Family"/>
    <s v="Website"/>
    <x v="3"/>
    <n v="4"/>
    <x v="10"/>
    <n v="0.13075929750140999"/>
    <x v="10"/>
    <x v="10"/>
    <x v="1"/>
  </r>
  <r>
    <d v="2022-06-28T00:00:00"/>
    <x v="1"/>
    <s v="Cultural"/>
    <s v="Agent"/>
    <x v="6"/>
    <n v="1"/>
    <x v="10"/>
    <n v="0.13075929750140999"/>
    <x v="10"/>
    <x v="4"/>
    <x v="1"/>
  </r>
  <r>
    <d v="2022-06-29T00:00:00"/>
    <x v="1"/>
    <s v="City Break"/>
    <s v="Mobile App"/>
    <x v="8"/>
    <n v="1"/>
    <x v="10"/>
    <n v="0.13075929750140999"/>
    <x v="10"/>
    <x v="15"/>
    <x v="1"/>
  </r>
  <r>
    <d v="2022-06-29T00:00:00"/>
    <x v="0"/>
    <s v="City Break"/>
    <s v="Website"/>
    <x v="5"/>
    <n v="2"/>
    <x v="10"/>
    <n v="0.13075929750140999"/>
    <x v="10"/>
    <x v="1"/>
    <x v="1"/>
  </r>
  <r>
    <d v="2022-06-30T00:00:00"/>
    <x v="0"/>
    <s v="Adventure"/>
    <s v="Agent"/>
    <x v="4"/>
    <n v="1"/>
    <x v="10"/>
    <n v="0.13075929750140999"/>
    <x v="10"/>
    <x v="12"/>
    <x v="1"/>
  </r>
  <r>
    <d v="2022-06-30T00:00:00"/>
    <x v="1"/>
    <s v="Cultural"/>
    <s v="Mobile App"/>
    <x v="6"/>
    <n v="4"/>
    <x v="10"/>
    <n v="0.13075929750140999"/>
    <x v="10"/>
    <x v="7"/>
    <x v="1"/>
  </r>
  <r>
    <d v="2022-07-01T00:00:00"/>
    <x v="1"/>
    <s v="Beach"/>
    <s v="Website"/>
    <x v="0"/>
    <n v="1"/>
    <x v="10"/>
    <n v="0.13075929750140999"/>
    <x v="10"/>
    <x v="4"/>
    <x v="1"/>
  </r>
  <r>
    <d v="2022-07-01T00:00:00"/>
    <x v="0"/>
    <s v="Beach"/>
    <s v="Agent"/>
    <x v="3"/>
    <n v="1"/>
    <x v="10"/>
    <n v="0.13075929750140999"/>
    <x v="10"/>
    <x v="4"/>
    <x v="0"/>
  </r>
  <r>
    <d v="2022-07-01T00:00:00"/>
    <x v="0"/>
    <s v="Cultural"/>
    <s v="Website"/>
    <x v="1"/>
    <n v="2"/>
    <x v="10"/>
    <n v="0.13075929750140999"/>
    <x v="10"/>
    <x v="9"/>
    <x v="0"/>
  </r>
  <r>
    <d v="2022-07-01T00:00:00"/>
    <x v="0"/>
    <s v="Beach"/>
    <s v="Agent"/>
    <x v="8"/>
    <n v="1"/>
    <x v="10"/>
    <n v="0.13075929750140999"/>
    <x v="10"/>
    <x v="10"/>
    <x v="1"/>
  </r>
  <r>
    <d v="2022-07-01T00:00:00"/>
    <x v="0"/>
    <s v="City Break"/>
    <s v="Agent"/>
    <x v="8"/>
    <n v="1"/>
    <x v="10"/>
    <n v="0.13075929750140999"/>
    <x v="10"/>
    <x v="2"/>
    <x v="1"/>
  </r>
  <r>
    <d v="2022-07-03T00:00:00"/>
    <x v="3"/>
    <s v="Cultural"/>
    <s v="Website"/>
    <x v="7"/>
    <n v="1"/>
    <x v="10"/>
    <n v="0.13075929750140999"/>
    <x v="10"/>
    <x v="2"/>
    <x v="1"/>
  </r>
  <r>
    <d v="2022-07-03T00:00:00"/>
    <x v="0"/>
    <s v="Beach"/>
    <s v="Call Center"/>
    <x v="3"/>
    <n v="2"/>
    <x v="10"/>
    <n v="0.13075929750140999"/>
    <x v="10"/>
    <x v="5"/>
    <x v="1"/>
  </r>
  <r>
    <d v="2022-07-04T00:00:00"/>
    <x v="0"/>
    <s v="Cultural"/>
    <s v="Website"/>
    <x v="8"/>
    <n v="1"/>
    <x v="10"/>
    <n v="0.13075929750140999"/>
    <x v="10"/>
    <x v="0"/>
    <x v="1"/>
  </r>
  <r>
    <d v="2022-07-04T00:00:00"/>
    <x v="3"/>
    <s v="Family"/>
    <s v="Mobile App"/>
    <x v="6"/>
    <n v="2"/>
    <x v="10"/>
    <n v="0.13075929750140999"/>
    <x v="10"/>
    <x v="8"/>
    <x v="1"/>
  </r>
  <r>
    <d v="2022-07-05T00:00:00"/>
    <x v="0"/>
    <s v="Adventure"/>
    <s v="Website"/>
    <x v="6"/>
    <n v="3"/>
    <x v="10"/>
    <n v="0.13075929750140999"/>
    <x v="10"/>
    <x v="0"/>
    <x v="0"/>
  </r>
  <r>
    <d v="2022-07-05T00:00:00"/>
    <x v="0"/>
    <s v="Beach"/>
    <s v="Call Center"/>
    <x v="4"/>
    <n v="1"/>
    <x v="10"/>
    <n v="0.13075929750140999"/>
    <x v="10"/>
    <x v="13"/>
    <x v="1"/>
  </r>
  <r>
    <d v="2022-07-05T00:00:00"/>
    <x v="3"/>
    <s v="Family"/>
    <s v="Mobile App"/>
    <x v="0"/>
    <n v="1"/>
    <x v="10"/>
    <n v="0.13075929750140999"/>
    <x v="10"/>
    <x v="3"/>
    <x v="1"/>
  </r>
  <r>
    <d v="2022-07-05T00:00:00"/>
    <x v="3"/>
    <s v="Adventure"/>
    <s v="Website"/>
    <x v="5"/>
    <n v="2"/>
    <x v="10"/>
    <n v="0.13075929750140999"/>
    <x v="10"/>
    <x v="12"/>
    <x v="1"/>
  </r>
  <r>
    <d v="2022-07-06T00:00:00"/>
    <x v="1"/>
    <s v="Family"/>
    <s v="Agent"/>
    <x v="4"/>
    <n v="3"/>
    <x v="10"/>
    <n v="0.13075929750140999"/>
    <x v="10"/>
    <x v="0"/>
    <x v="0"/>
  </r>
  <r>
    <d v="2022-07-06T00:00:00"/>
    <x v="2"/>
    <s v="Cultural"/>
    <s v="Mobile App"/>
    <x v="0"/>
    <n v="1"/>
    <x v="10"/>
    <n v="0.13075929750140999"/>
    <x v="10"/>
    <x v="5"/>
    <x v="1"/>
  </r>
  <r>
    <d v="2022-07-06T00:00:00"/>
    <x v="2"/>
    <s v="Family"/>
    <s v="Mobile App"/>
    <x v="0"/>
    <n v="2"/>
    <x v="10"/>
    <n v="0.13075929750140999"/>
    <x v="10"/>
    <x v="4"/>
    <x v="0"/>
  </r>
  <r>
    <d v="2022-07-06T00:00:00"/>
    <x v="1"/>
    <s v="Adventure"/>
    <s v="Website"/>
    <x v="0"/>
    <n v="1"/>
    <x v="10"/>
    <n v="0.13075929750140999"/>
    <x v="10"/>
    <x v="14"/>
    <x v="0"/>
  </r>
  <r>
    <d v="2022-07-06T00:00:00"/>
    <x v="0"/>
    <s v="Family"/>
    <s v="Mobile App"/>
    <x v="4"/>
    <n v="2"/>
    <x v="10"/>
    <n v="0.13075929750140999"/>
    <x v="10"/>
    <x v="15"/>
    <x v="0"/>
  </r>
  <r>
    <d v="2022-07-07T00:00:00"/>
    <x v="3"/>
    <s v="Cultural"/>
    <s v="Website"/>
    <x v="1"/>
    <n v="1"/>
    <x v="10"/>
    <n v="0.13075929750140999"/>
    <x v="10"/>
    <x v="10"/>
    <x v="1"/>
  </r>
  <r>
    <d v="2022-07-07T00:00:00"/>
    <x v="3"/>
    <s v="Cultural"/>
    <s v="Agent"/>
    <x v="5"/>
    <n v="3"/>
    <x v="10"/>
    <n v="0.13075929750140999"/>
    <x v="10"/>
    <x v="6"/>
    <x v="1"/>
  </r>
  <r>
    <d v="2022-07-07T00:00:00"/>
    <x v="0"/>
    <s v="City Break"/>
    <s v="Mobile App"/>
    <x v="3"/>
    <n v="3"/>
    <x v="10"/>
    <n v="0.13075929750140999"/>
    <x v="10"/>
    <x v="2"/>
    <x v="1"/>
  </r>
  <r>
    <d v="2022-07-07T00:00:00"/>
    <x v="2"/>
    <s v="Adventure"/>
    <s v="Website"/>
    <x v="8"/>
    <n v="2"/>
    <x v="10"/>
    <n v="0.13075929750140999"/>
    <x v="10"/>
    <x v="6"/>
    <x v="1"/>
  </r>
  <r>
    <d v="2022-07-07T00:00:00"/>
    <x v="0"/>
    <s v="Family"/>
    <s v="Mobile App"/>
    <x v="2"/>
    <n v="2"/>
    <x v="10"/>
    <n v="0.13075929750140999"/>
    <x v="10"/>
    <x v="14"/>
    <x v="1"/>
  </r>
  <r>
    <d v="2022-07-07T00:00:00"/>
    <x v="0"/>
    <s v="Family"/>
    <s v="Mobile App"/>
    <x v="5"/>
    <n v="2"/>
    <x v="10"/>
    <n v="0.13075929750140999"/>
    <x v="10"/>
    <x v="15"/>
    <x v="0"/>
  </r>
  <r>
    <d v="2022-07-09T00:00:00"/>
    <x v="0"/>
    <s v="Cultural"/>
    <s v="Mobile App"/>
    <x v="9"/>
    <n v="3"/>
    <x v="10"/>
    <n v="0.13075929750140999"/>
    <x v="10"/>
    <x v="12"/>
    <x v="1"/>
  </r>
  <r>
    <d v="2022-07-09T00:00:00"/>
    <x v="3"/>
    <s v="Beach"/>
    <s v="Call Center"/>
    <x v="1"/>
    <n v="1"/>
    <x v="10"/>
    <n v="0.13075929750140999"/>
    <x v="10"/>
    <x v="13"/>
    <x v="1"/>
  </r>
  <r>
    <d v="2022-07-09T00:00:00"/>
    <x v="1"/>
    <s v="Beach"/>
    <s v="Mobile App"/>
    <x v="4"/>
    <n v="2"/>
    <x v="10"/>
    <n v="0.13075929750140999"/>
    <x v="10"/>
    <x v="6"/>
    <x v="1"/>
  </r>
  <r>
    <d v="2022-07-11T00:00:00"/>
    <x v="0"/>
    <s v="Beach"/>
    <s v="Website"/>
    <x v="8"/>
    <n v="2"/>
    <x v="10"/>
    <n v="0.13075929750140999"/>
    <x v="10"/>
    <x v="15"/>
    <x v="0"/>
  </r>
  <r>
    <d v="2022-07-13T00:00:00"/>
    <x v="3"/>
    <s v="Foodie"/>
    <s v="Call Center"/>
    <x v="9"/>
    <n v="2"/>
    <x v="10"/>
    <n v="0.13075929750140999"/>
    <x v="10"/>
    <x v="6"/>
    <x v="1"/>
  </r>
  <r>
    <d v="2022-07-14T00:00:00"/>
    <x v="1"/>
    <s v="Beach"/>
    <s v="Website"/>
    <x v="6"/>
    <n v="2"/>
    <x v="10"/>
    <n v="0.13075929750140999"/>
    <x v="10"/>
    <x v="6"/>
    <x v="0"/>
  </r>
  <r>
    <d v="2022-07-14T00:00:00"/>
    <x v="2"/>
    <s v="Beach"/>
    <s v="Website"/>
    <x v="0"/>
    <n v="2"/>
    <x v="10"/>
    <n v="0.13075929750140999"/>
    <x v="10"/>
    <x v="15"/>
    <x v="1"/>
  </r>
  <r>
    <d v="2022-07-15T00:00:00"/>
    <x v="0"/>
    <s v="Cultural"/>
    <s v="Website"/>
    <x v="1"/>
    <n v="1"/>
    <x v="10"/>
    <n v="0.13075929750140999"/>
    <x v="10"/>
    <x v="19"/>
    <x v="0"/>
  </r>
  <r>
    <d v="2022-07-15T00:00:00"/>
    <x v="1"/>
    <s v="Foodie"/>
    <s v="Website"/>
    <x v="0"/>
    <n v="4"/>
    <x v="10"/>
    <n v="0.13075929750140999"/>
    <x v="10"/>
    <x v="10"/>
    <x v="1"/>
  </r>
  <r>
    <d v="2022-07-15T00:00:00"/>
    <x v="1"/>
    <s v="Beach"/>
    <s v="Website"/>
    <x v="4"/>
    <n v="1"/>
    <x v="10"/>
    <n v="0.13075929750140999"/>
    <x v="10"/>
    <x v="8"/>
    <x v="1"/>
  </r>
  <r>
    <d v="2022-07-16T00:00:00"/>
    <x v="3"/>
    <s v="Cultural"/>
    <s v="Mobile App"/>
    <x v="6"/>
    <n v="5"/>
    <x v="10"/>
    <n v="0.13075929750140999"/>
    <x v="10"/>
    <x v="4"/>
    <x v="1"/>
  </r>
  <r>
    <d v="2022-07-16T00:00:00"/>
    <x v="1"/>
    <s v="Beach"/>
    <s v="Website"/>
    <x v="0"/>
    <n v="1"/>
    <x v="10"/>
    <n v="0.13075929750140999"/>
    <x v="10"/>
    <x v="13"/>
    <x v="0"/>
  </r>
  <r>
    <d v="2022-07-17T00:00:00"/>
    <x v="1"/>
    <s v="Adventure"/>
    <s v="Agent"/>
    <x v="9"/>
    <n v="1"/>
    <x v="10"/>
    <n v="0.13075929750140999"/>
    <x v="10"/>
    <x v="5"/>
    <x v="1"/>
  </r>
  <r>
    <d v="2022-07-17T00:00:00"/>
    <x v="1"/>
    <s v="Family"/>
    <s v="Website"/>
    <x v="9"/>
    <n v="4"/>
    <x v="10"/>
    <n v="0.13075929750140999"/>
    <x v="10"/>
    <x v="6"/>
    <x v="1"/>
  </r>
  <r>
    <d v="2022-07-17T00:00:00"/>
    <x v="3"/>
    <s v="Family"/>
    <s v="Website"/>
    <x v="4"/>
    <n v="3"/>
    <x v="10"/>
    <n v="0.13075929750140999"/>
    <x v="10"/>
    <x v="18"/>
    <x v="0"/>
  </r>
  <r>
    <d v="2022-07-17T00:00:00"/>
    <x v="2"/>
    <s v="City Break"/>
    <s v="Call Center"/>
    <x v="7"/>
    <n v="2"/>
    <x v="10"/>
    <n v="0.13075929750140999"/>
    <x v="10"/>
    <x v="4"/>
    <x v="1"/>
  </r>
  <r>
    <d v="2022-07-18T00:00:00"/>
    <x v="2"/>
    <s v="Beach"/>
    <s v="Website"/>
    <x v="0"/>
    <n v="2"/>
    <x v="10"/>
    <n v="0.13075929750140999"/>
    <x v="10"/>
    <x v="6"/>
    <x v="0"/>
  </r>
  <r>
    <d v="2022-07-19T00:00:00"/>
    <x v="3"/>
    <s v="City Break"/>
    <s v="Agent"/>
    <x v="6"/>
    <n v="1"/>
    <x v="10"/>
    <n v="0.13075929750140999"/>
    <x v="10"/>
    <x v="2"/>
    <x v="1"/>
  </r>
  <r>
    <d v="2022-07-19T00:00:00"/>
    <x v="0"/>
    <s v="Cultural"/>
    <s v="Call Center"/>
    <x v="1"/>
    <n v="2"/>
    <x v="10"/>
    <n v="0.13075929750140999"/>
    <x v="10"/>
    <x v="15"/>
    <x v="1"/>
  </r>
  <r>
    <d v="2022-07-20T00:00:00"/>
    <x v="2"/>
    <s v="Family"/>
    <s v="Website"/>
    <x v="2"/>
    <n v="1"/>
    <x v="10"/>
    <n v="0.13075929750140999"/>
    <x v="10"/>
    <x v="5"/>
    <x v="0"/>
  </r>
  <r>
    <d v="2022-07-20T00:00:00"/>
    <x v="0"/>
    <s v="City Break"/>
    <s v="Website"/>
    <x v="2"/>
    <n v="1"/>
    <x v="10"/>
    <n v="0.13075929750140999"/>
    <x v="10"/>
    <x v="14"/>
    <x v="0"/>
  </r>
  <r>
    <d v="2022-07-21T00:00:00"/>
    <x v="1"/>
    <s v="Cultural"/>
    <s v="Website"/>
    <x v="2"/>
    <n v="1"/>
    <x v="10"/>
    <n v="0.13075929750140999"/>
    <x v="10"/>
    <x v="1"/>
    <x v="1"/>
  </r>
  <r>
    <d v="2022-07-21T00:00:00"/>
    <x v="3"/>
    <s v="Adventure"/>
    <s v="Agent"/>
    <x v="4"/>
    <n v="3"/>
    <x v="10"/>
    <n v="0.13075929750140999"/>
    <x v="10"/>
    <x v="14"/>
    <x v="1"/>
  </r>
  <r>
    <d v="2022-07-22T00:00:00"/>
    <x v="1"/>
    <s v="Adventure"/>
    <s v="Agent"/>
    <x v="2"/>
    <n v="3"/>
    <x v="10"/>
    <n v="0.13075929750140999"/>
    <x v="10"/>
    <x v="4"/>
    <x v="1"/>
  </r>
  <r>
    <d v="2022-07-23T00:00:00"/>
    <x v="0"/>
    <s v="Family"/>
    <s v="Mobile App"/>
    <x v="0"/>
    <n v="1"/>
    <x v="10"/>
    <n v="0.13075929750140999"/>
    <x v="10"/>
    <x v="14"/>
    <x v="0"/>
  </r>
  <r>
    <d v="2022-07-23T00:00:00"/>
    <x v="1"/>
    <s v="Family"/>
    <s v="Mobile App"/>
    <x v="9"/>
    <n v="2"/>
    <x v="10"/>
    <n v="0.13075929750140999"/>
    <x v="10"/>
    <x v="7"/>
    <x v="0"/>
  </r>
  <r>
    <d v="2022-07-24T00:00:00"/>
    <x v="0"/>
    <s v="Adventure"/>
    <s v="Agent"/>
    <x v="9"/>
    <n v="1"/>
    <x v="10"/>
    <n v="0.13075929750140999"/>
    <x v="10"/>
    <x v="10"/>
    <x v="1"/>
  </r>
  <r>
    <d v="2022-07-24T00:00:00"/>
    <x v="0"/>
    <s v="Adventure"/>
    <s v="Agent"/>
    <x v="3"/>
    <n v="2"/>
    <x v="10"/>
    <n v="0.13075929750140999"/>
    <x v="10"/>
    <x v="10"/>
    <x v="1"/>
  </r>
  <r>
    <d v="2022-07-25T00:00:00"/>
    <x v="1"/>
    <s v="Cultural"/>
    <s v="Mobile App"/>
    <x v="3"/>
    <n v="2"/>
    <x v="10"/>
    <n v="0.13075929750140999"/>
    <x v="10"/>
    <x v="8"/>
    <x v="1"/>
  </r>
  <r>
    <d v="2022-07-25T00:00:00"/>
    <x v="1"/>
    <s v="Beach"/>
    <s v="Website"/>
    <x v="8"/>
    <n v="3"/>
    <x v="10"/>
    <n v="0.13075929750140999"/>
    <x v="10"/>
    <x v="13"/>
    <x v="1"/>
  </r>
  <r>
    <d v="2022-07-25T00:00:00"/>
    <x v="0"/>
    <s v="Beach"/>
    <s v="Website"/>
    <x v="5"/>
    <n v="2"/>
    <x v="10"/>
    <n v="0.13075929750140999"/>
    <x v="10"/>
    <x v="14"/>
    <x v="1"/>
  </r>
  <r>
    <d v="2022-07-26T00:00:00"/>
    <x v="3"/>
    <s v="Family"/>
    <s v="Website"/>
    <x v="1"/>
    <n v="5"/>
    <x v="10"/>
    <n v="0.13075929750140999"/>
    <x v="10"/>
    <x v="4"/>
    <x v="1"/>
  </r>
  <r>
    <d v="2022-07-26T00:00:00"/>
    <x v="0"/>
    <s v="Adventure"/>
    <s v="Mobile App"/>
    <x v="0"/>
    <n v="3"/>
    <x v="10"/>
    <n v="0.13075929750140999"/>
    <x v="10"/>
    <x v="1"/>
    <x v="0"/>
  </r>
  <r>
    <d v="2022-07-26T00:00:00"/>
    <x v="3"/>
    <s v="Beach"/>
    <s v="Website"/>
    <x v="2"/>
    <n v="2"/>
    <x v="10"/>
    <n v="0.13075929750140999"/>
    <x v="10"/>
    <x v="6"/>
    <x v="1"/>
  </r>
  <r>
    <d v="2022-07-26T00:00:00"/>
    <x v="1"/>
    <s v="Cultural"/>
    <s v="Mobile App"/>
    <x v="8"/>
    <n v="3"/>
    <x v="10"/>
    <n v="0.13075929750140999"/>
    <x v="10"/>
    <x v="12"/>
    <x v="0"/>
  </r>
  <r>
    <d v="2022-07-27T00:00:00"/>
    <x v="3"/>
    <s v="Adventure"/>
    <s v="Website"/>
    <x v="9"/>
    <n v="1"/>
    <x v="10"/>
    <n v="0.13075929750140999"/>
    <x v="10"/>
    <x v="9"/>
    <x v="1"/>
  </r>
  <r>
    <d v="2022-07-28T00:00:00"/>
    <x v="2"/>
    <s v="Foodie"/>
    <s v="Website"/>
    <x v="7"/>
    <n v="1"/>
    <x v="10"/>
    <n v="0.13075929750140999"/>
    <x v="10"/>
    <x v="13"/>
    <x v="0"/>
  </r>
  <r>
    <d v="2022-07-28T00:00:00"/>
    <x v="0"/>
    <s v="Adventure"/>
    <s v="Website"/>
    <x v="6"/>
    <n v="1"/>
    <x v="10"/>
    <n v="0.13075929750140999"/>
    <x v="10"/>
    <x v="15"/>
    <x v="1"/>
  </r>
  <r>
    <d v="2022-07-28T00:00:00"/>
    <x v="2"/>
    <s v="Adventure"/>
    <s v="Website"/>
    <x v="1"/>
    <n v="4"/>
    <x v="10"/>
    <n v="0.13075929750140999"/>
    <x v="10"/>
    <x v="2"/>
    <x v="1"/>
  </r>
  <r>
    <d v="2022-07-29T00:00:00"/>
    <x v="3"/>
    <s v="Cultural"/>
    <s v="Mobile App"/>
    <x v="1"/>
    <n v="2"/>
    <x v="10"/>
    <n v="0.13075929750140999"/>
    <x v="10"/>
    <x v="17"/>
    <x v="0"/>
  </r>
  <r>
    <d v="2022-07-29T00:00:00"/>
    <x v="1"/>
    <s v="Family"/>
    <s v="Mobile App"/>
    <x v="2"/>
    <n v="1"/>
    <x v="10"/>
    <n v="0.13075929750140999"/>
    <x v="10"/>
    <x v="4"/>
    <x v="1"/>
  </r>
  <r>
    <d v="2022-07-29T00:00:00"/>
    <x v="0"/>
    <s v="Cultural"/>
    <s v="Agent"/>
    <x v="2"/>
    <n v="1"/>
    <x v="10"/>
    <n v="0.13075929750140999"/>
    <x v="10"/>
    <x v="9"/>
    <x v="1"/>
  </r>
  <r>
    <d v="2022-07-31T00:00:00"/>
    <x v="0"/>
    <s v="Cultural"/>
    <s v="Agent"/>
    <x v="0"/>
    <n v="2"/>
    <x v="10"/>
    <n v="0.13075929750140999"/>
    <x v="10"/>
    <x v="15"/>
    <x v="1"/>
  </r>
  <r>
    <d v="2022-07-31T00:00:00"/>
    <x v="3"/>
    <s v="Cultural"/>
    <s v="Website"/>
    <x v="5"/>
    <n v="1"/>
    <x v="10"/>
    <n v="0.13075929750140999"/>
    <x v="10"/>
    <x v="9"/>
    <x v="1"/>
  </r>
  <r>
    <d v="2022-07-31T00:00:00"/>
    <x v="1"/>
    <s v="Adventure"/>
    <s v="Website"/>
    <x v="5"/>
    <n v="1"/>
    <x v="10"/>
    <n v="0.13075929750140999"/>
    <x v="10"/>
    <x v="12"/>
    <x v="0"/>
  </r>
  <r>
    <d v="2022-08-01T00:00:00"/>
    <x v="3"/>
    <s v="Family"/>
    <s v="Website"/>
    <x v="6"/>
    <n v="4"/>
    <x v="10"/>
    <n v="0.13075929750140999"/>
    <x v="10"/>
    <x v="6"/>
    <x v="1"/>
  </r>
  <r>
    <d v="2022-08-01T00:00:00"/>
    <x v="3"/>
    <s v="Family"/>
    <s v="Website"/>
    <x v="0"/>
    <n v="1"/>
    <x v="10"/>
    <n v="0.13075929750140999"/>
    <x v="10"/>
    <x v="19"/>
    <x v="0"/>
  </r>
  <r>
    <d v="2022-08-02T00:00:00"/>
    <x v="0"/>
    <s v="Cultural"/>
    <s v="Mobile App"/>
    <x v="4"/>
    <n v="1"/>
    <x v="10"/>
    <n v="0.13075929750140999"/>
    <x v="10"/>
    <x v="9"/>
    <x v="0"/>
  </r>
  <r>
    <d v="2022-08-02T00:00:00"/>
    <x v="0"/>
    <s v="Beach"/>
    <s v="Mobile App"/>
    <x v="9"/>
    <n v="2"/>
    <x v="10"/>
    <n v="0.13075929750140999"/>
    <x v="10"/>
    <x v="8"/>
    <x v="1"/>
  </r>
  <r>
    <d v="2022-08-03T00:00:00"/>
    <x v="0"/>
    <s v="Beach"/>
    <s v="Website"/>
    <x v="2"/>
    <n v="1"/>
    <x v="10"/>
    <n v="0.13075929750140999"/>
    <x v="10"/>
    <x v="12"/>
    <x v="0"/>
  </r>
  <r>
    <d v="2022-08-03T00:00:00"/>
    <x v="0"/>
    <s v="Foodie"/>
    <s v="Mobile App"/>
    <x v="8"/>
    <n v="1"/>
    <x v="10"/>
    <n v="0.13075929750140999"/>
    <x v="10"/>
    <x v="15"/>
    <x v="1"/>
  </r>
  <r>
    <d v="2022-08-03T00:00:00"/>
    <x v="3"/>
    <s v="Adventure"/>
    <s v="Agent"/>
    <x v="2"/>
    <n v="1"/>
    <x v="10"/>
    <n v="0.13075929750140999"/>
    <x v="10"/>
    <x v="8"/>
    <x v="0"/>
  </r>
  <r>
    <d v="2022-08-03T00:00:00"/>
    <x v="1"/>
    <s v="Foodie"/>
    <s v="Website"/>
    <x v="3"/>
    <n v="1"/>
    <x v="10"/>
    <n v="0.13075929750140999"/>
    <x v="10"/>
    <x v="2"/>
    <x v="1"/>
  </r>
  <r>
    <d v="2022-08-05T00:00:00"/>
    <x v="1"/>
    <s v="Beach"/>
    <s v="Website"/>
    <x v="5"/>
    <n v="1"/>
    <x v="10"/>
    <n v="0.13075929750140999"/>
    <x v="10"/>
    <x v="0"/>
    <x v="1"/>
  </r>
  <r>
    <d v="2022-08-06T00:00:00"/>
    <x v="1"/>
    <s v="Family"/>
    <s v="Agent"/>
    <x v="7"/>
    <n v="3"/>
    <x v="10"/>
    <n v="0.13075929750140999"/>
    <x v="10"/>
    <x v="8"/>
    <x v="0"/>
  </r>
  <r>
    <d v="2022-08-06T00:00:00"/>
    <x v="2"/>
    <s v="Family"/>
    <s v="Website"/>
    <x v="4"/>
    <n v="1"/>
    <x v="10"/>
    <n v="0.13075929750140999"/>
    <x v="10"/>
    <x v="15"/>
    <x v="0"/>
  </r>
  <r>
    <d v="2022-08-06T00:00:00"/>
    <x v="1"/>
    <s v="Beach"/>
    <s v="Mobile App"/>
    <x v="8"/>
    <n v="3"/>
    <x v="10"/>
    <n v="0.13075929750140999"/>
    <x v="10"/>
    <x v="15"/>
    <x v="0"/>
  </r>
  <r>
    <d v="2022-08-06T00:00:00"/>
    <x v="3"/>
    <s v="Beach"/>
    <s v="Agent"/>
    <x v="0"/>
    <n v="1"/>
    <x v="10"/>
    <n v="0.13075929750140999"/>
    <x v="10"/>
    <x v="8"/>
    <x v="1"/>
  </r>
  <r>
    <d v="2022-08-06T00:00:00"/>
    <x v="3"/>
    <s v="Cultural"/>
    <s v="Mobile App"/>
    <x v="6"/>
    <n v="1"/>
    <x v="10"/>
    <n v="0.13075929750140999"/>
    <x v="10"/>
    <x v="14"/>
    <x v="1"/>
  </r>
  <r>
    <d v="2022-08-07T00:00:00"/>
    <x v="1"/>
    <s v="Adventure"/>
    <s v="Mobile App"/>
    <x v="8"/>
    <n v="1"/>
    <x v="10"/>
    <n v="0.13075929750140999"/>
    <x v="10"/>
    <x v="12"/>
    <x v="0"/>
  </r>
  <r>
    <d v="2022-08-07T00:00:00"/>
    <x v="0"/>
    <s v="Cultural"/>
    <s v="Website"/>
    <x v="9"/>
    <n v="1"/>
    <x v="10"/>
    <n v="0.13075929750140999"/>
    <x v="10"/>
    <x v="15"/>
    <x v="1"/>
  </r>
  <r>
    <d v="2022-08-07T00:00:00"/>
    <x v="1"/>
    <s v="Family"/>
    <s v="Website"/>
    <x v="0"/>
    <n v="1"/>
    <x v="10"/>
    <n v="0.13075929750140999"/>
    <x v="10"/>
    <x v="12"/>
    <x v="1"/>
  </r>
  <r>
    <d v="2022-08-07T00:00:00"/>
    <x v="1"/>
    <s v="City Break"/>
    <s v="Mobile App"/>
    <x v="0"/>
    <n v="1"/>
    <x v="10"/>
    <n v="0.13075929750140999"/>
    <x v="10"/>
    <x v="2"/>
    <x v="1"/>
  </r>
  <r>
    <d v="2022-08-07T00:00:00"/>
    <x v="1"/>
    <s v="City Break"/>
    <s v="Mobile App"/>
    <x v="6"/>
    <n v="4"/>
    <x v="10"/>
    <n v="0.13075929750140999"/>
    <x v="10"/>
    <x v="7"/>
    <x v="1"/>
  </r>
  <r>
    <d v="2022-08-07T00:00:00"/>
    <x v="1"/>
    <s v="Beach"/>
    <s v="Mobile App"/>
    <x v="6"/>
    <n v="5"/>
    <x v="10"/>
    <n v="0.13075929750140999"/>
    <x v="10"/>
    <x v="12"/>
    <x v="1"/>
  </r>
  <r>
    <d v="2022-08-09T00:00:00"/>
    <x v="0"/>
    <s v="City Break"/>
    <s v="Mobile App"/>
    <x v="0"/>
    <n v="1"/>
    <x v="10"/>
    <n v="0.13075929750140999"/>
    <x v="10"/>
    <x v="9"/>
    <x v="1"/>
  </r>
  <r>
    <d v="2022-08-09T00:00:00"/>
    <x v="1"/>
    <s v="Family"/>
    <s v="Website"/>
    <x v="5"/>
    <n v="2"/>
    <x v="10"/>
    <n v="0.13075929750140999"/>
    <x v="10"/>
    <x v="2"/>
    <x v="1"/>
  </r>
  <r>
    <d v="2022-08-10T00:00:00"/>
    <x v="1"/>
    <s v="Family"/>
    <s v="Website"/>
    <x v="5"/>
    <n v="4"/>
    <x v="10"/>
    <n v="0.13075929750140999"/>
    <x v="10"/>
    <x v="8"/>
    <x v="1"/>
  </r>
  <r>
    <d v="2022-08-11T00:00:00"/>
    <x v="0"/>
    <s v="Adventure"/>
    <s v="Mobile App"/>
    <x v="0"/>
    <n v="1"/>
    <x v="10"/>
    <n v="0.13075929750140999"/>
    <x v="10"/>
    <x v="1"/>
    <x v="1"/>
  </r>
  <r>
    <d v="2022-08-12T00:00:00"/>
    <x v="1"/>
    <s v="Family"/>
    <s v="Website"/>
    <x v="7"/>
    <n v="1"/>
    <x v="10"/>
    <n v="0.13075929750140999"/>
    <x v="10"/>
    <x v="6"/>
    <x v="0"/>
  </r>
  <r>
    <d v="2022-08-12T00:00:00"/>
    <x v="2"/>
    <s v="Cultural"/>
    <s v="Agent"/>
    <x v="3"/>
    <n v="1"/>
    <x v="10"/>
    <n v="0.13075929750140999"/>
    <x v="10"/>
    <x v="4"/>
    <x v="1"/>
  </r>
  <r>
    <d v="2022-08-12T00:00:00"/>
    <x v="1"/>
    <s v="Cultural"/>
    <s v="Website"/>
    <x v="2"/>
    <n v="2"/>
    <x v="10"/>
    <n v="0.13075929750140999"/>
    <x v="10"/>
    <x v="6"/>
    <x v="1"/>
  </r>
  <r>
    <d v="2022-08-12T00:00:00"/>
    <x v="1"/>
    <s v="Beach"/>
    <s v="Website"/>
    <x v="5"/>
    <n v="1"/>
    <x v="10"/>
    <n v="0.13075929750140999"/>
    <x v="10"/>
    <x v="8"/>
    <x v="1"/>
  </r>
  <r>
    <d v="2022-08-13T00:00:00"/>
    <x v="3"/>
    <s v="Adventure"/>
    <s v="Website"/>
    <x v="1"/>
    <n v="2"/>
    <x v="10"/>
    <n v="0.13075929750140999"/>
    <x v="10"/>
    <x v="15"/>
    <x v="1"/>
  </r>
  <r>
    <d v="2022-08-13T00:00:00"/>
    <x v="1"/>
    <s v="Foodie"/>
    <s v="Agent"/>
    <x v="2"/>
    <n v="2"/>
    <x v="10"/>
    <n v="0.13075929750140999"/>
    <x v="10"/>
    <x v="10"/>
    <x v="0"/>
  </r>
  <r>
    <d v="2022-08-13T00:00:00"/>
    <x v="3"/>
    <s v="Family"/>
    <s v="Website"/>
    <x v="0"/>
    <n v="2"/>
    <x v="10"/>
    <n v="0.13075929750140999"/>
    <x v="10"/>
    <x v="13"/>
    <x v="1"/>
  </r>
  <r>
    <d v="2022-08-13T00:00:00"/>
    <x v="2"/>
    <s v="City Break"/>
    <s v="Mobile App"/>
    <x v="7"/>
    <n v="1"/>
    <x v="10"/>
    <n v="0.13075929750140999"/>
    <x v="10"/>
    <x v="12"/>
    <x v="0"/>
  </r>
  <r>
    <d v="2022-08-13T00:00:00"/>
    <x v="1"/>
    <s v="Cultural"/>
    <s v="Website"/>
    <x v="8"/>
    <n v="3"/>
    <x v="10"/>
    <n v="0.13075929750140999"/>
    <x v="10"/>
    <x v="8"/>
    <x v="1"/>
  </r>
  <r>
    <d v="2022-08-15T00:00:00"/>
    <x v="2"/>
    <s v="City Break"/>
    <s v="Website"/>
    <x v="6"/>
    <n v="1"/>
    <x v="10"/>
    <n v="0.13075929750140999"/>
    <x v="10"/>
    <x v="15"/>
    <x v="1"/>
  </r>
  <r>
    <d v="2022-08-15T00:00:00"/>
    <x v="2"/>
    <s v="Beach"/>
    <s v="Website"/>
    <x v="3"/>
    <n v="2"/>
    <x v="10"/>
    <n v="0.13075929750140999"/>
    <x v="10"/>
    <x v="14"/>
    <x v="1"/>
  </r>
  <r>
    <d v="2022-08-16T00:00:00"/>
    <x v="1"/>
    <s v="Family"/>
    <s v="Agent"/>
    <x v="4"/>
    <n v="2"/>
    <x v="10"/>
    <n v="0.13075929750140999"/>
    <x v="10"/>
    <x v="4"/>
    <x v="0"/>
  </r>
  <r>
    <d v="2022-08-16T00:00:00"/>
    <x v="1"/>
    <s v="Beach"/>
    <s v="Mobile App"/>
    <x v="0"/>
    <n v="2"/>
    <x v="10"/>
    <n v="0.13075929750140999"/>
    <x v="10"/>
    <x v="4"/>
    <x v="1"/>
  </r>
  <r>
    <d v="2022-08-19T00:00:00"/>
    <x v="3"/>
    <s v="Cultural"/>
    <s v="Website"/>
    <x v="7"/>
    <n v="2"/>
    <x v="10"/>
    <n v="0.13075929750140999"/>
    <x v="10"/>
    <x v="9"/>
    <x v="1"/>
  </r>
  <r>
    <d v="2022-08-19T00:00:00"/>
    <x v="0"/>
    <s v="Foodie"/>
    <s v="Agent"/>
    <x v="7"/>
    <n v="3"/>
    <x v="10"/>
    <n v="0.13075929750140999"/>
    <x v="10"/>
    <x v="5"/>
    <x v="1"/>
  </r>
  <r>
    <d v="2022-08-19T00:00:00"/>
    <x v="1"/>
    <s v="City Break"/>
    <s v="Agent"/>
    <x v="1"/>
    <n v="4"/>
    <x v="10"/>
    <n v="0.13075929750140999"/>
    <x v="10"/>
    <x v="4"/>
    <x v="1"/>
  </r>
  <r>
    <d v="2022-08-20T00:00:00"/>
    <x v="0"/>
    <s v="Beach"/>
    <s v="Call Center"/>
    <x v="2"/>
    <n v="1"/>
    <x v="10"/>
    <n v="0.13075929750140999"/>
    <x v="10"/>
    <x v="6"/>
    <x v="1"/>
  </r>
  <r>
    <d v="2022-08-20T00:00:00"/>
    <x v="3"/>
    <s v="Beach"/>
    <s v="Agent"/>
    <x v="9"/>
    <n v="3"/>
    <x v="10"/>
    <n v="0.13075929750140999"/>
    <x v="10"/>
    <x v="4"/>
    <x v="1"/>
  </r>
  <r>
    <d v="2022-08-21T00:00:00"/>
    <x v="1"/>
    <s v="Cultural"/>
    <s v="Website"/>
    <x v="9"/>
    <n v="1"/>
    <x v="10"/>
    <n v="0.13075929750140999"/>
    <x v="10"/>
    <x v="6"/>
    <x v="0"/>
  </r>
  <r>
    <d v="2022-08-21T00:00:00"/>
    <x v="3"/>
    <s v="City Break"/>
    <s v="Agent"/>
    <x v="8"/>
    <n v="3"/>
    <x v="10"/>
    <n v="0.13075929750140999"/>
    <x v="10"/>
    <x v="12"/>
    <x v="1"/>
  </r>
  <r>
    <d v="2022-08-21T00:00:00"/>
    <x v="3"/>
    <s v="Cultural"/>
    <s v="Agent"/>
    <x v="5"/>
    <n v="5"/>
    <x v="10"/>
    <n v="0.13075929750140999"/>
    <x v="10"/>
    <x v="9"/>
    <x v="0"/>
  </r>
  <r>
    <d v="2022-08-21T00:00:00"/>
    <x v="0"/>
    <s v="Beach"/>
    <s v="Agent"/>
    <x v="8"/>
    <n v="2"/>
    <x v="10"/>
    <n v="0.13075929750140999"/>
    <x v="10"/>
    <x v="7"/>
    <x v="0"/>
  </r>
  <r>
    <d v="2022-08-22T00:00:00"/>
    <x v="1"/>
    <s v="Beach"/>
    <s v="Website"/>
    <x v="9"/>
    <n v="2"/>
    <x v="10"/>
    <n v="0.13075929750140999"/>
    <x v="10"/>
    <x v="9"/>
    <x v="0"/>
  </r>
  <r>
    <d v="2022-08-22T00:00:00"/>
    <x v="1"/>
    <s v="Beach"/>
    <s v="Website"/>
    <x v="6"/>
    <n v="1"/>
    <x v="10"/>
    <n v="0.13075929750140999"/>
    <x v="10"/>
    <x v="1"/>
    <x v="1"/>
  </r>
  <r>
    <d v="2022-08-22T00:00:00"/>
    <x v="3"/>
    <s v="Beach"/>
    <s v="Website"/>
    <x v="2"/>
    <n v="4"/>
    <x v="10"/>
    <n v="0.13075929750140999"/>
    <x v="10"/>
    <x v="1"/>
    <x v="1"/>
  </r>
  <r>
    <d v="2022-08-23T00:00:00"/>
    <x v="3"/>
    <s v="Cultural"/>
    <s v="Website"/>
    <x v="1"/>
    <n v="1"/>
    <x v="10"/>
    <n v="0.13075929750140999"/>
    <x v="10"/>
    <x v="1"/>
    <x v="1"/>
  </r>
  <r>
    <d v="2022-08-23T00:00:00"/>
    <x v="2"/>
    <s v="Family"/>
    <s v="Mobile App"/>
    <x v="8"/>
    <n v="1"/>
    <x v="10"/>
    <n v="0.13075929750140999"/>
    <x v="10"/>
    <x v="6"/>
    <x v="1"/>
  </r>
  <r>
    <d v="2022-08-23T00:00:00"/>
    <x v="0"/>
    <s v="Cultural"/>
    <s v="Website"/>
    <x v="0"/>
    <n v="3"/>
    <x v="10"/>
    <n v="0.13075929750140999"/>
    <x v="10"/>
    <x v="13"/>
    <x v="1"/>
  </r>
  <r>
    <d v="2022-08-24T00:00:00"/>
    <x v="2"/>
    <s v="Cultural"/>
    <s v="Website"/>
    <x v="1"/>
    <n v="2"/>
    <x v="10"/>
    <n v="0.13075929750140999"/>
    <x v="10"/>
    <x v="0"/>
    <x v="1"/>
  </r>
  <r>
    <d v="2022-08-25T00:00:00"/>
    <x v="3"/>
    <s v="Beach"/>
    <s v="Agent"/>
    <x v="4"/>
    <n v="1"/>
    <x v="10"/>
    <n v="0.13075929750140999"/>
    <x v="10"/>
    <x v="13"/>
    <x v="1"/>
  </r>
  <r>
    <d v="2022-08-27T00:00:00"/>
    <x v="1"/>
    <s v="Beach"/>
    <s v="Website"/>
    <x v="9"/>
    <n v="2"/>
    <x v="10"/>
    <n v="0.13075929750140999"/>
    <x v="10"/>
    <x v="4"/>
    <x v="0"/>
  </r>
  <r>
    <d v="2022-08-29T00:00:00"/>
    <x v="1"/>
    <s v="City Break"/>
    <s v="Website"/>
    <x v="4"/>
    <n v="1"/>
    <x v="10"/>
    <n v="0.13075929750140999"/>
    <x v="10"/>
    <x v="1"/>
    <x v="1"/>
  </r>
  <r>
    <d v="2022-08-29T00:00:00"/>
    <x v="1"/>
    <s v="Adventure"/>
    <s v="Agent"/>
    <x v="4"/>
    <n v="3"/>
    <x v="10"/>
    <n v="0.13075929750140999"/>
    <x v="10"/>
    <x v="6"/>
    <x v="0"/>
  </r>
  <r>
    <d v="2022-08-29T00:00:00"/>
    <x v="1"/>
    <s v="Beach"/>
    <s v="Website"/>
    <x v="5"/>
    <n v="1"/>
    <x v="10"/>
    <n v="0.13075929750140999"/>
    <x v="10"/>
    <x v="0"/>
    <x v="1"/>
  </r>
  <r>
    <d v="2022-08-29T00:00:00"/>
    <x v="3"/>
    <s v="Beach"/>
    <s v="Website"/>
    <x v="3"/>
    <n v="1"/>
    <x v="10"/>
    <n v="0.13075929750140999"/>
    <x v="10"/>
    <x v="4"/>
    <x v="1"/>
  </r>
  <r>
    <d v="2022-08-30T00:00:00"/>
    <x v="1"/>
    <s v="Beach"/>
    <s v="Agent"/>
    <x v="9"/>
    <n v="4"/>
    <x v="10"/>
    <n v="0.13075929750140999"/>
    <x v="10"/>
    <x v="19"/>
    <x v="1"/>
  </r>
  <r>
    <d v="2022-08-31T00:00:00"/>
    <x v="1"/>
    <s v="Cultural"/>
    <s v="Mobile App"/>
    <x v="2"/>
    <n v="3"/>
    <x v="10"/>
    <n v="0.13075929750140999"/>
    <x v="10"/>
    <x v="0"/>
    <x v="0"/>
  </r>
  <r>
    <d v="2022-08-31T00:00:00"/>
    <x v="1"/>
    <s v="Adventure"/>
    <s v="Website"/>
    <x v="1"/>
    <n v="1"/>
    <x v="10"/>
    <n v="0.13075929750140999"/>
    <x v="10"/>
    <x v="15"/>
    <x v="1"/>
  </r>
  <r>
    <d v="2022-09-01T00:00:00"/>
    <x v="0"/>
    <s v="Family"/>
    <s v="Agent"/>
    <x v="1"/>
    <n v="2"/>
    <x v="10"/>
    <n v="0.13075929750140999"/>
    <x v="10"/>
    <x v="14"/>
    <x v="1"/>
  </r>
  <r>
    <d v="2022-09-01T00:00:00"/>
    <x v="1"/>
    <s v="Adventure"/>
    <s v="Agent"/>
    <x v="4"/>
    <n v="2"/>
    <x v="10"/>
    <n v="0.13075929750140999"/>
    <x v="10"/>
    <x v="6"/>
    <x v="1"/>
  </r>
  <r>
    <d v="2022-09-01T00:00:00"/>
    <x v="1"/>
    <s v="Beach"/>
    <s v="Mobile App"/>
    <x v="3"/>
    <n v="3"/>
    <x v="10"/>
    <n v="0.13075929750140999"/>
    <x v="10"/>
    <x v="12"/>
    <x v="0"/>
  </r>
  <r>
    <d v="2022-09-01T00:00:00"/>
    <x v="0"/>
    <s v="City Break"/>
    <s v="Agent"/>
    <x v="7"/>
    <n v="2"/>
    <x v="10"/>
    <n v="0.13075929750140999"/>
    <x v="10"/>
    <x v="2"/>
    <x v="0"/>
  </r>
  <r>
    <d v="2022-09-03T00:00:00"/>
    <x v="1"/>
    <s v="Foodie"/>
    <s v="Website"/>
    <x v="6"/>
    <n v="1"/>
    <x v="10"/>
    <n v="0.13075929750140999"/>
    <x v="10"/>
    <x v="8"/>
    <x v="1"/>
  </r>
  <r>
    <d v="2022-09-03T00:00:00"/>
    <x v="2"/>
    <s v="Family"/>
    <s v="Mobile App"/>
    <x v="9"/>
    <n v="1"/>
    <x v="10"/>
    <n v="0.13075929750140999"/>
    <x v="10"/>
    <x v="0"/>
    <x v="1"/>
  </r>
  <r>
    <d v="2022-09-04T00:00:00"/>
    <x v="1"/>
    <s v="Foodie"/>
    <s v="Agent"/>
    <x v="7"/>
    <n v="4"/>
    <x v="10"/>
    <n v="0.13075929750140999"/>
    <x v="10"/>
    <x v="4"/>
    <x v="1"/>
  </r>
  <r>
    <d v="2022-09-04T00:00:00"/>
    <x v="1"/>
    <s v="Beach"/>
    <s v="Agent"/>
    <x v="5"/>
    <n v="1"/>
    <x v="10"/>
    <n v="0.13075929750140999"/>
    <x v="10"/>
    <x v="8"/>
    <x v="0"/>
  </r>
  <r>
    <d v="2022-09-05T00:00:00"/>
    <x v="3"/>
    <s v="Beach"/>
    <s v="Website"/>
    <x v="0"/>
    <n v="5"/>
    <x v="10"/>
    <n v="0.13075929750140999"/>
    <x v="10"/>
    <x v="1"/>
    <x v="1"/>
  </r>
  <r>
    <d v="2022-09-05T00:00:00"/>
    <x v="3"/>
    <s v="Cultural"/>
    <s v="Mobile App"/>
    <x v="4"/>
    <n v="2"/>
    <x v="10"/>
    <n v="0.13075929750140999"/>
    <x v="10"/>
    <x v="15"/>
    <x v="0"/>
  </r>
  <r>
    <d v="2022-09-05T00:00:00"/>
    <x v="0"/>
    <s v="Beach"/>
    <s v="Website"/>
    <x v="6"/>
    <n v="1"/>
    <x v="10"/>
    <n v="0.13075929750140999"/>
    <x v="10"/>
    <x v="6"/>
    <x v="1"/>
  </r>
  <r>
    <d v="2022-09-05T00:00:00"/>
    <x v="0"/>
    <s v="Cultural"/>
    <s v="Mobile App"/>
    <x v="8"/>
    <n v="1"/>
    <x v="10"/>
    <n v="0.13075929750140999"/>
    <x v="10"/>
    <x v="12"/>
    <x v="1"/>
  </r>
  <r>
    <d v="2022-09-06T00:00:00"/>
    <x v="3"/>
    <s v="Cultural"/>
    <s v="Mobile App"/>
    <x v="7"/>
    <n v="1"/>
    <x v="10"/>
    <n v="0.13075929750140999"/>
    <x v="10"/>
    <x v="12"/>
    <x v="0"/>
  </r>
  <r>
    <d v="2022-09-07T00:00:00"/>
    <x v="1"/>
    <s v="Family"/>
    <s v="Mobile App"/>
    <x v="3"/>
    <n v="2"/>
    <x v="10"/>
    <n v="0.13075929750140999"/>
    <x v="10"/>
    <x v="6"/>
    <x v="1"/>
  </r>
  <r>
    <d v="2022-09-08T00:00:00"/>
    <x v="1"/>
    <s v="Adventure"/>
    <s v="Mobile App"/>
    <x v="9"/>
    <n v="3"/>
    <x v="10"/>
    <n v="0.13075929750140999"/>
    <x v="10"/>
    <x v="12"/>
    <x v="0"/>
  </r>
  <r>
    <d v="2022-09-09T00:00:00"/>
    <x v="1"/>
    <s v="Beach"/>
    <s v="Agent"/>
    <x v="6"/>
    <n v="4"/>
    <x v="10"/>
    <n v="0.13075929750140999"/>
    <x v="10"/>
    <x v="18"/>
    <x v="1"/>
  </r>
  <r>
    <d v="2022-09-09T00:00:00"/>
    <x v="3"/>
    <s v="City Break"/>
    <s v="Website"/>
    <x v="5"/>
    <n v="1"/>
    <x v="10"/>
    <n v="0.13075929750140999"/>
    <x v="10"/>
    <x v="14"/>
    <x v="1"/>
  </r>
  <r>
    <d v="2022-09-09T00:00:00"/>
    <x v="1"/>
    <s v="Beach"/>
    <s v="Agent"/>
    <x v="1"/>
    <n v="2"/>
    <x v="10"/>
    <n v="0.13075929750140999"/>
    <x v="10"/>
    <x v="4"/>
    <x v="0"/>
  </r>
  <r>
    <d v="2022-09-09T00:00:00"/>
    <x v="2"/>
    <s v="City Break"/>
    <s v="Call Center"/>
    <x v="6"/>
    <n v="5"/>
    <x v="10"/>
    <n v="0.13075929750140999"/>
    <x v="10"/>
    <x v="2"/>
    <x v="1"/>
  </r>
  <r>
    <d v="2022-09-09T00:00:00"/>
    <x v="3"/>
    <s v="Beach"/>
    <s v="Mobile App"/>
    <x v="7"/>
    <n v="1"/>
    <x v="10"/>
    <n v="0.13075929750140999"/>
    <x v="10"/>
    <x v="15"/>
    <x v="1"/>
  </r>
  <r>
    <d v="2022-09-10T00:00:00"/>
    <x v="1"/>
    <s v="Family"/>
    <s v="Website"/>
    <x v="8"/>
    <n v="1"/>
    <x v="10"/>
    <n v="0.13075929750140999"/>
    <x v="10"/>
    <x v="12"/>
    <x v="0"/>
  </r>
  <r>
    <d v="2022-09-10T00:00:00"/>
    <x v="2"/>
    <s v="Family"/>
    <s v="Mobile App"/>
    <x v="8"/>
    <n v="4"/>
    <x v="10"/>
    <n v="0.13075929750140999"/>
    <x v="10"/>
    <x v="3"/>
    <x v="0"/>
  </r>
  <r>
    <d v="2022-09-10T00:00:00"/>
    <x v="3"/>
    <s v="Beach"/>
    <s v="Website"/>
    <x v="8"/>
    <n v="2"/>
    <x v="10"/>
    <n v="0.13075929750140999"/>
    <x v="10"/>
    <x v="1"/>
    <x v="0"/>
  </r>
  <r>
    <d v="2022-09-10T00:00:00"/>
    <x v="2"/>
    <s v="Family"/>
    <s v="Website"/>
    <x v="5"/>
    <n v="1"/>
    <x v="10"/>
    <n v="0.13075929750140999"/>
    <x v="10"/>
    <x v="15"/>
    <x v="0"/>
  </r>
  <r>
    <d v="2022-09-10T00:00:00"/>
    <x v="1"/>
    <s v="Beach"/>
    <s v="Agent"/>
    <x v="4"/>
    <n v="1"/>
    <x v="10"/>
    <n v="0.13075929750140999"/>
    <x v="10"/>
    <x v="13"/>
    <x v="1"/>
  </r>
  <r>
    <d v="2022-09-10T00:00:00"/>
    <x v="3"/>
    <s v="Family"/>
    <s v="Agent"/>
    <x v="5"/>
    <n v="1"/>
    <x v="10"/>
    <n v="0.13075929750140999"/>
    <x v="10"/>
    <x v="15"/>
    <x v="1"/>
  </r>
  <r>
    <d v="2022-09-11T00:00:00"/>
    <x v="0"/>
    <s v="Cultural"/>
    <s v="Agent"/>
    <x v="5"/>
    <n v="2"/>
    <x v="10"/>
    <n v="0.13075929750140999"/>
    <x v="10"/>
    <x v="0"/>
    <x v="1"/>
  </r>
  <r>
    <d v="2022-09-11T00:00:00"/>
    <x v="3"/>
    <s v="Family"/>
    <s v="Website"/>
    <x v="7"/>
    <n v="1"/>
    <x v="10"/>
    <n v="0.13075929750140999"/>
    <x v="10"/>
    <x v="8"/>
    <x v="1"/>
  </r>
  <r>
    <d v="2022-09-11T00:00:00"/>
    <x v="1"/>
    <s v="Beach"/>
    <s v="Website"/>
    <x v="1"/>
    <n v="2"/>
    <x v="10"/>
    <n v="0.13075929750140999"/>
    <x v="10"/>
    <x v="12"/>
    <x v="1"/>
  </r>
  <r>
    <d v="2022-09-12T00:00:00"/>
    <x v="0"/>
    <s v="Cultural"/>
    <s v="Website"/>
    <x v="0"/>
    <n v="3"/>
    <x v="10"/>
    <n v="0.13075929750140999"/>
    <x v="10"/>
    <x v="13"/>
    <x v="1"/>
  </r>
  <r>
    <d v="2022-09-12T00:00:00"/>
    <x v="0"/>
    <s v="Beach"/>
    <s v="Mobile App"/>
    <x v="7"/>
    <n v="4"/>
    <x v="10"/>
    <n v="0.13075929750140999"/>
    <x v="10"/>
    <x v="10"/>
    <x v="1"/>
  </r>
  <r>
    <d v="2022-09-12T00:00:00"/>
    <x v="1"/>
    <s v="Family"/>
    <s v="Website"/>
    <x v="7"/>
    <n v="2"/>
    <x v="10"/>
    <n v="0.13075929750140999"/>
    <x v="10"/>
    <x v="3"/>
    <x v="1"/>
  </r>
  <r>
    <d v="2022-09-12T00:00:00"/>
    <x v="1"/>
    <s v="Cultural"/>
    <s v="Website"/>
    <x v="4"/>
    <n v="3"/>
    <x v="10"/>
    <n v="0.13075929750140999"/>
    <x v="10"/>
    <x v="12"/>
    <x v="0"/>
  </r>
  <r>
    <d v="2022-09-13T00:00:00"/>
    <x v="0"/>
    <s v="Family"/>
    <s v="Website"/>
    <x v="4"/>
    <n v="1"/>
    <x v="10"/>
    <n v="0.13075929750140999"/>
    <x v="10"/>
    <x v="2"/>
    <x v="0"/>
  </r>
  <r>
    <d v="2022-09-13T00:00:00"/>
    <x v="0"/>
    <s v="Cultural"/>
    <s v="Website"/>
    <x v="9"/>
    <n v="1"/>
    <x v="10"/>
    <n v="0.13075929750140999"/>
    <x v="10"/>
    <x v="7"/>
    <x v="1"/>
  </r>
  <r>
    <d v="2022-09-13T00:00:00"/>
    <x v="0"/>
    <s v="Cultural"/>
    <s v="Website"/>
    <x v="9"/>
    <n v="1"/>
    <x v="10"/>
    <n v="0.13075929750140999"/>
    <x v="10"/>
    <x v="4"/>
    <x v="0"/>
  </r>
  <r>
    <d v="2022-09-13T00:00:00"/>
    <x v="0"/>
    <s v="City Break"/>
    <s v="Website"/>
    <x v="5"/>
    <n v="2"/>
    <x v="10"/>
    <n v="0.13075929750140999"/>
    <x v="10"/>
    <x v="18"/>
    <x v="1"/>
  </r>
  <r>
    <d v="2022-09-14T00:00:00"/>
    <x v="3"/>
    <s v="Family"/>
    <s v="Agent"/>
    <x v="5"/>
    <n v="2"/>
    <x v="10"/>
    <n v="0.13075929750140999"/>
    <x v="10"/>
    <x v="3"/>
    <x v="0"/>
  </r>
  <r>
    <d v="2022-09-14T00:00:00"/>
    <x v="1"/>
    <s v="Family"/>
    <s v="Agent"/>
    <x v="2"/>
    <n v="4"/>
    <x v="10"/>
    <n v="0.13075929750140999"/>
    <x v="10"/>
    <x v="10"/>
    <x v="1"/>
  </r>
  <r>
    <d v="2022-09-14T00:00:00"/>
    <x v="3"/>
    <s v="City Break"/>
    <s v="Website"/>
    <x v="0"/>
    <n v="3"/>
    <x v="10"/>
    <n v="0.13075929750140999"/>
    <x v="10"/>
    <x v="17"/>
    <x v="1"/>
  </r>
  <r>
    <d v="2022-09-15T00:00:00"/>
    <x v="0"/>
    <s v="Family"/>
    <s v="Agent"/>
    <x v="0"/>
    <n v="2"/>
    <x v="10"/>
    <n v="0.13075929750140999"/>
    <x v="10"/>
    <x v="6"/>
    <x v="1"/>
  </r>
  <r>
    <d v="2022-09-15T00:00:00"/>
    <x v="0"/>
    <s v="Beach"/>
    <s v="Agent"/>
    <x v="1"/>
    <n v="5"/>
    <x v="10"/>
    <n v="0.13075929750140999"/>
    <x v="10"/>
    <x v="1"/>
    <x v="0"/>
  </r>
  <r>
    <d v="2022-09-15T00:00:00"/>
    <x v="0"/>
    <s v="Cultural"/>
    <s v="Agent"/>
    <x v="7"/>
    <n v="1"/>
    <x v="10"/>
    <n v="0.13075929750140999"/>
    <x v="10"/>
    <x v="8"/>
    <x v="1"/>
  </r>
  <r>
    <d v="2022-09-15T00:00:00"/>
    <x v="0"/>
    <s v="Beach"/>
    <s v="Agent"/>
    <x v="2"/>
    <n v="2"/>
    <x v="10"/>
    <n v="0.13075929750140999"/>
    <x v="10"/>
    <x v="3"/>
    <x v="1"/>
  </r>
  <r>
    <d v="2022-09-16T00:00:00"/>
    <x v="1"/>
    <s v="Family"/>
    <s v="Agent"/>
    <x v="2"/>
    <n v="2"/>
    <x v="10"/>
    <n v="0.13075929750140999"/>
    <x v="10"/>
    <x v="13"/>
    <x v="1"/>
  </r>
  <r>
    <d v="2022-09-16T00:00:00"/>
    <x v="3"/>
    <s v="City Break"/>
    <s v="Mobile App"/>
    <x v="2"/>
    <n v="2"/>
    <x v="10"/>
    <n v="0.13075929750140999"/>
    <x v="10"/>
    <x v="18"/>
    <x v="1"/>
  </r>
  <r>
    <d v="2022-09-16T00:00:00"/>
    <x v="1"/>
    <s v="Foodie"/>
    <s v="Website"/>
    <x v="8"/>
    <n v="2"/>
    <x v="10"/>
    <n v="0.13075929750140999"/>
    <x v="10"/>
    <x v="9"/>
    <x v="1"/>
  </r>
  <r>
    <d v="2022-09-17T00:00:00"/>
    <x v="3"/>
    <s v="Cultural"/>
    <s v="Mobile App"/>
    <x v="0"/>
    <n v="1"/>
    <x v="10"/>
    <n v="0.13075929750140999"/>
    <x v="10"/>
    <x v="14"/>
    <x v="1"/>
  </r>
  <r>
    <d v="2022-09-17T00:00:00"/>
    <x v="1"/>
    <s v="Family"/>
    <s v="Agent"/>
    <x v="0"/>
    <n v="1"/>
    <x v="10"/>
    <n v="0.13075929750140999"/>
    <x v="10"/>
    <x v="17"/>
    <x v="0"/>
  </r>
  <r>
    <d v="2022-09-18T00:00:00"/>
    <x v="0"/>
    <s v="Beach"/>
    <s v="Website"/>
    <x v="4"/>
    <n v="3"/>
    <x v="10"/>
    <n v="0.13075929750140999"/>
    <x v="10"/>
    <x v="6"/>
    <x v="0"/>
  </r>
  <r>
    <d v="2022-09-18T00:00:00"/>
    <x v="3"/>
    <s v="Beach"/>
    <s v="Website"/>
    <x v="1"/>
    <n v="1"/>
    <x v="10"/>
    <n v="0.13075929750140999"/>
    <x v="10"/>
    <x v="9"/>
    <x v="1"/>
  </r>
  <r>
    <d v="2022-09-19T00:00:00"/>
    <x v="2"/>
    <s v="Family"/>
    <s v="Agent"/>
    <x v="7"/>
    <n v="4"/>
    <x v="10"/>
    <n v="0.13075929750140999"/>
    <x v="10"/>
    <x v="4"/>
    <x v="1"/>
  </r>
  <r>
    <d v="2022-09-19T00:00:00"/>
    <x v="2"/>
    <s v="Family"/>
    <s v="Website"/>
    <x v="2"/>
    <n v="4"/>
    <x v="10"/>
    <n v="0.13075929750140999"/>
    <x v="10"/>
    <x v="1"/>
    <x v="0"/>
  </r>
  <r>
    <d v="2022-09-19T00:00:00"/>
    <x v="3"/>
    <s v="City Break"/>
    <s v="Website"/>
    <x v="8"/>
    <n v="4"/>
    <x v="10"/>
    <n v="0.13075929750140999"/>
    <x v="10"/>
    <x v="3"/>
    <x v="0"/>
  </r>
  <r>
    <d v="2022-09-19T00:00:00"/>
    <x v="0"/>
    <s v="Adventure"/>
    <s v="Agent"/>
    <x v="2"/>
    <n v="2"/>
    <x v="10"/>
    <n v="0.13075929750140999"/>
    <x v="10"/>
    <x v="14"/>
    <x v="0"/>
  </r>
  <r>
    <d v="2022-09-20T00:00:00"/>
    <x v="0"/>
    <s v="Family"/>
    <s v="Website"/>
    <x v="0"/>
    <n v="4"/>
    <x v="10"/>
    <n v="0.13075929750140999"/>
    <x v="10"/>
    <x v="6"/>
    <x v="0"/>
  </r>
  <r>
    <d v="2022-09-21T00:00:00"/>
    <x v="3"/>
    <s v="Cultural"/>
    <s v="Website"/>
    <x v="2"/>
    <n v="2"/>
    <x v="10"/>
    <n v="0.13075929750140999"/>
    <x v="10"/>
    <x v="5"/>
    <x v="1"/>
  </r>
  <r>
    <d v="2022-09-22T00:00:00"/>
    <x v="3"/>
    <s v="Cultural"/>
    <s v="Mobile App"/>
    <x v="1"/>
    <n v="2"/>
    <x v="10"/>
    <n v="0.13075929750140999"/>
    <x v="10"/>
    <x v="17"/>
    <x v="1"/>
  </r>
  <r>
    <d v="2022-09-22T00:00:00"/>
    <x v="0"/>
    <s v="Beach"/>
    <s v="Agent"/>
    <x v="3"/>
    <n v="1"/>
    <x v="10"/>
    <n v="0.13075929750140999"/>
    <x v="10"/>
    <x v="13"/>
    <x v="1"/>
  </r>
  <r>
    <d v="2022-09-22T00:00:00"/>
    <x v="2"/>
    <s v="Adventure"/>
    <s v="Mobile App"/>
    <x v="1"/>
    <n v="2"/>
    <x v="10"/>
    <n v="0.13075929750140999"/>
    <x v="10"/>
    <x v="2"/>
    <x v="1"/>
  </r>
  <r>
    <d v="2022-09-22T00:00:00"/>
    <x v="3"/>
    <s v="Family"/>
    <s v="Website"/>
    <x v="2"/>
    <n v="1"/>
    <x v="10"/>
    <n v="0.13075929750140999"/>
    <x v="10"/>
    <x v="10"/>
    <x v="1"/>
  </r>
  <r>
    <d v="2022-09-23T00:00:00"/>
    <x v="1"/>
    <s v="Beach"/>
    <s v="Website"/>
    <x v="1"/>
    <n v="2"/>
    <x v="10"/>
    <n v="0.13075929750140999"/>
    <x v="10"/>
    <x v="12"/>
    <x v="0"/>
  </r>
  <r>
    <d v="2022-09-23T00:00:00"/>
    <x v="1"/>
    <s v="Beach"/>
    <s v="Mobile App"/>
    <x v="7"/>
    <n v="1"/>
    <x v="10"/>
    <n v="0.13075929750140999"/>
    <x v="10"/>
    <x v="8"/>
    <x v="1"/>
  </r>
  <r>
    <d v="2022-09-23T00:00:00"/>
    <x v="1"/>
    <s v="Beach"/>
    <s v="Agent"/>
    <x v="3"/>
    <n v="3"/>
    <x v="10"/>
    <n v="0.13075929750140999"/>
    <x v="10"/>
    <x v="3"/>
    <x v="1"/>
  </r>
  <r>
    <d v="2022-09-23T00:00:00"/>
    <x v="0"/>
    <s v="Foodie"/>
    <s v="Agent"/>
    <x v="8"/>
    <n v="2"/>
    <x v="10"/>
    <n v="0.13075929750140999"/>
    <x v="10"/>
    <x v="6"/>
    <x v="1"/>
  </r>
  <r>
    <d v="2022-09-23T00:00:00"/>
    <x v="2"/>
    <s v="Beach"/>
    <s v="Agent"/>
    <x v="7"/>
    <n v="2"/>
    <x v="10"/>
    <n v="0.13075929750140999"/>
    <x v="10"/>
    <x v="0"/>
    <x v="1"/>
  </r>
  <r>
    <d v="2022-09-23T00:00:00"/>
    <x v="3"/>
    <s v="Family"/>
    <s v="Mobile App"/>
    <x v="0"/>
    <n v="4"/>
    <x v="10"/>
    <n v="0.13075929750140999"/>
    <x v="10"/>
    <x v="17"/>
    <x v="0"/>
  </r>
  <r>
    <d v="2022-09-24T00:00:00"/>
    <x v="1"/>
    <s v="Beach"/>
    <s v="Mobile App"/>
    <x v="0"/>
    <n v="1"/>
    <x v="10"/>
    <n v="0.13075929750140999"/>
    <x v="10"/>
    <x v="13"/>
    <x v="1"/>
  </r>
  <r>
    <d v="2022-09-24T00:00:00"/>
    <x v="1"/>
    <s v="Adventure"/>
    <s v="Agent"/>
    <x v="5"/>
    <n v="2"/>
    <x v="10"/>
    <n v="0.13075929750140999"/>
    <x v="10"/>
    <x v="2"/>
    <x v="1"/>
  </r>
  <r>
    <d v="2022-09-25T00:00:00"/>
    <x v="1"/>
    <s v="Cultural"/>
    <s v="Mobile App"/>
    <x v="7"/>
    <n v="2"/>
    <x v="10"/>
    <n v="0.13075929750140999"/>
    <x v="10"/>
    <x v="12"/>
    <x v="1"/>
  </r>
  <r>
    <d v="2022-09-25T00:00:00"/>
    <x v="3"/>
    <s v="Cultural"/>
    <s v="Website"/>
    <x v="2"/>
    <n v="2"/>
    <x v="10"/>
    <n v="0.13075929750140999"/>
    <x v="10"/>
    <x v="13"/>
    <x v="1"/>
  </r>
  <r>
    <d v="2022-09-25T00:00:00"/>
    <x v="1"/>
    <s v="Adventure"/>
    <s v="Mobile App"/>
    <x v="7"/>
    <n v="4"/>
    <x v="10"/>
    <n v="0.13075929750140999"/>
    <x v="10"/>
    <x v="3"/>
    <x v="0"/>
  </r>
  <r>
    <d v="2022-09-25T00:00:00"/>
    <x v="1"/>
    <s v="Beach"/>
    <s v="Mobile App"/>
    <x v="4"/>
    <n v="3"/>
    <x v="10"/>
    <n v="0.13075929750140999"/>
    <x v="10"/>
    <x v="6"/>
    <x v="0"/>
  </r>
  <r>
    <d v="2022-09-27T00:00:00"/>
    <x v="0"/>
    <s v="Family"/>
    <s v="Website"/>
    <x v="0"/>
    <n v="1"/>
    <x v="10"/>
    <n v="0.13075929750140999"/>
    <x v="10"/>
    <x v="6"/>
    <x v="1"/>
  </r>
  <r>
    <d v="2022-09-27T00:00:00"/>
    <x v="1"/>
    <s v="Beach"/>
    <s v="Website"/>
    <x v="9"/>
    <n v="1"/>
    <x v="10"/>
    <n v="0.13075929750140999"/>
    <x v="10"/>
    <x v="1"/>
    <x v="1"/>
  </r>
  <r>
    <d v="2022-09-29T00:00:00"/>
    <x v="0"/>
    <s v="Cultural"/>
    <s v="Website"/>
    <x v="4"/>
    <n v="4"/>
    <x v="10"/>
    <n v="0.13075929750140999"/>
    <x v="10"/>
    <x v="10"/>
    <x v="0"/>
  </r>
  <r>
    <d v="2022-09-29T00:00:00"/>
    <x v="1"/>
    <s v="Cultural"/>
    <s v="Agent"/>
    <x v="5"/>
    <n v="1"/>
    <x v="10"/>
    <n v="0.13075929750140999"/>
    <x v="10"/>
    <x v="2"/>
    <x v="1"/>
  </r>
  <r>
    <d v="2022-09-30T00:00:00"/>
    <x v="2"/>
    <s v="Cultural"/>
    <s v="Agent"/>
    <x v="1"/>
    <n v="2"/>
    <x v="10"/>
    <n v="0.13075929750140999"/>
    <x v="10"/>
    <x v="13"/>
    <x v="1"/>
  </r>
  <r>
    <d v="2022-10-01T00:00:00"/>
    <x v="0"/>
    <s v="Family"/>
    <s v="Website"/>
    <x v="3"/>
    <n v="2"/>
    <x v="10"/>
    <n v="0.13075929750140999"/>
    <x v="10"/>
    <x v="14"/>
    <x v="1"/>
  </r>
  <r>
    <d v="2022-10-01T00:00:00"/>
    <x v="3"/>
    <s v="Adventure"/>
    <s v="Mobile App"/>
    <x v="4"/>
    <n v="1"/>
    <x v="10"/>
    <n v="0.13075929750140999"/>
    <x v="10"/>
    <x v="1"/>
    <x v="1"/>
  </r>
  <r>
    <d v="2022-10-03T00:00:00"/>
    <x v="1"/>
    <s v="Foodie"/>
    <s v="Agent"/>
    <x v="5"/>
    <n v="4"/>
    <x v="10"/>
    <n v="0.13075929750140999"/>
    <x v="10"/>
    <x v="4"/>
    <x v="1"/>
  </r>
  <r>
    <d v="2022-10-04T00:00:00"/>
    <x v="2"/>
    <s v="Adventure"/>
    <s v="Website"/>
    <x v="3"/>
    <n v="2"/>
    <x v="10"/>
    <n v="0.13075929750140999"/>
    <x v="10"/>
    <x v="7"/>
    <x v="1"/>
  </r>
  <r>
    <d v="2022-10-04T00:00:00"/>
    <x v="1"/>
    <s v="Beach"/>
    <s v="Website"/>
    <x v="7"/>
    <n v="2"/>
    <x v="10"/>
    <n v="0.13075929750140999"/>
    <x v="10"/>
    <x v="1"/>
    <x v="0"/>
  </r>
  <r>
    <d v="2022-10-04T00:00:00"/>
    <x v="1"/>
    <s v="Cultural"/>
    <s v="Website"/>
    <x v="5"/>
    <n v="2"/>
    <x v="10"/>
    <n v="0.13075929750140999"/>
    <x v="10"/>
    <x v="12"/>
    <x v="0"/>
  </r>
  <r>
    <d v="2022-10-05T00:00:00"/>
    <x v="3"/>
    <s v="Family"/>
    <s v="Website"/>
    <x v="0"/>
    <n v="2"/>
    <x v="10"/>
    <n v="0.13075929750140999"/>
    <x v="10"/>
    <x v="8"/>
    <x v="0"/>
  </r>
  <r>
    <d v="2022-10-06T00:00:00"/>
    <x v="3"/>
    <s v="Cultural"/>
    <s v="Call Center"/>
    <x v="7"/>
    <n v="1"/>
    <x v="10"/>
    <n v="0.13075929750140999"/>
    <x v="10"/>
    <x v="1"/>
    <x v="0"/>
  </r>
  <r>
    <d v="2022-10-07T00:00:00"/>
    <x v="1"/>
    <s v="Cultural"/>
    <s v="Website"/>
    <x v="9"/>
    <n v="1"/>
    <x v="10"/>
    <n v="0.13075929750140999"/>
    <x v="10"/>
    <x v="2"/>
    <x v="1"/>
  </r>
  <r>
    <d v="2022-10-07T00:00:00"/>
    <x v="1"/>
    <s v="City Break"/>
    <s v="Agent"/>
    <x v="2"/>
    <n v="3"/>
    <x v="10"/>
    <n v="0.13075929750140999"/>
    <x v="10"/>
    <x v="6"/>
    <x v="1"/>
  </r>
  <r>
    <d v="2022-10-08T00:00:00"/>
    <x v="0"/>
    <s v="Adventure"/>
    <s v="Website"/>
    <x v="9"/>
    <n v="1"/>
    <x v="10"/>
    <n v="0.13075929750140999"/>
    <x v="10"/>
    <x v="1"/>
    <x v="1"/>
  </r>
  <r>
    <d v="2022-10-08T00:00:00"/>
    <x v="1"/>
    <s v="Cultural"/>
    <s v="Agent"/>
    <x v="4"/>
    <n v="1"/>
    <x v="10"/>
    <n v="0.13075929750140999"/>
    <x v="10"/>
    <x v="15"/>
    <x v="0"/>
  </r>
  <r>
    <d v="2022-10-09T00:00:00"/>
    <x v="3"/>
    <s v="Foodie"/>
    <s v="Website"/>
    <x v="5"/>
    <n v="1"/>
    <x v="10"/>
    <n v="0.13075929750140999"/>
    <x v="10"/>
    <x v="4"/>
    <x v="1"/>
  </r>
  <r>
    <d v="2022-10-09T00:00:00"/>
    <x v="1"/>
    <s v="Cultural"/>
    <s v="Website"/>
    <x v="0"/>
    <n v="1"/>
    <x v="10"/>
    <n v="0.13075929750140999"/>
    <x v="10"/>
    <x v="12"/>
    <x v="1"/>
  </r>
  <r>
    <d v="2022-10-10T00:00:00"/>
    <x v="1"/>
    <s v="Beach"/>
    <s v="Website"/>
    <x v="5"/>
    <n v="1"/>
    <x v="10"/>
    <n v="0.13075929750140999"/>
    <x v="10"/>
    <x v="9"/>
    <x v="1"/>
  </r>
  <r>
    <d v="2022-10-10T00:00:00"/>
    <x v="3"/>
    <s v="Cultural"/>
    <s v="Website"/>
    <x v="4"/>
    <n v="1"/>
    <x v="10"/>
    <n v="0.13075929750140999"/>
    <x v="10"/>
    <x v="6"/>
    <x v="1"/>
  </r>
  <r>
    <d v="2022-10-11T00:00:00"/>
    <x v="1"/>
    <s v="Foodie"/>
    <s v="Website"/>
    <x v="5"/>
    <n v="1"/>
    <x v="10"/>
    <n v="0.13075929750140999"/>
    <x v="10"/>
    <x v="6"/>
    <x v="1"/>
  </r>
  <r>
    <d v="2022-10-11T00:00:00"/>
    <x v="2"/>
    <s v="Family"/>
    <s v="Website"/>
    <x v="9"/>
    <n v="1"/>
    <x v="10"/>
    <n v="0.13075929750140999"/>
    <x v="10"/>
    <x v="6"/>
    <x v="0"/>
  </r>
  <r>
    <d v="2022-10-11T00:00:00"/>
    <x v="0"/>
    <s v="Adventure"/>
    <s v="Mobile App"/>
    <x v="0"/>
    <n v="3"/>
    <x v="10"/>
    <n v="0.13075929750140999"/>
    <x v="10"/>
    <x v="18"/>
    <x v="1"/>
  </r>
  <r>
    <d v="2022-10-11T00:00:00"/>
    <x v="1"/>
    <s v="Beach"/>
    <s v="Mobile App"/>
    <x v="3"/>
    <n v="1"/>
    <x v="10"/>
    <n v="0.13075929750140999"/>
    <x v="10"/>
    <x v="5"/>
    <x v="1"/>
  </r>
  <r>
    <d v="2022-10-11T00:00:00"/>
    <x v="0"/>
    <s v="Cultural"/>
    <s v="Website"/>
    <x v="6"/>
    <n v="3"/>
    <x v="10"/>
    <n v="0.13075929750140999"/>
    <x v="10"/>
    <x v="14"/>
    <x v="1"/>
  </r>
  <r>
    <d v="2022-10-12T00:00:00"/>
    <x v="2"/>
    <s v="Beach"/>
    <s v="Call Center"/>
    <x v="7"/>
    <n v="1"/>
    <x v="10"/>
    <n v="0.13075929750140999"/>
    <x v="10"/>
    <x v="6"/>
    <x v="1"/>
  </r>
  <r>
    <d v="2022-10-12T00:00:00"/>
    <x v="3"/>
    <s v="Family"/>
    <s v="Agent"/>
    <x v="4"/>
    <n v="2"/>
    <x v="10"/>
    <n v="0.13075929750140999"/>
    <x v="10"/>
    <x v="14"/>
    <x v="0"/>
  </r>
  <r>
    <d v="2022-10-13T00:00:00"/>
    <x v="0"/>
    <s v="Family"/>
    <s v="Website"/>
    <x v="5"/>
    <n v="1"/>
    <x v="10"/>
    <n v="0.13075929750140999"/>
    <x v="10"/>
    <x v="2"/>
    <x v="1"/>
  </r>
  <r>
    <d v="2022-10-13T00:00:00"/>
    <x v="0"/>
    <s v="Adventure"/>
    <s v="Agent"/>
    <x v="2"/>
    <n v="1"/>
    <x v="10"/>
    <n v="0.13075929750140999"/>
    <x v="10"/>
    <x v="13"/>
    <x v="1"/>
  </r>
  <r>
    <d v="2022-10-13T00:00:00"/>
    <x v="1"/>
    <s v="Cultural"/>
    <s v="Agent"/>
    <x v="1"/>
    <n v="2"/>
    <x v="10"/>
    <n v="0.13075929750140999"/>
    <x v="10"/>
    <x v="9"/>
    <x v="1"/>
  </r>
  <r>
    <d v="2022-10-14T00:00:00"/>
    <x v="3"/>
    <s v="Foodie"/>
    <s v="Mobile App"/>
    <x v="6"/>
    <n v="4"/>
    <x v="10"/>
    <n v="0.13075929750140999"/>
    <x v="10"/>
    <x v="2"/>
    <x v="1"/>
  </r>
  <r>
    <d v="2022-10-14T00:00:00"/>
    <x v="1"/>
    <s v="Cultural"/>
    <s v="Agent"/>
    <x v="2"/>
    <n v="2"/>
    <x v="10"/>
    <n v="0.13075929750140999"/>
    <x v="10"/>
    <x v="8"/>
    <x v="1"/>
  </r>
  <r>
    <d v="2022-10-14T00:00:00"/>
    <x v="0"/>
    <s v="Adventure"/>
    <s v="Mobile App"/>
    <x v="5"/>
    <n v="2"/>
    <x v="10"/>
    <n v="0.13075929750140999"/>
    <x v="10"/>
    <x v="14"/>
    <x v="1"/>
  </r>
  <r>
    <d v="2022-10-14T00:00:00"/>
    <x v="0"/>
    <s v="Family"/>
    <s v="Website"/>
    <x v="4"/>
    <n v="3"/>
    <x v="10"/>
    <n v="0.13075929750140999"/>
    <x v="10"/>
    <x v="8"/>
    <x v="1"/>
  </r>
  <r>
    <d v="2022-10-14T00:00:00"/>
    <x v="0"/>
    <s v="Family"/>
    <s v="Website"/>
    <x v="3"/>
    <n v="1"/>
    <x v="10"/>
    <n v="0.13075929750140999"/>
    <x v="10"/>
    <x v="0"/>
    <x v="1"/>
  </r>
  <r>
    <d v="2022-10-15T00:00:00"/>
    <x v="1"/>
    <s v="Cultural"/>
    <s v="Agent"/>
    <x v="3"/>
    <n v="1"/>
    <x v="10"/>
    <n v="0.13075929750140999"/>
    <x v="10"/>
    <x v="4"/>
    <x v="1"/>
  </r>
  <r>
    <d v="2022-10-15T00:00:00"/>
    <x v="0"/>
    <s v="Beach"/>
    <s v="Website"/>
    <x v="7"/>
    <n v="4"/>
    <x v="10"/>
    <n v="0.13075929750140999"/>
    <x v="10"/>
    <x v="18"/>
    <x v="1"/>
  </r>
  <r>
    <d v="2022-10-15T00:00:00"/>
    <x v="0"/>
    <s v="Cultural"/>
    <s v="Website"/>
    <x v="7"/>
    <n v="2"/>
    <x v="10"/>
    <n v="0.13075929750140999"/>
    <x v="10"/>
    <x v="15"/>
    <x v="0"/>
  </r>
  <r>
    <d v="2022-10-15T00:00:00"/>
    <x v="1"/>
    <s v="Adventure"/>
    <s v="Agent"/>
    <x v="4"/>
    <n v="3"/>
    <x v="10"/>
    <n v="0.13075929750140999"/>
    <x v="10"/>
    <x v="10"/>
    <x v="0"/>
  </r>
  <r>
    <d v="2022-10-16T00:00:00"/>
    <x v="1"/>
    <s v="Cultural"/>
    <s v="Mobile App"/>
    <x v="4"/>
    <n v="4"/>
    <x v="10"/>
    <n v="0.13075929750140999"/>
    <x v="10"/>
    <x v="4"/>
    <x v="1"/>
  </r>
  <r>
    <d v="2022-10-16T00:00:00"/>
    <x v="0"/>
    <s v="Beach"/>
    <s v="Mobile App"/>
    <x v="0"/>
    <n v="2"/>
    <x v="10"/>
    <n v="0.13075929750140999"/>
    <x v="10"/>
    <x v="0"/>
    <x v="1"/>
  </r>
  <r>
    <d v="2022-10-17T00:00:00"/>
    <x v="0"/>
    <s v="Family"/>
    <s v="Mobile App"/>
    <x v="1"/>
    <n v="4"/>
    <x v="10"/>
    <n v="0.13075929750140999"/>
    <x v="10"/>
    <x v="6"/>
    <x v="1"/>
  </r>
  <r>
    <d v="2022-10-18T00:00:00"/>
    <x v="3"/>
    <s v="Family"/>
    <s v="Mobile App"/>
    <x v="0"/>
    <n v="1"/>
    <x v="10"/>
    <n v="0.13075929750140999"/>
    <x v="10"/>
    <x v="0"/>
    <x v="0"/>
  </r>
  <r>
    <d v="2022-10-18T00:00:00"/>
    <x v="1"/>
    <s v="Beach"/>
    <s v="Mobile App"/>
    <x v="9"/>
    <n v="2"/>
    <x v="10"/>
    <n v="0.13075929750140999"/>
    <x v="10"/>
    <x v="13"/>
    <x v="0"/>
  </r>
  <r>
    <d v="2022-10-19T00:00:00"/>
    <x v="0"/>
    <s v="Cultural"/>
    <s v="Website"/>
    <x v="0"/>
    <n v="2"/>
    <x v="10"/>
    <n v="0.13075929750140999"/>
    <x v="10"/>
    <x v="2"/>
    <x v="1"/>
  </r>
  <r>
    <d v="2022-10-20T00:00:00"/>
    <x v="3"/>
    <s v="Beach"/>
    <s v="Agent"/>
    <x v="4"/>
    <n v="2"/>
    <x v="10"/>
    <n v="0.13075929750140999"/>
    <x v="10"/>
    <x v="14"/>
    <x v="1"/>
  </r>
  <r>
    <d v="2022-10-21T00:00:00"/>
    <x v="1"/>
    <s v="Beach"/>
    <s v="Mobile App"/>
    <x v="8"/>
    <n v="4"/>
    <x v="10"/>
    <n v="0.13075929750140999"/>
    <x v="10"/>
    <x v="4"/>
    <x v="1"/>
  </r>
  <r>
    <d v="2022-10-21T00:00:00"/>
    <x v="3"/>
    <s v="City Break"/>
    <s v="Call Center"/>
    <x v="8"/>
    <n v="1"/>
    <x v="10"/>
    <n v="0.13075929750140999"/>
    <x v="10"/>
    <x v="1"/>
    <x v="0"/>
  </r>
  <r>
    <d v="2022-10-22T00:00:00"/>
    <x v="1"/>
    <s v="Cultural"/>
    <s v="Website"/>
    <x v="9"/>
    <n v="2"/>
    <x v="10"/>
    <n v="0.13075929750140999"/>
    <x v="10"/>
    <x v="7"/>
    <x v="1"/>
  </r>
  <r>
    <d v="2022-10-22T00:00:00"/>
    <x v="2"/>
    <s v="City Break"/>
    <s v="Agent"/>
    <x v="0"/>
    <n v="2"/>
    <x v="10"/>
    <n v="0.13075929750140999"/>
    <x v="10"/>
    <x v="9"/>
    <x v="1"/>
  </r>
  <r>
    <d v="2022-10-22T00:00:00"/>
    <x v="3"/>
    <s v="Beach"/>
    <s v="Call Center"/>
    <x v="0"/>
    <n v="1"/>
    <x v="10"/>
    <n v="0.13075929750140999"/>
    <x v="10"/>
    <x v="0"/>
    <x v="0"/>
  </r>
  <r>
    <d v="2022-10-23T00:00:00"/>
    <x v="0"/>
    <s v="Beach"/>
    <s v="Mobile App"/>
    <x v="3"/>
    <n v="4"/>
    <x v="10"/>
    <n v="0.13075929750140999"/>
    <x v="10"/>
    <x v="4"/>
    <x v="1"/>
  </r>
  <r>
    <d v="2022-10-23T00:00:00"/>
    <x v="2"/>
    <s v="Foodie"/>
    <s v="Agent"/>
    <x v="4"/>
    <n v="2"/>
    <x v="10"/>
    <n v="0.13075929750140999"/>
    <x v="10"/>
    <x v="10"/>
    <x v="1"/>
  </r>
  <r>
    <d v="2022-10-24T00:00:00"/>
    <x v="2"/>
    <s v="Adventure"/>
    <s v="Agent"/>
    <x v="0"/>
    <n v="1"/>
    <x v="10"/>
    <n v="0.13075929750140999"/>
    <x v="10"/>
    <x v="4"/>
    <x v="0"/>
  </r>
  <r>
    <d v="2022-10-24T00:00:00"/>
    <x v="0"/>
    <s v="Cultural"/>
    <s v="Call Center"/>
    <x v="4"/>
    <n v="1"/>
    <x v="10"/>
    <n v="0.13075929750140999"/>
    <x v="10"/>
    <x v="2"/>
    <x v="0"/>
  </r>
  <r>
    <d v="2022-10-25T00:00:00"/>
    <x v="0"/>
    <s v="Adventure"/>
    <s v="Mobile App"/>
    <x v="5"/>
    <n v="3"/>
    <x v="10"/>
    <n v="0.13075929750140999"/>
    <x v="10"/>
    <x v="14"/>
    <x v="0"/>
  </r>
  <r>
    <d v="2022-10-25T00:00:00"/>
    <x v="3"/>
    <s v="City Break"/>
    <s v="Website"/>
    <x v="3"/>
    <n v="3"/>
    <x v="10"/>
    <n v="0.13075929750140999"/>
    <x v="10"/>
    <x v="5"/>
    <x v="0"/>
  </r>
  <r>
    <d v="2022-10-25T00:00:00"/>
    <x v="3"/>
    <s v="Beach"/>
    <s v="Website"/>
    <x v="5"/>
    <n v="3"/>
    <x v="10"/>
    <n v="0.13075929750140999"/>
    <x v="10"/>
    <x v="7"/>
    <x v="1"/>
  </r>
  <r>
    <d v="2022-10-26T00:00:00"/>
    <x v="3"/>
    <s v="Family"/>
    <s v="Website"/>
    <x v="7"/>
    <n v="4"/>
    <x v="10"/>
    <n v="0.13075929750140999"/>
    <x v="10"/>
    <x v="6"/>
    <x v="1"/>
  </r>
  <r>
    <d v="2022-10-26T00:00:00"/>
    <x v="0"/>
    <s v="Beach"/>
    <s v="Website"/>
    <x v="8"/>
    <n v="1"/>
    <x v="10"/>
    <n v="0.13075929750140999"/>
    <x v="10"/>
    <x v="0"/>
    <x v="0"/>
  </r>
  <r>
    <d v="2022-10-27T00:00:00"/>
    <x v="1"/>
    <s v="Adventure"/>
    <s v="Website"/>
    <x v="0"/>
    <n v="1"/>
    <x v="10"/>
    <n v="0.13075929750140999"/>
    <x v="10"/>
    <x v="1"/>
    <x v="1"/>
  </r>
  <r>
    <d v="2022-10-27T00:00:00"/>
    <x v="1"/>
    <s v="Cultural"/>
    <s v="Agent"/>
    <x v="2"/>
    <n v="1"/>
    <x v="10"/>
    <n v="0.13075929750140999"/>
    <x v="10"/>
    <x v="14"/>
    <x v="1"/>
  </r>
  <r>
    <d v="2022-10-28T00:00:00"/>
    <x v="1"/>
    <s v="Family"/>
    <s v="Agent"/>
    <x v="4"/>
    <n v="2"/>
    <x v="10"/>
    <n v="0.13075929750140999"/>
    <x v="10"/>
    <x v="7"/>
    <x v="0"/>
  </r>
  <r>
    <d v="2022-10-28T00:00:00"/>
    <x v="1"/>
    <s v="Cultural"/>
    <s v="Agent"/>
    <x v="0"/>
    <n v="4"/>
    <x v="10"/>
    <n v="0.13075929750140999"/>
    <x v="10"/>
    <x v="0"/>
    <x v="0"/>
  </r>
  <r>
    <d v="2022-10-28T00:00:00"/>
    <x v="3"/>
    <s v="Cultural"/>
    <s v="Mobile App"/>
    <x v="6"/>
    <n v="2"/>
    <x v="10"/>
    <n v="0.13075929750140999"/>
    <x v="10"/>
    <x v="15"/>
    <x v="1"/>
  </r>
  <r>
    <d v="2022-10-29T00:00:00"/>
    <x v="1"/>
    <s v="Family"/>
    <s v="Agent"/>
    <x v="9"/>
    <n v="2"/>
    <x v="10"/>
    <n v="0.13075929750140999"/>
    <x v="10"/>
    <x v="1"/>
    <x v="1"/>
  </r>
  <r>
    <d v="2022-10-29T00:00:00"/>
    <x v="1"/>
    <s v="Adventure"/>
    <s v="Mobile App"/>
    <x v="5"/>
    <n v="1"/>
    <x v="10"/>
    <n v="0.13075929750140999"/>
    <x v="10"/>
    <x v="2"/>
    <x v="0"/>
  </r>
  <r>
    <d v="2022-10-30T00:00:00"/>
    <x v="3"/>
    <s v="Beach"/>
    <s v="Website"/>
    <x v="8"/>
    <n v="3"/>
    <x v="10"/>
    <n v="0.13075929750140999"/>
    <x v="10"/>
    <x v="1"/>
    <x v="1"/>
  </r>
  <r>
    <d v="2022-10-30T00:00:00"/>
    <x v="1"/>
    <s v="Adventure"/>
    <s v="Website"/>
    <x v="0"/>
    <n v="2"/>
    <x v="10"/>
    <n v="0.13075929750140999"/>
    <x v="10"/>
    <x v="4"/>
    <x v="0"/>
  </r>
  <r>
    <d v="2022-10-31T00:00:00"/>
    <x v="1"/>
    <s v="Beach"/>
    <s v="Website"/>
    <x v="7"/>
    <n v="3"/>
    <x v="10"/>
    <n v="0.13075929750140999"/>
    <x v="10"/>
    <x v="6"/>
    <x v="1"/>
  </r>
  <r>
    <d v="2022-11-01T00:00:00"/>
    <x v="2"/>
    <s v="Beach"/>
    <s v="Agent"/>
    <x v="5"/>
    <n v="3"/>
    <x v="10"/>
    <n v="0.13075929750140999"/>
    <x v="10"/>
    <x v="12"/>
    <x v="1"/>
  </r>
  <r>
    <d v="2022-11-01T00:00:00"/>
    <x v="3"/>
    <s v="Beach"/>
    <s v="Website"/>
    <x v="7"/>
    <n v="1"/>
    <x v="10"/>
    <n v="0.13075929750140999"/>
    <x v="10"/>
    <x v="2"/>
    <x v="0"/>
  </r>
  <r>
    <d v="2022-11-02T00:00:00"/>
    <x v="3"/>
    <s v="Cultural"/>
    <s v="Website"/>
    <x v="4"/>
    <n v="1"/>
    <x v="10"/>
    <n v="0.13075929750140999"/>
    <x v="10"/>
    <x v="6"/>
    <x v="0"/>
  </r>
  <r>
    <d v="2022-11-02T00:00:00"/>
    <x v="1"/>
    <s v="Cultural"/>
    <s v="Agent"/>
    <x v="4"/>
    <n v="2"/>
    <x v="10"/>
    <n v="0.13075929750140999"/>
    <x v="10"/>
    <x v="14"/>
    <x v="1"/>
  </r>
  <r>
    <d v="2022-11-03T00:00:00"/>
    <x v="0"/>
    <s v="Family"/>
    <s v="Agent"/>
    <x v="0"/>
    <n v="4"/>
    <x v="10"/>
    <n v="0.13075929750140999"/>
    <x v="10"/>
    <x v="6"/>
    <x v="1"/>
  </r>
  <r>
    <d v="2022-11-03T00:00:00"/>
    <x v="2"/>
    <s v="Beach"/>
    <s v="Agent"/>
    <x v="9"/>
    <n v="1"/>
    <x v="10"/>
    <n v="0.13075929750140999"/>
    <x v="10"/>
    <x v="1"/>
    <x v="1"/>
  </r>
  <r>
    <d v="2022-11-03T00:00:00"/>
    <x v="2"/>
    <s v="Adventure"/>
    <s v="Mobile App"/>
    <x v="3"/>
    <n v="2"/>
    <x v="10"/>
    <n v="0.13075929750140999"/>
    <x v="10"/>
    <x v="17"/>
    <x v="1"/>
  </r>
  <r>
    <d v="2022-11-04T00:00:00"/>
    <x v="3"/>
    <s v="Beach"/>
    <s v="Agent"/>
    <x v="7"/>
    <n v="1"/>
    <x v="10"/>
    <n v="0.13075929750140999"/>
    <x v="10"/>
    <x v="7"/>
    <x v="0"/>
  </r>
  <r>
    <d v="2022-11-04T00:00:00"/>
    <x v="1"/>
    <s v="Family"/>
    <s v="Website"/>
    <x v="9"/>
    <n v="2"/>
    <x v="10"/>
    <n v="0.13075929750140999"/>
    <x v="10"/>
    <x v="12"/>
    <x v="1"/>
  </r>
  <r>
    <d v="2022-11-05T00:00:00"/>
    <x v="1"/>
    <s v="Cultural"/>
    <s v="Mobile App"/>
    <x v="8"/>
    <n v="2"/>
    <x v="10"/>
    <n v="0.13075929750140999"/>
    <x v="10"/>
    <x v="0"/>
    <x v="1"/>
  </r>
  <r>
    <d v="2022-11-05T00:00:00"/>
    <x v="0"/>
    <s v="Foodie"/>
    <s v="Website"/>
    <x v="2"/>
    <n v="3"/>
    <x v="10"/>
    <n v="0.13075929750140999"/>
    <x v="10"/>
    <x v="5"/>
    <x v="1"/>
  </r>
  <r>
    <d v="2022-11-06T00:00:00"/>
    <x v="0"/>
    <s v="Beach"/>
    <s v="Agent"/>
    <x v="3"/>
    <n v="2"/>
    <x v="10"/>
    <n v="0.13075929750140999"/>
    <x v="10"/>
    <x v="12"/>
    <x v="1"/>
  </r>
  <r>
    <d v="2022-11-06T00:00:00"/>
    <x v="3"/>
    <s v="Beach"/>
    <s v="Agent"/>
    <x v="0"/>
    <n v="1"/>
    <x v="10"/>
    <n v="0.13075929750140999"/>
    <x v="10"/>
    <x v="16"/>
    <x v="1"/>
  </r>
  <r>
    <d v="2022-11-07T00:00:00"/>
    <x v="3"/>
    <s v="Family"/>
    <s v="Website"/>
    <x v="7"/>
    <n v="3"/>
    <x v="10"/>
    <n v="0.13075929750140999"/>
    <x v="10"/>
    <x v="8"/>
    <x v="1"/>
  </r>
  <r>
    <d v="2022-11-08T00:00:00"/>
    <x v="0"/>
    <s v="Family"/>
    <s v="Website"/>
    <x v="5"/>
    <n v="1"/>
    <x v="10"/>
    <n v="0.13075929750140999"/>
    <x v="10"/>
    <x v="8"/>
    <x v="1"/>
  </r>
  <r>
    <d v="2022-11-09T00:00:00"/>
    <x v="3"/>
    <s v="Foodie"/>
    <s v="Mobile App"/>
    <x v="4"/>
    <n v="4"/>
    <x v="10"/>
    <n v="0.13075929750140999"/>
    <x v="10"/>
    <x v="9"/>
    <x v="1"/>
  </r>
  <r>
    <d v="2022-11-09T00:00:00"/>
    <x v="3"/>
    <s v="Cultural"/>
    <s v="Agent"/>
    <x v="6"/>
    <n v="3"/>
    <x v="10"/>
    <n v="0.13075929750140999"/>
    <x v="10"/>
    <x v="8"/>
    <x v="1"/>
  </r>
  <r>
    <d v="2022-11-10T00:00:00"/>
    <x v="1"/>
    <s v="Cultural"/>
    <s v="Website"/>
    <x v="1"/>
    <n v="2"/>
    <x v="10"/>
    <n v="0.13075929750140999"/>
    <x v="10"/>
    <x v="13"/>
    <x v="1"/>
  </r>
  <r>
    <d v="2022-11-10T00:00:00"/>
    <x v="2"/>
    <s v="Family"/>
    <s v="Website"/>
    <x v="7"/>
    <n v="3"/>
    <x v="10"/>
    <n v="0.13075929750140999"/>
    <x v="10"/>
    <x v="10"/>
    <x v="0"/>
  </r>
  <r>
    <d v="2022-11-11T00:00:00"/>
    <x v="0"/>
    <s v="Foodie"/>
    <s v="Website"/>
    <x v="0"/>
    <n v="3"/>
    <x v="10"/>
    <n v="0.13075929750140999"/>
    <x v="10"/>
    <x v="2"/>
    <x v="1"/>
  </r>
  <r>
    <d v="2022-11-12T00:00:00"/>
    <x v="3"/>
    <s v="Family"/>
    <s v="Website"/>
    <x v="2"/>
    <n v="2"/>
    <x v="10"/>
    <n v="0.13075929750140999"/>
    <x v="10"/>
    <x v="0"/>
    <x v="0"/>
  </r>
  <r>
    <d v="2022-11-12T00:00:00"/>
    <x v="1"/>
    <s v="Family"/>
    <s v="Mobile App"/>
    <x v="2"/>
    <n v="2"/>
    <x v="10"/>
    <n v="0.13075929750140999"/>
    <x v="10"/>
    <x v="8"/>
    <x v="1"/>
  </r>
  <r>
    <d v="2022-11-12T00:00:00"/>
    <x v="3"/>
    <s v="Cultural"/>
    <s v="Website"/>
    <x v="8"/>
    <n v="1"/>
    <x v="10"/>
    <n v="0.13075929750140999"/>
    <x v="10"/>
    <x v="4"/>
    <x v="1"/>
  </r>
  <r>
    <d v="2022-11-13T00:00:00"/>
    <x v="0"/>
    <s v="Family"/>
    <s v="Website"/>
    <x v="3"/>
    <n v="1"/>
    <x v="10"/>
    <n v="0.13075929750140999"/>
    <x v="10"/>
    <x v="12"/>
    <x v="0"/>
  </r>
  <r>
    <d v="2022-11-13T00:00:00"/>
    <x v="3"/>
    <s v="City Break"/>
    <s v="Website"/>
    <x v="7"/>
    <n v="5"/>
    <x v="10"/>
    <n v="0.13075929750140999"/>
    <x v="10"/>
    <x v="9"/>
    <x v="0"/>
  </r>
  <r>
    <d v="2022-11-14T00:00:00"/>
    <x v="1"/>
    <s v="Beach"/>
    <s v="Website"/>
    <x v="7"/>
    <n v="2"/>
    <x v="10"/>
    <n v="0.13075929750140999"/>
    <x v="10"/>
    <x v="15"/>
    <x v="1"/>
  </r>
  <r>
    <d v="2022-11-14T00:00:00"/>
    <x v="2"/>
    <s v="Beach"/>
    <s v="Mobile App"/>
    <x v="7"/>
    <n v="2"/>
    <x v="10"/>
    <n v="0.13075929750140999"/>
    <x v="10"/>
    <x v="15"/>
    <x v="1"/>
  </r>
  <r>
    <d v="2022-11-14T00:00:00"/>
    <x v="3"/>
    <s v="Cultural"/>
    <s v="Mobile App"/>
    <x v="2"/>
    <n v="1"/>
    <x v="10"/>
    <n v="0.13075929750140999"/>
    <x v="10"/>
    <x v="18"/>
    <x v="1"/>
  </r>
  <r>
    <d v="2022-11-15T00:00:00"/>
    <x v="3"/>
    <s v="Family"/>
    <s v="Website"/>
    <x v="0"/>
    <n v="1"/>
    <x v="10"/>
    <n v="0.13075929750140999"/>
    <x v="10"/>
    <x v="8"/>
    <x v="1"/>
  </r>
  <r>
    <d v="2022-11-16T00:00:00"/>
    <x v="2"/>
    <s v="Cultural"/>
    <s v="Website"/>
    <x v="0"/>
    <n v="1"/>
    <x v="10"/>
    <n v="0.13075929750140999"/>
    <x v="10"/>
    <x v="0"/>
    <x v="0"/>
  </r>
  <r>
    <d v="2022-11-16T00:00:00"/>
    <x v="1"/>
    <s v="City Break"/>
    <s v="Mobile App"/>
    <x v="1"/>
    <n v="4"/>
    <x v="10"/>
    <n v="0.13075929750140999"/>
    <x v="10"/>
    <x v="12"/>
    <x v="1"/>
  </r>
  <r>
    <d v="2022-11-17T00:00:00"/>
    <x v="1"/>
    <s v="Beach"/>
    <s v="Agent"/>
    <x v="7"/>
    <n v="2"/>
    <x v="10"/>
    <n v="0.13075929750140999"/>
    <x v="10"/>
    <x v="9"/>
    <x v="1"/>
  </r>
  <r>
    <d v="2022-11-17T00:00:00"/>
    <x v="0"/>
    <s v="Beach"/>
    <s v="Agent"/>
    <x v="1"/>
    <n v="2"/>
    <x v="10"/>
    <n v="0.13075929750140999"/>
    <x v="10"/>
    <x v="4"/>
    <x v="1"/>
  </r>
  <r>
    <d v="2022-11-17T00:00:00"/>
    <x v="1"/>
    <s v="Family"/>
    <s v="Website"/>
    <x v="2"/>
    <n v="1"/>
    <x v="10"/>
    <n v="0.13075929750140999"/>
    <x v="10"/>
    <x v="9"/>
    <x v="1"/>
  </r>
  <r>
    <d v="2022-11-18T00:00:00"/>
    <x v="2"/>
    <s v="Foodie"/>
    <s v="Agent"/>
    <x v="5"/>
    <n v="1"/>
    <x v="10"/>
    <n v="0.13075929750140999"/>
    <x v="10"/>
    <x v="15"/>
    <x v="0"/>
  </r>
  <r>
    <d v="2022-11-18T00:00:00"/>
    <x v="3"/>
    <s v="Foodie"/>
    <s v="Call Center"/>
    <x v="5"/>
    <n v="1"/>
    <x v="10"/>
    <n v="0.13075929750140999"/>
    <x v="10"/>
    <x v="15"/>
    <x v="1"/>
  </r>
  <r>
    <d v="2022-11-18T00:00:00"/>
    <x v="0"/>
    <s v="Cultural"/>
    <s v="Website"/>
    <x v="5"/>
    <n v="1"/>
    <x v="10"/>
    <n v="0.13075929750140999"/>
    <x v="10"/>
    <x v="12"/>
    <x v="1"/>
  </r>
  <r>
    <d v="2022-11-18T00:00:00"/>
    <x v="1"/>
    <s v="City Break"/>
    <s v="Website"/>
    <x v="7"/>
    <n v="4"/>
    <x v="10"/>
    <n v="0.13075929750140999"/>
    <x v="10"/>
    <x v="12"/>
    <x v="1"/>
  </r>
  <r>
    <d v="2022-11-20T00:00:00"/>
    <x v="1"/>
    <s v="Family"/>
    <s v="Website"/>
    <x v="5"/>
    <n v="1"/>
    <x v="10"/>
    <n v="0.13075929750140999"/>
    <x v="10"/>
    <x v="2"/>
    <x v="1"/>
  </r>
  <r>
    <d v="2022-11-20T00:00:00"/>
    <x v="2"/>
    <s v="Beach"/>
    <s v="Agent"/>
    <x v="9"/>
    <n v="3"/>
    <x v="10"/>
    <n v="0.13075929750140999"/>
    <x v="10"/>
    <x v="9"/>
    <x v="1"/>
  </r>
  <r>
    <d v="2022-11-21T00:00:00"/>
    <x v="2"/>
    <s v="Cultural"/>
    <s v="Website"/>
    <x v="9"/>
    <n v="4"/>
    <x v="10"/>
    <n v="0.13075929750140999"/>
    <x v="10"/>
    <x v="9"/>
    <x v="1"/>
  </r>
  <r>
    <d v="2022-11-21T00:00:00"/>
    <x v="1"/>
    <s v="City Break"/>
    <s v="Website"/>
    <x v="0"/>
    <n v="1"/>
    <x v="10"/>
    <n v="0.13075929750140999"/>
    <x v="10"/>
    <x v="14"/>
    <x v="1"/>
  </r>
  <r>
    <d v="2022-11-22T00:00:00"/>
    <x v="3"/>
    <s v="Family"/>
    <s v="Website"/>
    <x v="7"/>
    <n v="2"/>
    <x v="10"/>
    <n v="0.13075929750140999"/>
    <x v="10"/>
    <x v="6"/>
    <x v="0"/>
  </r>
  <r>
    <d v="2022-11-23T00:00:00"/>
    <x v="3"/>
    <s v="Foodie"/>
    <s v="Website"/>
    <x v="4"/>
    <n v="1"/>
    <x v="10"/>
    <n v="0.13075929750140999"/>
    <x v="10"/>
    <x v="4"/>
    <x v="1"/>
  </r>
  <r>
    <d v="2022-11-23T00:00:00"/>
    <x v="2"/>
    <s v="Family"/>
    <s v="Mobile App"/>
    <x v="2"/>
    <n v="2"/>
    <x v="10"/>
    <n v="0.13075929750140999"/>
    <x v="10"/>
    <x v="7"/>
    <x v="1"/>
  </r>
  <r>
    <d v="2022-11-24T00:00:00"/>
    <x v="0"/>
    <s v="Beach"/>
    <s v="Website"/>
    <x v="5"/>
    <n v="2"/>
    <x v="10"/>
    <n v="0.13075929750140999"/>
    <x v="10"/>
    <x v="2"/>
    <x v="1"/>
  </r>
  <r>
    <d v="2022-11-25T00:00:00"/>
    <x v="0"/>
    <s v="City Break"/>
    <s v="Agent"/>
    <x v="2"/>
    <n v="3"/>
    <x v="10"/>
    <n v="0.13075929750140999"/>
    <x v="10"/>
    <x v="0"/>
    <x v="1"/>
  </r>
  <r>
    <d v="2022-11-25T00:00:00"/>
    <x v="3"/>
    <s v="Beach"/>
    <s v="Website"/>
    <x v="2"/>
    <n v="1"/>
    <x v="10"/>
    <n v="0.13075929750140999"/>
    <x v="10"/>
    <x v="2"/>
    <x v="1"/>
  </r>
  <r>
    <d v="2022-11-26T00:00:00"/>
    <x v="3"/>
    <s v="Cultural"/>
    <s v="Website"/>
    <x v="3"/>
    <n v="3"/>
    <x v="10"/>
    <n v="0.13075929750140999"/>
    <x v="10"/>
    <x v="3"/>
    <x v="1"/>
  </r>
  <r>
    <d v="2022-11-26T00:00:00"/>
    <x v="3"/>
    <s v="Family"/>
    <s v="Call Center"/>
    <x v="3"/>
    <n v="4"/>
    <x v="10"/>
    <n v="0.13075929750140999"/>
    <x v="10"/>
    <x v="0"/>
    <x v="0"/>
  </r>
  <r>
    <d v="2022-11-26T00:00:00"/>
    <x v="2"/>
    <s v="Family"/>
    <s v="Mobile App"/>
    <x v="9"/>
    <n v="1"/>
    <x v="10"/>
    <n v="0.13075929750140999"/>
    <x v="10"/>
    <x v="0"/>
    <x v="0"/>
  </r>
  <r>
    <d v="2022-11-27T00:00:00"/>
    <x v="2"/>
    <s v="Beach"/>
    <s v="Website"/>
    <x v="2"/>
    <n v="1"/>
    <x v="10"/>
    <n v="0.13075929750140999"/>
    <x v="10"/>
    <x v="0"/>
    <x v="0"/>
  </r>
  <r>
    <d v="2022-11-27T00:00:00"/>
    <x v="3"/>
    <s v="Cultural"/>
    <s v="Agent"/>
    <x v="1"/>
    <n v="3"/>
    <x v="10"/>
    <n v="0.13075929750140999"/>
    <x v="10"/>
    <x v="8"/>
    <x v="0"/>
  </r>
  <r>
    <d v="2022-11-29T00:00:00"/>
    <x v="1"/>
    <s v="Family"/>
    <s v="Mobile App"/>
    <x v="8"/>
    <n v="2"/>
    <x v="10"/>
    <n v="0.13075929750140999"/>
    <x v="10"/>
    <x v="12"/>
    <x v="1"/>
  </r>
  <r>
    <d v="2022-11-29T00:00:00"/>
    <x v="1"/>
    <s v="Cultural"/>
    <s v="Agent"/>
    <x v="8"/>
    <n v="3"/>
    <x v="10"/>
    <n v="0.13075929750140999"/>
    <x v="10"/>
    <x v="2"/>
    <x v="1"/>
  </r>
  <r>
    <d v="2022-11-30T00:00:00"/>
    <x v="0"/>
    <s v="Cultural"/>
    <s v="Website"/>
    <x v="5"/>
    <n v="3"/>
    <x v="10"/>
    <n v="0.13075929750140999"/>
    <x v="10"/>
    <x v="14"/>
    <x v="1"/>
  </r>
  <r>
    <d v="2022-12-01T00:00:00"/>
    <x v="3"/>
    <s v="Cultural"/>
    <s v="Website"/>
    <x v="4"/>
    <n v="2"/>
    <x v="10"/>
    <n v="0.13075929750140999"/>
    <x v="10"/>
    <x v="10"/>
    <x v="0"/>
  </r>
  <r>
    <d v="2022-12-01T00:00:00"/>
    <x v="3"/>
    <s v="Beach"/>
    <s v="Website"/>
    <x v="8"/>
    <n v="4"/>
    <x v="10"/>
    <n v="0.13075929750140999"/>
    <x v="10"/>
    <x v="14"/>
    <x v="1"/>
  </r>
  <r>
    <d v="2022-12-02T00:00:00"/>
    <x v="2"/>
    <s v="Adventure"/>
    <s v="Agent"/>
    <x v="5"/>
    <n v="2"/>
    <x v="10"/>
    <n v="0.13075929750140999"/>
    <x v="10"/>
    <x v="2"/>
    <x v="0"/>
  </r>
  <r>
    <d v="2022-12-02T00:00:00"/>
    <x v="1"/>
    <s v="Beach"/>
    <s v="Agent"/>
    <x v="7"/>
    <n v="2"/>
    <x v="10"/>
    <n v="0.13075929750140999"/>
    <x v="10"/>
    <x v="13"/>
    <x v="1"/>
  </r>
  <r>
    <d v="2022-12-02T00:00:00"/>
    <x v="3"/>
    <s v="Beach"/>
    <s v="Website"/>
    <x v="9"/>
    <n v="3"/>
    <x v="10"/>
    <n v="0.13075929750140999"/>
    <x v="10"/>
    <x v="5"/>
    <x v="1"/>
  </r>
  <r>
    <d v="2022-12-02T00:00:00"/>
    <x v="2"/>
    <s v="Cultural"/>
    <s v="Website"/>
    <x v="6"/>
    <n v="2"/>
    <x v="10"/>
    <n v="0.13075929750140999"/>
    <x v="10"/>
    <x v="8"/>
    <x v="1"/>
  </r>
  <r>
    <d v="2022-12-05T00:00:00"/>
    <x v="1"/>
    <s v="Beach"/>
    <s v="Agent"/>
    <x v="6"/>
    <n v="1"/>
    <x v="10"/>
    <n v="0.13075929750140999"/>
    <x v="10"/>
    <x v="6"/>
    <x v="1"/>
  </r>
  <r>
    <d v="2022-12-05T00:00:00"/>
    <x v="1"/>
    <s v="Foodie"/>
    <s v="Agent"/>
    <x v="0"/>
    <n v="3"/>
    <x v="10"/>
    <n v="0.13075929750140999"/>
    <x v="10"/>
    <x v="14"/>
    <x v="1"/>
  </r>
  <r>
    <d v="2022-12-07T00:00:00"/>
    <x v="3"/>
    <s v="Foodie"/>
    <s v="Website"/>
    <x v="6"/>
    <n v="1"/>
    <x v="10"/>
    <n v="0.13075929750140999"/>
    <x v="10"/>
    <x v="1"/>
    <x v="0"/>
  </r>
  <r>
    <d v="2022-12-07T00:00:00"/>
    <x v="2"/>
    <s v="Beach"/>
    <s v="Mobile App"/>
    <x v="7"/>
    <n v="1"/>
    <x v="10"/>
    <n v="0.13075929750140999"/>
    <x v="10"/>
    <x v="12"/>
    <x v="0"/>
  </r>
  <r>
    <d v="2022-12-07T00:00:00"/>
    <x v="3"/>
    <s v="Adventure"/>
    <s v="Mobile App"/>
    <x v="3"/>
    <n v="3"/>
    <x v="10"/>
    <n v="0.13075929750140999"/>
    <x v="10"/>
    <x v="1"/>
    <x v="0"/>
  </r>
  <r>
    <d v="2022-12-08T00:00:00"/>
    <x v="1"/>
    <s v="City Break"/>
    <s v="Agent"/>
    <x v="3"/>
    <n v="3"/>
    <x v="10"/>
    <n v="0.13075929750140999"/>
    <x v="10"/>
    <x v="1"/>
    <x v="1"/>
  </r>
  <r>
    <d v="2022-12-11T00:00:00"/>
    <x v="1"/>
    <s v="Beach"/>
    <s v="Website"/>
    <x v="2"/>
    <n v="3"/>
    <x v="10"/>
    <n v="0.13075929750140999"/>
    <x v="10"/>
    <x v="13"/>
    <x v="1"/>
  </r>
  <r>
    <d v="2022-12-11T00:00:00"/>
    <x v="1"/>
    <s v="Family"/>
    <s v="Agent"/>
    <x v="1"/>
    <n v="3"/>
    <x v="10"/>
    <n v="0.13075929750140999"/>
    <x v="10"/>
    <x v="14"/>
    <x v="1"/>
  </r>
  <r>
    <d v="2022-12-12T00:00:00"/>
    <x v="3"/>
    <s v="Cultural"/>
    <s v="Website"/>
    <x v="4"/>
    <n v="2"/>
    <x v="10"/>
    <n v="0.13075929750140999"/>
    <x v="10"/>
    <x v="10"/>
    <x v="1"/>
  </r>
  <r>
    <d v="2022-12-12T00:00:00"/>
    <x v="1"/>
    <s v="Family"/>
    <s v="Website"/>
    <x v="9"/>
    <n v="3"/>
    <x v="10"/>
    <n v="0.13075929750140999"/>
    <x v="10"/>
    <x v="8"/>
    <x v="1"/>
  </r>
  <r>
    <d v="2022-12-12T00:00:00"/>
    <x v="3"/>
    <s v="Beach"/>
    <s v="Website"/>
    <x v="8"/>
    <n v="3"/>
    <x v="10"/>
    <n v="0.13075929750140999"/>
    <x v="10"/>
    <x v="4"/>
    <x v="1"/>
  </r>
  <r>
    <d v="2022-12-12T00:00:00"/>
    <x v="1"/>
    <s v="Cultural"/>
    <s v="Agent"/>
    <x v="4"/>
    <n v="3"/>
    <x v="10"/>
    <n v="0.13075929750140999"/>
    <x v="10"/>
    <x v="0"/>
    <x v="1"/>
  </r>
  <r>
    <d v="2022-12-16T00:00:00"/>
    <x v="0"/>
    <s v="Cultural"/>
    <s v="Website"/>
    <x v="2"/>
    <n v="2"/>
    <x v="10"/>
    <n v="0.13075929750140999"/>
    <x v="10"/>
    <x v="8"/>
    <x v="1"/>
  </r>
  <r>
    <d v="2022-12-16T00:00:00"/>
    <x v="0"/>
    <s v="Cultural"/>
    <s v="Mobile App"/>
    <x v="3"/>
    <n v="3"/>
    <x v="10"/>
    <n v="0.13075929750140999"/>
    <x v="10"/>
    <x v="6"/>
    <x v="1"/>
  </r>
  <r>
    <d v="2022-12-16T00:00:00"/>
    <x v="0"/>
    <s v="Beach"/>
    <s v="Website"/>
    <x v="4"/>
    <n v="1"/>
    <x v="10"/>
    <n v="0.13075929750140999"/>
    <x v="10"/>
    <x v="13"/>
    <x v="1"/>
  </r>
  <r>
    <d v="2022-12-17T00:00:00"/>
    <x v="3"/>
    <s v="City Break"/>
    <s v="Call Center"/>
    <x v="0"/>
    <n v="2"/>
    <x v="10"/>
    <n v="0.13075929750140999"/>
    <x v="10"/>
    <x v="10"/>
    <x v="1"/>
  </r>
  <r>
    <d v="2022-12-17T00:00:00"/>
    <x v="0"/>
    <s v="Beach"/>
    <s v="Website"/>
    <x v="2"/>
    <n v="2"/>
    <x v="10"/>
    <n v="0.13075929750140999"/>
    <x v="10"/>
    <x v="16"/>
    <x v="1"/>
  </r>
  <r>
    <d v="2022-12-18T00:00:00"/>
    <x v="0"/>
    <s v="Cultural"/>
    <s v="Website"/>
    <x v="0"/>
    <n v="2"/>
    <x v="10"/>
    <n v="0.13075929750140999"/>
    <x v="10"/>
    <x v="15"/>
    <x v="0"/>
  </r>
  <r>
    <d v="2022-12-18T00:00:00"/>
    <x v="3"/>
    <s v="Cultural"/>
    <s v="Mobile App"/>
    <x v="7"/>
    <n v="4"/>
    <x v="10"/>
    <n v="0.13075929750140999"/>
    <x v="10"/>
    <x v="12"/>
    <x v="1"/>
  </r>
  <r>
    <d v="2022-12-18T00:00:00"/>
    <x v="3"/>
    <s v="Cultural"/>
    <s v="Website"/>
    <x v="1"/>
    <n v="4"/>
    <x v="10"/>
    <n v="0.13075929750140999"/>
    <x v="10"/>
    <x v="13"/>
    <x v="1"/>
  </r>
  <r>
    <d v="2022-12-19T00:00:00"/>
    <x v="1"/>
    <s v="Family"/>
    <s v="Website"/>
    <x v="9"/>
    <n v="2"/>
    <x v="10"/>
    <n v="0.13075929750140999"/>
    <x v="10"/>
    <x v="15"/>
    <x v="1"/>
  </r>
  <r>
    <d v="2022-12-19T00:00:00"/>
    <x v="2"/>
    <s v="Beach"/>
    <s v="Website"/>
    <x v="7"/>
    <n v="5"/>
    <x v="10"/>
    <n v="0.13075929750140999"/>
    <x v="10"/>
    <x v="17"/>
    <x v="0"/>
  </r>
  <r>
    <d v="2022-12-19T00:00:00"/>
    <x v="1"/>
    <s v="Foodie"/>
    <s v="Website"/>
    <x v="0"/>
    <n v="1"/>
    <x v="10"/>
    <n v="0.13075929750140999"/>
    <x v="10"/>
    <x v="1"/>
    <x v="1"/>
  </r>
  <r>
    <d v="2022-12-19T00:00:00"/>
    <x v="1"/>
    <s v="Cultural"/>
    <s v="Agent"/>
    <x v="1"/>
    <n v="1"/>
    <x v="10"/>
    <n v="0.13075929750140999"/>
    <x v="10"/>
    <x v="2"/>
    <x v="1"/>
  </r>
  <r>
    <d v="2022-12-20T00:00:00"/>
    <x v="0"/>
    <s v="Family"/>
    <s v="Mobile App"/>
    <x v="0"/>
    <n v="1"/>
    <x v="10"/>
    <n v="0.13075929750140999"/>
    <x v="10"/>
    <x v="18"/>
    <x v="0"/>
  </r>
  <r>
    <d v="2022-12-22T00:00:00"/>
    <x v="1"/>
    <s v="Foodie"/>
    <s v="Mobile App"/>
    <x v="9"/>
    <n v="4"/>
    <x v="10"/>
    <n v="0.13075929750140999"/>
    <x v="10"/>
    <x v="15"/>
    <x v="1"/>
  </r>
  <r>
    <d v="2022-12-22T00:00:00"/>
    <x v="1"/>
    <s v="Cultural"/>
    <s v="Website"/>
    <x v="8"/>
    <n v="1"/>
    <x v="10"/>
    <n v="0.13075929750140999"/>
    <x v="10"/>
    <x v="14"/>
    <x v="1"/>
  </r>
  <r>
    <d v="2022-12-22T00:00:00"/>
    <x v="1"/>
    <s v="City Break"/>
    <s v="Website"/>
    <x v="0"/>
    <n v="2"/>
    <x v="10"/>
    <n v="0.13075929750140999"/>
    <x v="10"/>
    <x v="10"/>
    <x v="0"/>
  </r>
  <r>
    <d v="2022-12-22T00:00:00"/>
    <x v="0"/>
    <s v="Adventure"/>
    <s v="Website"/>
    <x v="1"/>
    <n v="2"/>
    <x v="10"/>
    <n v="0.13075929750140999"/>
    <x v="10"/>
    <x v="6"/>
    <x v="0"/>
  </r>
  <r>
    <d v="2022-12-23T00:00:00"/>
    <x v="2"/>
    <s v="Beach"/>
    <s v="Website"/>
    <x v="1"/>
    <n v="1"/>
    <x v="10"/>
    <n v="0.13075929750140999"/>
    <x v="10"/>
    <x v="13"/>
    <x v="1"/>
  </r>
  <r>
    <d v="2022-12-23T00:00:00"/>
    <x v="2"/>
    <s v="Cultural"/>
    <s v="Mobile App"/>
    <x v="7"/>
    <n v="2"/>
    <x v="10"/>
    <n v="0.13075929750140999"/>
    <x v="10"/>
    <x v="1"/>
    <x v="1"/>
  </r>
  <r>
    <d v="2022-12-23T00:00:00"/>
    <x v="2"/>
    <s v="Foodie"/>
    <s v="Agent"/>
    <x v="9"/>
    <n v="4"/>
    <x v="10"/>
    <n v="0.13075929750140999"/>
    <x v="10"/>
    <x v="3"/>
    <x v="0"/>
  </r>
  <r>
    <d v="2022-12-24T00:00:00"/>
    <x v="1"/>
    <s v="City Break"/>
    <s v="Website"/>
    <x v="6"/>
    <n v="1"/>
    <x v="10"/>
    <n v="0.13075929750140999"/>
    <x v="10"/>
    <x v="14"/>
    <x v="1"/>
  </r>
  <r>
    <d v="2022-12-24T00:00:00"/>
    <x v="0"/>
    <s v="City Break"/>
    <s v="Mobile App"/>
    <x v="0"/>
    <n v="3"/>
    <x v="10"/>
    <n v="0.13075929750140999"/>
    <x v="10"/>
    <x v="9"/>
    <x v="0"/>
  </r>
  <r>
    <d v="2022-12-24T00:00:00"/>
    <x v="3"/>
    <s v="Cultural"/>
    <s v="Agent"/>
    <x v="5"/>
    <n v="3"/>
    <x v="10"/>
    <n v="0.13075929750140999"/>
    <x v="10"/>
    <x v="9"/>
    <x v="1"/>
  </r>
  <r>
    <d v="2022-12-24T00:00:00"/>
    <x v="3"/>
    <s v="Beach"/>
    <s v="Website"/>
    <x v="5"/>
    <n v="2"/>
    <x v="10"/>
    <n v="0.13075929750140999"/>
    <x v="10"/>
    <x v="12"/>
    <x v="0"/>
  </r>
  <r>
    <d v="2022-12-26T00:00:00"/>
    <x v="2"/>
    <s v="Cultural"/>
    <s v="Agent"/>
    <x v="5"/>
    <n v="2"/>
    <x v="10"/>
    <n v="0.13075929750140999"/>
    <x v="10"/>
    <x v="2"/>
    <x v="1"/>
  </r>
  <r>
    <d v="2022-12-26T00:00:00"/>
    <x v="2"/>
    <s v="Adventure"/>
    <s v="Website"/>
    <x v="6"/>
    <n v="2"/>
    <x v="10"/>
    <n v="0.13075929750140999"/>
    <x v="10"/>
    <x v="12"/>
    <x v="1"/>
  </r>
  <r>
    <d v="2022-12-27T00:00:00"/>
    <x v="0"/>
    <s v="Cultural"/>
    <s v="Website"/>
    <x v="5"/>
    <n v="3"/>
    <x v="10"/>
    <n v="0.13075929750140999"/>
    <x v="10"/>
    <x v="1"/>
    <x v="1"/>
  </r>
  <r>
    <d v="2022-12-27T00:00:00"/>
    <x v="1"/>
    <s v="Family"/>
    <s v="Website"/>
    <x v="3"/>
    <n v="1"/>
    <x v="10"/>
    <n v="0.13075929750140999"/>
    <x v="10"/>
    <x v="12"/>
    <x v="0"/>
  </r>
  <r>
    <d v="2022-12-28T00:00:00"/>
    <x v="1"/>
    <s v="Family"/>
    <s v="Website"/>
    <x v="2"/>
    <n v="2"/>
    <x v="10"/>
    <n v="0.13075929750140999"/>
    <x v="10"/>
    <x v="15"/>
    <x v="1"/>
  </r>
  <r>
    <d v="2022-12-29T00:00:00"/>
    <x v="0"/>
    <s v="Family"/>
    <s v="Agent"/>
    <x v="5"/>
    <n v="5"/>
    <x v="10"/>
    <n v="0.13075929750140999"/>
    <x v="10"/>
    <x v="13"/>
    <x v="0"/>
  </r>
  <r>
    <d v="2022-12-30T00:00:00"/>
    <x v="1"/>
    <s v="City Break"/>
    <s v="Mobile App"/>
    <x v="7"/>
    <n v="1"/>
    <x v="10"/>
    <n v="0.13075929750140999"/>
    <x v="10"/>
    <x v="3"/>
    <x v="1"/>
  </r>
  <r>
    <d v="2022-12-30T00:00:00"/>
    <x v="1"/>
    <s v="Beach"/>
    <s v="Agent"/>
    <x v="2"/>
    <n v="1"/>
    <x v="10"/>
    <n v="0.13075929750140999"/>
    <x v="10"/>
    <x v="2"/>
    <x v="1"/>
  </r>
  <r>
    <d v="2022-12-30T00:00:00"/>
    <x v="1"/>
    <s v="City Break"/>
    <s v="Mobile App"/>
    <x v="2"/>
    <n v="4"/>
    <x v="10"/>
    <n v="0.13075929750140999"/>
    <x v="10"/>
    <x v="0"/>
    <x v="1"/>
  </r>
  <r>
    <d v="2022-12-31T00:00:00"/>
    <x v="1"/>
    <s v="City Break"/>
    <s v="Mobile App"/>
    <x v="0"/>
    <n v="4"/>
    <x v="10"/>
    <n v="0.13075929750140999"/>
    <x v="10"/>
    <x v="4"/>
    <x v="1"/>
  </r>
  <r>
    <d v="2023-01-01T00:00:00"/>
    <x v="1"/>
    <s v="Family"/>
    <s v="Agent"/>
    <x v="1"/>
    <n v="3"/>
    <x v="10"/>
    <n v="0.13075929750140999"/>
    <x v="10"/>
    <x v="17"/>
    <x v="1"/>
  </r>
  <r>
    <d v="2023-01-02T00:00:00"/>
    <x v="1"/>
    <s v="Adventure"/>
    <s v="Mobile App"/>
    <x v="4"/>
    <n v="1"/>
    <x v="10"/>
    <n v="0.13075929750140999"/>
    <x v="10"/>
    <x v="10"/>
    <x v="0"/>
  </r>
  <r>
    <d v="2023-01-02T00:00:00"/>
    <x v="0"/>
    <s v="City Break"/>
    <s v="Website"/>
    <x v="7"/>
    <n v="3"/>
    <x v="10"/>
    <n v="0.13075929750140999"/>
    <x v="10"/>
    <x v="5"/>
    <x v="0"/>
  </r>
  <r>
    <d v="2023-01-03T00:00:00"/>
    <x v="1"/>
    <s v="Family"/>
    <s v="Website"/>
    <x v="3"/>
    <n v="3"/>
    <x v="10"/>
    <n v="0.13075929750140999"/>
    <x v="10"/>
    <x v="4"/>
    <x v="0"/>
  </r>
  <r>
    <d v="2023-01-03T00:00:00"/>
    <x v="1"/>
    <s v="City Break"/>
    <s v="Website"/>
    <x v="0"/>
    <n v="1"/>
    <x v="10"/>
    <n v="0.13075929750140999"/>
    <x v="10"/>
    <x v="13"/>
    <x v="1"/>
  </r>
  <r>
    <d v="2023-01-05T00:00:00"/>
    <x v="0"/>
    <s v="Beach"/>
    <s v="Agent"/>
    <x v="9"/>
    <n v="3"/>
    <x v="10"/>
    <n v="0.13075929750140999"/>
    <x v="10"/>
    <x v="0"/>
    <x v="1"/>
  </r>
  <r>
    <d v="2023-01-05T00:00:00"/>
    <x v="2"/>
    <s v="Beach"/>
    <s v="Agent"/>
    <x v="0"/>
    <n v="2"/>
    <x v="10"/>
    <n v="0.13075929750140999"/>
    <x v="10"/>
    <x v="16"/>
    <x v="0"/>
  </r>
  <r>
    <d v="2023-01-06T00:00:00"/>
    <x v="1"/>
    <s v="Adventure"/>
    <s v="Website"/>
    <x v="4"/>
    <n v="1"/>
    <x v="10"/>
    <n v="0.13075929750140999"/>
    <x v="10"/>
    <x v="8"/>
    <x v="1"/>
  </r>
  <r>
    <d v="2023-01-06T00:00:00"/>
    <x v="3"/>
    <s v="City Break"/>
    <s v="Agent"/>
    <x v="1"/>
    <n v="2"/>
    <x v="10"/>
    <n v="0.13075929750140999"/>
    <x v="10"/>
    <x v="1"/>
    <x v="0"/>
  </r>
  <r>
    <d v="2023-01-07T00:00:00"/>
    <x v="0"/>
    <s v="Cultural"/>
    <s v="Agent"/>
    <x v="1"/>
    <n v="2"/>
    <x v="10"/>
    <n v="0.13075929750140999"/>
    <x v="10"/>
    <x v="4"/>
    <x v="0"/>
  </r>
  <r>
    <d v="2023-01-08T00:00:00"/>
    <x v="1"/>
    <s v="Cultural"/>
    <s v="Agent"/>
    <x v="3"/>
    <n v="3"/>
    <x v="10"/>
    <n v="0.13075929750140999"/>
    <x v="10"/>
    <x v="4"/>
    <x v="1"/>
  </r>
  <r>
    <d v="2023-01-08T00:00:00"/>
    <x v="3"/>
    <s v="Cultural"/>
    <s v="Website"/>
    <x v="8"/>
    <n v="3"/>
    <x v="10"/>
    <n v="0.13075929750140999"/>
    <x v="10"/>
    <x v="14"/>
    <x v="1"/>
  </r>
  <r>
    <d v="2023-01-08T00:00:00"/>
    <x v="3"/>
    <s v="Cultural"/>
    <s v="Website"/>
    <x v="8"/>
    <n v="1"/>
    <x v="10"/>
    <n v="0.13075929750140999"/>
    <x v="10"/>
    <x v="12"/>
    <x v="1"/>
  </r>
  <r>
    <d v="2023-01-08T00:00:00"/>
    <x v="3"/>
    <s v="City Break"/>
    <s v="Website"/>
    <x v="4"/>
    <n v="1"/>
    <x v="10"/>
    <n v="0.13075929750140999"/>
    <x v="10"/>
    <x v="17"/>
    <x v="0"/>
  </r>
  <r>
    <d v="2023-01-09T00:00:00"/>
    <x v="3"/>
    <s v="Cultural"/>
    <s v="Agent"/>
    <x v="4"/>
    <n v="1"/>
    <x v="10"/>
    <n v="0.13075929750140999"/>
    <x v="10"/>
    <x v="2"/>
    <x v="0"/>
  </r>
  <r>
    <d v="2023-01-09T00:00:00"/>
    <x v="0"/>
    <s v="City Break"/>
    <s v="Mobile App"/>
    <x v="4"/>
    <n v="1"/>
    <x v="10"/>
    <n v="0.13075929750140999"/>
    <x v="10"/>
    <x v="15"/>
    <x v="1"/>
  </r>
  <r>
    <d v="2023-01-10T00:00:00"/>
    <x v="1"/>
    <s v="Cultural"/>
    <s v="Mobile App"/>
    <x v="6"/>
    <n v="1"/>
    <x v="10"/>
    <n v="0.13075929750140999"/>
    <x v="10"/>
    <x v="15"/>
    <x v="1"/>
  </r>
  <r>
    <d v="2023-01-10T00:00:00"/>
    <x v="1"/>
    <s v="Beach"/>
    <s v="Website"/>
    <x v="9"/>
    <n v="1"/>
    <x v="10"/>
    <n v="0.13075929750140999"/>
    <x v="10"/>
    <x v="2"/>
    <x v="0"/>
  </r>
  <r>
    <d v="2023-01-10T00:00:00"/>
    <x v="3"/>
    <s v="Beach"/>
    <s v="Mobile App"/>
    <x v="0"/>
    <n v="1"/>
    <x v="10"/>
    <n v="0.13075929750140999"/>
    <x v="10"/>
    <x v="13"/>
    <x v="1"/>
  </r>
  <r>
    <d v="2023-01-12T00:00:00"/>
    <x v="1"/>
    <s v="Cultural"/>
    <s v="Agent"/>
    <x v="0"/>
    <n v="3"/>
    <x v="10"/>
    <n v="0.13075929750140999"/>
    <x v="10"/>
    <x v="14"/>
    <x v="1"/>
  </r>
  <r>
    <d v="2023-01-12T00:00:00"/>
    <x v="1"/>
    <s v="Cultural"/>
    <s v="Website"/>
    <x v="0"/>
    <n v="5"/>
    <x v="10"/>
    <n v="0.13075929750140999"/>
    <x v="10"/>
    <x v="2"/>
    <x v="1"/>
  </r>
  <r>
    <d v="2023-01-13T00:00:00"/>
    <x v="2"/>
    <s v="Beach"/>
    <s v="Mobile App"/>
    <x v="6"/>
    <n v="2"/>
    <x v="10"/>
    <n v="0.13075929750140999"/>
    <x v="10"/>
    <x v="5"/>
    <x v="1"/>
  </r>
  <r>
    <d v="2023-01-13T00:00:00"/>
    <x v="2"/>
    <s v="Family"/>
    <s v="Call Center"/>
    <x v="9"/>
    <n v="1"/>
    <x v="10"/>
    <n v="0.13075929750140999"/>
    <x v="10"/>
    <x v="14"/>
    <x v="1"/>
  </r>
  <r>
    <d v="2023-01-13T00:00:00"/>
    <x v="1"/>
    <s v="Cultural"/>
    <s v="Mobile App"/>
    <x v="9"/>
    <n v="1"/>
    <x v="10"/>
    <n v="0.13075929750140999"/>
    <x v="10"/>
    <x v="13"/>
    <x v="0"/>
  </r>
  <r>
    <d v="2023-01-13T00:00:00"/>
    <x v="3"/>
    <s v="Adventure"/>
    <s v="Website"/>
    <x v="3"/>
    <n v="3"/>
    <x v="10"/>
    <n v="0.13075929750140999"/>
    <x v="10"/>
    <x v="5"/>
    <x v="0"/>
  </r>
  <r>
    <d v="2023-01-14T00:00:00"/>
    <x v="0"/>
    <s v="Beach"/>
    <s v="Agent"/>
    <x v="0"/>
    <n v="4"/>
    <x v="10"/>
    <n v="0.13075929750140999"/>
    <x v="10"/>
    <x v="16"/>
    <x v="1"/>
  </r>
  <r>
    <d v="2023-01-14T00:00:00"/>
    <x v="0"/>
    <s v="Family"/>
    <s v="Agent"/>
    <x v="2"/>
    <n v="4"/>
    <x v="10"/>
    <n v="0.13075929750140999"/>
    <x v="10"/>
    <x v="9"/>
    <x v="1"/>
  </r>
  <r>
    <d v="2023-01-14T00:00:00"/>
    <x v="0"/>
    <s v="Beach"/>
    <s v="Website"/>
    <x v="3"/>
    <n v="3"/>
    <x v="10"/>
    <n v="0.13075929750140999"/>
    <x v="10"/>
    <x v="14"/>
    <x v="1"/>
  </r>
  <r>
    <d v="2023-01-15T00:00:00"/>
    <x v="0"/>
    <s v="Beach"/>
    <s v="Agent"/>
    <x v="4"/>
    <n v="2"/>
    <x v="10"/>
    <n v="0.13075929750140999"/>
    <x v="10"/>
    <x v="15"/>
    <x v="1"/>
  </r>
  <r>
    <d v="2023-01-15T00:00:00"/>
    <x v="2"/>
    <s v="Cultural"/>
    <s v="Website"/>
    <x v="1"/>
    <n v="2"/>
    <x v="10"/>
    <n v="0.13075929750140999"/>
    <x v="10"/>
    <x v="6"/>
    <x v="1"/>
  </r>
  <r>
    <d v="2023-01-16T00:00:00"/>
    <x v="1"/>
    <s v="Beach"/>
    <s v="Mobile App"/>
    <x v="9"/>
    <n v="2"/>
    <x v="10"/>
    <n v="0.13075929750140999"/>
    <x v="10"/>
    <x v="2"/>
    <x v="1"/>
  </r>
  <r>
    <d v="2023-01-16T00:00:00"/>
    <x v="2"/>
    <s v="Adventure"/>
    <s v="Website"/>
    <x v="9"/>
    <n v="3"/>
    <x v="10"/>
    <n v="0.13075929750140999"/>
    <x v="10"/>
    <x v="1"/>
    <x v="1"/>
  </r>
  <r>
    <d v="2023-01-16T00:00:00"/>
    <x v="3"/>
    <s v="Beach"/>
    <s v="Agent"/>
    <x v="7"/>
    <n v="5"/>
    <x v="10"/>
    <n v="0.13075929750140999"/>
    <x v="10"/>
    <x v="9"/>
    <x v="1"/>
  </r>
  <r>
    <d v="2023-01-16T00:00:00"/>
    <x v="3"/>
    <s v="Family"/>
    <s v="Agent"/>
    <x v="3"/>
    <n v="1"/>
    <x v="10"/>
    <n v="0.13075929750140999"/>
    <x v="10"/>
    <x v="8"/>
    <x v="1"/>
  </r>
  <r>
    <d v="2023-01-17T00:00:00"/>
    <x v="3"/>
    <s v="Beach"/>
    <s v="Website"/>
    <x v="8"/>
    <n v="4"/>
    <x v="10"/>
    <n v="0.13075929750140999"/>
    <x v="10"/>
    <x v="11"/>
    <x v="1"/>
  </r>
  <r>
    <d v="2023-01-18T00:00:00"/>
    <x v="3"/>
    <s v="Family"/>
    <s v="Mobile App"/>
    <x v="4"/>
    <n v="1"/>
    <x v="10"/>
    <n v="0.13075929750140999"/>
    <x v="10"/>
    <x v="4"/>
    <x v="0"/>
  </r>
  <r>
    <d v="2023-01-18T00:00:00"/>
    <x v="1"/>
    <s v="Adventure"/>
    <s v="Website"/>
    <x v="8"/>
    <n v="4"/>
    <x v="10"/>
    <n v="0.13075929750140999"/>
    <x v="10"/>
    <x v="4"/>
    <x v="0"/>
  </r>
  <r>
    <d v="2023-01-18T00:00:00"/>
    <x v="1"/>
    <s v="Cultural"/>
    <s v="Website"/>
    <x v="1"/>
    <n v="4"/>
    <x v="10"/>
    <n v="0.13075929750140999"/>
    <x v="10"/>
    <x v="12"/>
    <x v="1"/>
  </r>
  <r>
    <d v="2023-01-19T00:00:00"/>
    <x v="3"/>
    <s v="Family"/>
    <s v="Mobile App"/>
    <x v="5"/>
    <n v="1"/>
    <x v="10"/>
    <n v="0.13075929750140999"/>
    <x v="10"/>
    <x v="5"/>
    <x v="1"/>
  </r>
  <r>
    <d v="2023-01-21T00:00:00"/>
    <x v="1"/>
    <s v="Cultural"/>
    <s v="Website"/>
    <x v="5"/>
    <n v="3"/>
    <x v="10"/>
    <n v="0.13075929750140999"/>
    <x v="10"/>
    <x v="0"/>
    <x v="1"/>
  </r>
  <r>
    <d v="2023-01-21T00:00:00"/>
    <x v="2"/>
    <s v="Beach"/>
    <s v="Website"/>
    <x v="2"/>
    <n v="2"/>
    <x v="10"/>
    <n v="0.13075929750140999"/>
    <x v="10"/>
    <x v="12"/>
    <x v="0"/>
  </r>
  <r>
    <d v="2023-01-22T00:00:00"/>
    <x v="3"/>
    <s v="Beach"/>
    <s v="Mobile App"/>
    <x v="6"/>
    <n v="3"/>
    <x v="10"/>
    <n v="0.13075929750140999"/>
    <x v="10"/>
    <x v="15"/>
    <x v="0"/>
  </r>
  <r>
    <d v="2023-01-23T00:00:00"/>
    <x v="1"/>
    <s v="Cultural"/>
    <s v="Agent"/>
    <x v="0"/>
    <n v="1"/>
    <x v="10"/>
    <n v="0.13075929750140999"/>
    <x v="10"/>
    <x v="4"/>
    <x v="0"/>
  </r>
  <r>
    <d v="2023-01-23T00:00:00"/>
    <x v="0"/>
    <s v="Beach"/>
    <s v="Mobile App"/>
    <x v="6"/>
    <n v="4"/>
    <x v="10"/>
    <n v="0.13075929750140999"/>
    <x v="10"/>
    <x v="13"/>
    <x v="0"/>
  </r>
  <r>
    <d v="2023-01-23T00:00:00"/>
    <x v="1"/>
    <s v="Family"/>
    <s v="Website"/>
    <x v="7"/>
    <n v="1"/>
    <x v="10"/>
    <n v="0.13075929750140999"/>
    <x v="10"/>
    <x v="5"/>
    <x v="1"/>
  </r>
  <r>
    <d v="2023-01-23T00:00:00"/>
    <x v="2"/>
    <s v="Beach"/>
    <s v="Mobile App"/>
    <x v="4"/>
    <n v="1"/>
    <x v="10"/>
    <n v="0.13075929750140999"/>
    <x v="10"/>
    <x v="10"/>
    <x v="0"/>
  </r>
  <r>
    <d v="2023-01-23T00:00:00"/>
    <x v="1"/>
    <s v="Family"/>
    <s v="Website"/>
    <x v="7"/>
    <n v="1"/>
    <x v="10"/>
    <n v="0.13075929750140999"/>
    <x v="10"/>
    <x v="9"/>
    <x v="1"/>
  </r>
  <r>
    <d v="2023-01-24T00:00:00"/>
    <x v="0"/>
    <s v="Cultural"/>
    <s v="Website"/>
    <x v="5"/>
    <n v="1"/>
    <x v="10"/>
    <n v="0.13075929750140999"/>
    <x v="10"/>
    <x v="15"/>
    <x v="1"/>
  </r>
  <r>
    <d v="2023-01-25T00:00:00"/>
    <x v="0"/>
    <s v="Beach"/>
    <s v="Website"/>
    <x v="1"/>
    <n v="2"/>
    <x v="10"/>
    <n v="0.13075929750140999"/>
    <x v="10"/>
    <x v="5"/>
    <x v="1"/>
  </r>
  <r>
    <d v="2023-01-25T00:00:00"/>
    <x v="0"/>
    <s v="Beach"/>
    <s v="Website"/>
    <x v="6"/>
    <n v="1"/>
    <x v="10"/>
    <n v="0.13075929750140999"/>
    <x v="10"/>
    <x v="13"/>
    <x v="0"/>
  </r>
  <r>
    <d v="2023-01-25T00:00:00"/>
    <x v="1"/>
    <s v="Cultural"/>
    <s v="Website"/>
    <x v="3"/>
    <n v="1"/>
    <x v="10"/>
    <n v="0.13075929750140999"/>
    <x v="10"/>
    <x v="13"/>
    <x v="1"/>
  </r>
  <r>
    <d v="2023-01-25T00:00:00"/>
    <x v="2"/>
    <s v="City Break"/>
    <s v="Website"/>
    <x v="5"/>
    <n v="2"/>
    <x v="10"/>
    <n v="0.13075929750140999"/>
    <x v="10"/>
    <x v="13"/>
    <x v="1"/>
  </r>
  <r>
    <d v="2023-01-25T00:00:00"/>
    <x v="3"/>
    <s v="Family"/>
    <s v="Website"/>
    <x v="5"/>
    <n v="3"/>
    <x v="10"/>
    <n v="0.13075929750140999"/>
    <x v="10"/>
    <x v="14"/>
    <x v="1"/>
  </r>
  <r>
    <d v="2023-01-26T00:00:00"/>
    <x v="3"/>
    <s v="City Break"/>
    <s v="Website"/>
    <x v="5"/>
    <n v="3"/>
    <x v="10"/>
    <n v="0.13075929750140999"/>
    <x v="10"/>
    <x v="6"/>
    <x v="1"/>
  </r>
  <r>
    <d v="2023-01-27T00:00:00"/>
    <x v="3"/>
    <s v="Adventure"/>
    <s v="Agent"/>
    <x v="7"/>
    <n v="2"/>
    <x v="10"/>
    <n v="0.13075929750140999"/>
    <x v="10"/>
    <x v="10"/>
    <x v="0"/>
  </r>
  <r>
    <d v="2023-01-27T00:00:00"/>
    <x v="1"/>
    <s v="Adventure"/>
    <s v="Website"/>
    <x v="4"/>
    <n v="1"/>
    <x v="10"/>
    <n v="0.13075929750140999"/>
    <x v="10"/>
    <x v="15"/>
    <x v="1"/>
  </r>
  <r>
    <d v="2023-01-29T00:00:00"/>
    <x v="0"/>
    <s v="Foodie"/>
    <s v="Agent"/>
    <x v="2"/>
    <n v="3"/>
    <x v="10"/>
    <n v="0.13075929750140999"/>
    <x v="10"/>
    <x v="6"/>
    <x v="1"/>
  </r>
  <r>
    <d v="2023-01-29T00:00:00"/>
    <x v="2"/>
    <s v="Family"/>
    <s v="Agent"/>
    <x v="8"/>
    <n v="2"/>
    <x v="10"/>
    <n v="0.13075929750140999"/>
    <x v="10"/>
    <x v="17"/>
    <x v="1"/>
  </r>
  <r>
    <d v="2023-01-30T00:00:00"/>
    <x v="3"/>
    <s v="Beach"/>
    <s v="Website"/>
    <x v="8"/>
    <n v="3"/>
    <x v="10"/>
    <n v="0.13075929750140999"/>
    <x v="10"/>
    <x v="9"/>
    <x v="0"/>
  </r>
  <r>
    <d v="2023-01-30T00:00:00"/>
    <x v="3"/>
    <s v="Family"/>
    <s v="Website"/>
    <x v="9"/>
    <n v="4"/>
    <x v="10"/>
    <n v="0.13075929750140999"/>
    <x v="10"/>
    <x v="1"/>
    <x v="1"/>
  </r>
  <r>
    <d v="2023-01-30T00:00:00"/>
    <x v="1"/>
    <s v="Family"/>
    <s v="Website"/>
    <x v="3"/>
    <n v="2"/>
    <x v="10"/>
    <n v="0.13075929750140999"/>
    <x v="10"/>
    <x v="13"/>
    <x v="1"/>
  </r>
  <r>
    <d v="2023-01-30T00:00:00"/>
    <x v="0"/>
    <s v="City Break"/>
    <s v="Website"/>
    <x v="1"/>
    <n v="1"/>
    <x v="10"/>
    <n v="0.13075929750140999"/>
    <x v="10"/>
    <x v="19"/>
    <x v="1"/>
  </r>
  <r>
    <d v="2023-02-02T00:00:00"/>
    <x v="0"/>
    <s v="Beach"/>
    <s v="Call Center"/>
    <x v="6"/>
    <n v="3"/>
    <x v="10"/>
    <n v="0.13075929750140999"/>
    <x v="10"/>
    <x v="0"/>
    <x v="0"/>
  </r>
  <r>
    <d v="2023-02-03T00:00:00"/>
    <x v="1"/>
    <s v="Foodie"/>
    <s v="Website"/>
    <x v="3"/>
    <n v="1"/>
    <x v="10"/>
    <n v="0.13075929750140999"/>
    <x v="10"/>
    <x v="4"/>
    <x v="1"/>
  </r>
  <r>
    <d v="2023-02-03T00:00:00"/>
    <x v="3"/>
    <s v="Beach"/>
    <s v="Mobile App"/>
    <x v="3"/>
    <n v="1"/>
    <x v="10"/>
    <n v="0.13075929750140999"/>
    <x v="10"/>
    <x v="2"/>
    <x v="1"/>
  </r>
  <r>
    <d v="2023-02-03T00:00:00"/>
    <x v="2"/>
    <s v="Beach"/>
    <s v="Agent"/>
    <x v="9"/>
    <n v="1"/>
    <x v="10"/>
    <n v="0.13075929750140999"/>
    <x v="10"/>
    <x v="17"/>
    <x v="1"/>
  </r>
  <r>
    <d v="2023-02-04T00:00:00"/>
    <x v="1"/>
    <s v="City Break"/>
    <s v="Agent"/>
    <x v="1"/>
    <n v="1"/>
    <x v="10"/>
    <n v="0.13075929750140999"/>
    <x v="10"/>
    <x v="1"/>
    <x v="1"/>
  </r>
  <r>
    <d v="2023-02-04T00:00:00"/>
    <x v="3"/>
    <s v="Family"/>
    <s v="Website"/>
    <x v="1"/>
    <n v="2"/>
    <x v="10"/>
    <n v="0.13075929750140999"/>
    <x v="10"/>
    <x v="2"/>
    <x v="1"/>
  </r>
  <r>
    <d v="2023-02-04T00:00:00"/>
    <x v="3"/>
    <s v="Family"/>
    <s v="Website"/>
    <x v="8"/>
    <n v="4"/>
    <x v="10"/>
    <n v="0.13075929750140999"/>
    <x v="10"/>
    <x v="15"/>
    <x v="1"/>
  </r>
  <r>
    <d v="2023-02-05T00:00:00"/>
    <x v="2"/>
    <s v="Adventure"/>
    <s v="Website"/>
    <x v="2"/>
    <n v="1"/>
    <x v="10"/>
    <n v="0.13075929750140999"/>
    <x v="10"/>
    <x v="8"/>
    <x v="0"/>
  </r>
  <r>
    <d v="2023-02-05T00:00:00"/>
    <x v="1"/>
    <s v="Cultural"/>
    <s v="Website"/>
    <x v="1"/>
    <n v="4"/>
    <x v="10"/>
    <n v="0.13075929750140999"/>
    <x v="10"/>
    <x v="0"/>
    <x v="1"/>
  </r>
  <r>
    <d v="2023-02-05T00:00:00"/>
    <x v="1"/>
    <s v="Foodie"/>
    <s v="Agent"/>
    <x v="4"/>
    <n v="2"/>
    <x v="10"/>
    <n v="0.13075929750140999"/>
    <x v="10"/>
    <x v="3"/>
    <x v="0"/>
  </r>
  <r>
    <d v="2023-02-05T00:00:00"/>
    <x v="2"/>
    <s v="Beach"/>
    <s v="Website"/>
    <x v="4"/>
    <n v="1"/>
    <x v="10"/>
    <n v="0.13075929750140999"/>
    <x v="10"/>
    <x v="17"/>
    <x v="0"/>
  </r>
  <r>
    <d v="2023-02-06T00:00:00"/>
    <x v="0"/>
    <s v="Adventure"/>
    <s v="Mobile App"/>
    <x v="9"/>
    <n v="1"/>
    <x v="10"/>
    <n v="0.13075929750140999"/>
    <x v="10"/>
    <x v="9"/>
    <x v="1"/>
  </r>
  <r>
    <d v="2023-02-07T00:00:00"/>
    <x v="0"/>
    <s v="Cultural"/>
    <s v="Website"/>
    <x v="9"/>
    <n v="1"/>
    <x v="10"/>
    <n v="0.13075929750140999"/>
    <x v="10"/>
    <x v="8"/>
    <x v="0"/>
  </r>
  <r>
    <d v="2023-02-07T00:00:00"/>
    <x v="0"/>
    <s v="Foodie"/>
    <s v="Website"/>
    <x v="2"/>
    <n v="3"/>
    <x v="10"/>
    <n v="0.13075929750140999"/>
    <x v="10"/>
    <x v="0"/>
    <x v="0"/>
  </r>
  <r>
    <d v="2023-02-08T00:00:00"/>
    <x v="1"/>
    <s v="Cultural"/>
    <s v="Agent"/>
    <x v="1"/>
    <n v="3"/>
    <x v="10"/>
    <n v="0.13075929750140999"/>
    <x v="10"/>
    <x v="5"/>
    <x v="1"/>
  </r>
  <r>
    <d v="2023-02-09T00:00:00"/>
    <x v="1"/>
    <s v="Beach"/>
    <s v="Agent"/>
    <x v="9"/>
    <n v="3"/>
    <x v="10"/>
    <n v="0.13075929750140999"/>
    <x v="10"/>
    <x v="16"/>
    <x v="1"/>
  </r>
  <r>
    <d v="2023-02-09T00:00:00"/>
    <x v="3"/>
    <s v="Adventure"/>
    <s v="Mobile App"/>
    <x v="9"/>
    <n v="1"/>
    <x v="10"/>
    <n v="0.13075929750140999"/>
    <x v="10"/>
    <x v="4"/>
    <x v="1"/>
  </r>
  <r>
    <d v="2023-02-10T00:00:00"/>
    <x v="2"/>
    <s v="Foodie"/>
    <s v="Agent"/>
    <x v="9"/>
    <n v="4"/>
    <x v="10"/>
    <n v="0.13075929750140999"/>
    <x v="10"/>
    <x v="15"/>
    <x v="1"/>
  </r>
  <r>
    <d v="2023-02-10T00:00:00"/>
    <x v="3"/>
    <s v="Foodie"/>
    <s v="Agent"/>
    <x v="9"/>
    <n v="5"/>
    <x v="10"/>
    <n v="0.13075929750140999"/>
    <x v="10"/>
    <x v="2"/>
    <x v="1"/>
  </r>
  <r>
    <d v="2023-02-11T00:00:00"/>
    <x v="3"/>
    <s v="Cultural"/>
    <s v="Agent"/>
    <x v="9"/>
    <n v="1"/>
    <x v="10"/>
    <n v="0.13075929750140999"/>
    <x v="10"/>
    <x v="9"/>
    <x v="1"/>
  </r>
  <r>
    <d v="2023-02-11T00:00:00"/>
    <x v="3"/>
    <s v="Family"/>
    <s v="Agent"/>
    <x v="2"/>
    <n v="2"/>
    <x v="10"/>
    <n v="0.13075929750140999"/>
    <x v="10"/>
    <x v="6"/>
    <x v="1"/>
  </r>
  <r>
    <d v="2023-02-11T00:00:00"/>
    <x v="0"/>
    <s v="City Break"/>
    <s v="Mobile App"/>
    <x v="2"/>
    <n v="2"/>
    <x v="10"/>
    <n v="0.13075929750140999"/>
    <x v="10"/>
    <x v="1"/>
    <x v="1"/>
  </r>
  <r>
    <d v="2023-02-12T00:00:00"/>
    <x v="3"/>
    <s v="Foodie"/>
    <s v="Website"/>
    <x v="7"/>
    <n v="1"/>
    <x v="10"/>
    <n v="0.13075929750140999"/>
    <x v="10"/>
    <x v="6"/>
    <x v="1"/>
  </r>
  <r>
    <d v="2023-02-12T00:00:00"/>
    <x v="3"/>
    <s v="Foodie"/>
    <s v="Mobile App"/>
    <x v="7"/>
    <n v="1"/>
    <x v="10"/>
    <n v="0.13075929750140999"/>
    <x v="10"/>
    <x v="11"/>
    <x v="1"/>
  </r>
  <r>
    <d v="2023-02-12T00:00:00"/>
    <x v="2"/>
    <s v="Cultural"/>
    <s v="Website"/>
    <x v="5"/>
    <n v="4"/>
    <x v="10"/>
    <n v="0.13075929750140999"/>
    <x v="10"/>
    <x v="4"/>
    <x v="1"/>
  </r>
  <r>
    <d v="2023-02-13T00:00:00"/>
    <x v="3"/>
    <s v="Family"/>
    <s v="Agent"/>
    <x v="8"/>
    <n v="1"/>
    <x v="10"/>
    <n v="0.13075929750140999"/>
    <x v="10"/>
    <x v="9"/>
    <x v="1"/>
  </r>
  <r>
    <d v="2023-02-13T00:00:00"/>
    <x v="0"/>
    <s v="City Break"/>
    <s v="Agent"/>
    <x v="6"/>
    <n v="1"/>
    <x v="10"/>
    <n v="0.13075929750140999"/>
    <x v="10"/>
    <x v="12"/>
    <x v="1"/>
  </r>
  <r>
    <d v="2023-02-13T00:00:00"/>
    <x v="1"/>
    <s v="Adventure"/>
    <s v="Mobile App"/>
    <x v="8"/>
    <n v="4"/>
    <x v="10"/>
    <n v="0.13075929750140999"/>
    <x v="10"/>
    <x v="0"/>
    <x v="1"/>
  </r>
  <r>
    <d v="2023-02-13T00:00:00"/>
    <x v="1"/>
    <s v="Cultural"/>
    <s v="Mobile App"/>
    <x v="1"/>
    <n v="1"/>
    <x v="10"/>
    <n v="0.13075929750140999"/>
    <x v="10"/>
    <x v="14"/>
    <x v="0"/>
  </r>
  <r>
    <d v="2023-02-14T00:00:00"/>
    <x v="3"/>
    <s v="Adventure"/>
    <s v="Agent"/>
    <x v="1"/>
    <n v="1"/>
    <x v="10"/>
    <n v="0.13075929750140999"/>
    <x v="10"/>
    <x v="5"/>
    <x v="0"/>
  </r>
  <r>
    <d v="2023-02-14T00:00:00"/>
    <x v="0"/>
    <s v="Beach"/>
    <s v="Mobile App"/>
    <x v="7"/>
    <n v="3"/>
    <x v="10"/>
    <n v="0.13075929750140999"/>
    <x v="10"/>
    <x v="12"/>
    <x v="1"/>
  </r>
  <r>
    <d v="2023-02-16T00:00:00"/>
    <x v="0"/>
    <s v="Cultural"/>
    <s v="Agent"/>
    <x v="2"/>
    <n v="3"/>
    <x v="10"/>
    <n v="0.13075929750140999"/>
    <x v="10"/>
    <x v="15"/>
    <x v="1"/>
  </r>
  <r>
    <d v="2023-02-16T00:00:00"/>
    <x v="1"/>
    <s v="Beach"/>
    <s v="Website"/>
    <x v="8"/>
    <n v="2"/>
    <x v="10"/>
    <n v="0.13075929750140999"/>
    <x v="10"/>
    <x v="4"/>
    <x v="1"/>
  </r>
  <r>
    <d v="2023-02-16T00:00:00"/>
    <x v="3"/>
    <s v="City Break"/>
    <s v="Website"/>
    <x v="0"/>
    <n v="5"/>
    <x v="10"/>
    <n v="0.13075929750140999"/>
    <x v="10"/>
    <x v="13"/>
    <x v="1"/>
  </r>
  <r>
    <d v="2023-02-17T00:00:00"/>
    <x v="1"/>
    <s v="Adventure"/>
    <s v="Website"/>
    <x v="0"/>
    <n v="4"/>
    <x v="10"/>
    <n v="0.13075929750140999"/>
    <x v="10"/>
    <x v="3"/>
    <x v="1"/>
  </r>
  <r>
    <d v="2023-02-17T00:00:00"/>
    <x v="3"/>
    <s v="City Break"/>
    <s v="Website"/>
    <x v="9"/>
    <n v="4"/>
    <x v="10"/>
    <n v="0.13075929750140999"/>
    <x v="10"/>
    <x v="8"/>
    <x v="1"/>
  </r>
  <r>
    <d v="2023-02-17T00:00:00"/>
    <x v="2"/>
    <s v="Family"/>
    <s v="Website"/>
    <x v="3"/>
    <n v="2"/>
    <x v="10"/>
    <n v="0.13075929750140999"/>
    <x v="10"/>
    <x v="13"/>
    <x v="0"/>
  </r>
  <r>
    <d v="2023-02-18T00:00:00"/>
    <x v="2"/>
    <s v="Family"/>
    <s v="Website"/>
    <x v="2"/>
    <n v="1"/>
    <x v="10"/>
    <n v="0.13075929750140999"/>
    <x v="10"/>
    <x v="14"/>
    <x v="1"/>
  </r>
  <r>
    <d v="2023-02-19T00:00:00"/>
    <x v="3"/>
    <s v="City Break"/>
    <s v="Agent"/>
    <x v="4"/>
    <n v="1"/>
    <x v="10"/>
    <n v="0.13075929750140999"/>
    <x v="10"/>
    <x v="2"/>
    <x v="1"/>
  </r>
  <r>
    <d v="2023-02-20T00:00:00"/>
    <x v="3"/>
    <s v="Beach"/>
    <s v="Website"/>
    <x v="0"/>
    <n v="3"/>
    <x v="10"/>
    <n v="0.13075929750140999"/>
    <x v="10"/>
    <x v="5"/>
    <x v="1"/>
  </r>
  <r>
    <d v="2023-02-20T00:00:00"/>
    <x v="1"/>
    <s v="Foodie"/>
    <s v="Mobile App"/>
    <x v="6"/>
    <n v="3"/>
    <x v="10"/>
    <n v="0.13075929750140999"/>
    <x v="10"/>
    <x v="4"/>
    <x v="1"/>
  </r>
  <r>
    <d v="2023-02-20T00:00:00"/>
    <x v="1"/>
    <s v="City Break"/>
    <s v="Website"/>
    <x v="2"/>
    <n v="2"/>
    <x v="10"/>
    <n v="0.13075929750140999"/>
    <x v="10"/>
    <x v="13"/>
    <x v="1"/>
  </r>
  <r>
    <d v="2023-02-20T00:00:00"/>
    <x v="1"/>
    <s v="Cultural"/>
    <s v="Website"/>
    <x v="4"/>
    <n v="3"/>
    <x v="10"/>
    <n v="0.13075929750140999"/>
    <x v="10"/>
    <x v="9"/>
    <x v="0"/>
  </r>
  <r>
    <d v="2023-02-21T00:00:00"/>
    <x v="1"/>
    <s v="City Break"/>
    <s v="Mobile App"/>
    <x v="4"/>
    <n v="1"/>
    <x v="10"/>
    <n v="0.13075929750140999"/>
    <x v="10"/>
    <x v="7"/>
    <x v="1"/>
  </r>
  <r>
    <d v="2023-02-21T00:00:00"/>
    <x v="0"/>
    <s v="Adventure"/>
    <s v="Website"/>
    <x v="4"/>
    <n v="4"/>
    <x v="10"/>
    <n v="0.13075929750140999"/>
    <x v="10"/>
    <x v="17"/>
    <x v="1"/>
  </r>
  <r>
    <d v="2023-02-22T00:00:00"/>
    <x v="0"/>
    <s v="Family"/>
    <s v="Website"/>
    <x v="5"/>
    <n v="3"/>
    <x v="10"/>
    <n v="0.13075929750140999"/>
    <x v="10"/>
    <x v="5"/>
    <x v="1"/>
  </r>
  <r>
    <d v="2023-02-22T00:00:00"/>
    <x v="1"/>
    <s v="Beach"/>
    <s v="Website"/>
    <x v="1"/>
    <n v="2"/>
    <x v="10"/>
    <n v="0.13075929750140999"/>
    <x v="10"/>
    <x v="1"/>
    <x v="0"/>
  </r>
  <r>
    <d v="2023-02-22T00:00:00"/>
    <x v="0"/>
    <s v="Family"/>
    <s v="Website"/>
    <x v="0"/>
    <n v="4"/>
    <x v="10"/>
    <n v="0.13075929750140999"/>
    <x v="10"/>
    <x v="0"/>
    <x v="0"/>
  </r>
  <r>
    <d v="2023-02-22T00:00:00"/>
    <x v="2"/>
    <s v="Foodie"/>
    <s v="Mobile App"/>
    <x v="2"/>
    <n v="2"/>
    <x v="10"/>
    <n v="0.13075929750140999"/>
    <x v="10"/>
    <x v="18"/>
    <x v="1"/>
  </r>
  <r>
    <d v="2023-02-22T00:00:00"/>
    <x v="0"/>
    <s v="Family"/>
    <s v="Mobile App"/>
    <x v="0"/>
    <n v="5"/>
    <x v="10"/>
    <n v="0.13075929750140999"/>
    <x v="10"/>
    <x v="4"/>
    <x v="1"/>
  </r>
  <r>
    <d v="2023-02-22T00:00:00"/>
    <x v="2"/>
    <s v="Foodie"/>
    <s v="Website"/>
    <x v="5"/>
    <n v="4"/>
    <x v="10"/>
    <n v="0.13075929750140999"/>
    <x v="10"/>
    <x v="9"/>
    <x v="1"/>
  </r>
  <r>
    <d v="2023-02-22T00:00:00"/>
    <x v="2"/>
    <s v="City Break"/>
    <s v="Agent"/>
    <x v="1"/>
    <n v="1"/>
    <x v="10"/>
    <n v="0.13075929750140999"/>
    <x v="10"/>
    <x v="1"/>
    <x v="1"/>
  </r>
  <r>
    <d v="2023-02-23T00:00:00"/>
    <x v="2"/>
    <s v="Family"/>
    <s v="Mobile App"/>
    <x v="1"/>
    <n v="4"/>
    <x v="10"/>
    <n v="0.13075929750140999"/>
    <x v="10"/>
    <x v="1"/>
    <x v="0"/>
  </r>
  <r>
    <d v="2023-02-23T00:00:00"/>
    <x v="3"/>
    <s v="Beach"/>
    <s v="Website"/>
    <x v="3"/>
    <n v="3"/>
    <x v="10"/>
    <n v="0.13075929750140999"/>
    <x v="10"/>
    <x v="13"/>
    <x v="1"/>
  </r>
  <r>
    <d v="2023-02-23T00:00:00"/>
    <x v="3"/>
    <s v="Cultural"/>
    <s v="Website"/>
    <x v="9"/>
    <n v="1"/>
    <x v="10"/>
    <n v="0.13075929750140999"/>
    <x v="10"/>
    <x v="8"/>
    <x v="1"/>
  </r>
  <r>
    <d v="2023-02-24T00:00:00"/>
    <x v="1"/>
    <s v="Foodie"/>
    <s v="Mobile App"/>
    <x v="9"/>
    <n v="2"/>
    <x v="10"/>
    <n v="0.13075929750140999"/>
    <x v="10"/>
    <x v="4"/>
    <x v="1"/>
  </r>
  <r>
    <d v="2023-02-25T00:00:00"/>
    <x v="3"/>
    <s v="City Break"/>
    <s v="Mobile App"/>
    <x v="1"/>
    <n v="1"/>
    <x v="10"/>
    <n v="0.13075929750140999"/>
    <x v="10"/>
    <x v="9"/>
    <x v="0"/>
  </r>
  <r>
    <d v="2023-02-25T00:00:00"/>
    <x v="1"/>
    <s v="Cultural"/>
    <s v="Website"/>
    <x v="3"/>
    <n v="5"/>
    <x v="10"/>
    <n v="0.13075929750140999"/>
    <x v="10"/>
    <x v="15"/>
    <x v="0"/>
  </r>
  <r>
    <d v="2023-02-26T00:00:00"/>
    <x v="1"/>
    <s v="Adventure"/>
    <s v="Mobile App"/>
    <x v="7"/>
    <n v="2"/>
    <x v="10"/>
    <n v="0.13075929750140999"/>
    <x v="10"/>
    <x v="10"/>
    <x v="0"/>
  </r>
  <r>
    <d v="2023-02-26T00:00:00"/>
    <x v="3"/>
    <s v="Foodie"/>
    <s v="Mobile App"/>
    <x v="3"/>
    <n v="4"/>
    <x v="10"/>
    <n v="0.13075929750140999"/>
    <x v="10"/>
    <x v="9"/>
    <x v="1"/>
  </r>
  <r>
    <d v="2023-02-26T00:00:00"/>
    <x v="0"/>
    <s v="Cultural"/>
    <s v="Website"/>
    <x v="5"/>
    <n v="1"/>
    <x v="10"/>
    <n v="0.13075929750140999"/>
    <x v="10"/>
    <x v="2"/>
    <x v="1"/>
  </r>
  <r>
    <d v="2023-02-27T00:00:00"/>
    <x v="2"/>
    <s v="Adventure"/>
    <s v="Call Center"/>
    <x v="5"/>
    <n v="3"/>
    <x v="10"/>
    <n v="0.13075929750140999"/>
    <x v="10"/>
    <x v="13"/>
    <x v="1"/>
  </r>
  <r>
    <d v="2023-02-27T00:00:00"/>
    <x v="1"/>
    <s v="Beach"/>
    <s v="Website"/>
    <x v="6"/>
    <n v="1"/>
    <x v="10"/>
    <n v="0.13075929750140999"/>
    <x v="10"/>
    <x v="0"/>
    <x v="1"/>
  </r>
  <r>
    <d v="2023-02-27T00:00:00"/>
    <x v="3"/>
    <s v="Family"/>
    <s v="Mobile App"/>
    <x v="1"/>
    <n v="1"/>
    <x v="10"/>
    <n v="0.13075929750140999"/>
    <x v="10"/>
    <x v="13"/>
    <x v="1"/>
  </r>
  <r>
    <d v="2023-03-01T00:00:00"/>
    <x v="3"/>
    <s v="Cultural"/>
    <s v="Website"/>
    <x v="5"/>
    <n v="4"/>
    <x v="10"/>
    <n v="0.13075929750140999"/>
    <x v="10"/>
    <x v="14"/>
    <x v="1"/>
  </r>
  <r>
    <d v="2023-03-01T00:00:00"/>
    <x v="0"/>
    <s v="Beach"/>
    <s v="Website"/>
    <x v="8"/>
    <n v="3"/>
    <x v="10"/>
    <n v="0.13075929750140999"/>
    <x v="10"/>
    <x v="6"/>
    <x v="1"/>
  </r>
  <r>
    <d v="2023-03-02T00:00:00"/>
    <x v="3"/>
    <s v="Adventure"/>
    <s v="Website"/>
    <x v="8"/>
    <n v="3"/>
    <x v="10"/>
    <n v="0.13075929750140999"/>
    <x v="10"/>
    <x v="10"/>
    <x v="0"/>
  </r>
  <r>
    <d v="2023-03-03T00:00:00"/>
    <x v="3"/>
    <s v="Beach"/>
    <s v="Website"/>
    <x v="9"/>
    <n v="2"/>
    <x v="10"/>
    <n v="0.13075929750140999"/>
    <x v="10"/>
    <x v="1"/>
    <x v="0"/>
  </r>
  <r>
    <d v="2023-03-05T00:00:00"/>
    <x v="1"/>
    <s v="Family"/>
    <s v="Website"/>
    <x v="4"/>
    <n v="2"/>
    <x v="10"/>
    <n v="0.13075929750140999"/>
    <x v="10"/>
    <x v="3"/>
    <x v="0"/>
  </r>
  <r>
    <d v="2023-03-06T00:00:00"/>
    <x v="3"/>
    <s v="Foodie"/>
    <s v="Website"/>
    <x v="2"/>
    <n v="2"/>
    <x v="10"/>
    <n v="0.13075929750140999"/>
    <x v="10"/>
    <x v="0"/>
    <x v="1"/>
  </r>
  <r>
    <d v="2023-03-07T00:00:00"/>
    <x v="0"/>
    <s v="Beach"/>
    <s v="Agent"/>
    <x v="7"/>
    <n v="5"/>
    <x v="10"/>
    <n v="0.13075929750140999"/>
    <x v="10"/>
    <x v="6"/>
    <x v="1"/>
  </r>
  <r>
    <d v="2023-03-07T00:00:00"/>
    <x v="3"/>
    <s v="Family"/>
    <s v="Website"/>
    <x v="9"/>
    <n v="2"/>
    <x v="10"/>
    <n v="0.13075929750140999"/>
    <x v="10"/>
    <x v="19"/>
    <x v="0"/>
  </r>
  <r>
    <d v="2023-03-07T00:00:00"/>
    <x v="3"/>
    <s v="Family"/>
    <s v="Agent"/>
    <x v="7"/>
    <n v="3"/>
    <x v="10"/>
    <n v="0.13075929750140999"/>
    <x v="10"/>
    <x v="8"/>
    <x v="1"/>
  </r>
  <r>
    <d v="2023-03-08T00:00:00"/>
    <x v="2"/>
    <s v="Foodie"/>
    <s v="Website"/>
    <x v="5"/>
    <n v="2"/>
    <x v="10"/>
    <n v="0.13075929750140999"/>
    <x v="10"/>
    <x v="0"/>
    <x v="0"/>
  </r>
  <r>
    <d v="2023-03-09T00:00:00"/>
    <x v="1"/>
    <s v="Adventure"/>
    <s v="Website"/>
    <x v="5"/>
    <n v="3"/>
    <x v="10"/>
    <n v="0.13075929750140999"/>
    <x v="10"/>
    <x v="0"/>
    <x v="1"/>
  </r>
  <r>
    <d v="2023-03-09T00:00:00"/>
    <x v="0"/>
    <s v="Adventure"/>
    <s v="Agent"/>
    <x v="3"/>
    <n v="1"/>
    <x v="10"/>
    <n v="0.13075929750140999"/>
    <x v="10"/>
    <x v="9"/>
    <x v="0"/>
  </r>
  <r>
    <d v="2023-03-10T00:00:00"/>
    <x v="1"/>
    <s v="Cultural"/>
    <s v="Agent"/>
    <x v="0"/>
    <n v="4"/>
    <x v="10"/>
    <n v="0.13075929750140999"/>
    <x v="10"/>
    <x v="12"/>
    <x v="0"/>
  </r>
  <r>
    <d v="2023-03-10T00:00:00"/>
    <x v="2"/>
    <s v="City Break"/>
    <s v="Agent"/>
    <x v="2"/>
    <n v="2"/>
    <x v="10"/>
    <n v="0.13075929750140999"/>
    <x v="10"/>
    <x v="14"/>
    <x v="0"/>
  </r>
  <r>
    <d v="2023-03-10T00:00:00"/>
    <x v="2"/>
    <s v="Cultural"/>
    <s v="Agent"/>
    <x v="2"/>
    <n v="2"/>
    <x v="10"/>
    <n v="0.13075929750140999"/>
    <x v="10"/>
    <x v="15"/>
    <x v="1"/>
  </r>
  <r>
    <d v="2023-03-10T00:00:00"/>
    <x v="0"/>
    <s v="Family"/>
    <s v="Website"/>
    <x v="0"/>
    <n v="3"/>
    <x v="10"/>
    <n v="0.13075929750140999"/>
    <x v="10"/>
    <x v="13"/>
    <x v="1"/>
  </r>
  <r>
    <d v="2023-03-11T00:00:00"/>
    <x v="0"/>
    <s v="Cultural"/>
    <s v="Website"/>
    <x v="9"/>
    <n v="1"/>
    <x v="10"/>
    <n v="0.13075929750140999"/>
    <x v="10"/>
    <x v="17"/>
    <x v="1"/>
  </r>
  <r>
    <d v="2023-03-11T00:00:00"/>
    <x v="3"/>
    <s v="Adventure"/>
    <s v="Website"/>
    <x v="9"/>
    <n v="3"/>
    <x v="10"/>
    <n v="0.13075929750140999"/>
    <x v="10"/>
    <x v="6"/>
    <x v="0"/>
  </r>
  <r>
    <d v="2023-03-12T00:00:00"/>
    <x v="2"/>
    <s v="Adventure"/>
    <s v="Website"/>
    <x v="4"/>
    <n v="3"/>
    <x v="10"/>
    <n v="0.13075929750140999"/>
    <x v="10"/>
    <x v="2"/>
    <x v="0"/>
  </r>
  <r>
    <d v="2023-03-13T00:00:00"/>
    <x v="1"/>
    <s v="City Break"/>
    <s v="Agent"/>
    <x v="7"/>
    <n v="2"/>
    <x v="10"/>
    <n v="0.13075929750140999"/>
    <x v="10"/>
    <x v="9"/>
    <x v="0"/>
  </r>
  <r>
    <d v="2023-03-14T00:00:00"/>
    <x v="2"/>
    <s v="Beach"/>
    <s v="Call Center"/>
    <x v="1"/>
    <n v="3"/>
    <x v="10"/>
    <n v="0.13075929750140999"/>
    <x v="10"/>
    <x v="15"/>
    <x v="1"/>
  </r>
  <r>
    <d v="2023-03-14T00:00:00"/>
    <x v="0"/>
    <s v="Beach"/>
    <s v="Website"/>
    <x v="2"/>
    <n v="1"/>
    <x v="10"/>
    <n v="0.13075929750140999"/>
    <x v="10"/>
    <x v="9"/>
    <x v="0"/>
  </r>
  <r>
    <d v="2023-03-15T00:00:00"/>
    <x v="0"/>
    <s v="Cultural"/>
    <s v="Mobile App"/>
    <x v="3"/>
    <n v="1"/>
    <x v="10"/>
    <n v="0.13075929750140999"/>
    <x v="10"/>
    <x v="12"/>
    <x v="0"/>
  </r>
  <r>
    <d v="2023-03-15T00:00:00"/>
    <x v="2"/>
    <s v="Foodie"/>
    <s v="Website"/>
    <x v="4"/>
    <n v="1"/>
    <x v="10"/>
    <n v="0.13075929750140999"/>
    <x v="10"/>
    <x v="5"/>
    <x v="1"/>
  </r>
  <r>
    <d v="2023-03-15T00:00:00"/>
    <x v="0"/>
    <s v="Cultural"/>
    <s v="Website"/>
    <x v="6"/>
    <n v="3"/>
    <x v="10"/>
    <n v="0.13075929750140999"/>
    <x v="10"/>
    <x v="2"/>
    <x v="1"/>
  </r>
  <r>
    <d v="2023-03-16T00:00:00"/>
    <x v="1"/>
    <s v="Beach"/>
    <s v="Website"/>
    <x v="1"/>
    <n v="4"/>
    <x v="10"/>
    <n v="0.13075929750140999"/>
    <x v="10"/>
    <x v="0"/>
    <x v="1"/>
  </r>
  <r>
    <d v="2023-03-16T00:00:00"/>
    <x v="1"/>
    <s v="Family"/>
    <s v="Website"/>
    <x v="1"/>
    <n v="2"/>
    <x v="10"/>
    <n v="0.13075929750140999"/>
    <x v="10"/>
    <x v="15"/>
    <x v="0"/>
  </r>
  <r>
    <d v="2023-03-17T00:00:00"/>
    <x v="3"/>
    <s v="Adventure"/>
    <s v="Mobile App"/>
    <x v="2"/>
    <n v="1"/>
    <x v="10"/>
    <n v="0.13075929750140999"/>
    <x v="10"/>
    <x v="13"/>
    <x v="0"/>
  </r>
  <r>
    <d v="2023-03-17T00:00:00"/>
    <x v="3"/>
    <s v="Foodie"/>
    <s v="Website"/>
    <x v="6"/>
    <n v="1"/>
    <x v="10"/>
    <n v="0.13075929750140999"/>
    <x v="10"/>
    <x v="14"/>
    <x v="1"/>
  </r>
  <r>
    <d v="2023-03-17T00:00:00"/>
    <x v="1"/>
    <s v="Beach"/>
    <s v="Website"/>
    <x v="0"/>
    <n v="4"/>
    <x v="10"/>
    <n v="0.13075929750140999"/>
    <x v="10"/>
    <x v="9"/>
    <x v="1"/>
  </r>
  <r>
    <d v="2023-03-17T00:00:00"/>
    <x v="1"/>
    <s v="Cultural"/>
    <s v="Website"/>
    <x v="6"/>
    <n v="1"/>
    <x v="10"/>
    <n v="0.13075929750140999"/>
    <x v="10"/>
    <x v="2"/>
    <x v="1"/>
  </r>
  <r>
    <d v="2023-03-17T00:00:00"/>
    <x v="1"/>
    <s v="Cultural"/>
    <s v="Agent"/>
    <x v="3"/>
    <n v="1"/>
    <x v="10"/>
    <n v="0.13075929750140999"/>
    <x v="10"/>
    <x v="5"/>
    <x v="1"/>
  </r>
  <r>
    <d v="2023-03-19T00:00:00"/>
    <x v="3"/>
    <s v="Cultural"/>
    <s v="Website"/>
    <x v="2"/>
    <n v="2"/>
    <x v="10"/>
    <n v="0.13075929750140999"/>
    <x v="10"/>
    <x v="14"/>
    <x v="1"/>
  </r>
  <r>
    <d v="2023-03-19T00:00:00"/>
    <x v="0"/>
    <s v="Family"/>
    <s v="Website"/>
    <x v="5"/>
    <n v="1"/>
    <x v="10"/>
    <n v="0.13075929750140999"/>
    <x v="10"/>
    <x v="9"/>
    <x v="1"/>
  </r>
  <r>
    <d v="2023-03-20T00:00:00"/>
    <x v="3"/>
    <s v="Beach"/>
    <s v="Agent"/>
    <x v="9"/>
    <n v="2"/>
    <x v="10"/>
    <n v="0.13075929750140999"/>
    <x v="10"/>
    <x v="14"/>
    <x v="0"/>
  </r>
  <r>
    <d v="2023-03-20T00:00:00"/>
    <x v="2"/>
    <s v="Adventure"/>
    <s v="Agent"/>
    <x v="5"/>
    <n v="1"/>
    <x v="10"/>
    <n v="0.13075929750140999"/>
    <x v="10"/>
    <x v="19"/>
    <x v="1"/>
  </r>
  <r>
    <d v="2023-03-21T00:00:00"/>
    <x v="2"/>
    <s v="Beach"/>
    <s v="Agent"/>
    <x v="5"/>
    <n v="1"/>
    <x v="10"/>
    <n v="0.13075929750140999"/>
    <x v="10"/>
    <x v="9"/>
    <x v="1"/>
  </r>
  <r>
    <d v="2023-03-21T00:00:00"/>
    <x v="1"/>
    <s v="Adventure"/>
    <s v="Mobile App"/>
    <x v="9"/>
    <n v="1"/>
    <x v="10"/>
    <n v="0.13075929750140999"/>
    <x v="10"/>
    <x v="9"/>
    <x v="1"/>
  </r>
  <r>
    <d v="2023-03-21T00:00:00"/>
    <x v="1"/>
    <s v="Cultural"/>
    <s v="Website"/>
    <x v="3"/>
    <n v="2"/>
    <x v="10"/>
    <n v="0.13075929750140999"/>
    <x v="10"/>
    <x v="7"/>
    <x v="0"/>
  </r>
  <r>
    <d v="2023-03-22T00:00:00"/>
    <x v="3"/>
    <s v="Family"/>
    <s v="Agent"/>
    <x v="4"/>
    <n v="3"/>
    <x v="10"/>
    <n v="0.13075929750140999"/>
    <x v="10"/>
    <x v="17"/>
    <x v="0"/>
  </r>
  <r>
    <d v="2023-03-22T00:00:00"/>
    <x v="1"/>
    <s v="Beach"/>
    <s v="Agent"/>
    <x v="4"/>
    <n v="2"/>
    <x v="10"/>
    <n v="0.13075929750140999"/>
    <x v="10"/>
    <x v="13"/>
    <x v="1"/>
  </r>
  <r>
    <d v="2023-03-22T00:00:00"/>
    <x v="2"/>
    <s v="Beach"/>
    <s v="Agent"/>
    <x v="1"/>
    <n v="1"/>
    <x v="10"/>
    <n v="0.13075929750140999"/>
    <x v="10"/>
    <x v="11"/>
    <x v="1"/>
  </r>
  <r>
    <d v="2023-03-23T00:00:00"/>
    <x v="3"/>
    <s v="Adventure"/>
    <s v="Website"/>
    <x v="7"/>
    <n v="2"/>
    <x v="10"/>
    <n v="0.13075929750140999"/>
    <x v="10"/>
    <x v="3"/>
    <x v="0"/>
  </r>
  <r>
    <d v="2023-03-23T00:00:00"/>
    <x v="0"/>
    <s v="Beach"/>
    <s v="Mobile App"/>
    <x v="4"/>
    <n v="1"/>
    <x v="10"/>
    <n v="0.13075929750140999"/>
    <x v="10"/>
    <x v="16"/>
    <x v="1"/>
  </r>
  <r>
    <d v="2023-03-23T00:00:00"/>
    <x v="2"/>
    <s v="Beach"/>
    <s v="Website"/>
    <x v="8"/>
    <n v="1"/>
    <x v="10"/>
    <n v="0.13075929750140999"/>
    <x v="10"/>
    <x v="4"/>
    <x v="1"/>
  </r>
  <r>
    <d v="2023-03-24T00:00:00"/>
    <x v="2"/>
    <s v="Cultural"/>
    <s v="Agent"/>
    <x v="8"/>
    <n v="2"/>
    <x v="10"/>
    <n v="0.13075929750140999"/>
    <x v="10"/>
    <x v="0"/>
    <x v="1"/>
  </r>
  <r>
    <d v="2023-03-24T00:00:00"/>
    <x v="1"/>
    <s v="Cultural"/>
    <s v="Website"/>
    <x v="0"/>
    <n v="1"/>
    <x v="10"/>
    <n v="0.13075929750140999"/>
    <x v="10"/>
    <x v="14"/>
    <x v="1"/>
  </r>
  <r>
    <d v="2023-03-24T00:00:00"/>
    <x v="1"/>
    <s v="Beach"/>
    <s v="Mobile App"/>
    <x v="0"/>
    <n v="4"/>
    <x v="10"/>
    <n v="0.13075929750140999"/>
    <x v="10"/>
    <x v="1"/>
    <x v="1"/>
  </r>
  <r>
    <d v="2023-03-24T00:00:00"/>
    <x v="2"/>
    <s v="Adventure"/>
    <s v="Website"/>
    <x v="0"/>
    <n v="1"/>
    <x v="10"/>
    <n v="0.13075929750140999"/>
    <x v="10"/>
    <x v="2"/>
    <x v="1"/>
  </r>
  <r>
    <d v="2023-03-24T00:00:00"/>
    <x v="0"/>
    <s v="Family"/>
    <s v="Mobile App"/>
    <x v="8"/>
    <n v="2"/>
    <x v="10"/>
    <n v="0.13075929750140999"/>
    <x v="10"/>
    <x v="9"/>
    <x v="1"/>
  </r>
  <r>
    <d v="2023-03-25T00:00:00"/>
    <x v="3"/>
    <s v="Beach"/>
    <s v="Mobile App"/>
    <x v="0"/>
    <n v="3"/>
    <x v="10"/>
    <n v="0.13075929750140999"/>
    <x v="10"/>
    <x v="6"/>
    <x v="1"/>
  </r>
  <r>
    <d v="2023-03-26T00:00:00"/>
    <x v="1"/>
    <s v="Beach"/>
    <s v="Website"/>
    <x v="1"/>
    <n v="3"/>
    <x v="10"/>
    <n v="0.13075929750140999"/>
    <x v="10"/>
    <x v="4"/>
    <x v="0"/>
  </r>
  <r>
    <d v="2023-03-26T00:00:00"/>
    <x v="3"/>
    <s v="Cultural"/>
    <s v="Website"/>
    <x v="5"/>
    <n v="3"/>
    <x v="10"/>
    <n v="0.13075929750140999"/>
    <x v="10"/>
    <x v="6"/>
    <x v="1"/>
  </r>
  <r>
    <d v="2023-03-26T00:00:00"/>
    <x v="3"/>
    <s v="Family"/>
    <s v="Agent"/>
    <x v="3"/>
    <n v="1"/>
    <x v="10"/>
    <n v="0.13075929750140999"/>
    <x v="10"/>
    <x v="10"/>
    <x v="0"/>
  </r>
  <r>
    <d v="2023-03-27T00:00:00"/>
    <x v="3"/>
    <s v="Beach"/>
    <s v="Website"/>
    <x v="3"/>
    <n v="1"/>
    <x v="10"/>
    <n v="0.13075929750140999"/>
    <x v="10"/>
    <x v="2"/>
    <x v="1"/>
  </r>
  <r>
    <d v="2023-03-27T00:00:00"/>
    <x v="0"/>
    <s v="Family"/>
    <s v="Agent"/>
    <x v="9"/>
    <n v="2"/>
    <x v="10"/>
    <n v="0.13075929750140999"/>
    <x v="10"/>
    <x v="2"/>
    <x v="1"/>
  </r>
  <r>
    <d v="2023-03-27T00:00:00"/>
    <x v="3"/>
    <s v="Cultural"/>
    <s v="Mobile App"/>
    <x v="6"/>
    <n v="3"/>
    <x v="10"/>
    <n v="0.13075929750140999"/>
    <x v="10"/>
    <x v="12"/>
    <x v="1"/>
  </r>
  <r>
    <d v="2023-03-28T00:00:00"/>
    <x v="3"/>
    <s v="Foodie"/>
    <s v="Website"/>
    <x v="8"/>
    <n v="2"/>
    <x v="10"/>
    <n v="0.13075929750140999"/>
    <x v="10"/>
    <x v="2"/>
    <x v="1"/>
  </r>
  <r>
    <d v="2023-03-28T00:00:00"/>
    <x v="1"/>
    <s v="Beach"/>
    <s v="Agent"/>
    <x v="7"/>
    <n v="1"/>
    <x v="10"/>
    <n v="0.13075929750140999"/>
    <x v="10"/>
    <x v="5"/>
    <x v="1"/>
  </r>
  <r>
    <d v="2023-03-28T00:00:00"/>
    <x v="1"/>
    <s v="Beach"/>
    <s v="Agent"/>
    <x v="7"/>
    <n v="4"/>
    <x v="10"/>
    <n v="0.13075929750140999"/>
    <x v="10"/>
    <x v="13"/>
    <x v="1"/>
  </r>
  <r>
    <d v="2023-03-29T00:00:00"/>
    <x v="2"/>
    <s v="Family"/>
    <s v="Website"/>
    <x v="7"/>
    <n v="4"/>
    <x v="10"/>
    <n v="0.13075929750140999"/>
    <x v="10"/>
    <x v="0"/>
    <x v="1"/>
  </r>
  <r>
    <d v="2023-03-31T00:00:00"/>
    <x v="1"/>
    <s v="City Break"/>
    <s v="Agent"/>
    <x v="8"/>
    <n v="4"/>
    <x v="10"/>
    <n v="0.13075929750140999"/>
    <x v="10"/>
    <x v="14"/>
    <x v="1"/>
  </r>
  <r>
    <d v="2023-03-31T00:00:00"/>
    <x v="3"/>
    <s v="Beach"/>
    <s v="Website"/>
    <x v="0"/>
    <n v="1"/>
    <x v="10"/>
    <n v="0.13075929750140999"/>
    <x v="10"/>
    <x v="0"/>
    <x v="1"/>
  </r>
  <r>
    <d v="2023-04-01T00:00:00"/>
    <x v="0"/>
    <s v="Cultural"/>
    <s v="Website"/>
    <x v="7"/>
    <n v="2"/>
    <x v="10"/>
    <n v="0.13075929750140999"/>
    <x v="10"/>
    <x v="2"/>
    <x v="1"/>
  </r>
  <r>
    <d v="2023-04-02T00:00:00"/>
    <x v="3"/>
    <s v="Beach"/>
    <s v="Website"/>
    <x v="1"/>
    <n v="1"/>
    <x v="10"/>
    <n v="0.13075929750140999"/>
    <x v="10"/>
    <x v="4"/>
    <x v="1"/>
  </r>
  <r>
    <d v="2023-04-02T00:00:00"/>
    <x v="0"/>
    <s v="Cultural"/>
    <s v="Website"/>
    <x v="6"/>
    <n v="1"/>
    <x v="10"/>
    <n v="0.13075929750140999"/>
    <x v="10"/>
    <x v="0"/>
    <x v="1"/>
  </r>
  <r>
    <d v="2023-04-02T00:00:00"/>
    <x v="3"/>
    <s v="Cultural"/>
    <s v="Mobile App"/>
    <x v="8"/>
    <n v="4"/>
    <x v="10"/>
    <n v="0.13075929750140999"/>
    <x v="10"/>
    <x v="12"/>
    <x v="1"/>
  </r>
  <r>
    <d v="2023-04-03T00:00:00"/>
    <x v="3"/>
    <s v="Family"/>
    <s v="Agent"/>
    <x v="4"/>
    <n v="5"/>
    <x v="10"/>
    <n v="0.13075929750140999"/>
    <x v="10"/>
    <x v="12"/>
    <x v="0"/>
  </r>
  <r>
    <d v="2023-04-03T00:00:00"/>
    <x v="0"/>
    <s v="Beach"/>
    <s v="Agent"/>
    <x v="4"/>
    <n v="1"/>
    <x v="10"/>
    <n v="0.13075929750140999"/>
    <x v="10"/>
    <x v="9"/>
    <x v="1"/>
  </r>
  <r>
    <d v="2023-04-03T00:00:00"/>
    <x v="1"/>
    <s v="Beach"/>
    <s v="Website"/>
    <x v="4"/>
    <n v="1"/>
    <x v="10"/>
    <n v="0.13075929750140999"/>
    <x v="10"/>
    <x v="3"/>
    <x v="1"/>
  </r>
  <r>
    <d v="2023-04-03T00:00:00"/>
    <x v="0"/>
    <s v="Beach"/>
    <s v="Agent"/>
    <x v="1"/>
    <n v="4"/>
    <x v="10"/>
    <n v="0.13075929750140999"/>
    <x v="10"/>
    <x v="12"/>
    <x v="1"/>
  </r>
  <r>
    <d v="2023-04-04T00:00:00"/>
    <x v="0"/>
    <s v="Beach"/>
    <s v="Agent"/>
    <x v="4"/>
    <n v="1"/>
    <x v="10"/>
    <n v="0.13075929750140999"/>
    <x v="10"/>
    <x v="8"/>
    <x v="0"/>
  </r>
  <r>
    <d v="2023-04-04T00:00:00"/>
    <x v="3"/>
    <s v="Adventure"/>
    <s v="Website"/>
    <x v="0"/>
    <n v="1"/>
    <x v="10"/>
    <n v="0.13075929750140999"/>
    <x v="10"/>
    <x v="5"/>
    <x v="1"/>
  </r>
  <r>
    <d v="2023-04-04T00:00:00"/>
    <x v="1"/>
    <s v="Cultural"/>
    <s v="Website"/>
    <x v="2"/>
    <n v="2"/>
    <x v="10"/>
    <n v="0.13075929750140999"/>
    <x v="10"/>
    <x v="5"/>
    <x v="1"/>
  </r>
  <r>
    <d v="2023-04-05T00:00:00"/>
    <x v="2"/>
    <s v="Beach"/>
    <s v="Website"/>
    <x v="1"/>
    <n v="4"/>
    <x v="10"/>
    <n v="0.13075929750140999"/>
    <x v="10"/>
    <x v="8"/>
    <x v="0"/>
  </r>
  <r>
    <d v="2023-04-05T00:00:00"/>
    <x v="1"/>
    <s v="Family"/>
    <s v="Website"/>
    <x v="7"/>
    <n v="2"/>
    <x v="10"/>
    <n v="0.13075929750140999"/>
    <x v="10"/>
    <x v="15"/>
    <x v="1"/>
  </r>
  <r>
    <d v="2023-04-06T00:00:00"/>
    <x v="3"/>
    <s v="Family"/>
    <s v="Mobile App"/>
    <x v="1"/>
    <n v="4"/>
    <x v="10"/>
    <n v="0.13075929750140999"/>
    <x v="10"/>
    <x v="6"/>
    <x v="1"/>
  </r>
  <r>
    <d v="2023-04-06T00:00:00"/>
    <x v="3"/>
    <s v="Beach"/>
    <s v="Agent"/>
    <x v="8"/>
    <n v="1"/>
    <x v="10"/>
    <n v="0.13075929750140999"/>
    <x v="10"/>
    <x v="19"/>
    <x v="1"/>
  </r>
  <r>
    <d v="2023-04-08T00:00:00"/>
    <x v="3"/>
    <s v="Cultural"/>
    <s v="Website"/>
    <x v="7"/>
    <n v="1"/>
    <x v="10"/>
    <n v="0.13075929750140999"/>
    <x v="10"/>
    <x v="2"/>
    <x v="1"/>
  </r>
  <r>
    <d v="2023-04-09T00:00:00"/>
    <x v="1"/>
    <s v="Beach"/>
    <s v="Website"/>
    <x v="7"/>
    <n v="1"/>
    <x v="10"/>
    <n v="0.13075929750140999"/>
    <x v="10"/>
    <x v="3"/>
    <x v="1"/>
  </r>
  <r>
    <d v="2023-04-09T00:00:00"/>
    <x v="2"/>
    <s v="Family"/>
    <s v="Agent"/>
    <x v="3"/>
    <n v="2"/>
    <x v="10"/>
    <n v="0.13075929750140999"/>
    <x v="10"/>
    <x v="7"/>
    <x v="1"/>
  </r>
  <r>
    <d v="2023-04-09T00:00:00"/>
    <x v="0"/>
    <s v="Beach"/>
    <s v="Agent"/>
    <x v="5"/>
    <n v="2"/>
    <x v="10"/>
    <n v="0.13075929750140999"/>
    <x v="10"/>
    <x v="5"/>
    <x v="1"/>
  </r>
  <r>
    <d v="2023-04-10T00:00:00"/>
    <x v="1"/>
    <s v="Adventure"/>
    <s v="Website"/>
    <x v="6"/>
    <n v="3"/>
    <x v="10"/>
    <n v="0.13075929750140999"/>
    <x v="10"/>
    <x v="9"/>
    <x v="0"/>
  </r>
  <r>
    <d v="2023-04-11T00:00:00"/>
    <x v="1"/>
    <s v="Cultural"/>
    <s v="Website"/>
    <x v="9"/>
    <n v="2"/>
    <x v="10"/>
    <n v="0.13075929750140999"/>
    <x v="10"/>
    <x v="2"/>
    <x v="0"/>
  </r>
  <r>
    <d v="2023-04-12T00:00:00"/>
    <x v="3"/>
    <s v="Cultural"/>
    <s v="Agent"/>
    <x v="0"/>
    <n v="5"/>
    <x v="10"/>
    <n v="0.13075929750140999"/>
    <x v="10"/>
    <x v="4"/>
    <x v="1"/>
  </r>
  <r>
    <d v="2023-04-12T00:00:00"/>
    <x v="3"/>
    <s v="Foodie"/>
    <s v="Mobile App"/>
    <x v="1"/>
    <n v="1"/>
    <x v="10"/>
    <n v="0.13075929750140999"/>
    <x v="10"/>
    <x v="15"/>
    <x v="1"/>
  </r>
  <r>
    <d v="2023-04-13T00:00:00"/>
    <x v="3"/>
    <s v="Beach"/>
    <s v="Call Center"/>
    <x v="8"/>
    <n v="3"/>
    <x v="10"/>
    <n v="0.13075929750140999"/>
    <x v="10"/>
    <x v="10"/>
    <x v="1"/>
  </r>
  <r>
    <d v="2023-04-13T00:00:00"/>
    <x v="1"/>
    <s v="Adventure"/>
    <s v="Mobile App"/>
    <x v="8"/>
    <n v="3"/>
    <x v="10"/>
    <n v="0.13075929750140999"/>
    <x v="10"/>
    <x v="12"/>
    <x v="1"/>
  </r>
  <r>
    <d v="2023-04-14T00:00:00"/>
    <x v="0"/>
    <s v="Beach"/>
    <s v="Mobile App"/>
    <x v="7"/>
    <n v="1"/>
    <x v="10"/>
    <n v="0.13075929750140999"/>
    <x v="10"/>
    <x v="6"/>
    <x v="0"/>
  </r>
  <r>
    <d v="2023-04-18T00:00:00"/>
    <x v="1"/>
    <s v="Adventure"/>
    <s v="Website"/>
    <x v="0"/>
    <n v="3"/>
    <x v="10"/>
    <n v="0.13075929750140999"/>
    <x v="10"/>
    <x v="4"/>
    <x v="1"/>
  </r>
  <r>
    <d v="2023-04-18T00:00:00"/>
    <x v="1"/>
    <s v="Beach"/>
    <s v="Website"/>
    <x v="2"/>
    <n v="1"/>
    <x v="10"/>
    <n v="0.13075929750140999"/>
    <x v="10"/>
    <x v="6"/>
    <x v="1"/>
  </r>
  <r>
    <d v="2023-04-19T00:00:00"/>
    <x v="0"/>
    <s v="Beach"/>
    <s v="Website"/>
    <x v="0"/>
    <n v="4"/>
    <x v="10"/>
    <n v="0.13075929750140999"/>
    <x v="10"/>
    <x v="6"/>
    <x v="1"/>
  </r>
  <r>
    <d v="2023-04-20T00:00:00"/>
    <x v="2"/>
    <s v="City Break"/>
    <s v="Agent"/>
    <x v="4"/>
    <n v="4"/>
    <x v="10"/>
    <n v="0.13075929750140999"/>
    <x v="10"/>
    <x v="0"/>
    <x v="1"/>
  </r>
  <r>
    <d v="2023-04-20T00:00:00"/>
    <x v="3"/>
    <s v="Adventure"/>
    <s v="Agent"/>
    <x v="4"/>
    <n v="4"/>
    <x v="10"/>
    <n v="0.13075929750140999"/>
    <x v="10"/>
    <x v="0"/>
    <x v="1"/>
  </r>
  <r>
    <d v="2023-04-20T00:00:00"/>
    <x v="0"/>
    <s v="Family"/>
    <s v="Agent"/>
    <x v="5"/>
    <n v="1"/>
    <x v="10"/>
    <n v="0.13075929750140999"/>
    <x v="10"/>
    <x v="4"/>
    <x v="1"/>
  </r>
  <r>
    <d v="2023-04-21T00:00:00"/>
    <x v="1"/>
    <s v="Foodie"/>
    <s v="Website"/>
    <x v="9"/>
    <n v="1"/>
    <x v="10"/>
    <n v="0.13075929750140999"/>
    <x v="10"/>
    <x v="9"/>
    <x v="1"/>
  </r>
  <r>
    <d v="2023-04-21T00:00:00"/>
    <x v="3"/>
    <s v="Beach"/>
    <s v="Agent"/>
    <x v="1"/>
    <n v="1"/>
    <x v="10"/>
    <n v="0.13075929750140999"/>
    <x v="10"/>
    <x v="18"/>
    <x v="1"/>
  </r>
  <r>
    <d v="2023-04-22T00:00:00"/>
    <x v="3"/>
    <s v="Beach"/>
    <s v="Agent"/>
    <x v="9"/>
    <n v="1"/>
    <x v="10"/>
    <n v="0.13075929750140999"/>
    <x v="10"/>
    <x v="1"/>
    <x v="1"/>
  </r>
  <r>
    <d v="2023-04-22T00:00:00"/>
    <x v="1"/>
    <s v="Adventure"/>
    <s v="Agent"/>
    <x v="5"/>
    <n v="3"/>
    <x v="10"/>
    <n v="0.13075929750140999"/>
    <x v="10"/>
    <x v="2"/>
    <x v="1"/>
  </r>
  <r>
    <d v="2023-04-23T00:00:00"/>
    <x v="2"/>
    <s v="Adventure"/>
    <s v="Mobile App"/>
    <x v="0"/>
    <n v="2"/>
    <x v="10"/>
    <n v="0.13075929750140999"/>
    <x v="10"/>
    <x v="4"/>
    <x v="1"/>
  </r>
  <r>
    <d v="2023-04-23T00:00:00"/>
    <x v="0"/>
    <s v="City Break"/>
    <s v="Website"/>
    <x v="1"/>
    <n v="1"/>
    <x v="10"/>
    <n v="0.13075929750140999"/>
    <x v="10"/>
    <x v="9"/>
    <x v="1"/>
  </r>
  <r>
    <d v="2023-04-23T00:00:00"/>
    <x v="1"/>
    <s v="Family"/>
    <s v="Agent"/>
    <x v="4"/>
    <n v="3"/>
    <x v="10"/>
    <n v="0.13075929750140999"/>
    <x v="10"/>
    <x v="14"/>
    <x v="0"/>
  </r>
  <r>
    <d v="2023-04-23T00:00:00"/>
    <x v="3"/>
    <s v="Family"/>
    <s v="Mobile App"/>
    <x v="6"/>
    <n v="1"/>
    <x v="10"/>
    <n v="0.13075929750140999"/>
    <x v="10"/>
    <x v="1"/>
    <x v="1"/>
  </r>
  <r>
    <d v="2023-04-24T00:00:00"/>
    <x v="0"/>
    <s v="Family"/>
    <s v="Website"/>
    <x v="5"/>
    <n v="4"/>
    <x v="10"/>
    <n v="0.13075929750140999"/>
    <x v="10"/>
    <x v="20"/>
    <x v="0"/>
  </r>
  <r>
    <d v="2023-04-24T00:00:00"/>
    <x v="3"/>
    <s v="Beach"/>
    <s v="Mobile App"/>
    <x v="1"/>
    <n v="3"/>
    <x v="10"/>
    <n v="0.13075929750140999"/>
    <x v="10"/>
    <x v="6"/>
    <x v="0"/>
  </r>
  <r>
    <d v="2023-04-25T00:00:00"/>
    <x v="2"/>
    <s v="Family"/>
    <s v="Agent"/>
    <x v="5"/>
    <n v="1"/>
    <x v="10"/>
    <n v="0.13075929750140999"/>
    <x v="10"/>
    <x v="7"/>
    <x v="0"/>
  </r>
  <r>
    <d v="2023-04-25T00:00:00"/>
    <x v="3"/>
    <s v="Foodie"/>
    <s v="Website"/>
    <x v="7"/>
    <n v="1"/>
    <x v="10"/>
    <n v="0.13075929750140999"/>
    <x v="10"/>
    <x v="15"/>
    <x v="1"/>
  </r>
  <r>
    <d v="2023-04-26T00:00:00"/>
    <x v="1"/>
    <s v="Family"/>
    <s v="Website"/>
    <x v="0"/>
    <n v="3"/>
    <x v="10"/>
    <n v="0.13075929750140999"/>
    <x v="10"/>
    <x v="12"/>
    <x v="0"/>
  </r>
  <r>
    <d v="2023-04-27T00:00:00"/>
    <x v="2"/>
    <s v="Family"/>
    <s v="Agent"/>
    <x v="5"/>
    <n v="1"/>
    <x v="10"/>
    <n v="0.13075929750140999"/>
    <x v="10"/>
    <x v="6"/>
    <x v="1"/>
  </r>
  <r>
    <d v="2023-04-28T00:00:00"/>
    <x v="1"/>
    <s v="Family"/>
    <s v="Mobile App"/>
    <x v="0"/>
    <n v="3"/>
    <x v="10"/>
    <n v="0.13075929750140999"/>
    <x v="10"/>
    <x v="0"/>
    <x v="1"/>
  </r>
  <r>
    <d v="2023-04-28T00:00:00"/>
    <x v="1"/>
    <s v="Beach"/>
    <s v="Website"/>
    <x v="2"/>
    <n v="2"/>
    <x v="10"/>
    <n v="0.13075929750140999"/>
    <x v="10"/>
    <x v="4"/>
    <x v="1"/>
  </r>
  <r>
    <d v="2023-04-28T00:00:00"/>
    <x v="3"/>
    <s v="Cultural"/>
    <s v="Mobile App"/>
    <x v="9"/>
    <n v="1"/>
    <x v="10"/>
    <n v="0.13075929750140999"/>
    <x v="10"/>
    <x v="16"/>
    <x v="1"/>
  </r>
  <r>
    <d v="2023-04-28T00:00:00"/>
    <x v="2"/>
    <s v="City Break"/>
    <s v="Mobile App"/>
    <x v="0"/>
    <n v="2"/>
    <x v="10"/>
    <n v="0.13075929750140999"/>
    <x v="10"/>
    <x v="2"/>
    <x v="1"/>
  </r>
  <r>
    <d v="2023-04-29T00:00:00"/>
    <x v="0"/>
    <s v="Cultural"/>
    <s v="Website"/>
    <x v="0"/>
    <n v="2"/>
    <x v="10"/>
    <n v="0.13075929750140999"/>
    <x v="10"/>
    <x v="15"/>
    <x v="1"/>
  </r>
  <r>
    <d v="2023-04-30T00:00:00"/>
    <x v="1"/>
    <s v="Cultural"/>
    <s v="Website"/>
    <x v="5"/>
    <n v="3"/>
    <x v="10"/>
    <n v="0.13075929750140999"/>
    <x v="10"/>
    <x v="8"/>
    <x v="1"/>
  </r>
  <r>
    <d v="2023-04-30T00:00:00"/>
    <x v="1"/>
    <s v="Foodie"/>
    <s v="Agent"/>
    <x v="2"/>
    <n v="4"/>
    <x v="10"/>
    <n v="0.13075929750140999"/>
    <x v="10"/>
    <x v="12"/>
    <x v="1"/>
  </r>
  <r>
    <d v="2023-04-30T00:00:00"/>
    <x v="3"/>
    <s v="Cultural"/>
    <s v="Agent"/>
    <x v="4"/>
    <n v="1"/>
    <x v="10"/>
    <n v="0.13075929750140999"/>
    <x v="10"/>
    <x v="1"/>
    <x v="1"/>
  </r>
  <r>
    <d v="2023-05-01T00:00:00"/>
    <x v="3"/>
    <s v="Family"/>
    <s v="Agent"/>
    <x v="5"/>
    <n v="1"/>
    <x v="10"/>
    <n v="0.13075929750140999"/>
    <x v="10"/>
    <x v="0"/>
    <x v="0"/>
  </r>
  <r>
    <d v="2023-05-02T00:00:00"/>
    <x v="2"/>
    <s v="Cultural"/>
    <s v="Website"/>
    <x v="3"/>
    <n v="3"/>
    <x v="10"/>
    <n v="0.13075929750140999"/>
    <x v="10"/>
    <x v="12"/>
    <x v="1"/>
  </r>
  <r>
    <d v="2023-05-02T00:00:00"/>
    <x v="1"/>
    <s v="Foodie"/>
    <s v="Mobile App"/>
    <x v="9"/>
    <n v="4"/>
    <x v="10"/>
    <n v="0.13075929750140999"/>
    <x v="10"/>
    <x v="14"/>
    <x v="1"/>
  </r>
  <r>
    <d v="2023-05-02T00:00:00"/>
    <x v="1"/>
    <s v="Beach"/>
    <s v="Agent"/>
    <x v="1"/>
    <n v="1"/>
    <x v="10"/>
    <n v="0.13075929750140999"/>
    <x v="10"/>
    <x v="13"/>
    <x v="0"/>
  </r>
  <r>
    <d v="2023-05-03T00:00:00"/>
    <x v="1"/>
    <s v="Family"/>
    <s v="Mobile App"/>
    <x v="1"/>
    <n v="2"/>
    <x v="10"/>
    <n v="0.13075929750140999"/>
    <x v="10"/>
    <x v="19"/>
    <x v="0"/>
  </r>
  <r>
    <d v="2023-05-04T00:00:00"/>
    <x v="3"/>
    <s v="Beach"/>
    <s v="Mobile App"/>
    <x v="6"/>
    <n v="3"/>
    <x v="10"/>
    <n v="0.13075929750140999"/>
    <x v="10"/>
    <x v="8"/>
    <x v="1"/>
  </r>
  <r>
    <d v="2023-05-04T00:00:00"/>
    <x v="2"/>
    <s v="Beach"/>
    <s v="Agent"/>
    <x v="3"/>
    <n v="1"/>
    <x v="10"/>
    <n v="0.13075929750140999"/>
    <x v="10"/>
    <x v="2"/>
    <x v="0"/>
  </r>
  <r>
    <d v="2023-05-04T00:00:00"/>
    <x v="1"/>
    <s v="Cultural"/>
    <s v="Agent"/>
    <x v="8"/>
    <n v="2"/>
    <x v="10"/>
    <n v="0.13075929750140999"/>
    <x v="10"/>
    <x v="17"/>
    <x v="1"/>
  </r>
  <r>
    <d v="2023-05-05T00:00:00"/>
    <x v="2"/>
    <s v="Family"/>
    <s v="Website"/>
    <x v="0"/>
    <n v="3"/>
    <x v="10"/>
    <n v="0.13075929750140999"/>
    <x v="10"/>
    <x v="6"/>
    <x v="0"/>
  </r>
  <r>
    <d v="2023-05-06T00:00:00"/>
    <x v="2"/>
    <s v="Family"/>
    <s v="Mobile App"/>
    <x v="4"/>
    <n v="1"/>
    <x v="10"/>
    <n v="0.13075929750140999"/>
    <x v="10"/>
    <x v="1"/>
    <x v="1"/>
  </r>
  <r>
    <d v="2023-05-06T00:00:00"/>
    <x v="1"/>
    <s v="Beach"/>
    <s v="Website"/>
    <x v="1"/>
    <n v="3"/>
    <x v="10"/>
    <n v="0.13075929750140999"/>
    <x v="10"/>
    <x v="7"/>
    <x v="1"/>
  </r>
  <r>
    <d v="2023-05-07T00:00:00"/>
    <x v="0"/>
    <s v="Family"/>
    <s v="Website"/>
    <x v="9"/>
    <n v="5"/>
    <x v="10"/>
    <n v="0.13075929750140999"/>
    <x v="10"/>
    <x v="5"/>
    <x v="1"/>
  </r>
  <r>
    <d v="2023-05-08T00:00:00"/>
    <x v="0"/>
    <s v="Adventure"/>
    <s v="Agent"/>
    <x v="5"/>
    <n v="4"/>
    <x v="10"/>
    <n v="0.13075929750140999"/>
    <x v="10"/>
    <x v="16"/>
    <x v="0"/>
  </r>
  <r>
    <d v="2023-05-08T00:00:00"/>
    <x v="3"/>
    <s v="Beach"/>
    <s v="Agent"/>
    <x v="0"/>
    <n v="1"/>
    <x v="10"/>
    <n v="0.13075929750140999"/>
    <x v="10"/>
    <x v="13"/>
    <x v="0"/>
  </r>
  <r>
    <d v="2023-05-08T00:00:00"/>
    <x v="0"/>
    <s v="Adventure"/>
    <s v="Mobile App"/>
    <x v="7"/>
    <n v="1"/>
    <x v="10"/>
    <n v="0.13075929750140999"/>
    <x v="10"/>
    <x v="4"/>
    <x v="1"/>
  </r>
  <r>
    <d v="2023-05-09T00:00:00"/>
    <x v="0"/>
    <s v="Cultural"/>
    <s v="Agent"/>
    <x v="5"/>
    <n v="2"/>
    <x v="10"/>
    <n v="0.13075929750140999"/>
    <x v="10"/>
    <x v="0"/>
    <x v="1"/>
  </r>
  <r>
    <d v="2023-05-09T00:00:00"/>
    <x v="0"/>
    <s v="Family"/>
    <s v="Agent"/>
    <x v="3"/>
    <n v="2"/>
    <x v="10"/>
    <n v="0.13075929750140999"/>
    <x v="10"/>
    <x v="1"/>
    <x v="0"/>
  </r>
  <r>
    <d v="2023-05-10T00:00:00"/>
    <x v="0"/>
    <s v="Family"/>
    <s v="Mobile App"/>
    <x v="4"/>
    <n v="1"/>
    <x v="10"/>
    <n v="0.13075929750140999"/>
    <x v="10"/>
    <x v="9"/>
    <x v="1"/>
  </r>
  <r>
    <d v="2023-05-10T00:00:00"/>
    <x v="1"/>
    <s v="Cultural"/>
    <s v="Agent"/>
    <x v="0"/>
    <n v="1"/>
    <x v="10"/>
    <n v="0.13075929750140999"/>
    <x v="10"/>
    <x v="12"/>
    <x v="0"/>
  </r>
  <r>
    <d v="2023-05-11T00:00:00"/>
    <x v="0"/>
    <s v="Beach"/>
    <s v="Mobile App"/>
    <x v="0"/>
    <n v="4"/>
    <x v="10"/>
    <n v="0.13075929750140999"/>
    <x v="10"/>
    <x v="1"/>
    <x v="1"/>
  </r>
  <r>
    <d v="2023-05-11T00:00:00"/>
    <x v="1"/>
    <s v="Beach"/>
    <s v="Agent"/>
    <x v="4"/>
    <n v="1"/>
    <x v="10"/>
    <n v="0.13075929750140999"/>
    <x v="10"/>
    <x v="3"/>
    <x v="1"/>
  </r>
  <r>
    <d v="2023-05-12T00:00:00"/>
    <x v="3"/>
    <s v="Beach"/>
    <s v="Website"/>
    <x v="7"/>
    <n v="2"/>
    <x v="10"/>
    <n v="0.13075929750140999"/>
    <x v="10"/>
    <x v="8"/>
    <x v="0"/>
  </r>
  <r>
    <d v="2023-05-12T00:00:00"/>
    <x v="1"/>
    <s v="Beach"/>
    <s v="Website"/>
    <x v="8"/>
    <n v="1"/>
    <x v="10"/>
    <n v="0.13075929750140999"/>
    <x v="10"/>
    <x v="2"/>
    <x v="1"/>
  </r>
  <r>
    <d v="2023-05-12T00:00:00"/>
    <x v="3"/>
    <s v="Cultural"/>
    <s v="Website"/>
    <x v="4"/>
    <n v="1"/>
    <x v="10"/>
    <n v="0.13075929750140999"/>
    <x v="10"/>
    <x v="15"/>
    <x v="1"/>
  </r>
  <r>
    <d v="2023-05-12T00:00:00"/>
    <x v="1"/>
    <s v="Beach"/>
    <s v="Agent"/>
    <x v="2"/>
    <n v="3"/>
    <x v="10"/>
    <n v="0.13075929750140999"/>
    <x v="10"/>
    <x v="8"/>
    <x v="1"/>
  </r>
  <r>
    <d v="2023-05-13T00:00:00"/>
    <x v="2"/>
    <s v="Beach"/>
    <s v="Website"/>
    <x v="0"/>
    <n v="3"/>
    <x v="10"/>
    <n v="0.13075929750140999"/>
    <x v="10"/>
    <x v="15"/>
    <x v="0"/>
  </r>
  <r>
    <d v="2023-05-13T00:00:00"/>
    <x v="3"/>
    <s v="Beach"/>
    <s v="Mobile App"/>
    <x v="6"/>
    <n v="4"/>
    <x v="10"/>
    <n v="0.13075929750140999"/>
    <x v="10"/>
    <x v="13"/>
    <x v="1"/>
  </r>
  <r>
    <d v="2023-05-15T00:00:00"/>
    <x v="0"/>
    <s v="Beach"/>
    <s v="Website"/>
    <x v="0"/>
    <n v="1"/>
    <x v="10"/>
    <n v="0.13075929750140999"/>
    <x v="10"/>
    <x v="2"/>
    <x v="0"/>
  </r>
  <r>
    <d v="2023-05-15T00:00:00"/>
    <x v="3"/>
    <s v="Foodie"/>
    <s v="Website"/>
    <x v="9"/>
    <n v="1"/>
    <x v="10"/>
    <n v="0.13075929750140999"/>
    <x v="10"/>
    <x v="5"/>
    <x v="1"/>
  </r>
  <r>
    <d v="2023-05-16T00:00:00"/>
    <x v="0"/>
    <s v="Family"/>
    <s v="Website"/>
    <x v="0"/>
    <n v="2"/>
    <x v="10"/>
    <n v="0.13075929750140999"/>
    <x v="10"/>
    <x v="11"/>
    <x v="1"/>
  </r>
  <r>
    <d v="2023-05-16T00:00:00"/>
    <x v="1"/>
    <s v="City Break"/>
    <s v="Mobile App"/>
    <x v="5"/>
    <n v="1"/>
    <x v="10"/>
    <n v="0.13075929750140999"/>
    <x v="10"/>
    <x v="6"/>
    <x v="1"/>
  </r>
  <r>
    <d v="2023-05-16T00:00:00"/>
    <x v="0"/>
    <s v="Beach"/>
    <s v="Website"/>
    <x v="7"/>
    <n v="1"/>
    <x v="10"/>
    <n v="0.13075929750140999"/>
    <x v="10"/>
    <x v="14"/>
    <x v="1"/>
  </r>
  <r>
    <d v="2023-05-17T00:00:00"/>
    <x v="0"/>
    <s v="Foodie"/>
    <s v="Website"/>
    <x v="3"/>
    <n v="3"/>
    <x v="10"/>
    <n v="0.13075929750140999"/>
    <x v="10"/>
    <x v="8"/>
    <x v="1"/>
  </r>
  <r>
    <d v="2023-05-17T00:00:00"/>
    <x v="3"/>
    <s v="Beach"/>
    <s v="Mobile App"/>
    <x v="7"/>
    <n v="2"/>
    <x v="10"/>
    <n v="0.13075929750140999"/>
    <x v="10"/>
    <x v="4"/>
    <x v="1"/>
  </r>
  <r>
    <d v="2023-05-17T00:00:00"/>
    <x v="3"/>
    <s v="Foodie"/>
    <s v="Website"/>
    <x v="1"/>
    <n v="1"/>
    <x v="10"/>
    <n v="0.13075929750140999"/>
    <x v="10"/>
    <x v="1"/>
    <x v="0"/>
  </r>
  <r>
    <d v="2023-05-20T00:00:00"/>
    <x v="1"/>
    <s v="Beach"/>
    <s v="Website"/>
    <x v="2"/>
    <n v="2"/>
    <x v="10"/>
    <n v="0.13075929750140999"/>
    <x v="10"/>
    <x v="0"/>
    <x v="1"/>
  </r>
  <r>
    <d v="2023-05-20T00:00:00"/>
    <x v="3"/>
    <s v="Family"/>
    <s v="Agent"/>
    <x v="5"/>
    <n v="3"/>
    <x v="10"/>
    <n v="0.13075929750140999"/>
    <x v="10"/>
    <x v="6"/>
    <x v="1"/>
  </r>
  <r>
    <d v="2023-05-20T00:00:00"/>
    <x v="3"/>
    <s v="Cultural"/>
    <s v="Mobile App"/>
    <x v="2"/>
    <n v="1"/>
    <x v="10"/>
    <n v="0.13075929750140999"/>
    <x v="10"/>
    <x v="2"/>
    <x v="0"/>
  </r>
  <r>
    <d v="2023-05-20T00:00:00"/>
    <x v="1"/>
    <s v="Cultural"/>
    <s v="Website"/>
    <x v="4"/>
    <n v="4"/>
    <x v="10"/>
    <n v="0.13075929750140999"/>
    <x v="10"/>
    <x v="6"/>
    <x v="1"/>
  </r>
  <r>
    <d v="2023-05-21T00:00:00"/>
    <x v="2"/>
    <s v="Family"/>
    <s v="Website"/>
    <x v="3"/>
    <n v="1"/>
    <x v="10"/>
    <n v="0.13075929750140999"/>
    <x v="10"/>
    <x v="6"/>
    <x v="0"/>
  </r>
  <r>
    <d v="2023-05-21T00:00:00"/>
    <x v="3"/>
    <s v="Beach"/>
    <s v="Mobile App"/>
    <x v="8"/>
    <n v="4"/>
    <x v="10"/>
    <n v="0.13075929750140999"/>
    <x v="10"/>
    <x v="3"/>
    <x v="1"/>
  </r>
  <r>
    <d v="2023-05-21T00:00:00"/>
    <x v="1"/>
    <s v="Beach"/>
    <s v="Agent"/>
    <x v="6"/>
    <n v="2"/>
    <x v="10"/>
    <n v="0.13075929750140999"/>
    <x v="10"/>
    <x v="18"/>
    <x v="0"/>
  </r>
  <r>
    <d v="2023-05-22T00:00:00"/>
    <x v="3"/>
    <s v="Adventure"/>
    <s v="Agent"/>
    <x v="9"/>
    <n v="2"/>
    <x v="10"/>
    <n v="0.13075929750140999"/>
    <x v="10"/>
    <x v="4"/>
    <x v="1"/>
  </r>
  <r>
    <d v="2023-05-22T00:00:00"/>
    <x v="0"/>
    <s v="City Break"/>
    <s v="Agent"/>
    <x v="3"/>
    <n v="2"/>
    <x v="10"/>
    <n v="0.13075929750140999"/>
    <x v="10"/>
    <x v="0"/>
    <x v="1"/>
  </r>
  <r>
    <d v="2023-05-24T00:00:00"/>
    <x v="0"/>
    <s v="Cultural"/>
    <s v="Agent"/>
    <x v="3"/>
    <n v="1"/>
    <x v="10"/>
    <n v="0.13075929750140999"/>
    <x v="10"/>
    <x v="15"/>
    <x v="1"/>
  </r>
  <r>
    <d v="2023-05-24T00:00:00"/>
    <x v="0"/>
    <s v="Foodie"/>
    <s v="Website"/>
    <x v="6"/>
    <n v="3"/>
    <x v="10"/>
    <n v="0.13075929750140999"/>
    <x v="10"/>
    <x v="0"/>
    <x v="1"/>
  </r>
  <r>
    <d v="2023-05-24T00:00:00"/>
    <x v="2"/>
    <s v="Beach"/>
    <s v="Website"/>
    <x v="4"/>
    <n v="2"/>
    <x v="10"/>
    <n v="0.13075929750140999"/>
    <x v="10"/>
    <x v="15"/>
    <x v="1"/>
  </r>
  <r>
    <d v="2023-05-25T00:00:00"/>
    <x v="2"/>
    <s v="Family"/>
    <s v="Website"/>
    <x v="7"/>
    <n v="1"/>
    <x v="10"/>
    <n v="0.13075929750140999"/>
    <x v="10"/>
    <x v="6"/>
    <x v="1"/>
  </r>
  <r>
    <d v="2023-05-25T00:00:00"/>
    <x v="1"/>
    <s v="Family"/>
    <s v="Agent"/>
    <x v="8"/>
    <n v="3"/>
    <x v="10"/>
    <n v="0.13075929750140999"/>
    <x v="10"/>
    <x v="10"/>
    <x v="0"/>
  </r>
  <r>
    <d v="2023-05-25T00:00:00"/>
    <x v="0"/>
    <s v="Foodie"/>
    <s v="Website"/>
    <x v="8"/>
    <n v="4"/>
    <x v="10"/>
    <n v="0.13075929750140999"/>
    <x v="10"/>
    <x v="8"/>
    <x v="1"/>
  </r>
  <r>
    <d v="2023-05-26T00:00:00"/>
    <x v="0"/>
    <s v="Cultural"/>
    <s v="Website"/>
    <x v="8"/>
    <n v="1"/>
    <x v="10"/>
    <n v="0.13075929750140999"/>
    <x v="10"/>
    <x v="18"/>
    <x v="1"/>
  </r>
  <r>
    <d v="2023-05-26T00:00:00"/>
    <x v="0"/>
    <s v="Foodie"/>
    <s v="Call Center"/>
    <x v="6"/>
    <n v="1"/>
    <x v="10"/>
    <n v="0.13075929750140999"/>
    <x v="10"/>
    <x v="6"/>
    <x v="1"/>
  </r>
  <r>
    <d v="2023-05-27T00:00:00"/>
    <x v="1"/>
    <s v="Adventure"/>
    <s v="Call Center"/>
    <x v="5"/>
    <n v="2"/>
    <x v="10"/>
    <n v="0.13075929750140999"/>
    <x v="10"/>
    <x v="14"/>
    <x v="1"/>
  </r>
  <r>
    <d v="2023-05-28T00:00:00"/>
    <x v="1"/>
    <s v="Family"/>
    <s v="Website"/>
    <x v="4"/>
    <n v="2"/>
    <x v="10"/>
    <n v="0.13075929750140999"/>
    <x v="10"/>
    <x v="4"/>
    <x v="1"/>
  </r>
  <r>
    <d v="2023-05-28T00:00:00"/>
    <x v="2"/>
    <s v="Family"/>
    <s v="Website"/>
    <x v="4"/>
    <n v="1"/>
    <x v="10"/>
    <n v="0.13075929750140999"/>
    <x v="10"/>
    <x v="10"/>
    <x v="1"/>
  </r>
  <r>
    <d v="2023-05-28T00:00:00"/>
    <x v="1"/>
    <s v="Beach"/>
    <s v="Agent"/>
    <x v="6"/>
    <n v="1"/>
    <x v="10"/>
    <n v="0.13075929750140999"/>
    <x v="10"/>
    <x v="1"/>
    <x v="1"/>
  </r>
  <r>
    <d v="2023-05-29T00:00:00"/>
    <x v="1"/>
    <s v="Cultural"/>
    <s v="Website"/>
    <x v="2"/>
    <n v="2"/>
    <x v="10"/>
    <n v="0.13075929750140999"/>
    <x v="10"/>
    <x v="0"/>
    <x v="1"/>
  </r>
  <r>
    <d v="2023-05-29T00:00:00"/>
    <x v="1"/>
    <s v="Adventure"/>
    <s v="Website"/>
    <x v="4"/>
    <n v="2"/>
    <x v="10"/>
    <n v="0.13075929750140999"/>
    <x v="10"/>
    <x v="1"/>
    <x v="0"/>
  </r>
  <r>
    <d v="2023-05-29T00:00:00"/>
    <x v="3"/>
    <s v="Family"/>
    <s v="Call Center"/>
    <x v="1"/>
    <n v="3"/>
    <x v="10"/>
    <n v="0.13075929750140999"/>
    <x v="10"/>
    <x v="8"/>
    <x v="1"/>
  </r>
  <r>
    <d v="2023-05-30T00:00:00"/>
    <x v="3"/>
    <s v="Family"/>
    <s v="Website"/>
    <x v="2"/>
    <n v="1"/>
    <x v="10"/>
    <n v="0.13075929750140999"/>
    <x v="10"/>
    <x v="18"/>
    <x v="0"/>
  </r>
  <r>
    <d v="2023-05-30T00:00:00"/>
    <x v="1"/>
    <s v="Beach"/>
    <s v="Agent"/>
    <x v="1"/>
    <n v="2"/>
    <x v="10"/>
    <n v="0.13075929750140999"/>
    <x v="10"/>
    <x v="14"/>
    <x v="1"/>
  </r>
  <r>
    <d v="2023-05-31T00:00:00"/>
    <x v="1"/>
    <s v="Family"/>
    <s v="Website"/>
    <x v="6"/>
    <n v="1"/>
    <x v="10"/>
    <n v="0.13075929750140999"/>
    <x v="10"/>
    <x v="12"/>
    <x v="0"/>
  </r>
  <r>
    <d v="2023-06-01T00:00:00"/>
    <x v="3"/>
    <s v="Adventure"/>
    <s v="Website"/>
    <x v="6"/>
    <n v="2"/>
    <x v="10"/>
    <n v="0.13075929750140999"/>
    <x v="10"/>
    <x v="13"/>
    <x v="1"/>
  </r>
  <r>
    <d v="2023-06-01T00:00:00"/>
    <x v="3"/>
    <s v="Foodie"/>
    <s v="Mobile App"/>
    <x v="2"/>
    <n v="1"/>
    <x v="10"/>
    <n v="0.13075929750140999"/>
    <x v="10"/>
    <x v="14"/>
    <x v="1"/>
  </r>
  <r>
    <d v="2023-06-01T00:00:00"/>
    <x v="1"/>
    <s v="Family"/>
    <s v="Agent"/>
    <x v="9"/>
    <n v="1"/>
    <x v="10"/>
    <n v="0.13075929750140999"/>
    <x v="10"/>
    <x v="1"/>
    <x v="1"/>
  </r>
  <r>
    <d v="2023-06-01T00:00:00"/>
    <x v="1"/>
    <s v="Family"/>
    <s v="Website"/>
    <x v="9"/>
    <n v="1"/>
    <x v="10"/>
    <n v="0.13075929750140999"/>
    <x v="10"/>
    <x v="0"/>
    <x v="1"/>
  </r>
  <r>
    <d v="2023-06-02T00:00:00"/>
    <x v="3"/>
    <s v="Foodie"/>
    <s v="Website"/>
    <x v="5"/>
    <n v="2"/>
    <x v="10"/>
    <n v="0.13075929750140999"/>
    <x v="10"/>
    <x v="6"/>
    <x v="1"/>
  </r>
  <r>
    <d v="2023-06-02T00:00:00"/>
    <x v="3"/>
    <s v="City Break"/>
    <s v="Mobile App"/>
    <x v="7"/>
    <n v="1"/>
    <x v="10"/>
    <n v="0.13075929750140999"/>
    <x v="10"/>
    <x v="2"/>
    <x v="0"/>
  </r>
  <r>
    <d v="2023-06-02T00:00:00"/>
    <x v="3"/>
    <s v="Beach"/>
    <s v="Agent"/>
    <x v="6"/>
    <n v="3"/>
    <x v="10"/>
    <n v="0.13075929750140999"/>
    <x v="10"/>
    <x v="6"/>
    <x v="0"/>
  </r>
  <r>
    <d v="2023-06-03T00:00:00"/>
    <x v="1"/>
    <s v="Adventure"/>
    <s v="Mobile App"/>
    <x v="6"/>
    <n v="1"/>
    <x v="10"/>
    <n v="0.13075929750140999"/>
    <x v="10"/>
    <x v="0"/>
    <x v="1"/>
  </r>
  <r>
    <d v="2023-06-05T00:00:00"/>
    <x v="0"/>
    <s v="Foodie"/>
    <s v="Agent"/>
    <x v="6"/>
    <n v="2"/>
    <x v="10"/>
    <n v="0.13075929750140999"/>
    <x v="10"/>
    <x v="2"/>
    <x v="0"/>
  </r>
  <r>
    <d v="2023-06-05T00:00:00"/>
    <x v="1"/>
    <s v="City Break"/>
    <s v="Mobile App"/>
    <x v="7"/>
    <n v="1"/>
    <x v="10"/>
    <n v="0.13075929750140999"/>
    <x v="10"/>
    <x v="4"/>
    <x v="1"/>
  </r>
  <r>
    <d v="2023-06-05T00:00:00"/>
    <x v="0"/>
    <s v="Beach"/>
    <s v="Website"/>
    <x v="7"/>
    <n v="4"/>
    <x v="10"/>
    <n v="0.13075929750140999"/>
    <x v="10"/>
    <x v="0"/>
    <x v="1"/>
  </r>
  <r>
    <d v="2023-06-06T00:00:00"/>
    <x v="3"/>
    <s v="Cultural"/>
    <s v="Website"/>
    <x v="6"/>
    <n v="1"/>
    <x v="10"/>
    <n v="0.13075929750140999"/>
    <x v="10"/>
    <x v="5"/>
    <x v="0"/>
  </r>
  <r>
    <d v="2023-06-08T00:00:00"/>
    <x v="1"/>
    <s v="Beach"/>
    <s v="Website"/>
    <x v="9"/>
    <n v="1"/>
    <x v="10"/>
    <n v="0.13075929750140999"/>
    <x v="10"/>
    <x v="8"/>
    <x v="1"/>
  </r>
  <r>
    <d v="2023-06-09T00:00:00"/>
    <x v="1"/>
    <s v="Beach"/>
    <s v="Website"/>
    <x v="9"/>
    <n v="3"/>
    <x v="10"/>
    <n v="0.13075929750140999"/>
    <x v="10"/>
    <x v="6"/>
    <x v="0"/>
  </r>
  <r>
    <d v="2023-06-09T00:00:00"/>
    <x v="3"/>
    <s v="Beach"/>
    <s v="Website"/>
    <x v="2"/>
    <n v="3"/>
    <x v="10"/>
    <n v="0.13075929750140999"/>
    <x v="10"/>
    <x v="9"/>
    <x v="0"/>
  </r>
  <r>
    <d v="2023-06-09T00:00:00"/>
    <x v="0"/>
    <s v="Beach"/>
    <s v="Agent"/>
    <x v="1"/>
    <n v="2"/>
    <x v="10"/>
    <n v="0.13075929750140999"/>
    <x v="10"/>
    <x v="13"/>
    <x v="1"/>
  </r>
  <r>
    <d v="2023-06-10T00:00:00"/>
    <x v="3"/>
    <s v="Adventure"/>
    <s v="Agent"/>
    <x v="0"/>
    <n v="1"/>
    <x v="10"/>
    <n v="0.13075929750140999"/>
    <x v="10"/>
    <x v="12"/>
    <x v="1"/>
  </r>
  <r>
    <d v="2023-06-11T00:00:00"/>
    <x v="0"/>
    <s v="City Break"/>
    <s v="Mobile App"/>
    <x v="8"/>
    <n v="2"/>
    <x v="10"/>
    <n v="0.13075929750140999"/>
    <x v="10"/>
    <x v="4"/>
    <x v="0"/>
  </r>
  <r>
    <d v="2023-06-11T00:00:00"/>
    <x v="2"/>
    <s v="Adventure"/>
    <s v="Website"/>
    <x v="7"/>
    <n v="1"/>
    <x v="10"/>
    <n v="0.13075929750140999"/>
    <x v="10"/>
    <x v="4"/>
    <x v="0"/>
  </r>
  <r>
    <d v="2023-06-11T00:00:00"/>
    <x v="1"/>
    <s v="Cultural"/>
    <s v="Agent"/>
    <x v="0"/>
    <n v="1"/>
    <x v="10"/>
    <n v="0.13075929750140999"/>
    <x v="10"/>
    <x v="4"/>
    <x v="0"/>
  </r>
  <r>
    <d v="2023-06-11T00:00:00"/>
    <x v="3"/>
    <s v="Cultural"/>
    <s v="Agent"/>
    <x v="3"/>
    <n v="2"/>
    <x v="10"/>
    <n v="0.13075929750140999"/>
    <x v="10"/>
    <x v="8"/>
    <x v="1"/>
  </r>
  <r>
    <d v="2023-06-11T00:00:00"/>
    <x v="2"/>
    <s v="Cultural"/>
    <s v="Agent"/>
    <x v="5"/>
    <n v="1"/>
    <x v="10"/>
    <n v="0.13075929750140999"/>
    <x v="10"/>
    <x v="18"/>
    <x v="0"/>
  </r>
  <r>
    <d v="2023-06-12T00:00:00"/>
    <x v="0"/>
    <s v="Adventure"/>
    <s v="Website"/>
    <x v="5"/>
    <n v="3"/>
    <x v="10"/>
    <n v="0.13075929750140999"/>
    <x v="10"/>
    <x v="15"/>
    <x v="0"/>
  </r>
  <r>
    <d v="2023-06-12T00:00:00"/>
    <x v="3"/>
    <s v="Adventure"/>
    <s v="Website"/>
    <x v="5"/>
    <n v="1"/>
    <x v="10"/>
    <n v="0.13075929750140999"/>
    <x v="10"/>
    <x v="17"/>
    <x v="1"/>
  </r>
  <r>
    <d v="2023-06-12T00:00:00"/>
    <x v="0"/>
    <s v="City Break"/>
    <s v="Website"/>
    <x v="6"/>
    <n v="2"/>
    <x v="10"/>
    <n v="0.13075929750140999"/>
    <x v="10"/>
    <x v="4"/>
    <x v="1"/>
  </r>
  <r>
    <d v="2023-06-13T00:00:00"/>
    <x v="0"/>
    <s v="Cultural"/>
    <s v="Website"/>
    <x v="4"/>
    <n v="4"/>
    <x v="10"/>
    <n v="0.13075929750140999"/>
    <x v="10"/>
    <x v="10"/>
    <x v="1"/>
  </r>
  <r>
    <d v="2023-06-14T00:00:00"/>
    <x v="0"/>
    <s v="Beach"/>
    <s v="Website"/>
    <x v="5"/>
    <n v="2"/>
    <x v="10"/>
    <n v="0.13075929750140999"/>
    <x v="10"/>
    <x v="12"/>
    <x v="1"/>
  </r>
  <r>
    <d v="2023-06-14T00:00:00"/>
    <x v="0"/>
    <s v="Foodie"/>
    <s v="Mobile App"/>
    <x v="4"/>
    <n v="2"/>
    <x v="10"/>
    <n v="0.13075929750140999"/>
    <x v="10"/>
    <x v="4"/>
    <x v="1"/>
  </r>
  <r>
    <d v="2023-06-14T00:00:00"/>
    <x v="3"/>
    <s v="Family"/>
    <s v="Agent"/>
    <x v="4"/>
    <n v="1"/>
    <x v="10"/>
    <n v="0.13075929750140999"/>
    <x v="10"/>
    <x v="6"/>
    <x v="1"/>
  </r>
  <r>
    <d v="2023-06-14T00:00:00"/>
    <x v="3"/>
    <s v="Beach"/>
    <s v="Website"/>
    <x v="0"/>
    <n v="4"/>
    <x v="10"/>
    <n v="0.13075929750140999"/>
    <x v="10"/>
    <x v="12"/>
    <x v="0"/>
  </r>
  <r>
    <d v="2023-06-14T00:00:00"/>
    <x v="0"/>
    <s v="Adventure"/>
    <s v="Call Center"/>
    <x v="9"/>
    <n v="3"/>
    <x v="10"/>
    <n v="0.13075929750140999"/>
    <x v="10"/>
    <x v="8"/>
    <x v="0"/>
  </r>
  <r>
    <d v="2023-06-15T00:00:00"/>
    <x v="1"/>
    <s v="Cultural"/>
    <s v="Website"/>
    <x v="5"/>
    <n v="3"/>
    <x v="10"/>
    <n v="0.13075929750140999"/>
    <x v="10"/>
    <x v="12"/>
    <x v="1"/>
  </r>
  <r>
    <d v="2023-06-16T00:00:00"/>
    <x v="0"/>
    <s v="Beach"/>
    <s v="Website"/>
    <x v="9"/>
    <n v="4"/>
    <x v="10"/>
    <n v="0.13075929750140999"/>
    <x v="10"/>
    <x v="14"/>
    <x v="1"/>
  </r>
  <r>
    <d v="2023-06-16T00:00:00"/>
    <x v="0"/>
    <s v="Cultural"/>
    <s v="Website"/>
    <x v="5"/>
    <n v="2"/>
    <x v="10"/>
    <n v="0.13075929750140999"/>
    <x v="10"/>
    <x v="1"/>
    <x v="0"/>
  </r>
  <r>
    <d v="2023-06-17T00:00:00"/>
    <x v="3"/>
    <s v="Family"/>
    <s v="Website"/>
    <x v="8"/>
    <n v="2"/>
    <x v="10"/>
    <n v="0.13075929750140999"/>
    <x v="10"/>
    <x v="4"/>
    <x v="1"/>
  </r>
  <r>
    <d v="2023-06-17T00:00:00"/>
    <x v="1"/>
    <s v="Adventure"/>
    <s v="Website"/>
    <x v="3"/>
    <n v="1"/>
    <x v="10"/>
    <n v="0.13075929750140999"/>
    <x v="10"/>
    <x v="2"/>
    <x v="0"/>
  </r>
  <r>
    <d v="2023-06-17T00:00:00"/>
    <x v="1"/>
    <s v="Family"/>
    <s v="Website"/>
    <x v="4"/>
    <n v="5"/>
    <x v="10"/>
    <n v="0.13075929750140999"/>
    <x v="10"/>
    <x v="14"/>
    <x v="0"/>
  </r>
  <r>
    <d v="2023-06-19T00:00:00"/>
    <x v="0"/>
    <s v="Family"/>
    <s v="Website"/>
    <x v="0"/>
    <n v="1"/>
    <x v="10"/>
    <n v="0.13075929750140999"/>
    <x v="10"/>
    <x v="4"/>
    <x v="0"/>
  </r>
  <r>
    <d v="2023-06-19T00:00:00"/>
    <x v="1"/>
    <s v="City Break"/>
    <s v="Website"/>
    <x v="0"/>
    <n v="2"/>
    <x v="10"/>
    <n v="0.13075929750140999"/>
    <x v="10"/>
    <x v="3"/>
    <x v="1"/>
  </r>
  <r>
    <d v="2023-06-19T00:00:00"/>
    <x v="3"/>
    <s v="Beach"/>
    <s v="Agent"/>
    <x v="9"/>
    <n v="1"/>
    <x v="10"/>
    <n v="0.13075929750140999"/>
    <x v="10"/>
    <x v="11"/>
    <x v="1"/>
  </r>
  <r>
    <d v="2023-06-19T00:00:00"/>
    <x v="2"/>
    <s v="Cultural"/>
    <s v="Website"/>
    <x v="2"/>
    <n v="2"/>
    <x v="10"/>
    <n v="0.13075929750140999"/>
    <x v="10"/>
    <x v="14"/>
    <x v="1"/>
  </r>
  <r>
    <d v="2023-06-20T00:00:00"/>
    <x v="3"/>
    <s v="Adventure"/>
    <s v="Mobile App"/>
    <x v="6"/>
    <n v="4"/>
    <x v="10"/>
    <n v="0.13075929750140999"/>
    <x v="10"/>
    <x v="12"/>
    <x v="1"/>
  </r>
  <r>
    <d v="2023-06-20T00:00:00"/>
    <x v="1"/>
    <s v="Cultural"/>
    <s v="Website"/>
    <x v="6"/>
    <n v="2"/>
    <x v="10"/>
    <n v="0.13075929750140999"/>
    <x v="10"/>
    <x v="15"/>
    <x v="1"/>
  </r>
  <r>
    <d v="2023-06-21T00:00:00"/>
    <x v="3"/>
    <s v="Cultural"/>
    <s v="Website"/>
    <x v="9"/>
    <n v="4"/>
    <x v="10"/>
    <n v="0.13075929750140999"/>
    <x v="10"/>
    <x v="17"/>
    <x v="1"/>
  </r>
  <r>
    <d v="2023-06-21T00:00:00"/>
    <x v="0"/>
    <s v="Adventure"/>
    <s v="Website"/>
    <x v="2"/>
    <n v="2"/>
    <x v="10"/>
    <n v="0.13075929750140999"/>
    <x v="10"/>
    <x v="5"/>
    <x v="0"/>
  </r>
  <r>
    <d v="2023-06-21T00:00:00"/>
    <x v="1"/>
    <s v="Cultural"/>
    <s v="Website"/>
    <x v="2"/>
    <n v="2"/>
    <x v="10"/>
    <n v="0.13075929750140999"/>
    <x v="10"/>
    <x v="1"/>
    <x v="1"/>
  </r>
  <r>
    <d v="2023-06-22T00:00:00"/>
    <x v="0"/>
    <s v="Cultural"/>
    <s v="Website"/>
    <x v="9"/>
    <n v="4"/>
    <x v="10"/>
    <n v="0.13075929750140999"/>
    <x v="10"/>
    <x v="17"/>
    <x v="0"/>
  </r>
  <r>
    <d v="2023-06-22T00:00:00"/>
    <x v="3"/>
    <s v="City Break"/>
    <s v="Mobile App"/>
    <x v="1"/>
    <n v="2"/>
    <x v="10"/>
    <n v="0.13075929750140999"/>
    <x v="10"/>
    <x v="13"/>
    <x v="1"/>
  </r>
  <r>
    <d v="2023-06-22T00:00:00"/>
    <x v="3"/>
    <s v="Adventure"/>
    <s v="Agent"/>
    <x v="1"/>
    <n v="3"/>
    <x v="10"/>
    <n v="0.13075929750140999"/>
    <x v="10"/>
    <x v="8"/>
    <x v="0"/>
  </r>
  <r>
    <d v="2023-06-22T00:00:00"/>
    <x v="2"/>
    <s v="Adventure"/>
    <s v="Mobile App"/>
    <x v="9"/>
    <n v="1"/>
    <x v="10"/>
    <n v="0.13075929750140999"/>
    <x v="10"/>
    <x v="13"/>
    <x v="0"/>
  </r>
  <r>
    <d v="2023-06-23T00:00:00"/>
    <x v="3"/>
    <s v="Cultural"/>
    <s v="Website"/>
    <x v="9"/>
    <n v="2"/>
    <x v="10"/>
    <n v="0.13075929750140999"/>
    <x v="10"/>
    <x v="10"/>
    <x v="1"/>
  </r>
  <r>
    <d v="2023-06-24T00:00:00"/>
    <x v="0"/>
    <s v="Adventure"/>
    <s v="Agent"/>
    <x v="7"/>
    <n v="2"/>
    <x v="10"/>
    <n v="0.13075929750140999"/>
    <x v="10"/>
    <x v="0"/>
    <x v="0"/>
  </r>
  <r>
    <d v="2023-06-25T00:00:00"/>
    <x v="1"/>
    <s v="Beach"/>
    <s v="Website"/>
    <x v="4"/>
    <n v="2"/>
    <x v="10"/>
    <n v="0.13075929750140999"/>
    <x v="10"/>
    <x v="15"/>
    <x v="0"/>
  </r>
  <r>
    <d v="2023-06-27T00:00:00"/>
    <x v="3"/>
    <s v="Beach"/>
    <s v="Agent"/>
    <x v="7"/>
    <n v="1"/>
    <x v="10"/>
    <n v="0.13075929750140999"/>
    <x v="10"/>
    <x v="4"/>
    <x v="1"/>
  </r>
  <r>
    <d v="2023-06-27T00:00:00"/>
    <x v="2"/>
    <s v="Adventure"/>
    <s v="Mobile App"/>
    <x v="4"/>
    <n v="1"/>
    <x v="10"/>
    <n v="0.13075929750140999"/>
    <x v="10"/>
    <x v="0"/>
    <x v="0"/>
  </r>
  <r>
    <d v="2023-06-28T00:00:00"/>
    <x v="1"/>
    <s v="Beach"/>
    <s v="Website"/>
    <x v="0"/>
    <n v="5"/>
    <x v="10"/>
    <n v="0.13075929750140999"/>
    <x v="10"/>
    <x v="0"/>
    <x v="1"/>
  </r>
  <r>
    <d v="2023-06-28T00:00:00"/>
    <x v="0"/>
    <s v="Family"/>
    <s v="Mobile App"/>
    <x v="5"/>
    <n v="2"/>
    <x v="10"/>
    <n v="0.13075929750140999"/>
    <x v="10"/>
    <x v="2"/>
    <x v="1"/>
  </r>
  <r>
    <d v="2023-06-28T00:00:00"/>
    <x v="3"/>
    <s v="Beach"/>
    <s v="Mobile App"/>
    <x v="4"/>
    <n v="2"/>
    <x v="10"/>
    <n v="0.13075929750140999"/>
    <x v="10"/>
    <x v="4"/>
    <x v="1"/>
  </r>
  <r>
    <d v="2023-06-28T00:00:00"/>
    <x v="0"/>
    <s v="Beach"/>
    <s v="Agent"/>
    <x v="3"/>
    <n v="2"/>
    <x v="10"/>
    <n v="0.13075929750140999"/>
    <x v="10"/>
    <x v="2"/>
    <x v="0"/>
  </r>
  <r>
    <d v="2023-06-28T00:00:00"/>
    <x v="3"/>
    <s v="Cultural"/>
    <s v="Mobile App"/>
    <x v="9"/>
    <n v="2"/>
    <x v="10"/>
    <n v="0.13075929750140999"/>
    <x v="10"/>
    <x v="4"/>
    <x v="1"/>
  </r>
  <r>
    <d v="2023-06-28T00:00:00"/>
    <x v="0"/>
    <s v="Cultural"/>
    <s v="Website"/>
    <x v="2"/>
    <n v="2"/>
    <x v="10"/>
    <n v="0.13075929750140999"/>
    <x v="10"/>
    <x v="6"/>
    <x v="1"/>
  </r>
  <r>
    <d v="2023-06-30T00:00:00"/>
    <x v="0"/>
    <s v="Cultural"/>
    <s v="Website"/>
    <x v="3"/>
    <n v="4"/>
    <x v="10"/>
    <n v="0.13075929750140999"/>
    <x v="10"/>
    <x v="3"/>
    <x v="1"/>
  </r>
  <r>
    <d v="2023-07-02T00:00:00"/>
    <x v="0"/>
    <s v="Adventure"/>
    <s v="Agent"/>
    <x v="8"/>
    <n v="1"/>
    <x v="10"/>
    <n v="0.13075929750140999"/>
    <x v="10"/>
    <x v="14"/>
    <x v="1"/>
  </r>
  <r>
    <d v="2023-07-02T00:00:00"/>
    <x v="0"/>
    <s v="Family"/>
    <s v="Agent"/>
    <x v="7"/>
    <n v="2"/>
    <x v="10"/>
    <n v="0.13075929750140999"/>
    <x v="10"/>
    <x v="10"/>
    <x v="0"/>
  </r>
  <r>
    <d v="2023-07-02T00:00:00"/>
    <x v="0"/>
    <s v="Adventure"/>
    <s v="Website"/>
    <x v="8"/>
    <n v="2"/>
    <x v="10"/>
    <n v="0.13075929750140999"/>
    <x v="10"/>
    <x v="5"/>
    <x v="1"/>
  </r>
  <r>
    <d v="2023-07-02T00:00:00"/>
    <x v="2"/>
    <s v="Beach"/>
    <s v="Website"/>
    <x v="5"/>
    <n v="1"/>
    <x v="10"/>
    <n v="0.13075929750140999"/>
    <x v="10"/>
    <x v="0"/>
    <x v="1"/>
  </r>
  <r>
    <d v="2023-07-03T00:00:00"/>
    <x v="2"/>
    <s v="Adventure"/>
    <s v="Website"/>
    <x v="1"/>
    <n v="4"/>
    <x v="10"/>
    <n v="0.13075929750140999"/>
    <x v="10"/>
    <x v="1"/>
    <x v="0"/>
  </r>
  <r>
    <d v="2023-07-03T00:00:00"/>
    <x v="0"/>
    <s v="Family"/>
    <s v="Website"/>
    <x v="9"/>
    <n v="2"/>
    <x v="10"/>
    <n v="0.13075929750140999"/>
    <x v="10"/>
    <x v="15"/>
    <x v="0"/>
  </r>
  <r>
    <d v="2023-07-03T00:00:00"/>
    <x v="2"/>
    <s v="Foodie"/>
    <s v="Agent"/>
    <x v="7"/>
    <n v="3"/>
    <x v="10"/>
    <n v="0.13075929750140999"/>
    <x v="10"/>
    <x v="4"/>
    <x v="0"/>
  </r>
  <r>
    <d v="2023-07-03T00:00:00"/>
    <x v="3"/>
    <s v="Beach"/>
    <s v="Website"/>
    <x v="7"/>
    <n v="2"/>
    <x v="10"/>
    <n v="0.13075929750140999"/>
    <x v="10"/>
    <x v="6"/>
    <x v="0"/>
  </r>
  <r>
    <d v="2023-07-04T00:00:00"/>
    <x v="0"/>
    <s v="Cultural"/>
    <s v="Website"/>
    <x v="2"/>
    <n v="1"/>
    <x v="10"/>
    <n v="0.13075929750140999"/>
    <x v="10"/>
    <x v="6"/>
    <x v="1"/>
  </r>
  <r>
    <d v="2023-07-06T00:00:00"/>
    <x v="2"/>
    <s v="Beach"/>
    <s v="Website"/>
    <x v="2"/>
    <n v="1"/>
    <x v="10"/>
    <n v="0.13075929750140999"/>
    <x v="10"/>
    <x v="6"/>
    <x v="0"/>
  </r>
  <r>
    <d v="2023-07-06T00:00:00"/>
    <x v="1"/>
    <s v="Adventure"/>
    <s v="Website"/>
    <x v="6"/>
    <n v="1"/>
    <x v="10"/>
    <n v="0.13075929750140999"/>
    <x v="10"/>
    <x v="1"/>
    <x v="0"/>
  </r>
  <r>
    <d v="2023-07-06T00:00:00"/>
    <x v="2"/>
    <s v="Cultural"/>
    <s v="Mobile App"/>
    <x v="9"/>
    <n v="2"/>
    <x v="10"/>
    <n v="0.13075929750140999"/>
    <x v="10"/>
    <x v="5"/>
    <x v="1"/>
  </r>
  <r>
    <d v="2023-07-07T00:00:00"/>
    <x v="0"/>
    <s v="Beach"/>
    <s v="Website"/>
    <x v="4"/>
    <n v="2"/>
    <x v="10"/>
    <n v="0.13075929750140999"/>
    <x v="10"/>
    <x v="12"/>
    <x v="0"/>
  </r>
  <r>
    <d v="2023-07-07T00:00:00"/>
    <x v="3"/>
    <s v="City Break"/>
    <s v="Website"/>
    <x v="1"/>
    <n v="2"/>
    <x v="10"/>
    <n v="0.13075929750140999"/>
    <x v="10"/>
    <x v="7"/>
    <x v="1"/>
  </r>
  <r>
    <d v="2023-07-07T00:00:00"/>
    <x v="2"/>
    <s v="Adventure"/>
    <s v="Website"/>
    <x v="2"/>
    <n v="2"/>
    <x v="10"/>
    <n v="0.13075929750140999"/>
    <x v="10"/>
    <x v="2"/>
    <x v="1"/>
  </r>
  <r>
    <d v="2023-07-07T00:00:00"/>
    <x v="1"/>
    <s v="City Break"/>
    <s v="Website"/>
    <x v="4"/>
    <n v="3"/>
    <x v="10"/>
    <n v="0.13075929750140999"/>
    <x v="10"/>
    <x v="2"/>
    <x v="1"/>
  </r>
  <r>
    <d v="2023-07-07T00:00:00"/>
    <x v="1"/>
    <s v="Family"/>
    <s v="Agent"/>
    <x v="2"/>
    <n v="2"/>
    <x v="10"/>
    <n v="0.13075929750140999"/>
    <x v="10"/>
    <x v="2"/>
    <x v="0"/>
  </r>
  <r>
    <d v="2023-07-07T00:00:00"/>
    <x v="0"/>
    <s v="City Break"/>
    <s v="Website"/>
    <x v="2"/>
    <n v="1"/>
    <x v="10"/>
    <n v="0.13075929750140999"/>
    <x v="10"/>
    <x v="13"/>
    <x v="0"/>
  </r>
  <r>
    <d v="2023-07-08T00:00:00"/>
    <x v="3"/>
    <s v="Adventure"/>
    <s v="Agent"/>
    <x v="2"/>
    <n v="1"/>
    <x v="10"/>
    <n v="0.13075929750140999"/>
    <x v="10"/>
    <x v="12"/>
    <x v="0"/>
  </r>
  <r>
    <d v="2023-07-09T00:00:00"/>
    <x v="2"/>
    <s v="Beach"/>
    <s v="Agent"/>
    <x v="9"/>
    <n v="1"/>
    <x v="10"/>
    <n v="0.13075929750140999"/>
    <x v="10"/>
    <x v="7"/>
    <x v="0"/>
  </r>
  <r>
    <d v="2023-07-10T00:00:00"/>
    <x v="3"/>
    <s v="Beach"/>
    <s v="Website"/>
    <x v="9"/>
    <n v="2"/>
    <x v="10"/>
    <n v="0.13075929750140999"/>
    <x v="10"/>
    <x v="15"/>
    <x v="1"/>
  </r>
  <r>
    <d v="2023-07-10T00:00:00"/>
    <x v="1"/>
    <s v="Adventure"/>
    <s v="Website"/>
    <x v="0"/>
    <n v="1"/>
    <x v="10"/>
    <n v="0.13075929750140999"/>
    <x v="10"/>
    <x v="6"/>
    <x v="1"/>
  </r>
  <r>
    <d v="2023-07-11T00:00:00"/>
    <x v="0"/>
    <s v="Beach"/>
    <s v="Website"/>
    <x v="8"/>
    <n v="2"/>
    <x v="10"/>
    <n v="0.13075929750140999"/>
    <x v="10"/>
    <x v="2"/>
    <x v="0"/>
  </r>
  <r>
    <d v="2023-07-12T00:00:00"/>
    <x v="3"/>
    <s v="City Break"/>
    <s v="Agent"/>
    <x v="9"/>
    <n v="2"/>
    <x v="10"/>
    <n v="0.13075929750140999"/>
    <x v="10"/>
    <x v="1"/>
    <x v="1"/>
  </r>
  <r>
    <d v="2023-07-12T00:00:00"/>
    <x v="1"/>
    <s v="Beach"/>
    <s v="Website"/>
    <x v="5"/>
    <n v="3"/>
    <x v="10"/>
    <n v="0.13075929750140999"/>
    <x v="10"/>
    <x v="1"/>
    <x v="0"/>
  </r>
  <r>
    <d v="2023-07-12T00:00:00"/>
    <x v="2"/>
    <s v="Adventure"/>
    <s v="Website"/>
    <x v="4"/>
    <n v="1"/>
    <x v="10"/>
    <n v="0.13075929750140999"/>
    <x v="10"/>
    <x v="13"/>
    <x v="1"/>
  </r>
  <r>
    <d v="2023-07-13T00:00:00"/>
    <x v="3"/>
    <s v="Beach"/>
    <s v="Website"/>
    <x v="8"/>
    <n v="2"/>
    <x v="10"/>
    <n v="0.13075929750140999"/>
    <x v="10"/>
    <x v="16"/>
    <x v="0"/>
  </r>
  <r>
    <d v="2023-07-13T00:00:00"/>
    <x v="1"/>
    <s v="Beach"/>
    <s v="Mobile App"/>
    <x v="1"/>
    <n v="2"/>
    <x v="10"/>
    <n v="0.13075929750140999"/>
    <x v="10"/>
    <x v="3"/>
    <x v="1"/>
  </r>
  <r>
    <d v="2023-07-13T00:00:00"/>
    <x v="3"/>
    <s v="Adventure"/>
    <s v="Website"/>
    <x v="2"/>
    <n v="4"/>
    <x v="10"/>
    <n v="0.13075929750140999"/>
    <x v="10"/>
    <x v="6"/>
    <x v="0"/>
  </r>
  <r>
    <d v="2023-07-14T00:00:00"/>
    <x v="1"/>
    <s v="Cultural"/>
    <s v="Website"/>
    <x v="2"/>
    <n v="2"/>
    <x v="10"/>
    <n v="0.13075929750140999"/>
    <x v="10"/>
    <x v="14"/>
    <x v="1"/>
  </r>
  <r>
    <d v="2023-07-15T00:00:00"/>
    <x v="0"/>
    <s v="Family"/>
    <s v="Website"/>
    <x v="2"/>
    <n v="2"/>
    <x v="10"/>
    <n v="0.13075929750140999"/>
    <x v="10"/>
    <x v="12"/>
    <x v="0"/>
  </r>
  <r>
    <d v="2023-07-16T00:00:00"/>
    <x v="3"/>
    <s v="Adventure"/>
    <s v="Website"/>
    <x v="8"/>
    <n v="2"/>
    <x v="10"/>
    <n v="0.13075929750140999"/>
    <x v="10"/>
    <x v="1"/>
    <x v="0"/>
  </r>
  <r>
    <d v="2023-07-17T00:00:00"/>
    <x v="0"/>
    <s v="Beach"/>
    <s v="Agent"/>
    <x v="7"/>
    <n v="2"/>
    <x v="10"/>
    <n v="0.13075929750140999"/>
    <x v="10"/>
    <x v="14"/>
    <x v="1"/>
  </r>
  <r>
    <d v="2023-07-18T00:00:00"/>
    <x v="1"/>
    <s v="Cultural"/>
    <s v="Mobile App"/>
    <x v="2"/>
    <n v="2"/>
    <x v="10"/>
    <n v="0.13075929750140999"/>
    <x v="10"/>
    <x v="8"/>
    <x v="1"/>
  </r>
  <r>
    <d v="2023-07-18T00:00:00"/>
    <x v="3"/>
    <s v="Family"/>
    <s v="Website"/>
    <x v="2"/>
    <n v="2"/>
    <x v="10"/>
    <n v="0.13075929750140999"/>
    <x v="10"/>
    <x v="4"/>
    <x v="1"/>
  </r>
  <r>
    <d v="2023-07-18T00:00:00"/>
    <x v="3"/>
    <s v="Family"/>
    <s v="Website"/>
    <x v="5"/>
    <n v="1"/>
    <x v="10"/>
    <n v="0.13075929750140999"/>
    <x v="10"/>
    <x v="2"/>
    <x v="0"/>
  </r>
  <r>
    <d v="2023-07-18T00:00:00"/>
    <x v="3"/>
    <s v="Adventure"/>
    <s v="Website"/>
    <x v="9"/>
    <n v="1"/>
    <x v="10"/>
    <n v="0.13075929750140999"/>
    <x v="10"/>
    <x v="1"/>
    <x v="0"/>
  </r>
  <r>
    <d v="2023-07-18T00:00:00"/>
    <x v="1"/>
    <s v="Adventure"/>
    <s v="Mobile App"/>
    <x v="1"/>
    <n v="1"/>
    <x v="10"/>
    <n v="0.13075929750140999"/>
    <x v="10"/>
    <x v="5"/>
    <x v="1"/>
  </r>
  <r>
    <d v="2023-07-19T00:00:00"/>
    <x v="0"/>
    <s v="Cultural"/>
    <s v="Website"/>
    <x v="5"/>
    <n v="1"/>
    <x v="10"/>
    <n v="0.13075929750140999"/>
    <x v="10"/>
    <x v="15"/>
    <x v="1"/>
  </r>
  <r>
    <d v="2023-07-20T00:00:00"/>
    <x v="1"/>
    <s v="Beach"/>
    <s v="Agent"/>
    <x v="4"/>
    <n v="1"/>
    <x v="10"/>
    <n v="0.13075929750140999"/>
    <x v="10"/>
    <x v="4"/>
    <x v="1"/>
  </r>
  <r>
    <d v="2023-07-22T00:00:00"/>
    <x v="3"/>
    <s v="Adventure"/>
    <s v="Agent"/>
    <x v="9"/>
    <n v="1"/>
    <x v="10"/>
    <n v="0.13075929750140999"/>
    <x v="10"/>
    <x v="2"/>
    <x v="0"/>
  </r>
  <r>
    <d v="2023-07-22T00:00:00"/>
    <x v="1"/>
    <s v="Cultural"/>
    <s v="Mobile App"/>
    <x v="3"/>
    <n v="2"/>
    <x v="10"/>
    <n v="0.13075929750140999"/>
    <x v="10"/>
    <x v="17"/>
    <x v="1"/>
  </r>
  <r>
    <d v="2023-07-22T00:00:00"/>
    <x v="1"/>
    <s v="Adventure"/>
    <s v="Website"/>
    <x v="8"/>
    <n v="2"/>
    <x v="10"/>
    <n v="0.13075929750140999"/>
    <x v="10"/>
    <x v="2"/>
    <x v="1"/>
  </r>
  <r>
    <d v="2023-07-23T00:00:00"/>
    <x v="0"/>
    <s v="Beach"/>
    <s v="Website"/>
    <x v="8"/>
    <n v="1"/>
    <x v="10"/>
    <n v="0.13075929750140999"/>
    <x v="10"/>
    <x v="12"/>
    <x v="0"/>
  </r>
  <r>
    <d v="2023-07-24T00:00:00"/>
    <x v="1"/>
    <s v="Beach"/>
    <s v="Agent"/>
    <x v="7"/>
    <n v="2"/>
    <x v="10"/>
    <n v="0.13075929750140999"/>
    <x v="10"/>
    <x v="12"/>
    <x v="1"/>
  </r>
  <r>
    <d v="2023-07-24T00:00:00"/>
    <x v="0"/>
    <s v="Beach"/>
    <s v="Website"/>
    <x v="2"/>
    <n v="4"/>
    <x v="10"/>
    <n v="0.13075929750140999"/>
    <x v="10"/>
    <x v="5"/>
    <x v="1"/>
  </r>
  <r>
    <d v="2023-07-25T00:00:00"/>
    <x v="0"/>
    <s v="Foodie"/>
    <s v="Website"/>
    <x v="1"/>
    <n v="4"/>
    <x v="10"/>
    <n v="0.13075929750140999"/>
    <x v="10"/>
    <x v="7"/>
    <x v="0"/>
  </r>
  <r>
    <d v="2023-07-25T00:00:00"/>
    <x v="0"/>
    <s v="Cultural"/>
    <s v="Mobile App"/>
    <x v="0"/>
    <n v="1"/>
    <x v="10"/>
    <n v="0.13075929750140999"/>
    <x v="10"/>
    <x v="11"/>
    <x v="1"/>
  </r>
  <r>
    <d v="2023-07-26T00:00:00"/>
    <x v="2"/>
    <s v="Foodie"/>
    <s v="Mobile App"/>
    <x v="7"/>
    <n v="2"/>
    <x v="10"/>
    <n v="0.13075929750140999"/>
    <x v="10"/>
    <x v="7"/>
    <x v="1"/>
  </r>
  <r>
    <d v="2023-07-26T00:00:00"/>
    <x v="3"/>
    <s v="Cultural"/>
    <s v="Mobile App"/>
    <x v="4"/>
    <n v="2"/>
    <x v="10"/>
    <n v="0.13075929750140999"/>
    <x v="10"/>
    <x v="2"/>
    <x v="0"/>
  </r>
  <r>
    <d v="2023-07-27T00:00:00"/>
    <x v="1"/>
    <s v="Beach"/>
    <s v="Website"/>
    <x v="3"/>
    <n v="3"/>
    <x v="10"/>
    <n v="0.13075929750140999"/>
    <x v="10"/>
    <x v="2"/>
    <x v="0"/>
  </r>
  <r>
    <d v="2023-07-27T00:00:00"/>
    <x v="1"/>
    <s v="Beach"/>
    <s v="Website"/>
    <x v="4"/>
    <n v="1"/>
    <x v="10"/>
    <n v="0.13075929750140999"/>
    <x v="10"/>
    <x v="0"/>
    <x v="1"/>
  </r>
  <r>
    <d v="2023-07-28T00:00:00"/>
    <x v="1"/>
    <s v="Adventure"/>
    <s v="Mobile App"/>
    <x v="2"/>
    <n v="1"/>
    <x v="10"/>
    <n v="0.13075929750140999"/>
    <x v="10"/>
    <x v="2"/>
    <x v="0"/>
  </r>
  <r>
    <d v="2023-07-29T00:00:00"/>
    <x v="0"/>
    <s v="Beach"/>
    <s v="Website"/>
    <x v="0"/>
    <n v="1"/>
    <x v="10"/>
    <n v="0.13075929750140999"/>
    <x v="10"/>
    <x v="14"/>
    <x v="0"/>
  </r>
  <r>
    <d v="2023-07-29T00:00:00"/>
    <x v="3"/>
    <s v="City Break"/>
    <s v="Mobile App"/>
    <x v="0"/>
    <n v="2"/>
    <x v="10"/>
    <n v="0.13075929750140999"/>
    <x v="10"/>
    <x v="10"/>
    <x v="0"/>
  </r>
  <r>
    <d v="2023-07-29T00:00:00"/>
    <x v="0"/>
    <s v="Family"/>
    <s v="Mobile App"/>
    <x v="1"/>
    <n v="2"/>
    <x v="10"/>
    <n v="0.13075929750140999"/>
    <x v="10"/>
    <x v="12"/>
    <x v="1"/>
  </r>
  <r>
    <d v="2023-07-31T00:00:00"/>
    <x v="1"/>
    <s v="Cultural"/>
    <s v="Website"/>
    <x v="9"/>
    <n v="3"/>
    <x v="10"/>
    <n v="0.13075929750140999"/>
    <x v="10"/>
    <x v="14"/>
    <x v="1"/>
  </r>
  <r>
    <d v="2023-07-31T00:00:00"/>
    <x v="2"/>
    <s v="Family"/>
    <s v="Website"/>
    <x v="4"/>
    <n v="1"/>
    <x v="10"/>
    <n v="0.13075929750140999"/>
    <x v="10"/>
    <x v="2"/>
    <x v="1"/>
  </r>
  <r>
    <d v="2023-07-31T00:00:00"/>
    <x v="3"/>
    <s v="Family"/>
    <s v="Website"/>
    <x v="0"/>
    <n v="3"/>
    <x v="10"/>
    <n v="0.13075929750140999"/>
    <x v="10"/>
    <x v="11"/>
    <x v="1"/>
  </r>
  <r>
    <d v="2023-08-01T00:00:00"/>
    <x v="0"/>
    <s v="Beach"/>
    <s v="Agent"/>
    <x v="6"/>
    <n v="1"/>
    <x v="10"/>
    <n v="0.13075929750140999"/>
    <x v="10"/>
    <x v="6"/>
    <x v="1"/>
  </r>
  <r>
    <d v="2023-08-01T00:00:00"/>
    <x v="0"/>
    <s v="City Break"/>
    <s v="Mobile App"/>
    <x v="0"/>
    <n v="4"/>
    <x v="10"/>
    <n v="0.13075929750140999"/>
    <x v="10"/>
    <x v="1"/>
    <x v="0"/>
  </r>
  <r>
    <d v="2023-08-02T00:00:00"/>
    <x v="0"/>
    <s v="Cultural"/>
    <s v="Website"/>
    <x v="4"/>
    <n v="1"/>
    <x v="10"/>
    <n v="0.13075929750140999"/>
    <x v="10"/>
    <x v="9"/>
    <x v="0"/>
  </r>
  <r>
    <d v="2023-08-02T00:00:00"/>
    <x v="1"/>
    <s v="City Break"/>
    <s v="Website"/>
    <x v="6"/>
    <n v="2"/>
    <x v="10"/>
    <n v="0.13075929750140999"/>
    <x v="10"/>
    <x v="9"/>
    <x v="0"/>
  </r>
  <r>
    <d v="2023-08-03T00:00:00"/>
    <x v="2"/>
    <s v="Cultural"/>
    <s v="Website"/>
    <x v="3"/>
    <n v="3"/>
    <x v="10"/>
    <n v="0.13075929750140999"/>
    <x v="10"/>
    <x v="2"/>
    <x v="0"/>
  </r>
  <r>
    <d v="2023-08-03T00:00:00"/>
    <x v="1"/>
    <s v="Beach"/>
    <s v="Website"/>
    <x v="0"/>
    <n v="3"/>
    <x v="10"/>
    <n v="0.13075929750140999"/>
    <x v="10"/>
    <x v="1"/>
    <x v="0"/>
  </r>
  <r>
    <d v="2023-08-04T00:00:00"/>
    <x v="2"/>
    <s v="Foodie"/>
    <s v="Website"/>
    <x v="1"/>
    <n v="3"/>
    <x v="10"/>
    <n v="0.13075929750140999"/>
    <x v="10"/>
    <x v="2"/>
    <x v="1"/>
  </r>
  <r>
    <d v="2023-08-04T00:00:00"/>
    <x v="2"/>
    <s v="City Break"/>
    <s v="Website"/>
    <x v="3"/>
    <n v="1"/>
    <x v="10"/>
    <n v="0.13075929750140999"/>
    <x v="10"/>
    <x v="5"/>
    <x v="0"/>
  </r>
  <r>
    <d v="2023-08-05T00:00:00"/>
    <x v="1"/>
    <s v="Adventure"/>
    <s v="Website"/>
    <x v="2"/>
    <n v="2"/>
    <x v="10"/>
    <n v="0.13075929750140999"/>
    <x v="10"/>
    <x v="10"/>
    <x v="1"/>
  </r>
  <r>
    <d v="2023-08-05T00:00:00"/>
    <x v="3"/>
    <s v="Family"/>
    <s v="Agent"/>
    <x v="9"/>
    <n v="3"/>
    <x v="10"/>
    <n v="0.13075929750140999"/>
    <x v="10"/>
    <x v="12"/>
    <x v="0"/>
  </r>
  <r>
    <d v="2023-08-06T00:00:00"/>
    <x v="3"/>
    <s v="Family"/>
    <s v="Mobile App"/>
    <x v="9"/>
    <n v="2"/>
    <x v="10"/>
    <n v="0.13075929750140999"/>
    <x v="10"/>
    <x v="4"/>
    <x v="0"/>
  </r>
  <r>
    <d v="2023-08-06T00:00:00"/>
    <x v="3"/>
    <s v="Family"/>
    <s v="Mobile App"/>
    <x v="7"/>
    <n v="1"/>
    <x v="10"/>
    <n v="0.13075929750140999"/>
    <x v="10"/>
    <x v="0"/>
    <x v="0"/>
  </r>
  <r>
    <d v="2023-08-07T00:00:00"/>
    <x v="0"/>
    <s v="Cultural"/>
    <s v="Website"/>
    <x v="8"/>
    <n v="2"/>
    <x v="10"/>
    <n v="0.13075929750140999"/>
    <x v="10"/>
    <x v="14"/>
    <x v="0"/>
  </r>
  <r>
    <d v="2023-08-08T00:00:00"/>
    <x v="3"/>
    <s v="City Break"/>
    <s v="Mobile App"/>
    <x v="0"/>
    <n v="1"/>
    <x v="10"/>
    <n v="0.13075929750140999"/>
    <x v="10"/>
    <x v="7"/>
    <x v="0"/>
  </r>
  <r>
    <d v="2023-08-08T00:00:00"/>
    <x v="3"/>
    <s v="Family"/>
    <s v="Website"/>
    <x v="7"/>
    <n v="1"/>
    <x v="10"/>
    <n v="0.13075929750140999"/>
    <x v="10"/>
    <x v="18"/>
    <x v="1"/>
  </r>
  <r>
    <d v="2023-08-08T00:00:00"/>
    <x v="3"/>
    <s v="Family"/>
    <s v="Agent"/>
    <x v="2"/>
    <n v="1"/>
    <x v="10"/>
    <n v="0.13075929750140999"/>
    <x v="10"/>
    <x v="5"/>
    <x v="1"/>
  </r>
  <r>
    <d v="2023-08-09T00:00:00"/>
    <x v="1"/>
    <s v="Cultural"/>
    <s v="Website"/>
    <x v="6"/>
    <n v="1"/>
    <x v="10"/>
    <n v="0.13075929750140999"/>
    <x v="10"/>
    <x v="3"/>
    <x v="1"/>
  </r>
  <r>
    <d v="2023-08-10T00:00:00"/>
    <x v="3"/>
    <s v="Family"/>
    <s v="Agent"/>
    <x v="0"/>
    <n v="1"/>
    <x v="10"/>
    <n v="0.13075929750140999"/>
    <x v="10"/>
    <x v="6"/>
    <x v="1"/>
  </r>
  <r>
    <d v="2023-08-10T00:00:00"/>
    <x v="3"/>
    <s v="Beach"/>
    <s v="Website"/>
    <x v="6"/>
    <n v="1"/>
    <x v="10"/>
    <n v="0.13075929750140999"/>
    <x v="10"/>
    <x v="8"/>
    <x v="1"/>
  </r>
  <r>
    <d v="2023-08-10T00:00:00"/>
    <x v="1"/>
    <s v="Adventure"/>
    <s v="Agent"/>
    <x v="3"/>
    <n v="4"/>
    <x v="10"/>
    <n v="0.13075929750140999"/>
    <x v="10"/>
    <x v="5"/>
    <x v="1"/>
  </r>
  <r>
    <d v="2023-08-10T00:00:00"/>
    <x v="3"/>
    <s v="Cultural"/>
    <s v="Agent"/>
    <x v="3"/>
    <n v="2"/>
    <x v="10"/>
    <n v="0.13075929750140999"/>
    <x v="10"/>
    <x v="6"/>
    <x v="1"/>
  </r>
  <r>
    <d v="2023-08-11T00:00:00"/>
    <x v="3"/>
    <s v="Cultural"/>
    <s v="Website"/>
    <x v="0"/>
    <n v="1"/>
    <x v="10"/>
    <n v="0.13075929750140999"/>
    <x v="10"/>
    <x v="8"/>
    <x v="0"/>
  </r>
  <r>
    <d v="2023-08-12T00:00:00"/>
    <x v="1"/>
    <s v="Foodie"/>
    <s v="Website"/>
    <x v="5"/>
    <n v="2"/>
    <x v="10"/>
    <n v="0.13075929750140999"/>
    <x v="10"/>
    <x v="6"/>
    <x v="1"/>
  </r>
  <r>
    <d v="2023-08-12T00:00:00"/>
    <x v="1"/>
    <s v="Cultural"/>
    <s v="Website"/>
    <x v="0"/>
    <n v="1"/>
    <x v="10"/>
    <n v="0.13075929750140999"/>
    <x v="10"/>
    <x v="15"/>
    <x v="1"/>
  </r>
  <r>
    <d v="2023-08-12T00:00:00"/>
    <x v="3"/>
    <s v="Adventure"/>
    <s v="Mobile App"/>
    <x v="8"/>
    <n v="1"/>
    <x v="10"/>
    <n v="0.13075929750140999"/>
    <x v="10"/>
    <x v="10"/>
    <x v="1"/>
  </r>
  <r>
    <d v="2023-08-13T00:00:00"/>
    <x v="3"/>
    <s v="Family"/>
    <s v="Website"/>
    <x v="8"/>
    <n v="1"/>
    <x v="10"/>
    <n v="0.13075929750140999"/>
    <x v="10"/>
    <x v="0"/>
    <x v="1"/>
  </r>
  <r>
    <d v="2023-08-15T00:00:00"/>
    <x v="3"/>
    <s v="Adventure"/>
    <s v="Website"/>
    <x v="0"/>
    <n v="2"/>
    <x v="10"/>
    <n v="0.13075929750140999"/>
    <x v="10"/>
    <x v="4"/>
    <x v="0"/>
  </r>
  <r>
    <d v="2023-08-15T00:00:00"/>
    <x v="0"/>
    <s v="Beach"/>
    <s v="Agent"/>
    <x v="0"/>
    <n v="1"/>
    <x v="10"/>
    <n v="0.13075929750140999"/>
    <x v="10"/>
    <x v="3"/>
    <x v="1"/>
  </r>
  <r>
    <d v="2023-08-16T00:00:00"/>
    <x v="0"/>
    <s v="Cultural"/>
    <s v="Mobile App"/>
    <x v="0"/>
    <n v="2"/>
    <x v="10"/>
    <n v="0.13075929750140999"/>
    <x v="10"/>
    <x v="8"/>
    <x v="1"/>
  </r>
  <r>
    <d v="2023-08-16T00:00:00"/>
    <x v="1"/>
    <s v="City Break"/>
    <s v="Website"/>
    <x v="5"/>
    <n v="4"/>
    <x v="10"/>
    <n v="0.13075929750140999"/>
    <x v="10"/>
    <x v="2"/>
    <x v="0"/>
  </r>
  <r>
    <d v="2023-08-17T00:00:00"/>
    <x v="1"/>
    <s v="Beach"/>
    <s v="Website"/>
    <x v="9"/>
    <n v="1"/>
    <x v="10"/>
    <n v="0.13075929750140999"/>
    <x v="10"/>
    <x v="10"/>
    <x v="1"/>
  </r>
  <r>
    <d v="2023-08-17T00:00:00"/>
    <x v="3"/>
    <s v="Beach"/>
    <s v="Mobile App"/>
    <x v="1"/>
    <n v="5"/>
    <x v="10"/>
    <n v="0.13075929750140999"/>
    <x v="10"/>
    <x v="7"/>
    <x v="1"/>
  </r>
  <r>
    <d v="2023-08-17T00:00:00"/>
    <x v="0"/>
    <s v="City Break"/>
    <s v="Mobile App"/>
    <x v="7"/>
    <n v="3"/>
    <x v="10"/>
    <n v="0.13075929750140999"/>
    <x v="10"/>
    <x v="10"/>
    <x v="0"/>
  </r>
  <r>
    <d v="2023-08-17T00:00:00"/>
    <x v="0"/>
    <s v="Family"/>
    <s v="Agent"/>
    <x v="8"/>
    <n v="2"/>
    <x v="10"/>
    <n v="0.13075929750140999"/>
    <x v="10"/>
    <x v="8"/>
    <x v="0"/>
  </r>
  <r>
    <d v="2023-08-18T00:00:00"/>
    <x v="0"/>
    <s v="Beach"/>
    <s v="Website"/>
    <x v="8"/>
    <n v="2"/>
    <x v="10"/>
    <n v="0.13075929750140999"/>
    <x v="10"/>
    <x v="12"/>
    <x v="1"/>
  </r>
  <r>
    <d v="2023-08-19T00:00:00"/>
    <x v="1"/>
    <s v="Family"/>
    <s v="Agent"/>
    <x v="2"/>
    <n v="1"/>
    <x v="10"/>
    <n v="0.13075929750140999"/>
    <x v="10"/>
    <x v="1"/>
    <x v="0"/>
  </r>
  <r>
    <d v="2023-08-19T00:00:00"/>
    <x v="1"/>
    <s v="Cultural"/>
    <s v="Website"/>
    <x v="5"/>
    <n v="3"/>
    <x v="10"/>
    <n v="0.13075929750140999"/>
    <x v="10"/>
    <x v="4"/>
    <x v="0"/>
  </r>
  <r>
    <d v="2023-08-20T00:00:00"/>
    <x v="2"/>
    <s v="Beach"/>
    <s v="Website"/>
    <x v="6"/>
    <n v="4"/>
    <x v="10"/>
    <n v="0.13075929750140999"/>
    <x v="10"/>
    <x v="14"/>
    <x v="1"/>
  </r>
  <r>
    <d v="2023-08-20T00:00:00"/>
    <x v="3"/>
    <s v="Family"/>
    <s v="Website"/>
    <x v="2"/>
    <n v="3"/>
    <x v="10"/>
    <n v="0.13075929750140999"/>
    <x v="10"/>
    <x v="1"/>
    <x v="0"/>
  </r>
  <r>
    <d v="2023-08-20T00:00:00"/>
    <x v="3"/>
    <s v="Adventure"/>
    <s v="Website"/>
    <x v="3"/>
    <n v="1"/>
    <x v="10"/>
    <n v="0.13075929750140999"/>
    <x v="10"/>
    <x v="0"/>
    <x v="1"/>
  </r>
  <r>
    <d v="2023-08-20T00:00:00"/>
    <x v="0"/>
    <s v="Beach"/>
    <s v="Agent"/>
    <x v="7"/>
    <n v="1"/>
    <x v="10"/>
    <n v="0.13075929750140999"/>
    <x v="10"/>
    <x v="7"/>
    <x v="1"/>
  </r>
  <r>
    <d v="2023-08-22T00:00:00"/>
    <x v="1"/>
    <s v="Beach"/>
    <s v="Website"/>
    <x v="6"/>
    <n v="1"/>
    <x v="10"/>
    <n v="0.13075929750140999"/>
    <x v="10"/>
    <x v="0"/>
    <x v="1"/>
  </r>
  <r>
    <d v="2023-08-22T00:00:00"/>
    <x v="0"/>
    <s v="Beach"/>
    <s v="Website"/>
    <x v="0"/>
    <n v="1"/>
    <x v="10"/>
    <n v="0.13075929750140999"/>
    <x v="10"/>
    <x v="10"/>
    <x v="1"/>
  </r>
  <r>
    <d v="2023-08-22T00:00:00"/>
    <x v="0"/>
    <s v="Beach"/>
    <s v="Mobile App"/>
    <x v="1"/>
    <n v="1"/>
    <x v="10"/>
    <n v="0.13075929750140999"/>
    <x v="10"/>
    <x v="1"/>
    <x v="0"/>
  </r>
  <r>
    <d v="2023-08-23T00:00:00"/>
    <x v="1"/>
    <s v="Foodie"/>
    <s v="Agent"/>
    <x v="9"/>
    <n v="1"/>
    <x v="10"/>
    <n v="0.13075929750140999"/>
    <x v="10"/>
    <x v="17"/>
    <x v="0"/>
  </r>
  <r>
    <d v="2023-08-23T00:00:00"/>
    <x v="3"/>
    <s v="Family"/>
    <s v="Mobile App"/>
    <x v="2"/>
    <n v="1"/>
    <x v="10"/>
    <n v="0.13075929750140999"/>
    <x v="10"/>
    <x v="0"/>
    <x v="1"/>
  </r>
  <r>
    <d v="2023-08-24T00:00:00"/>
    <x v="2"/>
    <s v="Beach"/>
    <s v="Website"/>
    <x v="9"/>
    <n v="2"/>
    <x v="10"/>
    <n v="0.13075929750140999"/>
    <x v="10"/>
    <x v="6"/>
    <x v="0"/>
  </r>
  <r>
    <d v="2023-08-24T00:00:00"/>
    <x v="1"/>
    <s v="Family"/>
    <s v="Mobile App"/>
    <x v="3"/>
    <n v="2"/>
    <x v="10"/>
    <n v="0.13075929750140999"/>
    <x v="10"/>
    <x v="18"/>
    <x v="1"/>
  </r>
  <r>
    <d v="2023-08-24T00:00:00"/>
    <x v="3"/>
    <s v="City Break"/>
    <s v="Website"/>
    <x v="0"/>
    <n v="1"/>
    <x v="10"/>
    <n v="0.13075929750140999"/>
    <x v="10"/>
    <x v="13"/>
    <x v="0"/>
  </r>
  <r>
    <d v="2023-08-24T00:00:00"/>
    <x v="0"/>
    <s v="City Break"/>
    <s v="Website"/>
    <x v="1"/>
    <n v="1"/>
    <x v="10"/>
    <n v="0.13075929750140999"/>
    <x v="10"/>
    <x v="15"/>
    <x v="0"/>
  </r>
  <r>
    <d v="2023-08-25T00:00:00"/>
    <x v="1"/>
    <s v="Family"/>
    <s v="Website"/>
    <x v="0"/>
    <n v="2"/>
    <x v="10"/>
    <n v="0.13075929750140999"/>
    <x v="10"/>
    <x v="0"/>
    <x v="1"/>
  </r>
  <r>
    <d v="2023-08-25T00:00:00"/>
    <x v="2"/>
    <s v="City Break"/>
    <s v="Mobile App"/>
    <x v="5"/>
    <n v="1"/>
    <x v="10"/>
    <n v="0.13075929750140999"/>
    <x v="10"/>
    <x v="8"/>
    <x v="0"/>
  </r>
  <r>
    <d v="2023-08-25T00:00:00"/>
    <x v="1"/>
    <s v="Foodie"/>
    <s v="Mobile App"/>
    <x v="6"/>
    <n v="2"/>
    <x v="10"/>
    <n v="0.13075929750140999"/>
    <x v="10"/>
    <x v="4"/>
    <x v="1"/>
  </r>
  <r>
    <d v="2023-08-25T00:00:00"/>
    <x v="3"/>
    <s v="Adventure"/>
    <s v="Website"/>
    <x v="8"/>
    <n v="1"/>
    <x v="10"/>
    <n v="0.13075929750140999"/>
    <x v="10"/>
    <x v="10"/>
    <x v="1"/>
  </r>
  <r>
    <d v="2023-08-26T00:00:00"/>
    <x v="1"/>
    <s v="Adventure"/>
    <s v="Website"/>
    <x v="3"/>
    <n v="1"/>
    <x v="10"/>
    <n v="0.13075929750140999"/>
    <x v="10"/>
    <x v="18"/>
    <x v="0"/>
  </r>
  <r>
    <d v="2023-08-27T00:00:00"/>
    <x v="2"/>
    <s v="City Break"/>
    <s v="Call Center"/>
    <x v="4"/>
    <n v="1"/>
    <x v="10"/>
    <n v="0.13075929750140999"/>
    <x v="10"/>
    <x v="18"/>
    <x v="0"/>
  </r>
  <r>
    <d v="2023-08-28T00:00:00"/>
    <x v="3"/>
    <s v="Family"/>
    <s v="Website"/>
    <x v="4"/>
    <n v="2"/>
    <x v="10"/>
    <n v="0.13075929750140999"/>
    <x v="10"/>
    <x v="20"/>
    <x v="1"/>
  </r>
  <r>
    <d v="2023-08-28T00:00:00"/>
    <x v="3"/>
    <s v="Cultural"/>
    <s v="Website"/>
    <x v="4"/>
    <n v="1"/>
    <x v="10"/>
    <n v="0.13075929750140999"/>
    <x v="10"/>
    <x v="5"/>
    <x v="0"/>
  </r>
  <r>
    <d v="2023-08-28T00:00:00"/>
    <x v="1"/>
    <s v="Family"/>
    <s v="Website"/>
    <x v="1"/>
    <n v="1"/>
    <x v="10"/>
    <n v="0.13075929750140999"/>
    <x v="10"/>
    <x v="13"/>
    <x v="0"/>
  </r>
  <r>
    <d v="2023-08-29T00:00:00"/>
    <x v="2"/>
    <s v="Family"/>
    <s v="Agent"/>
    <x v="8"/>
    <n v="3"/>
    <x v="10"/>
    <n v="0.13075929750140999"/>
    <x v="10"/>
    <x v="6"/>
    <x v="1"/>
  </r>
  <r>
    <d v="2023-08-29T00:00:00"/>
    <x v="1"/>
    <s v="Beach"/>
    <s v="Agent"/>
    <x v="4"/>
    <n v="1"/>
    <x v="10"/>
    <n v="0.13075929750140999"/>
    <x v="10"/>
    <x v="13"/>
    <x v="1"/>
  </r>
  <r>
    <d v="2023-08-30T00:00:00"/>
    <x v="1"/>
    <s v="Foodie"/>
    <s v="Mobile App"/>
    <x v="7"/>
    <n v="3"/>
    <x v="10"/>
    <n v="0.13075929750140999"/>
    <x v="10"/>
    <x v="5"/>
    <x v="0"/>
  </r>
  <r>
    <d v="2023-08-30T00:00:00"/>
    <x v="2"/>
    <s v="Foodie"/>
    <s v="Website"/>
    <x v="4"/>
    <n v="1"/>
    <x v="10"/>
    <n v="0.13075929750140999"/>
    <x v="10"/>
    <x v="2"/>
    <x v="0"/>
  </r>
  <r>
    <d v="2023-08-30T00:00:00"/>
    <x v="3"/>
    <s v="Adventure"/>
    <s v="Mobile App"/>
    <x v="9"/>
    <n v="2"/>
    <x v="10"/>
    <n v="0.13075929750140999"/>
    <x v="10"/>
    <x v="18"/>
    <x v="0"/>
  </r>
  <r>
    <d v="2023-09-01T00:00:00"/>
    <x v="1"/>
    <s v="Adventure"/>
    <s v="Agent"/>
    <x v="0"/>
    <n v="4"/>
    <x v="10"/>
    <n v="0.13075929750140999"/>
    <x v="10"/>
    <x v="5"/>
    <x v="1"/>
  </r>
  <r>
    <d v="2023-09-01T00:00:00"/>
    <x v="1"/>
    <s v="Family"/>
    <s v="Mobile App"/>
    <x v="0"/>
    <n v="2"/>
    <x v="10"/>
    <n v="0.13075929750140999"/>
    <x v="10"/>
    <x v="6"/>
    <x v="1"/>
  </r>
  <r>
    <d v="2023-09-02T00:00:00"/>
    <x v="3"/>
    <s v="Cultural"/>
    <s v="Mobile App"/>
    <x v="2"/>
    <n v="3"/>
    <x v="10"/>
    <n v="0.13075929750140999"/>
    <x v="10"/>
    <x v="15"/>
    <x v="0"/>
  </r>
  <r>
    <d v="2023-09-03T00:00:00"/>
    <x v="2"/>
    <s v="Cultural"/>
    <s v="Website"/>
    <x v="0"/>
    <n v="2"/>
    <x v="10"/>
    <n v="0.13075929750140999"/>
    <x v="10"/>
    <x v="15"/>
    <x v="0"/>
  </r>
  <r>
    <d v="2023-09-03T00:00:00"/>
    <x v="1"/>
    <s v="City Break"/>
    <s v="Website"/>
    <x v="2"/>
    <n v="1"/>
    <x v="10"/>
    <n v="0.13075929750140999"/>
    <x v="10"/>
    <x v="12"/>
    <x v="1"/>
  </r>
  <r>
    <d v="2023-09-04T00:00:00"/>
    <x v="2"/>
    <s v="Beach"/>
    <s v="Website"/>
    <x v="9"/>
    <n v="2"/>
    <x v="10"/>
    <n v="0.13075929750140999"/>
    <x v="10"/>
    <x v="2"/>
    <x v="0"/>
  </r>
  <r>
    <d v="2023-09-04T00:00:00"/>
    <x v="2"/>
    <s v="Adventure"/>
    <s v="Website"/>
    <x v="4"/>
    <n v="2"/>
    <x v="10"/>
    <n v="0.13075929750140999"/>
    <x v="10"/>
    <x v="12"/>
    <x v="1"/>
  </r>
  <r>
    <d v="2023-09-04T00:00:00"/>
    <x v="1"/>
    <s v="Beach"/>
    <s v="Website"/>
    <x v="5"/>
    <n v="1"/>
    <x v="10"/>
    <n v="0.13075929750140999"/>
    <x v="10"/>
    <x v="3"/>
    <x v="1"/>
  </r>
  <r>
    <d v="2023-09-05T00:00:00"/>
    <x v="0"/>
    <s v="Beach"/>
    <s v="Website"/>
    <x v="5"/>
    <n v="3"/>
    <x v="10"/>
    <n v="0.13075929750140999"/>
    <x v="10"/>
    <x v="2"/>
    <x v="0"/>
  </r>
  <r>
    <d v="2023-09-05T00:00:00"/>
    <x v="1"/>
    <s v="Beach"/>
    <s v="Website"/>
    <x v="5"/>
    <n v="2"/>
    <x v="10"/>
    <n v="0.13075929750140999"/>
    <x v="10"/>
    <x v="0"/>
    <x v="1"/>
  </r>
  <r>
    <d v="2023-09-07T00:00:00"/>
    <x v="0"/>
    <s v="Family"/>
    <s v="Mobile App"/>
    <x v="4"/>
    <n v="1"/>
    <x v="10"/>
    <n v="0.13075929750140999"/>
    <x v="10"/>
    <x v="8"/>
    <x v="0"/>
  </r>
  <r>
    <d v="2023-09-08T00:00:00"/>
    <x v="3"/>
    <s v="Beach"/>
    <s v="Website"/>
    <x v="9"/>
    <n v="2"/>
    <x v="10"/>
    <n v="0.13075929750140999"/>
    <x v="10"/>
    <x v="2"/>
    <x v="1"/>
  </r>
  <r>
    <d v="2023-09-09T00:00:00"/>
    <x v="0"/>
    <s v="Foodie"/>
    <s v="Website"/>
    <x v="5"/>
    <n v="2"/>
    <x v="10"/>
    <n v="0.13075929750140999"/>
    <x v="10"/>
    <x v="1"/>
    <x v="1"/>
  </r>
  <r>
    <d v="2023-09-10T00:00:00"/>
    <x v="0"/>
    <s v="Beach"/>
    <s v="Website"/>
    <x v="2"/>
    <n v="2"/>
    <x v="10"/>
    <n v="0.13075929750140999"/>
    <x v="10"/>
    <x v="4"/>
    <x v="0"/>
  </r>
  <r>
    <d v="2023-09-11T00:00:00"/>
    <x v="3"/>
    <s v="Adventure"/>
    <s v="Mobile App"/>
    <x v="4"/>
    <n v="1"/>
    <x v="10"/>
    <n v="0.13075929750140999"/>
    <x v="10"/>
    <x v="8"/>
    <x v="1"/>
  </r>
  <r>
    <d v="2023-09-12T00:00:00"/>
    <x v="2"/>
    <s v="Beach"/>
    <s v="Website"/>
    <x v="3"/>
    <n v="1"/>
    <x v="10"/>
    <n v="0.13075929750140999"/>
    <x v="10"/>
    <x v="0"/>
    <x v="0"/>
  </r>
  <r>
    <d v="2023-09-13T00:00:00"/>
    <x v="0"/>
    <s v="Beach"/>
    <s v="Website"/>
    <x v="9"/>
    <n v="1"/>
    <x v="10"/>
    <n v="0.13075929750140999"/>
    <x v="10"/>
    <x v="19"/>
    <x v="1"/>
  </r>
  <r>
    <d v="2023-09-13T00:00:00"/>
    <x v="0"/>
    <s v="Beach"/>
    <s v="Website"/>
    <x v="4"/>
    <n v="1"/>
    <x v="10"/>
    <n v="0.13075929750140999"/>
    <x v="10"/>
    <x v="6"/>
    <x v="0"/>
  </r>
  <r>
    <d v="2023-09-14T00:00:00"/>
    <x v="0"/>
    <s v="Family"/>
    <s v="Website"/>
    <x v="5"/>
    <n v="1"/>
    <x v="10"/>
    <n v="0.13075929750140999"/>
    <x v="10"/>
    <x v="2"/>
    <x v="1"/>
  </r>
  <r>
    <d v="2023-09-14T00:00:00"/>
    <x v="3"/>
    <s v="Family"/>
    <s v="Website"/>
    <x v="3"/>
    <n v="2"/>
    <x v="10"/>
    <n v="0.13075929750140999"/>
    <x v="10"/>
    <x v="14"/>
    <x v="1"/>
  </r>
  <r>
    <d v="2023-09-14T00:00:00"/>
    <x v="3"/>
    <s v="Cultural"/>
    <s v="Agent"/>
    <x v="3"/>
    <n v="1"/>
    <x v="10"/>
    <n v="0.13075929750140999"/>
    <x v="10"/>
    <x v="12"/>
    <x v="0"/>
  </r>
  <r>
    <d v="2023-09-15T00:00:00"/>
    <x v="1"/>
    <s v="Cultural"/>
    <s v="Agent"/>
    <x v="1"/>
    <n v="1"/>
    <x v="10"/>
    <n v="0.13075929750140999"/>
    <x v="10"/>
    <x v="4"/>
    <x v="1"/>
  </r>
  <r>
    <d v="2023-09-15T00:00:00"/>
    <x v="1"/>
    <s v="Adventure"/>
    <s v="Agent"/>
    <x v="6"/>
    <n v="1"/>
    <x v="10"/>
    <n v="0.13075929750140999"/>
    <x v="10"/>
    <x v="18"/>
    <x v="0"/>
  </r>
  <r>
    <d v="2023-09-16T00:00:00"/>
    <x v="0"/>
    <s v="City Break"/>
    <s v="Mobile App"/>
    <x v="1"/>
    <n v="2"/>
    <x v="10"/>
    <n v="0.13075929750140999"/>
    <x v="10"/>
    <x v="9"/>
    <x v="1"/>
  </r>
  <r>
    <d v="2023-09-16T00:00:00"/>
    <x v="0"/>
    <s v="Family"/>
    <s v="Website"/>
    <x v="1"/>
    <n v="1"/>
    <x v="10"/>
    <n v="0.13075929750140999"/>
    <x v="10"/>
    <x v="3"/>
    <x v="1"/>
  </r>
  <r>
    <d v="2023-09-16T00:00:00"/>
    <x v="2"/>
    <s v="Beach"/>
    <s v="Website"/>
    <x v="4"/>
    <n v="1"/>
    <x v="10"/>
    <n v="0.13075929750140999"/>
    <x v="10"/>
    <x v="2"/>
    <x v="1"/>
  </r>
  <r>
    <d v="2023-09-18T00:00:00"/>
    <x v="3"/>
    <s v="Cultural"/>
    <s v="Website"/>
    <x v="5"/>
    <n v="2"/>
    <x v="10"/>
    <n v="0.13075929750140999"/>
    <x v="10"/>
    <x v="11"/>
    <x v="0"/>
  </r>
  <r>
    <d v="2023-09-19T00:00:00"/>
    <x v="2"/>
    <s v="Foodie"/>
    <s v="Website"/>
    <x v="5"/>
    <n v="1"/>
    <x v="10"/>
    <n v="0.13075929750140999"/>
    <x v="10"/>
    <x v="13"/>
    <x v="1"/>
  </r>
  <r>
    <d v="2023-09-19T00:00:00"/>
    <x v="3"/>
    <s v="Beach"/>
    <s v="Website"/>
    <x v="8"/>
    <n v="1"/>
    <x v="10"/>
    <n v="0.13075929750140999"/>
    <x v="10"/>
    <x v="17"/>
    <x v="0"/>
  </r>
  <r>
    <d v="2023-09-20T00:00:00"/>
    <x v="3"/>
    <s v="Adventure"/>
    <s v="Website"/>
    <x v="2"/>
    <n v="3"/>
    <x v="10"/>
    <n v="0.13075929750140999"/>
    <x v="10"/>
    <x v="0"/>
    <x v="0"/>
  </r>
  <r>
    <d v="2023-09-20T00:00:00"/>
    <x v="2"/>
    <s v="Adventure"/>
    <s v="Website"/>
    <x v="4"/>
    <n v="2"/>
    <x v="10"/>
    <n v="0.13075929750140999"/>
    <x v="10"/>
    <x v="7"/>
    <x v="0"/>
  </r>
  <r>
    <d v="2023-09-20T00:00:00"/>
    <x v="3"/>
    <s v="Cultural"/>
    <s v="Mobile App"/>
    <x v="8"/>
    <n v="1"/>
    <x v="10"/>
    <n v="0.13075929750140999"/>
    <x v="10"/>
    <x v="15"/>
    <x v="1"/>
  </r>
  <r>
    <d v="2023-09-22T00:00:00"/>
    <x v="3"/>
    <s v="Cultural"/>
    <s v="Website"/>
    <x v="9"/>
    <n v="4"/>
    <x v="10"/>
    <n v="0.13075929750140999"/>
    <x v="10"/>
    <x v="0"/>
    <x v="1"/>
  </r>
  <r>
    <d v="2023-09-22T00:00:00"/>
    <x v="2"/>
    <s v="City Break"/>
    <s v="Agent"/>
    <x v="3"/>
    <n v="1"/>
    <x v="10"/>
    <n v="0.13075929750140999"/>
    <x v="10"/>
    <x v="12"/>
    <x v="0"/>
  </r>
  <r>
    <d v="2023-09-23T00:00:00"/>
    <x v="1"/>
    <s v="Cultural"/>
    <s v="Agent"/>
    <x v="3"/>
    <n v="2"/>
    <x v="10"/>
    <n v="0.13075929750140999"/>
    <x v="10"/>
    <x v="0"/>
    <x v="1"/>
  </r>
  <r>
    <d v="2023-09-24T00:00:00"/>
    <x v="1"/>
    <s v="City Break"/>
    <s v="Agent"/>
    <x v="1"/>
    <n v="3"/>
    <x v="10"/>
    <n v="0.13075929750140999"/>
    <x v="10"/>
    <x v="5"/>
    <x v="1"/>
  </r>
  <r>
    <d v="2023-09-24T00:00:00"/>
    <x v="0"/>
    <s v="Family"/>
    <s v="Website"/>
    <x v="1"/>
    <n v="1"/>
    <x v="10"/>
    <n v="0.13075929750140999"/>
    <x v="10"/>
    <x v="1"/>
    <x v="1"/>
  </r>
  <r>
    <d v="2023-09-24T00:00:00"/>
    <x v="0"/>
    <s v="Family"/>
    <s v="Mobile App"/>
    <x v="1"/>
    <n v="1"/>
    <x v="10"/>
    <n v="0.13075929750140999"/>
    <x v="10"/>
    <x v="12"/>
    <x v="1"/>
  </r>
  <r>
    <d v="2023-09-25T00:00:00"/>
    <x v="1"/>
    <s v="Family"/>
    <s v="Mobile App"/>
    <x v="3"/>
    <n v="4"/>
    <x v="10"/>
    <n v="0.13075929750140999"/>
    <x v="10"/>
    <x v="8"/>
    <x v="1"/>
  </r>
  <r>
    <d v="2023-09-25T00:00:00"/>
    <x v="1"/>
    <s v="Adventure"/>
    <s v="Website"/>
    <x v="2"/>
    <n v="3"/>
    <x v="10"/>
    <n v="0.13075929750140999"/>
    <x v="10"/>
    <x v="0"/>
    <x v="1"/>
  </r>
  <r>
    <d v="2023-09-25T00:00:00"/>
    <x v="0"/>
    <s v="Cultural"/>
    <s v="Call Center"/>
    <x v="0"/>
    <n v="1"/>
    <x v="10"/>
    <n v="0.13075929750140999"/>
    <x v="10"/>
    <x v="13"/>
    <x v="0"/>
  </r>
  <r>
    <d v="2023-09-25T00:00:00"/>
    <x v="1"/>
    <s v="Cultural"/>
    <s v="Call Center"/>
    <x v="4"/>
    <n v="3"/>
    <x v="10"/>
    <n v="0.13075929750140999"/>
    <x v="10"/>
    <x v="2"/>
    <x v="1"/>
  </r>
  <r>
    <d v="2023-09-25T00:00:00"/>
    <x v="2"/>
    <s v="City Break"/>
    <s v="Website"/>
    <x v="0"/>
    <n v="4"/>
    <x v="10"/>
    <n v="0.13075929750140999"/>
    <x v="10"/>
    <x v="2"/>
    <x v="1"/>
  </r>
  <r>
    <d v="2023-09-25T00:00:00"/>
    <x v="1"/>
    <s v="Family"/>
    <s v="Website"/>
    <x v="3"/>
    <n v="1"/>
    <x v="10"/>
    <n v="0.13075929750140999"/>
    <x v="10"/>
    <x v="13"/>
    <x v="1"/>
  </r>
  <r>
    <d v="2023-09-26T00:00:00"/>
    <x v="1"/>
    <s v="City Break"/>
    <s v="Website"/>
    <x v="2"/>
    <n v="2"/>
    <x v="10"/>
    <n v="0.13075929750140999"/>
    <x v="10"/>
    <x v="13"/>
    <x v="1"/>
  </r>
  <r>
    <d v="2023-09-26T00:00:00"/>
    <x v="0"/>
    <s v="Family"/>
    <s v="Mobile App"/>
    <x v="8"/>
    <n v="1"/>
    <x v="10"/>
    <n v="0.13075929750140999"/>
    <x v="10"/>
    <x v="14"/>
    <x v="0"/>
  </r>
  <r>
    <d v="2023-09-26T00:00:00"/>
    <x v="0"/>
    <s v="Cultural"/>
    <s v="Website"/>
    <x v="5"/>
    <n v="2"/>
    <x v="10"/>
    <n v="0.13075929750140999"/>
    <x v="10"/>
    <x v="14"/>
    <x v="1"/>
  </r>
  <r>
    <d v="2023-09-26T00:00:00"/>
    <x v="3"/>
    <s v="Family"/>
    <s v="Website"/>
    <x v="9"/>
    <n v="2"/>
    <x v="10"/>
    <n v="0.13075929750140999"/>
    <x v="10"/>
    <x v="0"/>
    <x v="0"/>
  </r>
  <r>
    <d v="2023-09-26T00:00:00"/>
    <x v="1"/>
    <s v="Cultural"/>
    <s v="Website"/>
    <x v="2"/>
    <n v="1"/>
    <x v="10"/>
    <n v="0.13075929750140999"/>
    <x v="10"/>
    <x v="11"/>
    <x v="0"/>
  </r>
  <r>
    <d v="2023-09-27T00:00:00"/>
    <x v="2"/>
    <s v="Beach"/>
    <s v="Mobile App"/>
    <x v="4"/>
    <n v="1"/>
    <x v="10"/>
    <n v="0.13075929750140999"/>
    <x v="10"/>
    <x v="5"/>
    <x v="1"/>
  </r>
  <r>
    <d v="2023-09-28T00:00:00"/>
    <x v="3"/>
    <s v="Adventure"/>
    <s v="Website"/>
    <x v="3"/>
    <n v="2"/>
    <x v="10"/>
    <n v="0.13075929750140999"/>
    <x v="10"/>
    <x v="13"/>
    <x v="0"/>
  </r>
  <r>
    <d v="2023-09-28T00:00:00"/>
    <x v="3"/>
    <s v="Cultural"/>
    <s v="Website"/>
    <x v="6"/>
    <n v="1"/>
    <x v="10"/>
    <n v="0.13075929750140999"/>
    <x v="10"/>
    <x v="8"/>
    <x v="1"/>
  </r>
  <r>
    <d v="2023-09-28T00:00:00"/>
    <x v="1"/>
    <s v="Beach"/>
    <s v="Agent"/>
    <x v="4"/>
    <n v="3"/>
    <x v="10"/>
    <n v="0.13075929750140999"/>
    <x v="10"/>
    <x v="0"/>
    <x v="1"/>
  </r>
  <r>
    <d v="2023-09-29T00:00:00"/>
    <x v="3"/>
    <s v="Cultural"/>
    <s v="Agent"/>
    <x v="6"/>
    <n v="1"/>
    <x v="10"/>
    <n v="0.13075929750140999"/>
    <x v="10"/>
    <x v="6"/>
    <x v="0"/>
  </r>
  <r>
    <d v="2023-09-29T00:00:00"/>
    <x v="1"/>
    <s v="Beach"/>
    <s v="Website"/>
    <x v="0"/>
    <n v="2"/>
    <x v="10"/>
    <n v="0.13075929750140999"/>
    <x v="10"/>
    <x v="8"/>
    <x v="1"/>
  </r>
  <r>
    <d v="2023-09-29T00:00:00"/>
    <x v="1"/>
    <s v="City Break"/>
    <s v="Agent"/>
    <x v="0"/>
    <n v="2"/>
    <x v="10"/>
    <n v="0.13075929750140999"/>
    <x v="10"/>
    <x v="1"/>
    <x v="1"/>
  </r>
  <r>
    <d v="2023-09-30T00:00:00"/>
    <x v="3"/>
    <s v="City Break"/>
    <s v="Website"/>
    <x v="2"/>
    <n v="3"/>
    <x v="10"/>
    <n v="0.13075929750140999"/>
    <x v="10"/>
    <x v="0"/>
    <x v="1"/>
  </r>
  <r>
    <d v="2023-09-30T00:00:00"/>
    <x v="3"/>
    <s v="Cultural"/>
    <s v="Agent"/>
    <x v="1"/>
    <n v="3"/>
    <x v="10"/>
    <n v="0.13075929750140999"/>
    <x v="10"/>
    <x v="14"/>
    <x v="1"/>
  </r>
  <r>
    <d v="2023-09-30T00:00:00"/>
    <x v="3"/>
    <s v="Beach"/>
    <s v="Mobile App"/>
    <x v="5"/>
    <n v="2"/>
    <x v="10"/>
    <n v="0.13075929750140999"/>
    <x v="10"/>
    <x v="1"/>
    <x v="0"/>
  </r>
  <r>
    <d v="2023-10-01T00:00:00"/>
    <x v="0"/>
    <s v="Foodie"/>
    <s v="Website"/>
    <x v="5"/>
    <n v="1"/>
    <x v="10"/>
    <n v="0.13075929750140999"/>
    <x v="10"/>
    <x v="20"/>
    <x v="0"/>
  </r>
  <r>
    <d v="2023-10-01T00:00:00"/>
    <x v="3"/>
    <s v="Foodie"/>
    <s v="Website"/>
    <x v="5"/>
    <n v="4"/>
    <x v="10"/>
    <n v="0.13075929750140999"/>
    <x v="10"/>
    <x v="4"/>
    <x v="1"/>
  </r>
  <r>
    <d v="2023-10-03T00:00:00"/>
    <x v="1"/>
    <s v="Cultural"/>
    <s v="Mobile App"/>
    <x v="5"/>
    <n v="2"/>
    <x v="10"/>
    <n v="0.13075929750140999"/>
    <x v="10"/>
    <x v="15"/>
    <x v="1"/>
  </r>
  <r>
    <d v="2023-10-03T00:00:00"/>
    <x v="1"/>
    <s v="Adventure"/>
    <s v="Agent"/>
    <x v="1"/>
    <n v="1"/>
    <x v="10"/>
    <n v="0.13075929750140999"/>
    <x v="10"/>
    <x v="6"/>
    <x v="1"/>
  </r>
  <r>
    <d v="2023-10-04T00:00:00"/>
    <x v="1"/>
    <s v="Adventure"/>
    <s v="Call Center"/>
    <x v="2"/>
    <n v="3"/>
    <x v="10"/>
    <n v="0.13075929750140999"/>
    <x v="10"/>
    <x v="4"/>
    <x v="1"/>
  </r>
  <r>
    <d v="2023-10-04T00:00:00"/>
    <x v="3"/>
    <s v="Adventure"/>
    <s v="Agent"/>
    <x v="9"/>
    <n v="4"/>
    <x v="10"/>
    <n v="0.13075929750140999"/>
    <x v="10"/>
    <x v="4"/>
    <x v="1"/>
  </r>
  <r>
    <d v="2023-10-04T00:00:00"/>
    <x v="2"/>
    <s v="Beach"/>
    <s v="Agent"/>
    <x v="5"/>
    <n v="1"/>
    <x v="10"/>
    <n v="0.13075929750140999"/>
    <x v="10"/>
    <x v="0"/>
    <x v="1"/>
  </r>
  <r>
    <d v="2023-10-04T00:00:00"/>
    <x v="0"/>
    <s v="Beach"/>
    <s v="Website"/>
    <x v="9"/>
    <n v="1"/>
    <x v="10"/>
    <n v="0.13075929750140999"/>
    <x v="10"/>
    <x v="17"/>
    <x v="0"/>
  </r>
  <r>
    <d v="2023-10-04T00:00:00"/>
    <x v="1"/>
    <s v="Cultural"/>
    <s v="Agent"/>
    <x v="2"/>
    <n v="4"/>
    <x v="10"/>
    <n v="0.13075929750140999"/>
    <x v="10"/>
    <x v="9"/>
    <x v="1"/>
  </r>
  <r>
    <d v="2023-10-05T00:00:00"/>
    <x v="2"/>
    <s v="Beach"/>
    <s v="Agent"/>
    <x v="2"/>
    <n v="1"/>
    <x v="10"/>
    <n v="0.13075929750140999"/>
    <x v="10"/>
    <x v="2"/>
    <x v="1"/>
  </r>
  <r>
    <d v="2023-10-06T00:00:00"/>
    <x v="1"/>
    <s v="Cultural"/>
    <s v="Website"/>
    <x v="9"/>
    <n v="3"/>
    <x v="10"/>
    <n v="0.13075929750140999"/>
    <x v="10"/>
    <x v="17"/>
    <x v="1"/>
  </r>
  <r>
    <d v="2023-10-06T00:00:00"/>
    <x v="1"/>
    <s v="Adventure"/>
    <s v="Agent"/>
    <x v="2"/>
    <n v="3"/>
    <x v="10"/>
    <n v="0.13075929750140999"/>
    <x v="10"/>
    <x v="2"/>
    <x v="1"/>
  </r>
  <r>
    <d v="2023-10-08T00:00:00"/>
    <x v="0"/>
    <s v="Family"/>
    <s v="Website"/>
    <x v="4"/>
    <n v="5"/>
    <x v="10"/>
    <n v="0.13075929750140999"/>
    <x v="10"/>
    <x v="17"/>
    <x v="1"/>
  </r>
  <r>
    <d v="2023-10-09T00:00:00"/>
    <x v="2"/>
    <s v="Cultural"/>
    <s v="Agent"/>
    <x v="4"/>
    <n v="1"/>
    <x v="10"/>
    <n v="0.13075929750140999"/>
    <x v="10"/>
    <x v="8"/>
    <x v="1"/>
  </r>
  <r>
    <d v="2023-10-11T00:00:00"/>
    <x v="0"/>
    <s v="City Break"/>
    <s v="Agent"/>
    <x v="0"/>
    <n v="1"/>
    <x v="10"/>
    <n v="0.13075929750140999"/>
    <x v="10"/>
    <x v="13"/>
    <x v="0"/>
  </r>
  <r>
    <d v="2023-10-11T00:00:00"/>
    <x v="0"/>
    <s v="Beach"/>
    <s v="Mobile App"/>
    <x v="0"/>
    <n v="1"/>
    <x v="10"/>
    <n v="0.13075929750140999"/>
    <x v="10"/>
    <x v="6"/>
    <x v="1"/>
  </r>
  <r>
    <d v="2023-10-12T00:00:00"/>
    <x v="2"/>
    <s v="Cultural"/>
    <s v="Mobile App"/>
    <x v="5"/>
    <n v="1"/>
    <x v="10"/>
    <n v="0.13075929750140999"/>
    <x v="10"/>
    <x v="18"/>
    <x v="1"/>
  </r>
  <r>
    <d v="2023-10-12T00:00:00"/>
    <x v="2"/>
    <s v="Cultural"/>
    <s v="Website"/>
    <x v="1"/>
    <n v="2"/>
    <x v="10"/>
    <n v="0.13075929750140999"/>
    <x v="10"/>
    <x v="3"/>
    <x v="0"/>
  </r>
  <r>
    <d v="2023-10-12T00:00:00"/>
    <x v="3"/>
    <s v="Adventure"/>
    <s v="Agent"/>
    <x v="7"/>
    <n v="1"/>
    <x v="10"/>
    <n v="0.13075929750140999"/>
    <x v="10"/>
    <x v="19"/>
    <x v="0"/>
  </r>
  <r>
    <d v="2023-10-13T00:00:00"/>
    <x v="2"/>
    <s v="Beach"/>
    <s v="Website"/>
    <x v="9"/>
    <n v="1"/>
    <x v="10"/>
    <n v="0.13075929750140999"/>
    <x v="10"/>
    <x v="14"/>
    <x v="0"/>
  </r>
  <r>
    <d v="2023-10-13T00:00:00"/>
    <x v="0"/>
    <s v="City Break"/>
    <s v="Mobile App"/>
    <x v="7"/>
    <n v="1"/>
    <x v="10"/>
    <n v="0.13075929750140999"/>
    <x v="10"/>
    <x v="2"/>
    <x v="0"/>
  </r>
  <r>
    <d v="2023-10-13T00:00:00"/>
    <x v="1"/>
    <s v="Cultural"/>
    <s v="Agent"/>
    <x v="3"/>
    <n v="1"/>
    <x v="10"/>
    <n v="0.13075929750140999"/>
    <x v="10"/>
    <x v="12"/>
    <x v="1"/>
  </r>
  <r>
    <d v="2023-10-14T00:00:00"/>
    <x v="2"/>
    <s v="Beach"/>
    <s v="Website"/>
    <x v="1"/>
    <n v="2"/>
    <x v="10"/>
    <n v="0.13075929750140999"/>
    <x v="10"/>
    <x v="1"/>
    <x v="1"/>
  </r>
  <r>
    <d v="2023-10-14T00:00:00"/>
    <x v="3"/>
    <s v="Adventure"/>
    <s v="Website"/>
    <x v="3"/>
    <n v="4"/>
    <x v="10"/>
    <n v="0.13075929750140999"/>
    <x v="10"/>
    <x v="2"/>
    <x v="1"/>
  </r>
  <r>
    <d v="2023-10-14T00:00:00"/>
    <x v="0"/>
    <s v="Foodie"/>
    <s v="Website"/>
    <x v="7"/>
    <n v="2"/>
    <x v="10"/>
    <n v="0.13075929750140999"/>
    <x v="10"/>
    <x v="0"/>
    <x v="0"/>
  </r>
  <r>
    <d v="2023-10-15T00:00:00"/>
    <x v="1"/>
    <s v="Family"/>
    <s v="Website"/>
    <x v="2"/>
    <n v="3"/>
    <x v="10"/>
    <n v="0.13075929750140999"/>
    <x v="10"/>
    <x v="12"/>
    <x v="0"/>
  </r>
  <r>
    <d v="2023-10-15T00:00:00"/>
    <x v="3"/>
    <s v="Foodie"/>
    <s v="Agent"/>
    <x v="2"/>
    <n v="2"/>
    <x v="10"/>
    <n v="0.13075929750140999"/>
    <x v="10"/>
    <x v="0"/>
    <x v="1"/>
  </r>
  <r>
    <d v="2023-10-15T00:00:00"/>
    <x v="1"/>
    <s v="Cultural"/>
    <s v="Website"/>
    <x v="0"/>
    <n v="2"/>
    <x v="10"/>
    <n v="0.13075929750140999"/>
    <x v="10"/>
    <x v="7"/>
    <x v="1"/>
  </r>
  <r>
    <d v="2023-10-15T00:00:00"/>
    <x v="0"/>
    <s v="Cultural"/>
    <s v="Agent"/>
    <x v="2"/>
    <n v="4"/>
    <x v="10"/>
    <n v="0.13075929750140999"/>
    <x v="10"/>
    <x v="4"/>
    <x v="0"/>
  </r>
  <r>
    <d v="2023-10-15T00:00:00"/>
    <x v="0"/>
    <s v="Family"/>
    <s v="Mobile App"/>
    <x v="4"/>
    <n v="3"/>
    <x v="10"/>
    <n v="0.13075929750140999"/>
    <x v="10"/>
    <x v="15"/>
    <x v="1"/>
  </r>
  <r>
    <d v="2023-10-16T00:00:00"/>
    <x v="3"/>
    <s v="Family"/>
    <s v="Mobile App"/>
    <x v="2"/>
    <n v="3"/>
    <x v="10"/>
    <n v="0.13075929750140999"/>
    <x v="10"/>
    <x v="15"/>
    <x v="1"/>
  </r>
  <r>
    <d v="2023-10-16T00:00:00"/>
    <x v="0"/>
    <s v="Family"/>
    <s v="Website"/>
    <x v="0"/>
    <n v="1"/>
    <x v="10"/>
    <n v="0.13075929750140999"/>
    <x v="10"/>
    <x v="3"/>
    <x v="1"/>
  </r>
  <r>
    <d v="2023-10-17T00:00:00"/>
    <x v="3"/>
    <s v="Beach"/>
    <s v="Website"/>
    <x v="5"/>
    <n v="1"/>
    <x v="10"/>
    <n v="0.13075929750140999"/>
    <x v="10"/>
    <x v="6"/>
    <x v="0"/>
  </r>
  <r>
    <d v="2023-10-18T00:00:00"/>
    <x v="1"/>
    <s v="Adventure"/>
    <s v="Call Center"/>
    <x v="3"/>
    <n v="1"/>
    <x v="10"/>
    <n v="0.13075929750140999"/>
    <x v="10"/>
    <x v="6"/>
    <x v="0"/>
  </r>
  <r>
    <d v="2023-10-18T00:00:00"/>
    <x v="1"/>
    <s v="Family"/>
    <s v="Agent"/>
    <x v="6"/>
    <n v="4"/>
    <x v="10"/>
    <n v="0.13075929750140999"/>
    <x v="10"/>
    <x v="15"/>
    <x v="1"/>
  </r>
  <r>
    <d v="2023-10-19T00:00:00"/>
    <x v="3"/>
    <s v="Foodie"/>
    <s v="Website"/>
    <x v="8"/>
    <n v="2"/>
    <x v="10"/>
    <n v="0.13075929750140999"/>
    <x v="10"/>
    <x v="1"/>
    <x v="1"/>
  </r>
  <r>
    <d v="2023-10-19T00:00:00"/>
    <x v="3"/>
    <s v="City Break"/>
    <s v="Agent"/>
    <x v="8"/>
    <n v="4"/>
    <x v="10"/>
    <n v="0.13075929750140999"/>
    <x v="10"/>
    <x v="4"/>
    <x v="1"/>
  </r>
  <r>
    <d v="2023-10-20T00:00:00"/>
    <x v="1"/>
    <s v="Beach"/>
    <s v="Mobile App"/>
    <x v="9"/>
    <n v="1"/>
    <x v="10"/>
    <n v="0.13075929750140999"/>
    <x v="10"/>
    <x v="2"/>
    <x v="0"/>
  </r>
  <r>
    <d v="2023-10-21T00:00:00"/>
    <x v="3"/>
    <s v="Beach"/>
    <s v="Website"/>
    <x v="2"/>
    <n v="1"/>
    <x v="10"/>
    <n v="0.13075929750140999"/>
    <x v="10"/>
    <x v="6"/>
    <x v="1"/>
  </r>
  <r>
    <d v="2023-10-21T00:00:00"/>
    <x v="1"/>
    <s v="Adventure"/>
    <s v="Mobile App"/>
    <x v="0"/>
    <n v="3"/>
    <x v="10"/>
    <n v="0.13075929750140999"/>
    <x v="10"/>
    <x v="8"/>
    <x v="0"/>
  </r>
  <r>
    <d v="2023-10-21T00:00:00"/>
    <x v="1"/>
    <s v="Family"/>
    <s v="Agent"/>
    <x v="2"/>
    <n v="1"/>
    <x v="10"/>
    <n v="0.13075929750140999"/>
    <x v="10"/>
    <x v="14"/>
    <x v="1"/>
  </r>
  <r>
    <d v="2023-10-22T00:00:00"/>
    <x v="2"/>
    <s v="Cultural"/>
    <s v="Mobile App"/>
    <x v="2"/>
    <n v="2"/>
    <x v="10"/>
    <n v="0.13075929750140999"/>
    <x v="10"/>
    <x v="2"/>
    <x v="1"/>
  </r>
  <r>
    <d v="2023-10-24T00:00:00"/>
    <x v="3"/>
    <s v="Cultural"/>
    <s v="Website"/>
    <x v="2"/>
    <n v="3"/>
    <x v="10"/>
    <n v="0.13075929750140999"/>
    <x v="10"/>
    <x v="3"/>
    <x v="1"/>
  </r>
  <r>
    <d v="2023-10-25T00:00:00"/>
    <x v="1"/>
    <s v="City Break"/>
    <s v="Website"/>
    <x v="0"/>
    <n v="3"/>
    <x v="10"/>
    <n v="0.13075929750140999"/>
    <x v="10"/>
    <x v="15"/>
    <x v="1"/>
  </r>
  <r>
    <d v="2023-10-26T00:00:00"/>
    <x v="0"/>
    <s v="Beach"/>
    <s v="Mobile App"/>
    <x v="5"/>
    <n v="3"/>
    <x v="10"/>
    <n v="0.13075929750140999"/>
    <x v="10"/>
    <x v="8"/>
    <x v="1"/>
  </r>
  <r>
    <d v="2023-10-26T00:00:00"/>
    <x v="1"/>
    <s v="Beach"/>
    <s v="Website"/>
    <x v="4"/>
    <n v="1"/>
    <x v="10"/>
    <n v="0.13075929750140999"/>
    <x v="10"/>
    <x v="0"/>
    <x v="1"/>
  </r>
  <r>
    <d v="2023-10-27T00:00:00"/>
    <x v="1"/>
    <s v="Family"/>
    <s v="Website"/>
    <x v="4"/>
    <n v="4"/>
    <x v="10"/>
    <n v="0.13075929750140999"/>
    <x v="10"/>
    <x v="7"/>
    <x v="0"/>
  </r>
  <r>
    <d v="2023-10-27T00:00:00"/>
    <x v="0"/>
    <s v="Beach"/>
    <s v="Website"/>
    <x v="4"/>
    <n v="1"/>
    <x v="10"/>
    <n v="0.13075929750140999"/>
    <x v="10"/>
    <x v="12"/>
    <x v="1"/>
  </r>
  <r>
    <d v="2023-10-28T00:00:00"/>
    <x v="1"/>
    <s v="Beach"/>
    <s v="Website"/>
    <x v="0"/>
    <n v="3"/>
    <x v="10"/>
    <n v="0.13075929750140999"/>
    <x v="10"/>
    <x v="4"/>
    <x v="1"/>
  </r>
  <r>
    <d v="2023-10-28T00:00:00"/>
    <x v="1"/>
    <s v="Beach"/>
    <s v="Website"/>
    <x v="1"/>
    <n v="3"/>
    <x v="10"/>
    <n v="0.13075929750140999"/>
    <x v="10"/>
    <x v="2"/>
    <x v="1"/>
  </r>
  <r>
    <d v="2023-10-28T00:00:00"/>
    <x v="2"/>
    <s v="Beach"/>
    <s v="Website"/>
    <x v="5"/>
    <n v="2"/>
    <x v="10"/>
    <n v="0.13075929750140999"/>
    <x v="10"/>
    <x v="0"/>
    <x v="1"/>
  </r>
  <r>
    <d v="2023-10-28T00:00:00"/>
    <x v="2"/>
    <s v="Cultural"/>
    <s v="Website"/>
    <x v="7"/>
    <n v="2"/>
    <x v="10"/>
    <n v="0.13075929750140999"/>
    <x v="10"/>
    <x v="2"/>
    <x v="1"/>
  </r>
  <r>
    <d v="2023-10-29T00:00:00"/>
    <x v="1"/>
    <s v="Cultural"/>
    <s v="Website"/>
    <x v="3"/>
    <n v="1"/>
    <x v="10"/>
    <n v="0.13075929750140999"/>
    <x v="10"/>
    <x v="2"/>
    <x v="1"/>
  </r>
  <r>
    <d v="2023-10-30T00:00:00"/>
    <x v="1"/>
    <s v="Beach"/>
    <s v="Website"/>
    <x v="5"/>
    <n v="2"/>
    <x v="10"/>
    <n v="0.13075929750140999"/>
    <x v="10"/>
    <x v="6"/>
    <x v="0"/>
  </r>
  <r>
    <d v="2023-10-30T00:00:00"/>
    <x v="1"/>
    <s v="City Break"/>
    <s v="Website"/>
    <x v="9"/>
    <n v="4"/>
    <x v="10"/>
    <n v="0.13075929750140999"/>
    <x v="10"/>
    <x v="2"/>
    <x v="1"/>
  </r>
  <r>
    <d v="2023-10-30T00:00:00"/>
    <x v="3"/>
    <s v="Cultural"/>
    <s v="Website"/>
    <x v="9"/>
    <n v="2"/>
    <x v="10"/>
    <n v="0.13075929750140999"/>
    <x v="10"/>
    <x v="12"/>
    <x v="0"/>
  </r>
  <r>
    <d v="2023-10-30T00:00:00"/>
    <x v="0"/>
    <s v="Adventure"/>
    <s v="Mobile App"/>
    <x v="9"/>
    <n v="1"/>
    <x v="10"/>
    <n v="0.13075929750140999"/>
    <x v="10"/>
    <x v="13"/>
    <x v="0"/>
  </r>
  <r>
    <d v="2023-10-30T00:00:00"/>
    <x v="0"/>
    <s v="Foodie"/>
    <s v="Mobile App"/>
    <x v="5"/>
    <n v="1"/>
    <x v="10"/>
    <n v="0.13075929750140999"/>
    <x v="10"/>
    <x v="7"/>
    <x v="0"/>
  </r>
  <r>
    <d v="2023-10-31T00:00:00"/>
    <x v="0"/>
    <s v="City Break"/>
    <s v="Mobile App"/>
    <x v="2"/>
    <n v="2"/>
    <x v="10"/>
    <n v="0.13075929750140999"/>
    <x v="10"/>
    <x v="16"/>
    <x v="0"/>
  </r>
  <r>
    <d v="2023-10-31T00:00:00"/>
    <x v="1"/>
    <s v="Beach"/>
    <s v="Mobile App"/>
    <x v="7"/>
    <n v="1"/>
    <x v="10"/>
    <n v="0.13075929750140999"/>
    <x v="10"/>
    <x v="8"/>
    <x v="1"/>
  </r>
  <r>
    <d v="2023-10-31T00:00:00"/>
    <x v="1"/>
    <s v="Family"/>
    <s v="Agent"/>
    <x v="0"/>
    <n v="3"/>
    <x v="10"/>
    <n v="0.13075929750140999"/>
    <x v="10"/>
    <x v="14"/>
    <x v="0"/>
  </r>
  <r>
    <d v="2023-10-31T00:00:00"/>
    <x v="1"/>
    <s v="Foodie"/>
    <s v="Website"/>
    <x v="1"/>
    <n v="4"/>
    <x v="10"/>
    <n v="0.13075929750140999"/>
    <x v="10"/>
    <x v="4"/>
    <x v="1"/>
  </r>
  <r>
    <d v="2023-11-01T00:00:00"/>
    <x v="1"/>
    <s v="Family"/>
    <s v="Mobile App"/>
    <x v="2"/>
    <n v="2"/>
    <x v="10"/>
    <n v="0.13075929750140999"/>
    <x v="10"/>
    <x v="14"/>
    <x v="0"/>
  </r>
  <r>
    <d v="2023-11-02T00:00:00"/>
    <x v="0"/>
    <s v="Family"/>
    <s v="Agent"/>
    <x v="8"/>
    <n v="1"/>
    <x v="10"/>
    <n v="0.13075929750140999"/>
    <x v="10"/>
    <x v="9"/>
    <x v="1"/>
  </r>
  <r>
    <d v="2023-11-02T00:00:00"/>
    <x v="0"/>
    <s v="Beach"/>
    <s v="Website"/>
    <x v="2"/>
    <n v="3"/>
    <x v="10"/>
    <n v="0.13075929750140999"/>
    <x v="10"/>
    <x v="15"/>
    <x v="1"/>
  </r>
  <r>
    <d v="2023-11-03T00:00:00"/>
    <x v="0"/>
    <s v="Foodie"/>
    <s v="Mobile App"/>
    <x v="5"/>
    <n v="2"/>
    <x v="10"/>
    <n v="0.13075929750140999"/>
    <x v="10"/>
    <x v="8"/>
    <x v="0"/>
  </r>
  <r>
    <d v="2023-11-04T00:00:00"/>
    <x v="2"/>
    <s v="City Break"/>
    <s v="Website"/>
    <x v="5"/>
    <n v="4"/>
    <x v="10"/>
    <n v="0.13075929750140999"/>
    <x v="10"/>
    <x v="2"/>
    <x v="1"/>
  </r>
  <r>
    <d v="2023-11-04T00:00:00"/>
    <x v="2"/>
    <s v="Adventure"/>
    <s v="Website"/>
    <x v="9"/>
    <n v="4"/>
    <x v="10"/>
    <n v="0.13075929750140999"/>
    <x v="10"/>
    <x v="13"/>
    <x v="1"/>
  </r>
  <r>
    <d v="2023-11-05T00:00:00"/>
    <x v="3"/>
    <s v="Beach"/>
    <s v="Website"/>
    <x v="8"/>
    <n v="2"/>
    <x v="10"/>
    <n v="0.13075929750140999"/>
    <x v="10"/>
    <x v="6"/>
    <x v="1"/>
  </r>
  <r>
    <d v="2023-11-05T00:00:00"/>
    <x v="0"/>
    <s v="Beach"/>
    <s v="Website"/>
    <x v="6"/>
    <n v="2"/>
    <x v="10"/>
    <n v="0.13075929750140999"/>
    <x v="10"/>
    <x v="2"/>
    <x v="1"/>
  </r>
  <r>
    <d v="2023-11-05T00:00:00"/>
    <x v="3"/>
    <s v="Beach"/>
    <s v="Mobile App"/>
    <x v="2"/>
    <n v="1"/>
    <x v="10"/>
    <n v="0.13075929750140999"/>
    <x v="10"/>
    <x v="6"/>
    <x v="0"/>
  </r>
  <r>
    <d v="2023-11-06T00:00:00"/>
    <x v="3"/>
    <s v="Cultural"/>
    <s v="Agent"/>
    <x v="8"/>
    <n v="2"/>
    <x v="10"/>
    <n v="0.13075929750140999"/>
    <x v="10"/>
    <x v="17"/>
    <x v="0"/>
  </r>
  <r>
    <d v="2023-11-06T00:00:00"/>
    <x v="1"/>
    <s v="Beach"/>
    <s v="Website"/>
    <x v="7"/>
    <n v="1"/>
    <x v="10"/>
    <n v="0.13075929750140999"/>
    <x v="10"/>
    <x v="2"/>
    <x v="1"/>
  </r>
  <r>
    <d v="2023-11-07T00:00:00"/>
    <x v="0"/>
    <s v="Family"/>
    <s v="Website"/>
    <x v="3"/>
    <n v="1"/>
    <x v="10"/>
    <n v="0.13075929750140999"/>
    <x v="10"/>
    <x v="13"/>
    <x v="1"/>
  </r>
  <r>
    <d v="2023-11-07T00:00:00"/>
    <x v="3"/>
    <s v="Beach"/>
    <s v="Website"/>
    <x v="1"/>
    <n v="1"/>
    <x v="10"/>
    <n v="0.13075929750140999"/>
    <x v="10"/>
    <x v="3"/>
    <x v="1"/>
  </r>
  <r>
    <d v="2023-11-07T00:00:00"/>
    <x v="3"/>
    <s v="Cultural"/>
    <s v="Website"/>
    <x v="0"/>
    <n v="4"/>
    <x v="10"/>
    <n v="0.13075929750140999"/>
    <x v="10"/>
    <x v="9"/>
    <x v="1"/>
  </r>
  <r>
    <d v="2023-11-08T00:00:00"/>
    <x v="3"/>
    <s v="Beach"/>
    <s v="Website"/>
    <x v="0"/>
    <n v="3"/>
    <x v="10"/>
    <n v="0.13075929750140999"/>
    <x v="10"/>
    <x v="0"/>
    <x v="0"/>
  </r>
  <r>
    <d v="2023-11-08T00:00:00"/>
    <x v="3"/>
    <s v="Family"/>
    <s v="Mobile App"/>
    <x v="0"/>
    <n v="4"/>
    <x v="10"/>
    <n v="0.13075929750140999"/>
    <x v="10"/>
    <x v="2"/>
    <x v="1"/>
  </r>
  <r>
    <d v="2023-11-09T00:00:00"/>
    <x v="1"/>
    <s v="City Break"/>
    <s v="Agent"/>
    <x v="0"/>
    <n v="1"/>
    <x v="10"/>
    <n v="0.13075929750140999"/>
    <x v="10"/>
    <x v="13"/>
    <x v="1"/>
  </r>
  <r>
    <d v="2023-11-09T00:00:00"/>
    <x v="0"/>
    <s v="Adventure"/>
    <s v="Agent"/>
    <x v="0"/>
    <n v="2"/>
    <x v="10"/>
    <n v="0.13075929750140999"/>
    <x v="10"/>
    <x v="18"/>
    <x v="1"/>
  </r>
  <r>
    <d v="2023-11-10T00:00:00"/>
    <x v="0"/>
    <s v="Foodie"/>
    <s v="Mobile App"/>
    <x v="4"/>
    <n v="1"/>
    <x v="10"/>
    <n v="0.13075929750140999"/>
    <x v="10"/>
    <x v="1"/>
    <x v="0"/>
  </r>
  <r>
    <d v="2023-11-11T00:00:00"/>
    <x v="0"/>
    <s v="Adventure"/>
    <s v="Mobile App"/>
    <x v="0"/>
    <n v="1"/>
    <x v="10"/>
    <n v="0.13075929750140999"/>
    <x v="10"/>
    <x v="11"/>
    <x v="0"/>
  </r>
  <r>
    <d v="2023-11-11T00:00:00"/>
    <x v="0"/>
    <s v="Beach"/>
    <s v="Mobile App"/>
    <x v="6"/>
    <n v="3"/>
    <x v="10"/>
    <n v="0.13075929750140999"/>
    <x v="10"/>
    <x v="1"/>
    <x v="1"/>
  </r>
  <r>
    <d v="2023-11-11T00:00:00"/>
    <x v="0"/>
    <s v="Beach"/>
    <s v="Agent"/>
    <x v="0"/>
    <n v="1"/>
    <x v="10"/>
    <n v="0.13075929750140999"/>
    <x v="10"/>
    <x v="6"/>
    <x v="1"/>
  </r>
  <r>
    <d v="2023-11-11T00:00:00"/>
    <x v="0"/>
    <s v="Adventure"/>
    <s v="Mobile App"/>
    <x v="0"/>
    <n v="1"/>
    <x v="10"/>
    <n v="0.13075929750140999"/>
    <x v="10"/>
    <x v="11"/>
    <x v="1"/>
  </r>
  <r>
    <d v="2023-11-11T00:00:00"/>
    <x v="0"/>
    <s v="City Break"/>
    <s v="Mobile App"/>
    <x v="7"/>
    <n v="2"/>
    <x v="10"/>
    <n v="0.13075929750140999"/>
    <x v="10"/>
    <x v="4"/>
    <x v="1"/>
  </r>
  <r>
    <d v="2023-11-12T00:00:00"/>
    <x v="1"/>
    <s v="Foodie"/>
    <s v="Agent"/>
    <x v="8"/>
    <n v="1"/>
    <x v="10"/>
    <n v="0.13075929750140999"/>
    <x v="10"/>
    <x v="5"/>
    <x v="1"/>
  </r>
  <r>
    <d v="2023-11-13T00:00:00"/>
    <x v="2"/>
    <s v="Cultural"/>
    <s v="Mobile App"/>
    <x v="4"/>
    <n v="3"/>
    <x v="10"/>
    <n v="0.13075929750140999"/>
    <x v="10"/>
    <x v="13"/>
    <x v="1"/>
  </r>
  <r>
    <d v="2023-11-14T00:00:00"/>
    <x v="0"/>
    <s v="Cultural"/>
    <s v="Agent"/>
    <x v="0"/>
    <n v="1"/>
    <x v="10"/>
    <n v="0.13075929750140999"/>
    <x v="10"/>
    <x v="8"/>
    <x v="1"/>
  </r>
  <r>
    <d v="2023-11-15T00:00:00"/>
    <x v="3"/>
    <s v="Family"/>
    <s v="Website"/>
    <x v="8"/>
    <n v="1"/>
    <x v="10"/>
    <n v="0.13075929750140999"/>
    <x v="10"/>
    <x v="3"/>
    <x v="1"/>
  </r>
  <r>
    <d v="2023-11-15T00:00:00"/>
    <x v="2"/>
    <s v="Family"/>
    <s v="Website"/>
    <x v="0"/>
    <n v="1"/>
    <x v="10"/>
    <n v="0.13075929750140999"/>
    <x v="10"/>
    <x v="4"/>
    <x v="0"/>
  </r>
  <r>
    <d v="2023-11-16T00:00:00"/>
    <x v="3"/>
    <s v="Adventure"/>
    <s v="Agent"/>
    <x v="6"/>
    <n v="2"/>
    <x v="10"/>
    <n v="0.13075929750140999"/>
    <x v="10"/>
    <x v="2"/>
    <x v="0"/>
  </r>
  <r>
    <d v="2023-11-17T00:00:00"/>
    <x v="1"/>
    <s v="Cultural"/>
    <s v="Agent"/>
    <x v="2"/>
    <n v="1"/>
    <x v="10"/>
    <n v="0.13075929750140999"/>
    <x v="10"/>
    <x v="4"/>
    <x v="1"/>
  </r>
  <r>
    <d v="2023-11-17T00:00:00"/>
    <x v="3"/>
    <s v="Beach"/>
    <s v="Website"/>
    <x v="4"/>
    <n v="3"/>
    <x v="10"/>
    <n v="0.13075929750140999"/>
    <x v="10"/>
    <x v="14"/>
    <x v="1"/>
  </r>
  <r>
    <d v="2023-11-17T00:00:00"/>
    <x v="0"/>
    <s v="Beach"/>
    <s v="Website"/>
    <x v="4"/>
    <n v="5"/>
    <x v="10"/>
    <n v="0.13075929750140999"/>
    <x v="10"/>
    <x v="0"/>
    <x v="0"/>
  </r>
  <r>
    <d v="2023-11-17T00:00:00"/>
    <x v="1"/>
    <s v="Cultural"/>
    <s v="Website"/>
    <x v="3"/>
    <n v="3"/>
    <x v="10"/>
    <n v="0.13075929750140999"/>
    <x v="10"/>
    <x v="2"/>
    <x v="1"/>
  </r>
  <r>
    <d v="2023-11-17T00:00:00"/>
    <x v="1"/>
    <s v="City Break"/>
    <s v="Website"/>
    <x v="5"/>
    <n v="2"/>
    <x v="10"/>
    <n v="0.13075929750140999"/>
    <x v="10"/>
    <x v="3"/>
    <x v="1"/>
  </r>
  <r>
    <d v="2023-11-19T00:00:00"/>
    <x v="3"/>
    <s v="Family"/>
    <s v="Website"/>
    <x v="1"/>
    <n v="3"/>
    <x v="10"/>
    <n v="0.13075929750140999"/>
    <x v="10"/>
    <x v="14"/>
    <x v="0"/>
  </r>
  <r>
    <d v="2023-11-19T00:00:00"/>
    <x v="3"/>
    <s v="Beach"/>
    <s v="Website"/>
    <x v="8"/>
    <n v="4"/>
    <x v="10"/>
    <n v="0.13075929750140999"/>
    <x v="10"/>
    <x v="12"/>
    <x v="1"/>
  </r>
  <r>
    <d v="2023-11-19T00:00:00"/>
    <x v="1"/>
    <s v="Beach"/>
    <s v="Mobile App"/>
    <x v="5"/>
    <n v="1"/>
    <x v="10"/>
    <n v="0.13075929750140999"/>
    <x v="10"/>
    <x v="1"/>
    <x v="0"/>
  </r>
  <r>
    <d v="2023-11-19T00:00:00"/>
    <x v="2"/>
    <s v="Cultural"/>
    <s v="Agent"/>
    <x v="1"/>
    <n v="1"/>
    <x v="10"/>
    <n v="0.13075929750140999"/>
    <x v="10"/>
    <x v="8"/>
    <x v="0"/>
  </r>
  <r>
    <d v="2023-11-19T00:00:00"/>
    <x v="3"/>
    <s v="Cultural"/>
    <s v="Agent"/>
    <x v="5"/>
    <n v="4"/>
    <x v="10"/>
    <n v="0.13075929750140999"/>
    <x v="10"/>
    <x v="0"/>
    <x v="1"/>
  </r>
  <r>
    <d v="2023-11-19T00:00:00"/>
    <x v="3"/>
    <s v="Family"/>
    <s v="Mobile App"/>
    <x v="5"/>
    <n v="1"/>
    <x v="10"/>
    <n v="0.13075929750140999"/>
    <x v="10"/>
    <x v="15"/>
    <x v="1"/>
  </r>
  <r>
    <d v="2023-11-19T00:00:00"/>
    <x v="3"/>
    <s v="Adventure"/>
    <s v="Agent"/>
    <x v="5"/>
    <n v="1"/>
    <x v="10"/>
    <n v="0.13075929750140999"/>
    <x v="10"/>
    <x v="5"/>
    <x v="1"/>
  </r>
  <r>
    <d v="2023-11-19T00:00:00"/>
    <x v="2"/>
    <s v="Beach"/>
    <s v="Website"/>
    <x v="9"/>
    <n v="2"/>
    <x v="10"/>
    <n v="0.13075929750140999"/>
    <x v="10"/>
    <x v="17"/>
    <x v="1"/>
  </r>
  <r>
    <d v="2023-11-19T00:00:00"/>
    <x v="3"/>
    <s v="Beach"/>
    <s v="Mobile App"/>
    <x v="2"/>
    <n v="2"/>
    <x v="10"/>
    <n v="0.13075929750140999"/>
    <x v="10"/>
    <x v="1"/>
    <x v="1"/>
  </r>
  <r>
    <d v="2023-11-20T00:00:00"/>
    <x v="3"/>
    <s v="Beach"/>
    <s v="Mobile App"/>
    <x v="6"/>
    <n v="1"/>
    <x v="10"/>
    <n v="0.13075929750140999"/>
    <x v="10"/>
    <x v="0"/>
    <x v="1"/>
  </r>
  <r>
    <d v="2023-11-20T00:00:00"/>
    <x v="1"/>
    <s v="Cultural"/>
    <s v="Website"/>
    <x v="9"/>
    <n v="4"/>
    <x v="10"/>
    <n v="0.13075929750140999"/>
    <x v="10"/>
    <x v="15"/>
    <x v="1"/>
  </r>
  <r>
    <d v="2023-11-20T00:00:00"/>
    <x v="1"/>
    <s v="Cultural"/>
    <s v="Mobile App"/>
    <x v="5"/>
    <n v="1"/>
    <x v="10"/>
    <n v="0.13075929750140999"/>
    <x v="10"/>
    <x v="4"/>
    <x v="1"/>
  </r>
  <r>
    <d v="2023-11-21T00:00:00"/>
    <x v="1"/>
    <s v="Cultural"/>
    <s v="Agent"/>
    <x v="6"/>
    <n v="1"/>
    <x v="10"/>
    <n v="0.13075929750140999"/>
    <x v="10"/>
    <x v="2"/>
    <x v="0"/>
  </r>
  <r>
    <d v="2023-11-21T00:00:00"/>
    <x v="2"/>
    <s v="Beach"/>
    <s v="Website"/>
    <x v="9"/>
    <n v="1"/>
    <x v="10"/>
    <n v="0.13075929750140999"/>
    <x v="10"/>
    <x v="6"/>
    <x v="1"/>
  </r>
  <r>
    <d v="2023-11-22T00:00:00"/>
    <x v="2"/>
    <s v="Beach"/>
    <s v="Agent"/>
    <x v="4"/>
    <n v="1"/>
    <x v="10"/>
    <n v="0.13075929750140999"/>
    <x v="10"/>
    <x v="0"/>
    <x v="1"/>
  </r>
  <r>
    <d v="2023-11-23T00:00:00"/>
    <x v="3"/>
    <s v="City Break"/>
    <s v="Mobile App"/>
    <x v="6"/>
    <n v="3"/>
    <x v="10"/>
    <n v="0.13075929750140999"/>
    <x v="10"/>
    <x v="14"/>
    <x v="0"/>
  </r>
  <r>
    <d v="2023-11-23T00:00:00"/>
    <x v="0"/>
    <s v="Cultural"/>
    <s v="Website"/>
    <x v="9"/>
    <n v="1"/>
    <x v="10"/>
    <n v="0.13075929750140999"/>
    <x v="10"/>
    <x v="13"/>
    <x v="0"/>
  </r>
  <r>
    <d v="2023-11-23T00:00:00"/>
    <x v="3"/>
    <s v="Family"/>
    <s v="Mobile App"/>
    <x v="5"/>
    <n v="1"/>
    <x v="10"/>
    <n v="0.13075929750140999"/>
    <x v="10"/>
    <x v="14"/>
    <x v="0"/>
  </r>
  <r>
    <d v="2023-11-23T00:00:00"/>
    <x v="0"/>
    <s v="Family"/>
    <s v="Agent"/>
    <x v="1"/>
    <n v="3"/>
    <x v="10"/>
    <n v="0.13075929750140999"/>
    <x v="10"/>
    <x v="13"/>
    <x v="1"/>
  </r>
  <r>
    <d v="2023-11-24T00:00:00"/>
    <x v="1"/>
    <s v="Beach"/>
    <s v="Website"/>
    <x v="7"/>
    <n v="1"/>
    <x v="10"/>
    <n v="0.13075929750140999"/>
    <x v="10"/>
    <x v="1"/>
    <x v="1"/>
  </r>
  <r>
    <d v="2023-11-24T00:00:00"/>
    <x v="3"/>
    <s v="Cultural"/>
    <s v="Website"/>
    <x v="7"/>
    <n v="3"/>
    <x v="10"/>
    <n v="0.13075929750140999"/>
    <x v="10"/>
    <x v="8"/>
    <x v="0"/>
  </r>
  <r>
    <d v="2023-11-24T00:00:00"/>
    <x v="3"/>
    <s v="Beach"/>
    <s v="Website"/>
    <x v="1"/>
    <n v="3"/>
    <x v="10"/>
    <n v="0.13075929750140999"/>
    <x v="10"/>
    <x v="15"/>
    <x v="0"/>
  </r>
  <r>
    <d v="2023-11-25T00:00:00"/>
    <x v="0"/>
    <s v="Cultural"/>
    <s v="Agent"/>
    <x v="6"/>
    <n v="3"/>
    <x v="10"/>
    <n v="0.13075929750140999"/>
    <x v="10"/>
    <x v="4"/>
    <x v="0"/>
  </r>
  <r>
    <d v="2023-11-25T00:00:00"/>
    <x v="2"/>
    <s v="Adventure"/>
    <s v="Website"/>
    <x v="2"/>
    <n v="4"/>
    <x v="10"/>
    <n v="0.13075929750140999"/>
    <x v="10"/>
    <x v="6"/>
    <x v="0"/>
  </r>
  <r>
    <d v="2023-11-26T00:00:00"/>
    <x v="1"/>
    <s v="Foodie"/>
    <s v="Website"/>
    <x v="4"/>
    <n v="1"/>
    <x v="10"/>
    <n v="0.13075929750140999"/>
    <x v="10"/>
    <x v="13"/>
    <x v="1"/>
  </r>
  <r>
    <d v="2023-11-26T00:00:00"/>
    <x v="0"/>
    <s v="Beach"/>
    <s v="Website"/>
    <x v="3"/>
    <n v="1"/>
    <x v="10"/>
    <n v="0.13075929750140999"/>
    <x v="10"/>
    <x v="3"/>
    <x v="1"/>
  </r>
  <r>
    <d v="2023-11-27T00:00:00"/>
    <x v="2"/>
    <s v="Family"/>
    <s v="Agent"/>
    <x v="8"/>
    <n v="2"/>
    <x v="10"/>
    <n v="0.13075929750140999"/>
    <x v="10"/>
    <x v="12"/>
    <x v="1"/>
  </r>
  <r>
    <d v="2023-11-27T00:00:00"/>
    <x v="3"/>
    <s v="Cultural"/>
    <s v="Website"/>
    <x v="4"/>
    <n v="2"/>
    <x v="10"/>
    <n v="0.13075929750140999"/>
    <x v="10"/>
    <x v="13"/>
    <x v="1"/>
  </r>
  <r>
    <d v="2023-11-27T00:00:00"/>
    <x v="3"/>
    <s v="Family"/>
    <s v="Mobile App"/>
    <x v="4"/>
    <n v="2"/>
    <x v="10"/>
    <n v="0.13075929750140999"/>
    <x v="10"/>
    <x v="12"/>
    <x v="1"/>
  </r>
  <r>
    <d v="2023-11-28T00:00:00"/>
    <x v="1"/>
    <s v="Beach"/>
    <s v="Website"/>
    <x v="4"/>
    <n v="2"/>
    <x v="10"/>
    <n v="0.13075929750140999"/>
    <x v="10"/>
    <x v="14"/>
    <x v="0"/>
  </r>
  <r>
    <d v="2023-11-28T00:00:00"/>
    <x v="1"/>
    <s v="Foodie"/>
    <s v="Agent"/>
    <x v="4"/>
    <n v="2"/>
    <x v="10"/>
    <n v="0.13075929750140999"/>
    <x v="10"/>
    <x v="12"/>
    <x v="1"/>
  </r>
  <r>
    <d v="2023-11-28T00:00:00"/>
    <x v="0"/>
    <s v="Foodie"/>
    <s v="Mobile App"/>
    <x v="3"/>
    <n v="2"/>
    <x v="10"/>
    <n v="0.13075929750140999"/>
    <x v="10"/>
    <x v="2"/>
    <x v="1"/>
  </r>
  <r>
    <d v="2023-11-28T00:00:00"/>
    <x v="0"/>
    <s v="Adventure"/>
    <s v="Website"/>
    <x v="0"/>
    <n v="2"/>
    <x v="10"/>
    <n v="0.13075929750140999"/>
    <x v="10"/>
    <x v="6"/>
    <x v="1"/>
  </r>
  <r>
    <d v="2023-11-29T00:00:00"/>
    <x v="2"/>
    <s v="Beach"/>
    <s v="Website"/>
    <x v="6"/>
    <n v="1"/>
    <x v="10"/>
    <n v="0.13075929750140999"/>
    <x v="10"/>
    <x v="2"/>
    <x v="0"/>
  </r>
  <r>
    <d v="2023-12-01T00:00:00"/>
    <x v="0"/>
    <s v="Cultural"/>
    <s v="Agent"/>
    <x v="3"/>
    <n v="1"/>
    <x v="10"/>
    <n v="0.13075929750140999"/>
    <x v="10"/>
    <x v="4"/>
    <x v="0"/>
  </r>
  <r>
    <d v="2023-12-01T00:00:00"/>
    <x v="3"/>
    <s v="Family"/>
    <s v="Website"/>
    <x v="4"/>
    <n v="2"/>
    <x v="10"/>
    <n v="0.13075929750140999"/>
    <x v="10"/>
    <x v="14"/>
    <x v="0"/>
  </r>
  <r>
    <d v="2023-12-02T00:00:00"/>
    <x v="1"/>
    <s v="Beach"/>
    <s v="Website"/>
    <x v="9"/>
    <n v="3"/>
    <x v="10"/>
    <n v="0.13075929750140999"/>
    <x v="10"/>
    <x v="12"/>
    <x v="1"/>
  </r>
  <r>
    <d v="2023-12-02T00:00:00"/>
    <x v="2"/>
    <s v="Beach"/>
    <s v="Website"/>
    <x v="3"/>
    <n v="3"/>
    <x v="10"/>
    <n v="0.13075929750140999"/>
    <x v="10"/>
    <x v="14"/>
    <x v="0"/>
  </r>
  <r>
    <d v="2023-12-02T00:00:00"/>
    <x v="1"/>
    <s v="Family"/>
    <s v="Website"/>
    <x v="5"/>
    <n v="1"/>
    <x v="10"/>
    <n v="0.13075929750140999"/>
    <x v="10"/>
    <x v="10"/>
    <x v="1"/>
  </r>
  <r>
    <d v="2023-12-03T00:00:00"/>
    <x v="3"/>
    <s v="City Break"/>
    <s v="Website"/>
    <x v="9"/>
    <n v="3"/>
    <x v="10"/>
    <n v="0.13075929750140999"/>
    <x v="10"/>
    <x v="1"/>
    <x v="0"/>
  </r>
  <r>
    <d v="2023-12-06T00:00:00"/>
    <x v="2"/>
    <s v="Cultural"/>
    <s v="Agent"/>
    <x v="8"/>
    <n v="1"/>
    <x v="10"/>
    <n v="0.13075929750140999"/>
    <x v="10"/>
    <x v="13"/>
    <x v="1"/>
  </r>
  <r>
    <d v="2023-12-06T00:00:00"/>
    <x v="3"/>
    <s v="Cultural"/>
    <s v="Website"/>
    <x v="1"/>
    <n v="4"/>
    <x v="10"/>
    <n v="0.13075929750140999"/>
    <x v="10"/>
    <x v="6"/>
    <x v="1"/>
  </r>
  <r>
    <d v="2023-12-06T00:00:00"/>
    <x v="0"/>
    <s v="Family"/>
    <s v="Website"/>
    <x v="8"/>
    <n v="2"/>
    <x v="10"/>
    <n v="0.13075929750140999"/>
    <x v="10"/>
    <x v="15"/>
    <x v="1"/>
  </r>
  <r>
    <d v="2023-12-07T00:00:00"/>
    <x v="2"/>
    <s v="Family"/>
    <s v="Website"/>
    <x v="2"/>
    <n v="2"/>
    <x v="10"/>
    <n v="0.13075929750140999"/>
    <x v="10"/>
    <x v="13"/>
    <x v="0"/>
  </r>
  <r>
    <d v="2023-12-08T00:00:00"/>
    <x v="0"/>
    <s v="Adventure"/>
    <s v="Website"/>
    <x v="3"/>
    <n v="1"/>
    <x v="10"/>
    <n v="0.13075929750140999"/>
    <x v="10"/>
    <x v="12"/>
    <x v="1"/>
  </r>
  <r>
    <d v="2023-12-09T00:00:00"/>
    <x v="1"/>
    <s v="City Break"/>
    <s v="Website"/>
    <x v="6"/>
    <n v="2"/>
    <x v="10"/>
    <n v="0.13075929750140999"/>
    <x v="10"/>
    <x v="8"/>
    <x v="1"/>
  </r>
  <r>
    <d v="2023-12-09T00:00:00"/>
    <x v="3"/>
    <s v="Family"/>
    <s v="Website"/>
    <x v="0"/>
    <n v="3"/>
    <x v="10"/>
    <n v="0.13075929750140999"/>
    <x v="10"/>
    <x v="6"/>
    <x v="1"/>
  </r>
  <r>
    <d v="2023-12-10T00:00:00"/>
    <x v="3"/>
    <s v="Adventure"/>
    <s v="Website"/>
    <x v="9"/>
    <n v="1"/>
    <x v="10"/>
    <n v="0.13075929750140999"/>
    <x v="10"/>
    <x v="12"/>
    <x v="1"/>
  </r>
  <r>
    <d v="2023-12-10T00:00:00"/>
    <x v="3"/>
    <s v="Family"/>
    <s v="Website"/>
    <x v="5"/>
    <n v="3"/>
    <x v="10"/>
    <n v="0.13075929750140999"/>
    <x v="10"/>
    <x v="6"/>
    <x v="0"/>
  </r>
  <r>
    <d v="2023-12-10T00:00:00"/>
    <x v="1"/>
    <s v="Beach"/>
    <s v="Website"/>
    <x v="0"/>
    <n v="4"/>
    <x v="10"/>
    <n v="0.13075929750140999"/>
    <x v="10"/>
    <x v="7"/>
    <x v="0"/>
  </r>
  <r>
    <d v="2023-12-10T00:00:00"/>
    <x v="1"/>
    <s v="Cultural"/>
    <s v="Agent"/>
    <x v="4"/>
    <n v="1"/>
    <x v="10"/>
    <n v="0.13075929750140999"/>
    <x v="10"/>
    <x v="1"/>
    <x v="0"/>
  </r>
  <r>
    <d v="2023-12-12T00:00:00"/>
    <x v="3"/>
    <s v="City Break"/>
    <s v="Website"/>
    <x v="0"/>
    <n v="2"/>
    <x v="10"/>
    <n v="0.13075929750140999"/>
    <x v="10"/>
    <x v="10"/>
    <x v="0"/>
  </r>
  <r>
    <d v="2023-12-12T00:00:00"/>
    <x v="1"/>
    <s v="Adventure"/>
    <s v="Website"/>
    <x v="5"/>
    <n v="2"/>
    <x v="10"/>
    <n v="0.13075929750140999"/>
    <x v="10"/>
    <x v="9"/>
    <x v="0"/>
  </r>
  <r>
    <d v="2023-12-12T00:00:00"/>
    <x v="1"/>
    <s v="Family"/>
    <s v="Agent"/>
    <x v="9"/>
    <n v="3"/>
    <x v="10"/>
    <n v="0.13075929750140999"/>
    <x v="10"/>
    <x v="4"/>
    <x v="1"/>
  </r>
  <r>
    <d v="2023-12-13T00:00:00"/>
    <x v="0"/>
    <s v="Cultural"/>
    <s v="Website"/>
    <x v="3"/>
    <n v="2"/>
    <x v="10"/>
    <n v="0.13075929750140999"/>
    <x v="10"/>
    <x v="12"/>
    <x v="1"/>
  </r>
  <r>
    <d v="2023-12-13T00:00:00"/>
    <x v="3"/>
    <s v="Cultural"/>
    <s v="Website"/>
    <x v="2"/>
    <n v="3"/>
    <x v="10"/>
    <n v="0.13075929750140999"/>
    <x v="10"/>
    <x v="1"/>
    <x v="0"/>
  </r>
  <r>
    <d v="2023-12-13T00:00:00"/>
    <x v="3"/>
    <s v="Beach"/>
    <s v="Mobile App"/>
    <x v="6"/>
    <n v="2"/>
    <x v="10"/>
    <n v="0.13075929750140999"/>
    <x v="10"/>
    <x v="1"/>
    <x v="1"/>
  </r>
  <r>
    <d v="2023-12-14T00:00:00"/>
    <x v="3"/>
    <s v="Cultural"/>
    <s v="Mobile App"/>
    <x v="0"/>
    <n v="1"/>
    <x v="10"/>
    <n v="0.13075929750140999"/>
    <x v="10"/>
    <x v="16"/>
    <x v="1"/>
  </r>
  <r>
    <d v="2023-12-14T00:00:00"/>
    <x v="3"/>
    <s v="Beach"/>
    <s v="Website"/>
    <x v="8"/>
    <n v="2"/>
    <x v="10"/>
    <n v="0.13075929750140999"/>
    <x v="10"/>
    <x v="6"/>
    <x v="1"/>
  </r>
  <r>
    <d v="2023-12-16T00:00:00"/>
    <x v="3"/>
    <s v="Beach"/>
    <s v="Website"/>
    <x v="5"/>
    <n v="2"/>
    <x v="10"/>
    <n v="0.13075929750140999"/>
    <x v="10"/>
    <x v="0"/>
    <x v="0"/>
  </r>
  <r>
    <d v="2023-12-16T00:00:00"/>
    <x v="2"/>
    <s v="Adventure"/>
    <s v="Website"/>
    <x v="3"/>
    <n v="3"/>
    <x v="10"/>
    <n v="0.13075929750140999"/>
    <x v="10"/>
    <x v="12"/>
    <x v="0"/>
  </r>
  <r>
    <d v="2023-12-17T00:00:00"/>
    <x v="0"/>
    <s v="Adventure"/>
    <s v="Website"/>
    <x v="1"/>
    <n v="1"/>
    <x v="10"/>
    <n v="0.13075929750140999"/>
    <x v="10"/>
    <x v="2"/>
    <x v="0"/>
  </r>
  <r>
    <d v="2023-12-17T00:00:00"/>
    <x v="0"/>
    <s v="Beach"/>
    <s v="Agent"/>
    <x v="1"/>
    <n v="2"/>
    <x v="10"/>
    <n v="0.13075929750140999"/>
    <x v="10"/>
    <x v="1"/>
    <x v="1"/>
  </r>
  <r>
    <d v="2023-12-17T00:00:00"/>
    <x v="0"/>
    <s v="Cultural"/>
    <s v="Website"/>
    <x v="7"/>
    <n v="2"/>
    <x v="10"/>
    <n v="0.13075929750140999"/>
    <x v="10"/>
    <x v="8"/>
    <x v="1"/>
  </r>
  <r>
    <d v="2023-12-18T00:00:00"/>
    <x v="3"/>
    <s v="Cultural"/>
    <s v="Website"/>
    <x v="9"/>
    <n v="1"/>
    <x v="10"/>
    <n v="0.13075929750140999"/>
    <x v="10"/>
    <x v="2"/>
    <x v="1"/>
  </r>
  <r>
    <d v="2023-12-18T00:00:00"/>
    <x v="2"/>
    <s v="Beach"/>
    <s v="Agent"/>
    <x v="9"/>
    <n v="1"/>
    <x v="10"/>
    <n v="0.13075929750140999"/>
    <x v="10"/>
    <x v="5"/>
    <x v="1"/>
  </r>
  <r>
    <d v="2023-12-19T00:00:00"/>
    <x v="1"/>
    <s v="Beach"/>
    <s v="Website"/>
    <x v="6"/>
    <n v="2"/>
    <x v="10"/>
    <n v="0.13075929750140999"/>
    <x v="10"/>
    <x v="2"/>
    <x v="1"/>
  </r>
  <r>
    <d v="2023-12-19T00:00:00"/>
    <x v="2"/>
    <s v="Adventure"/>
    <s v="Mobile App"/>
    <x v="5"/>
    <n v="1"/>
    <x v="10"/>
    <n v="0.13075929750140999"/>
    <x v="10"/>
    <x v="5"/>
    <x v="1"/>
  </r>
  <r>
    <d v="2023-12-20T00:00:00"/>
    <x v="3"/>
    <s v="Beach"/>
    <s v="Call Center"/>
    <x v="5"/>
    <n v="1"/>
    <x v="10"/>
    <n v="0.13075929750140999"/>
    <x v="10"/>
    <x v="0"/>
    <x v="1"/>
  </r>
  <r>
    <d v="2023-12-20T00:00:00"/>
    <x v="3"/>
    <s v="Cultural"/>
    <s v="Website"/>
    <x v="5"/>
    <n v="2"/>
    <x v="10"/>
    <n v="0.13075929750140999"/>
    <x v="10"/>
    <x v="12"/>
    <x v="1"/>
  </r>
  <r>
    <d v="2023-12-21T00:00:00"/>
    <x v="2"/>
    <s v="Cultural"/>
    <s v="Website"/>
    <x v="2"/>
    <n v="3"/>
    <x v="10"/>
    <n v="0.13075929750140999"/>
    <x v="10"/>
    <x v="12"/>
    <x v="1"/>
  </r>
  <r>
    <d v="2023-12-21T00:00:00"/>
    <x v="3"/>
    <s v="Cultural"/>
    <s v="Agent"/>
    <x v="5"/>
    <n v="4"/>
    <x v="10"/>
    <n v="0.13075929750140999"/>
    <x v="10"/>
    <x v="0"/>
    <x v="0"/>
  </r>
  <r>
    <d v="2023-12-21T00:00:00"/>
    <x v="1"/>
    <s v="Beach"/>
    <s v="Website"/>
    <x v="8"/>
    <n v="1"/>
    <x v="10"/>
    <n v="0.13075929750140999"/>
    <x v="10"/>
    <x v="0"/>
    <x v="0"/>
  </r>
  <r>
    <d v="2023-12-22T00:00:00"/>
    <x v="2"/>
    <s v="Adventure"/>
    <s v="Website"/>
    <x v="5"/>
    <n v="3"/>
    <x v="10"/>
    <n v="0.13075929750140999"/>
    <x v="10"/>
    <x v="1"/>
    <x v="0"/>
  </r>
  <r>
    <d v="2023-12-22T00:00:00"/>
    <x v="3"/>
    <s v="Cultural"/>
    <s v="Website"/>
    <x v="5"/>
    <n v="3"/>
    <x v="10"/>
    <n v="0.13075929750140999"/>
    <x v="10"/>
    <x v="1"/>
    <x v="0"/>
  </r>
  <r>
    <d v="2023-12-23T00:00:00"/>
    <x v="0"/>
    <s v="City Break"/>
    <s v="Agent"/>
    <x v="4"/>
    <n v="2"/>
    <x v="10"/>
    <n v="0.13075929750140999"/>
    <x v="10"/>
    <x v="1"/>
    <x v="1"/>
  </r>
  <r>
    <d v="2023-12-24T00:00:00"/>
    <x v="0"/>
    <s v="Adventure"/>
    <s v="Agent"/>
    <x v="8"/>
    <n v="1"/>
    <x v="10"/>
    <n v="0.13075929750140999"/>
    <x v="10"/>
    <x v="9"/>
    <x v="1"/>
  </r>
  <r>
    <d v="2023-12-24T00:00:00"/>
    <x v="3"/>
    <s v="Family"/>
    <s v="Mobile App"/>
    <x v="5"/>
    <n v="1"/>
    <x v="10"/>
    <n v="0.13075929750140999"/>
    <x v="10"/>
    <x v="15"/>
    <x v="1"/>
  </r>
  <r>
    <d v="2023-12-25T00:00:00"/>
    <x v="3"/>
    <s v="Cultural"/>
    <s v="Mobile App"/>
    <x v="8"/>
    <n v="3"/>
    <x v="10"/>
    <n v="0.13075929750140999"/>
    <x v="10"/>
    <x v="4"/>
    <x v="0"/>
  </r>
  <r>
    <d v="2023-12-25T00:00:00"/>
    <x v="1"/>
    <s v="Cultural"/>
    <s v="Agent"/>
    <x v="6"/>
    <n v="2"/>
    <x v="10"/>
    <n v="0.13075929750140999"/>
    <x v="10"/>
    <x v="0"/>
    <x v="1"/>
  </r>
  <r>
    <d v="2023-12-26T00:00:00"/>
    <x v="0"/>
    <s v="Cultural"/>
    <s v="Mobile App"/>
    <x v="1"/>
    <n v="3"/>
    <x v="10"/>
    <n v="0.13075929750140999"/>
    <x v="10"/>
    <x v="4"/>
    <x v="0"/>
  </r>
  <r>
    <d v="2023-12-26T00:00:00"/>
    <x v="1"/>
    <s v="Adventure"/>
    <s v="Website"/>
    <x v="0"/>
    <n v="3"/>
    <x v="10"/>
    <n v="0.13075929750140999"/>
    <x v="10"/>
    <x v="6"/>
    <x v="1"/>
  </r>
  <r>
    <d v="2023-12-26T00:00:00"/>
    <x v="3"/>
    <s v="Beach"/>
    <s v="Agent"/>
    <x v="4"/>
    <n v="3"/>
    <x v="10"/>
    <n v="0.13075929750140999"/>
    <x v="10"/>
    <x v="4"/>
    <x v="0"/>
  </r>
  <r>
    <d v="2023-12-27T00:00:00"/>
    <x v="3"/>
    <s v="City Break"/>
    <s v="Mobile App"/>
    <x v="4"/>
    <n v="3"/>
    <x v="10"/>
    <n v="0.13075929750140999"/>
    <x v="10"/>
    <x v="9"/>
    <x v="0"/>
  </r>
  <r>
    <d v="2023-12-27T00:00:00"/>
    <x v="1"/>
    <s v="Foodie"/>
    <s v="Website"/>
    <x v="4"/>
    <n v="3"/>
    <x v="10"/>
    <n v="0.13075929750140999"/>
    <x v="10"/>
    <x v="6"/>
    <x v="0"/>
  </r>
  <r>
    <d v="2023-12-28T00:00:00"/>
    <x v="1"/>
    <s v="Beach"/>
    <s v="Agent"/>
    <x v="2"/>
    <n v="3"/>
    <x v="10"/>
    <n v="0.13075929750140999"/>
    <x v="10"/>
    <x v="15"/>
    <x v="1"/>
  </r>
  <r>
    <d v="2023-12-28T00:00:00"/>
    <x v="3"/>
    <s v="Beach"/>
    <s v="Agent"/>
    <x v="3"/>
    <n v="3"/>
    <x v="10"/>
    <n v="0.13075929750140999"/>
    <x v="10"/>
    <x v="2"/>
    <x v="0"/>
  </r>
  <r>
    <d v="2023-12-29T00:00:00"/>
    <x v="0"/>
    <s v="Foodie"/>
    <s v="Mobile App"/>
    <x v="9"/>
    <n v="1"/>
    <x v="10"/>
    <n v="0.13075929750140999"/>
    <x v="10"/>
    <x v="12"/>
    <x v="0"/>
  </r>
  <r>
    <d v="2023-12-30T00:00:00"/>
    <x v="1"/>
    <s v="Family"/>
    <s v="Mobile App"/>
    <x v="8"/>
    <n v="2"/>
    <x v="10"/>
    <n v="0.13075929750140999"/>
    <x v="10"/>
    <x v="13"/>
    <x v="0"/>
  </r>
  <r>
    <d v="2023-12-30T00:00:00"/>
    <x v="0"/>
    <s v="Foodie"/>
    <s v="Website"/>
    <x v="8"/>
    <n v="2"/>
    <x v="10"/>
    <n v="0.13075929750140999"/>
    <x v="10"/>
    <x v="5"/>
    <x v="0"/>
  </r>
  <r>
    <d v="2023-12-31T00:00:00"/>
    <x v="0"/>
    <s v="Beach"/>
    <s v="Website"/>
    <x v="6"/>
    <n v="2"/>
    <x v="10"/>
    <n v="0.13075929750140999"/>
    <x v="10"/>
    <x v="10"/>
    <x v="1"/>
  </r>
  <r>
    <d v="2023-12-31T00:00:00"/>
    <x v="1"/>
    <s v="Family"/>
    <s v="Website"/>
    <x v="8"/>
    <n v="2"/>
    <x v="10"/>
    <n v="0.13075929750140999"/>
    <x v="10"/>
    <x v="7"/>
    <x v="1"/>
  </r>
  <r>
    <d v="2023-12-31T00:00:00"/>
    <x v="1"/>
    <s v="Foodie"/>
    <s v="Mobile App"/>
    <x v="1"/>
    <n v="1"/>
    <x v="10"/>
    <n v="0.13075929750140999"/>
    <x v="10"/>
    <x v="3"/>
    <x v="1"/>
  </r>
  <r>
    <d v="2024-01-01T00:00:00"/>
    <x v="1"/>
    <s v="City Break"/>
    <s v="Website"/>
    <x v="4"/>
    <n v="2"/>
    <x v="10"/>
    <n v="0.13075929750140999"/>
    <x v="10"/>
    <x v="10"/>
    <x v="0"/>
  </r>
  <r>
    <d v="2024-01-01T00:00:00"/>
    <x v="1"/>
    <s v="Beach"/>
    <s v="Agent"/>
    <x v="3"/>
    <n v="4"/>
    <x v="10"/>
    <n v="0.13075929750140999"/>
    <x v="10"/>
    <x v="13"/>
    <x v="1"/>
  </r>
  <r>
    <d v="2024-01-02T00:00:00"/>
    <x v="0"/>
    <s v="Adventure"/>
    <s v="Agent"/>
    <x v="6"/>
    <n v="3"/>
    <x v="10"/>
    <n v="0.13075929750140999"/>
    <x v="10"/>
    <x v="1"/>
    <x v="0"/>
  </r>
  <r>
    <d v="2024-01-02T00:00:00"/>
    <x v="3"/>
    <s v="Family"/>
    <s v="Website"/>
    <x v="6"/>
    <n v="3"/>
    <x v="10"/>
    <n v="0.13075929750140999"/>
    <x v="10"/>
    <x v="6"/>
    <x v="1"/>
  </r>
  <r>
    <d v="2024-01-02T00:00:00"/>
    <x v="2"/>
    <s v="Cultural"/>
    <s v="Agent"/>
    <x v="6"/>
    <n v="3"/>
    <x v="10"/>
    <n v="0.13075929750140999"/>
    <x v="10"/>
    <x v="0"/>
    <x v="1"/>
  </r>
  <r>
    <d v="2024-01-02T00:00:00"/>
    <x v="3"/>
    <s v="Foodie"/>
    <s v="Mobile App"/>
    <x v="3"/>
    <n v="2"/>
    <x v="10"/>
    <n v="0.13075929750140999"/>
    <x v="10"/>
    <x v="14"/>
    <x v="1"/>
  </r>
  <r>
    <d v="2024-01-03T00:00:00"/>
    <x v="3"/>
    <s v="City Break"/>
    <s v="Website"/>
    <x v="6"/>
    <n v="2"/>
    <x v="10"/>
    <n v="0.13075929750140999"/>
    <x v="10"/>
    <x v="2"/>
    <x v="0"/>
  </r>
  <r>
    <d v="2024-01-04T00:00:00"/>
    <x v="1"/>
    <s v="Foodie"/>
    <s v="Website"/>
    <x v="3"/>
    <n v="2"/>
    <x v="10"/>
    <n v="0.13075929750140999"/>
    <x v="10"/>
    <x v="17"/>
    <x v="0"/>
  </r>
  <r>
    <d v="2024-01-04T00:00:00"/>
    <x v="3"/>
    <s v="Family"/>
    <s v="Website"/>
    <x v="3"/>
    <n v="1"/>
    <x v="10"/>
    <n v="0.13075929750140999"/>
    <x v="10"/>
    <x v="5"/>
    <x v="1"/>
  </r>
  <r>
    <d v="2024-01-04T00:00:00"/>
    <x v="3"/>
    <s v="Beach"/>
    <s v="Website"/>
    <x v="5"/>
    <n v="1"/>
    <x v="10"/>
    <n v="0.13075929750140999"/>
    <x v="10"/>
    <x v="12"/>
    <x v="1"/>
  </r>
  <r>
    <d v="2024-01-04T00:00:00"/>
    <x v="3"/>
    <s v="Family"/>
    <s v="Agent"/>
    <x v="1"/>
    <n v="1"/>
    <x v="10"/>
    <n v="0.13075929750140999"/>
    <x v="10"/>
    <x v="17"/>
    <x v="1"/>
  </r>
  <r>
    <d v="2024-01-05T00:00:00"/>
    <x v="1"/>
    <s v="Cultural"/>
    <s v="Call Center"/>
    <x v="1"/>
    <n v="2"/>
    <x v="10"/>
    <n v="0.13075929750140999"/>
    <x v="10"/>
    <x v="18"/>
    <x v="1"/>
  </r>
  <r>
    <d v="2024-01-05T00:00:00"/>
    <x v="3"/>
    <s v="Cultural"/>
    <s v="Website"/>
    <x v="9"/>
    <n v="1"/>
    <x v="10"/>
    <n v="0.13075929750140999"/>
    <x v="10"/>
    <x v="13"/>
    <x v="0"/>
  </r>
  <r>
    <d v="2024-01-06T00:00:00"/>
    <x v="0"/>
    <s v="Family"/>
    <s v="Website"/>
    <x v="1"/>
    <n v="1"/>
    <x v="10"/>
    <n v="0.13075929750140999"/>
    <x v="10"/>
    <x v="13"/>
    <x v="1"/>
  </r>
  <r>
    <d v="2024-01-06T00:00:00"/>
    <x v="0"/>
    <s v="Beach"/>
    <s v="Agent"/>
    <x v="9"/>
    <n v="2"/>
    <x v="10"/>
    <n v="0.13075929750140999"/>
    <x v="10"/>
    <x v="18"/>
    <x v="1"/>
  </r>
  <r>
    <d v="2024-01-06T00:00:00"/>
    <x v="2"/>
    <s v="Family"/>
    <s v="Agent"/>
    <x v="8"/>
    <n v="4"/>
    <x v="10"/>
    <n v="0.13075929750140999"/>
    <x v="10"/>
    <x v="6"/>
    <x v="1"/>
  </r>
  <r>
    <d v="2024-01-07T00:00:00"/>
    <x v="3"/>
    <s v="Adventure"/>
    <s v="Call Center"/>
    <x v="0"/>
    <n v="1"/>
    <x v="10"/>
    <n v="0.13075929750140999"/>
    <x v="10"/>
    <x v="15"/>
    <x v="1"/>
  </r>
  <r>
    <d v="2024-01-09T00:00:00"/>
    <x v="1"/>
    <s v="Family"/>
    <s v="Mobile App"/>
    <x v="4"/>
    <n v="1"/>
    <x v="10"/>
    <n v="0.13075929750140999"/>
    <x v="10"/>
    <x v="14"/>
    <x v="0"/>
  </r>
  <r>
    <d v="2024-01-09T00:00:00"/>
    <x v="0"/>
    <s v="Cultural"/>
    <s v="Mobile App"/>
    <x v="7"/>
    <n v="1"/>
    <x v="10"/>
    <n v="0.13075929750140999"/>
    <x v="10"/>
    <x v="1"/>
    <x v="1"/>
  </r>
  <r>
    <d v="2024-01-09T00:00:00"/>
    <x v="1"/>
    <s v="Beach"/>
    <s v="Agent"/>
    <x v="0"/>
    <n v="3"/>
    <x v="10"/>
    <n v="0.13075929750140999"/>
    <x v="10"/>
    <x v="4"/>
    <x v="1"/>
  </r>
  <r>
    <d v="2024-01-09T00:00:00"/>
    <x v="2"/>
    <s v="Beach"/>
    <s v="Mobile App"/>
    <x v="6"/>
    <n v="1"/>
    <x v="10"/>
    <n v="0.13075929750140999"/>
    <x v="10"/>
    <x v="3"/>
    <x v="0"/>
  </r>
  <r>
    <d v="2024-01-09T00:00:00"/>
    <x v="3"/>
    <s v="Family"/>
    <s v="Mobile App"/>
    <x v="9"/>
    <n v="3"/>
    <x v="10"/>
    <n v="0.13075929750140999"/>
    <x v="10"/>
    <x v="8"/>
    <x v="1"/>
  </r>
  <r>
    <d v="2024-01-09T00:00:00"/>
    <x v="1"/>
    <s v="Beach"/>
    <s v="Website"/>
    <x v="9"/>
    <n v="2"/>
    <x v="10"/>
    <n v="0.13075929750140999"/>
    <x v="10"/>
    <x v="4"/>
    <x v="0"/>
  </r>
  <r>
    <d v="2024-01-09T00:00:00"/>
    <x v="0"/>
    <s v="City Break"/>
    <s v="Agent"/>
    <x v="8"/>
    <n v="3"/>
    <x v="10"/>
    <n v="0.13075929750140999"/>
    <x v="10"/>
    <x v="1"/>
    <x v="1"/>
  </r>
  <r>
    <d v="2024-01-10T00:00:00"/>
    <x v="3"/>
    <s v="Cultural"/>
    <s v="Mobile App"/>
    <x v="5"/>
    <n v="1"/>
    <x v="10"/>
    <n v="0.13075929750140999"/>
    <x v="10"/>
    <x v="4"/>
    <x v="1"/>
  </r>
  <r>
    <d v="2024-01-10T00:00:00"/>
    <x v="0"/>
    <s v="Adventure"/>
    <s v="Mobile App"/>
    <x v="1"/>
    <n v="1"/>
    <x v="10"/>
    <n v="0.13075929750140999"/>
    <x v="10"/>
    <x v="6"/>
    <x v="1"/>
  </r>
  <r>
    <d v="2024-01-10T00:00:00"/>
    <x v="0"/>
    <s v="Adventure"/>
    <s v="Mobile App"/>
    <x v="5"/>
    <n v="3"/>
    <x v="10"/>
    <n v="0.13075929750140999"/>
    <x v="10"/>
    <x v="9"/>
    <x v="1"/>
  </r>
  <r>
    <d v="2024-01-11T00:00:00"/>
    <x v="1"/>
    <s v="Adventure"/>
    <s v="Agent"/>
    <x v="2"/>
    <n v="3"/>
    <x v="10"/>
    <n v="0.13075929750140999"/>
    <x v="10"/>
    <x v="10"/>
    <x v="1"/>
  </r>
  <r>
    <d v="2024-01-11T00:00:00"/>
    <x v="1"/>
    <s v="Cultural"/>
    <s v="Mobile App"/>
    <x v="4"/>
    <n v="2"/>
    <x v="10"/>
    <n v="0.13075929750140999"/>
    <x v="10"/>
    <x v="18"/>
    <x v="1"/>
  </r>
  <r>
    <d v="2024-01-11T00:00:00"/>
    <x v="1"/>
    <s v="City Break"/>
    <s v="Mobile App"/>
    <x v="2"/>
    <n v="1"/>
    <x v="10"/>
    <n v="0.13075929750140999"/>
    <x v="10"/>
    <x v="4"/>
    <x v="1"/>
  </r>
  <r>
    <d v="2024-01-11T00:00:00"/>
    <x v="1"/>
    <s v="Foodie"/>
    <s v="Agent"/>
    <x v="2"/>
    <n v="3"/>
    <x v="10"/>
    <n v="0.13075929750140999"/>
    <x v="10"/>
    <x v="2"/>
    <x v="1"/>
  </r>
  <r>
    <d v="2024-01-11T00:00:00"/>
    <x v="2"/>
    <s v="Beach"/>
    <s v="Agent"/>
    <x v="5"/>
    <n v="1"/>
    <x v="10"/>
    <n v="0.13075929750140999"/>
    <x v="10"/>
    <x v="16"/>
    <x v="0"/>
  </r>
  <r>
    <d v="2024-01-12T00:00:00"/>
    <x v="0"/>
    <s v="Adventure"/>
    <s v="Website"/>
    <x v="5"/>
    <n v="1"/>
    <x v="10"/>
    <n v="0.13075929750140999"/>
    <x v="10"/>
    <x v="5"/>
    <x v="1"/>
  </r>
  <r>
    <d v="2024-01-13T00:00:00"/>
    <x v="1"/>
    <s v="Adventure"/>
    <s v="Agent"/>
    <x v="2"/>
    <n v="2"/>
    <x v="10"/>
    <n v="0.13075929750140999"/>
    <x v="10"/>
    <x v="9"/>
    <x v="1"/>
  </r>
  <r>
    <d v="2024-01-14T00:00:00"/>
    <x v="1"/>
    <s v="Foodie"/>
    <s v="Website"/>
    <x v="7"/>
    <n v="1"/>
    <x v="10"/>
    <n v="0.13075929750140999"/>
    <x v="10"/>
    <x v="12"/>
    <x v="0"/>
  </r>
  <r>
    <d v="2024-01-14T00:00:00"/>
    <x v="2"/>
    <s v="Beach"/>
    <s v="Agent"/>
    <x v="7"/>
    <n v="1"/>
    <x v="10"/>
    <n v="0.13075929750140999"/>
    <x v="10"/>
    <x v="1"/>
    <x v="1"/>
  </r>
  <r>
    <d v="2024-01-14T00:00:00"/>
    <x v="1"/>
    <s v="Foodie"/>
    <s v="Website"/>
    <x v="5"/>
    <n v="1"/>
    <x v="10"/>
    <n v="0.13075929750140999"/>
    <x v="10"/>
    <x v="4"/>
    <x v="1"/>
  </r>
  <r>
    <d v="2024-01-14T00:00:00"/>
    <x v="3"/>
    <s v="Cultural"/>
    <s v="Agent"/>
    <x v="9"/>
    <n v="3"/>
    <x v="10"/>
    <n v="0.13075929750140999"/>
    <x v="10"/>
    <x v="0"/>
    <x v="1"/>
  </r>
  <r>
    <d v="2024-01-14T00:00:00"/>
    <x v="3"/>
    <s v="Beach"/>
    <s v="Agent"/>
    <x v="1"/>
    <n v="2"/>
    <x v="10"/>
    <n v="0.13075929750140999"/>
    <x v="10"/>
    <x v="15"/>
    <x v="1"/>
  </r>
  <r>
    <d v="2024-01-14T00:00:00"/>
    <x v="2"/>
    <s v="Family"/>
    <s v="Mobile App"/>
    <x v="6"/>
    <n v="1"/>
    <x v="10"/>
    <n v="0.13075929750140999"/>
    <x v="10"/>
    <x v="19"/>
    <x v="1"/>
  </r>
  <r>
    <d v="2024-01-14T00:00:00"/>
    <x v="3"/>
    <s v="Adventure"/>
    <s v="Website"/>
    <x v="9"/>
    <n v="1"/>
    <x v="10"/>
    <n v="0.13075929750140999"/>
    <x v="10"/>
    <x v="12"/>
    <x v="1"/>
  </r>
  <r>
    <d v="2024-01-15T00:00:00"/>
    <x v="0"/>
    <s v="Family"/>
    <s v="Website"/>
    <x v="9"/>
    <n v="5"/>
    <x v="10"/>
    <n v="0.13075929750140999"/>
    <x v="10"/>
    <x v="1"/>
    <x v="1"/>
  </r>
  <r>
    <d v="2024-01-16T00:00:00"/>
    <x v="1"/>
    <s v="Foodie"/>
    <s v="Mobile App"/>
    <x v="9"/>
    <n v="2"/>
    <x v="10"/>
    <n v="0.13075929750140999"/>
    <x v="10"/>
    <x v="12"/>
    <x v="1"/>
  </r>
  <r>
    <d v="2024-01-16T00:00:00"/>
    <x v="3"/>
    <s v="Cultural"/>
    <s v="Website"/>
    <x v="3"/>
    <n v="2"/>
    <x v="10"/>
    <n v="0.13075929750140999"/>
    <x v="10"/>
    <x v="0"/>
    <x v="1"/>
  </r>
  <r>
    <d v="2024-01-16T00:00:00"/>
    <x v="1"/>
    <s v="Adventure"/>
    <s v="Website"/>
    <x v="2"/>
    <n v="1"/>
    <x v="10"/>
    <n v="0.13075929750140999"/>
    <x v="10"/>
    <x v="5"/>
    <x v="0"/>
  </r>
  <r>
    <d v="2024-01-16T00:00:00"/>
    <x v="1"/>
    <s v="Adventure"/>
    <s v="Website"/>
    <x v="1"/>
    <n v="1"/>
    <x v="10"/>
    <n v="0.13075929750140999"/>
    <x v="10"/>
    <x v="6"/>
    <x v="1"/>
  </r>
  <r>
    <d v="2024-01-16T00:00:00"/>
    <x v="3"/>
    <s v="Adventure"/>
    <s v="Mobile App"/>
    <x v="0"/>
    <n v="2"/>
    <x v="10"/>
    <n v="0.13075929750140999"/>
    <x v="10"/>
    <x v="6"/>
    <x v="0"/>
  </r>
  <r>
    <d v="2024-01-17T00:00:00"/>
    <x v="3"/>
    <s v="Beach"/>
    <s v="Website"/>
    <x v="1"/>
    <n v="1"/>
    <x v="10"/>
    <n v="0.13075929750140999"/>
    <x v="10"/>
    <x v="15"/>
    <x v="1"/>
  </r>
  <r>
    <d v="2024-01-18T00:00:00"/>
    <x v="3"/>
    <s v="Beach"/>
    <s v="Agent"/>
    <x v="0"/>
    <n v="4"/>
    <x v="10"/>
    <n v="0.13075929750140999"/>
    <x v="10"/>
    <x v="14"/>
    <x v="0"/>
  </r>
  <r>
    <d v="2024-01-19T00:00:00"/>
    <x v="1"/>
    <s v="Adventure"/>
    <s v="Agent"/>
    <x v="0"/>
    <n v="2"/>
    <x v="10"/>
    <n v="0.13075929750140999"/>
    <x v="10"/>
    <x v="8"/>
    <x v="0"/>
  </r>
  <r>
    <d v="2024-01-19T00:00:00"/>
    <x v="3"/>
    <s v="Beach"/>
    <s v="Website"/>
    <x v="6"/>
    <n v="5"/>
    <x v="10"/>
    <n v="0.13075929750140999"/>
    <x v="10"/>
    <x v="13"/>
    <x v="1"/>
  </r>
  <r>
    <d v="2024-01-19T00:00:00"/>
    <x v="0"/>
    <s v="Beach"/>
    <s v="Mobile App"/>
    <x v="0"/>
    <n v="1"/>
    <x v="10"/>
    <n v="0.13075929750140999"/>
    <x v="10"/>
    <x v="14"/>
    <x v="1"/>
  </r>
  <r>
    <d v="2024-01-19T00:00:00"/>
    <x v="1"/>
    <s v="Family"/>
    <s v="Website"/>
    <x v="0"/>
    <n v="1"/>
    <x v="10"/>
    <n v="0.13075929750140999"/>
    <x v="10"/>
    <x v="3"/>
    <x v="1"/>
  </r>
  <r>
    <d v="2024-01-20T00:00:00"/>
    <x v="1"/>
    <s v="Adventure"/>
    <s v="Mobile App"/>
    <x v="5"/>
    <n v="2"/>
    <x v="10"/>
    <n v="0.13075929750140999"/>
    <x v="10"/>
    <x v="14"/>
    <x v="1"/>
  </r>
  <r>
    <d v="2024-01-20T00:00:00"/>
    <x v="0"/>
    <s v="Beach"/>
    <s v="Website"/>
    <x v="5"/>
    <n v="1"/>
    <x v="10"/>
    <n v="0.13075929750140999"/>
    <x v="10"/>
    <x v="6"/>
    <x v="1"/>
  </r>
  <r>
    <d v="2024-01-20T00:00:00"/>
    <x v="1"/>
    <s v="Cultural"/>
    <s v="Mobile App"/>
    <x v="8"/>
    <n v="2"/>
    <x v="10"/>
    <n v="0.13075929750140999"/>
    <x v="10"/>
    <x v="0"/>
    <x v="1"/>
  </r>
  <r>
    <d v="2024-01-20T00:00:00"/>
    <x v="1"/>
    <s v="Beach"/>
    <s v="Mobile App"/>
    <x v="6"/>
    <n v="2"/>
    <x v="10"/>
    <n v="0.13075929750140999"/>
    <x v="10"/>
    <x v="9"/>
    <x v="1"/>
  </r>
  <r>
    <d v="2024-01-20T00:00:00"/>
    <x v="0"/>
    <s v="Family"/>
    <s v="Website"/>
    <x v="0"/>
    <n v="1"/>
    <x v="10"/>
    <n v="0.13075929750140999"/>
    <x v="10"/>
    <x v="1"/>
    <x v="1"/>
  </r>
  <r>
    <d v="2024-01-20T00:00:00"/>
    <x v="3"/>
    <s v="Family"/>
    <s v="Agent"/>
    <x v="5"/>
    <n v="1"/>
    <x v="10"/>
    <n v="0.13075929750140999"/>
    <x v="10"/>
    <x v="1"/>
    <x v="0"/>
  </r>
  <r>
    <d v="2024-01-20T00:00:00"/>
    <x v="2"/>
    <s v="Family"/>
    <s v="Website"/>
    <x v="4"/>
    <n v="1"/>
    <x v="10"/>
    <n v="0.13075929750140999"/>
    <x v="10"/>
    <x v="2"/>
    <x v="1"/>
  </r>
  <r>
    <d v="2024-01-20T00:00:00"/>
    <x v="3"/>
    <s v="Adventure"/>
    <s v="Call Center"/>
    <x v="7"/>
    <n v="2"/>
    <x v="10"/>
    <n v="0.13075929750140999"/>
    <x v="10"/>
    <x v="8"/>
    <x v="0"/>
  </r>
  <r>
    <d v="2024-01-21T00:00:00"/>
    <x v="1"/>
    <s v="Foodie"/>
    <s v="Website"/>
    <x v="5"/>
    <n v="5"/>
    <x v="10"/>
    <n v="0.13075929750140999"/>
    <x v="10"/>
    <x v="0"/>
    <x v="0"/>
  </r>
  <r>
    <d v="2024-01-22T00:00:00"/>
    <x v="2"/>
    <s v="City Break"/>
    <s v="Agent"/>
    <x v="5"/>
    <n v="2"/>
    <x v="10"/>
    <n v="0.13075929750140999"/>
    <x v="10"/>
    <x v="7"/>
    <x v="0"/>
  </r>
  <r>
    <d v="2024-01-22T00:00:00"/>
    <x v="1"/>
    <s v="Beach"/>
    <s v="Agent"/>
    <x v="5"/>
    <n v="2"/>
    <x v="10"/>
    <n v="0.13075929750140999"/>
    <x v="10"/>
    <x v="6"/>
    <x v="1"/>
  </r>
  <r>
    <d v="2024-01-22T00:00:00"/>
    <x v="3"/>
    <s v="Family"/>
    <s v="Website"/>
    <x v="5"/>
    <n v="3"/>
    <x v="10"/>
    <n v="0.13075929750140999"/>
    <x v="10"/>
    <x v="14"/>
    <x v="1"/>
  </r>
  <r>
    <d v="2024-01-22T00:00:00"/>
    <x v="1"/>
    <s v="Adventure"/>
    <s v="Website"/>
    <x v="4"/>
    <n v="2"/>
    <x v="10"/>
    <n v="0.13075929750140999"/>
    <x v="10"/>
    <x v="0"/>
    <x v="0"/>
  </r>
  <r>
    <d v="2024-01-22T00:00:00"/>
    <x v="1"/>
    <s v="City Break"/>
    <s v="Website"/>
    <x v="4"/>
    <n v="2"/>
    <x v="10"/>
    <n v="0.13075929750140999"/>
    <x v="10"/>
    <x v="6"/>
    <x v="1"/>
  </r>
  <r>
    <d v="2024-01-22T00:00:00"/>
    <x v="1"/>
    <s v="Adventure"/>
    <s v="Mobile App"/>
    <x v="0"/>
    <n v="1"/>
    <x v="10"/>
    <n v="0.13075929750140999"/>
    <x v="10"/>
    <x v="9"/>
    <x v="0"/>
  </r>
  <r>
    <d v="2024-01-22T00:00:00"/>
    <x v="3"/>
    <s v="Cultural"/>
    <s v="Website"/>
    <x v="5"/>
    <n v="5"/>
    <x v="10"/>
    <n v="0.13075929750140999"/>
    <x v="10"/>
    <x v="15"/>
    <x v="1"/>
  </r>
  <r>
    <d v="2024-01-22T00:00:00"/>
    <x v="0"/>
    <s v="Beach"/>
    <s v="Website"/>
    <x v="0"/>
    <n v="2"/>
    <x v="10"/>
    <n v="0.13075929750140999"/>
    <x v="10"/>
    <x v="7"/>
    <x v="0"/>
  </r>
  <r>
    <d v="2024-01-24T00:00:00"/>
    <x v="3"/>
    <s v="Family"/>
    <s v="Website"/>
    <x v="6"/>
    <n v="2"/>
    <x v="10"/>
    <n v="0.13075929750140999"/>
    <x v="10"/>
    <x v="12"/>
    <x v="0"/>
  </r>
  <r>
    <d v="2024-01-25T00:00:00"/>
    <x v="3"/>
    <s v="Cultural"/>
    <s v="Website"/>
    <x v="7"/>
    <n v="1"/>
    <x v="10"/>
    <n v="0.13075929750140999"/>
    <x v="10"/>
    <x v="15"/>
    <x v="0"/>
  </r>
  <r>
    <d v="2024-01-25T00:00:00"/>
    <x v="3"/>
    <s v="Adventure"/>
    <s v="Website"/>
    <x v="1"/>
    <n v="3"/>
    <x v="10"/>
    <n v="0.13075929750140999"/>
    <x v="10"/>
    <x v="11"/>
    <x v="1"/>
  </r>
  <r>
    <d v="2024-01-26T00:00:00"/>
    <x v="0"/>
    <s v="Beach"/>
    <s v="Mobile App"/>
    <x v="5"/>
    <n v="3"/>
    <x v="10"/>
    <n v="0.13075929750140999"/>
    <x v="10"/>
    <x v="10"/>
    <x v="0"/>
  </r>
  <r>
    <d v="2024-01-26T00:00:00"/>
    <x v="3"/>
    <s v="Cultural"/>
    <s v="Website"/>
    <x v="0"/>
    <n v="1"/>
    <x v="10"/>
    <n v="0.13075929750140999"/>
    <x v="10"/>
    <x v="18"/>
    <x v="0"/>
  </r>
  <r>
    <d v="2024-01-26T00:00:00"/>
    <x v="1"/>
    <s v="Cultural"/>
    <s v="Agent"/>
    <x v="9"/>
    <n v="2"/>
    <x v="10"/>
    <n v="0.13075929750140999"/>
    <x v="10"/>
    <x v="0"/>
    <x v="0"/>
  </r>
  <r>
    <d v="2024-01-27T00:00:00"/>
    <x v="0"/>
    <s v="Foodie"/>
    <s v="Website"/>
    <x v="8"/>
    <n v="2"/>
    <x v="10"/>
    <n v="0.13075929750140999"/>
    <x v="10"/>
    <x v="12"/>
    <x v="1"/>
  </r>
  <r>
    <d v="2024-01-27T00:00:00"/>
    <x v="0"/>
    <s v="Family"/>
    <s v="Website"/>
    <x v="0"/>
    <n v="2"/>
    <x v="10"/>
    <n v="0.13075929750140999"/>
    <x v="10"/>
    <x v="6"/>
    <x v="1"/>
  </r>
  <r>
    <d v="2024-01-27T00:00:00"/>
    <x v="3"/>
    <s v="Family"/>
    <s v="Agent"/>
    <x v="8"/>
    <n v="4"/>
    <x v="10"/>
    <n v="0.13075929750140999"/>
    <x v="10"/>
    <x v="15"/>
    <x v="0"/>
  </r>
  <r>
    <d v="2024-01-27T00:00:00"/>
    <x v="2"/>
    <s v="Beach"/>
    <s v="Website"/>
    <x v="1"/>
    <n v="1"/>
    <x v="10"/>
    <n v="0.13075929750140999"/>
    <x v="10"/>
    <x v="15"/>
    <x v="0"/>
  </r>
  <r>
    <d v="2024-01-28T00:00:00"/>
    <x v="1"/>
    <s v="Beach"/>
    <s v="Agent"/>
    <x v="6"/>
    <n v="2"/>
    <x v="10"/>
    <n v="0.13075929750140999"/>
    <x v="10"/>
    <x v="2"/>
    <x v="0"/>
  </r>
  <r>
    <d v="2024-01-28T00:00:00"/>
    <x v="1"/>
    <s v="Cultural"/>
    <s v="Mobile App"/>
    <x v="1"/>
    <n v="2"/>
    <x v="10"/>
    <n v="0.13075929750140999"/>
    <x v="10"/>
    <x v="10"/>
    <x v="1"/>
  </r>
  <r>
    <d v="2024-01-28T00:00:00"/>
    <x v="3"/>
    <s v="Foodie"/>
    <s v="Mobile App"/>
    <x v="5"/>
    <n v="2"/>
    <x v="10"/>
    <n v="0.13075929750140999"/>
    <x v="10"/>
    <x v="15"/>
    <x v="0"/>
  </r>
  <r>
    <d v="2024-01-28T00:00:00"/>
    <x v="1"/>
    <s v="Foodie"/>
    <s v="Website"/>
    <x v="5"/>
    <n v="2"/>
    <x v="10"/>
    <n v="0.13075929750140999"/>
    <x v="10"/>
    <x v="2"/>
    <x v="1"/>
  </r>
  <r>
    <d v="2024-01-28T00:00:00"/>
    <x v="0"/>
    <s v="Adventure"/>
    <s v="Mobile App"/>
    <x v="5"/>
    <n v="1"/>
    <x v="10"/>
    <n v="0.13075929750140999"/>
    <x v="10"/>
    <x v="0"/>
    <x v="0"/>
  </r>
  <r>
    <d v="2024-01-29T00:00:00"/>
    <x v="3"/>
    <s v="City Break"/>
    <s v="Website"/>
    <x v="8"/>
    <n v="2"/>
    <x v="10"/>
    <n v="0.13075929750140999"/>
    <x v="10"/>
    <x v="2"/>
    <x v="1"/>
  </r>
  <r>
    <d v="2024-01-29T00:00:00"/>
    <x v="1"/>
    <s v="Beach"/>
    <s v="Agent"/>
    <x v="2"/>
    <n v="2"/>
    <x v="10"/>
    <n v="0.13075929750140999"/>
    <x v="10"/>
    <x v="5"/>
    <x v="0"/>
  </r>
  <r>
    <d v="2024-01-30T00:00:00"/>
    <x v="1"/>
    <s v="Cultural"/>
    <s v="Website"/>
    <x v="6"/>
    <n v="1"/>
    <x v="10"/>
    <n v="0.13075929750140999"/>
    <x v="10"/>
    <x v="6"/>
    <x v="0"/>
  </r>
  <r>
    <d v="2024-01-30T00:00:00"/>
    <x v="3"/>
    <s v="Cultural"/>
    <s v="Agent"/>
    <x v="2"/>
    <n v="1"/>
    <x v="10"/>
    <n v="0.13075929750140999"/>
    <x v="10"/>
    <x v="12"/>
    <x v="1"/>
  </r>
  <r>
    <d v="2024-01-30T00:00:00"/>
    <x v="3"/>
    <s v="Cultural"/>
    <s v="Website"/>
    <x v="1"/>
    <n v="1"/>
    <x v="10"/>
    <n v="0.13075929750140999"/>
    <x v="10"/>
    <x v="12"/>
    <x v="1"/>
  </r>
  <r>
    <d v="2024-01-31T00:00:00"/>
    <x v="0"/>
    <s v="City Break"/>
    <s v="Website"/>
    <x v="6"/>
    <n v="1"/>
    <x v="10"/>
    <n v="0.13075929750140999"/>
    <x v="10"/>
    <x v="17"/>
    <x v="0"/>
  </r>
  <r>
    <d v="2024-02-02T00:00:00"/>
    <x v="1"/>
    <s v="Foodie"/>
    <s v="Website"/>
    <x v="3"/>
    <n v="2"/>
    <x v="10"/>
    <n v="0.13075929750140999"/>
    <x v="10"/>
    <x v="14"/>
    <x v="1"/>
  </r>
  <r>
    <d v="2024-02-02T00:00:00"/>
    <x v="1"/>
    <s v="Family"/>
    <s v="Mobile App"/>
    <x v="5"/>
    <n v="4"/>
    <x v="10"/>
    <n v="0.13075929750140999"/>
    <x v="10"/>
    <x v="9"/>
    <x v="0"/>
  </r>
  <r>
    <d v="2024-02-03T00:00:00"/>
    <x v="1"/>
    <s v="Family"/>
    <s v="Mobile App"/>
    <x v="7"/>
    <n v="1"/>
    <x v="10"/>
    <n v="0.13075929750140999"/>
    <x v="10"/>
    <x v="1"/>
    <x v="0"/>
  </r>
  <r>
    <d v="2024-02-03T00:00:00"/>
    <x v="3"/>
    <s v="Cultural"/>
    <s v="Website"/>
    <x v="7"/>
    <n v="4"/>
    <x v="10"/>
    <n v="0.13075929750140999"/>
    <x v="10"/>
    <x v="10"/>
    <x v="1"/>
  </r>
  <r>
    <d v="2024-02-04T00:00:00"/>
    <x v="2"/>
    <s v="Adventure"/>
    <s v="Website"/>
    <x v="0"/>
    <n v="1"/>
    <x v="10"/>
    <n v="0.13075929750140999"/>
    <x v="10"/>
    <x v="1"/>
    <x v="1"/>
  </r>
  <r>
    <d v="2024-02-05T00:00:00"/>
    <x v="2"/>
    <s v="Cultural"/>
    <s v="Website"/>
    <x v="3"/>
    <n v="1"/>
    <x v="10"/>
    <n v="0.13075929750140999"/>
    <x v="10"/>
    <x v="4"/>
    <x v="1"/>
  </r>
  <r>
    <d v="2024-02-05T00:00:00"/>
    <x v="3"/>
    <s v="City Break"/>
    <s v="Website"/>
    <x v="3"/>
    <n v="1"/>
    <x v="10"/>
    <n v="0.13075929750140999"/>
    <x v="10"/>
    <x v="4"/>
    <x v="0"/>
  </r>
  <r>
    <d v="2024-02-07T00:00:00"/>
    <x v="3"/>
    <s v="City Break"/>
    <s v="Website"/>
    <x v="3"/>
    <n v="1"/>
    <x v="10"/>
    <n v="0.13075929750140999"/>
    <x v="10"/>
    <x v="6"/>
    <x v="1"/>
  </r>
  <r>
    <d v="2024-02-07T00:00:00"/>
    <x v="0"/>
    <s v="Beach"/>
    <s v="Agent"/>
    <x v="2"/>
    <n v="2"/>
    <x v="10"/>
    <n v="0.13075929750140999"/>
    <x v="10"/>
    <x v="15"/>
    <x v="1"/>
  </r>
  <r>
    <d v="2024-02-07T00:00:00"/>
    <x v="1"/>
    <s v="Foodie"/>
    <s v="Agent"/>
    <x v="7"/>
    <n v="1"/>
    <x v="10"/>
    <n v="0.13075929750140999"/>
    <x v="10"/>
    <x v="2"/>
    <x v="1"/>
  </r>
  <r>
    <d v="2024-02-07T00:00:00"/>
    <x v="0"/>
    <s v="Adventure"/>
    <s v="Mobile App"/>
    <x v="9"/>
    <n v="1"/>
    <x v="10"/>
    <n v="0.13075929750140999"/>
    <x v="10"/>
    <x v="4"/>
    <x v="1"/>
  </r>
  <r>
    <d v="2024-02-08T00:00:00"/>
    <x v="3"/>
    <s v="Family"/>
    <s v="Website"/>
    <x v="3"/>
    <n v="3"/>
    <x v="10"/>
    <n v="0.13075929750140999"/>
    <x v="10"/>
    <x v="4"/>
    <x v="1"/>
  </r>
  <r>
    <d v="2024-02-08T00:00:00"/>
    <x v="0"/>
    <s v="Adventure"/>
    <s v="Agent"/>
    <x v="6"/>
    <n v="1"/>
    <x v="10"/>
    <n v="0.13075929750140999"/>
    <x v="10"/>
    <x v="1"/>
    <x v="0"/>
  </r>
  <r>
    <d v="2024-02-08T00:00:00"/>
    <x v="1"/>
    <s v="Cultural"/>
    <s v="Agent"/>
    <x v="4"/>
    <n v="1"/>
    <x v="10"/>
    <n v="0.13075929750140999"/>
    <x v="10"/>
    <x v="3"/>
    <x v="1"/>
  </r>
  <r>
    <d v="2024-02-09T00:00:00"/>
    <x v="1"/>
    <s v="Beach"/>
    <s v="Mobile App"/>
    <x v="3"/>
    <n v="1"/>
    <x v="10"/>
    <n v="0.13075929750140999"/>
    <x v="10"/>
    <x v="12"/>
    <x v="1"/>
  </r>
  <r>
    <d v="2024-02-09T00:00:00"/>
    <x v="1"/>
    <s v="Adventure"/>
    <s v="Mobile App"/>
    <x v="5"/>
    <n v="1"/>
    <x v="10"/>
    <n v="0.13075929750140999"/>
    <x v="10"/>
    <x v="3"/>
    <x v="0"/>
  </r>
  <r>
    <d v="2024-02-10T00:00:00"/>
    <x v="0"/>
    <s v="Cultural"/>
    <s v="Agent"/>
    <x v="5"/>
    <n v="2"/>
    <x v="10"/>
    <n v="0.13075929750140999"/>
    <x v="10"/>
    <x v="13"/>
    <x v="1"/>
  </r>
  <r>
    <d v="2024-02-10T00:00:00"/>
    <x v="0"/>
    <s v="Adventure"/>
    <s v="Website"/>
    <x v="3"/>
    <n v="2"/>
    <x v="10"/>
    <n v="0.13075929750140999"/>
    <x v="10"/>
    <x v="8"/>
    <x v="0"/>
  </r>
  <r>
    <d v="2024-02-10T00:00:00"/>
    <x v="1"/>
    <s v="Adventure"/>
    <s v="Agent"/>
    <x v="9"/>
    <n v="1"/>
    <x v="10"/>
    <n v="0.13075929750140999"/>
    <x v="10"/>
    <x v="0"/>
    <x v="1"/>
  </r>
  <r>
    <d v="2024-02-10T00:00:00"/>
    <x v="2"/>
    <s v="Cultural"/>
    <s v="Website"/>
    <x v="7"/>
    <n v="1"/>
    <x v="10"/>
    <n v="0.13075929750140999"/>
    <x v="10"/>
    <x v="12"/>
    <x v="1"/>
  </r>
  <r>
    <d v="2024-02-10T00:00:00"/>
    <x v="0"/>
    <s v="Cultural"/>
    <s v="Agent"/>
    <x v="6"/>
    <n v="1"/>
    <x v="10"/>
    <n v="0.13075929750140999"/>
    <x v="10"/>
    <x v="6"/>
    <x v="0"/>
  </r>
  <r>
    <d v="2024-02-10T00:00:00"/>
    <x v="3"/>
    <s v="Adventure"/>
    <s v="Website"/>
    <x v="1"/>
    <n v="1"/>
    <x v="10"/>
    <n v="0.13075929750140999"/>
    <x v="10"/>
    <x v="2"/>
    <x v="0"/>
  </r>
  <r>
    <d v="2024-02-10T00:00:00"/>
    <x v="1"/>
    <s v="City Break"/>
    <s v="Agent"/>
    <x v="2"/>
    <n v="3"/>
    <x v="10"/>
    <n v="0.13075929750140999"/>
    <x v="10"/>
    <x v="6"/>
    <x v="0"/>
  </r>
  <r>
    <d v="2024-02-10T00:00:00"/>
    <x v="1"/>
    <s v="City Break"/>
    <s v="Agent"/>
    <x v="2"/>
    <n v="1"/>
    <x v="10"/>
    <n v="0.13075929750140999"/>
    <x v="10"/>
    <x v="1"/>
    <x v="0"/>
  </r>
  <r>
    <d v="2024-02-11T00:00:00"/>
    <x v="0"/>
    <s v="Adventure"/>
    <s v="Website"/>
    <x v="9"/>
    <n v="1"/>
    <x v="10"/>
    <n v="0.13075929750140999"/>
    <x v="10"/>
    <x v="12"/>
    <x v="1"/>
  </r>
  <r>
    <d v="2024-02-11T00:00:00"/>
    <x v="3"/>
    <s v="Beach"/>
    <s v="Mobile App"/>
    <x v="4"/>
    <n v="3"/>
    <x v="10"/>
    <n v="0.13075929750140999"/>
    <x v="10"/>
    <x v="12"/>
    <x v="1"/>
  </r>
  <r>
    <d v="2024-02-12T00:00:00"/>
    <x v="1"/>
    <s v="Cultural"/>
    <s v="Website"/>
    <x v="6"/>
    <n v="1"/>
    <x v="10"/>
    <n v="0.13075929750140999"/>
    <x v="10"/>
    <x v="12"/>
    <x v="1"/>
  </r>
  <r>
    <d v="2024-02-13T00:00:00"/>
    <x v="1"/>
    <s v="Foodie"/>
    <s v="Website"/>
    <x v="7"/>
    <n v="4"/>
    <x v="10"/>
    <n v="0.13075929750140999"/>
    <x v="10"/>
    <x v="13"/>
    <x v="0"/>
  </r>
  <r>
    <d v="2024-02-13T00:00:00"/>
    <x v="2"/>
    <s v="Family"/>
    <s v="Call Center"/>
    <x v="7"/>
    <n v="4"/>
    <x v="10"/>
    <n v="0.13075929750140999"/>
    <x v="10"/>
    <x v="1"/>
    <x v="1"/>
  </r>
  <r>
    <d v="2024-02-13T00:00:00"/>
    <x v="3"/>
    <s v="Cultural"/>
    <s v="Website"/>
    <x v="6"/>
    <n v="2"/>
    <x v="10"/>
    <n v="0.13075929750140999"/>
    <x v="10"/>
    <x v="2"/>
    <x v="1"/>
  </r>
  <r>
    <d v="2024-02-13T00:00:00"/>
    <x v="1"/>
    <s v="Cultural"/>
    <s v="Website"/>
    <x v="1"/>
    <n v="1"/>
    <x v="10"/>
    <n v="0.13075929750140999"/>
    <x v="10"/>
    <x v="13"/>
    <x v="1"/>
  </r>
  <r>
    <d v="2024-02-13T00:00:00"/>
    <x v="2"/>
    <s v="Family"/>
    <s v="Mobile App"/>
    <x v="0"/>
    <n v="5"/>
    <x v="10"/>
    <n v="0.13075929750140999"/>
    <x v="10"/>
    <x v="1"/>
    <x v="0"/>
  </r>
  <r>
    <d v="2024-02-14T00:00:00"/>
    <x v="1"/>
    <s v="Beach"/>
    <s v="Mobile App"/>
    <x v="5"/>
    <n v="3"/>
    <x v="10"/>
    <n v="0.13075929750140999"/>
    <x v="10"/>
    <x v="18"/>
    <x v="1"/>
  </r>
  <r>
    <d v="2024-02-14T00:00:00"/>
    <x v="0"/>
    <s v="City Break"/>
    <s v="Website"/>
    <x v="7"/>
    <n v="2"/>
    <x v="10"/>
    <n v="0.13075929750140999"/>
    <x v="10"/>
    <x v="3"/>
    <x v="0"/>
  </r>
  <r>
    <d v="2024-02-14T00:00:00"/>
    <x v="1"/>
    <s v="Family"/>
    <s v="Mobile App"/>
    <x v="8"/>
    <n v="2"/>
    <x v="10"/>
    <n v="0.13075929750140999"/>
    <x v="10"/>
    <x v="2"/>
    <x v="1"/>
  </r>
  <r>
    <d v="2024-02-14T00:00:00"/>
    <x v="0"/>
    <s v="Beach"/>
    <s v="Agent"/>
    <x v="9"/>
    <n v="1"/>
    <x v="10"/>
    <n v="0.13075929750140999"/>
    <x v="10"/>
    <x v="4"/>
    <x v="0"/>
  </r>
  <r>
    <d v="2024-02-14T00:00:00"/>
    <x v="0"/>
    <s v="Cultural"/>
    <s v="Mobile App"/>
    <x v="9"/>
    <n v="2"/>
    <x v="10"/>
    <n v="0.13075929750140999"/>
    <x v="10"/>
    <x v="0"/>
    <x v="1"/>
  </r>
  <r>
    <d v="2024-02-15T00:00:00"/>
    <x v="3"/>
    <s v="Beach"/>
    <s v="Website"/>
    <x v="4"/>
    <n v="4"/>
    <x v="10"/>
    <n v="0.13075929750140999"/>
    <x v="10"/>
    <x v="1"/>
    <x v="1"/>
  </r>
  <r>
    <d v="2024-02-15T00:00:00"/>
    <x v="3"/>
    <s v="Cultural"/>
    <s v="Website"/>
    <x v="9"/>
    <n v="2"/>
    <x v="10"/>
    <n v="0.13075929750140999"/>
    <x v="10"/>
    <x v="6"/>
    <x v="0"/>
  </r>
  <r>
    <d v="2024-02-15T00:00:00"/>
    <x v="1"/>
    <s v="Cultural"/>
    <s v="Website"/>
    <x v="8"/>
    <n v="1"/>
    <x v="10"/>
    <n v="0.13075929750140999"/>
    <x v="10"/>
    <x v="2"/>
    <x v="1"/>
  </r>
  <r>
    <d v="2024-02-16T00:00:00"/>
    <x v="3"/>
    <s v="Cultural"/>
    <s v="Mobile App"/>
    <x v="9"/>
    <n v="2"/>
    <x v="10"/>
    <n v="0.13075929750140999"/>
    <x v="10"/>
    <x v="12"/>
    <x v="1"/>
  </r>
  <r>
    <d v="2024-02-16T00:00:00"/>
    <x v="1"/>
    <s v="Family"/>
    <s v="Website"/>
    <x v="3"/>
    <n v="2"/>
    <x v="10"/>
    <n v="0.13075929750140999"/>
    <x v="10"/>
    <x v="4"/>
    <x v="1"/>
  </r>
  <r>
    <d v="2024-02-16T00:00:00"/>
    <x v="1"/>
    <s v="Adventure"/>
    <s v="Website"/>
    <x v="1"/>
    <n v="2"/>
    <x v="10"/>
    <n v="0.13075929750140999"/>
    <x v="10"/>
    <x v="5"/>
    <x v="0"/>
  </r>
  <r>
    <d v="2024-02-18T00:00:00"/>
    <x v="1"/>
    <s v="Adventure"/>
    <s v="Website"/>
    <x v="5"/>
    <n v="1"/>
    <x v="10"/>
    <n v="0.13075929750140999"/>
    <x v="10"/>
    <x v="16"/>
    <x v="0"/>
  </r>
  <r>
    <d v="2024-02-18T00:00:00"/>
    <x v="0"/>
    <s v="Beach"/>
    <s v="Website"/>
    <x v="6"/>
    <n v="1"/>
    <x v="10"/>
    <n v="0.13075929750140999"/>
    <x v="10"/>
    <x v="2"/>
    <x v="1"/>
  </r>
  <r>
    <d v="2024-02-18T00:00:00"/>
    <x v="3"/>
    <s v="Cultural"/>
    <s v="Website"/>
    <x v="0"/>
    <n v="2"/>
    <x v="10"/>
    <n v="0.13075929750140999"/>
    <x v="10"/>
    <x v="8"/>
    <x v="1"/>
  </r>
  <r>
    <d v="2024-02-19T00:00:00"/>
    <x v="0"/>
    <s v="Foodie"/>
    <s v="Website"/>
    <x v="8"/>
    <n v="4"/>
    <x v="10"/>
    <n v="0.13075929750140999"/>
    <x v="10"/>
    <x v="14"/>
    <x v="1"/>
  </r>
  <r>
    <d v="2024-02-19T00:00:00"/>
    <x v="1"/>
    <s v="Foodie"/>
    <s v="Website"/>
    <x v="7"/>
    <n v="1"/>
    <x v="10"/>
    <n v="0.13075929750140999"/>
    <x v="10"/>
    <x v="0"/>
    <x v="0"/>
  </r>
  <r>
    <d v="2024-02-20T00:00:00"/>
    <x v="2"/>
    <s v="City Break"/>
    <s v="Website"/>
    <x v="2"/>
    <n v="4"/>
    <x v="10"/>
    <n v="0.13075929750140999"/>
    <x v="10"/>
    <x v="12"/>
    <x v="0"/>
  </r>
  <r>
    <d v="2024-02-20T00:00:00"/>
    <x v="3"/>
    <s v="Beach"/>
    <s v="Website"/>
    <x v="8"/>
    <n v="1"/>
    <x v="10"/>
    <n v="0.13075929750140999"/>
    <x v="10"/>
    <x v="0"/>
    <x v="0"/>
  </r>
  <r>
    <d v="2024-02-20T00:00:00"/>
    <x v="2"/>
    <s v="Foodie"/>
    <s v="Website"/>
    <x v="3"/>
    <n v="1"/>
    <x v="10"/>
    <n v="0.13075929750140999"/>
    <x v="10"/>
    <x v="5"/>
    <x v="0"/>
  </r>
  <r>
    <d v="2024-02-20T00:00:00"/>
    <x v="0"/>
    <s v="Beach"/>
    <s v="Website"/>
    <x v="8"/>
    <n v="1"/>
    <x v="10"/>
    <n v="0.13075929750140999"/>
    <x v="10"/>
    <x v="4"/>
    <x v="1"/>
  </r>
  <r>
    <d v="2024-02-20T00:00:00"/>
    <x v="3"/>
    <s v="Cultural"/>
    <s v="Agent"/>
    <x v="7"/>
    <n v="1"/>
    <x v="10"/>
    <n v="0.13075929750140999"/>
    <x v="10"/>
    <x v="14"/>
    <x v="1"/>
  </r>
  <r>
    <d v="2024-02-21T00:00:00"/>
    <x v="3"/>
    <s v="Foodie"/>
    <s v="Mobile App"/>
    <x v="2"/>
    <n v="3"/>
    <x v="10"/>
    <n v="0.13075929750140999"/>
    <x v="10"/>
    <x v="12"/>
    <x v="0"/>
  </r>
  <r>
    <d v="2024-02-21T00:00:00"/>
    <x v="3"/>
    <s v="Beach"/>
    <s v="Agent"/>
    <x v="0"/>
    <n v="2"/>
    <x v="10"/>
    <n v="0.13075929750140999"/>
    <x v="10"/>
    <x v="7"/>
    <x v="1"/>
  </r>
  <r>
    <d v="2024-02-21T00:00:00"/>
    <x v="1"/>
    <s v="Cultural"/>
    <s v="Mobile App"/>
    <x v="7"/>
    <n v="1"/>
    <x v="10"/>
    <n v="0.13075929750140999"/>
    <x v="10"/>
    <x v="12"/>
    <x v="0"/>
  </r>
  <r>
    <d v="2024-02-21T00:00:00"/>
    <x v="3"/>
    <s v="Cultural"/>
    <s v="Mobile App"/>
    <x v="9"/>
    <n v="2"/>
    <x v="10"/>
    <n v="0.13075929750140999"/>
    <x v="10"/>
    <x v="3"/>
    <x v="0"/>
  </r>
  <r>
    <d v="2024-02-21T00:00:00"/>
    <x v="0"/>
    <s v="Beach"/>
    <s v="Website"/>
    <x v="0"/>
    <n v="4"/>
    <x v="10"/>
    <n v="0.13075929750140999"/>
    <x v="10"/>
    <x v="16"/>
    <x v="0"/>
  </r>
  <r>
    <d v="2024-02-21T00:00:00"/>
    <x v="0"/>
    <s v="Foodie"/>
    <s v="Website"/>
    <x v="1"/>
    <n v="1"/>
    <x v="10"/>
    <n v="0.13075929750140999"/>
    <x v="10"/>
    <x v="4"/>
    <x v="1"/>
  </r>
  <r>
    <d v="2024-02-22T00:00:00"/>
    <x v="0"/>
    <s v="Foodie"/>
    <s v="Agent"/>
    <x v="3"/>
    <n v="2"/>
    <x v="10"/>
    <n v="0.13075929750140999"/>
    <x v="10"/>
    <x v="1"/>
    <x v="0"/>
  </r>
  <r>
    <d v="2024-02-22T00:00:00"/>
    <x v="3"/>
    <s v="Beach"/>
    <s v="Website"/>
    <x v="4"/>
    <n v="1"/>
    <x v="10"/>
    <n v="0.13075929750140999"/>
    <x v="10"/>
    <x v="0"/>
    <x v="0"/>
  </r>
  <r>
    <d v="2024-02-22T00:00:00"/>
    <x v="0"/>
    <s v="Cultural"/>
    <s v="Mobile App"/>
    <x v="3"/>
    <n v="3"/>
    <x v="10"/>
    <n v="0.13075929750140999"/>
    <x v="10"/>
    <x v="4"/>
    <x v="0"/>
  </r>
  <r>
    <d v="2024-02-23T00:00:00"/>
    <x v="1"/>
    <s v="Adventure"/>
    <s v="Website"/>
    <x v="5"/>
    <n v="1"/>
    <x v="10"/>
    <n v="0.13075929750140999"/>
    <x v="10"/>
    <x v="1"/>
    <x v="0"/>
  </r>
  <r>
    <d v="2024-02-24T00:00:00"/>
    <x v="2"/>
    <s v="Beach"/>
    <s v="Website"/>
    <x v="7"/>
    <n v="2"/>
    <x v="10"/>
    <n v="0.13075929750140999"/>
    <x v="10"/>
    <x v="17"/>
    <x v="1"/>
  </r>
  <r>
    <d v="2024-02-24T00:00:00"/>
    <x v="3"/>
    <s v="Cultural"/>
    <s v="Website"/>
    <x v="1"/>
    <n v="4"/>
    <x v="10"/>
    <n v="0.13075929750140999"/>
    <x v="10"/>
    <x v="15"/>
    <x v="1"/>
  </r>
  <r>
    <d v="2024-02-25T00:00:00"/>
    <x v="0"/>
    <s v="Cultural"/>
    <s v="Website"/>
    <x v="2"/>
    <n v="1"/>
    <x v="10"/>
    <n v="0.13075929750140999"/>
    <x v="10"/>
    <x v="3"/>
    <x v="0"/>
  </r>
  <r>
    <d v="2024-02-25T00:00:00"/>
    <x v="1"/>
    <s v="Beach"/>
    <s v="Mobile App"/>
    <x v="9"/>
    <n v="1"/>
    <x v="10"/>
    <n v="0.13075929750140999"/>
    <x v="10"/>
    <x v="7"/>
    <x v="1"/>
  </r>
  <r>
    <d v="2024-02-25T00:00:00"/>
    <x v="0"/>
    <s v="Adventure"/>
    <s v="Agent"/>
    <x v="2"/>
    <n v="1"/>
    <x v="10"/>
    <n v="0.13075929750140999"/>
    <x v="10"/>
    <x v="4"/>
    <x v="0"/>
  </r>
  <r>
    <d v="2024-02-25T00:00:00"/>
    <x v="3"/>
    <s v="City Break"/>
    <s v="Mobile App"/>
    <x v="0"/>
    <n v="1"/>
    <x v="10"/>
    <n v="0.13075929750140999"/>
    <x v="10"/>
    <x v="5"/>
    <x v="0"/>
  </r>
  <r>
    <d v="2024-02-25T00:00:00"/>
    <x v="3"/>
    <s v="Family"/>
    <s v="Website"/>
    <x v="2"/>
    <n v="1"/>
    <x v="10"/>
    <n v="0.13075929750140999"/>
    <x v="10"/>
    <x v="0"/>
    <x v="1"/>
  </r>
  <r>
    <d v="2024-02-27T00:00:00"/>
    <x v="3"/>
    <s v="Beach"/>
    <s v="Website"/>
    <x v="1"/>
    <n v="3"/>
    <x v="10"/>
    <n v="0.13075929750140999"/>
    <x v="10"/>
    <x v="3"/>
    <x v="0"/>
  </r>
  <r>
    <d v="2024-02-27T00:00:00"/>
    <x v="2"/>
    <s v="Beach"/>
    <s v="Agent"/>
    <x v="5"/>
    <n v="2"/>
    <x v="10"/>
    <n v="0.13075929750140999"/>
    <x v="10"/>
    <x v="1"/>
    <x v="0"/>
  </r>
  <r>
    <d v="2024-02-27T00:00:00"/>
    <x v="1"/>
    <s v="City Break"/>
    <s v="Website"/>
    <x v="6"/>
    <n v="2"/>
    <x v="10"/>
    <n v="0.13075929750140999"/>
    <x v="10"/>
    <x v="0"/>
    <x v="0"/>
  </r>
  <r>
    <d v="2024-02-28T00:00:00"/>
    <x v="3"/>
    <s v="Cultural"/>
    <s v="Agent"/>
    <x v="4"/>
    <n v="1"/>
    <x v="10"/>
    <n v="0.13075929750140999"/>
    <x v="10"/>
    <x v="2"/>
    <x v="0"/>
  </r>
  <r>
    <d v="2024-02-28T00:00:00"/>
    <x v="0"/>
    <s v="Beach"/>
    <s v="Mobile App"/>
    <x v="4"/>
    <n v="2"/>
    <x v="10"/>
    <n v="0.13075929750140999"/>
    <x v="10"/>
    <x v="4"/>
    <x v="1"/>
  </r>
  <r>
    <d v="2024-02-28T00:00:00"/>
    <x v="3"/>
    <s v="Beach"/>
    <s v="Mobile App"/>
    <x v="5"/>
    <n v="3"/>
    <x v="10"/>
    <n v="0.13075929750140999"/>
    <x v="10"/>
    <x v="14"/>
    <x v="0"/>
  </r>
  <r>
    <d v="2024-03-01T00:00:00"/>
    <x v="1"/>
    <s v="Beach"/>
    <s v="Mobile App"/>
    <x v="1"/>
    <n v="1"/>
    <x v="10"/>
    <n v="0.13075929750140999"/>
    <x v="10"/>
    <x v="5"/>
    <x v="1"/>
  </r>
  <r>
    <d v="2024-03-01T00:00:00"/>
    <x v="1"/>
    <s v="Cultural"/>
    <s v="Agent"/>
    <x v="4"/>
    <n v="3"/>
    <x v="10"/>
    <n v="0.13075929750140999"/>
    <x v="10"/>
    <x v="0"/>
    <x v="0"/>
  </r>
  <r>
    <d v="2024-03-02T00:00:00"/>
    <x v="1"/>
    <s v="Cultural"/>
    <s v="Website"/>
    <x v="7"/>
    <n v="3"/>
    <x v="10"/>
    <n v="0.13075929750140999"/>
    <x v="10"/>
    <x v="12"/>
    <x v="1"/>
  </r>
  <r>
    <d v="2024-03-02T00:00:00"/>
    <x v="0"/>
    <s v="Beach"/>
    <s v="Website"/>
    <x v="6"/>
    <n v="1"/>
    <x v="10"/>
    <n v="0.13075929750140999"/>
    <x v="10"/>
    <x v="12"/>
    <x v="1"/>
  </r>
  <r>
    <d v="2024-03-02T00:00:00"/>
    <x v="3"/>
    <s v="Adventure"/>
    <s v="Website"/>
    <x v="6"/>
    <n v="1"/>
    <x v="10"/>
    <n v="0.13075929750140999"/>
    <x v="10"/>
    <x v="6"/>
    <x v="0"/>
  </r>
  <r>
    <d v="2024-03-02T00:00:00"/>
    <x v="1"/>
    <s v="Beach"/>
    <s v="Website"/>
    <x v="6"/>
    <n v="1"/>
    <x v="10"/>
    <n v="0.13075929750140999"/>
    <x v="10"/>
    <x v="13"/>
    <x v="1"/>
  </r>
  <r>
    <d v="2024-03-02T00:00:00"/>
    <x v="1"/>
    <s v="Beach"/>
    <s v="Website"/>
    <x v="3"/>
    <n v="1"/>
    <x v="10"/>
    <n v="0.13075929750140999"/>
    <x v="10"/>
    <x v="6"/>
    <x v="1"/>
  </r>
  <r>
    <d v="2024-03-02T00:00:00"/>
    <x v="1"/>
    <s v="Family"/>
    <s v="Mobile App"/>
    <x v="8"/>
    <n v="2"/>
    <x v="10"/>
    <n v="0.13075929750140999"/>
    <x v="10"/>
    <x v="3"/>
    <x v="0"/>
  </r>
  <r>
    <d v="2024-03-03T00:00:00"/>
    <x v="1"/>
    <s v="Adventure"/>
    <s v="Mobile App"/>
    <x v="6"/>
    <n v="1"/>
    <x v="10"/>
    <n v="0.13075929750140999"/>
    <x v="10"/>
    <x v="5"/>
    <x v="1"/>
  </r>
  <r>
    <d v="2024-03-03T00:00:00"/>
    <x v="3"/>
    <s v="Beach"/>
    <s v="Mobile App"/>
    <x v="4"/>
    <n v="2"/>
    <x v="10"/>
    <n v="0.13075929750140999"/>
    <x v="10"/>
    <x v="8"/>
    <x v="0"/>
  </r>
  <r>
    <d v="2024-03-03T00:00:00"/>
    <x v="3"/>
    <s v="Adventure"/>
    <s v="Website"/>
    <x v="4"/>
    <n v="2"/>
    <x v="10"/>
    <n v="0.13075929750140999"/>
    <x v="10"/>
    <x v="6"/>
    <x v="1"/>
  </r>
  <r>
    <d v="2024-03-03T00:00:00"/>
    <x v="1"/>
    <s v="City Break"/>
    <s v="Website"/>
    <x v="1"/>
    <n v="3"/>
    <x v="10"/>
    <n v="0.13075929750140999"/>
    <x v="10"/>
    <x v="13"/>
    <x v="0"/>
  </r>
  <r>
    <d v="2024-03-03T00:00:00"/>
    <x v="1"/>
    <s v="Cultural"/>
    <s v="Website"/>
    <x v="5"/>
    <n v="1"/>
    <x v="10"/>
    <n v="0.13075929750140999"/>
    <x v="10"/>
    <x v="9"/>
    <x v="0"/>
  </r>
  <r>
    <d v="2024-03-04T00:00:00"/>
    <x v="2"/>
    <s v="Cultural"/>
    <s v="Mobile App"/>
    <x v="5"/>
    <n v="2"/>
    <x v="10"/>
    <n v="0.13075929750140999"/>
    <x v="10"/>
    <x v="13"/>
    <x v="0"/>
  </r>
  <r>
    <d v="2024-03-04T00:00:00"/>
    <x v="1"/>
    <s v="Beach"/>
    <s v="Website"/>
    <x v="2"/>
    <n v="1"/>
    <x v="10"/>
    <n v="0.13075929750140999"/>
    <x v="10"/>
    <x v="3"/>
    <x v="0"/>
  </r>
  <r>
    <d v="2024-03-04T00:00:00"/>
    <x v="3"/>
    <s v="City Break"/>
    <s v="Agent"/>
    <x v="8"/>
    <n v="4"/>
    <x v="10"/>
    <n v="0.13075929750140999"/>
    <x v="10"/>
    <x v="1"/>
    <x v="1"/>
  </r>
  <r>
    <d v="2024-03-04T00:00:00"/>
    <x v="3"/>
    <s v="Adventure"/>
    <s v="Website"/>
    <x v="0"/>
    <n v="1"/>
    <x v="10"/>
    <n v="0.13075929750140999"/>
    <x v="10"/>
    <x v="19"/>
    <x v="0"/>
  </r>
  <r>
    <d v="2024-03-04T00:00:00"/>
    <x v="3"/>
    <s v="City Break"/>
    <s v="Website"/>
    <x v="0"/>
    <n v="3"/>
    <x v="10"/>
    <n v="0.13075929750140999"/>
    <x v="10"/>
    <x v="5"/>
    <x v="0"/>
  </r>
  <r>
    <d v="2024-03-05T00:00:00"/>
    <x v="2"/>
    <s v="Foodie"/>
    <s v="Agent"/>
    <x v="1"/>
    <n v="3"/>
    <x v="10"/>
    <n v="0.13075929750140999"/>
    <x v="10"/>
    <x v="17"/>
    <x v="1"/>
  </r>
  <r>
    <d v="2024-03-05T00:00:00"/>
    <x v="1"/>
    <s v="Foodie"/>
    <s v="Call Center"/>
    <x v="8"/>
    <n v="1"/>
    <x v="10"/>
    <n v="0.13075929750140999"/>
    <x v="10"/>
    <x v="14"/>
    <x v="1"/>
  </r>
  <r>
    <d v="2024-03-05T00:00:00"/>
    <x v="0"/>
    <s v="Family"/>
    <s v="Website"/>
    <x v="3"/>
    <n v="4"/>
    <x v="10"/>
    <n v="0.13075929750140999"/>
    <x v="10"/>
    <x v="4"/>
    <x v="0"/>
  </r>
  <r>
    <d v="2024-03-06T00:00:00"/>
    <x v="3"/>
    <s v="Beach"/>
    <s v="Website"/>
    <x v="0"/>
    <n v="1"/>
    <x v="10"/>
    <n v="0.13075929750140999"/>
    <x v="10"/>
    <x v="8"/>
    <x v="1"/>
  </r>
  <r>
    <d v="2024-03-07T00:00:00"/>
    <x v="3"/>
    <s v="Adventure"/>
    <s v="Website"/>
    <x v="4"/>
    <n v="1"/>
    <x v="10"/>
    <n v="0.13075929750140999"/>
    <x v="10"/>
    <x v="14"/>
    <x v="0"/>
  </r>
  <r>
    <d v="2024-03-07T00:00:00"/>
    <x v="3"/>
    <s v="Foodie"/>
    <s v="Website"/>
    <x v="8"/>
    <n v="2"/>
    <x v="10"/>
    <n v="0.13075929750140999"/>
    <x v="10"/>
    <x v="4"/>
    <x v="1"/>
  </r>
  <r>
    <d v="2024-03-07T00:00:00"/>
    <x v="1"/>
    <s v="City Break"/>
    <s v="Agent"/>
    <x v="0"/>
    <n v="1"/>
    <x v="10"/>
    <n v="0.13075929750140999"/>
    <x v="10"/>
    <x v="10"/>
    <x v="0"/>
  </r>
  <r>
    <d v="2024-03-08T00:00:00"/>
    <x v="1"/>
    <s v="Adventure"/>
    <s v="Website"/>
    <x v="5"/>
    <n v="1"/>
    <x v="10"/>
    <n v="0.13075929750140999"/>
    <x v="10"/>
    <x v="6"/>
    <x v="1"/>
  </r>
  <r>
    <d v="2024-03-08T00:00:00"/>
    <x v="1"/>
    <s v="Adventure"/>
    <s v="Website"/>
    <x v="9"/>
    <n v="2"/>
    <x v="10"/>
    <n v="0.13075929750140999"/>
    <x v="10"/>
    <x v="7"/>
    <x v="1"/>
  </r>
  <r>
    <d v="2024-03-09T00:00:00"/>
    <x v="3"/>
    <s v="Foodie"/>
    <s v="Mobile App"/>
    <x v="4"/>
    <n v="1"/>
    <x v="10"/>
    <n v="0.13075929750140999"/>
    <x v="10"/>
    <x v="6"/>
    <x v="1"/>
  </r>
  <r>
    <d v="2024-03-09T00:00:00"/>
    <x v="0"/>
    <s v="Cultural"/>
    <s v="Agent"/>
    <x v="2"/>
    <n v="2"/>
    <x v="10"/>
    <n v="0.13075929750140999"/>
    <x v="10"/>
    <x v="12"/>
    <x v="0"/>
  </r>
  <r>
    <d v="2024-03-09T00:00:00"/>
    <x v="0"/>
    <s v="Adventure"/>
    <s v="Website"/>
    <x v="9"/>
    <n v="2"/>
    <x v="10"/>
    <n v="0.13075929750140999"/>
    <x v="10"/>
    <x v="4"/>
    <x v="1"/>
  </r>
  <r>
    <d v="2024-03-09T00:00:00"/>
    <x v="0"/>
    <s v="Beach"/>
    <s v="Mobile App"/>
    <x v="6"/>
    <n v="1"/>
    <x v="10"/>
    <n v="0.13075929750140999"/>
    <x v="10"/>
    <x v="9"/>
    <x v="0"/>
  </r>
  <r>
    <d v="2024-03-09T00:00:00"/>
    <x v="3"/>
    <s v="Family"/>
    <s v="Mobile App"/>
    <x v="3"/>
    <n v="4"/>
    <x v="10"/>
    <n v="0.13075929750140999"/>
    <x v="10"/>
    <x v="12"/>
    <x v="0"/>
  </r>
  <r>
    <d v="2024-03-09T00:00:00"/>
    <x v="1"/>
    <s v="Family"/>
    <s v="Website"/>
    <x v="9"/>
    <n v="4"/>
    <x v="10"/>
    <n v="0.13075929750140999"/>
    <x v="10"/>
    <x v="0"/>
    <x v="0"/>
  </r>
  <r>
    <d v="2024-03-10T00:00:00"/>
    <x v="0"/>
    <s v="Beach"/>
    <s v="Website"/>
    <x v="6"/>
    <n v="2"/>
    <x v="10"/>
    <n v="0.13075929750140999"/>
    <x v="10"/>
    <x v="8"/>
    <x v="0"/>
  </r>
  <r>
    <d v="2024-03-10T00:00:00"/>
    <x v="1"/>
    <s v="City Break"/>
    <s v="Agent"/>
    <x v="0"/>
    <n v="1"/>
    <x v="10"/>
    <n v="0.13075929750140999"/>
    <x v="10"/>
    <x v="3"/>
    <x v="0"/>
  </r>
  <r>
    <d v="2024-03-10T00:00:00"/>
    <x v="1"/>
    <s v="Adventure"/>
    <s v="Website"/>
    <x v="3"/>
    <n v="1"/>
    <x v="10"/>
    <n v="0.13075929750140999"/>
    <x v="10"/>
    <x v="2"/>
    <x v="1"/>
  </r>
  <r>
    <d v="2024-03-10T00:00:00"/>
    <x v="3"/>
    <s v="Beach"/>
    <s v="Website"/>
    <x v="2"/>
    <n v="2"/>
    <x v="10"/>
    <n v="0.13075929750140999"/>
    <x v="10"/>
    <x v="5"/>
    <x v="0"/>
  </r>
  <r>
    <d v="2024-03-11T00:00:00"/>
    <x v="3"/>
    <s v="Beach"/>
    <s v="Mobile App"/>
    <x v="7"/>
    <n v="5"/>
    <x v="10"/>
    <n v="0.13075929750140999"/>
    <x v="10"/>
    <x v="12"/>
    <x v="0"/>
  </r>
  <r>
    <d v="2024-03-11T00:00:00"/>
    <x v="1"/>
    <s v="Cultural"/>
    <s v="Agent"/>
    <x v="1"/>
    <n v="2"/>
    <x v="10"/>
    <n v="0.13075929750140999"/>
    <x v="10"/>
    <x v="15"/>
    <x v="0"/>
  </r>
  <r>
    <d v="2024-03-11T00:00:00"/>
    <x v="0"/>
    <s v="Cultural"/>
    <s v="Website"/>
    <x v="6"/>
    <n v="2"/>
    <x v="10"/>
    <n v="0.13075929750140999"/>
    <x v="10"/>
    <x v="5"/>
    <x v="1"/>
  </r>
  <r>
    <d v="2024-03-11T00:00:00"/>
    <x v="1"/>
    <s v="Foodie"/>
    <s v="Agent"/>
    <x v="7"/>
    <n v="3"/>
    <x v="10"/>
    <n v="0.13075929750140999"/>
    <x v="10"/>
    <x v="12"/>
    <x v="0"/>
  </r>
  <r>
    <d v="2024-03-11T00:00:00"/>
    <x v="1"/>
    <s v="Beach"/>
    <s v="Website"/>
    <x v="8"/>
    <n v="3"/>
    <x v="10"/>
    <n v="0.13075929750140999"/>
    <x v="10"/>
    <x v="6"/>
    <x v="1"/>
  </r>
  <r>
    <d v="2024-03-11T00:00:00"/>
    <x v="2"/>
    <s v="City Break"/>
    <s v="Website"/>
    <x v="0"/>
    <n v="4"/>
    <x v="10"/>
    <n v="0.13075929750140999"/>
    <x v="10"/>
    <x v="7"/>
    <x v="1"/>
  </r>
  <r>
    <d v="2024-03-12T00:00:00"/>
    <x v="3"/>
    <s v="Cultural"/>
    <s v="Agent"/>
    <x v="9"/>
    <n v="1"/>
    <x v="10"/>
    <n v="0.13075929750140999"/>
    <x v="10"/>
    <x v="0"/>
    <x v="0"/>
  </r>
  <r>
    <d v="2024-03-12T00:00:00"/>
    <x v="1"/>
    <s v="Foodie"/>
    <s v="Website"/>
    <x v="1"/>
    <n v="4"/>
    <x v="10"/>
    <n v="0.13075929750140999"/>
    <x v="10"/>
    <x v="15"/>
    <x v="0"/>
  </r>
  <r>
    <d v="2024-03-13T00:00:00"/>
    <x v="1"/>
    <s v="Beach"/>
    <s v="Website"/>
    <x v="2"/>
    <n v="3"/>
    <x v="10"/>
    <n v="0.13075929750140999"/>
    <x v="10"/>
    <x v="4"/>
    <x v="1"/>
  </r>
  <r>
    <d v="2024-03-13T00:00:00"/>
    <x v="1"/>
    <s v="Cultural"/>
    <s v="Website"/>
    <x v="2"/>
    <n v="1"/>
    <x v="10"/>
    <n v="0.13075929750140999"/>
    <x v="10"/>
    <x v="2"/>
    <x v="1"/>
  </r>
  <r>
    <d v="2024-03-13T00:00:00"/>
    <x v="0"/>
    <s v="Beach"/>
    <s v="Website"/>
    <x v="5"/>
    <n v="3"/>
    <x v="10"/>
    <n v="0.13075929750140999"/>
    <x v="10"/>
    <x v="12"/>
    <x v="1"/>
  </r>
  <r>
    <d v="2024-03-14T00:00:00"/>
    <x v="1"/>
    <s v="Beach"/>
    <s v="Mobile App"/>
    <x v="8"/>
    <n v="1"/>
    <x v="10"/>
    <n v="0.13075929750140999"/>
    <x v="10"/>
    <x v="4"/>
    <x v="0"/>
  </r>
  <r>
    <d v="2024-03-15T00:00:00"/>
    <x v="0"/>
    <s v="City Break"/>
    <s v="Agent"/>
    <x v="0"/>
    <n v="3"/>
    <x v="10"/>
    <n v="0.13075929750140999"/>
    <x v="10"/>
    <x v="5"/>
    <x v="0"/>
  </r>
  <r>
    <d v="2024-03-15T00:00:00"/>
    <x v="3"/>
    <s v="Adventure"/>
    <s v="Website"/>
    <x v="4"/>
    <n v="1"/>
    <x v="10"/>
    <n v="0.13075929750140999"/>
    <x v="10"/>
    <x v="13"/>
    <x v="0"/>
  </r>
  <r>
    <d v="2024-03-15T00:00:00"/>
    <x v="3"/>
    <s v="Cultural"/>
    <s v="Website"/>
    <x v="0"/>
    <n v="3"/>
    <x v="10"/>
    <n v="0.13075929750140999"/>
    <x v="10"/>
    <x v="0"/>
    <x v="0"/>
  </r>
  <r>
    <d v="2024-03-16T00:00:00"/>
    <x v="2"/>
    <s v="Cultural"/>
    <s v="Agent"/>
    <x v="6"/>
    <n v="1"/>
    <x v="10"/>
    <n v="0.13075929750140999"/>
    <x v="10"/>
    <x v="2"/>
    <x v="0"/>
  </r>
  <r>
    <d v="2024-03-16T00:00:00"/>
    <x v="2"/>
    <s v="Adventure"/>
    <s v="Agent"/>
    <x v="8"/>
    <n v="1"/>
    <x v="10"/>
    <n v="0.13075929750140999"/>
    <x v="10"/>
    <x v="6"/>
    <x v="1"/>
  </r>
  <r>
    <d v="2024-03-17T00:00:00"/>
    <x v="3"/>
    <s v="Cultural"/>
    <s v="Website"/>
    <x v="3"/>
    <n v="1"/>
    <x v="10"/>
    <n v="0.13075929750140999"/>
    <x v="10"/>
    <x v="1"/>
    <x v="0"/>
  </r>
  <r>
    <d v="2024-03-17T00:00:00"/>
    <x v="0"/>
    <s v="Foodie"/>
    <s v="Mobile App"/>
    <x v="8"/>
    <n v="1"/>
    <x v="10"/>
    <n v="0.13075929750140999"/>
    <x v="10"/>
    <x v="13"/>
    <x v="1"/>
  </r>
  <r>
    <d v="2024-03-17T00:00:00"/>
    <x v="3"/>
    <s v="Family"/>
    <s v="Mobile App"/>
    <x v="1"/>
    <n v="2"/>
    <x v="10"/>
    <n v="0.13075929750140999"/>
    <x v="10"/>
    <x v="0"/>
    <x v="0"/>
  </r>
  <r>
    <d v="2024-03-18T00:00:00"/>
    <x v="1"/>
    <s v="Cultural"/>
    <s v="Website"/>
    <x v="7"/>
    <n v="2"/>
    <x v="10"/>
    <n v="0.13075929750140999"/>
    <x v="10"/>
    <x v="1"/>
    <x v="1"/>
  </r>
  <r>
    <d v="2024-03-18T00:00:00"/>
    <x v="3"/>
    <s v="Beach"/>
    <s v="Agent"/>
    <x v="2"/>
    <n v="2"/>
    <x v="10"/>
    <n v="0.13075929750140999"/>
    <x v="10"/>
    <x v="0"/>
    <x v="0"/>
  </r>
  <r>
    <d v="2024-03-18T00:00:00"/>
    <x v="0"/>
    <s v="Adventure"/>
    <s v="Website"/>
    <x v="3"/>
    <n v="2"/>
    <x v="10"/>
    <n v="0.13075929750140999"/>
    <x v="10"/>
    <x v="15"/>
    <x v="1"/>
  </r>
  <r>
    <d v="2024-03-18T00:00:00"/>
    <x v="3"/>
    <s v="Foodie"/>
    <s v="Website"/>
    <x v="4"/>
    <n v="1"/>
    <x v="10"/>
    <n v="0.13075929750140999"/>
    <x v="10"/>
    <x v="14"/>
    <x v="1"/>
  </r>
  <r>
    <d v="2024-03-19T00:00:00"/>
    <x v="3"/>
    <s v="Cultural"/>
    <s v="Website"/>
    <x v="8"/>
    <n v="1"/>
    <x v="10"/>
    <n v="0.13075929750140999"/>
    <x v="10"/>
    <x v="4"/>
    <x v="1"/>
  </r>
  <r>
    <d v="2024-03-19T00:00:00"/>
    <x v="0"/>
    <s v="Beach"/>
    <s v="Agent"/>
    <x v="4"/>
    <n v="3"/>
    <x v="10"/>
    <n v="0.13075929750140999"/>
    <x v="10"/>
    <x v="7"/>
    <x v="1"/>
  </r>
  <r>
    <d v="2024-03-19T00:00:00"/>
    <x v="3"/>
    <s v="Cultural"/>
    <s v="Agent"/>
    <x v="5"/>
    <n v="4"/>
    <x v="10"/>
    <n v="0.13075929750140999"/>
    <x v="10"/>
    <x v="2"/>
    <x v="1"/>
  </r>
  <r>
    <d v="2024-03-20T00:00:00"/>
    <x v="3"/>
    <s v="City Break"/>
    <s v="Website"/>
    <x v="5"/>
    <n v="4"/>
    <x v="10"/>
    <n v="0.13075929750140999"/>
    <x v="10"/>
    <x v="13"/>
    <x v="1"/>
  </r>
  <r>
    <d v="2024-03-20T00:00:00"/>
    <x v="1"/>
    <s v="Adventure"/>
    <s v="Website"/>
    <x v="5"/>
    <n v="1"/>
    <x v="10"/>
    <n v="0.13075929750140999"/>
    <x v="10"/>
    <x v="15"/>
    <x v="0"/>
  </r>
  <r>
    <d v="2024-03-20T00:00:00"/>
    <x v="1"/>
    <s v="Cultural"/>
    <s v="Website"/>
    <x v="9"/>
    <n v="1"/>
    <x v="10"/>
    <n v="0.13075929750140999"/>
    <x v="10"/>
    <x v="0"/>
    <x v="0"/>
  </r>
  <r>
    <d v="2024-03-20T00:00:00"/>
    <x v="3"/>
    <s v="Family"/>
    <s v="Mobile App"/>
    <x v="9"/>
    <n v="1"/>
    <x v="10"/>
    <n v="0.13075929750140999"/>
    <x v="10"/>
    <x v="0"/>
    <x v="1"/>
  </r>
  <r>
    <d v="2024-03-20T00:00:00"/>
    <x v="0"/>
    <s v="Family"/>
    <s v="Website"/>
    <x v="3"/>
    <n v="2"/>
    <x v="10"/>
    <n v="0.13075929750140999"/>
    <x v="10"/>
    <x v="6"/>
    <x v="1"/>
  </r>
  <r>
    <d v="2024-03-20T00:00:00"/>
    <x v="2"/>
    <s v="Beach"/>
    <s v="Website"/>
    <x v="3"/>
    <n v="1"/>
    <x v="10"/>
    <n v="0.13075929750140999"/>
    <x v="10"/>
    <x v="2"/>
    <x v="0"/>
  </r>
  <r>
    <d v="2024-03-21T00:00:00"/>
    <x v="3"/>
    <s v="Family"/>
    <s v="Mobile App"/>
    <x v="8"/>
    <n v="5"/>
    <x v="10"/>
    <n v="0.13075929750140999"/>
    <x v="10"/>
    <x v="5"/>
    <x v="1"/>
  </r>
  <r>
    <d v="2024-03-21T00:00:00"/>
    <x v="1"/>
    <s v="Family"/>
    <s v="Website"/>
    <x v="5"/>
    <n v="5"/>
    <x v="10"/>
    <n v="0.13075929750140999"/>
    <x v="10"/>
    <x v="15"/>
    <x v="0"/>
  </r>
  <r>
    <d v="2024-03-21T00:00:00"/>
    <x v="0"/>
    <s v="Cultural"/>
    <s v="Agent"/>
    <x v="2"/>
    <n v="1"/>
    <x v="10"/>
    <n v="0.13075929750140999"/>
    <x v="10"/>
    <x v="6"/>
    <x v="1"/>
  </r>
  <r>
    <d v="2024-03-21T00:00:00"/>
    <x v="3"/>
    <s v="Cultural"/>
    <s v="Mobile App"/>
    <x v="8"/>
    <n v="2"/>
    <x v="10"/>
    <n v="0.13075929750140999"/>
    <x v="10"/>
    <x v="2"/>
    <x v="1"/>
  </r>
  <r>
    <d v="2024-03-22T00:00:00"/>
    <x v="2"/>
    <s v="City Break"/>
    <s v="Mobile App"/>
    <x v="4"/>
    <n v="3"/>
    <x v="10"/>
    <n v="0.13075929750140999"/>
    <x v="10"/>
    <x v="2"/>
    <x v="0"/>
  </r>
  <r>
    <d v="2024-03-22T00:00:00"/>
    <x v="2"/>
    <s v="Adventure"/>
    <s v="Agent"/>
    <x v="8"/>
    <n v="1"/>
    <x v="10"/>
    <n v="0.13075929750140999"/>
    <x v="10"/>
    <x v="2"/>
    <x v="1"/>
  </r>
  <r>
    <d v="2024-03-22T00:00:00"/>
    <x v="1"/>
    <s v="Cultural"/>
    <s v="Website"/>
    <x v="5"/>
    <n v="3"/>
    <x v="10"/>
    <n v="0.13075929750140999"/>
    <x v="10"/>
    <x v="6"/>
    <x v="0"/>
  </r>
  <r>
    <d v="2024-03-22T00:00:00"/>
    <x v="2"/>
    <s v="Cultural"/>
    <s v="Website"/>
    <x v="8"/>
    <n v="1"/>
    <x v="10"/>
    <n v="0.13075929750140999"/>
    <x v="10"/>
    <x v="19"/>
    <x v="0"/>
  </r>
  <r>
    <d v="2024-03-23T00:00:00"/>
    <x v="0"/>
    <s v="Family"/>
    <s v="Website"/>
    <x v="2"/>
    <n v="4"/>
    <x v="10"/>
    <n v="0.13075929750140999"/>
    <x v="10"/>
    <x v="2"/>
    <x v="1"/>
  </r>
  <r>
    <d v="2024-03-23T00:00:00"/>
    <x v="0"/>
    <s v="Foodie"/>
    <s v="Agent"/>
    <x v="2"/>
    <n v="2"/>
    <x v="10"/>
    <n v="0.13075929750140999"/>
    <x v="10"/>
    <x v="8"/>
    <x v="0"/>
  </r>
  <r>
    <d v="2024-03-23T00:00:00"/>
    <x v="3"/>
    <s v="Beach"/>
    <s v="Mobile App"/>
    <x v="1"/>
    <n v="1"/>
    <x v="10"/>
    <n v="0.13075929750140999"/>
    <x v="10"/>
    <x v="15"/>
    <x v="0"/>
  </r>
  <r>
    <d v="2024-03-23T00:00:00"/>
    <x v="2"/>
    <s v="Family"/>
    <s v="Agent"/>
    <x v="3"/>
    <n v="2"/>
    <x v="10"/>
    <n v="0.13075929750140999"/>
    <x v="10"/>
    <x v="7"/>
    <x v="1"/>
  </r>
  <r>
    <d v="2024-03-24T00:00:00"/>
    <x v="1"/>
    <s v="Beach"/>
    <s v="Mobile App"/>
    <x v="0"/>
    <n v="1"/>
    <x v="10"/>
    <n v="0.13075929750140999"/>
    <x v="10"/>
    <x v="0"/>
    <x v="1"/>
  </r>
  <r>
    <d v="2024-03-24T00:00:00"/>
    <x v="0"/>
    <s v="Adventure"/>
    <s v="Mobile App"/>
    <x v="4"/>
    <n v="2"/>
    <x v="10"/>
    <n v="0.13075929750140999"/>
    <x v="10"/>
    <x v="13"/>
    <x v="0"/>
  </r>
  <r>
    <d v="2024-03-24T00:00:00"/>
    <x v="0"/>
    <s v="Cultural"/>
    <s v="Website"/>
    <x v="5"/>
    <n v="2"/>
    <x v="10"/>
    <n v="0.13075929750140999"/>
    <x v="10"/>
    <x v="8"/>
    <x v="1"/>
  </r>
  <r>
    <d v="2024-03-24T00:00:00"/>
    <x v="0"/>
    <s v="City Break"/>
    <s v="Mobile App"/>
    <x v="5"/>
    <n v="1"/>
    <x v="10"/>
    <n v="0.13075929750140999"/>
    <x v="10"/>
    <x v="0"/>
    <x v="1"/>
  </r>
  <r>
    <d v="2024-03-25T00:00:00"/>
    <x v="1"/>
    <s v="Foodie"/>
    <s v="Agent"/>
    <x v="3"/>
    <n v="1"/>
    <x v="10"/>
    <n v="0.13075929750140999"/>
    <x v="10"/>
    <x v="13"/>
    <x v="0"/>
  </r>
  <r>
    <d v="2024-03-25T00:00:00"/>
    <x v="3"/>
    <s v="City Break"/>
    <s v="Website"/>
    <x v="2"/>
    <n v="3"/>
    <x v="10"/>
    <n v="0.13075929750140999"/>
    <x v="10"/>
    <x v="2"/>
    <x v="1"/>
  </r>
  <r>
    <d v="2024-03-25T00:00:00"/>
    <x v="0"/>
    <s v="Family"/>
    <s v="Agent"/>
    <x v="2"/>
    <n v="2"/>
    <x v="10"/>
    <n v="0.13075929750140999"/>
    <x v="10"/>
    <x v="12"/>
    <x v="0"/>
  </r>
  <r>
    <d v="2024-03-25T00:00:00"/>
    <x v="0"/>
    <s v="Beach"/>
    <s v="Call Center"/>
    <x v="9"/>
    <n v="1"/>
    <x v="10"/>
    <n v="0.13075929750140999"/>
    <x v="10"/>
    <x v="13"/>
    <x v="1"/>
  </r>
  <r>
    <d v="2024-03-25T00:00:00"/>
    <x v="1"/>
    <s v="Beach"/>
    <s v="Mobile App"/>
    <x v="2"/>
    <n v="3"/>
    <x v="10"/>
    <n v="0.13075929750140999"/>
    <x v="10"/>
    <x v="9"/>
    <x v="1"/>
  </r>
  <r>
    <d v="2024-03-26T00:00:00"/>
    <x v="2"/>
    <s v="Cultural"/>
    <s v="Mobile App"/>
    <x v="0"/>
    <n v="2"/>
    <x v="10"/>
    <n v="0.13075929750140999"/>
    <x v="10"/>
    <x v="4"/>
    <x v="0"/>
  </r>
  <r>
    <d v="2024-03-26T00:00:00"/>
    <x v="3"/>
    <s v="Beach"/>
    <s v="Agent"/>
    <x v="1"/>
    <n v="1"/>
    <x v="10"/>
    <n v="0.13075929750140999"/>
    <x v="10"/>
    <x v="14"/>
    <x v="0"/>
  </r>
  <r>
    <d v="2024-03-26T00:00:00"/>
    <x v="2"/>
    <s v="Beach"/>
    <s v="Agent"/>
    <x v="8"/>
    <n v="4"/>
    <x v="10"/>
    <n v="0.13075929750140999"/>
    <x v="10"/>
    <x v="5"/>
    <x v="0"/>
  </r>
  <r>
    <d v="2024-03-27T00:00:00"/>
    <x v="2"/>
    <s v="Cultural"/>
    <s v="Website"/>
    <x v="3"/>
    <n v="2"/>
    <x v="10"/>
    <n v="0.13075929750140999"/>
    <x v="10"/>
    <x v="12"/>
    <x v="0"/>
  </r>
  <r>
    <d v="2024-03-27T00:00:00"/>
    <x v="3"/>
    <s v="Beach"/>
    <s v="Website"/>
    <x v="5"/>
    <n v="2"/>
    <x v="10"/>
    <n v="0.13075929750140999"/>
    <x v="10"/>
    <x v="14"/>
    <x v="1"/>
  </r>
  <r>
    <d v="2024-03-27T00:00:00"/>
    <x v="3"/>
    <s v="Cultural"/>
    <s v="Agent"/>
    <x v="4"/>
    <n v="1"/>
    <x v="10"/>
    <n v="0.13075929750140999"/>
    <x v="10"/>
    <x v="12"/>
    <x v="0"/>
  </r>
  <r>
    <d v="2024-03-27T00:00:00"/>
    <x v="1"/>
    <s v="Cultural"/>
    <s v="Mobile App"/>
    <x v="8"/>
    <n v="2"/>
    <x v="10"/>
    <n v="0.13075929750140999"/>
    <x v="10"/>
    <x v="16"/>
    <x v="1"/>
  </r>
  <r>
    <d v="2024-03-27T00:00:00"/>
    <x v="3"/>
    <s v="Beach"/>
    <s v="Website"/>
    <x v="4"/>
    <n v="5"/>
    <x v="10"/>
    <n v="0.13075929750140999"/>
    <x v="10"/>
    <x v="17"/>
    <x v="0"/>
  </r>
  <r>
    <d v="2024-03-27T00:00:00"/>
    <x v="1"/>
    <s v="Cultural"/>
    <s v="Website"/>
    <x v="8"/>
    <n v="1"/>
    <x v="10"/>
    <n v="0.13075929750140999"/>
    <x v="10"/>
    <x v="6"/>
    <x v="0"/>
  </r>
  <r>
    <d v="2024-03-28T00:00:00"/>
    <x v="1"/>
    <s v="Family"/>
    <s v="Website"/>
    <x v="1"/>
    <n v="4"/>
    <x v="10"/>
    <n v="0.13075929750140999"/>
    <x v="10"/>
    <x v="1"/>
    <x v="1"/>
  </r>
  <r>
    <d v="2024-03-28T00:00:00"/>
    <x v="0"/>
    <s v="Beach"/>
    <s v="Website"/>
    <x v="0"/>
    <n v="1"/>
    <x v="10"/>
    <n v="0.13075929750140999"/>
    <x v="10"/>
    <x v="8"/>
    <x v="1"/>
  </r>
  <r>
    <d v="2024-03-29T00:00:00"/>
    <x v="1"/>
    <s v="Beach"/>
    <s v="Website"/>
    <x v="9"/>
    <n v="1"/>
    <x v="10"/>
    <n v="0.13075929750140999"/>
    <x v="10"/>
    <x v="5"/>
    <x v="0"/>
  </r>
  <r>
    <d v="2024-03-29T00:00:00"/>
    <x v="1"/>
    <s v="City Break"/>
    <s v="Agent"/>
    <x v="7"/>
    <n v="3"/>
    <x v="10"/>
    <n v="0.13075929750140999"/>
    <x v="10"/>
    <x v="1"/>
    <x v="1"/>
  </r>
  <r>
    <d v="2024-03-29T00:00:00"/>
    <x v="3"/>
    <s v="City Break"/>
    <s v="Website"/>
    <x v="3"/>
    <n v="1"/>
    <x v="10"/>
    <n v="0.13075929750140999"/>
    <x v="10"/>
    <x v="17"/>
    <x v="0"/>
  </r>
  <r>
    <d v="2024-03-29T00:00:00"/>
    <x v="3"/>
    <s v="Cultural"/>
    <s v="Mobile App"/>
    <x v="3"/>
    <n v="2"/>
    <x v="10"/>
    <n v="0.13075929750140999"/>
    <x v="10"/>
    <x v="5"/>
    <x v="1"/>
  </r>
  <r>
    <d v="2024-03-29T00:00:00"/>
    <x v="3"/>
    <s v="Family"/>
    <s v="Mobile App"/>
    <x v="8"/>
    <n v="2"/>
    <x v="10"/>
    <n v="0.13075929750140999"/>
    <x v="10"/>
    <x v="5"/>
    <x v="1"/>
  </r>
  <r>
    <d v="2024-03-29T00:00:00"/>
    <x v="2"/>
    <s v="City Break"/>
    <s v="Website"/>
    <x v="8"/>
    <n v="4"/>
    <x v="10"/>
    <n v="0.13075929750140999"/>
    <x v="10"/>
    <x v="15"/>
    <x v="0"/>
  </r>
  <r>
    <d v="2024-03-30T00:00:00"/>
    <x v="1"/>
    <s v="Family"/>
    <s v="Mobile App"/>
    <x v="8"/>
    <n v="3"/>
    <x v="10"/>
    <n v="0.13075929750140999"/>
    <x v="10"/>
    <x v="0"/>
    <x v="1"/>
  </r>
  <r>
    <d v="2024-03-30T00:00:00"/>
    <x v="1"/>
    <s v="Family"/>
    <s v="Website"/>
    <x v="9"/>
    <n v="3"/>
    <x v="10"/>
    <n v="0.13075929750140999"/>
    <x v="10"/>
    <x v="13"/>
    <x v="0"/>
  </r>
  <r>
    <d v="2024-03-30T00:00:00"/>
    <x v="1"/>
    <s v="Adventure"/>
    <s v="Call Center"/>
    <x v="8"/>
    <n v="2"/>
    <x v="10"/>
    <n v="0.13075929750140999"/>
    <x v="10"/>
    <x v="8"/>
    <x v="0"/>
  </r>
  <r>
    <d v="2024-03-30T00:00:00"/>
    <x v="2"/>
    <s v="City Break"/>
    <s v="Mobile App"/>
    <x v="1"/>
    <n v="2"/>
    <x v="10"/>
    <n v="0.13075929750140999"/>
    <x v="10"/>
    <x v="12"/>
    <x v="1"/>
  </r>
  <r>
    <d v="2024-03-30T00:00:00"/>
    <x v="1"/>
    <s v="Cultural"/>
    <s v="Website"/>
    <x v="1"/>
    <n v="1"/>
    <x v="10"/>
    <n v="0.13075929750140999"/>
    <x v="10"/>
    <x v="4"/>
    <x v="0"/>
  </r>
  <r>
    <d v="2024-03-31T00:00:00"/>
    <x v="3"/>
    <s v="Family"/>
    <s v="Mobile App"/>
    <x v="0"/>
    <n v="3"/>
    <x v="10"/>
    <n v="0.13075929750140999"/>
    <x v="10"/>
    <x v="0"/>
    <x v="0"/>
  </r>
  <r>
    <d v="2024-03-31T00:00:00"/>
    <x v="3"/>
    <s v="Beach"/>
    <s v="Call Center"/>
    <x v="1"/>
    <n v="2"/>
    <x v="10"/>
    <n v="0.13075929750140999"/>
    <x v="10"/>
    <x v="13"/>
    <x v="0"/>
  </r>
  <r>
    <d v="2024-03-31T00:00:00"/>
    <x v="3"/>
    <s v="Foodie"/>
    <s v="Website"/>
    <x v="3"/>
    <n v="1"/>
    <x v="10"/>
    <n v="0.13075929750140999"/>
    <x v="10"/>
    <x v="18"/>
    <x v="0"/>
  </r>
  <r>
    <d v="2024-03-31T00:00:00"/>
    <x v="1"/>
    <s v="Foodie"/>
    <s v="Website"/>
    <x v="1"/>
    <n v="1"/>
    <x v="10"/>
    <n v="0.13075929750140999"/>
    <x v="10"/>
    <x v="1"/>
    <x v="1"/>
  </r>
  <r>
    <d v="2024-03-31T00:00:00"/>
    <x v="3"/>
    <s v="Family"/>
    <s v="Website"/>
    <x v="5"/>
    <n v="5"/>
    <x v="10"/>
    <n v="0.13075929750140999"/>
    <x v="10"/>
    <x v="3"/>
    <x v="0"/>
  </r>
  <r>
    <d v="2024-03-31T00:00:00"/>
    <x v="3"/>
    <s v="City Break"/>
    <s v="Agent"/>
    <x v="6"/>
    <n v="1"/>
    <x v="10"/>
    <n v="0.13075929750140999"/>
    <x v="10"/>
    <x v="10"/>
    <x v="1"/>
  </r>
  <r>
    <d v="2024-04-01T00:00:00"/>
    <x v="3"/>
    <s v="Adventure"/>
    <s v="Call Center"/>
    <x v="0"/>
    <n v="2"/>
    <x v="10"/>
    <n v="0.13075929750140999"/>
    <x v="10"/>
    <x v="5"/>
    <x v="0"/>
  </r>
  <r>
    <d v="2024-04-01T00:00:00"/>
    <x v="2"/>
    <s v="Foodie"/>
    <s v="Mobile App"/>
    <x v="2"/>
    <n v="3"/>
    <x v="10"/>
    <n v="0.13075929750140999"/>
    <x v="10"/>
    <x v="11"/>
    <x v="0"/>
  </r>
  <r>
    <d v="2024-04-02T00:00:00"/>
    <x v="0"/>
    <s v="Beach"/>
    <s v="Mobile App"/>
    <x v="9"/>
    <n v="4"/>
    <x v="10"/>
    <n v="0.13075929750140999"/>
    <x v="10"/>
    <x v="4"/>
    <x v="1"/>
  </r>
  <r>
    <d v="2024-04-02T00:00:00"/>
    <x v="1"/>
    <s v="Adventure"/>
    <s v="Mobile App"/>
    <x v="9"/>
    <n v="1"/>
    <x v="10"/>
    <n v="0.13075929750140999"/>
    <x v="10"/>
    <x v="1"/>
    <x v="0"/>
  </r>
  <r>
    <d v="2024-04-03T00:00:00"/>
    <x v="0"/>
    <s v="Cultural"/>
    <s v="Website"/>
    <x v="7"/>
    <n v="3"/>
    <x v="10"/>
    <n v="0.13075929750140999"/>
    <x v="10"/>
    <x v="0"/>
    <x v="0"/>
  </r>
  <r>
    <d v="2024-04-03T00:00:00"/>
    <x v="3"/>
    <s v="Beach"/>
    <s v="Website"/>
    <x v="6"/>
    <n v="1"/>
    <x v="10"/>
    <n v="0.13075929750140999"/>
    <x v="10"/>
    <x v="16"/>
    <x v="1"/>
  </r>
  <r>
    <d v="2024-04-03T00:00:00"/>
    <x v="1"/>
    <s v="Family"/>
    <s v="Agent"/>
    <x v="6"/>
    <n v="2"/>
    <x v="10"/>
    <n v="0.13075929750140999"/>
    <x v="10"/>
    <x v="8"/>
    <x v="1"/>
  </r>
  <r>
    <d v="2024-04-03T00:00:00"/>
    <x v="2"/>
    <s v="Cultural"/>
    <s v="Website"/>
    <x v="7"/>
    <n v="4"/>
    <x v="10"/>
    <n v="0.13075929750140999"/>
    <x v="10"/>
    <x v="12"/>
    <x v="1"/>
  </r>
  <r>
    <d v="2024-04-03T00:00:00"/>
    <x v="2"/>
    <s v="City Break"/>
    <s v="Website"/>
    <x v="8"/>
    <n v="1"/>
    <x v="10"/>
    <n v="0.13075929750140999"/>
    <x v="10"/>
    <x v="9"/>
    <x v="0"/>
  </r>
  <r>
    <d v="2024-04-04T00:00:00"/>
    <x v="3"/>
    <s v="Foodie"/>
    <s v="Website"/>
    <x v="0"/>
    <n v="3"/>
    <x v="10"/>
    <n v="0.13075929750140999"/>
    <x v="10"/>
    <x v="12"/>
    <x v="0"/>
  </r>
  <r>
    <d v="2024-04-04T00:00:00"/>
    <x v="1"/>
    <s v="Cultural"/>
    <s v="Website"/>
    <x v="5"/>
    <n v="1"/>
    <x v="10"/>
    <n v="0.13075929750140999"/>
    <x v="10"/>
    <x v="0"/>
    <x v="0"/>
  </r>
  <r>
    <d v="2024-04-04T00:00:00"/>
    <x v="3"/>
    <s v="Adventure"/>
    <s v="Agent"/>
    <x v="5"/>
    <n v="4"/>
    <x v="10"/>
    <n v="0.13075929750140999"/>
    <x v="10"/>
    <x v="5"/>
    <x v="0"/>
  </r>
  <r>
    <d v="2024-04-04T00:00:00"/>
    <x v="1"/>
    <s v="Foodie"/>
    <s v="Website"/>
    <x v="2"/>
    <n v="2"/>
    <x v="10"/>
    <n v="0.13075929750140999"/>
    <x v="10"/>
    <x v="15"/>
    <x v="0"/>
  </r>
  <r>
    <d v="2024-04-04T00:00:00"/>
    <x v="1"/>
    <s v="Adventure"/>
    <s v="Website"/>
    <x v="4"/>
    <n v="1"/>
    <x v="10"/>
    <n v="0.13075929750140999"/>
    <x v="10"/>
    <x v="4"/>
    <x v="0"/>
  </r>
  <r>
    <d v="2024-04-05T00:00:00"/>
    <x v="0"/>
    <s v="Adventure"/>
    <s v="Website"/>
    <x v="9"/>
    <n v="2"/>
    <x v="10"/>
    <n v="0.13075929750140999"/>
    <x v="10"/>
    <x v="5"/>
    <x v="0"/>
  </r>
  <r>
    <d v="2024-04-05T00:00:00"/>
    <x v="3"/>
    <s v="Beach"/>
    <s v="Mobile App"/>
    <x v="4"/>
    <n v="1"/>
    <x v="10"/>
    <n v="0.13075929750140999"/>
    <x v="10"/>
    <x v="4"/>
    <x v="0"/>
  </r>
  <r>
    <d v="2024-04-05T00:00:00"/>
    <x v="3"/>
    <s v="Adventure"/>
    <s v="Website"/>
    <x v="4"/>
    <n v="1"/>
    <x v="10"/>
    <n v="0.13075929750140999"/>
    <x v="10"/>
    <x v="0"/>
    <x v="1"/>
  </r>
  <r>
    <d v="2024-04-05T00:00:00"/>
    <x v="1"/>
    <s v="Beach"/>
    <s v="Website"/>
    <x v="4"/>
    <n v="2"/>
    <x v="10"/>
    <n v="0.13075929750140999"/>
    <x v="10"/>
    <x v="1"/>
    <x v="1"/>
  </r>
  <r>
    <d v="2024-04-05T00:00:00"/>
    <x v="1"/>
    <s v="Family"/>
    <s v="Agent"/>
    <x v="4"/>
    <n v="2"/>
    <x v="10"/>
    <n v="0.13075929750140999"/>
    <x v="10"/>
    <x v="1"/>
    <x v="0"/>
  </r>
  <r>
    <d v="2024-04-05T00:00:00"/>
    <x v="1"/>
    <s v="Foodie"/>
    <s v="Call Center"/>
    <x v="5"/>
    <n v="1"/>
    <x v="10"/>
    <n v="0.13075929750140999"/>
    <x v="10"/>
    <x v="4"/>
    <x v="0"/>
  </r>
  <r>
    <d v="2024-04-05T00:00:00"/>
    <x v="3"/>
    <s v="Adventure"/>
    <s v="Agent"/>
    <x v="5"/>
    <n v="5"/>
    <x v="10"/>
    <n v="0.13075929750140999"/>
    <x v="10"/>
    <x v="0"/>
    <x v="0"/>
  </r>
  <r>
    <d v="2024-04-06T00:00:00"/>
    <x v="3"/>
    <s v="Adventure"/>
    <s v="Mobile App"/>
    <x v="1"/>
    <n v="1"/>
    <x v="10"/>
    <n v="0.13075929750140999"/>
    <x v="10"/>
    <x v="1"/>
    <x v="0"/>
  </r>
  <r>
    <d v="2024-04-06T00:00:00"/>
    <x v="2"/>
    <s v="Adventure"/>
    <s v="Website"/>
    <x v="7"/>
    <n v="2"/>
    <x v="10"/>
    <n v="0.13075929750140999"/>
    <x v="10"/>
    <x v="7"/>
    <x v="0"/>
  </r>
  <r>
    <d v="2024-04-06T00:00:00"/>
    <x v="1"/>
    <s v="Adventure"/>
    <s v="Mobile App"/>
    <x v="7"/>
    <n v="2"/>
    <x v="10"/>
    <n v="0.13075929750140999"/>
    <x v="10"/>
    <x v="2"/>
    <x v="0"/>
  </r>
  <r>
    <d v="2024-04-06T00:00:00"/>
    <x v="3"/>
    <s v="Cultural"/>
    <s v="Agent"/>
    <x v="3"/>
    <n v="1"/>
    <x v="10"/>
    <n v="0.13075929750140999"/>
    <x v="10"/>
    <x v="10"/>
    <x v="0"/>
  </r>
  <r>
    <d v="2024-04-07T00:00:00"/>
    <x v="1"/>
    <s v="Foodie"/>
    <s v="Agent"/>
    <x v="2"/>
    <n v="1"/>
    <x v="10"/>
    <n v="0.13075929750140999"/>
    <x v="10"/>
    <x v="18"/>
    <x v="0"/>
  </r>
  <r>
    <d v="2024-04-07T00:00:00"/>
    <x v="1"/>
    <s v="City Break"/>
    <s v="Website"/>
    <x v="2"/>
    <n v="2"/>
    <x v="10"/>
    <n v="0.13075929750140999"/>
    <x v="10"/>
    <x v="17"/>
    <x v="1"/>
  </r>
  <r>
    <d v="2024-04-07T00:00:00"/>
    <x v="1"/>
    <s v="Family"/>
    <s v="Website"/>
    <x v="3"/>
    <n v="2"/>
    <x v="10"/>
    <n v="0.13075929750140999"/>
    <x v="10"/>
    <x v="12"/>
    <x v="0"/>
  </r>
  <r>
    <d v="2024-04-07T00:00:00"/>
    <x v="2"/>
    <s v="Cultural"/>
    <s v="Mobile App"/>
    <x v="1"/>
    <n v="2"/>
    <x v="10"/>
    <n v="0.13075929750140999"/>
    <x v="10"/>
    <x v="3"/>
    <x v="1"/>
  </r>
  <r>
    <d v="2024-04-07T00:00:00"/>
    <x v="3"/>
    <s v="Foodie"/>
    <s v="Website"/>
    <x v="6"/>
    <n v="1"/>
    <x v="10"/>
    <n v="0.13075929750140999"/>
    <x v="10"/>
    <x v="0"/>
    <x v="0"/>
  </r>
  <r>
    <d v="2024-04-07T00:00:00"/>
    <x v="1"/>
    <s v="Adventure"/>
    <s v="Mobile App"/>
    <x v="0"/>
    <n v="1"/>
    <x v="10"/>
    <n v="0.13075929750140999"/>
    <x v="10"/>
    <x v="4"/>
    <x v="1"/>
  </r>
  <r>
    <d v="2024-04-08T00:00:00"/>
    <x v="1"/>
    <s v="Foodie"/>
    <s v="Website"/>
    <x v="4"/>
    <n v="3"/>
    <x v="10"/>
    <n v="0.13075929750140999"/>
    <x v="10"/>
    <x v="2"/>
    <x v="1"/>
  </r>
  <r>
    <d v="2024-04-08T00:00:00"/>
    <x v="1"/>
    <s v="Beach"/>
    <s v="Website"/>
    <x v="9"/>
    <n v="2"/>
    <x v="10"/>
    <n v="0.13075929750140999"/>
    <x v="10"/>
    <x v="14"/>
    <x v="0"/>
  </r>
  <r>
    <d v="2024-04-08T00:00:00"/>
    <x v="0"/>
    <s v="Adventure"/>
    <s v="Agent"/>
    <x v="1"/>
    <n v="2"/>
    <x v="10"/>
    <n v="0.13075929750140999"/>
    <x v="10"/>
    <x v="0"/>
    <x v="0"/>
  </r>
  <r>
    <d v="2024-04-08T00:00:00"/>
    <x v="3"/>
    <s v="Beach"/>
    <s v="Website"/>
    <x v="2"/>
    <n v="1"/>
    <x v="10"/>
    <n v="0.13075929750140999"/>
    <x v="10"/>
    <x v="15"/>
    <x v="1"/>
  </r>
  <r>
    <d v="2024-04-08T00:00:00"/>
    <x v="1"/>
    <s v="Adventure"/>
    <s v="Agent"/>
    <x v="3"/>
    <n v="4"/>
    <x v="10"/>
    <n v="0.13075929750140999"/>
    <x v="10"/>
    <x v="7"/>
    <x v="1"/>
  </r>
  <r>
    <d v="2024-04-09T00:00:00"/>
    <x v="1"/>
    <s v="Family"/>
    <s v="Agent"/>
    <x v="1"/>
    <n v="5"/>
    <x v="10"/>
    <n v="0.13075929750140999"/>
    <x v="10"/>
    <x v="14"/>
    <x v="0"/>
  </r>
  <r>
    <d v="2024-04-09T00:00:00"/>
    <x v="2"/>
    <s v="Cultural"/>
    <s v="Mobile App"/>
    <x v="4"/>
    <n v="2"/>
    <x v="10"/>
    <n v="0.13075929750140999"/>
    <x v="10"/>
    <x v="8"/>
    <x v="0"/>
  </r>
  <r>
    <d v="2024-04-09T00:00:00"/>
    <x v="2"/>
    <s v="Family"/>
    <s v="Mobile App"/>
    <x v="3"/>
    <n v="4"/>
    <x v="10"/>
    <n v="0.13075929750140999"/>
    <x v="10"/>
    <x v="13"/>
    <x v="1"/>
  </r>
  <r>
    <d v="2024-04-09T00:00:00"/>
    <x v="0"/>
    <s v="Family"/>
    <s v="Agent"/>
    <x v="6"/>
    <n v="2"/>
    <x v="10"/>
    <n v="0.13075929750140999"/>
    <x v="10"/>
    <x v="3"/>
    <x v="0"/>
  </r>
  <r>
    <d v="2024-04-09T00:00:00"/>
    <x v="1"/>
    <s v="Beach"/>
    <s v="Mobile App"/>
    <x v="8"/>
    <n v="2"/>
    <x v="10"/>
    <n v="0.13075929750140999"/>
    <x v="10"/>
    <x v="8"/>
    <x v="1"/>
  </r>
  <r>
    <d v="2024-04-10T00:00:00"/>
    <x v="0"/>
    <s v="Family"/>
    <s v="Mobile App"/>
    <x v="8"/>
    <n v="3"/>
    <x v="10"/>
    <n v="0.13075929750140999"/>
    <x v="10"/>
    <x v="14"/>
    <x v="1"/>
  </r>
  <r>
    <d v="2024-04-10T00:00:00"/>
    <x v="1"/>
    <s v="Beach"/>
    <s v="Website"/>
    <x v="3"/>
    <n v="2"/>
    <x v="10"/>
    <n v="0.13075929750140999"/>
    <x v="10"/>
    <x v="1"/>
    <x v="0"/>
  </r>
  <r>
    <d v="2024-04-10T00:00:00"/>
    <x v="3"/>
    <s v="Cultural"/>
    <s v="Agent"/>
    <x v="7"/>
    <n v="1"/>
    <x v="10"/>
    <n v="0.13075929750140999"/>
    <x v="10"/>
    <x v="9"/>
    <x v="0"/>
  </r>
  <r>
    <d v="2024-04-10T00:00:00"/>
    <x v="1"/>
    <s v="Foodie"/>
    <s v="Website"/>
    <x v="5"/>
    <n v="1"/>
    <x v="10"/>
    <n v="0.13075929750140999"/>
    <x v="10"/>
    <x v="6"/>
    <x v="0"/>
  </r>
  <r>
    <d v="2024-04-10T00:00:00"/>
    <x v="3"/>
    <s v="Family"/>
    <s v="Website"/>
    <x v="0"/>
    <n v="4"/>
    <x v="10"/>
    <n v="0.13075929750140999"/>
    <x v="10"/>
    <x v="1"/>
    <x v="0"/>
  </r>
  <r>
    <d v="2024-04-10T00:00:00"/>
    <x v="0"/>
    <s v="Beach"/>
    <s v="Website"/>
    <x v="2"/>
    <n v="1"/>
    <x v="10"/>
    <n v="0.13075929750140999"/>
    <x v="10"/>
    <x v="4"/>
    <x v="0"/>
  </r>
  <r>
    <d v="2024-04-11T00:00:00"/>
    <x v="3"/>
    <s v="Beach"/>
    <s v="Website"/>
    <x v="2"/>
    <n v="2"/>
    <x v="10"/>
    <n v="0.13075929750140999"/>
    <x v="10"/>
    <x v="21"/>
    <x v="0"/>
  </r>
  <r>
    <d v="2024-04-11T00:00:00"/>
    <x v="1"/>
    <s v="Family"/>
    <s v="Website"/>
    <x v="5"/>
    <n v="1"/>
    <x v="10"/>
    <n v="0.13075929750140999"/>
    <x v="10"/>
    <x v="10"/>
    <x v="0"/>
  </r>
  <r>
    <d v="2024-04-11T00:00:00"/>
    <x v="0"/>
    <s v="Adventure"/>
    <s v="Website"/>
    <x v="4"/>
    <n v="2"/>
    <x v="10"/>
    <n v="0.13075929750140999"/>
    <x v="10"/>
    <x v="6"/>
    <x v="0"/>
  </r>
  <r>
    <d v="2024-04-11T00:00:00"/>
    <x v="1"/>
    <s v="Beach"/>
    <s v="Agent"/>
    <x v="9"/>
    <n v="2"/>
    <x v="10"/>
    <n v="0.13075929750140999"/>
    <x v="10"/>
    <x v="4"/>
    <x v="0"/>
  </r>
  <r>
    <d v="2024-04-11T00:00:00"/>
    <x v="0"/>
    <s v="City Break"/>
    <s v="Mobile App"/>
    <x v="9"/>
    <n v="1"/>
    <x v="10"/>
    <n v="0.13075929750140999"/>
    <x v="10"/>
    <x v="15"/>
    <x v="1"/>
  </r>
  <r>
    <d v="2024-04-12T00:00:00"/>
    <x v="1"/>
    <s v="Family"/>
    <s v="Website"/>
    <x v="6"/>
    <n v="2"/>
    <x v="10"/>
    <n v="0.13075929750140999"/>
    <x v="10"/>
    <x v="2"/>
    <x v="0"/>
  </r>
  <r>
    <d v="2024-04-12T00:00:00"/>
    <x v="1"/>
    <s v="City Break"/>
    <s v="Website"/>
    <x v="8"/>
    <n v="1"/>
    <x v="10"/>
    <n v="0.13075929750140999"/>
    <x v="10"/>
    <x v="19"/>
    <x v="0"/>
  </r>
  <r>
    <d v="2024-04-13T00:00:00"/>
    <x v="0"/>
    <s v="Cultural"/>
    <s v="Website"/>
    <x v="5"/>
    <n v="2"/>
    <x v="10"/>
    <n v="0.13075929750140999"/>
    <x v="10"/>
    <x v="8"/>
    <x v="0"/>
  </r>
  <r>
    <d v="2024-04-13T00:00:00"/>
    <x v="2"/>
    <s v="Cultural"/>
    <s v="Agent"/>
    <x v="5"/>
    <n v="1"/>
    <x v="10"/>
    <n v="0.13075929750140999"/>
    <x v="10"/>
    <x v="1"/>
    <x v="0"/>
  </r>
  <r>
    <d v="2024-04-13T00:00:00"/>
    <x v="3"/>
    <s v="Adventure"/>
    <s v="Call Center"/>
    <x v="6"/>
    <n v="1"/>
    <x v="10"/>
    <n v="0.13075929750140999"/>
    <x v="10"/>
    <x v="6"/>
    <x v="0"/>
  </r>
  <r>
    <d v="2024-04-13T00:00:00"/>
    <x v="1"/>
    <s v="Family"/>
    <s v="Website"/>
    <x v="7"/>
    <n v="4"/>
    <x v="10"/>
    <n v="0.13075929750140999"/>
    <x v="10"/>
    <x v="12"/>
    <x v="0"/>
  </r>
  <r>
    <d v="2024-04-13T00:00:00"/>
    <x v="3"/>
    <s v="Family"/>
    <s v="Mobile App"/>
    <x v="0"/>
    <n v="4"/>
    <x v="10"/>
    <n v="0.13075929750140999"/>
    <x v="10"/>
    <x v="1"/>
    <x v="0"/>
  </r>
  <r>
    <d v="2024-04-14T00:00:00"/>
    <x v="1"/>
    <s v="Cultural"/>
    <s v="Agent"/>
    <x v="9"/>
    <n v="2"/>
    <x v="10"/>
    <n v="0.13075929750140999"/>
    <x v="10"/>
    <x v="6"/>
    <x v="0"/>
  </r>
  <r>
    <d v="2024-04-14T00:00:00"/>
    <x v="1"/>
    <s v="City Break"/>
    <s v="Website"/>
    <x v="7"/>
    <n v="1"/>
    <x v="10"/>
    <n v="0.13075929750140999"/>
    <x v="10"/>
    <x v="6"/>
    <x v="0"/>
  </r>
  <r>
    <d v="2024-04-14T00:00:00"/>
    <x v="3"/>
    <s v="Cultural"/>
    <s v="Website"/>
    <x v="7"/>
    <n v="1"/>
    <x v="10"/>
    <n v="0.13075929750140999"/>
    <x v="10"/>
    <x v="7"/>
    <x v="1"/>
  </r>
  <r>
    <d v="2024-04-16T00:00:00"/>
    <x v="1"/>
    <s v="Adventure"/>
    <s v="Mobile App"/>
    <x v="9"/>
    <n v="1"/>
    <x v="10"/>
    <n v="0.13075929750140999"/>
    <x v="10"/>
    <x v="7"/>
    <x v="1"/>
  </r>
  <r>
    <d v="2024-04-16T00:00:00"/>
    <x v="2"/>
    <s v="Beach"/>
    <s v="Website"/>
    <x v="2"/>
    <n v="1"/>
    <x v="10"/>
    <n v="0.13075929750140999"/>
    <x v="10"/>
    <x v="13"/>
    <x v="0"/>
  </r>
  <r>
    <d v="2024-04-17T00:00:00"/>
    <x v="2"/>
    <s v="Family"/>
    <s v="Agent"/>
    <x v="4"/>
    <n v="3"/>
    <x v="10"/>
    <n v="0.13075929750140999"/>
    <x v="10"/>
    <x v="6"/>
    <x v="0"/>
  </r>
  <r>
    <d v="2024-04-17T00:00:00"/>
    <x v="3"/>
    <s v="Beach"/>
    <s v="Agent"/>
    <x v="4"/>
    <n v="1"/>
    <x v="10"/>
    <n v="0.13075929750140999"/>
    <x v="10"/>
    <x v="5"/>
    <x v="1"/>
  </r>
  <r>
    <d v="2024-04-17T00:00:00"/>
    <x v="3"/>
    <s v="Beach"/>
    <s v="Website"/>
    <x v="9"/>
    <n v="1"/>
    <x v="10"/>
    <n v="0.13075929750140999"/>
    <x v="10"/>
    <x v="2"/>
    <x v="1"/>
  </r>
  <r>
    <d v="2024-04-17T00:00:00"/>
    <x v="1"/>
    <s v="Beach"/>
    <s v="Mobile App"/>
    <x v="5"/>
    <n v="2"/>
    <x v="10"/>
    <n v="0.13075929750140999"/>
    <x v="10"/>
    <x v="10"/>
    <x v="1"/>
  </r>
  <r>
    <d v="2024-04-18T00:00:00"/>
    <x v="1"/>
    <s v="Foodie"/>
    <s v="Mobile App"/>
    <x v="7"/>
    <n v="1"/>
    <x v="10"/>
    <n v="0.13075929750140999"/>
    <x v="10"/>
    <x v="4"/>
    <x v="0"/>
  </r>
  <r>
    <d v="2024-04-18T00:00:00"/>
    <x v="2"/>
    <s v="City Break"/>
    <s v="Mobile App"/>
    <x v="3"/>
    <n v="2"/>
    <x v="10"/>
    <n v="0.13075929750140999"/>
    <x v="10"/>
    <x v="0"/>
    <x v="1"/>
  </r>
  <r>
    <d v="2024-04-18T00:00:00"/>
    <x v="3"/>
    <s v="Beach"/>
    <s v="Agent"/>
    <x v="7"/>
    <n v="1"/>
    <x v="10"/>
    <n v="0.13075929750140999"/>
    <x v="10"/>
    <x v="15"/>
    <x v="0"/>
  </r>
  <r>
    <d v="2024-04-18T00:00:00"/>
    <x v="3"/>
    <s v="Beach"/>
    <s v="Website"/>
    <x v="7"/>
    <n v="2"/>
    <x v="10"/>
    <n v="0.13075929750140999"/>
    <x v="10"/>
    <x v="12"/>
    <x v="1"/>
  </r>
  <r>
    <d v="2024-04-19T00:00:00"/>
    <x v="2"/>
    <s v="Foodie"/>
    <s v="Website"/>
    <x v="3"/>
    <n v="1"/>
    <x v="10"/>
    <n v="0.13075929750140999"/>
    <x v="10"/>
    <x v="2"/>
    <x v="1"/>
  </r>
  <r>
    <d v="2024-04-20T00:00:00"/>
    <x v="1"/>
    <s v="City Break"/>
    <s v="Website"/>
    <x v="1"/>
    <n v="2"/>
    <x v="10"/>
    <n v="0.13075929750140999"/>
    <x v="10"/>
    <x v="14"/>
    <x v="0"/>
  </r>
  <r>
    <d v="2024-04-20T00:00:00"/>
    <x v="3"/>
    <s v="Cultural"/>
    <s v="Website"/>
    <x v="6"/>
    <n v="1"/>
    <x v="10"/>
    <n v="0.13075929750140999"/>
    <x v="10"/>
    <x v="6"/>
    <x v="0"/>
  </r>
  <r>
    <d v="2024-04-20T00:00:00"/>
    <x v="2"/>
    <s v="Beach"/>
    <s v="Website"/>
    <x v="4"/>
    <n v="2"/>
    <x v="10"/>
    <n v="0.13075929750140999"/>
    <x v="10"/>
    <x v="6"/>
    <x v="1"/>
  </r>
  <r>
    <d v="2024-04-20T00:00:00"/>
    <x v="0"/>
    <s v="Beach"/>
    <s v="Agent"/>
    <x v="4"/>
    <n v="1"/>
    <x v="10"/>
    <n v="0.13075929750140999"/>
    <x v="10"/>
    <x v="0"/>
    <x v="1"/>
  </r>
  <r>
    <d v="2024-04-20T00:00:00"/>
    <x v="1"/>
    <s v="Beach"/>
    <s v="Agent"/>
    <x v="6"/>
    <n v="1"/>
    <x v="10"/>
    <n v="0.13075929750140999"/>
    <x v="10"/>
    <x v="2"/>
    <x v="1"/>
  </r>
  <r>
    <d v="2024-04-21T00:00:00"/>
    <x v="0"/>
    <s v="Beach"/>
    <s v="Website"/>
    <x v="4"/>
    <n v="1"/>
    <x v="10"/>
    <n v="0.13075929750140999"/>
    <x v="10"/>
    <x v="2"/>
    <x v="0"/>
  </r>
  <r>
    <d v="2024-04-21T00:00:00"/>
    <x v="1"/>
    <s v="Beach"/>
    <s v="Website"/>
    <x v="1"/>
    <n v="2"/>
    <x v="10"/>
    <n v="0.13075929750140999"/>
    <x v="10"/>
    <x v="0"/>
    <x v="1"/>
  </r>
  <r>
    <d v="2024-04-21T00:00:00"/>
    <x v="1"/>
    <s v="Cultural"/>
    <s v="Agent"/>
    <x v="9"/>
    <n v="3"/>
    <x v="10"/>
    <n v="0.13075929750140999"/>
    <x v="10"/>
    <x v="1"/>
    <x v="1"/>
  </r>
  <r>
    <d v="2024-04-21T00:00:00"/>
    <x v="3"/>
    <s v="Beach"/>
    <s v="Website"/>
    <x v="7"/>
    <n v="2"/>
    <x v="10"/>
    <n v="0.13075929750140999"/>
    <x v="10"/>
    <x v="6"/>
    <x v="0"/>
  </r>
  <r>
    <d v="2024-04-22T00:00:00"/>
    <x v="1"/>
    <s v="Family"/>
    <s v="Mobile App"/>
    <x v="0"/>
    <n v="4"/>
    <x v="10"/>
    <n v="0.13075929750140999"/>
    <x v="10"/>
    <x v="10"/>
    <x v="0"/>
  </r>
  <r>
    <d v="2024-04-22T00:00:00"/>
    <x v="2"/>
    <s v="Beach"/>
    <s v="Website"/>
    <x v="2"/>
    <n v="2"/>
    <x v="10"/>
    <n v="0.13075929750140999"/>
    <x v="10"/>
    <x v="2"/>
    <x v="0"/>
  </r>
  <r>
    <d v="2024-04-22T00:00:00"/>
    <x v="1"/>
    <s v="Beach"/>
    <s v="Website"/>
    <x v="5"/>
    <n v="2"/>
    <x v="10"/>
    <n v="0.13075929750140999"/>
    <x v="10"/>
    <x v="1"/>
    <x v="1"/>
  </r>
  <r>
    <d v="2024-04-22T00:00:00"/>
    <x v="1"/>
    <s v="Beach"/>
    <s v="Website"/>
    <x v="0"/>
    <n v="1"/>
    <x v="10"/>
    <n v="0.13075929750140999"/>
    <x v="10"/>
    <x v="5"/>
    <x v="1"/>
  </r>
  <r>
    <d v="2024-04-22T00:00:00"/>
    <x v="2"/>
    <s v="Beach"/>
    <s v="Website"/>
    <x v="0"/>
    <n v="2"/>
    <x v="10"/>
    <n v="0.13075929750140999"/>
    <x v="10"/>
    <x v="4"/>
    <x v="1"/>
  </r>
  <r>
    <d v="2024-04-23T00:00:00"/>
    <x v="2"/>
    <s v="Cultural"/>
    <s v="Website"/>
    <x v="2"/>
    <n v="1"/>
    <x v="10"/>
    <n v="0.13075929750140999"/>
    <x v="10"/>
    <x v="3"/>
    <x v="1"/>
  </r>
  <r>
    <d v="2024-04-23T00:00:00"/>
    <x v="2"/>
    <s v="Beach"/>
    <s v="Mobile App"/>
    <x v="1"/>
    <n v="4"/>
    <x v="10"/>
    <n v="0.13075929750140999"/>
    <x v="10"/>
    <x v="13"/>
    <x v="1"/>
  </r>
  <r>
    <d v="2024-04-23T00:00:00"/>
    <x v="3"/>
    <s v="Family"/>
    <s v="Website"/>
    <x v="8"/>
    <n v="2"/>
    <x v="10"/>
    <n v="0.13075929750140999"/>
    <x v="10"/>
    <x v="5"/>
    <x v="0"/>
  </r>
  <r>
    <d v="2024-04-23T00:00:00"/>
    <x v="0"/>
    <s v="Cultural"/>
    <s v="Agent"/>
    <x v="7"/>
    <n v="1"/>
    <x v="10"/>
    <n v="0.13075929750140999"/>
    <x v="10"/>
    <x v="13"/>
    <x v="1"/>
  </r>
  <r>
    <d v="2024-04-24T00:00:00"/>
    <x v="0"/>
    <s v="Beach"/>
    <s v="Website"/>
    <x v="1"/>
    <n v="1"/>
    <x v="10"/>
    <n v="0.13075929750140999"/>
    <x v="10"/>
    <x v="8"/>
    <x v="0"/>
  </r>
  <r>
    <d v="2024-04-24T00:00:00"/>
    <x v="2"/>
    <s v="Adventure"/>
    <s v="Website"/>
    <x v="0"/>
    <n v="3"/>
    <x v="10"/>
    <n v="0.13075929750140999"/>
    <x v="10"/>
    <x v="2"/>
    <x v="1"/>
  </r>
  <r>
    <d v="2024-04-24T00:00:00"/>
    <x v="1"/>
    <s v="City Break"/>
    <s v="Website"/>
    <x v="0"/>
    <n v="3"/>
    <x v="10"/>
    <n v="0.13075929750140999"/>
    <x v="10"/>
    <x v="13"/>
    <x v="1"/>
  </r>
  <r>
    <d v="2024-04-24T00:00:00"/>
    <x v="0"/>
    <s v="Family"/>
    <s v="Website"/>
    <x v="9"/>
    <n v="3"/>
    <x v="10"/>
    <n v="0.13075929750140999"/>
    <x v="10"/>
    <x v="10"/>
    <x v="1"/>
  </r>
  <r>
    <d v="2024-04-25T00:00:00"/>
    <x v="3"/>
    <s v="City Break"/>
    <s v="Agent"/>
    <x v="7"/>
    <n v="1"/>
    <x v="10"/>
    <n v="0.13075929750140999"/>
    <x v="10"/>
    <x v="10"/>
    <x v="0"/>
  </r>
  <r>
    <d v="2024-04-25T00:00:00"/>
    <x v="1"/>
    <s v="Beach"/>
    <s v="Mobile App"/>
    <x v="9"/>
    <n v="1"/>
    <x v="10"/>
    <n v="0.13075929750140999"/>
    <x v="10"/>
    <x v="15"/>
    <x v="0"/>
  </r>
  <r>
    <d v="2024-04-25T00:00:00"/>
    <x v="3"/>
    <s v="City Break"/>
    <s v="Website"/>
    <x v="8"/>
    <n v="3"/>
    <x v="10"/>
    <n v="0.13075929750140999"/>
    <x v="10"/>
    <x v="13"/>
    <x v="0"/>
  </r>
  <r>
    <d v="2024-04-25T00:00:00"/>
    <x v="3"/>
    <s v="Adventure"/>
    <s v="Website"/>
    <x v="3"/>
    <n v="1"/>
    <x v="10"/>
    <n v="0.13075929750140999"/>
    <x v="10"/>
    <x v="17"/>
    <x v="0"/>
  </r>
  <r>
    <d v="2024-04-25T00:00:00"/>
    <x v="0"/>
    <s v="Cultural"/>
    <s v="Mobile App"/>
    <x v="3"/>
    <n v="1"/>
    <x v="10"/>
    <n v="0.13075929750140999"/>
    <x v="10"/>
    <x v="10"/>
    <x v="0"/>
  </r>
  <r>
    <d v="2024-04-26T00:00:00"/>
    <x v="3"/>
    <s v="City Break"/>
    <s v="Website"/>
    <x v="2"/>
    <n v="2"/>
    <x v="10"/>
    <n v="0.13075929750140999"/>
    <x v="10"/>
    <x v="10"/>
    <x v="1"/>
  </r>
  <r>
    <d v="2024-04-26T00:00:00"/>
    <x v="0"/>
    <s v="Beach"/>
    <s v="Mobile App"/>
    <x v="8"/>
    <n v="1"/>
    <x v="10"/>
    <n v="0.13075929750140999"/>
    <x v="10"/>
    <x v="11"/>
    <x v="1"/>
  </r>
  <r>
    <d v="2024-04-26T00:00:00"/>
    <x v="0"/>
    <s v="Beach"/>
    <s v="Agent"/>
    <x v="5"/>
    <n v="2"/>
    <x v="10"/>
    <n v="0.13075929750140999"/>
    <x v="10"/>
    <x v="0"/>
    <x v="0"/>
  </r>
  <r>
    <d v="2024-04-26T00:00:00"/>
    <x v="0"/>
    <s v="Family"/>
    <s v="Mobile App"/>
    <x v="3"/>
    <n v="2"/>
    <x v="10"/>
    <n v="0.13075929750140999"/>
    <x v="10"/>
    <x v="11"/>
    <x v="0"/>
  </r>
  <r>
    <d v="2024-04-26T00:00:00"/>
    <x v="3"/>
    <s v="Adventure"/>
    <s v="Agent"/>
    <x v="8"/>
    <n v="1"/>
    <x v="10"/>
    <n v="0.13075929750140999"/>
    <x v="10"/>
    <x v="12"/>
    <x v="1"/>
  </r>
  <r>
    <d v="2024-04-27T00:00:00"/>
    <x v="3"/>
    <s v="Beach"/>
    <s v="Website"/>
    <x v="1"/>
    <n v="2"/>
    <x v="10"/>
    <n v="0.13075929750140999"/>
    <x v="10"/>
    <x v="14"/>
    <x v="1"/>
  </r>
  <r>
    <d v="2024-04-27T00:00:00"/>
    <x v="2"/>
    <s v="City Break"/>
    <s v="Website"/>
    <x v="1"/>
    <n v="1"/>
    <x v="10"/>
    <n v="0.13075929750140999"/>
    <x v="10"/>
    <x v="9"/>
    <x v="0"/>
  </r>
  <r>
    <d v="2024-04-27T00:00:00"/>
    <x v="0"/>
    <s v="Beach"/>
    <s v="Website"/>
    <x v="4"/>
    <n v="1"/>
    <x v="10"/>
    <n v="0.13075929750140999"/>
    <x v="10"/>
    <x v="13"/>
    <x v="1"/>
  </r>
  <r>
    <d v="2024-04-27T00:00:00"/>
    <x v="3"/>
    <s v="Beach"/>
    <s v="Website"/>
    <x v="7"/>
    <n v="2"/>
    <x v="10"/>
    <n v="0.13075929750140999"/>
    <x v="10"/>
    <x v="0"/>
    <x v="0"/>
  </r>
  <r>
    <d v="2024-04-27T00:00:00"/>
    <x v="2"/>
    <s v="Beach"/>
    <s v="Website"/>
    <x v="1"/>
    <n v="2"/>
    <x v="10"/>
    <n v="0.13075929750140999"/>
    <x v="10"/>
    <x v="3"/>
    <x v="1"/>
  </r>
  <r>
    <d v="2024-04-28T00:00:00"/>
    <x v="1"/>
    <s v="Family"/>
    <s v="Mobile App"/>
    <x v="4"/>
    <n v="1"/>
    <x v="10"/>
    <n v="0.13075929750140999"/>
    <x v="10"/>
    <x v="4"/>
    <x v="1"/>
  </r>
  <r>
    <d v="2024-04-28T00:00:00"/>
    <x v="1"/>
    <s v="City Break"/>
    <s v="Agent"/>
    <x v="6"/>
    <n v="3"/>
    <x v="10"/>
    <n v="0.13075929750140999"/>
    <x v="10"/>
    <x v="4"/>
    <x v="0"/>
  </r>
  <r>
    <d v="2024-04-28T00:00:00"/>
    <x v="0"/>
    <s v="Family"/>
    <s v="Website"/>
    <x v="6"/>
    <n v="2"/>
    <x v="10"/>
    <n v="0.13075929750140999"/>
    <x v="10"/>
    <x v="5"/>
    <x v="0"/>
  </r>
  <r>
    <d v="2024-04-28T00:00:00"/>
    <x v="1"/>
    <s v="Beach"/>
    <s v="Website"/>
    <x v="7"/>
    <n v="5"/>
    <x v="10"/>
    <n v="0.13075929750140999"/>
    <x v="10"/>
    <x v="15"/>
    <x v="1"/>
  </r>
  <r>
    <d v="2024-04-28T00:00:00"/>
    <x v="3"/>
    <s v="Beach"/>
    <s v="Website"/>
    <x v="4"/>
    <n v="2"/>
    <x v="10"/>
    <n v="0.13075929750140999"/>
    <x v="10"/>
    <x v="13"/>
    <x v="1"/>
  </r>
  <r>
    <d v="2024-04-29T00:00:00"/>
    <x v="0"/>
    <s v="Beach"/>
    <s v="Website"/>
    <x v="3"/>
    <n v="3"/>
    <x v="10"/>
    <n v="0.13075929750140999"/>
    <x v="10"/>
    <x v="14"/>
    <x v="0"/>
  </r>
  <r>
    <d v="2024-04-29T00:00:00"/>
    <x v="2"/>
    <s v="Foodie"/>
    <s v="Website"/>
    <x v="9"/>
    <n v="3"/>
    <x v="10"/>
    <n v="0.13075929750140999"/>
    <x v="10"/>
    <x v="2"/>
    <x v="1"/>
  </r>
  <r>
    <d v="2024-04-29T00:00:00"/>
    <x v="2"/>
    <s v="Cultural"/>
    <s v="Website"/>
    <x v="3"/>
    <n v="1"/>
    <x v="10"/>
    <n v="0.13075929750140999"/>
    <x v="10"/>
    <x v="5"/>
    <x v="0"/>
  </r>
  <r>
    <d v="2024-04-30T00:00:00"/>
    <x v="0"/>
    <s v="Adventure"/>
    <s v="Mobile App"/>
    <x v="8"/>
    <n v="1"/>
    <x v="10"/>
    <n v="0.13075929750140999"/>
    <x v="10"/>
    <x v="0"/>
    <x v="0"/>
  </r>
  <r>
    <d v="2024-04-30T00:00:00"/>
    <x v="3"/>
    <s v="Adventure"/>
    <s v="Website"/>
    <x v="0"/>
    <n v="1"/>
    <x v="10"/>
    <n v="0.13075929750140999"/>
    <x v="10"/>
    <x v="0"/>
    <x v="0"/>
  </r>
  <r>
    <d v="2024-04-30T00:00:00"/>
    <x v="0"/>
    <s v="Foodie"/>
    <s v="Website"/>
    <x v="5"/>
    <n v="1"/>
    <x v="10"/>
    <n v="0.13075929750140999"/>
    <x v="10"/>
    <x v="2"/>
    <x v="0"/>
  </r>
  <r>
    <d v="2024-04-30T00:00:00"/>
    <x v="3"/>
    <s v="Cultural"/>
    <s v="Website"/>
    <x v="5"/>
    <n v="1"/>
    <x v="10"/>
    <n v="0.13075929750140999"/>
    <x v="10"/>
    <x v="9"/>
    <x v="0"/>
  </r>
  <r>
    <d v="2024-04-30T00:00:00"/>
    <x v="3"/>
    <s v="Beach"/>
    <s v="Website"/>
    <x v="9"/>
    <n v="3"/>
    <x v="10"/>
    <n v="0.13075929750140999"/>
    <x v="10"/>
    <x v="5"/>
    <x v="1"/>
  </r>
  <r>
    <d v="2024-05-01T00:00:00"/>
    <x v="1"/>
    <s v="Adventure"/>
    <s v="Website"/>
    <x v="0"/>
    <n v="1"/>
    <x v="10"/>
    <n v="0.13075929750140999"/>
    <x v="10"/>
    <x v="12"/>
    <x v="0"/>
  </r>
  <r>
    <d v="2024-05-01T00:00:00"/>
    <x v="0"/>
    <s v="City Break"/>
    <s v="Website"/>
    <x v="3"/>
    <n v="2"/>
    <x v="10"/>
    <n v="0.13075929750140999"/>
    <x v="10"/>
    <x v="6"/>
    <x v="1"/>
  </r>
  <r>
    <d v="2024-05-01T00:00:00"/>
    <x v="1"/>
    <s v="Beach"/>
    <s v="Call Center"/>
    <x v="9"/>
    <n v="3"/>
    <x v="10"/>
    <n v="0.13075929750140999"/>
    <x v="10"/>
    <x v="4"/>
    <x v="0"/>
  </r>
  <r>
    <d v="2024-05-02T00:00:00"/>
    <x v="1"/>
    <s v="Adventure"/>
    <s v="Website"/>
    <x v="8"/>
    <n v="1"/>
    <x v="10"/>
    <n v="0.13075929750140999"/>
    <x v="10"/>
    <x v="6"/>
    <x v="0"/>
  </r>
  <r>
    <d v="2024-05-02T00:00:00"/>
    <x v="3"/>
    <s v="City Break"/>
    <s v="Website"/>
    <x v="8"/>
    <n v="1"/>
    <x v="10"/>
    <n v="0.13075929750140999"/>
    <x v="10"/>
    <x v="5"/>
    <x v="0"/>
  </r>
  <r>
    <d v="2024-05-02T00:00:00"/>
    <x v="3"/>
    <s v="Foodie"/>
    <s v="Mobile App"/>
    <x v="0"/>
    <n v="1"/>
    <x v="10"/>
    <n v="0.13075929750140999"/>
    <x v="10"/>
    <x v="2"/>
    <x v="1"/>
  </r>
  <r>
    <d v="2024-05-03T00:00:00"/>
    <x v="2"/>
    <s v="Beach"/>
    <s v="Mobile App"/>
    <x v="5"/>
    <n v="2"/>
    <x v="10"/>
    <n v="0.13075929750140999"/>
    <x v="10"/>
    <x v="10"/>
    <x v="0"/>
  </r>
  <r>
    <d v="2024-05-03T00:00:00"/>
    <x v="0"/>
    <s v="Foodie"/>
    <s v="Website"/>
    <x v="0"/>
    <n v="4"/>
    <x v="10"/>
    <n v="0.13075929750140999"/>
    <x v="10"/>
    <x v="12"/>
    <x v="0"/>
  </r>
  <r>
    <d v="2024-05-04T00:00:00"/>
    <x v="2"/>
    <s v="Beach"/>
    <s v="Website"/>
    <x v="9"/>
    <n v="1"/>
    <x v="10"/>
    <n v="0.13075929750140999"/>
    <x v="10"/>
    <x v="2"/>
    <x v="1"/>
  </r>
  <r>
    <d v="2024-05-04T00:00:00"/>
    <x v="3"/>
    <s v="Beach"/>
    <s v="Mobile App"/>
    <x v="5"/>
    <n v="1"/>
    <x v="10"/>
    <n v="0.13075929750140999"/>
    <x v="10"/>
    <x v="6"/>
    <x v="1"/>
  </r>
  <r>
    <d v="2024-05-04T00:00:00"/>
    <x v="3"/>
    <s v="Beach"/>
    <s v="Website"/>
    <x v="3"/>
    <n v="1"/>
    <x v="10"/>
    <n v="0.13075929750140999"/>
    <x v="10"/>
    <x v="9"/>
    <x v="1"/>
  </r>
  <r>
    <d v="2024-05-04T00:00:00"/>
    <x v="0"/>
    <s v="Adventure"/>
    <s v="Agent"/>
    <x v="4"/>
    <n v="3"/>
    <x v="10"/>
    <n v="0.13075929750140999"/>
    <x v="10"/>
    <x v="15"/>
    <x v="0"/>
  </r>
  <r>
    <d v="2024-05-05T00:00:00"/>
    <x v="3"/>
    <s v="City Break"/>
    <s v="Website"/>
    <x v="9"/>
    <n v="3"/>
    <x v="10"/>
    <n v="0.13075929750140999"/>
    <x v="10"/>
    <x v="20"/>
    <x v="0"/>
  </r>
  <r>
    <d v="2024-05-05T00:00:00"/>
    <x v="1"/>
    <s v="Cultural"/>
    <s v="Agent"/>
    <x v="5"/>
    <n v="1"/>
    <x v="10"/>
    <n v="0.13075929750140999"/>
    <x v="10"/>
    <x v="12"/>
    <x v="0"/>
  </r>
  <r>
    <d v="2024-05-05T00:00:00"/>
    <x v="1"/>
    <s v="Beach"/>
    <s v="Mobile App"/>
    <x v="7"/>
    <n v="3"/>
    <x v="10"/>
    <n v="0.13075929750140999"/>
    <x v="10"/>
    <x v="2"/>
    <x v="0"/>
  </r>
  <r>
    <d v="2024-05-05T00:00:00"/>
    <x v="1"/>
    <s v="Beach"/>
    <s v="Agent"/>
    <x v="5"/>
    <n v="2"/>
    <x v="10"/>
    <n v="0.13075929750140999"/>
    <x v="10"/>
    <x v="13"/>
    <x v="0"/>
  </r>
  <r>
    <d v="2024-05-07T00:00:00"/>
    <x v="0"/>
    <s v="Cultural"/>
    <s v="Website"/>
    <x v="5"/>
    <n v="3"/>
    <x v="10"/>
    <n v="0.13075929750140999"/>
    <x v="10"/>
    <x v="1"/>
    <x v="0"/>
  </r>
  <r>
    <d v="2024-05-07T00:00:00"/>
    <x v="2"/>
    <s v="Foodie"/>
    <s v="Call Center"/>
    <x v="9"/>
    <n v="1"/>
    <x v="10"/>
    <n v="0.13075929750140999"/>
    <x v="10"/>
    <x v="17"/>
    <x v="1"/>
  </r>
  <r>
    <d v="2024-05-07T00:00:00"/>
    <x v="1"/>
    <s v="Cultural"/>
    <s v="Website"/>
    <x v="3"/>
    <n v="3"/>
    <x v="10"/>
    <n v="0.13075929750140999"/>
    <x v="10"/>
    <x v="14"/>
    <x v="1"/>
  </r>
  <r>
    <d v="2024-05-07T00:00:00"/>
    <x v="1"/>
    <s v="Foodie"/>
    <s v="Website"/>
    <x v="2"/>
    <n v="3"/>
    <x v="10"/>
    <n v="0.13075929750140999"/>
    <x v="10"/>
    <x v="4"/>
    <x v="1"/>
  </r>
  <r>
    <d v="2024-05-07T00:00:00"/>
    <x v="3"/>
    <s v="Adventure"/>
    <s v="Mobile App"/>
    <x v="6"/>
    <n v="3"/>
    <x v="10"/>
    <n v="0.13075929750140999"/>
    <x v="10"/>
    <x v="9"/>
    <x v="1"/>
  </r>
  <r>
    <d v="2024-05-08T00:00:00"/>
    <x v="1"/>
    <s v="City Break"/>
    <s v="Mobile App"/>
    <x v="4"/>
    <n v="2"/>
    <x v="10"/>
    <n v="0.13075929750140999"/>
    <x v="10"/>
    <x v="8"/>
    <x v="0"/>
  </r>
  <r>
    <d v="2024-05-08T00:00:00"/>
    <x v="3"/>
    <s v="Cultural"/>
    <s v="Website"/>
    <x v="6"/>
    <n v="3"/>
    <x v="10"/>
    <n v="0.13075929750140999"/>
    <x v="10"/>
    <x v="0"/>
    <x v="1"/>
  </r>
  <r>
    <d v="2024-05-08T00:00:00"/>
    <x v="2"/>
    <s v="Cultural"/>
    <s v="Agent"/>
    <x v="4"/>
    <n v="2"/>
    <x v="10"/>
    <n v="0.13075929750140999"/>
    <x v="10"/>
    <x v="11"/>
    <x v="0"/>
  </r>
  <r>
    <d v="2024-05-08T00:00:00"/>
    <x v="0"/>
    <s v="Cultural"/>
    <s v="Mobile App"/>
    <x v="8"/>
    <n v="1"/>
    <x v="10"/>
    <n v="0.13075929750140999"/>
    <x v="10"/>
    <x v="11"/>
    <x v="1"/>
  </r>
  <r>
    <d v="2024-05-08T00:00:00"/>
    <x v="3"/>
    <s v="Family"/>
    <s v="Website"/>
    <x v="5"/>
    <n v="4"/>
    <x v="10"/>
    <n v="0.13075929750140999"/>
    <x v="10"/>
    <x v="6"/>
    <x v="0"/>
  </r>
  <r>
    <d v="2024-05-09T00:00:00"/>
    <x v="2"/>
    <s v="Adventure"/>
    <s v="Website"/>
    <x v="8"/>
    <n v="2"/>
    <x v="10"/>
    <n v="0.13075929750140999"/>
    <x v="10"/>
    <x v="2"/>
    <x v="0"/>
  </r>
  <r>
    <d v="2024-05-09T00:00:00"/>
    <x v="1"/>
    <s v="Cultural"/>
    <s v="Website"/>
    <x v="8"/>
    <n v="1"/>
    <x v="10"/>
    <n v="0.13075929750140999"/>
    <x v="10"/>
    <x v="6"/>
    <x v="0"/>
  </r>
  <r>
    <d v="2024-05-09T00:00:00"/>
    <x v="3"/>
    <s v="Cultural"/>
    <s v="Agent"/>
    <x v="4"/>
    <n v="2"/>
    <x v="10"/>
    <n v="0.13075929750140999"/>
    <x v="10"/>
    <x v="8"/>
    <x v="0"/>
  </r>
  <r>
    <d v="2024-05-10T00:00:00"/>
    <x v="0"/>
    <s v="Family"/>
    <s v="Agent"/>
    <x v="7"/>
    <n v="3"/>
    <x v="10"/>
    <n v="0.13075929750140999"/>
    <x v="10"/>
    <x v="5"/>
    <x v="0"/>
  </r>
  <r>
    <d v="2024-05-10T00:00:00"/>
    <x v="0"/>
    <s v="City Break"/>
    <s v="Website"/>
    <x v="4"/>
    <n v="1"/>
    <x v="10"/>
    <n v="0.13075929750140999"/>
    <x v="10"/>
    <x v="8"/>
    <x v="0"/>
  </r>
  <r>
    <d v="2024-05-10T00:00:00"/>
    <x v="0"/>
    <s v="Family"/>
    <s v="Website"/>
    <x v="0"/>
    <n v="3"/>
    <x v="10"/>
    <n v="0.13075929750140999"/>
    <x v="10"/>
    <x v="9"/>
    <x v="1"/>
  </r>
  <r>
    <d v="2024-05-10T00:00:00"/>
    <x v="0"/>
    <s v="Foodie"/>
    <s v="Mobile App"/>
    <x v="5"/>
    <n v="2"/>
    <x v="10"/>
    <n v="0.13075929750140999"/>
    <x v="10"/>
    <x v="11"/>
    <x v="0"/>
  </r>
  <r>
    <d v="2024-05-10T00:00:00"/>
    <x v="0"/>
    <s v="City Break"/>
    <s v="Website"/>
    <x v="8"/>
    <n v="1"/>
    <x v="10"/>
    <n v="0.13075929750140999"/>
    <x v="10"/>
    <x v="1"/>
    <x v="0"/>
  </r>
  <r>
    <d v="2024-05-10T00:00:00"/>
    <x v="3"/>
    <s v="Cultural"/>
    <s v="Website"/>
    <x v="9"/>
    <n v="1"/>
    <x v="10"/>
    <n v="0.13075929750140999"/>
    <x v="10"/>
    <x v="1"/>
    <x v="0"/>
  </r>
  <r>
    <d v="2024-05-11T00:00:00"/>
    <x v="3"/>
    <s v="Beach"/>
    <s v="Website"/>
    <x v="4"/>
    <n v="2"/>
    <x v="10"/>
    <n v="0.13075929750140999"/>
    <x v="10"/>
    <x v="1"/>
    <x v="1"/>
  </r>
  <r>
    <d v="2024-05-11T00:00:00"/>
    <x v="2"/>
    <s v="Cultural"/>
    <s v="Website"/>
    <x v="4"/>
    <n v="3"/>
    <x v="10"/>
    <n v="0.13075929750140999"/>
    <x v="10"/>
    <x v="19"/>
    <x v="1"/>
  </r>
  <r>
    <d v="2024-05-11T00:00:00"/>
    <x v="1"/>
    <s v="Cultural"/>
    <s v="Website"/>
    <x v="4"/>
    <n v="2"/>
    <x v="10"/>
    <n v="0.13075929750140999"/>
    <x v="10"/>
    <x v="2"/>
    <x v="1"/>
  </r>
  <r>
    <d v="2024-05-11T00:00:00"/>
    <x v="3"/>
    <s v="Beach"/>
    <s v="Website"/>
    <x v="9"/>
    <n v="2"/>
    <x v="10"/>
    <n v="0.13075929750140999"/>
    <x v="10"/>
    <x v="17"/>
    <x v="1"/>
  </r>
  <r>
    <d v="2024-05-12T00:00:00"/>
    <x v="1"/>
    <s v="Beach"/>
    <s v="Mobile App"/>
    <x v="0"/>
    <n v="4"/>
    <x v="10"/>
    <n v="0.13075929750140999"/>
    <x v="10"/>
    <x v="9"/>
    <x v="1"/>
  </r>
  <r>
    <d v="2024-05-12T00:00:00"/>
    <x v="3"/>
    <s v="Family"/>
    <s v="Website"/>
    <x v="5"/>
    <n v="2"/>
    <x v="10"/>
    <n v="0.13075929750140999"/>
    <x v="10"/>
    <x v="5"/>
    <x v="0"/>
  </r>
  <r>
    <d v="2024-05-12T00:00:00"/>
    <x v="0"/>
    <s v="Foodie"/>
    <s v="Mobile App"/>
    <x v="4"/>
    <n v="2"/>
    <x v="10"/>
    <n v="0.13075929750140999"/>
    <x v="10"/>
    <x v="10"/>
    <x v="1"/>
  </r>
  <r>
    <d v="2024-05-13T00:00:00"/>
    <x v="1"/>
    <s v="Foodie"/>
    <s v="Website"/>
    <x v="5"/>
    <n v="2"/>
    <x v="10"/>
    <n v="0.13075929750140999"/>
    <x v="10"/>
    <x v="4"/>
    <x v="0"/>
  </r>
  <r>
    <d v="2024-05-13T00:00:00"/>
    <x v="3"/>
    <s v="Cultural"/>
    <s v="Mobile App"/>
    <x v="4"/>
    <n v="2"/>
    <x v="10"/>
    <n v="0.13075929750140999"/>
    <x v="10"/>
    <x v="6"/>
    <x v="1"/>
  </r>
  <r>
    <d v="2024-05-13T00:00:00"/>
    <x v="0"/>
    <s v="Foodie"/>
    <s v="Agent"/>
    <x v="3"/>
    <n v="1"/>
    <x v="10"/>
    <n v="0.13075929750140999"/>
    <x v="10"/>
    <x v="4"/>
    <x v="1"/>
  </r>
  <r>
    <d v="2024-05-13T00:00:00"/>
    <x v="0"/>
    <s v="City Break"/>
    <s v="Website"/>
    <x v="9"/>
    <n v="1"/>
    <x v="10"/>
    <n v="0.13075929750140999"/>
    <x v="10"/>
    <x v="8"/>
    <x v="1"/>
  </r>
  <r>
    <d v="2024-05-14T00:00:00"/>
    <x v="1"/>
    <s v="Foodie"/>
    <s v="Agent"/>
    <x v="7"/>
    <n v="2"/>
    <x v="10"/>
    <n v="0.13075929750140999"/>
    <x v="10"/>
    <x v="2"/>
    <x v="0"/>
  </r>
  <r>
    <d v="2024-05-15T00:00:00"/>
    <x v="1"/>
    <s v="Family"/>
    <s v="Website"/>
    <x v="3"/>
    <n v="2"/>
    <x v="10"/>
    <n v="0.13075929750140999"/>
    <x v="10"/>
    <x v="1"/>
    <x v="0"/>
  </r>
  <r>
    <d v="2024-05-15T00:00:00"/>
    <x v="2"/>
    <s v="Beach"/>
    <s v="Agent"/>
    <x v="1"/>
    <n v="1"/>
    <x v="10"/>
    <n v="0.13075929750140999"/>
    <x v="10"/>
    <x v="0"/>
    <x v="0"/>
  </r>
  <r>
    <d v="2024-05-16T00:00:00"/>
    <x v="3"/>
    <s v="Adventure"/>
    <s v="Mobile App"/>
    <x v="9"/>
    <n v="3"/>
    <x v="10"/>
    <n v="0.13075929750140999"/>
    <x v="10"/>
    <x v="4"/>
    <x v="1"/>
  </r>
  <r>
    <d v="2024-05-16T00:00:00"/>
    <x v="1"/>
    <s v="Foodie"/>
    <s v="Website"/>
    <x v="9"/>
    <n v="1"/>
    <x v="10"/>
    <n v="0.13075929750140999"/>
    <x v="10"/>
    <x v="14"/>
    <x v="1"/>
  </r>
  <r>
    <d v="2024-05-16T00:00:00"/>
    <x v="1"/>
    <s v="City Break"/>
    <s v="Website"/>
    <x v="5"/>
    <n v="1"/>
    <x v="10"/>
    <n v="0.13075929750140999"/>
    <x v="10"/>
    <x v="1"/>
    <x v="1"/>
  </r>
  <r>
    <d v="2024-05-16T00:00:00"/>
    <x v="0"/>
    <s v="Cultural"/>
    <s v="Agent"/>
    <x v="7"/>
    <n v="2"/>
    <x v="10"/>
    <n v="0.13075929750140999"/>
    <x v="10"/>
    <x v="9"/>
    <x v="1"/>
  </r>
  <r>
    <d v="2024-05-17T00:00:00"/>
    <x v="3"/>
    <s v="Family"/>
    <s v="Website"/>
    <x v="7"/>
    <n v="1"/>
    <x v="10"/>
    <n v="0.13075929750140999"/>
    <x v="10"/>
    <x v="6"/>
    <x v="1"/>
  </r>
  <r>
    <d v="2024-05-17T00:00:00"/>
    <x v="2"/>
    <s v="Beach"/>
    <s v="Mobile App"/>
    <x v="7"/>
    <n v="1"/>
    <x v="10"/>
    <n v="0.13075929750140999"/>
    <x v="10"/>
    <x v="15"/>
    <x v="0"/>
  </r>
  <r>
    <d v="2024-05-17T00:00:00"/>
    <x v="2"/>
    <s v="Adventure"/>
    <s v="Mobile App"/>
    <x v="5"/>
    <n v="4"/>
    <x v="10"/>
    <n v="0.13075929750140999"/>
    <x v="10"/>
    <x v="6"/>
    <x v="0"/>
  </r>
  <r>
    <d v="2024-05-17T00:00:00"/>
    <x v="2"/>
    <s v="Beach"/>
    <s v="Mobile App"/>
    <x v="9"/>
    <n v="2"/>
    <x v="10"/>
    <n v="0.13075929750140999"/>
    <x v="10"/>
    <x v="13"/>
    <x v="0"/>
  </r>
  <r>
    <d v="2024-05-17T00:00:00"/>
    <x v="0"/>
    <s v="Beach"/>
    <s v="Mobile App"/>
    <x v="0"/>
    <n v="1"/>
    <x v="10"/>
    <n v="0.13075929750140999"/>
    <x v="10"/>
    <x v="3"/>
    <x v="1"/>
  </r>
  <r>
    <d v="2024-05-17T00:00:00"/>
    <x v="1"/>
    <s v="Cultural"/>
    <s v="Website"/>
    <x v="5"/>
    <n v="1"/>
    <x v="10"/>
    <n v="0.13075929750140999"/>
    <x v="10"/>
    <x v="10"/>
    <x v="1"/>
  </r>
  <r>
    <d v="2024-05-18T00:00:00"/>
    <x v="3"/>
    <s v="Beach"/>
    <s v="Website"/>
    <x v="6"/>
    <n v="4"/>
    <x v="10"/>
    <n v="0.13075929750140999"/>
    <x v="10"/>
    <x v="0"/>
    <x v="0"/>
  </r>
  <r>
    <d v="2024-05-18T00:00:00"/>
    <x v="3"/>
    <s v="Beach"/>
    <s v="Mobile App"/>
    <x v="9"/>
    <n v="2"/>
    <x v="10"/>
    <n v="0.13075929750140999"/>
    <x v="10"/>
    <x v="9"/>
    <x v="1"/>
  </r>
  <r>
    <d v="2024-05-19T00:00:00"/>
    <x v="3"/>
    <s v="City Break"/>
    <s v="Mobile App"/>
    <x v="5"/>
    <n v="1"/>
    <x v="10"/>
    <n v="0.13075929750140999"/>
    <x v="10"/>
    <x v="9"/>
    <x v="1"/>
  </r>
  <r>
    <d v="2024-05-19T00:00:00"/>
    <x v="1"/>
    <s v="Foodie"/>
    <s v="Website"/>
    <x v="5"/>
    <n v="1"/>
    <x v="10"/>
    <n v="0.13075929750140999"/>
    <x v="10"/>
    <x v="3"/>
    <x v="0"/>
  </r>
  <r>
    <d v="2024-05-19T00:00:00"/>
    <x v="3"/>
    <s v="Foodie"/>
    <s v="Agent"/>
    <x v="9"/>
    <n v="1"/>
    <x v="10"/>
    <n v="0.13075929750140999"/>
    <x v="10"/>
    <x v="8"/>
    <x v="0"/>
  </r>
  <r>
    <d v="2024-05-19T00:00:00"/>
    <x v="0"/>
    <s v="Beach"/>
    <s v="Website"/>
    <x v="8"/>
    <n v="3"/>
    <x v="10"/>
    <n v="0.13075929750140999"/>
    <x v="10"/>
    <x v="14"/>
    <x v="1"/>
  </r>
  <r>
    <d v="2024-05-19T00:00:00"/>
    <x v="1"/>
    <s v="Beach"/>
    <s v="Website"/>
    <x v="5"/>
    <n v="2"/>
    <x v="10"/>
    <n v="0.13075929750140999"/>
    <x v="10"/>
    <x v="13"/>
    <x v="0"/>
  </r>
  <r>
    <d v="2024-05-19T00:00:00"/>
    <x v="1"/>
    <s v="Cultural"/>
    <s v="Agent"/>
    <x v="0"/>
    <n v="3"/>
    <x v="10"/>
    <n v="0.13075929750140999"/>
    <x v="10"/>
    <x v="12"/>
    <x v="1"/>
  </r>
  <r>
    <d v="2024-05-20T00:00:00"/>
    <x v="3"/>
    <s v="Cultural"/>
    <s v="Website"/>
    <x v="2"/>
    <n v="2"/>
    <x v="10"/>
    <n v="0.13075929750140999"/>
    <x v="10"/>
    <x v="5"/>
    <x v="1"/>
  </r>
  <r>
    <d v="2024-05-20T00:00:00"/>
    <x v="3"/>
    <s v="Beach"/>
    <s v="Website"/>
    <x v="2"/>
    <n v="5"/>
    <x v="10"/>
    <n v="0.13075929750140999"/>
    <x v="10"/>
    <x v="2"/>
    <x v="0"/>
  </r>
  <r>
    <d v="2024-05-20T00:00:00"/>
    <x v="0"/>
    <s v="Cultural"/>
    <s v="Website"/>
    <x v="5"/>
    <n v="2"/>
    <x v="10"/>
    <n v="0.13075929750140999"/>
    <x v="10"/>
    <x v="18"/>
    <x v="0"/>
  </r>
  <r>
    <d v="2024-05-20T00:00:00"/>
    <x v="1"/>
    <s v="Beach"/>
    <s v="Website"/>
    <x v="0"/>
    <n v="1"/>
    <x v="10"/>
    <n v="0.13075929750140999"/>
    <x v="10"/>
    <x v="9"/>
    <x v="0"/>
  </r>
  <r>
    <d v="2024-05-20T00:00:00"/>
    <x v="1"/>
    <s v="Cultural"/>
    <s v="Mobile App"/>
    <x v="3"/>
    <n v="1"/>
    <x v="10"/>
    <n v="0.13075929750140999"/>
    <x v="10"/>
    <x v="7"/>
    <x v="0"/>
  </r>
  <r>
    <d v="2024-05-21T00:00:00"/>
    <x v="3"/>
    <s v="City Break"/>
    <s v="Agent"/>
    <x v="3"/>
    <n v="1"/>
    <x v="10"/>
    <n v="0.13075929750140999"/>
    <x v="10"/>
    <x v="2"/>
    <x v="0"/>
  </r>
  <r>
    <d v="2024-05-21T00:00:00"/>
    <x v="2"/>
    <s v="Cultural"/>
    <s v="Mobile App"/>
    <x v="1"/>
    <n v="4"/>
    <x v="10"/>
    <n v="0.13075929750140999"/>
    <x v="10"/>
    <x v="10"/>
    <x v="1"/>
  </r>
  <r>
    <d v="2024-05-21T00:00:00"/>
    <x v="1"/>
    <s v="Cultural"/>
    <s v="Website"/>
    <x v="4"/>
    <n v="1"/>
    <x v="10"/>
    <n v="0.13075929750140999"/>
    <x v="10"/>
    <x v="9"/>
    <x v="1"/>
  </r>
  <r>
    <d v="2024-05-21T00:00:00"/>
    <x v="2"/>
    <s v="City Break"/>
    <s v="Agent"/>
    <x v="0"/>
    <n v="1"/>
    <x v="10"/>
    <n v="0.13075929750140999"/>
    <x v="10"/>
    <x v="4"/>
    <x v="1"/>
  </r>
  <r>
    <d v="2024-05-21T00:00:00"/>
    <x v="3"/>
    <s v="Cultural"/>
    <s v="Agent"/>
    <x v="2"/>
    <n v="2"/>
    <x v="10"/>
    <n v="0.13075929750140999"/>
    <x v="10"/>
    <x v="17"/>
    <x v="1"/>
  </r>
  <r>
    <d v="2024-05-22T00:00:00"/>
    <x v="1"/>
    <s v="Family"/>
    <s v="Website"/>
    <x v="8"/>
    <n v="3"/>
    <x v="10"/>
    <n v="0.13075929750140999"/>
    <x v="10"/>
    <x v="0"/>
    <x v="0"/>
  </r>
  <r>
    <d v="2024-05-22T00:00:00"/>
    <x v="3"/>
    <s v="Beach"/>
    <s v="Agent"/>
    <x v="5"/>
    <n v="4"/>
    <x v="10"/>
    <n v="0.13075929750140999"/>
    <x v="10"/>
    <x v="1"/>
    <x v="1"/>
  </r>
  <r>
    <d v="2024-05-22T00:00:00"/>
    <x v="3"/>
    <s v="Beach"/>
    <s v="Website"/>
    <x v="5"/>
    <n v="4"/>
    <x v="10"/>
    <n v="0.13075929750140999"/>
    <x v="10"/>
    <x v="13"/>
    <x v="0"/>
  </r>
  <r>
    <d v="2024-05-23T00:00:00"/>
    <x v="2"/>
    <s v="Family"/>
    <s v="Agent"/>
    <x v="1"/>
    <n v="3"/>
    <x v="10"/>
    <n v="0.13075929750140999"/>
    <x v="10"/>
    <x v="0"/>
    <x v="0"/>
  </r>
  <r>
    <d v="2024-05-23T00:00:00"/>
    <x v="3"/>
    <s v="Family"/>
    <s v="Call Center"/>
    <x v="7"/>
    <n v="2"/>
    <x v="10"/>
    <n v="0.13075929750140999"/>
    <x v="10"/>
    <x v="15"/>
    <x v="1"/>
  </r>
  <r>
    <d v="2024-05-23T00:00:00"/>
    <x v="3"/>
    <s v="Beach"/>
    <s v="Agent"/>
    <x v="1"/>
    <n v="2"/>
    <x v="10"/>
    <n v="0.13075929750140999"/>
    <x v="10"/>
    <x v="0"/>
    <x v="1"/>
  </r>
  <r>
    <d v="2024-05-23T00:00:00"/>
    <x v="0"/>
    <s v="City Break"/>
    <s v="Website"/>
    <x v="5"/>
    <n v="1"/>
    <x v="10"/>
    <n v="0.13075929750140999"/>
    <x v="10"/>
    <x v="2"/>
    <x v="0"/>
  </r>
  <r>
    <d v="2024-05-24T00:00:00"/>
    <x v="0"/>
    <s v="Family"/>
    <s v="Website"/>
    <x v="4"/>
    <n v="3"/>
    <x v="10"/>
    <n v="0.13075929750140999"/>
    <x v="10"/>
    <x v="1"/>
    <x v="0"/>
  </r>
  <r>
    <d v="2024-05-24T00:00:00"/>
    <x v="3"/>
    <s v="Beach"/>
    <s v="Call Center"/>
    <x v="2"/>
    <n v="2"/>
    <x v="10"/>
    <n v="0.13075929750140999"/>
    <x v="10"/>
    <x v="22"/>
    <x v="0"/>
  </r>
  <r>
    <d v="2024-05-24T00:00:00"/>
    <x v="0"/>
    <s v="Family"/>
    <s v="Mobile App"/>
    <x v="0"/>
    <n v="4"/>
    <x v="10"/>
    <n v="0.13075929750140999"/>
    <x v="10"/>
    <x v="15"/>
    <x v="0"/>
  </r>
  <r>
    <d v="2024-05-24T00:00:00"/>
    <x v="2"/>
    <s v="Cultural"/>
    <s v="Website"/>
    <x v="0"/>
    <n v="1"/>
    <x v="10"/>
    <n v="0.13075929750140999"/>
    <x v="10"/>
    <x v="2"/>
    <x v="0"/>
  </r>
  <r>
    <d v="2024-05-24T00:00:00"/>
    <x v="2"/>
    <s v="Beach"/>
    <s v="Website"/>
    <x v="5"/>
    <n v="1"/>
    <x v="10"/>
    <n v="0.13075929750140999"/>
    <x v="10"/>
    <x v="13"/>
    <x v="0"/>
  </r>
  <r>
    <d v="2024-05-24T00:00:00"/>
    <x v="3"/>
    <s v="Family"/>
    <s v="Website"/>
    <x v="1"/>
    <n v="2"/>
    <x v="10"/>
    <n v="0.13075929750140999"/>
    <x v="10"/>
    <x v="5"/>
    <x v="1"/>
  </r>
  <r>
    <d v="2024-05-25T00:00:00"/>
    <x v="1"/>
    <s v="City Break"/>
    <s v="Mobile App"/>
    <x v="7"/>
    <n v="2"/>
    <x v="10"/>
    <n v="0.13075929750140999"/>
    <x v="10"/>
    <x v="10"/>
    <x v="0"/>
  </r>
  <r>
    <d v="2024-05-25T00:00:00"/>
    <x v="0"/>
    <s v="Family"/>
    <s v="Website"/>
    <x v="2"/>
    <n v="2"/>
    <x v="10"/>
    <n v="0.13075929750140999"/>
    <x v="10"/>
    <x v="13"/>
    <x v="1"/>
  </r>
  <r>
    <d v="2024-05-25T00:00:00"/>
    <x v="1"/>
    <s v="Adventure"/>
    <s v="Website"/>
    <x v="6"/>
    <n v="4"/>
    <x v="10"/>
    <n v="0.13075929750140999"/>
    <x v="10"/>
    <x v="2"/>
    <x v="1"/>
  </r>
  <r>
    <d v="2024-05-25T00:00:00"/>
    <x v="3"/>
    <s v="Beach"/>
    <s v="Agent"/>
    <x v="2"/>
    <n v="3"/>
    <x v="10"/>
    <n v="0.13075929750140999"/>
    <x v="10"/>
    <x v="1"/>
    <x v="0"/>
  </r>
  <r>
    <d v="2024-05-26T00:00:00"/>
    <x v="0"/>
    <s v="Foodie"/>
    <s v="Website"/>
    <x v="0"/>
    <n v="1"/>
    <x v="10"/>
    <n v="0.13075929750140999"/>
    <x v="10"/>
    <x v="15"/>
    <x v="1"/>
  </r>
  <r>
    <d v="2024-05-26T00:00:00"/>
    <x v="3"/>
    <s v="Cultural"/>
    <s v="Mobile App"/>
    <x v="8"/>
    <n v="2"/>
    <x v="10"/>
    <n v="0.13075929750140999"/>
    <x v="10"/>
    <x v="1"/>
    <x v="0"/>
  </r>
  <r>
    <d v="2024-05-26T00:00:00"/>
    <x v="0"/>
    <s v="Beach"/>
    <s v="Agent"/>
    <x v="3"/>
    <n v="1"/>
    <x v="10"/>
    <n v="0.13075929750140999"/>
    <x v="10"/>
    <x v="12"/>
    <x v="0"/>
  </r>
  <r>
    <d v="2024-05-26T00:00:00"/>
    <x v="1"/>
    <s v="Adventure"/>
    <s v="Mobile App"/>
    <x v="7"/>
    <n v="1"/>
    <x v="10"/>
    <n v="0.13075929750140999"/>
    <x v="10"/>
    <x v="1"/>
    <x v="1"/>
  </r>
  <r>
    <d v="2024-05-26T00:00:00"/>
    <x v="2"/>
    <s v="Beach"/>
    <s v="Website"/>
    <x v="5"/>
    <n v="2"/>
    <x v="10"/>
    <n v="0.13075929750140999"/>
    <x v="10"/>
    <x v="16"/>
    <x v="0"/>
  </r>
  <r>
    <d v="2024-05-26T00:00:00"/>
    <x v="0"/>
    <s v="Adventure"/>
    <s v="Mobile App"/>
    <x v="5"/>
    <n v="1"/>
    <x v="10"/>
    <n v="0.13075929750140999"/>
    <x v="10"/>
    <x v="2"/>
    <x v="0"/>
  </r>
  <r>
    <d v="2024-05-26T00:00:00"/>
    <x v="3"/>
    <s v="Beach"/>
    <s v="Agent"/>
    <x v="6"/>
    <n v="3"/>
    <x v="10"/>
    <n v="0.13075929750140999"/>
    <x v="10"/>
    <x v="5"/>
    <x v="1"/>
  </r>
  <r>
    <d v="2024-05-27T00:00:00"/>
    <x v="3"/>
    <s v="Beach"/>
    <s v="Mobile App"/>
    <x v="0"/>
    <n v="1"/>
    <x v="10"/>
    <n v="0.13075929750140999"/>
    <x v="10"/>
    <x v="15"/>
    <x v="1"/>
  </r>
  <r>
    <d v="2024-05-28T00:00:00"/>
    <x v="0"/>
    <s v="Foodie"/>
    <s v="Mobile App"/>
    <x v="8"/>
    <n v="2"/>
    <x v="10"/>
    <n v="0.13075929750140999"/>
    <x v="10"/>
    <x v="1"/>
    <x v="1"/>
  </r>
  <r>
    <d v="2024-05-29T00:00:00"/>
    <x v="1"/>
    <s v="Beach"/>
    <s v="Website"/>
    <x v="9"/>
    <n v="1"/>
    <x v="10"/>
    <n v="0.13075929750140999"/>
    <x v="10"/>
    <x v="6"/>
    <x v="1"/>
  </r>
  <r>
    <d v="2024-05-29T00:00:00"/>
    <x v="0"/>
    <s v="Adventure"/>
    <s v="Website"/>
    <x v="7"/>
    <n v="1"/>
    <x v="10"/>
    <n v="0.13075929750140999"/>
    <x v="10"/>
    <x v="3"/>
    <x v="1"/>
  </r>
  <r>
    <d v="2024-05-29T00:00:00"/>
    <x v="3"/>
    <s v="Adventure"/>
    <s v="Mobile App"/>
    <x v="9"/>
    <n v="3"/>
    <x v="10"/>
    <n v="0.13075929750140999"/>
    <x v="10"/>
    <x v="3"/>
    <x v="1"/>
  </r>
  <r>
    <d v="2024-05-29T00:00:00"/>
    <x v="0"/>
    <s v="Adventure"/>
    <s v="Website"/>
    <x v="9"/>
    <n v="1"/>
    <x v="10"/>
    <n v="0.13075929750140999"/>
    <x v="10"/>
    <x v="15"/>
    <x v="1"/>
  </r>
  <r>
    <d v="2024-05-29T00:00:00"/>
    <x v="3"/>
    <s v="Cultural"/>
    <s v="Mobile App"/>
    <x v="9"/>
    <n v="3"/>
    <x v="10"/>
    <n v="0.13075929750140999"/>
    <x v="10"/>
    <x v="2"/>
    <x v="0"/>
  </r>
  <r>
    <d v="2024-05-29T00:00:00"/>
    <x v="3"/>
    <s v="City Break"/>
    <s v="Agent"/>
    <x v="5"/>
    <n v="4"/>
    <x v="10"/>
    <n v="0.13075929750140999"/>
    <x v="10"/>
    <x v="5"/>
    <x v="0"/>
  </r>
  <r>
    <d v="2024-05-29T00:00:00"/>
    <x v="3"/>
    <s v="Cultural"/>
    <s v="Agent"/>
    <x v="1"/>
    <n v="1"/>
    <x v="10"/>
    <n v="0.13075929750140999"/>
    <x v="10"/>
    <x v="8"/>
    <x v="1"/>
  </r>
  <r>
    <d v="2024-05-29T00:00:00"/>
    <x v="0"/>
    <s v="Adventure"/>
    <s v="Mobile App"/>
    <x v="2"/>
    <n v="4"/>
    <x v="10"/>
    <n v="0.13075929750140999"/>
    <x v="10"/>
    <x v="15"/>
    <x v="1"/>
  </r>
  <r>
    <d v="2024-05-30T00:00:00"/>
    <x v="1"/>
    <s v="Cultural"/>
    <s v="Website"/>
    <x v="2"/>
    <n v="2"/>
    <x v="10"/>
    <n v="0.13075929750140999"/>
    <x v="10"/>
    <x v="1"/>
    <x v="1"/>
  </r>
  <r>
    <d v="2024-05-30T00:00:00"/>
    <x v="3"/>
    <s v="Beach"/>
    <s v="Website"/>
    <x v="8"/>
    <n v="1"/>
    <x v="10"/>
    <n v="0.13075929750140999"/>
    <x v="10"/>
    <x v="6"/>
    <x v="1"/>
  </r>
  <r>
    <d v="2024-05-30T00:00:00"/>
    <x v="1"/>
    <s v="Cultural"/>
    <s v="Website"/>
    <x v="0"/>
    <n v="1"/>
    <x v="10"/>
    <n v="0.13075929750140999"/>
    <x v="10"/>
    <x v="9"/>
    <x v="1"/>
  </r>
  <r>
    <d v="2024-05-30T00:00:00"/>
    <x v="3"/>
    <s v="Beach"/>
    <s v="Website"/>
    <x v="7"/>
    <n v="1"/>
    <x v="10"/>
    <n v="0.13075929750140999"/>
    <x v="10"/>
    <x v="9"/>
    <x v="0"/>
  </r>
  <r>
    <d v="2024-05-31T00:00:00"/>
    <x v="0"/>
    <s v="Family"/>
    <s v="Website"/>
    <x v="4"/>
    <n v="2"/>
    <x v="10"/>
    <n v="0.13075929750140999"/>
    <x v="10"/>
    <x v="5"/>
    <x v="1"/>
  </r>
  <r>
    <d v="2024-05-31T00:00:00"/>
    <x v="3"/>
    <s v="Cultural"/>
    <s v="Agent"/>
    <x v="1"/>
    <n v="4"/>
    <x v="10"/>
    <n v="0.13075929750140999"/>
    <x v="10"/>
    <x v="8"/>
    <x v="0"/>
  </r>
  <r>
    <d v="2024-05-31T00:00:00"/>
    <x v="3"/>
    <s v="Beach"/>
    <s v="Website"/>
    <x v="1"/>
    <n v="1"/>
    <x v="10"/>
    <n v="0.13075929750140999"/>
    <x v="10"/>
    <x v="14"/>
    <x v="1"/>
  </r>
  <r>
    <d v="2024-06-01T00:00:00"/>
    <x v="0"/>
    <s v="Beach"/>
    <s v="Website"/>
    <x v="0"/>
    <n v="1"/>
    <x v="10"/>
    <n v="0.13075929750140999"/>
    <x v="10"/>
    <x v="4"/>
    <x v="0"/>
  </r>
  <r>
    <d v="2024-06-01T00:00:00"/>
    <x v="3"/>
    <s v="Beach"/>
    <s v="Agent"/>
    <x v="5"/>
    <n v="2"/>
    <x v="10"/>
    <n v="0.13075929750140999"/>
    <x v="10"/>
    <x v="4"/>
    <x v="0"/>
  </r>
  <r>
    <d v="2024-06-01T00:00:00"/>
    <x v="1"/>
    <s v="Foodie"/>
    <s v="Website"/>
    <x v="4"/>
    <n v="3"/>
    <x v="10"/>
    <n v="0.13075929750140999"/>
    <x v="10"/>
    <x v="15"/>
    <x v="0"/>
  </r>
  <r>
    <d v="2024-06-01T00:00:00"/>
    <x v="0"/>
    <s v="Foodie"/>
    <s v="Agent"/>
    <x v="3"/>
    <n v="1"/>
    <x v="10"/>
    <n v="0.13075929750140999"/>
    <x v="10"/>
    <x v="15"/>
    <x v="0"/>
  </r>
  <r>
    <d v="2024-06-01T00:00:00"/>
    <x v="3"/>
    <s v="Adventure"/>
    <s v="Mobile App"/>
    <x v="8"/>
    <n v="2"/>
    <x v="10"/>
    <n v="0.13075929750140999"/>
    <x v="10"/>
    <x v="15"/>
    <x v="0"/>
  </r>
  <r>
    <d v="2024-06-01T00:00:00"/>
    <x v="1"/>
    <s v="Adventure"/>
    <s v="Website"/>
    <x v="0"/>
    <n v="1"/>
    <x v="10"/>
    <n v="0.13075929750140999"/>
    <x v="10"/>
    <x v="18"/>
    <x v="0"/>
  </r>
  <r>
    <d v="2024-06-01T00:00:00"/>
    <x v="1"/>
    <s v="Cultural"/>
    <s v="Agent"/>
    <x v="8"/>
    <n v="2"/>
    <x v="10"/>
    <n v="0.13075929750140999"/>
    <x v="10"/>
    <x v="5"/>
    <x v="1"/>
  </r>
  <r>
    <d v="2024-06-02T00:00:00"/>
    <x v="3"/>
    <s v="Family"/>
    <s v="Call Center"/>
    <x v="4"/>
    <n v="3"/>
    <x v="10"/>
    <n v="0.13075929750140999"/>
    <x v="10"/>
    <x v="6"/>
    <x v="0"/>
  </r>
  <r>
    <d v="2024-06-02T00:00:00"/>
    <x v="0"/>
    <s v="Beach"/>
    <s v="Agent"/>
    <x v="1"/>
    <n v="3"/>
    <x v="10"/>
    <n v="0.13075929750140999"/>
    <x v="10"/>
    <x v="3"/>
    <x v="0"/>
  </r>
  <r>
    <d v="2024-06-02T00:00:00"/>
    <x v="1"/>
    <s v="Cultural"/>
    <s v="Mobile App"/>
    <x v="2"/>
    <n v="2"/>
    <x v="10"/>
    <n v="0.13075929750140999"/>
    <x v="10"/>
    <x v="8"/>
    <x v="1"/>
  </r>
  <r>
    <d v="2024-06-02T00:00:00"/>
    <x v="1"/>
    <s v="Cultural"/>
    <s v="Website"/>
    <x v="8"/>
    <n v="3"/>
    <x v="10"/>
    <n v="0.13075929750140999"/>
    <x v="10"/>
    <x v="13"/>
    <x v="1"/>
  </r>
  <r>
    <d v="2024-06-02T00:00:00"/>
    <x v="1"/>
    <s v="Cultural"/>
    <s v="Agent"/>
    <x v="8"/>
    <n v="2"/>
    <x v="10"/>
    <n v="0.13075929750140999"/>
    <x v="10"/>
    <x v="2"/>
    <x v="0"/>
  </r>
  <r>
    <d v="2024-06-02T00:00:00"/>
    <x v="3"/>
    <s v="Cultural"/>
    <s v="Agent"/>
    <x v="7"/>
    <n v="1"/>
    <x v="10"/>
    <n v="0.13075929750140999"/>
    <x v="10"/>
    <x v="13"/>
    <x v="1"/>
  </r>
  <r>
    <d v="2024-06-02T00:00:00"/>
    <x v="1"/>
    <s v="Foodie"/>
    <s v="Website"/>
    <x v="2"/>
    <n v="1"/>
    <x v="10"/>
    <n v="0.13075929750140999"/>
    <x v="10"/>
    <x v="7"/>
    <x v="1"/>
  </r>
  <r>
    <d v="2024-06-03T00:00:00"/>
    <x v="1"/>
    <s v="Adventure"/>
    <s v="Agent"/>
    <x v="5"/>
    <n v="4"/>
    <x v="10"/>
    <n v="0.13075929750140999"/>
    <x v="10"/>
    <x v="10"/>
    <x v="1"/>
  </r>
  <r>
    <d v="2024-06-03T00:00:00"/>
    <x v="0"/>
    <s v="Cultural"/>
    <s v="Mobile App"/>
    <x v="5"/>
    <n v="4"/>
    <x v="10"/>
    <n v="0.13075929750140999"/>
    <x v="10"/>
    <x v="1"/>
    <x v="1"/>
  </r>
  <r>
    <d v="2024-06-03T00:00:00"/>
    <x v="3"/>
    <s v="Cultural"/>
    <s v="Website"/>
    <x v="8"/>
    <n v="2"/>
    <x v="10"/>
    <n v="0.13075929750140999"/>
    <x v="10"/>
    <x v="16"/>
    <x v="1"/>
  </r>
  <r>
    <d v="2024-06-03T00:00:00"/>
    <x v="1"/>
    <s v="Cultural"/>
    <s v="Mobile App"/>
    <x v="4"/>
    <n v="2"/>
    <x v="10"/>
    <n v="0.13075929750140999"/>
    <x v="10"/>
    <x v="17"/>
    <x v="1"/>
  </r>
  <r>
    <d v="2024-06-03T00:00:00"/>
    <x v="1"/>
    <s v="Beach"/>
    <s v="Agent"/>
    <x v="6"/>
    <n v="2"/>
    <x v="10"/>
    <n v="0.13075929750140999"/>
    <x v="10"/>
    <x v="16"/>
    <x v="1"/>
  </r>
  <r>
    <d v="2024-06-04T00:00:00"/>
    <x v="3"/>
    <s v="Cultural"/>
    <s v="Mobile App"/>
    <x v="2"/>
    <n v="3"/>
    <x v="10"/>
    <n v="0.13075929750140999"/>
    <x v="10"/>
    <x v="17"/>
    <x v="0"/>
  </r>
  <r>
    <d v="2024-06-04T00:00:00"/>
    <x v="0"/>
    <s v="Cultural"/>
    <s v="Website"/>
    <x v="0"/>
    <n v="1"/>
    <x v="10"/>
    <n v="0.13075929750140999"/>
    <x v="10"/>
    <x v="0"/>
    <x v="0"/>
  </r>
  <r>
    <d v="2024-06-05T00:00:00"/>
    <x v="0"/>
    <s v="City Break"/>
    <s v="Mobile App"/>
    <x v="4"/>
    <n v="2"/>
    <x v="10"/>
    <n v="0.13075929750140999"/>
    <x v="10"/>
    <x v="10"/>
    <x v="1"/>
  </r>
  <r>
    <d v="2024-06-05T00:00:00"/>
    <x v="1"/>
    <s v="Adventure"/>
    <s v="Call Center"/>
    <x v="2"/>
    <n v="1"/>
    <x v="10"/>
    <n v="0.13075929750140999"/>
    <x v="10"/>
    <x v="0"/>
    <x v="1"/>
  </r>
  <r>
    <d v="2024-06-06T00:00:00"/>
    <x v="0"/>
    <s v="Beach"/>
    <s v="Website"/>
    <x v="2"/>
    <n v="1"/>
    <x v="10"/>
    <n v="0.13075929750140999"/>
    <x v="10"/>
    <x v="8"/>
    <x v="1"/>
  </r>
  <r>
    <d v="2024-06-06T00:00:00"/>
    <x v="1"/>
    <s v="City Break"/>
    <s v="Website"/>
    <x v="8"/>
    <n v="1"/>
    <x v="10"/>
    <n v="0.13075929750140999"/>
    <x v="10"/>
    <x v="5"/>
    <x v="1"/>
  </r>
  <r>
    <d v="2024-06-06T00:00:00"/>
    <x v="1"/>
    <s v="Cultural"/>
    <s v="Website"/>
    <x v="6"/>
    <n v="2"/>
    <x v="10"/>
    <n v="0.13075929750140999"/>
    <x v="10"/>
    <x v="3"/>
    <x v="0"/>
  </r>
  <r>
    <d v="2024-06-07T00:00:00"/>
    <x v="2"/>
    <s v="Cultural"/>
    <s v="Agent"/>
    <x v="9"/>
    <n v="2"/>
    <x v="10"/>
    <n v="0.13075929750140999"/>
    <x v="10"/>
    <x v="17"/>
    <x v="0"/>
  </r>
  <r>
    <d v="2024-06-07T00:00:00"/>
    <x v="3"/>
    <s v="Foodie"/>
    <s v="Website"/>
    <x v="5"/>
    <n v="2"/>
    <x v="10"/>
    <n v="0.13075929750140999"/>
    <x v="10"/>
    <x v="0"/>
    <x v="1"/>
  </r>
  <r>
    <d v="2024-06-08T00:00:00"/>
    <x v="1"/>
    <s v="Cultural"/>
    <s v="Website"/>
    <x v="4"/>
    <n v="2"/>
    <x v="10"/>
    <n v="0.13075929750140999"/>
    <x v="10"/>
    <x v="13"/>
    <x v="0"/>
  </r>
  <r>
    <d v="2024-06-08T00:00:00"/>
    <x v="3"/>
    <s v="Cultural"/>
    <s v="Website"/>
    <x v="0"/>
    <n v="1"/>
    <x v="10"/>
    <n v="0.13075929750140999"/>
    <x v="10"/>
    <x v="4"/>
    <x v="0"/>
  </r>
  <r>
    <d v="2024-06-09T00:00:00"/>
    <x v="3"/>
    <s v="City Break"/>
    <s v="Website"/>
    <x v="1"/>
    <n v="2"/>
    <x v="10"/>
    <n v="0.13075929750140999"/>
    <x v="10"/>
    <x v="3"/>
    <x v="1"/>
  </r>
  <r>
    <d v="2024-06-09T00:00:00"/>
    <x v="1"/>
    <s v="Family"/>
    <s v="Website"/>
    <x v="6"/>
    <n v="5"/>
    <x v="10"/>
    <n v="0.13075929750140999"/>
    <x v="10"/>
    <x v="10"/>
    <x v="0"/>
  </r>
  <r>
    <d v="2024-06-09T00:00:00"/>
    <x v="1"/>
    <s v="Beach"/>
    <s v="Agent"/>
    <x v="6"/>
    <n v="1"/>
    <x v="10"/>
    <n v="0.13075929750140999"/>
    <x v="10"/>
    <x v="18"/>
    <x v="0"/>
  </r>
  <r>
    <d v="2024-06-09T00:00:00"/>
    <x v="3"/>
    <s v="Beach"/>
    <s v="Mobile App"/>
    <x v="8"/>
    <n v="1"/>
    <x v="10"/>
    <n v="0.13075929750140999"/>
    <x v="10"/>
    <x v="6"/>
    <x v="0"/>
  </r>
  <r>
    <d v="2024-06-09T00:00:00"/>
    <x v="2"/>
    <s v="Beach"/>
    <s v="Website"/>
    <x v="1"/>
    <n v="1"/>
    <x v="10"/>
    <n v="0.13075929750140999"/>
    <x v="10"/>
    <x v="10"/>
    <x v="1"/>
  </r>
  <r>
    <d v="2024-06-09T00:00:00"/>
    <x v="1"/>
    <s v="Cultural"/>
    <s v="Agent"/>
    <x v="3"/>
    <n v="2"/>
    <x v="10"/>
    <n v="0.13075929750140999"/>
    <x v="10"/>
    <x v="13"/>
    <x v="1"/>
  </r>
  <r>
    <d v="2024-06-09T00:00:00"/>
    <x v="3"/>
    <s v="Cultural"/>
    <s v="Website"/>
    <x v="1"/>
    <n v="1"/>
    <x v="10"/>
    <n v="0.13075929750140999"/>
    <x v="10"/>
    <x v="5"/>
    <x v="0"/>
  </r>
  <r>
    <d v="2024-06-09T00:00:00"/>
    <x v="3"/>
    <s v="Beach"/>
    <s v="Agent"/>
    <x v="0"/>
    <n v="2"/>
    <x v="10"/>
    <n v="0.13075929750140999"/>
    <x v="10"/>
    <x v="1"/>
    <x v="1"/>
  </r>
  <r>
    <d v="2024-06-10T00:00:00"/>
    <x v="0"/>
    <s v="Cultural"/>
    <s v="Mobile App"/>
    <x v="1"/>
    <n v="2"/>
    <x v="10"/>
    <n v="0.13075929750140999"/>
    <x v="10"/>
    <x v="5"/>
    <x v="0"/>
  </r>
  <r>
    <d v="2024-06-10T00:00:00"/>
    <x v="2"/>
    <s v="Beach"/>
    <s v="Website"/>
    <x v="6"/>
    <n v="3"/>
    <x v="10"/>
    <n v="0.13075929750140999"/>
    <x v="10"/>
    <x v="2"/>
    <x v="0"/>
  </r>
  <r>
    <d v="2024-06-10T00:00:00"/>
    <x v="2"/>
    <s v="Beach"/>
    <s v="Mobile App"/>
    <x v="2"/>
    <n v="2"/>
    <x v="10"/>
    <n v="0.13075929750140999"/>
    <x v="10"/>
    <x v="13"/>
    <x v="0"/>
  </r>
  <r>
    <d v="2024-06-10T00:00:00"/>
    <x v="3"/>
    <s v="Cultural"/>
    <s v="Mobile App"/>
    <x v="6"/>
    <n v="2"/>
    <x v="10"/>
    <n v="0.13075929750140999"/>
    <x v="10"/>
    <x v="0"/>
    <x v="1"/>
  </r>
  <r>
    <d v="2024-06-10T00:00:00"/>
    <x v="3"/>
    <s v="Beach"/>
    <s v="Mobile App"/>
    <x v="3"/>
    <n v="1"/>
    <x v="10"/>
    <n v="0.13075929750140999"/>
    <x v="10"/>
    <x v="2"/>
    <x v="1"/>
  </r>
  <r>
    <d v="2024-06-10T00:00:00"/>
    <x v="0"/>
    <s v="Family"/>
    <s v="Mobile App"/>
    <x v="5"/>
    <n v="2"/>
    <x v="10"/>
    <n v="0.13075929750140999"/>
    <x v="10"/>
    <x v="1"/>
    <x v="0"/>
  </r>
  <r>
    <d v="2024-06-11T00:00:00"/>
    <x v="0"/>
    <s v="Cultural"/>
    <s v="Mobile App"/>
    <x v="5"/>
    <n v="1"/>
    <x v="10"/>
    <n v="0.13075929750140999"/>
    <x v="10"/>
    <x v="15"/>
    <x v="1"/>
  </r>
  <r>
    <d v="2024-06-11T00:00:00"/>
    <x v="2"/>
    <s v="Beach"/>
    <s v="Mobile App"/>
    <x v="1"/>
    <n v="5"/>
    <x v="10"/>
    <n v="0.13075929750140999"/>
    <x v="10"/>
    <x v="14"/>
    <x v="1"/>
  </r>
  <r>
    <d v="2024-06-11T00:00:00"/>
    <x v="0"/>
    <s v="Beach"/>
    <s v="Agent"/>
    <x v="1"/>
    <n v="5"/>
    <x v="10"/>
    <n v="0.13075929750140999"/>
    <x v="10"/>
    <x v="14"/>
    <x v="0"/>
  </r>
  <r>
    <d v="2024-06-11T00:00:00"/>
    <x v="0"/>
    <s v="Foodie"/>
    <s v="Website"/>
    <x v="6"/>
    <n v="3"/>
    <x v="10"/>
    <n v="0.13075929750140999"/>
    <x v="10"/>
    <x v="14"/>
    <x v="0"/>
  </r>
  <r>
    <d v="2024-06-12T00:00:00"/>
    <x v="1"/>
    <s v="Adventure"/>
    <s v="Website"/>
    <x v="5"/>
    <n v="1"/>
    <x v="10"/>
    <n v="0.13075929750140999"/>
    <x v="10"/>
    <x v="13"/>
    <x v="1"/>
  </r>
  <r>
    <d v="2024-06-12T00:00:00"/>
    <x v="1"/>
    <s v="City Break"/>
    <s v="Agent"/>
    <x v="7"/>
    <n v="2"/>
    <x v="10"/>
    <n v="0.13075929750140999"/>
    <x v="10"/>
    <x v="14"/>
    <x v="1"/>
  </r>
  <r>
    <d v="2024-06-12T00:00:00"/>
    <x v="3"/>
    <s v="Cultural"/>
    <s v="Website"/>
    <x v="7"/>
    <n v="3"/>
    <x v="10"/>
    <n v="0.13075929750140999"/>
    <x v="10"/>
    <x v="1"/>
    <x v="0"/>
  </r>
  <r>
    <d v="2024-06-12T00:00:00"/>
    <x v="0"/>
    <s v="Beach"/>
    <s v="Agent"/>
    <x v="2"/>
    <n v="1"/>
    <x v="10"/>
    <n v="0.13075929750140999"/>
    <x v="10"/>
    <x v="13"/>
    <x v="1"/>
  </r>
  <r>
    <d v="2024-06-13T00:00:00"/>
    <x v="1"/>
    <s v="Beach"/>
    <s v="Agent"/>
    <x v="7"/>
    <n v="1"/>
    <x v="10"/>
    <n v="0.13075929750140999"/>
    <x v="10"/>
    <x v="6"/>
    <x v="1"/>
  </r>
  <r>
    <d v="2024-06-13T00:00:00"/>
    <x v="0"/>
    <s v="Cultural"/>
    <s v="Call Center"/>
    <x v="0"/>
    <n v="2"/>
    <x v="10"/>
    <n v="0.13075929750140999"/>
    <x v="10"/>
    <x v="2"/>
    <x v="0"/>
  </r>
  <r>
    <d v="2024-06-13T00:00:00"/>
    <x v="0"/>
    <s v="Beach"/>
    <s v="Website"/>
    <x v="9"/>
    <n v="1"/>
    <x v="10"/>
    <n v="0.13075929750140999"/>
    <x v="10"/>
    <x v="8"/>
    <x v="0"/>
  </r>
  <r>
    <d v="2024-06-13T00:00:00"/>
    <x v="2"/>
    <s v="Cultural"/>
    <s v="Agent"/>
    <x v="0"/>
    <n v="2"/>
    <x v="10"/>
    <n v="0.13075929750140999"/>
    <x v="10"/>
    <x v="6"/>
    <x v="1"/>
  </r>
  <r>
    <d v="2024-06-14T00:00:00"/>
    <x v="2"/>
    <s v="Foodie"/>
    <s v="Website"/>
    <x v="2"/>
    <n v="2"/>
    <x v="10"/>
    <n v="0.13075929750140999"/>
    <x v="10"/>
    <x v="0"/>
    <x v="0"/>
  </r>
  <r>
    <d v="2024-06-14T00:00:00"/>
    <x v="2"/>
    <s v="Family"/>
    <s v="Agent"/>
    <x v="3"/>
    <n v="2"/>
    <x v="10"/>
    <n v="0.13075929750140999"/>
    <x v="10"/>
    <x v="6"/>
    <x v="1"/>
  </r>
  <r>
    <d v="2024-06-14T00:00:00"/>
    <x v="3"/>
    <s v="Family"/>
    <s v="Website"/>
    <x v="9"/>
    <n v="3"/>
    <x v="10"/>
    <n v="0.13075929750140999"/>
    <x v="10"/>
    <x v="2"/>
    <x v="0"/>
  </r>
  <r>
    <d v="2024-06-15T00:00:00"/>
    <x v="2"/>
    <s v="Family"/>
    <s v="Agent"/>
    <x v="7"/>
    <n v="2"/>
    <x v="10"/>
    <n v="0.13075929750140999"/>
    <x v="10"/>
    <x v="4"/>
    <x v="1"/>
  </r>
  <r>
    <d v="2024-06-15T00:00:00"/>
    <x v="3"/>
    <s v="Family"/>
    <s v="Website"/>
    <x v="8"/>
    <n v="5"/>
    <x v="10"/>
    <n v="0.13075929750140999"/>
    <x v="10"/>
    <x v="23"/>
    <x v="0"/>
  </r>
  <r>
    <d v="2024-06-15T00:00:00"/>
    <x v="1"/>
    <s v="Cultural"/>
    <s v="Agent"/>
    <x v="5"/>
    <n v="1"/>
    <x v="10"/>
    <n v="0.13075929750140999"/>
    <x v="10"/>
    <x v="19"/>
    <x v="0"/>
  </r>
  <r>
    <d v="2024-06-16T00:00:00"/>
    <x v="1"/>
    <s v="Family"/>
    <s v="Website"/>
    <x v="9"/>
    <n v="4"/>
    <x v="10"/>
    <n v="0.13075929750140999"/>
    <x v="10"/>
    <x v="2"/>
    <x v="1"/>
  </r>
  <r>
    <d v="2024-06-16T00:00:00"/>
    <x v="0"/>
    <s v="City Break"/>
    <s v="Website"/>
    <x v="9"/>
    <n v="2"/>
    <x v="10"/>
    <n v="0.13075929750140999"/>
    <x v="10"/>
    <x v="13"/>
    <x v="1"/>
  </r>
  <r>
    <d v="2024-06-16T00:00:00"/>
    <x v="1"/>
    <s v="Cultural"/>
    <s v="Mobile App"/>
    <x v="2"/>
    <n v="2"/>
    <x v="10"/>
    <n v="0.13075929750140999"/>
    <x v="10"/>
    <x v="2"/>
    <x v="0"/>
  </r>
  <r>
    <d v="2024-06-16T00:00:00"/>
    <x v="1"/>
    <s v="Beach"/>
    <s v="Mobile App"/>
    <x v="0"/>
    <n v="3"/>
    <x v="10"/>
    <n v="0.13075929750140999"/>
    <x v="10"/>
    <x v="12"/>
    <x v="0"/>
  </r>
  <r>
    <d v="2024-06-16T00:00:00"/>
    <x v="2"/>
    <s v="Beach"/>
    <s v="Website"/>
    <x v="2"/>
    <n v="1"/>
    <x v="10"/>
    <n v="0.13075929750140999"/>
    <x v="10"/>
    <x v="14"/>
    <x v="0"/>
  </r>
  <r>
    <d v="2024-06-17T00:00:00"/>
    <x v="1"/>
    <s v="Beach"/>
    <s v="Website"/>
    <x v="1"/>
    <n v="2"/>
    <x v="10"/>
    <n v="0.13075929750140999"/>
    <x v="10"/>
    <x v="5"/>
    <x v="0"/>
  </r>
  <r>
    <d v="2024-06-17T00:00:00"/>
    <x v="1"/>
    <s v="Adventure"/>
    <s v="Agent"/>
    <x v="8"/>
    <n v="2"/>
    <x v="10"/>
    <n v="0.13075929750140999"/>
    <x v="10"/>
    <x v="2"/>
    <x v="0"/>
  </r>
  <r>
    <d v="2024-06-17T00:00:00"/>
    <x v="1"/>
    <s v="City Break"/>
    <s v="Website"/>
    <x v="6"/>
    <n v="1"/>
    <x v="10"/>
    <n v="0.13075929750140999"/>
    <x v="10"/>
    <x v="19"/>
    <x v="1"/>
  </r>
  <r>
    <d v="2024-06-17T00:00:00"/>
    <x v="0"/>
    <s v="Adventure"/>
    <s v="Website"/>
    <x v="5"/>
    <n v="1"/>
    <x v="10"/>
    <n v="0.13075929750140999"/>
    <x v="10"/>
    <x v="10"/>
    <x v="0"/>
  </r>
  <r>
    <d v="2024-06-17T00:00:00"/>
    <x v="0"/>
    <s v="Family"/>
    <s v="Website"/>
    <x v="8"/>
    <n v="3"/>
    <x v="10"/>
    <n v="0.13075929750140999"/>
    <x v="10"/>
    <x v="6"/>
    <x v="1"/>
  </r>
  <r>
    <d v="2024-06-17T00:00:00"/>
    <x v="1"/>
    <s v="Foodie"/>
    <s v="Website"/>
    <x v="2"/>
    <n v="2"/>
    <x v="10"/>
    <n v="0.13075929750140999"/>
    <x v="10"/>
    <x v="0"/>
    <x v="0"/>
  </r>
  <r>
    <d v="2024-06-17T00:00:00"/>
    <x v="0"/>
    <s v="Family"/>
    <s v="Mobile App"/>
    <x v="6"/>
    <n v="4"/>
    <x v="10"/>
    <n v="0.13075929750140999"/>
    <x v="10"/>
    <x v="2"/>
    <x v="0"/>
  </r>
  <r>
    <d v="2024-06-17T00:00:00"/>
    <x v="2"/>
    <s v="Adventure"/>
    <s v="Mobile App"/>
    <x v="5"/>
    <n v="3"/>
    <x v="10"/>
    <n v="0.13075929750140999"/>
    <x v="10"/>
    <x v="11"/>
    <x v="1"/>
  </r>
  <r>
    <d v="2024-06-17T00:00:00"/>
    <x v="1"/>
    <s v="Cultural"/>
    <s v="Website"/>
    <x v="9"/>
    <n v="3"/>
    <x v="10"/>
    <n v="0.13075929750140999"/>
    <x v="10"/>
    <x v="10"/>
    <x v="0"/>
  </r>
  <r>
    <d v="2024-06-18T00:00:00"/>
    <x v="1"/>
    <s v="Foodie"/>
    <s v="Agent"/>
    <x v="1"/>
    <n v="1"/>
    <x v="10"/>
    <n v="0.13075929750140999"/>
    <x v="10"/>
    <x v="11"/>
    <x v="1"/>
  </r>
  <r>
    <d v="2024-06-18T00:00:00"/>
    <x v="1"/>
    <s v="Beach"/>
    <s v="Website"/>
    <x v="4"/>
    <n v="2"/>
    <x v="10"/>
    <n v="0.13075929750140999"/>
    <x v="10"/>
    <x v="2"/>
    <x v="0"/>
  </r>
  <r>
    <d v="2024-06-18T00:00:00"/>
    <x v="1"/>
    <s v="Adventure"/>
    <s v="Mobile App"/>
    <x v="4"/>
    <n v="3"/>
    <x v="10"/>
    <n v="0.13075929750140999"/>
    <x v="10"/>
    <x v="5"/>
    <x v="0"/>
  </r>
  <r>
    <d v="2024-06-19T00:00:00"/>
    <x v="2"/>
    <s v="Beach"/>
    <s v="Agent"/>
    <x v="8"/>
    <n v="1"/>
    <x v="10"/>
    <n v="0.13075929750140999"/>
    <x v="10"/>
    <x v="10"/>
    <x v="0"/>
  </r>
  <r>
    <d v="2024-06-19T00:00:00"/>
    <x v="1"/>
    <s v="Beach"/>
    <s v="Mobile App"/>
    <x v="0"/>
    <n v="2"/>
    <x v="10"/>
    <n v="0.13075929750140999"/>
    <x v="10"/>
    <x v="4"/>
    <x v="1"/>
  </r>
  <r>
    <d v="2024-06-19T00:00:00"/>
    <x v="2"/>
    <s v="Foodie"/>
    <s v="Agent"/>
    <x v="2"/>
    <n v="3"/>
    <x v="10"/>
    <n v="0.13075929750140999"/>
    <x v="10"/>
    <x v="2"/>
    <x v="0"/>
  </r>
  <r>
    <d v="2024-06-19T00:00:00"/>
    <x v="3"/>
    <s v="Cultural"/>
    <s v="Agent"/>
    <x v="2"/>
    <n v="2"/>
    <x v="10"/>
    <n v="0.13075929750140999"/>
    <x v="10"/>
    <x v="9"/>
    <x v="0"/>
  </r>
  <r>
    <d v="2024-06-20T00:00:00"/>
    <x v="3"/>
    <s v="Foodie"/>
    <s v="Website"/>
    <x v="7"/>
    <n v="4"/>
    <x v="10"/>
    <n v="0.13075929750140999"/>
    <x v="10"/>
    <x v="12"/>
    <x v="1"/>
  </r>
  <r>
    <d v="2024-06-20T00:00:00"/>
    <x v="1"/>
    <s v="Adventure"/>
    <s v="Website"/>
    <x v="9"/>
    <n v="1"/>
    <x v="10"/>
    <n v="0.13075929750140999"/>
    <x v="10"/>
    <x v="12"/>
    <x v="1"/>
  </r>
  <r>
    <d v="2024-06-21T00:00:00"/>
    <x v="1"/>
    <s v="Family"/>
    <s v="Website"/>
    <x v="9"/>
    <n v="2"/>
    <x v="10"/>
    <n v="0.13075929750140999"/>
    <x v="10"/>
    <x v="15"/>
    <x v="0"/>
  </r>
  <r>
    <d v="2024-06-21T00:00:00"/>
    <x v="1"/>
    <s v="Family"/>
    <s v="Website"/>
    <x v="2"/>
    <n v="4"/>
    <x v="10"/>
    <n v="0.13075929750140999"/>
    <x v="10"/>
    <x v="1"/>
    <x v="0"/>
  </r>
  <r>
    <d v="2024-06-21T00:00:00"/>
    <x v="0"/>
    <s v="Foodie"/>
    <s v="Website"/>
    <x v="4"/>
    <n v="2"/>
    <x v="10"/>
    <n v="0.13075929750140999"/>
    <x v="10"/>
    <x v="13"/>
    <x v="1"/>
  </r>
  <r>
    <d v="2024-06-21T00:00:00"/>
    <x v="3"/>
    <s v="Cultural"/>
    <s v="Agent"/>
    <x v="6"/>
    <n v="1"/>
    <x v="10"/>
    <n v="0.13075929750140999"/>
    <x v="10"/>
    <x v="4"/>
    <x v="1"/>
  </r>
  <r>
    <d v="2024-06-21T00:00:00"/>
    <x v="0"/>
    <s v="Adventure"/>
    <s v="Website"/>
    <x v="3"/>
    <n v="1"/>
    <x v="10"/>
    <n v="0.13075929750140999"/>
    <x v="10"/>
    <x v="0"/>
    <x v="1"/>
  </r>
  <r>
    <d v="2024-06-21T00:00:00"/>
    <x v="2"/>
    <s v="Foodie"/>
    <s v="Website"/>
    <x v="5"/>
    <n v="2"/>
    <x v="10"/>
    <n v="0.13075929750140999"/>
    <x v="10"/>
    <x v="0"/>
    <x v="1"/>
  </r>
  <r>
    <d v="2024-06-21T00:00:00"/>
    <x v="3"/>
    <s v="Cultural"/>
    <s v="Agent"/>
    <x v="3"/>
    <n v="2"/>
    <x v="10"/>
    <n v="0.13075929750140999"/>
    <x v="10"/>
    <x v="12"/>
    <x v="1"/>
  </r>
  <r>
    <d v="2024-06-22T00:00:00"/>
    <x v="0"/>
    <s v="Cultural"/>
    <s v="Website"/>
    <x v="9"/>
    <n v="3"/>
    <x v="10"/>
    <n v="0.13075929750140999"/>
    <x v="10"/>
    <x v="1"/>
    <x v="0"/>
  </r>
  <r>
    <d v="2024-06-22T00:00:00"/>
    <x v="0"/>
    <s v="City Break"/>
    <s v="Mobile App"/>
    <x v="7"/>
    <n v="1"/>
    <x v="10"/>
    <n v="0.13075929750140999"/>
    <x v="10"/>
    <x v="0"/>
    <x v="0"/>
  </r>
  <r>
    <d v="2024-06-22T00:00:00"/>
    <x v="2"/>
    <s v="Adventure"/>
    <s v="Website"/>
    <x v="6"/>
    <n v="3"/>
    <x v="10"/>
    <n v="0.13075929750140999"/>
    <x v="10"/>
    <x v="9"/>
    <x v="1"/>
  </r>
  <r>
    <d v="2024-06-22T00:00:00"/>
    <x v="1"/>
    <s v="Beach"/>
    <s v="Agent"/>
    <x v="9"/>
    <n v="2"/>
    <x v="10"/>
    <n v="0.13075929750140999"/>
    <x v="10"/>
    <x v="12"/>
    <x v="1"/>
  </r>
  <r>
    <d v="2024-06-22T00:00:00"/>
    <x v="0"/>
    <s v="Beach"/>
    <s v="Mobile App"/>
    <x v="6"/>
    <n v="3"/>
    <x v="10"/>
    <n v="0.13075929750140999"/>
    <x v="10"/>
    <x v="11"/>
    <x v="1"/>
  </r>
  <r>
    <d v="2024-06-23T00:00:00"/>
    <x v="0"/>
    <s v="Cultural"/>
    <s v="Website"/>
    <x v="9"/>
    <n v="1"/>
    <x v="10"/>
    <n v="0.13075929750140999"/>
    <x v="10"/>
    <x v="0"/>
    <x v="0"/>
  </r>
  <r>
    <d v="2024-06-23T00:00:00"/>
    <x v="0"/>
    <s v="Adventure"/>
    <s v="Mobile App"/>
    <x v="0"/>
    <n v="1"/>
    <x v="10"/>
    <n v="0.13075929750140999"/>
    <x v="10"/>
    <x v="12"/>
    <x v="0"/>
  </r>
  <r>
    <d v="2024-06-23T00:00:00"/>
    <x v="1"/>
    <s v="Family"/>
    <s v="Agent"/>
    <x v="1"/>
    <n v="4"/>
    <x v="10"/>
    <n v="0.13075929750140999"/>
    <x v="10"/>
    <x v="0"/>
    <x v="0"/>
  </r>
  <r>
    <d v="2024-06-23T00:00:00"/>
    <x v="1"/>
    <s v="Family"/>
    <s v="Website"/>
    <x v="4"/>
    <n v="1"/>
    <x v="10"/>
    <n v="0.13075929750140999"/>
    <x v="10"/>
    <x v="0"/>
    <x v="1"/>
  </r>
  <r>
    <d v="2024-06-23T00:00:00"/>
    <x v="3"/>
    <s v="Beach"/>
    <s v="Website"/>
    <x v="9"/>
    <n v="1"/>
    <x v="10"/>
    <n v="0.13075929750140999"/>
    <x v="10"/>
    <x v="13"/>
    <x v="1"/>
  </r>
  <r>
    <d v="2024-06-24T00:00:00"/>
    <x v="1"/>
    <s v="Family"/>
    <s v="Website"/>
    <x v="8"/>
    <n v="4"/>
    <x v="10"/>
    <n v="0.13075929750140999"/>
    <x v="10"/>
    <x v="8"/>
    <x v="1"/>
  </r>
  <r>
    <d v="2024-06-25T00:00:00"/>
    <x v="2"/>
    <s v="Adventure"/>
    <s v="Mobile App"/>
    <x v="2"/>
    <n v="1"/>
    <x v="10"/>
    <n v="0.13075929750140999"/>
    <x v="10"/>
    <x v="8"/>
    <x v="1"/>
  </r>
  <r>
    <d v="2024-06-26T00:00:00"/>
    <x v="2"/>
    <s v="Foodie"/>
    <s v="Website"/>
    <x v="5"/>
    <n v="4"/>
    <x v="10"/>
    <n v="0.13075929750140999"/>
    <x v="10"/>
    <x v="0"/>
    <x v="1"/>
  </r>
  <r>
    <d v="2024-06-26T00:00:00"/>
    <x v="3"/>
    <s v="Beach"/>
    <s v="Website"/>
    <x v="9"/>
    <n v="4"/>
    <x v="10"/>
    <n v="0.13075929750140999"/>
    <x v="10"/>
    <x v="4"/>
    <x v="0"/>
  </r>
  <r>
    <d v="2024-06-26T00:00:00"/>
    <x v="1"/>
    <s v="Beach"/>
    <s v="Website"/>
    <x v="9"/>
    <n v="1"/>
    <x v="10"/>
    <n v="0.13075929750140999"/>
    <x v="10"/>
    <x v="2"/>
    <x v="1"/>
  </r>
  <r>
    <d v="2024-06-27T00:00:00"/>
    <x v="3"/>
    <s v="Cultural"/>
    <s v="Agent"/>
    <x v="7"/>
    <n v="4"/>
    <x v="10"/>
    <n v="0.13075929750140999"/>
    <x v="10"/>
    <x v="4"/>
    <x v="0"/>
  </r>
  <r>
    <d v="2024-06-28T00:00:00"/>
    <x v="1"/>
    <s v="Cultural"/>
    <s v="Agent"/>
    <x v="6"/>
    <n v="2"/>
    <x v="10"/>
    <n v="0.13075929750140999"/>
    <x v="10"/>
    <x v="6"/>
    <x v="1"/>
  </r>
  <r>
    <d v="2024-06-28T00:00:00"/>
    <x v="1"/>
    <s v="Beach"/>
    <s v="Agent"/>
    <x v="2"/>
    <n v="2"/>
    <x v="10"/>
    <n v="0.13075929750140999"/>
    <x v="10"/>
    <x v="6"/>
    <x v="1"/>
  </r>
  <r>
    <d v="2024-06-28T00:00:00"/>
    <x v="1"/>
    <s v="City Break"/>
    <s v="Agent"/>
    <x v="8"/>
    <n v="1"/>
    <x v="10"/>
    <n v="0.13075929750140999"/>
    <x v="10"/>
    <x v="13"/>
    <x v="1"/>
  </r>
  <r>
    <d v="2024-06-29T00:00:00"/>
    <x v="0"/>
    <s v="City Break"/>
    <s v="Agent"/>
    <x v="2"/>
    <n v="1"/>
    <x v="10"/>
    <n v="0.13075929750140999"/>
    <x v="10"/>
    <x v="7"/>
    <x v="0"/>
  </r>
  <r>
    <d v="2024-06-29T00:00:00"/>
    <x v="3"/>
    <s v="Cultural"/>
    <s v="Website"/>
    <x v="0"/>
    <n v="2"/>
    <x v="10"/>
    <n v="0.13075929750140999"/>
    <x v="10"/>
    <x v="10"/>
    <x v="1"/>
  </r>
  <r>
    <d v="2024-06-29T00:00:00"/>
    <x v="3"/>
    <s v="Family"/>
    <s v="Website"/>
    <x v="6"/>
    <n v="5"/>
    <x v="10"/>
    <n v="0.13075929750140999"/>
    <x v="10"/>
    <x v="6"/>
    <x v="1"/>
  </r>
  <r>
    <d v="2024-06-30T00:00:00"/>
    <x v="2"/>
    <s v="Beach"/>
    <s v="Agent"/>
    <x v="1"/>
    <n v="1"/>
    <x v="10"/>
    <n v="0.13075929750140999"/>
    <x v="10"/>
    <x v="2"/>
    <x v="0"/>
  </r>
  <r>
    <d v="2024-06-30T00:00:00"/>
    <x v="2"/>
    <s v="Beach"/>
    <s v="Agent"/>
    <x v="4"/>
    <n v="1"/>
    <x v="10"/>
    <n v="0.13075929750140999"/>
    <x v="10"/>
    <x v="9"/>
    <x v="0"/>
  </r>
  <r>
    <d v="2024-07-01T00:00:00"/>
    <x v="3"/>
    <s v="Beach"/>
    <s v="Agent"/>
    <x v="1"/>
    <n v="4"/>
    <x v="10"/>
    <n v="0.13075929750140999"/>
    <x v="10"/>
    <x v="15"/>
    <x v="1"/>
  </r>
  <r>
    <d v="2024-07-01T00:00:00"/>
    <x v="0"/>
    <s v="Foodie"/>
    <s v="Mobile App"/>
    <x v="5"/>
    <n v="2"/>
    <x v="10"/>
    <n v="0.13075929750140999"/>
    <x v="10"/>
    <x v="4"/>
    <x v="0"/>
  </r>
  <r>
    <d v="2024-07-02T00:00:00"/>
    <x v="0"/>
    <s v="Adventure"/>
    <s v="Website"/>
    <x v="6"/>
    <n v="1"/>
    <x v="10"/>
    <n v="0.13075929750140999"/>
    <x v="10"/>
    <x v="6"/>
    <x v="1"/>
  </r>
  <r>
    <d v="2024-07-02T00:00:00"/>
    <x v="3"/>
    <s v="Beach"/>
    <s v="Website"/>
    <x v="3"/>
    <n v="1"/>
    <x v="10"/>
    <n v="0.13075929750140999"/>
    <x v="10"/>
    <x v="14"/>
    <x v="0"/>
  </r>
  <r>
    <d v="2024-07-02T00:00:00"/>
    <x v="3"/>
    <s v="Beach"/>
    <s v="Website"/>
    <x v="3"/>
    <n v="1"/>
    <x v="10"/>
    <n v="0.13075929750140999"/>
    <x v="10"/>
    <x v="12"/>
    <x v="1"/>
  </r>
  <r>
    <d v="2024-07-02T00:00:00"/>
    <x v="2"/>
    <s v="Beach"/>
    <s v="Mobile App"/>
    <x v="0"/>
    <n v="2"/>
    <x v="10"/>
    <n v="0.13075929750140999"/>
    <x v="10"/>
    <x v="6"/>
    <x v="0"/>
  </r>
  <r>
    <d v="2024-07-03T00:00:00"/>
    <x v="1"/>
    <s v="City Break"/>
    <s v="Website"/>
    <x v="7"/>
    <n v="1"/>
    <x v="10"/>
    <n v="0.13075929750140999"/>
    <x v="10"/>
    <x v="6"/>
    <x v="0"/>
  </r>
  <r>
    <d v="2024-07-03T00:00:00"/>
    <x v="2"/>
    <s v="Beach"/>
    <s v="Website"/>
    <x v="2"/>
    <n v="3"/>
    <x v="10"/>
    <n v="0.13075929750140999"/>
    <x v="10"/>
    <x v="0"/>
    <x v="0"/>
  </r>
  <r>
    <d v="2024-07-03T00:00:00"/>
    <x v="1"/>
    <s v="Adventure"/>
    <s v="Mobile App"/>
    <x v="3"/>
    <n v="2"/>
    <x v="10"/>
    <n v="0.13075929750140999"/>
    <x v="10"/>
    <x v="1"/>
    <x v="1"/>
  </r>
  <r>
    <d v="2024-07-04T00:00:00"/>
    <x v="0"/>
    <s v="Beach"/>
    <s v="Website"/>
    <x v="1"/>
    <n v="1"/>
    <x v="10"/>
    <n v="0.13075929750140999"/>
    <x v="10"/>
    <x v="10"/>
    <x v="0"/>
  </r>
  <r>
    <d v="2024-07-04T00:00:00"/>
    <x v="3"/>
    <s v="Foodie"/>
    <s v="Website"/>
    <x v="6"/>
    <n v="2"/>
    <x v="10"/>
    <n v="0.13075929750140999"/>
    <x v="10"/>
    <x v="14"/>
    <x v="1"/>
  </r>
  <r>
    <d v="2024-07-05T00:00:00"/>
    <x v="1"/>
    <s v="Family"/>
    <s v="Website"/>
    <x v="6"/>
    <n v="3"/>
    <x v="10"/>
    <n v="0.13075929750140999"/>
    <x v="10"/>
    <x v="6"/>
    <x v="1"/>
  </r>
  <r>
    <d v="2024-07-05T00:00:00"/>
    <x v="0"/>
    <s v="City Break"/>
    <s v="Website"/>
    <x v="1"/>
    <n v="2"/>
    <x v="10"/>
    <n v="0.13075929750140999"/>
    <x v="10"/>
    <x v="6"/>
    <x v="1"/>
  </r>
  <r>
    <d v="2024-07-05T00:00:00"/>
    <x v="1"/>
    <s v="Beach"/>
    <s v="Mobile App"/>
    <x v="3"/>
    <n v="1"/>
    <x v="10"/>
    <n v="0.13075929750140999"/>
    <x v="10"/>
    <x v="2"/>
    <x v="0"/>
  </r>
  <r>
    <d v="2024-07-05T00:00:00"/>
    <x v="3"/>
    <s v="Family"/>
    <s v="Mobile App"/>
    <x v="5"/>
    <n v="2"/>
    <x v="10"/>
    <n v="0.13075929750140999"/>
    <x v="10"/>
    <x v="2"/>
    <x v="1"/>
  </r>
  <r>
    <d v="2024-07-05T00:00:00"/>
    <x v="0"/>
    <s v="Cultural"/>
    <s v="Mobile App"/>
    <x v="3"/>
    <n v="1"/>
    <x v="10"/>
    <n v="0.13075929750140999"/>
    <x v="10"/>
    <x v="3"/>
    <x v="1"/>
  </r>
  <r>
    <d v="2024-07-05T00:00:00"/>
    <x v="1"/>
    <s v="City Break"/>
    <s v="Mobile App"/>
    <x v="0"/>
    <n v="2"/>
    <x v="10"/>
    <n v="0.13075929750140999"/>
    <x v="10"/>
    <x v="4"/>
    <x v="1"/>
  </r>
  <r>
    <d v="2024-07-06T00:00:00"/>
    <x v="3"/>
    <s v="City Break"/>
    <s v="Website"/>
    <x v="5"/>
    <n v="1"/>
    <x v="10"/>
    <n v="0.13075929750140999"/>
    <x v="10"/>
    <x v="4"/>
    <x v="1"/>
  </r>
  <r>
    <d v="2024-07-06T00:00:00"/>
    <x v="1"/>
    <s v="Family"/>
    <s v="Website"/>
    <x v="5"/>
    <n v="2"/>
    <x v="10"/>
    <n v="0.13075929750140999"/>
    <x v="10"/>
    <x v="1"/>
    <x v="1"/>
  </r>
  <r>
    <d v="2024-07-06T00:00:00"/>
    <x v="3"/>
    <s v="Family"/>
    <s v="Website"/>
    <x v="5"/>
    <n v="3"/>
    <x v="10"/>
    <n v="0.13075929750140999"/>
    <x v="10"/>
    <x v="6"/>
    <x v="1"/>
  </r>
  <r>
    <d v="2024-07-06T00:00:00"/>
    <x v="3"/>
    <s v="Cultural"/>
    <s v="Call Center"/>
    <x v="1"/>
    <n v="5"/>
    <x v="10"/>
    <n v="0.13075929750140999"/>
    <x v="10"/>
    <x v="3"/>
    <x v="1"/>
  </r>
  <r>
    <d v="2024-07-07T00:00:00"/>
    <x v="0"/>
    <s v="Family"/>
    <s v="Mobile App"/>
    <x v="2"/>
    <n v="3"/>
    <x v="10"/>
    <n v="0.13075929750140999"/>
    <x v="10"/>
    <x v="12"/>
    <x v="0"/>
  </r>
  <r>
    <d v="2024-07-07T00:00:00"/>
    <x v="1"/>
    <s v="Cultural"/>
    <s v="Mobile App"/>
    <x v="2"/>
    <n v="1"/>
    <x v="10"/>
    <n v="0.13075929750140999"/>
    <x v="10"/>
    <x v="5"/>
    <x v="1"/>
  </r>
  <r>
    <d v="2024-07-08T00:00:00"/>
    <x v="2"/>
    <s v="Family"/>
    <s v="Agent"/>
    <x v="5"/>
    <n v="4"/>
    <x v="10"/>
    <n v="0.13075929750140999"/>
    <x v="10"/>
    <x v="20"/>
    <x v="0"/>
  </r>
  <r>
    <d v="2024-07-08T00:00:00"/>
    <x v="3"/>
    <s v="Beach"/>
    <s v="Website"/>
    <x v="8"/>
    <n v="2"/>
    <x v="10"/>
    <n v="0.13075929750140999"/>
    <x v="10"/>
    <x v="0"/>
    <x v="1"/>
  </r>
  <r>
    <d v="2024-07-08T00:00:00"/>
    <x v="1"/>
    <s v="Beach"/>
    <s v="Agent"/>
    <x v="4"/>
    <n v="3"/>
    <x v="10"/>
    <n v="0.13075929750140999"/>
    <x v="10"/>
    <x v="19"/>
    <x v="1"/>
  </r>
  <r>
    <d v="2024-07-09T00:00:00"/>
    <x v="3"/>
    <s v="Cultural"/>
    <s v="Call Center"/>
    <x v="9"/>
    <n v="2"/>
    <x v="10"/>
    <n v="0.13075929750140999"/>
    <x v="10"/>
    <x v="8"/>
    <x v="0"/>
  </r>
  <r>
    <d v="2024-07-09T00:00:00"/>
    <x v="1"/>
    <s v="Adventure"/>
    <s v="Agent"/>
    <x v="7"/>
    <n v="1"/>
    <x v="10"/>
    <n v="0.13075929750140999"/>
    <x v="10"/>
    <x v="14"/>
    <x v="0"/>
  </r>
  <r>
    <d v="2024-07-10T00:00:00"/>
    <x v="3"/>
    <s v="Foodie"/>
    <s v="Website"/>
    <x v="1"/>
    <n v="1"/>
    <x v="10"/>
    <n v="0.13075929750140999"/>
    <x v="10"/>
    <x v="14"/>
    <x v="0"/>
  </r>
  <r>
    <d v="2024-07-10T00:00:00"/>
    <x v="1"/>
    <s v="Beach"/>
    <s v="Agent"/>
    <x v="7"/>
    <n v="2"/>
    <x v="10"/>
    <n v="0.13075929750140999"/>
    <x v="10"/>
    <x v="4"/>
    <x v="0"/>
  </r>
  <r>
    <d v="2024-07-10T00:00:00"/>
    <x v="0"/>
    <s v="Adventure"/>
    <s v="Website"/>
    <x v="4"/>
    <n v="1"/>
    <x v="10"/>
    <n v="0.13075929750140999"/>
    <x v="10"/>
    <x v="13"/>
    <x v="1"/>
  </r>
  <r>
    <d v="2024-07-10T00:00:00"/>
    <x v="1"/>
    <s v="City Break"/>
    <s v="Agent"/>
    <x v="6"/>
    <n v="4"/>
    <x v="10"/>
    <n v="0.13075929750140999"/>
    <x v="10"/>
    <x v="7"/>
    <x v="0"/>
  </r>
  <r>
    <d v="2024-07-10T00:00:00"/>
    <x v="1"/>
    <s v="Beach"/>
    <s v="Agent"/>
    <x v="4"/>
    <n v="2"/>
    <x v="10"/>
    <n v="0.13075929750140999"/>
    <x v="10"/>
    <x v="15"/>
    <x v="0"/>
  </r>
  <r>
    <d v="2024-07-11T00:00:00"/>
    <x v="1"/>
    <s v="Adventure"/>
    <s v="Call Center"/>
    <x v="8"/>
    <n v="3"/>
    <x v="10"/>
    <n v="0.13075929750140999"/>
    <x v="10"/>
    <x v="12"/>
    <x v="1"/>
  </r>
  <r>
    <d v="2024-07-11T00:00:00"/>
    <x v="0"/>
    <s v="Family"/>
    <s v="Website"/>
    <x v="3"/>
    <n v="5"/>
    <x v="10"/>
    <n v="0.13075929750140999"/>
    <x v="10"/>
    <x v="8"/>
    <x v="0"/>
  </r>
  <r>
    <d v="2024-07-11T00:00:00"/>
    <x v="0"/>
    <s v="Family"/>
    <s v="Website"/>
    <x v="8"/>
    <n v="1"/>
    <x v="10"/>
    <n v="0.13075929750140999"/>
    <x v="10"/>
    <x v="4"/>
    <x v="1"/>
  </r>
  <r>
    <d v="2024-07-11T00:00:00"/>
    <x v="3"/>
    <s v="Family"/>
    <s v="Call Center"/>
    <x v="7"/>
    <n v="1"/>
    <x v="10"/>
    <n v="0.13075929750140999"/>
    <x v="10"/>
    <x v="18"/>
    <x v="0"/>
  </r>
  <r>
    <d v="2024-07-12T00:00:00"/>
    <x v="3"/>
    <s v="Beach"/>
    <s v="Call Center"/>
    <x v="8"/>
    <n v="4"/>
    <x v="10"/>
    <n v="0.13075929750140999"/>
    <x v="10"/>
    <x v="14"/>
    <x v="1"/>
  </r>
  <r>
    <d v="2024-07-12T00:00:00"/>
    <x v="1"/>
    <s v="Adventure"/>
    <s v="Mobile App"/>
    <x v="1"/>
    <n v="1"/>
    <x v="10"/>
    <n v="0.13075929750140999"/>
    <x v="10"/>
    <x v="1"/>
    <x v="0"/>
  </r>
  <r>
    <d v="2024-07-12T00:00:00"/>
    <x v="3"/>
    <s v="City Break"/>
    <s v="Website"/>
    <x v="4"/>
    <n v="1"/>
    <x v="10"/>
    <n v="0.13075929750140999"/>
    <x v="10"/>
    <x v="10"/>
    <x v="1"/>
  </r>
  <r>
    <d v="2024-07-12T00:00:00"/>
    <x v="3"/>
    <s v="City Break"/>
    <s v="Website"/>
    <x v="7"/>
    <n v="1"/>
    <x v="10"/>
    <n v="0.13075929750140999"/>
    <x v="10"/>
    <x v="8"/>
    <x v="0"/>
  </r>
  <r>
    <d v="2024-07-12T00:00:00"/>
    <x v="1"/>
    <s v="Cultural"/>
    <s v="Website"/>
    <x v="0"/>
    <n v="2"/>
    <x v="10"/>
    <n v="0.13075929750140999"/>
    <x v="10"/>
    <x v="9"/>
    <x v="1"/>
  </r>
  <r>
    <d v="2024-07-13T00:00:00"/>
    <x v="2"/>
    <s v="Foodie"/>
    <s v="Agent"/>
    <x v="4"/>
    <n v="1"/>
    <x v="10"/>
    <n v="0.13075929750140999"/>
    <x v="10"/>
    <x v="2"/>
    <x v="1"/>
  </r>
  <r>
    <d v="2024-07-13T00:00:00"/>
    <x v="1"/>
    <s v="Cultural"/>
    <s v="Website"/>
    <x v="8"/>
    <n v="3"/>
    <x v="10"/>
    <n v="0.13075929750140999"/>
    <x v="10"/>
    <x v="7"/>
    <x v="1"/>
  </r>
  <r>
    <d v="2024-07-14T00:00:00"/>
    <x v="3"/>
    <s v="Beach"/>
    <s v="Website"/>
    <x v="4"/>
    <n v="1"/>
    <x v="10"/>
    <n v="0.13075929750140999"/>
    <x v="10"/>
    <x v="15"/>
    <x v="1"/>
  </r>
  <r>
    <d v="2024-07-14T00:00:00"/>
    <x v="1"/>
    <s v="Cultural"/>
    <s v="Agent"/>
    <x v="9"/>
    <n v="2"/>
    <x v="10"/>
    <n v="0.13075929750140999"/>
    <x v="10"/>
    <x v="0"/>
    <x v="1"/>
  </r>
  <r>
    <d v="2024-07-14T00:00:00"/>
    <x v="1"/>
    <s v="Cultural"/>
    <s v="Website"/>
    <x v="9"/>
    <n v="3"/>
    <x v="10"/>
    <n v="0.13075929750140999"/>
    <x v="10"/>
    <x v="7"/>
    <x v="1"/>
  </r>
  <r>
    <d v="2024-07-14T00:00:00"/>
    <x v="3"/>
    <s v="Adventure"/>
    <s v="Website"/>
    <x v="9"/>
    <n v="5"/>
    <x v="10"/>
    <n v="0.13075929750140999"/>
    <x v="10"/>
    <x v="9"/>
    <x v="0"/>
  </r>
  <r>
    <d v="2024-07-14T00:00:00"/>
    <x v="0"/>
    <s v="Foodie"/>
    <s v="Website"/>
    <x v="1"/>
    <n v="2"/>
    <x v="10"/>
    <n v="0.13075929750140999"/>
    <x v="10"/>
    <x v="15"/>
    <x v="1"/>
  </r>
  <r>
    <d v="2024-07-14T00:00:00"/>
    <x v="2"/>
    <s v="Cultural"/>
    <s v="Agent"/>
    <x v="2"/>
    <n v="1"/>
    <x v="10"/>
    <n v="0.13075929750140999"/>
    <x v="10"/>
    <x v="1"/>
    <x v="0"/>
  </r>
  <r>
    <d v="2024-07-15T00:00:00"/>
    <x v="1"/>
    <s v="Adventure"/>
    <s v="Website"/>
    <x v="2"/>
    <n v="2"/>
    <x v="10"/>
    <n v="0.13075929750140999"/>
    <x v="10"/>
    <x v="9"/>
    <x v="0"/>
  </r>
  <r>
    <d v="2024-07-15T00:00:00"/>
    <x v="1"/>
    <s v="Adventure"/>
    <s v="Website"/>
    <x v="3"/>
    <n v="1"/>
    <x v="10"/>
    <n v="0.13075929750140999"/>
    <x v="10"/>
    <x v="6"/>
    <x v="1"/>
  </r>
  <r>
    <d v="2024-07-15T00:00:00"/>
    <x v="0"/>
    <s v="Family"/>
    <s v="Website"/>
    <x v="5"/>
    <n v="1"/>
    <x v="10"/>
    <n v="0.13075929750140999"/>
    <x v="10"/>
    <x v="2"/>
    <x v="1"/>
  </r>
  <r>
    <d v="2024-07-16T00:00:00"/>
    <x v="1"/>
    <s v="Cultural"/>
    <s v="Website"/>
    <x v="7"/>
    <n v="3"/>
    <x v="10"/>
    <n v="0.13075929750140999"/>
    <x v="10"/>
    <x v="0"/>
    <x v="1"/>
  </r>
  <r>
    <d v="2024-07-16T00:00:00"/>
    <x v="2"/>
    <s v="City Break"/>
    <s v="Website"/>
    <x v="7"/>
    <n v="5"/>
    <x v="10"/>
    <n v="0.13075929750140999"/>
    <x v="10"/>
    <x v="12"/>
    <x v="1"/>
  </r>
  <r>
    <d v="2024-07-16T00:00:00"/>
    <x v="0"/>
    <s v="Family"/>
    <s v="Mobile App"/>
    <x v="0"/>
    <n v="4"/>
    <x v="10"/>
    <n v="0.13075929750140999"/>
    <x v="10"/>
    <x v="6"/>
    <x v="0"/>
  </r>
  <r>
    <d v="2024-07-16T00:00:00"/>
    <x v="0"/>
    <s v="Beach"/>
    <s v="Website"/>
    <x v="9"/>
    <n v="1"/>
    <x v="10"/>
    <n v="0.13075929750140999"/>
    <x v="10"/>
    <x v="5"/>
    <x v="1"/>
  </r>
  <r>
    <d v="2024-07-16T00:00:00"/>
    <x v="0"/>
    <s v="Beach"/>
    <s v="Agent"/>
    <x v="3"/>
    <n v="1"/>
    <x v="10"/>
    <n v="0.13075929750140999"/>
    <x v="10"/>
    <x v="4"/>
    <x v="1"/>
  </r>
  <r>
    <d v="2024-07-17T00:00:00"/>
    <x v="1"/>
    <s v="Cultural"/>
    <s v="Mobile App"/>
    <x v="0"/>
    <n v="2"/>
    <x v="10"/>
    <n v="0.13075929750140999"/>
    <x v="10"/>
    <x v="15"/>
    <x v="1"/>
  </r>
  <r>
    <d v="2024-07-17T00:00:00"/>
    <x v="3"/>
    <s v="Adventure"/>
    <s v="Website"/>
    <x v="0"/>
    <n v="2"/>
    <x v="10"/>
    <n v="0.13075929750140999"/>
    <x v="10"/>
    <x v="5"/>
    <x v="0"/>
  </r>
  <r>
    <d v="2024-07-17T00:00:00"/>
    <x v="3"/>
    <s v="Cultural"/>
    <s v="Mobile App"/>
    <x v="5"/>
    <n v="2"/>
    <x v="10"/>
    <n v="0.13075929750140999"/>
    <x v="10"/>
    <x v="0"/>
    <x v="1"/>
  </r>
  <r>
    <d v="2024-07-18T00:00:00"/>
    <x v="1"/>
    <s v="Foodie"/>
    <s v="Mobile App"/>
    <x v="2"/>
    <n v="1"/>
    <x v="10"/>
    <n v="0.13075929750140999"/>
    <x v="10"/>
    <x v="0"/>
    <x v="1"/>
  </r>
  <r>
    <d v="2024-07-18T00:00:00"/>
    <x v="0"/>
    <s v="Family"/>
    <s v="Agent"/>
    <x v="7"/>
    <n v="4"/>
    <x v="10"/>
    <n v="0.13075929750140999"/>
    <x v="10"/>
    <x v="8"/>
    <x v="1"/>
  </r>
  <r>
    <d v="2024-07-18T00:00:00"/>
    <x v="3"/>
    <s v="Beach"/>
    <s v="Website"/>
    <x v="6"/>
    <n v="1"/>
    <x v="10"/>
    <n v="0.13075929750140999"/>
    <x v="10"/>
    <x v="11"/>
    <x v="0"/>
  </r>
  <r>
    <d v="2024-07-18T00:00:00"/>
    <x v="0"/>
    <s v="Cultural"/>
    <s v="Agent"/>
    <x v="0"/>
    <n v="1"/>
    <x v="10"/>
    <n v="0.13075929750140999"/>
    <x v="10"/>
    <x v="2"/>
    <x v="1"/>
  </r>
  <r>
    <d v="2024-07-19T00:00:00"/>
    <x v="0"/>
    <s v="Adventure"/>
    <s v="Website"/>
    <x v="2"/>
    <n v="1"/>
    <x v="10"/>
    <n v="0.13075929750140999"/>
    <x v="10"/>
    <x v="8"/>
    <x v="1"/>
  </r>
  <r>
    <d v="2024-07-19T00:00:00"/>
    <x v="2"/>
    <s v="Foodie"/>
    <s v="Website"/>
    <x v="4"/>
    <n v="2"/>
    <x v="10"/>
    <n v="0.13075929750140999"/>
    <x v="10"/>
    <x v="13"/>
    <x v="0"/>
  </r>
  <r>
    <d v="2024-07-19T00:00:00"/>
    <x v="1"/>
    <s v="Cultural"/>
    <s v="Agent"/>
    <x v="4"/>
    <n v="2"/>
    <x v="10"/>
    <n v="0.13075929750140999"/>
    <x v="10"/>
    <x v="10"/>
    <x v="0"/>
  </r>
  <r>
    <d v="2024-07-19T00:00:00"/>
    <x v="3"/>
    <s v="Cultural"/>
    <s v="Website"/>
    <x v="2"/>
    <n v="1"/>
    <x v="10"/>
    <n v="0.13075929750140999"/>
    <x v="10"/>
    <x v="13"/>
    <x v="0"/>
  </r>
  <r>
    <d v="2024-07-20T00:00:00"/>
    <x v="3"/>
    <s v="Foodie"/>
    <s v="Agent"/>
    <x v="4"/>
    <n v="2"/>
    <x v="10"/>
    <n v="0.13075929750140999"/>
    <x v="10"/>
    <x v="15"/>
    <x v="1"/>
  </r>
  <r>
    <d v="2024-07-21T00:00:00"/>
    <x v="0"/>
    <s v="Family"/>
    <s v="Website"/>
    <x v="4"/>
    <n v="2"/>
    <x v="10"/>
    <n v="0.13075929750140999"/>
    <x v="10"/>
    <x v="14"/>
    <x v="1"/>
  </r>
  <r>
    <d v="2024-07-21T00:00:00"/>
    <x v="0"/>
    <s v="Beach"/>
    <s v="Mobile App"/>
    <x v="1"/>
    <n v="1"/>
    <x v="10"/>
    <n v="0.13075929750140999"/>
    <x v="10"/>
    <x v="18"/>
    <x v="0"/>
  </r>
  <r>
    <d v="2024-07-21T00:00:00"/>
    <x v="2"/>
    <s v="Family"/>
    <s v="Website"/>
    <x v="5"/>
    <n v="3"/>
    <x v="10"/>
    <n v="0.13075929750140999"/>
    <x v="10"/>
    <x v="13"/>
    <x v="0"/>
  </r>
  <r>
    <d v="2024-07-22T00:00:00"/>
    <x v="3"/>
    <s v="Foodie"/>
    <s v="Mobile App"/>
    <x v="8"/>
    <n v="2"/>
    <x v="10"/>
    <n v="0.13075929750140999"/>
    <x v="10"/>
    <x v="8"/>
    <x v="0"/>
  </r>
  <r>
    <d v="2024-07-22T00:00:00"/>
    <x v="3"/>
    <s v="Cultural"/>
    <s v="Website"/>
    <x v="4"/>
    <n v="1"/>
    <x v="10"/>
    <n v="0.13075929750140999"/>
    <x v="10"/>
    <x v="4"/>
    <x v="1"/>
  </r>
  <r>
    <d v="2024-07-22T00:00:00"/>
    <x v="1"/>
    <s v="Adventure"/>
    <s v="Website"/>
    <x v="6"/>
    <n v="1"/>
    <x v="10"/>
    <n v="0.13075929750140999"/>
    <x v="10"/>
    <x v="0"/>
    <x v="1"/>
  </r>
  <r>
    <d v="2024-07-22T00:00:00"/>
    <x v="3"/>
    <s v="Adventure"/>
    <s v="Mobile App"/>
    <x v="5"/>
    <n v="1"/>
    <x v="10"/>
    <n v="0.13075929750140999"/>
    <x v="10"/>
    <x v="4"/>
    <x v="0"/>
  </r>
  <r>
    <d v="2024-07-23T00:00:00"/>
    <x v="3"/>
    <s v="Foodie"/>
    <s v="Mobile App"/>
    <x v="0"/>
    <n v="1"/>
    <x v="10"/>
    <n v="0.13075929750140999"/>
    <x v="10"/>
    <x v="12"/>
    <x v="0"/>
  </r>
  <r>
    <d v="2024-07-23T00:00:00"/>
    <x v="3"/>
    <s v="City Break"/>
    <s v="Website"/>
    <x v="8"/>
    <n v="3"/>
    <x v="10"/>
    <n v="0.13075929750140999"/>
    <x v="10"/>
    <x v="15"/>
    <x v="0"/>
  </r>
  <r>
    <d v="2024-07-23T00:00:00"/>
    <x v="0"/>
    <s v="Cultural"/>
    <s v="Mobile App"/>
    <x v="2"/>
    <n v="2"/>
    <x v="10"/>
    <n v="0.13075929750140999"/>
    <x v="10"/>
    <x v="6"/>
    <x v="1"/>
  </r>
  <r>
    <d v="2024-07-23T00:00:00"/>
    <x v="3"/>
    <s v="Family"/>
    <s v="Website"/>
    <x v="9"/>
    <n v="2"/>
    <x v="10"/>
    <n v="0.13075929750140999"/>
    <x v="10"/>
    <x v="18"/>
    <x v="0"/>
  </r>
  <r>
    <d v="2024-07-23T00:00:00"/>
    <x v="2"/>
    <s v="City Break"/>
    <s v="Mobile App"/>
    <x v="0"/>
    <n v="1"/>
    <x v="10"/>
    <n v="0.13075929750140999"/>
    <x v="10"/>
    <x v="7"/>
    <x v="0"/>
  </r>
  <r>
    <d v="2024-07-23T00:00:00"/>
    <x v="3"/>
    <s v="Foodie"/>
    <s v="Website"/>
    <x v="3"/>
    <n v="1"/>
    <x v="10"/>
    <n v="0.13075929750140999"/>
    <x v="10"/>
    <x v="14"/>
    <x v="0"/>
  </r>
  <r>
    <d v="2024-07-24T00:00:00"/>
    <x v="1"/>
    <s v="Beach"/>
    <s v="Website"/>
    <x v="7"/>
    <n v="1"/>
    <x v="10"/>
    <n v="0.13075929750140999"/>
    <x v="10"/>
    <x v="15"/>
    <x v="0"/>
  </r>
  <r>
    <d v="2024-07-24T00:00:00"/>
    <x v="1"/>
    <s v="Cultural"/>
    <s v="Mobile App"/>
    <x v="6"/>
    <n v="1"/>
    <x v="10"/>
    <n v="0.13075929750140999"/>
    <x v="10"/>
    <x v="1"/>
    <x v="0"/>
  </r>
  <r>
    <d v="2024-07-24T00:00:00"/>
    <x v="3"/>
    <s v="Beach"/>
    <s v="Mobile App"/>
    <x v="2"/>
    <n v="3"/>
    <x v="10"/>
    <n v="0.13075929750140999"/>
    <x v="10"/>
    <x v="6"/>
    <x v="0"/>
  </r>
  <r>
    <d v="2024-07-25T00:00:00"/>
    <x v="3"/>
    <s v="Beach"/>
    <s v="Website"/>
    <x v="1"/>
    <n v="2"/>
    <x v="10"/>
    <n v="0.13075929750140999"/>
    <x v="10"/>
    <x v="8"/>
    <x v="1"/>
  </r>
  <r>
    <d v="2024-07-25T00:00:00"/>
    <x v="3"/>
    <s v="Family"/>
    <s v="Website"/>
    <x v="9"/>
    <n v="2"/>
    <x v="10"/>
    <n v="0.13075929750140999"/>
    <x v="10"/>
    <x v="2"/>
    <x v="0"/>
  </r>
  <r>
    <d v="2024-07-25T00:00:00"/>
    <x v="0"/>
    <s v="Family"/>
    <s v="Agent"/>
    <x v="5"/>
    <n v="1"/>
    <x v="10"/>
    <n v="0.13075929750140999"/>
    <x v="10"/>
    <x v="3"/>
    <x v="0"/>
  </r>
  <r>
    <d v="2024-07-26T00:00:00"/>
    <x v="1"/>
    <s v="Beach"/>
    <s v="Mobile App"/>
    <x v="2"/>
    <n v="2"/>
    <x v="10"/>
    <n v="0.13075929750140999"/>
    <x v="10"/>
    <x v="6"/>
    <x v="0"/>
  </r>
  <r>
    <d v="2024-07-26T00:00:00"/>
    <x v="0"/>
    <s v="Family"/>
    <s v="Agent"/>
    <x v="7"/>
    <n v="1"/>
    <x v="10"/>
    <n v="0.13075929750140999"/>
    <x v="10"/>
    <x v="2"/>
    <x v="0"/>
  </r>
  <r>
    <d v="2024-07-27T00:00:00"/>
    <x v="1"/>
    <s v="Family"/>
    <s v="Website"/>
    <x v="7"/>
    <n v="2"/>
    <x v="10"/>
    <n v="0.13075929750140999"/>
    <x v="10"/>
    <x v="9"/>
    <x v="0"/>
  </r>
  <r>
    <d v="2024-07-27T00:00:00"/>
    <x v="0"/>
    <s v="Family"/>
    <s v="Website"/>
    <x v="5"/>
    <n v="2"/>
    <x v="10"/>
    <n v="0.13075929750140999"/>
    <x v="10"/>
    <x v="0"/>
    <x v="1"/>
  </r>
  <r>
    <d v="2024-07-28T00:00:00"/>
    <x v="1"/>
    <s v="Adventure"/>
    <s v="Agent"/>
    <x v="2"/>
    <n v="2"/>
    <x v="10"/>
    <n v="0.13075929750140999"/>
    <x v="10"/>
    <x v="17"/>
    <x v="1"/>
  </r>
  <r>
    <d v="2024-07-29T00:00:00"/>
    <x v="0"/>
    <s v="Adventure"/>
    <s v="Website"/>
    <x v="4"/>
    <n v="1"/>
    <x v="10"/>
    <n v="0.13075929750140999"/>
    <x v="10"/>
    <x v="7"/>
    <x v="1"/>
  </r>
  <r>
    <d v="2024-07-29T00:00:00"/>
    <x v="1"/>
    <s v="Foodie"/>
    <s v="Website"/>
    <x v="0"/>
    <n v="2"/>
    <x v="10"/>
    <n v="0.13075929750140999"/>
    <x v="10"/>
    <x v="13"/>
    <x v="0"/>
  </r>
  <r>
    <d v="2024-07-29T00:00:00"/>
    <x v="1"/>
    <s v="Cultural"/>
    <s v="Mobile App"/>
    <x v="4"/>
    <n v="1"/>
    <x v="10"/>
    <n v="0.13075929750140999"/>
    <x v="10"/>
    <x v="8"/>
    <x v="0"/>
  </r>
  <r>
    <d v="2024-07-30T00:00:00"/>
    <x v="0"/>
    <s v="City Break"/>
    <s v="Website"/>
    <x v="1"/>
    <n v="2"/>
    <x v="10"/>
    <n v="0.13075929750140999"/>
    <x v="10"/>
    <x v="1"/>
    <x v="1"/>
  </r>
  <r>
    <d v="2024-07-30T00:00:00"/>
    <x v="3"/>
    <s v="Cultural"/>
    <s v="Mobile App"/>
    <x v="1"/>
    <n v="2"/>
    <x v="10"/>
    <n v="0.13075929750140999"/>
    <x v="10"/>
    <x v="12"/>
    <x v="1"/>
  </r>
  <r>
    <d v="2024-07-30T00:00:00"/>
    <x v="1"/>
    <s v="Beach"/>
    <s v="Website"/>
    <x v="1"/>
    <n v="1"/>
    <x v="10"/>
    <n v="0.13075929750140999"/>
    <x v="10"/>
    <x v="1"/>
    <x v="0"/>
  </r>
  <r>
    <d v="2024-07-30T00:00:00"/>
    <x v="1"/>
    <s v="Cultural"/>
    <s v="Website"/>
    <x v="2"/>
    <n v="1"/>
    <x v="10"/>
    <n v="0.13075929750140999"/>
    <x v="10"/>
    <x v="1"/>
    <x v="0"/>
  </r>
  <r>
    <d v="2024-07-31T00:00:00"/>
    <x v="1"/>
    <s v="Cultural"/>
    <s v="Website"/>
    <x v="2"/>
    <n v="4"/>
    <x v="10"/>
    <n v="0.13075929750140999"/>
    <x v="10"/>
    <x v="12"/>
    <x v="1"/>
  </r>
  <r>
    <d v="2024-07-31T00:00:00"/>
    <x v="3"/>
    <s v="Beach"/>
    <s v="Mobile App"/>
    <x v="5"/>
    <n v="3"/>
    <x v="10"/>
    <n v="0.13075929750140999"/>
    <x v="10"/>
    <x v="6"/>
    <x v="0"/>
  </r>
  <r>
    <d v="2024-07-31T00:00:00"/>
    <x v="1"/>
    <s v="Beach"/>
    <s v="Mobile App"/>
    <x v="3"/>
    <n v="2"/>
    <x v="10"/>
    <n v="0.13075929750140999"/>
    <x v="10"/>
    <x v="15"/>
    <x v="1"/>
  </r>
  <r>
    <d v="2024-07-31T00:00:00"/>
    <x v="1"/>
    <s v="Cultural"/>
    <s v="Agent"/>
    <x v="5"/>
    <n v="2"/>
    <x v="10"/>
    <n v="0.13075929750140999"/>
    <x v="10"/>
    <x v="2"/>
    <x v="1"/>
  </r>
  <r>
    <d v="2024-07-31T00:00:00"/>
    <x v="2"/>
    <s v="City Break"/>
    <s v="Mobile App"/>
    <x v="8"/>
    <n v="2"/>
    <x v="10"/>
    <n v="0.13075929750140999"/>
    <x v="10"/>
    <x v="14"/>
    <x v="0"/>
  </r>
  <r>
    <d v="2024-07-31T00:00:00"/>
    <x v="1"/>
    <s v="Cultural"/>
    <s v="Website"/>
    <x v="2"/>
    <n v="2"/>
    <x v="10"/>
    <n v="0.13075929750140999"/>
    <x v="10"/>
    <x v="6"/>
    <x v="0"/>
  </r>
  <r>
    <d v="2024-07-31T00:00:00"/>
    <x v="3"/>
    <s v="Cultural"/>
    <s v="Website"/>
    <x v="7"/>
    <n v="1"/>
    <x v="10"/>
    <n v="0.13075929750140999"/>
    <x v="10"/>
    <x v="6"/>
    <x v="0"/>
  </r>
  <r>
    <d v="2024-07-31T00:00:00"/>
    <x v="0"/>
    <s v="Family"/>
    <s v="Website"/>
    <x v="1"/>
    <n v="3"/>
    <x v="10"/>
    <n v="0.13075929750140999"/>
    <x v="10"/>
    <x v="1"/>
    <x v="1"/>
  </r>
  <r>
    <d v="2024-08-01T00:00:00"/>
    <x v="3"/>
    <s v="City Break"/>
    <s v="Website"/>
    <x v="1"/>
    <n v="4"/>
    <x v="10"/>
    <n v="0.13075929750140999"/>
    <x v="10"/>
    <x v="0"/>
    <x v="1"/>
  </r>
  <r>
    <d v="2024-08-01T00:00:00"/>
    <x v="1"/>
    <s v="Family"/>
    <s v="Agent"/>
    <x v="6"/>
    <n v="4"/>
    <x v="10"/>
    <n v="0.13075929750140999"/>
    <x v="10"/>
    <x v="6"/>
    <x v="1"/>
  </r>
  <r>
    <d v="2024-08-01T00:00:00"/>
    <x v="0"/>
    <s v="Beach"/>
    <s v="Agent"/>
    <x v="0"/>
    <n v="4"/>
    <x v="10"/>
    <n v="0.13075929750140999"/>
    <x v="10"/>
    <x v="9"/>
    <x v="1"/>
  </r>
  <r>
    <d v="2024-08-02T00:00:00"/>
    <x v="1"/>
    <s v="Beach"/>
    <s v="Website"/>
    <x v="0"/>
    <n v="1"/>
    <x v="10"/>
    <n v="0.13075929750140999"/>
    <x v="10"/>
    <x v="2"/>
    <x v="0"/>
  </r>
  <r>
    <d v="2024-08-02T00:00:00"/>
    <x v="3"/>
    <s v="Cultural"/>
    <s v="Mobile App"/>
    <x v="7"/>
    <n v="1"/>
    <x v="10"/>
    <n v="0.13075929750140999"/>
    <x v="10"/>
    <x v="5"/>
    <x v="1"/>
  </r>
  <r>
    <d v="2024-08-03T00:00:00"/>
    <x v="3"/>
    <s v="Cultural"/>
    <s v="Mobile App"/>
    <x v="8"/>
    <n v="2"/>
    <x v="10"/>
    <n v="0.13075929750140999"/>
    <x v="10"/>
    <x v="7"/>
    <x v="1"/>
  </r>
  <r>
    <d v="2024-08-03T00:00:00"/>
    <x v="0"/>
    <s v="Beach"/>
    <s v="Website"/>
    <x v="4"/>
    <n v="2"/>
    <x v="10"/>
    <n v="0.13075929750140999"/>
    <x v="10"/>
    <x v="2"/>
    <x v="1"/>
  </r>
  <r>
    <d v="2024-08-04T00:00:00"/>
    <x v="0"/>
    <s v="Adventure"/>
    <s v="Website"/>
    <x v="4"/>
    <n v="1"/>
    <x v="10"/>
    <n v="0.13075929750140999"/>
    <x v="10"/>
    <x v="13"/>
    <x v="1"/>
  </r>
  <r>
    <d v="2024-08-04T00:00:00"/>
    <x v="3"/>
    <s v="Beach"/>
    <s v="Website"/>
    <x v="0"/>
    <n v="4"/>
    <x v="10"/>
    <n v="0.13075929750140999"/>
    <x v="10"/>
    <x v="15"/>
    <x v="0"/>
  </r>
  <r>
    <d v="2024-08-04T00:00:00"/>
    <x v="3"/>
    <s v="Adventure"/>
    <s v="Mobile App"/>
    <x v="8"/>
    <n v="3"/>
    <x v="10"/>
    <n v="0.13075929750140999"/>
    <x v="10"/>
    <x v="18"/>
    <x v="1"/>
  </r>
  <r>
    <d v="2024-08-04T00:00:00"/>
    <x v="2"/>
    <s v="Adventure"/>
    <s v="Website"/>
    <x v="1"/>
    <n v="2"/>
    <x v="10"/>
    <n v="0.13075929750140999"/>
    <x v="10"/>
    <x v="0"/>
    <x v="1"/>
  </r>
  <r>
    <d v="2024-08-05T00:00:00"/>
    <x v="2"/>
    <s v="Cultural"/>
    <s v="Agent"/>
    <x v="7"/>
    <n v="3"/>
    <x v="10"/>
    <n v="0.13075929750140999"/>
    <x v="10"/>
    <x v="6"/>
    <x v="0"/>
  </r>
  <r>
    <d v="2024-08-05T00:00:00"/>
    <x v="1"/>
    <s v="Cultural"/>
    <s v="Agent"/>
    <x v="0"/>
    <n v="3"/>
    <x v="10"/>
    <n v="0.13075929750140999"/>
    <x v="10"/>
    <x v="8"/>
    <x v="0"/>
  </r>
  <r>
    <d v="2024-08-05T00:00:00"/>
    <x v="1"/>
    <s v="Adventure"/>
    <s v="Website"/>
    <x v="1"/>
    <n v="1"/>
    <x v="10"/>
    <n v="0.13075929750140999"/>
    <x v="10"/>
    <x v="1"/>
    <x v="1"/>
  </r>
  <r>
    <d v="2024-08-06T00:00:00"/>
    <x v="1"/>
    <s v="Cultural"/>
    <s v="Agent"/>
    <x v="4"/>
    <n v="1"/>
    <x v="10"/>
    <n v="0.13075929750140999"/>
    <x v="10"/>
    <x v="4"/>
    <x v="0"/>
  </r>
  <r>
    <d v="2024-08-06T00:00:00"/>
    <x v="3"/>
    <s v="Beach"/>
    <s v="Call Center"/>
    <x v="7"/>
    <n v="4"/>
    <x v="10"/>
    <n v="0.13075929750140999"/>
    <x v="10"/>
    <x v="0"/>
    <x v="1"/>
  </r>
  <r>
    <d v="2024-08-06T00:00:00"/>
    <x v="3"/>
    <s v="Cultural"/>
    <s v="Mobile App"/>
    <x v="8"/>
    <n v="2"/>
    <x v="10"/>
    <n v="0.13075929750140999"/>
    <x v="10"/>
    <x v="0"/>
    <x v="1"/>
  </r>
  <r>
    <d v="2024-08-06T00:00:00"/>
    <x v="0"/>
    <s v="Adventure"/>
    <s v="Website"/>
    <x v="5"/>
    <n v="3"/>
    <x v="10"/>
    <n v="0.13075929750140999"/>
    <x v="10"/>
    <x v="15"/>
    <x v="1"/>
  </r>
  <r>
    <d v="2024-08-06T00:00:00"/>
    <x v="3"/>
    <s v="Beach"/>
    <s v="Call Center"/>
    <x v="9"/>
    <n v="2"/>
    <x v="10"/>
    <n v="0.13075929750140999"/>
    <x v="10"/>
    <x v="6"/>
    <x v="1"/>
  </r>
  <r>
    <d v="2024-08-07T00:00:00"/>
    <x v="0"/>
    <s v="Adventure"/>
    <s v="Website"/>
    <x v="2"/>
    <n v="2"/>
    <x v="10"/>
    <n v="0.13075929750140999"/>
    <x v="10"/>
    <x v="10"/>
    <x v="0"/>
  </r>
  <r>
    <d v="2024-08-07T00:00:00"/>
    <x v="3"/>
    <s v="Foodie"/>
    <s v="Website"/>
    <x v="6"/>
    <n v="2"/>
    <x v="10"/>
    <n v="0.13075929750140999"/>
    <x v="10"/>
    <x v="1"/>
    <x v="1"/>
  </r>
  <r>
    <d v="2024-08-07T00:00:00"/>
    <x v="3"/>
    <s v="City Break"/>
    <s v="Agent"/>
    <x v="5"/>
    <n v="2"/>
    <x v="10"/>
    <n v="0.13075929750140999"/>
    <x v="10"/>
    <x v="13"/>
    <x v="1"/>
  </r>
  <r>
    <d v="2024-08-07T00:00:00"/>
    <x v="1"/>
    <s v="Foodie"/>
    <s v="Website"/>
    <x v="1"/>
    <n v="1"/>
    <x v="10"/>
    <n v="0.13075929750140999"/>
    <x v="10"/>
    <x v="15"/>
    <x v="0"/>
  </r>
  <r>
    <d v="2024-08-08T00:00:00"/>
    <x v="0"/>
    <s v="Cultural"/>
    <s v="Mobile App"/>
    <x v="9"/>
    <n v="2"/>
    <x v="10"/>
    <n v="0.13075929750140999"/>
    <x v="10"/>
    <x v="14"/>
    <x v="1"/>
  </r>
  <r>
    <d v="2024-08-08T00:00:00"/>
    <x v="0"/>
    <s v="Cultural"/>
    <s v="Website"/>
    <x v="7"/>
    <n v="2"/>
    <x v="10"/>
    <n v="0.13075929750140999"/>
    <x v="10"/>
    <x v="7"/>
    <x v="1"/>
  </r>
  <r>
    <d v="2024-08-09T00:00:00"/>
    <x v="1"/>
    <s v="Beach"/>
    <s v="Website"/>
    <x v="1"/>
    <n v="2"/>
    <x v="10"/>
    <n v="0.13075929750140999"/>
    <x v="10"/>
    <x v="17"/>
    <x v="0"/>
  </r>
  <r>
    <d v="2024-08-09T00:00:00"/>
    <x v="2"/>
    <s v="Beach"/>
    <s v="Agent"/>
    <x v="1"/>
    <n v="1"/>
    <x v="10"/>
    <n v="0.13075929750140999"/>
    <x v="10"/>
    <x v="20"/>
    <x v="1"/>
  </r>
  <r>
    <d v="2024-08-09T00:00:00"/>
    <x v="0"/>
    <s v="Adventure"/>
    <s v="Website"/>
    <x v="5"/>
    <n v="1"/>
    <x v="10"/>
    <n v="0.13075929750140999"/>
    <x v="10"/>
    <x v="2"/>
    <x v="1"/>
  </r>
  <r>
    <d v="2024-08-09T00:00:00"/>
    <x v="1"/>
    <s v="Cultural"/>
    <s v="Website"/>
    <x v="5"/>
    <n v="3"/>
    <x v="10"/>
    <n v="0.13075929750140999"/>
    <x v="10"/>
    <x v="6"/>
    <x v="0"/>
  </r>
  <r>
    <d v="2024-08-09T00:00:00"/>
    <x v="0"/>
    <s v="City Break"/>
    <s v="Agent"/>
    <x v="0"/>
    <n v="3"/>
    <x v="10"/>
    <n v="0.13075929750140999"/>
    <x v="10"/>
    <x v="11"/>
    <x v="1"/>
  </r>
  <r>
    <d v="2024-08-09T00:00:00"/>
    <x v="1"/>
    <s v="City Break"/>
    <s v="Agent"/>
    <x v="0"/>
    <n v="2"/>
    <x v="10"/>
    <n v="0.13075929750140999"/>
    <x v="10"/>
    <x v="6"/>
    <x v="1"/>
  </r>
  <r>
    <d v="2024-08-10T00:00:00"/>
    <x v="1"/>
    <s v="Adventure"/>
    <s v="Website"/>
    <x v="4"/>
    <n v="2"/>
    <x v="10"/>
    <n v="0.13075929750140999"/>
    <x v="10"/>
    <x v="1"/>
    <x v="1"/>
  </r>
  <r>
    <d v="2024-08-10T00:00:00"/>
    <x v="3"/>
    <s v="Foodie"/>
    <s v="Mobile App"/>
    <x v="0"/>
    <n v="1"/>
    <x v="10"/>
    <n v="0.13075929750140999"/>
    <x v="10"/>
    <x v="4"/>
    <x v="1"/>
  </r>
  <r>
    <d v="2024-08-10T00:00:00"/>
    <x v="0"/>
    <s v="City Break"/>
    <s v="Website"/>
    <x v="4"/>
    <n v="1"/>
    <x v="10"/>
    <n v="0.13075929750140999"/>
    <x v="10"/>
    <x v="0"/>
    <x v="1"/>
  </r>
  <r>
    <d v="2024-08-11T00:00:00"/>
    <x v="3"/>
    <s v="Beach"/>
    <s v="Agent"/>
    <x v="7"/>
    <n v="3"/>
    <x v="10"/>
    <n v="0.13075929750140999"/>
    <x v="10"/>
    <x v="5"/>
    <x v="0"/>
  </r>
  <r>
    <d v="2024-08-11T00:00:00"/>
    <x v="3"/>
    <s v="Beach"/>
    <s v="Website"/>
    <x v="7"/>
    <n v="1"/>
    <x v="10"/>
    <n v="0.13075929750140999"/>
    <x v="10"/>
    <x v="14"/>
    <x v="0"/>
  </r>
  <r>
    <d v="2024-08-11T00:00:00"/>
    <x v="1"/>
    <s v="Foodie"/>
    <s v="Mobile App"/>
    <x v="7"/>
    <n v="1"/>
    <x v="10"/>
    <n v="0.13075929750140999"/>
    <x v="10"/>
    <x v="4"/>
    <x v="0"/>
  </r>
  <r>
    <d v="2024-08-12T00:00:00"/>
    <x v="3"/>
    <s v="Family"/>
    <s v="Agent"/>
    <x v="1"/>
    <n v="3"/>
    <x v="10"/>
    <n v="0.13075929750140999"/>
    <x v="10"/>
    <x v="3"/>
    <x v="1"/>
  </r>
  <r>
    <d v="2024-08-12T00:00:00"/>
    <x v="3"/>
    <s v="Cultural"/>
    <s v="Mobile App"/>
    <x v="9"/>
    <n v="3"/>
    <x v="10"/>
    <n v="0.13075929750140999"/>
    <x v="10"/>
    <x v="4"/>
    <x v="0"/>
  </r>
  <r>
    <d v="2024-08-12T00:00:00"/>
    <x v="1"/>
    <s v="Adventure"/>
    <s v="Mobile App"/>
    <x v="4"/>
    <n v="2"/>
    <x v="10"/>
    <n v="0.13075929750140999"/>
    <x v="10"/>
    <x v="18"/>
    <x v="0"/>
  </r>
  <r>
    <d v="2024-08-12T00:00:00"/>
    <x v="1"/>
    <s v="Foodie"/>
    <s v="Mobile App"/>
    <x v="0"/>
    <n v="2"/>
    <x v="10"/>
    <n v="0.13075929750140999"/>
    <x v="10"/>
    <x v="1"/>
    <x v="1"/>
  </r>
  <r>
    <d v="2024-08-12T00:00:00"/>
    <x v="0"/>
    <s v="Beach"/>
    <s v="Mobile App"/>
    <x v="7"/>
    <n v="2"/>
    <x v="10"/>
    <n v="0.13075929750140999"/>
    <x v="10"/>
    <x v="16"/>
    <x v="1"/>
  </r>
  <r>
    <d v="2024-08-13T00:00:00"/>
    <x v="3"/>
    <s v="Cultural"/>
    <s v="Website"/>
    <x v="0"/>
    <n v="3"/>
    <x v="10"/>
    <n v="0.13075929750140999"/>
    <x v="10"/>
    <x v="6"/>
    <x v="0"/>
  </r>
  <r>
    <d v="2024-08-13T00:00:00"/>
    <x v="0"/>
    <s v="Beach"/>
    <s v="Website"/>
    <x v="9"/>
    <n v="4"/>
    <x v="10"/>
    <n v="0.13075929750140999"/>
    <x v="10"/>
    <x v="1"/>
    <x v="0"/>
  </r>
  <r>
    <d v="2024-08-13T00:00:00"/>
    <x v="2"/>
    <s v="Beach"/>
    <s v="Website"/>
    <x v="9"/>
    <n v="1"/>
    <x v="10"/>
    <n v="0.13075929750140999"/>
    <x v="10"/>
    <x v="8"/>
    <x v="1"/>
  </r>
  <r>
    <d v="2024-08-13T00:00:00"/>
    <x v="0"/>
    <s v="Cultural"/>
    <s v="Website"/>
    <x v="4"/>
    <n v="3"/>
    <x v="10"/>
    <n v="0.13075929750140999"/>
    <x v="10"/>
    <x v="0"/>
    <x v="1"/>
  </r>
  <r>
    <d v="2024-08-13T00:00:00"/>
    <x v="0"/>
    <s v="Foodie"/>
    <s v="Call Center"/>
    <x v="4"/>
    <n v="2"/>
    <x v="10"/>
    <n v="0.13075929750140999"/>
    <x v="10"/>
    <x v="0"/>
    <x v="1"/>
  </r>
  <r>
    <d v="2024-08-13T00:00:00"/>
    <x v="2"/>
    <s v="Foodie"/>
    <s v="Mobile App"/>
    <x v="1"/>
    <n v="1"/>
    <x v="10"/>
    <n v="0.13075929750140999"/>
    <x v="10"/>
    <x v="14"/>
    <x v="0"/>
  </r>
  <r>
    <d v="2024-08-14T00:00:00"/>
    <x v="3"/>
    <s v="Adventure"/>
    <s v="Website"/>
    <x v="1"/>
    <n v="2"/>
    <x v="10"/>
    <n v="0.13075929750140999"/>
    <x v="10"/>
    <x v="4"/>
    <x v="1"/>
  </r>
  <r>
    <d v="2024-08-15T00:00:00"/>
    <x v="3"/>
    <s v="City Break"/>
    <s v="Agent"/>
    <x v="0"/>
    <n v="1"/>
    <x v="10"/>
    <n v="0.13075929750140999"/>
    <x v="10"/>
    <x v="1"/>
    <x v="0"/>
  </r>
  <r>
    <d v="2024-08-15T00:00:00"/>
    <x v="0"/>
    <s v="Beach"/>
    <s v="Agent"/>
    <x v="0"/>
    <n v="3"/>
    <x v="10"/>
    <n v="0.13075929750140999"/>
    <x v="10"/>
    <x v="0"/>
    <x v="1"/>
  </r>
  <r>
    <d v="2024-08-15T00:00:00"/>
    <x v="2"/>
    <s v="Beach"/>
    <s v="Agent"/>
    <x v="1"/>
    <n v="1"/>
    <x v="10"/>
    <n v="0.13075929750140999"/>
    <x v="10"/>
    <x v="0"/>
    <x v="0"/>
  </r>
  <r>
    <d v="2024-08-15T00:00:00"/>
    <x v="2"/>
    <s v="Family"/>
    <s v="Mobile App"/>
    <x v="1"/>
    <n v="1"/>
    <x v="10"/>
    <n v="0.13075929750140999"/>
    <x v="10"/>
    <x v="7"/>
    <x v="1"/>
  </r>
  <r>
    <d v="2024-08-15T00:00:00"/>
    <x v="0"/>
    <s v="Cultural"/>
    <s v="Website"/>
    <x v="0"/>
    <n v="4"/>
    <x v="10"/>
    <n v="0.13075929750140999"/>
    <x v="10"/>
    <x v="0"/>
    <x v="0"/>
  </r>
  <r>
    <d v="2024-08-16T00:00:00"/>
    <x v="2"/>
    <s v="Cultural"/>
    <s v="Website"/>
    <x v="6"/>
    <n v="4"/>
    <x v="10"/>
    <n v="0.13075929750140999"/>
    <x v="10"/>
    <x v="2"/>
    <x v="1"/>
  </r>
  <r>
    <d v="2024-08-16T00:00:00"/>
    <x v="2"/>
    <s v="Beach"/>
    <s v="Mobile App"/>
    <x v="4"/>
    <n v="4"/>
    <x v="10"/>
    <n v="0.13075929750140999"/>
    <x v="10"/>
    <x v="9"/>
    <x v="1"/>
  </r>
  <r>
    <d v="2024-08-16T00:00:00"/>
    <x v="3"/>
    <s v="City Break"/>
    <s v="Website"/>
    <x v="4"/>
    <n v="2"/>
    <x v="10"/>
    <n v="0.13075929750140999"/>
    <x v="10"/>
    <x v="0"/>
    <x v="1"/>
  </r>
  <r>
    <d v="2024-08-16T00:00:00"/>
    <x v="2"/>
    <s v="Cultural"/>
    <s v="Website"/>
    <x v="6"/>
    <n v="3"/>
    <x v="10"/>
    <n v="0.13075929750140999"/>
    <x v="10"/>
    <x v="2"/>
    <x v="0"/>
  </r>
  <r>
    <d v="2024-08-17T00:00:00"/>
    <x v="2"/>
    <s v="Beach"/>
    <s v="Call Center"/>
    <x v="6"/>
    <n v="1"/>
    <x v="10"/>
    <n v="0.13075929750140999"/>
    <x v="10"/>
    <x v="11"/>
    <x v="1"/>
  </r>
  <r>
    <d v="2024-08-17T00:00:00"/>
    <x v="0"/>
    <s v="Foodie"/>
    <s v="Website"/>
    <x v="2"/>
    <n v="2"/>
    <x v="10"/>
    <n v="0.13075929750140999"/>
    <x v="10"/>
    <x v="6"/>
    <x v="0"/>
  </r>
  <r>
    <d v="2024-08-17T00:00:00"/>
    <x v="1"/>
    <s v="Foodie"/>
    <s v="Mobile App"/>
    <x v="0"/>
    <n v="3"/>
    <x v="10"/>
    <n v="0.13075929750140999"/>
    <x v="10"/>
    <x v="2"/>
    <x v="0"/>
  </r>
  <r>
    <d v="2024-08-18T00:00:00"/>
    <x v="3"/>
    <s v="Beach"/>
    <s v="Website"/>
    <x v="2"/>
    <n v="2"/>
    <x v="10"/>
    <n v="0.13075929750140999"/>
    <x v="10"/>
    <x v="1"/>
    <x v="0"/>
  </r>
  <r>
    <d v="2024-08-19T00:00:00"/>
    <x v="0"/>
    <s v="Foodie"/>
    <s v="Agent"/>
    <x v="5"/>
    <n v="1"/>
    <x v="10"/>
    <n v="0.13075929750140999"/>
    <x v="10"/>
    <x v="9"/>
    <x v="0"/>
  </r>
  <r>
    <d v="2024-08-20T00:00:00"/>
    <x v="3"/>
    <s v="Family"/>
    <s v="Website"/>
    <x v="5"/>
    <n v="2"/>
    <x v="10"/>
    <n v="0.13075929750140999"/>
    <x v="10"/>
    <x v="10"/>
    <x v="0"/>
  </r>
  <r>
    <d v="2024-08-20T00:00:00"/>
    <x v="0"/>
    <s v="Beach"/>
    <s v="Mobile App"/>
    <x v="5"/>
    <n v="1"/>
    <x v="10"/>
    <n v="0.13075929750140999"/>
    <x v="10"/>
    <x v="14"/>
    <x v="0"/>
  </r>
  <r>
    <d v="2024-08-20T00:00:00"/>
    <x v="2"/>
    <s v="Adventure"/>
    <s v="Website"/>
    <x v="2"/>
    <n v="1"/>
    <x v="10"/>
    <n v="0.13075929750140999"/>
    <x v="10"/>
    <x v="1"/>
    <x v="0"/>
  </r>
  <r>
    <d v="2024-08-20T00:00:00"/>
    <x v="3"/>
    <s v="City Break"/>
    <s v="Mobile App"/>
    <x v="1"/>
    <n v="1"/>
    <x v="10"/>
    <n v="0.13075929750140999"/>
    <x v="10"/>
    <x v="9"/>
    <x v="0"/>
  </r>
  <r>
    <d v="2024-08-21T00:00:00"/>
    <x v="1"/>
    <s v="Adventure"/>
    <s v="Mobile App"/>
    <x v="5"/>
    <n v="2"/>
    <x v="10"/>
    <n v="0.13075929750140999"/>
    <x v="10"/>
    <x v="9"/>
    <x v="1"/>
  </r>
  <r>
    <d v="2024-08-22T00:00:00"/>
    <x v="3"/>
    <s v="Foodie"/>
    <s v="Website"/>
    <x v="1"/>
    <n v="2"/>
    <x v="10"/>
    <n v="0.13075929750140999"/>
    <x v="10"/>
    <x v="13"/>
    <x v="0"/>
  </r>
  <r>
    <d v="2024-08-22T00:00:00"/>
    <x v="3"/>
    <s v="Foodie"/>
    <s v="Website"/>
    <x v="2"/>
    <n v="2"/>
    <x v="10"/>
    <n v="0.13075929750140999"/>
    <x v="10"/>
    <x v="4"/>
    <x v="1"/>
  </r>
  <r>
    <d v="2024-08-22T00:00:00"/>
    <x v="3"/>
    <s v="Cultural"/>
    <s v="Website"/>
    <x v="1"/>
    <n v="2"/>
    <x v="10"/>
    <n v="0.13075929750140999"/>
    <x v="10"/>
    <x v="5"/>
    <x v="1"/>
  </r>
  <r>
    <d v="2024-08-22T00:00:00"/>
    <x v="1"/>
    <s v="Adventure"/>
    <s v="Website"/>
    <x v="4"/>
    <n v="2"/>
    <x v="10"/>
    <n v="0.13075929750140999"/>
    <x v="10"/>
    <x v="4"/>
    <x v="1"/>
  </r>
  <r>
    <d v="2024-08-22T00:00:00"/>
    <x v="2"/>
    <s v="Cultural"/>
    <s v="Website"/>
    <x v="4"/>
    <n v="1"/>
    <x v="10"/>
    <n v="0.13075929750140999"/>
    <x v="10"/>
    <x v="13"/>
    <x v="0"/>
  </r>
  <r>
    <d v="2024-08-23T00:00:00"/>
    <x v="1"/>
    <s v="Family"/>
    <s v="Agent"/>
    <x v="7"/>
    <n v="3"/>
    <x v="10"/>
    <n v="0.13075929750140999"/>
    <x v="10"/>
    <x v="3"/>
    <x v="0"/>
  </r>
  <r>
    <d v="2024-08-23T00:00:00"/>
    <x v="1"/>
    <s v="Family"/>
    <s v="Website"/>
    <x v="7"/>
    <n v="5"/>
    <x v="10"/>
    <n v="0.13075929750140999"/>
    <x v="10"/>
    <x v="15"/>
    <x v="1"/>
  </r>
  <r>
    <d v="2024-08-23T00:00:00"/>
    <x v="1"/>
    <s v="Beach"/>
    <s v="Website"/>
    <x v="2"/>
    <n v="2"/>
    <x v="10"/>
    <n v="0.13075929750140999"/>
    <x v="10"/>
    <x v="9"/>
    <x v="1"/>
  </r>
  <r>
    <d v="2024-08-23T00:00:00"/>
    <x v="0"/>
    <s v="City Break"/>
    <s v="Website"/>
    <x v="1"/>
    <n v="1"/>
    <x v="10"/>
    <n v="0.13075929750140999"/>
    <x v="10"/>
    <x v="18"/>
    <x v="1"/>
  </r>
  <r>
    <d v="2024-08-24T00:00:00"/>
    <x v="3"/>
    <s v="Beach"/>
    <s v="Mobile App"/>
    <x v="8"/>
    <n v="1"/>
    <x v="10"/>
    <n v="0.13075929750140999"/>
    <x v="10"/>
    <x v="0"/>
    <x v="0"/>
  </r>
  <r>
    <d v="2024-08-24T00:00:00"/>
    <x v="0"/>
    <s v="City Break"/>
    <s v="Website"/>
    <x v="6"/>
    <n v="1"/>
    <x v="10"/>
    <n v="0.13075929750140999"/>
    <x v="10"/>
    <x v="4"/>
    <x v="1"/>
  </r>
  <r>
    <d v="2024-08-24T00:00:00"/>
    <x v="1"/>
    <s v="Beach"/>
    <s v="Website"/>
    <x v="2"/>
    <n v="1"/>
    <x v="10"/>
    <n v="0.13075929750140999"/>
    <x v="10"/>
    <x v="1"/>
    <x v="0"/>
  </r>
  <r>
    <d v="2024-08-24T00:00:00"/>
    <x v="1"/>
    <s v="Beach"/>
    <s v="Website"/>
    <x v="5"/>
    <n v="2"/>
    <x v="10"/>
    <n v="0.13075929750140999"/>
    <x v="10"/>
    <x v="14"/>
    <x v="0"/>
  </r>
  <r>
    <d v="2024-08-24T00:00:00"/>
    <x v="1"/>
    <s v="City Break"/>
    <s v="Mobile App"/>
    <x v="7"/>
    <n v="4"/>
    <x v="10"/>
    <n v="0.13075929750140999"/>
    <x v="10"/>
    <x v="12"/>
    <x v="1"/>
  </r>
  <r>
    <d v="2024-08-24T00:00:00"/>
    <x v="3"/>
    <s v="Family"/>
    <s v="Website"/>
    <x v="7"/>
    <n v="4"/>
    <x v="10"/>
    <n v="0.13075929750140999"/>
    <x v="10"/>
    <x v="1"/>
    <x v="1"/>
  </r>
  <r>
    <d v="2024-08-25T00:00:00"/>
    <x v="1"/>
    <s v="Cultural"/>
    <s v="Mobile App"/>
    <x v="6"/>
    <n v="1"/>
    <x v="10"/>
    <n v="0.13075929750140999"/>
    <x v="10"/>
    <x v="2"/>
    <x v="0"/>
  </r>
  <r>
    <d v="2024-08-25T00:00:00"/>
    <x v="3"/>
    <s v="Family"/>
    <s v="Agent"/>
    <x v="7"/>
    <n v="5"/>
    <x v="10"/>
    <n v="0.13075929750140999"/>
    <x v="10"/>
    <x v="2"/>
    <x v="0"/>
  </r>
  <r>
    <d v="2024-08-25T00:00:00"/>
    <x v="0"/>
    <s v="Family"/>
    <s v="Website"/>
    <x v="8"/>
    <n v="4"/>
    <x v="10"/>
    <n v="0.13075929750140999"/>
    <x v="10"/>
    <x v="0"/>
    <x v="0"/>
  </r>
  <r>
    <d v="2024-08-25T00:00:00"/>
    <x v="3"/>
    <s v="Family"/>
    <s v="Mobile App"/>
    <x v="5"/>
    <n v="4"/>
    <x v="10"/>
    <n v="0.13075929750140999"/>
    <x v="10"/>
    <x v="15"/>
    <x v="0"/>
  </r>
  <r>
    <d v="2024-08-25T00:00:00"/>
    <x v="1"/>
    <s v="Beach"/>
    <s v="Agent"/>
    <x v="5"/>
    <n v="3"/>
    <x v="10"/>
    <n v="0.13075929750140999"/>
    <x v="10"/>
    <x v="1"/>
    <x v="0"/>
  </r>
  <r>
    <d v="2024-08-26T00:00:00"/>
    <x v="1"/>
    <s v="Beach"/>
    <s v="Website"/>
    <x v="5"/>
    <n v="3"/>
    <x v="10"/>
    <n v="0.13075929750140999"/>
    <x v="10"/>
    <x v="8"/>
    <x v="0"/>
  </r>
  <r>
    <d v="2024-08-26T00:00:00"/>
    <x v="2"/>
    <s v="Beach"/>
    <s v="Website"/>
    <x v="5"/>
    <n v="1"/>
    <x v="10"/>
    <n v="0.13075929750140999"/>
    <x v="10"/>
    <x v="4"/>
    <x v="1"/>
  </r>
  <r>
    <d v="2024-08-26T00:00:00"/>
    <x v="1"/>
    <s v="Beach"/>
    <s v="Website"/>
    <x v="2"/>
    <n v="3"/>
    <x v="10"/>
    <n v="0.13075929750140999"/>
    <x v="10"/>
    <x v="2"/>
    <x v="1"/>
  </r>
  <r>
    <d v="2024-08-26T00:00:00"/>
    <x v="1"/>
    <s v="Adventure"/>
    <s v="Website"/>
    <x v="0"/>
    <n v="1"/>
    <x v="10"/>
    <n v="0.13075929750140999"/>
    <x v="10"/>
    <x v="6"/>
    <x v="0"/>
  </r>
  <r>
    <d v="2024-08-26T00:00:00"/>
    <x v="2"/>
    <s v="Family"/>
    <s v="Website"/>
    <x v="3"/>
    <n v="4"/>
    <x v="10"/>
    <n v="0.13075929750140999"/>
    <x v="10"/>
    <x v="1"/>
    <x v="1"/>
  </r>
  <r>
    <d v="2024-08-27T00:00:00"/>
    <x v="3"/>
    <s v="Family"/>
    <s v="Website"/>
    <x v="3"/>
    <n v="3"/>
    <x v="10"/>
    <n v="0.13075929750140999"/>
    <x v="10"/>
    <x v="4"/>
    <x v="0"/>
  </r>
  <r>
    <d v="2024-08-27T00:00:00"/>
    <x v="3"/>
    <s v="Family"/>
    <s v="Agent"/>
    <x v="7"/>
    <n v="3"/>
    <x v="10"/>
    <n v="0.13075929750140999"/>
    <x v="10"/>
    <x v="13"/>
    <x v="1"/>
  </r>
  <r>
    <d v="2024-08-27T00:00:00"/>
    <x v="2"/>
    <s v="Beach"/>
    <s v="Agent"/>
    <x v="5"/>
    <n v="3"/>
    <x v="10"/>
    <n v="0.13075929750140999"/>
    <x v="10"/>
    <x v="10"/>
    <x v="1"/>
  </r>
  <r>
    <d v="2024-08-28T00:00:00"/>
    <x v="2"/>
    <s v="Family"/>
    <s v="Agent"/>
    <x v="0"/>
    <n v="5"/>
    <x v="10"/>
    <n v="0.13075929750140999"/>
    <x v="10"/>
    <x v="12"/>
    <x v="0"/>
  </r>
  <r>
    <d v="2024-08-28T00:00:00"/>
    <x v="1"/>
    <s v="Cultural"/>
    <s v="Mobile App"/>
    <x v="0"/>
    <n v="2"/>
    <x v="10"/>
    <n v="0.13075929750140999"/>
    <x v="10"/>
    <x v="5"/>
    <x v="1"/>
  </r>
  <r>
    <d v="2024-08-28T00:00:00"/>
    <x v="0"/>
    <s v="Family"/>
    <s v="Mobile App"/>
    <x v="1"/>
    <n v="2"/>
    <x v="10"/>
    <n v="0.13075929750140999"/>
    <x v="10"/>
    <x v="9"/>
    <x v="0"/>
  </r>
  <r>
    <d v="2024-08-28T00:00:00"/>
    <x v="1"/>
    <s v="Beach"/>
    <s v="Website"/>
    <x v="1"/>
    <n v="4"/>
    <x v="10"/>
    <n v="0.13075929750140999"/>
    <x v="10"/>
    <x v="0"/>
    <x v="0"/>
  </r>
  <r>
    <d v="2024-08-29T00:00:00"/>
    <x v="0"/>
    <s v="Cultural"/>
    <s v="Website"/>
    <x v="8"/>
    <n v="4"/>
    <x v="10"/>
    <n v="0.13075929750140999"/>
    <x v="10"/>
    <x v="2"/>
    <x v="0"/>
  </r>
  <r>
    <d v="2024-08-29T00:00:00"/>
    <x v="1"/>
    <s v="City Break"/>
    <s v="Agent"/>
    <x v="3"/>
    <n v="1"/>
    <x v="10"/>
    <n v="0.13075929750140999"/>
    <x v="10"/>
    <x v="7"/>
    <x v="0"/>
  </r>
  <r>
    <d v="2024-08-30T00:00:00"/>
    <x v="1"/>
    <s v="Family"/>
    <s v="Website"/>
    <x v="3"/>
    <n v="3"/>
    <x v="10"/>
    <n v="0.13075929750140999"/>
    <x v="10"/>
    <x v="8"/>
    <x v="0"/>
  </r>
  <r>
    <d v="2024-08-30T00:00:00"/>
    <x v="2"/>
    <s v="City Break"/>
    <s v="Mobile App"/>
    <x v="9"/>
    <n v="3"/>
    <x v="10"/>
    <n v="0.13075929750140999"/>
    <x v="10"/>
    <x v="14"/>
    <x v="0"/>
  </r>
  <r>
    <d v="2024-08-30T00:00:00"/>
    <x v="0"/>
    <s v="Adventure"/>
    <s v="Agent"/>
    <x v="1"/>
    <n v="2"/>
    <x v="10"/>
    <n v="0.13075929750140999"/>
    <x v="10"/>
    <x v="13"/>
    <x v="1"/>
  </r>
  <r>
    <d v="2024-08-30T00:00:00"/>
    <x v="0"/>
    <s v="Foodie"/>
    <s v="Agent"/>
    <x v="6"/>
    <n v="1"/>
    <x v="10"/>
    <n v="0.13075929750140999"/>
    <x v="10"/>
    <x v="11"/>
    <x v="0"/>
  </r>
  <r>
    <d v="2024-08-30T00:00:00"/>
    <x v="2"/>
    <s v="Adventure"/>
    <s v="Mobile App"/>
    <x v="0"/>
    <n v="1"/>
    <x v="10"/>
    <n v="0.13075929750140999"/>
    <x v="10"/>
    <x v="0"/>
    <x v="1"/>
  </r>
  <r>
    <d v="2024-08-31T00:00:00"/>
    <x v="3"/>
    <s v="Beach"/>
    <s v="Website"/>
    <x v="8"/>
    <n v="2"/>
    <x v="10"/>
    <n v="0.13075929750140999"/>
    <x v="10"/>
    <x v="5"/>
    <x v="1"/>
  </r>
  <r>
    <d v="2024-08-31T00:00:00"/>
    <x v="2"/>
    <s v="Beach"/>
    <s v="Call Center"/>
    <x v="3"/>
    <n v="2"/>
    <x v="10"/>
    <n v="0.13075929750140999"/>
    <x v="10"/>
    <x v="2"/>
    <x v="1"/>
  </r>
  <r>
    <d v="2024-08-31T00:00:00"/>
    <x v="1"/>
    <s v="Adventure"/>
    <s v="Website"/>
    <x v="5"/>
    <n v="4"/>
    <x v="10"/>
    <n v="0.13075929750140999"/>
    <x v="10"/>
    <x v="6"/>
    <x v="1"/>
  </r>
  <r>
    <d v="2024-08-31T00:00:00"/>
    <x v="2"/>
    <s v="Cultural"/>
    <s v="Website"/>
    <x v="2"/>
    <n v="4"/>
    <x v="10"/>
    <n v="0.13075929750140999"/>
    <x v="10"/>
    <x v="2"/>
    <x v="0"/>
  </r>
  <r>
    <d v="2024-08-31T00:00:00"/>
    <x v="3"/>
    <s v="Adventure"/>
    <s v="Mobile App"/>
    <x v="6"/>
    <n v="2"/>
    <x v="10"/>
    <n v="0.13075929750140999"/>
    <x v="10"/>
    <x v="3"/>
    <x v="1"/>
  </r>
  <r>
    <d v="2024-08-31T00:00:00"/>
    <x v="1"/>
    <s v="Beach"/>
    <s v="Agent"/>
    <x v="2"/>
    <n v="2"/>
    <x v="10"/>
    <n v="0.13075929750140999"/>
    <x v="10"/>
    <x v="1"/>
    <x v="1"/>
  </r>
  <r>
    <d v="2024-08-31T00:00:00"/>
    <x v="0"/>
    <s v="Family"/>
    <s v="Website"/>
    <x v="8"/>
    <n v="2"/>
    <x v="10"/>
    <n v="0.13075929750140999"/>
    <x v="10"/>
    <x v="0"/>
    <x v="1"/>
  </r>
  <r>
    <d v="2024-08-31T00:00:00"/>
    <x v="2"/>
    <s v="Family"/>
    <s v="Website"/>
    <x v="7"/>
    <n v="1"/>
    <x v="10"/>
    <n v="0.13075929750140999"/>
    <x v="10"/>
    <x v="8"/>
    <x v="0"/>
  </r>
  <r>
    <d v="2024-09-01T00:00:00"/>
    <x v="2"/>
    <s v="City Break"/>
    <s v="Mobile App"/>
    <x v="1"/>
    <n v="3"/>
    <x v="10"/>
    <n v="0.13075929750140999"/>
    <x v="10"/>
    <x v="4"/>
    <x v="1"/>
  </r>
  <r>
    <d v="2024-09-01T00:00:00"/>
    <x v="3"/>
    <s v="Adventure"/>
    <s v="Website"/>
    <x v="3"/>
    <n v="2"/>
    <x v="10"/>
    <n v="0.13075929750140999"/>
    <x v="10"/>
    <x v="13"/>
    <x v="1"/>
  </r>
  <r>
    <d v="2024-09-01T00:00:00"/>
    <x v="3"/>
    <s v="Adventure"/>
    <s v="Website"/>
    <x v="2"/>
    <n v="1"/>
    <x v="10"/>
    <n v="0.13075929750140999"/>
    <x v="10"/>
    <x v="12"/>
    <x v="1"/>
  </r>
  <r>
    <d v="2024-09-02T00:00:00"/>
    <x v="1"/>
    <s v="Beach"/>
    <s v="Mobile App"/>
    <x v="8"/>
    <n v="1"/>
    <x v="10"/>
    <n v="0.13075929750140999"/>
    <x v="10"/>
    <x v="14"/>
    <x v="1"/>
  </r>
  <r>
    <d v="2024-09-02T00:00:00"/>
    <x v="0"/>
    <s v="Family"/>
    <s v="Mobile App"/>
    <x v="4"/>
    <n v="1"/>
    <x v="10"/>
    <n v="0.13075929750140999"/>
    <x v="10"/>
    <x v="9"/>
    <x v="1"/>
  </r>
  <r>
    <d v="2024-09-02T00:00:00"/>
    <x v="0"/>
    <s v="Cultural"/>
    <s v="Website"/>
    <x v="2"/>
    <n v="1"/>
    <x v="10"/>
    <n v="0.13075929750140999"/>
    <x v="10"/>
    <x v="8"/>
    <x v="1"/>
  </r>
  <r>
    <d v="2024-09-03T00:00:00"/>
    <x v="2"/>
    <s v="Family"/>
    <s v="Website"/>
    <x v="2"/>
    <n v="4"/>
    <x v="10"/>
    <n v="0.13075929750140999"/>
    <x v="10"/>
    <x v="2"/>
    <x v="0"/>
  </r>
  <r>
    <d v="2024-09-03T00:00:00"/>
    <x v="3"/>
    <s v="Foodie"/>
    <s v="Website"/>
    <x v="2"/>
    <n v="1"/>
    <x v="10"/>
    <n v="0.13075929750140999"/>
    <x v="10"/>
    <x v="6"/>
    <x v="0"/>
  </r>
  <r>
    <d v="2024-09-03T00:00:00"/>
    <x v="3"/>
    <s v="Family"/>
    <s v="Agent"/>
    <x v="0"/>
    <n v="2"/>
    <x v="10"/>
    <n v="0.13075929750140999"/>
    <x v="10"/>
    <x v="8"/>
    <x v="1"/>
  </r>
  <r>
    <d v="2024-09-03T00:00:00"/>
    <x v="3"/>
    <s v="Beach"/>
    <s v="Website"/>
    <x v="2"/>
    <n v="2"/>
    <x v="10"/>
    <n v="0.13075929750140999"/>
    <x v="10"/>
    <x v="1"/>
    <x v="0"/>
  </r>
  <r>
    <d v="2024-09-03T00:00:00"/>
    <x v="2"/>
    <s v="Foodie"/>
    <s v="Mobile App"/>
    <x v="2"/>
    <n v="1"/>
    <x v="10"/>
    <n v="0.13075929750140999"/>
    <x v="10"/>
    <x v="4"/>
    <x v="1"/>
  </r>
  <r>
    <d v="2024-09-04T00:00:00"/>
    <x v="3"/>
    <s v="Adventure"/>
    <s v="Agent"/>
    <x v="1"/>
    <n v="2"/>
    <x v="10"/>
    <n v="0.13075929750140999"/>
    <x v="10"/>
    <x v="4"/>
    <x v="0"/>
  </r>
  <r>
    <d v="2024-09-04T00:00:00"/>
    <x v="0"/>
    <s v="Cultural"/>
    <s v="Agent"/>
    <x v="0"/>
    <n v="2"/>
    <x v="10"/>
    <n v="0.13075929750140999"/>
    <x v="10"/>
    <x v="13"/>
    <x v="0"/>
  </r>
  <r>
    <d v="2024-09-04T00:00:00"/>
    <x v="3"/>
    <s v="Beach"/>
    <s v="Mobile App"/>
    <x v="6"/>
    <n v="2"/>
    <x v="10"/>
    <n v="0.13075929750140999"/>
    <x v="10"/>
    <x v="1"/>
    <x v="0"/>
  </r>
  <r>
    <d v="2024-09-04T00:00:00"/>
    <x v="3"/>
    <s v="Adventure"/>
    <s v="Agent"/>
    <x v="5"/>
    <n v="3"/>
    <x v="10"/>
    <n v="0.13075929750140999"/>
    <x v="10"/>
    <x v="9"/>
    <x v="1"/>
  </r>
  <r>
    <d v="2024-09-04T00:00:00"/>
    <x v="1"/>
    <s v="Foodie"/>
    <s v="Website"/>
    <x v="8"/>
    <n v="1"/>
    <x v="10"/>
    <n v="0.13075929750140999"/>
    <x v="10"/>
    <x v="9"/>
    <x v="0"/>
  </r>
  <r>
    <d v="2024-09-04T00:00:00"/>
    <x v="2"/>
    <s v="Family"/>
    <s v="Mobile App"/>
    <x v="9"/>
    <n v="4"/>
    <x v="10"/>
    <n v="0.13075929750140999"/>
    <x v="10"/>
    <x v="7"/>
    <x v="0"/>
  </r>
  <r>
    <d v="2024-09-05T00:00:00"/>
    <x v="1"/>
    <s v="Beach"/>
    <s v="Agent"/>
    <x v="0"/>
    <n v="1"/>
    <x v="10"/>
    <n v="0.13075929750140999"/>
    <x v="10"/>
    <x v="18"/>
    <x v="1"/>
  </r>
  <r>
    <d v="2024-09-05T00:00:00"/>
    <x v="0"/>
    <s v="Foodie"/>
    <s v="Agent"/>
    <x v="0"/>
    <n v="2"/>
    <x v="10"/>
    <n v="0.13075929750140999"/>
    <x v="10"/>
    <x v="13"/>
    <x v="1"/>
  </r>
  <r>
    <d v="2024-09-05T00:00:00"/>
    <x v="1"/>
    <s v="Beach"/>
    <s v="Agent"/>
    <x v="4"/>
    <n v="1"/>
    <x v="10"/>
    <n v="0.13075929750140999"/>
    <x v="10"/>
    <x v="17"/>
    <x v="1"/>
  </r>
  <r>
    <d v="2024-09-05T00:00:00"/>
    <x v="1"/>
    <s v="Beach"/>
    <s v="Website"/>
    <x v="9"/>
    <n v="1"/>
    <x v="10"/>
    <n v="0.13075929750140999"/>
    <x v="10"/>
    <x v="17"/>
    <x v="1"/>
  </r>
  <r>
    <d v="2024-09-05T00:00:00"/>
    <x v="3"/>
    <s v="Adventure"/>
    <s v="Website"/>
    <x v="5"/>
    <n v="1"/>
    <x v="10"/>
    <n v="0.13075929750140999"/>
    <x v="10"/>
    <x v="8"/>
    <x v="1"/>
  </r>
  <r>
    <d v="2024-09-06T00:00:00"/>
    <x v="1"/>
    <s v="Family"/>
    <s v="Call Center"/>
    <x v="0"/>
    <n v="2"/>
    <x v="10"/>
    <n v="0.13075929750140999"/>
    <x v="10"/>
    <x v="4"/>
    <x v="1"/>
  </r>
  <r>
    <d v="2024-09-06T00:00:00"/>
    <x v="1"/>
    <s v="Cultural"/>
    <s v="Website"/>
    <x v="4"/>
    <n v="2"/>
    <x v="10"/>
    <n v="0.13075929750140999"/>
    <x v="10"/>
    <x v="6"/>
    <x v="1"/>
  </r>
  <r>
    <d v="2024-09-06T00:00:00"/>
    <x v="1"/>
    <s v="Family"/>
    <s v="Website"/>
    <x v="5"/>
    <n v="5"/>
    <x v="10"/>
    <n v="0.13075929750140999"/>
    <x v="10"/>
    <x v="2"/>
    <x v="0"/>
  </r>
  <r>
    <d v="2024-09-07T00:00:00"/>
    <x v="1"/>
    <s v="Cultural"/>
    <s v="Website"/>
    <x v="4"/>
    <n v="2"/>
    <x v="10"/>
    <n v="0.13075929750140999"/>
    <x v="10"/>
    <x v="2"/>
    <x v="1"/>
  </r>
  <r>
    <d v="2024-09-07T00:00:00"/>
    <x v="1"/>
    <s v="City Break"/>
    <s v="Website"/>
    <x v="4"/>
    <n v="1"/>
    <x v="10"/>
    <n v="0.13075929750140999"/>
    <x v="10"/>
    <x v="6"/>
    <x v="0"/>
  </r>
  <r>
    <d v="2024-09-07T00:00:00"/>
    <x v="0"/>
    <s v="Beach"/>
    <s v="Website"/>
    <x v="4"/>
    <n v="1"/>
    <x v="10"/>
    <n v="0.13075929750140999"/>
    <x v="10"/>
    <x v="6"/>
    <x v="1"/>
  </r>
  <r>
    <d v="2024-09-07T00:00:00"/>
    <x v="3"/>
    <s v="Beach"/>
    <s v="Website"/>
    <x v="5"/>
    <n v="1"/>
    <x v="10"/>
    <n v="0.13075929750140999"/>
    <x v="10"/>
    <x v="7"/>
    <x v="0"/>
  </r>
  <r>
    <d v="2024-09-08T00:00:00"/>
    <x v="1"/>
    <s v="Adventure"/>
    <s v="Website"/>
    <x v="7"/>
    <n v="1"/>
    <x v="10"/>
    <n v="0.13075929750140999"/>
    <x v="10"/>
    <x v="18"/>
    <x v="0"/>
  </r>
  <r>
    <d v="2024-09-08T00:00:00"/>
    <x v="1"/>
    <s v="Cultural"/>
    <s v="Mobile App"/>
    <x v="0"/>
    <n v="2"/>
    <x v="10"/>
    <n v="0.13075929750140999"/>
    <x v="10"/>
    <x v="17"/>
    <x v="0"/>
  </r>
  <r>
    <d v="2024-09-08T00:00:00"/>
    <x v="0"/>
    <s v="Cultural"/>
    <s v="Agent"/>
    <x v="1"/>
    <n v="2"/>
    <x v="10"/>
    <n v="0.13075929750140999"/>
    <x v="10"/>
    <x v="14"/>
    <x v="1"/>
  </r>
  <r>
    <d v="2024-09-08T00:00:00"/>
    <x v="3"/>
    <s v="Beach"/>
    <s v="Agent"/>
    <x v="3"/>
    <n v="2"/>
    <x v="10"/>
    <n v="0.13075929750140999"/>
    <x v="10"/>
    <x v="14"/>
    <x v="1"/>
  </r>
  <r>
    <d v="2024-09-08T00:00:00"/>
    <x v="1"/>
    <s v="Cultural"/>
    <s v="Mobile App"/>
    <x v="4"/>
    <n v="2"/>
    <x v="10"/>
    <n v="0.13075929750140999"/>
    <x v="10"/>
    <x v="0"/>
    <x v="1"/>
  </r>
  <r>
    <d v="2024-09-09T00:00:00"/>
    <x v="3"/>
    <s v="Adventure"/>
    <s v="Agent"/>
    <x v="6"/>
    <n v="1"/>
    <x v="10"/>
    <n v="0.13075929750140999"/>
    <x v="10"/>
    <x v="15"/>
    <x v="0"/>
  </r>
  <r>
    <d v="2024-09-09T00:00:00"/>
    <x v="1"/>
    <s v="Foodie"/>
    <s v="Mobile App"/>
    <x v="3"/>
    <n v="2"/>
    <x v="10"/>
    <n v="0.13075929750140999"/>
    <x v="10"/>
    <x v="4"/>
    <x v="1"/>
  </r>
  <r>
    <d v="2024-09-09T00:00:00"/>
    <x v="3"/>
    <s v="Cultural"/>
    <s v="Website"/>
    <x v="1"/>
    <n v="3"/>
    <x v="10"/>
    <n v="0.13075929750140999"/>
    <x v="10"/>
    <x v="11"/>
    <x v="0"/>
  </r>
  <r>
    <d v="2024-09-09T00:00:00"/>
    <x v="1"/>
    <s v="Cultural"/>
    <s v="Mobile App"/>
    <x v="9"/>
    <n v="3"/>
    <x v="10"/>
    <n v="0.13075929750140999"/>
    <x v="10"/>
    <x v="14"/>
    <x v="1"/>
  </r>
  <r>
    <d v="2024-09-09T00:00:00"/>
    <x v="1"/>
    <s v="Cultural"/>
    <s v="Website"/>
    <x v="6"/>
    <n v="1"/>
    <x v="10"/>
    <n v="0.13075929750140999"/>
    <x v="10"/>
    <x v="14"/>
    <x v="1"/>
  </r>
  <r>
    <d v="2024-09-09T00:00:00"/>
    <x v="3"/>
    <s v="Adventure"/>
    <s v="Mobile App"/>
    <x v="5"/>
    <n v="2"/>
    <x v="10"/>
    <n v="0.13075929750140999"/>
    <x v="10"/>
    <x v="6"/>
    <x v="0"/>
  </r>
  <r>
    <d v="2024-09-09T00:00:00"/>
    <x v="2"/>
    <s v="Beach"/>
    <s v="Mobile App"/>
    <x v="2"/>
    <n v="2"/>
    <x v="10"/>
    <n v="0.13075929750140999"/>
    <x v="10"/>
    <x v="10"/>
    <x v="1"/>
  </r>
  <r>
    <d v="2024-09-09T00:00:00"/>
    <x v="1"/>
    <s v="Adventure"/>
    <s v="Agent"/>
    <x v="7"/>
    <n v="1"/>
    <x v="10"/>
    <n v="0.13075929750140999"/>
    <x v="10"/>
    <x v="17"/>
    <x v="1"/>
  </r>
  <r>
    <d v="2024-09-10T00:00:00"/>
    <x v="0"/>
    <s v="Foodie"/>
    <s v="Mobile App"/>
    <x v="1"/>
    <n v="2"/>
    <x v="10"/>
    <n v="0.13075929750140999"/>
    <x v="10"/>
    <x v="0"/>
    <x v="0"/>
  </r>
  <r>
    <d v="2024-09-10T00:00:00"/>
    <x v="2"/>
    <s v="Beach"/>
    <s v="Website"/>
    <x v="5"/>
    <n v="1"/>
    <x v="10"/>
    <n v="0.13075929750140999"/>
    <x v="10"/>
    <x v="8"/>
    <x v="1"/>
  </r>
  <r>
    <d v="2024-09-11T00:00:00"/>
    <x v="2"/>
    <s v="Cultural"/>
    <s v="Agent"/>
    <x v="1"/>
    <n v="4"/>
    <x v="10"/>
    <n v="0.13075929750140999"/>
    <x v="10"/>
    <x v="2"/>
    <x v="1"/>
  </r>
  <r>
    <d v="2024-09-11T00:00:00"/>
    <x v="3"/>
    <s v="Beach"/>
    <s v="Website"/>
    <x v="6"/>
    <n v="4"/>
    <x v="10"/>
    <n v="0.13075929750140999"/>
    <x v="10"/>
    <x v="9"/>
    <x v="0"/>
  </r>
  <r>
    <d v="2024-09-12T00:00:00"/>
    <x v="1"/>
    <s v="Beach"/>
    <s v="Agent"/>
    <x v="9"/>
    <n v="2"/>
    <x v="10"/>
    <n v="0.13075929750140999"/>
    <x v="10"/>
    <x v="12"/>
    <x v="1"/>
  </r>
  <r>
    <d v="2024-09-12T00:00:00"/>
    <x v="0"/>
    <s v="Beach"/>
    <s v="Call Center"/>
    <x v="9"/>
    <n v="2"/>
    <x v="10"/>
    <n v="0.13075929750140999"/>
    <x v="10"/>
    <x v="1"/>
    <x v="0"/>
  </r>
  <r>
    <d v="2024-09-12T00:00:00"/>
    <x v="3"/>
    <s v="Cultural"/>
    <s v="Website"/>
    <x v="2"/>
    <n v="1"/>
    <x v="10"/>
    <n v="0.13075929750140999"/>
    <x v="10"/>
    <x v="10"/>
    <x v="1"/>
  </r>
  <r>
    <d v="2024-09-12T00:00:00"/>
    <x v="0"/>
    <s v="Adventure"/>
    <s v="Mobile App"/>
    <x v="5"/>
    <n v="2"/>
    <x v="10"/>
    <n v="0.13075929750140999"/>
    <x v="10"/>
    <x v="12"/>
    <x v="0"/>
  </r>
  <r>
    <d v="2024-09-13T00:00:00"/>
    <x v="3"/>
    <s v="Cultural"/>
    <s v="Website"/>
    <x v="5"/>
    <n v="3"/>
    <x v="10"/>
    <n v="0.13075929750140999"/>
    <x v="10"/>
    <x v="14"/>
    <x v="0"/>
  </r>
  <r>
    <d v="2024-09-13T00:00:00"/>
    <x v="0"/>
    <s v="Family"/>
    <s v="Mobile App"/>
    <x v="2"/>
    <n v="3"/>
    <x v="10"/>
    <n v="0.13075929750140999"/>
    <x v="10"/>
    <x v="0"/>
    <x v="1"/>
  </r>
  <r>
    <d v="2024-09-14T00:00:00"/>
    <x v="1"/>
    <s v="Family"/>
    <s v="Agent"/>
    <x v="7"/>
    <n v="1"/>
    <x v="10"/>
    <n v="0.13075929750140999"/>
    <x v="10"/>
    <x v="14"/>
    <x v="1"/>
  </r>
  <r>
    <d v="2024-09-14T00:00:00"/>
    <x v="0"/>
    <s v="Beach"/>
    <s v="Website"/>
    <x v="4"/>
    <n v="1"/>
    <x v="10"/>
    <n v="0.13075929750140999"/>
    <x v="10"/>
    <x v="6"/>
    <x v="0"/>
  </r>
  <r>
    <d v="2024-09-14T00:00:00"/>
    <x v="1"/>
    <s v="Family"/>
    <s v="Mobile App"/>
    <x v="8"/>
    <n v="1"/>
    <x v="10"/>
    <n v="0.13075929750140999"/>
    <x v="10"/>
    <x v="10"/>
    <x v="0"/>
  </r>
  <r>
    <d v="2024-09-14T00:00:00"/>
    <x v="0"/>
    <s v="Family"/>
    <s v="Website"/>
    <x v="9"/>
    <n v="5"/>
    <x v="10"/>
    <n v="0.13075929750140999"/>
    <x v="10"/>
    <x v="0"/>
    <x v="1"/>
  </r>
  <r>
    <d v="2024-09-15T00:00:00"/>
    <x v="3"/>
    <s v="Cultural"/>
    <s v="Website"/>
    <x v="1"/>
    <n v="3"/>
    <x v="10"/>
    <n v="0.13075929750140999"/>
    <x v="10"/>
    <x v="2"/>
    <x v="1"/>
  </r>
  <r>
    <d v="2024-09-15T00:00:00"/>
    <x v="3"/>
    <s v="Cultural"/>
    <s v="Agent"/>
    <x v="6"/>
    <n v="1"/>
    <x v="10"/>
    <n v="0.13075929750140999"/>
    <x v="10"/>
    <x v="0"/>
    <x v="1"/>
  </r>
  <r>
    <d v="2024-09-15T00:00:00"/>
    <x v="1"/>
    <s v="Beach"/>
    <s v="Website"/>
    <x v="3"/>
    <n v="2"/>
    <x v="10"/>
    <n v="0.13075929750140999"/>
    <x v="10"/>
    <x v="1"/>
    <x v="0"/>
  </r>
  <r>
    <d v="2024-09-15T00:00:00"/>
    <x v="3"/>
    <s v="Family"/>
    <s v="Website"/>
    <x v="2"/>
    <n v="4"/>
    <x v="10"/>
    <n v="0.13075929750140999"/>
    <x v="10"/>
    <x v="9"/>
    <x v="1"/>
  </r>
  <r>
    <d v="2024-09-15T00:00:00"/>
    <x v="3"/>
    <s v="Foodie"/>
    <s v="Website"/>
    <x v="9"/>
    <n v="3"/>
    <x v="10"/>
    <n v="0.13075929750140999"/>
    <x v="10"/>
    <x v="1"/>
    <x v="1"/>
  </r>
  <r>
    <d v="2024-09-15T00:00:00"/>
    <x v="0"/>
    <s v="Beach"/>
    <s v="Agent"/>
    <x v="4"/>
    <n v="1"/>
    <x v="10"/>
    <n v="0.13075929750140999"/>
    <x v="10"/>
    <x v="8"/>
    <x v="1"/>
  </r>
  <r>
    <d v="2024-09-15T00:00:00"/>
    <x v="3"/>
    <s v="City Break"/>
    <s v="Agent"/>
    <x v="0"/>
    <n v="2"/>
    <x v="10"/>
    <n v="0.13075929750140999"/>
    <x v="10"/>
    <x v="15"/>
    <x v="1"/>
  </r>
  <r>
    <d v="2024-09-15T00:00:00"/>
    <x v="3"/>
    <s v="Adventure"/>
    <s v="Mobile App"/>
    <x v="4"/>
    <n v="2"/>
    <x v="10"/>
    <n v="0.13075929750140999"/>
    <x v="10"/>
    <x v="2"/>
    <x v="0"/>
  </r>
  <r>
    <d v="2024-09-16T00:00:00"/>
    <x v="3"/>
    <s v="Cultural"/>
    <s v="Website"/>
    <x v="3"/>
    <n v="2"/>
    <x v="10"/>
    <n v="0.13075929750140999"/>
    <x v="10"/>
    <x v="4"/>
    <x v="1"/>
  </r>
  <r>
    <d v="2024-09-16T00:00:00"/>
    <x v="0"/>
    <s v="Family"/>
    <s v="Website"/>
    <x v="7"/>
    <n v="3"/>
    <x v="10"/>
    <n v="0.13075929750140999"/>
    <x v="10"/>
    <x v="2"/>
    <x v="1"/>
  </r>
  <r>
    <d v="2024-09-16T00:00:00"/>
    <x v="3"/>
    <s v="Family"/>
    <s v="Website"/>
    <x v="5"/>
    <n v="4"/>
    <x v="10"/>
    <n v="0.13075929750140999"/>
    <x v="10"/>
    <x v="2"/>
    <x v="1"/>
  </r>
  <r>
    <d v="2024-09-16T00:00:00"/>
    <x v="3"/>
    <s v="Cultural"/>
    <s v="Website"/>
    <x v="9"/>
    <n v="1"/>
    <x v="10"/>
    <n v="0.13075929750140999"/>
    <x v="10"/>
    <x v="14"/>
    <x v="1"/>
  </r>
  <r>
    <d v="2024-09-17T00:00:00"/>
    <x v="1"/>
    <s v="Family"/>
    <s v="Agent"/>
    <x v="0"/>
    <n v="2"/>
    <x v="10"/>
    <n v="0.13075929750140999"/>
    <x v="10"/>
    <x v="17"/>
    <x v="1"/>
  </r>
  <r>
    <d v="2024-09-17T00:00:00"/>
    <x v="1"/>
    <s v="Adventure"/>
    <s v="Website"/>
    <x v="6"/>
    <n v="1"/>
    <x v="10"/>
    <n v="0.13075929750140999"/>
    <x v="10"/>
    <x v="2"/>
    <x v="1"/>
  </r>
  <r>
    <d v="2024-09-17T00:00:00"/>
    <x v="3"/>
    <s v="Beach"/>
    <s v="Website"/>
    <x v="8"/>
    <n v="3"/>
    <x v="10"/>
    <n v="0.13075929750140999"/>
    <x v="10"/>
    <x v="14"/>
    <x v="1"/>
  </r>
  <r>
    <d v="2024-09-17T00:00:00"/>
    <x v="1"/>
    <s v="Family"/>
    <s v="Website"/>
    <x v="9"/>
    <n v="2"/>
    <x v="10"/>
    <n v="0.13075929750140999"/>
    <x v="10"/>
    <x v="9"/>
    <x v="1"/>
  </r>
  <r>
    <d v="2024-09-17T00:00:00"/>
    <x v="2"/>
    <s v="City Break"/>
    <s v="Agent"/>
    <x v="5"/>
    <n v="1"/>
    <x v="10"/>
    <n v="0.13075929750140999"/>
    <x v="10"/>
    <x v="0"/>
    <x v="1"/>
  </r>
  <r>
    <d v="2024-09-18T00:00:00"/>
    <x v="3"/>
    <s v="Family"/>
    <s v="Website"/>
    <x v="5"/>
    <n v="4"/>
    <x v="10"/>
    <n v="0.13075929750140999"/>
    <x v="10"/>
    <x v="14"/>
    <x v="0"/>
  </r>
  <r>
    <d v="2024-09-18T00:00:00"/>
    <x v="1"/>
    <s v="Cultural"/>
    <s v="Website"/>
    <x v="4"/>
    <n v="1"/>
    <x v="10"/>
    <n v="0.13075929750140999"/>
    <x v="10"/>
    <x v="7"/>
    <x v="1"/>
  </r>
  <r>
    <d v="2024-09-18T00:00:00"/>
    <x v="1"/>
    <s v="Cultural"/>
    <s v="Website"/>
    <x v="5"/>
    <n v="1"/>
    <x v="10"/>
    <n v="0.13075929750140999"/>
    <x v="10"/>
    <x v="6"/>
    <x v="1"/>
  </r>
  <r>
    <d v="2024-09-19T00:00:00"/>
    <x v="1"/>
    <s v="Beach"/>
    <s v="Website"/>
    <x v="5"/>
    <n v="1"/>
    <x v="10"/>
    <n v="0.13075929750140999"/>
    <x v="10"/>
    <x v="6"/>
    <x v="1"/>
  </r>
  <r>
    <d v="2024-09-19T00:00:00"/>
    <x v="3"/>
    <s v="Beach"/>
    <s v="Agent"/>
    <x v="9"/>
    <n v="1"/>
    <x v="10"/>
    <n v="0.13075929750140999"/>
    <x v="10"/>
    <x v="13"/>
    <x v="0"/>
  </r>
  <r>
    <d v="2024-09-19T00:00:00"/>
    <x v="3"/>
    <s v="Cultural"/>
    <s v="Mobile App"/>
    <x v="2"/>
    <n v="2"/>
    <x v="10"/>
    <n v="0.13075929750140999"/>
    <x v="10"/>
    <x v="3"/>
    <x v="0"/>
  </r>
  <r>
    <d v="2024-09-20T00:00:00"/>
    <x v="1"/>
    <s v="Adventure"/>
    <s v="Agent"/>
    <x v="0"/>
    <n v="3"/>
    <x v="10"/>
    <n v="0.13075929750140999"/>
    <x v="10"/>
    <x v="0"/>
    <x v="1"/>
  </r>
  <r>
    <d v="2024-09-20T00:00:00"/>
    <x v="3"/>
    <s v="Beach"/>
    <s v="Agent"/>
    <x v="5"/>
    <n v="4"/>
    <x v="10"/>
    <n v="0.13075929750140999"/>
    <x v="10"/>
    <x v="13"/>
    <x v="0"/>
  </r>
  <r>
    <d v="2024-09-20T00:00:00"/>
    <x v="3"/>
    <s v="City Break"/>
    <s v="Website"/>
    <x v="1"/>
    <n v="1"/>
    <x v="10"/>
    <n v="0.13075929750140999"/>
    <x v="10"/>
    <x v="0"/>
    <x v="1"/>
  </r>
  <r>
    <d v="2024-09-20T00:00:00"/>
    <x v="3"/>
    <s v="Beach"/>
    <s v="Website"/>
    <x v="4"/>
    <n v="2"/>
    <x v="10"/>
    <n v="0.13075929750140999"/>
    <x v="10"/>
    <x v="2"/>
    <x v="1"/>
  </r>
  <r>
    <d v="2024-09-21T00:00:00"/>
    <x v="1"/>
    <s v="Adventure"/>
    <s v="Website"/>
    <x v="6"/>
    <n v="1"/>
    <x v="10"/>
    <n v="0.13075929750140999"/>
    <x v="10"/>
    <x v="4"/>
    <x v="1"/>
  </r>
  <r>
    <d v="2024-09-21T00:00:00"/>
    <x v="2"/>
    <s v="Cultural"/>
    <s v="Mobile App"/>
    <x v="9"/>
    <n v="2"/>
    <x v="10"/>
    <n v="0.13075929750140999"/>
    <x v="10"/>
    <x v="10"/>
    <x v="0"/>
  </r>
  <r>
    <d v="2024-09-21T00:00:00"/>
    <x v="1"/>
    <s v="Adventure"/>
    <s v="Website"/>
    <x v="8"/>
    <n v="2"/>
    <x v="10"/>
    <n v="0.13075929750140999"/>
    <x v="10"/>
    <x v="0"/>
    <x v="1"/>
  </r>
  <r>
    <d v="2024-09-21T00:00:00"/>
    <x v="1"/>
    <s v="Cultural"/>
    <s v="Website"/>
    <x v="9"/>
    <n v="1"/>
    <x v="10"/>
    <n v="0.13075929750140999"/>
    <x v="10"/>
    <x v="12"/>
    <x v="0"/>
  </r>
  <r>
    <d v="2024-09-22T00:00:00"/>
    <x v="1"/>
    <s v="Foodie"/>
    <s v="Website"/>
    <x v="1"/>
    <n v="4"/>
    <x v="10"/>
    <n v="0.13075929750140999"/>
    <x v="10"/>
    <x v="13"/>
    <x v="1"/>
  </r>
  <r>
    <d v="2024-09-23T00:00:00"/>
    <x v="3"/>
    <s v="Adventure"/>
    <s v="Mobile App"/>
    <x v="7"/>
    <n v="4"/>
    <x v="10"/>
    <n v="0.13075929750140999"/>
    <x v="10"/>
    <x v="8"/>
    <x v="1"/>
  </r>
  <r>
    <d v="2024-09-23T00:00:00"/>
    <x v="0"/>
    <s v="Cultural"/>
    <s v="Mobile App"/>
    <x v="2"/>
    <n v="1"/>
    <x v="10"/>
    <n v="0.13075929750140999"/>
    <x v="10"/>
    <x v="17"/>
    <x v="0"/>
  </r>
  <r>
    <d v="2024-09-23T00:00:00"/>
    <x v="3"/>
    <s v="Cultural"/>
    <s v="Mobile App"/>
    <x v="3"/>
    <n v="3"/>
    <x v="10"/>
    <n v="0.13075929750140999"/>
    <x v="10"/>
    <x v="13"/>
    <x v="0"/>
  </r>
  <r>
    <d v="2024-09-23T00:00:00"/>
    <x v="1"/>
    <s v="Foodie"/>
    <s v="Agent"/>
    <x v="4"/>
    <n v="1"/>
    <x v="10"/>
    <n v="0.13075929750140999"/>
    <x v="10"/>
    <x v="6"/>
    <x v="0"/>
  </r>
  <r>
    <d v="2024-09-24T00:00:00"/>
    <x v="3"/>
    <s v="Family"/>
    <s v="Mobile App"/>
    <x v="0"/>
    <n v="1"/>
    <x v="10"/>
    <n v="0.13075929750140999"/>
    <x v="10"/>
    <x v="7"/>
    <x v="1"/>
  </r>
  <r>
    <d v="2024-09-24T00:00:00"/>
    <x v="3"/>
    <s v="Beach"/>
    <s v="Website"/>
    <x v="0"/>
    <n v="3"/>
    <x v="10"/>
    <n v="0.13075929750140999"/>
    <x v="10"/>
    <x v="6"/>
    <x v="1"/>
  </r>
  <r>
    <d v="2024-09-24T00:00:00"/>
    <x v="2"/>
    <s v="Adventure"/>
    <s v="Website"/>
    <x v="7"/>
    <n v="1"/>
    <x v="10"/>
    <n v="0.13075929750140999"/>
    <x v="10"/>
    <x v="2"/>
    <x v="1"/>
  </r>
  <r>
    <d v="2024-09-24T00:00:00"/>
    <x v="2"/>
    <s v="Beach"/>
    <s v="Agent"/>
    <x v="3"/>
    <n v="2"/>
    <x v="10"/>
    <n v="0.13075929750140999"/>
    <x v="10"/>
    <x v="18"/>
    <x v="0"/>
  </r>
  <r>
    <d v="2024-09-25T00:00:00"/>
    <x v="3"/>
    <s v="Adventure"/>
    <s v="Agent"/>
    <x v="9"/>
    <n v="2"/>
    <x v="10"/>
    <n v="0.13075929750140999"/>
    <x v="10"/>
    <x v="6"/>
    <x v="0"/>
  </r>
  <r>
    <d v="2024-09-25T00:00:00"/>
    <x v="0"/>
    <s v="Foodie"/>
    <s v="Mobile App"/>
    <x v="2"/>
    <n v="1"/>
    <x v="10"/>
    <n v="0.13075929750140999"/>
    <x v="10"/>
    <x v="10"/>
    <x v="1"/>
  </r>
  <r>
    <d v="2024-09-25T00:00:00"/>
    <x v="3"/>
    <s v="Family"/>
    <s v="Website"/>
    <x v="7"/>
    <n v="1"/>
    <x v="10"/>
    <n v="0.13075929750140999"/>
    <x v="10"/>
    <x v="2"/>
    <x v="1"/>
  </r>
  <r>
    <d v="2024-09-25T00:00:00"/>
    <x v="1"/>
    <s v="Foodie"/>
    <s v="Agent"/>
    <x v="2"/>
    <n v="2"/>
    <x v="10"/>
    <n v="0.13075929750140999"/>
    <x v="10"/>
    <x v="15"/>
    <x v="0"/>
  </r>
  <r>
    <d v="2024-09-25T00:00:00"/>
    <x v="3"/>
    <s v="City Break"/>
    <s v="Mobile App"/>
    <x v="2"/>
    <n v="1"/>
    <x v="10"/>
    <n v="0.13075929750140999"/>
    <x v="10"/>
    <x v="8"/>
    <x v="1"/>
  </r>
  <r>
    <d v="2024-09-25T00:00:00"/>
    <x v="1"/>
    <s v="Adventure"/>
    <s v="Website"/>
    <x v="2"/>
    <n v="1"/>
    <x v="10"/>
    <n v="0.13075929750140999"/>
    <x v="10"/>
    <x v="9"/>
    <x v="1"/>
  </r>
  <r>
    <d v="2024-09-26T00:00:00"/>
    <x v="3"/>
    <s v="Beach"/>
    <s v="Agent"/>
    <x v="3"/>
    <n v="1"/>
    <x v="10"/>
    <n v="0.13075929750140999"/>
    <x v="10"/>
    <x v="4"/>
    <x v="1"/>
  </r>
  <r>
    <d v="2024-09-26T00:00:00"/>
    <x v="3"/>
    <s v="Family"/>
    <s v="Website"/>
    <x v="7"/>
    <n v="3"/>
    <x v="10"/>
    <n v="0.13075929750140999"/>
    <x v="10"/>
    <x v="10"/>
    <x v="0"/>
  </r>
  <r>
    <d v="2024-09-26T00:00:00"/>
    <x v="3"/>
    <s v="Family"/>
    <s v="Mobile App"/>
    <x v="5"/>
    <n v="3"/>
    <x v="10"/>
    <n v="0.13075929750140999"/>
    <x v="10"/>
    <x v="0"/>
    <x v="1"/>
  </r>
  <r>
    <d v="2024-09-26T00:00:00"/>
    <x v="0"/>
    <s v="Cultural"/>
    <s v="Mobile App"/>
    <x v="9"/>
    <n v="2"/>
    <x v="10"/>
    <n v="0.13075929750140999"/>
    <x v="10"/>
    <x v="8"/>
    <x v="1"/>
  </r>
  <r>
    <d v="2024-09-26T00:00:00"/>
    <x v="1"/>
    <s v="Beach"/>
    <s v="Agent"/>
    <x v="0"/>
    <n v="1"/>
    <x v="10"/>
    <n v="0.13075929750140999"/>
    <x v="10"/>
    <x v="3"/>
    <x v="1"/>
  </r>
  <r>
    <d v="2024-09-27T00:00:00"/>
    <x v="1"/>
    <s v="Adventure"/>
    <s v="Website"/>
    <x v="8"/>
    <n v="1"/>
    <x v="10"/>
    <n v="0.13075929750140999"/>
    <x v="10"/>
    <x v="3"/>
    <x v="1"/>
  </r>
  <r>
    <d v="2024-09-27T00:00:00"/>
    <x v="0"/>
    <s v="Adventure"/>
    <s v="Mobile App"/>
    <x v="3"/>
    <n v="1"/>
    <x v="10"/>
    <n v="0.13075929750140999"/>
    <x v="10"/>
    <x v="10"/>
    <x v="1"/>
  </r>
  <r>
    <d v="2024-09-27T00:00:00"/>
    <x v="3"/>
    <s v="Beach"/>
    <s v="Agent"/>
    <x v="5"/>
    <n v="3"/>
    <x v="10"/>
    <n v="0.13075929750140999"/>
    <x v="10"/>
    <x v="3"/>
    <x v="0"/>
  </r>
  <r>
    <d v="2024-09-27T00:00:00"/>
    <x v="1"/>
    <s v="Family"/>
    <s v="Agent"/>
    <x v="8"/>
    <n v="4"/>
    <x v="10"/>
    <n v="0.13075929750140999"/>
    <x v="10"/>
    <x v="5"/>
    <x v="1"/>
  </r>
  <r>
    <d v="2024-09-27T00:00:00"/>
    <x v="0"/>
    <s v="Family"/>
    <s v="Website"/>
    <x v="1"/>
    <n v="2"/>
    <x v="10"/>
    <n v="0.13075929750140999"/>
    <x v="10"/>
    <x v="15"/>
    <x v="1"/>
  </r>
  <r>
    <d v="2024-09-28T00:00:00"/>
    <x v="0"/>
    <s v="Cultural"/>
    <s v="Website"/>
    <x v="8"/>
    <n v="3"/>
    <x v="10"/>
    <n v="0.13075929750140999"/>
    <x v="10"/>
    <x v="9"/>
    <x v="1"/>
  </r>
  <r>
    <d v="2024-09-28T00:00:00"/>
    <x v="3"/>
    <s v="Adventure"/>
    <s v="Website"/>
    <x v="2"/>
    <n v="1"/>
    <x v="10"/>
    <n v="0.13075929750140999"/>
    <x v="10"/>
    <x v="8"/>
    <x v="0"/>
  </r>
  <r>
    <d v="2024-09-28T00:00:00"/>
    <x v="2"/>
    <s v="Cultural"/>
    <s v="Website"/>
    <x v="8"/>
    <n v="3"/>
    <x v="10"/>
    <n v="0.13075929750140999"/>
    <x v="10"/>
    <x v="10"/>
    <x v="1"/>
  </r>
  <r>
    <d v="2024-09-28T00:00:00"/>
    <x v="2"/>
    <s v="Beach"/>
    <s v="Website"/>
    <x v="8"/>
    <n v="4"/>
    <x v="10"/>
    <n v="0.13075929750140999"/>
    <x v="10"/>
    <x v="14"/>
    <x v="1"/>
  </r>
  <r>
    <d v="2024-09-29T00:00:00"/>
    <x v="1"/>
    <s v="Adventure"/>
    <s v="Agent"/>
    <x v="6"/>
    <n v="3"/>
    <x v="10"/>
    <n v="0.13075929750140999"/>
    <x v="10"/>
    <x v="9"/>
    <x v="1"/>
  </r>
  <r>
    <d v="2024-09-29T00:00:00"/>
    <x v="3"/>
    <s v="Foodie"/>
    <s v="Mobile App"/>
    <x v="6"/>
    <n v="1"/>
    <x v="10"/>
    <n v="0.13075929750140999"/>
    <x v="10"/>
    <x v="2"/>
    <x v="0"/>
  </r>
  <r>
    <d v="2024-09-29T00:00:00"/>
    <x v="3"/>
    <s v="Beach"/>
    <s v="Website"/>
    <x v="5"/>
    <n v="2"/>
    <x v="10"/>
    <n v="0.13075929750140999"/>
    <x v="10"/>
    <x v="12"/>
    <x v="0"/>
  </r>
  <r>
    <d v="2024-09-29T00:00:00"/>
    <x v="2"/>
    <s v="Beach"/>
    <s v="Website"/>
    <x v="2"/>
    <n v="5"/>
    <x v="10"/>
    <n v="0.13075929750140999"/>
    <x v="10"/>
    <x v="8"/>
    <x v="1"/>
  </r>
  <r>
    <d v="2024-09-29T00:00:00"/>
    <x v="1"/>
    <s v="Beach"/>
    <s v="Website"/>
    <x v="8"/>
    <n v="3"/>
    <x v="10"/>
    <n v="0.13075929750140999"/>
    <x v="10"/>
    <x v="14"/>
    <x v="1"/>
  </r>
  <r>
    <d v="2024-09-30T00:00:00"/>
    <x v="0"/>
    <s v="Beach"/>
    <s v="Agent"/>
    <x v="6"/>
    <n v="2"/>
    <x v="10"/>
    <n v="0.13075929750140999"/>
    <x v="10"/>
    <x v="1"/>
    <x v="0"/>
  </r>
  <r>
    <d v="2024-09-30T00:00:00"/>
    <x v="0"/>
    <s v="Beach"/>
    <s v="Mobile App"/>
    <x v="9"/>
    <n v="1"/>
    <x v="10"/>
    <n v="0.13075929750140999"/>
    <x v="10"/>
    <x v="12"/>
    <x v="0"/>
  </r>
  <r>
    <d v="2024-10-01T00:00:00"/>
    <x v="1"/>
    <s v="City Break"/>
    <s v="Agent"/>
    <x v="2"/>
    <n v="2"/>
    <x v="10"/>
    <n v="0.13075929750140999"/>
    <x v="10"/>
    <x v="7"/>
    <x v="0"/>
  </r>
  <r>
    <d v="2024-10-01T00:00:00"/>
    <x v="3"/>
    <s v="Adventure"/>
    <s v="Mobile App"/>
    <x v="4"/>
    <n v="2"/>
    <x v="10"/>
    <n v="0.13075929750140999"/>
    <x v="10"/>
    <x v="4"/>
    <x v="0"/>
  </r>
  <r>
    <d v="2024-10-01T00:00:00"/>
    <x v="3"/>
    <s v="Adventure"/>
    <s v="Mobile App"/>
    <x v="2"/>
    <n v="4"/>
    <x v="10"/>
    <n v="0.13075929750140999"/>
    <x v="10"/>
    <x v="4"/>
    <x v="0"/>
  </r>
  <r>
    <d v="2024-10-01T00:00:00"/>
    <x v="3"/>
    <s v="Adventure"/>
    <s v="Website"/>
    <x v="5"/>
    <n v="3"/>
    <x v="10"/>
    <n v="0.13075929750140999"/>
    <x v="10"/>
    <x v="12"/>
    <x v="1"/>
  </r>
  <r>
    <d v="2024-10-01T00:00:00"/>
    <x v="2"/>
    <s v="Cultural"/>
    <s v="Mobile App"/>
    <x v="5"/>
    <n v="2"/>
    <x v="10"/>
    <n v="0.13075929750140999"/>
    <x v="10"/>
    <x v="19"/>
    <x v="1"/>
  </r>
  <r>
    <d v="2024-10-01T00:00:00"/>
    <x v="1"/>
    <s v="Cultural"/>
    <s v="Mobile App"/>
    <x v="9"/>
    <n v="3"/>
    <x v="10"/>
    <n v="0.13075929750140999"/>
    <x v="10"/>
    <x v="12"/>
    <x v="0"/>
  </r>
  <r>
    <d v="2024-10-02T00:00:00"/>
    <x v="1"/>
    <s v="Family"/>
    <s v="Website"/>
    <x v="5"/>
    <n v="2"/>
    <x v="10"/>
    <n v="0.13075929750140999"/>
    <x v="10"/>
    <x v="1"/>
    <x v="1"/>
  </r>
  <r>
    <d v="2024-10-02T00:00:00"/>
    <x v="1"/>
    <s v="City Break"/>
    <s v="Mobile App"/>
    <x v="5"/>
    <n v="1"/>
    <x v="10"/>
    <n v="0.13075929750140999"/>
    <x v="10"/>
    <x v="18"/>
    <x v="1"/>
  </r>
  <r>
    <d v="2024-10-02T00:00:00"/>
    <x v="1"/>
    <s v="Adventure"/>
    <s v="Website"/>
    <x v="2"/>
    <n v="2"/>
    <x v="10"/>
    <n v="0.13075929750140999"/>
    <x v="10"/>
    <x v="10"/>
    <x v="1"/>
  </r>
  <r>
    <d v="2024-10-02T00:00:00"/>
    <x v="2"/>
    <s v="Beach"/>
    <s v="Website"/>
    <x v="6"/>
    <n v="2"/>
    <x v="10"/>
    <n v="0.13075929750140999"/>
    <x v="10"/>
    <x v="9"/>
    <x v="1"/>
  </r>
  <r>
    <d v="2024-10-03T00:00:00"/>
    <x v="0"/>
    <s v="Beach"/>
    <s v="Website"/>
    <x v="8"/>
    <n v="2"/>
    <x v="10"/>
    <n v="0.13075929750140999"/>
    <x v="10"/>
    <x v="1"/>
    <x v="0"/>
  </r>
  <r>
    <d v="2024-10-03T00:00:00"/>
    <x v="2"/>
    <s v="Adventure"/>
    <s v="Website"/>
    <x v="3"/>
    <n v="2"/>
    <x v="10"/>
    <n v="0.13075929750140999"/>
    <x v="10"/>
    <x v="0"/>
    <x v="1"/>
  </r>
  <r>
    <d v="2024-10-03T00:00:00"/>
    <x v="1"/>
    <s v="Family"/>
    <s v="Mobile App"/>
    <x v="2"/>
    <n v="3"/>
    <x v="10"/>
    <n v="0.13075929750140999"/>
    <x v="10"/>
    <x v="9"/>
    <x v="0"/>
  </r>
  <r>
    <d v="2024-10-04T00:00:00"/>
    <x v="1"/>
    <s v="Beach"/>
    <s v="Mobile App"/>
    <x v="5"/>
    <n v="3"/>
    <x v="10"/>
    <n v="0.13075929750140999"/>
    <x v="10"/>
    <x v="4"/>
    <x v="1"/>
  </r>
  <r>
    <d v="2024-10-04T00:00:00"/>
    <x v="2"/>
    <s v="Cultural"/>
    <s v="Agent"/>
    <x v="4"/>
    <n v="2"/>
    <x v="10"/>
    <n v="0.13075929750140999"/>
    <x v="10"/>
    <x v="6"/>
    <x v="1"/>
  </r>
  <r>
    <d v="2024-10-04T00:00:00"/>
    <x v="0"/>
    <s v="Foodie"/>
    <s v="Agent"/>
    <x v="6"/>
    <n v="1"/>
    <x v="10"/>
    <n v="0.13075929750140999"/>
    <x v="10"/>
    <x v="1"/>
    <x v="1"/>
  </r>
  <r>
    <d v="2024-10-04T00:00:00"/>
    <x v="3"/>
    <s v="Adventure"/>
    <s v="Website"/>
    <x v="4"/>
    <n v="1"/>
    <x v="10"/>
    <n v="0.13075929750140999"/>
    <x v="10"/>
    <x v="18"/>
    <x v="1"/>
  </r>
  <r>
    <d v="2024-10-04T00:00:00"/>
    <x v="3"/>
    <s v="Cultural"/>
    <s v="Website"/>
    <x v="4"/>
    <n v="1"/>
    <x v="10"/>
    <n v="0.13075929750140999"/>
    <x v="10"/>
    <x v="1"/>
    <x v="0"/>
  </r>
  <r>
    <d v="2024-10-04T00:00:00"/>
    <x v="3"/>
    <s v="Cultural"/>
    <s v="Website"/>
    <x v="5"/>
    <n v="1"/>
    <x v="10"/>
    <n v="0.13075929750140999"/>
    <x v="10"/>
    <x v="2"/>
    <x v="0"/>
  </r>
  <r>
    <d v="2024-10-05T00:00:00"/>
    <x v="2"/>
    <s v="Foodie"/>
    <s v="Website"/>
    <x v="7"/>
    <n v="3"/>
    <x v="10"/>
    <n v="0.13075929750140999"/>
    <x v="10"/>
    <x v="5"/>
    <x v="0"/>
  </r>
  <r>
    <d v="2024-10-05T00:00:00"/>
    <x v="2"/>
    <s v="Beach"/>
    <s v="Mobile App"/>
    <x v="6"/>
    <n v="1"/>
    <x v="10"/>
    <n v="0.13075929750140999"/>
    <x v="10"/>
    <x v="14"/>
    <x v="1"/>
  </r>
  <r>
    <d v="2024-10-05T00:00:00"/>
    <x v="3"/>
    <s v="Cultural"/>
    <s v="Website"/>
    <x v="3"/>
    <n v="2"/>
    <x v="10"/>
    <n v="0.13075929750140999"/>
    <x v="10"/>
    <x v="6"/>
    <x v="0"/>
  </r>
  <r>
    <d v="2024-10-06T00:00:00"/>
    <x v="3"/>
    <s v="Beach"/>
    <s v="Website"/>
    <x v="2"/>
    <n v="1"/>
    <x v="10"/>
    <n v="0.13075929750140999"/>
    <x v="10"/>
    <x v="2"/>
    <x v="0"/>
  </r>
  <r>
    <d v="2024-10-06T00:00:00"/>
    <x v="3"/>
    <s v="Family"/>
    <s v="Website"/>
    <x v="2"/>
    <n v="2"/>
    <x v="10"/>
    <n v="0.13075929750140999"/>
    <x v="10"/>
    <x v="5"/>
    <x v="1"/>
  </r>
  <r>
    <d v="2024-10-06T00:00:00"/>
    <x v="2"/>
    <s v="Adventure"/>
    <s v="Website"/>
    <x v="7"/>
    <n v="4"/>
    <x v="10"/>
    <n v="0.13075929750140999"/>
    <x v="10"/>
    <x v="7"/>
    <x v="1"/>
  </r>
  <r>
    <d v="2024-10-07T00:00:00"/>
    <x v="2"/>
    <s v="Beach"/>
    <s v="Website"/>
    <x v="7"/>
    <n v="3"/>
    <x v="10"/>
    <n v="0.13075929750140999"/>
    <x v="10"/>
    <x v="12"/>
    <x v="1"/>
  </r>
  <r>
    <d v="2024-10-07T00:00:00"/>
    <x v="0"/>
    <s v="Family"/>
    <s v="Mobile App"/>
    <x v="5"/>
    <n v="1"/>
    <x v="10"/>
    <n v="0.13075929750140999"/>
    <x v="10"/>
    <x v="6"/>
    <x v="1"/>
  </r>
  <r>
    <d v="2024-10-07T00:00:00"/>
    <x v="3"/>
    <s v="Adventure"/>
    <s v="Website"/>
    <x v="5"/>
    <n v="4"/>
    <x v="10"/>
    <n v="0.13075929750140999"/>
    <x v="10"/>
    <x v="1"/>
    <x v="0"/>
  </r>
  <r>
    <d v="2024-10-07T00:00:00"/>
    <x v="1"/>
    <s v="Cultural"/>
    <s v="Mobile App"/>
    <x v="5"/>
    <n v="2"/>
    <x v="10"/>
    <n v="0.13075929750140999"/>
    <x v="10"/>
    <x v="5"/>
    <x v="1"/>
  </r>
  <r>
    <d v="2024-10-08T00:00:00"/>
    <x v="3"/>
    <s v="Family"/>
    <s v="Website"/>
    <x v="3"/>
    <n v="3"/>
    <x v="10"/>
    <n v="0.13075929750140999"/>
    <x v="10"/>
    <x v="14"/>
    <x v="0"/>
  </r>
  <r>
    <d v="2024-10-08T00:00:00"/>
    <x v="0"/>
    <s v="Cultural"/>
    <s v="Website"/>
    <x v="6"/>
    <n v="2"/>
    <x v="10"/>
    <n v="0.13075929750140999"/>
    <x v="10"/>
    <x v="2"/>
    <x v="1"/>
  </r>
  <r>
    <d v="2024-10-08T00:00:00"/>
    <x v="2"/>
    <s v="Family"/>
    <s v="Website"/>
    <x v="4"/>
    <n v="5"/>
    <x v="10"/>
    <n v="0.13075929750140999"/>
    <x v="10"/>
    <x v="17"/>
    <x v="1"/>
  </r>
  <r>
    <d v="2024-10-08T00:00:00"/>
    <x v="0"/>
    <s v="Family"/>
    <s v="Website"/>
    <x v="7"/>
    <n v="4"/>
    <x v="10"/>
    <n v="0.13075929750140999"/>
    <x v="10"/>
    <x v="8"/>
    <x v="1"/>
  </r>
  <r>
    <d v="2024-10-09T00:00:00"/>
    <x v="1"/>
    <s v="Family"/>
    <s v="Website"/>
    <x v="9"/>
    <n v="2"/>
    <x v="10"/>
    <n v="0.13075929750140999"/>
    <x v="10"/>
    <x v="5"/>
    <x v="0"/>
  </r>
  <r>
    <d v="2024-10-09T00:00:00"/>
    <x v="0"/>
    <s v="Cultural"/>
    <s v="Website"/>
    <x v="6"/>
    <n v="1"/>
    <x v="10"/>
    <n v="0.13075929750140999"/>
    <x v="10"/>
    <x v="15"/>
    <x v="0"/>
  </r>
  <r>
    <d v="2024-10-09T00:00:00"/>
    <x v="1"/>
    <s v="Beach"/>
    <s v="Agent"/>
    <x v="6"/>
    <n v="1"/>
    <x v="10"/>
    <n v="0.13075929750140999"/>
    <x v="10"/>
    <x v="6"/>
    <x v="1"/>
  </r>
  <r>
    <d v="2024-10-09T00:00:00"/>
    <x v="3"/>
    <s v="Family"/>
    <s v="Agent"/>
    <x v="0"/>
    <n v="1"/>
    <x v="10"/>
    <n v="0.13075929750140999"/>
    <x v="10"/>
    <x v="17"/>
    <x v="1"/>
  </r>
  <r>
    <d v="2024-10-10T00:00:00"/>
    <x v="1"/>
    <s v="Family"/>
    <s v="Website"/>
    <x v="5"/>
    <n v="4"/>
    <x v="10"/>
    <n v="0.13075929750140999"/>
    <x v="10"/>
    <x v="12"/>
    <x v="0"/>
  </r>
  <r>
    <d v="2024-10-10T00:00:00"/>
    <x v="0"/>
    <s v="Cultural"/>
    <s v="Website"/>
    <x v="8"/>
    <n v="2"/>
    <x v="10"/>
    <n v="0.13075929750140999"/>
    <x v="10"/>
    <x v="0"/>
    <x v="1"/>
  </r>
  <r>
    <d v="2024-10-10T00:00:00"/>
    <x v="3"/>
    <s v="Beach"/>
    <s v="Agent"/>
    <x v="5"/>
    <n v="1"/>
    <x v="10"/>
    <n v="0.13075929750140999"/>
    <x v="10"/>
    <x v="14"/>
    <x v="1"/>
  </r>
  <r>
    <d v="2024-10-10T00:00:00"/>
    <x v="1"/>
    <s v="Family"/>
    <s v="Mobile App"/>
    <x v="8"/>
    <n v="4"/>
    <x v="10"/>
    <n v="0.13075929750140999"/>
    <x v="10"/>
    <x v="8"/>
    <x v="0"/>
  </r>
  <r>
    <d v="2024-10-10T00:00:00"/>
    <x v="3"/>
    <s v="Cultural"/>
    <s v="Agent"/>
    <x v="0"/>
    <n v="1"/>
    <x v="10"/>
    <n v="0.13075929750140999"/>
    <x v="10"/>
    <x v="4"/>
    <x v="1"/>
  </r>
  <r>
    <d v="2024-10-10T00:00:00"/>
    <x v="3"/>
    <s v="Foodie"/>
    <s v="Mobile App"/>
    <x v="1"/>
    <n v="3"/>
    <x v="10"/>
    <n v="0.13075929750140999"/>
    <x v="10"/>
    <x v="0"/>
    <x v="1"/>
  </r>
  <r>
    <d v="2024-10-11T00:00:00"/>
    <x v="3"/>
    <s v="Beach"/>
    <s v="Call Center"/>
    <x v="6"/>
    <n v="1"/>
    <x v="10"/>
    <n v="0.13075929750140999"/>
    <x v="10"/>
    <x v="10"/>
    <x v="1"/>
  </r>
  <r>
    <d v="2024-10-11T00:00:00"/>
    <x v="1"/>
    <s v="Adventure"/>
    <s v="Mobile App"/>
    <x v="9"/>
    <n v="1"/>
    <x v="10"/>
    <n v="0.13075929750140999"/>
    <x v="10"/>
    <x v="1"/>
    <x v="0"/>
  </r>
  <r>
    <d v="2024-10-11T00:00:00"/>
    <x v="2"/>
    <s v="Beach"/>
    <s v="Website"/>
    <x v="7"/>
    <n v="3"/>
    <x v="10"/>
    <n v="0.13075929750140999"/>
    <x v="10"/>
    <x v="9"/>
    <x v="1"/>
  </r>
  <r>
    <d v="2024-10-11T00:00:00"/>
    <x v="0"/>
    <s v="Cultural"/>
    <s v="Mobile App"/>
    <x v="3"/>
    <n v="1"/>
    <x v="10"/>
    <n v="0.13075929750140999"/>
    <x v="10"/>
    <x v="4"/>
    <x v="1"/>
  </r>
  <r>
    <d v="2024-10-11T00:00:00"/>
    <x v="0"/>
    <s v="Adventure"/>
    <s v="Website"/>
    <x v="9"/>
    <n v="2"/>
    <x v="10"/>
    <n v="0.13075929750140999"/>
    <x v="10"/>
    <x v="12"/>
    <x v="1"/>
  </r>
  <r>
    <d v="2024-10-12T00:00:00"/>
    <x v="2"/>
    <s v="Foodie"/>
    <s v="Mobile App"/>
    <x v="7"/>
    <n v="3"/>
    <x v="10"/>
    <n v="0.13075929750140999"/>
    <x v="10"/>
    <x v="2"/>
    <x v="1"/>
  </r>
  <r>
    <d v="2024-10-12T00:00:00"/>
    <x v="0"/>
    <s v="Cultural"/>
    <s v="Website"/>
    <x v="3"/>
    <n v="3"/>
    <x v="10"/>
    <n v="0.13075929750140999"/>
    <x v="10"/>
    <x v="15"/>
    <x v="0"/>
  </r>
  <r>
    <d v="2024-10-12T00:00:00"/>
    <x v="2"/>
    <s v="Family"/>
    <s v="Website"/>
    <x v="5"/>
    <n v="1"/>
    <x v="10"/>
    <n v="0.13075929750140999"/>
    <x v="10"/>
    <x v="0"/>
    <x v="1"/>
  </r>
  <r>
    <d v="2024-10-12T00:00:00"/>
    <x v="0"/>
    <s v="Family"/>
    <s v="Website"/>
    <x v="5"/>
    <n v="4"/>
    <x v="10"/>
    <n v="0.13075929750140999"/>
    <x v="10"/>
    <x v="6"/>
    <x v="1"/>
  </r>
  <r>
    <d v="2024-10-13T00:00:00"/>
    <x v="0"/>
    <s v="Family"/>
    <s v="Agent"/>
    <x v="0"/>
    <n v="3"/>
    <x v="10"/>
    <n v="0.13075929750140999"/>
    <x v="10"/>
    <x v="9"/>
    <x v="1"/>
  </r>
  <r>
    <d v="2024-10-14T00:00:00"/>
    <x v="1"/>
    <s v="City Break"/>
    <s v="Website"/>
    <x v="0"/>
    <n v="2"/>
    <x v="10"/>
    <n v="0.13075929750140999"/>
    <x v="10"/>
    <x v="13"/>
    <x v="1"/>
  </r>
  <r>
    <d v="2024-10-14T00:00:00"/>
    <x v="1"/>
    <s v="City Break"/>
    <s v="Website"/>
    <x v="7"/>
    <n v="3"/>
    <x v="10"/>
    <n v="0.13075929750140999"/>
    <x v="10"/>
    <x v="4"/>
    <x v="0"/>
  </r>
  <r>
    <d v="2024-10-15T00:00:00"/>
    <x v="1"/>
    <s v="Family"/>
    <s v="Mobile App"/>
    <x v="9"/>
    <n v="3"/>
    <x v="10"/>
    <n v="0.13075929750140999"/>
    <x v="10"/>
    <x v="9"/>
    <x v="1"/>
  </r>
  <r>
    <d v="2024-10-15T00:00:00"/>
    <x v="0"/>
    <s v="Beach"/>
    <s v="Website"/>
    <x v="7"/>
    <n v="1"/>
    <x v="10"/>
    <n v="0.13075929750140999"/>
    <x v="10"/>
    <x v="5"/>
    <x v="1"/>
  </r>
  <r>
    <d v="2024-10-15T00:00:00"/>
    <x v="2"/>
    <s v="Cultural"/>
    <s v="Website"/>
    <x v="8"/>
    <n v="1"/>
    <x v="10"/>
    <n v="0.13075929750140999"/>
    <x v="10"/>
    <x v="5"/>
    <x v="1"/>
  </r>
  <r>
    <d v="2024-10-15T00:00:00"/>
    <x v="3"/>
    <s v="Family"/>
    <s v="Call Center"/>
    <x v="5"/>
    <n v="2"/>
    <x v="10"/>
    <n v="0.13075929750140999"/>
    <x v="10"/>
    <x v="10"/>
    <x v="1"/>
  </r>
  <r>
    <d v="2024-10-16T00:00:00"/>
    <x v="0"/>
    <s v="Foodie"/>
    <s v="Mobile App"/>
    <x v="6"/>
    <n v="2"/>
    <x v="10"/>
    <n v="0.13075929750140999"/>
    <x v="10"/>
    <x v="2"/>
    <x v="0"/>
  </r>
  <r>
    <d v="2024-10-16T00:00:00"/>
    <x v="0"/>
    <s v="Foodie"/>
    <s v="Mobile App"/>
    <x v="0"/>
    <n v="1"/>
    <x v="10"/>
    <n v="0.13075929750140999"/>
    <x v="10"/>
    <x v="2"/>
    <x v="0"/>
  </r>
  <r>
    <d v="2024-10-16T00:00:00"/>
    <x v="3"/>
    <s v="Cultural"/>
    <s v="Mobile App"/>
    <x v="4"/>
    <n v="2"/>
    <x v="10"/>
    <n v="0.13075929750140999"/>
    <x v="10"/>
    <x v="15"/>
    <x v="1"/>
  </r>
  <r>
    <d v="2024-10-16T00:00:00"/>
    <x v="1"/>
    <s v="Family"/>
    <s v="Mobile App"/>
    <x v="2"/>
    <n v="3"/>
    <x v="10"/>
    <n v="0.13075929750140999"/>
    <x v="10"/>
    <x v="7"/>
    <x v="0"/>
  </r>
  <r>
    <d v="2024-10-16T00:00:00"/>
    <x v="1"/>
    <s v="Family"/>
    <s v="Call Center"/>
    <x v="2"/>
    <n v="4"/>
    <x v="10"/>
    <n v="0.13075929750140999"/>
    <x v="10"/>
    <x v="14"/>
    <x v="1"/>
  </r>
  <r>
    <d v="2024-10-17T00:00:00"/>
    <x v="2"/>
    <s v="Beach"/>
    <s v="Mobile App"/>
    <x v="7"/>
    <n v="2"/>
    <x v="10"/>
    <n v="0.13075929750140999"/>
    <x v="10"/>
    <x v="10"/>
    <x v="0"/>
  </r>
  <r>
    <d v="2024-10-17T00:00:00"/>
    <x v="1"/>
    <s v="Cultural"/>
    <s v="Website"/>
    <x v="4"/>
    <n v="1"/>
    <x v="10"/>
    <n v="0.13075929750140999"/>
    <x v="10"/>
    <x v="15"/>
    <x v="0"/>
  </r>
  <r>
    <d v="2024-10-17T00:00:00"/>
    <x v="1"/>
    <s v="Beach"/>
    <s v="Website"/>
    <x v="9"/>
    <n v="2"/>
    <x v="10"/>
    <n v="0.13075929750140999"/>
    <x v="10"/>
    <x v="8"/>
    <x v="0"/>
  </r>
  <r>
    <d v="2024-10-18T00:00:00"/>
    <x v="0"/>
    <s v="City Break"/>
    <s v="Mobile App"/>
    <x v="5"/>
    <n v="3"/>
    <x v="10"/>
    <n v="0.13075929750140999"/>
    <x v="10"/>
    <x v="9"/>
    <x v="0"/>
  </r>
  <r>
    <d v="2024-10-18T00:00:00"/>
    <x v="2"/>
    <s v="Family"/>
    <s v="Website"/>
    <x v="1"/>
    <n v="4"/>
    <x v="10"/>
    <n v="0.13075929750140999"/>
    <x v="10"/>
    <x v="12"/>
    <x v="0"/>
  </r>
  <r>
    <d v="2024-10-18T00:00:00"/>
    <x v="1"/>
    <s v="Family"/>
    <s v="Website"/>
    <x v="3"/>
    <n v="1"/>
    <x v="10"/>
    <n v="0.13075929750140999"/>
    <x v="10"/>
    <x v="4"/>
    <x v="1"/>
  </r>
  <r>
    <d v="2024-10-19T00:00:00"/>
    <x v="2"/>
    <s v="Adventure"/>
    <s v="Agent"/>
    <x v="5"/>
    <n v="2"/>
    <x v="10"/>
    <n v="0.13075929750140999"/>
    <x v="10"/>
    <x v="10"/>
    <x v="1"/>
  </r>
  <r>
    <d v="2024-10-20T00:00:00"/>
    <x v="3"/>
    <s v="Cultural"/>
    <s v="Website"/>
    <x v="0"/>
    <n v="1"/>
    <x v="10"/>
    <n v="0.13075929750140999"/>
    <x v="10"/>
    <x v="9"/>
    <x v="1"/>
  </r>
  <r>
    <d v="2024-10-20T00:00:00"/>
    <x v="1"/>
    <s v="Family"/>
    <s v="Mobile App"/>
    <x v="0"/>
    <n v="1"/>
    <x v="10"/>
    <n v="0.13075929750140999"/>
    <x v="10"/>
    <x v="14"/>
    <x v="0"/>
  </r>
  <r>
    <d v="2024-10-20T00:00:00"/>
    <x v="3"/>
    <s v="Beach"/>
    <s v="Website"/>
    <x v="8"/>
    <n v="3"/>
    <x v="10"/>
    <n v="0.13075929750140999"/>
    <x v="10"/>
    <x v="1"/>
    <x v="1"/>
  </r>
  <r>
    <d v="2024-10-20T00:00:00"/>
    <x v="3"/>
    <s v="City Break"/>
    <s v="Website"/>
    <x v="0"/>
    <n v="4"/>
    <x v="10"/>
    <n v="0.13075929750140999"/>
    <x v="10"/>
    <x v="0"/>
    <x v="0"/>
  </r>
  <r>
    <d v="2024-10-20T00:00:00"/>
    <x v="1"/>
    <s v="City Break"/>
    <s v="Mobile App"/>
    <x v="5"/>
    <n v="2"/>
    <x v="10"/>
    <n v="0.13075929750140999"/>
    <x v="10"/>
    <x v="5"/>
    <x v="1"/>
  </r>
  <r>
    <d v="2024-10-21T00:00:00"/>
    <x v="1"/>
    <s v="Family"/>
    <s v="Agent"/>
    <x v="1"/>
    <n v="1"/>
    <x v="10"/>
    <n v="0.13075929750140999"/>
    <x v="10"/>
    <x v="9"/>
    <x v="1"/>
  </r>
  <r>
    <d v="2024-10-21T00:00:00"/>
    <x v="3"/>
    <s v="Cultural"/>
    <s v="Website"/>
    <x v="1"/>
    <n v="1"/>
    <x v="10"/>
    <n v="0.13075929750140999"/>
    <x v="10"/>
    <x v="12"/>
    <x v="1"/>
  </r>
  <r>
    <d v="2024-10-21T00:00:00"/>
    <x v="1"/>
    <s v="Beach"/>
    <s v="Website"/>
    <x v="4"/>
    <n v="1"/>
    <x v="10"/>
    <n v="0.13075929750140999"/>
    <x v="10"/>
    <x v="13"/>
    <x v="1"/>
  </r>
  <r>
    <d v="2024-10-21T00:00:00"/>
    <x v="2"/>
    <s v="City Break"/>
    <s v="Mobile App"/>
    <x v="6"/>
    <n v="2"/>
    <x v="10"/>
    <n v="0.13075929750140999"/>
    <x v="10"/>
    <x v="8"/>
    <x v="1"/>
  </r>
  <r>
    <d v="2024-10-22T00:00:00"/>
    <x v="1"/>
    <s v="Adventure"/>
    <s v="Website"/>
    <x v="5"/>
    <n v="1"/>
    <x v="10"/>
    <n v="0.13075929750140999"/>
    <x v="10"/>
    <x v="10"/>
    <x v="0"/>
  </r>
  <r>
    <d v="2024-10-22T00:00:00"/>
    <x v="2"/>
    <s v="Cultural"/>
    <s v="Website"/>
    <x v="4"/>
    <n v="2"/>
    <x v="10"/>
    <n v="0.13075929750140999"/>
    <x v="10"/>
    <x v="9"/>
    <x v="1"/>
  </r>
  <r>
    <d v="2024-10-23T00:00:00"/>
    <x v="1"/>
    <s v="Cultural"/>
    <s v="Website"/>
    <x v="0"/>
    <n v="1"/>
    <x v="10"/>
    <n v="0.13075929750140999"/>
    <x v="10"/>
    <x v="0"/>
    <x v="1"/>
  </r>
  <r>
    <d v="2024-10-23T00:00:00"/>
    <x v="0"/>
    <s v="Foodie"/>
    <s v="Mobile App"/>
    <x v="9"/>
    <n v="1"/>
    <x v="10"/>
    <n v="0.13075929750140999"/>
    <x v="10"/>
    <x v="7"/>
    <x v="1"/>
  </r>
  <r>
    <d v="2024-10-24T00:00:00"/>
    <x v="3"/>
    <s v="Foodie"/>
    <s v="Agent"/>
    <x v="8"/>
    <n v="4"/>
    <x v="10"/>
    <n v="0.13075929750140999"/>
    <x v="10"/>
    <x v="5"/>
    <x v="0"/>
  </r>
  <r>
    <d v="2024-10-24T00:00:00"/>
    <x v="3"/>
    <s v="City Break"/>
    <s v="Mobile App"/>
    <x v="0"/>
    <n v="1"/>
    <x v="10"/>
    <n v="0.13075929750140999"/>
    <x v="10"/>
    <x v="6"/>
    <x v="0"/>
  </r>
  <r>
    <d v="2024-10-24T00:00:00"/>
    <x v="0"/>
    <s v="City Break"/>
    <s v="Website"/>
    <x v="0"/>
    <n v="3"/>
    <x v="10"/>
    <n v="0.13075929750140999"/>
    <x v="10"/>
    <x v="8"/>
    <x v="1"/>
  </r>
  <r>
    <d v="2024-10-24T00:00:00"/>
    <x v="0"/>
    <s v="Cultural"/>
    <s v="Mobile App"/>
    <x v="2"/>
    <n v="2"/>
    <x v="10"/>
    <n v="0.13075929750140999"/>
    <x v="10"/>
    <x v="17"/>
    <x v="1"/>
  </r>
  <r>
    <d v="2024-10-24T00:00:00"/>
    <x v="3"/>
    <s v="Cultural"/>
    <s v="Website"/>
    <x v="4"/>
    <n v="2"/>
    <x v="10"/>
    <n v="0.13075929750140999"/>
    <x v="10"/>
    <x v="10"/>
    <x v="0"/>
  </r>
  <r>
    <d v="2024-10-25T00:00:00"/>
    <x v="1"/>
    <s v="Family"/>
    <s v="Agent"/>
    <x v="5"/>
    <n v="2"/>
    <x v="10"/>
    <n v="0.13075929750140999"/>
    <x v="10"/>
    <x v="8"/>
    <x v="1"/>
  </r>
  <r>
    <d v="2024-10-25T00:00:00"/>
    <x v="2"/>
    <s v="Family"/>
    <s v="Website"/>
    <x v="3"/>
    <n v="3"/>
    <x v="10"/>
    <n v="0.13075929750140999"/>
    <x v="10"/>
    <x v="5"/>
    <x v="0"/>
  </r>
  <r>
    <d v="2024-10-25T00:00:00"/>
    <x v="1"/>
    <s v="Beach"/>
    <s v="Agent"/>
    <x v="8"/>
    <n v="1"/>
    <x v="10"/>
    <n v="0.13075929750140999"/>
    <x v="10"/>
    <x v="5"/>
    <x v="1"/>
  </r>
  <r>
    <d v="2024-10-25T00:00:00"/>
    <x v="1"/>
    <s v="City Break"/>
    <s v="Website"/>
    <x v="4"/>
    <n v="1"/>
    <x v="10"/>
    <n v="0.13075929750140999"/>
    <x v="10"/>
    <x v="3"/>
    <x v="1"/>
  </r>
  <r>
    <d v="2024-10-25T00:00:00"/>
    <x v="0"/>
    <s v="Cultural"/>
    <s v="Website"/>
    <x v="9"/>
    <n v="2"/>
    <x v="10"/>
    <n v="0.13075929750140999"/>
    <x v="10"/>
    <x v="12"/>
    <x v="0"/>
  </r>
  <r>
    <d v="2024-10-26T00:00:00"/>
    <x v="2"/>
    <s v="City Break"/>
    <s v="Website"/>
    <x v="3"/>
    <n v="2"/>
    <x v="10"/>
    <n v="0.13075929750140999"/>
    <x v="10"/>
    <x v="1"/>
    <x v="0"/>
  </r>
  <r>
    <d v="2024-10-26T00:00:00"/>
    <x v="3"/>
    <s v="Beach"/>
    <s v="Website"/>
    <x v="8"/>
    <n v="2"/>
    <x v="10"/>
    <n v="0.13075929750140999"/>
    <x v="10"/>
    <x v="6"/>
    <x v="0"/>
  </r>
  <r>
    <d v="2024-10-26T00:00:00"/>
    <x v="2"/>
    <s v="Cultural"/>
    <s v="Website"/>
    <x v="5"/>
    <n v="3"/>
    <x v="10"/>
    <n v="0.13075929750140999"/>
    <x v="10"/>
    <x v="10"/>
    <x v="1"/>
  </r>
  <r>
    <d v="2024-10-26T00:00:00"/>
    <x v="0"/>
    <s v="Adventure"/>
    <s v="Website"/>
    <x v="9"/>
    <n v="1"/>
    <x v="10"/>
    <n v="0.13075929750140999"/>
    <x v="10"/>
    <x v="13"/>
    <x v="0"/>
  </r>
  <r>
    <d v="2024-10-26T00:00:00"/>
    <x v="3"/>
    <s v="Cultural"/>
    <s v="Mobile App"/>
    <x v="5"/>
    <n v="1"/>
    <x v="10"/>
    <n v="0.13075929750140999"/>
    <x v="10"/>
    <x v="9"/>
    <x v="1"/>
  </r>
  <r>
    <d v="2024-10-26T00:00:00"/>
    <x v="1"/>
    <s v="Beach"/>
    <s v="Mobile App"/>
    <x v="5"/>
    <n v="1"/>
    <x v="10"/>
    <n v="0.13075929750140999"/>
    <x v="10"/>
    <x v="3"/>
    <x v="1"/>
  </r>
  <r>
    <d v="2024-10-27T00:00:00"/>
    <x v="2"/>
    <s v="Adventure"/>
    <s v="Website"/>
    <x v="1"/>
    <n v="2"/>
    <x v="10"/>
    <n v="0.13075929750140999"/>
    <x v="10"/>
    <x v="13"/>
    <x v="1"/>
  </r>
  <r>
    <d v="2024-10-27T00:00:00"/>
    <x v="0"/>
    <s v="Beach"/>
    <s v="Website"/>
    <x v="7"/>
    <n v="2"/>
    <x v="10"/>
    <n v="0.13075929750140999"/>
    <x v="10"/>
    <x v="13"/>
    <x v="0"/>
  </r>
  <r>
    <d v="2024-10-27T00:00:00"/>
    <x v="0"/>
    <s v="Beach"/>
    <s v="Mobile App"/>
    <x v="5"/>
    <n v="1"/>
    <x v="10"/>
    <n v="0.13075929750140999"/>
    <x v="10"/>
    <x v="13"/>
    <x v="1"/>
  </r>
  <r>
    <d v="2024-10-27T00:00:00"/>
    <x v="0"/>
    <s v="Cultural"/>
    <s v="Website"/>
    <x v="9"/>
    <n v="1"/>
    <x v="10"/>
    <n v="0.13075929750140999"/>
    <x v="10"/>
    <x v="13"/>
    <x v="0"/>
  </r>
  <r>
    <d v="2024-10-27T00:00:00"/>
    <x v="1"/>
    <s v="Family"/>
    <s v="Website"/>
    <x v="2"/>
    <n v="1"/>
    <x v="10"/>
    <n v="0.13075929750140999"/>
    <x v="10"/>
    <x v="12"/>
    <x v="0"/>
  </r>
  <r>
    <d v="2024-10-27T00:00:00"/>
    <x v="0"/>
    <s v="Cultural"/>
    <s v="Agent"/>
    <x v="5"/>
    <n v="1"/>
    <x v="10"/>
    <n v="0.13075929750140999"/>
    <x v="10"/>
    <x v="10"/>
    <x v="1"/>
  </r>
  <r>
    <d v="2024-10-28T00:00:00"/>
    <x v="3"/>
    <s v="Family"/>
    <s v="Mobile App"/>
    <x v="4"/>
    <n v="5"/>
    <x v="10"/>
    <n v="0.13075929750140999"/>
    <x v="10"/>
    <x v="15"/>
    <x v="0"/>
  </r>
  <r>
    <d v="2024-10-28T00:00:00"/>
    <x v="1"/>
    <s v="Beach"/>
    <s v="Agent"/>
    <x v="1"/>
    <n v="2"/>
    <x v="10"/>
    <n v="0.13075929750140999"/>
    <x v="10"/>
    <x v="14"/>
    <x v="0"/>
  </r>
  <r>
    <d v="2024-10-28T00:00:00"/>
    <x v="3"/>
    <s v="City Break"/>
    <s v="Website"/>
    <x v="5"/>
    <n v="1"/>
    <x v="10"/>
    <n v="0.13075929750140999"/>
    <x v="10"/>
    <x v="5"/>
    <x v="1"/>
  </r>
  <r>
    <d v="2024-10-28T00:00:00"/>
    <x v="0"/>
    <s v="Beach"/>
    <s v="Agent"/>
    <x v="8"/>
    <n v="3"/>
    <x v="10"/>
    <n v="0.13075929750140999"/>
    <x v="10"/>
    <x v="0"/>
    <x v="0"/>
  </r>
  <r>
    <d v="2024-10-28T00:00:00"/>
    <x v="0"/>
    <s v="Beach"/>
    <s v="Website"/>
    <x v="2"/>
    <n v="2"/>
    <x v="10"/>
    <n v="0.13075929750140999"/>
    <x v="10"/>
    <x v="14"/>
    <x v="0"/>
  </r>
  <r>
    <d v="2024-10-28T00:00:00"/>
    <x v="0"/>
    <s v="Beach"/>
    <s v="Call Center"/>
    <x v="4"/>
    <n v="2"/>
    <x v="10"/>
    <n v="0.13075929750140999"/>
    <x v="10"/>
    <x v="18"/>
    <x v="1"/>
  </r>
  <r>
    <d v="2024-10-29T00:00:00"/>
    <x v="3"/>
    <s v="Foodie"/>
    <s v="Call Center"/>
    <x v="9"/>
    <n v="4"/>
    <x v="10"/>
    <n v="0.13075929750140999"/>
    <x v="10"/>
    <x v="1"/>
    <x v="1"/>
  </r>
  <r>
    <d v="2024-10-29T00:00:00"/>
    <x v="0"/>
    <s v="Foodie"/>
    <s v="Website"/>
    <x v="1"/>
    <n v="3"/>
    <x v="10"/>
    <n v="0.13075929750140999"/>
    <x v="10"/>
    <x v="7"/>
    <x v="1"/>
  </r>
  <r>
    <d v="2024-10-29T00:00:00"/>
    <x v="3"/>
    <s v="Cultural"/>
    <s v="Agent"/>
    <x v="9"/>
    <n v="2"/>
    <x v="10"/>
    <n v="0.13075929750140999"/>
    <x v="10"/>
    <x v="17"/>
    <x v="1"/>
  </r>
  <r>
    <d v="2024-10-29T00:00:00"/>
    <x v="1"/>
    <s v="Beach"/>
    <s v="Agent"/>
    <x v="3"/>
    <n v="2"/>
    <x v="10"/>
    <n v="0.13075929750140999"/>
    <x v="10"/>
    <x v="17"/>
    <x v="1"/>
  </r>
  <r>
    <d v="2024-10-30T00:00:00"/>
    <x v="0"/>
    <s v="Beach"/>
    <s v="Website"/>
    <x v="3"/>
    <n v="2"/>
    <x v="10"/>
    <n v="0.13075929750140999"/>
    <x v="10"/>
    <x v="1"/>
    <x v="1"/>
  </r>
  <r>
    <d v="2024-10-30T00:00:00"/>
    <x v="0"/>
    <s v="Family"/>
    <s v="Website"/>
    <x v="8"/>
    <n v="3"/>
    <x v="10"/>
    <n v="0.13075929750140999"/>
    <x v="10"/>
    <x v="9"/>
    <x v="1"/>
  </r>
  <r>
    <d v="2024-10-30T00:00:00"/>
    <x v="0"/>
    <s v="Adventure"/>
    <s v="Website"/>
    <x v="8"/>
    <n v="2"/>
    <x v="10"/>
    <n v="0.13075929750140999"/>
    <x v="10"/>
    <x v="0"/>
    <x v="0"/>
  </r>
  <r>
    <d v="2024-10-30T00:00:00"/>
    <x v="1"/>
    <s v="Cultural"/>
    <s v="Mobile App"/>
    <x v="3"/>
    <n v="1"/>
    <x v="10"/>
    <n v="0.13075929750140999"/>
    <x v="10"/>
    <x v="11"/>
    <x v="1"/>
  </r>
  <r>
    <d v="2024-10-31T00:00:00"/>
    <x v="1"/>
    <s v="Beach"/>
    <s v="Website"/>
    <x v="5"/>
    <n v="1"/>
    <x v="10"/>
    <n v="0.13075929750140999"/>
    <x v="10"/>
    <x v="5"/>
    <x v="1"/>
  </r>
  <r>
    <d v="2024-10-31T00:00:00"/>
    <x v="2"/>
    <s v="Beach"/>
    <s v="Website"/>
    <x v="4"/>
    <n v="1"/>
    <x v="10"/>
    <n v="0.13075929750140999"/>
    <x v="10"/>
    <x v="17"/>
    <x v="1"/>
  </r>
  <r>
    <d v="2024-10-31T00:00:00"/>
    <x v="1"/>
    <s v="Family"/>
    <s v="Website"/>
    <x v="1"/>
    <n v="1"/>
    <x v="10"/>
    <n v="0.13075929750140999"/>
    <x v="10"/>
    <x v="15"/>
    <x v="1"/>
  </r>
  <r>
    <d v="2024-10-31T00:00:00"/>
    <x v="3"/>
    <s v="Family"/>
    <s v="Website"/>
    <x v="0"/>
    <n v="3"/>
    <x v="10"/>
    <n v="0.13075929750140999"/>
    <x v="10"/>
    <x v="17"/>
    <x v="1"/>
  </r>
  <r>
    <d v="2024-10-31T00:00:00"/>
    <x v="3"/>
    <s v="Beach"/>
    <s v="Agent"/>
    <x v="7"/>
    <n v="1"/>
    <x v="10"/>
    <n v="0.13075929750140999"/>
    <x v="10"/>
    <x v="0"/>
    <x v="0"/>
  </r>
  <r>
    <d v="2024-11-01T00:00:00"/>
    <x v="2"/>
    <s v="Beach"/>
    <s v="Agent"/>
    <x v="0"/>
    <n v="1"/>
    <x v="10"/>
    <n v="0.13075929750140999"/>
    <x v="10"/>
    <x v="7"/>
    <x v="0"/>
  </r>
  <r>
    <d v="2024-11-01T00:00:00"/>
    <x v="3"/>
    <s v="Beach"/>
    <s v="Website"/>
    <x v="6"/>
    <n v="1"/>
    <x v="10"/>
    <n v="0.13075929750140999"/>
    <x v="10"/>
    <x v="1"/>
    <x v="1"/>
  </r>
  <r>
    <d v="2024-11-01T00:00:00"/>
    <x v="1"/>
    <s v="Cultural"/>
    <s v="Website"/>
    <x v="7"/>
    <n v="2"/>
    <x v="10"/>
    <n v="0.13075929750140999"/>
    <x v="10"/>
    <x v="10"/>
    <x v="1"/>
  </r>
  <r>
    <d v="2024-11-02T00:00:00"/>
    <x v="2"/>
    <s v="Cultural"/>
    <s v="Agent"/>
    <x v="9"/>
    <n v="1"/>
    <x v="10"/>
    <n v="0.13075929750140999"/>
    <x v="10"/>
    <x v="9"/>
    <x v="1"/>
  </r>
  <r>
    <d v="2024-11-02T00:00:00"/>
    <x v="0"/>
    <s v="Beach"/>
    <s v="Website"/>
    <x v="2"/>
    <n v="1"/>
    <x v="10"/>
    <n v="0.13075929750140999"/>
    <x v="10"/>
    <x v="7"/>
    <x v="1"/>
  </r>
  <r>
    <d v="2024-11-02T00:00:00"/>
    <x v="0"/>
    <s v="Adventure"/>
    <s v="Website"/>
    <x v="7"/>
    <n v="1"/>
    <x v="10"/>
    <n v="0.13075929750140999"/>
    <x v="10"/>
    <x v="0"/>
    <x v="1"/>
  </r>
  <r>
    <d v="2024-11-02T00:00:00"/>
    <x v="3"/>
    <s v="Adventure"/>
    <s v="Mobile App"/>
    <x v="4"/>
    <n v="2"/>
    <x v="10"/>
    <n v="0.13075929750140999"/>
    <x v="10"/>
    <x v="4"/>
    <x v="0"/>
  </r>
  <r>
    <d v="2024-11-02T00:00:00"/>
    <x v="1"/>
    <s v="Adventure"/>
    <s v="Agent"/>
    <x v="0"/>
    <n v="2"/>
    <x v="10"/>
    <n v="0.13075929750140999"/>
    <x v="10"/>
    <x v="1"/>
    <x v="0"/>
  </r>
  <r>
    <d v="2024-11-02T00:00:00"/>
    <x v="1"/>
    <s v="Cultural"/>
    <s v="Agent"/>
    <x v="1"/>
    <n v="3"/>
    <x v="10"/>
    <n v="0.13075929750140999"/>
    <x v="10"/>
    <x v="8"/>
    <x v="1"/>
  </r>
  <r>
    <d v="2024-11-03T00:00:00"/>
    <x v="3"/>
    <s v="Foodie"/>
    <s v="Website"/>
    <x v="4"/>
    <n v="1"/>
    <x v="10"/>
    <n v="0.13075929750140999"/>
    <x v="10"/>
    <x v="5"/>
    <x v="1"/>
  </r>
  <r>
    <d v="2024-11-03T00:00:00"/>
    <x v="1"/>
    <s v="Beach"/>
    <s v="Website"/>
    <x v="3"/>
    <n v="2"/>
    <x v="10"/>
    <n v="0.13075929750140999"/>
    <x v="10"/>
    <x v="2"/>
    <x v="1"/>
  </r>
  <r>
    <d v="2024-11-03T00:00:00"/>
    <x v="3"/>
    <s v="Family"/>
    <s v="Agent"/>
    <x v="3"/>
    <n v="2"/>
    <x v="10"/>
    <n v="0.13075929750140999"/>
    <x v="10"/>
    <x v="1"/>
    <x v="0"/>
  </r>
  <r>
    <d v="2024-11-03T00:00:00"/>
    <x v="1"/>
    <s v="Family"/>
    <s v="Call Center"/>
    <x v="8"/>
    <n v="3"/>
    <x v="10"/>
    <n v="0.13075929750140999"/>
    <x v="10"/>
    <x v="13"/>
    <x v="1"/>
  </r>
  <r>
    <d v="2024-11-03T00:00:00"/>
    <x v="1"/>
    <s v="Beach"/>
    <s v="Agent"/>
    <x v="0"/>
    <n v="1"/>
    <x v="10"/>
    <n v="0.13075929750140999"/>
    <x v="10"/>
    <x v="0"/>
    <x v="1"/>
  </r>
  <r>
    <d v="2024-11-03T00:00:00"/>
    <x v="1"/>
    <s v="Beach"/>
    <s v="Mobile App"/>
    <x v="9"/>
    <n v="3"/>
    <x v="10"/>
    <n v="0.13075929750140999"/>
    <x v="10"/>
    <x v="12"/>
    <x v="1"/>
  </r>
  <r>
    <d v="2024-11-04T00:00:00"/>
    <x v="1"/>
    <s v="Beach"/>
    <s v="Mobile App"/>
    <x v="3"/>
    <n v="1"/>
    <x v="10"/>
    <n v="0.13075929750140999"/>
    <x v="10"/>
    <x v="6"/>
    <x v="0"/>
  </r>
  <r>
    <d v="2024-11-04T00:00:00"/>
    <x v="3"/>
    <s v="Family"/>
    <s v="Mobile App"/>
    <x v="0"/>
    <n v="2"/>
    <x v="10"/>
    <n v="0.13075929750140999"/>
    <x v="10"/>
    <x v="13"/>
    <x v="1"/>
  </r>
  <r>
    <d v="2024-11-04T00:00:00"/>
    <x v="0"/>
    <s v="Cultural"/>
    <s v="Website"/>
    <x v="9"/>
    <n v="1"/>
    <x v="10"/>
    <n v="0.13075929750140999"/>
    <x v="10"/>
    <x v="0"/>
    <x v="1"/>
  </r>
  <r>
    <d v="2024-11-05T00:00:00"/>
    <x v="1"/>
    <s v="Beach"/>
    <s v="Website"/>
    <x v="5"/>
    <n v="1"/>
    <x v="10"/>
    <n v="0.13075929750140999"/>
    <x v="10"/>
    <x v="10"/>
    <x v="1"/>
  </r>
  <r>
    <d v="2024-11-05T00:00:00"/>
    <x v="1"/>
    <s v="Adventure"/>
    <s v="Website"/>
    <x v="9"/>
    <n v="3"/>
    <x v="10"/>
    <n v="0.13075929750140999"/>
    <x v="10"/>
    <x v="12"/>
    <x v="0"/>
  </r>
  <r>
    <d v="2024-11-05T00:00:00"/>
    <x v="3"/>
    <s v="Adventure"/>
    <s v="Website"/>
    <x v="5"/>
    <n v="1"/>
    <x v="10"/>
    <n v="0.13075929750140999"/>
    <x v="10"/>
    <x v="13"/>
    <x v="1"/>
  </r>
  <r>
    <d v="2024-11-05T00:00:00"/>
    <x v="2"/>
    <s v="Foodie"/>
    <s v="Website"/>
    <x v="7"/>
    <n v="4"/>
    <x v="10"/>
    <n v="0.13075929750140999"/>
    <x v="10"/>
    <x v="18"/>
    <x v="1"/>
  </r>
  <r>
    <d v="2024-11-06T00:00:00"/>
    <x v="0"/>
    <s v="City Break"/>
    <s v="Website"/>
    <x v="8"/>
    <n v="1"/>
    <x v="10"/>
    <n v="0.13075929750140999"/>
    <x v="10"/>
    <x v="8"/>
    <x v="1"/>
  </r>
  <r>
    <d v="2024-11-06T00:00:00"/>
    <x v="2"/>
    <s v="Adventure"/>
    <s v="Website"/>
    <x v="4"/>
    <n v="2"/>
    <x v="10"/>
    <n v="0.13075929750140999"/>
    <x v="10"/>
    <x v="4"/>
    <x v="1"/>
  </r>
  <r>
    <d v="2024-11-06T00:00:00"/>
    <x v="0"/>
    <s v="Adventure"/>
    <s v="Website"/>
    <x v="7"/>
    <n v="1"/>
    <x v="10"/>
    <n v="0.13075929750140999"/>
    <x v="10"/>
    <x v="0"/>
    <x v="0"/>
  </r>
  <r>
    <d v="2024-11-06T00:00:00"/>
    <x v="2"/>
    <s v="Adventure"/>
    <s v="Website"/>
    <x v="6"/>
    <n v="1"/>
    <x v="10"/>
    <n v="0.13075929750140999"/>
    <x v="10"/>
    <x v="0"/>
    <x v="1"/>
  </r>
  <r>
    <d v="2024-11-06T00:00:00"/>
    <x v="0"/>
    <s v="Cultural"/>
    <s v="Website"/>
    <x v="6"/>
    <n v="3"/>
    <x v="10"/>
    <n v="0.13075929750140999"/>
    <x v="10"/>
    <x v="5"/>
    <x v="0"/>
  </r>
  <r>
    <d v="2024-11-07T00:00:00"/>
    <x v="1"/>
    <s v="Foodie"/>
    <s v="Mobile App"/>
    <x v="4"/>
    <n v="3"/>
    <x v="10"/>
    <n v="0.13075929750140999"/>
    <x v="10"/>
    <x v="3"/>
    <x v="0"/>
  </r>
  <r>
    <d v="2024-11-07T00:00:00"/>
    <x v="1"/>
    <s v="Beach"/>
    <s v="Mobile App"/>
    <x v="2"/>
    <n v="2"/>
    <x v="10"/>
    <n v="0.13075929750140999"/>
    <x v="10"/>
    <x v="15"/>
    <x v="0"/>
  </r>
  <r>
    <d v="2024-11-07T00:00:00"/>
    <x v="3"/>
    <s v="Beach"/>
    <s v="Mobile App"/>
    <x v="6"/>
    <n v="1"/>
    <x v="10"/>
    <n v="0.13075929750140999"/>
    <x v="10"/>
    <x v="1"/>
    <x v="1"/>
  </r>
  <r>
    <d v="2024-11-07T00:00:00"/>
    <x v="0"/>
    <s v="Adventure"/>
    <s v="Website"/>
    <x v="9"/>
    <n v="1"/>
    <x v="10"/>
    <n v="0.13075929750140999"/>
    <x v="10"/>
    <x v="0"/>
    <x v="1"/>
  </r>
  <r>
    <d v="2024-11-07T00:00:00"/>
    <x v="3"/>
    <s v="Adventure"/>
    <s v="Mobile App"/>
    <x v="4"/>
    <n v="2"/>
    <x v="10"/>
    <n v="0.13075929750140999"/>
    <x v="10"/>
    <x v="0"/>
    <x v="1"/>
  </r>
  <r>
    <d v="2024-11-08T00:00:00"/>
    <x v="3"/>
    <s v="Cultural"/>
    <s v="Website"/>
    <x v="0"/>
    <n v="2"/>
    <x v="10"/>
    <n v="0.13075929750140999"/>
    <x v="10"/>
    <x v="0"/>
    <x v="0"/>
  </r>
  <r>
    <d v="2024-11-09T00:00:00"/>
    <x v="0"/>
    <s v="Beach"/>
    <s v="Agent"/>
    <x v="8"/>
    <n v="2"/>
    <x v="10"/>
    <n v="0.13075929750140999"/>
    <x v="10"/>
    <x v="15"/>
    <x v="0"/>
  </r>
  <r>
    <d v="2024-11-09T00:00:00"/>
    <x v="1"/>
    <s v="Family"/>
    <s v="Website"/>
    <x v="0"/>
    <n v="2"/>
    <x v="10"/>
    <n v="0.13075929750140999"/>
    <x v="10"/>
    <x v="18"/>
    <x v="0"/>
  </r>
  <r>
    <d v="2024-11-09T00:00:00"/>
    <x v="3"/>
    <s v="Foodie"/>
    <s v="Website"/>
    <x v="3"/>
    <n v="2"/>
    <x v="10"/>
    <n v="0.13075929750140999"/>
    <x v="10"/>
    <x v="1"/>
    <x v="0"/>
  </r>
  <r>
    <d v="2024-11-09T00:00:00"/>
    <x v="1"/>
    <s v="Beach"/>
    <s v="Mobile App"/>
    <x v="9"/>
    <n v="1"/>
    <x v="10"/>
    <n v="0.13075929750140999"/>
    <x v="10"/>
    <x v="0"/>
    <x v="0"/>
  </r>
  <r>
    <d v="2024-11-09T00:00:00"/>
    <x v="1"/>
    <s v="Cultural"/>
    <s v="Mobile App"/>
    <x v="9"/>
    <n v="1"/>
    <x v="10"/>
    <n v="0.13075929750140999"/>
    <x v="10"/>
    <x v="15"/>
    <x v="1"/>
  </r>
  <r>
    <d v="2024-11-09T00:00:00"/>
    <x v="0"/>
    <s v="Cultural"/>
    <s v="Mobile App"/>
    <x v="2"/>
    <n v="1"/>
    <x v="10"/>
    <n v="0.13075929750140999"/>
    <x v="10"/>
    <x v="4"/>
    <x v="1"/>
  </r>
  <r>
    <d v="2024-11-10T00:00:00"/>
    <x v="1"/>
    <s v="Cultural"/>
    <s v="Mobile App"/>
    <x v="6"/>
    <n v="4"/>
    <x v="10"/>
    <n v="0.13075929750140999"/>
    <x v="10"/>
    <x v="2"/>
    <x v="1"/>
  </r>
  <r>
    <d v="2024-11-10T00:00:00"/>
    <x v="3"/>
    <s v="Adventure"/>
    <s v="Website"/>
    <x v="9"/>
    <n v="1"/>
    <x v="10"/>
    <n v="0.13075929750140999"/>
    <x v="10"/>
    <x v="7"/>
    <x v="0"/>
  </r>
  <r>
    <d v="2024-11-10T00:00:00"/>
    <x v="0"/>
    <s v="City Break"/>
    <s v="Website"/>
    <x v="4"/>
    <n v="2"/>
    <x v="10"/>
    <n v="0.13075929750140999"/>
    <x v="10"/>
    <x v="4"/>
    <x v="1"/>
  </r>
  <r>
    <d v="2024-11-10T00:00:00"/>
    <x v="3"/>
    <s v="Cultural"/>
    <s v="Website"/>
    <x v="7"/>
    <n v="1"/>
    <x v="10"/>
    <n v="0.13075929750140999"/>
    <x v="10"/>
    <x v="15"/>
    <x v="1"/>
  </r>
  <r>
    <d v="2024-11-10T00:00:00"/>
    <x v="0"/>
    <s v="Adventure"/>
    <s v="Website"/>
    <x v="7"/>
    <n v="1"/>
    <x v="10"/>
    <n v="0.13075929750140999"/>
    <x v="10"/>
    <x v="13"/>
    <x v="1"/>
  </r>
  <r>
    <d v="2024-11-10T00:00:00"/>
    <x v="1"/>
    <s v="Cultural"/>
    <s v="Mobile App"/>
    <x v="6"/>
    <n v="3"/>
    <x v="10"/>
    <n v="0.13075929750140999"/>
    <x v="10"/>
    <x v="13"/>
    <x v="1"/>
  </r>
  <r>
    <d v="2024-11-10T00:00:00"/>
    <x v="3"/>
    <s v="Family"/>
    <s v="Website"/>
    <x v="1"/>
    <n v="1"/>
    <x v="10"/>
    <n v="0.13075929750140999"/>
    <x v="10"/>
    <x v="1"/>
    <x v="0"/>
  </r>
  <r>
    <d v="2024-11-10T00:00:00"/>
    <x v="3"/>
    <s v="Family"/>
    <s v="Mobile App"/>
    <x v="0"/>
    <n v="2"/>
    <x v="10"/>
    <n v="0.13075929750140999"/>
    <x v="10"/>
    <x v="10"/>
    <x v="0"/>
  </r>
  <r>
    <d v="2024-11-11T00:00:00"/>
    <x v="2"/>
    <s v="Beach"/>
    <s v="Mobile App"/>
    <x v="2"/>
    <n v="1"/>
    <x v="10"/>
    <n v="0.13075929750140999"/>
    <x v="10"/>
    <x v="1"/>
    <x v="0"/>
  </r>
  <r>
    <d v="2024-11-11T00:00:00"/>
    <x v="3"/>
    <s v="City Break"/>
    <s v="Website"/>
    <x v="1"/>
    <n v="1"/>
    <x v="10"/>
    <n v="0.13075929750140999"/>
    <x v="10"/>
    <x v="4"/>
    <x v="0"/>
  </r>
  <r>
    <d v="2024-11-11T00:00:00"/>
    <x v="3"/>
    <s v="Foodie"/>
    <s v="Mobile App"/>
    <x v="8"/>
    <n v="2"/>
    <x v="10"/>
    <n v="0.13075929750140999"/>
    <x v="10"/>
    <x v="13"/>
    <x v="0"/>
  </r>
  <r>
    <d v="2024-11-11T00:00:00"/>
    <x v="0"/>
    <s v="Adventure"/>
    <s v="Website"/>
    <x v="0"/>
    <n v="1"/>
    <x v="10"/>
    <n v="0.13075929750140999"/>
    <x v="10"/>
    <x v="13"/>
    <x v="0"/>
  </r>
  <r>
    <d v="2024-11-12T00:00:00"/>
    <x v="3"/>
    <s v="Family"/>
    <s v="Website"/>
    <x v="4"/>
    <n v="3"/>
    <x v="10"/>
    <n v="0.13075929750140999"/>
    <x v="10"/>
    <x v="4"/>
    <x v="1"/>
  </r>
  <r>
    <d v="2024-11-12T00:00:00"/>
    <x v="0"/>
    <s v="Beach"/>
    <s v="Agent"/>
    <x v="5"/>
    <n v="1"/>
    <x v="10"/>
    <n v="0.13075929750140999"/>
    <x v="10"/>
    <x v="0"/>
    <x v="0"/>
  </r>
  <r>
    <d v="2024-11-12T00:00:00"/>
    <x v="3"/>
    <s v="Foodie"/>
    <s v="Website"/>
    <x v="5"/>
    <n v="1"/>
    <x v="10"/>
    <n v="0.13075929750140999"/>
    <x v="10"/>
    <x v="14"/>
    <x v="1"/>
  </r>
  <r>
    <d v="2024-11-12T00:00:00"/>
    <x v="3"/>
    <s v="Family"/>
    <s v="Agent"/>
    <x v="1"/>
    <n v="4"/>
    <x v="10"/>
    <n v="0.13075929750140999"/>
    <x v="10"/>
    <x v="2"/>
    <x v="1"/>
  </r>
  <r>
    <d v="2024-11-13T00:00:00"/>
    <x v="3"/>
    <s v="Cultural"/>
    <s v="Mobile App"/>
    <x v="6"/>
    <n v="1"/>
    <x v="10"/>
    <n v="0.13075929750140999"/>
    <x v="10"/>
    <x v="14"/>
    <x v="1"/>
  </r>
  <r>
    <d v="2024-11-13T00:00:00"/>
    <x v="0"/>
    <s v="Foodie"/>
    <s v="Mobile App"/>
    <x v="2"/>
    <n v="1"/>
    <x v="10"/>
    <n v="0.13075929750140999"/>
    <x v="10"/>
    <x v="12"/>
    <x v="1"/>
  </r>
  <r>
    <d v="2024-11-13T00:00:00"/>
    <x v="0"/>
    <s v="City Break"/>
    <s v="Website"/>
    <x v="1"/>
    <n v="3"/>
    <x v="10"/>
    <n v="0.13075929750140999"/>
    <x v="10"/>
    <x v="5"/>
    <x v="1"/>
  </r>
  <r>
    <d v="2024-11-14T00:00:00"/>
    <x v="1"/>
    <s v="Family"/>
    <s v="Website"/>
    <x v="4"/>
    <n v="3"/>
    <x v="10"/>
    <n v="0.13075929750140999"/>
    <x v="10"/>
    <x v="13"/>
    <x v="1"/>
  </r>
  <r>
    <d v="2024-11-14T00:00:00"/>
    <x v="0"/>
    <s v="Family"/>
    <s v="Website"/>
    <x v="0"/>
    <n v="4"/>
    <x v="10"/>
    <n v="0.13075929750140999"/>
    <x v="10"/>
    <x v="5"/>
    <x v="0"/>
  </r>
  <r>
    <d v="2024-11-14T00:00:00"/>
    <x v="3"/>
    <s v="Cultural"/>
    <s v="Website"/>
    <x v="1"/>
    <n v="1"/>
    <x v="10"/>
    <n v="0.13075929750140999"/>
    <x v="10"/>
    <x v="1"/>
    <x v="0"/>
  </r>
  <r>
    <d v="2024-11-14T00:00:00"/>
    <x v="2"/>
    <s v="Adventure"/>
    <s v="Website"/>
    <x v="5"/>
    <n v="2"/>
    <x v="10"/>
    <n v="0.13075929750140999"/>
    <x v="10"/>
    <x v="2"/>
    <x v="1"/>
  </r>
  <r>
    <d v="2024-11-14T00:00:00"/>
    <x v="0"/>
    <s v="Cultural"/>
    <s v="Agent"/>
    <x v="9"/>
    <n v="1"/>
    <x v="10"/>
    <n v="0.13075929750140999"/>
    <x v="10"/>
    <x v="13"/>
    <x v="0"/>
  </r>
  <r>
    <d v="2024-11-15T00:00:00"/>
    <x v="1"/>
    <s v="Foodie"/>
    <s v="Mobile App"/>
    <x v="7"/>
    <n v="2"/>
    <x v="10"/>
    <n v="0.13075929750140999"/>
    <x v="10"/>
    <x v="0"/>
    <x v="0"/>
  </r>
  <r>
    <d v="2024-11-15T00:00:00"/>
    <x v="2"/>
    <s v="Family"/>
    <s v="Website"/>
    <x v="2"/>
    <n v="2"/>
    <x v="10"/>
    <n v="0.13075929750140999"/>
    <x v="10"/>
    <x v="2"/>
    <x v="0"/>
  </r>
  <r>
    <d v="2024-11-15T00:00:00"/>
    <x v="1"/>
    <s v="Beach"/>
    <s v="Website"/>
    <x v="0"/>
    <n v="1"/>
    <x v="10"/>
    <n v="0.13075929750140999"/>
    <x v="10"/>
    <x v="0"/>
    <x v="1"/>
  </r>
  <r>
    <d v="2024-11-15T00:00:00"/>
    <x v="1"/>
    <s v="Beach"/>
    <s v="Website"/>
    <x v="2"/>
    <n v="4"/>
    <x v="10"/>
    <n v="0.13075929750140999"/>
    <x v="10"/>
    <x v="2"/>
    <x v="1"/>
  </r>
  <r>
    <d v="2024-11-15T00:00:00"/>
    <x v="1"/>
    <s v="City Break"/>
    <s v="Agent"/>
    <x v="7"/>
    <n v="1"/>
    <x v="10"/>
    <n v="0.13075929750140999"/>
    <x v="10"/>
    <x v="15"/>
    <x v="1"/>
  </r>
  <r>
    <d v="2024-11-15T00:00:00"/>
    <x v="3"/>
    <s v="Family"/>
    <s v="Mobile App"/>
    <x v="2"/>
    <n v="4"/>
    <x v="10"/>
    <n v="0.13075929750140999"/>
    <x v="10"/>
    <x v="17"/>
    <x v="0"/>
  </r>
  <r>
    <d v="2024-11-16T00:00:00"/>
    <x v="3"/>
    <s v="Beach"/>
    <s v="Website"/>
    <x v="7"/>
    <n v="3"/>
    <x v="10"/>
    <n v="0.13075929750140999"/>
    <x v="10"/>
    <x v="18"/>
    <x v="0"/>
  </r>
  <r>
    <d v="2024-11-16T00:00:00"/>
    <x v="1"/>
    <s v="Beach"/>
    <s v="Website"/>
    <x v="0"/>
    <n v="1"/>
    <x v="10"/>
    <n v="0.13075929750140999"/>
    <x v="10"/>
    <x v="0"/>
    <x v="0"/>
  </r>
  <r>
    <d v="2024-11-16T00:00:00"/>
    <x v="1"/>
    <s v="Cultural"/>
    <s v="Website"/>
    <x v="2"/>
    <n v="2"/>
    <x v="10"/>
    <n v="0.13075929750140999"/>
    <x v="10"/>
    <x v="15"/>
    <x v="1"/>
  </r>
  <r>
    <d v="2024-11-16T00:00:00"/>
    <x v="1"/>
    <s v="Adventure"/>
    <s v="Website"/>
    <x v="7"/>
    <n v="2"/>
    <x v="10"/>
    <n v="0.13075929750140999"/>
    <x v="10"/>
    <x v="16"/>
    <x v="1"/>
  </r>
  <r>
    <d v="2024-11-17T00:00:00"/>
    <x v="1"/>
    <s v="Beach"/>
    <s v="Agent"/>
    <x v="2"/>
    <n v="4"/>
    <x v="10"/>
    <n v="0.13075929750140999"/>
    <x v="10"/>
    <x v="14"/>
    <x v="1"/>
  </r>
  <r>
    <d v="2024-11-17T00:00:00"/>
    <x v="3"/>
    <s v="Foodie"/>
    <s v="Mobile App"/>
    <x v="0"/>
    <n v="1"/>
    <x v="10"/>
    <n v="0.13075929750140999"/>
    <x v="10"/>
    <x v="14"/>
    <x v="1"/>
  </r>
  <r>
    <d v="2024-11-17T00:00:00"/>
    <x v="2"/>
    <s v="Beach"/>
    <s v="Website"/>
    <x v="4"/>
    <n v="3"/>
    <x v="10"/>
    <n v="0.13075929750140999"/>
    <x v="10"/>
    <x v="12"/>
    <x v="1"/>
  </r>
  <r>
    <d v="2024-11-17T00:00:00"/>
    <x v="1"/>
    <s v="Foodie"/>
    <s v="Website"/>
    <x v="2"/>
    <n v="3"/>
    <x v="10"/>
    <n v="0.13075929750140999"/>
    <x v="10"/>
    <x v="6"/>
    <x v="0"/>
  </r>
  <r>
    <d v="2024-11-17T00:00:00"/>
    <x v="3"/>
    <s v="Beach"/>
    <s v="Mobile App"/>
    <x v="6"/>
    <n v="1"/>
    <x v="10"/>
    <n v="0.13075929750140999"/>
    <x v="10"/>
    <x v="1"/>
    <x v="0"/>
  </r>
  <r>
    <d v="2024-11-17T00:00:00"/>
    <x v="2"/>
    <s v="Cultural"/>
    <s v="Website"/>
    <x v="9"/>
    <n v="1"/>
    <x v="10"/>
    <n v="0.13075929750140999"/>
    <x v="10"/>
    <x v="5"/>
    <x v="1"/>
  </r>
  <r>
    <d v="2024-11-18T00:00:00"/>
    <x v="1"/>
    <s v="Cultural"/>
    <s v="Website"/>
    <x v="9"/>
    <n v="1"/>
    <x v="10"/>
    <n v="0.13075929750140999"/>
    <x v="10"/>
    <x v="12"/>
    <x v="1"/>
  </r>
  <r>
    <d v="2024-11-18T00:00:00"/>
    <x v="1"/>
    <s v="City Break"/>
    <s v="Agent"/>
    <x v="3"/>
    <n v="3"/>
    <x v="10"/>
    <n v="0.13075929750140999"/>
    <x v="10"/>
    <x v="17"/>
    <x v="0"/>
  </r>
  <r>
    <d v="2024-11-18T00:00:00"/>
    <x v="1"/>
    <s v="Adventure"/>
    <s v="Agent"/>
    <x v="8"/>
    <n v="1"/>
    <x v="10"/>
    <n v="0.13075929750140999"/>
    <x v="10"/>
    <x v="13"/>
    <x v="0"/>
  </r>
  <r>
    <d v="2024-11-19T00:00:00"/>
    <x v="2"/>
    <s v="Cultural"/>
    <s v="Website"/>
    <x v="7"/>
    <n v="1"/>
    <x v="10"/>
    <n v="0.13075929750140999"/>
    <x v="10"/>
    <x v="9"/>
    <x v="1"/>
  </r>
  <r>
    <d v="2024-11-19T00:00:00"/>
    <x v="1"/>
    <s v="Foodie"/>
    <s v="Website"/>
    <x v="7"/>
    <n v="1"/>
    <x v="10"/>
    <n v="0.13075929750140999"/>
    <x v="10"/>
    <x v="6"/>
    <x v="1"/>
  </r>
  <r>
    <d v="2024-11-19T00:00:00"/>
    <x v="0"/>
    <s v="City Break"/>
    <s v="Agent"/>
    <x v="7"/>
    <n v="4"/>
    <x v="10"/>
    <n v="0.13075929750140999"/>
    <x v="10"/>
    <x v="2"/>
    <x v="0"/>
  </r>
  <r>
    <d v="2024-11-19T00:00:00"/>
    <x v="0"/>
    <s v="Adventure"/>
    <s v="Website"/>
    <x v="5"/>
    <n v="2"/>
    <x v="10"/>
    <n v="0.13075929750140999"/>
    <x v="10"/>
    <x v="13"/>
    <x v="1"/>
  </r>
  <r>
    <d v="2024-11-20T00:00:00"/>
    <x v="2"/>
    <s v="Foodie"/>
    <s v="Website"/>
    <x v="0"/>
    <n v="2"/>
    <x v="10"/>
    <n v="0.13075929750140999"/>
    <x v="10"/>
    <x v="2"/>
    <x v="0"/>
  </r>
  <r>
    <d v="2024-11-20T00:00:00"/>
    <x v="0"/>
    <s v="Foodie"/>
    <s v="Mobile App"/>
    <x v="0"/>
    <n v="1"/>
    <x v="10"/>
    <n v="0.13075929750140999"/>
    <x v="10"/>
    <x v="1"/>
    <x v="1"/>
  </r>
  <r>
    <d v="2024-11-20T00:00:00"/>
    <x v="3"/>
    <s v="Adventure"/>
    <s v="Website"/>
    <x v="4"/>
    <n v="1"/>
    <x v="10"/>
    <n v="0.13075929750140999"/>
    <x v="10"/>
    <x v="7"/>
    <x v="1"/>
  </r>
  <r>
    <d v="2024-11-20T00:00:00"/>
    <x v="0"/>
    <s v="Beach"/>
    <s v="Agent"/>
    <x v="8"/>
    <n v="1"/>
    <x v="10"/>
    <n v="0.13075929750140999"/>
    <x v="10"/>
    <x v="13"/>
    <x v="1"/>
  </r>
  <r>
    <d v="2024-11-22T00:00:00"/>
    <x v="1"/>
    <s v="City Break"/>
    <s v="Website"/>
    <x v="8"/>
    <n v="2"/>
    <x v="10"/>
    <n v="0.13075929750140999"/>
    <x v="10"/>
    <x v="8"/>
    <x v="0"/>
  </r>
  <r>
    <d v="2024-11-22T00:00:00"/>
    <x v="2"/>
    <s v="Cultural"/>
    <s v="Mobile App"/>
    <x v="0"/>
    <n v="3"/>
    <x v="10"/>
    <n v="0.13075929750140999"/>
    <x v="10"/>
    <x v="9"/>
    <x v="0"/>
  </r>
  <r>
    <d v="2024-11-22T00:00:00"/>
    <x v="2"/>
    <s v="Adventure"/>
    <s v="Website"/>
    <x v="0"/>
    <n v="5"/>
    <x v="10"/>
    <n v="0.13075929750140999"/>
    <x v="10"/>
    <x v="9"/>
    <x v="1"/>
  </r>
  <r>
    <d v="2024-11-23T00:00:00"/>
    <x v="2"/>
    <s v="Cultural"/>
    <s v="Website"/>
    <x v="5"/>
    <n v="2"/>
    <x v="10"/>
    <n v="0.13075929750140999"/>
    <x v="10"/>
    <x v="12"/>
    <x v="1"/>
  </r>
  <r>
    <d v="2024-11-23T00:00:00"/>
    <x v="1"/>
    <s v="Beach"/>
    <s v="Website"/>
    <x v="0"/>
    <n v="1"/>
    <x v="10"/>
    <n v="0.13075929750140999"/>
    <x v="10"/>
    <x v="12"/>
    <x v="1"/>
  </r>
  <r>
    <d v="2024-11-23T00:00:00"/>
    <x v="1"/>
    <s v="Beach"/>
    <s v="Agent"/>
    <x v="2"/>
    <n v="1"/>
    <x v="10"/>
    <n v="0.13075929750140999"/>
    <x v="10"/>
    <x v="4"/>
    <x v="1"/>
  </r>
  <r>
    <d v="2024-11-23T00:00:00"/>
    <x v="1"/>
    <s v="Adventure"/>
    <s v="Website"/>
    <x v="5"/>
    <n v="1"/>
    <x v="10"/>
    <n v="0.13075929750140999"/>
    <x v="10"/>
    <x v="4"/>
    <x v="1"/>
  </r>
  <r>
    <d v="2024-11-24T00:00:00"/>
    <x v="2"/>
    <s v="City Break"/>
    <s v="Website"/>
    <x v="3"/>
    <n v="1"/>
    <x v="10"/>
    <n v="0.13075929750140999"/>
    <x v="10"/>
    <x v="5"/>
    <x v="1"/>
  </r>
  <r>
    <d v="2024-11-24T00:00:00"/>
    <x v="2"/>
    <s v="Beach"/>
    <s v="Website"/>
    <x v="9"/>
    <n v="1"/>
    <x v="10"/>
    <n v="0.13075929750140999"/>
    <x v="10"/>
    <x v="4"/>
    <x v="1"/>
  </r>
  <r>
    <d v="2024-11-24T00:00:00"/>
    <x v="3"/>
    <s v="Cultural"/>
    <s v="Mobile App"/>
    <x v="4"/>
    <n v="2"/>
    <x v="10"/>
    <n v="0.13075929750140999"/>
    <x v="10"/>
    <x v="0"/>
    <x v="1"/>
  </r>
  <r>
    <d v="2024-11-24T00:00:00"/>
    <x v="1"/>
    <s v="Adventure"/>
    <s v="Agent"/>
    <x v="4"/>
    <n v="2"/>
    <x v="10"/>
    <n v="0.13075929750140999"/>
    <x v="10"/>
    <x v="2"/>
    <x v="1"/>
  </r>
  <r>
    <d v="2024-11-25T00:00:00"/>
    <x v="3"/>
    <s v="Family"/>
    <s v="Website"/>
    <x v="3"/>
    <n v="2"/>
    <x v="10"/>
    <n v="0.13075929750140999"/>
    <x v="10"/>
    <x v="8"/>
    <x v="0"/>
  </r>
  <r>
    <d v="2024-11-25T00:00:00"/>
    <x v="3"/>
    <s v="Foodie"/>
    <s v="Website"/>
    <x v="5"/>
    <n v="1"/>
    <x v="10"/>
    <n v="0.13075929750140999"/>
    <x v="10"/>
    <x v="4"/>
    <x v="1"/>
  </r>
  <r>
    <d v="2024-11-25T00:00:00"/>
    <x v="0"/>
    <s v="Adventure"/>
    <s v="Agent"/>
    <x v="5"/>
    <n v="1"/>
    <x v="10"/>
    <n v="0.13075929750140999"/>
    <x v="10"/>
    <x v="12"/>
    <x v="0"/>
  </r>
  <r>
    <d v="2024-11-26T00:00:00"/>
    <x v="2"/>
    <s v="City Break"/>
    <s v="Mobile App"/>
    <x v="2"/>
    <n v="1"/>
    <x v="10"/>
    <n v="0.13075929750140999"/>
    <x v="10"/>
    <x v="14"/>
    <x v="0"/>
  </r>
  <r>
    <d v="2024-11-26T00:00:00"/>
    <x v="2"/>
    <s v="City Break"/>
    <s v="Agent"/>
    <x v="2"/>
    <n v="2"/>
    <x v="10"/>
    <n v="0.13075929750140999"/>
    <x v="10"/>
    <x v="2"/>
    <x v="1"/>
  </r>
  <r>
    <d v="2024-11-26T00:00:00"/>
    <x v="2"/>
    <s v="Beach"/>
    <s v="Mobile App"/>
    <x v="0"/>
    <n v="1"/>
    <x v="10"/>
    <n v="0.13075929750140999"/>
    <x v="10"/>
    <x v="8"/>
    <x v="0"/>
  </r>
  <r>
    <d v="2024-11-27T00:00:00"/>
    <x v="0"/>
    <s v="Beach"/>
    <s v="Website"/>
    <x v="2"/>
    <n v="1"/>
    <x v="10"/>
    <n v="0.13075929750140999"/>
    <x v="10"/>
    <x v="14"/>
    <x v="1"/>
  </r>
  <r>
    <d v="2024-11-28T00:00:00"/>
    <x v="0"/>
    <s v="Adventure"/>
    <s v="Mobile App"/>
    <x v="3"/>
    <n v="1"/>
    <x v="10"/>
    <n v="0.13075929750140999"/>
    <x v="10"/>
    <x v="1"/>
    <x v="1"/>
  </r>
  <r>
    <d v="2024-11-28T00:00:00"/>
    <x v="3"/>
    <s v="City Break"/>
    <s v="Website"/>
    <x v="4"/>
    <n v="4"/>
    <x v="10"/>
    <n v="0.13075929750140999"/>
    <x v="10"/>
    <x v="6"/>
    <x v="1"/>
  </r>
  <r>
    <d v="2024-11-28T00:00:00"/>
    <x v="3"/>
    <s v="Family"/>
    <s v="Website"/>
    <x v="2"/>
    <n v="3"/>
    <x v="10"/>
    <n v="0.13075929750140999"/>
    <x v="10"/>
    <x v="1"/>
    <x v="1"/>
  </r>
  <r>
    <d v="2024-11-28T00:00:00"/>
    <x v="1"/>
    <s v="Beach"/>
    <s v="Website"/>
    <x v="3"/>
    <n v="4"/>
    <x v="10"/>
    <n v="0.13075929750140999"/>
    <x v="10"/>
    <x v="4"/>
    <x v="1"/>
  </r>
  <r>
    <d v="2024-11-28T00:00:00"/>
    <x v="1"/>
    <s v="Foodie"/>
    <s v="Call Center"/>
    <x v="8"/>
    <n v="1"/>
    <x v="10"/>
    <n v="0.13075929750140999"/>
    <x v="10"/>
    <x v="5"/>
    <x v="1"/>
  </r>
  <r>
    <d v="2024-11-28T00:00:00"/>
    <x v="0"/>
    <s v="Foodie"/>
    <s v="Website"/>
    <x v="5"/>
    <n v="1"/>
    <x v="10"/>
    <n v="0.13075929750140999"/>
    <x v="10"/>
    <x v="8"/>
    <x v="1"/>
  </r>
  <r>
    <d v="2024-11-28T00:00:00"/>
    <x v="0"/>
    <s v="Adventure"/>
    <s v="Mobile App"/>
    <x v="0"/>
    <n v="1"/>
    <x v="10"/>
    <n v="0.13075929750140999"/>
    <x v="10"/>
    <x v="6"/>
    <x v="0"/>
  </r>
  <r>
    <d v="2024-11-29T00:00:00"/>
    <x v="3"/>
    <s v="Adventure"/>
    <s v="Website"/>
    <x v="4"/>
    <n v="2"/>
    <x v="10"/>
    <n v="0.13075929750140999"/>
    <x v="10"/>
    <x v="0"/>
    <x v="1"/>
  </r>
  <r>
    <d v="2024-11-29T00:00:00"/>
    <x v="1"/>
    <s v="Beach"/>
    <s v="Website"/>
    <x v="3"/>
    <n v="1"/>
    <x v="10"/>
    <n v="0.13075929750140999"/>
    <x v="10"/>
    <x v="12"/>
    <x v="0"/>
  </r>
  <r>
    <d v="2024-11-29T00:00:00"/>
    <x v="3"/>
    <s v="Cultural"/>
    <s v="Website"/>
    <x v="0"/>
    <n v="2"/>
    <x v="10"/>
    <n v="0.13075929750140999"/>
    <x v="10"/>
    <x v="1"/>
    <x v="1"/>
  </r>
  <r>
    <d v="2024-11-29T00:00:00"/>
    <x v="2"/>
    <s v="Cultural"/>
    <s v="Website"/>
    <x v="0"/>
    <n v="1"/>
    <x v="10"/>
    <n v="0.13075929750140999"/>
    <x v="10"/>
    <x v="3"/>
    <x v="0"/>
  </r>
  <r>
    <d v="2024-11-29T00:00:00"/>
    <x v="2"/>
    <s v="Adventure"/>
    <s v="Website"/>
    <x v="0"/>
    <n v="4"/>
    <x v="10"/>
    <n v="0.13075929750140999"/>
    <x v="10"/>
    <x v="15"/>
    <x v="1"/>
  </r>
  <r>
    <d v="2024-11-30T00:00:00"/>
    <x v="0"/>
    <s v="Beach"/>
    <s v="Mobile App"/>
    <x v="4"/>
    <n v="1"/>
    <x v="10"/>
    <n v="0.13075929750140999"/>
    <x v="10"/>
    <x v="7"/>
    <x v="0"/>
  </r>
  <r>
    <d v="2024-11-30T00:00:00"/>
    <x v="0"/>
    <s v="Adventure"/>
    <s v="Website"/>
    <x v="6"/>
    <n v="1"/>
    <x v="10"/>
    <n v="0.13075929750140999"/>
    <x v="10"/>
    <x v="12"/>
    <x v="1"/>
  </r>
  <r>
    <d v="2024-11-30T00:00:00"/>
    <x v="3"/>
    <s v="Adventure"/>
    <s v="Agent"/>
    <x v="2"/>
    <n v="2"/>
    <x v="10"/>
    <n v="0.13075929750140999"/>
    <x v="10"/>
    <x v="0"/>
    <x v="1"/>
  </r>
  <r>
    <d v="2024-11-30T00:00:00"/>
    <x v="3"/>
    <s v="Cultural"/>
    <s v="Agent"/>
    <x v="3"/>
    <n v="2"/>
    <x v="10"/>
    <n v="0.13075929750140999"/>
    <x v="10"/>
    <x v="6"/>
    <x v="1"/>
  </r>
  <r>
    <d v="2024-11-30T00:00:00"/>
    <x v="2"/>
    <s v="Cultural"/>
    <s v="Website"/>
    <x v="5"/>
    <n v="1"/>
    <x v="10"/>
    <n v="0.13075929750140999"/>
    <x v="10"/>
    <x v="13"/>
    <x v="1"/>
  </r>
  <r>
    <d v="2024-12-01T00:00:00"/>
    <x v="3"/>
    <s v="Cultural"/>
    <s v="Website"/>
    <x v="3"/>
    <n v="2"/>
    <x v="10"/>
    <n v="0.13075929750140999"/>
    <x v="10"/>
    <x v="24"/>
    <x v="1"/>
  </r>
  <r>
    <d v="2024-12-01T00:00:00"/>
    <x v="0"/>
    <s v="Family"/>
    <s v="Agent"/>
    <x v="8"/>
    <n v="4"/>
    <x v="10"/>
    <n v="0.13075929750140999"/>
    <x v="10"/>
    <x v="0"/>
    <x v="1"/>
  </r>
  <r>
    <d v="2024-12-01T00:00:00"/>
    <x v="2"/>
    <s v="Beach"/>
    <s v="Website"/>
    <x v="5"/>
    <n v="1"/>
    <x v="10"/>
    <n v="0.13075929750140999"/>
    <x v="10"/>
    <x v="4"/>
    <x v="1"/>
  </r>
  <r>
    <d v="2024-12-01T00:00:00"/>
    <x v="1"/>
    <s v="Cultural"/>
    <s v="Mobile App"/>
    <x v="3"/>
    <n v="2"/>
    <x v="10"/>
    <n v="0.13075929750140999"/>
    <x v="10"/>
    <x v="7"/>
    <x v="1"/>
  </r>
  <r>
    <d v="2024-12-01T00:00:00"/>
    <x v="0"/>
    <s v="Cultural"/>
    <s v="Mobile App"/>
    <x v="5"/>
    <n v="3"/>
    <x v="10"/>
    <n v="0.13075929750140999"/>
    <x v="10"/>
    <x v="1"/>
    <x v="1"/>
  </r>
  <r>
    <d v="2024-12-01T00:00:00"/>
    <x v="1"/>
    <s v="City Break"/>
    <s v="Website"/>
    <x v="6"/>
    <n v="2"/>
    <x v="10"/>
    <n v="0.13075929750140999"/>
    <x v="10"/>
    <x v="9"/>
    <x v="0"/>
  </r>
  <r>
    <d v="2024-12-01T00:00:00"/>
    <x v="0"/>
    <s v="Adventure"/>
    <s v="Website"/>
    <x v="5"/>
    <n v="1"/>
    <x v="10"/>
    <n v="0.13075929750140999"/>
    <x v="10"/>
    <x v="2"/>
    <x v="1"/>
  </r>
  <r>
    <d v="2024-12-02T00:00:00"/>
    <x v="1"/>
    <s v="Cultural"/>
    <s v="Website"/>
    <x v="5"/>
    <n v="1"/>
    <x v="10"/>
    <n v="0.13075929750140999"/>
    <x v="10"/>
    <x v="3"/>
    <x v="0"/>
  </r>
  <r>
    <d v="2024-12-02T00:00:00"/>
    <x v="3"/>
    <s v="Cultural"/>
    <s v="Website"/>
    <x v="3"/>
    <n v="1"/>
    <x v="10"/>
    <n v="0.13075929750140999"/>
    <x v="10"/>
    <x v="18"/>
    <x v="1"/>
  </r>
  <r>
    <d v="2024-12-02T00:00:00"/>
    <x v="0"/>
    <s v="Beach"/>
    <s v="Mobile App"/>
    <x v="0"/>
    <n v="1"/>
    <x v="10"/>
    <n v="0.13075929750140999"/>
    <x v="10"/>
    <x v="2"/>
    <x v="1"/>
  </r>
  <r>
    <d v="2024-12-02T00:00:00"/>
    <x v="1"/>
    <s v="Cultural"/>
    <s v="Agent"/>
    <x v="5"/>
    <n v="1"/>
    <x v="10"/>
    <n v="0.13075929750140999"/>
    <x v="10"/>
    <x v="16"/>
    <x v="1"/>
  </r>
  <r>
    <d v="2024-12-02T00:00:00"/>
    <x v="1"/>
    <s v="Beach"/>
    <s v="Website"/>
    <x v="5"/>
    <n v="2"/>
    <x v="10"/>
    <n v="0.13075929750140999"/>
    <x v="10"/>
    <x v="6"/>
    <x v="0"/>
  </r>
  <r>
    <d v="2024-12-03T00:00:00"/>
    <x v="3"/>
    <s v="City Break"/>
    <s v="Website"/>
    <x v="1"/>
    <n v="2"/>
    <x v="10"/>
    <n v="0.13075929750140999"/>
    <x v="10"/>
    <x v="0"/>
    <x v="1"/>
  </r>
  <r>
    <d v="2024-12-03T00:00:00"/>
    <x v="1"/>
    <s v="Beach"/>
    <s v="Agent"/>
    <x v="5"/>
    <n v="2"/>
    <x v="10"/>
    <n v="0.13075929750140999"/>
    <x v="10"/>
    <x v="12"/>
    <x v="0"/>
  </r>
  <r>
    <d v="2024-12-03T00:00:00"/>
    <x v="0"/>
    <s v="Beach"/>
    <s v="Agent"/>
    <x v="1"/>
    <n v="2"/>
    <x v="10"/>
    <n v="0.13075929750140999"/>
    <x v="10"/>
    <x v="1"/>
    <x v="1"/>
  </r>
  <r>
    <d v="2024-12-03T00:00:00"/>
    <x v="1"/>
    <s v="Family"/>
    <s v="Mobile App"/>
    <x v="1"/>
    <n v="1"/>
    <x v="10"/>
    <n v="0.13075929750140999"/>
    <x v="10"/>
    <x v="14"/>
    <x v="0"/>
  </r>
  <r>
    <d v="2024-12-04T00:00:00"/>
    <x v="1"/>
    <s v="Adventure"/>
    <s v="Website"/>
    <x v="0"/>
    <n v="1"/>
    <x v="10"/>
    <n v="0.13075929750140999"/>
    <x v="10"/>
    <x v="12"/>
    <x v="1"/>
  </r>
  <r>
    <d v="2024-12-04T00:00:00"/>
    <x v="0"/>
    <s v="Cultural"/>
    <s v="Website"/>
    <x v="6"/>
    <n v="1"/>
    <x v="10"/>
    <n v="0.13075929750140999"/>
    <x v="10"/>
    <x v="12"/>
    <x v="0"/>
  </r>
  <r>
    <d v="2024-12-05T00:00:00"/>
    <x v="0"/>
    <s v="Cultural"/>
    <s v="Website"/>
    <x v="4"/>
    <n v="2"/>
    <x v="10"/>
    <n v="0.13075929750140999"/>
    <x v="10"/>
    <x v="13"/>
    <x v="1"/>
  </r>
  <r>
    <d v="2024-12-05T00:00:00"/>
    <x v="3"/>
    <s v="Foodie"/>
    <s v="Agent"/>
    <x v="3"/>
    <n v="3"/>
    <x v="10"/>
    <n v="0.13075929750140999"/>
    <x v="10"/>
    <x v="12"/>
    <x v="1"/>
  </r>
  <r>
    <d v="2024-12-06T00:00:00"/>
    <x v="1"/>
    <s v="Beach"/>
    <s v="Mobile App"/>
    <x v="0"/>
    <n v="1"/>
    <x v="10"/>
    <n v="0.13075929750140999"/>
    <x v="10"/>
    <x v="16"/>
    <x v="0"/>
  </r>
  <r>
    <d v="2024-12-06T00:00:00"/>
    <x v="2"/>
    <s v="Cultural"/>
    <s v="Mobile App"/>
    <x v="8"/>
    <n v="1"/>
    <x v="10"/>
    <n v="0.13075929750140999"/>
    <x v="10"/>
    <x v="2"/>
    <x v="1"/>
  </r>
  <r>
    <d v="2024-12-06T00:00:00"/>
    <x v="3"/>
    <s v="Family"/>
    <s v="Mobile App"/>
    <x v="0"/>
    <n v="2"/>
    <x v="10"/>
    <n v="0.13075929750140999"/>
    <x v="10"/>
    <x v="6"/>
    <x v="0"/>
  </r>
  <r>
    <d v="2024-12-06T00:00:00"/>
    <x v="3"/>
    <s v="City Break"/>
    <s v="Mobile App"/>
    <x v="6"/>
    <n v="1"/>
    <x v="10"/>
    <n v="0.13075929750140999"/>
    <x v="10"/>
    <x v="4"/>
    <x v="1"/>
  </r>
  <r>
    <d v="2024-12-06T00:00:00"/>
    <x v="2"/>
    <s v="Family"/>
    <s v="Mobile App"/>
    <x v="7"/>
    <n v="1"/>
    <x v="10"/>
    <n v="0.13075929750140999"/>
    <x v="10"/>
    <x v="2"/>
    <x v="0"/>
  </r>
  <r>
    <d v="2024-12-07T00:00:00"/>
    <x v="2"/>
    <s v="Adventure"/>
    <s v="Agent"/>
    <x v="2"/>
    <n v="1"/>
    <x v="10"/>
    <n v="0.13075929750140999"/>
    <x v="10"/>
    <x v="14"/>
    <x v="1"/>
  </r>
  <r>
    <d v="2024-12-08T00:00:00"/>
    <x v="1"/>
    <s v="Beach"/>
    <s v="Mobile App"/>
    <x v="4"/>
    <n v="3"/>
    <x v="10"/>
    <n v="0.13075929750140999"/>
    <x v="10"/>
    <x v="6"/>
    <x v="1"/>
  </r>
  <r>
    <d v="2024-12-08T00:00:00"/>
    <x v="2"/>
    <s v="Cultural"/>
    <s v="Website"/>
    <x v="2"/>
    <n v="5"/>
    <x v="10"/>
    <n v="0.13075929750140999"/>
    <x v="10"/>
    <x v="0"/>
    <x v="1"/>
  </r>
  <r>
    <d v="2024-12-08T00:00:00"/>
    <x v="3"/>
    <s v="Family"/>
    <s v="Agent"/>
    <x v="5"/>
    <n v="5"/>
    <x v="10"/>
    <n v="0.13075929750140999"/>
    <x v="10"/>
    <x v="0"/>
    <x v="1"/>
  </r>
  <r>
    <d v="2024-12-08T00:00:00"/>
    <x v="1"/>
    <s v="Adventure"/>
    <s v="Agent"/>
    <x v="4"/>
    <n v="1"/>
    <x v="10"/>
    <n v="0.13075929750140999"/>
    <x v="10"/>
    <x v="6"/>
    <x v="0"/>
  </r>
  <r>
    <d v="2024-12-08T00:00:00"/>
    <x v="1"/>
    <s v="Cultural"/>
    <s v="Mobile App"/>
    <x v="2"/>
    <n v="3"/>
    <x v="10"/>
    <n v="0.13075929750140999"/>
    <x v="10"/>
    <x v="14"/>
    <x v="1"/>
  </r>
  <r>
    <d v="2024-12-09T00:00:00"/>
    <x v="3"/>
    <s v="Beach"/>
    <s v="Website"/>
    <x v="3"/>
    <n v="2"/>
    <x v="10"/>
    <n v="0.13075929750140999"/>
    <x v="10"/>
    <x v="15"/>
    <x v="1"/>
  </r>
  <r>
    <d v="2024-12-09T00:00:00"/>
    <x v="1"/>
    <s v="Beach"/>
    <s v="Website"/>
    <x v="7"/>
    <n v="1"/>
    <x v="10"/>
    <n v="0.13075929750140999"/>
    <x v="10"/>
    <x v="14"/>
    <x v="1"/>
  </r>
  <r>
    <d v="2024-12-09T00:00:00"/>
    <x v="3"/>
    <s v="Beach"/>
    <s v="Website"/>
    <x v="2"/>
    <n v="1"/>
    <x v="10"/>
    <n v="0.13075929750140999"/>
    <x v="10"/>
    <x v="9"/>
    <x v="1"/>
  </r>
  <r>
    <d v="2024-12-09T00:00:00"/>
    <x v="1"/>
    <s v="City Break"/>
    <s v="Website"/>
    <x v="4"/>
    <n v="2"/>
    <x v="10"/>
    <n v="0.13075929750140999"/>
    <x v="10"/>
    <x v="1"/>
    <x v="1"/>
  </r>
  <r>
    <d v="2024-12-09T00:00:00"/>
    <x v="0"/>
    <s v="Cultural"/>
    <s v="Agent"/>
    <x v="3"/>
    <n v="2"/>
    <x v="10"/>
    <n v="0.13075929750140999"/>
    <x v="10"/>
    <x v="13"/>
    <x v="1"/>
  </r>
  <r>
    <d v="2024-12-09T00:00:00"/>
    <x v="0"/>
    <s v="Family"/>
    <s v="Website"/>
    <x v="6"/>
    <n v="3"/>
    <x v="10"/>
    <n v="0.13075929750140999"/>
    <x v="10"/>
    <x v="20"/>
    <x v="0"/>
  </r>
  <r>
    <d v="2024-12-09T00:00:00"/>
    <x v="0"/>
    <s v="Cultural"/>
    <s v="Mobile App"/>
    <x v="6"/>
    <n v="1"/>
    <x v="10"/>
    <n v="0.13075929750140999"/>
    <x v="10"/>
    <x v="5"/>
    <x v="1"/>
  </r>
  <r>
    <d v="2024-12-10T00:00:00"/>
    <x v="1"/>
    <s v="Beach"/>
    <s v="Website"/>
    <x v="8"/>
    <n v="1"/>
    <x v="10"/>
    <n v="0.13075929750140999"/>
    <x v="10"/>
    <x v="13"/>
    <x v="1"/>
  </r>
  <r>
    <d v="2024-12-10T00:00:00"/>
    <x v="1"/>
    <s v="Family"/>
    <s v="Agent"/>
    <x v="2"/>
    <n v="4"/>
    <x v="10"/>
    <n v="0.13075929750140999"/>
    <x v="10"/>
    <x v="1"/>
    <x v="1"/>
  </r>
  <r>
    <d v="2024-12-11T00:00:00"/>
    <x v="2"/>
    <s v="Adventure"/>
    <s v="Mobile App"/>
    <x v="8"/>
    <n v="3"/>
    <x v="10"/>
    <n v="0.13075929750140999"/>
    <x v="10"/>
    <x v="0"/>
    <x v="0"/>
  </r>
  <r>
    <d v="2024-12-11T00:00:00"/>
    <x v="0"/>
    <s v="Foodie"/>
    <s v="Website"/>
    <x v="3"/>
    <n v="1"/>
    <x v="10"/>
    <n v="0.13075929750140999"/>
    <x v="10"/>
    <x v="2"/>
    <x v="1"/>
  </r>
  <r>
    <d v="2024-12-11T00:00:00"/>
    <x v="3"/>
    <s v="Adventure"/>
    <s v="Website"/>
    <x v="4"/>
    <n v="2"/>
    <x v="10"/>
    <n v="0.13075929750140999"/>
    <x v="10"/>
    <x v="9"/>
    <x v="1"/>
  </r>
  <r>
    <d v="2024-12-12T00:00:00"/>
    <x v="3"/>
    <s v="Beach"/>
    <s v="Website"/>
    <x v="5"/>
    <n v="3"/>
    <x v="10"/>
    <n v="0.13075929750140999"/>
    <x v="10"/>
    <x v="4"/>
    <x v="1"/>
  </r>
  <r>
    <d v="2024-12-12T00:00:00"/>
    <x v="0"/>
    <s v="Adventure"/>
    <s v="Call Center"/>
    <x v="9"/>
    <n v="2"/>
    <x v="10"/>
    <n v="0.13075929750140999"/>
    <x v="10"/>
    <x v="12"/>
    <x v="0"/>
  </r>
  <r>
    <d v="2024-12-12T00:00:00"/>
    <x v="0"/>
    <s v="Cultural"/>
    <s v="Agent"/>
    <x v="3"/>
    <n v="1"/>
    <x v="10"/>
    <n v="0.13075929750140999"/>
    <x v="10"/>
    <x v="1"/>
    <x v="1"/>
  </r>
  <r>
    <d v="2024-12-13T00:00:00"/>
    <x v="1"/>
    <s v="Foodie"/>
    <s v="Website"/>
    <x v="5"/>
    <n v="2"/>
    <x v="10"/>
    <n v="0.13075929750140999"/>
    <x v="10"/>
    <x v="15"/>
    <x v="1"/>
  </r>
  <r>
    <d v="2024-12-13T00:00:00"/>
    <x v="0"/>
    <s v="Beach"/>
    <s v="Mobile App"/>
    <x v="7"/>
    <n v="2"/>
    <x v="10"/>
    <n v="0.13075929750140999"/>
    <x v="10"/>
    <x v="9"/>
    <x v="1"/>
  </r>
  <r>
    <d v="2024-12-13T00:00:00"/>
    <x v="3"/>
    <s v="Cultural"/>
    <s v="Mobile App"/>
    <x v="8"/>
    <n v="2"/>
    <x v="10"/>
    <n v="0.13075929750140999"/>
    <x v="10"/>
    <x v="15"/>
    <x v="1"/>
  </r>
  <r>
    <d v="2024-12-13T00:00:00"/>
    <x v="3"/>
    <s v="Family"/>
    <s v="Website"/>
    <x v="7"/>
    <n v="3"/>
    <x v="10"/>
    <n v="0.13075929750140999"/>
    <x v="10"/>
    <x v="1"/>
    <x v="0"/>
  </r>
  <r>
    <d v="2024-12-14T00:00:00"/>
    <x v="3"/>
    <s v="Cultural"/>
    <s v="Website"/>
    <x v="3"/>
    <n v="2"/>
    <x v="10"/>
    <n v="0.13075929750140999"/>
    <x v="10"/>
    <x v="10"/>
    <x v="1"/>
  </r>
  <r>
    <d v="2024-12-15T00:00:00"/>
    <x v="3"/>
    <s v="Cultural"/>
    <s v="Website"/>
    <x v="8"/>
    <n v="3"/>
    <x v="10"/>
    <n v="0.13075929750140999"/>
    <x v="10"/>
    <x v="9"/>
    <x v="1"/>
  </r>
  <r>
    <d v="2024-12-15T00:00:00"/>
    <x v="2"/>
    <s v="Adventure"/>
    <s v="Agent"/>
    <x v="0"/>
    <n v="1"/>
    <x v="10"/>
    <n v="0.13075929750140999"/>
    <x v="10"/>
    <x v="15"/>
    <x v="1"/>
  </r>
  <r>
    <d v="2024-12-15T00:00:00"/>
    <x v="3"/>
    <s v="City Break"/>
    <s v="Mobile App"/>
    <x v="7"/>
    <n v="4"/>
    <x v="10"/>
    <n v="0.13075929750140999"/>
    <x v="10"/>
    <x v="1"/>
    <x v="1"/>
  </r>
  <r>
    <d v="2024-12-15T00:00:00"/>
    <x v="3"/>
    <s v="Beach"/>
    <s v="Agent"/>
    <x v="4"/>
    <n v="1"/>
    <x v="10"/>
    <n v="0.13075929750140999"/>
    <x v="10"/>
    <x v="2"/>
    <x v="1"/>
  </r>
  <r>
    <d v="2024-12-15T00:00:00"/>
    <x v="1"/>
    <s v="Family"/>
    <s v="Agent"/>
    <x v="6"/>
    <n v="1"/>
    <x v="10"/>
    <n v="0.13075929750140999"/>
    <x v="10"/>
    <x v="6"/>
    <x v="1"/>
  </r>
  <r>
    <d v="2024-12-15T00:00:00"/>
    <x v="1"/>
    <s v="Foodie"/>
    <s v="Agent"/>
    <x v="0"/>
    <n v="2"/>
    <x v="10"/>
    <n v="0.13075929750140999"/>
    <x v="10"/>
    <x v="6"/>
    <x v="1"/>
  </r>
  <r>
    <d v="2024-12-16T00:00:00"/>
    <x v="1"/>
    <s v="Cultural"/>
    <s v="Agent"/>
    <x v="5"/>
    <n v="2"/>
    <x v="10"/>
    <n v="0.13075929750140999"/>
    <x v="10"/>
    <x v="17"/>
    <x v="1"/>
  </r>
  <r>
    <d v="2024-12-16T00:00:00"/>
    <x v="3"/>
    <s v="City Break"/>
    <s v="Agent"/>
    <x v="0"/>
    <n v="1"/>
    <x v="10"/>
    <n v="0.13075929750140999"/>
    <x v="10"/>
    <x v="18"/>
    <x v="0"/>
  </r>
  <r>
    <d v="2024-12-16T00:00:00"/>
    <x v="3"/>
    <s v="Beach"/>
    <s v="Agent"/>
    <x v="8"/>
    <n v="2"/>
    <x v="10"/>
    <n v="0.13075929750140999"/>
    <x v="10"/>
    <x v="14"/>
    <x v="1"/>
  </r>
  <r>
    <d v="2024-12-16T00:00:00"/>
    <x v="0"/>
    <s v="Cultural"/>
    <s v="Mobile App"/>
    <x v="9"/>
    <n v="3"/>
    <x v="10"/>
    <n v="0.13075929750140999"/>
    <x v="10"/>
    <x v="13"/>
    <x v="1"/>
  </r>
  <r>
    <d v="2024-12-17T00:00:00"/>
    <x v="1"/>
    <s v="Beach"/>
    <s v="Website"/>
    <x v="0"/>
    <n v="3"/>
    <x v="10"/>
    <n v="0.13075929750140999"/>
    <x v="10"/>
    <x v="0"/>
    <x v="1"/>
  </r>
  <r>
    <d v="2024-12-17T00:00:00"/>
    <x v="1"/>
    <s v="Cultural"/>
    <s v="Agent"/>
    <x v="1"/>
    <n v="1"/>
    <x v="10"/>
    <n v="0.13075929750140999"/>
    <x v="10"/>
    <x v="15"/>
    <x v="0"/>
  </r>
  <r>
    <d v="2024-12-17T00:00:00"/>
    <x v="3"/>
    <s v="Cultural"/>
    <s v="Website"/>
    <x v="5"/>
    <n v="2"/>
    <x v="10"/>
    <n v="0.13075929750140999"/>
    <x v="10"/>
    <x v="2"/>
    <x v="1"/>
  </r>
  <r>
    <d v="2024-12-17T00:00:00"/>
    <x v="1"/>
    <s v="Beach"/>
    <s v="Agent"/>
    <x v="9"/>
    <n v="4"/>
    <x v="10"/>
    <n v="0.13075929750140999"/>
    <x v="10"/>
    <x v="10"/>
    <x v="0"/>
  </r>
  <r>
    <d v="2024-12-17T00:00:00"/>
    <x v="3"/>
    <s v="Foodie"/>
    <s v="Website"/>
    <x v="7"/>
    <n v="2"/>
    <x v="10"/>
    <n v="0.13075929750140999"/>
    <x v="10"/>
    <x v="12"/>
    <x v="1"/>
  </r>
  <r>
    <d v="2024-12-17T00:00:00"/>
    <x v="3"/>
    <s v="Beach"/>
    <s v="Agent"/>
    <x v="2"/>
    <n v="1"/>
    <x v="10"/>
    <n v="0.13075929750140999"/>
    <x v="10"/>
    <x v="14"/>
    <x v="1"/>
  </r>
  <r>
    <d v="2024-12-18T00:00:00"/>
    <x v="1"/>
    <s v="Foodie"/>
    <s v="Agent"/>
    <x v="9"/>
    <n v="2"/>
    <x v="10"/>
    <n v="0.13075929750140999"/>
    <x v="10"/>
    <x v="2"/>
    <x v="1"/>
  </r>
  <r>
    <d v="2024-12-18T00:00:00"/>
    <x v="1"/>
    <s v="City Break"/>
    <s v="Website"/>
    <x v="4"/>
    <n v="2"/>
    <x v="10"/>
    <n v="0.13075929750140999"/>
    <x v="10"/>
    <x v="6"/>
    <x v="1"/>
  </r>
  <r>
    <d v="2024-12-18T00:00:00"/>
    <x v="1"/>
    <s v="Foodie"/>
    <s v="Website"/>
    <x v="0"/>
    <n v="1"/>
    <x v="10"/>
    <n v="0.13075929750140999"/>
    <x v="10"/>
    <x v="7"/>
    <x v="1"/>
  </r>
  <r>
    <d v="2024-12-18T00:00:00"/>
    <x v="2"/>
    <s v="Foodie"/>
    <s v="Agent"/>
    <x v="4"/>
    <n v="1"/>
    <x v="10"/>
    <n v="0.13075929750140999"/>
    <x v="10"/>
    <x v="22"/>
    <x v="1"/>
  </r>
  <r>
    <d v="2024-12-19T00:00:00"/>
    <x v="3"/>
    <s v="Cultural"/>
    <s v="Website"/>
    <x v="9"/>
    <n v="3"/>
    <x v="10"/>
    <n v="0.13075929750140999"/>
    <x v="10"/>
    <x v="9"/>
    <x v="1"/>
  </r>
  <r>
    <d v="2024-12-19T00:00:00"/>
    <x v="3"/>
    <s v="Adventure"/>
    <s v="Mobile App"/>
    <x v="2"/>
    <n v="4"/>
    <x v="10"/>
    <n v="0.13075929750140999"/>
    <x v="10"/>
    <x v="11"/>
    <x v="1"/>
  </r>
  <r>
    <d v="2024-12-19T00:00:00"/>
    <x v="3"/>
    <s v="Beach"/>
    <s v="Mobile App"/>
    <x v="8"/>
    <n v="1"/>
    <x v="10"/>
    <n v="0.13075929750140999"/>
    <x v="10"/>
    <x v="15"/>
    <x v="1"/>
  </r>
  <r>
    <d v="2024-12-20T00:00:00"/>
    <x v="1"/>
    <s v="Family"/>
    <s v="Website"/>
    <x v="3"/>
    <n v="2"/>
    <x v="10"/>
    <n v="0.13075929750140999"/>
    <x v="10"/>
    <x v="0"/>
    <x v="1"/>
  </r>
  <r>
    <d v="2024-12-20T00:00:00"/>
    <x v="1"/>
    <s v="Family"/>
    <s v="Mobile App"/>
    <x v="1"/>
    <n v="1"/>
    <x v="10"/>
    <n v="0.13075929750140999"/>
    <x v="10"/>
    <x v="9"/>
    <x v="0"/>
  </r>
  <r>
    <d v="2024-12-20T00:00:00"/>
    <x v="3"/>
    <s v="Adventure"/>
    <s v="Agent"/>
    <x v="3"/>
    <n v="1"/>
    <x v="10"/>
    <n v="0.13075929750140999"/>
    <x v="10"/>
    <x v="1"/>
    <x v="1"/>
  </r>
  <r>
    <d v="2024-12-20T00:00:00"/>
    <x v="0"/>
    <s v="Cultural"/>
    <s v="Mobile App"/>
    <x v="1"/>
    <n v="3"/>
    <x v="10"/>
    <n v="0.13075929750140999"/>
    <x v="10"/>
    <x v="2"/>
    <x v="1"/>
  </r>
  <r>
    <d v="2024-12-20T00:00:00"/>
    <x v="1"/>
    <s v="Beach"/>
    <s v="Agent"/>
    <x v="6"/>
    <n v="2"/>
    <x v="10"/>
    <n v="0.13075929750140999"/>
    <x v="10"/>
    <x v="12"/>
    <x v="1"/>
  </r>
  <r>
    <d v="2024-12-20T00:00:00"/>
    <x v="3"/>
    <s v="Adventure"/>
    <s v="Agent"/>
    <x v="9"/>
    <n v="1"/>
    <x v="10"/>
    <n v="0.13075929750140999"/>
    <x v="10"/>
    <x v="2"/>
    <x v="0"/>
  </r>
  <r>
    <d v="2024-12-20T00:00:00"/>
    <x v="1"/>
    <s v="Cultural"/>
    <s v="Call Center"/>
    <x v="8"/>
    <n v="2"/>
    <x v="10"/>
    <n v="0.13075929750140999"/>
    <x v="10"/>
    <x v="7"/>
    <x v="1"/>
  </r>
  <r>
    <d v="2024-12-20T00:00:00"/>
    <x v="3"/>
    <s v="Beach"/>
    <s v="Website"/>
    <x v="1"/>
    <n v="2"/>
    <x v="10"/>
    <n v="0.13075929750140999"/>
    <x v="10"/>
    <x v="4"/>
    <x v="1"/>
  </r>
  <r>
    <d v="2024-12-21T00:00:00"/>
    <x v="3"/>
    <s v="Cultural"/>
    <s v="Mobile App"/>
    <x v="4"/>
    <n v="1"/>
    <x v="10"/>
    <n v="0.13075929750140999"/>
    <x v="10"/>
    <x v="14"/>
    <x v="1"/>
  </r>
  <r>
    <d v="2024-12-21T00:00:00"/>
    <x v="2"/>
    <s v="Cultural"/>
    <s v="Website"/>
    <x v="5"/>
    <n v="2"/>
    <x v="10"/>
    <n v="0.13075929750140999"/>
    <x v="10"/>
    <x v="10"/>
    <x v="1"/>
  </r>
  <r>
    <d v="2024-12-21T00:00:00"/>
    <x v="2"/>
    <s v="Cultural"/>
    <s v="Agent"/>
    <x v="0"/>
    <n v="3"/>
    <x v="10"/>
    <n v="0.13075929750140999"/>
    <x v="10"/>
    <x v="5"/>
    <x v="1"/>
  </r>
  <r>
    <d v="2024-12-21T00:00:00"/>
    <x v="0"/>
    <s v="Family"/>
    <s v="Mobile App"/>
    <x v="9"/>
    <n v="2"/>
    <x v="10"/>
    <n v="0.13075929750140999"/>
    <x v="10"/>
    <x v="19"/>
    <x v="1"/>
  </r>
  <r>
    <d v="2024-12-22T00:00:00"/>
    <x v="1"/>
    <s v="Cultural"/>
    <s v="Website"/>
    <x v="5"/>
    <n v="4"/>
    <x v="10"/>
    <n v="0.13075929750140999"/>
    <x v="10"/>
    <x v="14"/>
    <x v="1"/>
  </r>
  <r>
    <d v="2024-12-23T00:00:00"/>
    <x v="0"/>
    <s v="City Break"/>
    <s v="Agent"/>
    <x v="8"/>
    <n v="3"/>
    <x v="10"/>
    <n v="0.13075929750140999"/>
    <x v="10"/>
    <x v="0"/>
    <x v="1"/>
  </r>
  <r>
    <d v="2024-12-23T00:00:00"/>
    <x v="1"/>
    <s v="Cultural"/>
    <s v="Website"/>
    <x v="1"/>
    <n v="3"/>
    <x v="10"/>
    <n v="0.13075929750140999"/>
    <x v="10"/>
    <x v="2"/>
    <x v="1"/>
  </r>
  <r>
    <d v="2024-12-23T00:00:00"/>
    <x v="2"/>
    <s v="Family"/>
    <s v="Mobile App"/>
    <x v="0"/>
    <n v="3"/>
    <x v="10"/>
    <n v="0.13075929750140999"/>
    <x v="10"/>
    <x v="2"/>
    <x v="1"/>
  </r>
  <r>
    <d v="2024-12-23T00:00:00"/>
    <x v="2"/>
    <s v="Adventure"/>
    <s v="Mobile App"/>
    <x v="6"/>
    <n v="1"/>
    <x v="10"/>
    <n v="0.13075929750140999"/>
    <x v="10"/>
    <x v="13"/>
    <x v="1"/>
  </r>
  <r>
    <d v="2024-12-23T00:00:00"/>
    <x v="1"/>
    <s v="Beach"/>
    <s v="Call Center"/>
    <x v="9"/>
    <n v="5"/>
    <x v="10"/>
    <n v="0.13075929750140999"/>
    <x v="10"/>
    <x v="9"/>
    <x v="1"/>
  </r>
  <r>
    <d v="2024-12-24T00:00:00"/>
    <x v="1"/>
    <s v="Beach"/>
    <s v="Mobile App"/>
    <x v="1"/>
    <n v="3"/>
    <x v="10"/>
    <n v="0.13075929750140999"/>
    <x v="10"/>
    <x v="12"/>
    <x v="0"/>
  </r>
  <r>
    <d v="2024-12-24T00:00:00"/>
    <x v="1"/>
    <s v="Foodie"/>
    <s v="Website"/>
    <x v="5"/>
    <n v="1"/>
    <x v="10"/>
    <n v="0.13075929750140999"/>
    <x v="10"/>
    <x v="10"/>
    <x v="1"/>
  </r>
  <r>
    <d v="2024-12-24T00:00:00"/>
    <x v="1"/>
    <s v="Adventure"/>
    <s v="Mobile App"/>
    <x v="2"/>
    <n v="2"/>
    <x v="10"/>
    <n v="0.13075929750140999"/>
    <x v="10"/>
    <x v="4"/>
    <x v="1"/>
  </r>
  <r>
    <d v="2024-12-25T00:00:00"/>
    <x v="2"/>
    <s v="Beach"/>
    <s v="Mobile App"/>
    <x v="9"/>
    <n v="2"/>
    <x v="10"/>
    <n v="0.13075929750140999"/>
    <x v="10"/>
    <x v="2"/>
    <x v="1"/>
  </r>
  <r>
    <d v="2024-12-25T00:00:00"/>
    <x v="1"/>
    <s v="Beach"/>
    <s v="Mobile App"/>
    <x v="7"/>
    <n v="2"/>
    <x v="10"/>
    <n v="0.13075929750140999"/>
    <x v="10"/>
    <x v="4"/>
    <x v="0"/>
  </r>
  <r>
    <d v="2024-12-26T00:00:00"/>
    <x v="0"/>
    <s v="Adventure"/>
    <s v="Agent"/>
    <x v="1"/>
    <n v="2"/>
    <x v="10"/>
    <n v="0.13075929750140999"/>
    <x v="10"/>
    <x v="2"/>
    <x v="1"/>
  </r>
  <r>
    <d v="2024-12-26T00:00:00"/>
    <x v="3"/>
    <s v="Cultural"/>
    <s v="Website"/>
    <x v="3"/>
    <n v="1"/>
    <x v="10"/>
    <n v="0.13075929750140999"/>
    <x v="10"/>
    <x v="3"/>
    <x v="1"/>
  </r>
  <r>
    <d v="2024-12-26T00:00:00"/>
    <x v="2"/>
    <s v="City Break"/>
    <s v="Website"/>
    <x v="7"/>
    <n v="2"/>
    <x v="10"/>
    <n v="0.13075929750140999"/>
    <x v="10"/>
    <x v="2"/>
    <x v="1"/>
  </r>
  <r>
    <d v="2024-12-26T00:00:00"/>
    <x v="0"/>
    <s v="Cultural"/>
    <s v="Mobile App"/>
    <x v="8"/>
    <n v="2"/>
    <x v="10"/>
    <n v="0.13075929750140999"/>
    <x v="10"/>
    <x v="5"/>
    <x v="1"/>
  </r>
  <r>
    <d v="2024-12-26T00:00:00"/>
    <x v="1"/>
    <s v="Beach"/>
    <s v="Website"/>
    <x v="1"/>
    <n v="1"/>
    <x v="10"/>
    <n v="0.13075929750140999"/>
    <x v="10"/>
    <x v="10"/>
    <x v="1"/>
  </r>
  <r>
    <d v="2024-12-27T00:00:00"/>
    <x v="3"/>
    <s v="Cultural"/>
    <s v="Agent"/>
    <x v="7"/>
    <n v="1"/>
    <x v="10"/>
    <n v="0.13075929750140999"/>
    <x v="10"/>
    <x v="15"/>
    <x v="0"/>
  </r>
  <r>
    <d v="2024-12-28T00:00:00"/>
    <x v="1"/>
    <s v="Family"/>
    <s v="Website"/>
    <x v="5"/>
    <n v="4"/>
    <x v="10"/>
    <n v="0.13075929750140999"/>
    <x v="10"/>
    <x v="0"/>
    <x v="1"/>
  </r>
  <r>
    <d v="2024-12-28T00:00:00"/>
    <x v="3"/>
    <s v="Cultural"/>
    <s v="Website"/>
    <x v="6"/>
    <n v="3"/>
    <x v="10"/>
    <n v="0.13075929750140999"/>
    <x v="10"/>
    <x v="3"/>
    <x v="1"/>
  </r>
  <r>
    <d v="2024-12-28T00:00:00"/>
    <x v="3"/>
    <s v="Beach"/>
    <s v="Website"/>
    <x v="7"/>
    <n v="2"/>
    <x v="10"/>
    <n v="0.13075929750140999"/>
    <x v="10"/>
    <x v="15"/>
    <x v="1"/>
  </r>
  <r>
    <d v="2024-12-29T00:00:00"/>
    <x v="3"/>
    <s v="Foodie"/>
    <s v="Website"/>
    <x v="1"/>
    <n v="1"/>
    <x v="10"/>
    <n v="0.13075929750140999"/>
    <x v="10"/>
    <x v="3"/>
    <x v="1"/>
  </r>
  <r>
    <d v="2024-12-29T00:00:00"/>
    <x v="2"/>
    <s v="Cultural"/>
    <s v="Agent"/>
    <x v="1"/>
    <n v="1"/>
    <x v="10"/>
    <n v="0.13075929750140999"/>
    <x v="10"/>
    <x v="9"/>
    <x v="1"/>
  </r>
  <r>
    <d v="2024-12-29T00:00:00"/>
    <x v="0"/>
    <s v="Adventure"/>
    <s v="Website"/>
    <x v="3"/>
    <n v="2"/>
    <x v="10"/>
    <n v="0.13075929750140999"/>
    <x v="10"/>
    <x v="4"/>
    <x v="0"/>
  </r>
  <r>
    <d v="2024-12-29T00:00:00"/>
    <x v="3"/>
    <s v="Cultural"/>
    <s v="Website"/>
    <x v="7"/>
    <n v="1"/>
    <x v="10"/>
    <n v="0.13075929750140999"/>
    <x v="10"/>
    <x v="3"/>
    <x v="0"/>
  </r>
  <r>
    <d v="2024-12-29T00:00:00"/>
    <x v="2"/>
    <s v="Cultural"/>
    <s v="Mobile App"/>
    <x v="4"/>
    <n v="1"/>
    <x v="10"/>
    <n v="0.13075929750140999"/>
    <x v="10"/>
    <x v="15"/>
    <x v="1"/>
  </r>
  <r>
    <d v="2024-12-30T00:00:00"/>
    <x v="0"/>
    <s v="City Break"/>
    <s v="Website"/>
    <x v="8"/>
    <n v="2"/>
    <x v="10"/>
    <n v="0.13075929750140999"/>
    <x v="10"/>
    <x v="10"/>
    <x v="0"/>
  </r>
  <r>
    <d v="2024-12-30T00:00:00"/>
    <x v="1"/>
    <s v="Family"/>
    <s v="Agent"/>
    <x v="7"/>
    <n v="4"/>
    <x v="10"/>
    <n v="0.13075929750140999"/>
    <x v="10"/>
    <x v="14"/>
    <x v="1"/>
  </r>
  <r>
    <d v="2024-12-30T00:00:00"/>
    <x v="0"/>
    <s v="Family"/>
    <s v="Agent"/>
    <x v="9"/>
    <n v="3"/>
    <x v="10"/>
    <n v="0.13075929750140999"/>
    <x v="10"/>
    <x v="0"/>
    <x v="1"/>
  </r>
  <r>
    <d v="2024-12-30T00:00:00"/>
    <x v="1"/>
    <s v="Cultural"/>
    <s v="Website"/>
    <x v="4"/>
    <n v="1"/>
    <x v="10"/>
    <n v="0.13075929750140999"/>
    <x v="10"/>
    <x v="17"/>
    <x v="1"/>
  </r>
  <r>
    <d v="2024-12-30T00:00:00"/>
    <x v="1"/>
    <s v="Beach"/>
    <s v="Website"/>
    <x v="8"/>
    <n v="1"/>
    <x v="10"/>
    <n v="0.13075929750140999"/>
    <x v="10"/>
    <x v="5"/>
    <x v="1"/>
  </r>
  <r>
    <d v="2024-12-31T00:00:00"/>
    <x v="3"/>
    <s v="Beach"/>
    <s v="Website"/>
    <x v="3"/>
    <n v="3"/>
    <x v="10"/>
    <n v="0.13075929750140999"/>
    <x v="10"/>
    <x v="2"/>
    <x v="1"/>
  </r>
  <r>
    <d v="2024-12-31T00:00:00"/>
    <x v="0"/>
    <s v="Beach"/>
    <s v="Website"/>
    <x v="3"/>
    <n v="1"/>
    <x v="10"/>
    <n v="0.13075929750140999"/>
    <x v="10"/>
    <x v="2"/>
    <x v="1"/>
  </r>
  <r>
    <d v="2024-12-31T00:00:00"/>
    <x v="1"/>
    <s v="Adventure"/>
    <s v="Mobile App"/>
    <x v="5"/>
    <n v="2"/>
    <x v="10"/>
    <n v="0.13075929750140999"/>
    <x v="10"/>
    <x v="12"/>
    <x v="1"/>
  </r>
  <r>
    <d v="2024-12-31T00:00:00"/>
    <x v="3"/>
    <s v="Adventure"/>
    <s v="Agent"/>
    <x v="0"/>
    <n v="2"/>
    <x v="10"/>
    <n v="0.13075929750140999"/>
    <x v="10"/>
    <x v="2"/>
    <x v="1"/>
  </r>
  <r>
    <d v="2025-01-01T00:00:00"/>
    <x v="1"/>
    <s v="City Break"/>
    <s v="Website"/>
    <x v="0"/>
    <n v="2"/>
    <x v="10"/>
    <n v="0.13075929750140999"/>
    <x v="10"/>
    <x v="4"/>
    <x v="0"/>
  </r>
  <r>
    <d v="2025-01-01T00:00:00"/>
    <x v="1"/>
    <s v="Adventure"/>
    <s v="Website"/>
    <x v="6"/>
    <n v="1"/>
    <x v="10"/>
    <n v="0.13075929750140999"/>
    <x v="10"/>
    <x v="2"/>
    <x v="1"/>
  </r>
  <r>
    <d v="2025-01-01T00:00:00"/>
    <x v="3"/>
    <s v="Beach"/>
    <s v="Website"/>
    <x v="3"/>
    <n v="1"/>
    <x v="10"/>
    <n v="0.13075929750140999"/>
    <x v="10"/>
    <x v="8"/>
    <x v="0"/>
  </r>
  <r>
    <d v="2025-01-02T00:00:00"/>
    <x v="1"/>
    <s v="Beach"/>
    <s v="Website"/>
    <x v="3"/>
    <n v="4"/>
    <x v="10"/>
    <n v="0.13075929750140999"/>
    <x v="10"/>
    <x v="12"/>
    <x v="0"/>
  </r>
  <r>
    <d v="2025-01-02T00:00:00"/>
    <x v="2"/>
    <s v="Adventure"/>
    <s v="Agent"/>
    <x v="4"/>
    <n v="3"/>
    <x v="10"/>
    <n v="0.13075929750140999"/>
    <x v="10"/>
    <x v="6"/>
    <x v="1"/>
  </r>
  <r>
    <d v="2025-01-02T00:00:00"/>
    <x v="3"/>
    <s v="Beach"/>
    <s v="Call Center"/>
    <x v="3"/>
    <n v="4"/>
    <x v="10"/>
    <n v="0.13075929750140999"/>
    <x v="10"/>
    <x v="4"/>
    <x v="0"/>
  </r>
  <r>
    <d v="2025-01-02T00:00:00"/>
    <x v="3"/>
    <s v="City Break"/>
    <s v="Agent"/>
    <x v="4"/>
    <n v="2"/>
    <x v="10"/>
    <n v="0.13075929750140999"/>
    <x v="10"/>
    <x v="5"/>
    <x v="1"/>
  </r>
  <r>
    <d v="2025-01-02T00:00:00"/>
    <x v="0"/>
    <s v="Adventure"/>
    <s v="Website"/>
    <x v="6"/>
    <n v="1"/>
    <x v="10"/>
    <n v="0.13075929750140999"/>
    <x v="10"/>
    <x v="12"/>
    <x v="0"/>
  </r>
  <r>
    <d v="2025-01-02T00:00:00"/>
    <x v="3"/>
    <s v="Cultural"/>
    <s v="Agent"/>
    <x v="0"/>
    <n v="3"/>
    <x v="10"/>
    <n v="0.13075929750140999"/>
    <x v="10"/>
    <x v="9"/>
    <x v="1"/>
  </r>
  <r>
    <d v="2025-01-02T00:00:00"/>
    <x v="3"/>
    <s v="Foodie"/>
    <s v="Agent"/>
    <x v="4"/>
    <n v="2"/>
    <x v="10"/>
    <n v="0.13075929750140999"/>
    <x v="10"/>
    <x v="0"/>
    <x v="1"/>
  </r>
  <r>
    <d v="2025-01-03T00:00:00"/>
    <x v="3"/>
    <s v="Adventure"/>
    <s v="Website"/>
    <x v="9"/>
    <n v="3"/>
    <x v="10"/>
    <n v="0.13075929750140999"/>
    <x v="10"/>
    <x v="4"/>
    <x v="1"/>
  </r>
  <r>
    <d v="2025-01-03T00:00:00"/>
    <x v="1"/>
    <s v="Cultural"/>
    <s v="Mobile App"/>
    <x v="9"/>
    <n v="2"/>
    <x v="10"/>
    <n v="0.13075929750140999"/>
    <x v="10"/>
    <x v="3"/>
    <x v="1"/>
  </r>
  <r>
    <d v="2025-01-03T00:00:00"/>
    <x v="0"/>
    <s v="Cultural"/>
    <s v="Agent"/>
    <x v="9"/>
    <n v="4"/>
    <x v="10"/>
    <n v="0.13075929750140999"/>
    <x v="10"/>
    <x v="2"/>
    <x v="1"/>
  </r>
  <r>
    <d v="2025-01-04T00:00:00"/>
    <x v="1"/>
    <s v="Family"/>
    <s v="Website"/>
    <x v="9"/>
    <n v="3"/>
    <x v="10"/>
    <n v="0.13075929750140999"/>
    <x v="10"/>
    <x v="13"/>
    <x v="0"/>
  </r>
  <r>
    <d v="2025-01-04T00:00:00"/>
    <x v="3"/>
    <s v="Adventure"/>
    <s v="Mobile App"/>
    <x v="5"/>
    <n v="2"/>
    <x v="10"/>
    <n v="0.13075929750140999"/>
    <x v="10"/>
    <x v="2"/>
    <x v="0"/>
  </r>
  <r>
    <d v="2025-01-04T00:00:00"/>
    <x v="1"/>
    <s v="Family"/>
    <s v="Website"/>
    <x v="3"/>
    <n v="2"/>
    <x v="10"/>
    <n v="0.13075929750140999"/>
    <x v="10"/>
    <x v="3"/>
    <x v="1"/>
  </r>
  <r>
    <d v="2025-01-04T00:00:00"/>
    <x v="0"/>
    <s v="City Break"/>
    <s v="Mobile App"/>
    <x v="1"/>
    <n v="3"/>
    <x v="10"/>
    <n v="0.13075929750140999"/>
    <x v="10"/>
    <x v="2"/>
    <x v="1"/>
  </r>
  <r>
    <d v="2025-01-04T00:00:00"/>
    <x v="3"/>
    <s v="Cultural"/>
    <s v="Website"/>
    <x v="1"/>
    <n v="1"/>
    <x v="10"/>
    <n v="0.13075929750140999"/>
    <x v="10"/>
    <x v="10"/>
    <x v="1"/>
  </r>
  <r>
    <d v="2025-01-04T00:00:00"/>
    <x v="1"/>
    <s v="City Break"/>
    <s v="Agent"/>
    <x v="3"/>
    <n v="2"/>
    <x v="10"/>
    <n v="0.13075929750140999"/>
    <x v="10"/>
    <x v="1"/>
    <x v="0"/>
  </r>
  <r>
    <d v="2025-01-05T00:00:00"/>
    <x v="3"/>
    <s v="Cultural"/>
    <s v="Agent"/>
    <x v="8"/>
    <n v="3"/>
    <x v="10"/>
    <n v="0.13075929750140999"/>
    <x v="10"/>
    <x v="5"/>
    <x v="1"/>
  </r>
  <r>
    <d v="2025-01-05T00:00:00"/>
    <x v="2"/>
    <s v="Cultural"/>
    <s v="Website"/>
    <x v="8"/>
    <n v="2"/>
    <x v="10"/>
    <n v="0.13075929750140999"/>
    <x v="10"/>
    <x v="18"/>
    <x v="1"/>
  </r>
  <r>
    <d v="2025-01-06T00:00:00"/>
    <x v="3"/>
    <s v="Beach"/>
    <s v="Mobile App"/>
    <x v="3"/>
    <n v="3"/>
    <x v="10"/>
    <n v="0.13075929750140999"/>
    <x v="10"/>
    <x v="13"/>
    <x v="1"/>
  </r>
  <r>
    <d v="2025-01-06T00:00:00"/>
    <x v="2"/>
    <s v="Beach"/>
    <s v="Mobile App"/>
    <x v="4"/>
    <n v="1"/>
    <x v="10"/>
    <n v="0.13075929750140999"/>
    <x v="10"/>
    <x v="6"/>
    <x v="1"/>
  </r>
  <r>
    <d v="2025-01-06T00:00:00"/>
    <x v="0"/>
    <s v="Beach"/>
    <s v="Agent"/>
    <x v="5"/>
    <n v="2"/>
    <x v="10"/>
    <n v="0.13075929750140999"/>
    <x v="10"/>
    <x v="6"/>
    <x v="1"/>
  </r>
  <r>
    <d v="2025-01-06T00:00:00"/>
    <x v="3"/>
    <s v="Adventure"/>
    <s v="Website"/>
    <x v="7"/>
    <n v="1"/>
    <x v="10"/>
    <n v="0.13075929750140999"/>
    <x v="10"/>
    <x v="17"/>
    <x v="0"/>
  </r>
  <r>
    <d v="2025-01-06T00:00:00"/>
    <x v="1"/>
    <s v="Cultural"/>
    <s v="Website"/>
    <x v="7"/>
    <n v="2"/>
    <x v="10"/>
    <n v="0.13075929750140999"/>
    <x v="10"/>
    <x v="13"/>
    <x v="0"/>
  </r>
  <r>
    <d v="2025-01-06T00:00:00"/>
    <x v="1"/>
    <s v="Beach"/>
    <s v="Mobile App"/>
    <x v="3"/>
    <n v="2"/>
    <x v="10"/>
    <n v="0.13075929750140999"/>
    <x v="10"/>
    <x v="13"/>
    <x v="0"/>
  </r>
  <r>
    <d v="2025-01-07T00:00:00"/>
    <x v="1"/>
    <s v="Beach"/>
    <s v="Mobile App"/>
    <x v="6"/>
    <n v="4"/>
    <x v="10"/>
    <n v="0.13075929750140999"/>
    <x v="10"/>
    <x v="4"/>
    <x v="1"/>
  </r>
  <r>
    <d v="2025-01-07T00:00:00"/>
    <x v="0"/>
    <s v="Cultural"/>
    <s v="Website"/>
    <x v="7"/>
    <n v="1"/>
    <x v="10"/>
    <n v="0.13075929750140999"/>
    <x v="10"/>
    <x v="1"/>
    <x v="1"/>
  </r>
  <r>
    <d v="2025-01-07T00:00:00"/>
    <x v="1"/>
    <s v="Family"/>
    <s v="Website"/>
    <x v="0"/>
    <n v="1"/>
    <x v="10"/>
    <n v="0.13075929750140999"/>
    <x v="10"/>
    <x v="10"/>
    <x v="1"/>
  </r>
  <r>
    <d v="2025-01-07T00:00:00"/>
    <x v="1"/>
    <s v="Family"/>
    <s v="Website"/>
    <x v="7"/>
    <n v="2"/>
    <x v="10"/>
    <n v="0.13075929750140999"/>
    <x v="10"/>
    <x v="18"/>
    <x v="0"/>
  </r>
  <r>
    <d v="2025-01-07T00:00:00"/>
    <x v="3"/>
    <s v="Beach"/>
    <s v="Mobile App"/>
    <x v="2"/>
    <n v="2"/>
    <x v="10"/>
    <n v="0.13075929750140999"/>
    <x v="10"/>
    <x v="0"/>
    <x v="1"/>
  </r>
  <r>
    <d v="2025-01-07T00:00:00"/>
    <x v="0"/>
    <s v="Cultural"/>
    <s v="Agent"/>
    <x v="0"/>
    <n v="2"/>
    <x v="10"/>
    <n v="0.13075929750140999"/>
    <x v="10"/>
    <x v="7"/>
    <x v="0"/>
  </r>
  <r>
    <d v="2025-01-07T00:00:00"/>
    <x v="3"/>
    <s v="Family"/>
    <s v="Mobile App"/>
    <x v="6"/>
    <n v="1"/>
    <x v="10"/>
    <n v="0.13075929750140999"/>
    <x v="10"/>
    <x v="6"/>
    <x v="0"/>
  </r>
  <r>
    <d v="2025-01-08T00:00:00"/>
    <x v="1"/>
    <s v="Foodie"/>
    <s v="Agent"/>
    <x v="4"/>
    <n v="1"/>
    <x v="10"/>
    <n v="0.13075929750140999"/>
    <x v="10"/>
    <x v="6"/>
    <x v="0"/>
  </r>
  <r>
    <d v="2025-01-08T00:00:00"/>
    <x v="1"/>
    <s v="Foodie"/>
    <s v="Agent"/>
    <x v="8"/>
    <n v="2"/>
    <x v="10"/>
    <n v="0.13075929750140999"/>
    <x v="10"/>
    <x v="2"/>
    <x v="1"/>
  </r>
  <r>
    <d v="2025-01-09T00:00:00"/>
    <x v="3"/>
    <s v="Beach"/>
    <s v="Agent"/>
    <x v="8"/>
    <n v="1"/>
    <x v="10"/>
    <n v="0.13075929750140999"/>
    <x v="10"/>
    <x v="6"/>
    <x v="0"/>
  </r>
  <r>
    <d v="2025-01-09T00:00:00"/>
    <x v="3"/>
    <s v="Beach"/>
    <s v="Website"/>
    <x v="1"/>
    <n v="2"/>
    <x v="10"/>
    <n v="0.13075929750140999"/>
    <x v="10"/>
    <x v="5"/>
    <x v="1"/>
  </r>
  <r>
    <d v="2025-01-09T00:00:00"/>
    <x v="3"/>
    <s v="Foodie"/>
    <s v="Website"/>
    <x v="2"/>
    <n v="3"/>
    <x v="10"/>
    <n v="0.13075929750140999"/>
    <x v="10"/>
    <x v="17"/>
    <x v="1"/>
  </r>
  <r>
    <d v="2025-01-09T00:00:00"/>
    <x v="0"/>
    <s v="Cultural"/>
    <s v="Website"/>
    <x v="0"/>
    <n v="2"/>
    <x v="10"/>
    <n v="0.13075929750140999"/>
    <x v="10"/>
    <x v="14"/>
    <x v="1"/>
  </r>
  <r>
    <d v="2025-01-09T00:00:00"/>
    <x v="2"/>
    <s v="Family"/>
    <s v="Website"/>
    <x v="1"/>
    <n v="2"/>
    <x v="10"/>
    <n v="0.13075929750140999"/>
    <x v="10"/>
    <x v="9"/>
    <x v="0"/>
  </r>
  <r>
    <d v="2025-01-09T00:00:00"/>
    <x v="0"/>
    <s v="Cultural"/>
    <s v="Website"/>
    <x v="6"/>
    <n v="1"/>
    <x v="10"/>
    <n v="0.13075929750140999"/>
    <x v="10"/>
    <x v="4"/>
    <x v="1"/>
  </r>
  <r>
    <d v="2025-01-10T00:00:00"/>
    <x v="3"/>
    <s v="Family"/>
    <s v="Mobile App"/>
    <x v="9"/>
    <n v="5"/>
    <x v="10"/>
    <n v="0.13075929750140999"/>
    <x v="10"/>
    <x v="12"/>
    <x v="1"/>
  </r>
  <r>
    <d v="2025-01-10T00:00:00"/>
    <x v="3"/>
    <s v="Beach"/>
    <s v="Call Center"/>
    <x v="2"/>
    <n v="2"/>
    <x v="10"/>
    <n v="0.13075929750140999"/>
    <x v="10"/>
    <x v="17"/>
    <x v="1"/>
  </r>
  <r>
    <d v="2025-01-10T00:00:00"/>
    <x v="3"/>
    <s v="Beach"/>
    <s v="Agent"/>
    <x v="0"/>
    <n v="4"/>
    <x v="10"/>
    <n v="0.13075929750140999"/>
    <x v="10"/>
    <x v="6"/>
    <x v="0"/>
  </r>
  <r>
    <d v="2025-01-10T00:00:00"/>
    <x v="1"/>
    <s v="Beach"/>
    <s v="Website"/>
    <x v="0"/>
    <n v="3"/>
    <x v="10"/>
    <n v="0.13075929750140999"/>
    <x v="10"/>
    <x v="13"/>
    <x v="1"/>
  </r>
  <r>
    <d v="2025-01-10T00:00:00"/>
    <x v="2"/>
    <s v="Foodie"/>
    <s v="Website"/>
    <x v="0"/>
    <n v="4"/>
    <x v="10"/>
    <n v="0.13075929750140999"/>
    <x v="10"/>
    <x v="8"/>
    <x v="0"/>
  </r>
  <r>
    <d v="2025-01-10T00:00:00"/>
    <x v="3"/>
    <s v="Beach"/>
    <s v="Website"/>
    <x v="9"/>
    <n v="2"/>
    <x v="10"/>
    <n v="0.13075929750140999"/>
    <x v="10"/>
    <x v="13"/>
    <x v="1"/>
  </r>
  <r>
    <d v="2025-01-10T00:00:00"/>
    <x v="0"/>
    <s v="Beach"/>
    <s v="Mobile App"/>
    <x v="5"/>
    <n v="2"/>
    <x v="10"/>
    <n v="0.13075929750140999"/>
    <x v="10"/>
    <x v="13"/>
    <x v="0"/>
  </r>
  <r>
    <d v="2025-01-10T00:00:00"/>
    <x v="1"/>
    <s v="Adventure"/>
    <s v="Website"/>
    <x v="6"/>
    <n v="1"/>
    <x v="10"/>
    <n v="0.13075929750140999"/>
    <x v="10"/>
    <x v="0"/>
    <x v="1"/>
  </r>
  <r>
    <d v="2025-01-11T00:00:00"/>
    <x v="3"/>
    <s v="Family"/>
    <s v="Agent"/>
    <x v="9"/>
    <n v="1"/>
    <x v="10"/>
    <n v="0.13075929750140999"/>
    <x v="10"/>
    <x v="5"/>
    <x v="1"/>
  </r>
  <r>
    <d v="2025-01-11T00:00:00"/>
    <x v="3"/>
    <s v="Beach"/>
    <s v="Mobile App"/>
    <x v="4"/>
    <n v="3"/>
    <x v="10"/>
    <n v="0.13075929750140999"/>
    <x v="10"/>
    <x v="4"/>
    <x v="1"/>
  </r>
  <r>
    <d v="2025-01-11T00:00:00"/>
    <x v="1"/>
    <s v="Adventure"/>
    <s v="Website"/>
    <x v="4"/>
    <n v="3"/>
    <x v="10"/>
    <n v="0.13075929750140999"/>
    <x v="10"/>
    <x v="11"/>
    <x v="1"/>
  </r>
  <r>
    <d v="2025-01-11T00:00:00"/>
    <x v="3"/>
    <s v="Family"/>
    <s v="Website"/>
    <x v="4"/>
    <n v="5"/>
    <x v="10"/>
    <n v="0.13075929750140999"/>
    <x v="10"/>
    <x v="0"/>
    <x v="1"/>
  </r>
  <r>
    <d v="2025-01-11T00:00:00"/>
    <x v="3"/>
    <s v="Cultural"/>
    <s v="Website"/>
    <x v="2"/>
    <n v="1"/>
    <x v="10"/>
    <n v="0.13075929750140999"/>
    <x v="10"/>
    <x v="4"/>
    <x v="1"/>
  </r>
  <r>
    <d v="2025-01-12T00:00:00"/>
    <x v="2"/>
    <s v="Beach"/>
    <s v="Website"/>
    <x v="9"/>
    <n v="4"/>
    <x v="10"/>
    <n v="0.13075929750140999"/>
    <x v="10"/>
    <x v="15"/>
    <x v="1"/>
  </r>
  <r>
    <d v="2025-01-12T00:00:00"/>
    <x v="0"/>
    <s v="Beach"/>
    <s v="Website"/>
    <x v="7"/>
    <n v="2"/>
    <x v="10"/>
    <n v="0.13075929750140999"/>
    <x v="10"/>
    <x v="15"/>
    <x v="1"/>
  </r>
  <r>
    <d v="2025-01-12T00:00:00"/>
    <x v="0"/>
    <s v="City Break"/>
    <s v="Website"/>
    <x v="6"/>
    <n v="1"/>
    <x v="10"/>
    <n v="0.13075929750140999"/>
    <x v="10"/>
    <x v="4"/>
    <x v="0"/>
  </r>
  <r>
    <d v="2025-01-12T00:00:00"/>
    <x v="1"/>
    <s v="Family"/>
    <s v="Website"/>
    <x v="5"/>
    <n v="2"/>
    <x v="10"/>
    <n v="0.13075929750140999"/>
    <x v="10"/>
    <x v="0"/>
    <x v="1"/>
  </r>
  <r>
    <d v="2025-01-12T00:00:00"/>
    <x v="1"/>
    <s v="Cultural"/>
    <s v="Agent"/>
    <x v="5"/>
    <n v="5"/>
    <x v="10"/>
    <n v="0.13075929750140999"/>
    <x v="10"/>
    <x v="11"/>
    <x v="1"/>
  </r>
  <r>
    <d v="2025-01-13T00:00:00"/>
    <x v="1"/>
    <s v="Foodie"/>
    <s v="Mobile App"/>
    <x v="7"/>
    <n v="5"/>
    <x v="10"/>
    <n v="0.13075929750140999"/>
    <x v="10"/>
    <x v="0"/>
    <x v="0"/>
  </r>
  <r>
    <d v="2025-01-13T00:00:00"/>
    <x v="1"/>
    <s v="Cultural"/>
    <s v="Agent"/>
    <x v="9"/>
    <n v="2"/>
    <x v="10"/>
    <n v="0.13075929750140999"/>
    <x v="10"/>
    <x v="1"/>
    <x v="1"/>
  </r>
  <r>
    <d v="2025-01-14T00:00:00"/>
    <x v="0"/>
    <s v="Beach"/>
    <s v="Mobile App"/>
    <x v="5"/>
    <n v="1"/>
    <x v="10"/>
    <n v="0.13075929750140999"/>
    <x v="10"/>
    <x v="5"/>
    <x v="1"/>
  </r>
  <r>
    <d v="2025-01-14T00:00:00"/>
    <x v="2"/>
    <s v="Adventure"/>
    <s v="Agent"/>
    <x v="2"/>
    <n v="2"/>
    <x v="10"/>
    <n v="0.13075929750140999"/>
    <x v="10"/>
    <x v="13"/>
    <x v="1"/>
  </r>
  <r>
    <d v="2025-01-14T00:00:00"/>
    <x v="3"/>
    <s v="Beach"/>
    <s v="Call Center"/>
    <x v="4"/>
    <n v="1"/>
    <x v="10"/>
    <n v="0.13075929750140999"/>
    <x v="10"/>
    <x v="13"/>
    <x v="1"/>
  </r>
  <r>
    <d v="2025-01-14T00:00:00"/>
    <x v="1"/>
    <s v="Beach"/>
    <s v="Website"/>
    <x v="4"/>
    <n v="3"/>
    <x v="10"/>
    <n v="0.13075929750140999"/>
    <x v="10"/>
    <x v="1"/>
    <x v="1"/>
  </r>
  <r>
    <d v="2025-01-14T00:00:00"/>
    <x v="2"/>
    <s v="Foodie"/>
    <s v="Website"/>
    <x v="5"/>
    <n v="4"/>
    <x v="10"/>
    <n v="0.13075929750140999"/>
    <x v="10"/>
    <x v="10"/>
    <x v="1"/>
  </r>
  <r>
    <d v="2025-01-14T00:00:00"/>
    <x v="2"/>
    <s v="Adventure"/>
    <s v="Agent"/>
    <x v="6"/>
    <n v="3"/>
    <x v="10"/>
    <n v="0.13075929750140999"/>
    <x v="10"/>
    <x v="4"/>
    <x v="1"/>
  </r>
  <r>
    <d v="2025-01-15T00:00:00"/>
    <x v="0"/>
    <s v="Adventure"/>
    <s v="Mobile App"/>
    <x v="6"/>
    <n v="3"/>
    <x v="10"/>
    <n v="0.13075929750140999"/>
    <x v="10"/>
    <x v="5"/>
    <x v="0"/>
  </r>
  <r>
    <d v="2025-01-15T00:00:00"/>
    <x v="3"/>
    <s v="Cultural"/>
    <s v="Website"/>
    <x v="2"/>
    <n v="1"/>
    <x v="10"/>
    <n v="0.13075929750140999"/>
    <x v="10"/>
    <x v="7"/>
    <x v="1"/>
  </r>
  <r>
    <d v="2025-01-15T00:00:00"/>
    <x v="3"/>
    <s v="Adventure"/>
    <s v="Website"/>
    <x v="1"/>
    <n v="2"/>
    <x v="10"/>
    <n v="0.13075929750140999"/>
    <x v="10"/>
    <x v="6"/>
    <x v="0"/>
  </r>
  <r>
    <d v="2025-01-15T00:00:00"/>
    <x v="1"/>
    <s v="Foodie"/>
    <s v="Agent"/>
    <x v="9"/>
    <n v="3"/>
    <x v="10"/>
    <n v="0.13075929750140999"/>
    <x v="10"/>
    <x v="9"/>
    <x v="1"/>
  </r>
  <r>
    <d v="2025-01-16T00:00:00"/>
    <x v="0"/>
    <s v="Adventure"/>
    <s v="Website"/>
    <x v="9"/>
    <n v="1"/>
    <x v="10"/>
    <n v="0.13075929750140999"/>
    <x v="10"/>
    <x v="2"/>
    <x v="1"/>
  </r>
  <r>
    <d v="2025-01-17T00:00:00"/>
    <x v="1"/>
    <s v="Adventure"/>
    <s v="Website"/>
    <x v="1"/>
    <n v="1"/>
    <x v="10"/>
    <n v="0.13075929750140999"/>
    <x v="10"/>
    <x v="5"/>
    <x v="1"/>
  </r>
  <r>
    <d v="2025-01-17T00:00:00"/>
    <x v="0"/>
    <s v="Family"/>
    <s v="Website"/>
    <x v="6"/>
    <n v="4"/>
    <x v="10"/>
    <n v="0.13075929750140999"/>
    <x v="10"/>
    <x v="20"/>
    <x v="1"/>
  </r>
  <r>
    <d v="2025-01-17T00:00:00"/>
    <x v="1"/>
    <s v="Adventure"/>
    <s v="Website"/>
    <x v="5"/>
    <n v="3"/>
    <x v="10"/>
    <n v="0.13075929750140999"/>
    <x v="10"/>
    <x v="1"/>
    <x v="1"/>
  </r>
  <r>
    <d v="2025-01-17T00:00:00"/>
    <x v="1"/>
    <s v="Cultural"/>
    <s v="Agent"/>
    <x v="6"/>
    <n v="3"/>
    <x v="10"/>
    <n v="0.13075929750140999"/>
    <x v="10"/>
    <x v="3"/>
    <x v="1"/>
  </r>
  <r>
    <d v="2025-01-17T00:00:00"/>
    <x v="3"/>
    <s v="Family"/>
    <s v="Website"/>
    <x v="5"/>
    <n v="1"/>
    <x v="10"/>
    <n v="0.13075929750140999"/>
    <x v="10"/>
    <x v="5"/>
    <x v="1"/>
  </r>
  <r>
    <d v="2025-01-18T00:00:00"/>
    <x v="1"/>
    <s v="Foodie"/>
    <s v="Website"/>
    <x v="2"/>
    <n v="1"/>
    <x v="10"/>
    <n v="0.13075929750140999"/>
    <x v="10"/>
    <x v="5"/>
    <x v="1"/>
  </r>
  <r>
    <d v="2025-01-19T00:00:00"/>
    <x v="3"/>
    <s v="Family"/>
    <s v="Website"/>
    <x v="3"/>
    <n v="4"/>
    <x v="10"/>
    <n v="0.13075929750140999"/>
    <x v="10"/>
    <x v="1"/>
    <x v="1"/>
  </r>
  <r>
    <d v="2025-01-19T00:00:00"/>
    <x v="3"/>
    <s v="City Break"/>
    <s v="Mobile App"/>
    <x v="6"/>
    <n v="1"/>
    <x v="10"/>
    <n v="0.13075929750140999"/>
    <x v="10"/>
    <x v="15"/>
    <x v="1"/>
  </r>
  <r>
    <d v="2025-01-19T00:00:00"/>
    <x v="3"/>
    <s v="Cultural"/>
    <s v="Agent"/>
    <x v="4"/>
    <n v="2"/>
    <x v="10"/>
    <n v="0.13075929750140999"/>
    <x v="10"/>
    <x v="8"/>
    <x v="1"/>
  </r>
  <r>
    <d v="2025-01-19T00:00:00"/>
    <x v="0"/>
    <s v="Beach"/>
    <s v="Mobile App"/>
    <x v="6"/>
    <n v="1"/>
    <x v="10"/>
    <n v="0.13075929750140999"/>
    <x v="10"/>
    <x v="9"/>
    <x v="1"/>
  </r>
  <r>
    <d v="2025-01-20T00:00:00"/>
    <x v="2"/>
    <s v="Beach"/>
    <s v="Agent"/>
    <x v="0"/>
    <n v="2"/>
    <x v="10"/>
    <n v="0.13075929750140999"/>
    <x v="10"/>
    <x v="9"/>
    <x v="1"/>
  </r>
  <r>
    <d v="2025-01-20T00:00:00"/>
    <x v="0"/>
    <s v="Beach"/>
    <s v="Agent"/>
    <x v="5"/>
    <n v="3"/>
    <x v="10"/>
    <n v="0.13075929750140999"/>
    <x v="10"/>
    <x v="0"/>
    <x v="1"/>
  </r>
  <r>
    <d v="2025-01-21T00:00:00"/>
    <x v="1"/>
    <s v="Family"/>
    <s v="Agent"/>
    <x v="2"/>
    <n v="1"/>
    <x v="10"/>
    <n v="0.13075929750140999"/>
    <x v="10"/>
    <x v="7"/>
    <x v="1"/>
  </r>
  <r>
    <d v="2025-01-22T00:00:00"/>
    <x v="1"/>
    <s v="Cultural"/>
    <s v="Website"/>
    <x v="4"/>
    <n v="2"/>
    <x v="10"/>
    <n v="0.13075929750140999"/>
    <x v="10"/>
    <x v="10"/>
    <x v="1"/>
  </r>
  <r>
    <d v="2025-01-22T00:00:00"/>
    <x v="1"/>
    <s v="Adventure"/>
    <s v="Website"/>
    <x v="5"/>
    <n v="1"/>
    <x v="10"/>
    <n v="0.13075929750140999"/>
    <x v="10"/>
    <x v="4"/>
    <x v="1"/>
  </r>
  <r>
    <d v="2025-01-22T00:00:00"/>
    <x v="1"/>
    <s v="Foodie"/>
    <s v="Website"/>
    <x v="8"/>
    <n v="2"/>
    <x v="10"/>
    <n v="0.13075929750140999"/>
    <x v="10"/>
    <x v="4"/>
    <x v="1"/>
  </r>
  <r>
    <d v="2025-01-23T00:00:00"/>
    <x v="0"/>
    <s v="Cultural"/>
    <s v="Agent"/>
    <x v="3"/>
    <n v="1"/>
    <x v="10"/>
    <n v="0.13075929750140999"/>
    <x v="10"/>
    <x v="4"/>
    <x v="1"/>
  </r>
  <r>
    <d v="2025-01-23T00:00:00"/>
    <x v="0"/>
    <s v="Foodie"/>
    <s v="Call Center"/>
    <x v="3"/>
    <n v="2"/>
    <x v="10"/>
    <n v="0.13075929750140999"/>
    <x v="10"/>
    <x v="4"/>
    <x v="1"/>
  </r>
  <r>
    <d v="2025-01-23T00:00:00"/>
    <x v="2"/>
    <s v="Beach"/>
    <s v="Mobile App"/>
    <x v="0"/>
    <n v="1"/>
    <x v="10"/>
    <n v="0.13075929750140999"/>
    <x v="10"/>
    <x v="17"/>
    <x v="1"/>
  </r>
  <r>
    <d v="2025-01-23T00:00:00"/>
    <x v="0"/>
    <s v="Beach"/>
    <s v="Website"/>
    <x v="3"/>
    <n v="1"/>
    <x v="10"/>
    <n v="0.13075929750140999"/>
    <x v="10"/>
    <x v="12"/>
    <x v="1"/>
  </r>
  <r>
    <d v="2025-01-23T00:00:00"/>
    <x v="1"/>
    <s v="Family"/>
    <s v="Agent"/>
    <x v="4"/>
    <n v="3"/>
    <x v="10"/>
    <n v="0.13075929750140999"/>
    <x v="10"/>
    <x v="4"/>
    <x v="1"/>
  </r>
  <r>
    <d v="2025-01-23T00:00:00"/>
    <x v="0"/>
    <s v="Cultural"/>
    <s v="Agent"/>
    <x v="1"/>
    <n v="1"/>
    <x v="10"/>
    <n v="0.13075929750140999"/>
    <x v="10"/>
    <x v="6"/>
    <x v="1"/>
  </r>
  <r>
    <d v="2025-01-23T00:00:00"/>
    <x v="0"/>
    <s v="Cultural"/>
    <s v="Agent"/>
    <x v="4"/>
    <n v="3"/>
    <x v="10"/>
    <n v="0.13075929750140999"/>
    <x v="10"/>
    <x v="6"/>
    <x v="1"/>
  </r>
  <r>
    <d v="2025-01-24T00:00:00"/>
    <x v="0"/>
    <s v="Cultural"/>
    <s v="Agent"/>
    <x v="2"/>
    <n v="1"/>
    <x v="10"/>
    <n v="0.13075929750140999"/>
    <x v="10"/>
    <x v="5"/>
    <x v="0"/>
  </r>
  <r>
    <d v="2025-01-24T00:00:00"/>
    <x v="3"/>
    <s v="Cultural"/>
    <s v="Website"/>
    <x v="9"/>
    <n v="1"/>
    <x v="10"/>
    <n v="0.13075929750140999"/>
    <x v="10"/>
    <x v="1"/>
    <x v="1"/>
  </r>
  <r>
    <d v="2025-01-24T00:00:00"/>
    <x v="0"/>
    <s v="Cultural"/>
    <s v="Website"/>
    <x v="9"/>
    <n v="3"/>
    <x v="10"/>
    <n v="0.13075929750140999"/>
    <x v="10"/>
    <x v="10"/>
    <x v="0"/>
  </r>
  <r>
    <d v="2025-01-24T00:00:00"/>
    <x v="0"/>
    <s v="Beach"/>
    <s v="Website"/>
    <x v="5"/>
    <n v="2"/>
    <x v="10"/>
    <n v="0.13075929750140999"/>
    <x v="10"/>
    <x v="4"/>
    <x v="1"/>
  </r>
  <r>
    <d v="2025-01-25T00:00:00"/>
    <x v="0"/>
    <s v="Beach"/>
    <s v="Website"/>
    <x v="4"/>
    <n v="1"/>
    <x v="10"/>
    <n v="0.13075929750140999"/>
    <x v="10"/>
    <x v="1"/>
    <x v="1"/>
  </r>
  <r>
    <d v="2025-01-25T00:00:00"/>
    <x v="2"/>
    <s v="Cultural"/>
    <s v="Website"/>
    <x v="2"/>
    <n v="2"/>
    <x v="10"/>
    <n v="0.13075929750140999"/>
    <x v="10"/>
    <x v="2"/>
    <x v="1"/>
  </r>
  <r>
    <d v="2025-01-25T00:00:00"/>
    <x v="3"/>
    <s v="Family"/>
    <s v="Website"/>
    <x v="8"/>
    <n v="3"/>
    <x v="10"/>
    <n v="0.13075929750140999"/>
    <x v="10"/>
    <x v="10"/>
    <x v="1"/>
  </r>
  <r>
    <d v="2025-01-25T00:00:00"/>
    <x v="0"/>
    <s v="Cultural"/>
    <s v="Mobile App"/>
    <x v="3"/>
    <n v="1"/>
    <x v="10"/>
    <n v="0.13075929750140999"/>
    <x v="10"/>
    <x v="4"/>
    <x v="0"/>
  </r>
  <r>
    <d v="2025-01-25T00:00:00"/>
    <x v="1"/>
    <s v="City Break"/>
    <s v="Agent"/>
    <x v="8"/>
    <n v="2"/>
    <x v="10"/>
    <n v="0.13075929750140999"/>
    <x v="10"/>
    <x v="6"/>
    <x v="1"/>
  </r>
  <r>
    <d v="2025-01-25T00:00:00"/>
    <x v="1"/>
    <s v="Cultural"/>
    <s v="Website"/>
    <x v="2"/>
    <n v="2"/>
    <x v="10"/>
    <n v="0.13075929750140999"/>
    <x v="10"/>
    <x v="2"/>
    <x v="1"/>
  </r>
  <r>
    <d v="2025-01-26T00:00:00"/>
    <x v="0"/>
    <s v="Family"/>
    <s v="Website"/>
    <x v="2"/>
    <n v="1"/>
    <x v="10"/>
    <n v="0.13075929750140999"/>
    <x v="10"/>
    <x v="6"/>
    <x v="0"/>
  </r>
  <r>
    <d v="2025-01-26T00:00:00"/>
    <x v="1"/>
    <s v="Cultural"/>
    <s v="Website"/>
    <x v="2"/>
    <n v="1"/>
    <x v="10"/>
    <n v="0.13075929750140999"/>
    <x v="10"/>
    <x v="1"/>
    <x v="1"/>
  </r>
  <r>
    <d v="2025-01-26T00:00:00"/>
    <x v="1"/>
    <s v="Beach"/>
    <s v="Website"/>
    <x v="3"/>
    <n v="2"/>
    <x v="10"/>
    <n v="0.13075929750140999"/>
    <x v="10"/>
    <x v="9"/>
    <x v="0"/>
  </r>
  <r>
    <d v="2025-01-26T00:00:00"/>
    <x v="2"/>
    <s v="Cultural"/>
    <s v="Agent"/>
    <x v="5"/>
    <n v="2"/>
    <x v="10"/>
    <n v="0.13075929750140999"/>
    <x v="10"/>
    <x v="6"/>
    <x v="1"/>
  </r>
  <r>
    <d v="2025-01-27T00:00:00"/>
    <x v="0"/>
    <s v="Family"/>
    <s v="Agent"/>
    <x v="4"/>
    <n v="3"/>
    <x v="10"/>
    <n v="0.13075929750140999"/>
    <x v="10"/>
    <x v="2"/>
    <x v="1"/>
  </r>
  <r>
    <d v="2025-01-27T00:00:00"/>
    <x v="0"/>
    <s v="Beach"/>
    <s v="Mobile App"/>
    <x v="0"/>
    <n v="2"/>
    <x v="10"/>
    <n v="0.13075929750140999"/>
    <x v="10"/>
    <x v="15"/>
    <x v="0"/>
  </r>
  <r>
    <d v="2025-01-27T00:00:00"/>
    <x v="3"/>
    <s v="Cultural"/>
    <s v="Call Center"/>
    <x v="2"/>
    <n v="2"/>
    <x v="10"/>
    <n v="0.13075929750140999"/>
    <x v="10"/>
    <x v="5"/>
    <x v="1"/>
  </r>
  <r>
    <d v="2025-01-27T00:00:00"/>
    <x v="0"/>
    <s v="Adventure"/>
    <s v="Mobile App"/>
    <x v="3"/>
    <n v="3"/>
    <x v="10"/>
    <n v="0.13075929750140999"/>
    <x v="10"/>
    <x v="0"/>
    <x v="1"/>
  </r>
  <r>
    <d v="2025-01-27T00:00:00"/>
    <x v="3"/>
    <s v="Adventure"/>
    <s v="Website"/>
    <x v="7"/>
    <n v="4"/>
    <x v="10"/>
    <n v="0.13075929750140999"/>
    <x v="10"/>
    <x v="7"/>
    <x v="1"/>
  </r>
  <r>
    <d v="2025-01-28T00:00:00"/>
    <x v="0"/>
    <s v="Adventure"/>
    <s v="Agent"/>
    <x v="1"/>
    <n v="1"/>
    <x v="10"/>
    <n v="0.13075929750140999"/>
    <x v="10"/>
    <x v="8"/>
    <x v="1"/>
  </r>
  <r>
    <d v="2025-01-28T00:00:00"/>
    <x v="1"/>
    <s v="Adventure"/>
    <s v="Website"/>
    <x v="9"/>
    <n v="1"/>
    <x v="10"/>
    <n v="0.13075929750140999"/>
    <x v="10"/>
    <x v="7"/>
    <x v="0"/>
  </r>
  <r>
    <d v="2025-01-28T00:00:00"/>
    <x v="0"/>
    <s v="Beach"/>
    <s v="Mobile App"/>
    <x v="2"/>
    <n v="1"/>
    <x v="10"/>
    <n v="0.13075929750140999"/>
    <x v="10"/>
    <x v="12"/>
    <x v="1"/>
  </r>
  <r>
    <d v="2025-01-28T00:00:00"/>
    <x v="3"/>
    <s v="Beach"/>
    <s v="Mobile App"/>
    <x v="4"/>
    <n v="1"/>
    <x v="10"/>
    <n v="0.13075929750140999"/>
    <x v="10"/>
    <x v="15"/>
    <x v="1"/>
  </r>
  <r>
    <d v="2025-01-28T00:00:00"/>
    <x v="1"/>
    <s v="City Break"/>
    <s v="Website"/>
    <x v="5"/>
    <n v="1"/>
    <x v="10"/>
    <n v="0.13075929750140999"/>
    <x v="10"/>
    <x v="6"/>
    <x v="0"/>
  </r>
  <r>
    <d v="2025-01-29T00:00:00"/>
    <x v="3"/>
    <s v="Foodie"/>
    <s v="Mobile App"/>
    <x v="4"/>
    <n v="4"/>
    <x v="10"/>
    <n v="0.13075929750140999"/>
    <x v="10"/>
    <x v="5"/>
    <x v="1"/>
  </r>
  <r>
    <d v="2025-01-29T00:00:00"/>
    <x v="1"/>
    <s v="Cultural"/>
    <s v="Mobile App"/>
    <x v="2"/>
    <n v="1"/>
    <x v="10"/>
    <n v="0.13075929750140999"/>
    <x v="10"/>
    <x v="12"/>
    <x v="1"/>
  </r>
  <r>
    <d v="2025-01-29T00:00:00"/>
    <x v="3"/>
    <s v="Family"/>
    <s v="Mobile App"/>
    <x v="4"/>
    <n v="3"/>
    <x v="10"/>
    <n v="0.13075929750140999"/>
    <x v="10"/>
    <x v="6"/>
    <x v="1"/>
  </r>
  <r>
    <d v="2025-01-30T00:00:00"/>
    <x v="0"/>
    <s v="City Break"/>
    <s v="Website"/>
    <x v="0"/>
    <n v="1"/>
    <x v="10"/>
    <n v="0.13075929750140999"/>
    <x v="10"/>
    <x v="14"/>
    <x v="0"/>
  </r>
  <r>
    <d v="2025-01-30T00:00:00"/>
    <x v="2"/>
    <s v="Adventure"/>
    <s v="Mobile App"/>
    <x v="2"/>
    <n v="1"/>
    <x v="10"/>
    <n v="0.13075929750140999"/>
    <x v="10"/>
    <x v="6"/>
    <x v="0"/>
  </r>
  <r>
    <d v="2025-01-30T00:00:00"/>
    <x v="2"/>
    <s v="City Break"/>
    <s v="Mobile App"/>
    <x v="9"/>
    <n v="3"/>
    <x v="10"/>
    <n v="0.13075929750140999"/>
    <x v="10"/>
    <x v="14"/>
    <x v="1"/>
  </r>
  <r>
    <d v="2025-01-31T00:00:00"/>
    <x v="0"/>
    <s v="Beach"/>
    <s v="Agent"/>
    <x v="7"/>
    <n v="2"/>
    <x v="10"/>
    <n v="0.13075929750140999"/>
    <x v="10"/>
    <x v="4"/>
    <x v="1"/>
  </r>
  <r>
    <d v="2025-01-31T00:00:00"/>
    <x v="1"/>
    <s v="Beach"/>
    <s v="Website"/>
    <x v="4"/>
    <n v="2"/>
    <x v="10"/>
    <n v="0.13075929750140999"/>
    <x v="10"/>
    <x v="4"/>
    <x v="1"/>
  </r>
  <r>
    <d v="2025-01-31T00:00:00"/>
    <x v="3"/>
    <s v="Adventure"/>
    <s v="Website"/>
    <x v="8"/>
    <n v="1"/>
    <x v="10"/>
    <n v="0.13075929750140999"/>
    <x v="10"/>
    <x v="0"/>
    <x v="1"/>
  </r>
  <r>
    <d v="2025-02-01T00:00:00"/>
    <x v="1"/>
    <s v="Beach"/>
    <s v="Website"/>
    <x v="5"/>
    <n v="3"/>
    <x v="10"/>
    <n v="0.13075929750140999"/>
    <x v="10"/>
    <x v="13"/>
    <x v="0"/>
  </r>
  <r>
    <d v="2025-02-01T00:00:00"/>
    <x v="0"/>
    <s v="Foodie"/>
    <s v="Website"/>
    <x v="7"/>
    <n v="2"/>
    <x v="10"/>
    <n v="0.13075929750140999"/>
    <x v="10"/>
    <x v="10"/>
    <x v="1"/>
  </r>
  <r>
    <d v="2025-02-02T00:00:00"/>
    <x v="3"/>
    <s v="Beach"/>
    <s v="Website"/>
    <x v="7"/>
    <n v="1"/>
    <x v="10"/>
    <n v="0.13075929750140999"/>
    <x v="10"/>
    <x v="9"/>
    <x v="1"/>
  </r>
  <r>
    <d v="2025-02-02T00:00:00"/>
    <x v="1"/>
    <s v="Cultural"/>
    <s v="Website"/>
    <x v="5"/>
    <n v="1"/>
    <x v="10"/>
    <n v="0.13075929750140999"/>
    <x v="10"/>
    <x v="15"/>
    <x v="1"/>
  </r>
  <r>
    <d v="2025-02-02T00:00:00"/>
    <x v="0"/>
    <s v="Adventure"/>
    <s v="Mobile App"/>
    <x v="0"/>
    <n v="2"/>
    <x v="10"/>
    <n v="0.13075929750140999"/>
    <x v="10"/>
    <x v="1"/>
    <x v="1"/>
  </r>
  <r>
    <d v="2025-02-02T00:00:00"/>
    <x v="3"/>
    <s v="Family"/>
    <s v="Website"/>
    <x v="9"/>
    <n v="3"/>
    <x v="10"/>
    <n v="0.13075929750140999"/>
    <x v="10"/>
    <x v="14"/>
    <x v="1"/>
  </r>
  <r>
    <d v="2025-02-02T00:00:00"/>
    <x v="1"/>
    <s v="Foodie"/>
    <s v="Website"/>
    <x v="8"/>
    <n v="3"/>
    <x v="10"/>
    <n v="0.13075929750140999"/>
    <x v="10"/>
    <x v="4"/>
    <x v="0"/>
  </r>
  <r>
    <d v="2025-02-03T00:00:00"/>
    <x v="2"/>
    <s v="Beach"/>
    <s v="Mobile App"/>
    <x v="8"/>
    <n v="1"/>
    <x v="10"/>
    <n v="0.13075929750140999"/>
    <x v="10"/>
    <x v="4"/>
    <x v="1"/>
  </r>
  <r>
    <d v="2025-02-04T00:00:00"/>
    <x v="2"/>
    <s v="Family"/>
    <s v="Website"/>
    <x v="4"/>
    <n v="5"/>
    <x v="10"/>
    <n v="0.13075929750140999"/>
    <x v="10"/>
    <x v="15"/>
    <x v="1"/>
  </r>
  <r>
    <d v="2025-02-04T00:00:00"/>
    <x v="0"/>
    <s v="Family"/>
    <s v="Website"/>
    <x v="5"/>
    <n v="1"/>
    <x v="10"/>
    <n v="0.13075929750140999"/>
    <x v="10"/>
    <x v="17"/>
    <x v="1"/>
  </r>
  <r>
    <d v="2025-02-05T00:00:00"/>
    <x v="2"/>
    <s v="Family"/>
    <s v="Website"/>
    <x v="3"/>
    <n v="4"/>
    <x v="10"/>
    <n v="0.13075929750140999"/>
    <x v="10"/>
    <x v="12"/>
    <x v="1"/>
  </r>
  <r>
    <d v="2025-02-05T00:00:00"/>
    <x v="2"/>
    <s v="Adventure"/>
    <s v="Mobile App"/>
    <x v="3"/>
    <n v="1"/>
    <x v="10"/>
    <n v="0.13075929750140999"/>
    <x v="10"/>
    <x v="1"/>
    <x v="0"/>
  </r>
  <r>
    <d v="2025-02-05T00:00:00"/>
    <x v="1"/>
    <s v="Family"/>
    <s v="Website"/>
    <x v="9"/>
    <n v="4"/>
    <x v="10"/>
    <n v="0.13075929750140999"/>
    <x v="10"/>
    <x v="8"/>
    <x v="1"/>
  </r>
  <r>
    <d v="2025-02-05T00:00:00"/>
    <x v="0"/>
    <s v="Adventure"/>
    <s v="Website"/>
    <x v="0"/>
    <n v="1"/>
    <x v="10"/>
    <n v="0.13075929750140999"/>
    <x v="10"/>
    <x v="12"/>
    <x v="1"/>
  </r>
  <r>
    <d v="2025-02-06T00:00:00"/>
    <x v="0"/>
    <s v="Foodie"/>
    <s v="Website"/>
    <x v="0"/>
    <n v="1"/>
    <x v="10"/>
    <n v="0.13075929750140999"/>
    <x v="10"/>
    <x v="14"/>
    <x v="1"/>
  </r>
  <r>
    <d v="2025-02-06T00:00:00"/>
    <x v="1"/>
    <s v="City Break"/>
    <s v="Website"/>
    <x v="7"/>
    <n v="3"/>
    <x v="10"/>
    <n v="0.13075929750140999"/>
    <x v="10"/>
    <x v="1"/>
    <x v="1"/>
  </r>
  <r>
    <d v="2025-02-06T00:00:00"/>
    <x v="2"/>
    <s v="City Break"/>
    <s v="Website"/>
    <x v="0"/>
    <n v="1"/>
    <x v="10"/>
    <n v="0.13075929750140999"/>
    <x v="10"/>
    <x v="12"/>
    <x v="1"/>
  </r>
  <r>
    <d v="2025-02-06T00:00:00"/>
    <x v="3"/>
    <s v="Family"/>
    <s v="Website"/>
    <x v="8"/>
    <n v="4"/>
    <x v="10"/>
    <n v="0.13075929750140999"/>
    <x v="10"/>
    <x v="14"/>
    <x v="1"/>
  </r>
  <r>
    <d v="2025-02-06T00:00:00"/>
    <x v="0"/>
    <s v="Beach"/>
    <s v="Website"/>
    <x v="8"/>
    <n v="2"/>
    <x v="10"/>
    <n v="0.13075929750140999"/>
    <x v="10"/>
    <x v="3"/>
    <x v="0"/>
  </r>
  <r>
    <d v="2025-02-06T00:00:00"/>
    <x v="1"/>
    <s v="Family"/>
    <s v="Agent"/>
    <x v="1"/>
    <n v="2"/>
    <x v="10"/>
    <n v="0.13075929750140999"/>
    <x v="10"/>
    <x v="13"/>
    <x v="1"/>
  </r>
  <r>
    <d v="2025-02-06T00:00:00"/>
    <x v="1"/>
    <s v="Adventure"/>
    <s v="Website"/>
    <x v="1"/>
    <n v="2"/>
    <x v="10"/>
    <n v="0.13075929750140999"/>
    <x v="10"/>
    <x v="1"/>
    <x v="1"/>
  </r>
  <r>
    <d v="2025-02-07T00:00:00"/>
    <x v="0"/>
    <s v="Adventure"/>
    <s v="Mobile App"/>
    <x v="0"/>
    <n v="1"/>
    <x v="10"/>
    <n v="0.13075929750140999"/>
    <x v="10"/>
    <x v="1"/>
    <x v="1"/>
  </r>
  <r>
    <d v="2025-02-07T00:00:00"/>
    <x v="0"/>
    <s v="Cultural"/>
    <s v="Website"/>
    <x v="8"/>
    <n v="1"/>
    <x v="10"/>
    <n v="0.13075929750140999"/>
    <x v="10"/>
    <x v="8"/>
    <x v="1"/>
  </r>
  <r>
    <d v="2025-02-08T00:00:00"/>
    <x v="3"/>
    <s v="Adventure"/>
    <s v="Mobile App"/>
    <x v="6"/>
    <n v="4"/>
    <x v="10"/>
    <n v="0.13075929750140999"/>
    <x v="10"/>
    <x v="2"/>
    <x v="1"/>
  </r>
  <r>
    <d v="2025-02-08T00:00:00"/>
    <x v="2"/>
    <s v="Beach"/>
    <s v="Website"/>
    <x v="0"/>
    <n v="1"/>
    <x v="10"/>
    <n v="0.13075929750140999"/>
    <x v="10"/>
    <x v="3"/>
    <x v="1"/>
  </r>
  <r>
    <d v="2025-02-08T00:00:00"/>
    <x v="1"/>
    <s v="Adventure"/>
    <s v="Website"/>
    <x v="8"/>
    <n v="2"/>
    <x v="10"/>
    <n v="0.13075929750140999"/>
    <x v="10"/>
    <x v="12"/>
    <x v="1"/>
  </r>
  <r>
    <d v="2025-02-08T00:00:00"/>
    <x v="0"/>
    <s v="Adventure"/>
    <s v="Website"/>
    <x v="2"/>
    <n v="2"/>
    <x v="10"/>
    <n v="0.13075929750140999"/>
    <x v="10"/>
    <x v="10"/>
    <x v="1"/>
  </r>
  <r>
    <d v="2025-02-08T00:00:00"/>
    <x v="1"/>
    <s v="Adventure"/>
    <s v="Website"/>
    <x v="6"/>
    <n v="1"/>
    <x v="10"/>
    <n v="0.13075929750140999"/>
    <x v="10"/>
    <x v="3"/>
    <x v="1"/>
  </r>
  <r>
    <d v="2025-02-08T00:00:00"/>
    <x v="0"/>
    <s v="Cultural"/>
    <s v="Agent"/>
    <x v="4"/>
    <n v="2"/>
    <x v="10"/>
    <n v="0.13075929750140999"/>
    <x v="10"/>
    <x v="15"/>
    <x v="0"/>
  </r>
  <r>
    <d v="2025-02-08T00:00:00"/>
    <x v="1"/>
    <s v="Adventure"/>
    <s v="Mobile App"/>
    <x v="7"/>
    <n v="2"/>
    <x v="10"/>
    <n v="0.13075929750140999"/>
    <x v="10"/>
    <x v="2"/>
    <x v="1"/>
  </r>
  <r>
    <d v="2025-02-09T00:00:00"/>
    <x v="2"/>
    <s v="Beach"/>
    <s v="Website"/>
    <x v="1"/>
    <n v="2"/>
    <x v="10"/>
    <n v="0.13075929750140999"/>
    <x v="10"/>
    <x v="24"/>
    <x v="1"/>
  </r>
  <r>
    <d v="2025-02-09T00:00:00"/>
    <x v="1"/>
    <s v="Foodie"/>
    <s v="Website"/>
    <x v="8"/>
    <n v="1"/>
    <x v="10"/>
    <n v="0.13075929750140999"/>
    <x v="10"/>
    <x v="7"/>
    <x v="0"/>
  </r>
  <r>
    <d v="2025-02-09T00:00:00"/>
    <x v="3"/>
    <s v="Beach"/>
    <s v="Website"/>
    <x v="9"/>
    <n v="1"/>
    <x v="10"/>
    <n v="0.13075929750140999"/>
    <x v="10"/>
    <x v="1"/>
    <x v="0"/>
  </r>
  <r>
    <d v="2025-02-09T00:00:00"/>
    <x v="1"/>
    <s v="Beach"/>
    <s v="Website"/>
    <x v="4"/>
    <n v="3"/>
    <x v="10"/>
    <n v="0.13075929750140999"/>
    <x v="10"/>
    <x v="1"/>
    <x v="1"/>
  </r>
  <r>
    <d v="2025-02-09T00:00:00"/>
    <x v="3"/>
    <s v="Beach"/>
    <s v="Website"/>
    <x v="5"/>
    <n v="1"/>
    <x v="10"/>
    <n v="0.13075929750140999"/>
    <x v="10"/>
    <x v="18"/>
    <x v="1"/>
  </r>
  <r>
    <d v="2025-02-10T00:00:00"/>
    <x v="0"/>
    <s v="City Break"/>
    <s v="Mobile App"/>
    <x v="3"/>
    <n v="1"/>
    <x v="10"/>
    <n v="0.13075929750140999"/>
    <x v="10"/>
    <x v="9"/>
    <x v="1"/>
  </r>
  <r>
    <d v="2025-02-10T00:00:00"/>
    <x v="0"/>
    <s v="Family"/>
    <s v="Agent"/>
    <x v="3"/>
    <n v="2"/>
    <x v="10"/>
    <n v="0.13075929750140999"/>
    <x v="10"/>
    <x v="12"/>
    <x v="0"/>
  </r>
  <r>
    <d v="2025-02-10T00:00:00"/>
    <x v="0"/>
    <s v="Family"/>
    <s v="Website"/>
    <x v="0"/>
    <n v="2"/>
    <x v="10"/>
    <n v="0.13075929750140999"/>
    <x v="10"/>
    <x v="13"/>
    <x v="1"/>
  </r>
  <r>
    <d v="2025-02-10T00:00:00"/>
    <x v="2"/>
    <s v="Beach"/>
    <s v="Website"/>
    <x v="0"/>
    <n v="2"/>
    <x v="10"/>
    <n v="0.13075929750140999"/>
    <x v="10"/>
    <x v="5"/>
    <x v="1"/>
  </r>
  <r>
    <d v="2025-02-10T00:00:00"/>
    <x v="0"/>
    <s v="Cultural"/>
    <s v="Website"/>
    <x v="9"/>
    <n v="3"/>
    <x v="10"/>
    <n v="0.13075929750140999"/>
    <x v="10"/>
    <x v="12"/>
    <x v="1"/>
  </r>
  <r>
    <d v="2025-02-10T00:00:00"/>
    <x v="1"/>
    <s v="Cultural"/>
    <s v="Website"/>
    <x v="2"/>
    <n v="2"/>
    <x v="10"/>
    <n v="0.13075929750140999"/>
    <x v="10"/>
    <x v="0"/>
    <x v="1"/>
  </r>
  <r>
    <d v="2025-02-10T00:00:00"/>
    <x v="0"/>
    <s v="Foodie"/>
    <s v="Website"/>
    <x v="1"/>
    <n v="3"/>
    <x v="10"/>
    <n v="0.13075929750140999"/>
    <x v="10"/>
    <x v="10"/>
    <x v="1"/>
  </r>
  <r>
    <d v="2025-02-11T00:00:00"/>
    <x v="0"/>
    <s v="Beach"/>
    <s v="Website"/>
    <x v="6"/>
    <n v="1"/>
    <x v="10"/>
    <n v="0.13075929750140999"/>
    <x v="10"/>
    <x v="13"/>
    <x v="0"/>
  </r>
  <r>
    <d v="2025-02-11T00:00:00"/>
    <x v="0"/>
    <s v="Cultural"/>
    <s v="Mobile App"/>
    <x v="7"/>
    <n v="2"/>
    <x v="10"/>
    <n v="0.13075929750140999"/>
    <x v="10"/>
    <x v="12"/>
    <x v="1"/>
  </r>
  <r>
    <d v="2025-02-11T00:00:00"/>
    <x v="3"/>
    <s v="Beach"/>
    <s v="Mobile App"/>
    <x v="8"/>
    <n v="2"/>
    <x v="10"/>
    <n v="0.13075929750140999"/>
    <x v="10"/>
    <x v="0"/>
    <x v="1"/>
  </r>
  <r>
    <d v="2025-02-12T00:00:00"/>
    <x v="3"/>
    <s v="Beach"/>
    <s v="Mobile App"/>
    <x v="5"/>
    <n v="1"/>
    <x v="10"/>
    <n v="0.13075929750140999"/>
    <x v="10"/>
    <x v="6"/>
    <x v="1"/>
  </r>
  <r>
    <d v="2025-02-12T00:00:00"/>
    <x v="0"/>
    <s v="Beach"/>
    <s v="Website"/>
    <x v="0"/>
    <n v="1"/>
    <x v="10"/>
    <n v="0.13075929750140999"/>
    <x v="10"/>
    <x v="20"/>
    <x v="1"/>
  </r>
  <r>
    <d v="2025-02-12T00:00:00"/>
    <x v="3"/>
    <s v="Adventure"/>
    <s v="Website"/>
    <x v="8"/>
    <n v="3"/>
    <x v="10"/>
    <n v="0.13075929750140999"/>
    <x v="10"/>
    <x v="2"/>
    <x v="1"/>
  </r>
  <r>
    <d v="2025-02-13T00:00:00"/>
    <x v="2"/>
    <s v="Cultural"/>
    <s v="Mobile App"/>
    <x v="7"/>
    <n v="1"/>
    <x v="10"/>
    <n v="0.13075929750140999"/>
    <x v="10"/>
    <x v="4"/>
    <x v="1"/>
  </r>
  <r>
    <d v="2025-02-13T00:00:00"/>
    <x v="1"/>
    <s v="Cultural"/>
    <s v="Mobile App"/>
    <x v="8"/>
    <n v="1"/>
    <x v="10"/>
    <n v="0.13075929750140999"/>
    <x v="10"/>
    <x v="0"/>
    <x v="1"/>
  </r>
  <r>
    <d v="2025-02-13T00:00:00"/>
    <x v="2"/>
    <s v="Foodie"/>
    <s v="Mobile App"/>
    <x v="9"/>
    <n v="2"/>
    <x v="10"/>
    <n v="0.13075929750140999"/>
    <x v="10"/>
    <x v="0"/>
    <x v="0"/>
  </r>
  <r>
    <d v="2025-02-13T00:00:00"/>
    <x v="1"/>
    <s v="Adventure"/>
    <s v="Website"/>
    <x v="6"/>
    <n v="2"/>
    <x v="10"/>
    <n v="0.13075929750140999"/>
    <x v="10"/>
    <x v="17"/>
    <x v="0"/>
  </r>
  <r>
    <d v="2025-02-13T00:00:00"/>
    <x v="0"/>
    <s v="City Break"/>
    <s v="Website"/>
    <x v="2"/>
    <n v="4"/>
    <x v="10"/>
    <n v="0.13075929750140999"/>
    <x v="10"/>
    <x v="2"/>
    <x v="1"/>
  </r>
  <r>
    <d v="2025-02-14T00:00:00"/>
    <x v="0"/>
    <s v="Beach"/>
    <s v="Website"/>
    <x v="1"/>
    <n v="2"/>
    <x v="10"/>
    <n v="0.13075929750140999"/>
    <x v="10"/>
    <x v="0"/>
    <x v="1"/>
  </r>
  <r>
    <d v="2025-02-14T00:00:00"/>
    <x v="0"/>
    <s v="Foodie"/>
    <s v="Website"/>
    <x v="8"/>
    <n v="2"/>
    <x v="10"/>
    <n v="0.13075929750140999"/>
    <x v="10"/>
    <x v="14"/>
    <x v="1"/>
  </r>
  <r>
    <d v="2025-02-14T00:00:00"/>
    <x v="1"/>
    <s v="Beach"/>
    <s v="Agent"/>
    <x v="9"/>
    <n v="3"/>
    <x v="10"/>
    <n v="0.13075929750140999"/>
    <x v="10"/>
    <x v="20"/>
    <x v="0"/>
  </r>
  <r>
    <d v="2025-02-14T00:00:00"/>
    <x v="0"/>
    <s v="Cultural"/>
    <s v="Website"/>
    <x v="7"/>
    <n v="3"/>
    <x v="10"/>
    <n v="0.13075929750140999"/>
    <x v="10"/>
    <x v="7"/>
    <x v="1"/>
  </r>
  <r>
    <d v="2025-02-14T00:00:00"/>
    <x v="3"/>
    <s v="Beach"/>
    <s v="Agent"/>
    <x v="6"/>
    <n v="2"/>
    <x v="10"/>
    <n v="0.13075929750140999"/>
    <x v="10"/>
    <x v="12"/>
    <x v="1"/>
  </r>
  <r>
    <d v="2025-02-14T00:00:00"/>
    <x v="1"/>
    <s v="Foodie"/>
    <s v="Website"/>
    <x v="7"/>
    <n v="1"/>
    <x v="10"/>
    <n v="0.13075929750140999"/>
    <x v="10"/>
    <x v="2"/>
    <x v="1"/>
  </r>
  <r>
    <d v="2025-02-15T00:00:00"/>
    <x v="0"/>
    <s v="Beach"/>
    <s v="Website"/>
    <x v="4"/>
    <n v="1"/>
    <x v="10"/>
    <n v="0.13075929750140999"/>
    <x v="10"/>
    <x v="2"/>
    <x v="1"/>
  </r>
  <r>
    <d v="2025-02-15T00:00:00"/>
    <x v="1"/>
    <s v="Cultural"/>
    <s v="Website"/>
    <x v="6"/>
    <n v="3"/>
    <x v="10"/>
    <n v="0.13075929750140999"/>
    <x v="10"/>
    <x v="15"/>
    <x v="1"/>
  </r>
  <r>
    <d v="2025-02-16T00:00:00"/>
    <x v="1"/>
    <s v="City Break"/>
    <s v="Website"/>
    <x v="5"/>
    <n v="3"/>
    <x v="10"/>
    <n v="0.13075929750140999"/>
    <x v="10"/>
    <x v="6"/>
    <x v="1"/>
  </r>
  <r>
    <d v="2025-02-16T00:00:00"/>
    <x v="1"/>
    <s v="Family"/>
    <s v="Mobile App"/>
    <x v="0"/>
    <n v="2"/>
    <x v="10"/>
    <n v="0.13075929750140999"/>
    <x v="10"/>
    <x v="16"/>
    <x v="1"/>
  </r>
  <r>
    <d v="2025-02-16T00:00:00"/>
    <x v="1"/>
    <s v="Cultural"/>
    <s v="Call Center"/>
    <x v="0"/>
    <n v="1"/>
    <x v="10"/>
    <n v="0.13075929750140999"/>
    <x v="10"/>
    <x v="15"/>
    <x v="1"/>
  </r>
  <r>
    <d v="2025-02-16T00:00:00"/>
    <x v="3"/>
    <s v="Cultural"/>
    <s v="Website"/>
    <x v="8"/>
    <n v="3"/>
    <x v="10"/>
    <n v="0.13075929750140999"/>
    <x v="10"/>
    <x v="1"/>
    <x v="1"/>
  </r>
  <r>
    <d v="2025-02-18T00:00:00"/>
    <x v="3"/>
    <s v="Cultural"/>
    <s v="Mobile App"/>
    <x v="9"/>
    <n v="2"/>
    <x v="10"/>
    <n v="0.13075929750140999"/>
    <x v="10"/>
    <x v="11"/>
    <x v="1"/>
  </r>
  <r>
    <d v="2025-02-19T00:00:00"/>
    <x v="3"/>
    <s v="Family"/>
    <s v="Agent"/>
    <x v="8"/>
    <n v="5"/>
    <x v="10"/>
    <n v="0.13075929750140999"/>
    <x v="10"/>
    <x v="7"/>
    <x v="1"/>
  </r>
  <r>
    <d v="2025-02-19T00:00:00"/>
    <x v="1"/>
    <s v="Beach"/>
    <s v="Agent"/>
    <x v="9"/>
    <n v="2"/>
    <x v="10"/>
    <n v="0.13075929750140999"/>
    <x v="10"/>
    <x v="1"/>
    <x v="1"/>
  </r>
  <r>
    <d v="2025-02-20T00:00:00"/>
    <x v="0"/>
    <s v="Beach"/>
    <s v="Website"/>
    <x v="9"/>
    <n v="1"/>
    <x v="10"/>
    <n v="0.13075929750140999"/>
    <x v="10"/>
    <x v="0"/>
    <x v="1"/>
  </r>
  <r>
    <d v="2025-02-20T00:00:00"/>
    <x v="0"/>
    <s v="Beach"/>
    <s v="Website"/>
    <x v="9"/>
    <n v="2"/>
    <x v="10"/>
    <n v="0.13075929750140999"/>
    <x v="10"/>
    <x v="9"/>
    <x v="1"/>
  </r>
  <r>
    <d v="2025-02-21T00:00:00"/>
    <x v="0"/>
    <s v="Family"/>
    <s v="Agent"/>
    <x v="9"/>
    <n v="1"/>
    <x v="10"/>
    <n v="0.13075929750140999"/>
    <x v="10"/>
    <x v="8"/>
    <x v="1"/>
  </r>
  <r>
    <d v="2025-02-21T00:00:00"/>
    <x v="1"/>
    <s v="Family"/>
    <s v="Website"/>
    <x v="2"/>
    <n v="3"/>
    <x v="10"/>
    <n v="0.13075929750140999"/>
    <x v="10"/>
    <x v="6"/>
    <x v="0"/>
  </r>
  <r>
    <d v="2025-02-22T00:00:00"/>
    <x v="1"/>
    <s v="Cultural"/>
    <s v="Mobile App"/>
    <x v="3"/>
    <n v="1"/>
    <x v="10"/>
    <n v="0.13075929750140999"/>
    <x v="10"/>
    <x v="14"/>
    <x v="1"/>
  </r>
  <r>
    <d v="2025-02-22T00:00:00"/>
    <x v="2"/>
    <s v="Beach"/>
    <s v="Agent"/>
    <x v="7"/>
    <n v="1"/>
    <x v="10"/>
    <n v="0.13075929750140999"/>
    <x v="10"/>
    <x v="8"/>
    <x v="0"/>
  </r>
  <r>
    <d v="2025-02-22T00:00:00"/>
    <x v="1"/>
    <s v="Cultural"/>
    <s v="Agent"/>
    <x v="1"/>
    <n v="1"/>
    <x v="10"/>
    <n v="0.13075929750140999"/>
    <x v="10"/>
    <x v="14"/>
    <x v="1"/>
  </r>
  <r>
    <d v="2025-02-22T00:00:00"/>
    <x v="0"/>
    <s v="City Break"/>
    <s v="Website"/>
    <x v="2"/>
    <n v="1"/>
    <x v="10"/>
    <n v="0.13075929750140999"/>
    <x v="10"/>
    <x v="2"/>
    <x v="1"/>
  </r>
  <r>
    <d v="2025-02-23T00:00:00"/>
    <x v="3"/>
    <s v="Adventure"/>
    <s v="Mobile App"/>
    <x v="8"/>
    <n v="2"/>
    <x v="10"/>
    <n v="0.13075929750140999"/>
    <x v="10"/>
    <x v="4"/>
    <x v="1"/>
  </r>
  <r>
    <d v="2025-02-23T00:00:00"/>
    <x v="1"/>
    <s v="Beach"/>
    <s v="Agent"/>
    <x v="6"/>
    <n v="1"/>
    <x v="10"/>
    <n v="0.13075929750140999"/>
    <x v="10"/>
    <x v="12"/>
    <x v="1"/>
  </r>
  <r>
    <d v="2025-02-23T00:00:00"/>
    <x v="0"/>
    <s v="Family"/>
    <s v="Agent"/>
    <x v="7"/>
    <n v="2"/>
    <x v="10"/>
    <n v="0.13075929750140999"/>
    <x v="10"/>
    <x v="7"/>
    <x v="1"/>
  </r>
  <r>
    <d v="2025-02-23T00:00:00"/>
    <x v="1"/>
    <s v="City Break"/>
    <s v="Website"/>
    <x v="7"/>
    <n v="4"/>
    <x v="10"/>
    <n v="0.13075929750140999"/>
    <x v="10"/>
    <x v="6"/>
    <x v="1"/>
  </r>
  <r>
    <d v="2025-02-23T00:00:00"/>
    <x v="2"/>
    <s v="Cultural"/>
    <s v="Mobile App"/>
    <x v="7"/>
    <n v="2"/>
    <x v="10"/>
    <n v="0.13075929750140999"/>
    <x v="10"/>
    <x v="7"/>
    <x v="1"/>
  </r>
  <r>
    <d v="2025-02-23T00:00:00"/>
    <x v="1"/>
    <s v="Beach"/>
    <s v="Mobile App"/>
    <x v="9"/>
    <n v="1"/>
    <x v="10"/>
    <n v="0.13075929750140999"/>
    <x v="10"/>
    <x v="4"/>
    <x v="1"/>
  </r>
  <r>
    <d v="2025-02-23T00:00:00"/>
    <x v="1"/>
    <s v="Adventure"/>
    <s v="Agent"/>
    <x v="3"/>
    <n v="1"/>
    <x v="10"/>
    <n v="0.13075929750140999"/>
    <x v="10"/>
    <x v="8"/>
    <x v="1"/>
  </r>
  <r>
    <d v="2025-02-24T00:00:00"/>
    <x v="3"/>
    <s v="Cultural"/>
    <s v="Website"/>
    <x v="3"/>
    <n v="1"/>
    <x v="10"/>
    <n v="0.13075929750140999"/>
    <x v="10"/>
    <x v="7"/>
    <x v="1"/>
  </r>
  <r>
    <d v="2025-02-24T00:00:00"/>
    <x v="3"/>
    <s v="Foodie"/>
    <s v="Website"/>
    <x v="7"/>
    <n v="3"/>
    <x v="10"/>
    <n v="0.13075929750140999"/>
    <x v="10"/>
    <x v="14"/>
    <x v="1"/>
  </r>
  <r>
    <d v="2025-02-25T00:00:00"/>
    <x v="1"/>
    <s v="City Break"/>
    <s v="Mobile App"/>
    <x v="9"/>
    <n v="1"/>
    <x v="10"/>
    <n v="0.13075929750140999"/>
    <x v="10"/>
    <x v="2"/>
    <x v="1"/>
  </r>
  <r>
    <d v="2025-02-25T00:00:00"/>
    <x v="3"/>
    <s v="City Break"/>
    <s v="Website"/>
    <x v="9"/>
    <n v="4"/>
    <x v="10"/>
    <n v="0.13075929750140999"/>
    <x v="10"/>
    <x v="17"/>
    <x v="1"/>
  </r>
  <r>
    <d v="2025-02-25T00:00:00"/>
    <x v="3"/>
    <s v="City Break"/>
    <s v="Website"/>
    <x v="1"/>
    <n v="2"/>
    <x v="10"/>
    <n v="0.13075929750140999"/>
    <x v="10"/>
    <x v="15"/>
    <x v="1"/>
  </r>
  <r>
    <d v="2025-02-25T00:00:00"/>
    <x v="0"/>
    <s v="Cultural"/>
    <s v="Mobile App"/>
    <x v="4"/>
    <n v="1"/>
    <x v="10"/>
    <n v="0.13075929750140999"/>
    <x v="10"/>
    <x v="0"/>
    <x v="1"/>
  </r>
  <r>
    <d v="2025-02-25T00:00:00"/>
    <x v="2"/>
    <s v="Adventure"/>
    <s v="Call Center"/>
    <x v="8"/>
    <n v="5"/>
    <x v="10"/>
    <n v="0.13075929750140999"/>
    <x v="10"/>
    <x v="13"/>
    <x v="1"/>
  </r>
  <r>
    <d v="2025-02-26T00:00:00"/>
    <x v="0"/>
    <s v="Foodie"/>
    <s v="Mobile App"/>
    <x v="2"/>
    <n v="2"/>
    <x v="10"/>
    <n v="0.13075929750140999"/>
    <x v="10"/>
    <x v="6"/>
    <x v="1"/>
  </r>
  <r>
    <d v="2025-02-26T00:00:00"/>
    <x v="0"/>
    <s v="Cultural"/>
    <s v="Website"/>
    <x v="5"/>
    <n v="1"/>
    <x v="10"/>
    <n v="0.13075929750140999"/>
    <x v="10"/>
    <x v="13"/>
    <x v="0"/>
  </r>
  <r>
    <d v="2025-02-26T00:00:00"/>
    <x v="1"/>
    <s v="City Break"/>
    <s v="Website"/>
    <x v="0"/>
    <n v="3"/>
    <x v="10"/>
    <n v="0.13075929750140999"/>
    <x v="10"/>
    <x v="8"/>
    <x v="1"/>
  </r>
  <r>
    <d v="2025-02-26T00:00:00"/>
    <x v="1"/>
    <s v="Family"/>
    <s v="Website"/>
    <x v="3"/>
    <n v="5"/>
    <x v="10"/>
    <n v="0.13075929750140999"/>
    <x v="10"/>
    <x v="4"/>
    <x v="1"/>
  </r>
  <r>
    <d v="2025-02-26T00:00:00"/>
    <x v="0"/>
    <s v="Cultural"/>
    <s v="Website"/>
    <x v="5"/>
    <n v="2"/>
    <x v="10"/>
    <n v="0.13075929750140999"/>
    <x v="10"/>
    <x v="10"/>
    <x v="1"/>
  </r>
  <r>
    <d v="2025-02-27T00:00:00"/>
    <x v="1"/>
    <s v="Cultural"/>
    <s v="Agent"/>
    <x v="6"/>
    <n v="2"/>
    <x v="10"/>
    <n v="0.13075929750140999"/>
    <x v="10"/>
    <x v="12"/>
    <x v="0"/>
  </r>
  <r>
    <d v="2025-02-27T00:00:00"/>
    <x v="1"/>
    <s v="Family"/>
    <s v="Agent"/>
    <x v="3"/>
    <n v="3"/>
    <x v="10"/>
    <n v="0.13075929750140999"/>
    <x v="10"/>
    <x v="12"/>
    <x v="0"/>
  </r>
  <r>
    <d v="2025-02-27T00:00:00"/>
    <x v="3"/>
    <s v="Family"/>
    <s v="Website"/>
    <x v="7"/>
    <n v="1"/>
    <x v="10"/>
    <n v="0.13075929750140999"/>
    <x v="10"/>
    <x v="13"/>
    <x v="0"/>
  </r>
  <r>
    <d v="2025-02-27T00:00:00"/>
    <x v="0"/>
    <s v="Beach"/>
    <s v="Website"/>
    <x v="8"/>
    <n v="2"/>
    <x v="10"/>
    <n v="0.13075929750140999"/>
    <x v="10"/>
    <x v="0"/>
    <x v="1"/>
  </r>
  <r>
    <d v="2025-02-28T00:00:00"/>
    <x v="1"/>
    <s v="Cultural"/>
    <s v="Agent"/>
    <x v="1"/>
    <n v="2"/>
    <x v="10"/>
    <n v="0.13075929750140999"/>
    <x v="10"/>
    <x v="1"/>
    <x v="1"/>
  </r>
  <r>
    <d v="2025-02-28T00:00:00"/>
    <x v="1"/>
    <s v="Family"/>
    <s v="Agent"/>
    <x v="5"/>
    <n v="4"/>
    <x v="10"/>
    <n v="0.13075929750140999"/>
    <x v="10"/>
    <x v="7"/>
    <x v="1"/>
  </r>
  <r>
    <d v="2025-02-28T00:00:00"/>
    <x v="0"/>
    <s v="Family"/>
    <s v="Agent"/>
    <x v="0"/>
    <n v="5"/>
    <x v="10"/>
    <n v="0.13075929750140999"/>
    <x v="10"/>
    <x v="6"/>
    <x v="0"/>
  </r>
  <r>
    <d v="2025-02-28T00:00:00"/>
    <x v="3"/>
    <s v="Cultural"/>
    <s v="Website"/>
    <x v="2"/>
    <n v="1"/>
    <x v="10"/>
    <n v="0.13075929750140999"/>
    <x v="10"/>
    <x v="1"/>
    <x v="1"/>
  </r>
  <r>
    <d v="2025-03-01T00:00:00"/>
    <x v="0"/>
    <s v="Family"/>
    <s v="Website"/>
    <x v="9"/>
    <n v="3"/>
    <x v="10"/>
    <n v="0.13075929750140999"/>
    <x v="10"/>
    <x v="0"/>
    <x v="1"/>
  </r>
  <r>
    <d v="2025-03-01T00:00:00"/>
    <x v="3"/>
    <s v="Beach"/>
    <s v="Website"/>
    <x v="3"/>
    <n v="3"/>
    <x v="10"/>
    <n v="0.13075929750140999"/>
    <x v="10"/>
    <x v="2"/>
    <x v="0"/>
  </r>
  <r>
    <d v="2025-03-01T00:00:00"/>
    <x v="0"/>
    <s v="Adventure"/>
    <s v="Agent"/>
    <x v="5"/>
    <n v="3"/>
    <x v="10"/>
    <n v="0.13075929750140999"/>
    <x v="10"/>
    <x v="14"/>
    <x v="1"/>
  </r>
  <r>
    <d v="2025-03-01T00:00:00"/>
    <x v="3"/>
    <s v="Family"/>
    <s v="Website"/>
    <x v="2"/>
    <n v="2"/>
    <x v="10"/>
    <n v="0.13075929750140999"/>
    <x v="10"/>
    <x v="13"/>
    <x v="1"/>
  </r>
  <r>
    <d v="2025-03-01T00:00:00"/>
    <x v="3"/>
    <s v="Adventure"/>
    <s v="Agent"/>
    <x v="2"/>
    <n v="1"/>
    <x v="10"/>
    <n v="0.13075929750140999"/>
    <x v="10"/>
    <x v="4"/>
    <x v="1"/>
  </r>
  <r>
    <d v="2025-03-01T00:00:00"/>
    <x v="3"/>
    <s v="Adventure"/>
    <s v="Mobile App"/>
    <x v="4"/>
    <n v="1"/>
    <x v="10"/>
    <n v="0.13075929750140999"/>
    <x v="10"/>
    <x v="9"/>
    <x v="1"/>
  </r>
  <r>
    <d v="2025-03-01T00:00:00"/>
    <x v="1"/>
    <s v="Foodie"/>
    <s v="Website"/>
    <x v="1"/>
    <n v="3"/>
    <x v="10"/>
    <n v="0.13075929750140999"/>
    <x v="10"/>
    <x v="0"/>
    <x v="1"/>
  </r>
  <r>
    <d v="2025-03-01T00:00:00"/>
    <x v="0"/>
    <s v="Family"/>
    <s v="Agent"/>
    <x v="0"/>
    <n v="4"/>
    <x v="10"/>
    <n v="0.13075929750140999"/>
    <x v="10"/>
    <x v="6"/>
    <x v="1"/>
  </r>
  <r>
    <d v="2025-03-01T00:00:00"/>
    <x v="1"/>
    <s v="Beach"/>
    <s v="Mobile App"/>
    <x v="7"/>
    <n v="3"/>
    <x v="10"/>
    <n v="0.13075929750140999"/>
    <x v="10"/>
    <x v="4"/>
    <x v="0"/>
  </r>
  <r>
    <d v="2025-03-02T00:00:00"/>
    <x v="1"/>
    <s v="Family"/>
    <s v="Mobile App"/>
    <x v="1"/>
    <n v="3"/>
    <x v="10"/>
    <n v="0.13075929750140999"/>
    <x v="10"/>
    <x v="1"/>
    <x v="1"/>
  </r>
  <r>
    <d v="2025-03-02T00:00:00"/>
    <x v="1"/>
    <s v="Beach"/>
    <s v="Website"/>
    <x v="4"/>
    <n v="5"/>
    <x v="10"/>
    <n v="0.13075929750140999"/>
    <x v="10"/>
    <x v="9"/>
    <x v="0"/>
  </r>
  <r>
    <d v="2025-03-02T00:00:00"/>
    <x v="2"/>
    <s v="Foodie"/>
    <s v="Website"/>
    <x v="1"/>
    <n v="4"/>
    <x v="10"/>
    <n v="0.13075929750140999"/>
    <x v="10"/>
    <x v="3"/>
    <x v="1"/>
  </r>
  <r>
    <d v="2025-03-03T00:00:00"/>
    <x v="1"/>
    <s v="City Break"/>
    <s v="Website"/>
    <x v="5"/>
    <n v="2"/>
    <x v="10"/>
    <n v="0.13075929750140999"/>
    <x v="10"/>
    <x v="2"/>
    <x v="0"/>
  </r>
  <r>
    <d v="2025-03-04T00:00:00"/>
    <x v="3"/>
    <s v="Cultural"/>
    <s v="Website"/>
    <x v="1"/>
    <n v="1"/>
    <x v="10"/>
    <n v="0.13075929750140999"/>
    <x v="10"/>
    <x v="4"/>
    <x v="1"/>
  </r>
  <r>
    <d v="2025-03-05T00:00:00"/>
    <x v="0"/>
    <s v="City Break"/>
    <s v="Website"/>
    <x v="2"/>
    <n v="3"/>
    <x v="10"/>
    <n v="0.13075929750140999"/>
    <x v="10"/>
    <x v="0"/>
    <x v="1"/>
  </r>
  <r>
    <d v="2025-03-05T00:00:00"/>
    <x v="1"/>
    <s v="Family"/>
    <s v="Agent"/>
    <x v="6"/>
    <n v="3"/>
    <x v="10"/>
    <n v="0.13075929750140999"/>
    <x v="10"/>
    <x v="3"/>
    <x v="1"/>
  </r>
  <r>
    <d v="2025-03-05T00:00:00"/>
    <x v="1"/>
    <s v="Beach"/>
    <s v="Website"/>
    <x v="9"/>
    <n v="1"/>
    <x v="10"/>
    <n v="0.13075929750140999"/>
    <x v="10"/>
    <x v="17"/>
    <x v="1"/>
  </r>
  <r>
    <d v="2025-03-06T00:00:00"/>
    <x v="2"/>
    <s v="Adventure"/>
    <s v="Website"/>
    <x v="3"/>
    <n v="4"/>
    <x v="10"/>
    <n v="0.13075929750140999"/>
    <x v="10"/>
    <x v="2"/>
    <x v="1"/>
  </r>
  <r>
    <d v="2025-03-06T00:00:00"/>
    <x v="2"/>
    <s v="City Break"/>
    <s v="Website"/>
    <x v="4"/>
    <n v="3"/>
    <x v="10"/>
    <n v="0.13075929750140999"/>
    <x v="10"/>
    <x v="15"/>
    <x v="0"/>
  </r>
  <r>
    <d v="2025-03-06T00:00:00"/>
    <x v="2"/>
    <s v="Cultural"/>
    <s v="Mobile App"/>
    <x v="3"/>
    <n v="1"/>
    <x v="10"/>
    <n v="0.13075929750140999"/>
    <x v="10"/>
    <x v="2"/>
    <x v="1"/>
  </r>
  <r>
    <d v="2025-03-07T00:00:00"/>
    <x v="2"/>
    <s v="Beach"/>
    <s v="Mobile App"/>
    <x v="6"/>
    <n v="1"/>
    <x v="10"/>
    <n v="0.13075929750140999"/>
    <x v="10"/>
    <x v="9"/>
    <x v="1"/>
  </r>
  <r>
    <d v="2025-03-07T00:00:00"/>
    <x v="3"/>
    <s v="Cultural"/>
    <s v="Agent"/>
    <x v="8"/>
    <n v="2"/>
    <x v="10"/>
    <n v="0.13075929750140999"/>
    <x v="10"/>
    <x v="15"/>
    <x v="0"/>
  </r>
  <r>
    <d v="2025-03-07T00:00:00"/>
    <x v="1"/>
    <s v="City Break"/>
    <s v="Agent"/>
    <x v="0"/>
    <n v="1"/>
    <x v="10"/>
    <n v="0.13075929750140999"/>
    <x v="10"/>
    <x v="7"/>
    <x v="0"/>
  </r>
  <r>
    <d v="2025-03-07T00:00:00"/>
    <x v="0"/>
    <s v="Foodie"/>
    <s v="Call Center"/>
    <x v="2"/>
    <n v="2"/>
    <x v="10"/>
    <n v="0.13075929750140999"/>
    <x v="10"/>
    <x v="13"/>
    <x v="1"/>
  </r>
  <r>
    <d v="2025-03-08T00:00:00"/>
    <x v="1"/>
    <s v="Beach"/>
    <s v="Mobile App"/>
    <x v="0"/>
    <n v="2"/>
    <x v="10"/>
    <n v="0.13075929750140999"/>
    <x v="10"/>
    <x v="10"/>
    <x v="1"/>
  </r>
  <r>
    <d v="2025-03-08T00:00:00"/>
    <x v="0"/>
    <s v="Adventure"/>
    <s v="Agent"/>
    <x v="5"/>
    <n v="1"/>
    <x v="10"/>
    <n v="0.13075929750140999"/>
    <x v="10"/>
    <x v="7"/>
    <x v="1"/>
  </r>
  <r>
    <d v="2025-03-08T00:00:00"/>
    <x v="3"/>
    <s v="Beach"/>
    <s v="Website"/>
    <x v="7"/>
    <n v="2"/>
    <x v="10"/>
    <n v="0.13075929750140999"/>
    <x v="10"/>
    <x v="8"/>
    <x v="1"/>
  </r>
  <r>
    <d v="2025-03-09T00:00:00"/>
    <x v="0"/>
    <s v="City Break"/>
    <s v="Mobile App"/>
    <x v="1"/>
    <n v="1"/>
    <x v="10"/>
    <n v="0.13075929750140999"/>
    <x v="10"/>
    <x v="13"/>
    <x v="1"/>
  </r>
  <r>
    <d v="2025-03-09T00:00:00"/>
    <x v="1"/>
    <s v="Beach"/>
    <s v="Call Center"/>
    <x v="5"/>
    <n v="2"/>
    <x v="10"/>
    <n v="0.13075929750140999"/>
    <x v="10"/>
    <x v="5"/>
    <x v="1"/>
  </r>
  <r>
    <d v="2025-03-09T00:00:00"/>
    <x v="1"/>
    <s v="Adventure"/>
    <s v="Mobile App"/>
    <x v="7"/>
    <n v="1"/>
    <x v="10"/>
    <n v="0.13075929750140999"/>
    <x v="10"/>
    <x v="12"/>
    <x v="1"/>
  </r>
  <r>
    <d v="2025-03-10T00:00:00"/>
    <x v="3"/>
    <s v="Beach"/>
    <s v="Mobile App"/>
    <x v="6"/>
    <n v="3"/>
    <x v="10"/>
    <n v="0.13075929750140999"/>
    <x v="10"/>
    <x v="15"/>
    <x v="1"/>
  </r>
  <r>
    <d v="2025-03-10T00:00:00"/>
    <x v="3"/>
    <s v="Family"/>
    <s v="Agent"/>
    <x v="3"/>
    <n v="4"/>
    <x v="10"/>
    <n v="0.13075929750140999"/>
    <x v="10"/>
    <x v="13"/>
    <x v="1"/>
  </r>
  <r>
    <d v="2025-03-10T00:00:00"/>
    <x v="0"/>
    <s v="Family"/>
    <s v="Website"/>
    <x v="9"/>
    <n v="1"/>
    <x v="10"/>
    <n v="0.13075929750140999"/>
    <x v="10"/>
    <x v="4"/>
    <x v="1"/>
  </r>
  <r>
    <d v="2025-03-10T00:00:00"/>
    <x v="0"/>
    <s v="Beach"/>
    <s v="Website"/>
    <x v="7"/>
    <n v="1"/>
    <x v="10"/>
    <n v="0.13075929750140999"/>
    <x v="10"/>
    <x v="4"/>
    <x v="0"/>
  </r>
  <r>
    <d v="2025-03-10T00:00:00"/>
    <x v="0"/>
    <s v="Foodie"/>
    <s v="Mobile App"/>
    <x v="7"/>
    <n v="2"/>
    <x v="10"/>
    <n v="0.13075929750140999"/>
    <x v="10"/>
    <x v="9"/>
    <x v="1"/>
  </r>
  <r>
    <d v="2025-03-10T00:00:00"/>
    <x v="0"/>
    <s v="Cultural"/>
    <s v="Website"/>
    <x v="3"/>
    <n v="2"/>
    <x v="10"/>
    <n v="0.13075929750140999"/>
    <x v="10"/>
    <x v="7"/>
    <x v="0"/>
  </r>
  <r>
    <d v="2025-03-10T00:00:00"/>
    <x v="0"/>
    <s v="Adventure"/>
    <s v="Website"/>
    <x v="4"/>
    <n v="1"/>
    <x v="10"/>
    <n v="0.13075929750140999"/>
    <x v="10"/>
    <x v="7"/>
    <x v="1"/>
  </r>
  <r>
    <d v="2025-03-10T00:00:00"/>
    <x v="0"/>
    <s v="Family"/>
    <s v="Website"/>
    <x v="4"/>
    <n v="2"/>
    <x v="10"/>
    <n v="0.13075929750140999"/>
    <x v="10"/>
    <x v="7"/>
    <x v="1"/>
  </r>
  <r>
    <d v="2025-03-12T00:00:00"/>
    <x v="0"/>
    <s v="Cultural"/>
    <s v="Website"/>
    <x v="5"/>
    <n v="3"/>
    <x v="10"/>
    <n v="0.13075929750140999"/>
    <x v="10"/>
    <x v="8"/>
    <x v="1"/>
  </r>
  <r>
    <d v="2025-03-12T00:00:00"/>
    <x v="1"/>
    <s v="Cultural"/>
    <s v="Mobile App"/>
    <x v="1"/>
    <n v="1"/>
    <x v="10"/>
    <n v="0.13075929750140999"/>
    <x v="10"/>
    <x v="15"/>
    <x v="1"/>
  </r>
  <r>
    <d v="2025-03-12T00:00:00"/>
    <x v="3"/>
    <s v="Family"/>
    <s v="Call Center"/>
    <x v="9"/>
    <n v="4"/>
    <x v="10"/>
    <n v="0.13075929750140999"/>
    <x v="10"/>
    <x v="2"/>
    <x v="1"/>
  </r>
  <r>
    <d v="2025-03-13T00:00:00"/>
    <x v="0"/>
    <s v="Cultural"/>
    <s v="Website"/>
    <x v="1"/>
    <n v="1"/>
    <x v="10"/>
    <n v="0.13075929750140999"/>
    <x v="10"/>
    <x v="7"/>
    <x v="1"/>
  </r>
  <r>
    <d v="2025-03-13T00:00:00"/>
    <x v="1"/>
    <s v="Family"/>
    <s v="Agent"/>
    <x v="4"/>
    <n v="3"/>
    <x v="10"/>
    <n v="0.13075929750140999"/>
    <x v="10"/>
    <x v="6"/>
    <x v="1"/>
  </r>
  <r>
    <d v="2025-03-14T00:00:00"/>
    <x v="0"/>
    <s v="Adventure"/>
    <s v="Mobile App"/>
    <x v="4"/>
    <n v="3"/>
    <x v="10"/>
    <n v="0.13075929750140999"/>
    <x v="10"/>
    <x v="6"/>
    <x v="1"/>
  </r>
  <r>
    <d v="2025-03-14T00:00:00"/>
    <x v="2"/>
    <s v="Cultural"/>
    <s v="Agent"/>
    <x v="4"/>
    <n v="1"/>
    <x v="10"/>
    <n v="0.13075929750140999"/>
    <x v="10"/>
    <x v="17"/>
    <x v="1"/>
  </r>
  <r>
    <d v="2025-03-14T00:00:00"/>
    <x v="0"/>
    <s v="Adventure"/>
    <s v="Website"/>
    <x v="8"/>
    <n v="2"/>
    <x v="10"/>
    <n v="0.13075929750140999"/>
    <x v="10"/>
    <x v="6"/>
    <x v="1"/>
  </r>
  <r>
    <d v="2025-03-15T00:00:00"/>
    <x v="3"/>
    <s v="Beach"/>
    <s v="Mobile App"/>
    <x v="2"/>
    <n v="2"/>
    <x v="10"/>
    <n v="0.13075929750140999"/>
    <x v="10"/>
    <x v="9"/>
    <x v="0"/>
  </r>
  <r>
    <d v="2025-03-15T00:00:00"/>
    <x v="1"/>
    <s v="Family"/>
    <s v="Website"/>
    <x v="8"/>
    <n v="3"/>
    <x v="10"/>
    <n v="0.13075929750140999"/>
    <x v="10"/>
    <x v="1"/>
    <x v="1"/>
  </r>
  <r>
    <d v="2025-03-15T00:00:00"/>
    <x v="0"/>
    <s v="Beach"/>
    <s v="Mobile App"/>
    <x v="3"/>
    <n v="1"/>
    <x v="10"/>
    <n v="0.13075929750140999"/>
    <x v="10"/>
    <x v="11"/>
    <x v="1"/>
  </r>
  <r>
    <d v="2025-03-15T00:00:00"/>
    <x v="2"/>
    <s v="Family"/>
    <s v="Call Center"/>
    <x v="3"/>
    <n v="2"/>
    <x v="10"/>
    <n v="0.13075929750140999"/>
    <x v="10"/>
    <x v="1"/>
    <x v="1"/>
  </r>
  <r>
    <d v="2025-03-15T00:00:00"/>
    <x v="1"/>
    <s v="Beach"/>
    <s v="Agent"/>
    <x v="1"/>
    <n v="1"/>
    <x v="10"/>
    <n v="0.13075929750140999"/>
    <x v="10"/>
    <x v="9"/>
    <x v="1"/>
  </r>
  <r>
    <d v="2025-03-16T00:00:00"/>
    <x v="1"/>
    <s v="Family"/>
    <s v="Agent"/>
    <x v="9"/>
    <n v="2"/>
    <x v="10"/>
    <n v="0.13075929750140999"/>
    <x v="10"/>
    <x v="0"/>
    <x v="1"/>
  </r>
  <r>
    <d v="2025-03-16T00:00:00"/>
    <x v="1"/>
    <s v="Cultural"/>
    <s v="Mobile App"/>
    <x v="8"/>
    <n v="1"/>
    <x v="10"/>
    <n v="0.13075929750140999"/>
    <x v="10"/>
    <x v="2"/>
    <x v="1"/>
  </r>
  <r>
    <d v="2025-03-16T00:00:00"/>
    <x v="2"/>
    <s v="Adventure"/>
    <s v="Website"/>
    <x v="4"/>
    <n v="1"/>
    <x v="10"/>
    <n v="0.13075929750140999"/>
    <x v="10"/>
    <x v="8"/>
    <x v="1"/>
  </r>
  <r>
    <d v="2025-03-16T00:00:00"/>
    <x v="3"/>
    <s v="Family"/>
    <s v="Website"/>
    <x v="2"/>
    <n v="3"/>
    <x v="10"/>
    <n v="0.13075929750140999"/>
    <x v="10"/>
    <x v="3"/>
    <x v="1"/>
  </r>
  <r>
    <d v="2025-03-16T00:00:00"/>
    <x v="1"/>
    <s v="Family"/>
    <s v="Website"/>
    <x v="2"/>
    <n v="2"/>
    <x v="10"/>
    <n v="0.13075929750140999"/>
    <x v="10"/>
    <x v="1"/>
    <x v="1"/>
  </r>
  <r>
    <d v="2025-03-16T00:00:00"/>
    <x v="3"/>
    <s v="Foodie"/>
    <s v="Agent"/>
    <x v="5"/>
    <n v="2"/>
    <x v="10"/>
    <n v="0.13075929750140999"/>
    <x v="10"/>
    <x v="0"/>
    <x v="1"/>
  </r>
  <r>
    <d v="2025-03-16T00:00:00"/>
    <x v="3"/>
    <s v="City Break"/>
    <s v="Website"/>
    <x v="5"/>
    <n v="2"/>
    <x v="10"/>
    <n v="0.13075929750140999"/>
    <x v="10"/>
    <x v="9"/>
    <x v="1"/>
  </r>
  <r>
    <d v="2025-03-17T00:00:00"/>
    <x v="3"/>
    <s v="Family"/>
    <s v="Mobile App"/>
    <x v="2"/>
    <n v="2"/>
    <x v="10"/>
    <n v="0.13075929750140999"/>
    <x v="10"/>
    <x v="0"/>
    <x v="0"/>
  </r>
  <r>
    <d v="2025-03-18T00:00:00"/>
    <x v="1"/>
    <s v="Beach"/>
    <s v="Mobile App"/>
    <x v="3"/>
    <n v="1"/>
    <x v="10"/>
    <n v="0.13075929750140999"/>
    <x v="10"/>
    <x v="7"/>
    <x v="1"/>
  </r>
  <r>
    <d v="2025-03-18T00:00:00"/>
    <x v="3"/>
    <s v="Family"/>
    <s v="Agent"/>
    <x v="7"/>
    <n v="3"/>
    <x v="10"/>
    <n v="0.13075929750140999"/>
    <x v="10"/>
    <x v="0"/>
    <x v="0"/>
  </r>
  <r>
    <d v="2025-03-18T00:00:00"/>
    <x v="1"/>
    <s v="Cultural"/>
    <s v="Website"/>
    <x v="0"/>
    <n v="1"/>
    <x v="10"/>
    <n v="0.13075929750140999"/>
    <x v="10"/>
    <x v="13"/>
    <x v="1"/>
  </r>
  <r>
    <d v="2025-03-18T00:00:00"/>
    <x v="0"/>
    <s v="Cultural"/>
    <s v="Mobile App"/>
    <x v="8"/>
    <n v="2"/>
    <x v="10"/>
    <n v="0.13075929750140999"/>
    <x v="10"/>
    <x v="13"/>
    <x v="1"/>
  </r>
  <r>
    <d v="2025-03-18T00:00:00"/>
    <x v="1"/>
    <s v="Cultural"/>
    <s v="Agent"/>
    <x v="8"/>
    <n v="3"/>
    <x v="10"/>
    <n v="0.13075929750140999"/>
    <x v="10"/>
    <x v="1"/>
    <x v="0"/>
  </r>
  <r>
    <d v="2025-03-19T00:00:00"/>
    <x v="0"/>
    <s v="Family"/>
    <s v="Website"/>
    <x v="1"/>
    <n v="2"/>
    <x v="10"/>
    <n v="0.13075929750140999"/>
    <x v="10"/>
    <x v="12"/>
    <x v="1"/>
  </r>
  <r>
    <d v="2025-03-19T00:00:00"/>
    <x v="1"/>
    <s v="Cultural"/>
    <s v="Website"/>
    <x v="7"/>
    <n v="2"/>
    <x v="10"/>
    <n v="0.13075929750140999"/>
    <x v="10"/>
    <x v="0"/>
    <x v="0"/>
  </r>
  <r>
    <d v="2025-03-19T00:00:00"/>
    <x v="0"/>
    <s v="Adventure"/>
    <s v="Website"/>
    <x v="9"/>
    <n v="1"/>
    <x v="10"/>
    <n v="0.13075929750140999"/>
    <x v="10"/>
    <x v="14"/>
    <x v="0"/>
  </r>
  <r>
    <d v="2025-03-19T00:00:00"/>
    <x v="1"/>
    <s v="Family"/>
    <s v="Call Center"/>
    <x v="0"/>
    <n v="2"/>
    <x v="10"/>
    <n v="0.13075929750140999"/>
    <x v="10"/>
    <x v="2"/>
    <x v="0"/>
  </r>
  <r>
    <d v="2025-03-19T00:00:00"/>
    <x v="1"/>
    <s v="Family"/>
    <s v="Website"/>
    <x v="4"/>
    <n v="1"/>
    <x v="10"/>
    <n v="0.13075929750140999"/>
    <x v="10"/>
    <x v="17"/>
    <x v="0"/>
  </r>
  <r>
    <d v="2025-03-19T00:00:00"/>
    <x v="0"/>
    <s v="Cultural"/>
    <s v="Agent"/>
    <x v="4"/>
    <n v="2"/>
    <x v="10"/>
    <n v="0.13075929750140999"/>
    <x v="10"/>
    <x v="0"/>
    <x v="1"/>
  </r>
  <r>
    <d v="2025-03-20T00:00:00"/>
    <x v="0"/>
    <s v="Cultural"/>
    <s v="Website"/>
    <x v="2"/>
    <n v="5"/>
    <x v="10"/>
    <n v="0.13075929750140999"/>
    <x v="10"/>
    <x v="1"/>
    <x v="0"/>
  </r>
  <r>
    <d v="2025-03-20T00:00:00"/>
    <x v="3"/>
    <s v="Beach"/>
    <s v="Agent"/>
    <x v="3"/>
    <n v="3"/>
    <x v="10"/>
    <n v="0.13075929750140999"/>
    <x v="10"/>
    <x v="14"/>
    <x v="0"/>
  </r>
  <r>
    <d v="2025-03-21T00:00:00"/>
    <x v="3"/>
    <s v="Foodie"/>
    <s v="Agent"/>
    <x v="1"/>
    <n v="2"/>
    <x v="10"/>
    <n v="0.13075929750140999"/>
    <x v="10"/>
    <x v="4"/>
    <x v="1"/>
  </r>
  <r>
    <d v="2025-03-21T00:00:00"/>
    <x v="1"/>
    <s v="Beach"/>
    <s v="Agent"/>
    <x v="2"/>
    <n v="1"/>
    <x v="10"/>
    <n v="0.13075929750140999"/>
    <x v="10"/>
    <x v="4"/>
    <x v="1"/>
  </r>
  <r>
    <d v="2025-03-22T00:00:00"/>
    <x v="1"/>
    <s v="Family"/>
    <s v="Website"/>
    <x v="2"/>
    <n v="1"/>
    <x v="10"/>
    <n v="0.13075929750140999"/>
    <x v="10"/>
    <x v="5"/>
    <x v="1"/>
  </r>
  <r>
    <d v="2025-03-22T00:00:00"/>
    <x v="1"/>
    <s v="Beach"/>
    <s v="Website"/>
    <x v="8"/>
    <n v="1"/>
    <x v="10"/>
    <n v="0.13075929750140999"/>
    <x v="10"/>
    <x v="14"/>
    <x v="1"/>
  </r>
  <r>
    <d v="2025-03-22T00:00:00"/>
    <x v="0"/>
    <s v="Beach"/>
    <s v="Website"/>
    <x v="2"/>
    <n v="4"/>
    <x v="10"/>
    <n v="0.13075929750140999"/>
    <x v="10"/>
    <x v="8"/>
    <x v="1"/>
  </r>
  <r>
    <d v="2025-03-22T00:00:00"/>
    <x v="1"/>
    <s v="Family"/>
    <s v="Mobile App"/>
    <x v="1"/>
    <n v="5"/>
    <x v="10"/>
    <n v="0.13075929750140999"/>
    <x v="10"/>
    <x v="5"/>
    <x v="0"/>
  </r>
  <r>
    <d v="2025-03-23T00:00:00"/>
    <x v="1"/>
    <s v="Cultural"/>
    <s v="Website"/>
    <x v="5"/>
    <n v="4"/>
    <x v="10"/>
    <n v="0.13075929750140999"/>
    <x v="10"/>
    <x v="14"/>
    <x v="1"/>
  </r>
  <r>
    <d v="2025-03-23T00:00:00"/>
    <x v="0"/>
    <s v="City Break"/>
    <s v="Mobile App"/>
    <x v="9"/>
    <n v="1"/>
    <x v="10"/>
    <n v="0.13075929750140999"/>
    <x v="10"/>
    <x v="17"/>
    <x v="1"/>
  </r>
  <r>
    <d v="2025-03-23T00:00:00"/>
    <x v="3"/>
    <s v="Family"/>
    <s v="Mobile App"/>
    <x v="5"/>
    <n v="4"/>
    <x v="10"/>
    <n v="0.13075929750140999"/>
    <x v="10"/>
    <x v="14"/>
    <x v="1"/>
  </r>
  <r>
    <d v="2025-03-24T00:00:00"/>
    <x v="1"/>
    <s v="Cultural"/>
    <s v="Agent"/>
    <x v="6"/>
    <n v="5"/>
    <x v="10"/>
    <n v="0.13075929750140999"/>
    <x v="10"/>
    <x v="15"/>
    <x v="0"/>
  </r>
  <r>
    <d v="2025-03-24T00:00:00"/>
    <x v="1"/>
    <s v="City Break"/>
    <s v="Mobile App"/>
    <x v="9"/>
    <n v="2"/>
    <x v="10"/>
    <n v="0.13075929750140999"/>
    <x v="10"/>
    <x v="2"/>
    <x v="1"/>
  </r>
  <r>
    <d v="2025-03-25T00:00:00"/>
    <x v="2"/>
    <s v="City Break"/>
    <s v="Mobile App"/>
    <x v="8"/>
    <n v="4"/>
    <x v="10"/>
    <n v="0.13075929750140999"/>
    <x v="10"/>
    <x v="4"/>
    <x v="1"/>
  </r>
  <r>
    <d v="2025-03-25T00:00:00"/>
    <x v="1"/>
    <s v="Beach"/>
    <s v="Mobile App"/>
    <x v="1"/>
    <n v="2"/>
    <x v="10"/>
    <n v="0.13075929750140999"/>
    <x v="10"/>
    <x v="5"/>
    <x v="1"/>
  </r>
  <r>
    <d v="2025-03-26T00:00:00"/>
    <x v="1"/>
    <s v="Beach"/>
    <s v="Call Center"/>
    <x v="6"/>
    <n v="2"/>
    <x v="10"/>
    <n v="0.13075929750140999"/>
    <x v="10"/>
    <x v="15"/>
    <x v="1"/>
  </r>
  <r>
    <d v="2025-03-26T00:00:00"/>
    <x v="3"/>
    <s v="Beach"/>
    <s v="Website"/>
    <x v="7"/>
    <n v="2"/>
    <x v="10"/>
    <n v="0.13075929750140999"/>
    <x v="10"/>
    <x v="8"/>
    <x v="1"/>
  </r>
  <r>
    <d v="2025-03-26T00:00:00"/>
    <x v="0"/>
    <s v="Cultural"/>
    <s v="Website"/>
    <x v="1"/>
    <n v="1"/>
    <x v="10"/>
    <n v="0.13075929750140999"/>
    <x v="10"/>
    <x v="6"/>
    <x v="1"/>
  </r>
  <r>
    <d v="2025-03-26T00:00:00"/>
    <x v="0"/>
    <s v="Cultural"/>
    <s v="Website"/>
    <x v="7"/>
    <n v="1"/>
    <x v="10"/>
    <n v="0.13075929750140999"/>
    <x v="10"/>
    <x v="4"/>
    <x v="0"/>
  </r>
  <r>
    <d v="2025-03-26T00:00:00"/>
    <x v="0"/>
    <s v="Family"/>
    <s v="Mobile App"/>
    <x v="5"/>
    <n v="2"/>
    <x v="10"/>
    <n v="0.13075929750140999"/>
    <x v="10"/>
    <x v="4"/>
    <x v="1"/>
  </r>
  <r>
    <d v="2025-03-26T00:00:00"/>
    <x v="0"/>
    <s v="Adventure"/>
    <s v="Agent"/>
    <x v="9"/>
    <n v="2"/>
    <x v="10"/>
    <n v="0.13075929750140999"/>
    <x v="10"/>
    <x v="0"/>
    <x v="1"/>
  </r>
  <r>
    <d v="2025-03-26T00:00:00"/>
    <x v="0"/>
    <s v="Foodie"/>
    <s v="Mobile App"/>
    <x v="9"/>
    <n v="2"/>
    <x v="10"/>
    <n v="0.13075929750140999"/>
    <x v="10"/>
    <x v="10"/>
    <x v="0"/>
  </r>
  <r>
    <d v="2025-03-27T00:00:00"/>
    <x v="3"/>
    <s v="Adventure"/>
    <s v="Website"/>
    <x v="6"/>
    <n v="1"/>
    <x v="10"/>
    <n v="0.13075929750140999"/>
    <x v="10"/>
    <x v="2"/>
    <x v="1"/>
  </r>
  <r>
    <d v="2025-03-28T00:00:00"/>
    <x v="1"/>
    <s v="City Break"/>
    <s v="Website"/>
    <x v="6"/>
    <n v="3"/>
    <x v="10"/>
    <n v="0.13075929750140999"/>
    <x v="10"/>
    <x v="8"/>
    <x v="1"/>
  </r>
  <r>
    <d v="2025-03-28T00:00:00"/>
    <x v="0"/>
    <s v="Adventure"/>
    <s v="Website"/>
    <x v="8"/>
    <n v="1"/>
    <x v="10"/>
    <n v="0.13075929750140999"/>
    <x v="10"/>
    <x v="10"/>
    <x v="1"/>
  </r>
  <r>
    <d v="2025-03-28T00:00:00"/>
    <x v="1"/>
    <s v="Adventure"/>
    <s v="Mobile App"/>
    <x v="2"/>
    <n v="1"/>
    <x v="10"/>
    <n v="0.13075929750140999"/>
    <x v="10"/>
    <x v="3"/>
    <x v="1"/>
  </r>
  <r>
    <d v="2025-03-29T00:00:00"/>
    <x v="0"/>
    <s v="Beach"/>
    <s v="Website"/>
    <x v="5"/>
    <n v="2"/>
    <x v="10"/>
    <n v="0.13075929750140999"/>
    <x v="10"/>
    <x v="15"/>
    <x v="1"/>
  </r>
  <r>
    <d v="2025-03-29T00:00:00"/>
    <x v="0"/>
    <s v="Beach"/>
    <s v="Website"/>
    <x v="3"/>
    <n v="3"/>
    <x v="10"/>
    <n v="0.13075929750140999"/>
    <x v="10"/>
    <x v="8"/>
    <x v="0"/>
  </r>
  <r>
    <d v="2025-03-29T00:00:00"/>
    <x v="1"/>
    <s v="Family"/>
    <s v="Website"/>
    <x v="5"/>
    <n v="2"/>
    <x v="10"/>
    <n v="0.13075929750140999"/>
    <x v="10"/>
    <x v="0"/>
    <x v="1"/>
  </r>
  <r>
    <d v="2025-03-29T00:00:00"/>
    <x v="2"/>
    <s v="Beach"/>
    <s v="Call Center"/>
    <x v="5"/>
    <n v="4"/>
    <x v="10"/>
    <n v="0.13075929750140999"/>
    <x v="10"/>
    <x v="15"/>
    <x v="1"/>
  </r>
  <r>
    <d v="2025-03-30T00:00:00"/>
    <x v="3"/>
    <s v="City Break"/>
    <s v="Website"/>
    <x v="1"/>
    <n v="2"/>
    <x v="10"/>
    <n v="0.13075929750140999"/>
    <x v="10"/>
    <x v="2"/>
    <x v="0"/>
  </r>
  <r>
    <d v="2025-03-30T00:00:00"/>
    <x v="1"/>
    <s v="City Break"/>
    <s v="Agent"/>
    <x v="2"/>
    <n v="1"/>
    <x v="10"/>
    <n v="0.13075929750140999"/>
    <x v="10"/>
    <x v="15"/>
    <x v="1"/>
  </r>
  <r>
    <d v="2025-03-31T00:00:00"/>
    <x v="1"/>
    <s v="Foodie"/>
    <s v="Website"/>
    <x v="7"/>
    <n v="1"/>
    <x v="10"/>
    <n v="0.13075929750140999"/>
    <x v="10"/>
    <x v="12"/>
    <x v="0"/>
  </r>
  <r>
    <d v="2025-03-31T00:00:00"/>
    <x v="0"/>
    <s v="Family"/>
    <s v="Website"/>
    <x v="4"/>
    <n v="2"/>
    <x v="10"/>
    <n v="0.13075929750140999"/>
    <x v="10"/>
    <x v="14"/>
    <x v="0"/>
  </r>
  <r>
    <d v="2025-03-31T00:00:00"/>
    <x v="1"/>
    <s v="Cultural"/>
    <s v="Mobile App"/>
    <x v="5"/>
    <n v="2"/>
    <x v="10"/>
    <n v="0.13075929750140999"/>
    <x v="10"/>
    <x v="13"/>
    <x v="0"/>
  </r>
  <r>
    <d v="2025-03-31T00:00:00"/>
    <x v="3"/>
    <s v="Family"/>
    <s v="Mobile App"/>
    <x v="1"/>
    <n v="3"/>
    <x v="10"/>
    <n v="0.13075929750140999"/>
    <x v="10"/>
    <x v="2"/>
    <x v="1"/>
  </r>
  <r>
    <d v="2025-03-31T00:00:00"/>
    <x v="1"/>
    <s v="City Break"/>
    <s v="Agent"/>
    <x v="2"/>
    <n v="2"/>
    <x v="10"/>
    <n v="0.13075929750140999"/>
    <x v="10"/>
    <x v="13"/>
    <x v="1"/>
  </r>
  <r>
    <d v="2025-04-01T00:00:00"/>
    <x v="1"/>
    <s v="Beach"/>
    <s v="Website"/>
    <x v="8"/>
    <n v="3"/>
    <x v="10"/>
    <n v="0.13075929750140999"/>
    <x v="10"/>
    <x v="2"/>
    <x v="1"/>
  </r>
  <r>
    <d v="2025-04-01T00:00:00"/>
    <x v="3"/>
    <s v="Cultural"/>
    <s v="Website"/>
    <x v="9"/>
    <n v="2"/>
    <x v="10"/>
    <n v="0.13075929750140999"/>
    <x v="10"/>
    <x v="17"/>
    <x v="0"/>
  </r>
  <r>
    <d v="2025-04-01T00:00:00"/>
    <x v="1"/>
    <s v="Beach"/>
    <s v="Website"/>
    <x v="7"/>
    <n v="3"/>
    <x v="10"/>
    <n v="0.13075929750140999"/>
    <x v="10"/>
    <x v="12"/>
    <x v="1"/>
  </r>
  <r>
    <d v="2025-04-01T00:00:00"/>
    <x v="3"/>
    <s v="Family"/>
    <s v="Website"/>
    <x v="4"/>
    <n v="4"/>
    <x v="10"/>
    <n v="0.13075929750140999"/>
    <x v="10"/>
    <x v="12"/>
    <x v="1"/>
  </r>
  <r>
    <d v="2025-04-02T00:00:00"/>
    <x v="3"/>
    <s v="Beach"/>
    <s v="Website"/>
    <x v="1"/>
    <n v="1"/>
    <x v="10"/>
    <n v="0.13075929750140999"/>
    <x v="10"/>
    <x v="4"/>
    <x v="1"/>
  </r>
  <r>
    <d v="2025-04-02T00:00:00"/>
    <x v="1"/>
    <s v="Family"/>
    <s v="Mobile App"/>
    <x v="9"/>
    <n v="2"/>
    <x v="10"/>
    <n v="0.13075929750140999"/>
    <x v="10"/>
    <x v="6"/>
    <x v="1"/>
  </r>
  <r>
    <d v="2025-04-02T00:00:00"/>
    <x v="0"/>
    <s v="Cultural"/>
    <s v="Agent"/>
    <x v="3"/>
    <n v="3"/>
    <x v="10"/>
    <n v="0.13075929750140999"/>
    <x v="10"/>
    <x v="15"/>
    <x v="1"/>
  </r>
  <r>
    <d v="2025-04-02T00:00:00"/>
    <x v="1"/>
    <s v="Beach"/>
    <s v="Website"/>
    <x v="8"/>
    <n v="1"/>
    <x v="10"/>
    <n v="0.13075929750140999"/>
    <x v="10"/>
    <x v="20"/>
    <x v="1"/>
  </r>
  <r>
    <d v="2025-04-02T00:00:00"/>
    <x v="1"/>
    <s v="Cultural"/>
    <s v="Agent"/>
    <x v="8"/>
    <n v="3"/>
    <x v="10"/>
    <n v="0.13075929750140999"/>
    <x v="10"/>
    <x v="3"/>
    <x v="1"/>
  </r>
  <r>
    <d v="2025-04-03T00:00:00"/>
    <x v="0"/>
    <s v="Family"/>
    <s v="Agent"/>
    <x v="5"/>
    <n v="5"/>
    <x v="10"/>
    <n v="0.13075929750140999"/>
    <x v="10"/>
    <x v="15"/>
    <x v="1"/>
  </r>
  <r>
    <d v="2025-04-03T00:00:00"/>
    <x v="3"/>
    <s v="Family"/>
    <s v="Agent"/>
    <x v="4"/>
    <n v="4"/>
    <x v="10"/>
    <n v="0.13075929750140999"/>
    <x v="10"/>
    <x v="13"/>
    <x v="1"/>
  </r>
  <r>
    <d v="2025-04-03T00:00:00"/>
    <x v="0"/>
    <s v="Beach"/>
    <s v="Mobile App"/>
    <x v="6"/>
    <n v="2"/>
    <x v="10"/>
    <n v="0.13075929750140999"/>
    <x v="10"/>
    <x v="0"/>
    <x v="1"/>
  </r>
  <r>
    <d v="2025-04-04T00:00:00"/>
    <x v="2"/>
    <s v="Adventure"/>
    <s v="Mobile App"/>
    <x v="7"/>
    <n v="1"/>
    <x v="10"/>
    <n v="0.13075929750140999"/>
    <x v="10"/>
    <x v="3"/>
    <x v="0"/>
  </r>
  <r>
    <d v="2025-04-04T00:00:00"/>
    <x v="3"/>
    <s v="Cultural"/>
    <s v="Website"/>
    <x v="8"/>
    <n v="1"/>
    <x v="10"/>
    <n v="0.13075929750140999"/>
    <x v="10"/>
    <x v="3"/>
    <x v="1"/>
  </r>
  <r>
    <d v="2025-04-06T00:00:00"/>
    <x v="0"/>
    <s v="Beach"/>
    <s v="Mobile App"/>
    <x v="4"/>
    <n v="1"/>
    <x v="10"/>
    <n v="0.13075929750140999"/>
    <x v="10"/>
    <x v="8"/>
    <x v="1"/>
  </r>
  <r>
    <d v="2025-04-06T00:00:00"/>
    <x v="3"/>
    <s v="Cultural"/>
    <s v="Agent"/>
    <x v="9"/>
    <n v="1"/>
    <x v="10"/>
    <n v="0.13075929750140999"/>
    <x v="10"/>
    <x v="9"/>
    <x v="0"/>
  </r>
  <r>
    <d v="2025-04-06T00:00:00"/>
    <x v="1"/>
    <s v="City Break"/>
    <s v="Mobile App"/>
    <x v="6"/>
    <n v="3"/>
    <x v="10"/>
    <n v="0.13075929750140999"/>
    <x v="10"/>
    <x v="19"/>
    <x v="1"/>
  </r>
  <r>
    <d v="2025-04-06T00:00:00"/>
    <x v="1"/>
    <s v="Beach"/>
    <s v="Website"/>
    <x v="7"/>
    <n v="2"/>
    <x v="10"/>
    <n v="0.13075929750140999"/>
    <x v="10"/>
    <x v="1"/>
    <x v="1"/>
  </r>
  <r>
    <d v="2025-04-06T00:00:00"/>
    <x v="0"/>
    <s v="Cultural"/>
    <s v="Website"/>
    <x v="6"/>
    <n v="3"/>
    <x v="10"/>
    <n v="0.13075929750140999"/>
    <x v="10"/>
    <x v="6"/>
    <x v="1"/>
  </r>
  <r>
    <d v="2025-04-06T00:00:00"/>
    <x v="1"/>
    <s v="Cultural"/>
    <s v="Website"/>
    <x v="4"/>
    <n v="2"/>
    <x v="10"/>
    <n v="0.13075929750140999"/>
    <x v="10"/>
    <x v="15"/>
    <x v="0"/>
  </r>
  <r>
    <d v="2025-04-06T00:00:00"/>
    <x v="3"/>
    <s v="City Break"/>
    <s v="Agent"/>
    <x v="8"/>
    <n v="1"/>
    <x v="10"/>
    <n v="0.13075929750140999"/>
    <x v="10"/>
    <x v="10"/>
    <x v="0"/>
  </r>
  <r>
    <d v="2025-04-07T00:00:00"/>
    <x v="3"/>
    <s v="Family"/>
    <s v="Mobile App"/>
    <x v="0"/>
    <n v="3"/>
    <x v="10"/>
    <n v="0.13075929750140999"/>
    <x v="10"/>
    <x v="13"/>
    <x v="1"/>
  </r>
  <r>
    <d v="2025-04-07T00:00:00"/>
    <x v="1"/>
    <s v="Beach"/>
    <s v="Call Center"/>
    <x v="7"/>
    <n v="3"/>
    <x v="10"/>
    <n v="0.13075929750140999"/>
    <x v="10"/>
    <x v="15"/>
    <x v="1"/>
  </r>
  <r>
    <d v="2025-04-07T00:00:00"/>
    <x v="1"/>
    <s v="Cultural"/>
    <s v="Website"/>
    <x v="9"/>
    <n v="4"/>
    <x v="10"/>
    <n v="0.13075929750140999"/>
    <x v="10"/>
    <x v="5"/>
    <x v="0"/>
  </r>
  <r>
    <d v="2025-04-08T00:00:00"/>
    <x v="1"/>
    <s v="City Break"/>
    <s v="Mobile App"/>
    <x v="7"/>
    <n v="1"/>
    <x v="10"/>
    <n v="0.13075929750140999"/>
    <x v="10"/>
    <x v="0"/>
    <x v="1"/>
  </r>
  <r>
    <d v="2025-04-09T00:00:00"/>
    <x v="1"/>
    <s v="Cultural"/>
    <s v="Website"/>
    <x v="7"/>
    <n v="2"/>
    <x v="10"/>
    <n v="0.13075929750140999"/>
    <x v="10"/>
    <x v="1"/>
    <x v="1"/>
  </r>
  <r>
    <d v="2025-04-09T00:00:00"/>
    <x v="0"/>
    <s v="City Break"/>
    <s v="Agent"/>
    <x v="0"/>
    <n v="3"/>
    <x v="10"/>
    <n v="0.13075929750140999"/>
    <x v="10"/>
    <x v="6"/>
    <x v="1"/>
  </r>
  <r>
    <d v="2025-04-10T00:00:00"/>
    <x v="0"/>
    <s v="Beach"/>
    <s v="Website"/>
    <x v="7"/>
    <n v="1"/>
    <x v="10"/>
    <n v="0.13075929750140999"/>
    <x v="10"/>
    <x v="10"/>
    <x v="1"/>
  </r>
  <r>
    <d v="2025-04-10T00:00:00"/>
    <x v="1"/>
    <s v="City Break"/>
    <s v="Website"/>
    <x v="6"/>
    <n v="2"/>
    <x v="10"/>
    <n v="0.13075929750140999"/>
    <x v="10"/>
    <x v="1"/>
    <x v="1"/>
  </r>
  <r>
    <d v="2025-04-10T00:00:00"/>
    <x v="3"/>
    <s v="Foodie"/>
    <s v="Mobile App"/>
    <x v="5"/>
    <n v="3"/>
    <x v="10"/>
    <n v="0.13075929750140999"/>
    <x v="10"/>
    <x v="1"/>
    <x v="1"/>
  </r>
  <r>
    <d v="2025-04-10T00:00:00"/>
    <x v="1"/>
    <s v="Adventure"/>
    <s v="Website"/>
    <x v="2"/>
    <n v="1"/>
    <x v="10"/>
    <n v="0.13075929750140999"/>
    <x v="10"/>
    <x v="2"/>
    <x v="1"/>
  </r>
  <r>
    <d v="2025-04-10T00:00:00"/>
    <x v="1"/>
    <s v="City Break"/>
    <s v="Mobile App"/>
    <x v="7"/>
    <n v="1"/>
    <x v="10"/>
    <n v="0.13075929750140999"/>
    <x v="10"/>
    <x v="9"/>
    <x v="0"/>
  </r>
  <r>
    <d v="2025-04-10T00:00:00"/>
    <x v="3"/>
    <s v="City Break"/>
    <s v="Agent"/>
    <x v="5"/>
    <n v="1"/>
    <x v="10"/>
    <n v="0.13075929750140999"/>
    <x v="10"/>
    <x v="0"/>
    <x v="1"/>
  </r>
  <r>
    <d v="2025-04-10T00:00:00"/>
    <x v="3"/>
    <s v="Beach"/>
    <s v="Mobile App"/>
    <x v="1"/>
    <n v="5"/>
    <x v="10"/>
    <n v="0.13075929750140999"/>
    <x v="10"/>
    <x v="10"/>
    <x v="1"/>
  </r>
  <r>
    <d v="2025-04-10T00:00:00"/>
    <x v="3"/>
    <s v="Beach"/>
    <s v="Agent"/>
    <x v="8"/>
    <n v="3"/>
    <x v="10"/>
    <n v="0.13075929750140999"/>
    <x v="10"/>
    <x v="6"/>
    <x v="0"/>
  </r>
  <r>
    <d v="2025-04-11T00:00:00"/>
    <x v="2"/>
    <s v="Beach"/>
    <s v="Website"/>
    <x v="6"/>
    <n v="1"/>
    <x v="10"/>
    <n v="0.13075929750140999"/>
    <x v="10"/>
    <x v="9"/>
    <x v="1"/>
  </r>
  <r>
    <d v="2025-04-11T00:00:00"/>
    <x v="1"/>
    <s v="Beach"/>
    <s v="Website"/>
    <x v="0"/>
    <n v="1"/>
    <x v="10"/>
    <n v="0.13075929750140999"/>
    <x v="10"/>
    <x v="13"/>
    <x v="1"/>
  </r>
  <r>
    <d v="2025-04-12T00:00:00"/>
    <x v="0"/>
    <s v="Cultural"/>
    <s v="Website"/>
    <x v="1"/>
    <n v="1"/>
    <x v="10"/>
    <n v="0.13075929750140999"/>
    <x v="10"/>
    <x v="15"/>
    <x v="1"/>
  </r>
  <r>
    <d v="2025-04-12T00:00:00"/>
    <x v="1"/>
    <s v="Cultural"/>
    <s v="Website"/>
    <x v="8"/>
    <n v="1"/>
    <x v="10"/>
    <n v="0.13075929750140999"/>
    <x v="10"/>
    <x v="6"/>
    <x v="0"/>
  </r>
  <r>
    <d v="2025-04-12T00:00:00"/>
    <x v="3"/>
    <s v="Beach"/>
    <s v="Website"/>
    <x v="9"/>
    <n v="1"/>
    <x v="10"/>
    <n v="0.13075929750140999"/>
    <x v="10"/>
    <x v="9"/>
    <x v="0"/>
  </r>
  <r>
    <d v="2025-04-13T00:00:00"/>
    <x v="0"/>
    <s v="Adventure"/>
    <s v="Website"/>
    <x v="1"/>
    <n v="1"/>
    <x v="10"/>
    <n v="0.13075929750140999"/>
    <x v="10"/>
    <x v="8"/>
    <x v="1"/>
  </r>
  <r>
    <d v="2025-04-13T00:00:00"/>
    <x v="1"/>
    <s v="Foodie"/>
    <s v="Website"/>
    <x v="5"/>
    <n v="1"/>
    <x v="10"/>
    <n v="0.13075929750140999"/>
    <x v="10"/>
    <x v="12"/>
    <x v="1"/>
  </r>
  <r>
    <d v="2025-04-13T00:00:00"/>
    <x v="1"/>
    <s v="Cultural"/>
    <s v="Agent"/>
    <x v="5"/>
    <n v="1"/>
    <x v="10"/>
    <n v="0.13075929750140999"/>
    <x v="10"/>
    <x v="6"/>
    <x v="1"/>
  </r>
  <r>
    <d v="2025-04-13T00:00:00"/>
    <x v="2"/>
    <s v="Beach"/>
    <s v="Agent"/>
    <x v="4"/>
    <n v="1"/>
    <x v="10"/>
    <n v="0.13075929750140999"/>
    <x v="10"/>
    <x v="1"/>
    <x v="1"/>
  </r>
  <r>
    <d v="2025-04-13T00:00:00"/>
    <x v="2"/>
    <s v="Cultural"/>
    <s v="Website"/>
    <x v="1"/>
    <n v="2"/>
    <x v="10"/>
    <n v="0.13075929750140999"/>
    <x v="10"/>
    <x v="2"/>
    <x v="1"/>
  </r>
  <r>
    <d v="2025-04-14T00:00:00"/>
    <x v="0"/>
    <s v="Beach"/>
    <s v="Agent"/>
    <x v="0"/>
    <n v="3"/>
    <x v="10"/>
    <n v="0.13075929750140999"/>
    <x v="10"/>
    <x v="13"/>
    <x v="1"/>
  </r>
  <r>
    <d v="2025-04-14T00:00:00"/>
    <x v="1"/>
    <s v="Adventure"/>
    <s v="Mobile App"/>
    <x v="0"/>
    <n v="2"/>
    <x v="10"/>
    <n v="0.13075929750140999"/>
    <x v="10"/>
    <x v="14"/>
    <x v="1"/>
  </r>
  <r>
    <d v="2025-04-15T00:00:00"/>
    <x v="3"/>
    <s v="Beach"/>
    <s v="Website"/>
    <x v="8"/>
    <n v="1"/>
    <x v="10"/>
    <n v="0.13075929750140999"/>
    <x v="10"/>
    <x v="4"/>
    <x v="1"/>
  </r>
  <r>
    <d v="2025-04-15T00:00:00"/>
    <x v="1"/>
    <s v="City Break"/>
    <s v="Website"/>
    <x v="0"/>
    <n v="3"/>
    <x v="10"/>
    <n v="0.13075929750140999"/>
    <x v="10"/>
    <x v="3"/>
    <x v="1"/>
  </r>
  <r>
    <d v="2025-04-15T00:00:00"/>
    <x v="2"/>
    <s v="Foodie"/>
    <s v="Website"/>
    <x v="5"/>
    <n v="1"/>
    <x v="10"/>
    <n v="0.13075929750140999"/>
    <x v="10"/>
    <x v="10"/>
    <x v="1"/>
  </r>
  <r>
    <d v="2025-04-15T00:00:00"/>
    <x v="0"/>
    <s v="Family"/>
    <s v="Mobile App"/>
    <x v="6"/>
    <n v="3"/>
    <x v="10"/>
    <n v="0.13075929750140999"/>
    <x v="10"/>
    <x v="4"/>
    <x v="1"/>
  </r>
  <r>
    <d v="2025-04-16T00:00:00"/>
    <x v="2"/>
    <s v="Beach"/>
    <s v="Mobile App"/>
    <x v="3"/>
    <n v="1"/>
    <x v="10"/>
    <n v="0.13075929750140999"/>
    <x v="10"/>
    <x v="5"/>
    <x v="1"/>
  </r>
  <r>
    <d v="2025-04-16T00:00:00"/>
    <x v="1"/>
    <s v="Family"/>
    <s v="Mobile App"/>
    <x v="0"/>
    <n v="4"/>
    <x v="10"/>
    <n v="0.13075929750140999"/>
    <x v="10"/>
    <x v="4"/>
    <x v="1"/>
  </r>
  <r>
    <d v="2025-04-17T00:00:00"/>
    <x v="0"/>
    <s v="Beach"/>
    <s v="Website"/>
    <x v="1"/>
    <n v="2"/>
    <x v="10"/>
    <n v="0.13075929750140999"/>
    <x v="10"/>
    <x v="4"/>
    <x v="0"/>
  </r>
  <r>
    <d v="2025-04-18T00:00:00"/>
    <x v="1"/>
    <s v="Foodie"/>
    <s v="Website"/>
    <x v="5"/>
    <n v="1"/>
    <x v="10"/>
    <n v="0.13075929750140999"/>
    <x v="10"/>
    <x v="7"/>
    <x v="1"/>
  </r>
  <r>
    <d v="2025-04-18T00:00:00"/>
    <x v="0"/>
    <s v="City Break"/>
    <s v="Website"/>
    <x v="2"/>
    <n v="2"/>
    <x v="10"/>
    <n v="0.13075929750140999"/>
    <x v="10"/>
    <x v="11"/>
    <x v="0"/>
  </r>
  <r>
    <d v="2025-04-19T00:00:00"/>
    <x v="0"/>
    <s v="Adventure"/>
    <s v="Website"/>
    <x v="3"/>
    <n v="3"/>
    <x v="10"/>
    <n v="0.13075929750140999"/>
    <x v="10"/>
    <x v="2"/>
    <x v="1"/>
  </r>
  <r>
    <d v="2025-04-19T00:00:00"/>
    <x v="0"/>
    <s v="Cultural"/>
    <s v="Agent"/>
    <x v="9"/>
    <n v="2"/>
    <x v="10"/>
    <n v="0.13075929750140999"/>
    <x v="10"/>
    <x v="4"/>
    <x v="0"/>
  </r>
  <r>
    <d v="2025-04-19T00:00:00"/>
    <x v="0"/>
    <s v="Beach"/>
    <s v="Agent"/>
    <x v="1"/>
    <n v="2"/>
    <x v="10"/>
    <n v="0.13075929750140999"/>
    <x v="10"/>
    <x v="1"/>
    <x v="1"/>
  </r>
  <r>
    <d v="2025-04-19T00:00:00"/>
    <x v="3"/>
    <s v="Beach"/>
    <s v="Website"/>
    <x v="0"/>
    <n v="2"/>
    <x v="10"/>
    <n v="0.13075929750140999"/>
    <x v="10"/>
    <x v="0"/>
    <x v="1"/>
  </r>
  <r>
    <d v="2025-04-20T00:00:00"/>
    <x v="0"/>
    <s v="Adventure"/>
    <s v="Website"/>
    <x v="0"/>
    <n v="1"/>
    <x v="10"/>
    <n v="0.13075929750140999"/>
    <x v="10"/>
    <x v="15"/>
    <x v="0"/>
  </r>
  <r>
    <d v="2025-04-20T00:00:00"/>
    <x v="0"/>
    <s v="Cultural"/>
    <s v="Mobile App"/>
    <x v="0"/>
    <n v="2"/>
    <x v="10"/>
    <n v="0.13075929750140999"/>
    <x v="10"/>
    <x v="7"/>
    <x v="1"/>
  </r>
  <r>
    <d v="2025-04-21T00:00:00"/>
    <x v="1"/>
    <s v="Beach"/>
    <s v="Website"/>
    <x v="5"/>
    <n v="1"/>
    <x v="10"/>
    <n v="0.13075929750140999"/>
    <x v="10"/>
    <x v="10"/>
    <x v="1"/>
  </r>
  <r>
    <d v="2025-04-21T00:00:00"/>
    <x v="2"/>
    <s v="Adventure"/>
    <s v="Website"/>
    <x v="5"/>
    <n v="2"/>
    <x v="10"/>
    <n v="0.13075929750140999"/>
    <x v="10"/>
    <x v="11"/>
    <x v="0"/>
  </r>
  <r>
    <d v="2025-04-21T00:00:00"/>
    <x v="0"/>
    <s v="Cultural"/>
    <s v="Website"/>
    <x v="1"/>
    <n v="2"/>
    <x v="10"/>
    <n v="0.13075929750140999"/>
    <x v="10"/>
    <x v="2"/>
    <x v="1"/>
  </r>
  <r>
    <d v="2025-04-21T00:00:00"/>
    <x v="3"/>
    <s v="Adventure"/>
    <s v="Agent"/>
    <x v="2"/>
    <n v="3"/>
    <x v="10"/>
    <n v="0.13075929750140999"/>
    <x v="10"/>
    <x v="15"/>
    <x v="1"/>
  </r>
  <r>
    <d v="2025-04-22T00:00:00"/>
    <x v="3"/>
    <s v="Beach"/>
    <s v="Agent"/>
    <x v="5"/>
    <n v="1"/>
    <x v="10"/>
    <n v="0.13075929750140999"/>
    <x v="10"/>
    <x v="0"/>
    <x v="1"/>
  </r>
  <r>
    <d v="2025-04-22T00:00:00"/>
    <x v="1"/>
    <s v="Family"/>
    <s v="Agent"/>
    <x v="3"/>
    <n v="5"/>
    <x v="10"/>
    <n v="0.13075929750140999"/>
    <x v="10"/>
    <x v="12"/>
    <x v="1"/>
  </r>
  <r>
    <d v="2025-04-22T00:00:00"/>
    <x v="1"/>
    <s v="Cultural"/>
    <s v="Website"/>
    <x v="9"/>
    <n v="2"/>
    <x v="10"/>
    <n v="0.13075929750140999"/>
    <x v="10"/>
    <x v="13"/>
    <x v="0"/>
  </r>
  <r>
    <d v="2025-04-23T00:00:00"/>
    <x v="0"/>
    <s v="City Break"/>
    <s v="Mobile App"/>
    <x v="4"/>
    <n v="1"/>
    <x v="10"/>
    <n v="0.13075929750140999"/>
    <x v="10"/>
    <x v="12"/>
    <x v="0"/>
  </r>
  <r>
    <d v="2025-04-23T00:00:00"/>
    <x v="3"/>
    <s v="Cultural"/>
    <s v="Mobile App"/>
    <x v="5"/>
    <n v="3"/>
    <x v="10"/>
    <n v="0.13075929750140999"/>
    <x v="10"/>
    <x v="9"/>
    <x v="1"/>
  </r>
  <r>
    <d v="2025-04-23T00:00:00"/>
    <x v="0"/>
    <s v="Foodie"/>
    <s v="Agent"/>
    <x v="1"/>
    <n v="1"/>
    <x v="10"/>
    <n v="0.13075929750140999"/>
    <x v="10"/>
    <x v="9"/>
    <x v="1"/>
  </r>
  <r>
    <d v="2025-04-23T00:00:00"/>
    <x v="1"/>
    <s v="Adventure"/>
    <s v="Website"/>
    <x v="3"/>
    <n v="2"/>
    <x v="10"/>
    <n v="0.13075929750140999"/>
    <x v="10"/>
    <x v="3"/>
    <x v="1"/>
  </r>
  <r>
    <d v="2025-04-23T00:00:00"/>
    <x v="0"/>
    <s v="Family"/>
    <s v="Mobile App"/>
    <x v="2"/>
    <n v="4"/>
    <x v="10"/>
    <n v="0.13075929750140999"/>
    <x v="10"/>
    <x v="1"/>
    <x v="1"/>
  </r>
  <r>
    <d v="2025-04-23T00:00:00"/>
    <x v="1"/>
    <s v="Cultural"/>
    <s v="Mobile App"/>
    <x v="4"/>
    <n v="2"/>
    <x v="10"/>
    <n v="0.13075929750140999"/>
    <x v="10"/>
    <x v="2"/>
    <x v="1"/>
  </r>
  <r>
    <d v="2025-04-23T00:00:00"/>
    <x v="3"/>
    <s v="Adventure"/>
    <s v="Mobile App"/>
    <x v="0"/>
    <n v="1"/>
    <x v="10"/>
    <n v="0.13075929750140999"/>
    <x v="10"/>
    <x v="8"/>
    <x v="1"/>
  </r>
  <r>
    <d v="2025-04-24T00:00:00"/>
    <x v="2"/>
    <s v="Cultural"/>
    <s v="Website"/>
    <x v="0"/>
    <n v="3"/>
    <x v="10"/>
    <n v="0.13075929750140999"/>
    <x v="10"/>
    <x v="1"/>
    <x v="1"/>
  </r>
  <r>
    <d v="2025-04-24T00:00:00"/>
    <x v="3"/>
    <s v="Adventure"/>
    <s v="Mobile App"/>
    <x v="9"/>
    <n v="1"/>
    <x v="10"/>
    <n v="0.13075929750140999"/>
    <x v="10"/>
    <x v="6"/>
    <x v="1"/>
  </r>
  <r>
    <d v="2025-04-24T00:00:00"/>
    <x v="2"/>
    <s v="City Break"/>
    <s v="Agent"/>
    <x v="3"/>
    <n v="1"/>
    <x v="10"/>
    <n v="0.13075929750140999"/>
    <x v="10"/>
    <x v="6"/>
    <x v="1"/>
  </r>
  <r>
    <d v="2025-04-24T00:00:00"/>
    <x v="3"/>
    <s v="Beach"/>
    <s v="Website"/>
    <x v="9"/>
    <n v="1"/>
    <x v="10"/>
    <n v="0.13075929750140999"/>
    <x v="10"/>
    <x v="9"/>
    <x v="1"/>
  </r>
  <r>
    <d v="2025-04-25T00:00:00"/>
    <x v="3"/>
    <s v="Beach"/>
    <s v="Website"/>
    <x v="9"/>
    <n v="2"/>
    <x v="10"/>
    <n v="0.13075929750140999"/>
    <x v="10"/>
    <x v="3"/>
    <x v="1"/>
  </r>
  <r>
    <d v="2025-04-25T00:00:00"/>
    <x v="1"/>
    <s v="Foodie"/>
    <s v="Website"/>
    <x v="2"/>
    <n v="2"/>
    <x v="10"/>
    <n v="0.13075929750140999"/>
    <x v="10"/>
    <x v="8"/>
    <x v="1"/>
  </r>
  <r>
    <d v="2025-04-25T00:00:00"/>
    <x v="3"/>
    <s v="Beach"/>
    <s v="Mobile App"/>
    <x v="0"/>
    <n v="1"/>
    <x v="10"/>
    <n v="0.13075929750140999"/>
    <x v="10"/>
    <x v="0"/>
    <x v="1"/>
  </r>
  <r>
    <d v="2025-04-25T00:00:00"/>
    <x v="0"/>
    <s v="Adventure"/>
    <s v="Website"/>
    <x v="4"/>
    <n v="2"/>
    <x v="10"/>
    <n v="0.13075929750140999"/>
    <x v="10"/>
    <x v="10"/>
    <x v="1"/>
  </r>
  <r>
    <d v="2025-04-26T00:00:00"/>
    <x v="0"/>
    <s v="Adventure"/>
    <s v="Website"/>
    <x v="4"/>
    <n v="1"/>
    <x v="10"/>
    <n v="0.13075929750140999"/>
    <x v="10"/>
    <x v="15"/>
    <x v="1"/>
  </r>
  <r>
    <d v="2025-04-26T00:00:00"/>
    <x v="0"/>
    <s v="Cultural"/>
    <s v="Website"/>
    <x v="2"/>
    <n v="1"/>
    <x v="10"/>
    <n v="0.13075929750140999"/>
    <x v="10"/>
    <x v="6"/>
    <x v="0"/>
  </r>
  <r>
    <d v="2025-04-26T00:00:00"/>
    <x v="3"/>
    <s v="Adventure"/>
    <s v="Mobile App"/>
    <x v="2"/>
    <n v="1"/>
    <x v="10"/>
    <n v="0.13075929750140999"/>
    <x v="10"/>
    <x v="3"/>
    <x v="1"/>
  </r>
  <r>
    <d v="2025-04-26T00:00:00"/>
    <x v="3"/>
    <s v="Family"/>
    <s v="Website"/>
    <x v="0"/>
    <n v="2"/>
    <x v="10"/>
    <n v="0.13075929750140999"/>
    <x v="10"/>
    <x v="6"/>
    <x v="1"/>
  </r>
  <r>
    <d v="2025-04-27T00:00:00"/>
    <x v="3"/>
    <s v="Adventure"/>
    <s v="Website"/>
    <x v="5"/>
    <n v="4"/>
    <x v="10"/>
    <n v="0.13075929750140999"/>
    <x v="10"/>
    <x v="8"/>
    <x v="1"/>
  </r>
  <r>
    <d v="2025-04-27T00:00:00"/>
    <x v="3"/>
    <s v="City Break"/>
    <s v="Website"/>
    <x v="8"/>
    <n v="3"/>
    <x v="10"/>
    <n v="0.13075929750140999"/>
    <x v="10"/>
    <x v="13"/>
    <x v="0"/>
  </r>
  <r>
    <d v="2025-04-28T00:00:00"/>
    <x v="1"/>
    <s v="Family"/>
    <s v="Agent"/>
    <x v="0"/>
    <n v="2"/>
    <x v="10"/>
    <n v="0.13075929750140999"/>
    <x v="10"/>
    <x v="1"/>
    <x v="1"/>
  </r>
  <r>
    <d v="2025-04-28T00:00:00"/>
    <x v="1"/>
    <s v="Beach"/>
    <s v="Call Center"/>
    <x v="3"/>
    <n v="1"/>
    <x v="10"/>
    <n v="0.13075929750140999"/>
    <x v="10"/>
    <x v="14"/>
    <x v="1"/>
  </r>
  <r>
    <d v="2025-04-28T00:00:00"/>
    <x v="3"/>
    <s v="Beach"/>
    <s v="Website"/>
    <x v="4"/>
    <n v="3"/>
    <x v="10"/>
    <n v="0.13075929750140999"/>
    <x v="10"/>
    <x v="6"/>
    <x v="1"/>
  </r>
  <r>
    <d v="2025-04-29T00:00:00"/>
    <x v="0"/>
    <s v="Family"/>
    <s v="Website"/>
    <x v="2"/>
    <n v="3"/>
    <x v="10"/>
    <n v="0.13075929750140999"/>
    <x v="10"/>
    <x v="12"/>
    <x v="1"/>
  </r>
  <r>
    <d v="2025-04-29T00:00:00"/>
    <x v="3"/>
    <s v="Family"/>
    <s v="Mobile App"/>
    <x v="3"/>
    <n v="4"/>
    <x v="10"/>
    <n v="0.13075929750140999"/>
    <x v="10"/>
    <x v="16"/>
    <x v="1"/>
  </r>
  <r>
    <d v="2025-04-29T00:00:00"/>
    <x v="1"/>
    <s v="Foodie"/>
    <s v="Mobile App"/>
    <x v="1"/>
    <n v="1"/>
    <x v="10"/>
    <n v="0.13075929750140999"/>
    <x v="10"/>
    <x v="6"/>
    <x v="1"/>
  </r>
  <r>
    <d v="2025-04-30T00:00:00"/>
    <x v="3"/>
    <s v="Family"/>
    <s v="Website"/>
    <x v="6"/>
    <n v="3"/>
    <x v="10"/>
    <n v="0.13075929750140999"/>
    <x v="10"/>
    <x v="1"/>
    <x v="1"/>
  </r>
  <r>
    <d v="2025-04-30T00:00:00"/>
    <x v="3"/>
    <s v="Cultural"/>
    <s v="Website"/>
    <x v="6"/>
    <n v="3"/>
    <x v="10"/>
    <n v="0.13075929750140999"/>
    <x v="10"/>
    <x v="0"/>
    <x v="1"/>
  </r>
  <r>
    <d v="2025-04-30T00:00:00"/>
    <x v="0"/>
    <s v="Beach"/>
    <s v="Mobile App"/>
    <x v="1"/>
    <n v="2"/>
    <x v="10"/>
    <n v="0.13075929750140999"/>
    <x v="10"/>
    <x v="1"/>
    <x v="1"/>
  </r>
  <r>
    <d v="2025-05-02T00:00:00"/>
    <x v="0"/>
    <s v="Cultural"/>
    <s v="Website"/>
    <x v="6"/>
    <n v="4"/>
    <x v="10"/>
    <n v="0.13075929750140999"/>
    <x v="10"/>
    <x v="17"/>
    <x v="1"/>
  </r>
  <r>
    <d v="2025-05-02T00:00:00"/>
    <x v="3"/>
    <s v="Cultural"/>
    <s v="Agent"/>
    <x v="7"/>
    <n v="1"/>
    <x v="10"/>
    <n v="0.13075929750140999"/>
    <x v="10"/>
    <x v="12"/>
    <x v="0"/>
  </r>
  <r>
    <d v="2025-05-02T00:00:00"/>
    <x v="1"/>
    <s v="Beach"/>
    <s v="Mobile App"/>
    <x v="5"/>
    <n v="1"/>
    <x v="10"/>
    <n v="0.13075929750140999"/>
    <x v="10"/>
    <x v="5"/>
    <x v="0"/>
  </r>
  <r>
    <d v="2025-05-02T00:00:00"/>
    <x v="3"/>
    <s v="Cultural"/>
    <s v="Mobile App"/>
    <x v="0"/>
    <n v="2"/>
    <x v="10"/>
    <n v="0.13075929750140999"/>
    <x v="10"/>
    <x v="7"/>
    <x v="1"/>
  </r>
  <r>
    <d v="2025-05-02T00:00:00"/>
    <x v="3"/>
    <s v="Beach"/>
    <s v="Website"/>
    <x v="2"/>
    <n v="1"/>
    <x v="10"/>
    <n v="0.13075929750140999"/>
    <x v="10"/>
    <x v="18"/>
    <x v="1"/>
  </r>
  <r>
    <d v="2025-05-03T00:00:00"/>
    <x v="1"/>
    <s v="Family"/>
    <s v="Website"/>
    <x v="1"/>
    <n v="1"/>
    <x v="10"/>
    <n v="0.13075929750140999"/>
    <x v="10"/>
    <x v="12"/>
    <x v="1"/>
  </r>
  <r>
    <d v="2025-05-03T00:00:00"/>
    <x v="3"/>
    <s v="Beach"/>
    <s v="Website"/>
    <x v="5"/>
    <n v="3"/>
    <x v="10"/>
    <n v="0.13075929750140999"/>
    <x v="10"/>
    <x v="1"/>
    <x v="1"/>
  </r>
  <r>
    <d v="2025-05-03T00:00:00"/>
    <x v="2"/>
    <s v="Foodie"/>
    <s v="Call Center"/>
    <x v="1"/>
    <n v="1"/>
    <x v="10"/>
    <n v="0.13075929750140999"/>
    <x v="10"/>
    <x v="0"/>
    <x v="0"/>
  </r>
  <r>
    <d v="2025-05-03T00:00:00"/>
    <x v="2"/>
    <s v="Family"/>
    <s v="Website"/>
    <x v="3"/>
    <n v="4"/>
    <x v="10"/>
    <n v="0.13075929750140999"/>
    <x v="10"/>
    <x v="12"/>
    <x v="1"/>
  </r>
  <r>
    <d v="2025-05-04T00:00:00"/>
    <x v="3"/>
    <s v="Beach"/>
    <s v="Mobile App"/>
    <x v="2"/>
    <n v="1"/>
    <x v="10"/>
    <n v="0.13075929750140999"/>
    <x v="10"/>
    <x v="6"/>
    <x v="1"/>
  </r>
  <r>
    <d v="2025-05-04T00:00:00"/>
    <x v="3"/>
    <s v="Cultural"/>
    <s v="Website"/>
    <x v="5"/>
    <n v="1"/>
    <x v="10"/>
    <n v="0.13075929750140999"/>
    <x v="10"/>
    <x v="3"/>
    <x v="1"/>
  </r>
  <r>
    <d v="2025-05-04T00:00:00"/>
    <x v="1"/>
    <s v="City Break"/>
    <s v="Agent"/>
    <x v="6"/>
    <n v="1"/>
    <x v="10"/>
    <n v="0.13075929750140999"/>
    <x v="10"/>
    <x v="9"/>
    <x v="1"/>
  </r>
  <r>
    <d v="2025-05-05T00:00:00"/>
    <x v="3"/>
    <s v="Adventure"/>
    <s v="Website"/>
    <x v="5"/>
    <n v="1"/>
    <x v="10"/>
    <n v="0.13075929750140999"/>
    <x v="10"/>
    <x v="1"/>
    <x v="1"/>
  </r>
  <r>
    <d v="2025-05-05T00:00:00"/>
    <x v="3"/>
    <s v="Family"/>
    <s v="Website"/>
    <x v="6"/>
    <n v="5"/>
    <x v="10"/>
    <n v="0.13075929750140999"/>
    <x v="10"/>
    <x v="17"/>
    <x v="0"/>
  </r>
  <r>
    <d v="2025-05-05T00:00:00"/>
    <x v="3"/>
    <s v="Foodie"/>
    <s v="Agent"/>
    <x v="2"/>
    <n v="1"/>
    <x v="10"/>
    <n v="0.13075929750140999"/>
    <x v="10"/>
    <x v="1"/>
    <x v="1"/>
  </r>
  <r>
    <d v="2025-05-05T00:00:00"/>
    <x v="3"/>
    <s v="Adventure"/>
    <s v="Website"/>
    <x v="4"/>
    <n v="2"/>
    <x v="10"/>
    <n v="0.13075929750140999"/>
    <x v="10"/>
    <x v="10"/>
    <x v="1"/>
  </r>
  <r>
    <d v="2025-05-05T00:00:00"/>
    <x v="3"/>
    <s v="City Break"/>
    <s v="Agent"/>
    <x v="9"/>
    <n v="1"/>
    <x v="10"/>
    <n v="0.13075929750140999"/>
    <x v="10"/>
    <x v="0"/>
    <x v="1"/>
  </r>
  <r>
    <d v="2025-05-05T00:00:00"/>
    <x v="3"/>
    <s v="Beach"/>
    <s v="Agent"/>
    <x v="3"/>
    <n v="1"/>
    <x v="10"/>
    <n v="0.13075929750140999"/>
    <x v="10"/>
    <x v="14"/>
    <x v="1"/>
  </r>
  <r>
    <d v="2025-05-06T00:00:00"/>
    <x v="3"/>
    <s v="Family"/>
    <s v="Agent"/>
    <x v="0"/>
    <n v="3"/>
    <x v="10"/>
    <n v="0.13075929750140999"/>
    <x v="10"/>
    <x v="0"/>
    <x v="1"/>
  </r>
  <r>
    <d v="2025-05-06T00:00:00"/>
    <x v="0"/>
    <s v="Beach"/>
    <s v="Mobile App"/>
    <x v="1"/>
    <n v="1"/>
    <x v="10"/>
    <n v="0.13075929750140999"/>
    <x v="10"/>
    <x v="4"/>
    <x v="1"/>
  </r>
  <r>
    <d v="2025-05-06T00:00:00"/>
    <x v="0"/>
    <s v="Foodie"/>
    <s v="Website"/>
    <x v="3"/>
    <n v="2"/>
    <x v="10"/>
    <n v="0.13075929750140999"/>
    <x v="10"/>
    <x v="14"/>
    <x v="1"/>
  </r>
  <r>
    <d v="2025-05-08T00:00:00"/>
    <x v="2"/>
    <s v="Beach"/>
    <s v="Agent"/>
    <x v="4"/>
    <n v="2"/>
    <x v="10"/>
    <n v="0.13075929750140999"/>
    <x v="10"/>
    <x v="13"/>
    <x v="1"/>
  </r>
  <r>
    <d v="2025-05-08T00:00:00"/>
    <x v="2"/>
    <s v="Cultural"/>
    <s v="Website"/>
    <x v="3"/>
    <n v="2"/>
    <x v="10"/>
    <n v="0.13075929750140999"/>
    <x v="10"/>
    <x v="19"/>
    <x v="0"/>
  </r>
  <r>
    <d v="2025-05-08T00:00:00"/>
    <x v="0"/>
    <s v="Adventure"/>
    <s v="Mobile App"/>
    <x v="2"/>
    <n v="1"/>
    <x v="10"/>
    <n v="0.13075929750140999"/>
    <x v="10"/>
    <x v="12"/>
    <x v="1"/>
  </r>
  <r>
    <d v="2025-05-08T00:00:00"/>
    <x v="0"/>
    <s v="Family"/>
    <s v="Website"/>
    <x v="0"/>
    <n v="1"/>
    <x v="10"/>
    <n v="0.13075929750140999"/>
    <x v="10"/>
    <x v="2"/>
    <x v="1"/>
  </r>
  <r>
    <d v="2025-05-09T00:00:00"/>
    <x v="1"/>
    <s v="Beach"/>
    <s v="Website"/>
    <x v="3"/>
    <n v="2"/>
    <x v="10"/>
    <n v="0.13075929750140999"/>
    <x v="10"/>
    <x v="0"/>
    <x v="1"/>
  </r>
  <r>
    <d v="2025-05-09T00:00:00"/>
    <x v="1"/>
    <s v="Cultural"/>
    <s v="Website"/>
    <x v="1"/>
    <n v="1"/>
    <x v="10"/>
    <n v="0.13075929750140999"/>
    <x v="10"/>
    <x v="6"/>
    <x v="1"/>
  </r>
  <r>
    <d v="2025-05-09T00:00:00"/>
    <x v="1"/>
    <s v="Beach"/>
    <s v="Mobile App"/>
    <x v="3"/>
    <n v="1"/>
    <x v="10"/>
    <n v="0.13075929750140999"/>
    <x v="10"/>
    <x v="12"/>
    <x v="0"/>
  </r>
  <r>
    <d v="2025-05-10T00:00:00"/>
    <x v="3"/>
    <s v="Cultural"/>
    <s v="Agent"/>
    <x v="7"/>
    <n v="2"/>
    <x v="10"/>
    <n v="0.13075929750140999"/>
    <x v="10"/>
    <x v="4"/>
    <x v="1"/>
  </r>
  <r>
    <d v="2025-05-10T00:00:00"/>
    <x v="3"/>
    <s v="Family"/>
    <s v="Mobile App"/>
    <x v="7"/>
    <n v="5"/>
    <x v="10"/>
    <n v="0.13075929750140999"/>
    <x v="10"/>
    <x v="13"/>
    <x v="0"/>
  </r>
  <r>
    <d v="2025-05-10T00:00:00"/>
    <x v="1"/>
    <s v="Adventure"/>
    <s v="Agent"/>
    <x v="4"/>
    <n v="4"/>
    <x v="10"/>
    <n v="0.13075929750140999"/>
    <x v="10"/>
    <x v="14"/>
    <x v="1"/>
  </r>
  <r>
    <d v="2025-05-11T00:00:00"/>
    <x v="1"/>
    <s v="Cultural"/>
    <s v="Agent"/>
    <x v="0"/>
    <n v="2"/>
    <x v="10"/>
    <n v="0.13075929750140999"/>
    <x v="10"/>
    <x v="18"/>
    <x v="1"/>
  </r>
  <r>
    <d v="2025-05-11T00:00:00"/>
    <x v="1"/>
    <s v="Beach"/>
    <s v="Mobile App"/>
    <x v="8"/>
    <n v="2"/>
    <x v="10"/>
    <n v="0.13075929750140999"/>
    <x v="10"/>
    <x v="15"/>
    <x v="1"/>
  </r>
  <r>
    <d v="2025-05-11T00:00:00"/>
    <x v="3"/>
    <s v="Cultural"/>
    <s v="Website"/>
    <x v="8"/>
    <n v="1"/>
    <x v="10"/>
    <n v="0.13075929750140999"/>
    <x v="10"/>
    <x v="5"/>
    <x v="0"/>
  </r>
  <r>
    <d v="2025-05-11T00:00:00"/>
    <x v="0"/>
    <s v="Cultural"/>
    <s v="Website"/>
    <x v="7"/>
    <n v="3"/>
    <x v="10"/>
    <n v="0.13075929750140999"/>
    <x v="10"/>
    <x v="7"/>
    <x v="1"/>
  </r>
  <r>
    <d v="2025-05-11T00:00:00"/>
    <x v="1"/>
    <s v="Beach"/>
    <s v="Website"/>
    <x v="9"/>
    <n v="1"/>
    <x v="10"/>
    <n v="0.13075929750140999"/>
    <x v="10"/>
    <x v="6"/>
    <x v="1"/>
  </r>
  <r>
    <d v="2025-05-11T00:00:00"/>
    <x v="2"/>
    <s v="Foodie"/>
    <s v="Website"/>
    <x v="8"/>
    <n v="4"/>
    <x v="10"/>
    <n v="0.13075929750140999"/>
    <x v="10"/>
    <x v="7"/>
    <x v="1"/>
  </r>
  <r>
    <d v="2025-05-11T00:00:00"/>
    <x v="1"/>
    <s v="Cultural"/>
    <s v="Mobile App"/>
    <x v="8"/>
    <n v="3"/>
    <x v="10"/>
    <n v="0.13075929750140999"/>
    <x v="10"/>
    <x v="8"/>
    <x v="1"/>
  </r>
  <r>
    <d v="2025-05-11T00:00:00"/>
    <x v="1"/>
    <s v="Adventure"/>
    <s v="Website"/>
    <x v="6"/>
    <n v="1"/>
    <x v="10"/>
    <n v="0.13075929750140999"/>
    <x v="10"/>
    <x v="12"/>
    <x v="0"/>
  </r>
  <r>
    <d v="2025-05-12T00:00:00"/>
    <x v="1"/>
    <s v="Adventure"/>
    <s v="Agent"/>
    <x v="5"/>
    <n v="1"/>
    <x v="10"/>
    <n v="0.13075929750140999"/>
    <x v="10"/>
    <x v="6"/>
    <x v="1"/>
  </r>
  <r>
    <d v="2025-05-12T00:00:00"/>
    <x v="1"/>
    <s v="Cultural"/>
    <s v="Website"/>
    <x v="7"/>
    <n v="1"/>
    <x v="10"/>
    <n v="0.13075929750140999"/>
    <x v="10"/>
    <x v="1"/>
    <x v="1"/>
  </r>
  <r>
    <d v="2025-05-12T00:00:00"/>
    <x v="1"/>
    <s v="Beach"/>
    <s v="Website"/>
    <x v="9"/>
    <n v="1"/>
    <x v="10"/>
    <n v="0.13075929750140999"/>
    <x v="10"/>
    <x v="15"/>
    <x v="0"/>
  </r>
  <r>
    <d v="2025-05-13T00:00:00"/>
    <x v="1"/>
    <s v="Cultural"/>
    <s v="Agent"/>
    <x v="3"/>
    <n v="1"/>
    <x v="10"/>
    <n v="0.13075929750140999"/>
    <x v="10"/>
    <x v="0"/>
    <x v="1"/>
  </r>
  <r>
    <d v="2025-05-13T00:00:00"/>
    <x v="1"/>
    <s v="Cultural"/>
    <s v="Agent"/>
    <x v="5"/>
    <n v="2"/>
    <x v="10"/>
    <n v="0.13075929750140999"/>
    <x v="10"/>
    <x v="7"/>
    <x v="1"/>
  </r>
  <r>
    <d v="2025-05-14T00:00:00"/>
    <x v="3"/>
    <s v="City Break"/>
    <s v="Agent"/>
    <x v="0"/>
    <n v="2"/>
    <x v="10"/>
    <n v="0.13075929750140999"/>
    <x v="10"/>
    <x v="2"/>
    <x v="1"/>
  </r>
  <r>
    <d v="2025-05-14T00:00:00"/>
    <x v="3"/>
    <s v="Family"/>
    <s v="Agent"/>
    <x v="3"/>
    <n v="1"/>
    <x v="10"/>
    <n v="0.13075929750140999"/>
    <x v="10"/>
    <x v="1"/>
    <x v="0"/>
  </r>
  <r>
    <d v="2025-05-15T00:00:00"/>
    <x v="1"/>
    <s v="Beach"/>
    <s v="Website"/>
    <x v="2"/>
    <n v="4"/>
    <x v="10"/>
    <n v="0.13075929750140999"/>
    <x v="10"/>
    <x v="1"/>
    <x v="0"/>
  </r>
  <r>
    <d v="2025-05-15T00:00:00"/>
    <x v="1"/>
    <s v="Family"/>
    <s v="Website"/>
    <x v="0"/>
    <n v="1"/>
    <x v="10"/>
    <n v="0.13075929750140999"/>
    <x v="10"/>
    <x v="1"/>
    <x v="1"/>
  </r>
  <r>
    <d v="2025-05-15T00:00:00"/>
    <x v="3"/>
    <s v="Foodie"/>
    <s v="Website"/>
    <x v="4"/>
    <n v="2"/>
    <x v="10"/>
    <n v="0.13075929750140999"/>
    <x v="10"/>
    <x v="15"/>
    <x v="0"/>
  </r>
  <r>
    <d v="2025-05-15T00:00:00"/>
    <x v="0"/>
    <s v="Foodie"/>
    <s v="Mobile App"/>
    <x v="0"/>
    <n v="1"/>
    <x v="10"/>
    <n v="0.13075929750140999"/>
    <x v="10"/>
    <x v="2"/>
    <x v="0"/>
  </r>
  <r>
    <d v="2025-05-15T00:00:00"/>
    <x v="3"/>
    <s v="Family"/>
    <s v="Agent"/>
    <x v="0"/>
    <n v="3"/>
    <x v="10"/>
    <n v="0.13075929750140999"/>
    <x v="10"/>
    <x v="12"/>
    <x v="1"/>
  </r>
  <r>
    <d v="2025-05-16T00:00:00"/>
    <x v="0"/>
    <s v="City Break"/>
    <s v="Website"/>
    <x v="6"/>
    <n v="1"/>
    <x v="10"/>
    <n v="0.13075929750140999"/>
    <x v="10"/>
    <x v="1"/>
    <x v="1"/>
  </r>
  <r>
    <d v="2025-05-17T00:00:00"/>
    <x v="2"/>
    <s v="City Break"/>
    <s v="Mobile App"/>
    <x v="1"/>
    <n v="1"/>
    <x v="10"/>
    <n v="0.13075929750140999"/>
    <x v="10"/>
    <x v="0"/>
    <x v="1"/>
  </r>
  <r>
    <d v="2025-05-17T00:00:00"/>
    <x v="2"/>
    <s v="Adventure"/>
    <s v="Agent"/>
    <x v="8"/>
    <n v="1"/>
    <x v="10"/>
    <n v="0.13075929750140999"/>
    <x v="10"/>
    <x v="13"/>
    <x v="1"/>
  </r>
  <r>
    <d v="2025-05-17T00:00:00"/>
    <x v="2"/>
    <s v="Family"/>
    <s v="Website"/>
    <x v="5"/>
    <n v="2"/>
    <x v="10"/>
    <n v="0.13075929750140999"/>
    <x v="10"/>
    <x v="12"/>
    <x v="1"/>
  </r>
  <r>
    <d v="2025-05-18T00:00:00"/>
    <x v="3"/>
    <s v="Cultural"/>
    <s v="Website"/>
    <x v="3"/>
    <n v="2"/>
    <x v="10"/>
    <n v="0.13075929750140999"/>
    <x v="10"/>
    <x v="1"/>
    <x v="0"/>
  </r>
  <r>
    <d v="2025-05-18T00:00:00"/>
    <x v="1"/>
    <s v="Family"/>
    <s v="Mobile App"/>
    <x v="5"/>
    <n v="3"/>
    <x v="10"/>
    <n v="0.13075929750140999"/>
    <x v="10"/>
    <x v="14"/>
    <x v="1"/>
  </r>
  <r>
    <d v="2025-05-18T00:00:00"/>
    <x v="2"/>
    <s v="Cultural"/>
    <s v="Website"/>
    <x v="4"/>
    <n v="1"/>
    <x v="10"/>
    <n v="0.13075929750140999"/>
    <x v="10"/>
    <x v="1"/>
    <x v="1"/>
  </r>
  <r>
    <d v="2025-05-18T00:00:00"/>
    <x v="3"/>
    <s v="Adventure"/>
    <s v="Agent"/>
    <x v="2"/>
    <n v="2"/>
    <x v="10"/>
    <n v="0.13075929750140999"/>
    <x v="10"/>
    <x v="8"/>
    <x v="0"/>
  </r>
  <r>
    <d v="2025-05-18T00:00:00"/>
    <x v="0"/>
    <s v="Beach"/>
    <s v="Agent"/>
    <x v="5"/>
    <n v="1"/>
    <x v="10"/>
    <n v="0.13075929750140999"/>
    <x v="10"/>
    <x v="1"/>
    <x v="1"/>
  </r>
  <r>
    <d v="2025-05-18T00:00:00"/>
    <x v="1"/>
    <s v="Beach"/>
    <s v="Website"/>
    <x v="3"/>
    <n v="1"/>
    <x v="10"/>
    <n v="0.13075929750140999"/>
    <x v="10"/>
    <x v="10"/>
    <x v="1"/>
  </r>
  <r>
    <d v="2025-05-19T00:00:00"/>
    <x v="3"/>
    <s v="Adventure"/>
    <s v="Website"/>
    <x v="8"/>
    <n v="2"/>
    <x v="10"/>
    <n v="0.13075929750140999"/>
    <x v="10"/>
    <x v="12"/>
    <x v="1"/>
  </r>
  <r>
    <d v="2025-05-19T00:00:00"/>
    <x v="1"/>
    <s v="Family"/>
    <s v="Mobile App"/>
    <x v="1"/>
    <n v="4"/>
    <x v="10"/>
    <n v="0.13075929750140999"/>
    <x v="10"/>
    <x v="4"/>
    <x v="0"/>
  </r>
  <r>
    <d v="2025-05-19T00:00:00"/>
    <x v="3"/>
    <s v="Cultural"/>
    <s v="Agent"/>
    <x v="1"/>
    <n v="1"/>
    <x v="10"/>
    <n v="0.13075929750140999"/>
    <x v="10"/>
    <x v="14"/>
    <x v="1"/>
  </r>
  <r>
    <d v="2025-05-19T00:00:00"/>
    <x v="3"/>
    <s v="Beach"/>
    <s v="Website"/>
    <x v="5"/>
    <n v="2"/>
    <x v="10"/>
    <n v="0.13075929750140999"/>
    <x v="10"/>
    <x v="17"/>
    <x v="0"/>
  </r>
  <r>
    <d v="2025-05-20T00:00:00"/>
    <x v="1"/>
    <s v="Beach"/>
    <s v="Website"/>
    <x v="1"/>
    <n v="1"/>
    <x v="10"/>
    <n v="0.13075929750140999"/>
    <x v="10"/>
    <x v="10"/>
    <x v="1"/>
  </r>
  <r>
    <d v="2025-05-20T00:00:00"/>
    <x v="1"/>
    <s v="Cultural"/>
    <s v="Mobile App"/>
    <x v="3"/>
    <n v="3"/>
    <x v="10"/>
    <n v="0.13075929750140999"/>
    <x v="10"/>
    <x v="8"/>
    <x v="1"/>
  </r>
  <r>
    <d v="2025-05-20T00:00:00"/>
    <x v="3"/>
    <s v="Adventure"/>
    <s v="Mobile App"/>
    <x v="3"/>
    <n v="1"/>
    <x v="10"/>
    <n v="0.13075929750140999"/>
    <x v="10"/>
    <x v="2"/>
    <x v="0"/>
  </r>
  <r>
    <d v="2025-05-20T00:00:00"/>
    <x v="0"/>
    <s v="Beach"/>
    <s v="Website"/>
    <x v="4"/>
    <n v="1"/>
    <x v="10"/>
    <n v="0.13075929750140999"/>
    <x v="10"/>
    <x v="6"/>
    <x v="1"/>
  </r>
  <r>
    <d v="2025-05-21T00:00:00"/>
    <x v="1"/>
    <s v="Beach"/>
    <s v="Website"/>
    <x v="6"/>
    <n v="2"/>
    <x v="10"/>
    <n v="0.13075929750140999"/>
    <x v="10"/>
    <x v="12"/>
    <x v="1"/>
  </r>
  <r>
    <d v="2025-05-21T00:00:00"/>
    <x v="3"/>
    <s v="Family"/>
    <s v="Website"/>
    <x v="0"/>
    <n v="4"/>
    <x v="10"/>
    <n v="0.13075929750140999"/>
    <x v="10"/>
    <x v="7"/>
    <x v="1"/>
  </r>
  <r>
    <d v="2025-05-21T00:00:00"/>
    <x v="1"/>
    <s v="Cultural"/>
    <s v="Mobile App"/>
    <x v="8"/>
    <n v="3"/>
    <x v="10"/>
    <n v="0.13075929750140999"/>
    <x v="10"/>
    <x v="0"/>
    <x v="1"/>
  </r>
  <r>
    <d v="2025-05-21T00:00:00"/>
    <x v="1"/>
    <s v="Cultural"/>
    <s v="Mobile App"/>
    <x v="7"/>
    <n v="4"/>
    <x v="10"/>
    <n v="0.13075929750140999"/>
    <x v="10"/>
    <x v="14"/>
    <x v="1"/>
  </r>
  <r>
    <d v="2025-05-21T00:00:00"/>
    <x v="1"/>
    <s v="Beach"/>
    <s v="Mobile App"/>
    <x v="1"/>
    <n v="3"/>
    <x v="10"/>
    <n v="0.13075929750140999"/>
    <x v="10"/>
    <x v="5"/>
    <x v="1"/>
  </r>
  <r>
    <d v="2025-05-21T00:00:00"/>
    <x v="3"/>
    <s v="Adventure"/>
    <s v="Mobile App"/>
    <x v="2"/>
    <n v="2"/>
    <x v="10"/>
    <n v="0.13075929750140999"/>
    <x v="10"/>
    <x v="8"/>
    <x v="1"/>
  </r>
  <r>
    <d v="2025-05-22T00:00:00"/>
    <x v="3"/>
    <s v="Cultural"/>
    <s v="Website"/>
    <x v="3"/>
    <n v="3"/>
    <x v="10"/>
    <n v="0.13075929750140999"/>
    <x v="10"/>
    <x v="0"/>
    <x v="1"/>
  </r>
  <r>
    <d v="2025-05-22T00:00:00"/>
    <x v="0"/>
    <s v="Foodie"/>
    <s v="Website"/>
    <x v="8"/>
    <n v="1"/>
    <x v="10"/>
    <n v="0.13075929750140999"/>
    <x v="10"/>
    <x v="3"/>
    <x v="1"/>
  </r>
  <r>
    <d v="2025-05-22T00:00:00"/>
    <x v="2"/>
    <s v="Foodie"/>
    <s v="Agent"/>
    <x v="5"/>
    <n v="4"/>
    <x v="10"/>
    <n v="0.13075929750140999"/>
    <x v="10"/>
    <x v="1"/>
    <x v="1"/>
  </r>
  <r>
    <d v="2025-05-22T00:00:00"/>
    <x v="3"/>
    <s v="City Break"/>
    <s v="Website"/>
    <x v="5"/>
    <n v="1"/>
    <x v="10"/>
    <n v="0.13075929750140999"/>
    <x v="10"/>
    <x v="0"/>
    <x v="1"/>
  </r>
  <r>
    <d v="2025-05-23T00:00:00"/>
    <x v="1"/>
    <s v="City Break"/>
    <s v="Agent"/>
    <x v="5"/>
    <n v="1"/>
    <x v="10"/>
    <n v="0.13075929750140999"/>
    <x v="10"/>
    <x v="14"/>
    <x v="0"/>
  </r>
  <r>
    <d v="2025-05-23T00:00:00"/>
    <x v="2"/>
    <s v="Foodie"/>
    <s v="Website"/>
    <x v="9"/>
    <n v="1"/>
    <x v="10"/>
    <n v="0.13075929750140999"/>
    <x v="10"/>
    <x v="9"/>
    <x v="1"/>
  </r>
  <r>
    <d v="2025-05-23T00:00:00"/>
    <x v="2"/>
    <s v="Cultural"/>
    <s v="Website"/>
    <x v="6"/>
    <n v="3"/>
    <x v="10"/>
    <n v="0.13075929750140999"/>
    <x v="10"/>
    <x v="14"/>
    <x v="1"/>
  </r>
  <r>
    <d v="2025-05-23T00:00:00"/>
    <x v="3"/>
    <s v="Family"/>
    <s v="Website"/>
    <x v="6"/>
    <n v="4"/>
    <x v="10"/>
    <n v="0.13075929750140999"/>
    <x v="10"/>
    <x v="14"/>
    <x v="1"/>
  </r>
  <r>
    <d v="2025-05-23T00:00:00"/>
    <x v="1"/>
    <s v="City Break"/>
    <s v="Website"/>
    <x v="1"/>
    <n v="1"/>
    <x v="10"/>
    <n v="0.13075929750140999"/>
    <x v="10"/>
    <x v="0"/>
    <x v="1"/>
  </r>
  <r>
    <d v="2025-05-24T00:00:00"/>
    <x v="0"/>
    <s v="City Break"/>
    <s v="Website"/>
    <x v="9"/>
    <n v="2"/>
    <x v="10"/>
    <n v="0.13075929750140999"/>
    <x v="10"/>
    <x v="1"/>
    <x v="1"/>
  </r>
  <r>
    <d v="2025-05-24T00:00:00"/>
    <x v="2"/>
    <s v="City Break"/>
    <s v="Website"/>
    <x v="0"/>
    <n v="1"/>
    <x v="10"/>
    <n v="0.13075929750140999"/>
    <x v="10"/>
    <x v="8"/>
    <x v="1"/>
  </r>
  <r>
    <d v="2025-05-24T00:00:00"/>
    <x v="1"/>
    <s v="Cultural"/>
    <s v="Agent"/>
    <x v="5"/>
    <n v="2"/>
    <x v="10"/>
    <n v="0.13075929750140999"/>
    <x v="10"/>
    <x v="0"/>
    <x v="0"/>
  </r>
  <r>
    <d v="2025-05-26T00:00:00"/>
    <x v="1"/>
    <s v="Foodie"/>
    <s v="Website"/>
    <x v="8"/>
    <n v="4"/>
    <x v="10"/>
    <n v="0.13075929750140999"/>
    <x v="10"/>
    <x v="15"/>
    <x v="1"/>
  </r>
  <r>
    <d v="2025-05-26T00:00:00"/>
    <x v="1"/>
    <s v="Family"/>
    <s v="Website"/>
    <x v="9"/>
    <n v="4"/>
    <x v="10"/>
    <n v="0.13075929750140999"/>
    <x v="10"/>
    <x v="16"/>
    <x v="1"/>
  </r>
  <r>
    <d v="2025-05-27T00:00:00"/>
    <x v="3"/>
    <s v="Foodie"/>
    <s v="Agent"/>
    <x v="1"/>
    <n v="1"/>
    <x v="10"/>
    <n v="0.13075929750140999"/>
    <x v="10"/>
    <x v="6"/>
    <x v="0"/>
  </r>
  <r>
    <d v="2025-05-27T00:00:00"/>
    <x v="1"/>
    <s v="Cultural"/>
    <s v="Website"/>
    <x v="8"/>
    <n v="1"/>
    <x v="10"/>
    <n v="0.13075929750140999"/>
    <x v="10"/>
    <x v="8"/>
    <x v="0"/>
  </r>
  <r>
    <d v="2025-05-28T00:00:00"/>
    <x v="1"/>
    <s v="Adventure"/>
    <s v="Website"/>
    <x v="3"/>
    <n v="4"/>
    <x v="10"/>
    <n v="0.13075929750140999"/>
    <x v="10"/>
    <x v="2"/>
    <x v="1"/>
  </r>
  <r>
    <d v="2025-05-28T00:00:00"/>
    <x v="1"/>
    <s v="City Break"/>
    <s v="Website"/>
    <x v="5"/>
    <n v="2"/>
    <x v="10"/>
    <n v="0.13075929750140999"/>
    <x v="10"/>
    <x v="13"/>
    <x v="1"/>
  </r>
  <r>
    <d v="2025-05-28T00:00:00"/>
    <x v="3"/>
    <s v="Family"/>
    <s v="Mobile App"/>
    <x v="5"/>
    <n v="4"/>
    <x v="10"/>
    <n v="0.13075929750140999"/>
    <x v="10"/>
    <x v="7"/>
    <x v="0"/>
  </r>
  <r>
    <d v="2025-05-28T00:00:00"/>
    <x v="1"/>
    <s v="City Break"/>
    <s v="Website"/>
    <x v="2"/>
    <n v="1"/>
    <x v="10"/>
    <n v="0.13075929750140999"/>
    <x v="10"/>
    <x v="7"/>
    <x v="1"/>
  </r>
  <r>
    <d v="2025-05-28T00:00:00"/>
    <x v="1"/>
    <s v="Beach"/>
    <s v="Mobile App"/>
    <x v="2"/>
    <n v="2"/>
    <x v="10"/>
    <n v="0.13075929750140999"/>
    <x v="10"/>
    <x v="8"/>
    <x v="1"/>
  </r>
  <r>
    <d v="2025-05-29T00:00:00"/>
    <x v="1"/>
    <s v="Family"/>
    <s v="Mobile App"/>
    <x v="9"/>
    <n v="1"/>
    <x v="10"/>
    <n v="0.13075929750140999"/>
    <x v="10"/>
    <x v="0"/>
    <x v="0"/>
  </r>
  <r>
    <d v="2025-05-29T00:00:00"/>
    <x v="1"/>
    <s v="Family"/>
    <s v="Website"/>
    <x v="1"/>
    <n v="3"/>
    <x v="10"/>
    <n v="0.13075929750140999"/>
    <x v="10"/>
    <x v="4"/>
    <x v="0"/>
  </r>
  <r>
    <d v="2025-05-29T00:00:00"/>
    <x v="3"/>
    <s v="Beach"/>
    <s v="Agent"/>
    <x v="6"/>
    <n v="3"/>
    <x v="10"/>
    <n v="0.13075929750140999"/>
    <x v="10"/>
    <x v="9"/>
    <x v="1"/>
  </r>
  <r>
    <d v="2025-05-29T00:00:00"/>
    <x v="1"/>
    <s v="Family"/>
    <s v="Website"/>
    <x v="6"/>
    <n v="3"/>
    <x v="10"/>
    <n v="0.13075929750140999"/>
    <x v="10"/>
    <x v="17"/>
    <x v="1"/>
  </r>
  <r>
    <d v="2025-05-29T00:00:00"/>
    <x v="3"/>
    <s v="Cultural"/>
    <s v="Mobile App"/>
    <x v="1"/>
    <n v="2"/>
    <x v="10"/>
    <n v="0.13075929750140999"/>
    <x v="10"/>
    <x v="17"/>
    <x v="0"/>
  </r>
  <r>
    <d v="2025-05-30T00:00:00"/>
    <x v="0"/>
    <s v="Beach"/>
    <s v="Agent"/>
    <x v="7"/>
    <n v="1"/>
    <x v="10"/>
    <n v="0.13075929750140999"/>
    <x v="10"/>
    <x v="8"/>
    <x v="1"/>
  </r>
  <r>
    <d v="2025-05-30T00:00:00"/>
    <x v="0"/>
    <s v="Beach"/>
    <s v="Website"/>
    <x v="5"/>
    <n v="2"/>
    <x v="10"/>
    <n v="0.13075929750140999"/>
    <x v="10"/>
    <x v="6"/>
    <x v="0"/>
  </r>
  <r>
    <d v="2025-05-30T00:00:00"/>
    <x v="1"/>
    <s v="Beach"/>
    <s v="Agent"/>
    <x v="8"/>
    <n v="2"/>
    <x v="10"/>
    <n v="0.13075929750140999"/>
    <x v="10"/>
    <x v="16"/>
    <x v="1"/>
  </r>
  <r>
    <d v="2025-05-30T00:00:00"/>
    <x v="1"/>
    <s v="City Break"/>
    <s v="Website"/>
    <x v="5"/>
    <n v="1"/>
    <x v="10"/>
    <n v="0.13075929750140999"/>
    <x v="10"/>
    <x v="5"/>
    <x v="0"/>
  </r>
  <r>
    <d v="2025-05-30T00:00:00"/>
    <x v="3"/>
    <s v="Beach"/>
    <s v="Mobile App"/>
    <x v="5"/>
    <n v="1"/>
    <x v="10"/>
    <n v="0.13075929750140999"/>
    <x v="10"/>
    <x v="12"/>
    <x v="1"/>
  </r>
  <r>
    <d v="2025-05-31T00:00:00"/>
    <x v="3"/>
    <s v="Family"/>
    <s v="Website"/>
    <x v="5"/>
    <n v="1"/>
    <x v="10"/>
    <n v="0.13075929750140999"/>
    <x v="10"/>
    <x v="12"/>
    <x v="0"/>
  </r>
  <r>
    <d v="2025-05-31T00:00:00"/>
    <x v="1"/>
    <s v="Family"/>
    <s v="Agent"/>
    <x v="4"/>
    <n v="5"/>
    <x v="10"/>
    <n v="0.13075929750140999"/>
    <x v="10"/>
    <x v="15"/>
    <x v="1"/>
  </r>
  <r>
    <d v="2025-05-31T00:00:00"/>
    <x v="1"/>
    <s v="Beach"/>
    <s v="Website"/>
    <x v="0"/>
    <n v="1"/>
    <x v="10"/>
    <n v="0.13075929750140999"/>
    <x v="10"/>
    <x v="1"/>
    <x v="1"/>
  </r>
  <r>
    <d v="2025-05-31T00:00:00"/>
    <x v="3"/>
    <s v="Foodie"/>
    <s v="Website"/>
    <x v="0"/>
    <n v="2"/>
    <x v="10"/>
    <n v="0.13075929750140999"/>
    <x v="10"/>
    <x v="6"/>
    <x v="1"/>
  </r>
  <r>
    <d v="2025-05-31T00:00:00"/>
    <x v="1"/>
    <s v="Adventure"/>
    <s v="Mobile App"/>
    <x v="6"/>
    <n v="2"/>
    <x v="10"/>
    <n v="0.13075929750140999"/>
    <x v="10"/>
    <x v="9"/>
    <x v="1"/>
  </r>
  <r>
    <d v="2025-06-01T00:00:00"/>
    <x v="1"/>
    <s v="Beach"/>
    <s v="Mobile App"/>
    <x v="0"/>
    <n v="2"/>
    <x v="10"/>
    <n v="0.13075929750140999"/>
    <x v="10"/>
    <x v="14"/>
    <x v="1"/>
  </r>
  <r>
    <d v="2025-06-01T00:00:00"/>
    <x v="0"/>
    <s v="Beach"/>
    <s v="Website"/>
    <x v="3"/>
    <n v="2"/>
    <x v="10"/>
    <n v="0.13075929750140999"/>
    <x v="10"/>
    <x v="3"/>
    <x v="0"/>
  </r>
  <r>
    <d v="2025-06-01T00:00:00"/>
    <x v="1"/>
    <s v="Family"/>
    <s v="Website"/>
    <x v="8"/>
    <n v="5"/>
    <x v="10"/>
    <n v="0.13075929750140999"/>
    <x v="10"/>
    <x v="7"/>
    <x v="1"/>
  </r>
  <r>
    <d v="2025-06-01T00:00:00"/>
    <x v="1"/>
    <s v="Family"/>
    <s v="Agent"/>
    <x v="4"/>
    <n v="3"/>
    <x v="10"/>
    <n v="0.13075929750140999"/>
    <x v="10"/>
    <x v="12"/>
    <x v="1"/>
  </r>
  <r>
    <d v="2025-06-01T00:00:00"/>
    <x v="3"/>
    <s v="Beach"/>
    <s v="Website"/>
    <x v="9"/>
    <n v="2"/>
    <x v="10"/>
    <n v="0.13075929750140999"/>
    <x v="10"/>
    <x v="2"/>
    <x v="1"/>
  </r>
  <r>
    <d v="2025-06-02T00:00:00"/>
    <x v="1"/>
    <s v="Beach"/>
    <s v="Mobile App"/>
    <x v="9"/>
    <n v="3"/>
    <x v="10"/>
    <n v="0.13075929750140999"/>
    <x v="10"/>
    <x v="13"/>
    <x v="1"/>
  </r>
  <r>
    <d v="2025-06-02T00:00:00"/>
    <x v="1"/>
    <s v="City Break"/>
    <s v="Website"/>
    <x v="4"/>
    <n v="3"/>
    <x v="10"/>
    <n v="0.13075929750140999"/>
    <x v="10"/>
    <x v="17"/>
    <x v="1"/>
  </r>
  <r>
    <d v="2025-06-02T00:00:00"/>
    <x v="2"/>
    <s v="Cultural"/>
    <s v="Website"/>
    <x v="3"/>
    <n v="1"/>
    <x v="10"/>
    <n v="0.13075929750140999"/>
    <x v="10"/>
    <x v="17"/>
    <x v="1"/>
  </r>
  <r>
    <d v="2025-06-02T00:00:00"/>
    <x v="3"/>
    <s v="City Break"/>
    <s v="Website"/>
    <x v="6"/>
    <n v="3"/>
    <x v="10"/>
    <n v="0.13075929750140999"/>
    <x v="10"/>
    <x v="4"/>
    <x v="0"/>
  </r>
  <r>
    <d v="2025-06-02T00:00:00"/>
    <x v="3"/>
    <s v="Adventure"/>
    <s v="Website"/>
    <x v="0"/>
    <n v="2"/>
    <x v="10"/>
    <n v="0.13075929750140999"/>
    <x v="10"/>
    <x v="10"/>
    <x v="1"/>
  </r>
  <r>
    <d v="2025-06-02T00:00:00"/>
    <x v="3"/>
    <s v="City Break"/>
    <s v="Mobile App"/>
    <x v="0"/>
    <n v="2"/>
    <x v="10"/>
    <n v="0.13075929750140999"/>
    <x v="10"/>
    <x v="2"/>
    <x v="1"/>
  </r>
  <r>
    <d v="2025-06-02T00:00:00"/>
    <x v="2"/>
    <s v="Beach"/>
    <s v="Agent"/>
    <x v="9"/>
    <n v="1"/>
    <x v="10"/>
    <n v="0.13075929750140999"/>
    <x v="10"/>
    <x v="10"/>
    <x v="1"/>
  </r>
  <r>
    <d v="2025-06-03T00:00:00"/>
    <x v="3"/>
    <s v="Adventure"/>
    <s v="Website"/>
    <x v="5"/>
    <n v="3"/>
    <x v="10"/>
    <n v="0.13075929750140999"/>
    <x v="10"/>
    <x v="17"/>
    <x v="1"/>
  </r>
  <r>
    <d v="2025-06-03T00:00:00"/>
    <x v="2"/>
    <s v="Beach"/>
    <s v="Website"/>
    <x v="5"/>
    <n v="1"/>
    <x v="10"/>
    <n v="0.13075929750140999"/>
    <x v="10"/>
    <x v="12"/>
    <x v="0"/>
  </r>
  <r>
    <d v="2025-06-03T00:00:00"/>
    <x v="3"/>
    <s v="Cultural"/>
    <s v="Website"/>
    <x v="2"/>
    <n v="2"/>
    <x v="10"/>
    <n v="0.13075929750140999"/>
    <x v="10"/>
    <x v="1"/>
    <x v="0"/>
  </r>
  <r>
    <d v="2025-06-03T00:00:00"/>
    <x v="3"/>
    <s v="Beach"/>
    <s v="Website"/>
    <x v="5"/>
    <n v="1"/>
    <x v="10"/>
    <n v="0.13075929750140999"/>
    <x v="10"/>
    <x v="6"/>
    <x v="1"/>
  </r>
  <r>
    <d v="2025-06-03T00:00:00"/>
    <x v="1"/>
    <s v="Beach"/>
    <s v="Agent"/>
    <x v="1"/>
    <n v="4"/>
    <x v="10"/>
    <n v="0.13075929750140999"/>
    <x v="10"/>
    <x v="15"/>
    <x v="1"/>
  </r>
  <r>
    <d v="2025-06-04T00:00:00"/>
    <x v="1"/>
    <s v="Cultural"/>
    <s v="Website"/>
    <x v="7"/>
    <n v="4"/>
    <x v="10"/>
    <n v="0.13075929750140999"/>
    <x v="10"/>
    <x v="5"/>
    <x v="0"/>
  </r>
  <r>
    <d v="2025-06-04T00:00:00"/>
    <x v="1"/>
    <s v="Beach"/>
    <s v="Call Center"/>
    <x v="5"/>
    <n v="1"/>
    <x v="10"/>
    <n v="0.13075929750140999"/>
    <x v="10"/>
    <x v="4"/>
    <x v="1"/>
  </r>
  <r>
    <d v="2025-06-04T00:00:00"/>
    <x v="1"/>
    <s v="Foodie"/>
    <s v="Website"/>
    <x v="5"/>
    <n v="3"/>
    <x v="10"/>
    <n v="0.13075929750140999"/>
    <x v="10"/>
    <x v="8"/>
    <x v="1"/>
  </r>
  <r>
    <d v="2025-06-04T00:00:00"/>
    <x v="1"/>
    <s v="Family"/>
    <s v="Website"/>
    <x v="7"/>
    <n v="1"/>
    <x v="10"/>
    <n v="0.13075929750140999"/>
    <x v="10"/>
    <x v="1"/>
    <x v="1"/>
  </r>
  <r>
    <d v="2025-06-05T00:00:00"/>
    <x v="0"/>
    <s v="City Break"/>
    <s v="Website"/>
    <x v="5"/>
    <n v="1"/>
    <x v="10"/>
    <n v="0.13075929750140999"/>
    <x v="10"/>
    <x v="4"/>
    <x v="1"/>
  </r>
  <r>
    <d v="2025-06-05T00:00:00"/>
    <x v="3"/>
    <s v="Beach"/>
    <s v="Website"/>
    <x v="0"/>
    <n v="4"/>
    <x v="10"/>
    <n v="0.13075929750140999"/>
    <x v="10"/>
    <x v="9"/>
    <x v="1"/>
  </r>
  <r>
    <d v="2025-06-05T00:00:00"/>
    <x v="2"/>
    <s v="Family"/>
    <s v="Agent"/>
    <x v="7"/>
    <n v="5"/>
    <x v="10"/>
    <n v="0.13075929750140999"/>
    <x v="10"/>
    <x v="7"/>
    <x v="1"/>
  </r>
  <r>
    <d v="2025-06-05T00:00:00"/>
    <x v="3"/>
    <s v="City Break"/>
    <s v="Website"/>
    <x v="0"/>
    <n v="1"/>
    <x v="10"/>
    <n v="0.13075929750140999"/>
    <x v="10"/>
    <x v="5"/>
    <x v="1"/>
  </r>
  <r>
    <d v="2025-06-05T00:00:00"/>
    <x v="3"/>
    <s v="Family"/>
    <s v="Agent"/>
    <x v="9"/>
    <n v="1"/>
    <x v="10"/>
    <n v="0.13075929750140999"/>
    <x v="10"/>
    <x v="4"/>
    <x v="1"/>
  </r>
  <r>
    <d v="2025-06-05T00:00:00"/>
    <x v="1"/>
    <s v="Foodie"/>
    <s v="Mobile App"/>
    <x v="2"/>
    <n v="2"/>
    <x v="10"/>
    <n v="0.13075929750140999"/>
    <x v="10"/>
    <x v="9"/>
    <x v="1"/>
  </r>
  <r>
    <d v="2025-06-05T00:00:00"/>
    <x v="1"/>
    <s v="Beach"/>
    <s v="Mobile App"/>
    <x v="6"/>
    <n v="3"/>
    <x v="10"/>
    <n v="0.13075929750140999"/>
    <x v="10"/>
    <x v="11"/>
    <x v="1"/>
  </r>
  <r>
    <d v="2025-06-05T00:00:00"/>
    <x v="0"/>
    <s v="City Break"/>
    <s v="Mobile App"/>
    <x v="2"/>
    <n v="3"/>
    <x v="10"/>
    <n v="0.13075929750140999"/>
    <x v="10"/>
    <x v="4"/>
    <x v="1"/>
  </r>
  <r>
    <d v="2025-06-06T00:00:00"/>
    <x v="3"/>
    <s v="City Break"/>
    <s v="Agent"/>
    <x v="7"/>
    <n v="4"/>
    <x v="10"/>
    <n v="0.13075929750140999"/>
    <x v="10"/>
    <x v="4"/>
    <x v="1"/>
  </r>
  <r>
    <d v="2025-06-06T00:00:00"/>
    <x v="0"/>
    <s v="Cultural"/>
    <s v="Website"/>
    <x v="8"/>
    <n v="1"/>
    <x v="10"/>
    <n v="0.13075929750140999"/>
    <x v="10"/>
    <x v="12"/>
    <x v="1"/>
  </r>
  <r>
    <d v="2025-06-06T00:00:00"/>
    <x v="1"/>
    <s v="City Break"/>
    <s v="Agent"/>
    <x v="9"/>
    <n v="2"/>
    <x v="10"/>
    <n v="0.13075929750140999"/>
    <x v="10"/>
    <x v="0"/>
    <x v="1"/>
  </r>
  <r>
    <d v="2025-06-06T00:00:00"/>
    <x v="2"/>
    <s v="Adventure"/>
    <s v="Mobile App"/>
    <x v="6"/>
    <n v="4"/>
    <x v="10"/>
    <n v="0.13075929750140999"/>
    <x v="10"/>
    <x v="4"/>
    <x v="0"/>
  </r>
  <r>
    <d v="2025-06-06T00:00:00"/>
    <x v="1"/>
    <s v="Beach"/>
    <s v="Agent"/>
    <x v="4"/>
    <n v="1"/>
    <x v="10"/>
    <n v="0.13075929750140999"/>
    <x v="10"/>
    <x v="4"/>
    <x v="1"/>
  </r>
  <r>
    <d v="2025-06-06T00:00:00"/>
    <x v="0"/>
    <s v="Cultural"/>
    <s v="Agent"/>
    <x v="9"/>
    <n v="3"/>
    <x v="10"/>
    <n v="0.13075929750140999"/>
    <x v="10"/>
    <x v="1"/>
    <x v="0"/>
  </r>
  <r>
    <d v="2025-06-07T00:00:00"/>
    <x v="1"/>
    <s v="City Break"/>
    <s v="Website"/>
    <x v="0"/>
    <n v="1"/>
    <x v="10"/>
    <n v="0.13075929750140999"/>
    <x v="10"/>
    <x v="8"/>
    <x v="1"/>
  </r>
  <r>
    <d v="2025-06-07T00:00:00"/>
    <x v="1"/>
    <s v="Family"/>
    <s v="Agent"/>
    <x v="9"/>
    <n v="3"/>
    <x v="10"/>
    <n v="0.13075929750140999"/>
    <x v="10"/>
    <x v="2"/>
    <x v="1"/>
  </r>
  <r>
    <d v="2025-06-07T00:00:00"/>
    <x v="0"/>
    <s v="Family"/>
    <s v="Website"/>
    <x v="9"/>
    <n v="1"/>
    <x v="10"/>
    <n v="0.13075929750140999"/>
    <x v="10"/>
    <x v="5"/>
    <x v="1"/>
  </r>
  <r>
    <d v="2025-06-07T00:00:00"/>
    <x v="0"/>
    <s v="Adventure"/>
    <s v="Agent"/>
    <x v="2"/>
    <n v="1"/>
    <x v="10"/>
    <n v="0.13075929750140999"/>
    <x v="10"/>
    <x v="8"/>
    <x v="0"/>
  </r>
  <r>
    <d v="2025-06-07T00:00:00"/>
    <x v="0"/>
    <s v="Beach"/>
    <s v="Agent"/>
    <x v="9"/>
    <n v="1"/>
    <x v="10"/>
    <n v="0.13075929750140999"/>
    <x v="10"/>
    <x v="1"/>
    <x v="1"/>
  </r>
  <r>
    <d v="2025-06-08T00:00:00"/>
    <x v="2"/>
    <s v="Adventure"/>
    <s v="Website"/>
    <x v="0"/>
    <n v="2"/>
    <x v="10"/>
    <n v="0.13075929750140999"/>
    <x v="10"/>
    <x v="0"/>
    <x v="1"/>
  </r>
  <r>
    <d v="2025-06-08T00:00:00"/>
    <x v="1"/>
    <s v="Beach"/>
    <s v="Website"/>
    <x v="2"/>
    <n v="1"/>
    <x v="10"/>
    <n v="0.13075929750140999"/>
    <x v="10"/>
    <x v="2"/>
    <x v="1"/>
  </r>
  <r>
    <d v="2025-06-08T00:00:00"/>
    <x v="1"/>
    <s v="Foodie"/>
    <s v="Mobile App"/>
    <x v="0"/>
    <n v="1"/>
    <x v="10"/>
    <n v="0.13075929750140999"/>
    <x v="10"/>
    <x v="13"/>
    <x v="0"/>
  </r>
  <r>
    <d v="2025-06-08T00:00:00"/>
    <x v="0"/>
    <s v="Cultural"/>
    <s v="Website"/>
    <x v="5"/>
    <n v="2"/>
    <x v="10"/>
    <n v="0.13075929750140999"/>
    <x v="10"/>
    <x v="8"/>
    <x v="1"/>
  </r>
  <r>
    <d v="2025-06-08T00:00:00"/>
    <x v="3"/>
    <s v="City Break"/>
    <s v="Website"/>
    <x v="6"/>
    <n v="2"/>
    <x v="10"/>
    <n v="0.13075929750140999"/>
    <x v="10"/>
    <x v="12"/>
    <x v="1"/>
  </r>
  <r>
    <d v="2025-06-08T00:00:00"/>
    <x v="3"/>
    <s v="Beach"/>
    <s v="Website"/>
    <x v="7"/>
    <n v="4"/>
    <x v="10"/>
    <n v="0.13075929750140999"/>
    <x v="10"/>
    <x v="9"/>
    <x v="1"/>
  </r>
  <r>
    <d v="2025-06-08T00:00:00"/>
    <x v="1"/>
    <s v="Beach"/>
    <s v="Website"/>
    <x v="5"/>
    <n v="3"/>
    <x v="10"/>
    <n v="0.13075929750140999"/>
    <x v="10"/>
    <x v="8"/>
    <x v="1"/>
  </r>
  <r>
    <d v="2025-06-09T00:00:00"/>
    <x v="3"/>
    <s v="Cultural"/>
    <s v="Website"/>
    <x v="5"/>
    <n v="2"/>
    <x v="10"/>
    <n v="0.13075929750140999"/>
    <x v="10"/>
    <x v="2"/>
    <x v="0"/>
  </r>
  <r>
    <d v="2025-06-09T00:00:00"/>
    <x v="0"/>
    <s v="Adventure"/>
    <s v="Agent"/>
    <x v="9"/>
    <n v="4"/>
    <x v="10"/>
    <n v="0.13075929750140999"/>
    <x v="10"/>
    <x v="18"/>
    <x v="0"/>
  </r>
  <r>
    <d v="2025-06-09T00:00:00"/>
    <x v="0"/>
    <s v="Beach"/>
    <s v="Mobile App"/>
    <x v="9"/>
    <n v="1"/>
    <x v="10"/>
    <n v="0.13075929750140999"/>
    <x v="10"/>
    <x v="6"/>
    <x v="1"/>
  </r>
  <r>
    <d v="2025-06-09T00:00:00"/>
    <x v="1"/>
    <s v="Family"/>
    <s v="Agent"/>
    <x v="5"/>
    <n v="2"/>
    <x v="10"/>
    <n v="0.13075929750140999"/>
    <x v="10"/>
    <x v="12"/>
    <x v="1"/>
  </r>
  <r>
    <d v="2025-06-10T00:00:00"/>
    <x v="2"/>
    <s v="Foodie"/>
    <s v="Call Center"/>
    <x v="6"/>
    <n v="1"/>
    <x v="10"/>
    <n v="0.13075929750140999"/>
    <x v="10"/>
    <x v="10"/>
    <x v="1"/>
  </r>
  <r>
    <d v="2025-06-10T00:00:00"/>
    <x v="2"/>
    <s v="Adventure"/>
    <s v="Mobile App"/>
    <x v="2"/>
    <n v="4"/>
    <x v="10"/>
    <n v="0.13075929750140999"/>
    <x v="10"/>
    <x v="14"/>
    <x v="1"/>
  </r>
  <r>
    <d v="2025-06-10T00:00:00"/>
    <x v="0"/>
    <s v="Beach"/>
    <s v="Website"/>
    <x v="1"/>
    <n v="1"/>
    <x v="10"/>
    <n v="0.13075929750140999"/>
    <x v="10"/>
    <x v="1"/>
    <x v="1"/>
  </r>
  <r>
    <d v="2025-06-10T00:00:00"/>
    <x v="2"/>
    <s v="Adventure"/>
    <s v="Agent"/>
    <x v="0"/>
    <n v="2"/>
    <x v="10"/>
    <n v="0.13075929750140999"/>
    <x v="10"/>
    <x v="12"/>
    <x v="1"/>
  </r>
  <r>
    <d v="2025-06-10T00:00:00"/>
    <x v="3"/>
    <s v="Family"/>
    <s v="Mobile App"/>
    <x v="1"/>
    <n v="1"/>
    <x v="10"/>
    <n v="0.13075929750140999"/>
    <x v="10"/>
    <x v="13"/>
    <x v="0"/>
  </r>
  <r>
    <d v="2025-06-11T00:00:00"/>
    <x v="2"/>
    <s v="Cultural"/>
    <s v="Agent"/>
    <x v="9"/>
    <n v="1"/>
    <x v="10"/>
    <n v="0.13075929750140999"/>
    <x v="10"/>
    <x v="6"/>
    <x v="1"/>
  </r>
  <r>
    <d v="2025-06-11T00:00:00"/>
    <x v="1"/>
    <s v="Family"/>
    <s v="Mobile App"/>
    <x v="5"/>
    <n v="1"/>
    <x v="10"/>
    <n v="0.13075929750140999"/>
    <x v="10"/>
    <x v="17"/>
    <x v="1"/>
  </r>
  <r>
    <d v="2025-06-11T00:00:00"/>
    <x v="3"/>
    <s v="Beach"/>
    <s v="Agent"/>
    <x v="5"/>
    <n v="1"/>
    <x v="10"/>
    <n v="0.13075929750140999"/>
    <x v="10"/>
    <x v="3"/>
    <x v="1"/>
  </r>
  <r>
    <d v="2025-06-12T00:00:00"/>
    <x v="1"/>
    <s v="Adventure"/>
    <s v="Agent"/>
    <x v="7"/>
    <n v="3"/>
    <x v="10"/>
    <n v="0.13075929750140999"/>
    <x v="10"/>
    <x v="12"/>
    <x v="1"/>
  </r>
  <r>
    <d v="2025-06-12T00:00:00"/>
    <x v="1"/>
    <s v="Cultural"/>
    <s v="Mobile App"/>
    <x v="7"/>
    <n v="1"/>
    <x v="10"/>
    <n v="0.13075929750140999"/>
    <x v="10"/>
    <x v="12"/>
    <x v="1"/>
  </r>
  <r>
    <d v="2025-06-12T00:00:00"/>
    <x v="1"/>
    <s v="Beach"/>
    <s v="Website"/>
    <x v="5"/>
    <n v="2"/>
    <x v="10"/>
    <n v="0.13075929750140999"/>
    <x v="10"/>
    <x v="6"/>
    <x v="1"/>
  </r>
  <r>
    <d v="2025-06-12T00:00:00"/>
    <x v="3"/>
    <s v="Adventure"/>
    <s v="Agent"/>
    <x v="0"/>
    <n v="2"/>
    <x v="10"/>
    <n v="0.13075929750140999"/>
    <x v="10"/>
    <x v="8"/>
    <x v="0"/>
  </r>
  <r>
    <d v="2025-06-14T00:00:00"/>
    <x v="2"/>
    <s v="Family"/>
    <s v="Website"/>
    <x v="9"/>
    <n v="4"/>
    <x v="10"/>
    <n v="0.13075929750140999"/>
    <x v="10"/>
    <x v="4"/>
    <x v="1"/>
  </r>
  <r>
    <d v="2025-06-14T00:00:00"/>
    <x v="1"/>
    <s v="Beach"/>
    <s v="Mobile App"/>
    <x v="9"/>
    <n v="2"/>
    <x v="10"/>
    <n v="0.13075929750140999"/>
    <x v="10"/>
    <x v="17"/>
    <x v="1"/>
  </r>
  <r>
    <d v="2025-06-15T00:00:00"/>
    <x v="3"/>
    <s v="Cultural"/>
    <s v="Agent"/>
    <x v="8"/>
    <n v="4"/>
    <x v="10"/>
    <n v="0.13075929750140999"/>
    <x v="10"/>
    <x v="2"/>
    <x v="1"/>
  </r>
  <r>
    <d v="2025-06-15T00:00:00"/>
    <x v="2"/>
    <s v="Beach"/>
    <s v="Mobile App"/>
    <x v="4"/>
    <n v="1"/>
    <x v="10"/>
    <n v="0.13075929750140999"/>
    <x v="10"/>
    <x v="9"/>
    <x v="1"/>
  </r>
  <r>
    <d v="2025-06-15T00:00:00"/>
    <x v="1"/>
    <s v="Family"/>
    <s v="Agent"/>
    <x v="7"/>
    <n v="1"/>
    <x v="10"/>
    <n v="0.13075929750140999"/>
    <x v="10"/>
    <x v="14"/>
    <x v="1"/>
  </r>
  <r>
    <d v="2025-06-15T00:00:00"/>
    <x v="0"/>
    <s v="City Break"/>
    <s v="Website"/>
    <x v="7"/>
    <n v="3"/>
    <x v="10"/>
    <n v="0.13075929750140999"/>
    <x v="10"/>
    <x v="5"/>
    <x v="1"/>
  </r>
  <r>
    <d v="2025-06-15T00:00:00"/>
    <x v="3"/>
    <s v="Cultural"/>
    <s v="Mobile App"/>
    <x v="7"/>
    <n v="2"/>
    <x v="10"/>
    <n v="0.13075929750140999"/>
    <x v="10"/>
    <x v="10"/>
    <x v="1"/>
  </r>
  <r>
    <d v="2025-06-16T00:00:00"/>
    <x v="0"/>
    <s v="Beach"/>
    <s v="Agent"/>
    <x v="3"/>
    <n v="3"/>
    <x v="10"/>
    <n v="0.13075929750140999"/>
    <x v="10"/>
    <x v="0"/>
    <x v="1"/>
  </r>
  <r>
    <d v="2025-06-16T00:00:00"/>
    <x v="3"/>
    <s v="Beach"/>
    <s v="Website"/>
    <x v="3"/>
    <n v="2"/>
    <x v="10"/>
    <n v="0.13075929750140999"/>
    <x v="10"/>
    <x v="2"/>
    <x v="1"/>
  </r>
  <r>
    <d v="2025-06-16T00:00:00"/>
    <x v="3"/>
    <s v="Adventure"/>
    <s v="Mobile App"/>
    <x v="3"/>
    <n v="2"/>
    <x v="10"/>
    <n v="0.13075929750140999"/>
    <x v="10"/>
    <x v="6"/>
    <x v="1"/>
  </r>
  <r>
    <d v="2025-06-17T00:00:00"/>
    <x v="0"/>
    <s v="Cultural"/>
    <s v="Website"/>
    <x v="4"/>
    <n v="2"/>
    <x v="10"/>
    <n v="0.13075929750140999"/>
    <x v="10"/>
    <x v="3"/>
    <x v="0"/>
  </r>
  <r>
    <d v="2025-06-17T00:00:00"/>
    <x v="3"/>
    <s v="Family"/>
    <s v="Agent"/>
    <x v="7"/>
    <n v="3"/>
    <x v="10"/>
    <n v="0.13075929750140999"/>
    <x v="10"/>
    <x v="13"/>
    <x v="1"/>
  </r>
  <r>
    <d v="2025-06-18T00:00:00"/>
    <x v="3"/>
    <s v="Beach"/>
    <s v="Website"/>
    <x v="5"/>
    <n v="2"/>
    <x v="10"/>
    <n v="0.13075929750140999"/>
    <x v="10"/>
    <x v="0"/>
    <x v="1"/>
  </r>
  <r>
    <d v="2025-06-18T00:00:00"/>
    <x v="2"/>
    <s v="Cultural"/>
    <s v="Agent"/>
    <x v="1"/>
    <n v="1"/>
    <x v="10"/>
    <n v="0.13075929750140999"/>
    <x v="10"/>
    <x v="6"/>
    <x v="1"/>
  </r>
  <r>
    <d v="2025-06-19T00:00:00"/>
    <x v="1"/>
    <s v="Beach"/>
    <s v="Website"/>
    <x v="2"/>
    <n v="3"/>
    <x v="10"/>
    <n v="0.13075929750140999"/>
    <x v="10"/>
    <x v="18"/>
    <x v="0"/>
  </r>
  <r>
    <d v="2025-06-19T00:00:00"/>
    <x v="0"/>
    <s v="Beach"/>
    <s v="Website"/>
    <x v="9"/>
    <n v="1"/>
    <x v="10"/>
    <n v="0.13075929750140999"/>
    <x v="10"/>
    <x v="4"/>
    <x v="1"/>
  </r>
  <r>
    <d v="2025-06-19T00:00:00"/>
    <x v="2"/>
    <s v="Beach"/>
    <s v="Website"/>
    <x v="7"/>
    <n v="2"/>
    <x v="10"/>
    <n v="0.13075929750140999"/>
    <x v="10"/>
    <x v="15"/>
    <x v="0"/>
  </r>
  <r>
    <d v="2025-06-19T00:00:00"/>
    <x v="2"/>
    <s v="Family"/>
    <s v="Website"/>
    <x v="4"/>
    <n v="1"/>
    <x v="10"/>
    <n v="0.13075929750140999"/>
    <x v="10"/>
    <x v="8"/>
    <x v="1"/>
  </r>
  <r>
    <d v="2025-06-20T00:00:00"/>
    <x v="3"/>
    <s v="Beach"/>
    <s v="Website"/>
    <x v="4"/>
    <n v="2"/>
    <x v="10"/>
    <n v="0.13075929750140999"/>
    <x v="10"/>
    <x v="15"/>
    <x v="1"/>
  </r>
  <r>
    <d v="2025-06-20T00:00:00"/>
    <x v="1"/>
    <s v="City Break"/>
    <s v="Call Center"/>
    <x v="4"/>
    <n v="5"/>
    <x v="10"/>
    <n v="0.13075929750140999"/>
    <x v="10"/>
    <x v="6"/>
    <x v="1"/>
  </r>
  <r>
    <d v="2025-06-20T00:00:00"/>
    <x v="3"/>
    <s v="Beach"/>
    <s v="Website"/>
    <x v="4"/>
    <n v="1"/>
    <x v="10"/>
    <n v="0.13075929750140999"/>
    <x v="10"/>
    <x v="0"/>
    <x v="1"/>
  </r>
  <r>
    <d v="2025-06-21T00:00:00"/>
    <x v="1"/>
    <s v="Family"/>
    <s v="Website"/>
    <x v="4"/>
    <n v="4"/>
    <x v="10"/>
    <n v="0.13075929750140999"/>
    <x v="10"/>
    <x v="4"/>
    <x v="1"/>
  </r>
  <r>
    <d v="2025-06-21T00:00:00"/>
    <x v="3"/>
    <s v="Cultural"/>
    <s v="Website"/>
    <x v="7"/>
    <n v="1"/>
    <x v="10"/>
    <n v="0.13075929750140999"/>
    <x v="10"/>
    <x v="17"/>
    <x v="1"/>
  </r>
  <r>
    <d v="2025-06-21T00:00:00"/>
    <x v="1"/>
    <s v="City Break"/>
    <s v="Website"/>
    <x v="4"/>
    <n v="1"/>
    <x v="10"/>
    <n v="0.13075929750140999"/>
    <x v="10"/>
    <x v="6"/>
    <x v="1"/>
  </r>
  <r>
    <d v="2025-06-21T00:00:00"/>
    <x v="3"/>
    <s v="Foodie"/>
    <s v="Mobile App"/>
    <x v="9"/>
    <n v="2"/>
    <x v="10"/>
    <n v="0.13075929750140999"/>
    <x v="10"/>
    <x v="4"/>
    <x v="1"/>
  </r>
  <r>
    <d v="2025-06-21T00:00:00"/>
    <x v="3"/>
    <s v="Adventure"/>
    <s v="Website"/>
    <x v="4"/>
    <n v="2"/>
    <x v="10"/>
    <n v="0.13075929750140999"/>
    <x v="10"/>
    <x v="8"/>
    <x v="0"/>
  </r>
  <r>
    <d v="2025-06-22T00:00:00"/>
    <x v="3"/>
    <s v="Foodie"/>
    <s v="Website"/>
    <x v="4"/>
    <n v="2"/>
    <x v="10"/>
    <n v="0.13075929750140999"/>
    <x v="10"/>
    <x v="14"/>
    <x v="1"/>
  </r>
  <r>
    <d v="2025-06-22T00:00:00"/>
    <x v="1"/>
    <s v="Adventure"/>
    <s v="Website"/>
    <x v="4"/>
    <n v="1"/>
    <x v="10"/>
    <n v="0.13075929750140999"/>
    <x v="10"/>
    <x v="14"/>
    <x v="1"/>
  </r>
  <r>
    <d v="2025-06-23T00:00:00"/>
    <x v="1"/>
    <s v="Beach"/>
    <s v="Mobile App"/>
    <x v="1"/>
    <n v="3"/>
    <x v="10"/>
    <n v="0.13075929750140999"/>
    <x v="10"/>
    <x v="12"/>
    <x v="1"/>
  </r>
  <r>
    <d v="2025-06-23T00:00:00"/>
    <x v="3"/>
    <s v="Beach"/>
    <s v="Mobile App"/>
    <x v="4"/>
    <n v="1"/>
    <x v="10"/>
    <n v="0.13075929750140999"/>
    <x v="10"/>
    <x v="6"/>
    <x v="1"/>
  </r>
  <r>
    <d v="2025-06-23T00:00:00"/>
    <x v="1"/>
    <s v="City Break"/>
    <s v="Agent"/>
    <x v="3"/>
    <n v="1"/>
    <x v="10"/>
    <n v="0.13075929750140999"/>
    <x v="10"/>
    <x v="0"/>
    <x v="1"/>
  </r>
  <r>
    <d v="2025-06-23T00:00:00"/>
    <x v="3"/>
    <s v="Foodie"/>
    <s v="Website"/>
    <x v="7"/>
    <n v="1"/>
    <x v="10"/>
    <n v="0.13075929750140999"/>
    <x v="10"/>
    <x v="12"/>
    <x v="1"/>
  </r>
  <r>
    <d v="2025-06-24T00:00:00"/>
    <x v="0"/>
    <s v="Foodie"/>
    <s v="Website"/>
    <x v="7"/>
    <n v="4"/>
    <x v="10"/>
    <n v="0.13075929750140999"/>
    <x v="10"/>
    <x v="13"/>
    <x v="0"/>
  </r>
  <r>
    <d v="2025-06-24T00:00:00"/>
    <x v="2"/>
    <s v="City Break"/>
    <s v="Website"/>
    <x v="8"/>
    <n v="1"/>
    <x v="10"/>
    <n v="0.13075929750140999"/>
    <x v="10"/>
    <x v="10"/>
    <x v="1"/>
  </r>
  <r>
    <d v="2025-06-25T00:00:00"/>
    <x v="3"/>
    <s v="Cultural"/>
    <s v="Website"/>
    <x v="0"/>
    <n v="1"/>
    <x v="10"/>
    <n v="0.13075929750140999"/>
    <x v="10"/>
    <x v="1"/>
    <x v="1"/>
  </r>
  <r>
    <d v="2025-06-25T00:00:00"/>
    <x v="2"/>
    <s v="Beach"/>
    <s v="Website"/>
    <x v="0"/>
    <n v="3"/>
    <x v="10"/>
    <n v="0.13075929750140999"/>
    <x v="10"/>
    <x v="12"/>
    <x v="0"/>
  </r>
  <r>
    <d v="2025-06-25T00:00:00"/>
    <x v="1"/>
    <s v="Beach"/>
    <s v="Website"/>
    <x v="1"/>
    <n v="3"/>
    <x v="10"/>
    <n v="0.13075929750140999"/>
    <x v="10"/>
    <x v="13"/>
    <x v="1"/>
  </r>
  <r>
    <d v="2025-06-25T00:00:00"/>
    <x v="1"/>
    <s v="Cultural"/>
    <s v="Website"/>
    <x v="7"/>
    <n v="1"/>
    <x v="10"/>
    <n v="0.13075929750140999"/>
    <x v="10"/>
    <x v="5"/>
    <x v="1"/>
  </r>
  <r>
    <d v="2025-06-25T00:00:00"/>
    <x v="3"/>
    <s v="Adventure"/>
    <s v="Mobile App"/>
    <x v="4"/>
    <n v="2"/>
    <x v="10"/>
    <n v="0.13075929750140999"/>
    <x v="10"/>
    <x v="8"/>
    <x v="1"/>
  </r>
  <r>
    <d v="2025-06-25T00:00:00"/>
    <x v="3"/>
    <s v="City Break"/>
    <s v="Mobile App"/>
    <x v="8"/>
    <n v="1"/>
    <x v="10"/>
    <n v="0.13075929750140999"/>
    <x v="10"/>
    <x v="9"/>
    <x v="1"/>
  </r>
  <r>
    <d v="2025-06-26T00:00:00"/>
    <x v="2"/>
    <s v="City Break"/>
    <s v="Website"/>
    <x v="5"/>
    <n v="2"/>
    <x v="10"/>
    <n v="0.13075929750140999"/>
    <x v="10"/>
    <x v="0"/>
    <x v="0"/>
  </r>
  <r>
    <d v="2025-06-26T00:00:00"/>
    <x v="3"/>
    <s v="Beach"/>
    <s v="Mobile App"/>
    <x v="8"/>
    <n v="2"/>
    <x v="10"/>
    <n v="0.13075929750140999"/>
    <x v="10"/>
    <x v="1"/>
    <x v="1"/>
  </r>
  <r>
    <d v="2025-06-26T00:00:00"/>
    <x v="3"/>
    <s v="Cultural"/>
    <s v="Website"/>
    <x v="5"/>
    <n v="1"/>
    <x v="10"/>
    <n v="0.13075929750140999"/>
    <x v="10"/>
    <x v="2"/>
    <x v="1"/>
  </r>
  <r>
    <d v="2025-06-26T00:00:00"/>
    <x v="0"/>
    <s v="City Break"/>
    <s v="Agent"/>
    <x v="6"/>
    <n v="1"/>
    <x v="10"/>
    <n v="0.13075929750140999"/>
    <x v="10"/>
    <x v="4"/>
    <x v="1"/>
  </r>
  <r>
    <d v="2025-06-26T00:00:00"/>
    <x v="0"/>
    <s v="Family"/>
    <s v="Mobile App"/>
    <x v="2"/>
    <n v="5"/>
    <x v="10"/>
    <n v="0.13075929750140999"/>
    <x v="10"/>
    <x v="2"/>
    <x v="1"/>
  </r>
  <r>
    <d v="2025-06-26T00:00:00"/>
    <x v="2"/>
    <s v="City Break"/>
    <s v="Agent"/>
    <x v="5"/>
    <n v="2"/>
    <x v="10"/>
    <n v="0.13075929750140999"/>
    <x v="10"/>
    <x v="3"/>
    <x v="0"/>
  </r>
  <r>
    <d v="2025-06-26T00:00:00"/>
    <x v="3"/>
    <s v="Adventure"/>
    <s v="Website"/>
    <x v="2"/>
    <n v="1"/>
    <x v="10"/>
    <n v="0.13075929750140999"/>
    <x v="10"/>
    <x v="6"/>
    <x v="1"/>
  </r>
  <r>
    <d v="2025-06-26T00:00:00"/>
    <x v="1"/>
    <s v="Cultural"/>
    <s v="Website"/>
    <x v="1"/>
    <n v="1"/>
    <x v="10"/>
    <n v="0.13075929750140999"/>
    <x v="10"/>
    <x v="0"/>
    <x v="1"/>
  </r>
  <r>
    <d v="2025-06-27T00:00:00"/>
    <x v="3"/>
    <s v="Adventure"/>
    <s v="Agent"/>
    <x v="0"/>
    <n v="1"/>
    <x v="10"/>
    <n v="0.13075929750140999"/>
    <x v="10"/>
    <x v="11"/>
    <x v="1"/>
  </r>
  <r>
    <d v="2025-06-27T00:00:00"/>
    <x v="1"/>
    <s v="Family"/>
    <s v="Mobile App"/>
    <x v="2"/>
    <n v="5"/>
    <x v="10"/>
    <n v="0.13075929750140999"/>
    <x v="10"/>
    <x v="6"/>
    <x v="1"/>
  </r>
  <r>
    <d v="2025-06-27T00:00:00"/>
    <x v="3"/>
    <s v="Beach"/>
    <s v="Mobile App"/>
    <x v="7"/>
    <n v="2"/>
    <x v="10"/>
    <n v="0.13075929750140999"/>
    <x v="10"/>
    <x v="25"/>
    <x v="1"/>
  </r>
  <r>
    <d v="2025-06-27T00:00:00"/>
    <x v="0"/>
    <s v="Beach"/>
    <s v="Website"/>
    <x v="8"/>
    <n v="1"/>
    <x v="10"/>
    <n v="0.13075929750140999"/>
    <x v="10"/>
    <x v="8"/>
    <x v="1"/>
  </r>
  <r>
    <d v="2025-06-28T00:00:00"/>
    <x v="1"/>
    <s v="Cultural"/>
    <s v="Website"/>
    <x v="8"/>
    <n v="1"/>
    <x v="10"/>
    <n v="0.13075929750140999"/>
    <x v="10"/>
    <x v="5"/>
    <x v="1"/>
  </r>
  <r>
    <d v="2025-06-28T00:00:00"/>
    <x v="2"/>
    <s v="Family"/>
    <s v="Agent"/>
    <x v="1"/>
    <n v="3"/>
    <x v="10"/>
    <n v="0.13075929750140999"/>
    <x v="10"/>
    <x v="3"/>
    <x v="1"/>
  </r>
  <r>
    <d v="2025-06-28T00:00:00"/>
    <x v="3"/>
    <s v="Beach"/>
    <s v="Agent"/>
    <x v="0"/>
    <n v="2"/>
    <x v="10"/>
    <n v="0.13075929750140999"/>
    <x v="10"/>
    <x v="14"/>
    <x v="1"/>
  </r>
  <r>
    <d v="2025-06-28T00:00:00"/>
    <x v="0"/>
    <s v="Family"/>
    <s v="Mobile App"/>
    <x v="0"/>
    <n v="2"/>
    <x v="10"/>
    <n v="0.13075929750140999"/>
    <x v="10"/>
    <x v="10"/>
    <x v="1"/>
  </r>
  <r>
    <d v="2025-06-28T00:00:00"/>
    <x v="2"/>
    <s v="Beach"/>
    <s v="Website"/>
    <x v="3"/>
    <n v="1"/>
    <x v="10"/>
    <n v="0.13075929750140999"/>
    <x v="10"/>
    <x v="17"/>
    <x v="0"/>
  </r>
  <r>
    <d v="2025-06-29T00:00:00"/>
    <x v="3"/>
    <s v="City Break"/>
    <s v="Website"/>
    <x v="1"/>
    <n v="2"/>
    <x v="10"/>
    <n v="0.13075929750140999"/>
    <x v="10"/>
    <x v="6"/>
    <x v="1"/>
  </r>
  <r>
    <d v="2025-06-29T00:00:00"/>
    <x v="3"/>
    <s v="Beach"/>
    <s v="Website"/>
    <x v="1"/>
    <n v="2"/>
    <x v="10"/>
    <n v="0.13075929750140999"/>
    <x v="10"/>
    <x v="2"/>
    <x v="0"/>
  </r>
  <r>
    <d v="2025-06-29T00:00:00"/>
    <x v="2"/>
    <s v="Family"/>
    <s v="Website"/>
    <x v="1"/>
    <n v="2"/>
    <x v="10"/>
    <n v="0.13075929750140999"/>
    <x v="10"/>
    <x v="18"/>
    <x v="0"/>
  </r>
  <r>
    <d v="2025-06-29T00:00:00"/>
    <x v="0"/>
    <s v="Beach"/>
    <s v="Website"/>
    <x v="1"/>
    <n v="1"/>
    <x v="10"/>
    <n v="0.13075929750140999"/>
    <x v="10"/>
    <x v="4"/>
    <x v="1"/>
  </r>
  <r>
    <d v="2025-06-29T00:00:00"/>
    <x v="1"/>
    <s v="Family"/>
    <s v="Website"/>
    <x v="5"/>
    <n v="2"/>
    <x v="10"/>
    <n v="0.13075929750140999"/>
    <x v="10"/>
    <x v="1"/>
    <x v="0"/>
  </r>
  <r>
    <d v="2025-06-30T00:00:00"/>
    <x v="3"/>
    <s v="Cultural"/>
    <s v="Mobile App"/>
    <x v="6"/>
    <n v="3"/>
    <x v="10"/>
    <n v="0.13075929750140999"/>
    <x v="10"/>
    <x v="9"/>
    <x v="0"/>
  </r>
  <r>
    <d v="2025-06-30T00:00:00"/>
    <x v="1"/>
    <s v="Beach"/>
    <s v="Mobile App"/>
    <x v="4"/>
    <n v="3"/>
    <x v="10"/>
    <n v="0.13075929750140999"/>
    <x v="10"/>
    <x v="6"/>
    <x v="0"/>
  </r>
  <r>
    <d v="2025-06-30T00:00:00"/>
    <x v="0"/>
    <s v="City Break"/>
    <s v="Website"/>
    <x v="8"/>
    <n v="2"/>
    <x v="10"/>
    <n v="0.13075929750140999"/>
    <x v="10"/>
    <x v="12"/>
    <x v="1"/>
  </r>
  <r>
    <d v="2025-07-01T00:00:00"/>
    <x v="3"/>
    <s v="Family"/>
    <s v="Website"/>
    <x v="8"/>
    <n v="2"/>
    <x v="10"/>
    <n v="0.13075929750140999"/>
    <x v="10"/>
    <x v="10"/>
    <x v="1"/>
  </r>
  <r>
    <d v="2025-07-01T00:00:00"/>
    <x v="3"/>
    <s v="Beach"/>
    <s v="Website"/>
    <x v="1"/>
    <n v="2"/>
    <x v="10"/>
    <n v="0.13075929750140999"/>
    <x v="10"/>
    <x v="9"/>
    <x v="1"/>
  </r>
  <r>
    <d v="2025-07-01T00:00:00"/>
    <x v="1"/>
    <s v="Beach"/>
    <s v="Website"/>
    <x v="2"/>
    <n v="4"/>
    <x v="10"/>
    <n v="0.13075929750140999"/>
    <x v="10"/>
    <x v="13"/>
    <x v="0"/>
  </r>
  <r>
    <d v="2025-07-01T00:00:00"/>
    <x v="3"/>
    <s v="City Break"/>
    <s v="Website"/>
    <x v="4"/>
    <n v="2"/>
    <x v="10"/>
    <n v="0.13075929750140999"/>
    <x v="10"/>
    <x v="5"/>
    <x v="1"/>
  </r>
  <r>
    <d v="2025-07-01T00:00:00"/>
    <x v="3"/>
    <s v="Foodie"/>
    <s v="Agent"/>
    <x v="6"/>
    <n v="1"/>
    <x v="10"/>
    <n v="0.13075929750140999"/>
    <x v="10"/>
    <x v="4"/>
    <x v="1"/>
  </r>
  <r>
    <d v="2025-07-01T00:00:00"/>
    <x v="3"/>
    <s v="Beach"/>
    <s v="Agent"/>
    <x v="9"/>
    <n v="1"/>
    <x v="10"/>
    <n v="0.13075929750140999"/>
    <x v="10"/>
    <x v="4"/>
    <x v="1"/>
  </r>
  <r>
    <d v="2025-07-02T00:00:00"/>
    <x v="1"/>
    <s v="Foodie"/>
    <s v="Mobile App"/>
    <x v="1"/>
    <n v="2"/>
    <x v="10"/>
    <n v="0.13075929750140999"/>
    <x v="10"/>
    <x v="13"/>
    <x v="1"/>
  </r>
  <r>
    <d v="2025-07-02T00:00:00"/>
    <x v="1"/>
    <s v="Beach"/>
    <s v="Website"/>
    <x v="1"/>
    <n v="2"/>
    <x v="10"/>
    <n v="0.13075929750140999"/>
    <x v="10"/>
    <x v="2"/>
    <x v="1"/>
  </r>
  <r>
    <d v="2025-07-02T00:00:00"/>
    <x v="2"/>
    <s v="Family"/>
    <s v="Website"/>
    <x v="9"/>
    <n v="4"/>
    <x v="10"/>
    <n v="0.13075929750140999"/>
    <x v="10"/>
    <x v="8"/>
    <x v="1"/>
  </r>
  <r>
    <d v="2025-07-03T00:00:00"/>
    <x v="1"/>
    <s v="Family"/>
    <s v="Website"/>
    <x v="6"/>
    <n v="3"/>
    <x v="10"/>
    <n v="0.13075929750140999"/>
    <x v="10"/>
    <x v="6"/>
    <x v="0"/>
  </r>
  <r>
    <d v="2025-07-03T00:00:00"/>
    <x v="0"/>
    <s v="Cultural"/>
    <s v="Mobile App"/>
    <x v="0"/>
    <n v="3"/>
    <x v="10"/>
    <n v="0.13075929750140999"/>
    <x v="10"/>
    <x v="2"/>
    <x v="1"/>
  </r>
  <r>
    <d v="2025-07-03T00:00:00"/>
    <x v="3"/>
    <s v="Cultural"/>
    <s v="Mobile App"/>
    <x v="5"/>
    <n v="2"/>
    <x v="10"/>
    <n v="0.13075929750140999"/>
    <x v="10"/>
    <x v="9"/>
    <x v="1"/>
  </r>
  <r>
    <d v="2025-07-03T00:00:00"/>
    <x v="0"/>
    <s v="Foodie"/>
    <s v="Agent"/>
    <x v="8"/>
    <n v="2"/>
    <x v="10"/>
    <n v="0.13075929750140999"/>
    <x v="10"/>
    <x v="10"/>
    <x v="1"/>
  </r>
  <r>
    <d v="2025-07-03T00:00:00"/>
    <x v="0"/>
    <s v="Foodie"/>
    <s v="Agent"/>
    <x v="1"/>
    <n v="3"/>
    <x v="10"/>
    <n v="0.13075929750140999"/>
    <x v="10"/>
    <x v="6"/>
    <x v="1"/>
  </r>
  <r>
    <d v="2025-07-04T00:00:00"/>
    <x v="1"/>
    <s v="Cultural"/>
    <s v="Website"/>
    <x v="0"/>
    <n v="4"/>
    <x v="10"/>
    <n v="0.13075929750140999"/>
    <x v="10"/>
    <x v="9"/>
    <x v="1"/>
  </r>
  <r>
    <d v="2025-07-04T00:00:00"/>
    <x v="3"/>
    <s v="Beach"/>
    <s v="Mobile App"/>
    <x v="5"/>
    <n v="1"/>
    <x v="10"/>
    <n v="0.13075929750140999"/>
    <x v="10"/>
    <x v="4"/>
    <x v="1"/>
  </r>
  <r>
    <d v="2025-07-04T00:00:00"/>
    <x v="1"/>
    <s v="Adventure"/>
    <s v="Mobile App"/>
    <x v="5"/>
    <n v="1"/>
    <x v="10"/>
    <n v="0.13075929750140999"/>
    <x v="10"/>
    <x v="13"/>
    <x v="1"/>
  </r>
  <r>
    <d v="2025-07-05T00:00:00"/>
    <x v="3"/>
    <s v="Beach"/>
    <s v="Agent"/>
    <x v="1"/>
    <n v="1"/>
    <x v="10"/>
    <n v="0.13075929750140999"/>
    <x v="10"/>
    <x v="12"/>
    <x v="1"/>
  </r>
  <r>
    <d v="2025-07-05T00:00:00"/>
    <x v="1"/>
    <s v="Foodie"/>
    <s v="Call Center"/>
    <x v="5"/>
    <n v="2"/>
    <x v="10"/>
    <n v="0.13075929750140999"/>
    <x v="10"/>
    <x v="13"/>
    <x v="1"/>
  </r>
  <r>
    <d v="2025-07-06T00:00:00"/>
    <x v="1"/>
    <s v="Beach"/>
    <s v="Website"/>
    <x v="1"/>
    <n v="3"/>
    <x v="10"/>
    <n v="0.13075929750140999"/>
    <x v="10"/>
    <x v="9"/>
    <x v="1"/>
  </r>
  <r>
    <d v="2025-07-06T00:00:00"/>
    <x v="0"/>
    <s v="Beach"/>
    <s v="Mobile App"/>
    <x v="9"/>
    <n v="1"/>
    <x v="10"/>
    <n v="0.13075929750140999"/>
    <x v="10"/>
    <x v="19"/>
    <x v="0"/>
  </r>
  <r>
    <d v="2025-07-06T00:00:00"/>
    <x v="2"/>
    <s v="Foodie"/>
    <s v="Website"/>
    <x v="9"/>
    <n v="1"/>
    <x v="10"/>
    <n v="0.13075929750140999"/>
    <x v="10"/>
    <x v="1"/>
    <x v="1"/>
  </r>
  <r>
    <d v="2025-07-07T00:00:00"/>
    <x v="1"/>
    <s v="Family"/>
    <s v="Website"/>
    <x v="9"/>
    <n v="1"/>
    <x v="10"/>
    <n v="0.13075929750140999"/>
    <x v="10"/>
    <x v="2"/>
    <x v="0"/>
  </r>
  <r>
    <d v="2025-07-07T00:00:00"/>
    <x v="3"/>
    <s v="Family"/>
    <s v="Website"/>
    <x v="8"/>
    <n v="4"/>
    <x v="10"/>
    <n v="0.13075929750140999"/>
    <x v="10"/>
    <x v="8"/>
    <x v="1"/>
  </r>
  <r>
    <d v="2025-07-07T00:00:00"/>
    <x v="3"/>
    <s v="Foodie"/>
    <s v="Call Center"/>
    <x v="2"/>
    <n v="1"/>
    <x v="10"/>
    <n v="0.13075929750140999"/>
    <x v="10"/>
    <x v="5"/>
    <x v="1"/>
  </r>
  <r>
    <d v="2025-07-08T00:00:00"/>
    <x v="0"/>
    <s v="Beach"/>
    <s v="Website"/>
    <x v="2"/>
    <n v="3"/>
    <x v="10"/>
    <n v="0.13075929750140999"/>
    <x v="10"/>
    <x v="5"/>
    <x v="1"/>
  </r>
  <r>
    <d v="2025-07-08T00:00:00"/>
    <x v="2"/>
    <s v="Adventure"/>
    <s v="Agent"/>
    <x v="0"/>
    <n v="1"/>
    <x v="10"/>
    <n v="0.13075929750140999"/>
    <x v="10"/>
    <x v="4"/>
    <x v="1"/>
  </r>
  <r>
    <d v="2025-07-08T00:00:00"/>
    <x v="1"/>
    <s v="Beach"/>
    <s v="Mobile App"/>
    <x v="4"/>
    <n v="1"/>
    <x v="10"/>
    <n v="0.13075929750140999"/>
    <x v="10"/>
    <x v="2"/>
    <x v="0"/>
  </r>
  <r>
    <d v="2025-07-08T00:00:00"/>
    <x v="0"/>
    <s v="Family"/>
    <s v="Mobile App"/>
    <x v="2"/>
    <n v="3"/>
    <x v="10"/>
    <n v="0.13075929750140999"/>
    <x v="10"/>
    <x v="12"/>
    <x v="0"/>
  </r>
  <r>
    <d v="2025-07-08T00:00:00"/>
    <x v="1"/>
    <s v="Adventure"/>
    <s v="Website"/>
    <x v="0"/>
    <n v="3"/>
    <x v="10"/>
    <n v="0.13075929750140999"/>
    <x v="10"/>
    <x v="2"/>
    <x v="1"/>
  </r>
  <r>
    <d v="2025-07-08T00:00:00"/>
    <x v="1"/>
    <s v="City Break"/>
    <s v="Agent"/>
    <x v="8"/>
    <n v="4"/>
    <x v="10"/>
    <n v="0.13075929750140999"/>
    <x v="10"/>
    <x v="6"/>
    <x v="1"/>
  </r>
  <r>
    <d v="2025-07-08T00:00:00"/>
    <x v="3"/>
    <s v="Family"/>
    <s v="Agent"/>
    <x v="4"/>
    <n v="1"/>
    <x v="10"/>
    <n v="0.13075929750140999"/>
    <x v="10"/>
    <x v="0"/>
    <x v="1"/>
  </r>
  <r>
    <d v="2025-07-08T00:00:00"/>
    <x v="3"/>
    <s v="Family"/>
    <s v="Website"/>
    <x v="0"/>
    <n v="5"/>
    <x v="10"/>
    <n v="0.13075929750140999"/>
    <x v="10"/>
    <x v="2"/>
    <x v="1"/>
  </r>
  <r>
    <d v="2025-07-08T00:00:00"/>
    <x v="1"/>
    <s v="Family"/>
    <s v="Mobile App"/>
    <x v="8"/>
    <n v="4"/>
    <x v="10"/>
    <n v="0.13075929750140999"/>
    <x v="10"/>
    <x v="17"/>
    <x v="1"/>
  </r>
  <r>
    <d v="2025-07-09T00:00:00"/>
    <x v="2"/>
    <s v="Family"/>
    <s v="Agent"/>
    <x v="3"/>
    <n v="1"/>
    <x v="10"/>
    <n v="0.13075929750140999"/>
    <x v="10"/>
    <x v="0"/>
    <x v="1"/>
  </r>
  <r>
    <d v="2025-07-09T00:00:00"/>
    <x v="1"/>
    <s v="Adventure"/>
    <s v="Website"/>
    <x v="3"/>
    <n v="3"/>
    <x v="10"/>
    <n v="0.13075929750140999"/>
    <x v="10"/>
    <x v="3"/>
    <x v="0"/>
  </r>
  <r>
    <d v="2025-07-09T00:00:00"/>
    <x v="1"/>
    <s v="Cultural"/>
    <s v="Mobile App"/>
    <x v="0"/>
    <n v="1"/>
    <x v="10"/>
    <n v="0.13075929750140999"/>
    <x v="10"/>
    <x v="5"/>
    <x v="1"/>
  </r>
  <r>
    <d v="2025-07-10T00:00:00"/>
    <x v="2"/>
    <s v="Cultural"/>
    <s v="Mobile App"/>
    <x v="4"/>
    <n v="1"/>
    <x v="10"/>
    <n v="0.13075929750140999"/>
    <x v="10"/>
    <x v="1"/>
    <x v="1"/>
  </r>
  <r>
    <d v="2025-07-10T00:00:00"/>
    <x v="1"/>
    <s v="Family"/>
    <s v="Website"/>
    <x v="0"/>
    <n v="1"/>
    <x v="10"/>
    <n v="0.13075929750140999"/>
    <x v="10"/>
    <x v="12"/>
    <x v="0"/>
  </r>
  <r>
    <d v="2025-07-10T00:00:00"/>
    <x v="1"/>
    <s v="Family"/>
    <s v="Website"/>
    <x v="8"/>
    <n v="3"/>
    <x v="10"/>
    <n v="0.13075929750140999"/>
    <x v="10"/>
    <x v="8"/>
    <x v="1"/>
  </r>
  <r>
    <d v="2025-07-10T00:00:00"/>
    <x v="3"/>
    <s v="Beach"/>
    <s v="Mobile App"/>
    <x v="1"/>
    <n v="1"/>
    <x v="10"/>
    <n v="0.13075929750140999"/>
    <x v="10"/>
    <x v="14"/>
    <x v="1"/>
  </r>
  <r>
    <d v="2025-07-10T00:00:00"/>
    <x v="3"/>
    <s v="Adventure"/>
    <s v="Website"/>
    <x v="3"/>
    <n v="1"/>
    <x v="10"/>
    <n v="0.13075929750140999"/>
    <x v="10"/>
    <x v="12"/>
    <x v="1"/>
  </r>
  <r>
    <d v="2025-07-10T00:00:00"/>
    <x v="3"/>
    <s v="Cultural"/>
    <s v="Agent"/>
    <x v="5"/>
    <n v="2"/>
    <x v="10"/>
    <n v="0.13075929750140999"/>
    <x v="10"/>
    <x v="3"/>
    <x v="0"/>
  </r>
  <r>
    <d v="2025-07-10T00:00:00"/>
    <x v="3"/>
    <s v="Family"/>
    <s v="Mobile App"/>
    <x v="7"/>
    <n v="3"/>
    <x v="10"/>
    <n v="0.13075929750140999"/>
    <x v="10"/>
    <x v="12"/>
    <x v="1"/>
  </r>
  <r>
    <d v="2025-07-11T00:00:00"/>
    <x v="1"/>
    <s v="Cultural"/>
    <s v="Website"/>
    <x v="5"/>
    <n v="1"/>
    <x v="10"/>
    <n v="0.13075929750140999"/>
    <x v="10"/>
    <x v="8"/>
    <x v="1"/>
  </r>
  <r>
    <d v="2025-07-11T00:00:00"/>
    <x v="1"/>
    <s v="City Break"/>
    <s v="Website"/>
    <x v="4"/>
    <n v="2"/>
    <x v="10"/>
    <n v="0.13075929750140999"/>
    <x v="10"/>
    <x v="10"/>
    <x v="1"/>
  </r>
  <r>
    <d v="2025-07-11T00:00:00"/>
    <x v="0"/>
    <s v="Beach"/>
    <s v="Agent"/>
    <x v="7"/>
    <n v="2"/>
    <x v="10"/>
    <n v="0.13075929750140999"/>
    <x v="10"/>
    <x v="0"/>
    <x v="1"/>
  </r>
  <r>
    <d v="2025-07-11T00:00:00"/>
    <x v="0"/>
    <s v="Beach"/>
    <s v="Mobile App"/>
    <x v="6"/>
    <n v="1"/>
    <x v="10"/>
    <n v="0.13075929750140999"/>
    <x v="10"/>
    <x v="5"/>
    <x v="1"/>
  </r>
  <r>
    <d v="2025-07-12T00:00:00"/>
    <x v="1"/>
    <s v="Family"/>
    <s v="Mobile App"/>
    <x v="1"/>
    <n v="4"/>
    <x v="10"/>
    <n v="0.13075929750140999"/>
    <x v="10"/>
    <x v="12"/>
    <x v="1"/>
  </r>
  <r>
    <d v="2025-07-12T00:00:00"/>
    <x v="3"/>
    <s v="Adventure"/>
    <s v="Website"/>
    <x v="3"/>
    <n v="1"/>
    <x v="10"/>
    <n v="0.13075929750140999"/>
    <x v="10"/>
    <x v="1"/>
    <x v="0"/>
  </r>
  <r>
    <d v="2025-07-12T00:00:00"/>
    <x v="1"/>
    <s v="Cultural"/>
    <s v="Agent"/>
    <x v="9"/>
    <n v="4"/>
    <x v="10"/>
    <n v="0.13075929750140999"/>
    <x v="10"/>
    <x v="4"/>
    <x v="0"/>
  </r>
  <r>
    <d v="2025-07-12T00:00:00"/>
    <x v="3"/>
    <s v="Cultural"/>
    <s v="Website"/>
    <x v="8"/>
    <n v="2"/>
    <x v="10"/>
    <n v="0.13075929750140999"/>
    <x v="10"/>
    <x v="6"/>
    <x v="1"/>
  </r>
  <r>
    <d v="2025-07-13T00:00:00"/>
    <x v="2"/>
    <s v="Beach"/>
    <s v="Website"/>
    <x v="7"/>
    <n v="4"/>
    <x v="10"/>
    <n v="0.13075929750140999"/>
    <x v="10"/>
    <x v="1"/>
    <x v="0"/>
  </r>
  <r>
    <d v="2025-07-13T00:00:00"/>
    <x v="3"/>
    <s v="Beach"/>
    <s v="Website"/>
    <x v="1"/>
    <n v="1"/>
    <x v="10"/>
    <n v="0.13075929750140999"/>
    <x v="10"/>
    <x v="12"/>
    <x v="1"/>
  </r>
  <r>
    <d v="2025-07-13T00:00:00"/>
    <x v="1"/>
    <s v="Family"/>
    <s v="Mobile App"/>
    <x v="1"/>
    <n v="2"/>
    <x v="10"/>
    <n v="0.13075929750140999"/>
    <x v="10"/>
    <x v="12"/>
    <x v="1"/>
  </r>
  <r>
    <d v="2025-07-13T00:00:00"/>
    <x v="3"/>
    <s v="Cultural"/>
    <s v="Mobile App"/>
    <x v="9"/>
    <n v="4"/>
    <x v="10"/>
    <n v="0.13075929750140999"/>
    <x v="10"/>
    <x v="15"/>
    <x v="1"/>
  </r>
  <r>
    <d v="2025-07-13T00:00:00"/>
    <x v="3"/>
    <s v="Beach"/>
    <s v="Website"/>
    <x v="2"/>
    <n v="2"/>
    <x v="10"/>
    <n v="0.13075929750140999"/>
    <x v="10"/>
    <x v="7"/>
    <x v="1"/>
  </r>
  <r>
    <d v="2025-07-14T00:00:00"/>
    <x v="3"/>
    <s v="Cultural"/>
    <s v="Mobile App"/>
    <x v="1"/>
    <n v="2"/>
    <x v="10"/>
    <n v="0.13075929750140999"/>
    <x v="10"/>
    <x v="8"/>
    <x v="1"/>
  </r>
  <r>
    <d v="2025-07-14T00:00:00"/>
    <x v="1"/>
    <s v="Family"/>
    <s v="Mobile App"/>
    <x v="6"/>
    <n v="1"/>
    <x v="10"/>
    <n v="0.13075929750140999"/>
    <x v="10"/>
    <x v="6"/>
    <x v="1"/>
  </r>
  <r>
    <d v="2025-07-15T00:00:00"/>
    <x v="3"/>
    <s v="Cultural"/>
    <s v="Mobile App"/>
    <x v="8"/>
    <n v="1"/>
    <x v="10"/>
    <n v="0.13075929750140999"/>
    <x v="10"/>
    <x v="6"/>
    <x v="1"/>
  </r>
  <r>
    <d v="2025-07-16T00:00:00"/>
    <x v="0"/>
    <s v="Adventure"/>
    <s v="Mobile App"/>
    <x v="8"/>
    <n v="1"/>
    <x v="10"/>
    <n v="0.13075929750140999"/>
    <x v="10"/>
    <x v="10"/>
    <x v="1"/>
  </r>
  <r>
    <d v="2025-07-16T00:00:00"/>
    <x v="2"/>
    <s v="Foodie"/>
    <s v="Website"/>
    <x v="9"/>
    <n v="1"/>
    <x v="10"/>
    <n v="0.13075929750140999"/>
    <x v="10"/>
    <x v="15"/>
    <x v="1"/>
  </r>
  <r>
    <d v="2025-07-16T00:00:00"/>
    <x v="1"/>
    <s v="Foodie"/>
    <s v="Website"/>
    <x v="9"/>
    <n v="1"/>
    <x v="10"/>
    <n v="0.13075929750140999"/>
    <x v="10"/>
    <x v="5"/>
    <x v="1"/>
  </r>
  <r>
    <d v="2025-07-17T00:00:00"/>
    <x v="0"/>
    <s v="Family"/>
    <s v="Website"/>
    <x v="6"/>
    <n v="2"/>
    <x v="10"/>
    <n v="0.13075929750140999"/>
    <x v="10"/>
    <x v="2"/>
    <x v="1"/>
  </r>
  <r>
    <d v="2025-07-17T00:00:00"/>
    <x v="1"/>
    <s v="Cultural"/>
    <s v="Mobile App"/>
    <x v="2"/>
    <n v="3"/>
    <x v="10"/>
    <n v="0.13075929750140999"/>
    <x v="10"/>
    <x v="2"/>
    <x v="1"/>
  </r>
  <r>
    <d v="2025-07-17T00:00:00"/>
    <x v="0"/>
    <s v="City Break"/>
    <s v="Agent"/>
    <x v="0"/>
    <n v="1"/>
    <x v="10"/>
    <n v="0.13075929750140999"/>
    <x v="10"/>
    <x v="0"/>
    <x v="1"/>
  </r>
  <r>
    <d v="2025-07-17T00:00:00"/>
    <x v="1"/>
    <s v="Cultural"/>
    <s v="Mobile App"/>
    <x v="1"/>
    <n v="2"/>
    <x v="10"/>
    <n v="0.13075929750140999"/>
    <x v="10"/>
    <x v="0"/>
    <x v="1"/>
  </r>
  <r>
    <d v="2025-07-18T00:00:00"/>
    <x v="0"/>
    <s v="Cultural"/>
    <s v="Website"/>
    <x v="1"/>
    <n v="2"/>
    <x v="10"/>
    <n v="0.13075929750140999"/>
    <x v="10"/>
    <x v="12"/>
    <x v="0"/>
  </r>
  <r>
    <d v="2025-07-18T00:00:00"/>
    <x v="0"/>
    <s v="Cultural"/>
    <s v="Agent"/>
    <x v="5"/>
    <n v="4"/>
    <x v="10"/>
    <n v="0.13075929750140999"/>
    <x v="10"/>
    <x v="0"/>
    <x v="1"/>
  </r>
  <r>
    <d v="2025-07-18T00:00:00"/>
    <x v="1"/>
    <s v="Cultural"/>
    <s v="Website"/>
    <x v="2"/>
    <n v="2"/>
    <x v="10"/>
    <n v="0.13075929750140999"/>
    <x v="10"/>
    <x v="19"/>
    <x v="1"/>
  </r>
  <r>
    <d v="2025-07-19T00:00:00"/>
    <x v="3"/>
    <s v="City Break"/>
    <s v="Agent"/>
    <x v="8"/>
    <n v="1"/>
    <x v="10"/>
    <n v="0.13075929750140999"/>
    <x v="10"/>
    <x v="4"/>
    <x v="1"/>
  </r>
  <r>
    <d v="2025-07-19T00:00:00"/>
    <x v="3"/>
    <s v="Beach"/>
    <s v="Mobile App"/>
    <x v="2"/>
    <n v="1"/>
    <x v="10"/>
    <n v="0.13075929750140999"/>
    <x v="10"/>
    <x v="2"/>
    <x v="1"/>
  </r>
  <r>
    <d v="2025-07-19T00:00:00"/>
    <x v="1"/>
    <s v="Family"/>
    <s v="Mobile App"/>
    <x v="2"/>
    <n v="5"/>
    <x v="10"/>
    <n v="0.13075929750140999"/>
    <x v="10"/>
    <x v="6"/>
    <x v="1"/>
  </r>
  <r>
    <d v="2025-07-19T00:00:00"/>
    <x v="0"/>
    <s v="Cultural"/>
    <s v="Website"/>
    <x v="7"/>
    <n v="2"/>
    <x v="10"/>
    <n v="0.13075929750140999"/>
    <x v="10"/>
    <x v="10"/>
    <x v="0"/>
  </r>
  <r>
    <d v="2025-07-20T00:00:00"/>
    <x v="1"/>
    <s v="Foodie"/>
    <s v="Website"/>
    <x v="8"/>
    <n v="2"/>
    <x v="10"/>
    <n v="0.13075929750140999"/>
    <x v="10"/>
    <x v="13"/>
    <x v="1"/>
  </r>
  <r>
    <d v="2025-07-20T00:00:00"/>
    <x v="1"/>
    <s v="Foodie"/>
    <s v="Call Center"/>
    <x v="3"/>
    <n v="4"/>
    <x v="10"/>
    <n v="0.13075929750140999"/>
    <x v="10"/>
    <x v="3"/>
    <x v="0"/>
  </r>
  <r>
    <d v="2025-07-20T00:00:00"/>
    <x v="0"/>
    <s v="Adventure"/>
    <s v="Mobile App"/>
    <x v="0"/>
    <n v="2"/>
    <x v="10"/>
    <n v="0.13075929750140999"/>
    <x v="10"/>
    <x v="0"/>
    <x v="1"/>
  </r>
  <r>
    <d v="2025-07-21T00:00:00"/>
    <x v="0"/>
    <s v="Beach"/>
    <s v="Website"/>
    <x v="7"/>
    <n v="3"/>
    <x v="10"/>
    <n v="0.13075929750140999"/>
    <x v="10"/>
    <x v="3"/>
    <x v="0"/>
  </r>
  <r>
    <d v="2025-07-21T00:00:00"/>
    <x v="1"/>
    <s v="Beach"/>
    <s v="Agent"/>
    <x v="5"/>
    <n v="5"/>
    <x v="10"/>
    <n v="0.13075929750140999"/>
    <x v="10"/>
    <x v="8"/>
    <x v="1"/>
  </r>
  <r>
    <d v="2025-07-22T00:00:00"/>
    <x v="1"/>
    <s v="Cultural"/>
    <s v="Mobile App"/>
    <x v="5"/>
    <n v="2"/>
    <x v="10"/>
    <n v="0.13075929750140999"/>
    <x v="10"/>
    <x v="3"/>
    <x v="0"/>
  </r>
  <r>
    <d v="2025-07-22T00:00:00"/>
    <x v="0"/>
    <s v="City Break"/>
    <s v="Mobile App"/>
    <x v="4"/>
    <n v="2"/>
    <x v="10"/>
    <n v="0.13075929750140999"/>
    <x v="10"/>
    <x v="18"/>
    <x v="1"/>
  </r>
  <r>
    <d v="2025-07-22T00:00:00"/>
    <x v="0"/>
    <s v="Beach"/>
    <s v="Mobile App"/>
    <x v="5"/>
    <n v="1"/>
    <x v="10"/>
    <n v="0.13075929750140999"/>
    <x v="10"/>
    <x v="9"/>
    <x v="1"/>
  </r>
  <r>
    <d v="2025-07-22T00:00:00"/>
    <x v="0"/>
    <s v="Foodie"/>
    <s v="Website"/>
    <x v="0"/>
    <n v="1"/>
    <x v="10"/>
    <n v="0.13075929750140999"/>
    <x v="10"/>
    <x v="9"/>
    <x v="1"/>
  </r>
  <r>
    <d v="2025-07-22T00:00:00"/>
    <x v="1"/>
    <s v="City Break"/>
    <s v="Website"/>
    <x v="0"/>
    <n v="2"/>
    <x v="10"/>
    <n v="0.13075929750140999"/>
    <x v="10"/>
    <x v="12"/>
    <x v="1"/>
  </r>
  <r>
    <d v="2025-07-22T00:00:00"/>
    <x v="1"/>
    <s v="City Break"/>
    <s v="Website"/>
    <x v="8"/>
    <n v="2"/>
    <x v="10"/>
    <n v="0.13075929750140999"/>
    <x v="10"/>
    <x v="3"/>
    <x v="1"/>
  </r>
  <r>
    <d v="2025-07-22T00:00:00"/>
    <x v="3"/>
    <s v="City Break"/>
    <s v="Website"/>
    <x v="4"/>
    <n v="2"/>
    <x v="10"/>
    <n v="0.13075929750140999"/>
    <x v="10"/>
    <x v="12"/>
    <x v="0"/>
  </r>
  <r>
    <d v="2025-07-23T00:00:00"/>
    <x v="1"/>
    <s v="Adventure"/>
    <s v="Call Center"/>
    <x v="7"/>
    <n v="1"/>
    <x v="10"/>
    <n v="0.13075929750140999"/>
    <x v="10"/>
    <x v="6"/>
    <x v="1"/>
  </r>
  <r>
    <d v="2025-07-23T00:00:00"/>
    <x v="2"/>
    <s v="City Break"/>
    <s v="Website"/>
    <x v="3"/>
    <n v="4"/>
    <x v="10"/>
    <n v="0.13075929750140999"/>
    <x v="10"/>
    <x v="6"/>
    <x v="0"/>
  </r>
  <r>
    <d v="2025-07-23T00:00:00"/>
    <x v="1"/>
    <s v="Foodie"/>
    <s v="Website"/>
    <x v="1"/>
    <n v="3"/>
    <x v="10"/>
    <n v="0.13075929750140999"/>
    <x v="10"/>
    <x v="1"/>
    <x v="1"/>
  </r>
  <r>
    <d v="2025-07-23T00:00:00"/>
    <x v="1"/>
    <s v="Adventure"/>
    <s v="Website"/>
    <x v="4"/>
    <n v="3"/>
    <x v="10"/>
    <n v="0.13075929750140999"/>
    <x v="10"/>
    <x v="14"/>
    <x v="0"/>
  </r>
  <r>
    <d v="2025-07-24T00:00:00"/>
    <x v="3"/>
    <s v="Family"/>
    <s v="Mobile App"/>
    <x v="2"/>
    <n v="3"/>
    <x v="10"/>
    <n v="0.13075929750140999"/>
    <x v="10"/>
    <x v="12"/>
    <x v="1"/>
  </r>
  <r>
    <d v="2025-07-24T00:00:00"/>
    <x v="3"/>
    <s v="Beach"/>
    <s v="Agent"/>
    <x v="7"/>
    <n v="4"/>
    <x v="10"/>
    <n v="0.13075929750140999"/>
    <x v="10"/>
    <x v="3"/>
    <x v="0"/>
  </r>
  <r>
    <d v="2025-07-24T00:00:00"/>
    <x v="1"/>
    <s v="Beach"/>
    <s v="Mobile App"/>
    <x v="6"/>
    <n v="3"/>
    <x v="10"/>
    <n v="0.13075929750140999"/>
    <x v="10"/>
    <x v="15"/>
    <x v="0"/>
  </r>
  <r>
    <d v="2025-07-24T00:00:00"/>
    <x v="2"/>
    <s v="City Break"/>
    <s v="Website"/>
    <x v="2"/>
    <n v="1"/>
    <x v="10"/>
    <n v="0.13075929750140999"/>
    <x v="10"/>
    <x v="14"/>
    <x v="1"/>
  </r>
  <r>
    <d v="2025-07-24T00:00:00"/>
    <x v="0"/>
    <s v="Family"/>
    <s v="Mobile App"/>
    <x v="2"/>
    <n v="4"/>
    <x v="10"/>
    <n v="0.13075929750140999"/>
    <x v="10"/>
    <x v="7"/>
    <x v="1"/>
  </r>
  <r>
    <d v="2025-07-24T00:00:00"/>
    <x v="2"/>
    <s v="Foodie"/>
    <s v="Website"/>
    <x v="0"/>
    <n v="3"/>
    <x v="10"/>
    <n v="0.13075929750140999"/>
    <x v="10"/>
    <x v="2"/>
    <x v="1"/>
  </r>
  <r>
    <d v="2025-07-24T00:00:00"/>
    <x v="3"/>
    <s v="Family"/>
    <s v="Agent"/>
    <x v="4"/>
    <n v="1"/>
    <x v="10"/>
    <n v="0.13075929750140999"/>
    <x v="10"/>
    <x v="4"/>
    <x v="1"/>
  </r>
  <r>
    <d v="2025-07-24T00:00:00"/>
    <x v="1"/>
    <s v="Cultural"/>
    <s v="Agent"/>
    <x v="4"/>
    <n v="2"/>
    <x v="10"/>
    <n v="0.13075929750140999"/>
    <x v="10"/>
    <x v="7"/>
    <x v="1"/>
  </r>
  <r>
    <d v="2025-07-24T00:00:00"/>
    <x v="2"/>
    <s v="Family"/>
    <s v="Website"/>
    <x v="4"/>
    <n v="3"/>
    <x v="10"/>
    <n v="0.13075929750140999"/>
    <x v="10"/>
    <x v="6"/>
    <x v="1"/>
  </r>
  <r>
    <d v="2025-07-25T00:00:00"/>
    <x v="3"/>
    <s v="Family"/>
    <s v="Agent"/>
    <x v="2"/>
    <n v="3"/>
    <x v="10"/>
    <n v="0.13075929750140999"/>
    <x v="10"/>
    <x v="1"/>
    <x v="1"/>
  </r>
  <r>
    <d v="2025-07-25T00:00:00"/>
    <x v="3"/>
    <s v="City Break"/>
    <s v="Agent"/>
    <x v="3"/>
    <n v="1"/>
    <x v="10"/>
    <n v="0.13075929750140999"/>
    <x v="10"/>
    <x v="2"/>
    <x v="1"/>
  </r>
  <r>
    <d v="2025-07-25T00:00:00"/>
    <x v="0"/>
    <s v="Adventure"/>
    <s v="Agent"/>
    <x v="4"/>
    <n v="3"/>
    <x v="10"/>
    <n v="0.13075929750140999"/>
    <x v="10"/>
    <x v="5"/>
    <x v="1"/>
  </r>
  <r>
    <d v="2025-07-25T00:00:00"/>
    <x v="3"/>
    <s v="Cultural"/>
    <s v="Mobile App"/>
    <x v="4"/>
    <n v="1"/>
    <x v="10"/>
    <n v="0.13075929750140999"/>
    <x v="10"/>
    <x v="6"/>
    <x v="1"/>
  </r>
  <r>
    <d v="2025-07-26T00:00:00"/>
    <x v="1"/>
    <s v="Cultural"/>
    <s v="Mobile App"/>
    <x v="9"/>
    <n v="3"/>
    <x v="10"/>
    <n v="0.13075929750140999"/>
    <x v="10"/>
    <x v="6"/>
    <x v="1"/>
  </r>
  <r>
    <d v="2025-07-26T00:00:00"/>
    <x v="1"/>
    <s v="Adventure"/>
    <s v="Mobile App"/>
    <x v="9"/>
    <n v="2"/>
    <x v="10"/>
    <n v="0.13075929750140999"/>
    <x v="10"/>
    <x v="8"/>
    <x v="1"/>
  </r>
  <r>
    <d v="2025-07-26T00:00:00"/>
    <x v="2"/>
    <s v="Family"/>
    <s v="Mobile App"/>
    <x v="7"/>
    <n v="3"/>
    <x v="10"/>
    <n v="0.13075929750140999"/>
    <x v="10"/>
    <x v="14"/>
    <x v="1"/>
  </r>
  <r>
    <d v="2025-07-26T00:00:00"/>
    <x v="0"/>
    <s v="Family"/>
    <s v="Website"/>
    <x v="7"/>
    <n v="4"/>
    <x v="10"/>
    <n v="0.13075929750140999"/>
    <x v="10"/>
    <x v="4"/>
    <x v="1"/>
  </r>
  <r>
    <d v="2025-07-26T00:00:00"/>
    <x v="1"/>
    <s v="Beach"/>
    <s v="Agent"/>
    <x v="2"/>
    <n v="2"/>
    <x v="10"/>
    <n v="0.13075929750140999"/>
    <x v="10"/>
    <x v="13"/>
    <x v="1"/>
  </r>
  <r>
    <d v="2025-07-27T00:00:00"/>
    <x v="0"/>
    <s v="Foodie"/>
    <s v="Website"/>
    <x v="3"/>
    <n v="3"/>
    <x v="10"/>
    <n v="0.13075929750140999"/>
    <x v="10"/>
    <x v="8"/>
    <x v="1"/>
  </r>
  <r>
    <d v="2025-07-28T00:00:00"/>
    <x v="3"/>
    <s v="Foodie"/>
    <s v="Website"/>
    <x v="8"/>
    <n v="1"/>
    <x v="10"/>
    <n v="0.13075929750140999"/>
    <x v="10"/>
    <x v="14"/>
    <x v="1"/>
  </r>
  <r>
    <d v="2025-07-28T00:00:00"/>
    <x v="3"/>
    <s v="Adventure"/>
    <s v="Website"/>
    <x v="9"/>
    <n v="1"/>
    <x v="10"/>
    <n v="0.13075929750140999"/>
    <x v="10"/>
    <x v="9"/>
    <x v="1"/>
  </r>
  <r>
    <d v="2025-07-28T00:00:00"/>
    <x v="3"/>
    <s v="Family"/>
    <s v="Website"/>
    <x v="8"/>
    <n v="3"/>
    <x v="10"/>
    <n v="0.13075929750140999"/>
    <x v="10"/>
    <x v="7"/>
    <x v="1"/>
  </r>
  <r>
    <d v="2025-07-28T00:00:00"/>
    <x v="1"/>
    <s v="Adventure"/>
    <s v="Website"/>
    <x v="6"/>
    <n v="1"/>
    <x v="10"/>
    <n v="0.13075929750140999"/>
    <x v="10"/>
    <x v="6"/>
    <x v="1"/>
  </r>
  <r>
    <d v="2025-07-28T00:00:00"/>
    <x v="2"/>
    <s v="Adventure"/>
    <s v="Website"/>
    <x v="8"/>
    <n v="3"/>
    <x v="10"/>
    <n v="0.13075929750140999"/>
    <x v="10"/>
    <x v="6"/>
    <x v="1"/>
  </r>
  <r>
    <d v="2025-07-29T00:00:00"/>
    <x v="1"/>
    <s v="City Break"/>
    <s v="Website"/>
    <x v="2"/>
    <n v="3"/>
    <x v="10"/>
    <n v="0.13075929750140999"/>
    <x v="10"/>
    <x v="3"/>
    <x v="1"/>
  </r>
  <r>
    <d v="2025-07-29T00:00:00"/>
    <x v="1"/>
    <s v="Adventure"/>
    <s v="Website"/>
    <x v="8"/>
    <n v="1"/>
    <x v="10"/>
    <n v="0.13075929750140999"/>
    <x v="10"/>
    <x v="15"/>
    <x v="1"/>
  </r>
  <r>
    <d v="2025-07-30T00:00:00"/>
    <x v="2"/>
    <s v="Beach"/>
    <s v="Agent"/>
    <x v="1"/>
    <n v="2"/>
    <x v="10"/>
    <n v="0.13075929750140999"/>
    <x v="10"/>
    <x v="18"/>
    <x v="1"/>
  </r>
  <r>
    <d v="2025-07-31T00:00:00"/>
    <x v="3"/>
    <s v="Cultural"/>
    <s v="Call Center"/>
    <x v="1"/>
    <n v="1"/>
    <x v="10"/>
    <n v="0.13075929750140999"/>
    <x v="10"/>
    <x v="14"/>
    <x v="0"/>
  </r>
  <r>
    <d v="2025-07-31T00:00:00"/>
    <x v="3"/>
    <s v="Adventure"/>
    <s v="Website"/>
    <x v="9"/>
    <n v="3"/>
    <x v="10"/>
    <n v="0.13075929750140999"/>
    <x v="10"/>
    <x v="1"/>
    <x v="0"/>
  </r>
  <r>
    <d v="2025-08-01T00:00:00"/>
    <x v="3"/>
    <s v="Beach"/>
    <s v="Website"/>
    <x v="7"/>
    <n v="1"/>
    <x v="10"/>
    <n v="0.13075929750140999"/>
    <x v="10"/>
    <x v="2"/>
    <x v="0"/>
  </r>
  <r>
    <d v="2025-08-01T00:00:00"/>
    <x v="3"/>
    <s v="Cultural"/>
    <s v="Website"/>
    <x v="6"/>
    <n v="4"/>
    <x v="10"/>
    <n v="0.13075929750140999"/>
    <x v="10"/>
    <x v="19"/>
    <x v="1"/>
  </r>
  <r>
    <d v="2025-08-01T00:00:00"/>
    <x v="2"/>
    <s v="Cultural"/>
    <s v="Website"/>
    <x v="7"/>
    <n v="1"/>
    <x v="10"/>
    <n v="0.13075929750140999"/>
    <x v="10"/>
    <x v="11"/>
    <x v="1"/>
  </r>
  <r>
    <d v="2025-08-01T00:00:00"/>
    <x v="1"/>
    <s v="Family"/>
    <s v="Agent"/>
    <x v="9"/>
    <n v="2"/>
    <x v="10"/>
    <n v="0.13075929750140999"/>
    <x v="10"/>
    <x v="4"/>
    <x v="1"/>
  </r>
  <r>
    <d v="2025-08-01T00:00:00"/>
    <x v="3"/>
    <s v="Beach"/>
    <s v="Website"/>
    <x v="7"/>
    <n v="3"/>
    <x v="10"/>
    <n v="0.13075929750140999"/>
    <x v="10"/>
    <x v="14"/>
    <x v="1"/>
  </r>
  <r>
    <d v="2025-08-01T00:00:00"/>
    <x v="1"/>
    <s v="Cultural"/>
    <s v="Mobile App"/>
    <x v="5"/>
    <n v="1"/>
    <x v="10"/>
    <n v="0.13075929750140999"/>
    <x v="10"/>
    <x v="4"/>
    <x v="1"/>
  </r>
  <r>
    <d v="2025-08-02T00:00:00"/>
    <x v="1"/>
    <s v="City Break"/>
    <s v="Agent"/>
    <x v="1"/>
    <n v="2"/>
    <x v="10"/>
    <n v="0.13075929750140999"/>
    <x v="10"/>
    <x v="8"/>
    <x v="0"/>
  </r>
  <r>
    <d v="2025-08-02T00:00:00"/>
    <x v="3"/>
    <s v="Adventure"/>
    <s v="Website"/>
    <x v="3"/>
    <n v="1"/>
    <x v="10"/>
    <n v="0.13075929750140999"/>
    <x v="10"/>
    <x v="13"/>
    <x v="1"/>
  </r>
  <r>
    <d v="2025-08-02T00:00:00"/>
    <x v="1"/>
    <s v="Cultural"/>
    <s v="Mobile App"/>
    <x v="5"/>
    <n v="1"/>
    <x v="10"/>
    <n v="0.13075929750140999"/>
    <x v="10"/>
    <x v="4"/>
    <x v="0"/>
  </r>
  <r>
    <d v="2025-08-03T00:00:00"/>
    <x v="1"/>
    <s v="Beach"/>
    <s v="Website"/>
    <x v="1"/>
    <n v="2"/>
    <x v="10"/>
    <n v="0.13075929750140999"/>
    <x v="10"/>
    <x v="13"/>
    <x v="1"/>
  </r>
  <r>
    <d v="2025-08-03T00:00:00"/>
    <x v="3"/>
    <s v="Cultural"/>
    <s v="Website"/>
    <x v="1"/>
    <n v="1"/>
    <x v="10"/>
    <n v="0.13075929750140999"/>
    <x v="10"/>
    <x v="9"/>
    <x v="0"/>
  </r>
  <r>
    <d v="2025-08-03T00:00:00"/>
    <x v="0"/>
    <s v="Beach"/>
    <s v="Website"/>
    <x v="1"/>
    <n v="1"/>
    <x v="10"/>
    <n v="0.13075929750140999"/>
    <x v="10"/>
    <x v="1"/>
    <x v="1"/>
  </r>
  <r>
    <d v="2025-08-03T00:00:00"/>
    <x v="0"/>
    <s v="Family"/>
    <s v="Mobile App"/>
    <x v="0"/>
    <n v="4"/>
    <x v="10"/>
    <n v="0.13075929750140999"/>
    <x v="10"/>
    <x v="0"/>
    <x v="1"/>
  </r>
  <r>
    <d v="2025-08-03T00:00:00"/>
    <x v="2"/>
    <s v="City Break"/>
    <s v="Agent"/>
    <x v="5"/>
    <n v="2"/>
    <x v="10"/>
    <n v="0.13075929750140999"/>
    <x v="10"/>
    <x v="1"/>
    <x v="1"/>
  </r>
  <r>
    <d v="2025-08-04T00:00:00"/>
    <x v="0"/>
    <s v="Foodie"/>
    <s v="Website"/>
    <x v="0"/>
    <n v="2"/>
    <x v="10"/>
    <n v="0.13075929750140999"/>
    <x v="10"/>
    <x v="12"/>
    <x v="0"/>
  </r>
  <r>
    <d v="2025-08-04T00:00:00"/>
    <x v="0"/>
    <s v="Family"/>
    <s v="Website"/>
    <x v="6"/>
    <n v="4"/>
    <x v="10"/>
    <n v="0.13075929750140999"/>
    <x v="10"/>
    <x v="2"/>
    <x v="1"/>
  </r>
  <r>
    <d v="2025-08-05T00:00:00"/>
    <x v="2"/>
    <s v="City Break"/>
    <s v="Agent"/>
    <x v="9"/>
    <n v="3"/>
    <x v="10"/>
    <n v="0.13075929750140999"/>
    <x v="10"/>
    <x v="1"/>
    <x v="1"/>
  </r>
  <r>
    <d v="2025-08-05T00:00:00"/>
    <x v="3"/>
    <s v="Beach"/>
    <s v="Mobile App"/>
    <x v="4"/>
    <n v="4"/>
    <x v="10"/>
    <n v="0.13075929750140999"/>
    <x v="10"/>
    <x v="1"/>
    <x v="1"/>
  </r>
  <r>
    <d v="2025-08-05T00:00:00"/>
    <x v="0"/>
    <s v="Adventure"/>
    <s v="Agent"/>
    <x v="0"/>
    <n v="1"/>
    <x v="10"/>
    <n v="0.13075929750140999"/>
    <x v="10"/>
    <x v="4"/>
    <x v="1"/>
  </r>
  <r>
    <d v="2025-08-06T00:00:00"/>
    <x v="3"/>
    <s v="Family"/>
    <s v="Mobile App"/>
    <x v="6"/>
    <n v="5"/>
    <x v="10"/>
    <n v="0.13075929750140999"/>
    <x v="10"/>
    <x v="15"/>
    <x v="1"/>
  </r>
  <r>
    <d v="2025-08-06T00:00:00"/>
    <x v="1"/>
    <s v="Cultural"/>
    <s v="Mobile App"/>
    <x v="9"/>
    <n v="2"/>
    <x v="10"/>
    <n v="0.13075929750140999"/>
    <x v="10"/>
    <x v="15"/>
    <x v="1"/>
  </r>
  <r>
    <d v="2025-08-06T00:00:00"/>
    <x v="0"/>
    <s v="City Break"/>
    <s v="Mobile App"/>
    <x v="9"/>
    <n v="2"/>
    <x v="10"/>
    <n v="0.13075929750140999"/>
    <x v="10"/>
    <x v="13"/>
    <x v="1"/>
  </r>
  <r>
    <d v="2025-08-06T00:00:00"/>
    <x v="1"/>
    <s v="City Break"/>
    <s v="Mobile App"/>
    <x v="5"/>
    <n v="1"/>
    <x v="10"/>
    <n v="0.13075929750140999"/>
    <x v="10"/>
    <x v="9"/>
    <x v="1"/>
  </r>
  <r>
    <d v="2025-08-06T00:00:00"/>
    <x v="0"/>
    <s v="Foodie"/>
    <s v="Agent"/>
    <x v="5"/>
    <n v="1"/>
    <x v="10"/>
    <n v="0.13075929750140999"/>
    <x v="10"/>
    <x v="6"/>
    <x v="1"/>
  </r>
  <r>
    <d v="2025-08-07T00:00:00"/>
    <x v="3"/>
    <s v="Cultural"/>
    <s v="Website"/>
    <x v="3"/>
    <n v="3"/>
    <x v="10"/>
    <n v="0.13075929750140999"/>
    <x v="10"/>
    <x v="15"/>
    <x v="1"/>
  </r>
  <r>
    <d v="2025-08-07T00:00:00"/>
    <x v="1"/>
    <s v="Family"/>
    <s v="Mobile App"/>
    <x v="3"/>
    <n v="3"/>
    <x v="10"/>
    <n v="0.13075929750140999"/>
    <x v="10"/>
    <x v="3"/>
    <x v="1"/>
  </r>
  <r>
    <d v="2025-08-07T00:00:00"/>
    <x v="3"/>
    <s v="Adventure"/>
    <s v="Website"/>
    <x v="6"/>
    <n v="2"/>
    <x v="10"/>
    <n v="0.13075929750140999"/>
    <x v="10"/>
    <x v="6"/>
    <x v="1"/>
  </r>
  <r>
    <d v="2025-08-07T00:00:00"/>
    <x v="1"/>
    <s v="Beach"/>
    <s v="Website"/>
    <x v="0"/>
    <n v="2"/>
    <x v="10"/>
    <n v="0.13075929750140999"/>
    <x v="10"/>
    <x v="22"/>
    <x v="1"/>
  </r>
  <r>
    <d v="2025-08-08T00:00:00"/>
    <x v="1"/>
    <s v="Beach"/>
    <s v="Website"/>
    <x v="4"/>
    <n v="3"/>
    <x v="10"/>
    <n v="0.13075929750140999"/>
    <x v="10"/>
    <x v="6"/>
    <x v="1"/>
  </r>
  <r>
    <d v="2025-08-08T00:00:00"/>
    <x v="3"/>
    <s v="Adventure"/>
    <s v="Website"/>
    <x v="5"/>
    <n v="1"/>
    <x v="10"/>
    <n v="0.13075929750140999"/>
    <x v="10"/>
    <x v="5"/>
    <x v="1"/>
  </r>
  <r>
    <d v="2025-08-08T00:00:00"/>
    <x v="1"/>
    <s v="Beach"/>
    <s v="Call Center"/>
    <x v="2"/>
    <n v="1"/>
    <x v="10"/>
    <n v="0.13075929750140999"/>
    <x v="10"/>
    <x v="12"/>
    <x v="1"/>
  </r>
  <r>
    <d v="2025-08-09T00:00:00"/>
    <x v="3"/>
    <s v="Adventure"/>
    <s v="Mobile App"/>
    <x v="5"/>
    <n v="2"/>
    <x v="10"/>
    <n v="0.13075929750140999"/>
    <x v="10"/>
    <x v="15"/>
    <x v="0"/>
  </r>
  <r>
    <d v="2025-08-09T00:00:00"/>
    <x v="0"/>
    <s v="Beach"/>
    <s v="Mobile App"/>
    <x v="2"/>
    <n v="3"/>
    <x v="10"/>
    <n v="0.13075929750140999"/>
    <x v="10"/>
    <x v="16"/>
    <x v="0"/>
  </r>
  <r>
    <d v="2025-08-09T00:00:00"/>
    <x v="2"/>
    <s v="Beach"/>
    <s v="Website"/>
    <x v="3"/>
    <n v="1"/>
    <x v="10"/>
    <n v="0.13075929750140999"/>
    <x v="10"/>
    <x v="4"/>
    <x v="1"/>
  </r>
  <r>
    <d v="2025-08-09T00:00:00"/>
    <x v="2"/>
    <s v="Family"/>
    <s v="Agent"/>
    <x v="4"/>
    <n v="4"/>
    <x v="10"/>
    <n v="0.13075929750140999"/>
    <x v="10"/>
    <x v="1"/>
    <x v="0"/>
  </r>
  <r>
    <d v="2025-08-09T00:00:00"/>
    <x v="1"/>
    <s v="Beach"/>
    <s v="Website"/>
    <x v="7"/>
    <n v="3"/>
    <x v="10"/>
    <n v="0.13075929750140999"/>
    <x v="10"/>
    <x v="3"/>
    <x v="1"/>
  </r>
  <r>
    <d v="2025-08-09T00:00:00"/>
    <x v="3"/>
    <s v="Foodie"/>
    <s v="Website"/>
    <x v="0"/>
    <n v="2"/>
    <x v="10"/>
    <n v="0.13075929750140999"/>
    <x v="10"/>
    <x v="2"/>
    <x v="1"/>
  </r>
  <r>
    <d v="2025-08-10T00:00:00"/>
    <x v="2"/>
    <s v="Family"/>
    <s v="Agent"/>
    <x v="7"/>
    <n v="3"/>
    <x v="10"/>
    <n v="0.13075929750140999"/>
    <x v="10"/>
    <x v="6"/>
    <x v="1"/>
  </r>
  <r>
    <d v="2025-08-10T00:00:00"/>
    <x v="2"/>
    <s v="Beach"/>
    <s v="Website"/>
    <x v="6"/>
    <n v="3"/>
    <x v="10"/>
    <n v="0.13075929750140999"/>
    <x v="10"/>
    <x v="2"/>
    <x v="1"/>
  </r>
  <r>
    <d v="2025-08-10T00:00:00"/>
    <x v="2"/>
    <s v="Beach"/>
    <s v="Website"/>
    <x v="4"/>
    <n v="2"/>
    <x v="10"/>
    <n v="0.13075929750140999"/>
    <x v="10"/>
    <x v="1"/>
    <x v="0"/>
  </r>
  <r>
    <d v="2025-08-10T00:00:00"/>
    <x v="0"/>
    <s v="City Break"/>
    <s v="Agent"/>
    <x v="3"/>
    <n v="2"/>
    <x v="10"/>
    <n v="0.13075929750140999"/>
    <x v="10"/>
    <x v="6"/>
    <x v="1"/>
  </r>
  <r>
    <d v="2025-08-10T00:00:00"/>
    <x v="1"/>
    <s v="Cultural"/>
    <s v="Mobile App"/>
    <x v="1"/>
    <n v="2"/>
    <x v="10"/>
    <n v="0.13075929750140999"/>
    <x v="10"/>
    <x v="7"/>
    <x v="1"/>
  </r>
  <r>
    <d v="2025-08-11T00:00:00"/>
    <x v="0"/>
    <s v="Family"/>
    <s v="Website"/>
    <x v="1"/>
    <n v="4"/>
    <x v="10"/>
    <n v="0.13075929750140999"/>
    <x v="10"/>
    <x v="13"/>
    <x v="0"/>
  </r>
  <r>
    <d v="2025-08-11T00:00:00"/>
    <x v="1"/>
    <s v="Family"/>
    <s v="Agent"/>
    <x v="4"/>
    <n v="2"/>
    <x v="10"/>
    <n v="0.13075929750140999"/>
    <x v="10"/>
    <x v="13"/>
    <x v="0"/>
  </r>
  <r>
    <d v="2025-08-11T00:00:00"/>
    <x v="1"/>
    <s v="Beach"/>
    <s v="Agent"/>
    <x v="8"/>
    <n v="1"/>
    <x v="10"/>
    <n v="0.13075929750140999"/>
    <x v="10"/>
    <x v="13"/>
    <x v="1"/>
  </r>
  <r>
    <d v="2025-08-11T00:00:00"/>
    <x v="1"/>
    <s v="City Break"/>
    <s v="Agent"/>
    <x v="2"/>
    <n v="2"/>
    <x v="10"/>
    <n v="0.13075929750140999"/>
    <x v="10"/>
    <x v="15"/>
    <x v="0"/>
  </r>
  <r>
    <d v="2025-08-11T00:00:00"/>
    <x v="2"/>
    <s v="Cultural"/>
    <s v="Agent"/>
    <x v="3"/>
    <n v="1"/>
    <x v="10"/>
    <n v="0.13075929750140999"/>
    <x v="10"/>
    <x v="13"/>
    <x v="1"/>
  </r>
  <r>
    <d v="2025-08-11T00:00:00"/>
    <x v="0"/>
    <s v="Adventure"/>
    <s v="Website"/>
    <x v="9"/>
    <n v="3"/>
    <x v="10"/>
    <n v="0.13075929750140999"/>
    <x v="10"/>
    <x v="1"/>
    <x v="1"/>
  </r>
  <r>
    <d v="2025-08-11T00:00:00"/>
    <x v="0"/>
    <s v="City Break"/>
    <s v="Website"/>
    <x v="9"/>
    <n v="2"/>
    <x v="10"/>
    <n v="0.13075929750140999"/>
    <x v="10"/>
    <x v="4"/>
    <x v="0"/>
  </r>
  <r>
    <d v="2025-08-12T00:00:00"/>
    <x v="2"/>
    <s v="City Break"/>
    <s v="Agent"/>
    <x v="8"/>
    <n v="3"/>
    <x v="10"/>
    <n v="0.13075929750140999"/>
    <x v="10"/>
    <x v="8"/>
    <x v="1"/>
  </r>
  <r>
    <d v="2025-08-12T00:00:00"/>
    <x v="0"/>
    <s v="Family"/>
    <s v="Mobile App"/>
    <x v="4"/>
    <n v="1"/>
    <x v="10"/>
    <n v="0.13075929750140999"/>
    <x v="10"/>
    <x v="12"/>
    <x v="0"/>
  </r>
  <r>
    <d v="2025-08-12T00:00:00"/>
    <x v="2"/>
    <s v="Beach"/>
    <s v="Mobile App"/>
    <x v="6"/>
    <n v="1"/>
    <x v="10"/>
    <n v="0.13075929750140999"/>
    <x v="10"/>
    <x v="0"/>
    <x v="0"/>
  </r>
  <r>
    <d v="2025-08-12T00:00:00"/>
    <x v="2"/>
    <s v="Beach"/>
    <s v="Website"/>
    <x v="3"/>
    <n v="2"/>
    <x v="10"/>
    <n v="0.13075929750140999"/>
    <x v="10"/>
    <x v="15"/>
    <x v="1"/>
  </r>
  <r>
    <d v="2025-08-12T00:00:00"/>
    <x v="3"/>
    <s v="Family"/>
    <s v="Website"/>
    <x v="4"/>
    <n v="1"/>
    <x v="10"/>
    <n v="0.13075929750140999"/>
    <x v="10"/>
    <x v="0"/>
    <x v="0"/>
  </r>
  <r>
    <d v="2025-08-13T00:00:00"/>
    <x v="0"/>
    <s v="Adventure"/>
    <s v="Agent"/>
    <x v="9"/>
    <n v="1"/>
    <x v="10"/>
    <n v="0.13075929750140999"/>
    <x v="10"/>
    <x v="8"/>
    <x v="1"/>
  </r>
  <r>
    <d v="2025-08-13T00:00:00"/>
    <x v="1"/>
    <s v="Beach"/>
    <s v="Mobile App"/>
    <x v="0"/>
    <n v="4"/>
    <x v="10"/>
    <n v="0.13075929750140999"/>
    <x v="10"/>
    <x v="7"/>
    <x v="1"/>
  </r>
  <r>
    <d v="2025-08-13T00:00:00"/>
    <x v="1"/>
    <s v="Family"/>
    <s v="Mobile App"/>
    <x v="0"/>
    <n v="2"/>
    <x v="10"/>
    <n v="0.13075929750140999"/>
    <x v="10"/>
    <x v="12"/>
    <x v="1"/>
  </r>
  <r>
    <d v="2025-08-13T00:00:00"/>
    <x v="1"/>
    <s v="Adventure"/>
    <s v="Mobile App"/>
    <x v="0"/>
    <n v="1"/>
    <x v="10"/>
    <n v="0.13075929750140999"/>
    <x v="10"/>
    <x v="15"/>
    <x v="1"/>
  </r>
  <r>
    <d v="2025-08-14T00:00:00"/>
    <x v="1"/>
    <s v="Beach"/>
    <s v="Agent"/>
    <x v="2"/>
    <n v="1"/>
    <x v="10"/>
    <n v="0.13075929750140999"/>
    <x v="10"/>
    <x v="3"/>
    <x v="0"/>
  </r>
  <r>
    <d v="2025-08-14T00:00:00"/>
    <x v="1"/>
    <s v="Family"/>
    <s v="Website"/>
    <x v="3"/>
    <n v="2"/>
    <x v="10"/>
    <n v="0.13075929750140999"/>
    <x v="10"/>
    <x v="7"/>
    <x v="1"/>
  </r>
  <r>
    <d v="2025-08-14T00:00:00"/>
    <x v="1"/>
    <s v="City Break"/>
    <s v="Mobile App"/>
    <x v="9"/>
    <n v="2"/>
    <x v="10"/>
    <n v="0.13075929750140999"/>
    <x v="10"/>
    <x v="1"/>
    <x v="1"/>
  </r>
  <r>
    <d v="2025-08-14T00:00:00"/>
    <x v="3"/>
    <s v="Family"/>
    <s v="Agent"/>
    <x v="0"/>
    <n v="3"/>
    <x v="10"/>
    <n v="0.13075929750140999"/>
    <x v="10"/>
    <x v="14"/>
    <x v="1"/>
  </r>
  <r>
    <d v="2025-08-15T00:00:00"/>
    <x v="3"/>
    <s v="Cultural"/>
    <s v="Website"/>
    <x v="5"/>
    <n v="2"/>
    <x v="10"/>
    <n v="0.13075929750140999"/>
    <x v="10"/>
    <x v="12"/>
    <x v="1"/>
  </r>
  <r>
    <d v="2025-08-15T00:00:00"/>
    <x v="3"/>
    <s v="Adventure"/>
    <s v="Mobile App"/>
    <x v="4"/>
    <n v="1"/>
    <x v="10"/>
    <n v="0.13075929750140999"/>
    <x v="10"/>
    <x v="4"/>
    <x v="0"/>
  </r>
  <r>
    <d v="2025-08-15T00:00:00"/>
    <x v="3"/>
    <s v="Beach"/>
    <s v="Website"/>
    <x v="9"/>
    <n v="1"/>
    <x v="10"/>
    <n v="0.13075929750140999"/>
    <x v="10"/>
    <x v="6"/>
    <x v="1"/>
  </r>
  <r>
    <d v="2025-08-15T00:00:00"/>
    <x v="3"/>
    <s v="Beach"/>
    <s v="Website"/>
    <x v="9"/>
    <n v="1"/>
    <x v="10"/>
    <n v="0.13075929750140999"/>
    <x v="10"/>
    <x v="11"/>
    <x v="1"/>
  </r>
  <r>
    <d v="2025-08-15T00:00:00"/>
    <x v="0"/>
    <s v="Beach"/>
    <s v="Agent"/>
    <x v="2"/>
    <n v="2"/>
    <x v="10"/>
    <n v="0.13075929750140999"/>
    <x v="10"/>
    <x v="15"/>
    <x v="1"/>
  </r>
  <r>
    <d v="2025-08-15T00:00:00"/>
    <x v="3"/>
    <s v="Cultural"/>
    <s v="Agent"/>
    <x v="6"/>
    <n v="2"/>
    <x v="10"/>
    <n v="0.13075929750140999"/>
    <x v="10"/>
    <x v="11"/>
    <x v="1"/>
  </r>
  <r>
    <d v="2025-08-15T00:00:00"/>
    <x v="1"/>
    <s v="Cultural"/>
    <s v="Mobile App"/>
    <x v="9"/>
    <n v="1"/>
    <x v="10"/>
    <n v="0.13075929750140999"/>
    <x v="10"/>
    <x v="2"/>
    <x v="1"/>
  </r>
  <r>
    <d v="2025-08-15T00:00:00"/>
    <x v="0"/>
    <s v="Beach"/>
    <s v="Agent"/>
    <x v="5"/>
    <n v="2"/>
    <x v="10"/>
    <n v="0.13075929750140999"/>
    <x v="10"/>
    <x v="13"/>
    <x v="0"/>
  </r>
  <r>
    <d v="2025-08-16T00:00:00"/>
    <x v="0"/>
    <s v="Cultural"/>
    <s v="Agent"/>
    <x v="7"/>
    <n v="1"/>
    <x v="10"/>
    <n v="0.13075929750140999"/>
    <x v="10"/>
    <x v="14"/>
    <x v="1"/>
  </r>
  <r>
    <d v="2025-08-16T00:00:00"/>
    <x v="1"/>
    <s v="Family"/>
    <s v="Website"/>
    <x v="9"/>
    <n v="3"/>
    <x v="10"/>
    <n v="0.13075929750140999"/>
    <x v="10"/>
    <x v="1"/>
    <x v="1"/>
  </r>
  <r>
    <d v="2025-08-16T00:00:00"/>
    <x v="0"/>
    <s v="Adventure"/>
    <s v="Mobile App"/>
    <x v="1"/>
    <n v="3"/>
    <x v="10"/>
    <n v="0.13075929750140999"/>
    <x v="10"/>
    <x v="5"/>
    <x v="1"/>
  </r>
  <r>
    <d v="2025-08-16T00:00:00"/>
    <x v="3"/>
    <s v="Cultural"/>
    <s v="Website"/>
    <x v="5"/>
    <n v="1"/>
    <x v="10"/>
    <n v="0.13075929750140999"/>
    <x v="10"/>
    <x v="1"/>
    <x v="1"/>
  </r>
  <r>
    <d v="2025-08-17T00:00:00"/>
    <x v="0"/>
    <s v="Adventure"/>
    <s v="Agent"/>
    <x v="0"/>
    <n v="3"/>
    <x v="10"/>
    <n v="0.13075929750140999"/>
    <x v="10"/>
    <x v="13"/>
    <x v="0"/>
  </r>
  <r>
    <d v="2025-08-17T00:00:00"/>
    <x v="1"/>
    <s v="City Break"/>
    <s v="Website"/>
    <x v="2"/>
    <n v="2"/>
    <x v="10"/>
    <n v="0.13075929750140999"/>
    <x v="10"/>
    <x v="4"/>
    <x v="1"/>
  </r>
  <r>
    <d v="2025-08-17T00:00:00"/>
    <x v="2"/>
    <s v="City Break"/>
    <s v="Mobile App"/>
    <x v="5"/>
    <n v="1"/>
    <x v="10"/>
    <n v="0.13075929750140999"/>
    <x v="10"/>
    <x v="12"/>
    <x v="1"/>
  </r>
  <r>
    <d v="2025-08-17T00:00:00"/>
    <x v="1"/>
    <s v="City Break"/>
    <s v="Website"/>
    <x v="6"/>
    <n v="1"/>
    <x v="10"/>
    <n v="0.13075929750140999"/>
    <x v="10"/>
    <x v="0"/>
    <x v="1"/>
  </r>
  <r>
    <d v="2025-08-18T00:00:00"/>
    <x v="2"/>
    <s v="Family"/>
    <s v="Website"/>
    <x v="8"/>
    <n v="2"/>
    <x v="10"/>
    <n v="0.13075929750140999"/>
    <x v="10"/>
    <x v="1"/>
    <x v="1"/>
  </r>
  <r>
    <d v="2025-08-18T00:00:00"/>
    <x v="1"/>
    <s v="City Break"/>
    <s v="Website"/>
    <x v="5"/>
    <n v="1"/>
    <x v="10"/>
    <n v="0.13075929750140999"/>
    <x v="10"/>
    <x v="3"/>
    <x v="1"/>
  </r>
  <r>
    <d v="2025-08-18T00:00:00"/>
    <x v="1"/>
    <s v="Adventure"/>
    <s v="Agent"/>
    <x v="8"/>
    <n v="1"/>
    <x v="10"/>
    <n v="0.13075929750140999"/>
    <x v="10"/>
    <x v="14"/>
    <x v="1"/>
  </r>
  <r>
    <d v="2025-08-18T00:00:00"/>
    <x v="3"/>
    <s v="Beach"/>
    <s v="Website"/>
    <x v="2"/>
    <n v="5"/>
    <x v="10"/>
    <n v="0.13075929750140999"/>
    <x v="10"/>
    <x v="15"/>
    <x v="0"/>
  </r>
  <r>
    <d v="2025-08-18T00:00:00"/>
    <x v="2"/>
    <s v="Adventure"/>
    <s v="Website"/>
    <x v="5"/>
    <n v="4"/>
    <x v="10"/>
    <n v="0.13075929750140999"/>
    <x v="10"/>
    <x v="8"/>
    <x v="0"/>
  </r>
  <r>
    <d v="2025-08-18T00:00:00"/>
    <x v="1"/>
    <s v="Cultural"/>
    <s v="Mobile App"/>
    <x v="0"/>
    <n v="2"/>
    <x v="10"/>
    <n v="0.13075929750140999"/>
    <x v="10"/>
    <x v="9"/>
    <x v="1"/>
  </r>
  <r>
    <d v="2025-08-18T00:00:00"/>
    <x v="2"/>
    <s v="Cultural"/>
    <s v="Website"/>
    <x v="9"/>
    <n v="2"/>
    <x v="10"/>
    <n v="0.13075929750140999"/>
    <x v="10"/>
    <x v="9"/>
    <x v="1"/>
  </r>
  <r>
    <d v="2025-08-18T00:00:00"/>
    <x v="1"/>
    <s v="Cultural"/>
    <s v="Mobile App"/>
    <x v="4"/>
    <n v="4"/>
    <x v="10"/>
    <n v="0.13075929750140999"/>
    <x v="10"/>
    <x v="12"/>
    <x v="1"/>
  </r>
  <r>
    <d v="2025-08-19T00:00:00"/>
    <x v="1"/>
    <s v="City Break"/>
    <s v="Website"/>
    <x v="4"/>
    <n v="3"/>
    <x v="10"/>
    <n v="0.13075929750140999"/>
    <x v="10"/>
    <x v="15"/>
    <x v="0"/>
  </r>
  <r>
    <d v="2025-08-19T00:00:00"/>
    <x v="1"/>
    <s v="Foodie"/>
    <s v="Website"/>
    <x v="2"/>
    <n v="3"/>
    <x v="10"/>
    <n v="0.13075929750140999"/>
    <x v="10"/>
    <x v="4"/>
    <x v="1"/>
  </r>
  <r>
    <d v="2025-08-19T00:00:00"/>
    <x v="3"/>
    <s v="Family"/>
    <s v="Website"/>
    <x v="3"/>
    <n v="1"/>
    <x v="10"/>
    <n v="0.13075929750140999"/>
    <x v="10"/>
    <x v="12"/>
    <x v="1"/>
  </r>
  <r>
    <d v="2025-08-19T00:00:00"/>
    <x v="1"/>
    <s v="Cultural"/>
    <s v="Agent"/>
    <x v="0"/>
    <n v="2"/>
    <x v="10"/>
    <n v="0.13075929750140999"/>
    <x v="10"/>
    <x v="5"/>
    <x v="1"/>
  </r>
  <r>
    <d v="2025-08-19T00:00:00"/>
    <x v="3"/>
    <s v="Beach"/>
    <s v="Agent"/>
    <x v="4"/>
    <n v="2"/>
    <x v="10"/>
    <n v="0.13075929750140999"/>
    <x v="10"/>
    <x v="17"/>
    <x v="1"/>
  </r>
  <r>
    <d v="2025-08-19T00:00:00"/>
    <x v="3"/>
    <s v="Adventure"/>
    <s v="Website"/>
    <x v="5"/>
    <n v="3"/>
    <x v="10"/>
    <n v="0.13075929750140999"/>
    <x v="10"/>
    <x v="3"/>
    <x v="0"/>
  </r>
  <r>
    <d v="2025-08-19T00:00:00"/>
    <x v="1"/>
    <s v="City Break"/>
    <s v="Mobile App"/>
    <x v="8"/>
    <n v="1"/>
    <x v="10"/>
    <n v="0.13075929750140999"/>
    <x v="10"/>
    <x v="15"/>
    <x v="1"/>
  </r>
  <r>
    <d v="2025-08-19T00:00:00"/>
    <x v="0"/>
    <s v="City Break"/>
    <s v="Mobile App"/>
    <x v="8"/>
    <n v="3"/>
    <x v="10"/>
    <n v="0.13075929750140999"/>
    <x v="10"/>
    <x v="5"/>
    <x v="0"/>
  </r>
  <r>
    <d v="2025-08-20T00:00:00"/>
    <x v="2"/>
    <s v="Adventure"/>
    <s v="Mobile App"/>
    <x v="9"/>
    <n v="3"/>
    <x v="10"/>
    <n v="0.13075929750140999"/>
    <x v="10"/>
    <x v="4"/>
    <x v="1"/>
  </r>
  <r>
    <d v="2025-08-21T00:00:00"/>
    <x v="2"/>
    <s v="Family"/>
    <s v="Mobile App"/>
    <x v="7"/>
    <n v="4"/>
    <x v="10"/>
    <n v="0.13075929750140999"/>
    <x v="10"/>
    <x v="15"/>
    <x v="1"/>
  </r>
  <r>
    <d v="2025-08-21T00:00:00"/>
    <x v="0"/>
    <s v="Cultural"/>
    <s v="Website"/>
    <x v="2"/>
    <n v="2"/>
    <x v="10"/>
    <n v="0.13075929750140999"/>
    <x v="10"/>
    <x v="12"/>
    <x v="1"/>
  </r>
  <r>
    <d v="2025-08-21T00:00:00"/>
    <x v="2"/>
    <s v="Beach"/>
    <s v="Website"/>
    <x v="3"/>
    <n v="2"/>
    <x v="10"/>
    <n v="0.13075929750140999"/>
    <x v="10"/>
    <x v="14"/>
    <x v="1"/>
  </r>
  <r>
    <d v="2025-08-21T00:00:00"/>
    <x v="1"/>
    <s v="Cultural"/>
    <s v="Website"/>
    <x v="4"/>
    <n v="2"/>
    <x v="10"/>
    <n v="0.13075929750140999"/>
    <x v="10"/>
    <x v="14"/>
    <x v="0"/>
  </r>
  <r>
    <d v="2025-08-22T00:00:00"/>
    <x v="2"/>
    <s v="Family"/>
    <s v="Agent"/>
    <x v="7"/>
    <n v="4"/>
    <x v="10"/>
    <n v="0.13075929750140999"/>
    <x v="10"/>
    <x v="15"/>
    <x v="0"/>
  </r>
  <r>
    <d v="2025-08-22T00:00:00"/>
    <x v="0"/>
    <s v="Family"/>
    <s v="Website"/>
    <x v="5"/>
    <n v="4"/>
    <x v="10"/>
    <n v="0.13075929750140999"/>
    <x v="10"/>
    <x v="17"/>
    <x v="1"/>
  </r>
  <r>
    <d v="2025-08-22T00:00:00"/>
    <x v="1"/>
    <s v="Beach"/>
    <s v="Mobile App"/>
    <x v="4"/>
    <n v="1"/>
    <x v="10"/>
    <n v="0.13075929750140999"/>
    <x v="10"/>
    <x v="9"/>
    <x v="1"/>
  </r>
  <r>
    <d v="2025-08-22T00:00:00"/>
    <x v="3"/>
    <s v="Family"/>
    <s v="Mobile App"/>
    <x v="1"/>
    <n v="2"/>
    <x v="10"/>
    <n v="0.13075929750140999"/>
    <x v="10"/>
    <x v="6"/>
    <x v="1"/>
  </r>
  <r>
    <d v="2025-08-23T00:00:00"/>
    <x v="2"/>
    <s v="Family"/>
    <s v="Mobile App"/>
    <x v="5"/>
    <n v="2"/>
    <x v="10"/>
    <n v="0.13075929750140999"/>
    <x v="10"/>
    <x v="1"/>
    <x v="0"/>
  </r>
  <r>
    <d v="2025-08-23T00:00:00"/>
    <x v="1"/>
    <s v="Cultural"/>
    <s v="Mobile App"/>
    <x v="4"/>
    <n v="2"/>
    <x v="10"/>
    <n v="0.13075929750140999"/>
    <x v="10"/>
    <x v="6"/>
    <x v="0"/>
  </r>
  <r>
    <d v="2025-08-23T00:00:00"/>
    <x v="0"/>
    <s v="Adventure"/>
    <s v="Agent"/>
    <x v="2"/>
    <n v="1"/>
    <x v="10"/>
    <n v="0.13075929750140999"/>
    <x v="10"/>
    <x v="11"/>
    <x v="1"/>
  </r>
  <r>
    <d v="2025-08-23T00:00:00"/>
    <x v="1"/>
    <s v="Adventure"/>
    <s v="Website"/>
    <x v="3"/>
    <n v="1"/>
    <x v="10"/>
    <n v="0.13075929750140999"/>
    <x v="10"/>
    <x v="14"/>
    <x v="0"/>
  </r>
  <r>
    <d v="2025-08-23T00:00:00"/>
    <x v="1"/>
    <s v="Adventure"/>
    <s v="Call Center"/>
    <x v="7"/>
    <n v="1"/>
    <x v="10"/>
    <n v="0.13075929750140999"/>
    <x v="10"/>
    <x v="7"/>
    <x v="1"/>
  </r>
  <r>
    <d v="2025-08-24T00:00:00"/>
    <x v="1"/>
    <s v="Family"/>
    <s v="Website"/>
    <x v="7"/>
    <n v="3"/>
    <x v="10"/>
    <n v="0.13075929750140999"/>
    <x v="10"/>
    <x v="10"/>
    <x v="1"/>
  </r>
  <r>
    <d v="2025-08-24T00:00:00"/>
    <x v="0"/>
    <s v="Family"/>
    <s v="Website"/>
    <x v="0"/>
    <n v="3"/>
    <x v="10"/>
    <n v="0.13075929750140999"/>
    <x v="10"/>
    <x v="2"/>
    <x v="1"/>
  </r>
  <r>
    <d v="2025-08-24T00:00:00"/>
    <x v="2"/>
    <s v="Family"/>
    <s v="Agent"/>
    <x v="0"/>
    <n v="5"/>
    <x v="10"/>
    <n v="0.13075929750140999"/>
    <x v="10"/>
    <x v="13"/>
    <x v="1"/>
  </r>
  <r>
    <d v="2025-08-25T00:00:00"/>
    <x v="3"/>
    <s v="Foodie"/>
    <s v="Agent"/>
    <x v="3"/>
    <n v="2"/>
    <x v="10"/>
    <n v="0.13075929750140999"/>
    <x v="10"/>
    <x v="6"/>
    <x v="1"/>
  </r>
  <r>
    <d v="2025-08-25T00:00:00"/>
    <x v="1"/>
    <s v="Family"/>
    <s v="Mobile App"/>
    <x v="3"/>
    <n v="3"/>
    <x v="10"/>
    <n v="0.13075929750140999"/>
    <x v="10"/>
    <x v="6"/>
    <x v="1"/>
  </r>
  <r>
    <d v="2025-08-26T00:00:00"/>
    <x v="1"/>
    <s v="Adventure"/>
    <s v="Website"/>
    <x v="8"/>
    <n v="1"/>
    <x v="10"/>
    <n v="0.13075929750140999"/>
    <x v="10"/>
    <x v="18"/>
    <x v="0"/>
  </r>
  <r>
    <d v="2025-08-26T00:00:00"/>
    <x v="1"/>
    <s v="Foodie"/>
    <s v="Website"/>
    <x v="5"/>
    <n v="1"/>
    <x v="10"/>
    <n v="0.13075929750140999"/>
    <x v="10"/>
    <x v="15"/>
    <x v="1"/>
  </r>
  <r>
    <d v="2025-08-26T00:00:00"/>
    <x v="1"/>
    <s v="Family"/>
    <s v="Website"/>
    <x v="2"/>
    <n v="3"/>
    <x v="10"/>
    <n v="0.13075929750140999"/>
    <x v="10"/>
    <x v="14"/>
    <x v="1"/>
  </r>
  <r>
    <d v="2025-08-27T00:00:00"/>
    <x v="3"/>
    <s v="Beach"/>
    <s v="Website"/>
    <x v="6"/>
    <n v="1"/>
    <x v="10"/>
    <n v="0.13075929750140999"/>
    <x v="10"/>
    <x v="10"/>
    <x v="1"/>
  </r>
  <r>
    <d v="2025-08-27T00:00:00"/>
    <x v="0"/>
    <s v="Adventure"/>
    <s v="Agent"/>
    <x v="4"/>
    <n v="1"/>
    <x v="10"/>
    <n v="0.13075929750140999"/>
    <x v="10"/>
    <x v="6"/>
    <x v="0"/>
  </r>
  <r>
    <d v="2025-08-27T00:00:00"/>
    <x v="3"/>
    <s v="Adventure"/>
    <s v="Website"/>
    <x v="8"/>
    <n v="4"/>
    <x v="10"/>
    <n v="0.13075929750140999"/>
    <x v="10"/>
    <x v="15"/>
    <x v="0"/>
  </r>
  <r>
    <d v="2025-08-27T00:00:00"/>
    <x v="1"/>
    <s v="Foodie"/>
    <s v="Agent"/>
    <x v="5"/>
    <n v="1"/>
    <x v="10"/>
    <n v="0.13075929750140999"/>
    <x v="10"/>
    <x v="16"/>
    <x v="1"/>
  </r>
  <r>
    <d v="2025-08-28T00:00:00"/>
    <x v="0"/>
    <s v="Family"/>
    <s v="Agent"/>
    <x v="5"/>
    <n v="5"/>
    <x v="10"/>
    <n v="0.13075929750140999"/>
    <x v="10"/>
    <x v="2"/>
    <x v="1"/>
  </r>
  <r>
    <d v="2025-08-28T00:00:00"/>
    <x v="1"/>
    <s v="Cultural"/>
    <s v="Website"/>
    <x v="7"/>
    <n v="2"/>
    <x v="10"/>
    <n v="0.13075929750140999"/>
    <x v="10"/>
    <x v="14"/>
    <x v="1"/>
  </r>
  <r>
    <d v="2025-08-28T00:00:00"/>
    <x v="0"/>
    <s v="Cultural"/>
    <s v="Agent"/>
    <x v="2"/>
    <n v="4"/>
    <x v="10"/>
    <n v="0.13075929750140999"/>
    <x v="10"/>
    <x v="9"/>
    <x v="1"/>
  </r>
  <r>
    <d v="2025-08-28T00:00:00"/>
    <x v="3"/>
    <s v="Foodie"/>
    <s v="Agent"/>
    <x v="5"/>
    <n v="2"/>
    <x v="10"/>
    <n v="0.13075929750140999"/>
    <x v="10"/>
    <x v="2"/>
    <x v="0"/>
  </r>
  <r>
    <d v="2025-08-28T00:00:00"/>
    <x v="3"/>
    <s v="Adventure"/>
    <s v="Mobile App"/>
    <x v="0"/>
    <n v="4"/>
    <x v="10"/>
    <n v="0.13075929750140999"/>
    <x v="10"/>
    <x v="10"/>
    <x v="1"/>
  </r>
  <r>
    <d v="2025-08-28T00:00:00"/>
    <x v="2"/>
    <s v="Family"/>
    <s v="Website"/>
    <x v="8"/>
    <n v="4"/>
    <x v="10"/>
    <n v="0.13075929750140999"/>
    <x v="10"/>
    <x v="13"/>
    <x v="1"/>
  </r>
  <r>
    <d v="2025-08-29T00:00:00"/>
    <x v="1"/>
    <s v="Beach"/>
    <s v="Website"/>
    <x v="2"/>
    <n v="3"/>
    <x v="10"/>
    <n v="0.13075929750140999"/>
    <x v="10"/>
    <x v="1"/>
    <x v="1"/>
  </r>
  <r>
    <d v="2025-08-29T00:00:00"/>
    <x v="3"/>
    <s v="Cultural"/>
    <s v="Agent"/>
    <x v="0"/>
    <n v="1"/>
    <x v="10"/>
    <n v="0.13075929750140999"/>
    <x v="10"/>
    <x v="1"/>
    <x v="1"/>
  </r>
  <r>
    <d v="2025-08-29T00:00:00"/>
    <x v="3"/>
    <s v="Adventure"/>
    <s v="Mobile App"/>
    <x v="7"/>
    <n v="4"/>
    <x v="10"/>
    <n v="0.13075929750140999"/>
    <x v="10"/>
    <x v="12"/>
    <x v="1"/>
  </r>
  <r>
    <d v="2025-08-29T00:00:00"/>
    <x v="0"/>
    <s v="Cultural"/>
    <s v="Agent"/>
    <x v="6"/>
    <n v="1"/>
    <x v="10"/>
    <n v="0.13075929750140999"/>
    <x v="10"/>
    <x v="4"/>
    <x v="0"/>
  </r>
  <r>
    <d v="2025-08-29T00:00:00"/>
    <x v="1"/>
    <s v="Beach"/>
    <s v="Mobile App"/>
    <x v="6"/>
    <n v="5"/>
    <x v="10"/>
    <n v="0.13075929750140999"/>
    <x v="10"/>
    <x v="18"/>
    <x v="1"/>
  </r>
  <r>
    <d v="2025-08-30T00:00:00"/>
    <x v="1"/>
    <s v="Beach"/>
    <s v="Website"/>
    <x v="7"/>
    <n v="3"/>
    <x v="10"/>
    <n v="0.13075929750140999"/>
    <x v="10"/>
    <x v="14"/>
    <x v="1"/>
  </r>
  <r>
    <d v="2025-08-30T00:00:00"/>
    <x v="1"/>
    <s v="City Break"/>
    <s v="Agent"/>
    <x v="0"/>
    <n v="1"/>
    <x v="10"/>
    <n v="0.13075929750140999"/>
    <x v="10"/>
    <x v="4"/>
    <x v="1"/>
  </r>
  <r>
    <d v="2025-08-30T00:00:00"/>
    <x v="2"/>
    <s v="Foodie"/>
    <s v="Mobile App"/>
    <x v="1"/>
    <n v="3"/>
    <x v="10"/>
    <n v="0.13075929750140999"/>
    <x v="10"/>
    <x v="1"/>
    <x v="0"/>
  </r>
  <r>
    <d v="2025-08-31T00:00:00"/>
    <x v="1"/>
    <s v="Beach"/>
    <s v="Website"/>
    <x v="9"/>
    <n v="1"/>
    <x v="10"/>
    <n v="0.13075929750140999"/>
    <x v="10"/>
    <x v="6"/>
    <x v="1"/>
  </r>
  <r>
    <d v="2025-09-01T00:00:00"/>
    <x v="1"/>
    <s v="Family"/>
    <s v="Website"/>
    <x v="4"/>
    <n v="3"/>
    <x v="10"/>
    <n v="0.13075929750140999"/>
    <x v="10"/>
    <x v="4"/>
    <x v="1"/>
  </r>
  <r>
    <d v="2025-09-01T00:00:00"/>
    <x v="1"/>
    <s v="Beach"/>
    <s v="Mobile App"/>
    <x v="3"/>
    <n v="1"/>
    <x v="10"/>
    <n v="0.13075929750140999"/>
    <x v="10"/>
    <x v="4"/>
    <x v="1"/>
  </r>
  <r>
    <d v="2025-09-01T00:00:00"/>
    <x v="3"/>
    <s v="Family"/>
    <s v="Mobile App"/>
    <x v="1"/>
    <n v="3"/>
    <x v="10"/>
    <n v="0.13075929750140999"/>
    <x v="10"/>
    <x v="2"/>
    <x v="0"/>
  </r>
  <r>
    <d v="2025-09-01T00:00:00"/>
    <x v="1"/>
    <s v="Family"/>
    <s v="Mobile App"/>
    <x v="8"/>
    <n v="2"/>
    <x v="10"/>
    <n v="0.13075929750140999"/>
    <x v="10"/>
    <x v="8"/>
    <x v="1"/>
  </r>
  <r>
    <d v="2025-09-01T00:00:00"/>
    <x v="0"/>
    <s v="Family"/>
    <s v="Mobile App"/>
    <x v="6"/>
    <n v="3"/>
    <x v="10"/>
    <n v="0.13075929750140999"/>
    <x v="10"/>
    <x v="4"/>
    <x v="1"/>
  </r>
  <r>
    <d v="2025-09-01T00:00:00"/>
    <x v="3"/>
    <s v="City Break"/>
    <s v="Mobile App"/>
    <x v="1"/>
    <n v="3"/>
    <x v="10"/>
    <n v="0.13075929750140999"/>
    <x v="10"/>
    <x v="5"/>
    <x v="1"/>
  </r>
  <r>
    <d v="2025-09-02T00:00:00"/>
    <x v="3"/>
    <s v="Cultural"/>
    <s v="Mobile App"/>
    <x v="5"/>
    <n v="1"/>
    <x v="10"/>
    <n v="0.13075929750140999"/>
    <x v="10"/>
    <x v="2"/>
    <x v="1"/>
  </r>
  <r>
    <d v="2025-09-02T00:00:00"/>
    <x v="0"/>
    <s v="Foodie"/>
    <s v="Website"/>
    <x v="4"/>
    <n v="2"/>
    <x v="10"/>
    <n v="0.13075929750140999"/>
    <x v="10"/>
    <x v="13"/>
    <x v="1"/>
  </r>
  <r>
    <d v="2025-09-02T00:00:00"/>
    <x v="1"/>
    <s v="Beach"/>
    <s v="Website"/>
    <x v="9"/>
    <n v="4"/>
    <x v="10"/>
    <n v="0.13075929750140999"/>
    <x v="10"/>
    <x v="10"/>
    <x v="1"/>
  </r>
  <r>
    <d v="2025-09-03T00:00:00"/>
    <x v="2"/>
    <s v="Beach"/>
    <s v="Mobile App"/>
    <x v="4"/>
    <n v="1"/>
    <x v="10"/>
    <n v="0.13075929750140999"/>
    <x v="10"/>
    <x v="8"/>
    <x v="1"/>
  </r>
  <r>
    <d v="2025-09-03T00:00:00"/>
    <x v="0"/>
    <s v="Cultural"/>
    <s v="Website"/>
    <x v="8"/>
    <n v="2"/>
    <x v="10"/>
    <n v="0.13075929750140999"/>
    <x v="10"/>
    <x v="12"/>
    <x v="1"/>
  </r>
  <r>
    <d v="2025-09-03T00:00:00"/>
    <x v="0"/>
    <s v="Beach"/>
    <s v="Mobile App"/>
    <x v="0"/>
    <n v="1"/>
    <x v="10"/>
    <n v="0.13075929750140999"/>
    <x v="10"/>
    <x v="15"/>
    <x v="1"/>
  </r>
  <r>
    <d v="2025-09-03T00:00:00"/>
    <x v="3"/>
    <s v="Family"/>
    <s v="Agent"/>
    <x v="5"/>
    <n v="3"/>
    <x v="10"/>
    <n v="0.13075929750140999"/>
    <x v="10"/>
    <x v="6"/>
    <x v="1"/>
  </r>
  <r>
    <d v="2025-09-04T00:00:00"/>
    <x v="2"/>
    <s v="Family"/>
    <s v="Agent"/>
    <x v="8"/>
    <n v="3"/>
    <x v="10"/>
    <n v="0.13075929750140999"/>
    <x v="10"/>
    <x v="15"/>
    <x v="1"/>
  </r>
  <r>
    <d v="2025-09-04T00:00:00"/>
    <x v="1"/>
    <s v="Family"/>
    <s v="Website"/>
    <x v="0"/>
    <n v="3"/>
    <x v="10"/>
    <n v="0.13075929750140999"/>
    <x v="10"/>
    <x v="9"/>
    <x v="1"/>
  </r>
  <r>
    <d v="2025-09-04T00:00:00"/>
    <x v="3"/>
    <s v="Beach"/>
    <s v="Agent"/>
    <x v="6"/>
    <n v="1"/>
    <x v="10"/>
    <n v="0.13075929750140999"/>
    <x v="10"/>
    <x v="10"/>
    <x v="0"/>
  </r>
  <r>
    <d v="2025-09-04T00:00:00"/>
    <x v="3"/>
    <s v="Cultural"/>
    <s v="Agent"/>
    <x v="4"/>
    <n v="1"/>
    <x v="10"/>
    <n v="0.13075929750140999"/>
    <x v="10"/>
    <x v="4"/>
    <x v="1"/>
  </r>
  <r>
    <d v="2025-09-05T00:00:00"/>
    <x v="1"/>
    <s v="Beach"/>
    <s v="Website"/>
    <x v="7"/>
    <n v="2"/>
    <x v="10"/>
    <n v="0.13075929750140999"/>
    <x v="10"/>
    <x v="12"/>
    <x v="1"/>
  </r>
  <r>
    <d v="2025-09-05T00:00:00"/>
    <x v="1"/>
    <s v="Foodie"/>
    <s v="Mobile App"/>
    <x v="2"/>
    <n v="1"/>
    <x v="10"/>
    <n v="0.13075929750140999"/>
    <x v="10"/>
    <x v="12"/>
    <x v="0"/>
  </r>
  <r>
    <d v="2025-09-05T00:00:00"/>
    <x v="1"/>
    <s v="Beach"/>
    <s v="Mobile App"/>
    <x v="8"/>
    <n v="5"/>
    <x v="10"/>
    <n v="0.13075929750140999"/>
    <x v="10"/>
    <x v="2"/>
    <x v="1"/>
  </r>
  <r>
    <d v="2025-09-06T00:00:00"/>
    <x v="2"/>
    <s v="Cultural"/>
    <s v="Agent"/>
    <x v="7"/>
    <n v="2"/>
    <x v="10"/>
    <n v="0.13075929750140999"/>
    <x v="10"/>
    <x v="1"/>
    <x v="1"/>
  </r>
  <r>
    <d v="2025-09-06T00:00:00"/>
    <x v="2"/>
    <s v="Foodie"/>
    <s v="Website"/>
    <x v="2"/>
    <n v="1"/>
    <x v="10"/>
    <n v="0.13075929750140999"/>
    <x v="10"/>
    <x v="8"/>
    <x v="0"/>
  </r>
  <r>
    <d v="2025-09-06T00:00:00"/>
    <x v="3"/>
    <s v="Foodie"/>
    <s v="Agent"/>
    <x v="1"/>
    <n v="1"/>
    <x v="10"/>
    <n v="0.13075929750140999"/>
    <x v="10"/>
    <x v="10"/>
    <x v="1"/>
  </r>
  <r>
    <d v="2025-09-06T00:00:00"/>
    <x v="3"/>
    <s v="Cultural"/>
    <s v="Website"/>
    <x v="1"/>
    <n v="1"/>
    <x v="10"/>
    <n v="0.13075929750140999"/>
    <x v="10"/>
    <x v="14"/>
    <x v="1"/>
  </r>
  <r>
    <d v="2025-09-07T00:00:00"/>
    <x v="3"/>
    <s v="Cultural"/>
    <s v="Website"/>
    <x v="6"/>
    <n v="1"/>
    <x v="10"/>
    <n v="0.13075929750140999"/>
    <x v="10"/>
    <x v="15"/>
    <x v="1"/>
  </r>
  <r>
    <d v="2025-09-07T00:00:00"/>
    <x v="0"/>
    <s v="Foodie"/>
    <s v="Website"/>
    <x v="5"/>
    <n v="1"/>
    <x v="10"/>
    <n v="0.13075929750140999"/>
    <x v="10"/>
    <x v="9"/>
    <x v="0"/>
  </r>
  <r>
    <d v="2025-09-07T00:00:00"/>
    <x v="0"/>
    <s v="Family"/>
    <s v="Website"/>
    <x v="3"/>
    <n v="4"/>
    <x v="10"/>
    <n v="0.13075929750140999"/>
    <x v="10"/>
    <x v="6"/>
    <x v="1"/>
  </r>
  <r>
    <d v="2025-09-07T00:00:00"/>
    <x v="0"/>
    <s v="Adventure"/>
    <s v="Agent"/>
    <x v="4"/>
    <n v="3"/>
    <x v="10"/>
    <n v="0.13075929750140999"/>
    <x v="10"/>
    <x v="12"/>
    <x v="1"/>
  </r>
  <r>
    <d v="2025-09-08T00:00:00"/>
    <x v="3"/>
    <s v="Foodie"/>
    <s v="Website"/>
    <x v="7"/>
    <n v="2"/>
    <x v="10"/>
    <n v="0.13075929750140999"/>
    <x v="10"/>
    <x v="12"/>
    <x v="0"/>
  </r>
  <r>
    <d v="2025-09-08T00:00:00"/>
    <x v="3"/>
    <s v="City Break"/>
    <s v="Mobile App"/>
    <x v="1"/>
    <n v="2"/>
    <x v="10"/>
    <n v="0.13075929750140999"/>
    <x v="10"/>
    <x v="2"/>
    <x v="1"/>
  </r>
  <r>
    <d v="2025-09-09T00:00:00"/>
    <x v="1"/>
    <s v="Beach"/>
    <s v="Website"/>
    <x v="8"/>
    <n v="2"/>
    <x v="10"/>
    <n v="0.13075929750140999"/>
    <x v="10"/>
    <x v="0"/>
    <x v="0"/>
  </r>
  <r>
    <d v="2025-09-09T00:00:00"/>
    <x v="2"/>
    <s v="Cultural"/>
    <s v="Website"/>
    <x v="4"/>
    <n v="2"/>
    <x v="10"/>
    <n v="0.13075929750140999"/>
    <x v="10"/>
    <x v="5"/>
    <x v="0"/>
  </r>
  <r>
    <d v="2025-09-09T00:00:00"/>
    <x v="1"/>
    <s v="Beach"/>
    <s v="Website"/>
    <x v="3"/>
    <n v="4"/>
    <x v="10"/>
    <n v="0.13075929750140999"/>
    <x v="10"/>
    <x v="12"/>
    <x v="1"/>
  </r>
  <r>
    <d v="2025-09-09T00:00:00"/>
    <x v="1"/>
    <s v="Adventure"/>
    <s v="Agent"/>
    <x v="8"/>
    <n v="2"/>
    <x v="10"/>
    <n v="0.13075929750140999"/>
    <x v="10"/>
    <x v="12"/>
    <x v="1"/>
  </r>
  <r>
    <d v="2025-09-10T00:00:00"/>
    <x v="3"/>
    <s v="Beach"/>
    <s v="Website"/>
    <x v="8"/>
    <n v="5"/>
    <x v="10"/>
    <n v="0.13075929750140999"/>
    <x v="10"/>
    <x v="0"/>
    <x v="1"/>
  </r>
  <r>
    <d v="2025-09-10T00:00:00"/>
    <x v="1"/>
    <s v="Cultural"/>
    <s v="Website"/>
    <x v="5"/>
    <n v="4"/>
    <x v="10"/>
    <n v="0.13075929750140999"/>
    <x v="10"/>
    <x v="2"/>
    <x v="1"/>
  </r>
  <r>
    <d v="2025-09-10T00:00:00"/>
    <x v="2"/>
    <s v="Cultural"/>
    <s v="Agent"/>
    <x v="7"/>
    <n v="1"/>
    <x v="10"/>
    <n v="0.13075929750140999"/>
    <x v="10"/>
    <x v="5"/>
    <x v="1"/>
  </r>
  <r>
    <d v="2025-09-11T00:00:00"/>
    <x v="3"/>
    <s v="Adventure"/>
    <s v="Website"/>
    <x v="4"/>
    <n v="1"/>
    <x v="10"/>
    <n v="0.13075929750140999"/>
    <x v="10"/>
    <x v="14"/>
    <x v="1"/>
  </r>
  <r>
    <d v="2025-09-11T00:00:00"/>
    <x v="1"/>
    <s v="Cultural"/>
    <s v="Website"/>
    <x v="0"/>
    <n v="3"/>
    <x v="10"/>
    <n v="0.13075929750140999"/>
    <x v="10"/>
    <x v="16"/>
    <x v="1"/>
  </r>
  <r>
    <d v="2025-09-11T00:00:00"/>
    <x v="3"/>
    <s v="Cultural"/>
    <s v="Agent"/>
    <x v="9"/>
    <n v="2"/>
    <x v="10"/>
    <n v="0.13075929750140999"/>
    <x v="10"/>
    <x v="9"/>
    <x v="1"/>
  </r>
  <r>
    <d v="2025-09-12T00:00:00"/>
    <x v="1"/>
    <s v="Beach"/>
    <s v="Website"/>
    <x v="6"/>
    <n v="1"/>
    <x v="10"/>
    <n v="0.13075929750140999"/>
    <x v="10"/>
    <x v="10"/>
    <x v="1"/>
  </r>
  <r>
    <d v="2025-09-13T00:00:00"/>
    <x v="3"/>
    <s v="Cultural"/>
    <s v="Website"/>
    <x v="8"/>
    <n v="4"/>
    <x v="10"/>
    <n v="0.13075929750140999"/>
    <x v="10"/>
    <x v="6"/>
    <x v="1"/>
  </r>
  <r>
    <d v="2025-09-13T00:00:00"/>
    <x v="0"/>
    <s v="Cultural"/>
    <s v="Website"/>
    <x v="0"/>
    <n v="1"/>
    <x v="10"/>
    <n v="0.13075929750140999"/>
    <x v="10"/>
    <x v="8"/>
    <x v="1"/>
  </r>
  <r>
    <d v="2025-09-13T00:00:00"/>
    <x v="2"/>
    <s v="Family"/>
    <s v="Mobile App"/>
    <x v="5"/>
    <n v="1"/>
    <x v="10"/>
    <n v="0.13075929750140999"/>
    <x v="10"/>
    <x v="10"/>
    <x v="1"/>
  </r>
  <r>
    <d v="2025-09-14T00:00:00"/>
    <x v="2"/>
    <s v="Beach"/>
    <s v="Website"/>
    <x v="7"/>
    <n v="1"/>
    <x v="10"/>
    <n v="0.13075929750140999"/>
    <x v="10"/>
    <x v="4"/>
    <x v="1"/>
  </r>
  <r>
    <d v="2025-09-14T00:00:00"/>
    <x v="2"/>
    <s v="Cultural"/>
    <s v="Agent"/>
    <x v="5"/>
    <n v="2"/>
    <x v="10"/>
    <n v="0.13075929750140999"/>
    <x v="10"/>
    <x v="10"/>
    <x v="1"/>
  </r>
  <r>
    <d v="2025-09-15T00:00:00"/>
    <x v="1"/>
    <s v="Family"/>
    <s v="Website"/>
    <x v="0"/>
    <n v="1"/>
    <x v="10"/>
    <n v="0.13075929750140999"/>
    <x v="10"/>
    <x v="1"/>
    <x v="1"/>
  </r>
  <r>
    <d v="2025-09-15T00:00:00"/>
    <x v="1"/>
    <s v="Adventure"/>
    <s v="Website"/>
    <x v="9"/>
    <n v="1"/>
    <x v="10"/>
    <n v="0.13075929750140999"/>
    <x v="10"/>
    <x v="15"/>
    <x v="1"/>
  </r>
  <r>
    <d v="2025-09-15T00:00:00"/>
    <x v="2"/>
    <s v="Cultural"/>
    <s v="Mobile App"/>
    <x v="5"/>
    <n v="1"/>
    <x v="10"/>
    <n v="0.13075929750140999"/>
    <x v="10"/>
    <x v="9"/>
    <x v="1"/>
  </r>
  <r>
    <d v="2025-09-15T00:00:00"/>
    <x v="3"/>
    <s v="Family"/>
    <s v="Agent"/>
    <x v="1"/>
    <n v="4"/>
    <x v="10"/>
    <n v="0.13075929750140999"/>
    <x v="10"/>
    <x v="15"/>
    <x v="1"/>
  </r>
  <r>
    <d v="2025-09-15T00:00:00"/>
    <x v="3"/>
    <s v="Beach"/>
    <s v="Website"/>
    <x v="0"/>
    <n v="1"/>
    <x v="10"/>
    <n v="0.13075929750140999"/>
    <x v="10"/>
    <x v="0"/>
    <x v="0"/>
  </r>
  <r>
    <d v="2025-09-16T00:00:00"/>
    <x v="2"/>
    <s v="City Break"/>
    <s v="Website"/>
    <x v="1"/>
    <n v="2"/>
    <x v="10"/>
    <n v="0.13075929750140999"/>
    <x v="10"/>
    <x v="9"/>
    <x v="1"/>
  </r>
  <r>
    <d v="2025-09-16T00:00:00"/>
    <x v="1"/>
    <s v="Family"/>
    <s v="Agent"/>
    <x v="0"/>
    <n v="3"/>
    <x v="10"/>
    <n v="0.13075929750140999"/>
    <x v="10"/>
    <x v="7"/>
    <x v="1"/>
  </r>
  <r>
    <d v="2025-09-16T00:00:00"/>
    <x v="1"/>
    <s v="Beach"/>
    <s v="Website"/>
    <x v="9"/>
    <n v="2"/>
    <x v="10"/>
    <n v="0.13075929750140999"/>
    <x v="10"/>
    <x v="4"/>
    <x v="1"/>
  </r>
  <r>
    <d v="2025-09-17T00:00:00"/>
    <x v="1"/>
    <s v="Family"/>
    <s v="Mobile App"/>
    <x v="1"/>
    <n v="1"/>
    <x v="10"/>
    <n v="0.13075929750140999"/>
    <x v="10"/>
    <x v="9"/>
    <x v="1"/>
  </r>
  <r>
    <d v="2025-09-17T00:00:00"/>
    <x v="2"/>
    <s v="Family"/>
    <s v="Website"/>
    <x v="4"/>
    <n v="2"/>
    <x v="10"/>
    <n v="0.13075929750140999"/>
    <x v="10"/>
    <x v="17"/>
    <x v="1"/>
  </r>
  <r>
    <d v="2025-09-17T00:00:00"/>
    <x v="3"/>
    <s v="Cultural"/>
    <s v="Website"/>
    <x v="7"/>
    <n v="2"/>
    <x v="10"/>
    <n v="0.13075929750140999"/>
    <x v="10"/>
    <x v="8"/>
    <x v="1"/>
  </r>
  <r>
    <d v="2025-09-18T00:00:00"/>
    <x v="3"/>
    <s v="Beach"/>
    <s v="Website"/>
    <x v="0"/>
    <n v="1"/>
    <x v="10"/>
    <n v="0.13075929750140999"/>
    <x v="10"/>
    <x v="13"/>
    <x v="1"/>
  </r>
  <r>
    <d v="2025-09-19T00:00:00"/>
    <x v="1"/>
    <s v="Cultural"/>
    <s v="Website"/>
    <x v="0"/>
    <n v="1"/>
    <x v="10"/>
    <n v="0.13075929750140999"/>
    <x v="10"/>
    <x v="1"/>
    <x v="1"/>
  </r>
  <r>
    <d v="2025-09-19T00:00:00"/>
    <x v="2"/>
    <s v="City Break"/>
    <s v="Website"/>
    <x v="9"/>
    <n v="4"/>
    <x v="10"/>
    <n v="0.13075929750140999"/>
    <x v="10"/>
    <x v="2"/>
    <x v="1"/>
  </r>
  <r>
    <d v="2025-09-19T00:00:00"/>
    <x v="1"/>
    <s v="Foodie"/>
    <s v="Agent"/>
    <x v="4"/>
    <n v="1"/>
    <x v="10"/>
    <n v="0.13075929750140999"/>
    <x v="10"/>
    <x v="18"/>
    <x v="1"/>
  </r>
  <r>
    <d v="2025-09-19T00:00:00"/>
    <x v="3"/>
    <s v="Adventure"/>
    <s v="Agent"/>
    <x v="5"/>
    <n v="2"/>
    <x v="10"/>
    <n v="0.13075929750140999"/>
    <x v="10"/>
    <x v="5"/>
    <x v="1"/>
  </r>
  <r>
    <d v="2025-09-19T00:00:00"/>
    <x v="1"/>
    <s v="Family"/>
    <s v="Agent"/>
    <x v="6"/>
    <n v="2"/>
    <x v="10"/>
    <n v="0.13075929750140999"/>
    <x v="10"/>
    <x v="6"/>
    <x v="0"/>
  </r>
  <r>
    <d v="2025-09-20T00:00:00"/>
    <x v="1"/>
    <s v="Family"/>
    <s v="Website"/>
    <x v="5"/>
    <n v="1"/>
    <x v="10"/>
    <n v="0.13075929750140999"/>
    <x v="10"/>
    <x v="3"/>
    <x v="1"/>
  </r>
  <r>
    <d v="2025-09-20T00:00:00"/>
    <x v="3"/>
    <s v="Cultural"/>
    <s v="Website"/>
    <x v="1"/>
    <n v="2"/>
    <x v="10"/>
    <n v="0.13075929750140999"/>
    <x v="10"/>
    <x v="6"/>
    <x v="0"/>
  </r>
  <r>
    <d v="2025-09-20T00:00:00"/>
    <x v="3"/>
    <s v="Foodie"/>
    <s v="Mobile App"/>
    <x v="8"/>
    <n v="3"/>
    <x v="10"/>
    <n v="0.13075929750140999"/>
    <x v="10"/>
    <x v="13"/>
    <x v="1"/>
  </r>
  <r>
    <d v="2025-09-20T00:00:00"/>
    <x v="0"/>
    <s v="Beach"/>
    <s v="Website"/>
    <x v="5"/>
    <n v="2"/>
    <x v="10"/>
    <n v="0.13075929750140999"/>
    <x v="10"/>
    <x v="12"/>
    <x v="1"/>
  </r>
  <r>
    <d v="2025-09-20T00:00:00"/>
    <x v="1"/>
    <s v="Beach"/>
    <s v="Mobile App"/>
    <x v="4"/>
    <n v="1"/>
    <x v="10"/>
    <n v="0.13075929750140999"/>
    <x v="10"/>
    <x v="0"/>
    <x v="1"/>
  </r>
  <r>
    <d v="2025-09-21T00:00:00"/>
    <x v="3"/>
    <s v="City Break"/>
    <s v="Website"/>
    <x v="3"/>
    <n v="1"/>
    <x v="10"/>
    <n v="0.13075929750140999"/>
    <x v="10"/>
    <x v="11"/>
    <x v="1"/>
  </r>
  <r>
    <d v="2025-09-21T00:00:00"/>
    <x v="0"/>
    <s v="Family"/>
    <s v="Website"/>
    <x v="2"/>
    <n v="1"/>
    <x v="10"/>
    <n v="0.13075929750140999"/>
    <x v="10"/>
    <x v="4"/>
    <x v="0"/>
  </r>
  <r>
    <d v="2025-09-22T00:00:00"/>
    <x v="0"/>
    <s v="Cultural"/>
    <s v="Mobile App"/>
    <x v="8"/>
    <n v="1"/>
    <x v="10"/>
    <n v="0.13075929750140999"/>
    <x v="10"/>
    <x v="8"/>
    <x v="1"/>
  </r>
  <r>
    <d v="2025-09-22T00:00:00"/>
    <x v="2"/>
    <s v="Beach"/>
    <s v="Mobile App"/>
    <x v="1"/>
    <n v="3"/>
    <x v="10"/>
    <n v="0.13075929750140999"/>
    <x v="10"/>
    <x v="6"/>
    <x v="1"/>
  </r>
  <r>
    <d v="2025-09-22T00:00:00"/>
    <x v="3"/>
    <s v="Beach"/>
    <s v="Website"/>
    <x v="5"/>
    <n v="2"/>
    <x v="10"/>
    <n v="0.13075929750140999"/>
    <x v="10"/>
    <x v="0"/>
    <x v="1"/>
  </r>
  <r>
    <d v="2025-09-22T00:00:00"/>
    <x v="1"/>
    <s v="Cultural"/>
    <s v="Website"/>
    <x v="1"/>
    <n v="1"/>
    <x v="10"/>
    <n v="0.13075929750140999"/>
    <x v="10"/>
    <x v="6"/>
    <x v="1"/>
  </r>
  <r>
    <d v="2025-09-23T00:00:00"/>
    <x v="1"/>
    <s v="Cultural"/>
    <s v="Website"/>
    <x v="8"/>
    <n v="2"/>
    <x v="10"/>
    <n v="0.13075929750140999"/>
    <x v="10"/>
    <x v="7"/>
    <x v="1"/>
  </r>
  <r>
    <d v="2025-09-23T00:00:00"/>
    <x v="2"/>
    <s v="Family"/>
    <s v="Website"/>
    <x v="6"/>
    <n v="2"/>
    <x v="10"/>
    <n v="0.13075929750140999"/>
    <x v="10"/>
    <x v="1"/>
    <x v="1"/>
  </r>
  <r>
    <d v="2025-09-23T00:00:00"/>
    <x v="3"/>
    <s v="Family"/>
    <s v="Agent"/>
    <x v="2"/>
    <n v="2"/>
    <x v="10"/>
    <n v="0.13075929750140999"/>
    <x v="10"/>
    <x v="0"/>
    <x v="1"/>
  </r>
  <r>
    <d v="2025-09-23T00:00:00"/>
    <x v="3"/>
    <s v="Cultural"/>
    <s v="Mobile App"/>
    <x v="5"/>
    <n v="1"/>
    <x v="10"/>
    <n v="0.13075929750140999"/>
    <x v="10"/>
    <x v="1"/>
    <x v="1"/>
  </r>
  <r>
    <d v="2025-09-24T00:00:00"/>
    <x v="3"/>
    <s v="Beach"/>
    <s v="Mobile App"/>
    <x v="4"/>
    <n v="2"/>
    <x v="10"/>
    <n v="0.13075929750140999"/>
    <x v="10"/>
    <x v="8"/>
    <x v="1"/>
  </r>
  <r>
    <d v="2025-09-24T00:00:00"/>
    <x v="3"/>
    <s v="Beach"/>
    <s v="Website"/>
    <x v="9"/>
    <n v="2"/>
    <x v="10"/>
    <n v="0.13075929750140999"/>
    <x v="10"/>
    <x v="0"/>
    <x v="0"/>
  </r>
  <r>
    <d v="2025-09-24T00:00:00"/>
    <x v="0"/>
    <s v="Beach"/>
    <s v="Mobile App"/>
    <x v="3"/>
    <n v="1"/>
    <x v="10"/>
    <n v="0.13075929750140999"/>
    <x v="10"/>
    <x v="12"/>
    <x v="1"/>
  </r>
  <r>
    <d v="2025-09-24T00:00:00"/>
    <x v="0"/>
    <s v="Cultural"/>
    <s v="Website"/>
    <x v="2"/>
    <n v="1"/>
    <x v="10"/>
    <n v="0.13075929750140999"/>
    <x v="10"/>
    <x v="15"/>
    <x v="1"/>
  </r>
  <r>
    <d v="2025-09-25T00:00:00"/>
    <x v="1"/>
    <s v="Cultural"/>
    <s v="Mobile App"/>
    <x v="2"/>
    <n v="2"/>
    <x v="10"/>
    <n v="0.13075929750140999"/>
    <x v="10"/>
    <x v="13"/>
    <x v="1"/>
  </r>
  <r>
    <d v="2025-09-25T00:00:00"/>
    <x v="3"/>
    <s v="City Break"/>
    <s v="Website"/>
    <x v="7"/>
    <n v="1"/>
    <x v="10"/>
    <n v="0.13075929750140999"/>
    <x v="10"/>
    <x v="4"/>
    <x v="1"/>
  </r>
  <r>
    <d v="2025-09-25T00:00:00"/>
    <x v="2"/>
    <s v="Beach"/>
    <s v="Mobile App"/>
    <x v="8"/>
    <n v="1"/>
    <x v="10"/>
    <n v="0.13075929750140999"/>
    <x v="10"/>
    <x v="0"/>
    <x v="1"/>
  </r>
  <r>
    <d v="2025-09-25T00:00:00"/>
    <x v="2"/>
    <s v="Cultural"/>
    <s v="Mobile App"/>
    <x v="0"/>
    <n v="1"/>
    <x v="10"/>
    <n v="0.13075929750140999"/>
    <x v="10"/>
    <x v="8"/>
    <x v="1"/>
  </r>
  <r>
    <d v="2025-09-26T00:00:00"/>
    <x v="3"/>
    <s v="Cultural"/>
    <s v="Website"/>
    <x v="3"/>
    <n v="3"/>
    <x v="10"/>
    <n v="0.13075929750140999"/>
    <x v="10"/>
    <x v="8"/>
    <x v="1"/>
  </r>
  <r>
    <d v="2025-09-26T00:00:00"/>
    <x v="0"/>
    <s v="Cultural"/>
    <s v="Agent"/>
    <x v="7"/>
    <n v="1"/>
    <x v="10"/>
    <n v="0.13075929750140999"/>
    <x v="10"/>
    <x v="0"/>
    <x v="1"/>
  </r>
  <r>
    <d v="2025-09-26T00:00:00"/>
    <x v="0"/>
    <s v="Cultural"/>
    <s v="Website"/>
    <x v="0"/>
    <n v="1"/>
    <x v="10"/>
    <n v="0.13075929750140999"/>
    <x v="10"/>
    <x v="2"/>
    <x v="1"/>
  </r>
  <r>
    <d v="2025-09-27T00:00:00"/>
    <x v="3"/>
    <s v="Beach"/>
    <s v="Website"/>
    <x v="9"/>
    <n v="2"/>
    <x v="10"/>
    <n v="0.13075929750140999"/>
    <x v="10"/>
    <x v="1"/>
    <x v="1"/>
  </r>
  <r>
    <d v="2025-09-27T00:00:00"/>
    <x v="3"/>
    <s v="Family"/>
    <s v="Mobile App"/>
    <x v="5"/>
    <n v="4"/>
    <x v="10"/>
    <n v="0.13075929750140999"/>
    <x v="10"/>
    <x v="13"/>
    <x v="1"/>
  </r>
  <r>
    <d v="2025-09-27T00:00:00"/>
    <x v="1"/>
    <s v="Adventure"/>
    <s v="Website"/>
    <x v="8"/>
    <n v="1"/>
    <x v="10"/>
    <n v="0.13075929750140999"/>
    <x v="10"/>
    <x v="13"/>
    <x v="1"/>
  </r>
  <r>
    <d v="2025-09-27T00:00:00"/>
    <x v="0"/>
    <s v="Beach"/>
    <s v="Website"/>
    <x v="9"/>
    <n v="4"/>
    <x v="10"/>
    <n v="0.13075929750140999"/>
    <x v="10"/>
    <x v="6"/>
    <x v="1"/>
  </r>
  <r>
    <d v="2025-09-27T00:00:00"/>
    <x v="3"/>
    <s v="Cultural"/>
    <s v="Website"/>
    <x v="3"/>
    <n v="3"/>
    <x v="10"/>
    <n v="0.13075929750140999"/>
    <x v="10"/>
    <x v="6"/>
    <x v="1"/>
  </r>
  <r>
    <d v="2025-09-27T00:00:00"/>
    <x v="3"/>
    <s v="City Break"/>
    <s v="Website"/>
    <x v="3"/>
    <n v="3"/>
    <x v="10"/>
    <n v="0.13075929750140999"/>
    <x v="10"/>
    <x v="12"/>
    <x v="1"/>
  </r>
  <r>
    <d v="2025-09-28T00:00:00"/>
    <x v="2"/>
    <s v="Cultural"/>
    <s v="Website"/>
    <x v="8"/>
    <n v="4"/>
    <x v="10"/>
    <n v="0.13075929750140999"/>
    <x v="10"/>
    <x v="5"/>
    <x v="1"/>
  </r>
  <r>
    <d v="2025-09-28T00:00:00"/>
    <x v="1"/>
    <s v="Beach"/>
    <s v="Mobile App"/>
    <x v="8"/>
    <n v="1"/>
    <x v="10"/>
    <n v="0.13075929750140999"/>
    <x v="10"/>
    <x v="1"/>
    <x v="1"/>
  </r>
  <r>
    <d v="2025-09-28T00:00:00"/>
    <x v="3"/>
    <s v="Beach"/>
    <s v="Mobile App"/>
    <x v="8"/>
    <n v="1"/>
    <x v="10"/>
    <n v="0.13075929750140999"/>
    <x v="10"/>
    <x v="1"/>
    <x v="1"/>
  </r>
  <r>
    <d v="2025-09-28T00:00:00"/>
    <x v="0"/>
    <s v="Cultural"/>
    <s v="Website"/>
    <x v="3"/>
    <n v="3"/>
    <x v="10"/>
    <n v="0.13075929750140999"/>
    <x v="10"/>
    <x v="8"/>
    <x v="1"/>
  </r>
  <r>
    <d v="2025-09-28T00:00:00"/>
    <x v="3"/>
    <s v="Family"/>
    <s v="Website"/>
    <x v="4"/>
    <n v="1"/>
    <x v="10"/>
    <n v="0.13075929750140999"/>
    <x v="10"/>
    <x v="15"/>
    <x v="1"/>
  </r>
  <r>
    <d v="2025-09-28T00:00:00"/>
    <x v="3"/>
    <s v="Family"/>
    <s v="Website"/>
    <x v="7"/>
    <n v="4"/>
    <x v="10"/>
    <n v="0.13075929750140999"/>
    <x v="10"/>
    <x v="14"/>
    <x v="0"/>
  </r>
  <r>
    <d v="2025-09-28T00:00:00"/>
    <x v="1"/>
    <s v="City Break"/>
    <s v="Agent"/>
    <x v="9"/>
    <n v="1"/>
    <x v="10"/>
    <n v="0.13075929750140999"/>
    <x v="10"/>
    <x v="5"/>
    <x v="1"/>
  </r>
  <r>
    <d v="2025-09-29T00:00:00"/>
    <x v="3"/>
    <s v="Adventure"/>
    <s v="Website"/>
    <x v="9"/>
    <n v="2"/>
    <x v="10"/>
    <n v="0.13075929750140999"/>
    <x v="10"/>
    <x v="6"/>
    <x v="0"/>
  </r>
  <r>
    <d v="2025-09-29T00:00:00"/>
    <x v="1"/>
    <s v="Foodie"/>
    <s v="Call Center"/>
    <x v="3"/>
    <n v="1"/>
    <x v="10"/>
    <n v="0.13075929750140999"/>
    <x v="10"/>
    <x v="13"/>
    <x v="1"/>
  </r>
  <r>
    <d v="2025-09-29T00:00:00"/>
    <x v="1"/>
    <s v="Adventure"/>
    <s v="Agent"/>
    <x v="3"/>
    <n v="1"/>
    <x v="10"/>
    <n v="0.13075929750140999"/>
    <x v="10"/>
    <x v="13"/>
    <x v="0"/>
  </r>
  <r>
    <d v="2025-09-29T00:00:00"/>
    <x v="3"/>
    <s v="Adventure"/>
    <s v="Agent"/>
    <x v="8"/>
    <n v="2"/>
    <x v="10"/>
    <n v="0.13075929750140999"/>
    <x v="10"/>
    <x v="15"/>
    <x v="1"/>
  </r>
  <r>
    <d v="2025-09-30T00:00:00"/>
    <x v="3"/>
    <s v="Family"/>
    <s v="Agent"/>
    <x v="5"/>
    <n v="1"/>
    <x v="10"/>
    <n v="0.13075929750140999"/>
    <x v="10"/>
    <x v="0"/>
    <x v="1"/>
  </r>
  <r>
    <d v="2025-10-01T00:00:00"/>
    <x v="3"/>
    <s v="Cultural"/>
    <s v="Website"/>
    <x v="4"/>
    <n v="2"/>
    <x v="10"/>
    <n v="0.13075929750140999"/>
    <x v="10"/>
    <x v="2"/>
    <x v="1"/>
  </r>
  <r>
    <d v="2025-10-01T00:00:00"/>
    <x v="2"/>
    <s v="Beach"/>
    <s v="Website"/>
    <x v="1"/>
    <n v="3"/>
    <x v="10"/>
    <n v="0.13075929750140999"/>
    <x v="10"/>
    <x v="5"/>
    <x v="1"/>
  </r>
  <r>
    <d v="2025-10-01T00:00:00"/>
    <x v="1"/>
    <s v="Adventure"/>
    <s v="Website"/>
    <x v="9"/>
    <n v="1"/>
    <x v="10"/>
    <n v="0.13075929750140999"/>
    <x v="10"/>
    <x v="4"/>
    <x v="1"/>
  </r>
  <r>
    <d v="2025-10-01T00:00:00"/>
    <x v="1"/>
    <s v="Adventure"/>
    <s v="Mobile App"/>
    <x v="0"/>
    <n v="2"/>
    <x v="10"/>
    <n v="0.13075929750140999"/>
    <x v="10"/>
    <x v="11"/>
    <x v="0"/>
  </r>
  <r>
    <d v="2025-10-02T00:00:00"/>
    <x v="3"/>
    <s v="Family"/>
    <s v="Agent"/>
    <x v="8"/>
    <n v="3"/>
    <x v="10"/>
    <n v="0.13075929750140999"/>
    <x v="10"/>
    <x v="13"/>
    <x v="1"/>
  </r>
  <r>
    <d v="2025-10-02T00:00:00"/>
    <x v="2"/>
    <s v="Adventure"/>
    <s v="Agent"/>
    <x v="5"/>
    <n v="3"/>
    <x v="10"/>
    <n v="0.13075929750140999"/>
    <x v="10"/>
    <x v="8"/>
    <x v="1"/>
  </r>
  <r>
    <d v="2025-10-02T00:00:00"/>
    <x v="3"/>
    <s v="Cultural"/>
    <s v="Agent"/>
    <x v="9"/>
    <n v="1"/>
    <x v="10"/>
    <n v="0.13075929750140999"/>
    <x v="10"/>
    <x v="0"/>
    <x v="0"/>
  </r>
  <r>
    <d v="2025-10-02T00:00:00"/>
    <x v="0"/>
    <s v="Beach"/>
    <s v="Mobile App"/>
    <x v="9"/>
    <n v="2"/>
    <x v="10"/>
    <n v="0.13075929750140999"/>
    <x v="10"/>
    <x v="14"/>
    <x v="1"/>
  </r>
  <r>
    <d v="2025-10-02T00:00:00"/>
    <x v="3"/>
    <s v="Family"/>
    <s v="Website"/>
    <x v="0"/>
    <n v="3"/>
    <x v="10"/>
    <n v="0.13075929750140999"/>
    <x v="10"/>
    <x v="8"/>
    <x v="1"/>
  </r>
  <r>
    <d v="2025-10-02T00:00:00"/>
    <x v="1"/>
    <s v="Foodie"/>
    <s v="Call Center"/>
    <x v="1"/>
    <n v="3"/>
    <x v="10"/>
    <n v="0.13075929750140999"/>
    <x v="10"/>
    <x v="4"/>
    <x v="1"/>
  </r>
  <r>
    <d v="2025-10-03T00:00:00"/>
    <x v="0"/>
    <s v="Beach"/>
    <s v="Agent"/>
    <x v="3"/>
    <n v="1"/>
    <x v="10"/>
    <n v="0.13075929750140999"/>
    <x v="10"/>
    <x v="1"/>
    <x v="0"/>
  </r>
  <r>
    <d v="2025-10-03T00:00:00"/>
    <x v="0"/>
    <s v="Beach"/>
    <s v="Website"/>
    <x v="3"/>
    <n v="2"/>
    <x v="10"/>
    <n v="0.13075929750140999"/>
    <x v="10"/>
    <x v="9"/>
    <x v="1"/>
  </r>
  <r>
    <d v="2025-10-03T00:00:00"/>
    <x v="2"/>
    <s v="Cultural"/>
    <s v="Agent"/>
    <x v="3"/>
    <n v="2"/>
    <x v="10"/>
    <n v="0.13075929750140999"/>
    <x v="10"/>
    <x v="6"/>
    <x v="1"/>
  </r>
  <r>
    <d v="2025-10-03T00:00:00"/>
    <x v="2"/>
    <s v="City Break"/>
    <s v="Mobile App"/>
    <x v="1"/>
    <n v="1"/>
    <x v="10"/>
    <n v="0.13075929750140999"/>
    <x v="10"/>
    <x v="15"/>
    <x v="1"/>
  </r>
  <r>
    <d v="2025-10-04T00:00:00"/>
    <x v="3"/>
    <s v="Cultural"/>
    <s v="Mobile App"/>
    <x v="0"/>
    <n v="1"/>
    <x v="10"/>
    <n v="0.13075929750140999"/>
    <x v="10"/>
    <x v="5"/>
    <x v="1"/>
  </r>
  <r>
    <d v="2025-10-04T00:00:00"/>
    <x v="3"/>
    <s v="Cultural"/>
    <s v="Website"/>
    <x v="1"/>
    <n v="4"/>
    <x v="10"/>
    <n v="0.13075929750140999"/>
    <x v="10"/>
    <x v="6"/>
    <x v="1"/>
  </r>
  <r>
    <d v="2025-10-04T00:00:00"/>
    <x v="3"/>
    <s v="Cultural"/>
    <s v="Call Center"/>
    <x v="3"/>
    <n v="1"/>
    <x v="10"/>
    <n v="0.13075929750140999"/>
    <x v="10"/>
    <x v="15"/>
    <x v="0"/>
  </r>
  <r>
    <d v="2025-10-04T00:00:00"/>
    <x v="0"/>
    <s v="Family"/>
    <s v="Agent"/>
    <x v="5"/>
    <n v="4"/>
    <x v="10"/>
    <n v="0.13075929750140999"/>
    <x v="10"/>
    <x v="0"/>
    <x v="1"/>
  </r>
  <r>
    <d v="2025-10-04T00:00:00"/>
    <x v="1"/>
    <s v="Family"/>
    <s v="Website"/>
    <x v="9"/>
    <n v="4"/>
    <x v="10"/>
    <n v="0.13075929750140999"/>
    <x v="10"/>
    <x v="4"/>
    <x v="0"/>
  </r>
  <r>
    <d v="2025-10-05T00:00:00"/>
    <x v="3"/>
    <s v="Adventure"/>
    <s v="Mobile App"/>
    <x v="6"/>
    <n v="1"/>
    <x v="10"/>
    <n v="0.13075929750140999"/>
    <x v="10"/>
    <x v="12"/>
    <x v="1"/>
  </r>
  <r>
    <d v="2025-10-05T00:00:00"/>
    <x v="2"/>
    <s v="City Break"/>
    <s v="Mobile App"/>
    <x v="7"/>
    <n v="2"/>
    <x v="10"/>
    <n v="0.13075929750140999"/>
    <x v="10"/>
    <x v="14"/>
    <x v="1"/>
  </r>
  <r>
    <d v="2025-10-06T00:00:00"/>
    <x v="1"/>
    <s v="City Break"/>
    <s v="Website"/>
    <x v="6"/>
    <n v="3"/>
    <x v="10"/>
    <n v="0.13075929750140999"/>
    <x v="10"/>
    <x v="15"/>
    <x v="1"/>
  </r>
  <r>
    <d v="2025-10-06T00:00:00"/>
    <x v="0"/>
    <s v="Family"/>
    <s v="Website"/>
    <x v="6"/>
    <n v="3"/>
    <x v="10"/>
    <n v="0.13075929750140999"/>
    <x v="10"/>
    <x v="15"/>
    <x v="1"/>
  </r>
  <r>
    <d v="2025-10-06T00:00:00"/>
    <x v="3"/>
    <s v="Beach"/>
    <s v="Mobile App"/>
    <x v="3"/>
    <n v="2"/>
    <x v="10"/>
    <n v="0.13075929750140999"/>
    <x v="10"/>
    <x v="18"/>
    <x v="1"/>
  </r>
  <r>
    <d v="2025-10-06T00:00:00"/>
    <x v="0"/>
    <s v="Adventure"/>
    <s v="Mobile App"/>
    <x v="8"/>
    <n v="3"/>
    <x v="10"/>
    <n v="0.13075929750140999"/>
    <x v="10"/>
    <x v="12"/>
    <x v="1"/>
  </r>
  <r>
    <d v="2025-10-06T00:00:00"/>
    <x v="1"/>
    <s v="Cultural"/>
    <s v="Website"/>
    <x v="6"/>
    <n v="1"/>
    <x v="10"/>
    <n v="0.13075929750140999"/>
    <x v="10"/>
    <x v="5"/>
    <x v="1"/>
  </r>
  <r>
    <d v="2025-10-07T00:00:00"/>
    <x v="3"/>
    <s v="Beach"/>
    <s v="Website"/>
    <x v="2"/>
    <n v="1"/>
    <x v="10"/>
    <n v="0.13075929750140999"/>
    <x v="10"/>
    <x v="12"/>
    <x v="0"/>
  </r>
  <r>
    <d v="2025-10-07T00:00:00"/>
    <x v="3"/>
    <s v="Beach"/>
    <s v="Website"/>
    <x v="3"/>
    <n v="2"/>
    <x v="10"/>
    <n v="0.13075929750140999"/>
    <x v="10"/>
    <x v="10"/>
    <x v="1"/>
  </r>
  <r>
    <d v="2025-10-07T00:00:00"/>
    <x v="1"/>
    <s v="Cultural"/>
    <s v="Agent"/>
    <x v="2"/>
    <n v="1"/>
    <x v="10"/>
    <n v="0.13075929750140999"/>
    <x v="10"/>
    <x v="12"/>
    <x v="0"/>
  </r>
  <r>
    <d v="2025-10-07T00:00:00"/>
    <x v="1"/>
    <s v="Family"/>
    <s v="Website"/>
    <x v="2"/>
    <n v="1"/>
    <x v="10"/>
    <n v="0.13075929750140999"/>
    <x v="10"/>
    <x v="6"/>
    <x v="1"/>
  </r>
  <r>
    <d v="2025-10-07T00:00:00"/>
    <x v="1"/>
    <s v="Beach"/>
    <s v="Mobile App"/>
    <x v="5"/>
    <n v="1"/>
    <x v="10"/>
    <n v="0.13075929750140999"/>
    <x v="10"/>
    <x v="8"/>
    <x v="0"/>
  </r>
  <r>
    <d v="2025-10-07T00:00:00"/>
    <x v="1"/>
    <s v="Cultural"/>
    <s v="Website"/>
    <x v="5"/>
    <n v="2"/>
    <x v="10"/>
    <n v="0.13075929750140999"/>
    <x v="10"/>
    <x v="5"/>
    <x v="1"/>
  </r>
  <r>
    <d v="2025-10-08T00:00:00"/>
    <x v="0"/>
    <s v="Cultural"/>
    <s v="Website"/>
    <x v="2"/>
    <n v="1"/>
    <x v="10"/>
    <n v="0.13075929750140999"/>
    <x v="10"/>
    <x v="15"/>
    <x v="1"/>
  </r>
  <r>
    <d v="2025-10-08T00:00:00"/>
    <x v="1"/>
    <s v="Beach"/>
    <s v="Website"/>
    <x v="1"/>
    <n v="1"/>
    <x v="10"/>
    <n v="0.13075929750140999"/>
    <x v="10"/>
    <x v="0"/>
    <x v="1"/>
  </r>
  <r>
    <d v="2025-10-09T00:00:00"/>
    <x v="0"/>
    <s v="Cultural"/>
    <s v="Website"/>
    <x v="7"/>
    <n v="2"/>
    <x v="10"/>
    <n v="0.13075929750140999"/>
    <x v="10"/>
    <x v="4"/>
    <x v="0"/>
  </r>
  <r>
    <d v="2025-10-09T00:00:00"/>
    <x v="3"/>
    <s v="Family"/>
    <s v="Agent"/>
    <x v="4"/>
    <n v="5"/>
    <x v="10"/>
    <n v="0.13075929750140999"/>
    <x v="10"/>
    <x v="5"/>
    <x v="1"/>
  </r>
  <r>
    <d v="2025-10-09T00:00:00"/>
    <x v="3"/>
    <s v="Cultural"/>
    <s v="Agent"/>
    <x v="9"/>
    <n v="1"/>
    <x v="10"/>
    <n v="0.13075929750140999"/>
    <x v="10"/>
    <x v="6"/>
    <x v="1"/>
  </r>
  <r>
    <d v="2025-10-10T00:00:00"/>
    <x v="0"/>
    <s v="Beach"/>
    <s v="Call Center"/>
    <x v="5"/>
    <n v="2"/>
    <x v="10"/>
    <n v="0.13075929750140999"/>
    <x v="10"/>
    <x v="0"/>
    <x v="1"/>
  </r>
  <r>
    <d v="2025-10-10T00:00:00"/>
    <x v="1"/>
    <s v="City Break"/>
    <s v="Website"/>
    <x v="0"/>
    <n v="1"/>
    <x v="10"/>
    <n v="0.13075929750140999"/>
    <x v="10"/>
    <x v="4"/>
    <x v="1"/>
  </r>
  <r>
    <d v="2025-10-10T00:00:00"/>
    <x v="0"/>
    <s v="Adventure"/>
    <s v="Website"/>
    <x v="3"/>
    <n v="3"/>
    <x v="10"/>
    <n v="0.13075929750140999"/>
    <x v="10"/>
    <x v="4"/>
    <x v="0"/>
  </r>
  <r>
    <d v="2025-10-10T00:00:00"/>
    <x v="0"/>
    <s v="City Break"/>
    <s v="Website"/>
    <x v="9"/>
    <n v="1"/>
    <x v="10"/>
    <n v="0.13075929750140999"/>
    <x v="10"/>
    <x v="11"/>
    <x v="1"/>
  </r>
  <r>
    <d v="2025-10-11T00:00:00"/>
    <x v="3"/>
    <s v="Cultural"/>
    <s v="Agent"/>
    <x v="2"/>
    <n v="3"/>
    <x v="10"/>
    <n v="0.13075929750140999"/>
    <x v="10"/>
    <x v="13"/>
    <x v="0"/>
  </r>
  <r>
    <d v="2025-10-11T00:00:00"/>
    <x v="0"/>
    <s v="Cultural"/>
    <s v="Agent"/>
    <x v="7"/>
    <n v="1"/>
    <x v="10"/>
    <n v="0.13075929750140999"/>
    <x v="10"/>
    <x v="18"/>
    <x v="0"/>
  </r>
  <r>
    <d v="2025-10-11T00:00:00"/>
    <x v="0"/>
    <s v="City Break"/>
    <s v="Agent"/>
    <x v="4"/>
    <n v="1"/>
    <x v="10"/>
    <n v="0.13075929750140999"/>
    <x v="10"/>
    <x v="8"/>
    <x v="1"/>
  </r>
  <r>
    <d v="2025-10-12T00:00:00"/>
    <x v="1"/>
    <s v="Cultural"/>
    <s v="Agent"/>
    <x v="0"/>
    <n v="1"/>
    <x v="10"/>
    <n v="0.13075929750140999"/>
    <x v="10"/>
    <x v="0"/>
    <x v="1"/>
  </r>
  <r>
    <d v="2025-10-12T00:00:00"/>
    <x v="1"/>
    <s v="Cultural"/>
    <s v="Agent"/>
    <x v="8"/>
    <n v="4"/>
    <x v="10"/>
    <n v="0.13075929750140999"/>
    <x v="10"/>
    <x v="2"/>
    <x v="1"/>
  </r>
  <r>
    <d v="2025-10-12T00:00:00"/>
    <x v="2"/>
    <s v="Foodie"/>
    <s v="Website"/>
    <x v="0"/>
    <n v="4"/>
    <x v="10"/>
    <n v="0.13075929750140999"/>
    <x v="10"/>
    <x v="9"/>
    <x v="1"/>
  </r>
  <r>
    <d v="2025-10-13T00:00:00"/>
    <x v="1"/>
    <s v="Family"/>
    <s v="Agent"/>
    <x v="9"/>
    <n v="2"/>
    <x v="10"/>
    <n v="0.13075929750140999"/>
    <x v="10"/>
    <x v="6"/>
    <x v="1"/>
  </r>
  <r>
    <d v="2025-10-13T00:00:00"/>
    <x v="3"/>
    <s v="Foodie"/>
    <s v="Agent"/>
    <x v="9"/>
    <n v="2"/>
    <x v="10"/>
    <n v="0.13075929750140999"/>
    <x v="10"/>
    <x v="8"/>
    <x v="1"/>
  </r>
  <r>
    <d v="2025-10-13T00:00:00"/>
    <x v="2"/>
    <s v="Beach"/>
    <s v="Agent"/>
    <x v="1"/>
    <n v="1"/>
    <x v="10"/>
    <n v="0.13075929750140999"/>
    <x v="10"/>
    <x v="6"/>
    <x v="0"/>
  </r>
  <r>
    <d v="2025-10-13T00:00:00"/>
    <x v="0"/>
    <s v="Beach"/>
    <s v="Website"/>
    <x v="0"/>
    <n v="2"/>
    <x v="10"/>
    <n v="0.13075929750140999"/>
    <x v="10"/>
    <x v="12"/>
    <x v="1"/>
  </r>
  <r>
    <d v="2025-10-13T00:00:00"/>
    <x v="1"/>
    <s v="City Break"/>
    <s v="Website"/>
    <x v="4"/>
    <n v="1"/>
    <x v="10"/>
    <n v="0.13075929750140999"/>
    <x v="10"/>
    <x v="5"/>
    <x v="0"/>
  </r>
  <r>
    <d v="2025-10-13T00:00:00"/>
    <x v="1"/>
    <s v="City Break"/>
    <s v="Mobile App"/>
    <x v="9"/>
    <n v="2"/>
    <x v="10"/>
    <n v="0.13075929750140999"/>
    <x v="10"/>
    <x v="2"/>
    <x v="1"/>
  </r>
  <r>
    <d v="2025-10-13T00:00:00"/>
    <x v="2"/>
    <s v="Family"/>
    <s v="Mobile App"/>
    <x v="1"/>
    <n v="3"/>
    <x v="10"/>
    <n v="0.13075929750140999"/>
    <x v="10"/>
    <x v="13"/>
    <x v="1"/>
  </r>
  <r>
    <d v="2025-10-14T00:00:00"/>
    <x v="2"/>
    <s v="Cultural"/>
    <s v="Agent"/>
    <x v="5"/>
    <n v="1"/>
    <x v="10"/>
    <n v="0.13075929750140999"/>
    <x v="10"/>
    <x v="8"/>
    <x v="1"/>
  </r>
  <r>
    <d v="2025-10-15T00:00:00"/>
    <x v="1"/>
    <s v="City Break"/>
    <s v="Mobile App"/>
    <x v="2"/>
    <n v="4"/>
    <x v="10"/>
    <n v="0.13075929750140999"/>
    <x v="10"/>
    <x v="7"/>
    <x v="1"/>
  </r>
  <r>
    <d v="2025-10-16T00:00:00"/>
    <x v="1"/>
    <s v="Adventure"/>
    <s v="Website"/>
    <x v="5"/>
    <n v="1"/>
    <x v="10"/>
    <n v="0.13075929750140999"/>
    <x v="10"/>
    <x v="0"/>
    <x v="1"/>
  </r>
  <r>
    <d v="2025-10-16T00:00:00"/>
    <x v="2"/>
    <s v="Cultural"/>
    <s v="Website"/>
    <x v="7"/>
    <n v="1"/>
    <x v="10"/>
    <n v="0.13075929750140999"/>
    <x v="10"/>
    <x v="6"/>
    <x v="1"/>
  </r>
  <r>
    <d v="2025-10-16T00:00:00"/>
    <x v="2"/>
    <s v="Family"/>
    <s v="Website"/>
    <x v="0"/>
    <n v="2"/>
    <x v="10"/>
    <n v="0.13075929750140999"/>
    <x v="10"/>
    <x v="13"/>
    <x v="1"/>
  </r>
  <r>
    <d v="2025-10-16T00:00:00"/>
    <x v="2"/>
    <s v="Family"/>
    <s v="Website"/>
    <x v="5"/>
    <n v="3"/>
    <x v="10"/>
    <n v="0.13075929750140999"/>
    <x v="10"/>
    <x v="0"/>
    <x v="0"/>
  </r>
  <r>
    <d v="2025-10-17T00:00:00"/>
    <x v="2"/>
    <s v="Beach"/>
    <s v="Mobile App"/>
    <x v="6"/>
    <n v="2"/>
    <x v="10"/>
    <n v="0.13075929750140999"/>
    <x v="10"/>
    <x v="10"/>
    <x v="1"/>
  </r>
  <r>
    <d v="2025-10-17T00:00:00"/>
    <x v="0"/>
    <s v="Foodie"/>
    <s v="Website"/>
    <x v="5"/>
    <n v="1"/>
    <x v="10"/>
    <n v="0.13075929750140999"/>
    <x v="10"/>
    <x v="2"/>
    <x v="1"/>
  </r>
  <r>
    <d v="2025-10-17T00:00:00"/>
    <x v="1"/>
    <s v="Beach"/>
    <s v="Mobile App"/>
    <x v="9"/>
    <n v="2"/>
    <x v="10"/>
    <n v="0.13075929750140999"/>
    <x v="10"/>
    <x v="11"/>
    <x v="1"/>
  </r>
  <r>
    <d v="2025-10-17T00:00:00"/>
    <x v="1"/>
    <s v="Cultural"/>
    <s v="Mobile App"/>
    <x v="8"/>
    <n v="3"/>
    <x v="10"/>
    <n v="0.13075929750140999"/>
    <x v="10"/>
    <x v="15"/>
    <x v="1"/>
  </r>
  <r>
    <d v="2025-10-17T00:00:00"/>
    <x v="2"/>
    <s v="Adventure"/>
    <s v="Mobile App"/>
    <x v="9"/>
    <n v="1"/>
    <x v="10"/>
    <n v="0.13075929750140999"/>
    <x v="10"/>
    <x v="0"/>
    <x v="1"/>
  </r>
  <r>
    <d v="2025-10-18T00:00:00"/>
    <x v="1"/>
    <s v="Cultural"/>
    <s v="Website"/>
    <x v="5"/>
    <n v="2"/>
    <x v="10"/>
    <n v="0.13075929750140999"/>
    <x v="10"/>
    <x v="10"/>
    <x v="1"/>
  </r>
  <r>
    <d v="2025-10-18T00:00:00"/>
    <x v="0"/>
    <s v="Family"/>
    <s v="Website"/>
    <x v="5"/>
    <n v="1"/>
    <x v="10"/>
    <n v="0.13075929750140999"/>
    <x v="10"/>
    <x v="15"/>
    <x v="0"/>
  </r>
  <r>
    <d v="2025-10-19T00:00:00"/>
    <x v="0"/>
    <s v="Cultural"/>
    <s v="Website"/>
    <x v="4"/>
    <n v="1"/>
    <x v="10"/>
    <n v="0.13075929750140999"/>
    <x v="10"/>
    <x v="5"/>
    <x v="0"/>
  </r>
  <r>
    <d v="2025-10-19T00:00:00"/>
    <x v="2"/>
    <s v="City Break"/>
    <s v="Mobile App"/>
    <x v="0"/>
    <n v="1"/>
    <x v="10"/>
    <n v="0.13075929750140999"/>
    <x v="10"/>
    <x v="14"/>
    <x v="1"/>
  </r>
  <r>
    <d v="2025-10-20T00:00:00"/>
    <x v="2"/>
    <s v="Beach"/>
    <s v="Mobile App"/>
    <x v="8"/>
    <n v="2"/>
    <x v="10"/>
    <n v="0.13075929750140999"/>
    <x v="10"/>
    <x v="0"/>
    <x v="1"/>
  </r>
  <r>
    <d v="2025-10-21T00:00:00"/>
    <x v="3"/>
    <s v="Beach"/>
    <s v="Agent"/>
    <x v="7"/>
    <n v="3"/>
    <x v="10"/>
    <n v="0.13075929750140999"/>
    <x v="10"/>
    <x v="15"/>
    <x v="1"/>
  </r>
  <r>
    <d v="2025-10-21T00:00:00"/>
    <x v="1"/>
    <s v="Adventure"/>
    <s v="Website"/>
    <x v="0"/>
    <n v="3"/>
    <x v="10"/>
    <n v="0.13075929750140999"/>
    <x v="10"/>
    <x v="7"/>
    <x v="1"/>
  </r>
  <r>
    <d v="2025-10-21T00:00:00"/>
    <x v="3"/>
    <s v="City Break"/>
    <s v="Website"/>
    <x v="1"/>
    <n v="2"/>
    <x v="10"/>
    <n v="0.13075929750140999"/>
    <x v="10"/>
    <x v="17"/>
    <x v="1"/>
  </r>
  <r>
    <d v="2025-10-21T00:00:00"/>
    <x v="3"/>
    <s v="Beach"/>
    <s v="Mobile App"/>
    <x v="6"/>
    <n v="1"/>
    <x v="10"/>
    <n v="0.13075929750140999"/>
    <x v="10"/>
    <x v="4"/>
    <x v="1"/>
  </r>
  <r>
    <d v="2025-10-21T00:00:00"/>
    <x v="0"/>
    <s v="Adventure"/>
    <s v="Mobile App"/>
    <x v="1"/>
    <n v="1"/>
    <x v="10"/>
    <n v="0.13075929750140999"/>
    <x v="10"/>
    <x v="1"/>
    <x v="1"/>
  </r>
  <r>
    <d v="2025-10-21T00:00:00"/>
    <x v="3"/>
    <s v="Family"/>
    <s v="Website"/>
    <x v="8"/>
    <n v="3"/>
    <x v="10"/>
    <n v="0.13075929750140999"/>
    <x v="10"/>
    <x v="2"/>
    <x v="1"/>
  </r>
  <r>
    <d v="2025-10-22T00:00:00"/>
    <x v="1"/>
    <s v="Cultural"/>
    <s v="Mobile App"/>
    <x v="9"/>
    <n v="1"/>
    <x v="10"/>
    <n v="0.13075929750140999"/>
    <x v="10"/>
    <x v="5"/>
    <x v="1"/>
  </r>
  <r>
    <d v="2025-10-22T00:00:00"/>
    <x v="0"/>
    <s v="Adventure"/>
    <s v="Website"/>
    <x v="1"/>
    <n v="1"/>
    <x v="10"/>
    <n v="0.13075929750140999"/>
    <x v="10"/>
    <x v="5"/>
    <x v="1"/>
  </r>
  <r>
    <d v="2025-10-22T00:00:00"/>
    <x v="2"/>
    <s v="Beach"/>
    <s v="Agent"/>
    <x v="0"/>
    <n v="3"/>
    <x v="10"/>
    <n v="0.13075929750140999"/>
    <x v="10"/>
    <x v="0"/>
    <x v="1"/>
  </r>
  <r>
    <d v="2025-10-22T00:00:00"/>
    <x v="1"/>
    <s v="City Break"/>
    <s v="Call Center"/>
    <x v="4"/>
    <n v="1"/>
    <x v="10"/>
    <n v="0.13075929750140999"/>
    <x v="10"/>
    <x v="10"/>
    <x v="0"/>
  </r>
  <r>
    <d v="2025-10-23T00:00:00"/>
    <x v="1"/>
    <s v="Adventure"/>
    <s v="Agent"/>
    <x v="0"/>
    <n v="1"/>
    <x v="10"/>
    <n v="0.13075929750140999"/>
    <x v="10"/>
    <x v="1"/>
    <x v="0"/>
  </r>
  <r>
    <d v="2025-10-23T00:00:00"/>
    <x v="1"/>
    <s v="Cultural"/>
    <s v="Mobile App"/>
    <x v="8"/>
    <n v="5"/>
    <x v="10"/>
    <n v="0.13075929750140999"/>
    <x v="10"/>
    <x v="2"/>
    <x v="1"/>
  </r>
  <r>
    <d v="2025-10-24T00:00:00"/>
    <x v="0"/>
    <s v="Beach"/>
    <s v="Mobile App"/>
    <x v="5"/>
    <n v="1"/>
    <x v="10"/>
    <n v="0.13075929750140999"/>
    <x v="10"/>
    <x v="9"/>
    <x v="1"/>
  </r>
  <r>
    <d v="2025-10-24T00:00:00"/>
    <x v="1"/>
    <s v="Adventure"/>
    <s v="Agent"/>
    <x v="2"/>
    <n v="4"/>
    <x v="10"/>
    <n v="0.13075929750140999"/>
    <x v="10"/>
    <x v="8"/>
    <x v="0"/>
  </r>
  <r>
    <d v="2025-10-24T00:00:00"/>
    <x v="3"/>
    <s v="City Break"/>
    <s v="Call Center"/>
    <x v="5"/>
    <n v="2"/>
    <x v="10"/>
    <n v="0.13075929750140999"/>
    <x v="10"/>
    <x v="12"/>
    <x v="1"/>
  </r>
  <r>
    <d v="2025-10-25T00:00:00"/>
    <x v="3"/>
    <s v="Adventure"/>
    <s v="Mobile App"/>
    <x v="4"/>
    <n v="2"/>
    <x v="10"/>
    <n v="0.13075929750140999"/>
    <x v="10"/>
    <x v="16"/>
    <x v="1"/>
  </r>
  <r>
    <d v="2025-10-25T00:00:00"/>
    <x v="2"/>
    <s v="Family"/>
    <s v="Website"/>
    <x v="4"/>
    <n v="4"/>
    <x v="10"/>
    <n v="0.13075929750140999"/>
    <x v="10"/>
    <x v="2"/>
    <x v="1"/>
  </r>
  <r>
    <d v="2025-10-26T00:00:00"/>
    <x v="2"/>
    <s v="Cultural"/>
    <s v="Agent"/>
    <x v="3"/>
    <n v="4"/>
    <x v="10"/>
    <n v="0.13075929750140999"/>
    <x v="10"/>
    <x v="4"/>
    <x v="1"/>
  </r>
  <r>
    <d v="2025-10-27T00:00:00"/>
    <x v="3"/>
    <s v="Cultural"/>
    <s v="Website"/>
    <x v="7"/>
    <n v="1"/>
    <x v="10"/>
    <n v="0.13075929750140999"/>
    <x v="10"/>
    <x v="9"/>
    <x v="1"/>
  </r>
  <r>
    <d v="2025-10-27T00:00:00"/>
    <x v="3"/>
    <s v="Cultural"/>
    <s v="Mobile App"/>
    <x v="9"/>
    <n v="2"/>
    <x v="10"/>
    <n v="0.13075929750140999"/>
    <x v="10"/>
    <x v="14"/>
    <x v="1"/>
  </r>
  <r>
    <d v="2025-10-27T00:00:00"/>
    <x v="2"/>
    <s v="City Break"/>
    <s v="Website"/>
    <x v="9"/>
    <n v="2"/>
    <x v="10"/>
    <n v="0.13075929750140999"/>
    <x v="10"/>
    <x v="8"/>
    <x v="0"/>
  </r>
  <r>
    <d v="2025-10-28T00:00:00"/>
    <x v="0"/>
    <s v="Cultural"/>
    <s v="Website"/>
    <x v="9"/>
    <n v="2"/>
    <x v="10"/>
    <n v="0.13075929750140999"/>
    <x v="10"/>
    <x v="13"/>
    <x v="0"/>
  </r>
  <r>
    <d v="2025-10-28T00:00:00"/>
    <x v="2"/>
    <s v="Adventure"/>
    <s v="Agent"/>
    <x v="2"/>
    <n v="1"/>
    <x v="10"/>
    <n v="0.13075929750140999"/>
    <x v="10"/>
    <x v="10"/>
    <x v="1"/>
  </r>
  <r>
    <d v="2025-10-28T00:00:00"/>
    <x v="0"/>
    <s v="Beach"/>
    <s v="Website"/>
    <x v="9"/>
    <n v="1"/>
    <x v="10"/>
    <n v="0.13075929750140999"/>
    <x v="10"/>
    <x v="2"/>
    <x v="1"/>
  </r>
  <r>
    <d v="2025-10-28T00:00:00"/>
    <x v="3"/>
    <s v="City Break"/>
    <s v="Mobile App"/>
    <x v="9"/>
    <n v="3"/>
    <x v="10"/>
    <n v="0.13075929750140999"/>
    <x v="10"/>
    <x v="13"/>
    <x v="1"/>
  </r>
  <r>
    <d v="2025-10-28T00:00:00"/>
    <x v="1"/>
    <s v="City Break"/>
    <s v="Call Center"/>
    <x v="1"/>
    <n v="3"/>
    <x v="10"/>
    <n v="0.13075929750140999"/>
    <x v="10"/>
    <x v="1"/>
    <x v="1"/>
  </r>
  <r>
    <d v="2025-10-29T00:00:00"/>
    <x v="2"/>
    <s v="Beach"/>
    <s v="Agent"/>
    <x v="1"/>
    <n v="1"/>
    <x v="10"/>
    <n v="0.13075929750140999"/>
    <x v="10"/>
    <x v="0"/>
    <x v="1"/>
  </r>
  <r>
    <d v="2025-10-30T00:00:00"/>
    <x v="0"/>
    <s v="Adventure"/>
    <s v="Mobile App"/>
    <x v="6"/>
    <n v="1"/>
    <x v="10"/>
    <n v="0.13075929750140999"/>
    <x v="10"/>
    <x v="5"/>
    <x v="1"/>
  </r>
  <r>
    <d v="2025-10-30T00:00:00"/>
    <x v="3"/>
    <s v="Adventure"/>
    <s v="Mobile App"/>
    <x v="0"/>
    <n v="2"/>
    <x v="10"/>
    <n v="0.13075929750140999"/>
    <x v="10"/>
    <x v="14"/>
    <x v="0"/>
  </r>
  <r>
    <d v="2025-10-30T00:00:00"/>
    <x v="3"/>
    <s v="Family"/>
    <s v="Website"/>
    <x v="4"/>
    <n v="2"/>
    <x v="10"/>
    <n v="0.13075929750140999"/>
    <x v="10"/>
    <x v="8"/>
    <x v="1"/>
  </r>
  <r>
    <d v="2025-10-31T00:00:00"/>
    <x v="1"/>
    <s v="Foodie"/>
    <s v="Website"/>
    <x v="9"/>
    <n v="3"/>
    <x v="10"/>
    <n v="0.13075929750140999"/>
    <x v="10"/>
    <x v="18"/>
    <x v="1"/>
  </r>
  <r>
    <d v="2025-11-01T00:00:00"/>
    <x v="3"/>
    <s v="Family"/>
    <s v="Website"/>
    <x v="7"/>
    <n v="3"/>
    <x v="10"/>
    <n v="0.13075929750140999"/>
    <x v="10"/>
    <x v="16"/>
    <x v="1"/>
  </r>
  <r>
    <d v="2025-11-01T00:00:00"/>
    <x v="2"/>
    <s v="Beach"/>
    <s v="Mobile App"/>
    <x v="3"/>
    <n v="3"/>
    <x v="10"/>
    <n v="0.13075929750140999"/>
    <x v="10"/>
    <x v="7"/>
    <x v="1"/>
  </r>
  <r>
    <d v="2025-11-01T00:00:00"/>
    <x v="1"/>
    <s v="Cultural"/>
    <s v="Mobile App"/>
    <x v="5"/>
    <n v="3"/>
    <x v="10"/>
    <n v="0.13075929750140999"/>
    <x v="10"/>
    <x v="13"/>
    <x v="0"/>
  </r>
  <r>
    <d v="2025-11-01T00:00:00"/>
    <x v="2"/>
    <s v="Cultural"/>
    <s v="Mobile App"/>
    <x v="5"/>
    <n v="1"/>
    <x v="10"/>
    <n v="0.13075929750140999"/>
    <x v="10"/>
    <x v="15"/>
    <x v="1"/>
  </r>
  <r>
    <d v="2025-11-02T00:00:00"/>
    <x v="1"/>
    <s v="Adventure"/>
    <s v="Mobile App"/>
    <x v="2"/>
    <n v="1"/>
    <x v="10"/>
    <n v="0.13075929750140999"/>
    <x v="10"/>
    <x v="5"/>
    <x v="0"/>
  </r>
  <r>
    <d v="2025-11-02T00:00:00"/>
    <x v="2"/>
    <s v="Cultural"/>
    <s v="Mobile App"/>
    <x v="2"/>
    <n v="2"/>
    <x v="10"/>
    <n v="0.13075929750140999"/>
    <x v="10"/>
    <x v="13"/>
    <x v="1"/>
  </r>
  <r>
    <d v="2025-11-02T00:00:00"/>
    <x v="1"/>
    <s v="Cultural"/>
    <s v="Website"/>
    <x v="4"/>
    <n v="3"/>
    <x v="10"/>
    <n v="0.13075929750140999"/>
    <x v="10"/>
    <x v="9"/>
    <x v="1"/>
  </r>
  <r>
    <d v="2025-11-03T00:00:00"/>
    <x v="3"/>
    <s v="Cultural"/>
    <s v="Website"/>
    <x v="9"/>
    <n v="1"/>
    <x v="10"/>
    <n v="0.13075929750140999"/>
    <x v="10"/>
    <x v="4"/>
    <x v="1"/>
  </r>
  <r>
    <d v="2025-11-03T00:00:00"/>
    <x v="3"/>
    <s v="Beach"/>
    <s v="Website"/>
    <x v="2"/>
    <n v="4"/>
    <x v="10"/>
    <n v="0.13075929750140999"/>
    <x v="10"/>
    <x v="6"/>
    <x v="1"/>
  </r>
  <r>
    <d v="2025-11-03T00:00:00"/>
    <x v="3"/>
    <s v="Beach"/>
    <s v="Website"/>
    <x v="8"/>
    <n v="2"/>
    <x v="10"/>
    <n v="0.13075929750140999"/>
    <x v="10"/>
    <x v="17"/>
    <x v="1"/>
  </r>
  <r>
    <d v="2025-11-03T00:00:00"/>
    <x v="2"/>
    <s v="Adventure"/>
    <s v="Website"/>
    <x v="0"/>
    <n v="2"/>
    <x v="10"/>
    <n v="0.13075929750140999"/>
    <x v="10"/>
    <x v="0"/>
    <x v="1"/>
  </r>
  <r>
    <d v="2025-11-04T00:00:00"/>
    <x v="1"/>
    <s v="Cultural"/>
    <s v="Mobile App"/>
    <x v="5"/>
    <n v="2"/>
    <x v="10"/>
    <n v="0.13075929750140999"/>
    <x v="10"/>
    <x v="9"/>
    <x v="0"/>
  </r>
  <r>
    <d v="2025-11-05T00:00:00"/>
    <x v="3"/>
    <s v="Foodie"/>
    <s v="Website"/>
    <x v="4"/>
    <n v="1"/>
    <x v="10"/>
    <n v="0.13075929750140999"/>
    <x v="10"/>
    <x v="13"/>
    <x v="1"/>
  </r>
  <r>
    <d v="2025-11-06T00:00:00"/>
    <x v="1"/>
    <s v="Beach"/>
    <s v="Call Center"/>
    <x v="0"/>
    <n v="3"/>
    <x v="10"/>
    <n v="0.13075929750140999"/>
    <x v="10"/>
    <x v="14"/>
    <x v="1"/>
  </r>
  <r>
    <d v="2025-11-06T00:00:00"/>
    <x v="1"/>
    <s v="City Break"/>
    <s v="Website"/>
    <x v="6"/>
    <n v="2"/>
    <x v="10"/>
    <n v="0.13075929750140999"/>
    <x v="10"/>
    <x v="0"/>
    <x v="0"/>
  </r>
  <r>
    <d v="2025-11-06T00:00:00"/>
    <x v="1"/>
    <s v="Family"/>
    <s v="Agent"/>
    <x v="2"/>
    <n v="4"/>
    <x v="10"/>
    <n v="0.13075929750140999"/>
    <x v="10"/>
    <x v="13"/>
    <x v="0"/>
  </r>
  <r>
    <d v="2025-11-06T00:00:00"/>
    <x v="3"/>
    <s v="Cultural"/>
    <s v="Agent"/>
    <x v="5"/>
    <n v="2"/>
    <x v="10"/>
    <n v="0.13075929750140999"/>
    <x v="10"/>
    <x v="13"/>
    <x v="1"/>
  </r>
  <r>
    <d v="2025-11-07T00:00:00"/>
    <x v="1"/>
    <s v="Foodie"/>
    <s v="Mobile App"/>
    <x v="4"/>
    <n v="1"/>
    <x v="10"/>
    <n v="0.13075929750140999"/>
    <x v="10"/>
    <x v="4"/>
    <x v="1"/>
  </r>
  <r>
    <d v="2025-11-08T00:00:00"/>
    <x v="2"/>
    <s v="Family"/>
    <s v="Website"/>
    <x v="2"/>
    <n v="4"/>
    <x v="10"/>
    <n v="0.13075929750140999"/>
    <x v="10"/>
    <x v="5"/>
    <x v="1"/>
  </r>
  <r>
    <d v="2025-11-08T00:00:00"/>
    <x v="1"/>
    <s v="Family"/>
    <s v="Mobile App"/>
    <x v="8"/>
    <n v="4"/>
    <x v="10"/>
    <n v="0.13075929750140999"/>
    <x v="10"/>
    <x v="2"/>
    <x v="1"/>
  </r>
  <r>
    <d v="2025-11-09T00:00:00"/>
    <x v="3"/>
    <s v="Family"/>
    <s v="Mobile App"/>
    <x v="6"/>
    <n v="3"/>
    <x v="10"/>
    <n v="0.13075929750140999"/>
    <x v="10"/>
    <x v="5"/>
    <x v="1"/>
  </r>
  <r>
    <d v="2025-11-09T00:00:00"/>
    <x v="3"/>
    <s v="City Break"/>
    <s v="Agent"/>
    <x v="7"/>
    <n v="1"/>
    <x v="10"/>
    <n v="0.13075929750140999"/>
    <x v="10"/>
    <x v="13"/>
    <x v="0"/>
  </r>
  <r>
    <d v="2025-11-09T00:00:00"/>
    <x v="1"/>
    <s v="Family"/>
    <s v="Website"/>
    <x v="9"/>
    <n v="3"/>
    <x v="10"/>
    <n v="0.13075929750140999"/>
    <x v="10"/>
    <x v="13"/>
    <x v="1"/>
  </r>
  <r>
    <d v="2025-11-10T00:00:00"/>
    <x v="3"/>
    <s v="Beach"/>
    <s v="Agent"/>
    <x v="8"/>
    <n v="4"/>
    <x v="10"/>
    <n v="0.13075929750140999"/>
    <x v="10"/>
    <x v="8"/>
    <x v="0"/>
  </r>
  <r>
    <d v="2025-11-11T00:00:00"/>
    <x v="1"/>
    <s v="Adventure"/>
    <s v="Call Center"/>
    <x v="7"/>
    <n v="1"/>
    <x v="10"/>
    <n v="0.13075929750140999"/>
    <x v="10"/>
    <x v="13"/>
    <x v="1"/>
  </r>
  <r>
    <d v="2025-11-12T00:00:00"/>
    <x v="1"/>
    <s v="Family"/>
    <s v="Website"/>
    <x v="9"/>
    <n v="4"/>
    <x v="10"/>
    <n v="0.13075929750140999"/>
    <x v="10"/>
    <x v="14"/>
    <x v="1"/>
  </r>
  <r>
    <d v="2025-11-12T00:00:00"/>
    <x v="1"/>
    <s v="City Break"/>
    <s v="Website"/>
    <x v="0"/>
    <n v="1"/>
    <x v="10"/>
    <n v="0.13075929750140999"/>
    <x v="10"/>
    <x v="4"/>
    <x v="0"/>
  </r>
  <r>
    <d v="2025-11-12T00:00:00"/>
    <x v="1"/>
    <s v="City Break"/>
    <s v="Website"/>
    <x v="4"/>
    <n v="3"/>
    <x v="10"/>
    <n v="0.13075929750140999"/>
    <x v="10"/>
    <x v="8"/>
    <x v="0"/>
  </r>
  <r>
    <d v="2025-11-14T00:00:00"/>
    <x v="1"/>
    <s v="Beach"/>
    <s v="Mobile App"/>
    <x v="0"/>
    <n v="1"/>
    <x v="10"/>
    <n v="0.13075929750140999"/>
    <x v="10"/>
    <x v="12"/>
    <x v="1"/>
  </r>
  <r>
    <d v="2025-11-14T00:00:00"/>
    <x v="0"/>
    <s v="Beach"/>
    <s v="Agent"/>
    <x v="1"/>
    <n v="4"/>
    <x v="10"/>
    <n v="0.13075929750140999"/>
    <x v="10"/>
    <x v="8"/>
    <x v="1"/>
  </r>
  <r>
    <d v="2025-11-14T00:00:00"/>
    <x v="1"/>
    <s v="Cultural"/>
    <s v="Website"/>
    <x v="5"/>
    <n v="4"/>
    <x v="10"/>
    <n v="0.13075929750140999"/>
    <x v="10"/>
    <x v="6"/>
    <x v="1"/>
  </r>
  <r>
    <d v="2025-11-14T00:00:00"/>
    <x v="3"/>
    <s v="Adventure"/>
    <s v="Website"/>
    <x v="2"/>
    <n v="3"/>
    <x v="10"/>
    <n v="0.13075929750140999"/>
    <x v="10"/>
    <x v="13"/>
    <x v="1"/>
  </r>
  <r>
    <d v="2025-11-15T00:00:00"/>
    <x v="3"/>
    <s v="Beach"/>
    <s v="Website"/>
    <x v="7"/>
    <n v="2"/>
    <x v="10"/>
    <n v="0.13075929750140999"/>
    <x v="10"/>
    <x v="17"/>
    <x v="1"/>
  </r>
  <r>
    <d v="2025-11-16T00:00:00"/>
    <x v="3"/>
    <s v="Cultural"/>
    <s v="Website"/>
    <x v="1"/>
    <n v="2"/>
    <x v="10"/>
    <n v="0.13075929750140999"/>
    <x v="10"/>
    <x v="15"/>
    <x v="1"/>
  </r>
  <r>
    <d v="2025-11-16T00:00:00"/>
    <x v="0"/>
    <s v="Foodie"/>
    <s v="Website"/>
    <x v="4"/>
    <n v="1"/>
    <x v="10"/>
    <n v="0.13075929750140999"/>
    <x v="10"/>
    <x v="14"/>
    <x v="1"/>
  </r>
  <r>
    <d v="2025-11-16T00:00:00"/>
    <x v="3"/>
    <s v="Family"/>
    <s v="Agent"/>
    <x v="3"/>
    <n v="1"/>
    <x v="10"/>
    <n v="0.13075929750140999"/>
    <x v="10"/>
    <x v="15"/>
    <x v="1"/>
  </r>
  <r>
    <d v="2025-11-16T00:00:00"/>
    <x v="0"/>
    <s v="Cultural"/>
    <s v="Agent"/>
    <x v="9"/>
    <n v="3"/>
    <x v="10"/>
    <n v="0.13075929750140999"/>
    <x v="10"/>
    <x v="1"/>
    <x v="1"/>
  </r>
  <r>
    <d v="2025-11-17T00:00:00"/>
    <x v="1"/>
    <s v="City Break"/>
    <s v="Agent"/>
    <x v="2"/>
    <n v="2"/>
    <x v="10"/>
    <n v="0.13075929750140999"/>
    <x v="10"/>
    <x v="10"/>
    <x v="1"/>
  </r>
  <r>
    <d v="2025-11-17T00:00:00"/>
    <x v="3"/>
    <s v="Beach"/>
    <s v="Call Center"/>
    <x v="8"/>
    <n v="2"/>
    <x v="10"/>
    <n v="0.13075929750140999"/>
    <x v="10"/>
    <x v="13"/>
    <x v="1"/>
  </r>
  <r>
    <d v="2025-11-18T00:00:00"/>
    <x v="3"/>
    <s v="Cultural"/>
    <s v="Mobile App"/>
    <x v="3"/>
    <n v="1"/>
    <x v="10"/>
    <n v="0.13075929750140999"/>
    <x v="10"/>
    <x v="3"/>
    <x v="0"/>
  </r>
  <r>
    <d v="2025-11-18T00:00:00"/>
    <x v="3"/>
    <s v="Cultural"/>
    <s v="Website"/>
    <x v="3"/>
    <n v="3"/>
    <x v="10"/>
    <n v="0.13075929750140999"/>
    <x v="10"/>
    <x v="8"/>
    <x v="1"/>
  </r>
  <r>
    <d v="2025-11-20T00:00:00"/>
    <x v="3"/>
    <s v="Beach"/>
    <s v="Mobile App"/>
    <x v="5"/>
    <n v="1"/>
    <x v="10"/>
    <n v="0.13075929750140999"/>
    <x v="10"/>
    <x v="4"/>
    <x v="1"/>
  </r>
  <r>
    <d v="2025-11-22T00:00:00"/>
    <x v="3"/>
    <s v="Beach"/>
    <s v="Website"/>
    <x v="9"/>
    <n v="1"/>
    <x v="10"/>
    <n v="0.13075929750140999"/>
    <x v="10"/>
    <x v="0"/>
    <x v="1"/>
  </r>
  <r>
    <d v="2025-11-23T00:00:00"/>
    <x v="1"/>
    <s v="Adventure"/>
    <s v="Website"/>
    <x v="6"/>
    <n v="3"/>
    <x v="10"/>
    <n v="0.13075929750140999"/>
    <x v="10"/>
    <x v="10"/>
    <x v="1"/>
  </r>
  <r>
    <d v="2025-11-24T00:00:00"/>
    <x v="3"/>
    <s v="Cultural"/>
    <s v="Mobile App"/>
    <x v="5"/>
    <n v="1"/>
    <x v="10"/>
    <n v="0.13075929750140999"/>
    <x v="10"/>
    <x v="16"/>
    <x v="1"/>
  </r>
  <r>
    <d v="2025-11-24T00:00:00"/>
    <x v="0"/>
    <s v="Foodie"/>
    <s v="Mobile App"/>
    <x v="5"/>
    <n v="2"/>
    <x v="10"/>
    <n v="0.13075929750140999"/>
    <x v="10"/>
    <x v="15"/>
    <x v="1"/>
  </r>
  <r>
    <d v="2025-11-25T00:00:00"/>
    <x v="2"/>
    <s v="Beach"/>
    <s v="Website"/>
    <x v="7"/>
    <n v="2"/>
    <x v="10"/>
    <n v="0.13075929750140999"/>
    <x v="10"/>
    <x v="13"/>
    <x v="1"/>
  </r>
  <r>
    <d v="2025-11-25T00:00:00"/>
    <x v="3"/>
    <s v="Beach"/>
    <s v="Agent"/>
    <x v="1"/>
    <n v="1"/>
    <x v="10"/>
    <n v="0.13075929750140999"/>
    <x v="10"/>
    <x v="5"/>
    <x v="1"/>
  </r>
  <r>
    <d v="2025-11-26T00:00:00"/>
    <x v="1"/>
    <s v="Cultural"/>
    <s v="Website"/>
    <x v="3"/>
    <n v="1"/>
    <x v="10"/>
    <n v="0.13075929750140999"/>
    <x v="10"/>
    <x v="17"/>
    <x v="1"/>
  </r>
  <r>
    <d v="2025-11-26T00:00:00"/>
    <x v="1"/>
    <s v="Beach"/>
    <s v="Mobile App"/>
    <x v="5"/>
    <n v="1"/>
    <x v="10"/>
    <n v="0.13075929750140999"/>
    <x v="10"/>
    <x v="12"/>
    <x v="1"/>
  </r>
  <r>
    <d v="2025-11-26T00:00:00"/>
    <x v="3"/>
    <s v="Family"/>
    <s v="Mobile App"/>
    <x v="8"/>
    <n v="3"/>
    <x v="10"/>
    <n v="0.13075929750140999"/>
    <x v="10"/>
    <x v="1"/>
    <x v="1"/>
  </r>
  <r>
    <d v="2025-11-27T00:00:00"/>
    <x v="3"/>
    <s v="Beach"/>
    <s v="Mobile App"/>
    <x v="2"/>
    <n v="2"/>
    <x v="10"/>
    <n v="0.13075929750140999"/>
    <x v="10"/>
    <x v="2"/>
    <x v="1"/>
  </r>
  <r>
    <d v="2025-11-27T00:00:00"/>
    <x v="0"/>
    <s v="Family"/>
    <s v="Agent"/>
    <x v="7"/>
    <n v="4"/>
    <x v="10"/>
    <n v="0.13075929750140999"/>
    <x v="10"/>
    <x v="13"/>
    <x v="1"/>
  </r>
  <r>
    <d v="2025-11-28T00:00:00"/>
    <x v="3"/>
    <s v="Foodie"/>
    <s v="Mobile App"/>
    <x v="9"/>
    <n v="3"/>
    <x v="10"/>
    <n v="0.13075929750140999"/>
    <x v="10"/>
    <x v="12"/>
    <x v="1"/>
  </r>
  <r>
    <d v="2025-11-28T00:00:00"/>
    <x v="3"/>
    <s v="Beach"/>
    <s v="Website"/>
    <x v="9"/>
    <n v="1"/>
    <x v="10"/>
    <n v="0.13075929750140999"/>
    <x v="10"/>
    <x v="13"/>
    <x v="1"/>
  </r>
  <r>
    <d v="2025-12-01T00:00:00"/>
    <x v="1"/>
    <s v="City Break"/>
    <s v="Agent"/>
    <x v="7"/>
    <n v="3"/>
    <x v="10"/>
    <n v="0.13075929750140999"/>
    <x v="10"/>
    <x v="5"/>
    <x v="1"/>
  </r>
  <r>
    <d v="2025-12-01T00:00:00"/>
    <x v="3"/>
    <s v="Foodie"/>
    <s v="Agent"/>
    <x v="5"/>
    <n v="1"/>
    <x v="10"/>
    <n v="0.13075929750140999"/>
    <x v="10"/>
    <x v="12"/>
    <x v="0"/>
  </r>
  <r>
    <d v="2025-12-04T00:00:00"/>
    <x v="0"/>
    <s v="Family"/>
    <s v="Agent"/>
    <x v="4"/>
    <n v="3"/>
    <x v="10"/>
    <n v="0.13075929750140999"/>
    <x v="10"/>
    <x v="18"/>
    <x v="1"/>
  </r>
  <r>
    <d v="2025-12-04T00:00:00"/>
    <x v="1"/>
    <s v="Beach"/>
    <s v="Website"/>
    <x v="9"/>
    <n v="1"/>
    <x v="10"/>
    <n v="0.13075929750140999"/>
    <x v="10"/>
    <x v="2"/>
    <x v="0"/>
  </r>
  <r>
    <d v="2025-12-05T00:00:00"/>
    <x v="0"/>
    <s v="Family"/>
    <s v="Website"/>
    <x v="3"/>
    <n v="2"/>
    <x v="10"/>
    <n v="0.13075929750140999"/>
    <x v="10"/>
    <x v="1"/>
    <x v="1"/>
  </r>
  <r>
    <d v="2025-12-07T00:00:00"/>
    <x v="2"/>
    <s v="Family"/>
    <s v="Agent"/>
    <x v="9"/>
    <n v="2"/>
    <x v="10"/>
    <n v="0.13075929750140999"/>
    <x v="10"/>
    <x v="12"/>
    <x v="1"/>
  </r>
  <r>
    <d v="2025-12-08T00:00:00"/>
    <x v="0"/>
    <s v="Family"/>
    <s v="Website"/>
    <x v="6"/>
    <n v="1"/>
    <x v="10"/>
    <n v="0.13075929750140999"/>
    <x v="10"/>
    <x v="6"/>
    <x v="1"/>
  </r>
  <r>
    <d v="2025-12-08T00:00:00"/>
    <x v="3"/>
    <s v="Cultural"/>
    <s v="Website"/>
    <x v="2"/>
    <n v="2"/>
    <x v="10"/>
    <n v="0.13075929750140999"/>
    <x v="10"/>
    <x v="15"/>
    <x v="1"/>
  </r>
  <r>
    <d v="2025-12-12T00:00:00"/>
    <x v="0"/>
    <s v="Family"/>
    <s v="Agent"/>
    <x v="2"/>
    <n v="1"/>
    <x v="10"/>
    <n v="0.13075929750140999"/>
    <x v="10"/>
    <x v="4"/>
    <x v="1"/>
  </r>
  <r>
    <d v="2025-12-12T00:00:00"/>
    <x v="1"/>
    <s v="Beach"/>
    <s v="Agent"/>
    <x v="7"/>
    <n v="3"/>
    <x v="10"/>
    <n v="0.13075929750140999"/>
    <x v="10"/>
    <x v="0"/>
    <x v="1"/>
  </r>
  <r>
    <d v="2025-12-12T00:00:00"/>
    <x v="0"/>
    <s v="Beach"/>
    <s v="Agent"/>
    <x v="1"/>
    <n v="2"/>
    <x v="10"/>
    <n v="0.13075929750140999"/>
    <x v="10"/>
    <x v="6"/>
    <x v="1"/>
  </r>
  <r>
    <d v="2025-12-16T00:00:00"/>
    <x v="0"/>
    <s v="Cultural"/>
    <s v="Agent"/>
    <x v="0"/>
    <n v="2"/>
    <x v="10"/>
    <n v="0.13075929750140999"/>
    <x v="10"/>
    <x v="18"/>
    <x v="1"/>
  </r>
  <r>
    <d v="2025-12-22T00:00:00"/>
    <x v="0"/>
    <s v="Beach"/>
    <s v="Agent"/>
    <x v="1"/>
    <n v="3"/>
    <x v="10"/>
    <n v="0.13075929750140999"/>
    <x v="10"/>
    <x v="3"/>
    <x v="1"/>
  </r>
  <r>
    <d v="2025-12-30T00:00:00"/>
    <x v="1"/>
    <s v="Adventure"/>
    <s v="Agent"/>
    <x v="5"/>
    <n v="5"/>
    <x v="10"/>
    <n v="0.13075929750140999"/>
    <x v="10"/>
    <x v="6"/>
    <x v="1"/>
  </r>
  <r>
    <m/>
    <x v="4"/>
    <m/>
    <m/>
    <x v="10"/>
    <m/>
    <x v="10"/>
    <n v="0.13075929750140999"/>
    <x v="11"/>
    <x v="26"/>
    <x v="2"/>
  </r>
  <r>
    <m/>
    <x v="4"/>
    <m/>
    <m/>
    <x v="10"/>
    <m/>
    <x v="10"/>
    <n v="0.13075929750140999"/>
    <x v="11"/>
    <x v="26"/>
    <x v="2"/>
  </r>
  <r>
    <m/>
    <x v="4"/>
    <m/>
    <m/>
    <x v="10"/>
    <m/>
    <x v="10"/>
    <n v="0.13075929750140999"/>
    <x v="11"/>
    <x v="26"/>
    <x v="2"/>
  </r>
  <r>
    <m/>
    <x v="4"/>
    <m/>
    <m/>
    <x v="10"/>
    <m/>
    <x v="10"/>
    <n v="0.13075929750140999"/>
    <x v="11"/>
    <x v="26"/>
    <x v="2"/>
  </r>
  <r>
    <m/>
    <x v="4"/>
    <m/>
    <m/>
    <x v="10"/>
    <m/>
    <x v="10"/>
    <n v="0.13075929750140999"/>
    <x v="11"/>
    <x v="26"/>
    <x v="2"/>
  </r>
  <r>
    <m/>
    <x v="4"/>
    <m/>
    <m/>
    <x v="10"/>
    <m/>
    <x v="10"/>
    <n v="0.13075929750140999"/>
    <x v="11"/>
    <x v="26"/>
    <x v="2"/>
  </r>
  <r>
    <m/>
    <x v="4"/>
    <m/>
    <m/>
    <x v="10"/>
    <m/>
    <x v="10"/>
    <n v="0.13075929750140999"/>
    <x v="11"/>
    <x v="26"/>
    <x v="2"/>
  </r>
  <r>
    <m/>
    <x v="4"/>
    <m/>
    <m/>
    <x v="10"/>
    <m/>
    <x v="10"/>
    <n v="0.13075929750140999"/>
    <x v="11"/>
    <x v="26"/>
    <x v="2"/>
  </r>
  <r>
    <m/>
    <x v="4"/>
    <m/>
    <m/>
    <x v="10"/>
    <m/>
    <x v="10"/>
    <n v="0.13075929750140999"/>
    <x v="11"/>
    <x v="26"/>
    <x v="2"/>
  </r>
  <r>
    <m/>
    <x v="4"/>
    <m/>
    <m/>
    <x v="10"/>
    <m/>
    <x v="10"/>
    <n v="0.13075929750140999"/>
    <x v="11"/>
    <x v="2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980B8-C280-CB49-9A43-47835A5C4D38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9" firstHeaderRow="1" firstDataRow="2" firstDataCol="1"/>
  <pivotFields count="12">
    <pivotField showAll="0"/>
    <pivotField axis="axisRow" showAll="0" sortType="descending">
      <items count="6">
        <item x="2"/>
        <item x="1"/>
        <item x="0"/>
        <item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 sortType="descending">
      <items count="12">
        <item x="1"/>
        <item x="0"/>
        <item x="9"/>
        <item x="3"/>
        <item x="4"/>
        <item x="7"/>
        <item x="2"/>
        <item x="5"/>
        <item x="6"/>
        <item x="8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64" showAll="0"/>
    <pivotField numFmtId="10" showAll="0"/>
    <pivotField showAll="0"/>
    <pivotField showAll="0">
      <items count="28">
        <item x="25"/>
        <item x="23"/>
        <item x="21"/>
        <item x="24"/>
        <item x="22"/>
        <item x="19"/>
        <item x="20"/>
        <item x="16"/>
        <item x="11"/>
        <item x="18"/>
        <item x="17"/>
        <item x="3"/>
        <item x="9"/>
        <item x="14"/>
        <item x="13"/>
        <item x="1"/>
        <item x="0"/>
        <item x="2"/>
        <item x="4"/>
        <item x="6"/>
        <item x="12"/>
        <item x="8"/>
        <item x="5"/>
        <item x="10"/>
        <item x="7"/>
        <item x="15"/>
        <item x="26"/>
        <item t="default"/>
      </items>
    </pivotField>
    <pivotField showAl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5">
    <i>
      <x v="1"/>
    </i>
    <i>
      <x v="3"/>
    </i>
    <i>
      <x v="2"/>
    </i>
    <i>
      <x/>
    </i>
    <i t="grand">
      <x/>
    </i>
  </rowItems>
  <colFields count="1">
    <field x="4"/>
  </colFields>
  <colItems count="11">
    <i>
      <x v="7"/>
    </i>
    <i>
      <x v="1"/>
    </i>
    <i>
      <x v="6"/>
    </i>
    <i>
      <x v="2"/>
    </i>
    <i>
      <x v="4"/>
    </i>
    <i>
      <x v="9"/>
    </i>
    <i>
      <x/>
    </i>
    <i>
      <x v="5"/>
    </i>
    <i>
      <x v="3"/>
    </i>
    <i>
      <x v="8"/>
    </i>
    <i t="grand">
      <x/>
    </i>
  </colItems>
  <dataFields count="1">
    <dataField name="Sum of Number of Traveler" fld="5" baseField="0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  <reference field="4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9F449-4A3A-C049-920E-CFB8E96163A7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3" firstHeaderRow="0" firstDataRow="1" firstDataCol="1"/>
  <pivotFields count="12">
    <pivotField showAll="0"/>
    <pivotField showAll="0"/>
    <pivotField showAll="0"/>
    <pivotField showAll="0"/>
    <pivotField showAll="0"/>
    <pivotField showAll="0"/>
    <pivotField dataField="1" numFmtId="164" showAll="0">
      <items count="12">
        <item x="0"/>
        <item x="5"/>
        <item x="4"/>
        <item x="10"/>
        <item x="8"/>
        <item x="3"/>
        <item x="7"/>
        <item x="1"/>
        <item x="2"/>
        <item x="6"/>
        <item x="9"/>
        <item t="default"/>
      </items>
    </pivotField>
    <pivotField dataField="1" numFmtId="10" showAll="0"/>
    <pivotField dataField="1" showAll="0">
      <items count="13">
        <item x="0"/>
        <item x="4"/>
        <item x="5"/>
        <item x="10"/>
        <item x="3"/>
        <item x="7"/>
        <item x="8"/>
        <item x="1"/>
        <item x="2"/>
        <item x="9"/>
        <item x="6"/>
        <item x="11"/>
        <item t="default"/>
      </items>
    </pivotField>
    <pivotField axis="axisRow" showAll="0">
      <items count="28">
        <item x="25"/>
        <item x="23"/>
        <item x="21"/>
        <item x="24"/>
        <item x="22"/>
        <item x="19"/>
        <item x="20"/>
        <item x="16"/>
        <item x="11"/>
        <item x="18"/>
        <item x="17"/>
        <item x="3"/>
        <item x="9"/>
        <item x="14"/>
        <item x="13"/>
        <item x="1"/>
        <item x="0"/>
        <item x="2"/>
        <item x="4"/>
        <item x="6"/>
        <item x="12"/>
        <item x="8"/>
        <item x="5"/>
        <item x="10"/>
        <item x="7"/>
        <item x="15"/>
        <item h="1" x="26"/>
        <item t="default"/>
      </items>
    </pivotField>
    <pivotField showAll="0"/>
    <pivotField axis="axisRow" showAll="0">
      <items count="5">
        <item n="2-3" x="1"/>
        <item n="3-4" x="2"/>
        <item n="4-5" x="3"/>
        <item h="1" x="0"/>
        <item t="default"/>
      </items>
    </pivotField>
  </pivotFields>
  <rowFields count="2">
    <field x="11"/>
    <field x="9"/>
  </rowFields>
  <rowItems count="30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2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Base Price (Vnd)" fld="6" subtotal="average" baseField="0" baseItem="0" numFmtId="164"/>
    <dataField name="Average of Discount Rate (%)" fld="7" subtotal="average" baseField="0" baseItem="0" numFmtId="10"/>
    <dataField name="Average of Discounted Price (Vnd)" fld="8" subtotal="average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074FE-561E-A14A-A959-61EBBBEA77C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33" firstHeaderRow="1" firstDataRow="2" firstDataCol="1"/>
  <pivotFields count="15">
    <pivotField numFmtId="165" showAll="0">
      <items count="1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t="default"/>
      </items>
    </pivotField>
    <pivotField showAll="0"/>
    <pivotField axis="axisCol" showAll="0" sortType="descending">
      <items count="9">
        <item x="5"/>
        <item x="2"/>
        <item m="1" x="7"/>
        <item x="3"/>
        <item m="1" x="6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164" showAll="0"/>
    <pivotField numFmtId="10" showAll="0"/>
    <pivotField numFmtId="164" showAll="0"/>
    <pivotField axis="axisRow" showAll="0">
      <items count="27">
        <item x="25"/>
        <item x="23"/>
        <item x="21"/>
        <item x="24"/>
        <item x="22"/>
        <item x="19"/>
        <item x="20"/>
        <item x="16"/>
        <item x="11"/>
        <item x="18"/>
        <item x="17"/>
        <item x="3"/>
        <item x="9"/>
        <item x="14"/>
        <item x="13"/>
        <item x="1"/>
        <item x="0"/>
        <item x="2"/>
        <item x="4"/>
        <item x="6"/>
        <item x="12"/>
        <item x="8"/>
        <item x="5"/>
        <item x="10"/>
        <item x="7"/>
        <item x="15"/>
        <item t="default"/>
      </items>
    </pivotField>
    <pivotField axis="axisRow" showAll="0">
      <items count="3">
        <item h="1" x="0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Row" showAll="0">
      <items count="6">
        <item x="0"/>
        <item x="1"/>
        <item n="2-3" x="3"/>
        <item n="3-4" x="4"/>
        <item n="4-5" x="2"/>
        <item t="default"/>
      </items>
    </pivotField>
  </pivotFields>
  <rowFields count="3">
    <field x="10"/>
    <field x="14"/>
    <field x="9"/>
  </rowFields>
  <rowItems count="29">
    <i>
      <x v="1"/>
    </i>
    <i r="1">
      <x v="2"/>
    </i>
    <i r="2">
      <x/>
    </i>
    <i r="2">
      <x v="3"/>
    </i>
    <i r="2">
      <x v="4"/>
    </i>
    <i r="2">
      <x v="5"/>
    </i>
    <i r="1">
      <x v="3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4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t="grand">
      <x/>
    </i>
  </rowItems>
  <colFields count="1">
    <field x="2"/>
  </colFields>
  <colItems count="7">
    <i>
      <x v="1"/>
    </i>
    <i>
      <x v="5"/>
    </i>
    <i>
      <x v="6"/>
    </i>
    <i>
      <x/>
    </i>
    <i>
      <x v="3"/>
    </i>
    <i>
      <x v="7"/>
    </i>
    <i t="grand">
      <x/>
    </i>
  </colItems>
  <dataFields count="1">
    <dataField name="Sum of Number of Traveler" fld="5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CE744-E7C8-6C49-891B-A5FCE8B316E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3" firstHeaderRow="1" firstDataRow="2" firstDataCol="1"/>
  <pivotFields count="15">
    <pivotField numFmtId="165" showAll="0">
      <items count="1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t="default"/>
      </items>
    </pivotField>
    <pivotField axis="axisCol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numFmtId="164" showAll="0"/>
    <pivotField numFmtId="10" showAll="0"/>
    <pivotField numFmtId="164" showAll="0"/>
    <pivotField axis="axisRow" showAll="0" sortType="ascending">
      <items count="27">
        <item x="25"/>
        <item x="23"/>
        <item x="21"/>
        <item x="24"/>
        <item x="22"/>
        <item x="19"/>
        <item x="20"/>
        <item x="16"/>
        <item x="11"/>
        <item x="18"/>
        <item x="17"/>
        <item x="3"/>
        <item x="9"/>
        <item x="14"/>
        <item x="13"/>
        <item x="1"/>
        <item x="0"/>
        <item x="2"/>
        <item x="4"/>
        <item x="6"/>
        <item x="12"/>
        <item x="8"/>
        <item x="5"/>
        <item x="10"/>
        <item x="7"/>
        <item x="15"/>
        <item t="default"/>
      </items>
    </pivotField>
    <pivotField axis="axisRow" showAll="0">
      <items count="3">
        <item h="1" x="0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Row" showAll="0" sortType="ascending">
      <items count="6">
        <item x="1"/>
        <item x="0"/>
        <item n="2-3" x="3"/>
        <item n="3-4" x="4"/>
        <item n="4-5" x="2"/>
        <item t="default"/>
      </items>
    </pivotField>
  </pivotFields>
  <rowFields count="3">
    <field x="10"/>
    <field x="14"/>
    <field x="9"/>
  </rowFields>
  <rowItems count="29">
    <i>
      <x v="1"/>
    </i>
    <i r="1">
      <x v="2"/>
    </i>
    <i r="2">
      <x/>
    </i>
    <i r="2">
      <x v="3"/>
    </i>
    <i r="2">
      <x v="4"/>
    </i>
    <i r="2">
      <x v="5"/>
    </i>
    <i r="1">
      <x v="3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1">
      <x v="4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t="grand">
      <x/>
    </i>
  </rowItems>
  <colFields count="1">
    <field x="1"/>
  </colFields>
  <colItems count="5">
    <i>
      <x v="1"/>
    </i>
    <i>
      <x v="3"/>
    </i>
    <i>
      <x v="2"/>
    </i>
    <i>
      <x/>
    </i>
    <i t="grand">
      <x/>
    </i>
  </colItems>
  <dataFields count="1">
    <dataField name="Sum of Number of Traveler" fld="5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7B920-B244-EF4D-B170-983BC0EBB26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stination" colHeaderCaption="">
  <location ref="A3:N15" firstHeaderRow="1" firstDataRow="2" firstDataCol="1" rowPageCount="1" colPageCount="1"/>
  <pivotFields count="15">
    <pivotField numFmtId="165" showAll="0">
      <items count="1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t="default"/>
      </items>
    </pivotField>
    <pivotField showAll="0"/>
    <pivotField showAll="0"/>
    <pivotField showAll="0"/>
    <pivotField axis="axisRow" showAll="0" sortType="descending">
      <items count="11">
        <item x="1"/>
        <item x="0"/>
        <item x="9"/>
        <item x="3"/>
        <item x="4"/>
        <item x="7"/>
        <item x="2"/>
        <item x="5"/>
        <item x="6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64" showAll="0"/>
    <pivotField numFmtId="10" showAll="0"/>
    <pivotField numFmtId="164" showAll="0"/>
    <pivotField showAll="0">
      <items count="27">
        <item x="25"/>
        <item x="23"/>
        <item x="21"/>
        <item x="24"/>
        <item x="22"/>
        <item x="19"/>
        <item x="20"/>
        <item x="16"/>
        <item x="11"/>
        <item x="18"/>
        <item x="17"/>
        <item x="3"/>
        <item x="9"/>
        <item x="14"/>
        <item x="13"/>
        <item x="1"/>
        <item x="0"/>
        <item x="2"/>
        <item x="4"/>
        <item x="6"/>
        <item x="12"/>
        <item x="8"/>
        <item x="5"/>
        <item x="10"/>
        <item x="7"/>
        <item x="15"/>
        <item t="default"/>
      </items>
    </pivotField>
    <pivotField showAll="0"/>
    <pivotField axis="axisCol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3"/>
        <item x="4"/>
        <item x="1"/>
        <item x="0"/>
        <item x="2"/>
        <item t="default"/>
      </items>
    </pivotField>
  </pivotFields>
  <rowFields count="1">
    <field x="4"/>
  </rowFields>
  <rowItems count="11">
    <i>
      <x v="7"/>
    </i>
    <i>
      <x v="1"/>
    </i>
    <i>
      <x v="6"/>
    </i>
    <i>
      <x v="2"/>
    </i>
    <i>
      <x v="4"/>
    </i>
    <i>
      <x v="9"/>
    </i>
    <i>
      <x/>
    </i>
    <i>
      <x v="5"/>
    </i>
    <i>
      <x v="3"/>
    </i>
    <i>
      <x v="8"/>
    </i>
    <i t="grand">
      <x/>
    </i>
  </rowItems>
  <colFields count="1">
    <field x="1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3" hier="-1"/>
  </pageFields>
  <dataFields count="1">
    <dataField name="# of Traveler" fld="5" baseField="0" baseItem="0"/>
  </dataFields>
  <conditionalFormats count="2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33892-AB45-2440-886E-6EB1D57F1BA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38" firstHeaderRow="0" firstDataRow="1" firstDataCol="1"/>
  <pivotFields count="14">
    <pivotField axis="axisRow" multipleItemSelectionAllowed="1" showAll="0" sortType="descending">
      <items count="40">
        <item h="1" x="0"/>
        <item h="1" x="14"/>
        <item h="1" x="18"/>
        <item h="1" x="33"/>
        <item h="1" x="37"/>
        <item x="35"/>
        <item x="31"/>
        <item x="1"/>
        <item x="15"/>
        <item x="2"/>
        <item x="25"/>
        <item x="26"/>
        <item x="23"/>
        <item x="8"/>
        <item x="7"/>
        <item x="24"/>
        <item x="5"/>
        <item x="4"/>
        <item x="11"/>
        <item x="29"/>
        <item x="34"/>
        <item x="20"/>
        <item x="38"/>
        <item x="17"/>
        <item x="13"/>
        <item x="32"/>
        <item x="36"/>
        <item x="3"/>
        <item x="22"/>
        <item x="9"/>
        <item x="19"/>
        <item x="12"/>
        <item x="30"/>
        <item x="21"/>
        <item x="28"/>
        <item x="6"/>
        <item x="10"/>
        <item x="27"/>
        <item x="16"/>
        <item t="default"/>
      </items>
      <autoSortScope>
        <pivotArea dataOnly="0" outline="0" fieldPosition="0">
          <references count="1">
            <reference field="4294967294" count="1" selected="0">
              <x v="12"/>
            </reference>
          </references>
        </pivotArea>
      </autoSortScope>
    </pivotField>
    <pivotField dataField="1" showAll="0">
      <items count="39">
        <item x="36"/>
        <item x="31"/>
        <item x="20"/>
        <item x="28"/>
        <item x="25"/>
        <item x="37"/>
        <item x="30"/>
        <item x="34"/>
        <item x="21"/>
        <item x="29"/>
        <item x="17"/>
        <item x="22"/>
        <item x="24"/>
        <item x="4"/>
        <item x="15"/>
        <item x="7"/>
        <item x="12"/>
        <item x="23"/>
        <item x="26"/>
        <item x="27"/>
        <item x="3"/>
        <item x="10"/>
        <item x="19"/>
        <item x="11"/>
        <item x="8"/>
        <item x="35"/>
        <item x="33"/>
        <item x="5"/>
        <item x="32"/>
        <item x="6"/>
        <item x="16"/>
        <item x="1"/>
        <item x="14"/>
        <item x="13"/>
        <item x="18"/>
        <item x="9"/>
        <item x="2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>
      <items count="39">
        <item x="36"/>
        <item x="20"/>
        <item x="25"/>
        <item x="21"/>
        <item x="31"/>
        <item x="28"/>
        <item x="34"/>
        <item x="37"/>
        <item x="29"/>
        <item x="17"/>
        <item x="4"/>
        <item x="30"/>
        <item x="24"/>
        <item x="22"/>
        <item x="7"/>
        <item x="15"/>
        <item x="23"/>
        <item x="27"/>
        <item x="26"/>
        <item x="12"/>
        <item x="10"/>
        <item x="35"/>
        <item x="3"/>
        <item x="33"/>
        <item x="11"/>
        <item x="32"/>
        <item x="1"/>
        <item x="5"/>
        <item x="8"/>
        <item x="16"/>
        <item x="19"/>
        <item x="6"/>
        <item x="14"/>
        <item x="13"/>
        <item x="18"/>
        <item x="9"/>
        <item x="2"/>
        <item x="0"/>
        <item t="default"/>
      </items>
    </pivotField>
    <pivotField dataField="1" showAll="0">
      <items count="39">
        <item x="36"/>
        <item x="31"/>
        <item x="20"/>
        <item x="25"/>
        <item x="28"/>
        <item x="34"/>
        <item x="37"/>
        <item x="21"/>
        <item x="29"/>
        <item x="30"/>
        <item x="24"/>
        <item x="17"/>
        <item x="22"/>
        <item x="4"/>
        <item x="15"/>
        <item x="7"/>
        <item x="23"/>
        <item x="26"/>
        <item x="27"/>
        <item x="10"/>
        <item x="3"/>
        <item x="35"/>
        <item x="33"/>
        <item x="5"/>
        <item x="12"/>
        <item x="11"/>
        <item x="32"/>
        <item x="1"/>
        <item x="16"/>
        <item x="13"/>
        <item x="8"/>
        <item x="19"/>
        <item x="6"/>
        <item x="14"/>
        <item x="18"/>
        <item x="9"/>
        <item x="2"/>
        <item x="0"/>
        <item t="default"/>
      </items>
    </pivotField>
    <pivotField dataField="1" showAll="0">
      <items count="39">
        <item x="36"/>
        <item x="20"/>
        <item x="31"/>
        <item x="21"/>
        <item x="28"/>
        <item x="25"/>
        <item x="37"/>
        <item x="34"/>
        <item x="22"/>
        <item x="17"/>
        <item x="29"/>
        <item x="30"/>
        <item x="24"/>
        <item x="15"/>
        <item x="4"/>
        <item x="7"/>
        <item x="23"/>
        <item x="26"/>
        <item x="27"/>
        <item x="12"/>
        <item x="10"/>
        <item x="3"/>
        <item x="32"/>
        <item x="35"/>
        <item x="11"/>
        <item x="33"/>
        <item x="1"/>
        <item x="19"/>
        <item x="8"/>
        <item x="5"/>
        <item x="16"/>
        <item x="14"/>
        <item x="6"/>
        <item x="13"/>
        <item x="18"/>
        <item x="9"/>
        <item x="2"/>
        <item x="0"/>
        <item t="default"/>
      </items>
    </pivotField>
  </pivotFields>
  <rowFields count="1">
    <field x="0"/>
  </rowFields>
  <rowItems count="35">
    <i>
      <x v="9"/>
    </i>
    <i>
      <x v="29"/>
    </i>
    <i>
      <x v="24"/>
    </i>
    <i>
      <x v="35"/>
    </i>
    <i>
      <x v="38"/>
    </i>
    <i>
      <x v="16"/>
    </i>
    <i>
      <x v="13"/>
    </i>
    <i>
      <x v="30"/>
    </i>
    <i>
      <x v="7"/>
    </i>
    <i>
      <x v="18"/>
    </i>
    <i>
      <x v="5"/>
    </i>
    <i>
      <x v="25"/>
    </i>
    <i>
      <x v="27"/>
    </i>
    <i>
      <x v="36"/>
    </i>
    <i>
      <x v="31"/>
    </i>
    <i>
      <x v="37"/>
    </i>
    <i>
      <x v="11"/>
    </i>
    <i>
      <x v="12"/>
    </i>
    <i>
      <x v="14"/>
    </i>
    <i>
      <x v="17"/>
    </i>
    <i>
      <x v="8"/>
    </i>
    <i>
      <x v="15"/>
    </i>
    <i>
      <x v="32"/>
    </i>
    <i>
      <x v="19"/>
    </i>
    <i>
      <x v="23"/>
    </i>
    <i>
      <x v="28"/>
    </i>
    <i>
      <x v="20"/>
    </i>
    <i>
      <x v="22"/>
    </i>
    <i>
      <x v="10"/>
    </i>
    <i>
      <x v="34"/>
    </i>
    <i>
      <x v="33"/>
    </i>
    <i>
      <x v="6"/>
    </i>
    <i>
      <x v="21"/>
    </i>
    <i>
      <x v="26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 of January" fld="1" baseField="0" baseItem="0"/>
    <dataField name="Sum of February" fld="2" baseField="0" baseItem="0"/>
    <dataField name="Sum of March" fld="3" baseField="0" baseItem="0"/>
    <dataField name="Sum of April" fld="4" baseField="0" baseItem="0"/>
    <dataField name="Sum of May" fld="5" baseField="0" baseItem="0"/>
    <dataField name="Sum of June" fld="6" baseField="0" baseItem="0"/>
    <dataField name="Sum of July" fld="7" baseField="0" baseItem="0"/>
    <dataField name="Sum of August" fld="8" baseField="0" baseItem="0"/>
    <dataField name="Sum of September" fld="9" baseField="0" baseItem="0"/>
    <dataField name="Sum of October" fld="10" baseField="0" baseItem="0"/>
    <dataField name="Sum of November" fld="11" baseField="0" baseItem="0"/>
    <dataField name="Sum of December" fld="12" baseField="0" baseItem="0"/>
    <dataField name="Sum of Total" fld="13" baseField="0" baseItem="0"/>
  </dataFields>
  <conditionalFormats count="3">
    <conditionalFormat priority="1">
      <pivotAreas count="1">
        <pivotArea type="data" collapsedLevelsAreSubtotals="1" fieldPosition="0">
          <references count="2">
            <reference field="4294967294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2"/>
            </reference>
            <reference field="0" count="29"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0" count="29"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E6A2FF-2AA0-A148-9416-856EDDA14F69}" name="Table1" displayName="Table1" ref="A1:N41" totalsRowCount="1">
  <autoFilter ref="A1:N40" xr:uid="{6CE6A2FF-2AA0-A148-9416-856EDDA14F69}"/>
  <tableColumns count="14">
    <tableColumn id="1" xr3:uid="{C6B4FFAD-BF77-D240-88E2-4AD4E4FD8AF3}" name="Market" totalsRowLabel="Total"/>
    <tableColumn id="2" xr3:uid="{CA059E98-6721-A448-9D62-7B9D52EA569B}" name="January" totalsRowFunction="custom" totalsRowDxfId="24">
      <totalsRowFormula>B2+B16+B20+B35+B39</totalsRowFormula>
    </tableColumn>
    <tableColumn id="3" xr3:uid="{7BB93CB0-4FE7-CA43-9271-AD624B2C50B3}" name="February" totalsRowFunction="custom" totalsRowDxfId="23">
      <totalsRowFormula>C2+C16+C20+C35+C39</totalsRowFormula>
    </tableColumn>
    <tableColumn id="4" xr3:uid="{DC9EBCBB-4943-BA4B-BB2C-D912430A3939}" name="March" totalsRowFunction="custom" totalsRowDxfId="22">
      <totalsRowFormula>D2+D16+D20+D35+D39</totalsRowFormula>
    </tableColumn>
    <tableColumn id="5" xr3:uid="{C9BF1E83-DD86-624F-8A88-5C98AE97A1FC}" name="April" totalsRowFunction="custom" totalsRowDxfId="21">
      <totalsRowFormula>E2+E16+E20+E35+E39</totalsRowFormula>
    </tableColumn>
    <tableColumn id="6" xr3:uid="{21BDDEFD-4D6D-9847-B590-FAAEBC2DCFD9}" name="May" totalsRowFunction="custom" totalsRowDxfId="20">
      <totalsRowFormula>F2+F16+F20+F35+F39</totalsRowFormula>
    </tableColumn>
    <tableColumn id="7" xr3:uid="{AA53376F-59C8-FF44-A71E-23E1AF5A8C1A}" name="June" totalsRowFunction="custom" totalsRowDxfId="19">
      <totalsRowFormula>G2+G16+G20+G35+G39</totalsRowFormula>
    </tableColumn>
    <tableColumn id="8" xr3:uid="{BEFC4F28-1007-4B4A-AC87-3DEEBC2AE50F}" name="July" totalsRowFunction="custom" totalsRowDxfId="18">
      <totalsRowFormula>H2+H16+H20+H35+H39</totalsRowFormula>
    </tableColumn>
    <tableColumn id="9" xr3:uid="{CA8F74DA-6FA0-9E47-A4EE-3D0E60E49469}" name="August" totalsRowFunction="custom" totalsRowDxfId="17">
      <totalsRowFormula>I2+I16+I20+I35+I39</totalsRowFormula>
    </tableColumn>
    <tableColumn id="10" xr3:uid="{963FD20F-8F5E-8D4A-B27E-88B00AAD05A9}" name="September" totalsRowFunction="custom" totalsRowDxfId="16">
      <totalsRowFormula>J2+J16+J20+J35+J39</totalsRowFormula>
    </tableColumn>
    <tableColumn id="11" xr3:uid="{5C0B45CC-731B-FC4B-864B-BA20D73CAB3E}" name="October" totalsRowFunction="custom" totalsRowDxfId="15">
      <totalsRowFormula>K2+K16+K20+K35+K39</totalsRowFormula>
    </tableColumn>
    <tableColumn id="12" xr3:uid="{5ED61E69-FFEA-724D-85E5-DF24570DC03B}" name="November" totalsRowFunction="custom" totalsRowDxfId="14">
      <totalsRowFormula>L2+L16+L20+L35+L39</totalsRowFormula>
    </tableColumn>
    <tableColumn id="13" xr3:uid="{DDF7E5C5-16BD-7D4D-939C-C835FE1AFDB8}" name="December" totalsRowFunction="custom" totalsRowDxfId="13">
      <totalsRowFormula>M2+M16+M20+M35+M39</totalsRowFormula>
    </tableColumn>
    <tableColumn id="14" xr3:uid="{25039442-6BFC-0C44-B6E5-252C9B4A7253}" name="Total" totalsRowFunction="custom" dataDxfId="12" totalsRowDxfId="11">
      <calculatedColumnFormula>SUM(Table1[[#This Row],[January]:[December]])</calculatedColumnFormula>
      <totalsRowFormula>SUM(Table1[[#Totals],[January]:[December]])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FEDC-4F09-D94E-B516-60F6A0CEE7FE}">
  <dimension ref="A1:P4419"/>
  <sheetViews>
    <sheetView workbookViewId="0">
      <selection activeCell="D3" sqref="D3"/>
    </sheetView>
  </sheetViews>
  <sheetFormatPr baseColWidth="10" defaultColWidth="11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s="1">
        <v>45471</v>
      </c>
      <c r="C2" s="1">
        <v>45504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>
        <v>1826000</v>
      </c>
      <c r="L2">
        <v>4.5999999999999999E-2</v>
      </c>
      <c r="M2" t="s">
        <v>23</v>
      </c>
      <c r="N2">
        <v>1742000</v>
      </c>
      <c r="O2">
        <v>4.4000000000000004</v>
      </c>
      <c r="P2" t="b">
        <v>0</v>
      </c>
    </row>
    <row r="3" spans="1:16" x14ac:dyDescent="0.2">
      <c r="A3" t="s">
        <v>24</v>
      </c>
      <c r="B3" s="1">
        <v>45700</v>
      </c>
      <c r="C3" s="1">
        <v>45782</v>
      </c>
      <c r="D3" t="s">
        <v>17</v>
      </c>
      <c r="E3" t="s">
        <v>18</v>
      </c>
      <c r="F3" t="s">
        <v>25</v>
      </c>
      <c r="G3" t="s">
        <v>20</v>
      </c>
      <c r="H3" t="s">
        <v>21</v>
      </c>
      <c r="I3" t="s">
        <v>26</v>
      </c>
      <c r="J3">
        <v>1</v>
      </c>
      <c r="K3">
        <v>6756000</v>
      </c>
      <c r="L3">
        <v>0.22</v>
      </c>
      <c r="M3" t="s">
        <v>23</v>
      </c>
      <c r="N3">
        <v>5270000</v>
      </c>
      <c r="O3">
        <v>4</v>
      </c>
      <c r="P3" t="b">
        <v>1</v>
      </c>
    </row>
    <row r="4" spans="1:16" x14ac:dyDescent="0.2">
      <c r="A4" t="s">
        <v>27</v>
      </c>
      <c r="B4" s="1">
        <v>45858</v>
      </c>
      <c r="C4" s="1">
        <v>45928</v>
      </c>
      <c r="D4" t="s">
        <v>28</v>
      </c>
      <c r="E4" t="s">
        <v>29</v>
      </c>
      <c r="F4" t="s">
        <v>19</v>
      </c>
      <c r="G4" t="s">
        <v>20</v>
      </c>
      <c r="H4" t="s">
        <v>21</v>
      </c>
      <c r="I4" t="s">
        <v>30</v>
      </c>
      <c r="J4">
        <v>4</v>
      </c>
      <c r="K4">
        <v>2098000</v>
      </c>
      <c r="L4">
        <v>3.6999999999999998E-2</v>
      </c>
      <c r="M4" t="s">
        <v>23</v>
      </c>
      <c r="N4">
        <v>8081000</v>
      </c>
      <c r="O4">
        <v>4.7</v>
      </c>
      <c r="P4" t="b">
        <v>1</v>
      </c>
    </row>
    <row r="5" spans="1:16" x14ac:dyDescent="0.2">
      <c r="A5" t="s">
        <v>31</v>
      </c>
      <c r="B5" s="1">
        <v>45314</v>
      </c>
      <c r="C5" s="1">
        <v>45384</v>
      </c>
      <c r="D5" t="s">
        <v>32</v>
      </c>
      <c r="E5" t="s">
        <v>33</v>
      </c>
      <c r="F5" t="s">
        <v>34</v>
      </c>
      <c r="G5" t="s">
        <v>35</v>
      </c>
      <c r="H5" t="s">
        <v>21</v>
      </c>
      <c r="I5" t="s">
        <v>36</v>
      </c>
      <c r="J5">
        <v>4</v>
      </c>
      <c r="K5">
        <v>4277000</v>
      </c>
      <c r="L5">
        <v>0.10299999999999999</v>
      </c>
      <c r="M5" t="s">
        <v>23</v>
      </c>
      <c r="N5">
        <v>15346000</v>
      </c>
      <c r="O5">
        <v>4.3</v>
      </c>
      <c r="P5" t="b">
        <v>1</v>
      </c>
    </row>
    <row r="6" spans="1:16" x14ac:dyDescent="0.2">
      <c r="A6" t="s">
        <v>37</v>
      </c>
      <c r="B6" s="1">
        <v>45295</v>
      </c>
      <c r="C6" s="1">
        <v>45327</v>
      </c>
      <c r="D6" t="s">
        <v>38</v>
      </c>
      <c r="E6" t="s">
        <v>18</v>
      </c>
      <c r="F6" t="s">
        <v>39</v>
      </c>
      <c r="G6" t="s">
        <v>20</v>
      </c>
      <c r="H6" t="s">
        <v>40</v>
      </c>
      <c r="J6">
        <v>1</v>
      </c>
      <c r="K6">
        <v>1933000</v>
      </c>
      <c r="L6">
        <v>0.248</v>
      </c>
      <c r="M6" t="s">
        <v>23</v>
      </c>
      <c r="N6">
        <v>1454000</v>
      </c>
      <c r="O6">
        <v>4.3</v>
      </c>
      <c r="P6" t="b">
        <v>0</v>
      </c>
    </row>
    <row r="7" spans="1:16" x14ac:dyDescent="0.2">
      <c r="A7" t="s">
        <v>41</v>
      </c>
      <c r="B7" s="1">
        <v>45295</v>
      </c>
      <c r="C7" s="1">
        <v>45385</v>
      </c>
      <c r="D7" t="s">
        <v>42</v>
      </c>
      <c r="E7" t="s">
        <v>33</v>
      </c>
      <c r="F7" t="s">
        <v>19</v>
      </c>
      <c r="G7" t="s">
        <v>20</v>
      </c>
      <c r="H7" t="s">
        <v>21</v>
      </c>
      <c r="I7" t="s">
        <v>22</v>
      </c>
      <c r="J7">
        <v>3</v>
      </c>
      <c r="K7">
        <v>2393000</v>
      </c>
      <c r="L7">
        <v>0.14399999999999999</v>
      </c>
      <c r="M7" t="s">
        <v>23</v>
      </c>
      <c r="N7">
        <v>6145000</v>
      </c>
      <c r="O7">
        <v>4.0999999999999996</v>
      </c>
      <c r="P7" t="b">
        <v>0</v>
      </c>
    </row>
    <row r="8" spans="1:16" x14ac:dyDescent="0.2">
      <c r="A8" t="s">
        <v>43</v>
      </c>
      <c r="B8" s="1">
        <v>45389</v>
      </c>
      <c r="C8" s="1">
        <v>45435</v>
      </c>
      <c r="D8" t="s">
        <v>44</v>
      </c>
      <c r="E8" t="s">
        <v>18</v>
      </c>
      <c r="F8" t="s">
        <v>45</v>
      </c>
      <c r="G8" t="s">
        <v>46</v>
      </c>
      <c r="H8" t="s">
        <v>47</v>
      </c>
      <c r="I8" t="s">
        <v>22</v>
      </c>
      <c r="J8">
        <v>2</v>
      </c>
      <c r="K8">
        <v>2807000</v>
      </c>
      <c r="L8">
        <v>9.8000000000000004E-2</v>
      </c>
      <c r="M8" t="s">
        <v>23</v>
      </c>
      <c r="N8">
        <v>5064000</v>
      </c>
      <c r="O8">
        <v>5</v>
      </c>
      <c r="P8" t="b">
        <v>1</v>
      </c>
    </row>
    <row r="9" spans="1:16" x14ac:dyDescent="0.2">
      <c r="A9" t="s">
        <v>48</v>
      </c>
      <c r="B9" s="1">
        <v>45324</v>
      </c>
      <c r="C9" s="1">
        <v>45377</v>
      </c>
      <c r="D9" t="s">
        <v>49</v>
      </c>
      <c r="E9" t="s">
        <v>18</v>
      </c>
      <c r="F9" t="s">
        <v>34</v>
      </c>
      <c r="G9" t="s">
        <v>50</v>
      </c>
      <c r="H9" t="s">
        <v>51</v>
      </c>
      <c r="I9" t="s">
        <v>52</v>
      </c>
      <c r="J9">
        <v>1</v>
      </c>
      <c r="K9">
        <v>3126000</v>
      </c>
      <c r="L9">
        <v>0.111</v>
      </c>
      <c r="M9" t="s">
        <v>23</v>
      </c>
      <c r="N9">
        <v>2779000</v>
      </c>
      <c r="O9">
        <v>3.8</v>
      </c>
      <c r="P9" t="b">
        <v>0</v>
      </c>
    </row>
    <row r="10" spans="1:16" x14ac:dyDescent="0.2">
      <c r="A10" t="s">
        <v>53</v>
      </c>
      <c r="B10" s="1">
        <v>45802</v>
      </c>
      <c r="C10" s="1">
        <v>45872</v>
      </c>
      <c r="D10" t="s">
        <v>54</v>
      </c>
      <c r="E10" t="s">
        <v>33</v>
      </c>
      <c r="F10" t="s">
        <v>34</v>
      </c>
      <c r="G10" t="s">
        <v>20</v>
      </c>
      <c r="H10" t="s">
        <v>21</v>
      </c>
      <c r="I10" t="s">
        <v>52</v>
      </c>
      <c r="J10">
        <v>1</v>
      </c>
      <c r="K10">
        <v>4503000</v>
      </c>
      <c r="L10">
        <v>7.6999999999999999E-2</v>
      </c>
      <c r="M10" t="s">
        <v>23</v>
      </c>
      <c r="N10">
        <v>4156000</v>
      </c>
      <c r="O10">
        <v>4</v>
      </c>
      <c r="P10" t="b">
        <v>1</v>
      </c>
    </row>
    <row r="11" spans="1:16" x14ac:dyDescent="0.2">
      <c r="A11" t="s">
        <v>55</v>
      </c>
      <c r="B11" s="1">
        <v>45669</v>
      </c>
      <c r="C11" s="1">
        <v>45732</v>
      </c>
      <c r="D11" t="s">
        <v>56</v>
      </c>
      <c r="E11" t="s">
        <v>18</v>
      </c>
      <c r="F11" t="s">
        <v>45</v>
      </c>
      <c r="G11" t="s">
        <v>20</v>
      </c>
      <c r="H11" t="s">
        <v>21</v>
      </c>
      <c r="I11" t="s">
        <v>57</v>
      </c>
      <c r="J11">
        <v>3</v>
      </c>
      <c r="K11">
        <v>3768000</v>
      </c>
      <c r="L11">
        <v>0.222</v>
      </c>
      <c r="M11" t="s">
        <v>23</v>
      </c>
      <c r="N11">
        <v>8795000</v>
      </c>
      <c r="O11">
        <v>3.6</v>
      </c>
      <c r="P11" t="b">
        <v>1</v>
      </c>
    </row>
    <row r="12" spans="1:16" x14ac:dyDescent="0.2">
      <c r="A12" t="s">
        <v>58</v>
      </c>
      <c r="B12" s="1">
        <v>45902</v>
      </c>
      <c r="C12" s="1">
        <v>45925</v>
      </c>
      <c r="D12" t="s">
        <v>59</v>
      </c>
      <c r="E12" t="s">
        <v>29</v>
      </c>
      <c r="F12" t="s">
        <v>19</v>
      </c>
      <c r="G12" t="s">
        <v>35</v>
      </c>
      <c r="H12" t="s">
        <v>47</v>
      </c>
      <c r="I12" t="s">
        <v>60</v>
      </c>
      <c r="J12">
        <v>1</v>
      </c>
      <c r="K12">
        <v>1918000</v>
      </c>
      <c r="L12">
        <v>8.7999999999999995E-2</v>
      </c>
      <c r="M12" t="s">
        <v>23</v>
      </c>
      <c r="N12">
        <v>1749000</v>
      </c>
      <c r="O12">
        <v>4.5999999999999996</v>
      </c>
      <c r="P12" t="b">
        <v>1</v>
      </c>
    </row>
    <row r="13" spans="1:16" x14ac:dyDescent="0.2">
      <c r="A13" t="s">
        <v>61</v>
      </c>
      <c r="B13" s="1">
        <v>45791</v>
      </c>
      <c r="C13" s="1">
        <v>45825</v>
      </c>
      <c r="D13" t="s">
        <v>62</v>
      </c>
      <c r="E13" t="s">
        <v>18</v>
      </c>
      <c r="F13" t="s">
        <v>45</v>
      </c>
      <c r="G13" t="s">
        <v>50</v>
      </c>
      <c r="H13" t="s">
        <v>51</v>
      </c>
      <c r="I13" t="s">
        <v>22</v>
      </c>
      <c r="J13">
        <v>3</v>
      </c>
      <c r="K13">
        <v>2330000</v>
      </c>
      <c r="L13">
        <v>0.03</v>
      </c>
      <c r="M13" t="s">
        <v>23</v>
      </c>
      <c r="N13">
        <v>6780000</v>
      </c>
      <c r="O13">
        <v>3.9</v>
      </c>
      <c r="P13" t="b">
        <v>1</v>
      </c>
    </row>
    <row r="14" spans="1:16" x14ac:dyDescent="0.2">
      <c r="A14" t="s">
        <v>63</v>
      </c>
      <c r="B14" s="1">
        <v>45892</v>
      </c>
      <c r="C14" s="1">
        <v>45931</v>
      </c>
      <c r="D14" t="s">
        <v>64</v>
      </c>
      <c r="E14" t="s">
        <v>45</v>
      </c>
      <c r="F14" t="s">
        <v>34</v>
      </c>
      <c r="G14" t="s">
        <v>50</v>
      </c>
      <c r="H14" t="s">
        <v>47</v>
      </c>
      <c r="I14" t="s">
        <v>60</v>
      </c>
      <c r="J14">
        <v>1</v>
      </c>
      <c r="K14">
        <v>5829000</v>
      </c>
      <c r="L14">
        <v>3.6999999999999998E-2</v>
      </c>
      <c r="M14" t="s">
        <v>65</v>
      </c>
      <c r="N14">
        <v>0</v>
      </c>
      <c r="P14" t="b">
        <v>1</v>
      </c>
    </row>
    <row r="15" spans="1:16" x14ac:dyDescent="0.2">
      <c r="A15" t="s">
        <v>66</v>
      </c>
      <c r="B15" s="1">
        <v>45440</v>
      </c>
      <c r="C15" s="1">
        <v>45526</v>
      </c>
      <c r="D15" t="s">
        <v>67</v>
      </c>
      <c r="E15" t="s">
        <v>18</v>
      </c>
      <c r="F15" t="s">
        <v>68</v>
      </c>
      <c r="G15" t="s">
        <v>20</v>
      </c>
      <c r="H15" t="s">
        <v>21</v>
      </c>
      <c r="I15" t="s">
        <v>52</v>
      </c>
      <c r="J15">
        <v>2</v>
      </c>
      <c r="K15">
        <v>1543000</v>
      </c>
      <c r="L15">
        <v>6.4000000000000001E-2</v>
      </c>
      <c r="M15" t="s">
        <v>23</v>
      </c>
      <c r="N15">
        <v>2888000</v>
      </c>
      <c r="O15">
        <v>3.9</v>
      </c>
      <c r="P15" t="b">
        <v>0</v>
      </c>
    </row>
    <row r="16" spans="1:16" x14ac:dyDescent="0.2">
      <c r="A16" t="s">
        <v>69</v>
      </c>
      <c r="B16" s="1">
        <v>45471</v>
      </c>
      <c r="C16" s="1">
        <v>45538</v>
      </c>
      <c r="D16" t="s">
        <v>70</v>
      </c>
      <c r="E16" t="s">
        <v>29</v>
      </c>
      <c r="F16" t="s">
        <v>45</v>
      </c>
      <c r="G16" t="s">
        <v>20</v>
      </c>
      <c r="H16" t="s">
        <v>21</v>
      </c>
      <c r="I16" t="s">
        <v>57</v>
      </c>
      <c r="J16">
        <v>4</v>
      </c>
      <c r="K16">
        <v>2735000</v>
      </c>
      <c r="L16">
        <v>3.5999999999999997E-2</v>
      </c>
      <c r="M16" t="s">
        <v>23</v>
      </c>
      <c r="N16">
        <v>10546000</v>
      </c>
      <c r="O16">
        <v>4.2</v>
      </c>
      <c r="P16" t="b">
        <v>0</v>
      </c>
    </row>
    <row r="17" spans="1:16" x14ac:dyDescent="0.2">
      <c r="A17" t="s">
        <v>71</v>
      </c>
      <c r="B17" s="1">
        <v>45821</v>
      </c>
      <c r="C17" s="1">
        <v>45860</v>
      </c>
      <c r="D17" t="s">
        <v>72</v>
      </c>
      <c r="E17" t="s">
        <v>45</v>
      </c>
      <c r="F17" t="s">
        <v>39</v>
      </c>
      <c r="G17" t="s">
        <v>20</v>
      </c>
      <c r="H17" t="s">
        <v>21</v>
      </c>
      <c r="I17" t="s">
        <v>30</v>
      </c>
      <c r="J17">
        <v>2</v>
      </c>
      <c r="K17">
        <v>2956000</v>
      </c>
      <c r="L17">
        <v>4.1000000000000002E-2</v>
      </c>
      <c r="M17" t="s">
        <v>23</v>
      </c>
      <c r="N17">
        <v>5670000</v>
      </c>
      <c r="O17">
        <v>3.6</v>
      </c>
      <c r="P17" t="b">
        <v>1</v>
      </c>
    </row>
    <row r="18" spans="1:16" x14ac:dyDescent="0.2">
      <c r="A18" t="s">
        <v>73</v>
      </c>
      <c r="B18" s="1">
        <v>45444</v>
      </c>
      <c r="C18" s="1">
        <v>45513</v>
      </c>
      <c r="D18" t="s">
        <v>74</v>
      </c>
      <c r="E18" t="s">
        <v>29</v>
      </c>
      <c r="F18" t="s">
        <v>34</v>
      </c>
      <c r="G18" t="s">
        <v>50</v>
      </c>
      <c r="H18" t="s">
        <v>47</v>
      </c>
      <c r="I18" t="s">
        <v>52</v>
      </c>
      <c r="J18">
        <v>1</v>
      </c>
      <c r="K18">
        <v>3089000</v>
      </c>
      <c r="L18">
        <v>2.4E-2</v>
      </c>
      <c r="M18" t="s">
        <v>23</v>
      </c>
      <c r="N18">
        <v>3015000</v>
      </c>
      <c r="O18">
        <v>3.1</v>
      </c>
      <c r="P18" t="b">
        <v>1</v>
      </c>
    </row>
    <row r="19" spans="1:16" x14ac:dyDescent="0.2">
      <c r="A19" t="s">
        <v>75</v>
      </c>
      <c r="B19" s="1">
        <v>45327</v>
      </c>
      <c r="C19" s="1">
        <v>45396</v>
      </c>
      <c r="D19" t="s">
        <v>76</v>
      </c>
      <c r="E19" t="s">
        <v>45</v>
      </c>
      <c r="F19" t="s">
        <v>19</v>
      </c>
      <c r="G19" t="s">
        <v>50</v>
      </c>
      <c r="H19" t="s">
        <v>40</v>
      </c>
      <c r="I19" t="s">
        <v>77</v>
      </c>
      <c r="J19">
        <v>2</v>
      </c>
      <c r="K19">
        <v>2175000</v>
      </c>
      <c r="L19">
        <v>0.184</v>
      </c>
      <c r="M19" t="s">
        <v>23</v>
      </c>
      <c r="N19">
        <v>3550000</v>
      </c>
      <c r="O19">
        <v>4.4000000000000004</v>
      </c>
      <c r="P19" t="b">
        <v>0</v>
      </c>
    </row>
    <row r="20" spans="1:16" x14ac:dyDescent="0.2">
      <c r="A20" t="s">
        <v>78</v>
      </c>
      <c r="B20" s="1">
        <v>45708</v>
      </c>
      <c r="C20" s="1">
        <v>45749</v>
      </c>
      <c r="D20" t="s">
        <v>79</v>
      </c>
      <c r="E20" t="s">
        <v>45</v>
      </c>
      <c r="F20" t="s">
        <v>80</v>
      </c>
      <c r="G20" t="s">
        <v>20</v>
      </c>
      <c r="H20" t="s">
        <v>21</v>
      </c>
      <c r="I20" t="s">
        <v>30</v>
      </c>
      <c r="J20">
        <v>1</v>
      </c>
      <c r="K20">
        <v>2612000</v>
      </c>
      <c r="L20">
        <v>8.8999999999999996E-2</v>
      </c>
      <c r="M20" t="s">
        <v>23</v>
      </c>
      <c r="N20">
        <v>2380000</v>
      </c>
      <c r="O20">
        <v>3.1</v>
      </c>
      <c r="P20" t="b">
        <v>1</v>
      </c>
    </row>
    <row r="21" spans="1:16" x14ac:dyDescent="0.2">
      <c r="A21" t="s">
        <v>81</v>
      </c>
      <c r="B21" s="1">
        <v>45791</v>
      </c>
      <c r="C21" s="1">
        <v>45833</v>
      </c>
      <c r="D21" t="s">
        <v>82</v>
      </c>
      <c r="E21" t="s">
        <v>18</v>
      </c>
      <c r="F21" t="s">
        <v>25</v>
      </c>
      <c r="G21" t="s">
        <v>35</v>
      </c>
      <c r="H21" t="s">
        <v>40</v>
      </c>
      <c r="I21" t="s">
        <v>83</v>
      </c>
      <c r="J21">
        <v>2</v>
      </c>
      <c r="K21">
        <v>3680000</v>
      </c>
      <c r="L21">
        <v>7.5999999999999998E-2</v>
      </c>
      <c r="M21" t="s">
        <v>23</v>
      </c>
      <c r="N21">
        <v>6801000</v>
      </c>
      <c r="O21">
        <v>4.5999999999999996</v>
      </c>
      <c r="P21" t="b">
        <v>1</v>
      </c>
    </row>
    <row r="22" spans="1:16" x14ac:dyDescent="0.2">
      <c r="A22" t="s">
        <v>84</v>
      </c>
      <c r="B22" s="1">
        <v>45895</v>
      </c>
      <c r="C22" s="1">
        <v>45977</v>
      </c>
      <c r="D22" t="s">
        <v>85</v>
      </c>
      <c r="E22" t="s">
        <v>18</v>
      </c>
      <c r="F22" t="s">
        <v>19</v>
      </c>
      <c r="G22" t="s">
        <v>20</v>
      </c>
      <c r="H22" t="s">
        <v>21</v>
      </c>
      <c r="I22" t="s">
        <v>52</v>
      </c>
      <c r="J22">
        <v>2</v>
      </c>
      <c r="K22">
        <v>1694000</v>
      </c>
      <c r="L22">
        <v>2.4E-2</v>
      </c>
      <c r="M22" t="s">
        <v>23</v>
      </c>
      <c r="N22">
        <v>3307000</v>
      </c>
      <c r="O22">
        <v>5</v>
      </c>
      <c r="P22" t="b">
        <v>1</v>
      </c>
    </row>
    <row r="23" spans="1:16" x14ac:dyDescent="0.2">
      <c r="A23" t="s">
        <v>86</v>
      </c>
      <c r="B23" s="1">
        <v>45870</v>
      </c>
      <c r="C23" s="1">
        <v>45925</v>
      </c>
      <c r="D23" t="s">
        <v>87</v>
      </c>
      <c r="E23" t="s">
        <v>29</v>
      </c>
      <c r="F23" t="s">
        <v>34</v>
      </c>
      <c r="G23" t="s">
        <v>35</v>
      </c>
      <c r="H23" t="s">
        <v>40</v>
      </c>
      <c r="I23" t="s">
        <v>30</v>
      </c>
      <c r="J23">
        <v>1</v>
      </c>
      <c r="K23">
        <v>2548000</v>
      </c>
      <c r="L23">
        <v>0.128</v>
      </c>
      <c r="M23" t="s">
        <v>23</v>
      </c>
      <c r="N23">
        <v>2222000</v>
      </c>
      <c r="O23">
        <v>4.0999999999999996</v>
      </c>
      <c r="P23" t="b">
        <v>1</v>
      </c>
    </row>
    <row r="24" spans="1:16" x14ac:dyDescent="0.2">
      <c r="A24" t="s">
        <v>88</v>
      </c>
      <c r="B24" s="1">
        <v>45366</v>
      </c>
      <c r="C24" s="1">
        <v>45388</v>
      </c>
      <c r="D24" t="s">
        <v>89</v>
      </c>
      <c r="E24" t="s">
        <v>18</v>
      </c>
      <c r="F24" t="s">
        <v>19</v>
      </c>
      <c r="G24" t="s">
        <v>50</v>
      </c>
      <c r="H24" t="s">
        <v>21</v>
      </c>
      <c r="J24">
        <v>1</v>
      </c>
      <c r="K24">
        <v>1665000</v>
      </c>
      <c r="L24">
        <v>4.8000000000000001E-2</v>
      </c>
      <c r="M24" t="s">
        <v>23</v>
      </c>
      <c r="N24">
        <v>1585000</v>
      </c>
      <c r="O24">
        <v>4.8</v>
      </c>
      <c r="P24" t="b">
        <v>0</v>
      </c>
    </row>
    <row r="25" spans="1:16" x14ac:dyDescent="0.2">
      <c r="A25" t="s">
        <v>90</v>
      </c>
      <c r="B25" s="1">
        <v>45773</v>
      </c>
      <c r="C25" s="1">
        <v>45841</v>
      </c>
      <c r="D25" t="s">
        <v>91</v>
      </c>
      <c r="E25" t="s">
        <v>33</v>
      </c>
      <c r="F25" t="s">
        <v>19</v>
      </c>
      <c r="G25" t="s">
        <v>35</v>
      </c>
      <c r="H25" t="s">
        <v>40</v>
      </c>
      <c r="I25" t="s">
        <v>60</v>
      </c>
      <c r="J25">
        <v>3</v>
      </c>
      <c r="K25">
        <v>2667000</v>
      </c>
      <c r="L25">
        <v>4.2999999999999997E-2</v>
      </c>
      <c r="M25" t="s">
        <v>23</v>
      </c>
      <c r="N25">
        <v>7657000</v>
      </c>
      <c r="O25">
        <v>4.2</v>
      </c>
      <c r="P25" t="b">
        <v>1</v>
      </c>
    </row>
    <row r="26" spans="1:16" x14ac:dyDescent="0.2">
      <c r="A26" t="s">
        <v>92</v>
      </c>
      <c r="B26" s="1">
        <v>45819</v>
      </c>
      <c r="C26" s="1">
        <v>45876</v>
      </c>
      <c r="D26" t="s">
        <v>93</v>
      </c>
      <c r="E26" t="s">
        <v>18</v>
      </c>
      <c r="F26" t="s">
        <v>19</v>
      </c>
      <c r="G26" t="s">
        <v>20</v>
      </c>
      <c r="H26" t="s">
        <v>47</v>
      </c>
      <c r="I26" t="s">
        <v>94</v>
      </c>
      <c r="J26">
        <v>3</v>
      </c>
      <c r="K26">
        <v>2594000</v>
      </c>
      <c r="L26">
        <v>0.14799999999999999</v>
      </c>
      <c r="M26" t="s">
        <v>23</v>
      </c>
      <c r="N26">
        <v>6630000</v>
      </c>
      <c r="O26">
        <v>5</v>
      </c>
      <c r="P26" t="b">
        <v>1</v>
      </c>
    </row>
    <row r="27" spans="1:16" x14ac:dyDescent="0.2">
      <c r="A27" t="s">
        <v>95</v>
      </c>
      <c r="B27" s="1">
        <v>45726</v>
      </c>
      <c r="C27" s="1">
        <v>45777</v>
      </c>
      <c r="D27" t="s">
        <v>96</v>
      </c>
      <c r="E27" t="s">
        <v>33</v>
      </c>
      <c r="F27" t="s">
        <v>34</v>
      </c>
      <c r="G27" t="s">
        <v>35</v>
      </c>
      <c r="H27" t="s">
        <v>40</v>
      </c>
      <c r="I27" t="s">
        <v>52</v>
      </c>
      <c r="J27">
        <v>2</v>
      </c>
      <c r="K27">
        <v>4387000</v>
      </c>
      <c r="L27">
        <v>0.17599999999999999</v>
      </c>
      <c r="M27" t="s">
        <v>23</v>
      </c>
      <c r="N27">
        <v>7230000</v>
      </c>
      <c r="O27">
        <v>4</v>
      </c>
      <c r="P27" t="b">
        <v>1</v>
      </c>
    </row>
    <row r="28" spans="1:16" x14ac:dyDescent="0.2">
      <c r="A28" t="s">
        <v>97</v>
      </c>
      <c r="B28" s="1">
        <v>45802</v>
      </c>
      <c r="C28" s="1">
        <v>45870</v>
      </c>
      <c r="D28" t="s">
        <v>98</v>
      </c>
      <c r="E28" t="s">
        <v>18</v>
      </c>
      <c r="F28" t="s">
        <v>19</v>
      </c>
      <c r="G28" t="s">
        <v>20</v>
      </c>
      <c r="H28" t="s">
        <v>21</v>
      </c>
      <c r="I28" t="s">
        <v>99</v>
      </c>
      <c r="J28">
        <v>4</v>
      </c>
      <c r="K28">
        <v>2143000</v>
      </c>
      <c r="L28">
        <v>5.5E-2</v>
      </c>
      <c r="M28" t="s">
        <v>23</v>
      </c>
      <c r="N28">
        <v>8101000</v>
      </c>
      <c r="O28">
        <v>3</v>
      </c>
      <c r="P28" t="b">
        <v>1</v>
      </c>
    </row>
    <row r="29" spans="1:16" x14ac:dyDescent="0.2">
      <c r="A29" t="s">
        <v>100</v>
      </c>
      <c r="B29" s="1">
        <v>45814</v>
      </c>
      <c r="C29" s="1">
        <v>45897</v>
      </c>
      <c r="D29" t="s">
        <v>101</v>
      </c>
      <c r="E29" t="s">
        <v>33</v>
      </c>
      <c r="F29" t="s">
        <v>45</v>
      </c>
      <c r="G29" t="s">
        <v>50</v>
      </c>
      <c r="H29" t="s">
        <v>47</v>
      </c>
      <c r="I29" t="s">
        <v>26</v>
      </c>
      <c r="J29">
        <v>5</v>
      </c>
      <c r="K29">
        <v>4109000</v>
      </c>
      <c r="L29">
        <v>0.188</v>
      </c>
      <c r="M29" t="s">
        <v>23</v>
      </c>
      <c r="N29">
        <v>16683000</v>
      </c>
      <c r="O29">
        <v>4.2</v>
      </c>
      <c r="P29" t="b">
        <v>1</v>
      </c>
    </row>
    <row r="30" spans="1:16" x14ac:dyDescent="0.2">
      <c r="A30" t="s">
        <v>102</v>
      </c>
      <c r="B30" s="1">
        <v>45570</v>
      </c>
      <c r="C30" s="1">
        <v>45606</v>
      </c>
      <c r="D30" t="s">
        <v>103</v>
      </c>
      <c r="E30" t="s">
        <v>18</v>
      </c>
      <c r="F30" t="s">
        <v>19</v>
      </c>
      <c r="G30" t="s">
        <v>20</v>
      </c>
      <c r="H30" t="s">
        <v>47</v>
      </c>
      <c r="I30" t="s">
        <v>22</v>
      </c>
      <c r="J30">
        <v>1</v>
      </c>
      <c r="K30">
        <v>2326000</v>
      </c>
      <c r="L30">
        <v>6.5000000000000002E-2</v>
      </c>
      <c r="M30" t="s">
        <v>23</v>
      </c>
      <c r="N30">
        <v>2175000</v>
      </c>
      <c r="O30">
        <v>5</v>
      </c>
      <c r="P30" t="b">
        <v>1</v>
      </c>
    </row>
    <row r="31" spans="1:16" x14ac:dyDescent="0.2">
      <c r="A31" t="s">
        <v>104</v>
      </c>
      <c r="B31" s="1">
        <v>45317</v>
      </c>
      <c r="C31" s="1">
        <v>45360</v>
      </c>
      <c r="D31" t="s">
        <v>105</v>
      </c>
      <c r="E31" t="s">
        <v>33</v>
      </c>
      <c r="F31" t="s">
        <v>19</v>
      </c>
      <c r="G31" t="s">
        <v>50</v>
      </c>
      <c r="H31" t="s">
        <v>21</v>
      </c>
      <c r="I31" t="s">
        <v>57</v>
      </c>
      <c r="J31">
        <v>2</v>
      </c>
      <c r="K31">
        <v>3227000</v>
      </c>
      <c r="L31">
        <v>0.19</v>
      </c>
      <c r="M31" t="s">
        <v>23</v>
      </c>
      <c r="N31">
        <v>5228000</v>
      </c>
      <c r="O31">
        <v>4.5</v>
      </c>
      <c r="P31" t="b">
        <v>0</v>
      </c>
    </row>
    <row r="32" spans="1:16" x14ac:dyDescent="0.2">
      <c r="A32" t="s">
        <v>106</v>
      </c>
      <c r="B32" s="1">
        <v>45576</v>
      </c>
      <c r="C32" s="1">
        <v>45601</v>
      </c>
      <c r="D32" t="s">
        <v>107</v>
      </c>
      <c r="E32" t="s">
        <v>18</v>
      </c>
      <c r="F32" t="s">
        <v>25</v>
      </c>
      <c r="G32" t="s">
        <v>20</v>
      </c>
      <c r="H32" t="s">
        <v>21</v>
      </c>
      <c r="I32" t="s">
        <v>26</v>
      </c>
      <c r="J32">
        <v>1</v>
      </c>
      <c r="K32">
        <v>4307000</v>
      </c>
      <c r="L32">
        <v>2.8000000000000001E-2</v>
      </c>
      <c r="M32" t="s">
        <v>23</v>
      </c>
      <c r="N32">
        <v>4186000</v>
      </c>
      <c r="O32">
        <v>3.9</v>
      </c>
      <c r="P32" t="b">
        <v>1</v>
      </c>
    </row>
    <row r="33" spans="1:16" x14ac:dyDescent="0.2">
      <c r="A33" t="s">
        <v>108</v>
      </c>
      <c r="B33" s="1">
        <v>45417</v>
      </c>
      <c r="C33" s="1">
        <v>45479</v>
      </c>
      <c r="D33" t="s">
        <v>82</v>
      </c>
      <c r="E33" t="s">
        <v>18</v>
      </c>
      <c r="F33" t="s">
        <v>45</v>
      </c>
      <c r="G33" t="s">
        <v>20</v>
      </c>
      <c r="H33" t="s">
        <v>40</v>
      </c>
      <c r="I33" t="s">
        <v>26</v>
      </c>
      <c r="J33">
        <v>3</v>
      </c>
      <c r="K33">
        <v>3607000</v>
      </c>
      <c r="L33">
        <v>0.05</v>
      </c>
      <c r="M33" t="s">
        <v>23</v>
      </c>
      <c r="N33">
        <v>10280000</v>
      </c>
      <c r="O33">
        <v>4.4000000000000004</v>
      </c>
      <c r="P33" t="b">
        <v>1</v>
      </c>
    </row>
    <row r="34" spans="1:16" x14ac:dyDescent="0.2">
      <c r="A34" t="s">
        <v>109</v>
      </c>
      <c r="B34" s="1">
        <v>45362</v>
      </c>
      <c r="C34" s="1">
        <v>45404</v>
      </c>
      <c r="D34" t="s">
        <v>110</v>
      </c>
      <c r="E34" t="s">
        <v>45</v>
      </c>
      <c r="F34" t="s">
        <v>80</v>
      </c>
      <c r="G34" t="s">
        <v>20</v>
      </c>
      <c r="H34" t="s">
        <v>21</v>
      </c>
      <c r="I34" t="s">
        <v>60</v>
      </c>
      <c r="J34">
        <v>1</v>
      </c>
      <c r="K34">
        <v>3672000</v>
      </c>
      <c r="L34">
        <v>3.9E-2</v>
      </c>
      <c r="M34" t="s">
        <v>23</v>
      </c>
      <c r="N34">
        <v>3529000</v>
      </c>
      <c r="O34">
        <v>4.7</v>
      </c>
      <c r="P34" t="b">
        <v>1</v>
      </c>
    </row>
    <row r="35" spans="1:16" x14ac:dyDescent="0.2">
      <c r="A35" t="s">
        <v>111</v>
      </c>
      <c r="B35" s="1">
        <v>45369</v>
      </c>
      <c r="C35" s="1">
        <v>45406</v>
      </c>
      <c r="D35" t="s">
        <v>112</v>
      </c>
      <c r="E35" t="s">
        <v>29</v>
      </c>
      <c r="F35" t="s">
        <v>25</v>
      </c>
      <c r="G35" t="s">
        <v>20</v>
      </c>
      <c r="H35" t="s">
        <v>21</v>
      </c>
      <c r="I35" t="s">
        <v>60</v>
      </c>
      <c r="J35">
        <v>3</v>
      </c>
      <c r="K35">
        <v>6908000</v>
      </c>
      <c r="L35">
        <v>0.13500000000000001</v>
      </c>
      <c r="M35" t="s">
        <v>23</v>
      </c>
      <c r="N35">
        <v>17926000</v>
      </c>
      <c r="O35">
        <v>4.2</v>
      </c>
      <c r="P35" t="b">
        <v>1</v>
      </c>
    </row>
    <row r="36" spans="1:16" x14ac:dyDescent="0.2">
      <c r="A36" t="s">
        <v>113</v>
      </c>
      <c r="B36" s="1">
        <v>45726</v>
      </c>
      <c r="C36" s="1">
        <v>45792</v>
      </c>
      <c r="D36" t="s">
        <v>114</v>
      </c>
      <c r="E36" t="s">
        <v>18</v>
      </c>
      <c r="F36" t="s">
        <v>68</v>
      </c>
      <c r="G36" t="s">
        <v>20</v>
      </c>
      <c r="H36" t="s">
        <v>21</v>
      </c>
      <c r="I36" t="s">
        <v>83</v>
      </c>
      <c r="J36">
        <v>2</v>
      </c>
      <c r="K36">
        <v>2284000</v>
      </c>
      <c r="L36">
        <v>0.75</v>
      </c>
      <c r="M36" t="s">
        <v>23</v>
      </c>
      <c r="N36">
        <v>4006000</v>
      </c>
      <c r="O36">
        <v>5</v>
      </c>
      <c r="P36" t="b">
        <v>0</v>
      </c>
    </row>
    <row r="37" spans="1:16" x14ac:dyDescent="0.2">
      <c r="A37" t="s">
        <v>115</v>
      </c>
      <c r="B37" s="1">
        <v>45606</v>
      </c>
      <c r="C37" s="1">
        <v>45649</v>
      </c>
      <c r="D37" t="s">
        <v>116</v>
      </c>
      <c r="E37" t="s">
        <v>29</v>
      </c>
      <c r="F37" t="s">
        <v>25</v>
      </c>
      <c r="G37" t="s">
        <v>35</v>
      </c>
      <c r="H37" t="s">
        <v>21</v>
      </c>
      <c r="I37" t="s">
        <v>99</v>
      </c>
      <c r="J37">
        <v>1</v>
      </c>
      <c r="K37">
        <v>3482000</v>
      </c>
      <c r="L37">
        <v>4.8000000000000001E-2</v>
      </c>
      <c r="M37" t="s">
        <v>23</v>
      </c>
      <c r="N37">
        <v>3315000</v>
      </c>
      <c r="O37">
        <v>3.9</v>
      </c>
      <c r="P37" t="b">
        <v>1</v>
      </c>
    </row>
    <row r="38" spans="1:16" x14ac:dyDescent="0.2">
      <c r="A38" t="s">
        <v>117</v>
      </c>
      <c r="B38" s="1">
        <v>45628</v>
      </c>
      <c r="C38" s="1">
        <v>45675</v>
      </c>
      <c r="D38" t="s">
        <v>118</v>
      </c>
      <c r="E38" t="s">
        <v>45</v>
      </c>
      <c r="F38" t="s">
        <v>68</v>
      </c>
      <c r="G38" t="s">
        <v>20</v>
      </c>
      <c r="H38" t="s">
        <v>21</v>
      </c>
      <c r="I38" t="s">
        <v>57</v>
      </c>
      <c r="J38">
        <v>1</v>
      </c>
      <c r="K38">
        <v>1739000</v>
      </c>
      <c r="L38">
        <v>0.186</v>
      </c>
      <c r="M38" t="s">
        <v>23</v>
      </c>
      <c r="N38">
        <v>1416000</v>
      </c>
      <c r="O38">
        <v>4.7</v>
      </c>
      <c r="P38" t="b">
        <v>1</v>
      </c>
    </row>
    <row r="39" spans="1:16" x14ac:dyDescent="0.2">
      <c r="A39" t="s">
        <v>119</v>
      </c>
      <c r="B39" s="1">
        <v>45756</v>
      </c>
      <c r="C39" s="1">
        <v>45801</v>
      </c>
      <c r="D39" t="s">
        <v>120</v>
      </c>
      <c r="E39" t="s">
        <v>29</v>
      </c>
      <c r="F39" t="s">
        <v>39</v>
      </c>
      <c r="G39" t="s">
        <v>20</v>
      </c>
      <c r="H39" t="s">
        <v>40</v>
      </c>
      <c r="I39" t="s">
        <v>60</v>
      </c>
      <c r="J39">
        <v>1</v>
      </c>
      <c r="K39">
        <v>3201000</v>
      </c>
      <c r="L39">
        <v>8.5999999999999993E-2</v>
      </c>
      <c r="M39" t="s">
        <v>23</v>
      </c>
      <c r="N39">
        <v>2926000</v>
      </c>
      <c r="O39">
        <v>4.5999999999999996</v>
      </c>
      <c r="P39" t="b">
        <v>1</v>
      </c>
    </row>
    <row r="40" spans="1:16" x14ac:dyDescent="0.2">
      <c r="A40" t="s">
        <v>121</v>
      </c>
      <c r="B40" s="1">
        <v>45633</v>
      </c>
      <c r="C40" s="1">
        <v>45663</v>
      </c>
      <c r="D40" t="s">
        <v>122</v>
      </c>
      <c r="E40" t="s">
        <v>45</v>
      </c>
      <c r="F40" t="s">
        <v>123</v>
      </c>
      <c r="G40" t="s">
        <v>20</v>
      </c>
      <c r="H40" t="s">
        <v>21</v>
      </c>
      <c r="I40" t="s">
        <v>22</v>
      </c>
      <c r="J40">
        <v>2</v>
      </c>
      <c r="K40">
        <v>4208000</v>
      </c>
      <c r="L40">
        <v>0.14000000000000001</v>
      </c>
      <c r="M40" t="s">
        <v>23</v>
      </c>
      <c r="N40">
        <v>7238000</v>
      </c>
      <c r="O40">
        <v>3.9</v>
      </c>
      <c r="P40" t="b">
        <v>0</v>
      </c>
    </row>
    <row r="41" spans="1:16" x14ac:dyDescent="0.2">
      <c r="A41" t="s">
        <v>124</v>
      </c>
      <c r="B41" s="1">
        <v>45684</v>
      </c>
      <c r="C41" s="1">
        <v>45704</v>
      </c>
      <c r="D41" t="s">
        <v>38</v>
      </c>
      <c r="E41" t="s">
        <v>18</v>
      </c>
      <c r="F41" t="s">
        <v>19</v>
      </c>
      <c r="G41" t="s">
        <v>20</v>
      </c>
      <c r="H41" t="s">
        <v>47</v>
      </c>
      <c r="I41" t="s">
        <v>30</v>
      </c>
      <c r="J41">
        <v>3</v>
      </c>
      <c r="K41">
        <v>2762000</v>
      </c>
      <c r="L41">
        <v>0.16900000000000001</v>
      </c>
      <c r="M41" t="s">
        <v>23</v>
      </c>
      <c r="N41">
        <v>6886000</v>
      </c>
      <c r="O41">
        <v>4</v>
      </c>
      <c r="P41" t="b">
        <v>1</v>
      </c>
    </row>
    <row r="42" spans="1:16" x14ac:dyDescent="0.2">
      <c r="A42" t="s">
        <v>125</v>
      </c>
      <c r="B42" s="1">
        <v>45345</v>
      </c>
      <c r="C42" s="1">
        <v>45422</v>
      </c>
      <c r="D42" t="s">
        <v>126</v>
      </c>
      <c r="E42" t="s">
        <v>33</v>
      </c>
      <c r="F42" t="s">
        <v>45</v>
      </c>
      <c r="G42" t="s">
        <v>50</v>
      </c>
      <c r="H42" t="s">
        <v>21</v>
      </c>
      <c r="I42" t="s">
        <v>22</v>
      </c>
      <c r="J42">
        <v>3</v>
      </c>
      <c r="K42">
        <v>2382000</v>
      </c>
      <c r="L42">
        <v>3.1E-2</v>
      </c>
      <c r="M42" t="s">
        <v>23</v>
      </c>
      <c r="N42">
        <v>6924000</v>
      </c>
      <c r="O42">
        <v>4.7</v>
      </c>
      <c r="P42" t="b">
        <v>0</v>
      </c>
    </row>
    <row r="43" spans="1:16" x14ac:dyDescent="0.2">
      <c r="A43" t="s">
        <v>127</v>
      </c>
      <c r="B43" s="1">
        <v>45822</v>
      </c>
      <c r="C43" s="1">
        <v>45839</v>
      </c>
      <c r="D43" t="s">
        <v>128</v>
      </c>
      <c r="E43" t="s">
        <v>18</v>
      </c>
      <c r="F43" t="s">
        <v>68</v>
      </c>
      <c r="G43" t="s">
        <v>50</v>
      </c>
      <c r="H43" t="s">
        <v>21</v>
      </c>
      <c r="I43" t="s">
        <v>99</v>
      </c>
      <c r="J43">
        <v>1</v>
      </c>
      <c r="K43">
        <v>2563000</v>
      </c>
      <c r="L43">
        <v>0.03</v>
      </c>
      <c r="M43" t="s">
        <v>23</v>
      </c>
      <c r="N43">
        <v>2486000</v>
      </c>
      <c r="O43">
        <v>4.3</v>
      </c>
      <c r="P43" t="b">
        <v>1</v>
      </c>
    </row>
    <row r="44" spans="1:16" x14ac:dyDescent="0.2">
      <c r="A44" t="s">
        <v>129</v>
      </c>
      <c r="B44" s="1">
        <v>45571</v>
      </c>
      <c r="C44" s="1">
        <v>45607</v>
      </c>
      <c r="D44" t="s">
        <v>130</v>
      </c>
      <c r="E44" t="s">
        <v>45</v>
      </c>
      <c r="F44" t="s">
        <v>123</v>
      </c>
      <c r="G44" t="s">
        <v>20</v>
      </c>
      <c r="H44" t="s">
        <v>21</v>
      </c>
      <c r="I44" t="s">
        <v>77</v>
      </c>
      <c r="J44">
        <v>2</v>
      </c>
      <c r="K44">
        <v>5078000</v>
      </c>
      <c r="L44">
        <v>0.123</v>
      </c>
      <c r="M44" t="s">
        <v>65</v>
      </c>
      <c r="N44">
        <v>0</v>
      </c>
      <c r="P44" t="b">
        <v>1</v>
      </c>
    </row>
    <row r="45" spans="1:16" x14ac:dyDescent="0.2">
      <c r="A45" t="s">
        <v>131</v>
      </c>
      <c r="B45" s="1">
        <v>45388</v>
      </c>
      <c r="C45" s="1">
        <v>45452</v>
      </c>
      <c r="D45" t="s">
        <v>132</v>
      </c>
      <c r="E45" t="s">
        <v>45</v>
      </c>
      <c r="F45" t="s">
        <v>34</v>
      </c>
      <c r="G45" t="s">
        <v>50</v>
      </c>
      <c r="H45" t="s">
        <v>47</v>
      </c>
      <c r="I45" t="s">
        <v>99</v>
      </c>
      <c r="J45">
        <v>1</v>
      </c>
      <c r="K45">
        <v>4308000</v>
      </c>
      <c r="L45">
        <v>8.5000000000000006E-2</v>
      </c>
      <c r="M45" t="s">
        <v>23</v>
      </c>
      <c r="N45">
        <v>3942000</v>
      </c>
      <c r="O45">
        <v>3.4</v>
      </c>
      <c r="P45" t="b">
        <v>0</v>
      </c>
    </row>
    <row r="46" spans="1:16" x14ac:dyDescent="0.2">
      <c r="A46" t="s">
        <v>133</v>
      </c>
      <c r="B46" s="1">
        <v>45798</v>
      </c>
      <c r="C46" s="1">
        <v>45818</v>
      </c>
      <c r="D46" t="s">
        <v>134</v>
      </c>
      <c r="E46" t="s">
        <v>29</v>
      </c>
      <c r="F46" t="s">
        <v>25</v>
      </c>
      <c r="G46" t="s">
        <v>50</v>
      </c>
      <c r="H46" t="s">
        <v>51</v>
      </c>
      <c r="I46" t="s">
        <v>60</v>
      </c>
      <c r="J46">
        <v>2</v>
      </c>
      <c r="K46">
        <v>3666000</v>
      </c>
      <c r="L46">
        <v>0.11700000000000001</v>
      </c>
      <c r="M46" t="s">
        <v>23</v>
      </c>
      <c r="N46">
        <v>6474000</v>
      </c>
      <c r="O46">
        <v>4.5</v>
      </c>
      <c r="P46" t="b">
        <v>1</v>
      </c>
    </row>
    <row r="47" spans="1:16" x14ac:dyDescent="0.2">
      <c r="A47" t="s">
        <v>135</v>
      </c>
      <c r="B47" s="1">
        <v>45749</v>
      </c>
      <c r="C47" s="1">
        <v>45812</v>
      </c>
      <c r="D47" t="s">
        <v>136</v>
      </c>
      <c r="E47" t="s">
        <v>45</v>
      </c>
      <c r="F47" t="s">
        <v>34</v>
      </c>
      <c r="G47" t="s">
        <v>46</v>
      </c>
      <c r="H47" t="s">
        <v>21</v>
      </c>
      <c r="I47" t="s">
        <v>26</v>
      </c>
      <c r="J47">
        <v>1</v>
      </c>
      <c r="K47">
        <v>3905000</v>
      </c>
      <c r="L47">
        <v>5.0999999999999997E-2</v>
      </c>
      <c r="M47" t="s">
        <v>23</v>
      </c>
      <c r="N47">
        <v>3706000</v>
      </c>
      <c r="O47">
        <v>4.3</v>
      </c>
      <c r="P47" t="b">
        <v>1</v>
      </c>
    </row>
    <row r="48" spans="1:16" x14ac:dyDescent="0.2">
      <c r="A48" t="s">
        <v>137</v>
      </c>
      <c r="B48" s="1">
        <v>45325</v>
      </c>
      <c r="C48" s="1">
        <v>45394</v>
      </c>
      <c r="D48" t="s">
        <v>138</v>
      </c>
      <c r="E48" t="s">
        <v>45</v>
      </c>
      <c r="F48" t="s">
        <v>45</v>
      </c>
      <c r="G48" t="s">
        <v>20</v>
      </c>
      <c r="H48" t="s">
        <v>21</v>
      </c>
      <c r="I48" t="s">
        <v>99</v>
      </c>
      <c r="J48">
        <v>2</v>
      </c>
      <c r="K48">
        <v>3615000</v>
      </c>
      <c r="L48">
        <v>0.10100000000000001</v>
      </c>
      <c r="M48" t="s">
        <v>23</v>
      </c>
      <c r="N48">
        <v>6500000</v>
      </c>
      <c r="O48">
        <v>4.2</v>
      </c>
      <c r="P48" t="b">
        <v>0</v>
      </c>
    </row>
    <row r="49" spans="1:16" x14ac:dyDescent="0.2">
      <c r="A49" t="s">
        <v>139</v>
      </c>
      <c r="B49" s="1">
        <v>45412</v>
      </c>
      <c r="C49" s="1">
        <v>45475</v>
      </c>
      <c r="D49" t="s">
        <v>140</v>
      </c>
      <c r="E49" t="s">
        <v>33</v>
      </c>
      <c r="F49" t="s">
        <v>25</v>
      </c>
      <c r="G49" t="s">
        <v>20</v>
      </c>
      <c r="H49" t="s">
        <v>21</v>
      </c>
      <c r="I49" t="s">
        <v>99</v>
      </c>
      <c r="J49">
        <v>1</v>
      </c>
      <c r="K49">
        <v>3528000</v>
      </c>
      <c r="L49">
        <v>2.5000000000000001E-2</v>
      </c>
      <c r="M49" t="s">
        <v>23</v>
      </c>
      <c r="N49">
        <v>3440000</v>
      </c>
      <c r="O49">
        <v>4.4000000000000004</v>
      </c>
      <c r="P49" t="b">
        <v>1</v>
      </c>
    </row>
    <row r="50" spans="1:16" x14ac:dyDescent="0.2">
      <c r="A50" t="s">
        <v>141</v>
      </c>
      <c r="B50" s="1">
        <v>45301</v>
      </c>
      <c r="C50" s="1">
        <v>45335</v>
      </c>
      <c r="D50" t="s">
        <v>74</v>
      </c>
      <c r="E50" t="s">
        <v>29</v>
      </c>
      <c r="F50" t="s">
        <v>45</v>
      </c>
      <c r="G50" t="s">
        <v>35</v>
      </c>
      <c r="H50" t="s">
        <v>21</v>
      </c>
      <c r="I50" t="s">
        <v>60</v>
      </c>
      <c r="J50">
        <v>5</v>
      </c>
      <c r="K50">
        <v>4572000</v>
      </c>
      <c r="L50">
        <v>0.14000000000000001</v>
      </c>
      <c r="M50" t="s">
        <v>23</v>
      </c>
      <c r="N50">
        <v>19660000</v>
      </c>
      <c r="O50">
        <v>4</v>
      </c>
      <c r="P50" t="b">
        <v>0</v>
      </c>
    </row>
    <row r="51" spans="1:16" x14ac:dyDescent="0.2">
      <c r="A51" t="s">
        <v>142</v>
      </c>
      <c r="B51" s="1">
        <v>45460</v>
      </c>
      <c r="C51" s="1">
        <v>45471</v>
      </c>
      <c r="D51" t="s">
        <v>143</v>
      </c>
      <c r="E51" t="s">
        <v>45</v>
      </c>
      <c r="F51" t="s">
        <v>39</v>
      </c>
      <c r="G51" t="s">
        <v>50</v>
      </c>
      <c r="H51" t="s">
        <v>47</v>
      </c>
      <c r="I51" t="s">
        <v>30</v>
      </c>
      <c r="J51">
        <v>1</v>
      </c>
      <c r="K51">
        <v>1849000</v>
      </c>
      <c r="L51">
        <v>4.8000000000000001E-2</v>
      </c>
      <c r="M51" t="s">
        <v>23</v>
      </c>
      <c r="N51">
        <v>1760000</v>
      </c>
      <c r="O51">
        <v>3.9</v>
      </c>
      <c r="P51" t="b">
        <v>1</v>
      </c>
    </row>
    <row r="52" spans="1:16" x14ac:dyDescent="0.2">
      <c r="A52" t="s">
        <v>144</v>
      </c>
      <c r="B52" s="1">
        <v>45354</v>
      </c>
      <c r="C52" s="1">
        <v>45435</v>
      </c>
      <c r="D52" t="s">
        <v>112</v>
      </c>
      <c r="E52" t="s">
        <v>29</v>
      </c>
      <c r="F52" t="s">
        <v>45</v>
      </c>
      <c r="G52" t="s">
        <v>50</v>
      </c>
      <c r="H52" t="s">
        <v>21</v>
      </c>
      <c r="I52" t="s">
        <v>52</v>
      </c>
      <c r="J52">
        <v>3</v>
      </c>
      <c r="K52">
        <v>2610000</v>
      </c>
      <c r="L52">
        <v>0.104</v>
      </c>
      <c r="M52" t="s">
        <v>23</v>
      </c>
      <c r="N52">
        <v>7016000</v>
      </c>
      <c r="O52">
        <v>4.0999999999999996</v>
      </c>
      <c r="P52" t="b">
        <v>0</v>
      </c>
    </row>
    <row r="53" spans="1:16" x14ac:dyDescent="0.2">
      <c r="A53" t="s">
        <v>145</v>
      </c>
      <c r="B53" s="1">
        <v>45734</v>
      </c>
      <c r="C53" s="1">
        <v>45770</v>
      </c>
      <c r="D53" t="s">
        <v>146</v>
      </c>
      <c r="E53" t="s">
        <v>33</v>
      </c>
      <c r="F53" t="s">
        <v>45</v>
      </c>
      <c r="G53" t="s">
        <v>35</v>
      </c>
      <c r="H53" t="s">
        <v>51</v>
      </c>
      <c r="I53" t="s">
        <v>57</v>
      </c>
      <c r="J53">
        <v>4</v>
      </c>
      <c r="K53">
        <v>2701000</v>
      </c>
      <c r="L53">
        <v>0.114</v>
      </c>
      <c r="M53" t="s">
        <v>23</v>
      </c>
      <c r="N53">
        <v>9572000</v>
      </c>
      <c r="O53">
        <v>4</v>
      </c>
      <c r="P53" t="b">
        <v>1</v>
      </c>
    </row>
    <row r="54" spans="1:16" x14ac:dyDescent="0.2">
      <c r="A54" t="s">
        <v>147</v>
      </c>
      <c r="B54" s="1">
        <v>45617</v>
      </c>
      <c r="C54" s="1">
        <v>45692</v>
      </c>
      <c r="D54" t="s">
        <v>70</v>
      </c>
      <c r="E54" t="s">
        <v>29</v>
      </c>
      <c r="F54" t="s">
        <v>45</v>
      </c>
      <c r="G54" t="s">
        <v>20</v>
      </c>
      <c r="H54" t="s">
        <v>40</v>
      </c>
      <c r="I54" t="s">
        <v>83</v>
      </c>
      <c r="J54">
        <v>5</v>
      </c>
      <c r="K54">
        <v>2945000</v>
      </c>
      <c r="L54">
        <v>0.153</v>
      </c>
      <c r="M54" t="s">
        <v>23</v>
      </c>
      <c r="N54">
        <v>12472000</v>
      </c>
      <c r="O54">
        <v>5</v>
      </c>
      <c r="P54" t="b">
        <v>1</v>
      </c>
    </row>
    <row r="55" spans="1:16" x14ac:dyDescent="0.2">
      <c r="A55" t="s">
        <v>148</v>
      </c>
      <c r="B55" s="1">
        <v>45902</v>
      </c>
      <c r="C55" s="1">
        <v>45928</v>
      </c>
      <c r="D55" t="s">
        <v>149</v>
      </c>
      <c r="E55" t="s">
        <v>45</v>
      </c>
      <c r="F55" t="s">
        <v>39</v>
      </c>
      <c r="G55" t="s">
        <v>50</v>
      </c>
      <c r="H55" t="s">
        <v>21</v>
      </c>
      <c r="I55" t="s">
        <v>77</v>
      </c>
      <c r="J55">
        <v>1</v>
      </c>
      <c r="K55">
        <v>2253000</v>
      </c>
      <c r="L55">
        <v>8.5999999999999993E-2</v>
      </c>
      <c r="M55" t="s">
        <v>23</v>
      </c>
      <c r="N55">
        <v>2059000</v>
      </c>
      <c r="O55">
        <v>4.7</v>
      </c>
      <c r="P55" t="b">
        <v>1</v>
      </c>
    </row>
    <row r="56" spans="1:16" x14ac:dyDescent="0.2">
      <c r="A56" t="s">
        <v>150</v>
      </c>
      <c r="B56" s="1">
        <v>45758</v>
      </c>
      <c r="C56" s="1">
        <v>45781</v>
      </c>
      <c r="D56" t="s">
        <v>151</v>
      </c>
      <c r="E56" t="s">
        <v>45</v>
      </c>
      <c r="F56" t="s">
        <v>39</v>
      </c>
      <c r="G56" t="s">
        <v>50</v>
      </c>
      <c r="H56" t="s">
        <v>47</v>
      </c>
      <c r="I56" t="s">
        <v>99</v>
      </c>
      <c r="J56">
        <v>1</v>
      </c>
      <c r="K56">
        <v>2233000</v>
      </c>
      <c r="L56">
        <v>7.3999999999999996E-2</v>
      </c>
      <c r="M56" t="s">
        <v>23</v>
      </c>
      <c r="N56">
        <v>2068000</v>
      </c>
      <c r="O56">
        <v>3.7</v>
      </c>
      <c r="P56" t="b">
        <v>1</v>
      </c>
    </row>
    <row r="57" spans="1:16" x14ac:dyDescent="0.2">
      <c r="A57" t="s">
        <v>152</v>
      </c>
      <c r="B57" s="1">
        <v>45672</v>
      </c>
      <c r="C57" s="1">
        <v>45745</v>
      </c>
      <c r="D57" t="s">
        <v>153</v>
      </c>
      <c r="E57" t="s">
        <v>33</v>
      </c>
      <c r="F57" t="s">
        <v>34</v>
      </c>
      <c r="G57" t="s">
        <v>20</v>
      </c>
      <c r="H57" t="s">
        <v>21</v>
      </c>
      <c r="I57" t="s">
        <v>26</v>
      </c>
      <c r="J57">
        <v>2</v>
      </c>
      <c r="K57">
        <v>4008000</v>
      </c>
      <c r="L57">
        <v>0.14599999999999999</v>
      </c>
      <c r="M57" t="s">
        <v>23</v>
      </c>
      <c r="N57">
        <v>6846000</v>
      </c>
      <c r="O57">
        <v>5</v>
      </c>
      <c r="P57" t="b">
        <v>1</v>
      </c>
    </row>
    <row r="58" spans="1:16" x14ac:dyDescent="0.2">
      <c r="A58" t="s">
        <v>154</v>
      </c>
      <c r="B58" s="1">
        <v>45609</v>
      </c>
      <c r="C58" s="1">
        <v>45695</v>
      </c>
      <c r="D58" t="s">
        <v>155</v>
      </c>
      <c r="E58" t="s">
        <v>33</v>
      </c>
      <c r="F58" t="s">
        <v>25</v>
      </c>
      <c r="G58" t="s">
        <v>35</v>
      </c>
      <c r="H58" t="s">
        <v>47</v>
      </c>
      <c r="I58" t="s">
        <v>60</v>
      </c>
      <c r="J58">
        <v>1</v>
      </c>
      <c r="K58">
        <v>5934000</v>
      </c>
      <c r="L58">
        <v>0</v>
      </c>
      <c r="M58" t="s">
        <v>23</v>
      </c>
      <c r="N58">
        <v>5934000</v>
      </c>
      <c r="O58">
        <v>4</v>
      </c>
      <c r="P58" t="b">
        <v>1</v>
      </c>
    </row>
    <row r="59" spans="1:16" x14ac:dyDescent="0.2">
      <c r="A59" t="s">
        <v>156</v>
      </c>
      <c r="B59" s="1">
        <v>45325</v>
      </c>
      <c r="C59" s="1">
        <v>45404</v>
      </c>
      <c r="D59" t="s">
        <v>157</v>
      </c>
      <c r="E59" t="s">
        <v>29</v>
      </c>
      <c r="F59" t="s">
        <v>34</v>
      </c>
      <c r="G59" t="s">
        <v>20</v>
      </c>
      <c r="H59" t="s">
        <v>21</v>
      </c>
      <c r="I59" t="s">
        <v>57</v>
      </c>
      <c r="J59">
        <v>2</v>
      </c>
      <c r="K59">
        <v>4416000</v>
      </c>
      <c r="L59">
        <v>8.4000000000000005E-2</v>
      </c>
      <c r="M59" t="s">
        <v>23</v>
      </c>
      <c r="N59">
        <v>8090000</v>
      </c>
      <c r="O59">
        <v>4.2</v>
      </c>
      <c r="P59" t="b">
        <v>0</v>
      </c>
    </row>
    <row r="60" spans="1:16" x14ac:dyDescent="0.2">
      <c r="A60" t="s">
        <v>158</v>
      </c>
      <c r="B60" s="1">
        <v>45335</v>
      </c>
      <c r="C60" s="1">
        <v>45405</v>
      </c>
      <c r="D60" t="s">
        <v>159</v>
      </c>
      <c r="E60" t="s">
        <v>33</v>
      </c>
      <c r="F60" t="s">
        <v>39</v>
      </c>
      <c r="G60" t="s">
        <v>35</v>
      </c>
      <c r="H60" t="s">
        <v>47</v>
      </c>
      <c r="I60" t="s">
        <v>52</v>
      </c>
      <c r="J60">
        <v>1</v>
      </c>
      <c r="K60">
        <v>2932000</v>
      </c>
      <c r="L60">
        <v>5.0999999999999997E-2</v>
      </c>
      <c r="M60" t="s">
        <v>65</v>
      </c>
      <c r="N60">
        <v>0</v>
      </c>
      <c r="P60" t="b">
        <v>1</v>
      </c>
    </row>
    <row r="61" spans="1:16" x14ac:dyDescent="0.2">
      <c r="A61" t="s">
        <v>160</v>
      </c>
      <c r="B61" s="1">
        <v>45675</v>
      </c>
      <c r="C61" s="1">
        <v>45704</v>
      </c>
      <c r="D61" t="s">
        <v>161</v>
      </c>
      <c r="E61" t="s">
        <v>45</v>
      </c>
      <c r="F61" t="s">
        <v>45</v>
      </c>
      <c r="G61" t="s">
        <v>35</v>
      </c>
      <c r="H61" t="s">
        <v>21</v>
      </c>
      <c r="I61" t="s">
        <v>60</v>
      </c>
      <c r="J61">
        <v>2</v>
      </c>
      <c r="K61">
        <v>3548000</v>
      </c>
      <c r="L61">
        <v>0.192</v>
      </c>
      <c r="M61" t="s">
        <v>23</v>
      </c>
      <c r="N61">
        <v>5734000</v>
      </c>
      <c r="O61">
        <v>3.2</v>
      </c>
      <c r="P61" t="b">
        <v>1</v>
      </c>
    </row>
    <row r="62" spans="1:16" x14ac:dyDescent="0.2">
      <c r="A62" t="s">
        <v>162</v>
      </c>
      <c r="B62" s="1">
        <v>45294</v>
      </c>
      <c r="C62" s="1">
        <v>45377</v>
      </c>
      <c r="D62" t="s">
        <v>163</v>
      </c>
      <c r="E62" t="s">
        <v>33</v>
      </c>
      <c r="F62" t="s">
        <v>19</v>
      </c>
      <c r="G62" t="s">
        <v>50</v>
      </c>
      <c r="H62" t="s">
        <v>21</v>
      </c>
      <c r="I62" t="s">
        <v>94</v>
      </c>
      <c r="J62">
        <v>1</v>
      </c>
      <c r="K62">
        <v>2210000</v>
      </c>
      <c r="L62">
        <v>9.4E-2</v>
      </c>
      <c r="M62" t="s">
        <v>65</v>
      </c>
      <c r="N62">
        <v>0</v>
      </c>
      <c r="P62" t="b">
        <v>0</v>
      </c>
    </row>
    <row r="63" spans="1:16" x14ac:dyDescent="0.2">
      <c r="A63" t="s">
        <v>164</v>
      </c>
      <c r="B63" s="1">
        <v>45318</v>
      </c>
      <c r="C63" s="1">
        <v>45382</v>
      </c>
      <c r="D63" t="s">
        <v>165</v>
      </c>
      <c r="E63" t="s">
        <v>18</v>
      </c>
      <c r="F63" t="s">
        <v>34</v>
      </c>
      <c r="G63" t="s">
        <v>46</v>
      </c>
      <c r="H63" t="s">
        <v>47</v>
      </c>
      <c r="I63" t="s">
        <v>52</v>
      </c>
      <c r="J63">
        <v>2</v>
      </c>
      <c r="K63">
        <v>4644000</v>
      </c>
      <c r="L63">
        <v>8.5999999999999993E-2</v>
      </c>
      <c r="M63" t="s">
        <v>23</v>
      </c>
      <c r="N63">
        <v>8489000</v>
      </c>
      <c r="O63">
        <v>3.9</v>
      </c>
      <c r="P63" t="b">
        <v>0</v>
      </c>
    </row>
    <row r="64" spans="1:16" x14ac:dyDescent="0.2">
      <c r="A64" t="s">
        <v>166</v>
      </c>
      <c r="B64" s="1">
        <v>45428</v>
      </c>
      <c r="C64" s="1">
        <v>45451</v>
      </c>
      <c r="D64" t="s">
        <v>167</v>
      </c>
      <c r="E64" t="s">
        <v>18</v>
      </c>
      <c r="F64" t="s">
        <v>19</v>
      </c>
      <c r="G64" t="s">
        <v>20</v>
      </c>
      <c r="H64" t="s">
        <v>21</v>
      </c>
      <c r="I64" t="s">
        <v>60</v>
      </c>
      <c r="J64">
        <v>1</v>
      </c>
      <c r="K64">
        <v>2279000</v>
      </c>
      <c r="L64">
        <v>5.8000000000000003E-2</v>
      </c>
      <c r="M64" t="s">
        <v>23</v>
      </c>
      <c r="N64">
        <v>2147000</v>
      </c>
      <c r="O64">
        <v>4.3</v>
      </c>
      <c r="P64" t="b">
        <v>0</v>
      </c>
    </row>
    <row r="65" spans="1:16" x14ac:dyDescent="0.2">
      <c r="A65" t="s">
        <v>168</v>
      </c>
      <c r="B65" s="1">
        <v>45842</v>
      </c>
      <c r="C65" s="1">
        <v>45862</v>
      </c>
      <c r="D65" t="s">
        <v>169</v>
      </c>
      <c r="E65" t="s">
        <v>29</v>
      </c>
      <c r="F65" t="s">
        <v>45</v>
      </c>
      <c r="G65" t="s">
        <v>20</v>
      </c>
      <c r="H65" t="s">
        <v>21</v>
      </c>
      <c r="I65" t="s">
        <v>83</v>
      </c>
      <c r="J65">
        <v>3</v>
      </c>
      <c r="K65">
        <v>2282000</v>
      </c>
      <c r="L65">
        <v>3.5999999999999997E-2</v>
      </c>
      <c r="M65" t="s">
        <v>23</v>
      </c>
      <c r="N65">
        <v>6600000</v>
      </c>
      <c r="O65">
        <v>4.4000000000000004</v>
      </c>
      <c r="P65" t="b">
        <v>1</v>
      </c>
    </row>
    <row r="66" spans="1:16" x14ac:dyDescent="0.2">
      <c r="A66" t="s">
        <v>170</v>
      </c>
      <c r="B66" s="1">
        <v>45577</v>
      </c>
      <c r="C66" s="1">
        <v>45657</v>
      </c>
      <c r="D66" t="s">
        <v>171</v>
      </c>
      <c r="E66" t="s">
        <v>33</v>
      </c>
      <c r="F66" t="s">
        <v>34</v>
      </c>
      <c r="G66" t="s">
        <v>20</v>
      </c>
      <c r="H66" t="s">
        <v>47</v>
      </c>
      <c r="I66" t="s">
        <v>94</v>
      </c>
      <c r="J66">
        <v>1</v>
      </c>
      <c r="K66">
        <v>4885000</v>
      </c>
      <c r="L66">
        <v>4.3999999999999997E-2</v>
      </c>
      <c r="M66" t="s">
        <v>23</v>
      </c>
      <c r="N66">
        <v>4670000</v>
      </c>
      <c r="O66">
        <v>4.2</v>
      </c>
      <c r="P66" t="b">
        <v>1</v>
      </c>
    </row>
    <row r="67" spans="1:16" x14ac:dyDescent="0.2">
      <c r="A67" t="s">
        <v>172</v>
      </c>
      <c r="B67" s="1">
        <v>45734</v>
      </c>
      <c r="C67" s="1">
        <v>45766</v>
      </c>
      <c r="D67" t="s">
        <v>173</v>
      </c>
      <c r="E67" t="s">
        <v>18</v>
      </c>
      <c r="F67" t="s">
        <v>34</v>
      </c>
      <c r="G67" t="s">
        <v>20</v>
      </c>
      <c r="H67" t="s">
        <v>21</v>
      </c>
      <c r="I67" t="s">
        <v>60</v>
      </c>
      <c r="J67">
        <v>2</v>
      </c>
      <c r="K67">
        <v>4069000</v>
      </c>
      <c r="L67">
        <v>0.126</v>
      </c>
      <c r="M67" t="s">
        <v>23</v>
      </c>
      <c r="N67">
        <v>7113000</v>
      </c>
      <c r="O67">
        <v>4.0999999999999996</v>
      </c>
      <c r="P67" t="b">
        <v>1</v>
      </c>
    </row>
    <row r="68" spans="1:16" x14ac:dyDescent="0.2">
      <c r="A68" t="s">
        <v>174</v>
      </c>
      <c r="B68" s="1">
        <v>45548</v>
      </c>
      <c r="C68" s="1">
        <v>45620</v>
      </c>
      <c r="D68" t="s">
        <v>169</v>
      </c>
      <c r="E68" t="s">
        <v>29</v>
      </c>
      <c r="F68" t="s">
        <v>39</v>
      </c>
      <c r="G68" t="s">
        <v>20</v>
      </c>
      <c r="H68" t="s">
        <v>47</v>
      </c>
      <c r="I68" t="s">
        <v>94</v>
      </c>
      <c r="J68">
        <v>1</v>
      </c>
      <c r="K68">
        <v>2276000</v>
      </c>
      <c r="L68">
        <v>9.5000000000000001E-2</v>
      </c>
      <c r="M68" t="s">
        <v>23</v>
      </c>
      <c r="N68">
        <v>2060000</v>
      </c>
      <c r="O68">
        <v>4.7</v>
      </c>
      <c r="P68" t="b">
        <v>1</v>
      </c>
    </row>
    <row r="69" spans="1:16" x14ac:dyDescent="0.2">
      <c r="A69" t="s">
        <v>175</v>
      </c>
      <c r="B69" s="1">
        <v>45399</v>
      </c>
      <c r="C69" s="1">
        <v>45420</v>
      </c>
      <c r="D69" t="s">
        <v>103</v>
      </c>
      <c r="E69" t="s">
        <v>18</v>
      </c>
      <c r="F69" t="s">
        <v>45</v>
      </c>
      <c r="G69" t="s">
        <v>20</v>
      </c>
      <c r="H69" t="s">
        <v>40</v>
      </c>
      <c r="I69" t="s">
        <v>26</v>
      </c>
      <c r="J69">
        <v>4</v>
      </c>
      <c r="K69">
        <v>2936000</v>
      </c>
      <c r="L69">
        <v>9.4E-2</v>
      </c>
      <c r="M69" t="s">
        <v>23</v>
      </c>
      <c r="N69">
        <v>10640000</v>
      </c>
      <c r="O69">
        <v>4.4000000000000004</v>
      </c>
      <c r="P69" t="b">
        <v>0</v>
      </c>
    </row>
    <row r="70" spans="1:16" x14ac:dyDescent="0.2">
      <c r="A70" t="s">
        <v>176</v>
      </c>
      <c r="B70" s="1">
        <v>45523</v>
      </c>
      <c r="C70" s="1">
        <v>45555</v>
      </c>
      <c r="D70" t="s">
        <v>177</v>
      </c>
      <c r="E70" t="s">
        <v>18</v>
      </c>
      <c r="F70" t="s">
        <v>34</v>
      </c>
      <c r="G70" t="s">
        <v>20</v>
      </c>
      <c r="H70" t="s">
        <v>40</v>
      </c>
      <c r="I70" t="s">
        <v>83</v>
      </c>
      <c r="J70">
        <v>2</v>
      </c>
      <c r="K70">
        <v>4156000</v>
      </c>
      <c r="L70">
        <v>5.8999999999999997E-2</v>
      </c>
      <c r="M70" t="s">
        <v>23</v>
      </c>
      <c r="N70">
        <v>7822000</v>
      </c>
      <c r="O70">
        <v>4.2</v>
      </c>
      <c r="P70" t="b">
        <v>1</v>
      </c>
    </row>
    <row r="71" spans="1:16" x14ac:dyDescent="0.2">
      <c r="A71" t="s">
        <v>178</v>
      </c>
      <c r="B71" s="1">
        <v>45349</v>
      </c>
      <c r="C71" s="1">
        <v>45381</v>
      </c>
      <c r="D71" t="s">
        <v>179</v>
      </c>
      <c r="E71" t="s">
        <v>45</v>
      </c>
      <c r="F71" t="s">
        <v>19</v>
      </c>
      <c r="G71" t="s">
        <v>20</v>
      </c>
      <c r="H71" t="s">
        <v>21</v>
      </c>
      <c r="I71" t="s">
        <v>52</v>
      </c>
      <c r="J71">
        <v>1</v>
      </c>
      <c r="K71">
        <v>1795000</v>
      </c>
      <c r="L71">
        <v>5.0999999999999997E-2</v>
      </c>
      <c r="M71" t="s">
        <v>23</v>
      </c>
      <c r="N71">
        <v>1703000</v>
      </c>
      <c r="O71">
        <v>4.3</v>
      </c>
      <c r="P71" t="b">
        <v>0</v>
      </c>
    </row>
    <row r="72" spans="1:16" x14ac:dyDescent="0.2">
      <c r="A72" t="s">
        <v>180</v>
      </c>
      <c r="B72" s="1">
        <v>45771</v>
      </c>
      <c r="C72" s="1">
        <v>45803</v>
      </c>
      <c r="D72" t="s">
        <v>181</v>
      </c>
      <c r="E72" t="s">
        <v>45</v>
      </c>
      <c r="F72" t="s">
        <v>68</v>
      </c>
      <c r="G72" t="s">
        <v>20</v>
      </c>
      <c r="H72" t="s">
        <v>21</v>
      </c>
      <c r="I72" t="s">
        <v>30</v>
      </c>
      <c r="J72">
        <v>4</v>
      </c>
      <c r="K72">
        <v>3063000</v>
      </c>
      <c r="L72">
        <v>0.124</v>
      </c>
      <c r="M72" t="s">
        <v>23</v>
      </c>
      <c r="N72">
        <v>10733000</v>
      </c>
      <c r="O72">
        <v>5</v>
      </c>
      <c r="P72" t="b">
        <v>1</v>
      </c>
    </row>
    <row r="73" spans="1:16" x14ac:dyDescent="0.2">
      <c r="A73" t="s">
        <v>182</v>
      </c>
      <c r="B73" s="1">
        <v>45406</v>
      </c>
      <c r="C73" s="1">
        <v>45470</v>
      </c>
      <c r="D73" t="s">
        <v>183</v>
      </c>
      <c r="E73" t="s">
        <v>18</v>
      </c>
      <c r="F73" t="s">
        <v>123</v>
      </c>
      <c r="G73" t="s">
        <v>50</v>
      </c>
      <c r="H73" t="s">
        <v>51</v>
      </c>
      <c r="I73" t="s">
        <v>22</v>
      </c>
      <c r="J73">
        <v>4</v>
      </c>
      <c r="K73">
        <v>2218000</v>
      </c>
      <c r="L73">
        <v>7.1999999999999995E-2</v>
      </c>
      <c r="M73" t="s">
        <v>23</v>
      </c>
      <c r="N73">
        <v>8233000</v>
      </c>
      <c r="O73">
        <v>4.3</v>
      </c>
      <c r="P73" t="b">
        <v>0</v>
      </c>
    </row>
    <row r="74" spans="1:16" x14ac:dyDescent="0.2">
      <c r="A74" t="s">
        <v>184</v>
      </c>
      <c r="B74" s="1">
        <v>45526</v>
      </c>
      <c r="C74" s="1">
        <v>45610</v>
      </c>
      <c r="D74" t="s">
        <v>185</v>
      </c>
      <c r="E74" t="s">
        <v>45</v>
      </c>
      <c r="F74" t="s">
        <v>45</v>
      </c>
      <c r="G74" t="s">
        <v>20</v>
      </c>
      <c r="H74" t="s">
        <v>21</v>
      </c>
      <c r="I74" t="s">
        <v>83</v>
      </c>
      <c r="J74">
        <v>3</v>
      </c>
      <c r="K74">
        <v>2034000</v>
      </c>
      <c r="L74">
        <v>3.4000000000000002E-2</v>
      </c>
      <c r="M74" t="s">
        <v>23</v>
      </c>
      <c r="N74">
        <v>5895000</v>
      </c>
      <c r="O74">
        <v>3.9</v>
      </c>
      <c r="P74" t="b">
        <v>1</v>
      </c>
    </row>
    <row r="75" spans="1:16" x14ac:dyDescent="0.2">
      <c r="A75" t="s">
        <v>186</v>
      </c>
      <c r="B75" s="1">
        <v>45902</v>
      </c>
      <c r="C75" s="1">
        <v>45985</v>
      </c>
      <c r="D75" t="s">
        <v>187</v>
      </c>
      <c r="E75" t="s">
        <v>18</v>
      </c>
      <c r="F75" t="s">
        <v>19</v>
      </c>
      <c r="G75" t="s">
        <v>35</v>
      </c>
      <c r="H75" t="s">
        <v>21</v>
      </c>
      <c r="I75" t="s">
        <v>26</v>
      </c>
      <c r="J75">
        <v>1</v>
      </c>
      <c r="K75">
        <v>1702000</v>
      </c>
      <c r="L75">
        <v>0.16600000000000001</v>
      </c>
      <c r="M75" t="s">
        <v>23</v>
      </c>
      <c r="N75">
        <v>1419000</v>
      </c>
      <c r="O75">
        <v>3.2</v>
      </c>
      <c r="P75" t="b">
        <v>1</v>
      </c>
    </row>
    <row r="76" spans="1:16" x14ac:dyDescent="0.2">
      <c r="A76" t="s">
        <v>188</v>
      </c>
      <c r="B76" s="1">
        <v>45660</v>
      </c>
      <c r="C76" s="1">
        <v>45730</v>
      </c>
      <c r="D76" t="s">
        <v>112</v>
      </c>
      <c r="E76" t="s">
        <v>29</v>
      </c>
      <c r="F76" t="s">
        <v>19</v>
      </c>
      <c r="G76" t="s">
        <v>50</v>
      </c>
      <c r="H76" t="s">
        <v>21</v>
      </c>
      <c r="I76" t="s">
        <v>83</v>
      </c>
      <c r="J76">
        <v>1</v>
      </c>
      <c r="K76">
        <v>2719000</v>
      </c>
      <c r="L76">
        <v>0.16600000000000001</v>
      </c>
      <c r="M76" t="s">
        <v>23</v>
      </c>
      <c r="N76">
        <v>2268000</v>
      </c>
      <c r="O76">
        <v>3.5</v>
      </c>
      <c r="P76" t="b">
        <v>1</v>
      </c>
    </row>
    <row r="77" spans="1:16" x14ac:dyDescent="0.2">
      <c r="A77" t="s">
        <v>189</v>
      </c>
      <c r="B77" s="1">
        <v>45577</v>
      </c>
      <c r="C77" s="1">
        <v>45603</v>
      </c>
      <c r="D77" t="s">
        <v>190</v>
      </c>
      <c r="E77" t="s">
        <v>18</v>
      </c>
      <c r="F77" t="s">
        <v>34</v>
      </c>
      <c r="G77" t="s">
        <v>35</v>
      </c>
      <c r="H77" t="s">
        <v>21</v>
      </c>
      <c r="I77" t="s">
        <v>99</v>
      </c>
      <c r="J77">
        <v>1</v>
      </c>
      <c r="K77">
        <v>4186000</v>
      </c>
      <c r="L77">
        <v>0.17799999999999999</v>
      </c>
      <c r="M77" t="s">
        <v>23</v>
      </c>
      <c r="N77">
        <v>3441000</v>
      </c>
      <c r="O77">
        <v>4</v>
      </c>
      <c r="P77" t="b">
        <v>1</v>
      </c>
    </row>
    <row r="78" spans="1:16" x14ac:dyDescent="0.2">
      <c r="A78" t="s">
        <v>191</v>
      </c>
      <c r="B78" s="1">
        <v>45630</v>
      </c>
      <c r="C78" s="1">
        <v>45717</v>
      </c>
      <c r="D78" t="s">
        <v>192</v>
      </c>
      <c r="E78" t="s">
        <v>33</v>
      </c>
      <c r="F78" t="s">
        <v>45</v>
      </c>
      <c r="G78" t="s">
        <v>20</v>
      </c>
      <c r="H78" t="s">
        <v>40</v>
      </c>
      <c r="I78" t="s">
        <v>77</v>
      </c>
      <c r="J78">
        <v>3</v>
      </c>
      <c r="K78">
        <v>3588000</v>
      </c>
      <c r="L78">
        <v>0.13800000000000001</v>
      </c>
      <c r="M78" t="s">
        <v>23</v>
      </c>
      <c r="N78">
        <v>9279000</v>
      </c>
      <c r="O78">
        <v>4.0999999999999996</v>
      </c>
      <c r="P78" t="b">
        <v>1</v>
      </c>
    </row>
    <row r="79" spans="1:16" x14ac:dyDescent="0.2">
      <c r="A79" t="s">
        <v>193</v>
      </c>
      <c r="B79" s="1">
        <v>45780</v>
      </c>
      <c r="C79" s="1">
        <v>45833</v>
      </c>
      <c r="D79" t="s">
        <v>194</v>
      </c>
      <c r="E79" t="s">
        <v>45</v>
      </c>
      <c r="F79" t="s">
        <v>34</v>
      </c>
      <c r="G79" t="s">
        <v>20</v>
      </c>
      <c r="H79" t="s">
        <v>47</v>
      </c>
      <c r="I79" t="s">
        <v>52</v>
      </c>
      <c r="J79">
        <v>3</v>
      </c>
      <c r="K79">
        <v>2643000</v>
      </c>
      <c r="L79">
        <v>8.5000000000000006E-2</v>
      </c>
      <c r="M79" t="s">
        <v>23</v>
      </c>
      <c r="N79">
        <v>7255000</v>
      </c>
      <c r="O79">
        <v>3.9</v>
      </c>
      <c r="P79" t="b">
        <v>1</v>
      </c>
    </row>
    <row r="80" spans="1:16" x14ac:dyDescent="0.2">
      <c r="A80" t="s">
        <v>195</v>
      </c>
      <c r="B80" s="1">
        <v>45450</v>
      </c>
      <c r="C80" s="1">
        <v>45504</v>
      </c>
      <c r="D80" t="s">
        <v>196</v>
      </c>
      <c r="E80" t="s">
        <v>18</v>
      </c>
      <c r="F80" t="s">
        <v>34</v>
      </c>
      <c r="G80" t="s">
        <v>35</v>
      </c>
      <c r="H80" t="s">
        <v>47</v>
      </c>
      <c r="I80" t="s">
        <v>26</v>
      </c>
      <c r="J80">
        <v>3</v>
      </c>
      <c r="K80">
        <v>4665000</v>
      </c>
      <c r="L80">
        <v>0.14699999999999999</v>
      </c>
      <c r="M80" t="s">
        <v>23</v>
      </c>
      <c r="N80">
        <v>11938000</v>
      </c>
      <c r="O80">
        <v>4.4000000000000004</v>
      </c>
      <c r="P80" t="b">
        <v>0</v>
      </c>
    </row>
    <row r="81" spans="1:16" x14ac:dyDescent="0.2">
      <c r="A81" t="s">
        <v>197</v>
      </c>
      <c r="B81" s="1">
        <v>45688</v>
      </c>
      <c r="C81" s="1">
        <v>45754</v>
      </c>
      <c r="D81" t="s">
        <v>198</v>
      </c>
      <c r="E81" t="s">
        <v>18</v>
      </c>
      <c r="F81" t="s">
        <v>45</v>
      </c>
      <c r="G81" t="s">
        <v>35</v>
      </c>
      <c r="H81" t="s">
        <v>47</v>
      </c>
      <c r="I81" t="s">
        <v>60</v>
      </c>
      <c r="J81">
        <v>3</v>
      </c>
      <c r="K81">
        <v>3384000</v>
      </c>
      <c r="L81">
        <v>0.10199999999999999</v>
      </c>
      <c r="M81" t="s">
        <v>23</v>
      </c>
      <c r="N81">
        <v>9116000</v>
      </c>
      <c r="O81">
        <v>3.9</v>
      </c>
      <c r="P81" t="b">
        <v>1</v>
      </c>
    </row>
    <row r="82" spans="1:16" x14ac:dyDescent="0.2">
      <c r="A82" t="s">
        <v>199</v>
      </c>
      <c r="B82" s="1">
        <v>45835</v>
      </c>
      <c r="C82" s="1">
        <v>45907</v>
      </c>
      <c r="D82" t="s">
        <v>200</v>
      </c>
      <c r="E82" t="s">
        <v>33</v>
      </c>
      <c r="F82" t="s">
        <v>68</v>
      </c>
      <c r="G82" t="s">
        <v>20</v>
      </c>
      <c r="H82" t="s">
        <v>21</v>
      </c>
      <c r="I82" t="s">
        <v>26</v>
      </c>
      <c r="J82">
        <v>1</v>
      </c>
      <c r="K82">
        <v>3055000</v>
      </c>
      <c r="L82">
        <v>5.7000000000000002E-2</v>
      </c>
      <c r="M82" t="s">
        <v>23</v>
      </c>
      <c r="N82">
        <v>2881000</v>
      </c>
      <c r="O82">
        <v>3.7</v>
      </c>
      <c r="P82" t="b">
        <v>0</v>
      </c>
    </row>
    <row r="83" spans="1:16" x14ac:dyDescent="0.2">
      <c r="A83" t="s">
        <v>201</v>
      </c>
      <c r="B83" s="1">
        <v>45648</v>
      </c>
      <c r="C83" s="1">
        <v>45735</v>
      </c>
      <c r="D83" t="s">
        <v>202</v>
      </c>
      <c r="E83" t="s">
        <v>33</v>
      </c>
      <c r="F83" t="s">
        <v>45</v>
      </c>
      <c r="G83" t="s">
        <v>20</v>
      </c>
      <c r="H83" t="s">
        <v>21</v>
      </c>
      <c r="I83" t="s">
        <v>52</v>
      </c>
      <c r="J83">
        <v>2</v>
      </c>
      <c r="K83">
        <v>3265000</v>
      </c>
      <c r="L83">
        <v>2.8000000000000001E-2</v>
      </c>
      <c r="M83" t="s">
        <v>23</v>
      </c>
      <c r="N83">
        <v>6347000</v>
      </c>
      <c r="O83">
        <v>4.5</v>
      </c>
      <c r="P83" t="b">
        <v>1</v>
      </c>
    </row>
    <row r="84" spans="1:16" x14ac:dyDescent="0.2">
      <c r="A84" t="s">
        <v>203</v>
      </c>
      <c r="B84" s="1">
        <v>45570</v>
      </c>
      <c r="C84" s="1">
        <v>45627</v>
      </c>
      <c r="D84" t="s">
        <v>204</v>
      </c>
      <c r="E84" t="s">
        <v>45</v>
      </c>
      <c r="F84" t="s">
        <v>123</v>
      </c>
      <c r="G84" t="s">
        <v>35</v>
      </c>
      <c r="H84" t="s">
        <v>21</v>
      </c>
      <c r="I84" t="s">
        <v>94</v>
      </c>
      <c r="J84">
        <v>2</v>
      </c>
      <c r="K84">
        <v>3361000</v>
      </c>
      <c r="L84">
        <v>0.13</v>
      </c>
      <c r="M84" t="s">
        <v>23</v>
      </c>
      <c r="N84">
        <v>5848000</v>
      </c>
      <c r="O84">
        <v>4.9000000000000004</v>
      </c>
      <c r="P84" t="b">
        <v>1</v>
      </c>
    </row>
    <row r="85" spans="1:16" x14ac:dyDescent="0.2">
      <c r="A85" t="s">
        <v>205</v>
      </c>
      <c r="B85" s="1">
        <v>45382</v>
      </c>
      <c r="C85" s="1">
        <v>45441</v>
      </c>
      <c r="D85" t="s">
        <v>206</v>
      </c>
      <c r="E85" t="s">
        <v>33</v>
      </c>
      <c r="F85" t="s">
        <v>25</v>
      </c>
      <c r="G85" t="s">
        <v>20</v>
      </c>
      <c r="H85" t="s">
        <v>47</v>
      </c>
      <c r="I85" t="s">
        <v>22</v>
      </c>
      <c r="J85">
        <v>1</v>
      </c>
      <c r="K85">
        <v>4778000</v>
      </c>
      <c r="L85">
        <v>0.22600000000000001</v>
      </c>
      <c r="M85" t="s">
        <v>23</v>
      </c>
      <c r="N85">
        <v>3698000</v>
      </c>
      <c r="O85">
        <v>3.6</v>
      </c>
      <c r="P85" t="b">
        <v>1</v>
      </c>
    </row>
    <row r="86" spans="1:16" x14ac:dyDescent="0.2">
      <c r="A86" t="s">
        <v>207</v>
      </c>
      <c r="B86" s="1">
        <v>45446</v>
      </c>
      <c r="C86" s="1">
        <v>45516</v>
      </c>
      <c r="D86" t="s">
        <v>85</v>
      </c>
      <c r="E86" t="s">
        <v>18</v>
      </c>
      <c r="F86" t="s">
        <v>19</v>
      </c>
      <c r="G86" t="s">
        <v>35</v>
      </c>
      <c r="H86" t="s">
        <v>21</v>
      </c>
      <c r="I86" t="s">
        <v>77</v>
      </c>
      <c r="J86">
        <v>3</v>
      </c>
      <c r="K86">
        <v>3106000</v>
      </c>
      <c r="L86">
        <v>2.3E-2</v>
      </c>
      <c r="M86" t="s">
        <v>23</v>
      </c>
      <c r="N86">
        <v>9104000</v>
      </c>
      <c r="O86">
        <v>4.3</v>
      </c>
      <c r="P86" t="b">
        <v>0</v>
      </c>
    </row>
    <row r="87" spans="1:16" x14ac:dyDescent="0.2">
      <c r="A87" t="s">
        <v>208</v>
      </c>
      <c r="B87" s="1">
        <v>45881</v>
      </c>
      <c r="C87" s="1">
        <v>45911</v>
      </c>
      <c r="D87" t="s">
        <v>209</v>
      </c>
      <c r="E87" t="s">
        <v>45</v>
      </c>
      <c r="F87" t="s">
        <v>19</v>
      </c>
      <c r="G87" t="s">
        <v>20</v>
      </c>
      <c r="H87" t="s">
        <v>40</v>
      </c>
      <c r="I87" t="s">
        <v>60</v>
      </c>
      <c r="J87">
        <v>3</v>
      </c>
      <c r="K87">
        <v>2797000</v>
      </c>
      <c r="L87">
        <v>7.5999999999999998E-2</v>
      </c>
      <c r="M87" t="s">
        <v>23</v>
      </c>
      <c r="N87">
        <v>7753000</v>
      </c>
      <c r="O87">
        <v>3.2</v>
      </c>
      <c r="P87" t="b">
        <v>1</v>
      </c>
    </row>
    <row r="88" spans="1:16" x14ac:dyDescent="0.2">
      <c r="A88" t="s">
        <v>210</v>
      </c>
      <c r="B88" s="1">
        <v>45629</v>
      </c>
      <c r="C88" s="1">
        <v>45663</v>
      </c>
      <c r="D88" t="s">
        <v>211</v>
      </c>
      <c r="E88" t="s">
        <v>18</v>
      </c>
      <c r="F88" t="s">
        <v>25</v>
      </c>
      <c r="G88" t="s">
        <v>20</v>
      </c>
      <c r="H88" t="s">
        <v>21</v>
      </c>
      <c r="I88" t="s">
        <v>22</v>
      </c>
      <c r="J88">
        <v>1</v>
      </c>
      <c r="K88">
        <v>4633000</v>
      </c>
      <c r="L88">
        <v>0.10100000000000001</v>
      </c>
      <c r="M88" t="s">
        <v>23</v>
      </c>
      <c r="N88">
        <v>4165000</v>
      </c>
      <c r="O88">
        <v>3.5</v>
      </c>
      <c r="P88" t="b">
        <v>0</v>
      </c>
    </row>
    <row r="89" spans="1:16" x14ac:dyDescent="0.2">
      <c r="A89" t="s">
        <v>212</v>
      </c>
      <c r="B89" s="1">
        <v>45479</v>
      </c>
      <c r="C89" s="1">
        <v>45539</v>
      </c>
      <c r="D89" t="s">
        <v>155</v>
      </c>
      <c r="E89" t="s">
        <v>33</v>
      </c>
      <c r="F89" t="s">
        <v>19</v>
      </c>
      <c r="G89" t="s">
        <v>50</v>
      </c>
      <c r="H89" t="s">
        <v>47</v>
      </c>
      <c r="I89" t="s">
        <v>60</v>
      </c>
      <c r="J89">
        <v>2</v>
      </c>
      <c r="K89">
        <v>1906000</v>
      </c>
      <c r="L89">
        <v>0.193</v>
      </c>
      <c r="M89" t="s">
        <v>23</v>
      </c>
      <c r="N89">
        <v>3076000</v>
      </c>
      <c r="O89">
        <v>3.9</v>
      </c>
      <c r="P89" t="b">
        <v>0</v>
      </c>
    </row>
    <row r="90" spans="1:16" x14ac:dyDescent="0.2">
      <c r="A90" t="s">
        <v>213</v>
      </c>
      <c r="B90" s="1">
        <v>45552</v>
      </c>
      <c r="C90" s="1">
        <v>45567</v>
      </c>
      <c r="D90" t="s">
        <v>214</v>
      </c>
      <c r="E90" t="s">
        <v>45</v>
      </c>
      <c r="F90" t="s">
        <v>25</v>
      </c>
      <c r="G90" t="s">
        <v>20</v>
      </c>
      <c r="H90" t="s">
        <v>47</v>
      </c>
      <c r="I90" t="s">
        <v>57</v>
      </c>
      <c r="J90">
        <v>2</v>
      </c>
      <c r="K90">
        <v>3458000</v>
      </c>
      <c r="L90">
        <v>4.2999999999999997E-2</v>
      </c>
      <c r="M90" t="s">
        <v>23</v>
      </c>
      <c r="N90">
        <v>6619000</v>
      </c>
      <c r="O90">
        <v>4.8</v>
      </c>
      <c r="P90" t="b">
        <v>1</v>
      </c>
    </row>
    <row r="91" spans="1:16" x14ac:dyDescent="0.2">
      <c r="A91" t="s">
        <v>215</v>
      </c>
      <c r="B91" s="1">
        <v>45652</v>
      </c>
      <c r="C91" s="1">
        <v>45687</v>
      </c>
      <c r="D91" t="s">
        <v>216</v>
      </c>
      <c r="E91" t="s">
        <v>29</v>
      </c>
      <c r="F91" t="s">
        <v>39</v>
      </c>
      <c r="G91" t="s">
        <v>35</v>
      </c>
      <c r="H91" t="s">
        <v>47</v>
      </c>
      <c r="I91" t="s">
        <v>77</v>
      </c>
      <c r="J91">
        <v>3</v>
      </c>
      <c r="K91">
        <v>3145000</v>
      </c>
      <c r="L91">
        <v>-0.2</v>
      </c>
      <c r="M91" t="s">
        <v>23</v>
      </c>
      <c r="N91">
        <v>9416000</v>
      </c>
      <c r="O91">
        <v>3.8</v>
      </c>
      <c r="P91" t="b">
        <v>1</v>
      </c>
    </row>
    <row r="92" spans="1:16" x14ac:dyDescent="0.2">
      <c r="A92" t="s">
        <v>217</v>
      </c>
      <c r="B92" s="1">
        <v>45626</v>
      </c>
      <c r="C92" s="1">
        <v>45694</v>
      </c>
      <c r="D92" t="s">
        <v>218</v>
      </c>
      <c r="E92" t="s">
        <v>33</v>
      </c>
      <c r="F92" t="s">
        <v>68</v>
      </c>
      <c r="G92" t="s">
        <v>20</v>
      </c>
      <c r="H92" t="s">
        <v>21</v>
      </c>
      <c r="I92" t="s">
        <v>60</v>
      </c>
      <c r="J92">
        <v>1</v>
      </c>
      <c r="K92">
        <v>3244000</v>
      </c>
      <c r="L92">
        <v>0.25</v>
      </c>
      <c r="M92" t="s">
        <v>23</v>
      </c>
      <c r="N92">
        <v>2433000</v>
      </c>
      <c r="O92">
        <v>3.8</v>
      </c>
      <c r="P92" t="b">
        <v>1</v>
      </c>
    </row>
    <row r="93" spans="1:16" x14ac:dyDescent="0.2">
      <c r="A93" t="s">
        <v>219</v>
      </c>
      <c r="B93" s="1">
        <v>45727</v>
      </c>
      <c r="C93" s="1">
        <v>45816</v>
      </c>
      <c r="D93" t="s">
        <v>220</v>
      </c>
      <c r="E93" t="s">
        <v>45</v>
      </c>
      <c r="F93" t="s">
        <v>34</v>
      </c>
      <c r="G93" t="s">
        <v>20</v>
      </c>
      <c r="H93" t="s">
        <v>51</v>
      </c>
      <c r="I93" t="s">
        <v>57</v>
      </c>
      <c r="J93">
        <v>1</v>
      </c>
      <c r="K93">
        <v>4454000</v>
      </c>
      <c r="L93">
        <v>7.1999999999999995E-2</v>
      </c>
      <c r="M93" t="s">
        <v>23</v>
      </c>
      <c r="N93">
        <v>4133000</v>
      </c>
      <c r="O93">
        <v>4.2</v>
      </c>
      <c r="P93" t="b">
        <v>1</v>
      </c>
    </row>
    <row r="94" spans="1:16" x14ac:dyDescent="0.2">
      <c r="A94" t="s">
        <v>221</v>
      </c>
      <c r="B94" s="1">
        <v>45452</v>
      </c>
      <c r="C94" s="1">
        <v>45504</v>
      </c>
      <c r="D94" t="s">
        <v>222</v>
      </c>
      <c r="E94" t="s">
        <v>45</v>
      </c>
      <c r="F94" t="s">
        <v>19</v>
      </c>
      <c r="G94" t="s">
        <v>50</v>
      </c>
      <c r="H94" t="s">
        <v>21</v>
      </c>
      <c r="I94" t="s">
        <v>26</v>
      </c>
      <c r="J94">
        <v>2</v>
      </c>
      <c r="K94">
        <v>2055000</v>
      </c>
      <c r="L94">
        <v>7.8E-2</v>
      </c>
      <c r="M94" t="s">
        <v>23</v>
      </c>
      <c r="N94">
        <v>3789000</v>
      </c>
      <c r="O94">
        <v>4.2</v>
      </c>
      <c r="P94" t="b">
        <v>1</v>
      </c>
    </row>
    <row r="95" spans="1:16" x14ac:dyDescent="0.2">
      <c r="A95" t="s">
        <v>223</v>
      </c>
      <c r="B95" s="1">
        <v>45696</v>
      </c>
      <c r="C95" s="1">
        <v>45738</v>
      </c>
      <c r="D95" t="s">
        <v>224</v>
      </c>
      <c r="E95" t="s">
        <v>45</v>
      </c>
      <c r="F95" t="s">
        <v>34</v>
      </c>
      <c r="G95" t="s">
        <v>20</v>
      </c>
      <c r="H95" t="s">
        <v>21</v>
      </c>
      <c r="I95" t="s">
        <v>30</v>
      </c>
      <c r="J95">
        <v>1</v>
      </c>
      <c r="K95">
        <v>2744000</v>
      </c>
      <c r="L95">
        <v>0.108</v>
      </c>
      <c r="M95" t="s">
        <v>23</v>
      </c>
      <c r="N95">
        <v>2448000</v>
      </c>
      <c r="O95">
        <v>3.8</v>
      </c>
      <c r="P95" t="b">
        <v>1</v>
      </c>
    </row>
    <row r="96" spans="1:16" x14ac:dyDescent="0.2">
      <c r="A96" t="s">
        <v>225</v>
      </c>
      <c r="B96" s="1">
        <v>45567</v>
      </c>
      <c r="C96" s="1">
        <v>45612</v>
      </c>
      <c r="D96" t="s">
        <v>118</v>
      </c>
      <c r="E96" t="s">
        <v>45</v>
      </c>
      <c r="F96" t="s">
        <v>19</v>
      </c>
      <c r="G96" t="s">
        <v>20</v>
      </c>
      <c r="H96" t="s">
        <v>21</v>
      </c>
      <c r="I96" t="s">
        <v>57</v>
      </c>
      <c r="J96">
        <v>2</v>
      </c>
      <c r="K96">
        <v>3811000</v>
      </c>
      <c r="L96">
        <v>0.14799999999999999</v>
      </c>
      <c r="M96" t="s">
        <v>23</v>
      </c>
      <c r="N96">
        <v>6494000</v>
      </c>
      <c r="O96">
        <v>5</v>
      </c>
      <c r="P96" t="b">
        <v>1</v>
      </c>
    </row>
    <row r="97" spans="1:16" x14ac:dyDescent="0.2">
      <c r="A97" t="s">
        <v>226</v>
      </c>
      <c r="B97" s="1">
        <v>45877</v>
      </c>
      <c r="C97" s="1">
        <v>45942</v>
      </c>
      <c r="D97" t="s">
        <v>227</v>
      </c>
      <c r="E97" t="s">
        <v>45</v>
      </c>
      <c r="F97" t="s">
        <v>19</v>
      </c>
      <c r="G97" t="s">
        <v>50</v>
      </c>
      <c r="H97" t="s">
        <v>21</v>
      </c>
      <c r="I97" t="s">
        <v>60</v>
      </c>
      <c r="J97">
        <v>1</v>
      </c>
      <c r="K97">
        <v>2792000</v>
      </c>
      <c r="L97">
        <v>2.9000000000000001E-2</v>
      </c>
      <c r="M97" t="s">
        <v>23</v>
      </c>
      <c r="N97">
        <v>2711000</v>
      </c>
      <c r="O97">
        <v>4.0999999999999996</v>
      </c>
      <c r="P97" t="b">
        <v>1</v>
      </c>
    </row>
    <row r="98" spans="1:16" x14ac:dyDescent="0.2">
      <c r="A98" t="s">
        <v>228</v>
      </c>
      <c r="B98" s="1">
        <v>45390</v>
      </c>
      <c r="C98" s="1">
        <v>45444</v>
      </c>
      <c r="D98" t="s">
        <v>229</v>
      </c>
      <c r="E98" t="s">
        <v>18</v>
      </c>
      <c r="F98" t="s">
        <v>34</v>
      </c>
      <c r="G98" t="s">
        <v>50</v>
      </c>
      <c r="H98" t="s">
        <v>40</v>
      </c>
      <c r="I98" t="s">
        <v>26</v>
      </c>
      <c r="J98">
        <v>2</v>
      </c>
      <c r="K98">
        <v>3254000</v>
      </c>
      <c r="L98">
        <v>2.5999999999999999E-2</v>
      </c>
      <c r="M98" t="s">
        <v>23</v>
      </c>
      <c r="N98">
        <v>6339000</v>
      </c>
      <c r="O98">
        <v>4.3</v>
      </c>
      <c r="P98" t="b">
        <v>0</v>
      </c>
    </row>
    <row r="99" spans="1:16" x14ac:dyDescent="0.2">
      <c r="A99" t="s">
        <v>230</v>
      </c>
      <c r="B99" s="1">
        <v>45384</v>
      </c>
      <c r="C99" s="1">
        <v>45395</v>
      </c>
      <c r="D99" t="s">
        <v>231</v>
      </c>
      <c r="E99" t="s">
        <v>18</v>
      </c>
      <c r="F99" t="s">
        <v>45</v>
      </c>
      <c r="G99" t="s">
        <v>35</v>
      </c>
      <c r="H99" t="s">
        <v>21</v>
      </c>
      <c r="I99" t="s">
        <v>232</v>
      </c>
      <c r="J99">
        <v>4</v>
      </c>
      <c r="K99">
        <v>3454000</v>
      </c>
      <c r="L99">
        <v>0.126</v>
      </c>
      <c r="M99" t="s">
        <v>23</v>
      </c>
      <c r="N99">
        <v>12075000</v>
      </c>
      <c r="O99">
        <v>4</v>
      </c>
      <c r="P99" t="b">
        <v>0</v>
      </c>
    </row>
    <row r="100" spans="1:16" x14ac:dyDescent="0.2">
      <c r="A100" t="s">
        <v>233</v>
      </c>
      <c r="B100" s="1">
        <v>45579</v>
      </c>
      <c r="C100" s="1">
        <v>45632</v>
      </c>
      <c r="D100" t="s">
        <v>234</v>
      </c>
      <c r="E100" t="s">
        <v>29</v>
      </c>
      <c r="F100" t="s">
        <v>25</v>
      </c>
      <c r="G100" t="s">
        <v>20</v>
      </c>
      <c r="H100" t="s">
        <v>21</v>
      </c>
      <c r="I100" t="s">
        <v>60</v>
      </c>
      <c r="J100">
        <v>1</v>
      </c>
      <c r="K100">
        <v>5221000</v>
      </c>
      <c r="L100">
        <v>-0.2</v>
      </c>
      <c r="M100" t="s">
        <v>65</v>
      </c>
      <c r="N100">
        <v>0</v>
      </c>
      <c r="P100" t="b">
        <v>1</v>
      </c>
    </row>
    <row r="101" spans="1:16" x14ac:dyDescent="0.2">
      <c r="A101" t="s">
        <v>235</v>
      </c>
      <c r="B101" s="1">
        <v>45608</v>
      </c>
      <c r="C101" s="1">
        <v>45650</v>
      </c>
      <c r="D101" t="s">
        <v>236</v>
      </c>
      <c r="E101" t="s">
        <v>45</v>
      </c>
      <c r="F101" t="s">
        <v>68</v>
      </c>
      <c r="G101" t="s">
        <v>20</v>
      </c>
      <c r="H101" t="s">
        <v>40</v>
      </c>
      <c r="I101" t="s">
        <v>26</v>
      </c>
      <c r="J101">
        <v>1</v>
      </c>
      <c r="K101">
        <v>2113000</v>
      </c>
      <c r="L101">
        <v>4.8000000000000001E-2</v>
      </c>
      <c r="M101" t="s">
        <v>23</v>
      </c>
      <c r="N101">
        <v>2012000</v>
      </c>
      <c r="O101">
        <v>4.8</v>
      </c>
      <c r="P101" t="b">
        <v>1</v>
      </c>
    </row>
    <row r="102" spans="1:16" x14ac:dyDescent="0.2">
      <c r="A102" t="s">
        <v>237</v>
      </c>
      <c r="B102" s="1">
        <v>45722</v>
      </c>
      <c r="C102" s="1">
        <v>45788</v>
      </c>
      <c r="D102" t="s">
        <v>238</v>
      </c>
      <c r="E102" t="s">
        <v>45</v>
      </c>
      <c r="F102" t="s">
        <v>34</v>
      </c>
      <c r="G102" t="s">
        <v>35</v>
      </c>
      <c r="H102" t="s">
        <v>47</v>
      </c>
      <c r="I102" t="s">
        <v>30</v>
      </c>
      <c r="J102">
        <v>2</v>
      </c>
      <c r="K102">
        <v>3480000</v>
      </c>
      <c r="L102">
        <v>9.8000000000000004E-2</v>
      </c>
      <c r="M102" t="s">
        <v>23</v>
      </c>
      <c r="N102">
        <v>6278000</v>
      </c>
      <c r="O102">
        <v>5</v>
      </c>
      <c r="P102" t="b">
        <v>1</v>
      </c>
    </row>
    <row r="103" spans="1:16" x14ac:dyDescent="0.2">
      <c r="A103" t="s">
        <v>239</v>
      </c>
      <c r="B103" s="1">
        <v>45543</v>
      </c>
      <c r="C103" s="1">
        <v>45623</v>
      </c>
      <c r="D103" t="s">
        <v>240</v>
      </c>
      <c r="E103" t="s">
        <v>33</v>
      </c>
      <c r="F103" t="s">
        <v>34</v>
      </c>
      <c r="G103" t="s">
        <v>20</v>
      </c>
      <c r="H103" t="s">
        <v>40</v>
      </c>
      <c r="I103" t="s">
        <v>57</v>
      </c>
      <c r="J103">
        <v>1</v>
      </c>
      <c r="K103">
        <v>3523000</v>
      </c>
      <c r="L103">
        <v>0.10199999999999999</v>
      </c>
      <c r="M103" t="s">
        <v>23</v>
      </c>
      <c r="N103">
        <v>3164000</v>
      </c>
      <c r="O103">
        <v>3.8</v>
      </c>
      <c r="P103" t="b">
        <v>1</v>
      </c>
    </row>
    <row r="104" spans="1:16" x14ac:dyDescent="0.2">
      <c r="A104" t="s">
        <v>241</v>
      </c>
      <c r="B104" s="1">
        <v>45861</v>
      </c>
      <c r="C104" s="1">
        <v>45948</v>
      </c>
      <c r="D104" t="s">
        <v>132</v>
      </c>
      <c r="E104" t="s">
        <v>45</v>
      </c>
      <c r="F104" t="s">
        <v>19</v>
      </c>
      <c r="G104" t="s">
        <v>20</v>
      </c>
      <c r="H104" t="s">
        <v>40</v>
      </c>
      <c r="I104" t="s">
        <v>26</v>
      </c>
      <c r="J104">
        <v>2</v>
      </c>
      <c r="K104">
        <v>2838000</v>
      </c>
      <c r="L104">
        <v>8.6999999999999994E-2</v>
      </c>
      <c r="M104" t="s">
        <v>23</v>
      </c>
      <c r="N104">
        <v>5182000</v>
      </c>
      <c r="O104">
        <v>4.8</v>
      </c>
      <c r="P104" t="b">
        <v>1</v>
      </c>
    </row>
    <row r="105" spans="1:16" x14ac:dyDescent="0.2">
      <c r="A105" t="s">
        <v>242</v>
      </c>
      <c r="B105" s="1">
        <v>45587</v>
      </c>
      <c r="C105" s="1">
        <v>45646</v>
      </c>
      <c r="D105" t="s">
        <v>243</v>
      </c>
      <c r="E105" t="s">
        <v>45</v>
      </c>
      <c r="F105" t="s">
        <v>34</v>
      </c>
      <c r="G105" t="s">
        <v>50</v>
      </c>
      <c r="H105" t="s">
        <v>21</v>
      </c>
      <c r="I105" t="s">
        <v>99</v>
      </c>
      <c r="J105">
        <v>2</v>
      </c>
      <c r="K105">
        <v>4953000</v>
      </c>
      <c r="L105">
        <v>0.02</v>
      </c>
      <c r="M105" t="s">
        <v>23</v>
      </c>
      <c r="N105">
        <v>9708000</v>
      </c>
      <c r="O105">
        <v>4.5</v>
      </c>
      <c r="P105" t="b">
        <v>1</v>
      </c>
    </row>
    <row r="106" spans="1:16" x14ac:dyDescent="0.2">
      <c r="A106" t="s">
        <v>244</v>
      </c>
      <c r="B106" s="1">
        <v>45372</v>
      </c>
      <c r="C106" s="1">
        <v>45411</v>
      </c>
      <c r="D106" t="s">
        <v>245</v>
      </c>
      <c r="E106" t="s">
        <v>29</v>
      </c>
      <c r="F106" t="s">
        <v>19</v>
      </c>
      <c r="G106" t="s">
        <v>20</v>
      </c>
      <c r="H106" t="s">
        <v>47</v>
      </c>
      <c r="I106" t="s">
        <v>94</v>
      </c>
      <c r="J106">
        <v>1</v>
      </c>
      <c r="K106">
        <v>2233000</v>
      </c>
      <c r="L106">
        <v>1.0999999999999999E-2</v>
      </c>
      <c r="M106" t="s">
        <v>23</v>
      </c>
      <c r="N106">
        <v>2208000</v>
      </c>
      <c r="O106">
        <v>4.7</v>
      </c>
      <c r="P106" t="b">
        <v>0</v>
      </c>
    </row>
    <row r="107" spans="1:16" x14ac:dyDescent="0.2">
      <c r="A107" t="s">
        <v>246</v>
      </c>
      <c r="B107" s="1">
        <v>45366</v>
      </c>
      <c r="C107" s="1">
        <v>45411</v>
      </c>
      <c r="D107" t="s">
        <v>247</v>
      </c>
      <c r="E107" t="s">
        <v>29</v>
      </c>
      <c r="F107" t="s">
        <v>68</v>
      </c>
      <c r="G107" t="s">
        <v>20</v>
      </c>
      <c r="H107" t="s">
        <v>21</v>
      </c>
      <c r="I107" t="s">
        <v>77</v>
      </c>
      <c r="J107">
        <v>3</v>
      </c>
      <c r="K107">
        <v>3582000</v>
      </c>
      <c r="L107">
        <v>0.129</v>
      </c>
      <c r="M107" t="s">
        <v>23</v>
      </c>
      <c r="N107">
        <v>9360000</v>
      </c>
      <c r="O107">
        <v>4.2</v>
      </c>
      <c r="P107" t="b">
        <v>1</v>
      </c>
    </row>
    <row r="108" spans="1:16" x14ac:dyDescent="0.2">
      <c r="A108" t="s">
        <v>248</v>
      </c>
      <c r="B108" s="1">
        <v>45898</v>
      </c>
      <c r="C108" s="1">
        <v>45922</v>
      </c>
      <c r="D108" t="s">
        <v>249</v>
      </c>
      <c r="E108" t="s">
        <v>18</v>
      </c>
      <c r="F108" t="s">
        <v>34</v>
      </c>
      <c r="G108" t="s">
        <v>20</v>
      </c>
      <c r="H108" t="s">
        <v>21</v>
      </c>
      <c r="I108" t="s">
        <v>26</v>
      </c>
      <c r="J108">
        <v>2</v>
      </c>
      <c r="K108">
        <v>4430000</v>
      </c>
      <c r="L108">
        <v>0.10199999999999999</v>
      </c>
      <c r="M108" t="s">
        <v>23</v>
      </c>
      <c r="N108">
        <v>7956000</v>
      </c>
      <c r="O108">
        <v>4.0999999999999996</v>
      </c>
      <c r="P108" t="b">
        <v>1</v>
      </c>
    </row>
    <row r="109" spans="1:16" x14ac:dyDescent="0.2">
      <c r="A109" t="s">
        <v>250</v>
      </c>
      <c r="B109" s="1">
        <v>45375</v>
      </c>
      <c r="C109" s="1">
        <v>45460</v>
      </c>
      <c r="D109" t="s">
        <v>251</v>
      </c>
      <c r="E109" t="s">
        <v>45</v>
      </c>
      <c r="F109" t="s">
        <v>34</v>
      </c>
      <c r="G109" t="s">
        <v>20</v>
      </c>
      <c r="H109" t="s">
        <v>21</v>
      </c>
      <c r="I109" t="s">
        <v>52</v>
      </c>
      <c r="J109">
        <v>2</v>
      </c>
      <c r="K109">
        <v>2629000</v>
      </c>
      <c r="L109">
        <v>5.0000000000000001E-3</v>
      </c>
      <c r="M109" t="s">
        <v>23</v>
      </c>
      <c r="N109">
        <v>5232000</v>
      </c>
      <c r="O109">
        <v>4.7</v>
      </c>
      <c r="P109" t="b">
        <v>0</v>
      </c>
    </row>
    <row r="110" spans="1:16" x14ac:dyDescent="0.2">
      <c r="A110" t="s">
        <v>252</v>
      </c>
      <c r="B110" s="1">
        <v>45882</v>
      </c>
      <c r="C110" s="1">
        <v>45960</v>
      </c>
      <c r="D110" t="s">
        <v>253</v>
      </c>
      <c r="E110" t="s">
        <v>33</v>
      </c>
      <c r="F110" t="s">
        <v>25</v>
      </c>
      <c r="G110" t="s">
        <v>35</v>
      </c>
      <c r="H110" t="s">
        <v>40</v>
      </c>
      <c r="I110" t="s">
        <v>99</v>
      </c>
      <c r="J110">
        <v>1</v>
      </c>
      <c r="K110">
        <v>4313000</v>
      </c>
      <c r="L110">
        <v>0.124</v>
      </c>
      <c r="M110" t="s">
        <v>23</v>
      </c>
      <c r="N110">
        <v>3778000</v>
      </c>
      <c r="O110">
        <v>4.7</v>
      </c>
      <c r="P110" t="b">
        <v>1</v>
      </c>
    </row>
    <row r="111" spans="1:16" x14ac:dyDescent="0.2">
      <c r="A111" t="s">
        <v>254</v>
      </c>
      <c r="B111" s="1">
        <v>45465</v>
      </c>
      <c r="C111" s="1">
        <v>45544</v>
      </c>
      <c r="D111" t="s">
        <v>255</v>
      </c>
      <c r="E111" t="s">
        <v>18</v>
      </c>
      <c r="F111" t="s">
        <v>25</v>
      </c>
      <c r="G111" t="s">
        <v>50</v>
      </c>
      <c r="H111" t="s">
        <v>21</v>
      </c>
      <c r="I111" t="s">
        <v>99</v>
      </c>
      <c r="J111">
        <v>1</v>
      </c>
      <c r="K111">
        <v>3031000</v>
      </c>
      <c r="L111">
        <v>0.10199999999999999</v>
      </c>
      <c r="M111" t="s">
        <v>23</v>
      </c>
      <c r="N111">
        <v>2722000</v>
      </c>
      <c r="O111">
        <v>5</v>
      </c>
      <c r="P111" t="b">
        <v>0</v>
      </c>
    </row>
    <row r="112" spans="1:16" x14ac:dyDescent="0.2">
      <c r="A112" t="s">
        <v>256</v>
      </c>
      <c r="B112" s="1">
        <v>45350</v>
      </c>
      <c r="C112" s="1">
        <v>45386</v>
      </c>
      <c r="D112" t="s">
        <v>257</v>
      </c>
      <c r="E112" t="s">
        <v>45</v>
      </c>
      <c r="F112" t="s">
        <v>25</v>
      </c>
      <c r="G112" t="s">
        <v>20</v>
      </c>
      <c r="H112" t="s">
        <v>40</v>
      </c>
      <c r="I112" t="s">
        <v>83</v>
      </c>
      <c r="J112">
        <v>1</v>
      </c>
      <c r="K112">
        <v>3179000</v>
      </c>
      <c r="L112">
        <v>9.1999999999999998E-2</v>
      </c>
      <c r="M112" t="s">
        <v>23</v>
      </c>
      <c r="N112">
        <v>2887000</v>
      </c>
      <c r="O112">
        <v>4.3</v>
      </c>
      <c r="P112" t="b">
        <v>0</v>
      </c>
    </row>
    <row r="113" spans="1:16" x14ac:dyDescent="0.2">
      <c r="A113" t="s">
        <v>258</v>
      </c>
      <c r="B113" s="1">
        <v>45481</v>
      </c>
      <c r="C113" s="1">
        <v>45517</v>
      </c>
      <c r="D113" t="s">
        <v>259</v>
      </c>
      <c r="E113" t="s">
        <v>33</v>
      </c>
      <c r="F113" t="s">
        <v>123</v>
      </c>
      <c r="G113" t="s">
        <v>20</v>
      </c>
      <c r="H113" t="s">
        <v>21</v>
      </c>
      <c r="I113" t="s">
        <v>83</v>
      </c>
      <c r="J113">
        <v>3</v>
      </c>
      <c r="K113">
        <v>2728000</v>
      </c>
      <c r="L113">
        <v>0</v>
      </c>
      <c r="M113" t="s">
        <v>23</v>
      </c>
      <c r="N113">
        <v>8184000</v>
      </c>
      <c r="O113">
        <v>4.0999999999999996</v>
      </c>
      <c r="P113" t="b">
        <v>1</v>
      </c>
    </row>
    <row r="114" spans="1:16" x14ac:dyDescent="0.2">
      <c r="A114" t="s">
        <v>258</v>
      </c>
      <c r="B114" s="1">
        <v>45481</v>
      </c>
      <c r="C114" s="1">
        <v>45517</v>
      </c>
      <c r="D114" t="s">
        <v>259</v>
      </c>
      <c r="E114" t="s">
        <v>33</v>
      </c>
      <c r="F114" t="s">
        <v>123</v>
      </c>
      <c r="G114" t="s">
        <v>20</v>
      </c>
      <c r="H114" t="s">
        <v>21</v>
      </c>
      <c r="I114" t="s">
        <v>83</v>
      </c>
      <c r="J114">
        <v>3</v>
      </c>
      <c r="K114">
        <v>2728000</v>
      </c>
      <c r="L114">
        <v>0</v>
      </c>
      <c r="M114" t="s">
        <v>23</v>
      </c>
      <c r="N114">
        <v>8184000</v>
      </c>
      <c r="O114">
        <v>4.0999999999999996</v>
      </c>
      <c r="P114" t="b">
        <v>1</v>
      </c>
    </row>
    <row r="115" spans="1:16" x14ac:dyDescent="0.2">
      <c r="A115" t="s">
        <v>260</v>
      </c>
      <c r="B115" s="1">
        <v>45674</v>
      </c>
      <c r="C115" s="1">
        <v>45753</v>
      </c>
      <c r="D115" t="s">
        <v>261</v>
      </c>
      <c r="E115" t="s">
        <v>45</v>
      </c>
      <c r="F115" t="s">
        <v>39</v>
      </c>
      <c r="G115" t="s">
        <v>35</v>
      </c>
      <c r="H115" t="s">
        <v>21</v>
      </c>
      <c r="I115" t="s">
        <v>99</v>
      </c>
      <c r="J115">
        <v>3</v>
      </c>
      <c r="K115">
        <v>2519000</v>
      </c>
      <c r="L115">
        <v>0.161</v>
      </c>
      <c r="M115" t="s">
        <v>23</v>
      </c>
      <c r="N115">
        <v>6340000</v>
      </c>
      <c r="O115">
        <v>3</v>
      </c>
      <c r="P115" t="b">
        <v>1</v>
      </c>
    </row>
    <row r="116" spans="1:16" x14ac:dyDescent="0.2">
      <c r="A116" t="s">
        <v>262</v>
      </c>
      <c r="B116" s="1">
        <v>45558</v>
      </c>
      <c r="C116" s="1">
        <v>45612</v>
      </c>
      <c r="D116" t="s">
        <v>263</v>
      </c>
      <c r="E116" t="s">
        <v>18</v>
      </c>
      <c r="F116" t="s">
        <v>34</v>
      </c>
      <c r="G116" t="s">
        <v>20</v>
      </c>
      <c r="H116" t="s">
        <v>21</v>
      </c>
      <c r="I116" t="s">
        <v>22</v>
      </c>
      <c r="J116">
        <v>3</v>
      </c>
      <c r="K116">
        <v>4930000</v>
      </c>
      <c r="L116">
        <v>4.5999999999999999E-2</v>
      </c>
      <c r="M116" t="s">
        <v>23</v>
      </c>
      <c r="N116">
        <v>14110000</v>
      </c>
      <c r="O116">
        <v>3.4</v>
      </c>
      <c r="P116" t="b">
        <v>0</v>
      </c>
    </row>
    <row r="117" spans="1:16" x14ac:dyDescent="0.2">
      <c r="A117" t="s">
        <v>264</v>
      </c>
      <c r="B117" s="1">
        <v>45781</v>
      </c>
      <c r="C117" s="1">
        <v>45848</v>
      </c>
      <c r="D117" t="s">
        <v>265</v>
      </c>
      <c r="E117" t="s">
        <v>29</v>
      </c>
      <c r="F117" t="s">
        <v>19</v>
      </c>
      <c r="G117" t="s">
        <v>35</v>
      </c>
      <c r="H117" t="s">
        <v>21</v>
      </c>
      <c r="I117" t="s">
        <v>83</v>
      </c>
      <c r="J117">
        <v>1</v>
      </c>
      <c r="K117">
        <v>3085000</v>
      </c>
      <c r="L117">
        <v>6.3E-2</v>
      </c>
      <c r="M117" t="s">
        <v>23</v>
      </c>
      <c r="N117">
        <v>2891000</v>
      </c>
      <c r="O117">
        <v>4</v>
      </c>
      <c r="P117" t="b">
        <v>1</v>
      </c>
    </row>
    <row r="118" spans="1:16" x14ac:dyDescent="0.2">
      <c r="A118" t="s">
        <v>266</v>
      </c>
      <c r="B118" s="1">
        <v>45672</v>
      </c>
      <c r="C118" s="1">
        <v>45721</v>
      </c>
      <c r="D118" t="s">
        <v>267</v>
      </c>
      <c r="E118" t="s">
        <v>45</v>
      </c>
      <c r="F118" t="s">
        <v>45</v>
      </c>
      <c r="G118" t="s">
        <v>50</v>
      </c>
      <c r="H118" t="s">
        <v>21</v>
      </c>
      <c r="I118" t="s">
        <v>99</v>
      </c>
      <c r="J118">
        <v>3</v>
      </c>
      <c r="K118">
        <v>2449000</v>
      </c>
      <c r="L118">
        <v>7.1999999999999995E-2</v>
      </c>
      <c r="M118" t="s">
        <v>23</v>
      </c>
      <c r="N118">
        <v>6818000</v>
      </c>
      <c r="O118">
        <v>3.6</v>
      </c>
      <c r="P118" t="b">
        <v>1</v>
      </c>
    </row>
    <row r="119" spans="1:16" x14ac:dyDescent="0.2">
      <c r="A119" t="s">
        <v>268</v>
      </c>
      <c r="B119" s="1">
        <v>45541</v>
      </c>
      <c r="C119" s="1">
        <v>45586</v>
      </c>
      <c r="D119" t="s">
        <v>269</v>
      </c>
      <c r="E119" t="s">
        <v>29</v>
      </c>
      <c r="F119" t="s">
        <v>39</v>
      </c>
      <c r="G119" t="s">
        <v>35</v>
      </c>
      <c r="H119" t="s">
        <v>40</v>
      </c>
      <c r="I119" t="s">
        <v>99</v>
      </c>
      <c r="J119">
        <v>2</v>
      </c>
      <c r="K119">
        <v>1850000</v>
      </c>
      <c r="L119">
        <v>9.7000000000000003E-2</v>
      </c>
      <c r="M119" t="s">
        <v>23</v>
      </c>
      <c r="N119">
        <v>3341000</v>
      </c>
      <c r="O119">
        <v>4.5999999999999996</v>
      </c>
      <c r="P119" t="b">
        <v>1</v>
      </c>
    </row>
    <row r="120" spans="1:16" x14ac:dyDescent="0.2">
      <c r="A120" t="s">
        <v>270</v>
      </c>
      <c r="B120" s="1">
        <v>45687</v>
      </c>
      <c r="C120" s="1">
        <v>45748</v>
      </c>
      <c r="D120" t="s">
        <v>271</v>
      </c>
      <c r="E120" t="s">
        <v>18</v>
      </c>
      <c r="F120" t="s">
        <v>19</v>
      </c>
      <c r="G120" t="s">
        <v>20</v>
      </c>
      <c r="H120" t="s">
        <v>21</v>
      </c>
      <c r="I120" t="s">
        <v>77</v>
      </c>
      <c r="J120">
        <v>2</v>
      </c>
      <c r="K120">
        <v>3906000</v>
      </c>
      <c r="L120">
        <v>0.189</v>
      </c>
      <c r="M120" t="s">
        <v>23</v>
      </c>
      <c r="N120">
        <v>6336000</v>
      </c>
      <c r="O120">
        <v>3.5</v>
      </c>
      <c r="P120" t="b">
        <v>0</v>
      </c>
    </row>
    <row r="121" spans="1:16" x14ac:dyDescent="0.2">
      <c r="A121" t="s">
        <v>272</v>
      </c>
      <c r="B121" s="1">
        <v>45897</v>
      </c>
      <c r="C121" s="1">
        <v>45972</v>
      </c>
      <c r="D121" t="s">
        <v>273</v>
      </c>
      <c r="E121" t="s">
        <v>45</v>
      </c>
      <c r="F121" t="s">
        <v>25</v>
      </c>
      <c r="G121" t="s">
        <v>46</v>
      </c>
      <c r="H121" t="s">
        <v>21</v>
      </c>
      <c r="I121" t="s">
        <v>22</v>
      </c>
      <c r="J121">
        <v>1</v>
      </c>
      <c r="K121">
        <v>5610000</v>
      </c>
      <c r="L121">
        <v>0.152</v>
      </c>
      <c r="M121" t="s">
        <v>23</v>
      </c>
      <c r="N121">
        <v>4757000</v>
      </c>
      <c r="O121">
        <v>3.9</v>
      </c>
      <c r="P121" t="b">
        <v>1</v>
      </c>
    </row>
    <row r="122" spans="1:16" x14ac:dyDescent="0.2">
      <c r="A122" t="s">
        <v>274</v>
      </c>
      <c r="B122" s="1">
        <v>45548</v>
      </c>
      <c r="C122" s="1">
        <v>45585</v>
      </c>
      <c r="D122" t="s">
        <v>93</v>
      </c>
      <c r="E122" t="s">
        <v>18</v>
      </c>
      <c r="F122" t="s">
        <v>34</v>
      </c>
      <c r="G122" t="s">
        <v>20</v>
      </c>
      <c r="H122" t="s">
        <v>40</v>
      </c>
      <c r="I122" t="s">
        <v>30</v>
      </c>
      <c r="J122">
        <v>3</v>
      </c>
      <c r="K122">
        <v>3079000</v>
      </c>
      <c r="L122">
        <v>0.188</v>
      </c>
      <c r="M122" t="s">
        <v>23</v>
      </c>
      <c r="N122">
        <v>7500000</v>
      </c>
      <c r="O122">
        <v>4</v>
      </c>
      <c r="P122" t="b">
        <v>1</v>
      </c>
    </row>
    <row r="123" spans="1:16" x14ac:dyDescent="0.2">
      <c r="A123" t="s">
        <v>275</v>
      </c>
      <c r="B123" s="1">
        <v>45387</v>
      </c>
      <c r="C123" s="1">
        <v>45462</v>
      </c>
      <c r="D123" t="s">
        <v>276</v>
      </c>
      <c r="E123" t="s">
        <v>29</v>
      </c>
      <c r="F123" t="s">
        <v>34</v>
      </c>
      <c r="G123" t="s">
        <v>50</v>
      </c>
      <c r="H123" t="s">
        <v>21</v>
      </c>
      <c r="I123" t="s">
        <v>30</v>
      </c>
      <c r="J123">
        <v>1</v>
      </c>
      <c r="K123">
        <v>3304000</v>
      </c>
      <c r="L123">
        <v>7.2999999999999995E-2</v>
      </c>
      <c r="M123" t="s">
        <v>23</v>
      </c>
      <c r="N123">
        <v>3063000</v>
      </c>
      <c r="O123">
        <v>4.8</v>
      </c>
      <c r="P123" t="b">
        <v>0</v>
      </c>
    </row>
    <row r="124" spans="1:16" x14ac:dyDescent="0.2">
      <c r="A124" t="s">
        <v>277</v>
      </c>
      <c r="B124" s="1">
        <v>45546</v>
      </c>
      <c r="C124" s="1">
        <v>45575</v>
      </c>
      <c r="D124" t="s">
        <v>278</v>
      </c>
      <c r="E124" t="s">
        <v>18</v>
      </c>
      <c r="F124" t="s">
        <v>34</v>
      </c>
      <c r="G124" t="s">
        <v>35</v>
      </c>
      <c r="H124" t="s">
        <v>21</v>
      </c>
      <c r="I124" t="s">
        <v>83</v>
      </c>
      <c r="J124">
        <v>1</v>
      </c>
      <c r="K124">
        <v>3716000</v>
      </c>
      <c r="L124">
        <v>0.14399999999999999</v>
      </c>
      <c r="M124" t="s">
        <v>65</v>
      </c>
      <c r="N124">
        <v>0</v>
      </c>
      <c r="P124" t="b">
        <v>1</v>
      </c>
    </row>
    <row r="125" spans="1:16" x14ac:dyDescent="0.2">
      <c r="A125" t="s">
        <v>279</v>
      </c>
      <c r="B125" s="1">
        <v>45815</v>
      </c>
      <c r="C125" s="1">
        <v>45857</v>
      </c>
      <c r="D125" t="s">
        <v>280</v>
      </c>
      <c r="E125" t="s">
        <v>45</v>
      </c>
      <c r="F125" t="s">
        <v>45</v>
      </c>
      <c r="G125" t="s">
        <v>35</v>
      </c>
      <c r="H125" t="s">
        <v>21</v>
      </c>
      <c r="I125" t="s">
        <v>57</v>
      </c>
      <c r="J125">
        <v>5</v>
      </c>
      <c r="K125">
        <v>3681000</v>
      </c>
      <c r="L125">
        <v>0</v>
      </c>
      <c r="M125" t="s">
        <v>23</v>
      </c>
      <c r="N125">
        <v>18405000</v>
      </c>
      <c r="O125">
        <v>4.4000000000000004</v>
      </c>
      <c r="P125" t="b">
        <v>1</v>
      </c>
    </row>
    <row r="126" spans="1:16" x14ac:dyDescent="0.2">
      <c r="A126" t="s">
        <v>281</v>
      </c>
      <c r="B126" s="1">
        <v>45427</v>
      </c>
      <c r="C126" s="1">
        <v>45510</v>
      </c>
      <c r="D126" t="s">
        <v>282</v>
      </c>
      <c r="E126" t="s">
        <v>45</v>
      </c>
      <c r="F126" t="s">
        <v>19</v>
      </c>
      <c r="G126" t="s">
        <v>50</v>
      </c>
      <c r="H126" t="s">
        <v>21</v>
      </c>
      <c r="I126" t="s">
        <v>83</v>
      </c>
      <c r="J126">
        <v>1</v>
      </c>
      <c r="K126">
        <v>2569000</v>
      </c>
      <c r="L126">
        <v>4.7E-2</v>
      </c>
      <c r="M126" t="s">
        <v>23</v>
      </c>
      <c r="N126">
        <v>2448000</v>
      </c>
      <c r="O126">
        <v>4.3</v>
      </c>
      <c r="P126" t="b">
        <v>0</v>
      </c>
    </row>
    <row r="127" spans="1:16" x14ac:dyDescent="0.2">
      <c r="A127" t="s">
        <v>283</v>
      </c>
      <c r="B127" s="1">
        <v>45883</v>
      </c>
      <c r="C127" s="1">
        <v>45970</v>
      </c>
      <c r="D127" t="s">
        <v>211</v>
      </c>
      <c r="E127" t="s">
        <v>18</v>
      </c>
      <c r="F127" t="s">
        <v>45</v>
      </c>
      <c r="G127" t="s">
        <v>35</v>
      </c>
      <c r="H127" t="s">
        <v>21</v>
      </c>
      <c r="I127" t="s">
        <v>99</v>
      </c>
      <c r="J127">
        <v>3</v>
      </c>
      <c r="K127">
        <v>3448000</v>
      </c>
      <c r="L127">
        <v>0.107</v>
      </c>
      <c r="M127" t="s">
        <v>23</v>
      </c>
      <c r="N127">
        <v>9237000</v>
      </c>
      <c r="O127">
        <v>4.7</v>
      </c>
      <c r="P127" t="b">
        <v>1</v>
      </c>
    </row>
    <row r="128" spans="1:16" x14ac:dyDescent="0.2">
      <c r="A128" t="s">
        <v>284</v>
      </c>
      <c r="B128" s="1">
        <v>45658</v>
      </c>
      <c r="C128" s="1">
        <v>45742</v>
      </c>
      <c r="D128" t="s">
        <v>285</v>
      </c>
      <c r="E128" t="s">
        <v>18</v>
      </c>
      <c r="F128" t="s">
        <v>34</v>
      </c>
      <c r="G128" t="s">
        <v>20</v>
      </c>
      <c r="H128" t="s">
        <v>40</v>
      </c>
      <c r="I128" t="s">
        <v>22</v>
      </c>
      <c r="J128">
        <v>2</v>
      </c>
      <c r="K128">
        <v>2963000</v>
      </c>
      <c r="L128">
        <v>0.193</v>
      </c>
      <c r="M128" t="s">
        <v>23</v>
      </c>
      <c r="N128">
        <v>4782000</v>
      </c>
      <c r="O128">
        <v>4.5999999999999996</v>
      </c>
      <c r="P128" t="b">
        <v>1</v>
      </c>
    </row>
    <row r="129" spans="1:16" x14ac:dyDescent="0.2">
      <c r="A129" t="s">
        <v>286</v>
      </c>
      <c r="B129" s="1">
        <v>45666</v>
      </c>
      <c r="C129" s="1">
        <v>45701</v>
      </c>
      <c r="D129" t="s">
        <v>287</v>
      </c>
      <c r="E129" t="s">
        <v>33</v>
      </c>
      <c r="F129" t="s">
        <v>39</v>
      </c>
      <c r="G129" t="s">
        <v>20</v>
      </c>
      <c r="H129" t="s">
        <v>21</v>
      </c>
      <c r="I129" t="s">
        <v>57</v>
      </c>
      <c r="J129">
        <v>4</v>
      </c>
      <c r="K129">
        <v>1630000</v>
      </c>
      <c r="L129">
        <v>0.09</v>
      </c>
      <c r="M129" t="s">
        <v>23</v>
      </c>
      <c r="N129">
        <v>5933000</v>
      </c>
      <c r="O129">
        <v>4.2</v>
      </c>
      <c r="P129" t="b">
        <v>1</v>
      </c>
    </row>
    <row r="130" spans="1:16" x14ac:dyDescent="0.2">
      <c r="A130" t="s">
        <v>288</v>
      </c>
      <c r="B130" s="1">
        <v>45489</v>
      </c>
      <c r="C130" s="1">
        <v>45567</v>
      </c>
      <c r="D130" t="s">
        <v>289</v>
      </c>
      <c r="E130" t="s">
        <v>45</v>
      </c>
      <c r="F130" t="s">
        <v>39</v>
      </c>
      <c r="G130" t="s">
        <v>35</v>
      </c>
      <c r="H130" t="s">
        <v>47</v>
      </c>
      <c r="I130" t="s">
        <v>26</v>
      </c>
      <c r="J130">
        <v>1</v>
      </c>
      <c r="K130">
        <v>2336000</v>
      </c>
      <c r="L130">
        <v>0.13600000000000001</v>
      </c>
      <c r="M130" t="s">
        <v>23</v>
      </c>
      <c r="N130">
        <v>2018000</v>
      </c>
      <c r="O130">
        <v>3.4</v>
      </c>
      <c r="P130" t="b">
        <v>1</v>
      </c>
    </row>
    <row r="131" spans="1:16" x14ac:dyDescent="0.2">
      <c r="A131" t="s">
        <v>290</v>
      </c>
      <c r="B131" s="1">
        <v>45865</v>
      </c>
      <c r="C131" s="1">
        <v>45950</v>
      </c>
      <c r="D131" t="s">
        <v>291</v>
      </c>
      <c r="E131" t="s">
        <v>29</v>
      </c>
      <c r="F131" t="s">
        <v>34</v>
      </c>
      <c r="G131" t="s">
        <v>35</v>
      </c>
      <c r="H131" t="s">
        <v>21</v>
      </c>
      <c r="I131" t="s">
        <v>30</v>
      </c>
      <c r="J131">
        <v>2</v>
      </c>
      <c r="K131">
        <v>3752000</v>
      </c>
      <c r="L131">
        <v>0.13400000000000001</v>
      </c>
      <c r="M131" t="s">
        <v>23</v>
      </c>
      <c r="N131">
        <v>6498000</v>
      </c>
      <c r="O131">
        <v>4.0999999999999996</v>
      </c>
      <c r="P131" t="b">
        <v>1</v>
      </c>
    </row>
    <row r="132" spans="1:16" x14ac:dyDescent="0.2">
      <c r="A132" t="s">
        <v>292</v>
      </c>
      <c r="B132" s="1">
        <v>45314</v>
      </c>
      <c r="C132" s="1">
        <v>45403</v>
      </c>
      <c r="D132" t="s">
        <v>171</v>
      </c>
      <c r="E132" t="s">
        <v>33</v>
      </c>
      <c r="F132" t="s">
        <v>34</v>
      </c>
      <c r="G132" t="s">
        <v>20</v>
      </c>
      <c r="H132" t="s">
        <v>40</v>
      </c>
      <c r="I132" t="s">
        <v>83</v>
      </c>
      <c r="J132">
        <v>1</v>
      </c>
      <c r="K132">
        <v>2906000</v>
      </c>
      <c r="L132">
        <v>0.189</v>
      </c>
      <c r="M132" t="s">
        <v>23</v>
      </c>
      <c r="N132">
        <v>2357000</v>
      </c>
      <c r="O132">
        <v>4.2</v>
      </c>
      <c r="P132" t="b">
        <v>0</v>
      </c>
    </row>
    <row r="133" spans="1:16" x14ac:dyDescent="0.2">
      <c r="A133" t="s">
        <v>293</v>
      </c>
      <c r="B133" s="1">
        <v>45478</v>
      </c>
      <c r="C133" s="1">
        <v>45489</v>
      </c>
      <c r="D133" t="s">
        <v>294</v>
      </c>
      <c r="E133" t="s">
        <v>33</v>
      </c>
      <c r="F133" t="s">
        <v>34</v>
      </c>
      <c r="G133" t="s">
        <v>50</v>
      </c>
      <c r="H133" t="s">
        <v>47</v>
      </c>
      <c r="I133" t="s">
        <v>94</v>
      </c>
      <c r="J133">
        <v>1</v>
      </c>
      <c r="K133">
        <v>4624000</v>
      </c>
      <c r="L133">
        <v>5.5E-2</v>
      </c>
      <c r="M133" t="s">
        <v>23</v>
      </c>
      <c r="N133">
        <v>4370000</v>
      </c>
      <c r="O133">
        <v>4.3</v>
      </c>
      <c r="P133" t="b">
        <v>1</v>
      </c>
    </row>
    <row r="134" spans="1:16" x14ac:dyDescent="0.2">
      <c r="A134" t="s">
        <v>295</v>
      </c>
      <c r="B134" s="1">
        <v>45552</v>
      </c>
      <c r="C134" s="1">
        <v>45622</v>
      </c>
      <c r="D134" t="s">
        <v>296</v>
      </c>
      <c r="E134" t="s">
        <v>29</v>
      </c>
      <c r="F134" t="s">
        <v>39</v>
      </c>
      <c r="G134" t="s">
        <v>35</v>
      </c>
      <c r="H134" t="s">
        <v>21</v>
      </c>
      <c r="I134" t="s">
        <v>57</v>
      </c>
      <c r="J134">
        <v>1</v>
      </c>
      <c r="K134">
        <v>2838000</v>
      </c>
      <c r="L134">
        <v>0.17</v>
      </c>
      <c r="M134" t="s">
        <v>23</v>
      </c>
      <c r="N134">
        <v>2356000</v>
      </c>
      <c r="O134">
        <v>3.8</v>
      </c>
      <c r="P134" t="b">
        <v>0</v>
      </c>
    </row>
    <row r="135" spans="1:16" x14ac:dyDescent="0.2">
      <c r="A135" t="s">
        <v>297</v>
      </c>
      <c r="B135" s="1">
        <v>45589</v>
      </c>
      <c r="C135" s="1">
        <v>45679</v>
      </c>
      <c r="D135" t="s">
        <v>298</v>
      </c>
      <c r="E135" t="s">
        <v>45</v>
      </c>
      <c r="F135" t="s">
        <v>19</v>
      </c>
      <c r="G135" t="s">
        <v>20</v>
      </c>
      <c r="H135" t="s">
        <v>21</v>
      </c>
      <c r="I135" t="s">
        <v>83</v>
      </c>
      <c r="J135">
        <v>2</v>
      </c>
      <c r="K135">
        <v>2928000</v>
      </c>
      <c r="L135">
        <v>1.7999999999999999E-2</v>
      </c>
      <c r="M135" t="s">
        <v>23</v>
      </c>
      <c r="N135">
        <v>5751000</v>
      </c>
      <c r="O135">
        <v>4.8</v>
      </c>
      <c r="P135" t="b">
        <v>1</v>
      </c>
    </row>
    <row r="136" spans="1:16" x14ac:dyDescent="0.2">
      <c r="A136" t="s">
        <v>299</v>
      </c>
      <c r="B136" s="1">
        <v>45587</v>
      </c>
      <c r="C136" s="1">
        <v>45658</v>
      </c>
      <c r="D136" t="s">
        <v>300</v>
      </c>
      <c r="E136" t="s">
        <v>45</v>
      </c>
      <c r="F136" t="s">
        <v>25</v>
      </c>
      <c r="G136" t="s">
        <v>20</v>
      </c>
      <c r="H136" t="s">
        <v>21</v>
      </c>
      <c r="I136" t="s">
        <v>99</v>
      </c>
      <c r="J136">
        <v>1</v>
      </c>
      <c r="K136">
        <v>5459000</v>
      </c>
      <c r="L136">
        <v>2.3E-2</v>
      </c>
      <c r="M136" t="s">
        <v>23</v>
      </c>
      <c r="N136">
        <v>5333000</v>
      </c>
      <c r="O136">
        <v>4.2</v>
      </c>
      <c r="P136" t="b">
        <v>1</v>
      </c>
    </row>
    <row r="137" spans="1:16" x14ac:dyDescent="0.2">
      <c r="A137" t="s">
        <v>301</v>
      </c>
      <c r="B137" s="1">
        <v>45384</v>
      </c>
      <c r="C137" s="1">
        <v>45412</v>
      </c>
      <c r="D137" t="s">
        <v>302</v>
      </c>
      <c r="E137" t="s">
        <v>18</v>
      </c>
      <c r="F137" t="s">
        <v>19</v>
      </c>
      <c r="G137" t="s">
        <v>20</v>
      </c>
      <c r="H137" t="s">
        <v>51</v>
      </c>
      <c r="I137" t="s">
        <v>26</v>
      </c>
      <c r="J137">
        <v>1</v>
      </c>
      <c r="K137">
        <v>2486000</v>
      </c>
      <c r="L137">
        <v>0</v>
      </c>
      <c r="M137" t="s">
        <v>23</v>
      </c>
      <c r="N137">
        <v>2486000</v>
      </c>
      <c r="O137">
        <v>3.7</v>
      </c>
      <c r="P137" t="b">
        <v>0</v>
      </c>
    </row>
    <row r="138" spans="1:16" x14ac:dyDescent="0.2">
      <c r="A138" t="s">
        <v>303</v>
      </c>
      <c r="B138" s="1">
        <v>45432</v>
      </c>
      <c r="C138" s="1">
        <v>45503</v>
      </c>
      <c r="D138" t="s">
        <v>304</v>
      </c>
      <c r="E138" t="s">
        <v>33</v>
      </c>
      <c r="F138" t="s">
        <v>39</v>
      </c>
      <c r="G138" t="s">
        <v>20</v>
      </c>
      <c r="H138" t="s">
        <v>51</v>
      </c>
      <c r="I138" t="s">
        <v>52</v>
      </c>
      <c r="J138">
        <v>2</v>
      </c>
      <c r="K138">
        <v>2876000</v>
      </c>
      <c r="L138">
        <v>9.0999999999999998E-2</v>
      </c>
      <c r="M138" t="s">
        <v>23</v>
      </c>
      <c r="N138">
        <v>5229000</v>
      </c>
      <c r="O138">
        <v>4</v>
      </c>
      <c r="P138" t="b">
        <v>1</v>
      </c>
    </row>
    <row r="139" spans="1:16" x14ac:dyDescent="0.2">
      <c r="A139" t="s">
        <v>305</v>
      </c>
      <c r="B139" s="1">
        <v>45351</v>
      </c>
      <c r="C139" s="1">
        <v>45369</v>
      </c>
      <c r="D139" t="s">
        <v>304</v>
      </c>
      <c r="E139" t="s">
        <v>33</v>
      </c>
      <c r="F139" t="s">
        <v>25</v>
      </c>
      <c r="G139" t="s">
        <v>20</v>
      </c>
      <c r="H139" t="s">
        <v>21</v>
      </c>
      <c r="I139" t="s">
        <v>94</v>
      </c>
      <c r="J139">
        <v>2</v>
      </c>
      <c r="K139">
        <v>4188000</v>
      </c>
      <c r="L139">
        <v>0.16</v>
      </c>
      <c r="M139" t="s">
        <v>23</v>
      </c>
      <c r="N139">
        <v>7036000</v>
      </c>
      <c r="O139">
        <v>5</v>
      </c>
      <c r="P139" t="b">
        <v>1</v>
      </c>
    </row>
    <row r="140" spans="1:16" x14ac:dyDescent="0.2">
      <c r="A140" t="s">
        <v>306</v>
      </c>
      <c r="B140" s="1">
        <v>45648</v>
      </c>
      <c r="C140" s="1">
        <v>45696</v>
      </c>
      <c r="D140" t="s">
        <v>307</v>
      </c>
      <c r="E140" t="s">
        <v>45</v>
      </c>
      <c r="F140" t="s">
        <v>25</v>
      </c>
      <c r="G140" t="s">
        <v>20</v>
      </c>
      <c r="H140" t="s">
        <v>47</v>
      </c>
      <c r="I140" t="s">
        <v>30</v>
      </c>
      <c r="J140">
        <v>2</v>
      </c>
      <c r="K140">
        <v>4083000</v>
      </c>
      <c r="L140">
        <v>0.17399999999999999</v>
      </c>
      <c r="M140" t="s">
        <v>23</v>
      </c>
      <c r="N140">
        <v>6745000</v>
      </c>
      <c r="O140">
        <v>4.5</v>
      </c>
      <c r="P140" t="b">
        <v>1</v>
      </c>
    </row>
    <row r="141" spans="1:16" x14ac:dyDescent="0.2">
      <c r="A141" t="s">
        <v>308</v>
      </c>
      <c r="B141" s="1">
        <v>45510</v>
      </c>
      <c r="C141" s="1">
        <v>45570</v>
      </c>
      <c r="D141" t="s">
        <v>234</v>
      </c>
      <c r="E141" t="s">
        <v>29</v>
      </c>
      <c r="F141" t="s">
        <v>68</v>
      </c>
      <c r="G141" t="s">
        <v>20</v>
      </c>
      <c r="H141" t="s">
        <v>21</v>
      </c>
      <c r="I141" t="s">
        <v>22</v>
      </c>
      <c r="J141">
        <v>3</v>
      </c>
      <c r="K141">
        <v>2623000</v>
      </c>
      <c r="L141">
        <v>7.9000000000000001E-2</v>
      </c>
      <c r="M141" t="s">
        <v>23</v>
      </c>
      <c r="N141">
        <v>7247000</v>
      </c>
      <c r="O141">
        <v>4.7</v>
      </c>
      <c r="P141" t="b">
        <v>0</v>
      </c>
    </row>
    <row r="142" spans="1:16" x14ac:dyDescent="0.2">
      <c r="A142" t="s">
        <v>309</v>
      </c>
      <c r="B142" s="1">
        <v>45644</v>
      </c>
      <c r="C142" s="1">
        <v>45690</v>
      </c>
      <c r="D142" t="s">
        <v>56</v>
      </c>
      <c r="E142" t="s">
        <v>18</v>
      </c>
      <c r="F142" t="s">
        <v>34</v>
      </c>
      <c r="G142" t="s">
        <v>20</v>
      </c>
      <c r="H142" t="s">
        <v>21</v>
      </c>
      <c r="I142" t="s">
        <v>22</v>
      </c>
      <c r="J142">
        <v>1</v>
      </c>
      <c r="K142">
        <v>4181000</v>
      </c>
      <c r="L142">
        <v>8.5999999999999993E-2</v>
      </c>
      <c r="M142" t="s">
        <v>23</v>
      </c>
      <c r="N142">
        <v>3821000</v>
      </c>
      <c r="O142">
        <v>3.7</v>
      </c>
      <c r="P142" t="b">
        <v>1</v>
      </c>
    </row>
    <row r="143" spans="1:16" x14ac:dyDescent="0.2">
      <c r="A143" t="s">
        <v>310</v>
      </c>
      <c r="B143" s="1">
        <v>45659</v>
      </c>
      <c r="C143" s="1">
        <v>45725</v>
      </c>
      <c r="D143" t="s">
        <v>311</v>
      </c>
      <c r="E143" t="s">
        <v>33</v>
      </c>
      <c r="F143" t="s">
        <v>39</v>
      </c>
      <c r="G143" t="s">
        <v>35</v>
      </c>
      <c r="H143" t="s">
        <v>40</v>
      </c>
      <c r="I143" t="s">
        <v>52</v>
      </c>
      <c r="J143">
        <v>1</v>
      </c>
      <c r="K143">
        <v>2533000</v>
      </c>
      <c r="L143">
        <v>0.113</v>
      </c>
      <c r="M143" t="s">
        <v>23</v>
      </c>
      <c r="N143">
        <v>2247000</v>
      </c>
      <c r="O143">
        <v>3.9</v>
      </c>
      <c r="P143" t="b">
        <v>1</v>
      </c>
    </row>
    <row r="144" spans="1:16" x14ac:dyDescent="0.2">
      <c r="A144" t="s">
        <v>312</v>
      </c>
      <c r="B144" s="1">
        <v>45729</v>
      </c>
      <c r="C144" s="1">
        <v>45758</v>
      </c>
      <c r="D144" t="s">
        <v>204</v>
      </c>
      <c r="E144" t="s">
        <v>45</v>
      </c>
      <c r="F144" t="s">
        <v>34</v>
      </c>
      <c r="G144" t="s">
        <v>20</v>
      </c>
      <c r="H144" t="s">
        <v>21</v>
      </c>
      <c r="I144" t="s">
        <v>60</v>
      </c>
      <c r="J144">
        <v>1</v>
      </c>
      <c r="K144">
        <v>5894000</v>
      </c>
      <c r="L144">
        <v>0.20699999999999999</v>
      </c>
      <c r="M144" t="s">
        <v>23</v>
      </c>
      <c r="N144">
        <v>4674000</v>
      </c>
      <c r="O144">
        <v>3.9</v>
      </c>
      <c r="P144" t="b">
        <v>1</v>
      </c>
    </row>
    <row r="145" spans="1:16" x14ac:dyDescent="0.2">
      <c r="A145" t="s">
        <v>313</v>
      </c>
      <c r="B145" s="1">
        <v>45632</v>
      </c>
      <c r="C145" s="1">
        <v>45691</v>
      </c>
      <c r="D145" t="s">
        <v>314</v>
      </c>
      <c r="E145" t="s">
        <v>33</v>
      </c>
      <c r="F145" t="s">
        <v>25</v>
      </c>
      <c r="G145" t="s">
        <v>46</v>
      </c>
      <c r="H145" t="s">
        <v>21</v>
      </c>
      <c r="I145" t="s">
        <v>57</v>
      </c>
      <c r="J145">
        <v>2</v>
      </c>
      <c r="K145">
        <v>-100000</v>
      </c>
      <c r="L145">
        <v>0.222</v>
      </c>
      <c r="M145" t="s">
        <v>65</v>
      </c>
      <c r="N145">
        <v>0</v>
      </c>
      <c r="P145" t="b">
        <v>1</v>
      </c>
    </row>
    <row r="146" spans="1:16" x14ac:dyDescent="0.2">
      <c r="A146" t="s">
        <v>315</v>
      </c>
      <c r="B146" s="1">
        <v>45695</v>
      </c>
      <c r="C146" s="1">
        <v>45757</v>
      </c>
      <c r="D146" t="s">
        <v>316</v>
      </c>
      <c r="E146" t="s">
        <v>18</v>
      </c>
      <c r="F146" t="s">
        <v>39</v>
      </c>
      <c r="G146" t="s">
        <v>50</v>
      </c>
      <c r="H146" t="s">
        <v>47</v>
      </c>
      <c r="I146" t="s">
        <v>26</v>
      </c>
      <c r="J146">
        <v>1</v>
      </c>
      <c r="K146">
        <v>2034000</v>
      </c>
      <c r="L146">
        <v>0.16800000000000001</v>
      </c>
      <c r="M146" t="s">
        <v>23</v>
      </c>
      <c r="N146">
        <v>1692000</v>
      </c>
      <c r="O146">
        <v>4.0999999999999996</v>
      </c>
      <c r="P146" t="b">
        <v>1</v>
      </c>
    </row>
    <row r="147" spans="1:16" x14ac:dyDescent="0.2">
      <c r="A147" t="s">
        <v>317</v>
      </c>
      <c r="B147" s="1">
        <v>45657</v>
      </c>
      <c r="C147" s="1">
        <v>45718</v>
      </c>
      <c r="D147" t="s">
        <v>318</v>
      </c>
      <c r="E147" t="s">
        <v>45</v>
      </c>
      <c r="F147" t="s">
        <v>45</v>
      </c>
      <c r="G147" t="s">
        <v>35</v>
      </c>
      <c r="H147" t="s">
        <v>21</v>
      </c>
      <c r="I147" t="s">
        <v>52</v>
      </c>
      <c r="J147">
        <v>3</v>
      </c>
      <c r="K147">
        <v>3856000</v>
      </c>
      <c r="L147">
        <v>0.14000000000000001</v>
      </c>
      <c r="M147" t="s">
        <v>23</v>
      </c>
      <c r="N147">
        <v>9948000</v>
      </c>
      <c r="O147">
        <v>4</v>
      </c>
      <c r="P147" t="b">
        <v>1</v>
      </c>
    </row>
    <row r="148" spans="1:16" x14ac:dyDescent="0.2">
      <c r="A148" t="s">
        <v>319</v>
      </c>
      <c r="B148" s="1">
        <v>45698</v>
      </c>
      <c r="C148" s="1">
        <v>45731</v>
      </c>
      <c r="D148" t="s">
        <v>120</v>
      </c>
      <c r="E148" t="s">
        <v>29</v>
      </c>
      <c r="F148" t="s">
        <v>45</v>
      </c>
      <c r="G148" t="s">
        <v>46</v>
      </c>
      <c r="H148" t="s">
        <v>40</v>
      </c>
      <c r="I148" t="s">
        <v>94</v>
      </c>
      <c r="J148">
        <v>2</v>
      </c>
      <c r="K148">
        <v>3069000</v>
      </c>
      <c r="L148">
        <v>0.2</v>
      </c>
      <c r="M148" t="s">
        <v>23</v>
      </c>
      <c r="N148">
        <v>4910000</v>
      </c>
      <c r="O148">
        <v>4</v>
      </c>
      <c r="P148" t="b">
        <v>1</v>
      </c>
    </row>
    <row r="149" spans="1:16" x14ac:dyDescent="0.2">
      <c r="A149" t="s">
        <v>320</v>
      </c>
      <c r="B149" s="1">
        <v>45676</v>
      </c>
      <c r="C149" s="1">
        <v>45710</v>
      </c>
      <c r="D149" t="s">
        <v>321</v>
      </c>
      <c r="E149" t="s">
        <v>45</v>
      </c>
      <c r="F149" t="s">
        <v>19</v>
      </c>
      <c r="G149" t="s">
        <v>50</v>
      </c>
      <c r="H149" t="s">
        <v>21</v>
      </c>
      <c r="I149" t="s">
        <v>52</v>
      </c>
      <c r="J149">
        <v>1</v>
      </c>
      <c r="K149">
        <v>2304000</v>
      </c>
      <c r="L149">
        <v>0.105</v>
      </c>
      <c r="M149" t="s">
        <v>23</v>
      </c>
      <c r="N149">
        <v>2062000</v>
      </c>
      <c r="O149">
        <v>3.8</v>
      </c>
      <c r="P149" t="b">
        <v>1</v>
      </c>
    </row>
    <row r="150" spans="1:16" x14ac:dyDescent="0.2">
      <c r="A150" t="s">
        <v>322</v>
      </c>
      <c r="B150" s="1">
        <v>45489</v>
      </c>
      <c r="C150" s="1">
        <v>45519</v>
      </c>
      <c r="D150" t="s">
        <v>323</v>
      </c>
      <c r="E150" t="s">
        <v>33</v>
      </c>
      <c r="F150" t="s">
        <v>19</v>
      </c>
      <c r="G150" t="s">
        <v>20</v>
      </c>
      <c r="H150" t="s">
        <v>21</v>
      </c>
      <c r="I150" t="s">
        <v>60</v>
      </c>
      <c r="J150">
        <v>4</v>
      </c>
      <c r="K150">
        <v>1957000</v>
      </c>
      <c r="L150">
        <v>4.3999999999999997E-2</v>
      </c>
      <c r="M150" t="s">
        <v>23</v>
      </c>
      <c r="N150">
        <v>7484000</v>
      </c>
      <c r="O150">
        <v>4.0999999999999996</v>
      </c>
      <c r="P150" t="b">
        <v>0</v>
      </c>
    </row>
    <row r="151" spans="1:16" x14ac:dyDescent="0.2">
      <c r="A151" t="s">
        <v>324</v>
      </c>
      <c r="B151" s="1">
        <v>45445</v>
      </c>
      <c r="C151" s="1">
        <v>45492</v>
      </c>
      <c r="D151" t="s">
        <v>149</v>
      </c>
      <c r="E151" t="s">
        <v>45</v>
      </c>
      <c r="F151" t="s">
        <v>19</v>
      </c>
      <c r="G151" t="s">
        <v>50</v>
      </c>
      <c r="H151" t="s">
        <v>21</v>
      </c>
      <c r="J151">
        <v>2</v>
      </c>
      <c r="K151">
        <v>2901000</v>
      </c>
      <c r="L151">
        <v>5.5E-2</v>
      </c>
      <c r="M151" t="s">
        <v>23</v>
      </c>
      <c r="N151">
        <v>5483000</v>
      </c>
      <c r="O151">
        <v>4.8</v>
      </c>
      <c r="P151" t="b">
        <v>0</v>
      </c>
    </row>
    <row r="152" spans="1:16" x14ac:dyDescent="0.2">
      <c r="A152" t="s">
        <v>325</v>
      </c>
      <c r="B152" s="1">
        <v>45782</v>
      </c>
      <c r="C152" s="1">
        <v>45839</v>
      </c>
      <c r="D152" t="s">
        <v>326</v>
      </c>
      <c r="E152" t="s">
        <v>45</v>
      </c>
      <c r="F152" t="s">
        <v>25</v>
      </c>
      <c r="G152" t="s">
        <v>20</v>
      </c>
      <c r="H152" t="s">
        <v>51</v>
      </c>
      <c r="I152" t="s">
        <v>30</v>
      </c>
      <c r="J152">
        <v>1</v>
      </c>
      <c r="K152">
        <v>4212000</v>
      </c>
      <c r="L152">
        <v>2.1000000000000001E-2</v>
      </c>
      <c r="M152" t="s">
        <v>65</v>
      </c>
      <c r="N152">
        <v>0</v>
      </c>
      <c r="P152" t="b">
        <v>1</v>
      </c>
    </row>
    <row r="153" spans="1:16" x14ac:dyDescent="0.2">
      <c r="A153" t="s">
        <v>327</v>
      </c>
      <c r="B153" s="1">
        <v>45505</v>
      </c>
      <c r="C153" s="1">
        <v>45544</v>
      </c>
      <c r="D153" t="s">
        <v>173</v>
      </c>
      <c r="E153" t="s">
        <v>18</v>
      </c>
      <c r="F153" t="s">
        <v>25</v>
      </c>
      <c r="G153" t="s">
        <v>35</v>
      </c>
      <c r="H153" t="s">
        <v>21</v>
      </c>
      <c r="I153" t="s">
        <v>26</v>
      </c>
      <c r="J153">
        <v>2</v>
      </c>
      <c r="K153">
        <v>4792000</v>
      </c>
      <c r="L153">
        <v>0.109</v>
      </c>
      <c r="M153" t="s">
        <v>23</v>
      </c>
      <c r="N153">
        <v>8539000</v>
      </c>
      <c r="O153">
        <v>4.4000000000000004</v>
      </c>
      <c r="P153" t="b">
        <v>0</v>
      </c>
    </row>
    <row r="154" spans="1:16" x14ac:dyDescent="0.2">
      <c r="A154" t="s">
        <v>328</v>
      </c>
      <c r="B154" s="1">
        <v>45634</v>
      </c>
      <c r="C154" s="1">
        <v>45677</v>
      </c>
      <c r="D154" t="s">
        <v>229</v>
      </c>
      <c r="E154" t="s">
        <v>18</v>
      </c>
      <c r="F154" t="s">
        <v>19</v>
      </c>
      <c r="G154" t="s">
        <v>35</v>
      </c>
      <c r="H154" t="s">
        <v>21</v>
      </c>
      <c r="I154" t="s">
        <v>83</v>
      </c>
      <c r="J154">
        <v>2</v>
      </c>
      <c r="K154">
        <v>1624000</v>
      </c>
      <c r="L154">
        <v>5.2999999999999999E-2</v>
      </c>
      <c r="M154" t="s">
        <v>65</v>
      </c>
      <c r="N154">
        <v>0</v>
      </c>
      <c r="P154" t="b">
        <v>1</v>
      </c>
    </row>
    <row r="155" spans="1:16" x14ac:dyDescent="0.2">
      <c r="A155" t="s">
        <v>329</v>
      </c>
      <c r="B155" s="1">
        <v>45414</v>
      </c>
      <c r="C155" s="1">
        <v>45447</v>
      </c>
      <c r="D155" t="s">
        <v>153</v>
      </c>
      <c r="E155" t="s">
        <v>33</v>
      </c>
      <c r="F155" t="s">
        <v>19</v>
      </c>
      <c r="G155" t="s">
        <v>20</v>
      </c>
      <c r="H155" t="s">
        <v>40</v>
      </c>
      <c r="I155" t="s">
        <v>60</v>
      </c>
      <c r="J155">
        <v>1</v>
      </c>
      <c r="K155">
        <v>2228000</v>
      </c>
      <c r="L155">
        <v>0.10100000000000001</v>
      </c>
      <c r="M155" t="s">
        <v>23</v>
      </c>
      <c r="N155">
        <v>2003000</v>
      </c>
      <c r="O155">
        <v>4.0999999999999996</v>
      </c>
      <c r="P155" t="b">
        <v>0</v>
      </c>
    </row>
    <row r="156" spans="1:16" x14ac:dyDescent="0.2">
      <c r="A156" t="s">
        <v>330</v>
      </c>
      <c r="B156" s="1">
        <v>45560</v>
      </c>
      <c r="C156" s="1">
        <v>45587</v>
      </c>
      <c r="D156" t="s">
        <v>72</v>
      </c>
      <c r="E156" t="s">
        <v>45</v>
      </c>
      <c r="F156" t="s">
        <v>19</v>
      </c>
      <c r="G156" t="s">
        <v>20</v>
      </c>
      <c r="H156" t="s">
        <v>51</v>
      </c>
      <c r="I156" t="s">
        <v>83</v>
      </c>
      <c r="J156">
        <v>1</v>
      </c>
      <c r="K156">
        <v>1554000</v>
      </c>
      <c r="L156">
        <v>0.153</v>
      </c>
      <c r="M156" t="s">
        <v>65</v>
      </c>
      <c r="N156">
        <v>0</v>
      </c>
      <c r="P156" t="b">
        <v>1</v>
      </c>
    </row>
    <row r="157" spans="1:16" x14ac:dyDescent="0.2">
      <c r="A157" t="s">
        <v>331</v>
      </c>
      <c r="B157" s="1">
        <v>45621</v>
      </c>
      <c r="C157" s="1">
        <v>45684</v>
      </c>
      <c r="D157" t="s">
        <v>332</v>
      </c>
      <c r="E157" t="s">
        <v>18</v>
      </c>
      <c r="F157" t="s">
        <v>19</v>
      </c>
      <c r="G157" t="s">
        <v>46</v>
      </c>
      <c r="H157" t="s">
        <v>51</v>
      </c>
      <c r="I157" t="s">
        <v>57</v>
      </c>
      <c r="J157">
        <v>2</v>
      </c>
      <c r="K157">
        <v>3434000</v>
      </c>
      <c r="L157">
        <v>0.20599999999999999</v>
      </c>
      <c r="M157" t="s">
        <v>23</v>
      </c>
      <c r="N157">
        <v>5453000</v>
      </c>
      <c r="O157">
        <v>4.7</v>
      </c>
      <c r="P157" t="b">
        <v>1</v>
      </c>
    </row>
    <row r="158" spans="1:16" x14ac:dyDescent="0.2">
      <c r="A158" t="s">
        <v>333</v>
      </c>
      <c r="B158" s="1">
        <v>45682</v>
      </c>
      <c r="C158" s="1">
        <v>45758</v>
      </c>
      <c r="D158" t="s">
        <v>334</v>
      </c>
      <c r="E158" t="s">
        <v>29</v>
      </c>
      <c r="F158" t="s">
        <v>34</v>
      </c>
      <c r="G158" t="s">
        <v>20</v>
      </c>
      <c r="H158" t="s">
        <v>40</v>
      </c>
      <c r="I158" t="s">
        <v>99</v>
      </c>
      <c r="J158">
        <v>1</v>
      </c>
      <c r="K158">
        <v>2881000</v>
      </c>
      <c r="L158">
        <v>2.1999999999999999E-2</v>
      </c>
      <c r="M158" t="s">
        <v>23</v>
      </c>
      <c r="N158">
        <v>2818000</v>
      </c>
      <c r="O158">
        <v>3.7</v>
      </c>
      <c r="P158" t="b">
        <v>1</v>
      </c>
    </row>
    <row r="159" spans="1:16" x14ac:dyDescent="0.2">
      <c r="A159" t="s">
        <v>335</v>
      </c>
      <c r="B159" s="1">
        <v>45619</v>
      </c>
      <c r="C159" s="1">
        <v>45652</v>
      </c>
      <c r="D159" t="s">
        <v>336</v>
      </c>
      <c r="E159" t="s">
        <v>29</v>
      </c>
      <c r="F159" t="s">
        <v>39</v>
      </c>
      <c r="G159" t="s">
        <v>20</v>
      </c>
      <c r="H159" t="s">
        <v>21</v>
      </c>
      <c r="I159" t="s">
        <v>22</v>
      </c>
      <c r="J159">
        <v>2</v>
      </c>
      <c r="K159">
        <v>1861000</v>
      </c>
      <c r="L159">
        <v>0.13600000000000001</v>
      </c>
      <c r="M159" t="s">
        <v>23</v>
      </c>
      <c r="N159">
        <v>3216000</v>
      </c>
      <c r="O159">
        <v>4.2</v>
      </c>
      <c r="P159" t="b">
        <v>1</v>
      </c>
    </row>
    <row r="160" spans="1:16" x14ac:dyDescent="0.2">
      <c r="A160" t="s">
        <v>337</v>
      </c>
      <c r="B160" s="1">
        <v>45516</v>
      </c>
      <c r="C160" s="1">
        <v>45595</v>
      </c>
      <c r="D160" t="s">
        <v>314</v>
      </c>
      <c r="E160" t="s">
        <v>33</v>
      </c>
      <c r="F160" t="s">
        <v>45</v>
      </c>
      <c r="G160" t="s">
        <v>20</v>
      </c>
      <c r="H160" t="s">
        <v>40</v>
      </c>
      <c r="I160" t="s">
        <v>30</v>
      </c>
      <c r="J160">
        <v>3</v>
      </c>
      <c r="K160">
        <v>3472000</v>
      </c>
      <c r="L160">
        <v>2.5999999999999999E-2</v>
      </c>
      <c r="M160" t="s">
        <v>23</v>
      </c>
      <c r="N160">
        <v>10145000</v>
      </c>
      <c r="O160">
        <v>3.7</v>
      </c>
      <c r="P160" t="b">
        <v>1</v>
      </c>
    </row>
    <row r="161" spans="1:16" x14ac:dyDescent="0.2">
      <c r="A161" t="s">
        <v>338</v>
      </c>
      <c r="B161" s="1">
        <v>45891</v>
      </c>
      <c r="C161" s="1">
        <v>45947</v>
      </c>
      <c r="D161" t="s">
        <v>339</v>
      </c>
      <c r="E161" t="s">
        <v>45</v>
      </c>
      <c r="F161" t="s">
        <v>34</v>
      </c>
      <c r="G161" t="s">
        <v>35</v>
      </c>
      <c r="H161" t="s">
        <v>47</v>
      </c>
      <c r="I161" t="s">
        <v>77</v>
      </c>
      <c r="J161">
        <v>2</v>
      </c>
      <c r="K161">
        <v>2995000</v>
      </c>
      <c r="L161">
        <v>4.8000000000000001E-2</v>
      </c>
      <c r="M161" t="s">
        <v>23</v>
      </c>
      <c r="N161">
        <v>5702000</v>
      </c>
      <c r="O161">
        <v>3.3</v>
      </c>
      <c r="P161" t="b">
        <v>1</v>
      </c>
    </row>
    <row r="162" spans="1:16" x14ac:dyDescent="0.2">
      <c r="A162" t="s">
        <v>340</v>
      </c>
      <c r="B162" s="1">
        <v>45611</v>
      </c>
      <c r="C162" s="1">
        <v>45634</v>
      </c>
      <c r="D162" t="s">
        <v>341</v>
      </c>
      <c r="E162" t="s">
        <v>18</v>
      </c>
      <c r="F162" t="s">
        <v>45</v>
      </c>
      <c r="G162" t="s">
        <v>50</v>
      </c>
      <c r="H162" t="s">
        <v>47</v>
      </c>
      <c r="I162" t="s">
        <v>26</v>
      </c>
      <c r="J162">
        <v>5</v>
      </c>
      <c r="K162">
        <v>3097000</v>
      </c>
      <c r="L162">
        <v>3.5000000000000003E-2</v>
      </c>
      <c r="M162" t="s">
        <v>23</v>
      </c>
      <c r="N162">
        <v>14943000</v>
      </c>
      <c r="O162">
        <v>4.0999999999999996</v>
      </c>
      <c r="P162" t="b">
        <v>1</v>
      </c>
    </row>
    <row r="163" spans="1:16" x14ac:dyDescent="0.2">
      <c r="A163" t="s">
        <v>342</v>
      </c>
      <c r="B163" s="1">
        <v>45795</v>
      </c>
      <c r="C163" s="1">
        <v>45834</v>
      </c>
      <c r="D163" t="s">
        <v>343</v>
      </c>
      <c r="E163" t="s">
        <v>29</v>
      </c>
      <c r="F163" t="s">
        <v>39</v>
      </c>
      <c r="G163" t="s">
        <v>50</v>
      </c>
      <c r="H163" t="s">
        <v>47</v>
      </c>
      <c r="I163" t="s">
        <v>26</v>
      </c>
      <c r="J163">
        <v>2</v>
      </c>
      <c r="K163">
        <v>2108000</v>
      </c>
      <c r="L163">
        <v>0.112</v>
      </c>
      <c r="M163" t="s">
        <v>23</v>
      </c>
      <c r="N163">
        <v>3744000</v>
      </c>
      <c r="O163">
        <v>3.6</v>
      </c>
      <c r="P163" t="b">
        <v>0</v>
      </c>
    </row>
    <row r="164" spans="1:16" x14ac:dyDescent="0.2">
      <c r="A164" t="s">
        <v>344</v>
      </c>
      <c r="B164" s="1">
        <v>45750</v>
      </c>
      <c r="C164" s="1">
        <v>45760</v>
      </c>
      <c r="D164" t="s">
        <v>216</v>
      </c>
      <c r="E164" t="s">
        <v>29</v>
      </c>
      <c r="F164" t="s">
        <v>19</v>
      </c>
      <c r="G164" t="s">
        <v>20</v>
      </c>
      <c r="H164" t="s">
        <v>21</v>
      </c>
      <c r="I164" t="s">
        <v>52</v>
      </c>
      <c r="J164">
        <v>2</v>
      </c>
      <c r="K164">
        <v>1941000</v>
      </c>
      <c r="L164">
        <v>0.13400000000000001</v>
      </c>
      <c r="M164" t="s">
        <v>23</v>
      </c>
      <c r="N164">
        <v>3362000</v>
      </c>
      <c r="O164">
        <v>4.2</v>
      </c>
      <c r="P164" t="b">
        <v>1</v>
      </c>
    </row>
    <row r="165" spans="1:16" x14ac:dyDescent="0.2">
      <c r="A165" t="s">
        <v>345</v>
      </c>
      <c r="B165" s="1">
        <v>45639</v>
      </c>
      <c r="C165" s="1">
        <v>45652</v>
      </c>
      <c r="D165" t="s">
        <v>64</v>
      </c>
      <c r="E165" t="s">
        <v>45</v>
      </c>
      <c r="F165" t="s">
        <v>34</v>
      </c>
      <c r="G165" t="s">
        <v>20</v>
      </c>
      <c r="H165" t="s">
        <v>21</v>
      </c>
      <c r="I165" t="s">
        <v>52</v>
      </c>
      <c r="J165">
        <v>1</v>
      </c>
      <c r="K165">
        <v>2662000</v>
      </c>
      <c r="L165">
        <v>0.05</v>
      </c>
      <c r="M165" t="s">
        <v>23</v>
      </c>
      <c r="N165">
        <v>2529000</v>
      </c>
      <c r="O165">
        <v>4.8</v>
      </c>
      <c r="P165" t="b">
        <v>1</v>
      </c>
    </row>
    <row r="166" spans="1:16" x14ac:dyDescent="0.2">
      <c r="A166" t="s">
        <v>346</v>
      </c>
      <c r="B166" s="1">
        <v>45844</v>
      </c>
      <c r="C166" s="1">
        <v>45881</v>
      </c>
      <c r="D166" t="s">
        <v>276</v>
      </c>
      <c r="E166" t="s">
        <v>29</v>
      </c>
      <c r="F166" t="s">
        <v>34</v>
      </c>
      <c r="G166" t="s">
        <v>20</v>
      </c>
      <c r="H166" t="s">
        <v>40</v>
      </c>
      <c r="I166" t="s">
        <v>94</v>
      </c>
      <c r="J166">
        <v>2</v>
      </c>
      <c r="K166">
        <v>2788000</v>
      </c>
      <c r="L166">
        <v>2.8000000000000001E-2</v>
      </c>
      <c r="M166" t="s">
        <v>23</v>
      </c>
      <c r="N166">
        <v>5420000</v>
      </c>
      <c r="O166">
        <v>5</v>
      </c>
      <c r="P166" t="b">
        <v>1</v>
      </c>
    </row>
    <row r="167" spans="1:16" x14ac:dyDescent="0.2">
      <c r="A167" t="s">
        <v>347</v>
      </c>
      <c r="B167" s="1">
        <v>45371</v>
      </c>
      <c r="C167" s="1">
        <v>45417</v>
      </c>
      <c r="D167" t="s">
        <v>214</v>
      </c>
      <c r="E167" t="s">
        <v>45</v>
      </c>
      <c r="F167" t="s">
        <v>34</v>
      </c>
      <c r="G167" t="s">
        <v>35</v>
      </c>
      <c r="H167" t="s">
        <v>21</v>
      </c>
      <c r="I167" t="s">
        <v>22</v>
      </c>
      <c r="J167">
        <v>3</v>
      </c>
      <c r="K167">
        <v>4658000</v>
      </c>
      <c r="L167">
        <v>3.6999999999999998E-2</v>
      </c>
      <c r="M167" t="s">
        <v>23</v>
      </c>
      <c r="N167">
        <v>13457000</v>
      </c>
      <c r="O167">
        <v>4.2</v>
      </c>
      <c r="P167" t="b">
        <v>0</v>
      </c>
    </row>
    <row r="168" spans="1:16" x14ac:dyDescent="0.2">
      <c r="A168" t="s">
        <v>348</v>
      </c>
      <c r="B168" s="1">
        <v>45865</v>
      </c>
      <c r="C168" s="1">
        <v>45939</v>
      </c>
      <c r="D168" t="s">
        <v>349</v>
      </c>
      <c r="E168" t="s">
        <v>18</v>
      </c>
      <c r="F168" t="s">
        <v>45</v>
      </c>
      <c r="G168" t="s">
        <v>50</v>
      </c>
      <c r="H168" t="s">
        <v>21</v>
      </c>
      <c r="I168" t="s">
        <v>83</v>
      </c>
      <c r="J168">
        <v>5</v>
      </c>
      <c r="K168">
        <v>2402000</v>
      </c>
      <c r="L168">
        <v>0.188</v>
      </c>
      <c r="M168" t="s">
        <v>23</v>
      </c>
      <c r="N168">
        <v>9752000</v>
      </c>
      <c r="O168">
        <v>4.7</v>
      </c>
      <c r="P168" t="b">
        <v>1</v>
      </c>
    </row>
    <row r="169" spans="1:16" x14ac:dyDescent="0.2">
      <c r="A169" t="s">
        <v>350</v>
      </c>
      <c r="B169" s="1">
        <v>45821</v>
      </c>
      <c r="C169" s="1">
        <v>45841</v>
      </c>
      <c r="D169" t="s">
        <v>351</v>
      </c>
      <c r="E169" t="s">
        <v>33</v>
      </c>
      <c r="F169" t="s">
        <v>68</v>
      </c>
      <c r="G169" t="s">
        <v>50</v>
      </c>
      <c r="H169" t="s">
        <v>21</v>
      </c>
      <c r="I169" t="s">
        <v>52</v>
      </c>
      <c r="J169">
        <v>3</v>
      </c>
      <c r="K169">
        <v>2784000</v>
      </c>
      <c r="L169">
        <v>9.1999999999999998E-2</v>
      </c>
      <c r="M169" t="s">
        <v>23</v>
      </c>
      <c r="N169">
        <v>7584000</v>
      </c>
      <c r="O169">
        <v>4.4000000000000004</v>
      </c>
      <c r="P169" t="b">
        <v>1</v>
      </c>
    </row>
    <row r="170" spans="1:16" x14ac:dyDescent="0.2">
      <c r="A170" t="s">
        <v>352</v>
      </c>
      <c r="B170" s="1">
        <v>45605</v>
      </c>
      <c r="C170" s="1">
        <v>45682</v>
      </c>
      <c r="D170" t="s">
        <v>206</v>
      </c>
      <c r="E170" t="s">
        <v>33</v>
      </c>
      <c r="F170" t="s">
        <v>34</v>
      </c>
      <c r="G170" t="s">
        <v>20</v>
      </c>
      <c r="H170" t="s">
        <v>40</v>
      </c>
      <c r="I170" t="s">
        <v>83</v>
      </c>
      <c r="J170">
        <v>1</v>
      </c>
      <c r="K170">
        <v>4899000</v>
      </c>
      <c r="L170">
        <v>0.20100000000000001</v>
      </c>
      <c r="M170" t="s">
        <v>23</v>
      </c>
      <c r="N170">
        <v>3914000</v>
      </c>
      <c r="O170">
        <v>4</v>
      </c>
      <c r="P170" t="b">
        <v>1</v>
      </c>
    </row>
    <row r="171" spans="1:16" x14ac:dyDescent="0.2">
      <c r="A171" t="s">
        <v>353</v>
      </c>
      <c r="B171" s="1">
        <v>45748</v>
      </c>
      <c r="C171" s="1">
        <v>45776</v>
      </c>
      <c r="D171" t="s">
        <v>354</v>
      </c>
      <c r="E171" t="s">
        <v>18</v>
      </c>
      <c r="F171" t="s">
        <v>45</v>
      </c>
      <c r="G171" t="s">
        <v>35</v>
      </c>
      <c r="H171" t="s">
        <v>47</v>
      </c>
      <c r="I171" t="s">
        <v>94</v>
      </c>
      <c r="J171">
        <v>4</v>
      </c>
      <c r="K171">
        <v>3225000</v>
      </c>
      <c r="L171">
        <v>0.14399999999999999</v>
      </c>
      <c r="M171" t="s">
        <v>23</v>
      </c>
      <c r="N171">
        <v>11042000</v>
      </c>
      <c r="O171">
        <v>3.2</v>
      </c>
      <c r="P171" t="b">
        <v>1</v>
      </c>
    </row>
    <row r="172" spans="1:16" x14ac:dyDescent="0.2">
      <c r="A172" t="s">
        <v>355</v>
      </c>
      <c r="B172" s="1">
        <v>45616</v>
      </c>
      <c r="C172" s="1">
        <v>45637</v>
      </c>
      <c r="D172" t="s">
        <v>356</v>
      </c>
      <c r="E172" t="s">
        <v>18</v>
      </c>
      <c r="F172" t="s">
        <v>34</v>
      </c>
      <c r="G172" t="s">
        <v>20</v>
      </c>
      <c r="H172" t="s">
        <v>47</v>
      </c>
      <c r="I172" t="s">
        <v>30</v>
      </c>
      <c r="J172">
        <v>3</v>
      </c>
      <c r="K172">
        <v>4533000</v>
      </c>
      <c r="L172">
        <v>0</v>
      </c>
      <c r="M172" t="s">
        <v>65</v>
      </c>
      <c r="N172">
        <v>0</v>
      </c>
      <c r="P172" t="b">
        <v>1</v>
      </c>
    </row>
    <row r="173" spans="1:16" x14ac:dyDescent="0.2">
      <c r="A173" t="s">
        <v>357</v>
      </c>
      <c r="B173" s="1">
        <v>45459</v>
      </c>
      <c r="C173" s="1">
        <v>45525</v>
      </c>
      <c r="D173" t="s">
        <v>358</v>
      </c>
      <c r="E173" t="s">
        <v>45</v>
      </c>
      <c r="F173" t="s">
        <v>25</v>
      </c>
      <c r="G173" t="s">
        <v>35</v>
      </c>
      <c r="H173" t="s">
        <v>47</v>
      </c>
      <c r="I173" t="s">
        <v>26</v>
      </c>
      <c r="J173">
        <v>2</v>
      </c>
      <c r="K173">
        <v>4966000</v>
      </c>
      <c r="L173">
        <v>0.01</v>
      </c>
      <c r="M173" t="s">
        <v>23</v>
      </c>
      <c r="N173">
        <v>9833000</v>
      </c>
      <c r="O173">
        <v>3.7</v>
      </c>
      <c r="P173" t="b">
        <v>1</v>
      </c>
    </row>
    <row r="174" spans="1:16" x14ac:dyDescent="0.2">
      <c r="A174" t="s">
        <v>359</v>
      </c>
      <c r="B174" s="1">
        <v>45790</v>
      </c>
      <c r="C174" s="1">
        <v>45862</v>
      </c>
      <c r="D174" t="s">
        <v>294</v>
      </c>
      <c r="E174" t="s">
        <v>33</v>
      </c>
      <c r="F174" t="s">
        <v>45</v>
      </c>
      <c r="G174" t="s">
        <v>35</v>
      </c>
      <c r="H174" t="s">
        <v>47</v>
      </c>
      <c r="I174" t="s">
        <v>57</v>
      </c>
      <c r="J174">
        <v>4</v>
      </c>
      <c r="K174">
        <v>3778000</v>
      </c>
      <c r="L174">
        <v>7.9000000000000001E-2</v>
      </c>
      <c r="M174" t="s">
        <v>23</v>
      </c>
      <c r="N174">
        <v>13918000</v>
      </c>
      <c r="O174">
        <v>4.9000000000000004</v>
      </c>
      <c r="P174" t="b">
        <v>1</v>
      </c>
    </row>
    <row r="175" spans="1:16" x14ac:dyDescent="0.2">
      <c r="A175" t="s">
        <v>360</v>
      </c>
      <c r="B175" s="1">
        <v>45445</v>
      </c>
      <c r="C175" s="1">
        <v>45503</v>
      </c>
      <c r="D175" t="s">
        <v>361</v>
      </c>
      <c r="E175" t="s">
        <v>18</v>
      </c>
      <c r="F175" t="s">
        <v>19</v>
      </c>
      <c r="G175" t="s">
        <v>35</v>
      </c>
      <c r="H175" t="s">
        <v>47</v>
      </c>
      <c r="J175">
        <v>2</v>
      </c>
      <c r="K175">
        <v>2476000</v>
      </c>
      <c r="L175">
        <v>4.4999999999999998E-2</v>
      </c>
      <c r="M175" t="s">
        <v>23</v>
      </c>
      <c r="N175">
        <v>4729000</v>
      </c>
      <c r="O175">
        <v>4.5</v>
      </c>
      <c r="P175" t="b">
        <v>1</v>
      </c>
    </row>
    <row r="176" spans="1:16" x14ac:dyDescent="0.2">
      <c r="A176" t="s">
        <v>362</v>
      </c>
      <c r="B176" s="1">
        <v>45487</v>
      </c>
      <c r="C176" s="1">
        <v>45506</v>
      </c>
      <c r="D176" t="s">
        <v>363</v>
      </c>
      <c r="E176" t="s">
        <v>45</v>
      </c>
      <c r="F176" t="s">
        <v>34</v>
      </c>
      <c r="G176" t="s">
        <v>35</v>
      </c>
      <c r="H176" t="s">
        <v>21</v>
      </c>
      <c r="I176" t="s">
        <v>26</v>
      </c>
      <c r="J176">
        <v>2</v>
      </c>
      <c r="K176">
        <v>3361000</v>
      </c>
      <c r="L176">
        <v>3.7999999999999999E-2</v>
      </c>
      <c r="M176" t="s">
        <v>65</v>
      </c>
      <c r="N176">
        <v>0</v>
      </c>
      <c r="P176" t="b">
        <v>1</v>
      </c>
    </row>
    <row r="177" spans="1:16" x14ac:dyDescent="0.2">
      <c r="A177" t="s">
        <v>364</v>
      </c>
      <c r="B177" s="1">
        <v>45615</v>
      </c>
      <c r="C177" s="1">
        <v>45634</v>
      </c>
      <c r="D177" t="s">
        <v>365</v>
      </c>
      <c r="E177" t="s">
        <v>45</v>
      </c>
      <c r="F177" t="s">
        <v>25</v>
      </c>
      <c r="G177" t="s">
        <v>50</v>
      </c>
      <c r="H177" t="s">
        <v>40</v>
      </c>
      <c r="I177" t="s">
        <v>83</v>
      </c>
      <c r="J177">
        <v>1</v>
      </c>
      <c r="K177">
        <v>4991000</v>
      </c>
      <c r="L177">
        <v>1.6E-2</v>
      </c>
      <c r="M177" t="s">
        <v>23</v>
      </c>
      <c r="N177">
        <v>4911000</v>
      </c>
      <c r="O177">
        <v>4.4000000000000004</v>
      </c>
      <c r="P177" t="b">
        <v>0</v>
      </c>
    </row>
    <row r="178" spans="1:16" x14ac:dyDescent="0.2">
      <c r="A178" t="s">
        <v>366</v>
      </c>
      <c r="B178" s="1">
        <v>45813</v>
      </c>
      <c r="C178" s="1">
        <v>45854</v>
      </c>
      <c r="D178" t="s">
        <v>134</v>
      </c>
      <c r="E178" t="s">
        <v>29</v>
      </c>
      <c r="F178" t="s">
        <v>68</v>
      </c>
      <c r="G178" t="s">
        <v>20</v>
      </c>
      <c r="H178" t="s">
        <v>21</v>
      </c>
      <c r="I178" t="s">
        <v>77</v>
      </c>
      <c r="J178">
        <v>1</v>
      </c>
      <c r="K178">
        <v>3285000</v>
      </c>
      <c r="L178">
        <v>9.8000000000000004E-2</v>
      </c>
      <c r="M178" t="s">
        <v>23</v>
      </c>
      <c r="N178">
        <v>2963000</v>
      </c>
      <c r="O178">
        <v>5</v>
      </c>
      <c r="P178" t="b">
        <v>1</v>
      </c>
    </row>
    <row r="179" spans="1:16" x14ac:dyDescent="0.2">
      <c r="A179" t="s">
        <v>367</v>
      </c>
      <c r="B179" s="1">
        <v>45531</v>
      </c>
      <c r="C179" s="1">
        <v>45577</v>
      </c>
      <c r="D179" t="s">
        <v>368</v>
      </c>
      <c r="E179" t="s">
        <v>33</v>
      </c>
      <c r="F179" t="s">
        <v>19</v>
      </c>
      <c r="G179" t="s">
        <v>20</v>
      </c>
      <c r="H179" t="s">
        <v>21</v>
      </c>
      <c r="I179" t="s">
        <v>94</v>
      </c>
      <c r="J179">
        <v>3</v>
      </c>
      <c r="K179">
        <v>2464000</v>
      </c>
      <c r="L179">
        <v>0.14699999999999999</v>
      </c>
      <c r="M179" t="s">
        <v>23</v>
      </c>
      <c r="N179">
        <v>6305000</v>
      </c>
      <c r="O179">
        <v>5</v>
      </c>
      <c r="P179" t="b">
        <v>0</v>
      </c>
    </row>
    <row r="180" spans="1:16" x14ac:dyDescent="0.2">
      <c r="A180" t="s">
        <v>369</v>
      </c>
      <c r="B180" s="1">
        <v>45599</v>
      </c>
      <c r="C180" s="1">
        <v>45689</v>
      </c>
      <c r="D180" t="s">
        <v>370</v>
      </c>
      <c r="E180" t="s">
        <v>45</v>
      </c>
      <c r="F180" t="s">
        <v>34</v>
      </c>
      <c r="G180" t="s">
        <v>20</v>
      </c>
      <c r="H180" t="s">
        <v>21</v>
      </c>
      <c r="I180" t="s">
        <v>26</v>
      </c>
      <c r="J180">
        <v>3</v>
      </c>
      <c r="K180">
        <v>3911000</v>
      </c>
      <c r="L180">
        <v>0.15</v>
      </c>
      <c r="M180" t="s">
        <v>23</v>
      </c>
      <c r="N180">
        <v>9973000</v>
      </c>
      <c r="O180">
        <v>3.9</v>
      </c>
      <c r="P180" t="b">
        <v>0</v>
      </c>
    </row>
    <row r="181" spans="1:16" x14ac:dyDescent="0.2">
      <c r="A181" t="s">
        <v>371</v>
      </c>
      <c r="B181" s="1">
        <v>45317</v>
      </c>
      <c r="C181" s="1">
        <v>45350</v>
      </c>
      <c r="D181" t="s">
        <v>372</v>
      </c>
      <c r="E181" t="s">
        <v>18</v>
      </c>
      <c r="F181" t="s">
        <v>34</v>
      </c>
      <c r="G181" t="s">
        <v>35</v>
      </c>
      <c r="H181" t="s">
        <v>47</v>
      </c>
      <c r="I181" t="s">
        <v>26</v>
      </c>
      <c r="J181">
        <v>3</v>
      </c>
      <c r="K181">
        <v>4900000</v>
      </c>
      <c r="L181">
        <v>8.2000000000000003E-2</v>
      </c>
      <c r="M181" t="s">
        <v>23</v>
      </c>
      <c r="N181">
        <v>13495000</v>
      </c>
      <c r="O181">
        <v>3.8</v>
      </c>
      <c r="P181" t="b">
        <v>0</v>
      </c>
    </row>
    <row r="182" spans="1:16" x14ac:dyDescent="0.2">
      <c r="A182" t="s">
        <v>373</v>
      </c>
      <c r="B182" s="1">
        <v>45364</v>
      </c>
      <c r="C182" s="1">
        <v>45389</v>
      </c>
      <c r="D182" t="s">
        <v>374</v>
      </c>
      <c r="E182" t="s">
        <v>45</v>
      </c>
      <c r="F182" t="s">
        <v>25</v>
      </c>
      <c r="G182" t="s">
        <v>35</v>
      </c>
      <c r="H182" t="s">
        <v>47</v>
      </c>
      <c r="I182" t="s">
        <v>60</v>
      </c>
      <c r="J182">
        <v>1</v>
      </c>
      <c r="K182">
        <v>4281000</v>
      </c>
      <c r="L182">
        <v>0.13100000000000001</v>
      </c>
      <c r="M182" t="s">
        <v>23</v>
      </c>
      <c r="N182">
        <v>3720000</v>
      </c>
      <c r="O182">
        <v>4.3</v>
      </c>
      <c r="P182" t="b">
        <v>1</v>
      </c>
    </row>
    <row r="183" spans="1:16" x14ac:dyDescent="0.2">
      <c r="A183" t="s">
        <v>375</v>
      </c>
      <c r="B183" s="1">
        <v>45326</v>
      </c>
      <c r="C183" s="1">
        <v>45412</v>
      </c>
      <c r="D183" t="s">
        <v>376</v>
      </c>
      <c r="E183" t="s">
        <v>33</v>
      </c>
      <c r="F183" t="s">
        <v>25</v>
      </c>
      <c r="G183" t="s">
        <v>35</v>
      </c>
      <c r="H183" t="s">
        <v>51</v>
      </c>
      <c r="I183" t="s">
        <v>30</v>
      </c>
      <c r="J183">
        <v>1</v>
      </c>
      <c r="K183">
        <v>5820000</v>
      </c>
      <c r="L183">
        <v>0.04</v>
      </c>
      <c r="M183" t="s">
        <v>23</v>
      </c>
      <c r="N183">
        <v>5587000</v>
      </c>
      <c r="O183">
        <v>4.0999999999999996</v>
      </c>
      <c r="P183" t="b">
        <v>0</v>
      </c>
    </row>
    <row r="184" spans="1:16" x14ac:dyDescent="0.2">
      <c r="A184" t="s">
        <v>377</v>
      </c>
      <c r="B184" s="1">
        <v>45336</v>
      </c>
      <c r="C184" s="1">
        <v>45358</v>
      </c>
      <c r="D184" t="s">
        <v>204</v>
      </c>
      <c r="E184" t="s">
        <v>45</v>
      </c>
      <c r="F184" t="s">
        <v>39</v>
      </c>
      <c r="G184" t="s">
        <v>50</v>
      </c>
      <c r="H184" t="s">
        <v>51</v>
      </c>
      <c r="I184" t="s">
        <v>60</v>
      </c>
      <c r="J184">
        <v>1</v>
      </c>
      <c r="K184">
        <v>1922000</v>
      </c>
      <c r="L184">
        <v>0.112</v>
      </c>
      <c r="M184" t="s">
        <v>23</v>
      </c>
      <c r="N184">
        <v>1707000</v>
      </c>
      <c r="O184">
        <v>4.8</v>
      </c>
      <c r="P184" t="b">
        <v>0</v>
      </c>
    </row>
    <row r="185" spans="1:16" x14ac:dyDescent="0.2">
      <c r="A185" t="s">
        <v>378</v>
      </c>
      <c r="B185" s="1">
        <v>45833</v>
      </c>
      <c r="C185" s="1">
        <v>45845</v>
      </c>
      <c r="D185" t="s">
        <v>167</v>
      </c>
      <c r="E185" t="s">
        <v>18</v>
      </c>
      <c r="F185" t="s">
        <v>45</v>
      </c>
      <c r="G185" t="s">
        <v>20</v>
      </c>
      <c r="H185" t="s">
        <v>47</v>
      </c>
      <c r="I185" t="s">
        <v>30</v>
      </c>
      <c r="J185">
        <v>4</v>
      </c>
      <c r="K185">
        <v>3987000</v>
      </c>
      <c r="L185">
        <v>0</v>
      </c>
      <c r="M185" t="s">
        <v>23</v>
      </c>
      <c r="N185">
        <v>15948000</v>
      </c>
      <c r="O185">
        <v>4.5999999999999996</v>
      </c>
      <c r="P185" t="b">
        <v>1</v>
      </c>
    </row>
    <row r="186" spans="1:16" x14ac:dyDescent="0.2">
      <c r="A186" t="s">
        <v>379</v>
      </c>
      <c r="B186" s="1">
        <v>45816</v>
      </c>
      <c r="C186" s="1">
        <v>45860</v>
      </c>
      <c r="D186" t="s">
        <v>380</v>
      </c>
      <c r="E186" t="s">
        <v>33</v>
      </c>
      <c r="F186" t="s">
        <v>39</v>
      </c>
      <c r="G186" t="s">
        <v>35</v>
      </c>
      <c r="H186" t="s">
        <v>21</v>
      </c>
      <c r="I186" t="s">
        <v>83</v>
      </c>
      <c r="J186">
        <v>2</v>
      </c>
      <c r="K186">
        <v>1383000</v>
      </c>
      <c r="L186">
        <v>0</v>
      </c>
      <c r="M186" t="s">
        <v>23</v>
      </c>
      <c r="N186">
        <v>2766000</v>
      </c>
      <c r="O186">
        <v>3.4</v>
      </c>
      <c r="P186" t="b">
        <v>1</v>
      </c>
    </row>
    <row r="187" spans="1:16" x14ac:dyDescent="0.2">
      <c r="A187" t="s">
        <v>381</v>
      </c>
      <c r="B187" s="1">
        <v>45804</v>
      </c>
      <c r="C187" s="1">
        <v>45846</v>
      </c>
      <c r="D187" t="s">
        <v>382</v>
      </c>
      <c r="E187" t="s">
        <v>45</v>
      </c>
      <c r="F187" t="s">
        <v>39</v>
      </c>
      <c r="G187" t="s">
        <v>50</v>
      </c>
      <c r="H187" t="s">
        <v>47</v>
      </c>
      <c r="I187" t="s">
        <v>30</v>
      </c>
      <c r="J187">
        <v>4</v>
      </c>
      <c r="K187">
        <v>2262000</v>
      </c>
      <c r="L187">
        <v>4.7E-2</v>
      </c>
      <c r="M187" t="s">
        <v>23</v>
      </c>
      <c r="N187">
        <v>8623000</v>
      </c>
      <c r="O187">
        <v>4.4000000000000004</v>
      </c>
      <c r="P187" t="b">
        <v>1</v>
      </c>
    </row>
    <row r="188" spans="1:16" x14ac:dyDescent="0.2">
      <c r="A188" t="s">
        <v>383</v>
      </c>
      <c r="B188" s="1">
        <v>45326</v>
      </c>
      <c r="C188" s="1">
        <v>45386</v>
      </c>
      <c r="D188" t="s">
        <v>384</v>
      </c>
      <c r="E188" t="s">
        <v>45</v>
      </c>
      <c r="F188" t="s">
        <v>123</v>
      </c>
      <c r="G188" t="s">
        <v>20</v>
      </c>
      <c r="H188" t="s">
        <v>47</v>
      </c>
      <c r="I188" t="s">
        <v>26</v>
      </c>
      <c r="J188">
        <v>1</v>
      </c>
      <c r="K188">
        <v>1668000</v>
      </c>
      <c r="L188">
        <v>0.26300000000000001</v>
      </c>
      <c r="M188" t="s">
        <v>23</v>
      </c>
      <c r="N188">
        <v>1229000</v>
      </c>
      <c r="O188">
        <v>4.0999999999999996</v>
      </c>
      <c r="P188" t="b">
        <v>0</v>
      </c>
    </row>
    <row r="189" spans="1:16" x14ac:dyDescent="0.2">
      <c r="A189" t="s">
        <v>385</v>
      </c>
      <c r="B189" s="1">
        <v>45340</v>
      </c>
      <c r="C189" s="1">
        <v>45421</v>
      </c>
      <c r="D189" t="s">
        <v>87</v>
      </c>
      <c r="E189" t="s">
        <v>29</v>
      </c>
      <c r="F189" t="s">
        <v>25</v>
      </c>
      <c r="G189" t="s">
        <v>20</v>
      </c>
      <c r="H189" t="s">
        <v>47</v>
      </c>
      <c r="I189" t="s">
        <v>30</v>
      </c>
      <c r="J189">
        <v>2</v>
      </c>
      <c r="K189">
        <v>4867000</v>
      </c>
      <c r="L189">
        <v>1.2E-2</v>
      </c>
      <c r="M189" t="s">
        <v>23</v>
      </c>
      <c r="N189">
        <v>9617000</v>
      </c>
      <c r="O189">
        <v>4.2</v>
      </c>
      <c r="P189" t="b">
        <v>0</v>
      </c>
    </row>
    <row r="190" spans="1:16" x14ac:dyDescent="0.2">
      <c r="A190" t="s">
        <v>386</v>
      </c>
      <c r="B190" s="1">
        <v>45466</v>
      </c>
      <c r="C190" s="1">
        <v>45551</v>
      </c>
      <c r="D190" t="s">
        <v>387</v>
      </c>
      <c r="E190" t="s">
        <v>18</v>
      </c>
      <c r="F190" t="s">
        <v>19</v>
      </c>
      <c r="G190" t="s">
        <v>20</v>
      </c>
      <c r="H190" t="s">
        <v>21</v>
      </c>
      <c r="I190" t="s">
        <v>94</v>
      </c>
      <c r="J190">
        <v>2</v>
      </c>
      <c r="K190">
        <v>2819000</v>
      </c>
      <c r="L190">
        <v>4.4999999999999998E-2</v>
      </c>
      <c r="M190" t="s">
        <v>23</v>
      </c>
      <c r="N190">
        <v>5384000</v>
      </c>
      <c r="O190">
        <v>4.3</v>
      </c>
      <c r="P190" t="b">
        <v>1</v>
      </c>
    </row>
    <row r="191" spans="1:16" x14ac:dyDescent="0.2">
      <c r="A191" t="s">
        <v>388</v>
      </c>
      <c r="B191" s="1">
        <v>45644</v>
      </c>
      <c r="C191" s="1">
        <v>45677</v>
      </c>
      <c r="D191" t="s">
        <v>255</v>
      </c>
      <c r="E191" t="s">
        <v>18</v>
      </c>
      <c r="F191" t="s">
        <v>19</v>
      </c>
      <c r="G191" t="s">
        <v>20</v>
      </c>
      <c r="H191" t="s">
        <v>21</v>
      </c>
      <c r="I191" t="s">
        <v>52</v>
      </c>
      <c r="J191">
        <v>1</v>
      </c>
      <c r="K191">
        <v>2521000</v>
      </c>
      <c r="L191">
        <v>0.13300000000000001</v>
      </c>
      <c r="M191" t="s">
        <v>65</v>
      </c>
      <c r="N191">
        <v>0</v>
      </c>
      <c r="P191" t="b">
        <v>1</v>
      </c>
    </row>
    <row r="192" spans="1:16" x14ac:dyDescent="0.2">
      <c r="A192" t="s">
        <v>389</v>
      </c>
      <c r="B192" s="1">
        <v>45500</v>
      </c>
      <c r="C192" s="1">
        <v>45589</v>
      </c>
      <c r="D192" t="s">
        <v>390</v>
      </c>
      <c r="E192" t="s">
        <v>18</v>
      </c>
      <c r="F192" t="s">
        <v>68</v>
      </c>
      <c r="G192" t="s">
        <v>50</v>
      </c>
      <c r="H192" t="s">
        <v>51</v>
      </c>
      <c r="I192" t="s">
        <v>30</v>
      </c>
      <c r="J192">
        <v>4</v>
      </c>
      <c r="K192">
        <v>2152000</v>
      </c>
      <c r="L192">
        <v>0.22600000000000001</v>
      </c>
      <c r="M192" t="s">
        <v>23</v>
      </c>
      <c r="N192">
        <v>6663000</v>
      </c>
      <c r="O192">
        <v>4.7</v>
      </c>
      <c r="P192" t="b">
        <v>0</v>
      </c>
    </row>
    <row r="193" spans="1:16" x14ac:dyDescent="0.2">
      <c r="A193" t="s">
        <v>391</v>
      </c>
      <c r="B193" s="1">
        <v>45595</v>
      </c>
      <c r="C193" s="1">
        <v>45656</v>
      </c>
      <c r="D193" t="s">
        <v>222</v>
      </c>
      <c r="E193" t="s">
        <v>45</v>
      </c>
      <c r="F193" t="s">
        <v>45</v>
      </c>
      <c r="G193" t="s">
        <v>50</v>
      </c>
      <c r="H193" t="s">
        <v>21</v>
      </c>
      <c r="I193" t="s">
        <v>22</v>
      </c>
      <c r="J193">
        <v>4</v>
      </c>
      <c r="K193">
        <v>3141000</v>
      </c>
      <c r="L193">
        <v>6.8000000000000005E-2</v>
      </c>
      <c r="M193" t="s">
        <v>23</v>
      </c>
      <c r="N193">
        <v>11710000</v>
      </c>
      <c r="O193">
        <v>3.8</v>
      </c>
      <c r="P193" t="b">
        <v>1</v>
      </c>
    </row>
    <row r="194" spans="1:16" x14ac:dyDescent="0.2">
      <c r="A194" t="s">
        <v>392</v>
      </c>
      <c r="B194" s="1">
        <v>45399</v>
      </c>
      <c r="C194" s="1">
        <v>45414</v>
      </c>
      <c r="D194" t="s">
        <v>393</v>
      </c>
      <c r="E194" t="s">
        <v>18</v>
      </c>
      <c r="F194" t="s">
        <v>68</v>
      </c>
      <c r="G194" t="s">
        <v>35</v>
      </c>
      <c r="H194" t="s">
        <v>21</v>
      </c>
      <c r="I194" t="s">
        <v>60</v>
      </c>
      <c r="J194">
        <v>1</v>
      </c>
      <c r="K194">
        <v>3350000</v>
      </c>
      <c r="L194">
        <v>0.16200000000000001</v>
      </c>
      <c r="M194" t="s">
        <v>23</v>
      </c>
      <c r="N194">
        <v>2807000</v>
      </c>
      <c r="O194">
        <v>4.2</v>
      </c>
      <c r="P194" t="b">
        <v>1</v>
      </c>
    </row>
    <row r="195" spans="1:16" x14ac:dyDescent="0.2">
      <c r="A195" t="s">
        <v>394</v>
      </c>
      <c r="B195" s="1">
        <v>45747</v>
      </c>
      <c r="C195" s="1">
        <v>45833</v>
      </c>
      <c r="D195" t="s">
        <v>17</v>
      </c>
      <c r="E195" t="s">
        <v>18</v>
      </c>
      <c r="F195" t="s">
        <v>19</v>
      </c>
      <c r="G195" t="s">
        <v>20</v>
      </c>
      <c r="H195" t="s">
        <v>21</v>
      </c>
      <c r="I195" t="s">
        <v>60</v>
      </c>
      <c r="J195">
        <v>1</v>
      </c>
      <c r="K195">
        <v>3351000</v>
      </c>
      <c r="L195">
        <v>4.5999999999999999E-2</v>
      </c>
      <c r="M195" t="s">
        <v>23</v>
      </c>
      <c r="N195">
        <v>3197000</v>
      </c>
      <c r="O195">
        <v>4</v>
      </c>
      <c r="P195" t="b">
        <v>1</v>
      </c>
    </row>
    <row r="196" spans="1:16" x14ac:dyDescent="0.2">
      <c r="A196" t="s">
        <v>395</v>
      </c>
      <c r="B196" s="1">
        <v>45487</v>
      </c>
      <c r="C196" s="1">
        <v>45508</v>
      </c>
      <c r="D196" t="s">
        <v>332</v>
      </c>
      <c r="E196" t="s">
        <v>18</v>
      </c>
      <c r="F196" t="s">
        <v>25</v>
      </c>
      <c r="G196" t="s">
        <v>35</v>
      </c>
      <c r="H196" t="s">
        <v>21</v>
      </c>
      <c r="I196" t="s">
        <v>30</v>
      </c>
      <c r="J196">
        <v>3</v>
      </c>
      <c r="K196">
        <v>5514000</v>
      </c>
      <c r="L196">
        <v>0.04</v>
      </c>
      <c r="M196" t="s">
        <v>23</v>
      </c>
      <c r="N196">
        <v>15880000</v>
      </c>
      <c r="O196">
        <v>3.4</v>
      </c>
      <c r="P196" t="b">
        <v>1</v>
      </c>
    </row>
    <row r="197" spans="1:16" x14ac:dyDescent="0.2">
      <c r="A197" t="s">
        <v>396</v>
      </c>
      <c r="B197" s="1">
        <v>45333</v>
      </c>
      <c r="C197" s="1">
        <v>45390</v>
      </c>
      <c r="D197" t="s">
        <v>397</v>
      </c>
      <c r="E197" t="s">
        <v>33</v>
      </c>
      <c r="F197" t="s">
        <v>25</v>
      </c>
      <c r="G197" t="s">
        <v>50</v>
      </c>
      <c r="H197" t="s">
        <v>21</v>
      </c>
      <c r="I197" t="s">
        <v>52</v>
      </c>
      <c r="J197">
        <v>2</v>
      </c>
      <c r="K197">
        <v>3400000</v>
      </c>
      <c r="L197">
        <v>0.125</v>
      </c>
      <c r="M197" t="s">
        <v>23</v>
      </c>
      <c r="N197">
        <v>5950000</v>
      </c>
      <c r="O197">
        <v>4.0999999999999996</v>
      </c>
      <c r="P197" t="b">
        <v>0</v>
      </c>
    </row>
    <row r="198" spans="1:16" x14ac:dyDescent="0.2">
      <c r="A198" t="s">
        <v>398</v>
      </c>
      <c r="B198" s="1">
        <v>45754</v>
      </c>
      <c r="C198" s="1">
        <v>45828</v>
      </c>
      <c r="D198" t="s">
        <v>399</v>
      </c>
      <c r="E198" t="s">
        <v>18</v>
      </c>
      <c r="F198" t="s">
        <v>34</v>
      </c>
      <c r="G198" t="s">
        <v>20</v>
      </c>
      <c r="H198" t="s">
        <v>51</v>
      </c>
      <c r="I198" t="s">
        <v>83</v>
      </c>
      <c r="J198">
        <v>2</v>
      </c>
      <c r="K198">
        <v>5057000</v>
      </c>
      <c r="L198">
        <v>3.4000000000000002E-2</v>
      </c>
      <c r="M198" t="s">
        <v>23</v>
      </c>
      <c r="N198">
        <v>9770000</v>
      </c>
      <c r="O198">
        <v>5</v>
      </c>
      <c r="P198" t="b">
        <v>1</v>
      </c>
    </row>
    <row r="199" spans="1:16" x14ac:dyDescent="0.2">
      <c r="A199" t="s">
        <v>400</v>
      </c>
      <c r="B199" s="1">
        <v>45854</v>
      </c>
      <c r="C199" s="1">
        <v>45884</v>
      </c>
      <c r="D199" t="s">
        <v>401</v>
      </c>
      <c r="E199" t="s">
        <v>18</v>
      </c>
      <c r="F199" t="s">
        <v>19</v>
      </c>
      <c r="G199" t="s">
        <v>50</v>
      </c>
      <c r="H199" t="s">
        <v>47</v>
      </c>
      <c r="I199" t="s">
        <v>99</v>
      </c>
      <c r="J199">
        <v>2</v>
      </c>
      <c r="K199">
        <v>2142000</v>
      </c>
      <c r="L199">
        <v>8.8999999999999996E-2</v>
      </c>
      <c r="M199" t="s">
        <v>23</v>
      </c>
      <c r="N199">
        <v>3903000</v>
      </c>
      <c r="O199">
        <v>3.3</v>
      </c>
      <c r="P199" t="b">
        <v>1</v>
      </c>
    </row>
    <row r="200" spans="1:16" x14ac:dyDescent="0.2">
      <c r="A200" t="s">
        <v>402</v>
      </c>
      <c r="B200" s="1">
        <v>45301</v>
      </c>
      <c r="C200" s="1">
        <v>45332</v>
      </c>
      <c r="D200" t="s">
        <v>354</v>
      </c>
      <c r="E200" t="s">
        <v>18</v>
      </c>
      <c r="F200" t="s">
        <v>25</v>
      </c>
      <c r="G200" t="s">
        <v>20</v>
      </c>
      <c r="H200" t="s">
        <v>51</v>
      </c>
      <c r="I200" t="s">
        <v>52</v>
      </c>
      <c r="J200">
        <v>1</v>
      </c>
      <c r="K200">
        <v>3061000</v>
      </c>
      <c r="L200">
        <v>2.4E-2</v>
      </c>
      <c r="M200" t="s">
        <v>23</v>
      </c>
      <c r="N200">
        <v>2988000</v>
      </c>
      <c r="O200">
        <v>4.2</v>
      </c>
      <c r="P200" t="b">
        <v>0</v>
      </c>
    </row>
    <row r="201" spans="1:16" x14ac:dyDescent="0.2">
      <c r="A201" t="s">
        <v>403</v>
      </c>
      <c r="B201" s="1">
        <v>45564</v>
      </c>
      <c r="C201" s="1">
        <v>45612</v>
      </c>
      <c r="D201" t="s">
        <v>404</v>
      </c>
      <c r="E201" t="s">
        <v>45</v>
      </c>
      <c r="F201" t="s">
        <v>34</v>
      </c>
      <c r="G201" t="s">
        <v>20</v>
      </c>
      <c r="H201" t="s">
        <v>21</v>
      </c>
      <c r="I201" t="s">
        <v>26</v>
      </c>
      <c r="J201">
        <v>2</v>
      </c>
      <c r="K201">
        <v>4474000</v>
      </c>
      <c r="L201">
        <v>0.17299999999999999</v>
      </c>
      <c r="M201" t="s">
        <v>65</v>
      </c>
      <c r="N201">
        <v>0</v>
      </c>
      <c r="P201" t="b">
        <v>0</v>
      </c>
    </row>
    <row r="202" spans="1:16" x14ac:dyDescent="0.2">
      <c r="A202" t="s">
        <v>405</v>
      </c>
      <c r="B202" s="1">
        <v>45807</v>
      </c>
      <c r="C202" s="1">
        <v>45888</v>
      </c>
      <c r="D202" t="s">
        <v>406</v>
      </c>
      <c r="E202" t="s">
        <v>45</v>
      </c>
      <c r="F202" t="s">
        <v>68</v>
      </c>
      <c r="G202" t="s">
        <v>20</v>
      </c>
      <c r="H202" t="s">
        <v>21</v>
      </c>
      <c r="I202" t="s">
        <v>57</v>
      </c>
      <c r="J202">
        <v>3</v>
      </c>
      <c r="K202">
        <v>3131000</v>
      </c>
      <c r="L202">
        <v>6.2E-2</v>
      </c>
      <c r="M202" t="s">
        <v>23</v>
      </c>
      <c r="N202">
        <v>8811000</v>
      </c>
      <c r="O202">
        <v>4.3</v>
      </c>
      <c r="P202" t="b">
        <v>1</v>
      </c>
    </row>
    <row r="203" spans="1:16" x14ac:dyDescent="0.2">
      <c r="A203" t="s">
        <v>407</v>
      </c>
      <c r="B203" s="1">
        <v>45731</v>
      </c>
      <c r="C203" s="1">
        <v>45759</v>
      </c>
      <c r="D203" t="s">
        <v>408</v>
      </c>
      <c r="E203" t="s">
        <v>18</v>
      </c>
      <c r="F203" t="s">
        <v>34</v>
      </c>
      <c r="G203" t="s">
        <v>20</v>
      </c>
      <c r="H203" t="s">
        <v>21</v>
      </c>
      <c r="I203" t="s">
        <v>77</v>
      </c>
      <c r="J203">
        <v>1</v>
      </c>
      <c r="K203">
        <v>2925000</v>
      </c>
      <c r="L203">
        <v>0.107</v>
      </c>
      <c r="M203" t="s">
        <v>23</v>
      </c>
      <c r="N203">
        <v>2612000</v>
      </c>
      <c r="O203">
        <v>3.7</v>
      </c>
      <c r="P203" t="b">
        <v>0</v>
      </c>
    </row>
    <row r="204" spans="1:16" x14ac:dyDescent="0.2">
      <c r="A204" t="s">
        <v>409</v>
      </c>
      <c r="B204" s="1">
        <v>45825</v>
      </c>
      <c r="C204" s="1">
        <v>45888</v>
      </c>
      <c r="D204" t="s">
        <v>410</v>
      </c>
      <c r="E204" t="s">
        <v>18</v>
      </c>
      <c r="F204" t="s">
        <v>34</v>
      </c>
      <c r="G204" t="s">
        <v>50</v>
      </c>
      <c r="H204" t="s">
        <v>21</v>
      </c>
      <c r="I204" t="s">
        <v>83</v>
      </c>
      <c r="J204">
        <v>2</v>
      </c>
      <c r="K204">
        <v>4262000</v>
      </c>
      <c r="L204">
        <v>0</v>
      </c>
      <c r="M204" t="s">
        <v>23</v>
      </c>
      <c r="N204">
        <v>8524000</v>
      </c>
      <c r="O204">
        <v>3.5</v>
      </c>
      <c r="P204" t="b">
        <v>1</v>
      </c>
    </row>
    <row r="205" spans="1:16" x14ac:dyDescent="0.2">
      <c r="A205" t="s">
        <v>411</v>
      </c>
      <c r="B205" s="1">
        <v>45550</v>
      </c>
      <c r="C205" s="1">
        <v>45596</v>
      </c>
      <c r="D205" t="s">
        <v>412</v>
      </c>
      <c r="E205" t="s">
        <v>18</v>
      </c>
      <c r="F205" t="s">
        <v>45</v>
      </c>
      <c r="G205" t="s">
        <v>20</v>
      </c>
      <c r="H205" t="s">
        <v>21</v>
      </c>
      <c r="I205" t="s">
        <v>60</v>
      </c>
      <c r="J205">
        <v>3</v>
      </c>
      <c r="K205">
        <v>3799000</v>
      </c>
      <c r="L205">
        <v>6.0999999999999999E-2</v>
      </c>
      <c r="M205" t="s">
        <v>23</v>
      </c>
      <c r="N205">
        <v>10702000</v>
      </c>
      <c r="O205">
        <v>3.5</v>
      </c>
      <c r="P205" t="b">
        <v>1</v>
      </c>
    </row>
    <row r="206" spans="1:16" x14ac:dyDescent="0.2">
      <c r="A206" t="s">
        <v>413</v>
      </c>
      <c r="B206" s="1">
        <v>45523</v>
      </c>
      <c r="C206" s="1">
        <v>45542</v>
      </c>
      <c r="D206" t="s">
        <v>414</v>
      </c>
      <c r="E206" t="s">
        <v>18</v>
      </c>
      <c r="F206" t="s">
        <v>34</v>
      </c>
      <c r="G206" t="s">
        <v>20</v>
      </c>
      <c r="H206" t="s">
        <v>47</v>
      </c>
      <c r="I206" t="s">
        <v>26</v>
      </c>
      <c r="J206">
        <v>1</v>
      </c>
      <c r="K206">
        <v>4102000</v>
      </c>
      <c r="L206">
        <v>0.192</v>
      </c>
      <c r="M206" t="s">
        <v>23</v>
      </c>
      <c r="N206">
        <v>3314000</v>
      </c>
      <c r="O206">
        <v>4.9000000000000004</v>
      </c>
      <c r="P206" t="b">
        <v>0</v>
      </c>
    </row>
    <row r="207" spans="1:16" x14ac:dyDescent="0.2">
      <c r="A207" t="s">
        <v>415</v>
      </c>
      <c r="B207" s="1">
        <v>45733</v>
      </c>
      <c r="C207" s="1">
        <v>45800</v>
      </c>
      <c r="D207" t="s">
        <v>216</v>
      </c>
      <c r="E207" t="s">
        <v>29</v>
      </c>
      <c r="F207" t="s">
        <v>68</v>
      </c>
      <c r="G207" t="s">
        <v>20</v>
      </c>
      <c r="H207" t="s">
        <v>51</v>
      </c>
      <c r="I207" t="s">
        <v>77</v>
      </c>
      <c r="J207">
        <v>1</v>
      </c>
      <c r="K207">
        <v>2210000</v>
      </c>
      <c r="L207">
        <v>0.107</v>
      </c>
      <c r="M207" t="s">
        <v>23</v>
      </c>
      <c r="N207">
        <v>1974000</v>
      </c>
      <c r="O207">
        <v>3.7</v>
      </c>
      <c r="P207" t="b">
        <v>1</v>
      </c>
    </row>
    <row r="208" spans="1:16" x14ac:dyDescent="0.2">
      <c r="A208" t="s">
        <v>416</v>
      </c>
      <c r="B208" s="1">
        <v>45387</v>
      </c>
      <c r="C208" s="1">
        <v>45464</v>
      </c>
      <c r="D208" t="s">
        <v>417</v>
      </c>
      <c r="E208" t="s">
        <v>45</v>
      </c>
      <c r="F208" t="s">
        <v>45</v>
      </c>
      <c r="G208" t="s">
        <v>20</v>
      </c>
      <c r="H208" t="s">
        <v>21</v>
      </c>
      <c r="I208" t="s">
        <v>57</v>
      </c>
      <c r="J208">
        <v>4</v>
      </c>
      <c r="K208">
        <v>3599000</v>
      </c>
      <c r="L208">
        <v>7.0999999999999994E-2</v>
      </c>
      <c r="M208" t="s">
        <v>23</v>
      </c>
      <c r="N208">
        <v>13374000</v>
      </c>
      <c r="O208">
        <v>4</v>
      </c>
      <c r="P208" t="b">
        <v>0</v>
      </c>
    </row>
    <row r="209" spans="1:16" x14ac:dyDescent="0.2">
      <c r="A209" t="s">
        <v>418</v>
      </c>
      <c r="B209" s="1">
        <v>45441</v>
      </c>
      <c r="C209" s="1">
        <v>45497</v>
      </c>
      <c r="D209" t="s">
        <v>419</v>
      </c>
      <c r="E209" t="s">
        <v>45</v>
      </c>
      <c r="F209" t="s">
        <v>34</v>
      </c>
      <c r="G209" t="s">
        <v>20</v>
      </c>
      <c r="H209" t="s">
        <v>21</v>
      </c>
      <c r="I209" t="s">
        <v>22</v>
      </c>
      <c r="J209">
        <v>1</v>
      </c>
      <c r="K209">
        <v>3475000</v>
      </c>
      <c r="L209">
        <v>2.5000000000000001E-2</v>
      </c>
      <c r="M209" t="s">
        <v>23</v>
      </c>
      <c r="N209">
        <v>3388000</v>
      </c>
      <c r="O209">
        <v>5</v>
      </c>
      <c r="P209" t="b">
        <v>0</v>
      </c>
    </row>
    <row r="210" spans="1:16" x14ac:dyDescent="0.2">
      <c r="A210" t="s">
        <v>420</v>
      </c>
      <c r="B210" s="1">
        <v>45666</v>
      </c>
      <c r="C210" s="1">
        <v>45690</v>
      </c>
      <c r="D210" t="s">
        <v>421</v>
      </c>
      <c r="E210" t="s">
        <v>18</v>
      </c>
      <c r="F210" t="s">
        <v>45</v>
      </c>
      <c r="G210" t="s">
        <v>20</v>
      </c>
      <c r="H210" t="s">
        <v>21</v>
      </c>
      <c r="I210" t="s">
        <v>77</v>
      </c>
      <c r="J210">
        <v>3</v>
      </c>
      <c r="K210">
        <v>3897000</v>
      </c>
      <c r="L210">
        <v>0.11799999999999999</v>
      </c>
      <c r="M210" t="s">
        <v>23</v>
      </c>
      <c r="N210">
        <v>10311000</v>
      </c>
      <c r="O210">
        <v>3.8</v>
      </c>
      <c r="P210" t="b">
        <v>1</v>
      </c>
    </row>
    <row r="211" spans="1:16" x14ac:dyDescent="0.2">
      <c r="A211" t="s">
        <v>422</v>
      </c>
      <c r="B211" s="1">
        <v>45708</v>
      </c>
      <c r="C211" s="1">
        <v>45730</v>
      </c>
      <c r="D211" t="s">
        <v>399</v>
      </c>
      <c r="E211" t="s">
        <v>18</v>
      </c>
      <c r="F211" t="s">
        <v>45</v>
      </c>
      <c r="G211" t="s">
        <v>35</v>
      </c>
      <c r="H211" t="s">
        <v>21</v>
      </c>
      <c r="I211" t="s">
        <v>30</v>
      </c>
      <c r="J211">
        <v>4</v>
      </c>
      <c r="K211">
        <v>3555000</v>
      </c>
      <c r="L211">
        <v>3.7999999999999999E-2</v>
      </c>
      <c r="M211" t="s">
        <v>65</v>
      </c>
      <c r="N211">
        <v>0</v>
      </c>
      <c r="P211" t="b">
        <v>1</v>
      </c>
    </row>
    <row r="212" spans="1:16" x14ac:dyDescent="0.2">
      <c r="A212" t="s">
        <v>423</v>
      </c>
      <c r="B212" s="1">
        <v>45366</v>
      </c>
      <c r="C212" s="1">
        <v>45410</v>
      </c>
      <c r="D212" t="s">
        <v>424</v>
      </c>
      <c r="E212" t="s">
        <v>33</v>
      </c>
      <c r="F212" t="s">
        <v>45</v>
      </c>
      <c r="G212" t="s">
        <v>20</v>
      </c>
      <c r="H212" t="s">
        <v>21</v>
      </c>
      <c r="I212" t="s">
        <v>99</v>
      </c>
      <c r="J212">
        <v>2</v>
      </c>
      <c r="K212">
        <v>2215000</v>
      </c>
      <c r="L212">
        <v>0.126</v>
      </c>
      <c r="M212" t="s">
        <v>23</v>
      </c>
      <c r="N212">
        <v>3872000</v>
      </c>
      <c r="O212">
        <v>4.7</v>
      </c>
      <c r="P212" t="b">
        <v>0</v>
      </c>
    </row>
    <row r="213" spans="1:16" x14ac:dyDescent="0.2">
      <c r="A213" t="s">
        <v>425</v>
      </c>
      <c r="B213" s="1">
        <v>45608</v>
      </c>
      <c r="C213" s="1">
        <v>45659</v>
      </c>
      <c r="D213" t="s">
        <v>356</v>
      </c>
      <c r="E213" t="s">
        <v>18</v>
      </c>
      <c r="F213" t="s">
        <v>39</v>
      </c>
      <c r="G213" t="s">
        <v>50</v>
      </c>
      <c r="H213" t="s">
        <v>21</v>
      </c>
      <c r="I213" t="s">
        <v>83</v>
      </c>
      <c r="J213">
        <v>2</v>
      </c>
      <c r="K213">
        <v>1411000</v>
      </c>
      <c r="L213">
        <v>0.14199999999999999</v>
      </c>
      <c r="M213" t="s">
        <v>23</v>
      </c>
      <c r="N213">
        <v>2421000</v>
      </c>
      <c r="O213">
        <v>4.7</v>
      </c>
      <c r="P213" t="b">
        <v>1</v>
      </c>
    </row>
    <row r="214" spans="1:16" x14ac:dyDescent="0.2">
      <c r="A214" t="s">
        <v>426</v>
      </c>
      <c r="B214" s="1">
        <v>45519</v>
      </c>
      <c r="C214" s="1">
        <v>45573</v>
      </c>
      <c r="D214" t="s">
        <v>269</v>
      </c>
      <c r="E214" t="s">
        <v>29</v>
      </c>
      <c r="F214" t="s">
        <v>45</v>
      </c>
      <c r="G214" t="s">
        <v>20</v>
      </c>
      <c r="H214" t="s">
        <v>21</v>
      </c>
      <c r="I214" t="s">
        <v>83</v>
      </c>
      <c r="J214">
        <v>5</v>
      </c>
      <c r="K214">
        <v>3462000</v>
      </c>
      <c r="L214">
        <v>0.13900000000000001</v>
      </c>
      <c r="M214" t="s">
        <v>23</v>
      </c>
      <c r="N214">
        <v>14904000</v>
      </c>
      <c r="O214">
        <v>3.5</v>
      </c>
      <c r="P214" t="b">
        <v>1</v>
      </c>
    </row>
    <row r="215" spans="1:16" x14ac:dyDescent="0.2">
      <c r="A215" t="s">
        <v>427</v>
      </c>
      <c r="B215" s="1">
        <v>45604</v>
      </c>
      <c r="C215" s="1">
        <v>45633</v>
      </c>
      <c r="D215" t="s">
        <v>336</v>
      </c>
      <c r="E215" t="s">
        <v>29</v>
      </c>
      <c r="F215" t="s">
        <v>25</v>
      </c>
      <c r="G215" t="s">
        <v>50</v>
      </c>
      <c r="H215" t="s">
        <v>21</v>
      </c>
      <c r="I215" t="s">
        <v>57</v>
      </c>
      <c r="J215">
        <v>1</v>
      </c>
      <c r="K215">
        <v>3995000</v>
      </c>
      <c r="L215">
        <v>2.4E-2</v>
      </c>
      <c r="M215" t="s">
        <v>23</v>
      </c>
      <c r="N215">
        <v>3899000</v>
      </c>
      <c r="O215">
        <v>3.8</v>
      </c>
      <c r="P215" t="b">
        <v>1</v>
      </c>
    </row>
    <row r="216" spans="1:16" x14ac:dyDescent="0.2">
      <c r="A216" t="s">
        <v>428</v>
      </c>
      <c r="B216" s="1">
        <v>45889</v>
      </c>
      <c r="C216" s="1">
        <v>45939</v>
      </c>
      <c r="D216" t="s">
        <v>429</v>
      </c>
      <c r="E216" t="s">
        <v>18</v>
      </c>
      <c r="F216" t="s">
        <v>19</v>
      </c>
      <c r="G216" t="s">
        <v>50</v>
      </c>
      <c r="H216" t="s">
        <v>47</v>
      </c>
      <c r="I216" t="s">
        <v>77</v>
      </c>
      <c r="J216">
        <v>1</v>
      </c>
      <c r="K216">
        <v>3057000</v>
      </c>
      <c r="L216">
        <v>9.9000000000000005E-2</v>
      </c>
      <c r="M216" t="s">
        <v>23</v>
      </c>
      <c r="N216">
        <v>2754000</v>
      </c>
      <c r="O216">
        <v>4.4000000000000004</v>
      </c>
      <c r="P216" t="b">
        <v>1</v>
      </c>
    </row>
    <row r="217" spans="1:16" x14ac:dyDescent="0.2">
      <c r="A217" t="s">
        <v>430</v>
      </c>
      <c r="B217" s="1">
        <v>45339</v>
      </c>
      <c r="C217" s="1">
        <v>45372</v>
      </c>
      <c r="D217" t="s">
        <v>431</v>
      </c>
      <c r="E217" t="s">
        <v>45</v>
      </c>
      <c r="F217" t="s">
        <v>45</v>
      </c>
      <c r="G217" t="s">
        <v>20</v>
      </c>
      <c r="H217" t="s">
        <v>21</v>
      </c>
      <c r="I217" t="s">
        <v>26</v>
      </c>
      <c r="J217">
        <v>5</v>
      </c>
      <c r="K217">
        <v>3476000</v>
      </c>
      <c r="L217">
        <v>0.152</v>
      </c>
      <c r="M217" t="s">
        <v>23</v>
      </c>
      <c r="N217">
        <v>14738000</v>
      </c>
      <c r="O217">
        <v>5</v>
      </c>
      <c r="P217" t="b">
        <v>0</v>
      </c>
    </row>
    <row r="218" spans="1:16" x14ac:dyDescent="0.2">
      <c r="A218" t="s">
        <v>432</v>
      </c>
      <c r="B218" s="1">
        <v>45912</v>
      </c>
      <c r="C218" s="1">
        <v>45977</v>
      </c>
      <c r="D218" t="s">
        <v>433</v>
      </c>
      <c r="E218" t="s">
        <v>33</v>
      </c>
      <c r="F218" t="s">
        <v>68</v>
      </c>
      <c r="G218" t="s">
        <v>20</v>
      </c>
      <c r="H218" t="s">
        <v>21</v>
      </c>
      <c r="I218" t="s">
        <v>83</v>
      </c>
      <c r="J218">
        <v>1</v>
      </c>
      <c r="K218">
        <v>1783000</v>
      </c>
      <c r="L218">
        <v>0.107</v>
      </c>
      <c r="M218" t="s">
        <v>23</v>
      </c>
      <c r="N218">
        <v>1592000</v>
      </c>
      <c r="O218">
        <v>3.8</v>
      </c>
      <c r="P218" t="b">
        <v>1</v>
      </c>
    </row>
    <row r="219" spans="1:16" x14ac:dyDescent="0.2">
      <c r="A219" t="s">
        <v>434</v>
      </c>
      <c r="B219" s="1">
        <v>45572</v>
      </c>
      <c r="C219" s="1">
        <v>45646</v>
      </c>
      <c r="D219" t="s">
        <v>435</v>
      </c>
      <c r="E219" t="s">
        <v>18</v>
      </c>
      <c r="F219" t="s">
        <v>25</v>
      </c>
      <c r="G219" t="s">
        <v>50</v>
      </c>
      <c r="H219" t="s">
        <v>21</v>
      </c>
      <c r="I219" t="s">
        <v>94</v>
      </c>
      <c r="J219">
        <v>1</v>
      </c>
      <c r="K219">
        <v>3649000</v>
      </c>
      <c r="L219">
        <v>4.9000000000000002E-2</v>
      </c>
      <c r="M219" t="s">
        <v>23</v>
      </c>
      <c r="N219">
        <v>3470000</v>
      </c>
      <c r="O219">
        <v>4</v>
      </c>
      <c r="P219" t="b">
        <v>1</v>
      </c>
    </row>
    <row r="220" spans="1:16" x14ac:dyDescent="0.2">
      <c r="A220" t="s">
        <v>436</v>
      </c>
      <c r="B220" s="1">
        <v>45773</v>
      </c>
      <c r="C220" s="1">
        <v>45835</v>
      </c>
      <c r="D220" t="s">
        <v>437</v>
      </c>
      <c r="E220" t="s">
        <v>45</v>
      </c>
      <c r="F220" t="s">
        <v>45</v>
      </c>
      <c r="G220" t="s">
        <v>35</v>
      </c>
      <c r="H220" t="s">
        <v>21</v>
      </c>
      <c r="I220" t="s">
        <v>57</v>
      </c>
      <c r="J220">
        <v>5</v>
      </c>
      <c r="K220">
        <v>4131000</v>
      </c>
      <c r="L220">
        <v>0.13600000000000001</v>
      </c>
      <c r="M220" t="s">
        <v>23</v>
      </c>
      <c r="N220">
        <v>17846000</v>
      </c>
      <c r="O220">
        <v>4.4000000000000004</v>
      </c>
      <c r="P220" t="b">
        <v>1</v>
      </c>
    </row>
    <row r="221" spans="1:16" x14ac:dyDescent="0.2">
      <c r="A221" t="s">
        <v>438</v>
      </c>
      <c r="B221" s="1">
        <v>45556</v>
      </c>
      <c r="C221" s="1">
        <v>45566</v>
      </c>
      <c r="D221" t="s">
        <v>439</v>
      </c>
      <c r="E221" t="s">
        <v>45</v>
      </c>
      <c r="F221" t="s">
        <v>19</v>
      </c>
      <c r="G221" t="s">
        <v>35</v>
      </c>
      <c r="H221" t="s">
        <v>40</v>
      </c>
      <c r="I221" t="s">
        <v>77</v>
      </c>
      <c r="J221">
        <v>3</v>
      </c>
      <c r="K221">
        <v>1838000</v>
      </c>
      <c r="L221">
        <v>6.3E-2</v>
      </c>
      <c r="M221" t="s">
        <v>23</v>
      </c>
      <c r="N221">
        <v>5167000</v>
      </c>
      <c r="O221">
        <v>4.5</v>
      </c>
      <c r="P221" t="b">
        <v>0</v>
      </c>
    </row>
    <row r="222" spans="1:16" x14ac:dyDescent="0.2">
      <c r="A222" t="s">
        <v>440</v>
      </c>
      <c r="B222" s="1">
        <v>45485</v>
      </c>
      <c r="C222" s="1">
        <v>45575</v>
      </c>
      <c r="D222" t="s">
        <v>441</v>
      </c>
      <c r="E222" t="s">
        <v>45</v>
      </c>
      <c r="F222" t="s">
        <v>45</v>
      </c>
      <c r="G222" t="s">
        <v>20</v>
      </c>
      <c r="H222" t="s">
        <v>47</v>
      </c>
      <c r="I222" t="s">
        <v>26</v>
      </c>
      <c r="J222">
        <v>4</v>
      </c>
      <c r="K222">
        <v>2254000</v>
      </c>
      <c r="L222">
        <v>0.185</v>
      </c>
      <c r="M222" t="s">
        <v>23</v>
      </c>
      <c r="N222">
        <v>7348000</v>
      </c>
      <c r="O222">
        <v>4.5</v>
      </c>
      <c r="P222" t="b">
        <v>0</v>
      </c>
    </row>
    <row r="223" spans="1:16" x14ac:dyDescent="0.2">
      <c r="A223" t="s">
        <v>442</v>
      </c>
      <c r="B223" s="1">
        <v>45772</v>
      </c>
      <c r="C223" s="1">
        <v>45783</v>
      </c>
      <c r="D223" t="s">
        <v>443</v>
      </c>
      <c r="E223" t="s">
        <v>33</v>
      </c>
      <c r="F223" t="s">
        <v>68</v>
      </c>
      <c r="G223" t="s">
        <v>20</v>
      </c>
      <c r="H223" t="s">
        <v>47</v>
      </c>
      <c r="I223" t="s">
        <v>94</v>
      </c>
      <c r="J223">
        <v>2</v>
      </c>
      <c r="K223">
        <v>-100000</v>
      </c>
      <c r="L223">
        <v>5.0999999999999997E-2</v>
      </c>
      <c r="M223" t="s">
        <v>23</v>
      </c>
      <c r="N223">
        <v>4810000</v>
      </c>
      <c r="O223">
        <v>3.8</v>
      </c>
      <c r="P223" t="b">
        <v>1</v>
      </c>
    </row>
    <row r="224" spans="1:16" x14ac:dyDescent="0.2">
      <c r="A224" t="s">
        <v>444</v>
      </c>
      <c r="B224" s="1">
        <v>45720</v>
      </c>
      <c r="C224" s="1">
        <v>45810</v>
      </c>
      <c r="D224" t="s">
        <v>179</v>
      </c>
      <c r="E224" t="s">
        <v>45</v>
      </c>
      <c r="F224" t="s">
        <v>34</v>
      </c>
      <c r="G224" t="s">
        <v>35</v>
      </c>
      <c r="H224" t="s">
        <v>40</v>
      </c>
      <c r="I224" t="s">
        <v>77</v>
      </c>
      <c r="J224">
        <v>3</v>
      </c>
      <c r="K224">
        <v>2781000</v>
      </c>
      <c r="L224">
        <v>8.5999999999999993E-2</v>
      </c>
      <c r="M224" t="s">
        <v>23</v>
      </c>
      <c r="N224">
        <v>7626000</v>
      </c>
      <c r="O224">
        <v>3.9</v>
      </c>
      <c r="P224" t="b">
        <v>1</v>
      </c>
    </row>
    <row r="225" spans="1:16" x14ac:dyDescent="0.2">
      <c r="A225" t="s">
        <v>445</v>
      </c>
      <c r="B225" s="1">
        <v>45381</v>
      </c>
      <c r="C225" s="1">
        <v>45393</v>
      </c>
      <c r="D225" t="s">
        <v>236</v>
      </c>
      <c r="E225" t="s">
        <v>45</v>
      </c>
      <c r="F225" t="s">
        <v>34</v>
      </c>
      <c r="G225" t="s">
        <v>50</v>
      </c>
      <c r="H225" t="s">
        <v>21</v>
      </c>
      <c r="I225" t="s">
        <v>77</v>
      </c>
      <c r="J225">
        <v>2</v>
      </c>
      <c r="K225">
        <v>2938000</v>
      </c>
      <c r="L225">
        <v>0.16200000000000001</v>
      </c>
      <c r="M225" t="s">
        <v>23</v>
      </c>
      <c r="N225">
        <v>4924000</v>
      </c>
      <c r="O225">
        <v>4.3</v>
      </c>
      <c r="P225" t="b">
        <v>0</v>
      </c>
    </row>
    <row r="226" spans="1:16" x14ac:dyDescent="0.2">
      <c r="A226" t="s">
        <v>446</v>
      </c>
      <c r="B226" s="1">
        <v>45731</v>
      </c>
      <c r="C226" s="1">
        <v>45782</v>
      </c>
      <c r="D226" t="s">
        <v>231</v>
      </c>
      <c r="E226" t="s">
        <v>18</v>
      </c>
      <c r="F226" t="s">
        <v>25</v>
      </c>
      <c r="G226" t="s">
        <v>20</v>
      </c>
      <c r="H226" t="s">
        <v>21</v>
      </c>
      <c r="I226" t="s">
        <v>83</v>
      </c>
      <c r="J226">
        <v>2</v>
      </c>
      <c r="K226">
        <v>3118000</v>
      </c>
      <c r="L226">
        <v>8.8999999999999996E-2</v>
      </c>
      <c r="M226" t="s">
        <v>23</v>
      </c>
      <c r="N226">
        <v>5681000</v>
      </c>
      <c r="O226">
        <v>4.8</v>
      </c>
      <c r="P226" t="b">
        <v>1</v>
      </c>
    </row>
    <row r="227" spans="1:16" x14ac:dyDescent="0.2">
      <c r="A227" t="s">
        <v>447</v>
      </c>
      <c r="B227" s="1">
        <v>45761</v>
      </c>
      <c r="C227" s="1">
        <v>45779</v>
      </c>
      <c r="D227" t="s">
        <v>448</v>
      </c>
      <c r="E227" t="s">
        <v>29</v>
      </c>
      <c r="F227" t="s">
        <v>25</v>
      </c>
      <c r="G227" t="s">
        <v>50</v>
      </c>
      <c r="H227" t="s">
        <v>21</v>
      </c>
      <c r="I227" t="s">
        <v>94</v>
      </c>
      <c r="J227">
        <v>2</v>
      </c>
      <c r="K227">
        <v>5065000</v>
      </c>
      <c r="L227">
        <v>4.7E-2</v>
      </c>
      <c r="M227" t="s">
        <v>65</v>
      </c>
      <c r="N227">
        <v>0</v>
      </c>
      <c r="P227" t="b">
        <v>1</v>
      </c>
    </row>
    <row r="228" spans="1:16" x14ac:dyDescent="0.2">
      <c r="A228" t="s">
        <v>449</v>
      </c>
      <c r="B228" s="1">
        <v>45533</v>
      </c>
      <c r="C228" s="1">
        <v>45550</v>
      </c>
      <c r="D228" t="s">
        <v>285</v>
      </c>
      <c r="E228" t="s">
        <v>18</v>
      </c>
      <c r="F228" t="s">
        <v>25</v>
      </c>
      <c r="G228" t="s">
        <v>35</v>
      </c>
      <c r="H228" t="s">
        <v>21</v>
      </c>
      <c r="I228" t="s">
        <v>83</v>
      </c>
      <c r="J228">
        <v>2</v>
      </c>
      <c r="K228">
        <v>4849000</v>
      </c>
      <c r="L228">
        <v>2E-3</v>
      </c>
      <c r="M228" t="s">
        <v>23</v>
      </c>
      <c r="N228">
        <v>9679000</v>
      </c>
      <c r="O228">
        <v>4.2</v>
      </c>
      <c r="P228" t="b">
        <v>0</v>
      </c>
    </row>
    <row r="229" spans="1:16" x14ac:dyDescent="0.2">
      <c r="A229" t="s">
        <v>450</v>
      </c>
      <c r="B229" s="1">
        <v>45868</v>
      </c>
      <c r="C229" s="1">
        <v>45933</v>
      </c>
      <c r="D229" t="s">
        <v>159</v>
      </c>
      <c r="E229" t="s">
        <v>33</v>
      </c>
      <c r="F229" t="s">
        <v>34</v>
      </c>
      <c r="G229" t="s">
        <v>20</v>
      </c>
      <c r="H229" t="s">
        <v>47</v>
      </c>
      <c r="I229" t="s">
        <v>94</v>
      </c>
      <c r="J229">
        <v>2</v>
      </c>
      <c r="K229">
        <v>4671000</v>
      </c>
      <c r="L229">
        <v>8.3000000000000004E-2</v>
      </c>
      <c r="M229" t="s">
        <v>23</v>
      </c>
      <c r="N229">
        <v>8567000</v>
      </c>
      <c r="O229">
        <v>3.7</v>
      </c>
      <c r="P229" t="b">
        <v>1</v>
      </c>
    </row>
    <row r="230" spans="1:16" x14ac:dyDescent="0.2">
      <c r="A230" t="s">
        <v>451</v>
      </c>
      <c r="B230" s="1">
        <v>45691</v>
      </c>
      <c r="C230" s="1">
        <v>45759</v>
      </c>
      <c r="D230" t="s">
        <v>452</v>
      </c>
      <c r="E230" t="s">
        <v>33</v>
      </c>
      <c r="F230" t="s">
        <v>19</v>
      </c>
      <c r="G230" t="s">
        <v>20</v>
      </c>
      <c r="H230" t="s">
        <v>21</v>
      </c>
      <c r="I230" t="s">
        <v>52</v>
      </c>
      <c r="J230">
        <v>1</v>
      </c>
      <c r="K230">
        <v>2881000</v>
      </c>
      <c r="L230">
        <v>0.152</v>
      </c>
      <c r="M230" t="s">
        <v>23</v>
      </c>
      <c r="N230">
        <v>2443000</v>
      </c>
      <c r="O230">
        <v>5</v>
      </c>
      <c r="P230" t="b">
        <v>1</v>
      </c>
    </row>
    <row r="231" spans="1:16" x14ac:dyDescent="0.2">
      <c r="A231" t="s">
        <v>453</v>
      </c>
      <c r="B231" s="1">
        <v>45499</v>
      </c>
      <c r="C231" s="1">
        <v>45518</v>
      </c>
      <c r="D231" t="s">
        <v>454</v>
      </c>
      <c r="E231" t="s">
        <v>18</v>
      </c>
      <c r="F231" t="s">
        <v>25</v>
      </c>
      <c r="G231" t="s">
        <v>20</v>
      </c>
      <c r="H231" t="s">
        <v>21</v>
      </c>
      <c r="J231">
        <v>2</v>
      </c>
      <c r="K231">
        <v>-100000</v>
      </c>
      <c r="L231">
        <v>1.7000000000000001E-2</v>
      </c>
      <c r="M231" t="s">
        <v>23</v>
      </c>
      <c r="N231">
        <v>6956000</v>
      </c>
      <c r="O231">
        <v>4.3</v>
      </c>
      <c r="P231" t="b">
        <v>1</v>
      </c>
    </row>
    <row r="232" spans="1:16" x14ac:dyDescent="0.2">
      <c r="A232" t="s">
        <v>455</v>
      </c>
      <c r="B232" s="1">
        <v>45298</v>
      </c>
      <c r="C232" s="1">
        <v>45387</v>
      </c>
      <c r="D232" t="s">
        <v>433</v>
      </c>
      <c r="E232" t="s">
        <v>33</v>
      </c>
      <c r="F232" t="s">
        <v>25</v>
      </c>
      <c r="G232" t="s">
        <v>20</v>
      </c>
      <c r="H232" t="s">
        <v>21</v>
      </c>
      <c r="I232" t="s">
        <v>77</v>
      </c>
      <c r="J232">
        <v>2</v>
      </c>
      <c r="K232">
        <v>5816000</v>
      </c>
      <c r="L232">
        <v>0.126</v>
      </c>
      <c r="M232" t="s">
        <v>23</v>
      </c>
      <c r="N232">
        <v>10166000</v>
      </c>
      <c r="O232">
        <v>4.7</v>
      </c>
      <c r="P232" t="b">
        <v>0</v>
      </c>
    </row>
    <row r="233" spans="1:16" x14ac:dyDescent="0.2">
      <c r="A233" t="s">
        <v>456</v>
      </c>
      <c r="B233" s="1">
        <v>45712</v>
      </c>
      <c r="C233" s="1">
        <v>45747</v>
      </c>
      <c r="D233" t="s">
        <v>361</v>
      </c>
      <c r="E233" t="s">
        <v>18</v>
      </c>
      <c r="F233" t="s">
        <v>45</v>
      </c>
      <c r="G233" t="s">
        <v>35</v>
      </c>
      <c r="H233" t="s">
        <v>21</v>
      </c>
      <c r="I233" t="s">
        <v>52</v>
      </c>
      <c r="J233">
        <v>3</v>
      </c>
      <c r="K233">
        <v>2763000</v>
      </c>
      <c r="L233">
        <v>3.1E-2</v>
      </c>
      <c r="M233" t="s">
        <v>23</v>
      </c>
      <c r="N233">
        <v>8032000</v>
      </c>
      <c r="O233">
        <v>4.2</v>
      </c>
      <c r="P233" t="b">
        <v>1</v>
      </c>
    </row>
    <row r="234" spans="1:16" x14ac:dyDescent="0.2">
      <c r="A234" t="s">
        <v>457</v>
      </c>
      <c r="B234" s="1">
        <v>45422</v>
      </c>
      <c r="C234" s="1">
        <v>45457</v>
      </c>
      <c r="D234" t="s">
        <v>62</v>
      </c>
      <c r="E234" t="s">
        <v>18</v>
      </c>
      <c r="F234" t="s">
        <v>45</v>
      </c>
      <c r="G234" t="s">
        <v>20</v>
      </c>
      <c r="H234" t="s">
        <v>51</v>
      </c>
      <c r="I234" t="s">
        <v>77</v>
      </c>
      <c r="J234">
        <v>3</v>
      </c>
      <c r="K234">
        <v>3449000</v>
      </c>
      <c r="L234">
        <v>5.0999999999999997E-2</v>
      </c>
      <c r="M234" t="s">
        <v>23</v>
      </c>
      <c r="N234">
        <v>9819000</v>
      </c>
      <c r="O234">
        <v>4.2</v>
      </c>
      <c r="P234" t="b">
        <v>0</v>
      </c>
    </row>
    <row r="235" spans="1:16" x14ac:dyDescent="0.2">
      <c r="A235" t="s">
        <v>458</v>
      </c>
      <c r="B235" s="1">
        <v>45763</v>
      </c>
      <c r="C235" s="1">
        <v>45797</v>
      </c>
      <c r="D235" t="s">
        <v>459</v>
      </c>
      <c r="E235" t="s">
        <v>18</v>
      </c>
      <c r="F235" t="s">
        <v>45</v>
      </c>
      <c r="G235" t="s">
        <v>20</v>
      </c>
      <c r="H235" t="s">
        <v>21</v>
      </c>
      <c r="I235" t="s">
        <v>77</v>
      </c>
      <c r="J235">
        <v>4</v>
      </c>
      <c r="K235">
        <v>4234000</v>
      </c>
      <c r="L235">
        <v>5.0999999999999997E-2</v>
      </c>
      <c r="M235" t="s">
        <v>65</v>
      </c>
      <c r="N235">
        <v>0</v>
      </c>
      <c r="P235" t="b">
        <v>1</v>
      </c>
    </row>
    <row r="236" spans="1:16" x14ac:dyDescent="0.2">
      <c r="A236" t="s">
        <v>460</v>
      </c>
      <c r="B236" s="1">
        <v>45619</v>
      </c>
      <c r="C236" s="1">
        <v>45666</v>
      </c>
      <c r="D236" t="s">
        <v>387</v>
      </c>
      <c r="E236" t="s">
        <v>18</v>
      </c>
      <c r="F236" t="s">
        <v>39</v>
      </c>
      <c r="G236" t="s">
        <v>35</v>
      </c>
      <c r="H236" t="s">
        <v>21</v>
      </c>
      <c r="I236" t="s">
        <v>94</v>
      </c>
      <c r="J236">
        <v>1</v>
      </c>
      <c r="K236">
        <v>1248000</v>
      </c>
      <c r="L236">
        <v>0.115</v>
      </c>
      <c r="M236" t="s">
        <v>65</v>
      </c>
      <c r="N236">
        <v>0</v>
      </c>
      <c r="P236" t="b">
        <v>1</v>
      </c>
    </row>
    <row r="237" spans="1:16" x14ac:dyDescent="0.2">
      <c r="A237" t="s">
        <v>461</v>
      </c>
      <c r="B237" s="1">
        <v>45582</v>
      </c>
      <c r="C237" s="1">
        <v>45606</v>
      </c>
      <c r="D237" t="s">
        <v>462</v>
      </c>
      <c r="E237" t="s">
        <v>18</v>
      </c>
      <c r="F237" t="s">
        <v>45</v>
      </c>
      <c r="G237" t="s">
        <v>35</v>
      </c>
      <c r="H237" t="s">
        <v>21</v>
      </c>
      <c r="I237" t="s">
        <v>60</v>
      </c>
      <c r="J237">
        <v>2</v>
      </c>
      <c r="K237">
        <v>2232000</v>
      </c>
      <c r="L237">
        <v>0.09</v>
      </c>
      <c r="M237" t="s">
        <v>23</v>
      </c>
      <c r="N237">
        <v>4062000</v>
      </c>
      <c r="O237">
        <v>4.8</v>
      </c>
      <c r="P237" t="b">
        <v>0</v>
      </c>
    </row>
    <row r="238" spans="1:16" x14ac:dyDescent="0.2">
      <c r="A238" t="s">
        <v>463</v>
      </c>
      <c r="B238" s="1">
        <v>45394</v>
      </c>
      <c r="C238" s="1">
        <v>45438</v>
      </c>
      <c r="D238" t="s">
        <v>464</v>
      </c>
      <c r="E238" t="s">
        <v>33</v>
      </c>
      <c r="F238" t="s">
        <v>25</v>
      </c>
      <c r="G238" t="s">
        <v>35</v>
      </c>
      <c r="H238" t="s">
        <v>47</v>
      </c>
      <c r="I238" t="s">
        <v>26</v>
      </c>
      <c r="J238">
        <v>1</v>
      </c>
      <c r="K238">
        <v>6630000</v>
      </c>
      <c r="L238">
        <v>4.9000000000000002E-2</v>
      </c>
      <c r="M238" t="s">
        <v>23</v>
      </c>
      <c r="N238">
        <v>6305000</v>
      </c>
      <c r="O238">
        <v>4.2</v>
      </c>
      <c r="P238" t="b">
        <v>0</v>
      </c>
    </row>
    <row r="239" spans="1:16" x14ac:dyDescent="0.2">
      <c r="A239" t="s">
        <v>465</v>
      </c>
      <c r="B239" s="1">
        <v>45735</v>
      </c>
      <c r="C239" s="1">
        <v>45762</v>
      </c>
      <c r="D239" t="s">
        <v>466</v>
      </c>
      <c r="E239" t="s">
        <v>33</v>
      </c>
      <c r="F239" t="s">
        <v>45</v>
      </c>
      <c r="G239" t="s">
        <v>35</v>
      </c>
      <c r="H239" t="s">
        <v>21</v>
      </c>
      <c r="I239" t="s">
        <v>99</v>
      </c>
      <c r="J239">
        <v>3</v>
      </c>
      <c r="K239">
        <v>3824000</v>
      </c>
      <c r="L239">
        <v>0.08</v>
      </c>
      <c r="M239" t="s">
        <v>23</v>
      </c>
      <c r="N239">
        <v>10554000</v>
      </c>
      <c r="O239">
        <v>4.3</v>
      </c>
      <c r="P239" t="b">
        <v>1</v>
      </c>
    </row>
    <row r="240" spans="1:16" x14ac:dyDescent="0.2">
      <c r="A240" t="s">
        <v>467</v>
      </c>
      <c r="B240" s="1">
        <v>45395</v>
      </c>
      <c r="C240" s="1">
        <v>45409</v>
      </c>
      <c r="D240" t="s">
        <v>468</v>
      </c>
      <c r="E240" t="s">
        <v>29</v>
      </c>
      <c r="F240" t="s">
        <v>34</v>
      </c>
      <c r="G240" t="s">
        <v>20</v>
      </c>
      <c r="H240" t="s">
        <v>40</v>
      </c>
      <c r="I240" t="s">
        <v>52</v>
      </c>
      <c r="J240">
        <v>2</v>
      </c>
      <c r="K240">
        <v>3834000</v>
      </c>
      <c r="L240">
        <v>6.4000000000000001E-2</v>
      </c>
      <c r="M240" t="s">
        <v>23</v>
      </c>
      <c r="N240">
        <v>7177000</v>
      </c>
      <c r="O240">
        <v>3.6</v>
      </c>
      <c r="P240" t="b">
        <v>1</v>
      </c>
    </row>
    <row r="241" spans="1:16" x14ac:dyDescent="0.2">
      <c r="A241" t="s">
        <v>469</v>
      </c>
      <c r="B241" s="1">
        <v>45552</v>
      </c>
      <c r="C241" s="1">
        <v>45591</v>
      </c>
      <c r="D241" t="s">
        <v>82</v>
      </c>
      <c r="E241" t="s">
        <v>18</v>
      </c>
      <c r="F241" t="s">
        <v>19</v>
      </c>
      <c r="G241" t="s">
        <v>35</v>
      </c>
      <c r="H241" t="s">
        <v>21</v>
      </c>
      <c r="I241" t="s">
        <v>26</v>
      </c>
      <c r="J241">
        <v>1</v>
      </c>
      <c r="K241">
        <v>2656000</v>
      </c>
      <c r="L241">
        <v>4.1000000000000002E-2</v>
      </c>
      <c r="M241" t="s">
        <v>23</v>
      </c>
      <c r="N241">
        <v>2547000</v>
      </c>
      <c r="O241">
        <v>3.7</v>
      </c>
      <c r="P241" t="b">
        <v>1</v>
      </c>
    </row>
    <row r="242" spans="1:16" x14ac:dyDescent="0.2">
      <c r="A242" t="s">
        <v>470</v>
      </c>
      <c r="B242" s="1">
        <v>45813</v>
      </c>
      <c r="C242" s="1">
        <v>45877</v>
      </c>
      <c r="D242" t="s">
        <v>255</v>
      </c>
      <c r="E242" t="s">
        <v>18</v>
      </c>
      <c r="F242" t="s">
        <v>25</v>
      </c>
      <c r="G242" t="s">
        <v>20</v>
      </c>
      <c r="H242" t="s">
        <v>21</v>
      </c>
      <c r="I242" t="s">
        <v>26</v>
      </c>
      <c r="J242">
        <v>1</v>
      </c>
      <c r="K242">
        <v>3724000</v>
      </c>
      <c r="L242">
        <v>0.10299999999999999</v>
      </c>
      <c r="M242" t="s">
        <v>23</v>
      </c>
      <c r="N242">
        <v>3340000</v>
      </c>
      <c r="O242">
        <v>4.7</v>
      </c>
      <c r="P242" t="b">
        <v>1</v>
      </c>
    </row>
    <row r="243" spans="1:16" x14ac:dyDescent="0.2">
      <c r="A243" t="s">
        <v>471</v>
      </c>
      <c r="B243" s="1">
        <v>45865</v>
      </c>
      <c r="C243" s="1">
        <v>45936</v>
      </c>
      <c r="D243" t="s">
        <v>318</v>
      </c>
      <c r="E243" t="s">
        <v>45</v>
      </c>
      <c r="F243" t="s">
        <v>39</v>
      </c>
      <c r="G243" t="s">
        <v>20</v>
      </c>
      <c r="H243" t="s">
        <v>47</v>
      </c>
      <c r="I243" t="s">
        <v>99</v>
      </c>
      <c r="J243">
        <v>3</v>
      </c>
      <c r="K243">
        <v>2093000</v>
      </c>
      <c r="L243">
        <v>9.8000000000000004E-2</v>
      </c>
      <c r="M243" t="s">
        <v>23</v>
      </c>
      <c r="N243">
        <v>5664000</v>
      </c>
      <c r="O243">
        <v>5</v>
      </c>
      <c r="P243" t="b">
        <v>1</v>
      </c>
    </row>
    <row r="244" spans="1:16" x14ac:dyDescent="0.2">
      <c r="A244" t="s">
        <v>471</v>
      </c>
      <c r="B244" s="1">
        <v>45865</v>
      </c>
      <c r="C244" s="1">
        <v>45936</v>
      </c>
      <c r="D244" t="s">
        <v>318</v>
      </c>
      <c r="E244" t="s">
        <v>45</v>
      </c>
      <c r="F244" t="s">
        <v>39</v>
      </c>
      <c r="G244" t="s">
        <v>20</v>
      </c>
      <c r="H244" t="s">
        <v>47</v>
      </c>
      <c r="I244" t="s">
        <v>99</v>
      </c>
      <c r="J244">
        <v>3</v>
      </c>
      <c r="K244">
        <v>2093000</v>
      </c>
      <c r="L244">
        <v>9.8000000000000004E-2</v>
      </c>
      <c r="M244" t="s">
        <v>23</v>
      </c>
      <c r="N244">
        <v>5664000</v>
      </c>
      <c r="O244">
        <v>5</v>
      </c>
      <c r="P244" t="b">
        <v>1</v>
      </c>
    </row>
    <row r="245" spans="1:16" x14ac:dyDescent="0.2">
      <c r="A245" t="s">
        <v>472</v>
      </c>
      <c r="B245" s="1">
        <v>45908</v>
      </c>
      <c r="C245" s="1">
        <v>45946</v>
      </c>
      <c r="D245" t="s">
        <v>120</v>
      </c>
      <c r="E245" t="s">
        <v>29</v>
      </c>
      <c r="F245" t="s">
        <v>45</v>
      </c>
      <c r="G245" t="s">
        <v>20</v>
      </c>
      <c r="H245" t="s">
        <v>21</v>
      </c>
      <c r="I245" t="s">
        <v>232</v>
      </c>
      <c r="J245">
        <v>2</v>
      </c>
      <c r="K245">
        <v>3281000</v>
      </c>
      <c r="L245">
        <v>0</v>
      </c>
      <c r="M245" t="s">
        <v>23</v>
      </c>
      <c r="N245">
        <v>6562000</v>
      </c>
      <c r="O245">
        <v>3.9</v>
      </c>
      <c r="P245" t="b">
        <v>1</v>
      </c>
    </row>
    <row r="246" spans="1:16" x14ac:dyDescent="0.2">
      <c r="A246" t="s">
        <v>473</v>
      </c>
      <c r="B246" s="1">
        <v>45888</v>
      </c>
      <c r="C246" s="1">
        <v>45924</v>
      </c>
      <c r="D246" t="s">
        <v>153</v>
      </c>
      <c r="E246" t="s">
        <v>33</v>
      </c>
      <c r="F246" t="s">
        <v>34</v>
      </c>
      <c r="G246" t="s">
        <v>35</v>
      </c>
      <c r="H246" t="s">
        <v>21</v>
      </c>
      <c r="I246" t="s">
        <v>94</v>
      </c>
      <c r="J246">
        <v>1</v>
      </c>
      <c r="K246">
        <v>4485000</v>
      </c>
      <c r="L246">
        <v>8.3000000000000004E-2</v>
      </c>
      <c r="M246" t="s">
        <v>23</v>
      </c>
      <c r="N246">
        <v>4113000</v>
      </c>
      <c r="O246">
        <v>4.5</v>
      </c>
      <c r="P246" t="b">
        <v>1</v>
      </c>
    </row>
    <row r="247" spans="1:16" x14ac:dyDescent="0.2">
      <c r="A247" t="s">
        <v>474</v>
      </c>
      <c r="B247" s="1">
        <v>45638</v>
      </c>
      <c r="C247" s="1">
        <v>45711</v>
      </c>
      <c r="D247" t="s">
        <v>475</v>
      </c>
      <c r="E247" t="s">
        <v>18</v>
      </c>
      <c r="F247" t="s">
        <v>25</v>
      </c>
      <c r="G247" t="s">
        <v>35</v>
      </c>
      <c r="H247" t="s">
        <v>40</v>
      </c>
      <c r="I247" t="s">
        <v>30</v>
      </c>
      <c r="J247">
        <v>2</v>
      </c>
      <c r="K247">
        <v>3673000</v>
      </c>
      <c r="L247">
        <v>0.17499999999999999</v>
      </c>
      <c r="M247" t="s">
        <v>23</v>
      </c>
      <c r="N247">
        <v>6060000</v>
      </c>
      <c r="O247">
        <v>4.3</v>
      </c>
      <c r="P247" t="b">
        <v>1</v>
      </c>
    </row>
    <row r="248" spans="1:16" x14ac:dyDescent="0.2">
      <c r="A248" t="s">
        <v>476</v>
      </c>
      <c r="B248" s="1">
        <v>45416</v>
      </c>
      <c r="C248" s="1">
        <v>45481</v>
      </c>
      <c r="D248" t="s">
        <v>477</v>
      </c>
      <c r="E248" t="s">
        <v>18</v>
      </c>
      <c r="F248" t="s">
        <v>34</v>
      </c>
      <c r="G248" t="s">
        <v>20</v>
      </c>
      <c r="H248" t="s">
        <v>21</v>
      </c>
      <c r="I248" t="s">
        <v>30</v>
      </c>
      <c r="J248">
        <v>2</v>
      </c>
      <c r="K248">
        <v>4275000</v>
      </c>
      <c r="L248">
        <v>0.03</v>
      </c>
      <c r="M248" t="s">
        <v>23</v>
      </c>
      <c r="N248">
        <v>8294000</v>
      </c>
      <c r="O248">
        <v>4.0999999999999996</v>
      </c>
      <c r="P248" t="b">
        <v>1</v>
      </c>
    </row>
    <row r="249" spans="1:16" x14ac:dyDescent="0.2">
      <c r="A249" t="s">
        <v>478</v>
      </c>
      <c r="B249" s="1">
        <v>45814</v>
      </c>
      <c r="C249" s="1">
        <v>45891</v>
      </c>
      <c r="D249" t="s">
        <v>479</v>
      </c>
      <c r="E249" t="s">
        <v>29</v>
      </c>
      <c r="F249" t="s">
        <v>45</v>
      </c>
      <c r="G249" t="s">
        <v>50</v>
      </c>
      <c r="H249" t="s">
        <v>21</v>
      </c>
      <c r="I249" t="s">
        <v>22</v>
      </c>
      <c r="J249">
        <v>4</v>
      </c>
      <c r="K249">
        <v>3515000</v>
      </c>
      <c r="L249">
        <v>0.12</v>
      </c>
      <c r="M249" t="s">
        <v>23</v>
      </c>
      <c r="N249">
        <v>12373000</v>
      </c>
      <c r="O249">
        <v>5</v>
      </c>
      <c r="P249" t="b">
        <v>0</v>
      </c>
    </row>
    <row r="250" spans="1:16" x14ac:dyDescent="0.2">
      <c r="A250" t="s">
        <v>480</v>
      </c>
      <c r="B250" s="1">
        <v>45791</v>
      </c>
      <c r="C250" s="1">
        <v>45874</v>
      </c>
      <c r="D250" t="s">
        <v>59</v>
      </c>
      <c r="E250" t="s">
        <v>29</v>
      </c>
      <c r="F250" t="s">
        <v>39</v>
      </c>
      <c r="G250" t="s">
        <v>50</v>
      </c>
      <c r="H250" t="s">
        <v>47</v>
      </c>
      <c r="I250" t="s">
        <v>77</v>
      </c>
      <c r="J250">
        <v>3</v>
      </c>
      <c r="K250">
        <v>1307000</v>
      </c>
      <c r="L250">
        <v>2.5999999999999999E-2</v>
      </c>
      <c r="M250" t="s">
        <v>23</v>
      </c>
      <c r="N250">
        <v>3819000</v>
      </c>
      <c r="O250">
        <v>4</v>
      </c>
      <c r="P250" t="b">
        <v>1</v>
      </c>
    </row>
    <row r="251" spans="1:16" x14ac:dyDescent="0.2">
      <c r="A251" t="s">
        <v>481</v>
      </c>
      <c r="B251" s="1">
        <v>45908</v>
      </c>
      <c r="C251" s="1">
        <v>45984</v>
      </c>
      <c r="D251" t="s">
        <v>482</v>
      </c>
      <c r="E251" t="s">
        <v>45</v>
      </c>
      <c r="F251" t="s">
        <v>25</v>
      </c>
      <c r="G251" t="s">
        <v>20</v>
      </c>
      <c r="H251" t="s">
        <v>21</v>
      </c>
      <c r="I251" t="s">
        <v>99</v>
      </c>
      <c r="J251">
        <v>3</v>
      </c>
      <c r="K251">
        <v>4413000</v>
      </c>
      <c r="L251">
        <v>0.15</v>
      </c>
      <c r="M251" t="s">
        <v>23</v>
      </c>
      <c r="N251">
        <v>11253000</v>
      </c>
      <c r="O251">
        <v>4.8</v>
      </c>
      <c r="P251" t="b">
        <v>1</v>
      </c>
    </row>
    <row r="252" spans="1:16" x14ac:dyDescent="0.2">
      <c r="A252" t="s">
        <v>483</v>
      </c>
      <c r="B252" s="1">
        <v>45697</v>
      </c>
      <c r="C252" s="1">
        <v>45782</v>
      </c>
      <c r="D252" t="s">
        <v>267</v>
      </c>
      <c r="E252" t="s">
        <v>45</v>
      </c>
      <c r="F252" t="s">
        <v>25</v>
      </c>
      <c r="G252" t="s">
        <v>35</v>
      </c>
      <c r="H252" t="s">
        <v>21</v>
      </c>
      <c r="I252" t="s">
        <v>30</v>
      </c>
      <c r="J252">
        <v>1</v>
      </c>
      <c r="K252">
        <v>5552000</v>
      </c>
      <c r="L252">
        <v>0.182</v>
      </c>
      <c r="M252" t="s">
        <v>65</v>
      </c>
      <c r="N252">
        <v>0</v>
      </c>
      <c r="P252" t="b">
        <v>1</v>
      </c>
    </row>
    <row r="253" spans="1:16" x14ac:dyDescent="0.2">
      <c r="A253" t="s">
        <v>484</v>
      </c>
      <c r="B253" s="1">
        <v>45380</v>
      </c>
      <c r="C253" s="1">
        <v>45423</v>
      </c>
      <c r="D253" t="s">
        <v>485</v>
      </c>
      <c r="E253" t="s">
        <v>45</v>
      </c>
      <c r="F253" t="s">
        <v>19</v>
      </c>
      <c r="G253" t="s">
        <v>20</v>
      </c>
      <c r="H253" t="s">
        <v>21</v>
      </c>
      <c r="I253" t="s">
        <v>83</v>
      </c>
      <c r="J253">
        <v>2</v>
      </c>
      <c r="K253">
        <v>3393000</v>
      </c>
      <c r="L253">
        <v>0.14699999999999999</v>
      </c>
      <c r="M253" t="s">
        <v>23</v>
      </c>
      <c r="N253">
        <v>5788000</v>
      </c>
      <c r="O253">
        <v>4.2</v>
      </c>
      <c r="P253" t="b">
        <v>1</v>
      </c>
    </row>
    <row r="254" spans="1:16" x14ac:dyDescent="0.2">
      <c r="A254" t="s">
        <v>486</v>
      </c>
      <c r="B254" s="1">
        <v>45605</v>
      </c>
      <c r="C254" s="1">
        <v>45646</v>
      </c>
      <c r="D254" t="s">
        <v>487</v>
      </c>
      <c r="E254" t="s">
        <v>45</v>
      </c>
      <c r="F254" t="s">
        <v>19</v>
      </c>
      <c r="G254" t="s">
        <v>46</v>
      </c>
      <c r="H254" t="s">
        <v>47</v>
      </c>
      <c r="I254" t="s">
        <v>30</v>
      </c>
      <c r="J254">
        <v>2</v>
      </c>
      <c r="K254">
        <v>1924000</v>
      </c>
      <c r="L254">
        <v>5.0000000000000001E-3</v>
      </c>
      <c r="M254" t="s">
        <v>23</v>
      </c>
      <c r="N254">
        <v>3829000</v>
      </c>
      <c r="O254">
        <v>4.9000000000000004</v>
      </c>
      <c r="P254" t="b">
        <v>1</v>
      </c>
    </row>
    <row r="255" spans="1:16" x14ac:dyDescent="0.2">
      <c r="A255" t="s">
        <v>488</v>
      </c>
      <c r="B255" s="1">
        <v>45571</v>
      </c>
      <c r="C255" s="1">
        <v>45607</v>
      </c>
      <c r="D255" t="s">
        <v>489</v>
      </c>
      <c r="E255" t="s">
        <v>18</v>
      </c>
      <c r="F255" t="s">
        <v>39</v>
      </c>
      <c r="G255" t="s">
        <v>20</v>
      </c>
      <c r="H255" t="s">
        <v>21</v>
      </c>
      <c r="I255" t="s">
        <v>52</v>
      </c>
      <c r="J255">
        <v>1</v>
      </c>
      <c r="K255">
        <v>1532000</v>
      </c>
      <c r="L255">
        <v>6.3E-2</v>
      </c>
      <c r="M255" t="s">
        <v>23</v>
      </c>
      <c r="N255">
        <v>1435000</v>
      </c>
      <c r="O255">
        <v>4.3</v>
      </c>
      <c r="P255" t="b">
        <v>0</v>
      </c>
    </row>
    <row r="256" spans="1:16" x14ac:dyDescent="0.2">
      <c r="A256" t="s">
        <v>490</v>
      </c>
      <c r="B256" s="1">
        <v>45817</v>
      </c>
      <c r="C256" s="1">
        <v>45846</v>
      </c>
      <c r="D256" t="s">
        <v>67</v>
      </c>
      <c r="E256" t="s">
        <v>18</v>
      </c>
      <c r="F256" t="s">
        <v>45</v>
      </c>
      <c r="G256" t="s">
        <v>20</v>
      </c>
      <c r="H256" t="s">
        <v>21</v>
      </c>
      <c r="I256" t="s">
        <v>60</v>
      </c>
      <c r="J256">
        <v>5</v>
      </c>
      <c r="K256">
        <v>3546000</v>
      </c>
      <c r="L256">
        <v>0.107</v>
      </c>
      <c r="M256" t="s">
        <v>23</v>
      </c>
      <c r="N256">
        <v>15833000</v>
      </c>
      <c r="O256">
        <v>4.2</v>
      </c>
      <c r="P256" t="b">
        <v>1</v>
      </c>
    </row>
    <row r="257" spans="1:16" x14ac:dyDescent="0.2">
      <c r="A257" t="s">
        <v>491</v>
      </c>
      <c r="B257" s="1">
        <v>45536</v>
      </c>
      <c r="C257" s="1">
        <v>45606</v>
      </c>
      <c r="D257" t="s">
        <v>278</v>
      </c>
      <c r="E257" t="s">
        <v>18</v>
      </c>
      <c r="F257" t="s">
        <v>25</v>
      </c>
      <c r="G257" t="s">
        <v>20</v>
      </c>
      <c r="H257" t="s">
        <v>40</v>
      </c>
      <c r="I257" t="s">
        <v>77</v>
      </c>
      <c r="J257">
        <v>1</v>
      </c>
      <c r="K257">
        <v>5476000</v>
      </c>
      <c r="L257">
        <v>7.1999999999999995E-2</v>
      </c>
      <c r="M257" t="s">
        <v>23</v>
      </c>
      <c r="N257">
        <v>5082000</v>
      </c>
      <c r="O257">
        <v>4.9000000000000004</v>
      </c>
      <c r="P257" t="b">
        <v>0</v>
      </c>
    </row>
    <row r="258" spans="1:16" x14ac:dyDescent="0.2">
      <c r="A258" t="s">
        <v>492</v>
      </c>
      <c r="B258" s="1">
        <v>45496</v>
      </c>
      <c r="C258" s="1">
        <v>45563</v>
      </c>
      <c r="D258" t="s">
        <v>493</v>
      </c>
      <c r="E258" t="s">
        <v>29</v>
      </c>
      <c r="F258" t="s">
        <v>19</v>
      </c>
      <c r="G258" t="s">
        <v>20</v>
      </c>
      <c r="H258" t="s">
        <v>40</v>
      </c>
      <c r="I258" t="s">
        <v>30</v>
      </c>
      <c r="J258">
        <v>3</v>
      </c>
      <c r="K258">
        <v>2280000</v>
      </c>
      <c r="L258">
        <v>0.17899999999999999</v>
      </c>
      <c r="M258" t="s">
        <v>23</v>
      </c>
      <c r="N258">
        <v>5616000</v>
      </c>
      <c r="O258">
        <v>4.8</v>
      </c>
      <c r="P258" t="b">
        <v>1</v>
      </c>
    </row>
    <row r="259" spans="1:16" x14ac:dyDescent="0.2">
      <c r="A259" t="s">
        <v>494</v>
      </c>
      <c r="B259" s="1">
        <v>45341</v>
      </c>
      <c r="C259" s="1">
        <v>45415</v>
      </c>
      <c r="D259" t="s">
        <v>468</v>
      </c>
      <c r="E259" t="s">
        <v>29</v>
      </c>
      <c r="F259" t="s">
        <v>34</v>
      </c>
      <c r="G259" t="s">
        <v>35</v>
      </c>
      <c r="H259" t="s">
        <v>51</v>
      </c>
      <c r="I259" t="s">
        <v>26</v>
      </c>
      <c r="J259">
        <v>2</v>
      </c>
      <c r="K259">
        <v>3637000</v>
      </c>
      <c r="L259">
        <v>9.4E-2</v>
      </c>
      <c r="M259" t="s">
        <v>23</v>
      </c>
      <c r="N259">
        <v>6590000</v>
      </c>
      <c r="O259">
        <v>4.8</v>
      </c>
      <c r="P259" t="b">
        <v>0</v>
      </c>
    </row>
    <row r="260" spans="1:16" x14ac:dyDescent="0.2">
      <c r="A260" t="s">
        <v>495</v>
      </c>
      <c r="B260" s="1">
        <v>45812</v>
      </c>
      <c r="C260" s="1">
        <v>45835</v>
      </c>
      <c r="D260" t="s">
        <v>496</v>
      </c>
      <c r="E260" t="s">
        <v>18</v>
      </c>
      <c r="F260" t="s">
        <v>34</v>
      </c>
      <c r="G260" t="s">
        <v>35</v>
      </c>
      <c r="H260" t="s">
        <v>21</v>
      </c>
      <c r="I260" t="s">
        <v>22</v>
      </c>
      <c r="J260">
        <v>2</v>
      </c>
      <c r="K260">
        <v>3150000</v>
      </c>
      <c r="L260">
        <v>6.6000000000000003E-2</v>
      </c>
      <c r="M260" t="s">
        <v>23</v>
      </c>
      <c r="N260">
        <v>5884000</v>
      </c>
      <c r="O260">
        <v>2.2999999999999998</v>
      </c>
      <c r="P260" t="b">
        <v>1</v>
      </c>
    </row>
    <row r="261" spans="1:16" x14ac:dyDescent="0.2">
      <c r="A261" t="s">
        <v>497</v>
      </c>
      <c r="B261" s="1">
        <v>45762</v>
      </c>
      <c r="C261" s="1">
        <v>45811</v>
      </c>
      <c r="D261" t="s">
        <v>356</v>
      </c>
      <c r="E261" t="s">
        <v>18</v>
      </c>
      <c r="F261" t="s">
        <v>34</v>
      </c>
      <c r="G261" t="s">
        <v>20</v>
      </c>
      <c r="H261" t="s">
        <v>21</v>
      </c>
      <c r="I261" t="s">
        <v>26</v>
      </c>
      <c r="J261">
        <v>1</v>
      </c>
      <c r="K261">
        <v>3652000</v>
      </c>
      <c r="L261">
        <v>5.0000000000000001E-3</v>
      </c>
      <c r="M261" t="s">
        <v>23</v>
      </c>
      <c r="N261">
        <v>3634000</v>
      </c>
      <c r="O261">
        <v>4.4000000000000004</v>
      </c>
      <c r="P261" t="b">
        <v>1</v>
      </c>
    </row>
    <row r="262" spans="1:16" x14ac:dyDescent="0.2">
      <c r="A262" t="s">
        <v>498</v>
      </c>
      <c r="B262" s="1">
        <v>45317</v>
      </c>
      <c r="C262" s="1">
        <v>45344</v>
      </c>
      <c r="D262" t="s">
        <v>253</v>
      </c>
      <c r="E262" t="s">
        <v>33</v>
      </c>
      <c r="F262" t="s">
        <v>19</v>
      </c>
      <c r="G262" t="s">
        <v>35</v>
      </c>
      <c r="H262" t="s">
        <v>21</v>
      </c>
      <c r="I262" t="s">
        <v>94</v>
      </c>
      <c r="J262">
        <v>3</v>
      </c>
      <c r="K262">
        <v>1712000</v>
      </c>
      <c r="L262">
        <v>8.4000000000000005E-2</v>
      </c>
      <c r="M262" t="s">
        <v>23</v>
      </c>
      <c r="N262">
        <v>4705000</v>
      </c>
      <c r="O262">
        <v>4.3</v>
      </c>
      <c r="P262" t="b">
        <v>0</v>
      </c>
    </row>
    <row r="263" spans="1:16" x14ac:dyDescent="0.2">
      <c r="A263" t="s">
        <v>499</v>
      </c>
      <c r="B263" s="1">
        <v>45562</v>
      </c>
      <c r="C263" s="1">
        <v>45644</v>
      </c>
      <c r="D263" t="s">
        <v>500</v>
      </c>
      <c r="E263" t="s">
        <v>45</v>
      </c>
      <c r="F263" t="s">
        <v>68</v>
      </c>
      <c r="G263" t="s">
        <v>50</v>
      </c>
      <c r="H263" t="s">
        <v>40</v>
      </c>
      <c r="I263" t="s">
        <v>77</v>
      </c>
      <c r="J263">
        <v>2</v>
      </c>
      <c r="K263">
        <v>1909000</v>
      </c>
      <c r="L263">
        <v>2.5000000000000001E-2</v>
      </c>
      <c r="M263" t="s">
        <v>23</v>
      </c>
      <c r="N263">
        <v>3723000</v>
      </c>
      <c r="O263">
        <v>4.2</v>
      </c>
      <c r="P263" t="b">
        <v>1</v>
      </c>
    </row>
    <row r="264" spans="1:16" x14ac:dyDescent="0.2">
      <c r="A264" t="s">
        <v>501</v>
      </c>
      <c r="B264" s="1">
        <v>45590</v>
      </c>
      <c r="C264" s="1">
        <v>45621</v>
      </c>
      <c r="D264" t="s">
        <v>502</v>
      </c>
      <c r="E264" t="s">
        <v>33</v>
      </c>
      <c r="F264" t="s">
        <v>25</v>
      </c>
      <c r="G264" t="s">
        <v>50</v>
      </c>
      <c r="H264" t="s">
        <v>21</v>
      </c>
      <c r="I264" t="s">
        <v>26</v>
      </c>
      <c r="J264">
        <v>1</v>
      </c>
      <c r="K264">
        <v>5456000</v>
      </c>
      <c r="L264">
        <v>0.13400000000000001</v>
      </c>
      <c r="M264" t="s">
        <v>23</v>
      </c>
      <c r="N264">
        <v>4725000</v>
      </c>
      <c r="O264">
        <v>4.5</v>
      </c>
      <c r="P264" t="b">
        <v>0</v>
      </c>
    </row>
    <row r="265" spans="1:16" x14ac:dyDescent="0.2">
      <c r="A265" t="s">
        <v>503</v>
      </c>
      <c r="B265" s="1">
        <v>45584</v>
      </c>
      <c r="C265" s="1">
        <v>45605</v>
      </c>
      <c r="D265" t="s">
        <v>206</v>
      </c>
      <c r="E265" t="s">
        <v>33</v>
      </c>
      <c r="F265" t="s">
        <v>19</v>
      </c>
      <c r="G265" t="s">
        <v>35</v>
      </c>
      <c r="H265" t="s">
        <v>40</v>
      </c>
      <c r="I265" t="s">
        <v>57</v>
      </c>
      <c r="J265">
        <v>1</v>
      </c>
      <c r="K265">
        <v>2683000</v>
      </c>
      <c r="L265">
        <v>0.126</v>
      </c>
      <c r="M265" t="s">
        <v>23</v>
      </c>
      <c r="N265">
        <v>2345000</v>
      </c>
      <c r="O265">
        <v>4.3</v>
      </c>
      <c r="P265" t="b">
        <v>1</v>
      </c>
    </row>
    <row r="266" spans="1:16" x14ac:dyDescent="0.2">
      <c r="A266" t="s">
        <v>504</v>
      </c>
      <c r="B266" s="1">
        <v>45864</v>
      </c>
      <c r="C266" s="1">
        <v>45920</v>
      </c>
      <c r="D266" t="s">
        <v>505</v>
      </c>
      <c r="E266" t="s">
        <v>33</v>
      </c>
      <c r="F266" t="s">
        <v>34</v>
      </c>
      <c r="G266" t="s">
        <v>20</v>
      </c>
      <c r="H266" t="s">
        <v>21</v>
      </c>
      <c r="I266" t="s">
        <v>26</v>
      </c>
      <c r="J266">
        <v>2</v>
      </c>
      <c r="K266">
        <v>3973000</v>
      </c>
      <c r="L266">
        <v>0.14799999999999999</v>
      </c>
      <c r="M266" t="s">
        <v>23</v>
      </c>
      <c r="N266">
        <v>6770000</v>
      </c>
      <c r="O266">
        <v>4.5</v>
      </c>
      <c r="P266" t="b">
        <v>1</v>
      </c>
    </row>
    <row r="267" spans="1:16" x14ac:dyDescent="0.2">
      <c r="A267" t="s">
        <v>506</v>
      </c>
      <c r="B267" s="1">
        <v>45385</v>
      </c>
      <c r="C267" s="1">
        <v>45466</v>
      </c>
      <c r="D267" t="s">
        <v>140</v>
      </c>
      <c r="E267" t="s">
        <v>33</v>
      </c>
      <c r="F267" t="s">
        <v>19</v>
      </c>
      <c r="G267" t="s">
        <v>20</v>
      </c>
      <c r="H267" t="s">
        <v>47</v>
      </c>
      <c r="I267" t="s">
        <v>77</v>
      </c>
      <c r="J267">
        <v>1</v>
      </c>
      <c r="K267">
        <v>3548000</v>
      </c>
      <c r="L267">
        <v>0.04</v>
      </c>
      <c r="M267" t="s">
        <v>23</v>
      </c>
      <c r="N267">
        <v>3406000</v>
      </c>
      <c r="O267">
        <v>4.0999999999999996</v>
      </c>
      <c r="P267" t="b">
        <v>0</v>
      </c>
    </row>
    <row r="268" spans="1:16" x14ac:dyDescent="0.2">
      <c r="A268" t="s">
        <v>507</v>
      </c>
      <c r="B268" s="1">
        <v>45482</v>
      </c>
      <c r="C268" s="1">
        <v>45566</v>
      </c>
      <c r="D268" t="s">
        <v>508</v>
      </c>
      <c r="E268" t="s">
        <v>45</v>
      </c>
      <c r="F268" t="s">
        <v>39</v>
      </c>
      <c r="G268" t="s">
        <v>50</v>
      </c>
      <c r="H268" t="s">
        <v>47</v>
      </c>
      <c r="I268" t="s">
        <v>57</v>
      </c>
      <c r="J268">
        <v>2</v>
      </c>
      <c r="K268">
        <v>2061000</v>
      </c>
      <c r="L268">
        <v>6.4000000000000001E-2</v>
      </c>
      <c r="M268" t="s">
        <v>23</v>
      </c>
      <c r="N268">
        <v>3858000</v>
      </c>
      <c r="O268">
        <v>4.9000000000000004</v>
      </c>
      <c r="P268" t="b">
        <v>0</v>
      </c>
    </row>
    <row r="269" spans="1:16" x14ac:dyDescent="0.2">
      <c r="A269" t="s">
        <v>509</v>
      </c>
      <c r="B269" s="1">
        <v>45404</v>
      </c>
      <c r="C269" s="1">
        <v>45421</v>
      </c>
      <c r="D269" t="s">
        <v>510</v>
      </c>
      <c r="E269" t="s">
        <v>18</v>
      </c>
      <c r="F269" t="s">
        <v>19</v>
      </c>
      <c r="G269" t="s">
        <v>50</v>
      </c>
      <c r="H269" t="s">
        <v>21</v>
      </c>
      <c r="I269" t="s">
        <v>83</v>
      </c>
      <c r="J269">
        <v>2</v>
      </c>
      <c r="K269">
        <v>2842000</v>
      </c>
      <c r="L269">
        <v>0.13100000000000001</v>
      </c>
      <c r="M269" t="s">
        <v>23</v>
      </c>
      <c r="N269">
        <v>4939000</v>
      </c>
      <c r="O269">
        <v>4.5999999999999996</v>
      </c>
      <c r="P269" t="b">
        <v>0</v>
      </c>
    </row>
    <row r="270" spans="1:16" x14ac:dyDescent="0.2">
      <c r="A270" t="s">
        <v>511</v>
      </c>
      <c r="B270" s="1">
        <v>45444</v>
      </c>
      <c r="C270" s="1">
        <v>45480</v>
      </c>
      <c r="D270" t="s">
        <v>512</v>
      </c>
      <c r="E270" t="s">
        <v>33</v>
      </c>
      <c r="F270" t="s">
        <v>45</v>
      </c>
      <c r="G270" t="s">
        <v>35</v>
      </c>
      <c r="H270" t="s">
        <v>51</v>
      </c>
      <c r="I270" t="s">
        <v>57</v>
      </c>
      <c r="J270">
        <v>3</v>
      </c>
      <c r="K270">
        <v>4068000</v>
      </c>
      <c r="L270">
        <v>1.9E-2</v>
      </c>
      <c r="M270" t="s">
        <v>23</v>
      </c>
      <c r="N270">
        <v>11972000</v>
      </c>
      <c r="O270">
        <v>4.5</v>
      </c>
      <c r="P270" t="b">
        <v>0</v>
      </c>
    </row>
    <row r="271" spans="1:16" x14ac:dyDescent="0.2">
      <c r="A271" t="s">
        <v>513</v>
      </c>
      <c r="B271" s="1">
        <v>45857</v>
      </c>
      <c r="C271" s="1">
        <v>45879</v>
      </c>
      <c r="D271" t="s">
        <v>42</v>
      </c>
      <c r="E271" t="s">
        <v>33</v>
      </c>
      <c r="F271" t="s">
        <v>39</v>
      </c>
      <c r="G271" t="s">
        <v>50</v>
      </c>
      <c r="H271" t="s">
        <v>51</v>
      </c>
      <c r="I271" t="s">
        <v>94</v>
      </c>
      <c r="J271">
        <v>2</v>
      </c>
      <c r="K271">
        <v>2677000</v>
      </c>
      <c r="L271">
        <v>0.10299999999999999</v>
      </c>
      <c r="M271" t="s">
        <v>23</v>
      </c>
      <c r="N271">
        <v>4803000</v>
      </c>
      <c r="O271">
        <v>4.4000000000000004</v>
      </c>
      <c r="P271" t="b">
        <v>1</v>
      </c>
    </row>
    <row r="272" spans="1:16" x14ac:dyDescent="0.2">
      <c r="A272" t="s">
        <v>514</v>
      </c>
      <c r="B272" s="1">
        <v>45878</v>
      </c>
      <c r="C272" s="1">
        <v>45912</v>
      </c>
      <c r="D272" t="s">
        <v>515</v>
      </c>
      <c r="E272" t="s">
        <v>45</v>
      </c>
      <c r="F272" t="s">
        <v>34</v>
      </c>
      <c r="G272" t="s">
        <v>20</v>
      </c>
      <c r="H272" t="s">
        <v>21</v>
      </c>
      <c r="I272" t="s">
        <v>99</v>
      </c>
      <c r="J272">
        <v>1</v>
      </c>
      <c r="K272">
        <v>4142000</v>
      </c>
      <c r="L272">
        <v>0.113</v>
      </c>
      <c r="M272" t="s">
        <v>23</v>
      </c>
      <c r="N272">
        <v>3674000</v>
      </c>
      <c r="O272">
        <v>4.8</v>
      </c>
      <c r="P272" t="b">
        <v>1</v>
      </c>
    </row>
    <row r="273" spans="1:16" x14ac:dyDescent="0.2">
      <c r="A273" t="s">
        <v>516</v>
      </c>
      <c r="B273" s="1">
        <v>45319</v>
      </c>
      <c r="C273" s="1">
        <v>45372</v>
      </c>
      <c r="D273" t="s">
        <v>429</v>
      </c>
      <c r="E273" t="s">
        <v>18</v>
      </c>
      <c r="F273" t="s">
        <v>45</v>
      </c>
      <c r="G273" t="s">
        <v>35</v>
      </c>
      <c r="H273" t="s">
        <v>21</v>
      </c>
      <c r="I273" t="s">
        <v>30</v>
      </c>
      <c r="J273">
        <v>5</v>
      </c>
      <c r="K273">
        <v>2499000</v>
      </c>
      <c r="L273">
        <v>0.1</v>
      </c>
      <c r="M273" t="s">
        <v>23</v>
      </c>
      <c r="N273">
        <v>11246000</v>
      </c>
      <c r="O273">
        <v>4.7</v>
      </c>
      <c r="P273" t="b">
        <v>1</v>
      </c>
    </row>
    <row r="274" spans="1:16" x14ac:dyDescent="0.2">
      <c r="A274" t="s">
        <v>517</v>
      </c>
      <c r="B274" s="1">
        <v>45685</v>
      </c>
      <c r="C274" s="1">
        <v>45717</v>
      </c>
      <c r="D274" t="s">
        <v>130</v>
      </c>
      <c r="E274" t="s">
        <v>45</v>
      </c>
      <c r="F274" t="s">
        <v>68</v>
      </c>
      <c r="G274" t="s">
        <v>20</v>
      </c>
      <c r="H274" t="s">
        <v>40</v>
      </c>
      <c r="I274" t="s">
        <v>52</v>
      </c>
      <c r="J274">
        <v>3</v>
      </c>
      <c r="K274">
        <v>1844000</v>
      </c>
      <c r="L274">
        <v>0.14799999999999999</v>
      </c>
      <c r="M274" t="s">
        <v>23</v>
      </c>
      <c r="N274">
        <v>4713000</v>
      </c>
      <c r="O274">
        <v>4.0999999999999996</v>
      </c>
      <c r="P274" t="b">
        <v>1</v>
      </c>
    </row>
    <row r="275" spans="1:16" x14ac:dyDescent="0.2">
      <c r="A275" t="s">
        <v>518</v>
      </c>
      <c r="B275" s="1">
        <v>45437</v>
      </c>
      <c r="C275" s="1">
        <v>45452</v>
      </c>
      <c r="D275" t="s">
        <v>519</v>
      </c>
      <c r="E275" t="s">
        <v>18</v>
      </c>
      <c r="F275" t="s">
        <v>19</v>
      </c>
      <c r="G275" t="s">
        <v>20</v>
      </c>
      <c r="H275" t="s">
        <v>21</v>
      </c>
      <c r="I275" t="s">
        <v>52</v>
      </c>
      <c r="J275">
        <v>1</v>
      </c>
      <c r="K275">
        <v>2215000</v>
      </c>
      <c r="L275">
        <v>5.7000000000000002E-2</v>
      </c>
      <c r="M275" t="s">
        <v>23</v>
      </c>
      <c r="N275">
        <v>2089000</v>
      </c>
      <c r="O275">
        <v>4.7</v>
      </c>
      <c r="P275" t="b">
        <v>0</v>
      </c>
    </row>
    <row r="276" spans="1:16" x14ac:dyDescent="0.2">
      <c r="A276" t="s">
        <v>520</v>
      </c>
      <c r="B276" s="1">
        <v>45411</v>
      </c>
      <c r="C276" s="1">
        <v>45462</v>
      </c>
      <c r="D276" t="s">
        <v>251</v>
      </c>
      <c r="E276" t="s">
        <v>45</v>
      </c>
      <c r="F276" t="s">
        <v>34</v>
      </c>
      <c r="G276" t="s">
        <v>35</v>
      </c>
      <c r="H276" t="s">
        <v>21</v>
      </c>
      <c r="I276" t="s">
        <v>60</v>
      </c>
      <c r="J276">
        <v>2</v>
      </c>
      <c r="K276">
        <v>5391000</v>
      </c>
      <c r="L276">
        <v>0</v>
      </c>
      <c r="M276" t="s">
        <v>23</v>
      </c>
      <c r="N276">
        <v>10782000</v>
      </c>
      <c r="O276">
        <v>4.3</v>
      </c>
      <c r="P276" t="b">
        <v>1</v>
      </c>
    </row>
    <row r="277" spans="1:16" x14ac:dyDescent="0.2">
      <c r="A277" t="s">
        <v>521</v>
      </c>
      <c r="B277" s="1">
        <v>45473</v>
      </c>
      <c r="C277" s="1">
        <v>45487</v>
      </c>
      <c r="D277" t="s">
        <v>522</v>
      </c>
      <c r="E277" t="s">
        <v>33</v>
      </c>
      <c r="F277" t="s">
        <v>68</v>
      </c>
      <c r="G277" t="s">
        <v>20</v>
      </c>
      <c r="H277" t="s">
        <v>21</v>
      </c>
      <c r="I277" t="s">
        <v>52</v>
      </c>
      <c r="J277">
        <v>2</v>
      </c>
      <c r="K277">
        <v>1798000</v>
      </c>
      <c r="L277">
        <v>1.7999999999999999E-2</v>
      </c>
      <c r="M277" t="s">
        <v>23</v>
      </c>
      <c r="N277">
        <v>3531000</v>
      </c>
      <c r="O277">
        <v>5</v>
      </c>
      <c r="P277" t="b">
        <v>1</v>
      </c>
    </row>
    <row r="278" spans="1:16" x14ac:dyDescent="0.2">
      <c r="A278" t="s">
        <v>523</v>
      </c>
      <c r="B278" s="1">
        <v>45413</v>
      </c>
      <c r="C278" s="1">
        <v>45441</v>
      </c>
      <c r="D278" t="s">
        <v>524</v>
      </c>
      <c r="E278" t="s">
        <v>18</v>
      </c>
      <c r="F278" t="s">
        <v>39</v>
      </c>
      <c r="G278" t="s">
        <v>50</v>
      </c>
      <c r="H278" t="s">
        <v>51</v>
      </c>
      <c r="I278" t="s">
        <v>26</v>
      </c>
      <c r="J278">
        <v>4</v>
      </c>
      <c r="K278">
        <v>1993000</v>
      </c>
      <c r="L278">
        <v>0.183</v>
      </c>
      <c r="M278" t="s">
        <v>23</v>
      </c>
      <c r="N278">
        <v>6513000</v>
      </c>
      <c r="O278">
        <v>4.7</v>
      </c>
      <c r="P278" t="b">
        <v>0</v>
      </c>
    </row>
    <row r="279" spans="1:16" x14ac:dyDescent="0.2">
      <c r="A279" t="s">
        <v>525</v>
      </c>
      <c r="B279" s="1">
        <v>45597</v>
      </c>
      <c r="C279" s="1">
        <v>45607</v>
      </c>
      <c r="D279" t="s">
        <v>526</v>
      </c>
      <c r="E279" t="s">
        <v>33</v>
      </c>
      <c r="F279" t="s">
        <v>25</v>
      </c>
      <c r="G279" t="s">
        <v>20</v>
      </c>
      <c r="H279" t="s">
        <v>21</v>
      </c>
      <c r="I279" t="s">
        <v>60</v>
      </c>
      <c r="J279">
        <v>1</v>
      </c>
      <c r="K279">
        <v>3863000</v>
      </c>
      <c r="L279">
        <v>0.125</v>
      </c>
      <c r="M279" t="s">
        <v>23</v>
      </c>
      <c r="N279">
        <v>3380000</v>
      </c>
      <c r="O279">
        <v>3.9</v>
      </c>
      <c r="P279" t="b">
        <v>0</v>
      </c>
    </row>
    <row r="280" spans="1:16" x14ac:dyDescent="0.2">
      <c r="A280" t="s">
        <v>527</v>
      </c>
      <c r="B280" s="1">
        <v>45912</v>
      </c>
      <c r="C280" s="1">
        <v>45929</v>
      </c>
      <c r="D280" t="s">
        <v>528</v>
      </c>
      <c r="E280" t="s">
        <v>18</v>
      </c>
      <c r="F280" t="s">
        <v>25</v>
      </c>
      <c r="G280" t="s">
        <v>50</v>
      </c>
      <c r="H280" t="s">
        <v>47</v>
      </c>
      <c r="I280" t="s">
        <v>30</v>
      </c>
      <c r="J280">
        <v>2</v>
      </c>
      <c r="K280">
        <v>4038000</v>
      </c>
      <c r="L280">
        <v>1.9E-2</v>
      </c>
      <c r="M280" t="s">
        <v>23</v>
      </c>
      <c r="N280">
        <v>7923000</v>
      </c>
      <c r="O280">
        <v>5</v>
      </c>
      <c r="P280" t="b">
        <v>1</v>
      </c>
    </row>
    <row r="281" spans="1:16" x14ac:dyDescent="0.2">
      <c r="A281" t="s">
        <v>529</v>
      </c>
      <c r="B281" s="1">
        <v>45657</v>
      </c>
      <c r="C281" s="1">
        <v>45702</v>
      </c>
      <c r="D281" t="s">
        <v>530</v>
      </c>
      <c r="E281" t="s">
        <v>45</v>
      </c>
      <c r="F281" t="s">
        <v>34</v>
      </c>
      <c r="G281" t="s">
        <v>50</v>
      </c>
      <c r="H281" t="s">
        <v>21</v>
      </c>
      <c r="I281" t="s">
        <v>77</v>
      </c>
      <c r="J281">
        <v>3</v>
      </c>
      <c r="K281">
        <v>3615000</v>
      </c>
      <c r="L281">
        <v>0.14099999999999999</v>
      </c>
      <c r="M281" t="s">
        <v>23</v>
      </c>
      <c r="N281">
        <v>9316000</v>
      </c>
      <c r="O281">
        <v>3.1</v>
      </c>
      <c r="P281" t="b">
        <v>0</v>
      </c>
    </row>
    <row r="282" spans="1:16" x14ac:dyDescent="0.2">
      <c r="A282" t="s">
        <v>531</v>
      </c>
      <c r="B282" s="1">
        <v>45742</v>
      </c>
      <c r="C282" s="1">
        <v>45820</v>
      </c>
      <c r="D282" t="s">
        <v>326</v>
      </c>
      <c r="E282" t="s">
        <v>45</v>
      </c>
      <c r="F282" t="s">
        <v>123</v>
      </c>
      <c r="G282" t="s">
        <v>35</v>
      </c>
      <c r="H282" t="s">
        <v>21</v>
      </c>
      <c r="I282" t="s">
        <v>22</v>
      </c>
      <c r="J282">
        <v>1</v>
      </c>
      <c r="K282">
        <v>2588000</v>
      </c>
      <c r="L282">
        <v>3.7999999999999999E-2</v>
      </c>
      <c r="M282" t="s">
        <v>23</v>
      </c>
      <c r="N282">
        <v>2490000</v>
      </c>
      <c r="O282">
        <v>4.5</v>
      </c>
      <c r="P282" t="b">
        <v>1</v>
      </c>
    </row>
    <row r="283" spans="1:16" x14ac:dyDescent="0.2">
      <c r="A283" t="s">
        <v>532</v>
      </c>
      <c r="B283" s="1">
        <v>45599</v>
      </c>
      <c r="C283" s="1">
        <v>45671</v>
      </c>
      <c r="D283" t="s">
        <v>116</v>
      </c>
      <c r="E283" t="s">
        <v>29</v>
      </c>
      <c r="F283" t="s">
        <v>25</v>
      </c>
      <c r="G283" t="s">
        <v>50</v>
      </c>
      <c r="H283" t="s">
        <v>47</v>
      </c>
      <c r="I283" t="s">
        <v>57</v>
      </c>
      <c r="J283">
        <v>2</v>
      </c>
      <c r="K283">
        <v>3701000</v>
      </c>
      <c r="L283">
        <v>6.8000000000000005E-2</v>
      </c>
      <c r="M283" t="s">
        <v>23</v>
      </c>
      <c r="N283">
        <v>6899000</v>
      </c>
      <c r="O283">
        <v>3.9</v>
      </c>
      <c r="P283" t="b">
        <v>1</v>
      </c>
    </row>
    <row r="284" spans="1:16" x14ac:dyDescent="0.2">
      <c r="A284" t="s">
        <v>533</v>
      </c>
      <c r="B284" s="1">
        <v>45300</v>
      </c>
      <c r="C284" s="1">
        <v>45318</v>
      </c>
      <c r="D284" t="s">
        <v>534</v>
      </c>
      <c r="E284" t="s">
        <v>29</v>
      </c>
      <c r="F284" t="s">
        <v>34</v>
      </c>
      <c r="G284" t="s">
        <v>20</v>
      </c>
      <c r="H284" t="s">
        <v>21</v>
      </c>
      <c r="I284" t="s">
        <v>52</v>
      </c>
      <c r="J284">
        <v>1</v>
      </c>
      <c r="K284">
        <v>3937000</v>
      </c>
      <c r="L284">
        <v>5.0999999999999997E-2</v>
      </c>
      <c r="M284" t="s">
        <v>23</v>
      </c>
      <c r="N284">
        <v>3736000</v>
      </c>
      <c r="O284">
        <v>5</v>
      </c>
      <c r="P284" t="b">
        <v>0</v>
      </c>
    </row>
    <row r="285" spans="1:16" x14ac:dyDescent="0.2">
      <c r="A285" t="s">
        <v>535</v>
      </c>
      <c r="B285" s="1">
        <v>45344</v>
      </c>
      <c r="C285" s="1">
        <v>45356</v>
      </c>
      <c r="D285" t="s">
        <v>536</v>
      </c>
      <c r="E285" t="s">
        <v>33</v>
      </c>
      <c r="F285" t="s">
        <v>45</v>
      </c>
      <c r="G285" t="s">
        <v>20</v>
      </c>
      <c r="H285" t="s">
        <v>21</v>
      </c>
      <c r="I285" t="s">
        <v>94</v>
      </c>
      <c r="J285">
        <v>4</v>
      </c>
      <c r="K285">
        <v>3008000</v>
      </c>
      <c r="L285">
        <v>0.18</v>
      </c>
      <c r="M285" t="s">
        <v>23</v>
      </c>
      <c r="N285">
        <v>9866000</v>
      </c>
      <c r="O285">
        <v>4.3</v>
      </c>
      <c r="P285" t="b">
        <v>0</v>
      </c>
    </row>
    <row r="286" spans="1:16" x14ac:dyDescent="0.2">
      <c r="A286" t="s">
        <v>537</v>
      </c>
      <c r="B286" s="1">
        <v>45459</v>
      </c>
      <c r="C286" s="1">
        <v>45496</v>
      </c>
      <c r="D286" t="s">
        <v>538</v>
      </c>
      <c r="E286" t="s">
        <v>18</v>
      </c>
      <c r="F286" t="s">
        <v>68</v>
      </c>
      <c r="G286" t="s">
        <v>20</v>
      </c>
      <c r="H286" t="s">
        <v>21</v>
      </c>
      <c r="I286" t="s">
        <v>94</v>
      </c>
      <c r="J286">
        <v>1</v>
      </c>
      <c r="K286">
        <v>1518000</v>
      </c>
      <c r="L286">
        <v>0</v>
      </c>
      <c r="M286" t="s">
        <v>23</v>
      </c>
      <c r="N286">
        <v>1518000</v>
      </c>
      <c r="O286">
        <v>3.8</v>
      </c>
      <c r="P286" t="b">
        <v>0</v>
      </c>
    </row>
    <row r="287" spans="1:16" x14ac:dyDescent="0.2">
      <c r="A287" t="s">
        <v>539</v>
      </c>
      <c r="B287" s="1">
        <v>45443</v>
      </c>
      <c r="C287" s="1">
        <v>45505</v>
      </c>
      <c r="D287" t="s">
        <v>528</v>
      </c>
      <c r="E287" t="s">
        <v>18</v>
      </c>
      <c r="F287" t="s">
        <v>39</v>
      </c>
      <c r="G287" t="s">
        <v>20</v>
      </c>
      <c r="H287" t="s">
        <v>40</v>
      </c>
      <c r="I287" t="s">
        <v>52</v>
      </c>
      <c r="J287">
        <v>4</v>
      </c>
      <c r="K287">
        <v>2816000</v>
      </c>
      <c r="L287">
        <v>2.5999999999999999E-2</v>
      </c>
      <c r="M287" t="s">
        <v>23</v>
      </c>
      <c r="N287">
        <v>10971000</v>
      </c>
      <c r="O287">
        <v>4.0999999999999996</v>
      </c>
      <c r="P287" t="b">
        <v>1</v>
      </c>
    </row>
    <row r="288" spans="1:16" x14ac:dyDescent="0.2">
      <c r="A288" t="s">
        <v>540</v>
      </c>
      <c r="B288" s="1">
        <v>45815</v>
      </c>
      <c r="C288" s="1">
        <v>45885</v>
      </c>
      <c r="D288" t="s">
        <v>541</v>
      </c>
      <c r="E288" t="s">
        <v>33</v>
      </c>
      <c r="F288" t="s">
        <v>19</v>
      </c>
      <c r="G288" t="s">
        <v>50</v>
      </c>
      <c r="H288" t="s">
        <v>21</v>
      </c>
      <c r="I288" t="s">
        <v>22</v>
      </c>
      <c r="J288">
        <v>1</v>
      </c>
      <c r="K288">
        <v>2649000</v>
      </c>
      <c r="L288">
        <v>6.5000000000000002E-2</v>
      </c>
      <c r="M288" t="s">
        <v>23</v>
      </c>
      <c r="N288">
        <v>2477000</v>
      </c>
      <c r="O288">
        <v>3.8</v>
      </c>
      <c r="P288" t="b">
        <v>1</v>
      </c>
    </row>
    <row r="289" spans="1:16" x14ac:dyDescent="0.2">
      <c r="A289" t="s">
        <v>542</v>
      </c>
      <c r="B289" s="1">
        <v>45817</v>
      </c>
      <c r="C289" s="1">
        <v>45893</v>
      </c>
      <c r="D289" t="s">
        <v>155</v>
      </c>
      <c r="E289" t="s">
        <v>33</v>
      </c>
      <c r="F289" t="s">
        <v>34</v>
      </c>
      <c r="G289" t="s">
        <v>35</v>
      </c>
      <c r="H289" t="s">
        <v>21</v>
      </c>
      <c r="I289" t="s">
        <v>99</v>
      </c>
      <c r="J289">
        <v>1</v>
      </c>
      <c r="K289">
        <v>4139000</v>
      </c>
      <c r="L289">
        <v>0.123</v>
      </c>
      <c r="M289" t="s">
        <v>65</v>
      </c>
      <c r="N289">
        <v>0</v>
      </c>
      <c r="P289" t="b">
        <v>1</v>
      </c>
    </row>
    <row r="290" spans="1:16" x14ac:dyDescent="0.2">
      <c r="A290" t="s">
        <v>543</v>
      </c>
      <c r="B290" s="1">
        <v>45824</v>
      </c>
      <c r="C290" s="1">
        <v>45861</v>
      </c>
      <c r="D290" t="s">
        <v>138</v>
      </c>
      <c r="E290" t="s">
        <v>45</v>
      </c>
      <c r="F290" t="s">
        <v>68</v>
      </c>
      <c r="G290" t="s">
        <v>20</v>
      </c>
      <c r="H290" t="s">
        <v>21</v>
      </c>
      <c r="I290" t="s">
        <v>52</v>
      </c>
      <c r="J290">
        <v>3</v>
      </c>
      <c r="K290">
        <v>2854000</v>
      </c>
      <c r="L290">
        <v>8.2000000000000003E-2</v>
      </c>
      <c r="M290" t="s">
        <v>23</v>
      </c>
      <c r="N290">
        <v>7860000</v>
      </c>
      <c r="O290">
        <v>4</v>
      </c>
      <c r="P290" t="b">
        <v>1</v>
      </c>
    </row>
    <row r="291" spans="1:16" x14ac:dyDescent="0.2">
      <c r="A291" t="s">
        <v>544</v>
      </c>
      <c r="B291" s="1">
        <v>45689</v>
      </c>
      <c r="C291" s="1">
        <v>45712</v>
      </c>
      <c r="D291" t="s">
        <v>49</v>
      </c>
      <c r="E291" t="s">
        <v>18</v>
      </c>
      <c r="F291" t="s">
        <v>68</v>
      </c>
      <c r="G291" t="s">
        <v>20</v>
      </c>
      <c r="H291" t="s">
        <v>21</v>
      </c>
      <c r="I291" t="s">
        <v>22</v>
      </c>
      <c r="J291">
        <v>3</v>
      </c>
      <c r="K291">
        <v>2780000</v>
      </c>
      <c r="L291">
        <v>6.9000000000000006E-2</v>
      </c>
      <c r="M291" t="s">
        <v>23</v>
      </c>
      <c r="N291">
        <v>7765000</v>
      </c>
      <c r="O291">
        <v>3.8</v>
      </c>
      <c r="P291" t="b">
        <v>1</v>
      </c>
    </row>
    <row r="292" spans="1:16" x14ac:dyDescent="0.2">
      <c r="A292" t="s">
        <v>545</v>
      </c>
      <c r="B292" s="1">
        <v>45638</v>
      </c>
      <c r="C292" s="1">
        <v>45650</v>
      </c>
      <c r="D292" t="s">
        <v>273</v>
      </c>
      <c r="E292" t="s">
        <v>45</v>
      </c>
      <c r="F292" t="s">
        <v>25</v>
      </c>
      <c r="G292" t="s">
        <v>35</v>
      </c>
      <c r="H292" t="s">
        <v>21</v>
      </c>
      <c r="I292" t="s">
        <v>57</v>
      </c>
      <c r="J292">
        <v>2</v>
      </c>
      <c r="K292">
        <v>3972000</v>
      </c>
      <c r="L292">
        <v>0.121</v>
      </c>
      <c r="M292" t="s">
        <v>23</v>
      </c>
      <c r="N292">
        <v>6983000</v>
      </c>
      <c r="O292">
        <v>4.3</v>
      </c>
      <c r="P292" t="b">
        <v>1</v>
      </c>
    </row>
    <row r="293" spans="1:16" x14ac:dyDescent="0.2">
      <c r="A293" t="s">
        <v>546</v>
      </c>
      <c r="B293" s="1">
        <v>45696</v>
      </c>
      <c r="C293" s="1">
        <v>45717</v>
      </c>
      <c r="D293" t="s">
        <v>547</v>
      </c>
      <c r="E293" t="s">
        <v>33</v>
      </c>
      <c r="F293" t="s">
        <v>45</v>
      </c>
      <c r="G293" t="s">
        <v>50</v>
      </c>
      <c r="H293" t="s">
        <v>21</v>
      </c>
      <c r="I293" t="s">
        <v>60</v>
      </c>
      <c r="J293">
        <v>4</v>
      </c>
      <c r="K293">
        <v>3854000</v>
      </c>
      <c r="L293">
        <v>3.9E-2</v>
      </c>
      <c r="M293" t="s">
        <v>23</v>
      </c>
      <c r="N293">
        <v>14815000</v>
      </c>
      <c r="O293">
        <v>4.4000000000000004</v>
      </c>
      <c r="P293" t="b">
        <v>1</v>
      </c>
    </row>
    <row r="294" spans="1:16" x14ac:dyDescent="0.2">
      <c r="A294" t="s">
        <v>548</v>
      </c>
      <c r="B294" s="1">
        <v>45545</v>
      </c>
      <c r="C294" s="1">
        <v>45560</v>
      </c>
      <c r="D294" t="s">
        <v>549</v>
      </c>
      <c r="E294" t="s">
        <v>45</v>
      </c>
      <c r="F294" t="s">
        <v>25</v>
      </c>
      <c r="G294" t="s">
        <v>20</v>
      </c>
      <c r="H294" t="s">
        <v>21</v>
      </c>
      <c r="I294" t="s">
        <v>57</v>
      </c>
      <c r="J294">
        <v>1</v>
      </c>
      <c r="K294">
        <v>5547000</v>
      </c>
      <c r="L294">
        <v>0.13600000000000001</v>
      </c>
      <c r="M294" t="s">
        <v>23</v>
      </c>
      <c r="N294">
        <v>4793000</v>
      </c>
      <c r="O294">
        <v>3.7</v>
      </c>
      <c r="P294" t="b">
        <v>1</v>
      </c>
    </row>
    <row r="295" spans="1:16" x14ac:dyDescent="0.2">
      <c r="A295" t="s">
        <v>550</v>
      </c>
      <c r="B295" s="1">
        <v>45709</v>
      </c>
      <c r="C295" s="1">
        <v>45788</v>
      </c>
      <c r="D295" t="s">
        <v>358</v>
      </c>
      <c r="E295" t="s">
        <v>45</v>
      </c>
      <c r="F295" t="s">
        <v>19</v>
      </c>
      <c r="G295" t="s">
        <v>50</v>
      </c>
      <c r="H295" t="s">
        <v>21</v>
      </c>
      <c r="I295" t="s">
        <v>60</v>
      </c>
      <c r="J295">
        <v>2</v>
      </c>
      <c r="K295">
        <v>3031000</v>
      </c>
      <c r="L295">
        <v>0.14899999999999999</v>
      </c>
      <c r="M295" t="s">
        <v>23</v>
      </c>
      <c r="N295">
        <v>5159000</v>
      </c>
      <c r="O295">
        <v>3.4</v>
      </c>
      <c r="P295" t="b">
        <v>1</v>
      </c>
    </row>
    <row r="296" spans="1:16" x14ac:dyDescent="0.2">
      <c r="A296" t="s">
        <v>551</v>
      </c>
      <c r="B296" s="1">
        <v>45786</v>
      </c>
      <c r="C296" s="1">
        <v>45817</v>
      </c>
      <c r="D296" t="s">
        <v>502</v>
      </c>
      <c r="E296" t="s">
        <v>33</v>
      </c>
      <c r="F296" t="s">
        <v>34</v>
      </c>
      <c r="G296" t="s">
        <v>35</v>
      </c>
      <c r="H296" t="s">
        <v>40</v>
      </c>
      <c r="I296" t="s">
        <v>77</v>
      </c>
      <c r="J296">
        <v>1</v>
      </c>
      <c r="K296">
        <v>3887000</v>
      </c>
      <c r="L296">
        <v>2.5000000000000001E-2</v>
      </c>
      <c r="M296" t="s">
        <v>23</v>
      </c>
      <c r="N296">
        <v>3790000</v>
      </c>
      <c r="O296">
        <v>4.4000000000000004</v>
      </c>
      <c r="P296" t="b">
        <v>1</v>
      </c>
    </row>
    <row r="297" spans="1:16" x14ac:dyDescent="0.2">
      <c r="A297" t="s">
        <v>552</v>
      </c>
      <c r="B297" s="1">
        <v>45767</v>
      </c>
      <c r="C297" s="1">
        <v>45843</v>
      </c>
      <c r="D297" t="s">
        <v>553</v>
      </c>
      <c r="E297" t="s">
        <v>18</v>
      </c>
      <c r="F297" t="s">
        <v>34</v>
      </c>
      <c r="G297" t="s">
        <v>50</v>
      </c>
      <c r="H297" t="s">
        <v>47</v>
      </c>
      <c r="I297" t="s">
        <v>52</v>
      </c>
      <c r="J297">
        <v>1</v>
      </c>
      <c r="K297">
        <v>2769000</v>
      </c>
      <c r="L297">
        <v>8.7999999999999995E-2</v>
      </c>
      <c r="M297" t="s">
        <v>23</v>
      </c>
      <c r="N297">
        <v>2525000</v>
      </c>
      <c r="O297">
        <v>4.5</v>
      </c>
      <c r="P297" t="b">
        <v>1</v>
      </c>
    </row>
    <row r="298" spans="1:16" x14ac:dyDescent="0.2">
      <c r="A298" t="s">
        <v>554</v>
      </c>
      <c r="B298" s="1">
        <v>45674</v>
      </c>
      <c r="C298" s="1">
        <v>45728</v>
      </c>
      <c r="D298" t="s">
        <v>126</v>
      </c>
      <c r="E298" t="s">
        <v>33</v>
      </c>
      <c r="F298" t="s">
        <v>19</v>
      </c>
      <c r="G298" t="s">
        <v>20</v>
      </c>
      <c r="H298" t="s">
        <v>21</v>
      </c>
      <c r="I298" t="s">
        <v>26</v>
      </c>
      <c r="J298">
        <v>3</v>
      </c>
      <c r="K298">
        <v>3276000</v>
      </c>
      <c r="L298">
        <v>8.8999999999999996E-2</v>
      </c>
      <c r="M298" t="s">
        <v>23</v>
      </c>
      <c r="N298">
        <v>8953000</v>
      </c>
      <c r="O298">
        <v>4.5999999999999996</v>
      </c>
      <c r="P298" t="b">
        <v>1</v>
      </c>
    </row>
    <row r="299" spans="1:16" x14ac:dyDescent="0.2">
      <c r="A299" t="s">
        <v>554</v>
      </c>
      <c r="B299" s="1">
        <v>45674</v>
      </c>
      <c r="C299" s="1">
        <v>45728</v>
      </c>
      <c r="D299" t="s">
        <v>126</v>
      </c>
      <c r="E299" t="s">
        <v>33</v>
      </c>
      <c r="F299" t="s">
        <v>19</v>
      </c>
      <c r="G299" t="s">
        <v>20</v>
      </c>
      <c r="H299" t="s">
        <v>21</v>
      </c>
      <c r="I299" t="s">
        <v>26</v>
      </c>
      <c r="J299">
        <v>3</v>
      </c>
      <c r="K299">
        <v>3276000</v>
      </c>
      <c r="L299">
        <v>8.8999999999999996E-2</v>
      </c>
      <c r="M299" t="s">
        <v>23</v>
      </c>
      <c r="N299">
        <v>8953000</v>
      </c>
      <c r="O299">
        <v>4.5999999999999996</v>
      </c>
      <c r="P299" t="b">
        <v>1</v>
      </c>
    </row>
    <row r="300" spans="1:16" x14ac:dyDescent="0.2">
      <c r="A300" t="s">
        <v>555</v>
      </c>
      <c r="B300" s="1">
        <v>45328</v>
      </c>
      <c r="C300" s="1">
        <v>45381</v>
      </c>
      <c r="D300" t="s">
        <v>556</v>
      </c>
      <c r="E300" t="s">
        <v>29</v>
      </c>
      <c r="F300" t="s">
        <v>39</v>
      </c>
      <c r="G300" t="s">
        <v>35</v>
      </c>
      <c r="H300" t="s">
        <v>21</v>
      </c>
      <c r="I300" t="s">
        <v>52</v>
      </c>
      <c r="J300">
        <v>2</v>
      </c>
      <c r="K300">
        <v>-100000</v>
      </c>
      <c r="L300">
        <v>0.16200000000000001</v>
      </c>
      <c r="M300" t="s">
        <v>23</v>
      </c>
      <c r="N300">
        <v>2774000</v>
      </c>
      <c r="O300">
        <v>4.5</v>
      </c>
      <c r="P300" t="b">
        <v>1</v>
      </c>
    </row>
    <row r="301" spans="1:16" x14ac:dyDescent="0.2">
      <c r="A301" t="s">
        <v>557</v>
      </c>
      <c r="B301" s="1">
        <v>45743</v>
      </c>
      <c r="C301" s="1">
        <v>45789</v>
      </c>
      <c r="D301" t="s">
        <v>437</v>
      </c>
      <c r="E301" t="s">
        <v>45</v>
      </c>
      <c r="F301" t="s">
        <v>34</v>
      </c>
      <c r="G301" t="s">
        <v>20</v>
      </c>
      <c r="H301" t="s">
        <v>21</v>
      </c>
      <c r="I301" t="s">
        <v>77</v>
      </c>
      <c r="J301">
        <v>1</v>
      </c>
      <c r="K301">
        <v>3635000</v>
      </c>
      <c r="L301">
        <v>0.01</v>
      </c>
      <c r="M301" t="s">
        <v>23</v>
      </c>
      <c r="N301">
        <v>3599000</v>
      </c>
      <c r="O301">
        <v>5</v>
      </c>
      <c r="P301" t="b">
        <v>0</v>
      </c>
    </row>
    <row r="302" spans="1:16" x14ac:dyDescent="0.2">
      <c r="A302" t="s">
        <v>558</v>
      </c>
      <c r="B302" s="1">
        <v>45520</v>
      </c>
      <c r="C302" s="1">
        <v>45596</v>
      </c>
      <c r="D302" t="s">
        <v>138</v>
      </c>
      <c r="E302" t="s">
        <v>45</v>
      </c>
      <c r="F302" t="s">
        <v>34</v>
      </c>
      <c r="G302" t="s">
        <v>20</v>
      </c>
      <c r="H302" t="s">
        <v>51</v>
      </c>
      <c r="I302" t="s">
        <v>26</v>
      </c>
      <c r="J302">
        <v>1</v>
      </c>
      <c r="K302">
        <v>4348000</v>
      </c>
      <c r="L302">
        <v>0.14000000000000001</v>
      </c>
      <c r="M302" t="s">
        <v>23</v>
      </c>
      <c r="N302">
        <v>3739000</v>
      </c>
      <c r="O302">
        <v>4.7</v>
      </c>
      <c r="P302" t="b">
        <v>1</v>
      </c>
    </row>
    <row r="303" spans="1:16" x14ac:dyDescent="0.2">
      <c r="A303" t="s">
        <v>559</v>
      </c>
      <c r="B303" s="1">
        <v>45755</v>
      </c>
      <c r="C303" s="1">
        <v>45768</v>
      </c>
      <c r="D303" t="s">
        <v>93</v>
      </c>
      <c r="E303" t="s">
        <v>18</v>
      </c>
      <c r="F303" t="s">
        <v>25</v>
      </c>
      <c r="G303" t="s">
        <v>50</v>
      </c>
      <c r="H303" t="s">
        <v>21</v>
      </c>
      <c r="I303" t="s">
        <v>57</v>
      </c>
      <c r="J303">
        <v>3</v>
      </c>
      <c r="K303">
        <v>3934000</v>
      </c>
      <c r="L303">
        <v>9.5000000000000001E-2</v>
      </c>
      <c r="M303" t="s">
        <v>23</v>
      </c>
      <c r="N303">
        <v>10681000</v>
      </c>
      <c r="O303">
        <v>5</v>
      </c>
      <c r="P303" t="b">
        <v>1</v>
      </c>
    </row>
    <row r="304" spans="1:16" x14ac:dyDescent="0.2">
      <c r="A304" t="s">
        <v>560</v>
      </c>
      <c r="B304" s="1">
        <v>45628</v>
      </c>
      <c r="C304" s="1">
        <v>45645</v>
      </c>
      <c r="D304" t="s">
        <v>538</v>
      </c>
      <c r="E304" t="s">
        <v>18</v>
      </c>
      <c r="F304" t="s">
        <v>34</v>
      </c>
      <c r="G304" t="s">
        <v>35</v>
      </c>
      <c r="H304" t="s">
        <v>21</v>
      </c>
      <c r="I304" t="s">
        <v>30</v>
      </c>
      <c r="J304">
        <v>1</v>
      </c>
      <c r="K304">
        <v>3012000</v>
      </c>
      <c r="L304">
        <v>0.106</v>
      </c>
      <c r="M304" t="s">
        <v>23</v>
      </c>
      <c r="N304">
        <v>2693000</v>
      </c>
      <c r="O304">
        <v>5</v>
      </c>
      <c r="P304" t="b">
        <v>1</v>
      </c>
    </row>
    <row r="305" spans="1:16" x14ac:dyDescent="0.2">
      <c r="A305" t="s">
        <v>561</v>
      </c>
      <c r="B305" s="1">
        <v>45840</v>
      </c>
      <c r="C305" s="1">
        <v>45884</v>
      </c>
      <c r="D305" t="s">
        <v>459</v>
      </c>
      <c r="E305" t="s">
        <v>18</v>
      </c>
      <c r="F305" t="s">
        <v>34</v>
      </c>
      <c r="G305" t="s">
        <v>20</v>
      </c>
      <c r="H305" t="s">
        <v>21</v>
      </c>
      <c r="J305">
        <v>1</v>
      </c>
      <c r="K305">
        <v>4369000</v>
      </c>
      <c r="L305">
        <v>5.8000000000000003E-2</v>
      </c>
      <c r="M305" t="s">
        <v>23</v>
      </c>
      <c r="N305">
        <v>4116000</v>
      </c>
      <c r="O305">
        <v>3.3</v>
      </c>
      <c r="P305" t="b">
        <v>1</v>
      </c>
    </row>
    <row r="306" spans="1:16" x14ac:dyDescent="0.2">
      <c r="A306" t="s">
        <v>562</v>
      </c>
      <c r="B306" s="1">
        <v>45502</v>
      </c>
      <c r="C306" s="1">
        <v>45543</v>
      </c>
      <c r="D306" t="s">
        <v>519</v>
      </c>
      <c r="E306" t="s">
        <v>18</v>
      </c>
      <c r="F306" t="s">
        <v>25</v>
      </c>
      <c r="G306" t="s">
        <v>50</v>
      </c>
      <c r="H306" t="s">
        <v>21</v>
      </c>
      <c r="I306" t="s">
        <v>83</v>
      </c>
      <c r="J306">
        <v>1</v>
      </c>
      <c r="K306">
        <v>2855000</v>
      </c>
      <c r="L306">
        <v>0.19500000000000001</v>
      </c>
      <c r="M306" t="s">
        <v>65</v>
      </c>
      <c r="N306">
        <v>0</v>
      </c>
      <c r="P306" t="b">
        <v>1</v>
      </c>
    </row>
    <row r="307" spans="1:16" x14ac:dyDescent="0.2">
      <c r="A307" t="s">
        <v>563</v>
      </c>
      <c r="B307" s="1">
        <v>45872</v>
      </c>
      <c r="C307" s="1">
        <v>45926</v>
      </c>
      <c r="D307" t="s">
        <v>200</v>
      </c>
      <c r="E307" t="s">
        <v>33</v>
      </c>
      <c r="F307" t="s">
        <v>19</v>
      </c>
      <c r="G307" t="s">
        <v>20</v>
      </c>
      <c r="H307" t="s">
        <v>21</v>
      </c>
      <c r="I307" t="s">
        <v>60</v>
      </c>
      <c r="J307">
        <v>1</v>
      </c>
      <c r="K307">
        <v>3959000</v>
      </c>
      <c r="L307">
        <v>0.15</v>
      </c>
      <c r="M307" t="s">
        <v>23</v>
      </c>
      <c r="N307">
        <v>3365000</v>
      </c>
      <c r="O307">
        <v>4.2</v>
      </c>
      <c r="P307" t="b">
        <v>1</v>
      </c>
    </row>
    <row r="308" spans="1:16" x14ac:dyDescent="0.2">
      <c r="A308" t="s">
        <v>564</v>
      </c>
      <c r="B308" s="1">
        <v>45818</v>
      </c>
      <c r="C308" s="1">
        <v>45887</v>
      </c>
      <c r="D308" t="s">
        <v>321</v>
      </c>
      <c r="E308" t="s">
        <v>45</v>
      </c>
      <c r="F308" t="s">
        <v>45</v>
      </c>
      <c r="G308" t="s">
        <v>35</v>
      </c>
      <c r="H308" t="s">
        <v>21</v>
      </c>
      <c r="I308" t="s">
        <v>565</v>
      </c>
      <c r="J308">
        <v>3</v>
      </c>
      <c r="K308">
        <v>2417000</v>
      </c>
      <c r="L308">
        <v>5.5E-2</v>
      </c>
      <c r="M308" t="s">
        <v>65</v>
      </c>
      <c r="N308">
        <v>0</v>
      </c>
      <c r="P308" t="b">
        <v>1</v>
      </c>
    </row>
    <row r="309" spans="1:16" x14ac:dyDescent="0.2">
      <c r="A309" t="s">
        <v>566</v>
      </c>
      <c r="B309" s="1">
        <v>45498</v>
      </c>
      <c r="C309" s="1">
        <v>45555</v>
      </c>
      <c r="D309" t="s">
        <v>567</v>
      </c>
      <c r="E309" t="s">
        <v>18</v>
      </c>
      <c r="F309" t="s">
        <v>68</v>
      </c>
      <c r="G309" t="s">
        <v>46</v>
      </c>
      <c r="H309" t="s">
        <v>40</v>
      </c>
      <c r="I309" t="s">
        <v>94</v>
      </c>
      <c r="J309">
        <v>4</v>
      </c>
      <c r="K309">
        <v>2365000</v>
      </c>
      <c r="L309">
        <v>0.16700000000000001</v>
      </c>
      <c r="M309" t="s">
        <v>65</v>
      </c>
      <c r="N309">
        <v>0</v>
      </c>
      <c r="P309" t="b">
        <v>1</v>
      </c>
    </row>
    <row r="310" spans="1:16" x14ac:dyDescent="0.2">
      <c r="A310" t="s">
        <v>568</v>
      </c>
      <c r="B310" s="1">
        <v>45592</v>
      </c>
      <c r="C310" s="1">
        <v>45622</v>
      </c>
      <c r="D310" t="s">
        <v>569</v>
      </c>
      <c r="E310" t="s">
        <v>29</v>
      </c>
      <c r="F310" t="s">
        <v>34</v>
      </c>
      <c r="G310" t="s">
        <v>35</v>
      </c>
      <c r="H310" t="s">
        <v>40</v>
      </c>
      <c r="I310" t="s">
        <v>60</v>
      </c>
      <c r="J310">
        <v>1</v>
      </c>
      <c r="K310">
        <v>3097000</v>
      </c>
      <c r="L310">
        <v>0.16800000000000001</v>
      </c>
      <c r="M310" t="s">
        <v>23</v>
      </c>
      <c r="N310">
        <v>2577000</v>
      </c>
      <c r="O310">
        <v>4.5999999999999996</v>
      </c>
      <c r="P310" t="b">
        <v>0</v>
      </c>
    </row>
    <row r="311" spans="1:16" x14ac:dyDescent="0.2">
      <c r="A311" t="s">
        <v>570</v>
      </c>
      <c r="B311" s="1">
        <v>45623</v>
      </c>
      <c r="C311" s="1">
        <v>45659</v>
      </c>
      <c r="D311" t="s">
        <v>477</v>
      </c>
      <c r="E311" t="s">
        <v>18</v>
      </c>
      <c r="F311" t="s">
        <v>68</v>
      </c>
      <c r="G311" t="s">
        <v>50</v>
      </c>
      <c r="H311" t="s">
        <v>40</v>
      </c>
      <c r="I311" t="s">
        <v>83</v>
      </c>
      <c r="J311">
        <v>2</v>
      </c>
      <c r="K311">
        <v>2186000</v>
      </c>
      <c r="L311">
        <v>0.14799999999999999</v>
      </c>
      <c r="M311" t="s">
        <v>23</v>
      </c>
      <c r="N311">
        <v>3725000</v>
      </c>
      <c r="O311">
        <v>4.0999999999999996</v>
      </c>
      <c r="P311" t="b">
        <v>1</v>
      </c>
    </row>
    <row r="312" spans="1:16" x14ac:dyDescent="0.2">
      <c r="A312" t="s">
        <v>571</v>
      </c>
      <c r="B312" s="1">
        <v>45770</v>
      </c>
      <c r="C312" s="1">
        <v>45840</v>
      </c>
      <c r="D312" t="s">
        <v>572</v>
      </c>
      <c r="E312" t="s">
        <v>45</v>
      </c>
      <c r="F312" t="s">
        <v>68</v>
      </c>
      <c r="G312" t="s">
        <v>35</v>
      </c>
      <c r="H312" t="s">
        <v>47</v>
      </c>
      <c r="I312" t="s">
        <v>52</v>
      </c>
      <c r="J312">
        <v>2</v>
      </c>
      <c r="K312">
        <v>2992000</v>
      </c>
      <c r="L312">
        <v>0</v>
      </c>
      <c r="M312" t="s">
        <v>23</v>
      </c>
      <c r="N312">
        <v>5984000</v>
      </c>
      <c r="O312">
        <v>3.9</v>
      </c>
      <c r="P312" t="b">
        <v>1</v>
      </c>
    </row>
    <row r="313" spans="1:16" x14ac:dyDescent="0.2">
      <c r="A313" t="s">
        <v>573</v>
      </c>
      <c r="B313" s="1">
        <v>45721</v>
      </c>
      <c r="C313" s="1">
        <v>45747</v>
      </c>
      <c r="D313" t="s">
        <v>298</v>
      </c>
      <c r="E313" t="s">
        <v>45</v>
      </c>
      <c r="F313" t="s">
        <v>39</v>
      </c>
      <c r="G313" t="s">
        <v>50</v>
      </c>
      <c r="H313" t="s">
        <v>21</v>
      </c>
      <c r="I313" t="s">
        <v>57</v>
      </c>
      <c r="J313">
        <v>2</v>
      </c>
      <c r="K313">
        <v>1884000</v>
      </c>
      <c r="L313">
        <v>6.0999999999999999E-2</v>
      </c>
      <c r="M313" t="s">
        <v>23</v>
      </c>
      <c r="N313">
        <v>3538000</v>
      </c>
      <c r="O313">
        <v>3.9</v>
      </c>
      <c r="P313" t="b">
        <v>1</v>
      </c>
    </row>
    <row r="314" spans="1:16" x14ac:dyDescent="0.2">
      <c r="A314" t="s">
        <v>574</v>
      </c>
      <c r="B314" s="1">
        <v>45822</v>
      </c>
      <c r="C314" s="1">
        <v>45872</v>
      </c>
      <c r="D314" t="s">
        <v>206</v>
      </c>
      <c r="E314" t="s">
        <v>33</v>
      </c>
      <c r="F314" t="s">
        <v>45</v>
      </c>
      <c r="G314" t="s">
        <v>35</v>
      </c>
      <c r="H314" t="s">
        <v>51</v>
      </c>
      <c r="I314" t="s">
        <v>60</v>
      </c>
      <c r="J314">
        <v>4</v>
      </c>
      <c r="K314">
        <v>2966000</v>
      </c>
      <c r="L314">
        <v>0.115</v>
      </c>
      <c r="M314" t="s">
        <v>23</v>
      </c>
      <c r="N314">
        <v>10500000</v>
      </c>
      <c r="O314">
        <v>4.0999999999999996</v>
      </c>
      <c r="P314" t="b">
        <v>1</v>
      </c>
    </row>
    <row r="315" spans="1:16" x14ac:dyDescent="0.2">
      <c r="A315" t="s">
        <v>575</v>
      </c>
      <c r="B315" s="1">
        <v>45522</v>
      </c>
      <c r="C315" s="1">
        <v>45575</v>
      </c>
      <c r="D315" t="s">
        <v>576</v>
      </c>
      <c r="E315" t="s">
        <v>45</v>
      </c>
      <c r="F315" t="s">
        <v>45</v>
      </c>
      <c r="G315" t="s">
        <v>35</v>
      </c>
      <c r="H315" t="s">
        <v>47</v>
      </c>
      <c r="I315" t="s">
        <v>30</v>
      </c>
      <c r="J315">
        <v>4</v>
      </c>
      <c r="K315">
        <v>3412000</v>
      </c>
      <c r="L315">
        <v>4.4999999999999998E-2</v>
      </c>
      <c r="M315" t="s">
        <v>23</v>
      </c>
      <c r="N315">
        <v>13034000</v>
      </c>
      <c r="O315">
        <v>4.5999999999999996</v>
      </c>
      <c r="P315" t="b">
        <v>0</v>
      </c>
    </row>
    <row r="316" spans="1:16" x14ac:dyDescent="0.2">
      <c r="A316" t="s">
        <v>577</v>
      </c>
      <c r="B316" s="1">
        <v>45606</v>
      </c>
      <c r="C316" s="1">
        <v>45676</v>
      </c>
      <c r="D316" t="s">
        <v>229</v>
      </c>
      <c r="E316" t="s">
        <v>18</v>
      </c>
      <c r="F316" t="s">
        <v>45</v>
      </c>
      <c r="G316" t="s">
        <v>20</v>
      </c>
      <c r="H316" t="s">
        <v>47</v>
      </c>
      <c r="I316" t="s">
        <v>94</v>
      </c>
      <c r="J316">
        <v>4</v>
      </c>
      <c r="K316">
        <v>3806000</v>
      </c>
      <c r="L316">
        <v>0.17299999999999999</v>
      </c>
      <c r="M316" t="s">
        <v>23</v>
      </c>
      <c r="N316">
        <v>12590000</v>
      </c>
      <c r="O316">
        <v>4</v>
      </c>
      <c r="P316" t="b">
        <v>1</v>
      </c>
    </row>
    <row r="317" spans="1:16" x14ac:dyDescent="0.2">
      <c r="A317" t="s">
        <v>578</v>
      </c>
      <c r="B317" s="1">
        <v>45560</v>
      </c>
      <c r="C317" s="1">
        <v>45627</v>
      </c>
      <c r="D317" t="s">
        <v>259</v>
      </c>
      <c r="E317" t="s">
        <v>33</v>
      </c>
      <c r="F317" t="s">
        <v>45</v>
      </c>
      <c r="G317" t="s">
        <v>50</v>
      </c>
      <c r="H317" t="s">
        <v>47</v>
      </c>
      <c r="I317" t="s">
        <v>30</v>
      </c>
      <c r="J317">
        <v>4</v>
      </c>
      <c r="K317">
        <v>2459000</v>
      </c>
      <c r="L317">
        <v>8.7999999999999995E-2</v>
      </c>
      <c r="M317" t="s">
        <v>23</v>
      </c>
      <c r="N317">
        <v>8970000</v>
      </c>
      <c r="O317">
        <v>4.0999999999999996</v>
      </c>
      <c r="P317" t="b">
        <v>1</v>
      </c>
    </row>
    <row r="318" spans="1:16" x14ac:dyDescent="0.2">
      <c r="A318" t="s">
        <v>579</v>
      </c>
      <c r="B318" s="1">
        <v>45858</v>
      </c>
      <c r="C318" s="1">
        <v>45905</v>
      </c>
      <c r="D318" t="s">
        <v>417</v>
      </c>
      <c r="E318" t="s">
        <v>45</v>
      </c>
      <c r="F318" t="s">
        <v>34</v>
      </c>
      <c r="G318" t="s">
        <v>20</v>
      </c>
      <c r="H318" t="s">
        <v>21</v>
      </c>
      <c r="I318" t="s">
        <v>22</v>
      </c>
      <c r="J318">
        <v>2</v>
      </c>
      <c r="K318">
        <v>4403000</v>
      </c>
      <c r="L318">
        <v>7.5999999999999998E-2</v>
      </c>
      <c r="M318" t="s">
        <v>23</v>
      </c>
      <c r="N318">
        <v>8137000</v>
      </c>
      <c r="O318">
        <v>4.5</v>
      </c>
      <c r="P318" t="b">
        <v>1</v>
      </c>
    </row>
    <row r="319" spans="1:16" x14ac:dyDescent="0.2">
      <c r="A319" t="s">
        <v>580</v>
      </c>
      <c r="B319" s="1">
        <v>45482</v>
      </c>
      <c r="C319" s="1">
        <v>45517</v>
      </c>
      <c r="D319" t="s">
        <v>443</v>
      </c>
      <c r="E319" t="s">
        <v>33</v>
      </c>
      <c r="F319" t="s">
        <v>68</v>
      </c>
      <c r="G319" t="s">
        <v>46</v>
      </c>
      <c r="H319" t="s">
        <v>21</v>
      </c>
      <c r="I319" t="s">
        <v>83</v>
      </c>
      <c r="J319">
        <v>2</v>
      </c>
      <c r="K319">
        <v>1833000</v>
      </c>
      <c r="L319">
        <v>0</v>
      </c>
      <c r="M319" t="s">
        <v>23</v>
      </c>
      <c r="N319">
        <v>3666000</v>
      </c>
      <c r="O319">
        <v>4.0999999999999996</v>
      </c>
      <c r="P319" t="b">
        <v>1</v>
      </c>
    </row>
    <row r="320" spans="1:16" x14ac:dyDescent="0.2">
      <c r="A320" t="s">
        <v>581</v>
      </c>
      <c r="B320" s="1">
        <v>45657</v>
      </c>
      <c r="C320" s="1">
        <v>45696</v>
      </c>
      <c r="D320" t="s">
        <v>582</v>
      </c>
      <c r="E320" t="s">
        <v>33</v>
      </c>
      <c r="F320" t="s">
        <v>25</v>
      </c>
      <c r="G320" t="s">
        <v>20</v>
      </c>
      <c r="H320" t="s">
        <v>21</v>
      </c>
      <c r="I320" t="s">
        <v>57</v>
      </c>
      <c r="J320">
        <v>2</v>
      </c>
      <c r="K320">
        <v>5927000</v>
      </c>
      <c r="L320">
        <v>8.5999999999999993E-2</v>
      </c>
      <c r="M320" t="s">
        <v>23</v>
      </c>
      <c r="N320">
        <v>10835000</v>
      </c>
      <c r="O320">
        <v>4.8</v>
      </c>
      <c r="P320" t="b">
        <v>1</v>
      </c>
    </row>
    <row r="321" spans="1:16" x14ac:dyDescent="0.2">
      <c r="A321" t="s">
        <v>583</v>
      </c>
      <c r="B321" s="1">
        <v>45366</v>
      </c>
      <c r="C321" s="1">
        <v>45409</v>
      </c>
      <c r="D321" t="s">
        <v>584</v>
      </c>
      <c r="E321" t="s">
        <v>29</v>
      </c>
      <c r="F321" t="s">
        <v>39</v>
      </c>
      <c r="G321" t="s">
        <v>20</v>
      </c>
      <c r="H321" t="s">
        <v>21</v>
      </c>
      <c r="J321">
        <v>1</v>
      </c>
      <c r="K321">
        <v>2337000</v>
      </c>
      <c r="L321">
        <v>0.245</v>
      </c>
      <c r="M321" t="s">
        <v>23</v>
      </c>
      <c r="N321">
        <v>1764000</v>
      </c>
      <c r="O321">
        <v>3.7</v>
      </c>
      <c r="P321" t="b">
        <v>0</v>
      </c>
    </row>
    <row r="322" spans="1:16" x14ac:dyDescent="0.2">
      <c r="A322" t="s">
        <v>585</v>
      </c>
      <c r="B322" s="1">
        <v>45821</v>
      </c>
      <c r="C322" s="1">
        <v>45848</v>
      </c>
      <c r="D322" t="s">
        <v>586</v>
      </c>
      <c r="E322" t="s">
        <v>18</v>
      </c>
      <c r="F322" t="s">
        <v>19</v>
      </c>
      <c r="G322" t="s">
        <v>50</v>
      </c>
      <c r="H322" t="s">
        <v>21</v>
      </c>
      <c r="I322" t="s">
        <v>26</v>
      </c>
      <c r="J322">
        <v>2</v>
      </c>
      <c r="K322">
        <v>2729000</v>
      </c>
      <c r="L322">
        <v>2.5000000000000001E-2</v>
      </c>
      <c r="M322" t="s">
        <v>23</v>
      </c>
      <c r="N322">
        <v>5322000</v>
      </c>
      <c r="O322">
        <v>3.6</v>
      </c>
      <c r="P322" t="b">
        <v>0</v>
      </c>
    </row>
    <row r="323" spans="1:16" x14ac:dyDescent="0.2">
      <c r="A323" t="s">
        <v>587</v>
      </c>
      <c r="B323" s="1">
        <v>45531</v>
      </c>
      <c r="C323" s="1">
        <v>45591</v>
      </c>
      <c r="D323" t="s">
        <v>588</v>
      </c>
      <c r="E323" t="s">
        <v>18</v>
      </c>
      <c r="F323" t="s">
        <v>34</v>
      </c>
      <c r="G323" t="s">
        <v>20</v>
      </c>
      <c r="H323" t="s">
        <v>21</v>
      </c>
      <c r="I323" t="s">
        <v>30</v>
      </c>
      <c r="J323">
        <v>2</v>
      </c>
      <c r="K323">
        <v>4986000</v>
      </c>
      <c r="L323">
        <v>7.1999999999999995E-2</v>
      </c>
      <c r="M323" t="s">
        <v>23</v>
      </c>
      <c r="N323">
        <v>9254000</v>
      </c>
      <c r="O323">
        <v>4.4000000000000004</v>
      </c>
      <c r="P323" t="b">
        <v>0</v>
      </c>
    </row>
    <row r="324" spans="1:16" x14ac:dyDescent="0.2">
      <c r="A324" t="s">
        <v>589</v>
      </c>
      <c r="B324" s="1">
        <v>45504</v>
      </c>
      <c r="C324" s="1">
        <v>45530</v>
      </c>
      <c r="D324" t="s">
        <v>136</v>
      </c>
      <c r="E324" t="s">
        <v>45</v>
      </c>
      <c r="F324" t="s">
        <v>25</v>
      </c>
      <c r="G324" t="s">
        <v>20</v>
      </c>
      <c r="H324" t="s">
        <v>21</v>
      </c>
      <c r="I324" t="s">
        <v>60</v>
      </c>
      <c r="J324">
        <v>1</v>
      </c>
      <c r="K324">
        <v>6112000</v>
      </c>
      <c r="L324">
        <v>0.02</v>
      </c>
      <c r="M324" t="s">
        <v>23</v>
      </c>
      <c r="N324">
        <v>5990000</v>
      </c>
      <c r="O324">
        <v>4.4000000000000004</v>
      </c>
      <c r="P324" t="b">
        <v>0</v>
      </c>
    </row>
    <row r="325" spans="1:16" x14ac:dyDescent="0.2">
      <c r="A325" t="s">
        <v>590</v>
      </c>
      <c r="B325" s="1">
        <v>45655</v>
      </c>
      <c r="C325" s="1">
        <v>45717</v>
      </c>
      <c r="D325" t="s">
        <v>591</v>
      </c>
      <c r="E325" t="s">
        <v>33</v>
      </c>
      <c r="F325" t="s">
        <v>25</v>
      </c>
      <c r="G325" t="s">
        <v>50</v>
      </c>
      <c r="H325" t="s">
        <v>51</v>
      </c>
      <c r="I325" t="s">
        <v>26</v>
      </c>
      <c r="J325">
        <v>3</v>
      </c>
      <c r="K325">
        <v>5653000</v>
      </c>
      <c r="L325">
        <v>0.193</v>
      </c>
      <c r="M325" t="s">
        <v>23</v>
      </c>
      <c r="N325">
        <v>13686000</v>
      </c>
      <c r="O325">
        <v>3.8</v>
      </c>
      <c r="P325" t="b">
        <v>1</v>
      </c>
    </row>
    <row r="326" spans="1:16" x14ac:dyDescent="0.2">
      <c r="A326" t="s">
        <v>592</v>
      </c>
      <c r="B326" s="1">
        <v>45602</v>
      </c>
      <c r="C326" s="1">
        <v>45672</v>
      </c>
      <c r="D326" t="s">
        <v>528</v>
      </c>
      <c r="E326" t="s">
        <v>18</v>
      </c>
      <c r="F326" t="s">
        <v>19</v>
      </c>
      <c r="G326" t="s">
        <v>20</v>
      </c>
      <c r="H326" t="s">
        <v>40</v>
      </c>
      <c r="I326" t="s">
        <v>57</v>
      </c>
      <c r="J326">
        <v>1</v>
      </c>
      <c r="K326">
        <v>3199000</v>
      </c>
      <c r="L326">
        <v>0.105</v>
      </c>
      <c r="M326" t="s">
        <v>23</v>
      </c>
      <c r="N326">
        <v>2863000</v>
      </c>
      <c r="O326">
        <v>4.9000000000000004</v>
      </c>
      <c r="P326" t="b">
        <v>1</v>
      </c>
    </row>
    <row r="327" spans="1:16" x14ac:dyDescent="0.2">
      <c r="A327" t="s">
        <v>593</v>
      </c>
      <c r="B327" s="1">
        <v>45820</v>
      </c>
      <c r="C327" s="1">
        <v>45907</v>
      </c>
      <c r="D327" t="s">
        <v>594</v>
      </c>
      <c r="E327" t="s">
        <v>18</v>
      </c>
      <c r="F327" t="s">
        <v>19</v>
      </c>
      <c r="G327" t="s">
        <v>20</v>
      </c>
      <c r="H327" t="s">
        <v>40</v>
      </c>
      <c r="I327" t="s">
        <v>99</v>
      </c>
      <c r="J327">
        <v>1</v>
      </c>
      <c r="K327">
        <v>2393000</v>
      </c>
      <c r="L327">
        <v>8.2000000000000003E-2</v>
      </c>
      <c r="M327" t="s">
        <v>23</v>
      </c>
      <c r="N327">
        <v>2197000</v>
      </c>
      <c r="O327">
        <v>5</v>
      </c>
      <c r="P327" t="b">
        <v>1</v>
      </c>
    </row>
    <row r="328" spans="1:16" x14ac:dyDescent="0.2">
      <c r="A328" t="s">
        <v>595</v>
      </c>
      <c r="B328" s="1">
        <v>45623</v>
      </c>
      <c r="C328" s="1">
        <v>45642</v>
      </c>
      <c r="D328" t="s">
        <v>153</v>
      </c>
      <c r="E328" t="s">
        <v>33</v>
      </c>
      <c r="F328" t="s">
        <v>19</v>
      </c>
      <c r="G328" t="s">
        <v>35</v>
      </c>
      <c r="H328" t="s">
        <v>21</v>
      </c>
      <c r="I328" t="s">
        <v>77</v>
      </c>
      <c r="J328">
        <v>3</v>
      </c>
      <c r="K328">
        <v>2429000</v>
      </c>
      <c r="L328">
        <v>0.11700000000000001</v>
      </c>
      <c r="M328" t="s">
        <v>23</v>
      </c>
      <c r="N328">
        <v>6434000</v>
      </c>
      <c r="O328">
        <v>3.9</v>
      </c>
      <c r="P328" t="b">
        <v>1</v>
      </c>
    </row>
    <row r="329" spans="1:16" x14ac:dyDescent="0.2">
      <c r="A329" t="s">
        <v>596</v>
      </c>
      <c r="B329" s="1">
        <v>45614</v>
      </c>
      <c r="C329" s="1">
        <v>45685</v>
      </c>
      <c r="D329" t="s">
        <v>209</v>
      </c>
      <c r="E329" t="s">
        <v>45</v>
      </c>
      <c r="F329" t="s">
        <v>25</v>
      </c>
      <c r="G329" t="s">
        <v>20</v>
      </c>
      <c r="H329" t="s">
        <v>40</v>
      </c>
      <c r="I329" t="s">
        <v>77</v>
      </c>
      <c r="J329">
        <v>1</v>
      </c>
      <c r="K329">
        <v>4662000</v>
      </c>
      <c r="L329">
        <v>0.155</v>
      </c>
      <c r="M329" t="s">
        <v>23</v>
      </c>
      <c r="N329">
        <v>3939000</v>
      </c>
      <c r="O329">
        <v>4.9000000000000004</v>
      </c>
      <c r="P329" t="b">
        <v>0</v>
      </c>
    </row>
    <row r="330" spans="1:16" x14ac:dyDescent="0.2">
      <c r="A330" t="s">
        <v>597</v>
      </c>
      <c r="B330" s="1">
        <v>45357</v>
      </c>
      <c r="C330" s="1">
        <v>45373</v>
      </c>
      <c r="D330" t="s">
        <v>598</v>
      </c>
      <c r="E330" t="s">
        <v>29</v>
      </c>
      <c r="F330" t="s">
        <v>19</v>
      </c>
      <c r="G330" t="s">
        <v>20</v>
      </c>
      <c r="H330" t="s">
        <v>47</v>
      </c>
      <c r="I330" t="s">
        <v>30</v>
      </c>
      <c r="J330">
        <v>1</v>
      </c>
      <c r="K330">
        <v>3453000</v>
      </c>
      <c r="L330">
        <v>6.5000000000000002E-2</v>
      </c>
      <c r="M330" t="s">
        <v>23</v>
      </c>
      <c r="N330">
        <v>3229000</v>
      </c>
      <c r="O330">
        <v>3</v>
      </c>
      <c r="P330" t="b">
        <v>0</v>
      </c>
    </row>
    <row r="331" spans="1:16" x14ac:dyDescent="0.2">
      <c r="A331" t="s">
        <v>599</v>
      </c>
      <c r="B331" s="1">
        <v>45305</v>
      </c>
      <c r="C331" s="1">
        <v>45342</v>
      </c>
      <c r="D331" t="s">
        <v>291</v>
      </c>
      <c r="E331" t="s">
        <v>29</v>
      </c>
      <c r="F331" t="s">
        <v>68</v>
      </c>
      <c r="G331" t="s">
        <v>20</v>
      </c>
      <c r="H331" t="s">
        <v>40</v>
      </c>
      <c r="I331" t="s">
        <v>94</v>
      </c>
      <c r="J331">
        <v>1</v>
      </c>
      <c r="K331">
        <v>1526000</v>
      </c>
      <c r="L331">
        <v>4.7E-2</v>
      </c>
      <c r="M331" t="s">
        <v>23</v>
      </c>
      <c r="N331">
        <v>1454000</v>
      </c>
      <c r="O331">
        <v>4.7</v>
      </c>
      <c r="P331" t="b">
        <v>0</v>
      </c>
    </row>
    <row r="332" spans="1:16" x14ac:dyDescent="0.2">
      <c r="A332" t="s">
        <v>600</v>
      </c>
      <c r="B332" s="1">
        <v>45540</v>
      </c>
      <c r="C332" s="1">
        <v>45564</v>
      </c>
      <c r="D332" t="s">
        <v>601</v>
      </c>
      <c r="E332" t="s">
        <v>45</v>
      </c>
      <c r="F332" t="s">
        <v>34</v>
      </c>
      <c r="G332" t="s">
        <v>20</v>
      </c>
      <c r="H332" t="s">
        <v>40</v>
      </c>
      <c r="I332" t="s">
        <v>30</v>
      </c>
      <c r="J332">
        <v>3</v>
      </c>
      <c r="K332">
        <v>2525000</v>
      </c>
      <c r="L332">
        <v>0.189</v>
      </c>
      <c r="M332" t="s">
        <v>23</v>
      </c>
      <c r="N332">
        <v>6143000</v>
      </c>
      <c r="O332">
        <v>3.8</v>
      </c>
      <c r="P332" t="b">
        <v>1</v>
      </c>
    </row>
    <row r="333" spans="1:16" x14ac:dyDescent="0.2">
      <c r="A333" t="s">
        <v>602</v>
      </c>
      <c r="B333" s="1">
        <v>45913</v>
      </c>
      <c r="C333" s="1">
        <v>45936</v>
      </c>
      <c r="D333" t="s">
        <v>603</v>
      </c>
      <c r="E333" t="s">
        <v>45</v>
      </c>
      <c r="F333" t="s">
        <v>19</v>
      </c>
      <c r="G333" t="s">
        <v>20</v>
      </c>
      <c r="H333" t="s">
        <v>21</v>
      </c>
      <c r="I333" t="s">
        <v>99</v>
      </c>
      <c r="J333">
        <v>1</v>
      </c>
      <c r="K333">
        <v>2247000</v>
      </c>
      <c r="L333">
        <v>0.121</v>
      </c>
      <c r="M333" t="s">
        <v>23</v>
      </c>
      <c r="N333">
        <v>1975000</v>
      </c>
      <c r="O333">
        <v>4.7</v>
      </c>
      <c r="P333" t="b">
        <v>1</v>
      </c>
    </row>
    <row r="334" spans="1:16" x14ac:dyDescent="0.2">
      <c r="A334" t="s">
        <v>604</v>
      </c>
      <c r="B334" s="1">
        <v>45863</v>
      </c>
      <c r="C334" s="1">
        <v>45887</v>
      </c>
      <c r="D334" t="s">
        <v>120</v>
      </c>
      <c r="E334" t="s">
        <v>29</v>
      </c>
      <c r="F334" t="s">
        <v>19</v>
      </c>
      <c r="G334" t="s">
        <v>20</v>
      </c>
      <c r="H334" t="s">
        <v>21</v>
      </c>
      <c r="I334" t="s">
        <v>77</v>
      </c>
      <c r="J334">
        <v>2</v>
      </c>
      <c r="K334">
        <v>2952000</v>
      </c>
      <c r="L334">
        <v>0</v>
      </c>
      <c r="M334" t="s">
        <v>23</v>
      </c>
      <c r="N334">
        <v>5904000</v>
      </c>
      <c r="O334">
        <v>3.7</v>
      </c>
      <c r="P334" t="b">
        <v>1</v>
      </c>
    </row>
    <row r="335" spans="1:16" x14ac:dyDescent="0.2">
      <c r="A335" t="s">
        <v>605</v>
      </c>
      <c r="B335" s="1">
        <v>45683</v>
      </c>
      <c r="C335" s="1">
        <v>45696</v>
      </c>
      <c r="D335" t="s">
        <v>318</v>
      </c>
      <c r="E335" t="s">
        <v>45</v>
      </c>
      <c r="F335" t="s">
        <v>25</v>
      </c>
      <c r="G335" t="s">
        <v>35</v>
      </c>
      <c r="H335" t="s">
        <v>40</v>
      </c>
      <c r="I335" t="s">
        <v>22</v>
      </c>
      <c r="J335">
        <v>2</v>
      </c>
      <c r="K335">
        <v>4638000</v>
      </c>
      <c r="L335">
        <v>1.2999999999999999E-2</v>
      </c>
      <c r="M335" t="s">
        <v>23</v>
      </c>
      <c r="N335">
        <v>9155000</v>
      </c>
      <c r="O335">
        <v>4.2</v>
      </c>
      <c r="P335" t="b">
        <v>1</v>
      </c>
    </row>
    <row r="336" spans="1:16" x14ac:dyDescent="0.2">
      <c r="A336" t="s">
        <v>606</v>
      </c>
      <c r="B336" s="1">
        <v>45685</v>
      </c>
      <c r="C336" s="1">
        <v>45761</v>
      </c>
      <c r="D336" t="s">
        <v>439</v>
      </c>
      <c r="E336" t="s">
        <v>45</v>
      </c>
      <c r="F336" t="s">
        <v>25</v>
      </c>
      <c r="G336" t="s">
        <v>35</v>
      </c>
      <c r="H336" t="s">
        <v>51</v>
      </c>
      <c r="I336" t="s">
        <v>60</v>
      </c>
      <c r="J336">
        <v>2</v>
      </c>
      <c r="K336">
        <v>3931000</v>
      </c>
      <c r="L336">
        <v>-0.2</v>
      </c>
      <c r="M336" t="s">
        <v>23</v>
      </c>
      <c r="N336">
        <v>7445000</v>
      </c>
      <c r="O336">
        <v>3.8</v>
      </c>
      <c r="P336" t="b">
        <v>1</v>
      </c>
    </row>
    <row r="337" spans="1:16" x14ac:dyDescent="0.2">
      <c r="A337" t="s">
        <v>607</v>
      </c>
      <c r="B337" s="1">
        <v>45535</v>
      </c>
      <c r="C337" s="1">
        <v>45549</v>
      </c>
      <c r="D337" t="s">
        <v>101</v>
      </c>
      <c r="E337" t="s">
        <v>33</v>
      </c>
      <c r="F337" t="s">
        <v>45</v>
      </c>
      <c r="G337" t="s">
        <v>20</v>
      </c>
      <c r="H337" t="s">
        <v>21</v>
      </c>
      <c r="I337" t="s">
        <v>77</v>
      </c>
      <c r="J337">
        <v>5</v>
      </c>
      <c r="K337">
        <v>3065000</v>
      </c>
      <c r="L337">
        <v>4.5999999999999999E-2</v>
      </c>
      <c r="M337" t="s">
        <v>23</v>
      </c>
      <c r="N337">
        <v>14620000</v>
      </c>
      <c r="O337">
        <v>4.0999999999999996</v>
      </c>
      <c r="P337" t="b">
        <v>1</v>
      </c>
    </row>
    <row r="338" spans="1:16" x14ac:dyDescent="0.2">
      <c r="A338" t="s">
        <v>608</v>
      </c>
      <c r="B338" s="1">
        <v>45402</v>
      </c>
      <c r="C338" s="1">
        <v>45444</v>
      </c>
      <c r="D338" t="s">
        <v>609</v>
      </c>
      <c r="E338" t="s">
        <v>45</v>
      </c>
      <c r="F338" t="s">
        <v>68</v>
      </c>
      <c r="G338" t="s">
        <v>20</v>
      </c>
      <c r="H338" t="s">
        <v>21</v>
      </c>
      <c r="I338" t="s">
        <v>83</v>
      </c>
      <c r="J338">
        <v>3</v>
      </c>
      <c r="K338">
        <v>1699000</v>
      </c>
      <c r="L338">
        <v>0</v>
      </c>
      <c r="M338" t="s">
        <v>23</v>
      </c>
      <c r="N338">
        <v>5097000</v>
      </c>
      <c r="O338">
        <v>5</v>
      </c>
      <c r="P338" t="b">
        <v>0</v>
      </c>
    </row>
    <row r="339" spans="1:16" x14ac:dyDescent="0.2">
      <c r="A339" t="s">
        <v>608</v>
      </c>
      <c r="B339" s="1">
        <v>45402</v>
      </c>
      <c r="C339" s="1">
        <v>45444</v>
      </c>
      <c r="D339" t="s">
        <v>609</v>
      </c>
      <c r="E339" t="s">
        <v>45</v>
      </c>
      <c r="F339" t="s">
        <v>68</v>
      </c>
      <c r="G339" t="s">
        <v>20</v>
      </c>
      <c r="H339" t="s">
        <v>21</v>
      </c>
      <c r="I339" t="s">
        <v>83</v>
      </c>
      <c r="J339">
        <v>3</v>
      </c>
      <c r="K339">
        <v>1699000</v>
      </c>
      <c r="L339">
        <v>0</v>
      </c>
      <c r="M339" t="s">
        <v>23</v>
      </c>
      <c r="N339">
        <v>5097000</v>
      </c>
      <c r="O339">
        <v>5</v>
      </c>
      <c r="P339" t="b">
        <v>0</v>
      </c>
    </row>
    <row r="340" spans="1:16" x14ac:dyDescent="0.2">
      <c r="A340" t="s">
        <v>610</v>
      </c>
      <c r="B340" s="1">
        <v>45297</v>
      </c>
      <c r="C340" s="1">
        <v>45363</v>
      </c>
      <c r="D340" t="s">
        <v>611</v>
      </c>
      <c r="E340" t="s">
        <v>18</v>
      </c>
      <c r="F340" t="s">
        <v>19</v>
      </c>
      <c r="G340" t="s">
        <v>50</v>
      </c>
      <c r="H340" t="s">
        <v>21</v>
      </c>
      <c r="I340" t="s">
        <v>77</v>
      </c>
      <c r="J340">
        <v>1</v>
      </c>
      <c r="K340">
        <v>3390000</v>
      </c>
      <c r="L340">
        <v>-0.2</v>
      </c>
      <c r="M340" t="s">
        <v>23</v>
      </c>
      <c r="N340">
        <v>3207000</v>
      </c>
      <c r="O340">
        <v>4.0999999999999996</v>
      </c>
      <c r="P340" t="b">
        <v>0</v>
      </c>
    </row>
    <row r="341" spans="1:16" x14ac:dyDescent="0.2">
      <c r="A341" t="s">
        <v>612</v>
      </c>
      <c r="B341" s="1">
        <v>45503</v>
      </c>
      <c r="C341" s="1">
        <v>45593</v>
      </c>
      <c r="D341" t="s">
        <v>613</v>
      </c>
      <c r="E341" t="s">
        <v>18</v>
      </c>
      <c r="F341" t="s">
        <v>45</v>
      </c>
      <c r="G341" t="s">
        <v>35</v>
      </c>
      <c r="H341" t="s">
        <v>21</v>
      </c>
      <c r="I341" t="s">
        <v>83</v>
      </c>
      <c r="J341">
        <v>5</v>
      </c>
      <c r="K341">
        <v>2121000</v>
      </c>
      <c r="L341">
        <v>6.5000000000000002E-2</v>
      </c>
      <c r="M341" t="s">
        <v>23</v>
      </c>
      <c r="N341">
        <v>9916000</v>
      </c>
      <c r="O341">
        <v>5</v>
      </c>
      <c r="P341" t="b">
        <v>0</v>
      </c>
    </row>
    <row r="342" spans="1:16" x14ac:dyDescent="0.2">
      <c r="A342" t="s">
        <v>614</v>
      </c>
      <c r="B342" s="1">
        <v>45489</v>
      </c>
      <c r="C342" s="1">
        <v>45568</v>
      </c>
      <c r="D342" t="s">
        <v>615</v>
      </c>
      <c r="E342" t="s">
        <v>33</v>
      </c>
      <c r="F342" t="s">
        <v>34</v>
      </c>
      <c r="G342" t="s">
        <v>20</v>
      </c>
      <c r="H342" t="s">
        <v>51</v>
      </c>
      <c r="I342" t="s">
        <v>30</v>
      </c>
      <c r="J342">
        <v>2</v>
      </c>
      <c r="K342">
        <v>2530000</v>
      </c>
      <c r="L342">
        <v>9.1999999999999998E-2</v>
      </c>
      <c r="M342" t="s">
        <v>23</v>
      </c>
      <c r="N342">
        <v>4594000</v>
      </c>
      <c r="O342">
        <v>4</v>
      </c>
      <c r="P342" t="b">
        <v>0</v>
      </c>
    </row>
    <row r="343" spans="1:16" x14ac:dyDescent="0.2">
      <c r="A343" t="s">
        <v>616</v>
      </c>
      <c r="B343" s="1">
        <v>45411</v>
      </c>
      <c r="C343" s="1">
        <v>45432</v>
      </c>
      <c r="D343" t="s">
        <v>617</v>
      </c>
      <c r="E343" t="s">
        <v>45</v>
      </c>
      <c r="F343" t="s">
        <v>19</v>
      </c>
      <c r="G343" t="s">
        <v>35</v>
      </c>
      <c r="H343" t="s">
        <v>47</v>
      </c>
      <c r="I343" t="s">
        <v>94</v>
      </c>
      <c r="J343">
        <v>1</v>
      </c>
      <c r="K343">
        <v>3472000</v>
      </c>
      <c r="L343">
        <v>0.222</v>
      </c>
      <c r="M343" t="s">
        <v>23</v>
      </c>
      <c r="N343">
        <v>2701000</v>
      </c>
      <c r="O343">
        <v>4.9000000000000004</v>
      </c>
      <c r="P343" t="b">
        <v>0</v>
      </c>
    </row>
    <row r="344" spans="1:16" x14ac:dyDescent="0.2">
      <c r="A344" t="s">
        <v>618</v>
      </c>
      <c r="B344" s="1">
        <v>45453</v>
      </c>
      <c r="C344" s="1">
        <v>45543</v>
      </c>
      <c r="D344" t="s">
        <v>572</v>
      </c>
      <c r="E344" t="s">
        <v>45</v>
      </c>
      <c r="F344" t="s">
        <v>25</v>
      </c>
      <c r="G344" t="s">
        <v>20</v>
      </c>
      <c r="H344" t="s">
        <v>21</v>
      </c>
      <c r="I344" t="s">
        <v>22</v>
      </c>
      <c r="J344">
        <v>1</v>
      </c>
      <c r="K344">
        <v>4753000</v>
      </c>
      <c r="L344">
        <v>0.104</v>
      </c>
      <c r="M344" t="s">
        <v>23</v>
      </c>
      <c r="N344">
        <v>4259000</v>
      </c>
      <c r="O344">
        <v>3.4</v>
      </c>
      <c r="P344" t="b">
        <v>0</v>
      </c>
    </row>
    <row r="345" spans="1:16" x14ac:dyDescent="0.2">
      <c r="A345" t="s">
        <v>619</v>
      </c>
      <c r="B345" s="1">
        <v>45307</v>
      </c>
      <c r="C345" s="1">
        <v>45369</v>
      </c>
      <c r="D345" t="s">
        <v>620</v>
      </c>
      <c r="E345" t="s">
        <v>18</v>
      </c>
      <c r="F345" t="s">
        <v>34</v>
      </c>
      <c r="G345" t="s">
        <v>50</v>
      </c>
      <c r="H345" t="s">
        <v>21</v>
      </c>
      <c r="I345" t="s">
        <v>57</v>
      </c>
      <c r="J345">
        <v>2</v>
      </c>
      <c r="K345">
        <v>5753000</v>
      </c>
      <c r="L345">
        <v>0.11</v>
      </c>
      <c r="M345" t="s">
        <v>23</v>
      </c>
      <c r="N345">
        <v>10240000</v>
      </c>
      <c r="O345">
        <v>4.0999999999999996</v>
      </c>
      <c r="P345" t="b">
        <v>0</v>
      </c>
    </row>
    <row r="346" spans="1:16" x14ac:dyDescent="0.2">
      <c r="A346" t="s">
        <v>621</v>
      </c>
      <c r="B346" s="1">
        <v>45670</v>
      </c>
      <c r="C346" s="1">
        <v>45694</v>
      </c>
      <c r="D346" t="s">
        <v>572</v>
      </c>
      <c r="E346" t="s">
        <v>45</v>
      </c>
      <c r="F346" t="s">
        <v>45</v>
      </c>
      <c r="G346" t="s">
        <v>50</v>
      </c>
      <c r="H346" t="s">
        <v>21</v>
      </c>
      <c r="I346" t="s">
        <v>52</v>
      </c>
      <c r="J346">
        <v>2</v>
      </c>
      <c r="K346">
        <v>3628000</v>
      </c>
      <c r="L346">
        <v>0.151</v>
      </c>
      <c r="M346" t="s">
        <v>23</v>
      </c>
      <c r="N346">
        <v>6160000</v>
      </c>
      <c r="O346">
        <v>3.9</v>
      </c>
      <c r="P346" t="b">
        <v>1</v>
      </c>
    </row>
    <row r="347" spans="1:16" x14ac:dyDescent="0.2">
      <c r="A347" t="s">
        <v>622</v>
      </c>
      <c r="B347" s="1">
        <v>45869</v>
      </c>
      <c r="C347" s="1">
        <v>45915</v>
      </c>
      <c r="D347" t="s">
        <v>623</v>
      </c>
      <c r="E347" t="s">
        <v>18</v>
      </c>
      <c r="F347" t="s">
        <v>45</v>
      </c>
      <c r="G347" t="s">
        <v>50</v>
      </c>
      <c r="H347" t="s">
        <v>21</v>
      </c>
      <c r="I347" t="s">
        <v>52</v>
      </c>
      <c r="J347">
        <v>4</v>
      </c>
      <c r="K347">
        <v>2679000</v>
      </c>
      <c r="L347">
        <v>0.106</v>
      </c>
      <c r="M347" t="s">
        <v>23</v>
      </c>
      <c r="N347">
        <v>9580000</v>
      </c>
      <c r="O347">
        <v>5</v>
      </c>
      <c r="P347" t="b">
        <v>1</v>
      </c>
    </row>
    <row r="348" spans="1:16" x14ac:dyDescent="0.2">
      <c r="A348" t="s">
        <v>624</v>
      </c>
      <c r="B348" s="1">
        <v>45722</v>
      </c>
      <c r="C348" s="1">
        <v>45806</v>
      </c>
      <c r="D348" t="s">
        <v>625</v>
      </c>
      <c r="E348" t="s">
        <v>45</v>
      </c>
      <c r="F348" t="s">
        <v>45</v>
      </c>
      <c r="G348" t="s">
        <v>20</v>
      </c>
      <c r="H348" t="s">
        <v>21</v>
      </c>
      <c r="I348" t="s">
        <v>52</v>
      </c>
      <c r="J348">
        <v>3</v>
      </c>
      <c r="K348">
        <v>2670000</v>
      </c>
      <c r="L348">
        <v>0.14399999999999999</v>
      </c>
      <c r="M348" t="s">
        <v>23</v>
      </c>
      <c r="N348">
        <v>6857000</v>
      </c>
      <c r="O348">
        <v>4.3</v>
      </c>
      <c r="P348" t="b">
        <v>0</v>
      </c>
    </row>
    <row r="349" spans="1:16" x14ac:dyDescent="0.2">
      <c r="A349" t="s">
        <v>626</v>
      </c>
      <c r="B349" s="1">
        <v>45571</v>
      </c>
      <c r="C349" s="1">
        <v>45612</v>
      </c>
      <c r="D349" t="s">
        <v>298</v>
      </c>
      <c r="E349" t="s">
        <v>45</v>
      </c>
      <c r="F349" t="s">
        <v>25</v>
      </c>
      <c r="G349" t="s">
        <v>20</v>
      </c>
      <c r="H349" t="s">
        <v>47</v>
      </c>
      <c r="I349" t="s">
        <v>22</v>
      </c>
      <c r="J349">
        <v>2</v>
      </c>
      <c r="K349">
        <v>3689000</v>
      </c>
      <c r="L349">
        <v>0.13700000000000001</v>
      </c>
      <c r="M349" t="s">
        <v>23</v>
      </c>
      <c r="N349">
        <v>6367000</v>
      </c>
      <c r="O349">
        <v>3.2</v>
      </c>
      <c r="P349" t="b">
        <v>1</v>
      </c>
    </row>
    <row r="350" spans="1:16" x14ac:dyDescent="0.2">
      <c r="A350" t="s">
        <v>627</v>
      </c>
      <c r="B350" s="1">
        <v>45553</v>
      </c>
      <c r="C350" s="1">
        <v>45577</v>
      </c>
      <c r="D350" t="s">
        <v>128</v>
      </c>
      <c r="E350" t="s">
        <v>18</v>
      </c>
      <c r="F350" t="s">
        <v>45</v>
      </c>
      <c r="G350" t="s">
        <v>20</v>
      </c>
      <c r="H350" t="s">
        <v>40</v>
      </c>
      <c r="I350" t="s">
        <v>94</v>
      </c>
      <c r="J350">
        <v>2</v>
      </c>
      <c r="K350">
        <v>2739000</v>
      </c>
      <c r="L350">
        <v>0.127</v>
      </c>
      <c r="M350" t="s">
        <v>65</v>
      </c>
      <c r="N350">
        <v>0</v>
      </c>
      <c r="P350" t="b">
        <v>1</v>
      </c>
    </row>
    <row r="351" spans="1:16" x14ac:dyDescent="0.2">
      <c r="A351" t="s">
        <v>628</v>
      </c>
      <c r="B351" s="1">
        <v>45483</v>
      </c>
      <c r="C351" s="1">
        <v>45563</v>
      </c>
      <c r="D351" t="s">
        <v>464</v>
      </c>
      <c r="E351" t="s">
        <v>33</v>
      </c>
      <c r="F351" t="s">
        <v>19</v>
      </c>
      <c r="G351" t="s">
        <v>20</v>
      </c>
      <c r="H351" t="s">
        <v>21</v>
      </c>
      <c r="I351" t="s">
        <v>30</v>
      </c>
      <c r="J351">
        <v>3</v>
      </c>
      <c r="K351">
        <v>1780000</v>
      </c>
      <c r="L351">
        <v>0.28599999999999998</v>
      </c>
      <c r="M351" t="s">
        <v>23</v>
      </c>
      <c r="N351">
        <v>3813000</v>
      </c>
      <c r="O351">
        <v>3.7</v>
      </c>
      <c r="P351" t="b">
        <v>1</v>
      </c>
    </row>
    <row r="352" spans="1:16" x14ac:dyDescent="0.2">
      <c r="A352" t="s">
        <v>629</v>
      </c>
      <c r="B352" s="1">
        <v>45380</v>
      </c>
      <c r="C352" s="1">
        <v>45467</v>
      </c>
      <c r="D352" t="s">
        <v>336</v>
      </c>
      <c r="E352" t="s">
        <v>29</v>
      </c>
      <c r="F352" t="s">
        <v>34</v>
      </c>
      <c r="G352" t="s">
        <v>20</v>
      </c>
      <c r="H352" t="s">
        <v>47</v>
      </c>
      <c r="I352" t="s">
        <v>99</v>
      </c>
      <c r="J352">
        <v>1</v>
      </c>
      <c r="K352">
        <v>3390000</v>
      </c>
      <c r="L352">
        <v>9.6000000000000002E-2</v>
      </c>
      <c r="M352" t="s">
        <v>65</v>
      </c>
      <c r="N352">
        <v>0</v>
      </c>
      <c r="P352" t="b">
        <v>0</v>
      </c>
    </row>
    <row r="353" spans="1:16" x14ac:dyDescent="0.2">
      <c r="A353" t="s">
        <v>630</v>
      </c>
      <c r="B353" s="1">
        <v>45664</v>
      </c>
      <c r="C353" s="1">
        <v>45753</v>
      </c>
      <c r="D353" t="s">
        <v>101</v>
      </c>
      <c r="E353" t="s">
        <v>33</v>
      </c>
      <c r="F353" t="s">
        <v>34</v>
      </c>
      <c r="G353" t="s">
        <v>35</v>
      </c>
      <c r="H353" t="s">
        <v>47</v>
      </c>
      <c r="I353" t="s">
        <v>83</v>
      </c>
      <c r="J353">
        <v>1</v>
      </c>
      <c r="K353">
        <v>3423000</v>
      </c>
      <c r="L353">
        <v>5.5E-2</v>
      </c>
      <c r="M353" t="s">
        <v>23</v>
      </c>
      <c r="N353">
        <v>3235000</v>
      </c>
      <c r="O353">
        <v>4.5999999999999996</v>
      </c>
      <c r="P353" t="b">
        <v>1</v>
      </c>
    </row>
    <row r="354" spans="1:16" x14ac:dyDescent="0.2">
      <c r="A354" t="s">
        <v>631</v>
      </c>
      <c r="B354" s="1">
        <v>45644</v>
      </c>
      <c r="C354" s="1">
        <v>45731</v>
      </c>
      <c r="D354" t="s">
        <v>632</v>
      </c>
      <c r="E354" t="s">
        <v>45</v>
      </c>
      <c r="F354" t="s">
        <v>45</v>
      </c>
      <c r="G354" t="s">
        <v>20</v>
      </c>
      <c r="H354" t="s">
        <v>21</v>
      </c>
      <c r="I354" t="s">
        <v>30</v>
      </c>
      <c r="J354">
        <v>3</v>
      </c>
      <c r="K354">
        <v>2331000</v>
      </c>
      <c r="L354">
        <v>0.14199999999999999</v>
      </c>
      <c r="M354" t="s">
        <v>23</v>
      </c>
      <c r="N354">
        <v>6000000</v>
      </c>
      <c r="O354">
        <v>4</v>
      </c>
      <c r="P354" t="b">
        <v>1</v>
      </c>
    </row>
    <row r="355" spans="1:16" x14ac:dyDescent="0.2">
      <c r="A355" t="s">
        <v>633</v>
      </c>
      <c r="B355" s="1">
        <v>45296</v>
      </c>
      <c r="C355" s="1">
        <v>45376</v>
      </c>
      <c r="D355" t="s">
        <v>634</v>
      </c>
      <c r="E355" t="s">
        <v>45</v>
      </c>
      <c r="F355" t="s">
        <v>68</v>
      </c>
      <c r="G355" t="s">
        <v>50</v>
      </c>
      <c r="H355" t="s">
        <v>40</v>
      </c>
      <c r="I355" t="s">
        <v>94</v>
      </c>
      <c r="J355">
        <v>1</v>
      </c>
      <c r="K355">
        <v>2135000</v>
      </c>
      <c r="L355">
        <v>7.1999999999999995E-2</v>
      </c>
      <c r="M355" t="s">
        <v>23</v>
      </c>
      <c r="N355">
        <v>1981000</v>
      </c>
      <c r="O355">
        <v>3.9</v>
      </c>
      <c r="P355" t="b">
        <v>0</v>
      </c>
    </row>
    <row r="356" spans="1:16" x14ac:dyDescent="0.2">
      <c r="A356" t="s">
        <v>635</v>
      </c>
      <c r="B356" s="1">
        <v>45550</v>
      </c>
      <c r="C356" s="1">
        <v>45596</v>
      </c>
      <c r="D356" t="s">
        <v>636</v>
      </c>
      <c r="E356" t="s">
        <v>18</v>
      </c>
      <c r="F356" t="s">
        <v>34</v>
      </c>
      <c r="G356" t="s">
        <v>20</v>
      </c>
      <c r="H356" t="s">
        <v>40</v>
      </c>
      <c r="I356" t="s">
        <v>60</v>
      </c>
      <c r="J356">
        <v>2</v>
      </c>
      <c r="K356">
        <v>4288000</v>
      </c>
      <c r="L356">
        <v>0.14699999999999999</v>
      </c>
      <c r="M356" t="s">
        <v>65</v>
      </c>
      <c r="N356">
        <v>0</v>
      </c>
      <c r="P356" t="b">
        <v>1</v>
      </c>
    </row>
    <row r="357" spans="1:16" x14ac:dyDescent="0.2">
      <c r="A357" t="s">
        <v>637</v>
      </c>
      <c r="B357" s="1">
        <v>45465</v>
      </c>
      <c r="C357" s="1">
        <v>45490</v>
      </c>
      <c r="D357" t="s">
        <v>401</v>
      </c>
      <c r="E357" t="s">
        <v>18</v>
      </c>
      <c r="F357" t="s">
        <v>25</v>
      </c>
      <c r="G357" t="s">
        <v>20</v>
      </c>
      <c r="H357" t="s">
        <v>47</v>
      </c>
      <c r="I357" t="s">
        <v>60</v>
      </c>
      <c r="J357">
        <v>2</v>
      </c>
      <c r="K357">
        <v>5546000</v>
      </c>
      <c r="L357">
        <v>5.0000000000000001E-3</v>
      </c>
      <c r="M357" t="s">
        <v>65</v>
      </c>
      <c r="N357">
        <v>0</v>
      </c>
      <c r="P357" t="b">
        <v>0</v>
      </c>
    </row>
    <row r="358" spans="1:16" x14ac:dyDescent="0.2">
      <c r="A358" t="s">
        <v>638</v>
      </c>
      <c r="B358" s="1">
        <v>45398</v>
      </c>
      <c r="C358" s="1">
        <v>45457</v>
      </c>
      <c r="D358" t="s">
        <v>276</v>
      </c>
      <c r="E358" t="s">
        <v>29</v>
      </c>
      <c r="F358" t="s">
        <v>45</v>
      </c>
      <c r="G358" t="s">
        <v>50</v>
      </c>
      <c r="H358" t="s">
        <v>21</v>
      </c>
      <c r="I358" t="s">
        <v>94</v>
      </c>
      <c r="J358">
        <v>2</v>
      </c>
      <c r="K358">
        <v>2073000</v>
      </c>
      <c r="L358">
        <v>1.6E-2</v>
      </c>
      <c r="M358" t="s">
        <v>23</v>
      </c>
      <c r="N358">
        <v>4080000</v>
      </c>
      <c r="O358">
        <v>4.4000000000000004</v>
      </c>
      <c r="P358" t="b">
        <v>1</v>
      </c>
    </row>
    <row r="359" spans="1:16" x14ac:dyDescent="0.2">
      <c r="A359" t="s">
        <v>639</v>
      </c>
      <c r="B359" s="1">
        <v>45729</v>
      </c>
      <c r="C359" s="1">
        <v>45756</v>
      </c>
      <c r="D359" t="s">
        <v>640</v>
      </c>
      <c r="E359" t="s">
        <v>33</v>
      </c>
      <c r="F359" t="s">
        <v>39</v>
      </c>
      <c r="G359" t="s">
        <v>50</v>
      </c>
      <c r="H359" t="s">
        <v>21</v>
      </c>
      <c r="I359" t="s">
        <v>60</v>
      </c>
      <c r="J359">
        <v>3</v>
      </c>
      <c r="K359">
        <v>1875000</v>
      </c>
      <c r="L359">
        <v>0.14099999999999999</v>
      </c>
      <c r="M359" t="s">
        <v>23</v>
      </c>
      <c r="N359">
        <v>4832000</v>
      </c>
      <c r="O359">
        <v>4.4000000000000004</v>
      </c>
      <c r="P359" t="b">
        <v>1</v>
      </c>
    </row>
    <row r="360" spans="1:16" x14ac:dyDescent="0.2">
      <c r="A360" t="s">
        <v>641</v>
      </c>
      <c r="B360" s="1">
        <v>45619</v>
      </c>
      <c r="C360" s="1">
        <v>45667</v>
      </c>
      <c r="D360" t="s">
        <v>222</v>
      </c>
      <c r="E360" t="s">
        <v>45</v>
      </c>
      <c r="F360" t="s">
        <v>25</v>
      </c>
      <c r="G360" t="s">
        <v>20</v>
      </c>
      <c r="H360" t="s">
        <v>21</v>
      </c>
      <c r="I360" t="s">
        <v>99</v>
      </c>
      <c r="J360">
        <v>1</v>
      </c>
      <c r="K360">
        <v>4187000</v>
      </c>
      <c r="L360">
        <v>0.18</v>
      </c>
      <c r="M360" t="s">
        <v>23</v>
      </c>
      <c r="N360">
        <v>3433000</v>
      </c>
      <c r="O360">
        <v>4.0999999999999996</v>
      </c>
      <c r="P360" t="b">
        <v>1</v>
      </c>
    </row>
    <row r="361" spans="1:16" x14ac:dyDescent="0.2">
      <c r="A361" t="s">
        <v>642</v>
      </c>
      <c r="B361" s="1">
        <v>45686</v>
      </c>
      <c r="C361" s="1">
        <v>45749</v>
      </c>
      <c r="D361" t="s">
        <v>149</v>
      </c>
      <c r="E361" t="s">
        <v>45</v>
      </c>
      <c r="F361" t="s">
        <v>45</v>
      </c>
      <c r="G361" t="s">
        <v>35</v>
      </c>
      <c r="H361" t="s">
        <v>21</v>
      </c>
      <c r="I361" t="s">
        <v>77</v>
      </c>
      <c r="J361">
        <v>2</v>
      </c>
      <c r="K361">
        <v>4264000</v>
      </c>
      <c r="L361">
        <v>0.15</v>
      </c>
      <c r="M361" t="s">
        <v>23</v>
      </c>
      <c r="N361">
        <v>7249000</v>
      </c>
      <c r="O361">
        <v>4.4000000000000004</v>
      </c>
      <c r="P361" t="b">
        <v>1</v>
      </c>
    </row>
    <row r="362" spans="1:16" x14ac:dyDescent="0.2">
      <c r="A362" t="s">
        <v>643</v>
      </c>
      <c r="B362" s="1">
        <v>45736</v>
      </c>
      <c r="C362" s="1">
        <v>45822</v>
      </c>
      <c r="D362" t="s">
        <v>59</v>
      </c>
      <c r="E362" t="s">
        <v>29</v>
      </c>
      <c r="F362" t="s">
        <v>45</v>
      </c>
      <c r="G362" t="s">
        <v>20</v>
      </c>
      <c r="H362" t="s">
        <v>21</v>
      </c>
      <c r="I362" t="s">
        <v>77</v>
      </c>
      <c r="J362">
        <v>4</v>
      </c>
      <c r="K362">
        <v>3057000</v>
      </c>
      <c r="L362">
        <v>9.4E-2</v>
      </c>
      <c r="M362" t="s">
        <v>23</v>
      </c>
      <c r="N362">
        <v>11079000</v>
      </c>
      <c r="O362">
        <v>4.3</v>
      </c>
      <c r="P362" t="b">
        <v>1</v>
      </c>
    </row>
    <row r="363" spans="1:16" x14ac:dyDescent="0.2">
      <c r="A363" t="s">
        <v>644</v>
      </c>
      <c r="B363" s="1">
        <v>45903</v>
      </c>
      <c r="C363" s="1">
        <v>45936</v>
      </c>
      <c r="D363" t="s">
        <v>645</v>
      </c>
      <c r="E363" t="s">
        <v>29</v>
      </c>
      <c r="F363" t="s">
        <v>39</v>
      </c>
      <c r="G363" t="s">
        <v>20</v>
      </c>
      <c r="H363" t="s">
        <v>47</v>
      </c>
      <c r="I363" t="s">
        <v>52</v>
      </c>
      <c r="J363">
        <v>2</v>
      </c>
      <c r="K363">
        <v>2117000</v>
      </c>
      <c r="L363">
        <v>0.14199999999999999</v>
      </c>
      <c r="M363" t="s">
        <v>65</v>
      </c>
      <c r="N363">
        <v>0</v>
      </c>
      <c r="P363" t="b">
        <v>1</v>
      </c>
    </row>
    <row r="364" spans="1:16" x14ac:dyDescent="0.2">
      <c r="A364" t="s">
        <v>646</v>
      </c>
      <c r="B364" s="1">
        <v>45792</v>
      </c>
      <c r="C364" s="1">
        <v>45822</v>
      </c>
      <c r="D364" t="s">
        <v>374</v>
      </c>
      <c r="E364" t="s">
        <v>45</v>
      </c>
      <c r="F364" t="s">
        <v>34</v>
      </c>
      <c r="G364" t="s">
        <v>35</v>
      </c>
      <c r="H364" t="s">
        <v>21</v>
      </c>
      <c r="J364">
        <v>2</v>
      </c>
      <c r="K364">
        <v>2610000</v>
      </c>
      <c r="L364">
        <v>6.7000000000000004E-2</v>
      </c>
      <c r="M364" t="s">
        <v>23</v>
      </c>
      <c r="N364">
        <v>4870000</v>
      </c>
      <c r="O364">
        <v>3.5</v>
      </c>
      <c r="P364" t="b">
        <v>1</v>
      </c>
    </row>
    <row r="365" spans="1:16" x14ac:dyDescent="0.2">
      <c r="A365" t="s">
        <v>647</v>
      </c>
      <c r="B365" s="1">
        <v>45678</v>
      </c>
      <c r="C365" s="1">
        <v>45747</v>
      </c>
      <c r="D365" t="s">
        <v>648</v>
      </c>
      <c r="E365" t="s">
        <v>45</v>
      </c>
      <c r="F365" t="s">
        <v>68</v>
      </c>
      <c r="G365" t="s">
        <v>20</v>
      </c>
      <c r="H365" t="s">
        <v>21</v>
      </c>
      <c r="I365" t="s">
        <v>22</v>
      </c>
      <c r="J365">
        <v>1</v>
      </c>
      <c r="K365">
        <v>1846000</v>
      </c>
      <c r="L365">
        <v>0.09</v>
      </c>
      <c r="M365" t="s">
        <v>23</v>
      </c>
      <c r="N365">
        <v>1680000</v>
      </c>
      <c r="O365">
        <v>4.5</v>
      </c>
      <c r="P365" t="b">
        <v>0</v>
      </c>
    </row>
    <row r="366" spans="1:16" x14ac:dyDescent="0.2">
      <c r="A366" t="s">
        <v>649</v>
      </c>
      <c r="B366" s="1">
        <v>45839</v>
      </c>
      <c r="C366" s="1">
        <v>45849</v>
      </c>
      <c r="D366" t="s">
        <v>582</v>
      </c>
      <c r="E366" t="s">
        <v>33</v>
      </c>
      <c r="F366" t="s">
        <v>34</v>
      </c>
      <c r="G366" t="s">
        <v>35</v>
      </c>
      <c r="H366" t="s">
        <v>51</v>
      </c>
      <c r="I366" t="s">
        <v>99</v>
      </c>
      <c r="J366">
        <v>1</v>
      </c>
      <c r="K366">
        <v>2758000</v>
      </c>
      <c r="L366">
        <v>9.2999999999999999E-2</v>
      </c>
      <c r="M366" t="s">
        <v>23</v>
      </c>
      <c r="N366">
        <v>2502000</v>
      </c>
      <c r="O366">
        <v>4.7</v>
      </c>
      <c r="P366" t="b">
        <v>1</v>
      </c>
    </row>
    <row r="367" spans="1:16" x14ac:dyDescent="0.2">
      <c r="A367" t="s">
        <v>650</v>
      </c>
      <c r="B367" s="1">
        <v>45589</v>
      </c>
      <c r="C367" s="1">
        <v>45644</v>
      </c>
      <c r="D367" t="s">
        <v>382</v>
      </c>
      <c r="E367" t="s">
        <v>45</v>
      </c>
      <c r="F367" t="s">
        <v>39</v>
      </c>
      <c r="G367" t="s">
        <v>20</v>
      </c>
      <c r="H367" t="s">
        <v>21</v>
      </c>
      <c r="I367" t="s">
        <v>83</v>
      </c>
      <c r="J367">
        <v>2</v>
      </c>
      <c r="K367">
        <v>2387000</v>
      </c>
      <c r="L367">
        <v>0.10100000000000001</v>
      </c>
      <c r="M367" t="s">
        <v>23</v>
      </c>
      <c r="N367">
        <v>4292000</v>
      </c>
      <c r="O367">
        <v>4.4000000000000004</v>
      </c>
      <c r="P367" t="b">
        <v>1</v>
      </c>
    </row>
    <row r="368" spans="1:16" x14ac:dyDescent="0.2">
      <c r="A368" t="s">
        <v>651</v>
      </c>
      <c r="B368" s="1">
        <v>45905</v>
      </c>
      <c r="C368" s="1">
        <v>45975</v>
      </c>
      <c r="D368" t="s">
        <v>64</v>
      </c>
      <c r="E368" t="s">
        <v>45</v>
      </c>
      <c r="F368" t="s">
        <v>34</v>
      </c>
      <c r="G368" t="s">
        <v>35</v>
      </c>
      <c r="H368" t="s">
        <v>21</v>
      </c>
      <c r="I368" t="s">
        <v>60</v>
      </c>
      <c r="J368">
        <v>1</v>
      </c>
      <c r="K368">
        <v>3666000</v>
      </c>
      <c r="L368">
        <v>0.11600000000000001</v>
      </c>
      <c r="M368" t="s">
        <v>23</v>
      </c>
      <c r="N368">
        <v>3241000</v>
      </c>
      <c r="O368">
        <v>4.5</v>
      </c>
      <c r="P368" t="b">
        <v>1</v>
      </c>
    </row>
    <row r="369" spans="1:16" x14ac:dyDescent="0.2">
      <c r="A369" t="s">
        <v>652</v>
      </c>
      <c r="B369" s="1">
        <v>45766</v>
      </c>
      <c r="C369" s="1">
        <v>45820</v>
      </c>
      <c r="D369" t="s">
        <v>648</v>
      </c>
      <c r="E369" t="s">
        <v>45</v>
      </c>
      <c r="F369" t="s">
        <v>34</v>
      </c>
      <c r="G369" t="s">
        <v>50</v>
      </c>
      <c r="H369" t="s">
        <v>40</v>
      </c>
      <c r="I369" t="s">
        <v>52</v>
      </c>
      <c r="J369">
        <v>1</v>
      </c>
      <c r="K369">
        <v>2925000</v>
      </c>
      <c r="L369">
        <v>5.5E-2</v>
      </c>
      <c r="M369" t="s">
        <v>65</v>
      </c>
      <c r="N369">
        <v>0</v>
      </c>
      <c r="P369" t="b">
        <v>1</v>
      </c>
    </row>
    <row r="370" spans="1:16" x14ac:dyDescent="0.2">
      <c r="A370" t="s">
        <v>653</v>
      </c>
      <c r="B370" s="1">
        <v>45697</v>
      </c>
      <c r="C370" s="1">
        <v>45738</v>
      </c>
      <c r="D370" t="s">
        <v>654</v>
      </c>
      <c r="E370" t="s">
        <v>33</v>
      </c>
      <c r="F370" t="s">
        <v>34</v>
      </c>
      <c r="G370" t="s">
        <v>20</v>
      </c>
      <c r="H370" t="s">
        <v>21</v>
      </c>
      <c r="I370" t="s">
        <v>57</v>
      </c>
      <c r="J370">
        <v>4</v>
      </c>
      <c r="K370">
        <v>3523000</v>
      </c>
      <c r="L370">
        <v>0.215</v>
      </c>
      <c r="M370" t="s">
        <v>23</v>
      </c>
      <c r="N370">
        <v>11062000</v>
      </c>
      <c r="O370">
        <v>4.5999999999999996</v>
      </c>
      <c r="P370" t="b">
        <v>1</v>
      </c>
    </row>
    <row r="371" spans="1:16" x14ac:dyDescent="0.2">
      <c r="A371" t="s">
        <v>655</v>
      </c>
      <c r="B371" s="1">
        <v>45854</v>
      </c>
      <c r="C371" s="1">
        <v>45931</v>
      </c>
      <c r="D371" t="s">
        <v>103</v>
      </c>
      <c r="E371" t="s">
        <v>18</v>
      </c>
      <c r="F371" t="s">
        <v>19</v>
      </c>
      <c r="G371" t="s">
        <v>20</v>
      </c>
      <c r="H371" t="s">
        <v>21</v>
      </c>
      <c r="I371" t="s">
        <v>83</v>
      </c>
      <c r="J371">
        <v>2</v>
      </c>
      <c r="K371">
        <v>3256000</v>
      </c>
      <c r="L371">
        <v>0.11899999999999999</v>
      </c>
      <c r="M371" t="s">
        <v>23</v>
      </c>
      <c r="N371">
        <v>5737000</v>
      </c>
      <c r="O371">
        <v>4.2</v>
      </c>
      <c r="P371" t="b">
        <v>1</v>
      </c>
    </row>
    <row r="372" spans="1:16" x14ac:dyDescent="0.2">
      <c r="A372" t="s">
        <v>656</v>
      </c>
      <c r="B372" s="1">
        <v>45612</v>
      </c>
      <c r="C372" s="1">
        <v>45652</v>
      </c>
      <c r="D372" t="s">
        <v>657</v>
      </c>
      <c r="E372" t="s">
        <v>18</v>
      </c>
      <c r="F372" t="s">
        <v>19</v>
      </c>
      <c r="G372" t="s">
        <v>20</v>
      </c>
      <c r="H372" t="s">
        <v>40</v>
      </c>
      <c r="I372" t="s">
        <v>94</v>
      </c>
      <c r="J372">
        <v>1</v>
      </c>
      <c r="K372">
        <v>1758000</v>
      </c>
      <c r="L372">
        <v>6.3E-2</v>
      </c>
      <c r="M372" t="s">
        <v>23</v>
      </c>
      <c r="N372">
        <v>1647000</v>
      </c>
      <c r="O372">
        <v>3.6</v>
      </c>
      <c r="P372" t="b">
        <v>1</v>
      </c>
    </row>
    <row r="373" spans="1:16" x14ac:dyDescent="0.2">
      <c r="A373" t="s">
        <v>658</v>
      </c>
      <c r="B373" s="1">
        <v>45740</v>
      </c>
      <c r="C373" s="1">
        <v>45807</v>
      </c>
      <c r="D373" t="s">
        <v>659</v>
      </c>
      <c r="E373" t="s">
        <v>33</v>
      </c>
      <c r="F373" t="s">
        <v>34</v>
      </c>
      <c r="G373" t="s">
        <v>50</v>
      </c>
      <c r="H373" t="s">
        <v>21</v>
      </c>
      <c r="I373" t="s">
        <v>22</v>
      </c>
      <c r="J373">
        <v>1</v>
      </c>
      <c r="K373">
        <v>4450000</v>
      </c>
      <c r="L373">
        <v>0.14899999999999999</v>
      </c>
      <c r="M373" t="s">
        <v>23</v>
      </c>
      <c r="N373">
        <v>3787000</v>
      </c>
      <c r="O373">
        <v>4.5999999999999996</v>
      </c>
      <c r="P373" t="b">
        <v>1</v>
      </c>
    </row>
    <row r="374" spans="1:16" x14ac:dyDescent="0.2">
      <c r="A374" t="s">
        <v>660</v>
      </c>
      <c r="B374" s="1">
        <v>45469</v>
      </c>
      <c r="C374" s="1">
        <v>45516</v>
      </c>
      <c r="D374" t="s">
        <v>243</v>
      </c>
      <c r="E374" t="s">
        <v>45</v>
      </c>
      <c r="F374" t="s">
        <v>25</v>
      </c>
      <c r="G374" t="s">
        <v>35</v>
      </c>
      <c r="H374" t="s">
        <v>21</v>
      </c>
      <c r="I374" t="s">
        <v>83</v>
      </c>
      <c r="J374">
        <v>2</v>
      </c>
      <c r="K374">
        <v>5624000</v>
      </c>
      <c r="L374">
        <v>5.6000000000000001E-2</v>
      </c>
      <c r="M374" t="s">
        <v>23</v>
      </c>
      <c r="N374">
        <v>10618000</v>
      </c>
      <c r="O374">
        <v>3.4</v>
      </c>
      <c r="P374" t="b">
        <v>0</v>
      </c>
    </row>
    <row r="375" spans="1:16" x14ac:dyDescent="0.2">
      <c r="A375" t="s">
        <v>661</v>
      </c>
      <c r="B375" s="1">
        <v>45892</v>
      </c>
      <c r="C375" s="1">
        <v>45904</v>
      </c>
      <c r="D375" t="s">
        <v>662</v>
      </c>
      <c r="E375" t="s">
        <v>18</v>
      </c>
      <c r="F375" t="s">
        <v>19</v>
      </c>
      <c r="G375" t="s">
        <v>50</v>
      </c>
      <c r="H375" t="s">
        <v>21</v>
      </c>
      <c r="I375" t="s">
        <v>83</v>
      </c>
      <c r="J375">
        <v>1</v>
      </c>
      <c r="K375">
        <v>2687000</v>
      </c>
      <c r="L375">
        <v>7.0999999999999994E-2</v>
      </c>
      <c r="M375" t="s">
        <v>23</v>
      </c>
      <c r="N375">
        <v>2496000</v>
      </c>
      <c r="O375">
        <v>4.3</v>
      </c>
      <c r="P375" t="b">
        <v>1</v>
      </c>
    </row>
    <row r="376" spans="1:16" x14ac:dyDescent="0.2">
      <c r="A376" t="s">
        <v>663</v>
      </c>
      <c r="B376" s="1">
        <v>45680</v>
      </c>
      <c r="C376" s="1">
        <v>45732</v>
      </c>
      <c r="D376" t="s">
        <v>664</v>
      </c>
      <c r="E376" t="s">
        <v>45</v>
      </c>
      <c r="F376" t="s">
        <v>45</v>
      </c>
      <c r="G376" t="s">
        <v>20</v>
      </c>
      <c r="H376" t="s">
        <v>47</v>
      </c>
      <c r="J376">
        <v>2</v>
      </c>
      <c r="K376">
        <v>3682000</v>
      </c>
      <c r="L376">
        <v>0.14299999999999999</v>
      </c>
      <c r="M376" t="s">
        <v>23</v>
      </c>
      <c r="N376">
        <v>6311000</v>
      </c>
      <c r="O376">
        <v>4</v>
      </c>
      <c r="P376" t="b">
        <v>1</v>
      </c>
    </row>
    <row r="377" spans="1:16" x14ac:dyDescent="0.2">
      <c r="A377" t="s">
        <v>665</v>
      </c>
      <c r="B377" s="1">
        <v>45779</v>
      </c>
      <c r="C377" s="1">
        <v>45793</v>
      </c>
      <c r="D377" t="s">
        <v>666</v>
      </c>
      <c r="E377" t="s">
        <v>33</v>
      </c>
      <c r="F377" t="s">
        <v>39</v>
      </c>
      <c r="G377" t="s">
        <v>20</v>
      </c>
      <c r="H377" t="s">
        <v>21</v>
      </c>
      <c r="I377" t="s">
        <v>99</v>
      </c>
      <c r="J377">
        <v>1</v>
      </c>
      <c r="K377">
        <v>2999000</v>
      </c>
      <c r="L377">
        <v>0.11799999999999999</v>
      </c>
      <c r="M377" t="s">
        <v>23</v>
      </c>
      <c r="N377">
        <v>2645000</v>
      </c>
      <c r="O377">
        <v>4</v>
      </c>
      <c r="P377" t="b">
        <v>1</v>
      </c>
    </row>
    <row r="378" spans="1:16" x14ac:dyDescent="0.2">
      <c r="A378" t="s">
        <v>667</v>
      </c>
      <c r="B378" s="1">
        <v>45579</v>
      </c>
      <c r="C378" s="1">
        <v>45664</v>
      </c>
      <c r="D378" t="s">
        <v>668</v>
      </c>
      <c r="E378" t="s">
        <v>45</v>
      </c>
      <c r="F378" t="s">
        <v>80</v>
      </c>
      <c r="G378" t="s">
        <v>35</v>
      </c>
      <c r="H378" t="s">
        <v>47</v>
      </c>
      <c r="I378" t="s">
        <v>99</v>
      </c>
      <c r="J378">
        <v>4</v>
      </c>
      <c r="K378">
        <v>3884000</v>
      </c>
      <c r="L378">
        <v>0.23100000000000001</v>
      </c>
      <c r="M378" t="s">
        <v>23</v>
      </c>
      <c r="N378">
        <v>11947000</v>
      </c>
      <c r="O378">
        <v>4.3</v>
      </c>
      <c r="P378" t="b">
        <v>1</v>
      </c>
    </row>
    <row r="379" spans="1:16" x14ac:dyDescent="0.2">
      <c r="A379" t="s">
        <v>669</v>
      </c>
      <c r="B379" s="1">
        <v>45832</v>
      </c>
      <c r="C379" s="1">
        <v>45890</v>
      </c>
      <c r="D379" t="s">
        <v>556</v>
      </c>
      <c r="E379" t="s">
        <v>29</v>
      </c>
      <c r="F379" t="s">
        <v>34</v>
      </c>
      <c r="G379" t="s">
        <v>20</v>
      </c>
      <c r="H379" t="s">
        <v>21</v>
      </c>
      <c r="I379" t="s">
        <v>94</v>
      </c>
      <c r="J379">
        <v>2</v>
      </c>
      <c r="K379">
        <v>4741000</v>
      </c>
      <c r="L379">
        <v>9.1999999999999998E-2</v>
      </c>
      <c r="M379" t="s">
        <v>23</v>
      </c>
      <c r="N379">
        <v>8610000</v>
      </c>
      <c r="O379">
        <v>3.8</v>
      </c>
      <c r="P379" t="b">
        <v>1</v>
      </c>
    </row>
    <row r="380" spans="1:16" x14ac:dyDescent="0.2">
      <c r="A380" t="s">
        <v>670</v>
      </c>
      <c r="B380" s="1">
        <v>45338</v>
      </c>
      <c r="C380" s="1">
        <v>45378</v>
      </c>
      <c r="D380" t="s">
        <v>435</v>
      </c>
      <c r="E380" t="s">
        <v>18</v>
      </c>
      <c r="F380" t="s">
        <v>19</v>
      </c>
      <c r="G380" t="s">
        <v>50</v>
      </c>
      <c r="H380" t="s">
        <v>40</v>
      </c>
      <c r="I380" t="s">
        <v>83</v>
      </c>
      <c r="J380">
        <v>1</v>
      </c>
      <c r="K380">
        <v>2685000</v>
      </c>
      <c r="L380">
        <v>8.4000000000000005E-2</v>
      </c>
      <c r="M380" t="s">
        <v>23</v>
      </c>
      <c r="N380">
        <v>2459000</v>
      </c>
      <c r="O380">
        <v>4.5</v>
      </c>
      <c r="P380" t="b">
        <v>0</v>
      </c>
    </row>
    <row r="381" spans="1:16" x14ac:dyDescent="0.2">
      <c r="A381" t="s">
        <v>671</v>
      </c>
      <c r="B381" s="1">
        <v>45363</v>
      </c>
      <c r="C381" s="1">
        <v>45412</v>
      </c>
      <c r="D381" t="s">
        <v>582</v>
      </c>
      <c r="E381" t="s">
        <v>33</v>
      </c>
      <c r="F381" t="s">
        <v>68</v>
      </c>
      <c r="G381" t="s">
        <v>20</v>
      </c>
      <c r="H381" t="s">
        <v>21</v>
      </c>
      <c r="I381" t="s">
        <v>26</v>
      </c>
      <c r="J381">
        <v>1</v>
      </c>
      <c r="K381">
        <v>2538000</v>
      </c>
      <c r="L381">
        <v>0.16400000000000001</v>
      </c>
      <c r="M381" t="s">
        <v>23</v>
      </c>
      <c r="N381">
        <v>2122000</v>
      </c>
      <c r="O381">
        <v>4.2</v>
      </c>
      <c r="P381" t="b">
        <v>0</v>
      </c>
    </row>
    <row r="382" spans="1:16" x14ac:dyDescent="0.2">
      <c r="A382" t="s">
        <v>672</v>
      </c>
      <c r="B382" s="1">
        <v>45607</v>
      </c>
      <c r="C382" s="1">
        <v>45667</v>
      </c>
      <c r="D382" t="s">
        <v>231</v>
      </c>
      <c r="E382" t="s">
        <v>18</v>
      </c>
      <c r="F382" t="s">
        <v>34</v>
      </c>
      <c r="G382" t="s">
        <v>20</v>
      </c>
      <c r="H382" t="s">
        <v>21</v>
      </c>
      <c r="I382" t="s">
        <v>77</v>
      </c>
      <c r="J382">
        <v>2</v>
      </c>
      <c r="K382">
        <v>4287000</v>
      </c>
      <c r="L382">
        <v>0.13800000000000001</v>
      </c>
      <c r="M382" t="s">
        <v>23</v>
      </c>
      <c r="N382">
        <v>7391000</v>
      </c>
      <c r="O382">
        <v>3.9</v>
      </c>
      <c r="P382" t="b">
        <v>1</v>
      </c>
    </row>
    <row r="383" spans="1:16" x14ac:dyDescent="0.2">
      <c r="A383" t="s">
        <v>673</v>
      </c>
      <c r="B383" s="1">
        <v>45748</v>
      </c>
      <c r="C383" s="1">
        <v>45779</v>
      </c>
      <c r="D383" t="s">
        <v>477</v>
      </c>
      <c r="E383" t="s">
        <v>18</v>
      </c>
      <c r="F383" t="s">
        <v>19</v>
      </c>
      <c r="G383" t="s">
        <v>35</v>
      </c>
      <c r="H383" t="s">
        <v>21</v>
      </c>
      <c r="I383" t="s">
        <v>60</v>
      </c>
      <c r="J383">
        <v>2</v>
      </c>
      <c r="K383">
        <v>3099000</v>
      </c>
      <c r="L383">
        <v>0.19900000000000001</v>
      </c>
      <c r="M383" t="s">
        <v>23</v>
      </c>
      <c r="N383">
        <v>4965000</v>
      </c>
      <c r="O383">
        <v>4.9000000000000004</v>
      </c>
      <c r="P383" t="b">
        <v>1</v>
      </c>
    </row>
    <row r="384" spans="1:16" x14ac:dyDescent="0.2">
      <c r="A384" t="s">
        <v>674</v>
      </c>
      <c r="B384" s="1">
        <v>45796</v>
      </c>
      <c r="C384" s="1">
        <v>45829</v>
      </c>
      <c r="D384" t="s">
        <v>85</v>
      </c>
      <c r="E384" t="s">
        <v>18</v>
      </c>
      <c r="F384" t="s">
        <v>68</v>
      </c>
      <c r="G384" t="s">
        <v>35</v>
      </c>
      <c r="H384" t="s">
        <v>40</v>
      </c>
      <c r="I384" t="s">
        <v>77</v>
      </c>
      <c r="J384">
        <v>2</v>
      </c>
      <c r="K384">
        <v>2636000</v>
      </c>
      <c r="L384">
        <v>3.9E-2</v>
      </c>
      <c r="M384" t="s">
        <v>23</v>
      </c>
      <c r="N384">
        <v>5066000</v>
      </c>
      <c r="O384">
        <v>4.3</v>
      </c>
      <c r="P384" t="b">
        <v>1</v>
      </c>
    </row>
    <row r="385" spans="1:16" x14ac:dyDescent="0.2">
      <c r="A385" t="s">
        <v>675</v>
      </c>
      <c r="B385" s="1">
        <v>45566</v>
      </c>
      <c r="C385" s="1">
        <v>45609</v>
      </c>
      <c r="D385" t="s">
        <v>126</v>
      </c>
      <c r="E385" t="s">
        <v>33</v>
      </c>
      <c r="F385" t="s">
        <v>68</v>
      </c>
      <c r="G385" t="s">
        <v>35</v>
      </c>
      <c r="H385" t="s">
        <v>21</v>
      </c>
      <c r="I385" t="s">
        <v>57</v>
      </c>
      <c r="J385">
        <v>1</v>
      </c>
      <c r="K385">
        <v>2661000</v>
      </c>
      <c r="L385">
        <v>0.13100000000000001</v>
      </c>
      <c r="M385" t="s">
        <v>23</v>
      </c>
      <c r="N385">
        <v>2312000</v>
      </c>
      <c r="O385">
        <v>4.5</v>
      </c>
      <c r="P385" t="b">
        <v>1</v>
      </c>
    </row>
    <row r="386" spans="1:16" x14ac:dyDescent="0.2">
      <c r="A386" t="s">
        <v>676</v>
      </c>
      <c r="B386" s="1">
        <v>45696</v>
      </c>
      <c r="C386" s="1">
        <v>45726</v>
      </c>
      <c r="D386" t="s">
        <v>677</v>
      </c>
      <c r="E386" t="s">
        <v>33</v>
      </c>
      <c r="F386" t="s">
        <v>123</v>
      </c>
      <c r="G386" t="s">
        <v>20</v>
      </c>
      <c r="H386" t="s">
        <v>21</v>
      </c>
      <c r="I386" t="s">
        <v>94</v>
      </c>
      <c r="J386">
        <v>2</v>
      </c>
      <c r="K386">
        <v>2911000</v>
      </c>
      <c r="L386">
        <v>0.114</v>
      </c>
      <c r="M386" t="s">
        <v>23</v>
      </c>
      <c r="N386">
        <v>5158000</v>
      </c>
      <c r="O386">
        <v>4.9000000000000004</v>
      </c>
      <c r="P386" t="b">
        <v>0</v>
      </c>
    </row>
    <row r="387" spans="1:16" x14ac:dyDescent="0.2">
      <c r="A387" t="s">
        <v>678</v>
      </c>
      <c r="B387" s="1">
        <v>45636</v>
      </c>
      <c r="C387" s="1">
        <v>45707</v>
      </c>
      <c r="D387" t="s">
        <v>361</v>
      </c>
      <c r="E387" t="s">
        <v>18</v>
      </c>
      <c r="F387" t="s">
        <v>45</v>
      </c>
      <c r="G387" t="s">
        <v>50</v>
      </c>
      <c r="H387" t="s">
        <v>21</v>
      </c>
      <c r="I387" t="s">
        <v>30</v>
      </c>
      <c r="J387">
        <v>5</v>
      </c>
      <c r="K387">
        <v>2003000</v>
      </c>
      <c r="L387">
        <v>0.124</v>
      </c>
      <c r="M387" t="s">
        <v>23</v>
      </c>
      <c r="N387">
        <v>8773000</v>
      </c>
      <c r="O387">
        <v>4.9000000000000004</v>
      </c>
      <c r="P387" t="b">
        <v>1</v>
      </c>
    </row>
    <row r="388" spans="1:16" x14ac:dyDescent="0.2">
      <c r="A388" t="s">
        <v>679</v>
      </c>
      <c r="B388" s="1">
        <v>45891</v>
      </c>
      <c r="C388" s="1">
        <v>45909</v>
      </c>
      <c r="D388" t="s">
        <v>609</v>
      </c>
      <c r="E388" t="s">
        <v>45</v>
      </c>
      <c r="F388" t="s">
        <v>25</v>
      </c>
      <c r="G388" t="s">
        <v>50</v>
      </c>
      <c r="H388" t="s">
        <v>21</v>
      </c>
      <c r="I388" t="s">
        <v>30</v>
      </c>
      <c r="J388">
        <v>2</v>
      </c>
      <c r="K388">
        <v>3070000</v>
      </c>
      <c r="L388">
        <v>6.7000000000000004E-2</v>
      </c>
      <c r="M388" t="s">
        <v>23</v>
      </c>
      <c r="N388">
        <v>5729000</v>
      </c>
      <c r="O388">
        <v>4.5</v>
      </c>
      <c r="P388" t="b">
        <v>1</v>
      </c>
    </row>
    <row r="389" spans="1:16" x14ac:dyDescent="0.2">
      <c r="A389" t="s">
        <v>680</v>
      </c>
      <c r="B389" s="1">
        <v>45699</v>
      </c>
      <c r="C389" s="1">
        <v>45775</v>
      </c>
      <c r="D389" t="s">
        <v>267</v>
      </c>
      <c r="E389" t="s">
        <v>45</v>
      </c>
      <c r="F389" t="s">
        <v>45</v>
      </c>
      <c r="G389" t="s">
        <v>50</v>
      </c>
      <c r="H389" t="s">
        <v>40</v>
      </c>
      <c r="I389" t="s">
        <v>60</v>
      </c>
      <c r="J389">
        <v>2</v>
      </c>
      <c r="K389">
        <v>3759000</v>
      </c>
      <c r="L389">
        <v>0.155</v>
      </c>
      <c r="M389" t="s">
        <v>23</v>
      </c>
      <c r="N389">
        <v>6353000</v>
      </c>
      <c r="O389">
        <v>4</v>
      </c>
      <c r="P389" t="b">
        <v>1</v>
      </c>
    </row>
    <row r="390" spans="1:16" x14ac:dyDescent="0.2">
      <c r="A390" t="s">
        <v>681</v>
      </c>
      <c r="B390" s="1">
        <v>45551</v>
      </c>
      <c r="C390" s="1">
        <v>45589</v>
      </c>
      <c r="D390" t="s">
        <v>311</v>
      </c>
      <c r="E390" t="s">
        <v>33</v>
      </c>
      <c r="F390" t="s">
        <v>123</v>
      </c>
      <c r="G390" t="s">
        <v>35</v>
      </c>
      <c r="H390" t="s">
        <v>21</v>
      </c>
      <c r="I390" t="s">
        <v>57</v>
      </c>
      <c r="J390">
        <v>2</v>
      </c>
      <c r="K390">
        <v>4948000</v>
      </c>
      <c r="L390">
        <v>0.14499999999999999</v>
      </c>
      <c r="M390" t="s">
        <v>23</v>
      </c>
      <c r="N390">
        <v>8461000</v>
      </c>
      <c r="O390">
        <v>3.5</v>
      </c>
      <c r="P390" t="b">
        <v>1</v>
      </c>
    </row>
    <row r="391" spans="1:16" x14ac:dyDescent="0.2">
      <c r="A391" t="s">
        <v>682</v>
      </c>
      <c r="B391" s="1">
        <v>45896</v>
      </c>
      <c r="C391" s="1">
        <v>45951</v>
      </c>
      <c r="D391" t="s">
        <v>278</v>
      </c>
      <c r="E391" t="s">
        <v>18</v>
      </c>
      <c r="F391" t="s">
        <v>34</v>
      </c>
      <c r="G391" t="s">
        <v>35</v>
      </c>
      <c r="H391" t="s">
        <v>21</v>
      </c>
      <c r="I391" t="s">
        <v>99</v>
      </c>
      <c r="J391">
        <v>1</v>
      </c>
      <c r="K391">
        <v>2535000</v>
      </c>
      <c r="L391">
        <v>0.19700000000000001</v>
      </c>
      <c r="M391" t="s">
        <v>23</v>
      </c>
      <c r="N391">
        <v>2036000</v>
      </c>
      <c r="O391">
        <v>4.3</v>
      </c>
      <c r="P391" t="b">
        <v>1</v>
      </c>
    </row>
    <row r="392" spans="1:16" x14ac:dyDescent="0.2">
      <c r="A392" t="s">
        <v>683</v>
      </c>
      <c r="B392" s="1">
        <v>45358</v>
      </c>
      <c r="C392" s="1">
        <v>45380</v>
      </c>
      <c r="D392" t="s">
        <v>393</v>
      </c>
      <c r="E392" t="s">
        <v>18</v>
      </c>
      <c r="F392" t="s">
        <v>45</v>
      </c>
      <c r="G392" t="s">
        <v>35</v>
      </c>
      <c r="H392" t="s">
        <v>21</v>
      </c>
      <c r="I392" t="s">
        <v>30</v>
      </c>
      <c r="J392">
        <v>2</v>
      </c>
      <c r="K392">
        <v>2776000</v>
      </c>
      <c r="L392">
        <v>0.11899999999999999</v>
      </c>
      <c r="M392" t="s">
        <v>23</v>
      </c>
      <c r="N392">
        <v>4891000</v>
      </c>
      <c r="O392">
        <v>4.7</v>
      </c>
      <c r="P392" t="b">
        <v>1</v>
      </c>
    </row>
    <row r="393" spans="1:16" x14ac:dyDescent="0.2">
      <c r="A393" t="s">
        <v>684</v>
      </c>
      <c r="B393" s="1">
        <v>45905</v>
      </c>
      <c r="C393" s="1">
        <v>45946</v>
      </c>
      <c r="D393" t="s">
        <v>70</v>
      </c>
      <c r="E393" t="s">
        <v>29</v>
      </c>
      <c r="F393" t="s">
        <v>19</v>
      </c>
      <c r="G393" t="s">
        <v>20</v>
      </c>
      <c r="H393" t="s">
        <v>21</v>
      </c>
      <c r="I393" t="s">
        <v>22</v>
      </c>
      <c r="J393">
        <v>1</v>
      </c>
      <c r="K393">
        <v>3108000</v>
      </c>
      <c r="L393">
        <v>9.5000000000000001E-2</v>
      </c>
      <c r="M393" t="s">
        <v>23</v>
      </c>
      <c r="N393">
        <v>2813000</v>
      </c>
      <c r="O393">
        <v>4.4000000000000004</v>
      </c>
      <c r="P393" t="b">
        <v>1</v>
      </c>
    </row>
    <row r="394" spans="1:16" x14ac:dyDescent="0.2">
      <c r="A394" t="s">
        <v>685</v>
      </c>
      <c r="B394" s="1">
        <v>45387</v>
      </c>
      <c r="C394" s="1">
        <v>45458</v>
      </c>
      <c r="D394" t="s">
        <v>190</v>
      </c>
      <c r="E394" t="s">
        <v>18</v>
      </c>
      <c r="F394" t="s">
        <v>45</v>
      </c>
      <c r="G394" t="s">
        <v>20</v>
      </c>
      <c r="H394" t="s">
        <v>21</v>
      </c>
      <c r="I394" t="s">
        <v>30</v>
      </c>
      <c r="J394">
        <v>5</v>
      </c>
      <c r="K394">
        <v>3767000</v>
      </c>
      <c r="L394">
        <v>9.1999999999999998E-2</v>
      </c>
      <c r="M394" t="s">
        <v>23</v>
      </c>
      <c r="N394">
        <v>17102000</v>
      </c>
      <c r="O394">
        <v>2.5</v>
      </c>
      <c r="P394" t="b">
        <v>0</v>
      </c>
    </row>
    <row r="395" spans="1:16" x14ac:dyDescent="0.2">
      <c r="A395" t="s">
        <v>686</v>
      </c>
      <c r="B395" s="1">
        <v>45471</v>
      </c>
      <c r="C395" s="1">
        <v>45502</v>
      </c>
      <c r="D395" t="s">
        <v>406</v>
      </c>
      <c r="E395" t="s">
        <v>45</v>
      </c>
      <c r="F395" t="s">
        <v>19</v>
      </c>
      <c r="G395" t="s">
        <v>35</v>
      </c>
      <c r="H395" t="s">
        <v>21</v>
      </c>
      <c r="I395" t="s">
        <v>83</v>
      </c>
      <c r="J395">
        <v>1</v>
      </c>
      <c r="K395">
        <v>2522000</v>
      </c>
      <c r="L395">
        <v>2.8000000000000001E-2</v>
      </c>
      <c r="M395" t="s">
        <v>23</v>
      </c>
      <c r="N395">
        <v>2451000</v>
      </c>
      <c r="O395">
        <v>4.5999999999999996</v>
      </c>
      <c r="P395" t="b">
        <v>0</v>
      </c>
    </row>
    <row r="396" spans="1:16" x14ac:dyDescent="0.2">
      <c r="A396" t="s">
        <v>687</v>
      </c>
      <c r="B396" s="1">
        <v>45803</v>
      </c>
      <c r="C396" s="1">
        <v>45823</v>
      </c>
      <c r="D396" t="s">
        <v>146</v>
      </c>
      <c r="E396" t="s">
        <v>33</v>
      </c>
      <c r="F396" t="s">
        <v>39</v>
      </c>
      <c r="G396" t="s">
        <v>20</v>
      </c>
      <c r="H396" t="s">
        <v>21</v>
      </c>
      <c r="I396" t="s">
        <v>22</v>
      </c>
      <c r="J396">
        <v>3</v>
      </c>
      <c r="K396">
        <v>1308000</v>
      </c>
      <c r="L396">
        <v>0.10299999999999999</v>
      </c>
      <c r="M396" t="s">
        <v>23</v>
      </c>
      <c r="N396">
        <v>3520000</v>
      </c>
      <c r="O396">
        <v>4.7</v>
      </c>
      <c r="P396" t="b">
        <v>1</v>
      </c>
    </row>
    <row r="397" spans="1:16" x14ac:dyDescent="0.2">
      <c r="A397" t="s">
        <v>688</v>
      </c>
      <c r="B397" s="1">
        <v>45749</v>
      </c>
      <c r="C397" s="1">
        <v>45801</v>
      </c>
      <c r="D397" t="s">
        <v>689</v>
      </c>
      <c r="E397" t="s">
        <v>33</v>
      </c>
      <c r="F397" t="s">
        <v>39</v>
      </c>
      <c r="G397" t="s">
        <v>20</v>
      </c>
      <c r="H397" t="s">
        <v>51</v>
      </c>
      <c r="I397" t="s">
        <v>77</v>
      </c>
      <c r="J397">
        <v>2</v>
      </c>
      <c r="K397">
        <v>3177000</v>
      </c>
      <c r="L397">
        <v>0.185</v>
      </c>
      <c r="M397" t="s">
        <v>23</v>
      </c>
      <c r="N397">
        <v>5179000</v>
      </c>
      <c r="O397">
        <v>4</v>
      </c>
      <c r="P397" t="b">
        <v>1</v>
      </c>
    </row>
    <row r="398" spans="1:16" x14ac:dyDescent="0.2">
      <c r="A398" t="s">
        <v>690</v>
      </c>
      <c r="B398" s="1">
        <v>45896</v>
      </c>
      <c r="C398" s="1">
        <v>45919</v>
      </c>
      <c r="D398" t="s">
        <v>567</v>
      </c>
      <c r="E398" t="s">
        <v>18</v>
      </c>
      <c r="F398" t="s">
        <v>25</v>
      </c>
      <c r="G398" t="s">
        <v>50</v>
      </c>
      <c r="H398" t="s">
        <v>21</v>
      </c>
      <c r="I398" t="s">
        <v>26</v>
      </c>
      <c r="J398">
        <v>2</v>
      </c>
      <c r="K398">
        <v>6369000</v>
      </c>
      <c r="L398">
        <v>0.19500000000000001</v>
      </c>
      <c r="M398" t="s">
        <v>23</v>
      </c>
      <c r="N398">
        <v>10254000</v>
      </c>
      <c r="O398">
        <v>4.7</v>
      </c>
      <c r="P398" t="b">
        <v>1</v>
      </c>
    </row>
    <row r="399" spans="1:16" x14ac:dyDescent="0.2">
      <c r="A399" t="s">
        <v>691</v>
      </c>
      <c r="B399" s="1">
        <v>45759</v>
      </c>
      <c r="C399" s="1">
        <v>45794</v>
      </c>
      <c r="D399" t="s">
        <v>247</v>
      </c>
      <c r="E399" t="s">
        <v>29</v>
      </c>
      <c r="F399" t="s">
        <v>45</v>
      </c>
      <c r="G399" t="s">
        <v>20</v>
      </c>
      <c r="H399" t="s">
        <v>47</v>
      </c>
      <c r="I399" t="s">
        <v>26</v>
      </c>
      <c r="J399">
        <v>2</v>
      </c>
      <c r="K399">
        <v>2496000</v>
      </c>
      <c r="L399">
        <v>0.14299999999999999</v>
      </c>
      <c r="M399" t="s">
        <v>23</v>
      </c>
      <c r="N399">
        <v>4278000</v>
      </c>
      <c r="O399">
        <v>4.5</v>
      </c>
      <c r="P399" t="b">
        <v>1</v>
      </c>
    </row>
    <row r="400" spans="1:16" x14ac:dyDescent="0.2">
      <c r="A400" t="s">
        <v>692</v>
      </c>
      <c r="B400" s="1">
        <v>45688</v>
      </c>
      <c r="C400" s="1">
        <v>45734</v>
      </c>
      <c r="D400" t="s">
        <v>314</v>
      </c>
      <c r="E400" t="s">
        <v>33</v>
      </c>
      <c r="F400" t="s">
        <v>19</v>
      </c>
      <c r="G400" t="s">
        <v>35</v>
      </c>
      <c r="H400" t="s">
        <v>21</v>
      </c>
      <c r="I400" t="s">
        <v>30</v>
      </c>
      <c r="J400">
        <v>2</v>
      </c>
      <c r="K400">
        <v>3314000</v>
      </c>
      <c r="L400">
        <v>9.0999999999999998E-2</v>
      </c>
      <c r="M400" t="s">
        <v>23</v>
      </c>
      <c r="N400">
        <v>6025000</v>
      </c>
      <c r="O400">
        <v>3.9</v>
      </c>
      <c r="P400" t="b">
        <v>1</v>
      </c>
    </row>
    <row r="401" spans="1:16" x14ac:dyDescent="0.2">
      <c r="A401" t="s">
        <v>693</v>
      </c>
      <c r="B401" s="1">
        <v>45507</v>
      </c>
      <c r="C401" s="1">
        <v>45562</v>
      </c>
      <c r="D401" t="s">
        <v>694</v>
      </c>
      <c r="E401" t="s">
        <v>33</v>
      </c>
      <c r="F401" t="s">
        <v>25</v>
      </c>
      <c r="G401" t="s">
        <v>35</v>
      </c>
      <c r="H401" t="s">
        <v>21</v>
      </c>
      <c r="I401" t="s">
        <v>94</v>
      </c>
      <c r="J401">
        <v>1</v>
      </c>
      <c r="K401">
        <v>0</v>
      </c>
      <c r="L401">
        <v>0.127</v>
      </c>
      <c r="M401" t="s">
        <v>23</v>
      </c>
      <c r="N401">
        <v>3434000</v>
      </c>
      <c r="O401">
        <v>4.8</v>
      </c>
      <c r="P401" t="b">
        <v>1</v>
      </c>
    </row>
    <row r="402" spans="1:16" x14ac:dyDescent="0.2">
      <c r="A402" t="s">
        <v>695</v>
      </c>
      <c r="B402" s="1">
        <v>45294</v>
      </c>
      <c r="C402" s="1">
        <v>45355</v>
      </c>
      <c r="D402" t="s">
        <v>238</v>
      </c>
      <c r="E402" t="s">
        <v>45</v>
      </c>
      <c r="F402" t="s">
        <v>34</v>
      </c>
      <c r="G402" t="s">
        <v>20</v>
      </c>
      <c r="H402" t="s">
        <v>21</v>
      </c>
      <c r="I402" t="s">
        <v>57</v>
      </c>
      <c r="J402">
        <v>1</v>
      </c>
      <c r="K402">
        <v>4840000</v>
      </c>
      <c r="L402">
        <v>0.14299999999999999</v>
      </c>
      <c r="M402" t="s">
        <v>23</v>
      </c>
      <c r="N402">
        <v>4148000</v>
      </c>
      <c r="O402">
        <v>3.6</v>
      </c>
      <c r="P402" t="b">
        <v>0</v>
      </c>
    </row>
    <row r="403" spans="1:16" x14ac:dyDescent="0.2">
      <c r="A403" t="s">
        <v>696</v>
      </c>
      <c r="B403" s="1">
        <v>45369</v>
      </c>
      <c r="C403" s="1">
        <v>45433</v>
      </c>
      <c r="D403" t="s">
        <v>697</v>
      </c>
      <c r="E403" t="s">
        <v>18</v>
      </c>
      <c r="F403" t="s">
        <v>39</v>
      </c>
      <c r="G403" t="s">
        <v>50</v>
      </c>
      <c r="H403" t="s">
        <v>21</v>
      </c>
      <c r="I403" t="s">
        <v>94</v>
      </c>
      <c r="J403">
        <v>1</v>
      </c>
      <c r="K403">
        <v>2542000</v>
      </c>
      <c r="L403">
        <v>8.5999999999999993E-2</v>
      </c>
      <c r="M403" t="s">
        <v>23</v>
      </c>
      <c r="N403">
        <v>2323000</v>
      </c>
      <c r="O403">
        <v>4.2</v>
      </c>
      <c r="P403" t="b">
        <v>0</v>
      </c>
    </row>
    <row r="404" spans="1:16" x14ac:dyDescent="0.2">
      <c r="A404" t="s">
        <v>698</v>
      </c>
      <c r="B404" s="1">
        <v>45477</v>
      </c>
      <c r="C404" s="1">
        <v>45555</v>
      </c>
      <c r="D404" t="s">
        <v>699</v>
      </c>
      <c r="E404" t="s">
        <v>18</v>
      </c>
      <c r="F404" t="s">
        <v>39</v>
      </c>
      <c r="G404" t="s">
        <v>20</v>
      </c>
      <c r="H404" t="s">
        <v>40</v>
      </c>
      <c r="I404" t="s">
        <v>52</v>
      </c>
      <c r="J404">
        <v>1</v>
      </c>
      <c r="K404">
        <v>2203000</v>
      </c>
      <c r="L404">
        <v>0.2</v>
      </c>
      <c r="M404" t="s">
        <v>23</v>
      </c>
      <c r="N404">
        <v>1762000</v>
      </c>
      <c r="O404">
        <v>4.0999999999999996</v>
      </c>
      <c r="P404" t="b">
        <v>1</v>
      </c>
    </row>
    <row r="405" spans="1:16" x14ac:dyDescent="0.2">
      <c r="A405" t="s">
        <v>700</v>
      </c>
      <c r="B405" s="1">
        <v>45317</v>
      </c>
      <c r="C405" s="1">
        <v>45332</v>
      </c>
      <c r="D405" t="s">
        <v>287</v>
      </c>
      <c r="E405" t="s">
        <v>33</v>
      </c>
      <c r="F405" t="s">
        <v>68</v>
      </c>
      <c r="G405" t="s">
        <v>50</v>
      </c>
      <c r="H405" t="s">
        <v>47</v>
      </c>
      <c r="I405" t="s">
        <v>60</v>
      </c>
      <c r="J405">
        <v>2</v>
      </c>
      <c r="K405">
        <v>2081000</v>
      </c>
      <c r="L405">
        <v>0.155</v>
      </c>
      <c r="M405" t="s">
        <v>65</v>
      </c>
      <c r="N405">
        <v>0</v>
      </c>
      <c r="P405" t="b">
        <v>0</v>
      </c>
    </row>
    <row r="406" spans="1:16" x14ac:dyDescent="0.2">
      <c r="A406" t="s">
        <v>701</v>
      </c>
      <c r="B406" s="1">
        <v>45608</v>
      </c>
      <c r="C406" s="1">
        <v>45647</v>
      </c>
      <c r="D406" t="s">
        <v>341</v>
      </c>
      <c r="E406" t="s">
        <v>18</v>
      </c>
      <c r="F406" t="s">
        <v>39</v>
      </c>
      <c r="G406" t="s">
        <v>50</v>
      </c>
      <c r="H406" t="s">
        <v>40</v>
      </c>
      <c r="I406" t="s">
        <v>77</v>
      </c>
      <c r="J406">
        <v>1</v>
      </c>
      <c r="K406">
        <v>2801000</v>
      </c>
      <c r="L406">
        <v>2.4E-2</v>
      </c>
      <c r="M406" t="s">
        <v>65</v>
      </c>
      <c r="N406">
        <v>0</v>
      </c>
      <c r="P406" t="b">
        <v>1</v>
      </c>
    </row>
    <row r="407" spans="1:16" x14ac:dyDescent="0.2">
      <c r="A407" t="s">
        <v>702</v>
      </c>
      <c r="B407" s="1">
        <v>45776</v>
      </c>
      <c r="C407" s="1">
        <v>45786</v>
      </c>
      <c r="D407" t="s">
        <v>493</v>
      </c>
      <c r="E407" t="s">
        <v>29</v>
      </c>
      <c r="F407" t="s">
        <v>68</v>
      </c>
      <c r="G407" t="s">
        <v>20</v>
      </c>
      <c r="H407" t="s">
        <v>40</v>
      </c>
      <c r="I407" t="s">
        <v>77</v>
      </c>
      <c r="J407">
        <v>1</v>
      </c>
      <c r="K407">
        <v>2015000</v>
      </c>
      <c r="L407">
        <v>0.23300000000000001</v>
      </c>
      <c r="M407" t="s">
        <v>65</v>
      </c>
      <c r="N407">
        <v>0</v>
      </c>
      <c r="P407" t="b">
        <v>1</v>
      </c>
    </row>
    <row r="408" spans="1:16" x14ac:dyDescent="0.2">
      <c r="A408" t="s">
        <v>703</v>
      </c>
      <c r="B408" s="1">
        <v>45892</v>
      </c>
      <c r="C408" s="1">
        <v>45902</v>
      </c>
      <c r="D408" t="s">
        <v>185</v>
      </c>
      <c r="E408" t="s">
        <v>45</v>
      </c>
      <c r="F408" t="s">
        <v>34</v>
      </c>
      <c r="G408" t="s">
        <v>20</v>
      </c>
      <c r="H408" t="s">
        <v>21</v>
      </c>
      <c r="I408" t="s">
        <v>77</v>
      </c>
      <c r="J408">
        <v>4</v>
      </c>
      <c r="K408">
        <v>5619000</v>
      </c>
      <c r="L408">
        <v>0.126</v>
      </c>
      <c r="M408" t="s">
        <v>23</v>
      </c>
      <c r="N408">
        <v>19644000</v>
      </c>
      <c r="O408">
        <v>4.8</v>
      </c>
      <c r="P408" t="b">
        <v>1</v>
      </c>
    </row>
    <row r="409" spans="1:16" x14ac:dyDescent="0.2">
      <c r="A409" t="s">
        <v>704</v>
      </c>
      <c r="B409" s="1">
        <v>45597</v>
      </c>
      <c r="C409" s="1">
        <v>45624</v>
      </c>
      <c r="D409" t="s">
        <v>705</v>
      </c>
      <c r="E409" t="s">
        <v>33</v>
      </c>
      <c r="F409" t="s">
        <v>68</v>
      </c>
      <c r="G409" t="s">
        <v>20</v>
      </c>
      <c r="H409" t="s">
        <v>21</v>
      </c>
      <c r="I409" t="s">
        <v>26</v>
      </c>
      <c r="J409">
        <v>1</v>
      </c>
      <c r="K409">
        <v>3320000</v>
      </c>
      <c r="L409">
        <v>5.3999999999999999E-2</v>
      </c>
      <c r="M409" t="s">
        <v>23</v>
      </c>
      <c r="N409">
        <v>3141000</v>
      </c>
      <c r="O409">
        <v>4.5999999999999996</v>
      </c>
      <c r="P409" t="b">
        <v>1</v>
      </c>
    </row>
    <row r="410" spans="1:16" x14ac:dyDescent="0.2">
      <c r="A410" t="s">
        <v>706</v>
      </c>
      <c r="B410" s="1">
        <v>45837</v>
      </c>
      <c r="C410" s="1">
        <v>45895</v>
      </c>
      <c r="D410" t="s">
        <v>482</v>
      </c>
      <c r="E410" t="s">
        <v>45</v>
      </c>
      <c r="F410" t="s">
        <v>25</v>
      </c>
      <c r="G410" t="s">
        <v>20</v>
      </c>
      <c r="H410" t="s">
        <v>47</v>
      </c>
      <c r="I410" t="s">
        <v>30</v>
      </c>
      <c r="J410">
        <v>1</v>
      </c>
      <c r="K410">
        <v>5488000</v>
      </c>
      <c r="L410">
        <v>2.7E-2</v>
      </c>
      <c r="M410" t="s">
        <v>23</v>
      </c>
      <c r="N410">
        <v>5340000</v>
      </c>
      <c r="O410">
        <v>3.4</v>
      </c>
      <c r="P410" t="b">
        <v>0</v>
      </c>
    </row>
    <row r="411" spans="1:16" x14ac:dyDescent="0.2">
      <c r="A411" t="s">
        <v>707</v>
      </c>
      <c r="B411" s="1">
        <v>45905</v>
      </c>
      <c r="C411" s="1">
        <v>45987</v>
      </c>
      <c r="D411" t="s">
        <v>708</v>
      </c>
      <c r="E411" t="s">
        <v>45</v>
      </c>
      <c r="F411" t="s">
        <v>19</v>
      </c>
      <c r="G411" t="s">
        <v>20</v>
      </c>
      <c r="H411" t="s">
        <v>21</v>
      </c>
      <c r="I411" t="s">
        <v>94</v>
      </c>
      <c r="J411">
        <v>1</v>
      </c>
      <c r="K411">
        <v>1825000</v>
      </c>
      <c r="L411">
        <v>0.20899999999999999</v>
      </c>
      <c r="M411" t="s">
        <v>23</v>
      </c>
      <c r="N411">
        <v>1444000</v>
      </c>
      <c r="O411">
        <v>3.5</v>
      </c>
      <c r="P411" t="b">
        <v>1</v>
      </c>
    </row>
    <row r="412" spans="1:16" x14ac:dyDescent="0.2">
      <c r="A412" t="s">
        <v>709</v>
      </c>
      <c r="B412" s="1">
        <v>45827</v>
      </c>
      <c r="C412" s="1">
        <v>45899</v>
      </c>
      <c r="D412" t="s">
        <v>96</v>
      </c>
      <c r="E412" t="s">
        <v>33</v>
      </c>
      <c r="F412" t="s">
        <v>25</v>
      </c>
      <c r="G412" t="s">
        <v>46</v>
      </c>
      <c r="H412" t="s">
        <v>21</v>
      </c>
      <c r="I412" t="s">
        <v>26</v>
      </c>
      <c r="J412">
        <v>1</v>
      </c>
      <c r="K412">
        <v>5165000</v>
      </c>
      <c r="L412">
        <v>0.13300000000000001</v>
      </c>
      <c r="M412" t="s">
        <v>65</v>
      </c>
      <c r="N412">
        <v>0</v>
      </c>
      <c r="P412" t="b">
        <v>1</v>
      </c>
    </row>
    <row r="413" spans="1:16" x14ac:dyDescent="0.2">
      <c r="A413" t="s">
        <v>710</v>
      </c>
      <c r="B413" s="1">
        <v>45581</v>
      </c>
      <c r="C413" s="1">
        <v>45643</v>
      </c>
      <c r="D413" t="s">
        <v>167</v>
      </c>
      <c r="E413" t="s">
        <v>18</v>
      </c>
      <c r="F413" t="s">
        <v>19</v>
      </c>
      <c r="G413" t="s">
        <v>20</v>
      </c>
      <c r="H413" t="s">
        <v>51</v>
      </c>
      <c r="I413" t="s">
        <v>26</v>
      </c>
      <c r="J413">
        <v>2</v>
      </c>
      <c r="K413">
        <v>1831000</v>
      </c>
      <c r="L413">
        <v>0.1</v>
      </c>
      <c r="M413" t="s">
        <v>23</v>
      </c>
      <c r="N413">
        <v>3296000</v>
      </c>
      <c r="O413">
        <v>4.2</v>
      </c>
      <c r="P413" t="b">
        <v>1</v>
      </c>
    </row>
    <row r="414" spans="1:16" x14ac:dyDescent="0.2">
      <c r="A414" t="s">
        <v>711</v>
      </c>
      <c r="B414" s="1">
        <v>45494</v>
      </c>
      <c r="C414" s="1">
        <v>45567</v>
      </c>
      <c r="D414" t="s">
        <v>712</v>
      </c>
      <c r="E414" t="s">
        <v>29</v>
      </c>
      <c r="F414" t="s">
        <v>19</v>
      </c>
      <c r="G414" t="s">
        <v>50</v>
      </c>
      <c r="H414" t="s">
        <v>51</v>
      </c>
      <c r="I414" t="s">
        <v>52</v>
      </c>
      <c r="J414">
        <v>1</v>
      </c>
      <c r="K414">
        <v>2768000</v>
      </c>
      <c r="L414">
        <v>0.19900000000000001</v>
      </c>
      <c r="M414" t="s">
        <v>65</v>
      </c>
      <c r="N414">
        <v>0</v>
      </c>
      <c r="P414" t="b">
        <v>0</v>
      </c>
    </row>
    <row r="415" spans="1:16" x14ac:dyDescent="0.2">
      <c r="A415" t="s">
        <v>713</v>
      </c>
      <c r="B415" s="1">
        <v>45901</v>
      </c>
      <c r="C415" s="1">
        <v>45924</v>
      </c>
      <c r="D415" t="s">
        <v>323</v>
      </c>
      <c r="E415" t="s">
        <v>33</v>
      </c>
      <c r="F415" t="s">
        <v>19</v>
      </c>
      <c r="G415" t="s">
        <v>20</v>
      </c>
      <c r="H415" t="s">
        <v>40</v>
      </c>
      <c r="I415" t="s">
        <v>57</v>
      </c>
      <c r="J415">
        <v>1</v>
      </c>
      <c r="K415">
        <v>3720000</v>
      </c>
      <c r="L415">
        <v>0.193</v>
      </c>
      <c r="M415" t="s">
        <v>23</v>
      </c>
      <c r="N415">
        <v>3002000</v>
      </c>
      <c r="O415">
        <v>5</v>
      </c>
      <c r="P415" t="b">
        <v>1</v>
      </c>
    </row>
    <row r="416" spans="1:16" x14ac:dyDescent="0.2">
      <c r="A416" t="s">
        <v>714</v>
      </c>
      <c r="B416" s="1">
        <v>45442</v>
      </c>
      <c r="C416" s="1">
        <v>45520</v>
      </c>
      <c r="D416" t="s">
        <v>547</v>
      </c>
      <c r="E416" t="s">
        <v>33</v>
      </c>
      <c r="F416" t="s">
        <v>34</v>
      </c>
      <c r="G416" t="s">
        <v>46</v>
      </c>
      <c r="H416" t="s">
        <v>21</v>
      </c>
      <c r="I416" t="s">
        <v>57</v>
      </c>
      <c r="J416">
        <v>2</v>
      </c>
      <c r="K416">
        <v>3097000</v>
      </c>
      <c r="L416">
        <v>8.2000000000000003E-2</v>
      </c>
      <c r="M416" t="s">
        <v>65</v>
      </c>
      <c r="N416">
        <v>0</v>
      </c>
      <c r="P416" t="b">
        <v>0</v>
      </c>
    </row>
    <row r="417" spans="1:16" x14ac:dyDescent="0.2">
      <c r="A417" t="s">
        <v>715</v>
      </c>
      <c r="B417" s="1">
        <v>45548</v>
      </c>
      <c r="C417" s="1">
        <v>45630</v>
      </c>
      <c r="D417" t="s">
        <v>118</v>
      </c>
      <c r="E417" t="s">
        <v>45</v>
      </c>
      <c r="F417" t="s">
        <v>25</v>
      </c>
      <c r="G417" t="s">
        <v>20</v>
      </c>
      <c r="H417" t="s">
        <v>47</v>
      </c>
      <c r="I417" t="s">
        <v>60</v>
      </c>
      <c r="J417">
        <v>1</v>
      </c>
      <c r="K417">
        <v>3709000</v>
      </c>
      <c r="L417">
        <v>-0.2</v>
      </c>
      <c r="M417" t="s">
        <v>23</v>
      </c>
      <c r="N417">
        <v>3438000</v>
      </c>
      <c r="O417">
        <v>4.5</v>
      </c>
      <c r="P417" t="b">
        <v>1</v>
      </c>
    </row>
    <row r="418" spans="1:16" x14ac:dyDescent="0.2">
      <c r="A418" t="s">
        <v>716</v>
      </c>
      <c r="B418" s="1">
        <v>45338</v>
      </c>
      <c r="C418" s="1">
        <v>45355</v>
      </c>
      <c r="D418" t="s">
        <v>82</v>
      </c>
      <c r="E418" t="s">
        <v>18</v>
      </c>
      <c r="F418" t="s">
        <v>39</v>
      </c>
      <c r="G418" t="s">
        <v>20</v>
      </c>
      <c r="H418" t="s">
        <v>21</v>
      </c>
      <c r="I418" t="s">
        <v>60</v>
      </c>
      <c r="J418">
        <v>3</v>
      </c>
      <c r="K418">
        <v>3444000</v>
      </c>
      <c r="L418">
        <v>0.152</v>
      </c>
      <c r="M418" t="s">
        <v>23</v>
      </c>
      <c r="N418">
        <v>8762000</v>
      </c>
      <c r="O418">
        <v>4.7</v>
      </c>
      <c r="P418" t="b">
        <v>0</v>
      </c>
    </row>
    <row r="419" spans="1:16" x14ac:dyDescent="0.2">
      <c r="A419" t="s">
        <v>717</v>
      </c>
      <c r="B419" s="1">
        <v>45786</v>
      </c>
      <c r="C419" s="1">
        <v>45834</v>
      </c>
      <c r="D419" t="s">
        <v>376</v>
      </c>
      <c r="E419" t="s">
        <v>33</v>
      </c>
      <c r="F419" t="s">
        <v>45</v>
      </c>
      <c r="G419" t="s">
        <v>35</v>
      </c>
      <c r="H419" t="s">
        <v>21</v>
      </c>
      <c r="I419" t="s">
        <v>57</v>
      </c>
      <c r="J419">
        <v>5</v>
      </c>
      <c r="K419">
        <v>4535000</v>
      </c>
      <c r="L419">
        <v>8.8999999999999996E-2</v>
      </c>
      <c r="M419" t="s">
        <v>23</v>
      </c>
      <c r="N419">
        <v>20657000</v>
      </c>
      <c r="O419">
        <v>4.2</v>
      </c>
      <c r="P419" t="b">
        <v>1</v>
      </c>
    </row>
    <row r="420" spans="1:16" x14ac:dyDescent="0.2">
      <c r="A420" t="s">
        <v>718</v>
      </c>
      <c r="B420" s="1">
        <v>45696</v>
      </c>
      <c r="C420" s="1">
        <v>45773</v>
      </c>
      <c r="D420" t="s">
        <v>719</v>
      </c>
      <c r="E420" t="s">
        <v>33</v>
      </c>
      <c r="F420" t="s">
        <v>25</v>
      </c>
      <c r="G420" t="s">
        <v>20</v>
      </c>
      <c r="H420" t="s">
        <v>21</v>
      </c>
      <c r="I420" t="s">
        <v>83</v>
      </c>
      <c r="J420">
        <v>1</v>
      </c>
      <c r="K420">
        <v>4671000</v>
      </c>
      <c r="L420">
        <v>7.5999999999999998E-2</v>
      </c>
      <c r="M420" t="s">
        <v>23</v>
      </c>
      <c r="N420">
        <v>4316000</v>
      </c>
      <c r="O420">
        <v>5</v>
      </c>
      <c r="P420" t="b">
        <v>1</v>
      </c>
    </row>
    <row r="421" spans="1:16" x14ac:dyDescent="0.2">
      <c r="A421" t="s">
        <v>720</v>
      </c>
      <c r="B421" s="1">
        <v>45344</v>
      </c>
      <c r="C421" s="1">
        <v>45392</v>
      </c>
      <c r="D421" t="s">
        <v>721</v>
      </c>
      <c r="E421" t="s">
        <v>18</v>
      </c>
      <c r="F421" t="s">
        <v>19</v>
      </c>
      <c r="G421" t="s">
        <v>50</v>
      </c>
      <c r="H421" t="s">
        <v>51</v>
      </c>
      <c r="I421" t="s">
        <v>22</v>
      </c>
      <c r="J421">
        <v>1</v>
      </c>
      <c r="K421">
        <v>2244000</v>
      </c>
      <c r="L421">
        <v>0.16400000000000001</v>
      </c>
      <c r="M421" t="s">
        <v>23</v>
      </c>
      <c r="N421">
        <v>1876000</v>
      </c>
      <c r="O421">
        <v>3.7</v>
      </c>
      <c r="P421" t="b">
        <v>0</v>
      </c>
    </row>
    <row r="422" spans="1:16" x14ac:dyDescent="0.2">
      <c r="A422" t="s">
        <v>722</v>
      </c>
      <c r="B422" s="1">
        <v>45430</v>
      </c>
      <c r="C422" s="1">
        <v>45508</v>
      </c>
      <c r="D422" t="s">
        <v>376</v>
      </c>
      <c r="E422" t="s">
        <v>33</v>
      </c>
      <c r="F422" t="s">
        <v>25</v>
      </c>
      <c r="G422" t="s">
        <v>20</v>
      </c>
      <c r="H422" t="s">
        <v>51</v>
      </c>
      <c r="I422" t="s">
        <v>83</v>
      </c>
      <c r="J422">
        <v>1</v>
      </c>
      <c r="K422">
        <v>5325000</v>
      </c>
      <c r="L422">
        <v>0.11799999999999999</v>
      </c>
      <c r="M422" t="s">
        <v>23</v>
      </c>
      <c r="N422">
        <v>4697000</v>
      </c>
      <c r="O422">
        <v>3.9</v>
      </c>
      <c r="P422" t="b">
        <v>1</v>
      </c>
    </row>
    <row r="423" spans="1:16" x14ac:dyDescent="0.2">
      <c r="A423" t="s">
        <v>723</v>
      </c>
      <c r="B423" s="1">
        <v>45638</v>
      </c>
      <c r="C423" s="1">
        <v>45723</v>
      </c>
      <c r="D423" t="s">
        <v>116</v>
      </c>
      <c r="E423" t="s">
        <v>29</v>
      </c>
      <c r="F423" t="s">
        <v>34</v>
      </c>
      <c r="G423" t="s">
        <v>35</v>
      </c>
      <c r="H423" t="s">
        <v>40</v>
      </c>
      <c r="I423" t="s">
        <v>99</v>
      </c>
      <c r="J423">
        <v>1</v>
      </c>
      <c r="K423">
        <v>0</v>
      </c>
      <c r="L423">
        <v>0.108</v>
      </c>
      <c r="M423" t="s">
        <v>23</v>
      </c>
      <c r="N423">
        <v>3062000</v>
      </c>
      <c r="O423">
        <v>3.7</v>
      </c>
      <c r="P423" t="b">
        <v>1</v>
      </c>
    </row>
    <row r="424" spans="1:16" x14ac:dyDescent="0.2">
      <c r="A424" t="s">
        <v>724</v>
      </c>
      <c r="B424" s="1">
        <v>45628</v>
      </c>
      <c r="C424" s="1">
        <v>45676</v>
      </c>
      <c r="D424" t="s">
        <v>725</v>
      </c>
      <c r="E424" t="s">
        <v>18</v>
      </c>
      <c r="F424" t="s">
        <v>39</v>
      </c>
      <c r="G424" t="s">
        <v>35</v>
      </c>
      <c r="H424" t="s">
        <v>21</v>
      </c>
      <c r="I424" t="s">
        <v>99</v>
      </c>
      <c r="J424">
        <v>1</v>
      </c>
      <c r="K424">
        <v>1736000</v>
      </c>
      <c r="L424">
        <v>0.10100000000000001</v>
      </c>
      <c r="M424" t="s">
        <v>23</v>
      </c>
      <c r="N424">
        <v>1561000</v>
      </c>
      <c r="O424">
        <v>5</v>
      </c>
      <c r="P424" t="b">
        <v>1</v>
      </c>
    </row>
    <row r="425" spans="1:16" x14ac:dyDescent="0.2">
      <c r="A425" t="s">
        <v>726</v>
      </c>
      <c r="B425" s="1">
        <v>45791</v>
      </c>
      <c r="C425" s="1">
        <v>45805</v>
      </c>
      <c r="D425" t="s">
        <v>727</v>
      </c>
      <c r="E425" t="s">
        <v>45</v>
      </c>
      <c r="F425" t="s">
        <v>34</v>
      </c>
      <c r="G425" t="s">
        <v>35</v>
      </c>
      <c r="H425" t="s">
        <v>21</v>
      </c>
      <c r="J425">
        <v>2</v>
      </c>
      <c r="K425">
        <v>3315000</v>
      </c>
      <c r="L425">
        <v>0.14899999999999999</v>
      </c>
      <c r="M425" t="s">
        <v>23</v>
      </c>
      <c r="N425">
        <v>5642000</v>
      </c>
      <c r="O425">
        <v>4.5999999999999996</v>
      </c>
      <c r="P425" t="b">
        <v>1</v>
      </c>
    </row>
    <row r="426" spans="1:16" x14ac:dyDescent="0.2">
      <c r="A426" t="s">
        <v>728</v>
      </c>
      <c r="B426" s="1">
        <v>45457</v>
      </c>
      <c r="C426" s="1">
        <v>45494</v>
      </c>
      <c r="D426" t="s">
        <v>729</v>
      </c>
      <c r="E426" t="s">
        <v>29</v>
      </c>
      <c r="F426" t="s">
        <v>45</v>
      </c>
      <c r="G426" t="s">
        <v>20</v>
      </c>
      <c r="H426" t="s">
        <v>21</v>
      </c>
      <c r="I426" t="s">
        <v>26</v>
      </c>
      <c r="J426">
        <v>3</v>
      </c>
      <c r="K426">
        <v>3913000</v>
      </c>
      <c r="L426">
        <v>3.4000000000000002E-2</v>
      </c>
      <c r="M426" t="s">
        <v>23</v>
      </c>
      <c r="N426">
        <v>11340000</v>
      </c>
      <c r="O426">
        <v>3.9</v>
      </c>
      <c r="P426" t="b">
        <v>0</v>
      </c>
    </row>
    <row r="427" spans="1:16" x14ac:dyDescent="0.2">
      <c r="A427" t="s">
        <v>730</v>
      </c>
      <c r="B427" s="1">
        <v>45868</v>
      </c>
      <c r="C427" s="1">
        <v>45895</v>
      </c>
      <c r="D427" t="s">
        <v>136</v>
      </c>
      <c r="E427" t="s">
        <v>45</v>
      </c>
      <c r="F427" t="s">
        <v>45</v>
      </c>
      <c r="G427" t="s">
        <v>20</v>
      </c>
      <c r="H427" t="s">
        <v>47</v>
      </c>
      <c r="I427" t="s">
        <v>57</v>
      </c>
      <c r="J427">
        <v>3</v>
      </c>
      <c r="K427">
        <v>3422000</v>
      </c>
      <c r="L427">
        <v>7.0000000000000001E-3</v>
      </c>
      <c r="M427" t="s">
        <v>23</v>
      </c>
      <c r="N427">
        <v>10194000</v>
      </c>
      <c r="O427">
        <v>3.8</v>
      </c>
      <c r="P427" t="b">
        <v>1</v>
      </c>
    </row>
    <row r="428" spans="1:16" x14ac:dyDescent="0.2">
      <c r="A428" t="s">
        <v>731</v>
      </c>
      <c r="B428" s="1">
        <v>45568</v>
      </c>
      <c r="C428" s="1">
        <v>45616</v>
      </c>
      <c r="D428" t="s">
        <v>732</v>
      </c>
      <c r="E428" t="s">
        <v>18</v>
      </c>
      <c r="F428" t="s">
        <v>25</v>
      </c>
      <c r="G428" t="s">
        <v>20</v>
      </c>
      <c r="H428" t="s">
        <v>21</v>
      </c>
      <c r="I428" t="s">
        <v>83</v>
      </c>
      <c r="J428">
        <v>1</v>
      </c>
      <c r="K428">
        <v>4478000</v>
      </c>
      <c r="L428">
        <v>0.189</v>
      </c>
      <c r="M428" t="s">
        <v>23</v>
      </c>
      <c r="N428">
        <v>3632000</v>
      </c>
      <c r="O428">
        <v>4.9000000000000004</v>
      </c>
      <c r="P428" t="b">
        <v>1</v>
      </c>
    </row>
    <row r="429" spans="1:16" x14ac:dyDescent="0.2">
      <c r="A429" t="s">
        <v>733</v>
      </c>
      <c r="B429" s="1">
        <v>45804</v>
      </c>
      <c r="C429" s="1">
        <v>45861</v>
      </c>
      <c r="D429" t="s">
        <v>734</v>
      </c>
      <c r="E429" t="s">
        <v>29</v>
      </c>
      <c r="F429" t="s">
        <v>39</v>
      </c>
      <c r="G429" t="s">
        <v>20</v>
      </c>
      <c r="H429" t="s">
        <v>21</v>
      </c>
      <c r="I429" t="s">
        <v>94</v>
      </c>
      <c r="J429">
        <v>4</v>
      </c>
      <c r="K429">
        <v>1762000</v>
      </c>
      <c r="L429">
        <v>4.2000000000000003E-2</v>
      </c>
      <c r="M429" t="s">
        <v>23</v>
      </c>
      <c r="N429">
        <v>6752000</v>
      </c>
      <c r="O429">
        <v>4.4000000000000004</v>
      </c>
      <c r="P429" t="b">
        <v>0</v>
      </c>
    </row>
    <row r="430" spans="1:16" x14ac:dyDescent="0.2">
      <c r="A430" t="s">
        <v>735</v>
      </c>
      <c r="B430" s="1">
        <v>45440</v>
      </c>
      <c r="C430" s="1">
        <v>45487</v>
      </c>
      <c r="D430" t="s">
        <v>181</v>
      </c>
      <c r="E430" t="s">
        <v>45</v>
      </c>
      <c r="F430" t="s">
        <v>19</v>
      </c>
      <c r="G430" t="s">
        <v>20</v>
      </c>
      <c r="H430" t="s">
        <v>47</v>
      </c>
      <c r="I430" t="s">
        <v>77</v>
      </c>
      <c r="J430">
        <v>3</v>
      </c>
      <c r="K430">
        <v>1786000</v>
      </c>
      <c r="L430">
        <v>-0.2</v>
      </c>
      <c r="M430" t="s">
        <v>23</v>
      </c>
      <c r="N430">
        <v>5031000</v>
      </c>
      <c r="O430">
        <v>4.9000000000000004</v>
      </c>
      <c r="P430" t="b">
        <v>1</v>
      </c>
    </row>
    <row r="431" spans="1:16" x14ac:dyDescent="0.2">
      <c r="A431" t="s">
        <v>736</v>
      </c>
      <c r="B431" s="1">
        <v>45315</v>
      </c>
      <c r="C431" s="1">
        <v>45340</v>
      </c>
      <c r="D431" t="s">
        <v>737</v>
      </c>
      <c r="E431" t="s">
        <v>18</v>
      </c>
      <c r="F431" t="s">
        <v>39</v>
      </c>
      <c r="G431" t="s">
        <v>50</v>
      </c>
      <c r="H431" t="s">
        <v>21</v>
      </c>
      <c r="I431" t="s">
        <v>22</v>
      </c>
      <c r="J431">
        <v>1</v>
      </c>
      <c r="K431">
        <v>-100000</v>
      </c>
      <c r="L431">
        <v>8.3000000000000004E-2</v>
      </c>
      <c r="M431" t="s">
        <v>65</v>
      </c>
      <c r="N431">
        <v>0</v>
      </c>
      <c r="P431" t="b">
        <v>0</v>
      </c>
    </row>
    <row r="432" spans="1:16" x14ac:dyDescent="0.2">
      <c r="A432" t="s">
        <v>738</v>
      </c>
      <c r="B432" s="1">
        <v>45326</v>
      </c>
      <c r="C432" s="1">
        <v>45360</v>
      </c>
      <c r="D432" t="s">
        <v>739</v>
      </c>
      <c r="E432" t="s">
        <v>18</v>
      </c>
      <c r="F432" t="s">
        <v>45</v>
      </c>
      <c r="G432" t="s">
        <v>35</v>
      </c>
      <c r="H432" t="s">
        <v>47</v>
      </c>
      <c r="I432" t="s">
        <v>94</v>
      </c>
      <c r="J432">
        <v>4</v>
      </c>
      <c r="K432">
        <v>2327000</v>
      </c>
      <c r="L432">
        <v>0.19700000000000001</v>
      </c>
      <c r="M432" t="s">
        <v>23</v>
      </c>
      <c r="N432">
        <v>7474000</v>
      </c>
      <c r="O432">
        <v>4.5</v>
      </c>
      <c r="P432" t="b">
        <v>0</v>
      </c>
    </row>
    <row r="433" spans="1:16" x14ac:dyDescent="0.2">
      <c r="A433" t="s">
        <v>740</v>
      </c>
      <c r="B433" s="1">
        <v>45524</v>
      </c>
      <c r="C433" s="1">
        <v>45589</v>
      </c>
      <c r="D433" t="s">
        <v>741</v>
      </c>
      <c r="E433" t="s">
        <v>18</v>
      </c>
      <c r="F433" t="s">
        <v>39</v>
      </c>
      <c r="G433" t="s">
        <v>35</v>
      </c>
      <c r="H433" t="s">
        <v>21</v>
      </c>
      <c r="I433" t="s">
        <v>60</v>
      </c>
      <c r="J433">
        <v>1</v>
      </c>
      <c r="K433">
        <v>0</v>
      </c>
      <c r="L433">
        <v>0.17100000000000001</v>
      </c>
      <c r="M433" t="s">
        <v>23</v>
      </c>
      <c r="N433">
        <v>1520000</v>
      </c>
      <c r="O433">
        <v>4.4000000000000004</v>
      </c>
      <c r="P433" t="b">
        <v>0</v>
      </c>
    </row>
    <row r="434" spans="1:16" x14ac:dyDescent="0.2">
      <c r="A434" t="s">
        <v>742</v>
      </c>
      <c r="B434" s="1">
        <v>45885</v>
      </c>
      <c r="C434" s="1">
        <v>45897</v>
      </c>
      <c r="D434" t="s">
        <v>743</v>
      </c>
      <c r="E434" t="s">
        <v>29</v>
      </c>
      <c r="F434" t="s">
        <v>45</v>
      </c>
      <c r="G434" t="s">
        <v>20</v>
      </c>
      <c r="H434" t="s">
        <v>47</v>
      </c>
      <c r="I434" t="s">
        <v>30</v>
      </c>
      <c r="J434">
        <v>4</v>
      </c>
      <c r="K434">
        <v>3900000</v>
      </c>
      <c r="L434">
        <v>0.05</v>
      </c>
      <c r="M434" t="s">
        <v>23</v>
      </c>
      <c r="N434">
        <v>14820000</v>
      </c>
      <c r="O434">
        <v>3.9</v>
      </c>
      <c r="P434" t="b">
        <v>1</v>
      </c>
    </row>
    <row r="435" spans="1:16" x14ac:dyDescent="0.2">
      <c r="A435" t="s">
        <v>744</v>
      </c>
      <c r="B435" s="1">
        <v>45322</v>
      </c>
      <c r="C435" s="1">
        <v>45349</v>
      </c>
      <c r="D435" t="s">
        <v>745</v>
      </c>
      <c r="E435" t="s">
        <v>45</v>
      </c>
      <c r="F435" t="s">
        <v>39</v>
      </c>
      <c r="G435" t="s">
        <v>20</v>
      </c>
      <c r="H435" t="s">
        <v>21</v>
      </c>
      <c r="I435" t="s">
        <v>99</v>
      </c>
      <c r="J435">
        <v>2</v>
      </c>
      <c r="K435">
        <v>1423000</v>
      </c>
      <c r="L435">
        <v>4.9000000000000002E-2</v>
      </c>
      <c r="M435" t="s">
        <v>23</v>
      </c>
      <c r="N435">
        <v>2707000</v>
      </c>
      <c r="O435">
        <v>4.0999999999999996</v>
      </c>
      <c r="P435" t="b">
        <v>0</v>
      </c>
    </row>
    <row r="436" spans="1:16" x14ac:dyDescent="0.2">
      <c r="A436" t="s">
        <v>746</v>
      </c>
      <c r="B436" s="1">
        <v>45521</v>
      </c>
      <c r="C436" s="1">
        <v>45603</v>
      </c>
      <c r="D436" t="s">
        <v>747</v>
      </c>
      <c r="E436" t="s">
        <v>45</v>
      </c>
      <c r="F436" t="s">
        <v>68</v>
      </c>
      <c r="G436" t="s">
        <v>35</v>
      </c>
      <c r="H436" t="s">
        <v>21</v>
      </c>
      <c r="I436" t="s">
        <v>83</v>
      </c>
      <c r="J436">
        <v>3</v>
      </c>
      <c r="K436">
        <v>2220000</v>
      </c>
      <c r="L436">
        <v>9.9000000000000005E-2</v>
      </c>
      <c r="M436" t="s">
        <v>23</v>
      </c>
      <c r="N436">
        <v>6001000</v>
      </c>
      <c r="O436">
        <v>3.6</v>
      </c>
      <c r="P436" t="b">
        <v>0</v>
      </c>
    </row>
    <row r="437" spans="1:16" x14ac:dyDescent="0.2">
      <c r="A437" t="s">
        <v>748</v>
      </c>
      <c r="B437" s="1">
        <v>45360</v>
      </c>
      <c r="C437" s="1">
        <v>45378</v>
      </c>
      <c r="D437" t="s">
        <v>363</v>
      </c>
      <c r="E437" t="s">
        <v>45</v>
      </c>
      <c r="F437" t="s">
        <v>19</v>
      </c>
      <c r="G437" t="s">
        <v>20</v>
      </c>
      <c r="H437" t="s">
        <v>21</v>
      </c>
      <c r="I437" t="s">
        <v>30</v>
      </c>
      <c r="J437">
        <v>1</v>
      </c>
      <c r="K437">
        <v>1713000</v>
      </c>
      <c r="L437">
        <v>0.154</v>
      </c>
      <c r="M437" t="s">
        <v>23</v>
      </c>
      <c r="N437">
        <v>1449000</v>
      </c>
      <c r="O437">
        <v>4.4000000000000004</v>
      </c>
      <c r="P437" t="b">
        <v>0</v>
      </c>
    </row>
    <row r="438" spans="1:16" x14ac:dyDescent="0.2">
      <c r="A438" t="s">
        <v>749</v>
      </c>
      <c r="B438" s="1">
        <v>45872</v>
      </c>
      <c r="C438" s="1">
        <v>45915</v>
      </c>
      <c r="D438" t="s">
        <v>750</v>
      </c>
      <c r="E438" t="s">
        <v>45</v>
      </c>
      <c r="F438" t="s">
        <v>39</v>
      </c>
      <c r="G438" t="s">
        <v>20</v>
      </c>
      <c r="H438" t="s">
        <v>21</v>
      </c>
      <c r="I438" t="s">
        <v>99</v>
      </c>
      <c r="J438">
        <v>1</v>
      </c>
      <c r="K438">
        <v>2070000</v>
      </c>
      <c r="L438">
        <v>0.13100000000000001</v>
      </c>
      <c r="M438" t="s">
        <v>65</v>
      </c>
      <c r="N438">
        <v>0</v>
      </c>
      <c r="P438" t="b">
        <v>1</v>
      </c>
    </row>
    <row r="439" spans="1:16" x14ac:dyDescent="0.2">
      <c r="A439" t="s">
        <v>751</v>
      </c>
      <c r="B439" s="1">
        <v>45712</v>
      </c>
      <c r="C439" s="1">
        <v>45738</v>
      </c>
      <c r="D439" t="s">
        <v>752</v>
      </c>
      <c r="E439" t="s">
        <v>45</v>
      </c>
      <c r="F439" t="s">
        <v>45</v>
      </c>
      <c r="G439" t="s">
        <v>35</v>
      </c>
      <c r="H439" t="s">
        <v>40</v>
      </c>
      <c r="I439" t="s">
        <v>52</v>
      </c>
      <c r="J439">
        <v>5</v>
      </c>
      <c r="K439">
        <v>3690000</v>
      </c>
      <c r="L439">
        <v>0.127</v>
      </c>
      <c r="M439" t="s">
        <v>23</v>
      </c>
      <c r="N439">
        <v>16107000</v>
      </c>
      <c r="O439">
        <v>4.7</v>
      </c>
      <c r="P439" t="b">
        <v>0</v>
      </c>
    </row>
    <row r="440" spans="1:16" x14ac:dyDescent="0.2">
      <c r="A440" t="s">
        <v>753</v>
      </c>
      <c r="B440" s="1">
        <v>45767</v>
      </c>
      <c r="C440" s="1">
        <v>45785</v>
      </c>
      <c r="D440" t="s">
        <v>615</v>
      </c>
      <c r="E440" t="s">
        <v>33</v>
      </c>
      <c r="F440" t="s">
        <v>25</v>
      </c>
      <c r="G440" t="s">
        <v>35</v>
      </c>
      <c r="H440" t="s">
        <v>21</v>
      </c>
      <c r="I440" t="s">
        <v>57</v>
      </c>
      <c r="J440">
        <v>1</v>
      </c>
      <c r="K440">
        <v>5052000</v>
      </c>
      <c r="L440">
        <v>0.13300000000000001</v>
      </c>
      <c r="M440" t="s">
        <v>23</v>
      </c>
      <c r="N440">
        <v>4380000</v>
      </c>
      <c r="O440">
        <v>4.5</v>
      </c>
      <c r="P440" t="b">
        <v>1</v>
      </c>
    </row>
    <row r="441" spans="1:16" x14ac:dyDescent="0.2">
      <c r="A441" t="s">
        <v>754</v>
      </c>
      <c r="B441" s="1">
        <v>45736</v>
      </c>
      <c r="C441" s="1">
        <v>45780</v>
      </c>
      <c r="D441" t="s">
        <v>755</v>
      </c>
      <c r="E441" t="s">
        <v>29</v>
      </c>
      <c r="F441" t="s">
        <v>68</v>
      </c>
      <c r="G441" t="s">
        <v>46</v>
      </c>
      <c r="H441" t="s">
        <v>21</v>
      </c>
      <c r="I441" t="s">
        <v>52</v>
      </c>
      <c r="J441">
        <v>1</v>
      </c>
      <c r="K441">
        <v>2750000</v>
      </c>
      <c r="L441">
        <v>0.16600000000000001</v>
      </c>
      <c r="M441" t="s">
        <v>23</v>
      </c>
      <c r="N441">
        <v>2294000</v>
      </c>
      <c r="O441">
        <v>4.0999999999999996</v>
      </c>
      <c r="P441" t="b">
        <v>0</v>
      </c>
    </row>
    <row r="442" spans="1:16" x14ac:dyDescent="0.2">
      <c r="A442" t="s">
        <v>756</v>
      </c>
      <c r="B442" s="1">
        <v>45701</v>
      </c>
      <c r="C442" s="1">
        <v>45753</v>
      </c>
      <c r="D442" t="s">
        <v>757</v>
      </c>
      <c r="E442" t="s">
        <v>45</v>
      </c>
      <c r="F442" t="s">
        <v>19</v>
      </c>
      <c r="G442" t="s">
        <v>20</v>
      </c>
      <c r="H442" t="s">
        <v>47</v>
      </c>
      <c r="I442" t="s">
        <v>83</v>
      </c>
      <c r="J442">
        <v>2</v>
      </c>
      <c r="K442">
        <v>2732000</v>
      </c>
      <c r="L442">
        <v>0.11700000000000001</v>
      </c>
      <c r="M442" t="s">
        <v>23</v>
      </c>
      <c r="N442">
        <v>4825000</v>
      </c>
      <c r="O442">
        <v>5</v>
      </c>
      <c r="P442" t="b">
        <v>0</v>
      </c>
    </row>
    <row r="443" spans="1:16" x14ac:dyDescent="0.2">
      <c r="A443" t="s">
        <v>758</v>
      </c>
      <c r="B443" s="1">
        <v>45774</v>
      </c>
      <c r="C443" s="1">
        <v>45798</v>
      </c>
      <c r="D443" t="s">
        <v>393</v>
      </c>
      <c r="E443" t="s">
        <v>18</v>
      </c>
      <c r="F443" t="s">
        <v>25</v>
      </c>
      <c r="G443" t="s">
        <v>35</v>
      </c>
      <c r="H443" t="s">
        <v>21</v>
      </c>
      <c r="I443" t="s">
        <v>57</v>
      </c>
      <c r="J443">
        <v>2</v>
      </c>
      <c r="K443">
        <v>3300000</v>
      </c>
      <c r="L443">
        <v>0.14699999999999999</v>
      </c>
      <c r="M443" t="s">
        <v>23</v>
      </c>
      <c r="N443">
        <v>5630000</v>
      </c>
      <c r="O443">
        <v>4.5999999999999996</v>
      </c>
      <c r="P443" t="b">
        <v>1</v>
      </c>
    </row>
    <row r="444" spans="1:16" x14ac:dyDescent="0.2">
      <c r="A444" t="s">
        <v>759</v>
      </c>
      <c r="B444" s="1">
        <v>45297</v>
      </c>
      <c r="C444" s="1">
        <v>45313</v>
      </c>
      <c r="D444" t="s">
        <v>159</v>
      </c>
      <c r="E444" t="s">
        <v>33</v>
      </c>
      <c r="F444" t="s">
        <v>34</v>
      </c>
      <c r="G444" t="s">
        <v>20</v>
      </c>
      <c r="H444" t="s">
        <v>40</v>
      </c>
      <c r="I444" t="s">
        <v>60</v>
      </c>
      <c r="J444">
        <v>2</v>
      </c>
      <c r="K444">
        <v>5012000</v>
      </c>
      <c r="L444">
        <v>6.0999999999999999E-2</v>
      </c>
      <c r="M444" t="s">
        <v>23</v>
      </c>
      <c r="N444">
        <v>9413000</v>
      </c>
      <c r="O444">
        <v>4.9000000000000004</v>
      </c>
      <c r="P444" t="b">
        <v>0</v>
      </c>
    </row>
    <row r="445" spans="1:16" x14ac:dyDescent="0.2">
      <c r="A445" t="s">
        <v>760</v>
      </c>
      <c r="B445" s="1">
        <v>45831</v>
      </c>
      <c r="C445" s="1">
        <v>45851</v>
      </c>
      <c r="D445" t="s">
        <v>459</v>
      </c>
      <c r="E445" t="s">
        <v>18</v>
      </c>
      <c r="F445" t="s">
        <v>34</v>
      </c>
      <c r="G445" t="s">
        <v>20</v>
      </c>
      <c r="H445" t="s">
        <v>47</v>
      </c>
      <c r="I445" t="s">
        <v>57</v>
      </c>
      <c r="J445">
        <v>2</v>
      </c>
      <c r="K445">
        <v>0</v>
      </c>
      <c r="L445">
        <v>0.16200000000000001</v>
      </c>
      <c r="M445" t="s">
        <v>23</v>
      </c>
      <c r="N445">
        <v>5377000</v>
      </c>
      <c r="O445">
        <v>4.9000000000000004</v>
      </c>
      <c r="P445" t="b">
        <v>1</v>
      </c>
    </row>
    <row r="446" spans="1:16" x14ac:dyDescent="0.2">
      <c r="A446" t="s">
        <v>761</v>
      </c>
      <c r="B446" s="1">
        <v>45752</v>
      </c>
      <c r="C446" s="1">
        <v>45814</v>
      </c>
      <c r="D446" t="s">
        <v>762</v>
      </c>
      <c r="E446" t="s">
        <v>45</v>
      </c>
      <c r="F446" t="s">
        <v>39</v>
      </c>
      <c r="G446" t="s">
        <v>50</v>
      </c>
      <c r="H446" t="s">
        <v>21</v>
      </c>
      <c r="I446" t="s">
        <v>77</v>
      </c>
      <c r="J446">
        <v>2</v>
      </c>
      <c r="K446">
        <v>-100000</v>
      </c>
      <c r="L446">
        <v>4.9000000000000002E-2</v>
      </c>
      <c r="M446" t="s">
        <v>23</v>
      </c>
      <c r="N446">
        <v>5714000</v>
      </c>
      <c r="O446">
        <v>4.0999999999999996</v>
      </c>
      <c r="P446" t="b">
        <v>1</v>
      </c>
    </row>
    <row r="447" spans="1:16" x14ac:dyDescent="0.2">
      <c r="A447" t="s">
        <v>763</v>
      </c>
      <c r="B447" s="1">
        <v>45752</v>
      </c>
      <c r="C447" s="1">
        <v>45831</v>
      </c>
      <c r="D447" t="s">
        <v>764</v>
      </c>
      <c r="E447" t="s">
        <v>45</v>
      </c>
      <c r="F447" t="s">
        <v>80</v>
      </c>
      <c r="G447" t="s">
        <v>20</v>
      </c>
      <c r="H447" t="s">
        <v>47</v>
      </c>
      <c r="I447" t="s">
        <v>57</v>
      </c>
      <c r="J447">
        <v>1</v>
      </c>
      <c r="K447">
        <v>1794000</v>
      </c>
      <c r="L447">
        <v>6.8000000000000005E-2</v>
      </c>
      <c r="M447" t="s">
        <v>65</v>
      </c>
      <c r="N447">
        <v>0</v>
      </c>
      <c r="P447" t="b">
        <v>1</v>
      </c>
    </row>
    <row r="448" spans="1:16" x14ac:dyDescent="0.2">
      <c r="A448" t="s">
        <v>765</v>
      </c>
      <c r="B448" s="1">
        <v>45537</v>
      </c>
      <c r="C448" s="1">
        <v>45561</v>
      </c>
      <c r="D448" t="s">
        <v>464</v>
      </c>
      <c r="E448" t="s">
        <v>33</v>
      </c>
      <c r="F448" t="s">
        <v>19</v>
      </c>
      <c r="G448" t="s">
        <v>35</v>
      </c>
      <c r="H448" t="s">
        <v>21</v>
      </c>
      <c r="I448" t="s">
        <v>77</v>
      </c>
      <c r="J448">
        <v>2</v>
      </c>
      <c r="K448">
        <v>3198000</v>
      </c>
      <c r="L448">
        <v>0.154</v>
      </c>
      <c r="M448" t="s">
        <v>23</v>
      </c>
      <c r="N448">
        <v>5411000</v>
      </c>
      <c r="O448">
        <v>4.5999999999999996</v>
      </c>
      <c r="P448" t="b">
        <v>1</v>
      </c>
    </row>
    <row r="449" spans="1:16" x14ac:dyDescent="0.2">
      <c r="A449" t="s">
        <v>766</v>
      </c>
      <c r="B449" s="1">
        <v>45790</v>
      </c>
      <c r="C449" s="1">
        <v>45825</v>
      </c>
      <c r="D449" t="s">
        <v>767</v>
      </c>
      <c r="E449" t="s">
        <v>33</v>
      </c>
      <c r="F449" t="s">
        <v>19</v>
      </c>
      <c r="G449" t="s">
        <v>20</v>
      </c>
      <c r="H449" t="s">
        <v>21</v>
      </c>
      <c r="I449" t="s">
        <v>83</v>
      </c>
      <c r="J449">
        <v>2</v>
      </c>
      <c r="K449">
        <v>2987000</v>
      </c>
      <c r="L449">
        <v>4.3999999999999997E-2</v>
      </c>
      <c r="M449" t="s">
        <v>23</v>
      </c>
      <c r="N449">
        <v>5711000</v>
      </c>
      <c r="O449">
        <v>3.6</v>
      </c>
      <c r="P449" t="b">
        <v>0</v>
      </c>
    </row>
    <row r="450" spans="1:16" x14ac:dyDescent="0.2">
      <c r="A450" t="s">
        <v>768</v>
      </c>
      <c r="B450" s="1">
        <v>45529</v>
      </c>
      <c r="C450" s="1">
        <v>45566</v>
      </c>
      <c r="D450" t="s">
        <v>265</v>
      </c>
      <c r="E450" t="s">
        <v>29</v>
      </c>
      <c r="F450" t="s">
        <v>25</v>
      </c>
      <c r="G450" t="s">
        <v>20</v>
      </c>
      <c r="H450" t="s">
        <v>21</v>
      </c>
      <c r="I450" t="s">
        <v>99</v>
      </c>
      <c r="J450">
        <v>3</v>
      </c>
      <c r="K450">
        <v>4020000</v>
      </c>
      <c r="L450">
        <v>0.12</v>
      </c>
      <c r="M450" t="s">
        <v>65</v>
      </c>
      <c r="N450">
        <v>0</v>
      </c>
      <c r="P450" t="b">
        <v>0</v>
      </c>
    </row>
    <row r="451" spans="1:16" x14ac:dyDescent="0.2">
      <c r="A451" t="s">
        <v>769</v>
      </c>
      <c r="B451" s="1">
        <v>45322</v>
      </c>
      <c r="C451" s="1">
        <v>45361</v>
      </c>
      <c r="D451" t="s">
        <v>601</v>
      </c>
      <c r="E451" t="s">
        <v>45</v>
      </c>
      <c r="F451" t="s">
        <v>39</v>
      </c>
      <c r="G451" t="s">
        <v>50</v>
      </c>
      <c r="H451" t="s">
        <v>47</v>
      </c>
      <c r="I451" t="s">
        <v>60</v>
      </c>
      <c r="J451">
        <v>1</v>
      </c>
      <c r="K451">
        <v>2018000</v>
      </c>
      <c r="L451">
        <v>0.12</v>
      </c>
      <c r="M451" t="s">
        <v>23</v>
      </c>
      <c r="N451">
        <v>1776000</v>
      </c>
      <c r="O451">
        <v>3.6</v>
      </c>
      <c r="P451" t="b">
        <v>0</v>
      </c>
    </row>
    <row r="452" spans="1:16" x14ac:dyDescent="0.2">
      <c r="A452" t="s">
        <v>770</v>
      </c>
      <c r="B452" s="1">
        <v>45857</v>
      </c>
      <c r="C452" s="1">
        <v>45886</v>
      </c>
      <c r="D452" t="s">
        <v>261</v>
      </c>
      <c r="E452" t="s">
        <v>45</v>
      </c>
      <c r="F452" t="s">
        <v>39</v>
      </c>
      <c r="G452" t="s">
        <v>20</v>
      </c>
      <c r="H452" t="s">
        <v>40</v>
      </c>
      <c r="I452" t="s">
        <v>99</v>
      </c>
      <c r="J452">
        <v>1</v>
      </c>
      <c r="K452">
        <v>2078000</v>
      </c>
      <c r="L452">
        <v>2.3E-2</v>
      </c>
      <c r="M452" t="s">
        <v>23</v>
      </c>
      <c r="N452">
        <v>2030000</v>
      </c>
      <c r="O452">
        <v>4.0999999999999996</v>
      </c>
      <c r="P452" t="b">
        <v>1</v>
      </c>
    </row>
    <row r="453" spans="1:16" x14ac:dyDescent="0.2">
      <c r="A453" t="s">
        <v>771</v>
      </c>
      <c r="B453" s="1">
        <v>45438</v>
      </c>
      <c r="C453" s="1">
        <v>45452</v>
      </c>
      <c r="D453" t="s">
        <v>772</v>
      </c>
      <c r="E453" t="s">
        <v>18</v>
      </c>
      <c r="F453" t="s">
        <v>34</v>
      </c>
      <c r="G453" t="s">
        <v>50</v>
      </c>
      <c r="H453" t="s">
        <v>21</v>
      </c>
      <c r="I453" t="s">
        <v>60</v>
      </c>
      <c r="J453">
        <v>2</v>
      </c>
      <c r="K453">
        <v>4914000</v>
      </c>
      <c r="L453">
        <v>7.8E-2</v>
      </c>
      <c r="M453" t="s">
        <v>23</v>
      </c>
      <c r="N453">
        <v>9061000</v>
      </c>
      <c r="O453">
        <v>4</v>
      </c>
      <c r="P453" t="b">
        <v>1</v>
      </c>
    </row>
    <row r="454" spans="1:16" x14ac:dyDescent="0.2">
      <c r="A454" t="s">
        <v>773</v>
      </c>
      <c r="B454" s="1">
        <v>45355</v>
      </c>
      <c r="C454" s="1">
        <v>45407</v>
      </c>
      <c r="D454" t="s">
        <v>732</v>
      </c>
      <c r="E454" t="s">
        <v>18</v>
      </c>
      <c r="F454" t="s">
        <v>25</v>
      </c>
      <c r="G454" t="s">
        <v>20</v>
      </c>
      <c r="H454" t="s">
        <v>51</v>
      </c>
      <c r="I454" t="s">
        <v>94</v>
      </c>
      <c r="J454">
        <v>1</v>
      </c>
      <c r="K454">
        <v>5233000</v>
      </c>
      <c r="L454">
        <v>2.1000000000000001E-2</v>
      </c>
      <c r="M454" t="s">
        <v>23</v>
      </c>
      <c r="N454">
        <v>5123000</v>
      </c>
      <c r="O454">
        <v>3.5</v>
      </c>
      <c r="P454" t="b">
        <v>0</v>
      </c>
    </row>
    <row r="455" spans="1:16" x14ac:dyDescent="0.2">
      <c r="A455" t="s">
        <v>774</v>
      </c>
      <c r="B455" s="1">
        <v>45679</v>
      </c>
      <c r="C455" s="1">
        <v>45717</v>
      </c>
      <c r="D455" t="s">
        <v>588</v>
      </c>
      <c r="E455" t="s">
        <v>18</v>
      </c>
      <c r="F455" t="s">
        <v>25</v>
      </c>
      <c r="G455" t="s">
        <v>50</v>
      </c>
      <c r="H455" t="s">
        <v>21</v>
      </c>
      <c r="J455">
        <v>1</v>
      </c>
      <c r="K455">
        <v>3439000</v>
      </c>
      <c r="L455">
        <v>0.22500000000000001</v>
      </c>
      <c r="M455" t="s">
        <v>23</v>
      </c>
      <c r="N455">
        <v>2665000</v>
      </c>
      <c r="O455">
        <v>4.3</v>
      </c>
      <c r="P455" t="b">
        <v>1</v>
      </c>
    </row>
    <row r="456" spans="1:16" x14ac:dyDescent="0.2">
      <c r="A456" t="s">
        <v>775</v>
      </c>
      <c r="B456" s="1">
        <v>45437</v>
      </c>
      <c r="C456" s="1">
        <v>45474</v>
      </c>
      <c r="D456" t="s">
        <v>183</v>
      </c>
      <c r="E456" t="s">
        <v>18</v>
      </c>
      <c r="F456" t="s">
        <v>45</v>
      </c>
      <c r="G456" t="s">
        <v>20</v>
      </c>
      <c r="H456" t="s">
        <v>47</v>
      </c>
      <c r="I456" t="s">
        <v>94</v>
      </c>
      <c r="J456">
        <v>4</v>
      </c>
      <c r="K456">
        <v>3121000</v>
      </c>
      <c r="L456">
        <v>9.1999999999999998E-2</v>
      </c>
      <c r="M456" t="s">
        <v>65</v>
      </c>
      <c r="N456">
        <v>0</v>
      </c>
      <c r="P456" t="b">
        <v>1</v>
      </c>
    </row>
    <row r="457" spans="1:16" x14ac:dyDescent="0.2">
      <c r="A457" t="s">
        <v>776</v>
      </c>
      <c r="B457" s="1">
        <v>45826</v>
      </c>
      <c r="C457" s="1">
        <v>45857</v>
      </c>
      <c r="D457" t="s">
        <v>777</v>
      </c>
      <c r="E457" t="s">
        <v>33</v>
      </c>
      <c r="F457" t="s">
        <v>19</v>
      </c>
      <c r="G457" t="s">
        <v>20</v>
      </c>
      <c r="H457" t="s">
        <v>47</v>
      </c>
      <c r="I457" t="s">
        <v>22</v>
      </c>
      <c r="J457">
        <v>2</v>
      </c>
      <c r="K457">
        <v>2207000</v>
      </c>
      <c r="L457">
        <v>8.5999999999999993E-2</v>
      </c>
      <c r="M457" t="s">
        <v>23</v>
      </c>
      <c r="N457">
        <v>4034000</v>
      </c>
      <c r="O457">
        <v>4.8</v>
      </c>
      <c r="P457" t="b">
        <v>0</v>
      </c>
    </row>
    <row r="458" spans="1:16" x14ac:dyDescent="0.2">
      <c r="A458" t="s">
        <v>778</v>
      </c>
      <c r="B458" s="1">
        <v>45568</v>
      </c>
      <c r="C458" s="1">
        <v>45653</v>
      </c>
      <c r="D458" t="s">
        <v>779</v>
      </c>
      <c r="E458" t="s">
        <v>18</v>
      </c>
      <c r="F458" t="s">
        <v>19</v>
      </c>
      <c r="G458" t="s">
        <v>50</v>
      </c>
      <c r="H458" t="s">
        <v>51</v>
      </c>
      <c r="I458" t="s">
        <v>22</v>
      </c>
      <c r="J458">
        <v>1</v>
      </c>
      <c r="K458">
        <v>1789000</v>
      </c>
      <c r="L458">
        <v>0</v>
      </c>
      <c r="M458" t="s">
        <v>23</v>
      </c>
      <c r="N458">
        <v>1789000</v>
      </c>
      <c r="O458">
        <v>5</v>
      </c>
      <c r="P458" t="b">
        <v>0</v>
      </c>
    </row>
    <row r="459" spans="1:16" x14ac:dyDescent="0.2">
      <c r="A459" t="s">
        <v>780</v>
      </c>
      <c r="B459" s="1">
        <v>45294</v>
      </c>
      <c r="C459" s="1">
        <v>45353</v>
      </c>
      <c r="D459" t="s">
        <v>657</v>
      </c>
      <c r="E459" t="s">
        <v>18</v>
      </c>
      <c r="F459" t="s">
        <v>25</v>
      </c>
      <c r="G459" t="s">
        <v>20</v>
      </c>
      <c r="H459" t="s">
        <v>51</v>
      </c>
      <c r="I459" t="s">
        <v>99</v>
      </c>
      <c r="J459">
        <v>1</v>
      </c>
      <c r="K459">
        <v>5719000</v>
      </c>
      <c r="L459">
        <v>7.1999999999999995E-2</v>
      </c>
      <c r="M459" t="s">
        <v>23</v>
      </c>
      <c r="N459">
        <v>5307000</v>
      </c>
      <c r="O459">
        <v>4.4000000000000004</v>
      </c>
      <c r="P459" t="b">
        <v>0</v>
      </c>
    </row>
    <row r="460" spans="1:16" x14ac:dyDescent="0.2">
      <c r="A460" t="s">
        <v>781</v>
      </c>
      <c r="B460" s="1">
        <v>45884</v>
      </c>
      <c r="C460" s="1">
        <v>45927</v>
      </c>
      <c r="D460" t="s">
        <v>441</v>
      </c>
      <c r="E460" t="s">
        <v>45</v>
      </c>
      <c r="F460" t="s">
        <v>25</v>
      </c>
      <c r="G460" t="s">
        <v>20</v>
      </c>
      <c r="H460" t="s">
        <v>51</v>
      </c>
      <c r="I460" t="s">
        <v>30</v>
      </c>
      <c r="J460">
        <v>1</v>
      </c>
      <c r="K460">
        <v>5479000</v>
      </c>
      <c r="L460">
        <v>0.20300000000000001</v>
      </c>
      <c r="M460" t="s">
        <v>23</v>
      </c>
      <c r="N460">
        <v>4367000</v>
      </c>
      <c r="O460">
        <v>3.9</v>
      </c>
      <c r="P460" t="b">
        <v>1</v>
      </c>
    </row>
    <row r="461" spans="1:16" x14ac:dyDescent="0.2">
      <c r="A461" t="s">
        <v>782</v>
      </c>
      <c r="B461" s="1">
        <v>45612</v>
      </c>
      <c r="C461" s="1">
        <v>45638</v>
      </c>
      <c r="D461" t="s">
        <v>96</v>
      </c>
      <c r="E461" t="s">
        <v>33</v>
      </c>
      <c r="F461" t="s">
        <v>25</v>
      </c>
      <c r="G461" t="s">
        <v>46</v>
      </c>
      <c r="H461" t="s">
        <v>21</v>
      </c>
      <c r="I461" t="s">
        <v>77</v>
      </c>
      <c r="J461">
        <v>2</v>
      </c>
      <c r="K461">
        <v>6087000</v>
      </c>
      <c r="L461">
        <v>0.22600000000000001</v>
      </c>
      <c r="M461" t="s">
        <v>23</v>
      </c>
      <c r="N461">
        <v>9423000</v>
      </c>
      <c r="O461">
        <v>4.5</v>
      </c>
      <c r="P461" t="b">
        <v>0</v>
      </c>
    </row>
    <row r="462" spans="1:16" x14ac:dyDescent="0.2">
      <c r="A462" t="s">
        <v>783</v>
      </c>
      <c r="B462" s="1">
        <v>45455</v>
      </c>
      <c r="C462" s="1">
        <v>45529</v>
      </c>
      <c r="D462" t="s">
        <v>298</v>
      </c>
      <c r="E462" t="s">
        <v>45</v>
      </c>
      <c r="F462" t="s">
        <v>123</v>
      </c>
      <c r="G462" t="s">
        <v>35</v>
      </c>
      <c r="H462" t="s">
        <v>47</v>
      </c>
      <c r="I462" t="s">
        <v>99</v>
      </c>
      <c r="J462">
        <v>1</v>
      </c>
      <c r="K462">
        <v>4511000</v>
      </c>
      <c r="L462">
        <v>0.108</v>
      </c>
      <c r="M462" t="s">
        <v>23</v>
      </c>
      <c r="N462">
        <v>4024000</v>
      </c>
      <c r="O462">
        <v>4.2</v>
      </c>
      <c r="P462" t="b">
        <v>0</v>
      </c>
    </row>
    <row r="463" spans="1:16" x14ac:dyDescent="0.2">
      <c r="A463" t="s">
        <v>784</v>
      </c>
      <c r="B463" s="1">
        <v>45713</v>
      </c>
      <c r="C463" s="1">
        <v>45794</v>
      </c>
      <c r="D463" t="s">
        <v>134</v>
      </c>
      <c r="E463" t="s">
        <v>29</v>
      </c>
      <c r="F463" t="s">
        <v>39</v>
      </c>
      <c r="G463" t="s">
        <v>35</v>
      </c>
      <c r="H463" t="s">
        <v>47</v>
      </c>
      <c r="I463" t="s">
        <v>52</v>
      </c>
      <c r="J463">
        <v>1</v>
      </c>
      <c r="K463">
        <v>1772000</v>
      </c>
      <c r="L463">
        <v>0.182</v>
      </c>
      <c r="M463" t="s">
        <v>23</v>
      </c>
      <c r="N463">
        <v>1449000</v>
      </c>
      <c r="O463">
        <v>4.0999999999999996</v>
      </c>
      <c r="P463" t="b">
        <v>1</v>
      </c>
    </row>
    <row r="464" spans="1:16" x14ac:dyDescent="0.2">
      <c r="A464" t="s">
        <v>785</v>
      </c>
      <c r="B464" s="1">
        <v>45622</v>
      </c>
      <c r="C464" s="1">
        <v>45634</v>
      </c>
      <c r="D464" t="s">
        <v>149</v>
      </c>
      <c r="E464" t="s">
        <v>45</v>
      </c>
      <c r="F464" t="s">
        <v>123</v>
      </c>
      <c r="G464" t="s">
        <v>35</v>
      </c>
      <c r="H464" t="s">
        <v>40</v>
      </c>
      <c r="I464" t="s">
        <v>57</v>
      </c>
      <c r="J464">
        <v>3</v>
      </c>
      <c r="K464">
        <v>4071000</v>
      </c>
      <c r="L464">
        <v>-0.2</v>
      </c>
      <c r="M464" t="s">
        <v>23</v>
      </c>
      <c r="N464">
        <v>11224000</v>
      </c>
      <c r="O464">
        <v>3.8</v>
      </c>
      <c r="P464" t="b">
        <v>1</v>
      </c>
    </row>
    <row r="465" spans="1:16" x14ac:dyDescent="0.2">
      <c r="A465" t="s">
        <v>786</v>
      </c>
      <c r="B465" s="1">
        <v>45310</v>
      </c>
      <c r="C465" s="1">
        <v>45395</v>
      </c>
      <c r="D465" t="s">
        <v>247</v>
      </c>
      <c r="E465" t="s">
        <v>29</v>
      </c>
      <c r="F465" t="s">
        <v>19</v>
      </c>
      <c r="G465" t="s">
        <v>50</v>
      </c>
      <c r="H465" t="s">
        <v>21</v>
      </c>
      <c r="I465" t="s">
        <v>26</v>
      </c>
      <c r="J465">
        <v>1</v>
      </c>
      <c r="K465">
        <v>2237000</v>
      </c>
      <c r="L465">
        <v>6.9000000000000006E-2</v>
      </c>
      <c r="M465" t="s">
        <v>23</v>
      </c>
      <c r="N465">
        <v>2083000</v>
      </c>
      <c r="O465">
        <v>4</v>
      </c>
      <c r="P465" t="b">
        <v>0</v>
      </c>
    </row>
    <row r="466" spans="1:16" x14ac:dyDescent="0.2">
      <c r="A466" t="s">
        <v>787</v>
      </c>
      <c r="B466" s="1">
        <v>45765</v>
      </c>
      <c r="C466" s="1">
        <v>45831</v>
      </c>
      <c r="D466" t="s">
        <v>601</v>
      </c>
      <c r="E466" t="s">
        <v>45</v>
      </c>
      <c r="F466" t="s">
        <v>39</v>
      </c>
      <c r="G466" t="s">
        <v>50</v>
      </c>
      <c r="H466" t="s">
        <v>51</v>
      </c>
      <c r="I466" t="s">
        <v>94</v>
      </c>
      <c r="J466">
        <v>1</v>
      </c>
      <c r="K466">
        <v>1360000</v>
      </c>
      <c r="L466">
        <v>0.1</v>
      </c>
      <c r="M466" t="s">
        <v>23</v>
      </c>
      <c r="N466">
        <v>1224000</v>
      </c>
      <c r="O466">
        <v>4.0999999999999996</v>
      </c>
      <c r="P466" t="b">
        <v>1</v>
      </c>
    </row>
    <row r="467" spans="1:16" x14ac:dyDescent="0.2">
      <c r="A467" t="s">
        <v>788</v>
      </c>
      <c r="B467" s="1">
        <v>45542</v>
      </c>
      <c r="C467" s="1">
        <v>45560</v>
      </c>
      <c r="D467" t="s">
        <v>475</v>
      </c>
      <c r="E467" t="s">
        <v>18</v>
      </c>
      <c r="F467" t="s">
        <v>39</v>
      </c>
      <c r="G467" t="s">
        <v>35</v>
      </c>
      <c r="H467" t="s">
        <v>21</v>
      </c>
      <c r="I467" t="s">
        <v>57</v>
      </c>
      <c r="J467">
        <v>1</v>
      </c>
      <c r="K467">
        <v>2745000</v>
      </c>
      <c r="L467">
        <v>5.3999999999999999E-2</v>
      </c>
      <c r="M467" t="s">
        <v>23</v>
      </c>
      <c r="N467">
        <v>2597000</v>
      </c>
      <c r="O467">
        <v>4.5999999999999996</v>
      </c>
      <c r="P467" t="b">
        <v>1</v>
      </c>
    </row>
    <row r="468" spans="1:16" x14ac:dyDescent="0.2">
      <c r="A468" t="s">
        <v>789</v>
      </c>
      <c r="B468" s="1">
        <v>45727</v>
      </c>
      <c r="C468" s="1">
        <v>45798</v>
      </c>
      <c r="D468" t="s">
        <v>222</v>
      </c>
      <c r="E468" t="s">
        <v>45</v>
      </c>
      <c r="F468" t="s">
        <v>34</v>
      </c>
      <c r="G468" t="s">
        <v>20</v>
      </c>
      <c r="H468" t="s">
        <v>21</v>
      </c>
      <c r="I468" t="s">
        <v>99</v>
      </c>
      <c r="J468">
        <v>2</v>
      </c>
      <c r="K468">
        <v>4152000</v>
      </c>
      <c r="L468">
        <v>4.7E-2</v>
      </c>
      <c r="M468" t="s">
        <v>23</v>
      </c>
      <c r="N468">
        <v>7914000</v>
      </c>
      <c r="O468">
        <v>4.5</v>
      </c>
      <c r="P468" t="b">
        <v>1</v>
      </c>
    </row>
    <row r="469" spans="1:16" x14ac:dyDescent="0.2">
      <c r="A469" t="s">
        <v>790</v>
      </c>
      <c r="B469" s="1">
        <v>45849</v>
      </c>
      <c r="C469" s="1">
        <v>45867</v>
      </c>
      <c r="D469" t="s">
        <v>791</v>
      </c>
      <c r="E469" t="s">
        <v>45</v>
      </c>
      <c r="F469" t="s">
        <v>25</v>
      </c>
      <c r="G469" t="s">
        <v>20</v>
      </c>
      <c r="H469" t="s">
        <v>21</v>
      </c>
      <c r="I469" t="s">
        <v>30</v>
      </c>
      <c r="J469">
        <v>1</v>
      </c>
      <c r="K469">
        <v>5619000</v>
      </c>
      <c r="L469">
        <v>8.9999999999999993E-3</v>
      </c>
      <c r="M469" t="s">
        <v>23</v>
      </c>
      <c r="N469">
        <v>5568000</v>
      </c>
      <c r="O469">
        <v>5</v>
      </c>
      <c r="P469" t="b">
        <v>1</v>
      </c>
    </row>
    <row r="470" spans="1:16" x14ac:dyDescent="0.2">
      <c r="A470" t="s">
        <v>792</v>
      </c>
      <c r="B470" s="1">
        <v>45672</v>
      </c>
      <c r="C470" s="1">
        <v>45686</v>
      </c>
      <c r="D470" t="s">
        <v>179</v>
      </c>
      <c r="E470" t="s">
        <v>45</v>
      </c>
      <c r="F470" t="s">
        <v>19</v>
      </c>
      <c r="G470" t="s">
        <v>35</v>
      </c>
      <c r="H470" t="s">
        <v>21</v>
      </c>
      <c r="I470" t="s">
        <v>57</v>
      </c>
      <c r="J470">
        <v>1</v>
      </c>
      <c r="K470">
        <v>2942000</v>
      </c>
      <c r="L470">
        <v>0.17899999999999999</v>
      </c>
      <c r="M470" t="s">
        <v>23</v>
      </c>
      <c r="N470">
        <v>2415000</v>
      </c>
      <c r="O470">
        <v>4.5</v>
      </c>
      <c r="P470" t="b">
        <v>1</v>
      </c>
    </row>
    <row r="471" spans="1:16" x14ac:dyDescent="0.2">
      <c r="A471" t="s">
        <v>793</v>
      </c>
      <c r="B471" s="1">
        <v>45710</v>
      </c>
      <c r="C471" s="1">
        <v>45729</v>
      </c>
      <c r="D471" t="s">
        <v>794</v>
      </c>
      <c r="E471" t="s">
        <v>45</v>
      </c>
      <c r="F471" t="s">
        <v>45</v>
      </c>
      <c r="G471" t="s">
        <v>50</v>
      </c>
      <c r="H471" t="s">
        <v>47</v>
      </c>
      <c r="I471" t="s">
        <v>83</v>
      </c>
      <c r="J471">
        <v>3</v>
      </c>
      <c r="K471">
        <v>1903000</v>
      </c>
      <c r="L471">
        <v>0.11700000000000001</v>
      </c>
      <c r="M471" t="s">
        <v>23</v>
      </c>
      <c r="N471">
        <v>5041000</v>
      </c>
      <c r="O471">
        <v>4.4000000000000004</v>
      </c>
      <c r="P471" t="b">
        <v>1</v>
      </c>
    </row>
    <row r="472" spans="1:16" x14ac:dyDescent="0.2">
      <c r="A472" t="s">
        <v>795</v>
      </c>
      <c r="B472" s="1">
        <v>45450</v>
      </c>
      <c r="C472" s="1">
        <v>45497</v>
      </c>
      <c r="D472" t="s">
        <v>64</v>
      </c>
      <c r="E472" t="s">
        <v>45</v>
      </c>
      <c r="F472" t="s">
        <v>19</v>
      </c>
      <c r="G472" t="s">
        <v>35</v>
      </c>
      <c r="H472" t="s">
        <v>21</v>
      </c>
      <c r="I472" t="s">
        <v>99</v>
      </c>
      <c r="J472">
        <v>1</v>
      </c>
      <c r="K472">
        <v>1678000</v>
      </c>
      <c r="L472">
        <v>6.4000000000000001E-2</v>
      </c>
      <c r="M472" t="s">
        <v>23</v>
      </c>
      <c r="N472">
        <v>1571000</v>
      </c>
      <c r="O472">
        <v>4</v>
      </c>
      <c r="P472" t="b">
        <v>0</v>
      </c>
    </row>
    <row r="473" spans="1:16" x14ac:dyDescent="0.2">
      <c r="A473" t="s">
        <v>796</v>
      </c>
      <c r="B473" s="1">
        <v>45440</v>
      </c>
      <c r="C473" s="1">
        <v>45500</v>
      </c>
      <c r="D473" t="s">
        <v>603</v>
      </c>
      <c r="E473" t="s">
        <v>45</v>
      </c>
      <c r="F473" t="s">
        <v>45</v>
      </c>
      <c r="G473" t="s">
        <v>20</v>
      </c>
      <c r="H473" t="s">
        <v>40</v>
      </c>
      <c r="I473" t="s">
        <v>22</v>
      </c>
      <c r="J473">
        <v>2</v>
      </c>
      <c r="K473">
        <v>3009000</v>
      </c>
      <c r="L473">
        <v>5.8999999999999997E-2</v>
      </c>
      <c r="M473" t="s">
        <v>23</v>
      </c>
      <c r="N473">
        <v>5663000</v>
      </c>
      <c r="O473">
        <v>3.7</v>
      </c>
      <c r="P473" t="b">
        <v>0</v>
      </c>
    </row>
    <row r="474" spans="1:16" x14ac:dyDescent="0.2">
      <c r="A474" t="s">
        <v>797</v>
      </c>
      <c r="B474" s="1">
        <v>45550</v>
      </c>
      <c r="C474" s="1">
        <v>45592</v>
      </c>
      <c r="D474" t="s">
        <v>705</v>
      </c>
      <c r="E474" t="s">
        <v>33</v>
      </c>
      <c r="F474" t="s">
        <v>19</v>
      </c>
      <c r="G474" t="s">
        <v>20</v>
      </c>
      <c r="H474" t="s">
        <v>47</v>
      </c>
      <c r="I474" t="s">
        <v>77</v>
      </c>
      <c r="J474">
        <v>1</v>
      </c>
      <c r="K474">
        <v>2151000</v>
      </c>
      <c r="L474">
        <v>5.1999999999999998E-2</v>
      </c>
      <c r="M474" t="s">
        <v>23</v>
      </c>
      <c r="N474">
        <v>2039000</v>
      </c>
      <c r="O474">
        <v>3.9</v>
      </c>
      <c r="P474" t="b">
        <v>0</v>
      </c>
    </row>
    <row r="475" spans="1:16" x14ac:dyDescent="0.2">
      <c r="A475" t="s">
        <v>798</v>
      </c>
      <c r="B475" s="1">
        <v>45823</v>
      </c>
      <c r="C475" s="1">
        <v>45842</v>
      </c>
      <c r="D475" t="s">
        <v>224</v>
      </c>
      <c r="E475" t="s">
        <v>45</v>
      </c>
      <c r="F475" t="s">
        <v>25</v>
      </c>
      <c r="G475" t="s">
        <v>35</v>
      </c>
      <c r="H475" t="s">
        <v>21</v>
      </c>
      <c r="I475" t="s">
        <v>26</v>
      </c>
      <c r="J475">
        <v>1</v>
      </c>
      <c r="K475">
        <v>6242000</v>
      </c>
      <c r="L475">
        <v>3.3000000000000002E-2</v>
      </c>
      <c r="M475" t="s">
        <v>23</v>
      </c>
      <c r="N475">
        <v>6036000</v>
      </c>
      <c r="O475">
        <v>3.9</v>
      </c>
      <c r="P475" t="b">
        <v>1</v>
      </c>
    </row>
    <row r="476" spans="1:16" x14ac:dyDescent="0.2">
      <c r="A476" t="s">
        <v>799</v>
      </c>
      <c r="B476" s="1">
        <v>45618</v>
      </c>
      <c r="C476" s="1">
        <v>45644</v>
      </c>
      <c r="D476" t="s">
        <v>448</v>
      </c>
      <c r="E476" t="s">
        <v>29</v>
      </c>
      <c r="F476" t="s">
        <v>68</v>
      </c>
      <c r="G476" t="s">
        <v>50</v>
      </c>
      <c r="H476" t="s">
        <v>47</v>
      </c>
      <c r="I476" t="s">
        <v>83</v>
      </c>
      <c r="J476">
        <v>1</v>
      </c>
      <c r="K476">
        <v>1959000</v>
      </c>
      <c r="L476">
        <v>3.5000000000000003E-2</v>
      </c>
      <c r="M476" t="s">
        <v>23</v>
      </c>
      <c r="N476">
        <v>1890000</v>
      </c>
      <c r="O476">
        <v>2.9</v>
      </c>
      <c r="P476" t="b">
        <v>1</v>
      </c>
    </row>
    <row r="477" spans="1:16" x14ac:dyDescent="0.2">
      <c r="A477" t="s">
        <v>800</v>
      </c>
      <c r="B477" s="1">
        <v>45508</v>
      </c>
      <c r="C477" s="1">
        <v>45587</v>
      </c>
      <c r="D477" t="s">
        <v>712</v>
      </c>
      <c r="E477" t="s">
        <v>29</v>
      </c>
      <c r="F477" t="s">
        <v>19</v>
      </c>
      <c r="G477" t="s">
        <v>20</v>
      </c>
      <c r="H477" t="s">
        <v>21</v>
      </c>
      <c r="I477" t="s">
        <v>83</v>
      </c>
      <c r="J477">
        <v>2</v>
      </c>
      <c r="K477">
        <v>1558000</v>
      </c>
      <c r="L477">
        <v>3.5999999999999997E-2</v>
      </c>
      <c r="M477" t="s">
        <v>23</v>
      </c>
      <c r="N477">
        <v>3004000</v>
      </c>
      <c r="O477">
        <v>3.7</v>
      </c>
      <c r="P477" t="b">
        <v>1</v>
      </c>
    </row>
    <row r="478" spans="1:16" x14ac:dyDescent="0.2">
      <c r="A478" t="s">
        <v>801</v>
      </c>
      <c r="B478" s="1">
        <v>45777</v>
      </c>
      <c r="C478" s="1">
        <v>45864</v>
      </c>
      <c r="D478" t="s">
        <v>802</v>
      </c>
      <c r="E478" t="s">
        <v>33</v>
      </c>
      <c r="F478" t="s">
        <v>39</v>
      </c>
      <c r="G478" t="s">
        <v>35</v>
      </c>
      <c r="H478" t="s">
        <v>47</v>
      </c>
      <c r="I478" t="s">
        <v>83</v>
      </c>
      <c r="J478">
        <v>1</v>
      </c>
      <c r="K478">
        <v>1382000</v>
      </c>
      <c r="L478">
        <v>0.04</v>
      </c>
      <c r="M478" t="s">
        <v>65</v>
      </c>
      <c r="N478">
        <v>0</v>
      </c>
      <c r="P478" t="b">
        <v>1</v>
      </c>
    </row>
    <row r="479" spans="1:16" x14ac:dyDescent="0.2">
      <c r="A479" t="s">
        <v>803</v>
      </c>
      <c r="B479" s="1">
        <v>45823</v>
      </c>
      <c r="C479" s="1">
        <v>45894</v>
      </c>
      <c r="D479" t="s">
        <v>187</v>
      </c>
      <c r="E479" t="s">
        <v>18</v>
      </c>
      <c r="F479" t="s">
        <v>68</v>
      </c>
      <c r="G479" t="s">
        <v>50</v>
      </c>
      <c r="H479" t="s">
        <v>51</v>
      </c>
      <c r="I479" t="s">
        <v>94</v>
      </c>
      <c r="J479">
        <v>2</v>
      </c>
      <c r="K479">
        <v>2569000</v>
      </c>
      <c r="L479">
        <v>1.7000000000000001E-2</v>
      </c>
      <c r="M479" t="s">
        <v>23</v>
      </c>
      <c r="N479">
        <v>5051000</v>
      </c>
      <c r="O479">
        <v>4.4000000000000004</v>
      </c>
      <c r="P479" t="b">
        <v>1</v>
      </c>
    </row>
    <row r="480" spans="1:16" x14ac:dyDescent="0.2">
      <c r="A480" t="s">
        <v>804</v>
      </c>
      <c r="B480" s="1">
        <v>45854</v>
      </c>
      <c r="C480" s="1">
        <v>45872</v>
      </c>
      <c r="D480" t="s">
        <v>805</v>
      </c>
      <c r="E480" t="s">
        <v>29</v>
      </c>
      <c r="F480" t="s">
        <v>39</v>
      </c>
      <c r="G480" t="s">
        <v>50</v>
      </c>
      <c r="H480" t="s">
        <v>21</v>
      </c>
      <c r="I480" t="s">
        <v>26</v>
      </c>
      <c r="J480">
        <v>2</v>
      </c>
      <c r="K480">
        <v>3049000</v>
      </c>
      <c r="L480">
        <v>8.3000000000000004E-2</v>
      </c>
      <c r="M480" t="s">
        <v>23</v>
      </c>
      <c r="N480">
        <v>5592000</v>
      </c>
      <c r="O480">
        <v>4</v>
      </c>
      <c r="P480" t="b">
        <v>1</v>
      </c>
    </row>
    <row r="481" spans="1:16" x14ac:dyDescent="0.2">
      <c r="A481" t="s">
        <v>806</v>
      </c>
      <c r="B481" s="1">
        <v>45478</v>
      </c>
      <c r="C481" s="1">
        <v>45554</v>
      </c>
      <c r="D481" t="s">
        <v>289</v>
      </c>
      <c r="E481" t="s">
        <v>45</v>
      </c>
      <c r="F481" t="s">
        <v>34</v>
      </c>
      <c r="G481" t="s">
        <v>20</v>
      </c>
      <c r="H481" t="s">
        <v>40</v>
      </c>
      <c r="I481" t="s">
        <v>26</v>
      </c>
      <c r="J481">
        <v>1</v>
      </c>
      <c r="K481">
        <v>4924000</v>
      </c>
      <c r="L481">
        <v>0.16</v>
      </c>
      <c r="M481" t="s">
        <v>23</v>
      </c>
      <c r="N481">
        <v>4136000</v>
      </c>
      <c r="O481">
        <v>4.4000000000000004</v>
      </c>
      <c r="P481" t="b">
        <v>1</v>
      </c>
    </row>
    <row r="482" spans="1:16" x14ac:dyDescent="0.2">
      <c r="A482" t="s">
        <v>807</v>
      </c>
      <c r="B482" s="1">
        <v>45734</v>
      </c>
      <c r="C482" s="1">
        <v>45800</v>
      </c>
      <c r="D482" t="s">
        <v>429</v>
      </c>
      <c r="E482" t="s">
        <v>18</v>
      </c>
      <c r="F482" t="s">
        <v>39</v>
      </c>
      <c r="G482" t="s">
        <v>50</v>
      </c>
      <c r="H482" t="s">
        <v>21</v>
      </c>
      <c r="I482" t="s">
        <v>57</v>
      </c>
      <c r="J482">
        <v>1</v>
      </c>
      <c r="K482">
        <v>2403000</v>
      </c>
      <c r="L482">
        <v>4.2000000000000003E-2</v>
      </c>
      <c r="M482" t="s">
        <v>65</v>
      </c>
      <c r="N482">
        <v>0</v>
      </c>
      <c r="P482" t="b">
        <v>1</v>
      </c>
    </row>
    <row r="483" spans="1:16" x14ac:dyDescent="0.2">
      <c r="A483" t="s">
        <v>808</v>
      </c>
      <c r="B483" s="1">
        <v>45659</v>
      </c>
      <c r="C483" s="1">
        <v>45711</v>
      </c>
      <c r="D483" t="s">
        <v>809</v>
      </c>
      <c r="E483" t="s">
        <v>45</v>
      </c>
      <c r="F483" t="s">
        <v>34</v>
      </c>
      <c r="G483" t="s">
        <v>35</v>
      </c>
      <c r="H483" t="s">
        <v>21</v>
      </c>
      <c r="I483" t="s">
        <v>77</v>
      </c>
      <c r="J483">
        <v>1</v>
      </c>
      <c r="K483">
        <v>4418000</v>
      </c>
      <c r="L483">
        <v>0.10199999999999999</v>
      </c>
      <c r="M483" t="s">
        <v>23</v>
      </c>
      <c r="N483">
        <v>3967000</v>
      </c>
      <c r="O483">
        <v>4.3</v>
      </c>
      <c r="P483" t="b">
        <v>1</v>
      </c>
    </row>
    <row r="484" spans="1:16" x14ac:dyDescent="0.2">
      <c r="A484" t="s">
        <v>810</v>
      </c>
      <c r="B484" s="1">
        <v>45571</v>
      </c>
      <c r="C484" s="1">
        <v>45592</v>
      </c>
      <c r="D484" t="s">
        <v>666</v>
      </c>
      <c r="E484" t="s">
        <v>33</v>
      </c>
      <c r="F484" t="s">
        <v>19</v>
      </c>
      <c r="G484" t="s">
        <v>50</v>
      </c>
      <c r="H484" t="s">
        <v>47</v>
      </c>
      <c r="I484" t="s">
        <v>26</v>
      </c>
      <c r="J484">
        <v>1</v>
      </c>
      <c r="K484">
        <v>2081000</v>
      </c>
      <c r="L484">
        <v>0.23100000000000001</v>
      </c>
      <c r="M484" t="s">
        <v>23</v>
      </c>
      <c r="N484">
        <v>1600000</v>
      </c>
      <c r="O484">
        <v>4.8</v>
      </c>
      <c r="P484" t="b">
        <v>1</v>
      </c>
    </row>
    <row r="485" spans="1:16" x14ac:dyDescent="0.2">
      <c r="A485" t="s">
        <v>811</v>
      </c>
      <c r="B485" s="1">
        <v>45539</v>
      </c>
      <c r="C485" s="1">
        <v>45629</v>
      </c>
      <c r="D485" t="s">
        <v>524</v>
      </c>
      <c r="E485" t="s">
        <v>18</v>
      </c>
      <c r="F485" t="s">
        <v>39</v>
      </c>
      <c r="G485" t="s">
        <v>20</v>
      </c>
      <c r="H485" t="s">
        <v>21</v>
      </c>
      <c r="I485" t="s">
        <v>52</v>
      </c>
      <c r="J485">
        <v>2</v>
      </c>
      <c r="K485">
        <v>1845000</v>
      </c>
      <c r="L485">
        <v>2.1000000000000001E-2</v>
      </c>
      <c r="M485" t="s">
        <v>23</v>
      </c>
      <c r="N485">
        <v>3613000</v>
      </c>
      <c r="O485">
        <v>4.0999999999999996</v>
      </c>
      <c r="P485" t="b">
        <v>1</v>
      </c>
    </row>
    <row r="486" spans="1:16" x14ac:dyDescent="0.2">
      <c r="A486" t="s">
        <v>812</v>
      </c>
      <c r="B486" s="1">
        <v>45363</v>
      </c>
      <c r="C486" s="1">
        <v>45408</v>
      </c>
      <c r="D486" t="s">
        <v>206</v>
      </c>
      <c r="E486" t="s">
        <v>33</v>
      </c>
      <c r="F486" t="s">
        <v>45</v>
      </c>
      <c r="G486" t="s">
        <v>35</v>
      </c>
      <c r="H486" t="s">
        <v>40</v>
      </c>
      <c r="I486" t="s">
        <v>94</v>
      </c>
      <c r="J486">
        <v>2</v>
      </c>
      <c r="K486">
        <v>2019000</v>
      </c>
      <c r="L486">
        <v>0.14599999999999999</v>
      </c>
      <c r="M486" t="s">
        <v>23</v>
      </c>
      <c r="N486">
        <v>3448000</v>
      </c>
      <c r="O486">
        <v>3.3</v>
      </c>
      <c r="P486" t="b">
        <v>0</v>
      </c>
    </row>
    <row r="487" spans="1:16" x14ac:dyDescent="0.2">
      <c r="A487" t="s">
        <v>813</v>
      </c>
      <c r="B487" s="1">
        <v>45463</v>
      </c>
      <c r="C487" s="1">
        <v>45476</v>
      </c>
      <c r="D487" t="s">
        <v>307</v>
      </c>
      <c r="E487" t="s">
        <v>45</v>
      </c>
      <c r="F487" t="s">
        <v>25</v>
      </c>
      <c r="G487" t="s">
        <v>35</v>
      </c>
      <c r="H487" t="s">
        <v>21</v>
      </c>
      <c r="I487" t="s">
        <v>94</v>
      </c>
      <c r="J487">
        <v>2</v>
      </c>
      <c r="K487">
        <v>4252000</v>
      </c>
      <c r="L487">
        <v>6.4000000000000001E-2</v>
      </c>
      <c r="M487" t="s">
        <v>23</v>
      </c>
      <c r="N487">
        <v>7960000</v>
      </c>
      <c r="O487">
        <v>4</v>
      </c>
      <c r="P487" t="b">
        <v>1</v>
      </c>
    </row>
    <row r="488" spans="1:16" x14ac:dyDescent="0.2">
      <c r="A488" t="s">
        <v>814</v>
      </c>
      <c r="B488" s="1">
        <v>45634</v>
      </c>
      <c r="C488" s="1">
        <v>45661</v>
      </c>
      <c r="D488" t="s">
        <v>435</v>
      </c>
      <c r="E488" t="s">
        <v>18</v>
      </c>
      <c r="F488" t="s">
        <v>19</v>
      </c>
      <c r="G488" t="s">
        <v>20</v>
      </c>
      <c r="H488" t="s">
        <v>21</v>
      </c>
      <c r="I488" t="s">
        <v>52</v>
      </c>
      <c r="J488">
        <v>1</v>
      </c>
      <c r="K488">
        <v>1506000</v>
      </c>
      <c r="L488">
        <v>0.186</v>
      </c>
      <c r="M488" t="s">
        <v>23</v>
      </c>
      <c r="N488">
        <v>1226000</v>
      </c>
      <c r="O488">
        <v>4.8</v>
      </c>
      <c r="P488" t="b">
        <v>1</v>
      </c>
    </row>
    <row r="489" spans="1:16" x14ac:dyDescent="0.2">
      <c r="A489" t="s">
        <v>815</v>
      </c>
      <c r="B489" s="1">
        <v>45844</v>
      </c>
      <c r="C489" s="1">
        <v>45886</v>
      </c>
      <c r="D489" t="s">
        <v>122</v>
      </c>
      <c r="E489" t="s">
        <v>45</v>
      </c>
      <c r="F489" t="s">
        <v>39</v>
      </c>
      <c r="G489" t="s">
        <v>20</v>
      </c>
      <c r="H489" t="s">
        <v>47</v>
      </c>
      <c r="I489" t="s">
        <v>57</v>
      </c>
      <c r="J489">
        <v>2</v>
      </c>
      <c r="K489">
        <v>2562000</v>
      </c>
      <c r="L489">
        <v>7.1999999999999995E-2</v>
      </c>
      <c r="M489" t="s">
        <v>23</v>
      </c>
      <c r="N489">
        <v>4755000</v>
      </c>
      <c r="O489">
        <v>4.3</v>
      </c>
      <c r="P489" t="b">
        <v>1</v>
      </c>
    </row>
    <row r="490" spans="1:16" x14ac:dyDescent="0.2">
      <c r="A490" t="s">
        <v>816</v>
      </c>
      <c r="B490" s="1">
        <v>45831</v>
      </c>
      <c r="C490" s="1">
        <v>45846</v>
      </c>
      <c r="D490" t="s">
        <v>339</v>
      </c>
      <c r="E490" t="s">
        <v>45</v>
      </c>
      <c r="F490" t="s">
        <v>45</v>
      </c>
      <c r="G490" t="s">
        <v>35</v>
      </c>
      <c r="H490" t="s">
        <v>21</v>
      </c>
      <c r="I490" t="s">
        <v>30</v>
      </c>
      <c r="J490">
        <v>4</v>
      </c>
      <c r="K490">
        <v>3124000</v>
      </c>
      <c r="L490">
        <v>4.2999999999999997E-2</v>
      </c>
      <c r="M490" t="s">
        <v>23</v>
      </c>
      <c r="N490">
        <v>11959000</v>
      </c>
      <c r="O490">
        <v>3.5</v>
      </c>
      <c r="P490" t="b">
        <v>1</v>
      </c>
    </row>
    <row r="491" spans="1:16" x14ac:dyDescent="0.2">
      <c r="A491" t="s">
        <v>817</v>
      </c>
      <c r="B491" s="1">
        <v>45408</v>
      </c>
      <c r="C491" s="1">
        <v>45444</v>
      </c>
      <c r="D491" t="s">
        <v>553</v>
      </c>
      <c r="E491" t="s">
        <v>18</v>
      </c>
      <c r="F491" t="s">
        <v>25</v>
      </c>
      <c r="G491" t="s">
        <v>35</v>
      </c>
      <c r="H491" t="s">
        <v>40</v>
      </c>
      <c r="I491" t="s">
        <v>30</v>
      </c>
      <c r="J491">
        <v>2</v>
      </c>
      <c r="K491">
        <v>5081000</v>
      </c>
      <c r="L491">
        <v>6.3E-2</v>
      </c>
      <c r="M491" t="s">
        <v>23</v>
      </c>
      <c r="N491">
        <v>9522000</v>
      </c>
      <c r="O491">
        <v>5</v>
      </c>
      <c r="P491" t="b">
        <v>0</v>
      </c>
    </row>
    <row r="492" spans="1:16" x14ac:dyDescent="0.2">
      <c r="A492" t="s">
        <v>818</v>
      </c>
      <c r="B492" s="1">
        <v>45715</v>
      </c>
      <c r="C492" s="1">
        <v>45762</v>
      </c>
      <c r="D492" t="s">
        <v>487</v>
      </c>
      <c r="E492" t="s">
        <v>45</v>
      </c>
      <c r="F492" t="s">
        <v>39</v>
      </c>
      <c r="G492" t="s">
        <v>20</v>
      </c>
      <c r="H492" t="s">
        <v>21</v>
      </c>
      <c r="I492" t="s">
        <v>60</v>
      </c>
      <c r="J492">
        <v>3</v>
      </c>
      <c r="K492">
        <v>1271000</v>
      </c>
      <c r="L492">
        <v>0.125</v>
      </c>
      <c r="M492" t="s">
        <v>23</v>
      </c>
      <c r="N492">
        <v>3336000</v>
      </c>
      <c r="O492">
        <v>3.6</v>
      </c>
      <c r="P492" t="b">
        <v>1</v>
      </c>
    </row>
    <row r="493" spans="1:16" x14ac:dyDescent="0.2">
      <c r="A493" t="s">
        <v>819</v>
      </c>
      <c r="B493" s="1">
        <v>45344</v>
      </c>
      <c r="C493" s="1">
        <v>45430</v>
      </c>
      <c r="D493" t="s">
        <v>93</v>
      </c>
      <c r="E493" t="s">
        <v>18</v>
      </c>
      <c r="F493" t="s">
        <v>34</v>
      </c>
      <c r="G493" t="s">
        <v>20</v>
      </c>
      <c r="H493" t="s">
        <v>47</v>
      </c>
      <c r="I493" t="s">
        <v>99</v>
      </c>
      <c r="J493">
        <v>4</v>
      </c>
      <c r="K493">
        <v>4246000</v>
      </c>
      <c r="L493">
        <v>0.114</v>
      </c>
      <c r="M493" t="s">
        <v>23</v>
      </c>
      <c r="N493">
        <v>15048000</v>
      </c>
      <c r="O493">
        <v>4.0999999999999996</v>
      </c>
      <c r="P493" t="b">
        <v>0</v>
      </c>
    </row>
    <row r="494" spans="1:16" x14ac:dyDescent="0.2">
      <c r="A494" t="s">
        <v>820</v>
      </c>
      <c r="B494" s="1">
        <v>45712</v>
      </c>
      <c r="C494" s="1">
        <v>45728</v>
      </c>
      <c r="D494" t="s">
        <v>821</v>
      </c>
      <c r="E494" t="s">
        <v>45</v>
      </c>
      <c r="F494" t="s">
        <v>34</v>
      </c>
      <c r="G494" t="s">
        <v>20</v>
      </c>
      <c r="H494" t="s">
        <v>40</v>
      </c>
      <c r="I494" t="s">
        <v>99</v>
      </c>
      <c r="J494">
        <v>1</v>
      </c>
      <c r="K494">
        <v>0</v>
      </c>
      <c r="L494">
        <v>4.1000000000000002E-2</v>
      </c>
      <c r="M494" t="s">
        <v>65</v>
      </c>
      <c r="N494">
        <v>0</v>
      </c>
      <c r="P494" t="b">
        <v>1</v>
      </c>
    </row>
    <row r="495" spans="1:16" x14ac:dyDescent="0.2">
      <c r="A495" t="s">
        <v>822</v>
      </c>
      <c r="B495" s="1">
        <v>45505</v>
      </c>
      <c r="C495" s="1">
        <v>45561</v>
      </c>
      <c r="D495" t="s">
        <v>206</v>
      </c>
      <c r="E495" t="s">
        <v>33</v>
      </c>
      <c r="F495" t="s">
        <v>45</v>
      </c>
      <c r="G495" t="s">
        <v>50</v>
      </c>
      <c r="H495" t="s">
        <v>21</v>
      </c>
      <c r="I495" t="s">
        <v>52</v>
      </c>
      <c r="J495">
        <v>2</v>
      </c>
      <c r="K495">
        <v>3435000</v>
      </c>
      <c r="L495">
        <v>0.19500000000000001</v>
      </c>
      <c r="M495" t="s">
        <v>65</v>
      </c>
      <c r="N495">
        <v>0</v>
      </c>
      <c r="P495" t="b">
        <v>1</v>
      </c>
    </row>
    <row r="496" spans="1:16" x14ac:dyDescent="0.2">
      <c r="A496" t="s">
        <v>823</v>
      </c>
      <c r="B496" s="1">
        <v>45572</v>
      </c>
      <c r="C496" s="1">
        <v>45656</v>
      </c>
      <c r="D496" t="s">
        <v>341</v>
      </c>
      <c r="E496" t="s">
        <v>18</v>
      </c>
      <c r="F496" t="s">
        <v>68</v>
      </c>
      <c r="G496" t="s">
        <v>46</v>
      </c>
      <c r="H496" t="s">
        <v>21</v>
      </c>
      <c r="I496" t="s">
        <v>30</v>
      </c>
      <c r="J496">
        <v>1</v>
      </c>
      <c r="K496">
        <v>2627000</v>
      </c>
      <c r="L496">
        <v>0.10299999999999999</v>
      </c>
      <c r="M496" t="s">
        <v>65</v>
      </c>
      <c r="N496">
        <v>0</v>
      </c>
      <c r="P496" t="b">
        <v>1</v>
      </c>
    </row>
    <row r="497" spans="1:16" x14ac:dyDescent="0.2">
      <c r="A497" t="s">
        <v>823</v>
      </c>
      <c r="B497" s="1">
        <v>45572</v>
      </c>
      <c r="C497" s="1">
        <v>45656</v>
      </c>
      <c r="D497" t="s">
        <v>341</v>
      </c>
      <c r="E497" t="s">
        <v>18</v>
      </c>
      <c r="F497" t="s">
        <v>68</v>
      </c>
      <c r="G497" t="s">
        <v>46</v>
      </c>
      <c r="H497" t="s">
        <v>21</v>
      </c>
      <c r="I497" t="s">
        <v>30</v>
      </c>
      <c r="J497">
        <v>1</v>
      </c>
      <c r="K497">
        <v>2627000</v>
      </c>
      <c r="L497">
        <v>0.10299999999999999</v>
      </c>
      <c r="M497" t="s">
        <v>65</v>
      </c>
      <c r="N497">
        <v>0</v>
      </c>
      <c r="P497" t="b">
        <v>1</v>
      </c>
    </row>
    <row r="498" spans="1:16" x14ac:dyDescent="0.2">
      <c r="A498" t="s">
        <v>824</v>
      </c>
      <c r="B498" s="1">
        <v>45739</v>
      </c>
      <c r="C498" s="1">
        <v>45814</v>
      </c>
      <c r="D498" t="s">
        <v>91</v>
      </c>
      <c r="E498" t="s">
        <v>33</v>
      </c>
      <c r="F498" t="s">
        <v>19</v>
      </c>
      <c r="G498" t="s">
        <v>20</v>
      </c>
      <c r="H498" t="s">
        <v>21</v>
      </c>
      <c r="I498" t="s">
        <v>30</v>
      </c>
      <c r="J498">
        <v>1</v>
      </c>
      <c r="K498">
        <v>2915000</v>
      </c>
      <c r="L498">
        <v>1.7999999999999999E-2</v>
      </c>
      <c r="M498" t="s">
        <v>23</v>
      </c>
      <c r="N498">
        <v>2863000</v>
      </c>
      <c r="O498">
        <v>4.5</v>
      </c>
      <c r="P498" t="b">
        <v>1</v>
      </c>
    </row>
    <row r="499" spans="1:16" x14ac:dyDescent="0.2">
      <c r="A499" t="s">
        <v>825</v>
      </c>
      <c r="B499" s="1">
        <v>45556</v>
      </c>
      <c r="C499" s="1">
        <v>45640</v>
      </c>
      <c r="D499" t="s">
        <v>183</v>
      </c>
      <c r="E499" t="s">
        <v>18</v>
      </c>
      <c r="F499" t="s">
        <v>19</v>
      </c>
      <c r="G499" t="s">
        <v>20</v>
      </c>
      <c r="H499" t="s">
        <v>51</v>
      </c>
      <c r="I499" t="s">
        <v>94</v>
      </c>
      <c r="J499">
        <v>2</v>
      </c>
      <c r="K499">
        <v>2979000</v>
      </c>
      <c r="L499">
        <v>4.8000000000000001E-2</v>
      </c>
      <c r="M499" t="s">
        <v>23</v>
      </c>
      <c r="N499">
        <v>5672000</v>
      </c>
      <c r="O499">
        <v>4.8</v>
      </c>
      <c r="P499" t="b">
        <v>1</v>
      </c>
    </row>
    <row r="500" spans="1:16" x14ac:dyDescent="0.2">
      <c r="A500" t="s">
        <v>826</v>
      </c>
      <c r="B500" s="1">
        <v>45795</v>
      </c>
      <c r="C500" s="1">
        <v>45818</v>
      </c>
      <c r="D500" t="s">
        <v>827</v>
      </c>
      <c r="E500" t="s">
        <v>33</v>
      </c>
      <c r="F500" t="s">
        <v>34</v>
      </c>
      <c r="G500" t="s">
        <v>20</v>
      </c>
      <c r="H500" t="s">
        <v>21</v>
      </c>
      <c r="I500" t="s">
        <v>52</v>
      </c>
      <c r="J500">
        <v>1</v>
      </c>
      <c r="K500">
        <v>4311000</v>
      </c>
      <c r="L500">
        <v>5.0999999999999997E-2</v>
      </c>
      <c r="M500" t="s">
        <v>23</v>
      </c>
      <c r="N500">
        <v>4091000</v>
      </c>
      <c r="O500">
        <v>4</v>
      </c>
      <c r="P500" t="b">
        <v>1</v>
      </c>
    </row>
    <row r="501" spans="1:16" x14ac:dyDescent="0.2">
      <c r="A501" t="s">
        <v>828</v>
      </c>
      <c r="B501" s="1">
        <v>45624</v>
      </c>
      <c r="C501" s="1">
        <v>45698</v>
      </c>
      <c r="D501" t="s">
        <v>829</v>
      </c>
      <c r="E501" t="s">
        <v>33</v>
      </c>
      <c r="F501" t="s">
        <v>39</v>
      </c>
      <c r="G501" t="s">
        <v>35</v>
      </c>
      <c r="H501" t="s">
        <v>21</v>
      </c>
      <c r="I501" t="s">
        <v>94</v>
      </c>
      <c r="J501">
        <v>1</v>
      </c>
      <c r="K501">
        <v>2528000</v>
      </c>
      <c r="L501">
        <v>5.0999999999999997E-2</v>
      </c>
      <c r="M501" t="s">
        <v>23</v>
      </c>
      <c r="N501">
        <v>2399000</v>
      </c>
      <c r="O501">
        <v>3.7</v>
      </c>
      <c r="P501" t="b">
        <v>1</v>
      </c>
    </row>
    <row r="502" spans="1:16" x14ac:dyDescent="0.2">
      <c r="A502" t="s">
        <v>830</v>
      </c>
      <c r="B502" s="1">
        <v>45914</v>
      </c>
      <c r="C502" s="1">
        <v>46003</v>
      </c>
      <c r="D502" t="s">
        <v>831</v>
      </c>
      <c r="E502" t="s">
        <v>33</v>
      </c>
      <c r="F502" t="s">
        <v>34</v>
      </c>
      <c r="G502" t="s">
        <v>50</v>
      </c>
      <c r="H502" t="s">
        <v>47</v>
      </c>
      <c r="I502" t="s">
        <v>52</v>
      </c>
      <c r="J502">
        <v>2</v>
      </c>
      <c r="K502">
        <v>2685000</v>
      </c>
      <c r="L502">
        <v>0</v>
      </c>
      <c r="M502" t="s">
        <v>23</v>
      </c>
      <c r="N502">
        <v>5370000</v>
      </c>
      <c r="O502">
        <v>4.4000000000000004</v>
      </c>
      <c r="P502" t="b">
        <v>1</v>
      </c>
    </row>
    <row r="503" spans="1:16" x14ac:dyDescent="0.2">
      <c r="A503" t="s">
        <v>832</v>
      </c>
      <c r="B503" s="1">
        <v>45689</v>
      </c>
      <c r="C503" s="1">
        <v>45725</v>
      </c>
      <c r="D503" t="s">
        <v>549</v>
      </c>
      <c r="E503" t="s">
        <v>45</v>
      </c>
      <c r="F503" t="s">
        <v>25</v>
      </c>
      <c r="G503" t="s">
        <v>35</v>
      </c>
      <c r="H503" t="s">
        <v>21</v>
      </c>
      <c r="I503" t="s">
        <v>22</v>
      </c>
      <c r="J503">
        <v>1</v>
      </c>
      <c r="K503">
        <v>3044000</v>
      </c>
      <c r="L503">
        <v>0.08</v>
      </c>
      <c r="M503" t="s">
        <v>23</v>
      </c>
      <c r="N503">
        <v>2800000</v>
      </c>
      <c r="O503">
        <v>4.5</v>
      </c>
      <c r="P503" t="b">
        <v>1</v>
      </c>
    </row>
    <row r="504" spans="1:16" x14ac:dyDescent="0.2">
      <c r="A504" t="s">
        <v>833</v>
      </c>
      <c r="B504" s="1">
        <v>45476</v>
      </c>
      <c r="C504" s="1">
        <v>45526</v>
      </c>
      <c r="D504" t="s">
        <v>93</v>
      </c>
      <c r="E504" t="s">
        <v>18</v>
      </c>
      <c r="F504" t="s">
        <v>68</v>
      </c>
      <c r="G504" t="s">
        <v>20</v>
      </c>
      <c r="H504" t="s">
        <v>21</v>
      </c>
      <c r="I504" t="s">
        <v>57</v>
      </c>
      <c r="J504">
        <v>2</v>
      </c>
      <c r="K504">
        <v>2791000</v>
      </c>
      <c r="L504">
        <v>4.5999999999999999E-2</v>
      </c>
      <c r="M504" t="s">
        <v>23</v>
      </c>
      <c r="N504">
        <v>5325000</v>
      </c>
      <c r="O504">
        <v>4.3</v>
      </c>
      <c r="P504" t="b">
        <v>1</v>
      </c>
    </row>
    <row r="505" spans="1:16" x14ac:dyDescent="0.2">
      <c r="A505" t="s">
        <v>834</v>
      </c>
      <c r="B505" s="1">
        <v>45775</v>
      </c>
      <c r="C505" s="1">
        <v>45827</v>
      </c>
      <c r="D505" t="s">
        <v>719</v>
      </c>
      <c r="E505" t="s">
        <v>33</v>
      </c>
      <c r="F505" t="s">
        <v>34</v>
      </c>
      <c r="G505" t="s">
        <v>20</v>
      </c>
      <c r="H505" t="s">
        <v>21</v>
      </c>
      <c r="I505" t="s">
        <v>77</v>
      </c>
      <c r="J505">
        <v>1</v>
      </c>
      <c r="K505">
        <v>3641000</v>
      </c>
      <c r="L505">
        <v>2E-3</v>
      </c>
      <c r="M505" t="s">
        <v>23</v>
      </c>
      <c r="N505">
        <v>3634000</v>
      </c>
      <c r="O505">
        <v>4.3</v>
      </c>
      <c r="P505" t="b">
        <v>1</v>
      </c>
    </row>
    <row r="506" spans="1:16" x14ac:dyDescent="0.2">
      <c r="A506" t="s">
        <v>835</v>
      </c>
      <c r="B506" s="1">
        <v>45546</v>
      </c>
      <c r="C506" s="1">
        <v>45595</v>
      </c>
      <c r="D506" t="s">
        <v>311</v>
      </c>
      <c r="E506" t="s">
        <v>33</v>
      </c>
      <c r="F506" t="s">
        <v>25</v>
      </c>
      <c r="G506" t="s">
        <v>20</v>
      </c>
      <c r="H506" t="s">
        <v>21</v>
      </c>
      <c r="I506" t="s">
        <v>30</v>
      </c>
      <c r="J506">
        <v>2</v>
      </c>
      <c r="K506">
        <v>5344000</v>
      </c>
      <c r="L506">
        <v>0.13100000000000001</v>
      </c>
      <c r="M506" t="s">
        <v>23</v>
      </c>
      <c r="N506">
        <v>9288000</v>
      </c>
      <c r="O506">
        <v>4.0999999999999996</v>
      </c>
      <c r="P506" t="b">
        <v>0</v>
      </c>
    </row>
    <row r="507" spans="1:16" x14ac:dyDescent="0.2">
      <c r="A507" t="s">
        <v>836</v>
      </c>
      <c r="B507" s="1">
        <v>45624</v>
      </c>
      <c r="C507" s="1">
        <v>45657</v>
      </c>
      <c r="D507" t="s">
        <v>187</v>
      </c>
      <c r="E507" t="s">
        <v>18</v>
      </c>
      <c r="F507" t="s">
        <v>25</v>
      </c>
      <c r="G507" t="s">
        <v>50</v>
      </c>
      <c r="H507" t="s">
        <v>47</v>
      </c>
      <c r="I507" t="s">
        <v>60</v>
      </c>
      <c r="J507">
        <v>2</v>
      </c>
      <c r="K507">
        <v>4397000</v>
      </c>
      <c r="L507">
        <v>0.107</v>
      </c>
      <c r="M507" t="s">
        <v>23</v>
      </c>
      <c r="N507">
        <v>7853000</v>
      </c>
      <c r="O507">
        <v>4.2</v>
      </c>
      <c r="P507" t="b">
        <v>1</v>
      </c>
    </row>
    <row r="508" spans="1:16" x14ac:dyDescent="0.2">
      <c r="A508" t="s">
        <v>837</v>
      </c>
      <c r="B508" s="1">
        <v>45377</v>
      </c>
      <c r="C508" s="1">
        <v>45465</v>
      </c>
      <c r="D508" t="s">
        <v>838</v>
      </c>
      <c r="E508" t="s">
        <v>33</v>
      </c>
      <c r="F508" t="s">
        <v>39</v>
      </c>
      <c r="G508" t="s">
        <v>35</v>
      </c>
      <c r="H508" t="s">
        <v>47</v>
      </c>
      <c r="I508" t="s">
        <v>22</v>
      </c>
      <c r="J508">
        <v>1</v>
      </c>
      <c r="K508">
        <v>1449000</v>
      </c>
      <c r="L508">
        <v>9.4E-2</v>
      </c>
      <c r="M508" t="s">
        <v>23</v>
      </c>
      <c r="N508">
        <v>1313000</v>
      </c>
      <c r="O508">
        <v>4.0999999999999996</v>
      </c>
      <c r="P508" t="b">
        <v>0</v>
      </c>
    </row>
    <row r="509" spans="1:16" x14ac:dyDescent="0.2">
      <c r="A509" t="s">
        <v>839</v>
      </c>
      <c r="B509" s="1">
        <v>45366</v>
      </c>
      <c r="C509" s="1">
        <v>45453</v>
      </c>
      <c r="D509" t="s">
        <v>259</v>
      </c>
      <c r="E509" t="s">
        <v>33</v>
      </c>
      <c r="F509" t="s">
        <v>19</v>
      </c>
      <c r="G509" t="s">
        <v>35</v>
      </c>
      <c r="H509" t="s">
        <v>51</v>
      </c>
      <c r="I509" t="s">
        <v>52</v>
      </c>
      <c r="J509">
        <v>2</v>
      </c>
      <c r="K509">
        <v>-100000</v>
      </c>
      <c r="L509">
        <v>5.5E-2</v>
      </c>
      <c r="M509" t="s">
        <v>23</v>
      </c>
      <c r="N509">
        <v>4351000</v>
      </c>
      <c r="O509">
        <v>4.7</v>
      </c>
      <c r="P509" t="b">
        <v>0</v>
      </c>
    </row>
    <row r="510" spans="1:16" x14ac:dyDescent="0.2">
      <c r="A510" t="s">
        <v>840</v>
      </c>
      <c r="B510" s="1">
        <v>45650</v>
      </c>
      <c r="C510" s="1">
        <v>45690</v>
      </c>
      <c r="D510" t="s">
        <v>576</v>
      </c>
      <c r="E510" t="s">
        <v>45</v>
      </c>
      <c r="F510" t="s">
        <v>19</v>
      </c>
      <c r="G510" t="s">
        <v>20</v>
      </c>
      <c r="H510" t="s">
        <v>47</v>
      </c>
      <c r="I510" t="s">
        <v>26</v>
      </c>
      <c r="J510">
        <v>1</v>
      </c>
      <c r="K510">
        <v>2205000</v>
      </c>
      <c r="L510">
        <v>0.01</v>
      </c>
      <c r="M510" t="s">
        <v>23</v>
      </c>
      <c r="N510">
        <v>2183000</v>
      </c>
      <c r="O510">
        <v>5</v>
      </c>
      <c r="P510" t="b">
        <v>1</v>
      </c>
    </row>
    <row r="511" spans="1:16" x14ac:dyDescent="0.2">
      <c r="A511" t="s">
        <v>841</v>
      </c>
      <c r="B511" s="1">
        <v>45408</v>
      </c>
      <c r="C511" s="1">
        <v>45483</v>
      </c>
      <c r="D511" t="s">
        <v>842</v>
      </c>
      <c r="E511" t="s">
        <v>45</v>
      </c>
      <c r="F511" t="s">
        <v>34</v>
      </c>
      <c r="G511" t="s">
        <v>50</v>
      </c>
      <c r="H511" t="s">
        <v>21</v>
      </c>
      <c r="I511" t="s">
        <v>22</v>
      </c>
      <c r="J511">
        <v>2</v>
      </c>
      <c r="K511">
        <v>2936000</v>
      </c>
      <c r="L511">
        <v>8.8999999999999996E-2</v>
      </c>
      <c r="M511" t="s">
        <v>23</v>
      </c>
      <c r="N511">
        <v>5349000</v>
      </c>
      <c r="O511">
        <v>4.3</v>
      </c>
      <c r="P511" t="b">
        <v>0</v>
      </c>
    </row>
    <row r="512" spans="1:16" x14ac:dyDescent="0.2">
      <c r="A512" t="s">
        <v>843</v>
      </c>
      <c r="B512" s="1">
        <v>45913</v>
      </c>
      <c r="C512" s="1">
        <v>45955</v>
      </c>
      <c r="D512" t="s">
        <v>276</v>
      </c>
      <c r="E512" t="s">
        <v>29</v>
      </c>
      <c r="F512" t="s">
        <v>45</v>
      </c>
      <c r="G512" t="s">
        <v>20</v>
      </c>
      <c r="H512" t="s">
        <v>21</v>
      </c>
      <c r="J512">
        <v>4</v>
      </c>
      <c r="K512">
        <v>2674000</v>
      </c>
      <c r="L512">
        <v>0.129</v>
      </c>
      <c r="M512" t="s">
        <v>23</v>
      </c>
      <c r="N512">
        <v>9316000</v>
      </c>
      <c r="O512">
        <v>4.2</v>
      </c>
      <c r="P512" t="b">
        <v>1</v>
      </c>
    </row>
    <row r="513" spans="1:16" x14ac:dyDescent="0.2">
      <c r="A513" t="s">
        <v>844</v>
      </c>
      <c r="B513" s="1">
        <v>45825</v>
      </c>
      <c r="C513" s="1">
        <v>45899</v>
      </c>
      <c r="D513" t="s">
        <v>500</v>
      </c>
      <c r="E513" t="s">
        <v>45</v>
      </c>
      <c r="F513" t="s">
        <v>39</v>
      </c>
      <c r="G513" t="s">
        <v>50</v>
      </c>
      <c r="H513" t="s">
        <v>40</v>
      </c>
      <c r="I513" t="s">
        <v>60</v>
      </c>
      <c r="J513">
        <v>1</v>
      </c>
      <c r="K513">
        <v>1425000</v>
      </c>
      <c r="L513">
        <v>0.75</v>
      </c>
      <c r="M513" t="s">
        <v>23</v>
      </c>
      <c r="N513">
        <v>1315000</v>
      </c>
      <c r="O513">
        <v>4.3</v>
      </c>
      <c r="P513" t="b">
        <v>1</v>
      </c>
    </row>
    <row r="514" spans="1:16" x14ac:dyDescent="0.2">
      <c r="A514" t="s">
        <v>845</v>
      </c>
      <c r="B514" s="1">
        <v>45728</v>
      </c>
      <c r="C514" s="1">
        <v>45785</v>
      </c>
      <c r="D514" t="s">
        <v>276</v>
      </c>
      <c r="E514" t="s">
        <v>29</v>
      </c>
      <c r="F514" t="s">
        <v>34</v>
      </c>
      <c r="G514" t="s">
        <v>50</v>
      </c>
      <c r="H514" t="s">
        <v>51</v>
      </c>
      <c r="I514" t="s">
        <v>83</v>
      </c>
      <c r="J514">
        <v>2</v>
      </c>
      <c r="K514">
        <v>2696000</v>
      </c>
      <c r="L514">
        <v>0.23599999999999999</v>
      </c>
      <c r="M514" t="s">
        <v>23</v>
      </c>
      <c r="N514">
        <v>4119000</v>
      </c>
      <c r="O514">
        <v>3.9</v>
      </c>
      <c r="P514" t="b">
        <v>1</v>
      </c>
    </row>
    <row r="515" spans="1:16" x14ac:dyDescent="0.2">
      <c r="A515" t="s">
        <v>846</v>
      </c>
      <c r="B515" s="1">
        <v>45749</v>
      </c>
      <c r="C515" s="1">
        <v>45797</v>
      </c>
      <c r="D515" t="s">
        <v>847</v>
      </c>
      <c r="E515" t="s">
        <v>45</v>
      </c>
      <c r="F515" t="s">
        <v>19</v>
      </c>
      <c r="G515" t="s">
        <v>35</v>
      </c>
      <c r="H515" t="s">
        <v>47</v>
      </c>
      <c r="I515" t="s">
        <v>94</v>
      </c>
      <c r="J515">
        <v>3</v>
      </c>
      <c r="K515">
        <v>3080000</v>
      </c>
      <c r="L515">
        <v>0.75</v>
      </c>
      <c r="M515" t="s">
        <v>23</v>
      </c>
      <c r="N515">
        <v>8584000</v>
      </c>
      <c r="O515">
        <v>4.5999999999999996</v>
      </c>
      <c r="P515" t="b">
        <v>1</v>
      </c>
    </row>
    <row r="516" spans="1:16" x14ac:dyDescent="0.2">
      <c r="A516" t="s">
        <v>848</v>
      </c>
      <c r="B516" s="1">
        <v>45662</v>
      </c>
      <c r="C516" s="1">
        <v>45682</v>
      </c>
      <c r="D516" t="s">
        <v>791</v>
      </c>
      <c r="E516" t="s">
        <v>45</v>
      </c>
      <c r="F516" t="s">
        <v>39</v>
      </c>
      <c r="G516" t="s">
        <v>50</v>
      </c>
      <c r="H516" t="s">
        <v>21</v>
      </c>
      <c r="I516" t="s">
        <v>30</v>
      </c>
      <c r="J516">
        <v>2</v>
      </c>
      <c r="K516">
        <v>2968000</v>
      </c>
      <c r="L516">
        <v>0</v>
      </c>
      <c r="M516" t="s">
        <v>23</v>
      </c>
      <c r="N516">
        <v>5936000</v>
      </c>
      <c r="O516">
        <v>4.4000000000000004</v>
      </c>
      <c r="P516" t="b">
        <v>1</v>
      </c>
    </row>
    <row r="517" spans="1:16" x14ac:dyDescent="0.2">
      <c r="A517" t="s">
        <v>849</v>
      </c>
      <c r="B517" s="1">
        <v>45329</v>
      </c>
      <c r="C517" s="1">
        <v>45392</v>
      </c>
      <c r="D517" t="s">
        <v>307</v>
      </c>
      <c r="E517" t="s">
        <v>45</v>
      </c>
      <c r="F517" t="s">
        <v>34</v>
      </c>
      <c r="G517" t="s">
        <v>20</v>
      </c>
      <c r="H517" t="s">
        <v>40</v>
      </c>
      <c r="I517" t="s">
        <v>94</v>
      </c>
      <c r="J517">
        <v>2</v>
      </c>
      <c r="K517">
        <v>4775000</v>
      </c>
      <c r="L517">
        <v>5.7000000000000002E-2</v>
      </c>
      <c r="M517" t="s">
        <v>23</v>
      </c>
      <c r="N517">
        <v>9006000</v>
      </c>
      <c r="O517">
        <v>4</v>
      </c>
      <c r="P517" t="b">
        <v>0</v>
      </c>
    </row>
    <row r="518" spans="1:16" x14ac:dyDescent="0.2">
      <c r="A518" t="s">
        <v>850</v>
      </c>
      <c r="B518" s="1">
        <v>45536</v>
      </c>
      <c r="C518" s="1">
        <v>45572</v>
      </c>
      <c r="D518" t="s">
        <v>318</v>
      </c>
      <c r="E518" t="s">
        <v>45</v>
      </c>
      <c r="F518" t="s">
        <v>19</v>
      </c>
      <c r="G518" t="s">
        <v>35</v>
      </c>
      <c r="H518" t="s">
        <v>47</v>
      </c>
      <c r="I518" t="s">
        <v>565</v>
      </c>
      <c r="J518">
        <v>2</v>
      </c>
      <c r="K518">
        <v>2459000</v>
      </c>
      <c r="L518">
        <v>0.14899999999999999</v>
      </c>
      <c r="M518" t="s">
        <v>23</v>
      </c>
      <c r="N518">
        <v>4185000</v>
      </c>
      <c r="O518">
        <v>4.7</v>
      </c>
      <c r="P518" t="b">
        <v>1</v>
      </c>
    </row>
    <row r="519" spans="1:16" x14ac:dyDescent="0.2">
      <c r="A519" t="s">
        <v>851</v>
      </c>
      <c r="B519" s="1">
        <v>45600</v>
      </c>
      <c r="C519" s="1">
        <v>45627</v>
      </c>
      <c r="D519" t="s">
        <v>314</v>
      </c>
      <c r="E519" t="s">
        <v>33</v>
      </c>
      <c r="F519" t="s">
        <v>25</v>
      </c>
      <c r="G519" t="s">
        <v>20</v>
      </c>
      <c r="H519" t="s">
        <v>51</v>
      </c>
      <c r="I519" t="s">
        <v>26</v>
      </c>
      <c r="J519">
        <v>1</v>
      </c>
      <c r="K519">
        <v>4638000</v>
      </c>
      <c r="L519">
        <v>6.0999999999999999E-2</v>
      </c>
      <c r="M519" t="s">
        <v>23</v>
      </c>
      <c r="N519">
        <v>4355000</v>
      </c>
      <c r="O519">
        <v>4.2</v>
      </c>
      <c r="P519" t="b">
        <v>1</v>
      </c>
    </row>
    <row r="520" spans="1:16" x14ac:dyDescent="0.2">
      <c r="A520" t="s">
        <v>852</v>
      </c>
      <c r="B520" s="1">
        <v>45862</v>
      </c>
      <c r="C520" s="1">
        <v>45887</v>
      </c>
      <c r="D520" t="s">
        <v>853</v>
      </c>
      <c r="E520" t="s">
        <v>45</v>
      </c>
      <c r="F520" t="s">
        <v>19</v>
      </c>
      <c r="G520" t="s">
        <v>35</v>
      </c>
      <c r="H520" t="s">
        <v>47</v>
      </c>
      <c r="I520" t="s">
        <v>60</v>
      </c>
      <c r="J520">
        <v>2</v>
      </c>
      <c r="K520">
        <v>2568000</v>
      </c>
      <c r="L520">
        <v>1.0999999999999999E-2</v>
      </c>
      <c r="M520" t="s">
        <v>23</v>
      </c>
      <c r="N520">
        <v>5080000</v>
      </c>
      <c r="O520">
        <v>3.7</v>
      </c>
      <c r="P520" t="b">
        <v>1</v>
      </c>
    </row>
    <row r="521" spans="1:16" x14ac:dyDescent="0.2">
      <c r="A521" t="s">
        <v>854</v>
      </c>
      <c r="B521" s="1">
        <v>45428</v>
      </c>
      <c r="C521" s="1">
        <v>45517</v>
      </c>
      <c r="D521" t="s">
        <v>567</v>
      </c>
      <c r="E521" t="s">
        <v>18</v>
      </c>
      <c r="F521" t="s">
        <v>19</v>
      </c>
      <c r="G521" t="s">
        <v>20</v>
      </c>
      <c r="H521" t="s">
        <v>21</v>
      </c>
      <c r="I521" t="s">
        <v>60</v>
      </c>
      <c r="J521">
        <v>3</v>
      </c>
      <c r="K521">
        <v>3912000</v>
      </c>
      <c r="L521">
        <v>3.0000000000000001E-3</v>
      </c>
      <c r="M521" t="s">
        <v>23</v>
      </c>
      <c r="N521">
        <v>11701000</v>
      </c>
      <c r="O521">
        <v>4.4000000000000004</v>
      </c>
      <c r="P521" t="b">
        <v>0</v>
      </c>
    </row>
    <row r="522" spans="1:16" x14ac:dyDescent="0.2">
      <c r="A522" t="s">
        <v>855</v>
      </c>
      <c r="B522" s="1">
        <v>45601</v>
      </c>
      <c r="C522" s="1">
        <v>45619</v>
      </c>
      <c r="D522" t="s">
        <v>419</v>
      </c>
      <c r="E522" t="s">
        <v>45</v>
      </c>
      <c r="F522" t="s">
        <v>25</v>
      </c>
      <c r="G522" t="s">
        <v>20</v>
      </c>
      <c r="H522" t="s">
        <v>21</v>
      </c>
      <c r="I522" t="s">
        <v>26</v>
      </c>
      <c r="J522">
        <v>1</v>
      </c>
      <c r="K522">
        <v>6253000</v>
      </c>
      <c r="L522">
        <v>9.9000000000000005E-2</v>
      </c>
      <c r="M522" t="s">
        <v>23</v>
      </c>
      <c r="N522">
        <v>5634000</v>
      </c>
      <c r="O522">
        <v>4.3</v>
      </c>
      <c r="P522" t="b">
        <v>1</v>
      </c>
    </row>
    <row r="523" spans="1:16" x14ac:dyDescent="0.2">
      <c r="A523" t="s">
        <v>856</v>
      </c>
      <c r="B523" s="1">
        <v>45506</v>
      </c>
      <c r="C523" s="1">
        <v>45580</v>
      </c>
      <c r="D523" t="s">
        <v>163</v>
      </c>
      <c r="E523" t="s">
        <v>33</v>
      </c>
      <c r="F523" t="s">
        <v>34</v>
      </c>
      <c r="G523" t="s">
        <v>20</v>
      </c>
      <c r="H523" t="s">
        <v>21</v>
      </c>
      <c r="I523" t="s">
        <v>22</v>
      </c>
      <c r="J523">
        <v>1</v>
      </c>
      <c r="K523">
        <v>2938000</v>
      </c>
      <c r="L523">
        <v>4.4999999999999998E-2</v>
      </c>
      <c r="M523" t="s">
        <v>23</v>
      </c>
      <c r="N523">
        <v>2806000</v>
      </c>
      <c r="O523">
        <v>4.7</v>
      </c>
      <c r="P523" t="b">
        <v>1</v>
      </c>
    </row>
    <row r="524" spans="1:16" x14ac:dyDescent="0.2">
      <c r="A524" t="s">
        <v>857</v>
      </c>
      <c r="B524" s="1">
        <v>45375</v>
      </c>
      <c r="C524" s="1">
        <v>45455</v>
      </c>
      <c r="D524" t="s">
        <v>689</v>
      </c>
      <c r="E524" t="s">
        <v>33</v>
      </c>
      <c r="F524" t="s">
        <v>25</v>
      </c>
      <c r="G524" t="s">
        <v>20</v>
      </c>
      <c r="H524" t="s">
        <v>21</v>
      </c>
      <c r="I524" t="s">
        <v>60</v>
      </c>
      <c r="J524">
        <v>1</v>
      </c>
      <c r="K524">
        <v>4790000</v>
      </c>
      <c r="L524">
        <v>8.1000000000000003E-2</v>
      </c>
      <c r="M524" t="s">
        <v>65</v>
      </c>
      <c r="N524">
        <v>0</v>
      </c>
      <c r="P524" t="b">
        <v>0</v>
      </c>
    </row>
    <row r="525" spans="1:16" x14ac:dyDescent="0.2">
      <c r="A525" t="s">
        <v>858</v>
      </c>
      <c r="B525" s="1">
        <v>45356</v>
      </c>
      <c r="C525" s="1">
        <v>45368</v>
      </c>
      <c r="D525" t="s">
        <v>859</v>
      </c>
      <c r="E525" t="s">
        <v>18</v>
      </c>
      <c r="F525" t="s">
        <v>45</v>
      </c>
      <c r="G525" t="s">
        <v>35</v>
      </c>
      <c r="H525" t="s">
        <v>51</v>
      </c>
      <c r="I525" t="s">
        <v>52</v>
      </c>
      <c r="J525">
        <v>2</v>
      </c>
      <c r="K525">
        <v>2583000</v>
      </c>
      <c r="L525">
        <v>9.5000000000000001E-2</v>
      </c>
      <c r="M525" t="s">
        <v>23</v>
      </c>
      <c r="N525">
        <v>4675000</v>
      </c>
      <c r="O525">
        <v>4.0999999999999996</v>
      </c>
      <c r="P525" t="b">
        <v>0</v>
      </c>
    </row>
    <row r="526" spans="1:16" x14ac:dyDescent="0.2">
      <c r="A526" t="s">
        <v>860</v>
      </c>
      <c r="B526" s="1">
        <v>45519</v>
      </c>
      <c r="C526" s="1">
        <v>45576</v>
      </c>
      <c r="D526" t="s">
        <v>664</v>
      </c>
      <c r="E526" t="s">
        <v>45</v>
      </c>
      <c r="F526" t="s">
        <v>25</v>
      </c>
      <c r="G526" t="s">
        <v>35</v>
      </c>
      <c r="H526" t="s">
        <v>21</v>
      </c>
      <c r="I526" t="s">
        <v>77</v>
      </c>
      <c r="J526">
        <v>1</v>
      </c>
      <c r="K526">
        <v>5820000</v>
      </c>
      <c r="L526">
        <v>8.2000000000000003E-2</v>
      </c>
      <c r="M526" t="s">
        <v>23</v>
      </c>
      <c r="N526">
        <v>5343000</v>
      </c>
      <c r="O526">
        <v>4</v>
      </c>
      <c r="P526" t="b">
        <v>0</v>
      </c>
    </row>
    <row r="527" spans="1:16" x14ac:dyDescent="0.2">
      <c r="A527" t="s">
        <v>861</v>
      </c>
      <c r="B527" s="1">
        <v>45343</v>
      </c>
      <c r="C527" s="1">
        <v>45399</v>
      </c>
      <c r="D527" t="s">
        <v>862</v>
      </c>
      <c r="E527" t="s">
        <v>18</v>
      </c>
      <c r="F527" t="s">
        <v>34</v>
      </c>
      <c r="G527" t="s">
        <v>20</v>
      </c>
      <c r="H527" t="s">
        <v>21</v>
      </c>
      <c r="I527" t="s">
        <v>77</v>
      </c>
      <c r="J527">
        <v>1</v>
      </c>
      <c r="K527">
        <v>4995000</v>
      </c>
      <c r="L527">
        <v>7.4999999999999997E-2</v>
      </c>
      <c r="M527" t="s">
        <v>23</v>
      </c>
      <c r="N527">
        <v>4620000</v>
      </c>
      <c r="O527">
        <v>4.2</v>
      </c>
      <c r="P527" t="b">
        <v>1</v>
      </c>
    </row>
    <row r="528" spans="1:16" x14ac:dyDescent="0.2">
      <c r="A528" t="s">
        <v>863</v>
      </c>
      <c r="B528" s="1">
        <v>45333</v>
      </c>
      <c r="C528" s="1">
        <v>45372</v>
      </c>
      <c r="D528" t="s">
        <v>304</v>
      </c>
      <c r="E528" t="s">
        <v>33</v>
      </c>
      <c r="F528" t="s">
        <v>39</v>
      </c>
      <c r="G528" t="s">
        <v>46</v>
      </c>
      <c r="H528" t="s">
        <v>21</v>
      </c>
      <c r="I528" t="s">
        <v>77</v>
      </c>
      <c r="J528">
        <v>2</v>
      </c>
      <c r="K528">
        <v>2522000</v>
      </c>
      <c r="L528">
        <v>0.13600000000000001</v>
      </c>
      <c r="M528" t="s">
        <v>65</v>
      </c>
      <c r="N528">
        <v>0</v>
      </c>
      <c r="P528" t="b">
        <v>0</v>
      </c>
    </row>
    <row r="529" spans="1:16" x14ac:dyDescent="0.2">
      <c r="A529" t="s">
        <v>864</v>
      </c>
      <c r="B529" s="1">
        <v>45510</v>
      </c>
      <c r="C529" s="1">
        <v>45574</v>
      </c>
      <c r="D529" t="s">
        <v>865</v>
      </c>
      <c r="E529" t="s">
        <v>45</v>
      </c>
      <c r="F529" t="s">
        <v>34</v>
      </c>
      <c r="G529" t="s">
        <v>50</v>
      </c>
      <c r="H529" t="s">
        <v>40</v>
      </c>
      <c r="J529">
        <v>1</v>
      </c>
      <c r="K529">
        <v>3178000</v>
      </c>
      <c r="L529">
        <v>0.123</v>
      </c>
      <c r="M529" t="s">
        <v>23</v>
      </c>
      <c r="N529">
        <v>2787000</v>
      </c>
      <c r="O529">
        <v>4.4000000000000004</v>
      </c>
      <c r="P529" t="b">
        <v>1</v>
      </c>
    </row>
    <row r="530" spans="1:16" x14ac:dyDescent="0.2">
      <c r="A530" t="s">
        <v>866</v>
      </c>
      <c r="B530" s="1">
        <v>45417</v>
      </c>
      <c r="C530" s="1">
        <v>45460</v>
      </c>
      <c r="D530" t="s">
        <v>163</v>
      </c>
      <c r="E530" t="s">
        <v>33</v>
      </c>
      <c r="F530" t="s">
        <v>45</v>
      </c>
      <c r="G530" t="s">
        <v>20</v>
      </c>
      <c r="H530" t="s">
        <v>21</v>
      </c>
      <c r="I530" t="s">
        <v>30</v>
      </c>
      <c r="J530">
        <v>3</v>
      </c>
      <c r="K530">
        <v>3488000</v>
      </c>
      <c r="L530">
        <v>6.8000000000000005E-2</v>
      </c>
      <c r="M530" t="s">
        <v>23</v>
      </c>
      <c r="N530">
        <v>9752000</v>
      </c>
      <c r="O530">
        <v>4.4000000000000004</v>
      </c>
      <c r="P530" t="b">
        <v>1</v>
      </c>
    </row>
    <row r="531" spans="1:16" x14ac:dyDescent="0.2">
      <c r="A531" t="s">
        <v>867</v>
      </c>
      <c r="B531" s="1">
        <v>45637</v>
      </c>
      <c r="C531" s="1">
        <v>45682</v>
      </c>
      <c r="D531" t="s">
        <v>134</v>
      </c>
      <c r="E531" t="s">
        <v>29</v>
      </c>
      <c r="F531" t="s">
        <v>19</v>
      </c>
      <c r="G531" t="s">
        <v>20</v>
      </c>
      <c r="H531" t="s">
        <v>21</v>
      </c>
      <c r="I531" t="s">
        <v>57</v>
      </c>
      <c r="J531">
        <v>2</v>
      </c>
      <c r="K531">
        <v>2577000</v>
      </c>
      <c r="L531">
        <v>0.13100000000000001</v>
      </c>
      <c r="M531" t="s">
        <v>23</v>
      </c>
      <c r="N531">
        <v>4479000</v>
      </c>
      <c r="O531">
        <v>4.2</v>
      </c>
      <c r="P531" t="b">
        <v>1</v>
      </c>
    </row>
    <row r="532" spans="1:16" x14ac:dyDescent="0.2">
      <c r="A532" t="s">
        <v>868</v>
      </c>
      <c r="B532" s="1">
        <v>45303</v>
      </c>
      <c r="C532" s="1">
        <v>45347</v>
      </c>
      <c r="D532" t="s">
        <v>477</v>
      </c>
      <c r="E532" t="s">
        <v>18</v>
      </c>
      <c r="F532" t="s">
        <v>39</v>
      </c>
      <c r="G532" t="s">
        <v>35</v>
      </c>
      <c r="H532" t="s">
        <v>47</v>
      </c>
      <c r="I532" t="s">
        <v>60</v>
      </c>
      <c r="J532">
        <v>1</v>
      </c>
      <c r="K532">
        <v>3419000</v>
      </c>
      <c r="L532">
        <v>0.11600000000000001</v>
      </c>
      <c r="M532" t="s">
        <v>23</v>
      </c>
      <c r="N532">
        <v>3022000</v>
      </c>
      <c r="O532">
        <v>4.7</v>
      </c>
      <c r="P532" t="b">
        <v>0</v>
      </c>
    </row>
    <row r="533" spans="1:16" x14ac:dyDescent="0.2">
      <c r="A533" t="s">
        <v>869</v>
      </c>
      <c r="B533" s="1">
        <v>45480</v>
      </c>
      <c r="C533" s="1">
        <v>45554</v>
      </c>
      <c r="D533" t="s">
        <v>870</v>
      </c>
      <c r="E533" t="s">
        <v>18</v>
      </c>
      <c r="F533" t="s">
        <v>34</v>
      </c>
      <c r="G533" t="s">
        <v>50</v>
      </c>
      <c r="H533" t="s">
        <v>21</v>
      </c>
      <c r="I533" t="s">
        <v>77</v>
      </c>
      <c r="J533">
        <v>1</v>
      </c>
      <c r="K533">
        <v>5144000</v>
      </c>
      <c r="L533">
        <v>5.8000000000000003E-2</v>
      </c>
      <c r="M533" t="s">
        <v>23</v>
      </c>
      <c r="N533">
        <v>4846000</v>
      </c>
      <c r="O533">
        <v>3.9</v>
      </c>
      <c r="P533" t="b">
        <v>0</v>
      </c>
    </row>
    <row r="534" spans="1:16" x14ac:dyDescent="0.2">
      <c r="A534" t="s">
        <v>871</v>
      </c>
      <c r="B534" s="1">
        <v>45574</v>
      </c>
      <c r="C534" s="1">
        <v>45635</v>
      </c>
      <c r="D534" t="s">
        <v>285</v>
      </c>
      <c r="E534" t="s">
        <v>18</v>
      </c>
      <c r="F534" t="s">
        <v>34</v>
      </c>
      <c r="G534" t="s">
        <v>20</v>
      </c>
      <c r="H534" t="s">
        <v>21</v>
      </c>
      <c r="I534" t="s">
        <v>94</v>
      </c>
      <c r="J534">
        <v>2</v>
      </c>
      <c r="K534">
        <v>4889000</v>
      </c>
      <c r="L534">
        <v>3.1E-2</v>
      </c>
      <c r="M534" t="s">
        <v>23</v>
      </c>
      <c r="N534">
        <v>9475000</v>
      </c>
      <c r="O534">
        <v>5</v>
      </c>
      <c r="P534" t="b">
        <v>1</v>
      </c>
    </row>
    <row r="535" spans="1:16" x14ac:dyDescent="0.2">
      <c r="A535" t="s">
        <v>872</v>
      </c>
      <c r="B535" s="1">
        <v>45892</v>
      </c>
      <c r="C535" s="1">
        <v>45932</v>
      </c>
      <c r="D535" t="s">
        <v>873</v>
      </c>
      <c r="E535" t="s">
        <v>29</v>
      </c>
      <c r="F535" t="s">
        <v>25</v>
      </c>
      <c r="G535" t="s">
        <v>50</v>
      </c>
      <c r="H535" t="s">
        <v>21</v>
      </c>
      <c r="I535" t="s">
        <v>26</v>
      </c>
      <c r="J535">
        <v>3</v>
      </c>
      <c r="K535">
        <v>3878000</v>
      </c>
      <c r="L535">
        <v>9.6000000000000002E-2</v>
      </c>
      <c r="M535" t="s">
        <v>23</v>
      </c>
      <c r="N535">
        <v>10517000</v>
      </c>
      <c r="O535">
        <v>4.5999999999999996</v>
      </c>
      <c r="P535" t="b">
        <v>1</v>
      </c>
    </row>
    <row r="536" spans="1:16" x14ac:dyDescent="0.2">
      <c r="A536" t="s">
        <v>874</v>
      </c>
      <c r="B536" s="1">
        <v>45687</v>
      </c>
      <c r="C536" s="1">
        <v>45772</v>
      </c>
      <c r="D536" t="s">
        <v>725</v>
      </c>
      <c r="E536" t="s">
        <v>18</v>
      </c>
      <c r="F536" t="s">
        <v>34</v>
      </c>
      <c r="G536" t="s">
        <v>20</v>
      </c>
      <c r="H536" t="s">
        <v>40</v>
      </c>
      <c r="I536" t="s">
        <v>77</v>
      </c>
      <c r="J536">
        <v>2</v>
      </c>
      <c r="K536">
        <v>5594000</v>
      </c>
      <c r="L536">
        <v>0.24399999999999999</v>
      </c>
      <c r="M536" t="s">
        <v>23</v>
      </c>
      <c r="N536">
        <v>8458000</v>
      </c>
      <c r="O536">
        <v>3.6</v>
      </c>
      <c r="P536" t="b">
        <v>1</v>
      </c>
    </row>
    <row r="537" spans="1:16" x14ac:dyDescent="0.2">
      <c r="A537" t="s">
        <v>875</v>
      </c>
      <c r="B537" s="1">
        <v>45840</v>
      </c>
      <c r="C537" s="1">
        <v>45914</v>
      </c>
      <c r="D537" t="s">
        <v>743</v>
      </c>
      <c r="E537" t="s">
        <v>29</v>
      </c>
      <c r="F537" t="s">
        <v>34</v>
      </c>
      <c r="G537" t="s">
        <v>20</v>
      </c>
      <c r="H537" t="s">
        <v>47</v>
      </c>
      <c r="I537" t="s">
        <v>22</v>
      </c>
      <c r="J537">
        <v>1</v>
      </c>
      <c r="K537">
        <v>3444000</v>
      </c>
      <c r="L537">
        <v>3.9E-2</v>
      </c>
      <c r="M537" t="s">
        <v>23</v>
      </c>
      <c r="N537">
        <v>3310000</v>
      </c>
      <c r="O537">
        <v>4.3</v>
      </c>
      <c r="P537" t="b">
        <v>1</v>
      </c>
    </row>
    <row r="538" spans="1:16" x14ac:dyDescent="0.2">
      <c r="A538" t="s">
        <v>876</v>
      </c>
      <c r="B538" s="1">
        <v>45505</v>
      </c>
      <c r="C538" s="1">
        <v>45590</v>
      </c>
      <c r="D538" t="s">
        <v>609</v>
      </c>
      <c r="E538" t="s">
        <v>45</v>
      </c>
      <c r="F538" t="s">
        <v>45</v>
      </c>
      <c r="G538" t="s">
        <v>50</v>
      </c>
      <c r="H538" t="s">
        <v>47</v>
      </c>
      <c r="I538" t="s">
        <v>26</v>
      </c>
      <c r="J538">
        <v>2</v>
      </c>
      <c r="K538">
        <v>3036000</v>
      </c>
      <c r="L538">
        <v>9.5000000000000001E-2</v>
      </c>
      <c r="M538" t="s">
        <v>23</v>
      </c>
      <c r="N538">
        <v>5495000</v>
      </c>
      <c r="O538">
        <v>4.5999999999999996</v>
      </c>
      <c r="P538" t="b">
        <v>1</v>
      </c>
    </row>
    <row r="539" spans="1:16" x14ac:dyDescent="0.2">
      <c r="A539" t="s">
        <v>877</v>
      </c>
      <c r="B539" s="1">
        <v>45572</v>
      </c>
      <c r="C539" s="1">
        <v>45641</v>
      </c>
      <c r="D539" t="s">
        <v>93</v>
      </c>
      <c r="E539" t="s">
        <v>18</v>
      </c>
      <c r="F539" t="s">
        <v>39</v>
      </c>
      <c r="G539" t="s">
        <v>35</v>
      </c>
      <c r="H539" t="s">
        <v>21</v>
      </c>
      <c r="I539" t="s">
        <v>22</v>
      </c>
      <c r="J539">
        <v>4</v>
      </c>
      <c r="K539">
        <v>2592000</v>
      </c>
      <c r="L539">
        <v>6.4000000000000001E-2</v>
      </c>
      <c r="M539" t="s">
        <v>23</v>
      </c>
      <c r="N539">
        <v>9704000</v>
      </c>
      <c r="O539">
        <v>4</v>
      </c>
      <c r="P539" t="b">
        <v>1</v>
      </c>
    </row>
    <row r="540" spans="1:16" x14ac:dyDescent="0.2">
      <c r="A540" t="s">
        <v>878</v>
      </c>
      <c r="B540" s="1">
        <v>45553</v>
      </c>
      <c r="C540" s="1">
        <v>45594</v>
      </c>
      <c r="D540" t="s">
        <v>251</v>
      </c>
      <c r="E540" t="s">
        <v>45</v>
      </c>
      <c r="F540" t="s">
        <v>34</v>
      </c>
      <c r="G540" t="s">
        <v>50</v>
      </c>
      <c r="H540" t="s">
        <v>51</v>
      </c>
      <c r="I540" t="s">
        <v>94</v>
      </c>
      <c r="J540">
        <v>2</v>
      </c>
      <c r="K540">
        <v>2653000</v>
      </c>
      <c r="L540">
        <v>0.10199999999999999</v>
      </c>
      <c r="M540" t="s">
        <v>23</v>
      </c>
      <c r="N540">
        <v>4765000</v>
      </c>
      <c r="O540">
        <v>3.5</v>
      </c>
      <c r="P540" t="b">
        <v>1</v>
      </c>
    </row>
    <row r="541" spans="1:16" x14ac:dyDescent="0.2">
      <c r="A541" t="s">
        <v>879</v>
      </c>
      <c r="B541" s="1">
        <v>45844</v>
      </c>
      <c r="C541" s="1">
        <v>45916</v>
      </c>
      <c r="D541" t="s">
        <v>880</v>
      </c>
      <c r="E541" t="s">
        <v>29</v>
      </c>
      <c r="F541" t="s">
        <v>39</v>
      </c>
      <c r="G541" t="s">
        <v>20</v>
      </c>
      <c r="H541" t="s">
        <v>47</v>
      </c>
      <c r="I541" t="s">
        <v>52</v>
      </c>
      <c r="J541">
        <v>2</v>
      </c>
      <c r="K541">
        <v>2398000</v>
      </c>
      <c r="L541">
        <v>0.184</v>
      </c>
      <c r="M541" t="s">
        <v>23</v>
      </c>
      <c r="N541">
        <v>3914000</v>
      </c>
      <c r="O541">
        <v>3.7</v>
      </c>
      <c r="P541" t="b">
        <v>1</v>
      </c>
    </row>
    <row r="542" spans="1:16" x14ac:dyDescent="0.2">
      <c r="A542" t="s">
        <v>881</v>
      </c>
      <c r="B542" s="1">
        <v>45889</v>
      </c>
      <c r="C542" s="1">
        <v>45925</v>
      </c>
      <c r="D542" t="s">
        <v>72</v>
      </c>
      <c r="E542" t="s">
        <v>45</v>
      </c>
      <c r="F542" t="s">
        <v>39</v>
      </c>
      <c r="G542" t="s">
        <v>20</v>
      </c>
      <c r="H542" t="s">
        <v>21</v>
      </c>
      <c r="I542" t="s">
        <v>94</v>
      </c>
      <c r="J542">
        <v>2</v>
      </c>
      <c r="K542">
        <v>2531000</v>
      </c>
      <c r="L542">
        <v>0.10100000000000001</v>
      </c>
      <c r="M542" t="s">
        <v>65</v>
      </c>
      <c r="N542">
        <v>0</v>
      </c>
      <c r="P542" t="b">
        <v>1</v>
      </c>
    </row>
    <row r="543" spans="1:16" x14ac:dyDescent="0.2">
      <c r="A543" t="s">
        <v>882</v>
      </c>
      <c r="B543" s="1">
        <v>45891</v>
      </c>
      <c r="C543" s="1">
        <v>45922</v>
      </c>
      <c r="D543" t="s">
        <v>468</v>
      </c>
      <c r="E543" t="s">
        <v>29</v>
      </c>
      <c r="F543" t="s">
        <v>39</v>
      </c>
      <c r="G543" t="s">
        <v>20</v>
      </c>
      <c r="H543" t="s">
        <v>21</v>
      </c>
      <c r="I543" t="s">
        <v>22</v>
      </c>
      <c r="J543">
        <v>1</v>
      </c>
      <c r="K543">
        <v>1939000</v>
      </c>
      <c r="L543">
        <v>0.106</v>
      </c>
      <c r="M543" t="s">
        <v>65</v>
      </c>
      <c r="N543">
        <v>0</v>
      </c>
      <c r="P543" t="b">
        <v>1</v>
      </c>
    </row>
    <row r="544" spans="1:16" x14ac:dyDescent="0.2">
      <c r="A544" t="s">
        <v>883</v>
      </c>
      <c r="B544" s="1">
        <v>45760</v>
      </c>
      <c r="C544" s="1">
        <v>45806</v>
      </c>
      <c r="D544" t="s">
        <v>220</v>
      </c>
      <c r="E544" t="s">
        <v>45</v>
      </c>
      <c r="F544" t="s">
        <v>45</v>
      </c>
      <c r="G544" t="s">
        <v>20</v>
      </c>
      <c r="H544" t="s">
        <v>21</v>
      </c>
      <c r="J544">
        <v>3</v>
      </c>
      <c r="K544">
        <v>4320000</v>
      </c>
      <c r="L544">
        <v>0.16900000000000001</v>
      </c>
      <c r="M544" t="s">
        <v>23</v>
      </c>
      <c r="N544">
        <v>10770000</v>
      </c>
      <c r="O544">
        <v>3.5</v>
      </c>
      <c r="P544" t="b">
        <v>1</v>
      </c>
    </row>
    <row r="545" spans="1:16" x14ac:dyDescent="0.2">
      <c r="A545" t="s">
        <v>884</v>
      </c>
      <c r="B545" s="1">
        <v>45605</v>
      </c>
      <c r="C545" s="1">
        <v>45693</v>
      </c>
      <c r="D545" t="s">
        <v>276</v>
      </c>
      <c r="E545" t="s">
        <v>29</v>
      </c>
      <c r="F545" t="s">
        <v>45</v>
      </c>
      <c r="G545" t="s">
        <v>20</v>
      </c>
      <c r="H545" t="s">
        <v>47</v>
      </c>
      <c r="I545" t="s">
        <v>94</v>
      </c>
      <c r="J545">
        <v>4</v>
      </c>
      <c r="K545">
        <v>3146000</v>
      </c>
      <c r="L545">
        <v>0.22900000000000001</v>
      </c>
      <c r="M545" t="s">
        <v>23</v>
      </c>
      <c r="N545">
        <v>9702000</v>
      </c>
      <c r="O545">
        <v>4.5</v>
      </c>
      <c r="P545" t="b">
        <v>1</v>
      </c>
    </row>
    <row r="546" spans="1:16" x14ac:dyDescent="0.2">
      <c r="A546" t="s">
        <v>885</v>
      </c>
      <c r="B546" s="1">
        <v>45628</v>
      </c>
      <c r="C546" s="1">
        <v>45684</v>
      </c>
      <c r="D546" t="s">
        <v>582</v>
      </c>
      <c r="E546" t="s">
        <v>33</v>
      </c>
      <c r="F546" t="s">
        <v>25</v>
      </c>
      <c r="G546" t="s">
        <v>35</v>
      </c>
      <c r="H546" t="s">
        <v>21</v>
      </c>
      <c r="I546" t="s">
        <v>94</v>
      </c>
      <c r="J546">
        <v>3</v>
      </c>
      <c r="K546">
        <v>4833000</v>
      </c>
      <c r="L546">
        <v>0.20399999999999999</v>
      </c>
      <c r="M546" t="s">
        <v>23</v>
      </c>
      <c r="N546">
        <v>11541000</v>
      </c>
      <c r="O546">
        <v>4.0999999999999996</v>
      </c>
      <c r="P546" t="b">
        <v>1</v>
      </c>
    </row>
    <row r="547" spans="1:16" x14ac:dyDescent="0.2">
      <c r="A547" t="s">
        <v>886</v>
      </c>
      <c r="B547" s="1">
        <v>45902</v>
      </c>
      <c r="C547" s="1">
        <v>45943</v>
      </c>
      <c r="D547" t="s">
        <v>269</v>
      </c>
      <c r="E547" t="s">
        <v>29</v>
      </c>
      <c r="F547" t="s">
        <v>45</v>
      </c>
      <c r="G547" t="s">
        <v>35</v>
      </c>
      <c r="H547" t="s">
        <v>21</v>
      </c>
      <c r="I547" t="s">
        <v>52</v>
      </c>
      <c r="J547">
        <v>3</v>
      </c>
      <c r="K547">
        <v>3098000</v>
      </c>
      <c r="L547">
        <v>0.112</v>
      </c>
      <c r="M547" t="s">
        <v>23</v>
      </c>
      <c r="N547">
        <v>8253000</v>
      </c>
      <c r="O547">
        <v>3.9</v>
      </c>
      <c r="P547" t="b">
        <v>1</v>
      </c>
    </row>
    <row r="548" spans="1:16" x14ac:dyDescent="0.2">
      <c r="A548" t="s">
        <v>887</v>
      </c>
      <c r="B548" s="1">
        <v>45469</v>
      </c>
      <c r="C548" s="1">
        <v>45516</v>
      </c>
      <c r="D548" t="s">
        <v>227</v>
      </c>
      <c r="E548" t="s">
        <v>45</v>
      </c>
      <c r="F548" t="s">
        <v>68</v>
      </c>
      <c r="G548" t="s">
        <v>35</v>
      </c>
      <c r="H548" t="s">
        <v>47</v>
      </c>
      <c r="I548" t="s">
        <v>60</v>
      </c>
      <c r="J548">
        <v>2</v>
      </c>
      <c r="K548">
        <v>3397000</v>
      </c>
      <c r="L548">
        <v>5.8000000000000003E-2</v>
      </c>
      <c r="M548" t="s">
        <v>23</v>
      </c>
      <c r="N548">
        <v>6400000</v>
      </c>
      <c r="O548">
        <v>4</v>
      </c>
      <c r="P548" t="b">
        <v>1</v>
      </c>
    </row>
    <row r="549" spans="1:16" x14ac:dyDescent="0.2">
      <c r="A549" t="s">
        <v>888</v>
      </c>
      <c r="B549" s="1">
        <v>45507</v>
      </c>
      <c r="C549" s="1">
        <v>45540</v>
      </c>
      <c r="D549" t="s">
        <v>261</v>
      </c>
      <c r="E549" t="s">
        <v>45</v>
      </c>
      <c r="F549" t="s">
        <v>34</v>
      </c>
      <c r="G549" t="s">
        <v>20</v>
      </c>
      <c r="H549" t="s">
        <v>47</v>
      </c>
      <c r="I549" t="s">
        <v>77</v>
      </c>
      <c r="J549">
        <v>1</v>
      </c>
      <c r="K549">
        <v>4028000</v>
      </c>
      <c r="L549">
        <v>0.123</v>
      </c>
      <c r="M549" t="s">
        <v>23</v>
      </c>
      <c r="N549">
        <v>3533000</v>
      </c>
      <c r="O549">
        <v>3.5</v>
      </c>
      <c r="P549" t="b">
        <v>1</v>
      </c>
    </row>
    <row r="550" spans="1:16" x14ac:dyDescent="0.2">
      <c r="A550" t="s">
        <v>889</v>
      </c>
      <c r="B550" s="1">
        <v>45850</v>
      </c>
      <c r="C550" s="1">
        <v>45913</v>
      </c>
      <c r="D550" t="s">
        <v>890</v>
      </c>
      <c r="E550" t="s">
        <v>18</v>
      </c>
      <c r="F550" t="s">
        <v>19</v>
      </c>
      <c r="G550" t="s">
        <v>20</v>
      </c>
      <c r="H550" t="s">
        <v>40</v>
      </c>
      <c r="I550" t="s">
        <v>30</v>
      </c>
      <c r="J550">
        <v>4</v>
      </c>
      <c r="K550">
        <v>2906000</v>
      </c>
      <c r="L550">
        <v>0.129</v>
      </c>
      <c r="M550" t="s">
        <v>23</v>
      </c>
      <c r="N550">
        <v>10125000</v>
      </c>
      <c r="O550">
        <v>4.4000000000000004</v>
      </c>
      <c r="P550" t="b">
        <v>1</v>
      </c>
    </row>
    <row r="551" spans="1:16" x14ac:dyDescent="0.2">
      <c r="A551" t="s">
        <v>891</v>
      </c>
      <c r="B551" s="1">
        <v>45532</v>
      </c>
      <c r="C551" s="1">
        <v>45570</v>
      </c>
      <c r="D551" t="s">
        <v>276</v>
      </c>
      <c r="E551" t="s">
        <v>29</v>
      </c>
      <c r="F551" t="s">
        <v>34</v>
      </c>
      <c r="G551" t="s">
        <v>35</v>
      </c>
      <c r="H551" t="s">
        <v>47</v>
      </c>
      <c r="I551" t="s">
        <v>99</v>
      </c>
      <c r="J551">
        <v>1</v>
      </c>
      <c r="K551">
        <v>2830000</v>
      </c>
      <c r="L551">
        <v>6.9000000000000006E-2</v>
      </c>
      <c r="M551" t="s">
        <v>23</v>
      </c>
      <c r="N551">
        <v>2635000</v>
      </c>
      <c r="O551">
        <v>3.8</v>
      </c>
      <c r="P551" t="b">
        <v>1</v>
      </c>
    </row>
    <row r="552" spans="1:16" x14ac:dyDescent="0.2">
      <c r="A552" t="s">
        <v>891</v>
      </c>
      <c r="B552" s="1">
        <v>45532</v>
      </c>
      <c r="C552" s="1">
        <v>45570</v>
      </c>
      <c r="D552" t="s">
        <v>276</v>
      </c>
      <c r="E552" t="s">
        <v>29</v>
      </c>
      <c r="F552" t="s">
        <v>34</v>
      </c>
      <c r="G552" t="s">
        <v>35</v>
      </c>
      <c r="H552" t="s">
        <v>47</v>
      </c>
      <c r="I552" t="s">
        <v>99</v>
      </c>
      <c r="J552">
        <v>1</v>
      </c>
      <c r="K552">
        <v>2830000</v>
      </c>
      <c r="L552">
        <v>6.9000000000000006E-2</v>
      </c>
      <c r="M552" t="s">
        <v>23</v>
      </c>
      <c r="N552">
        <v>2635000</v>
      </c>
      <c r="O552">
        <v>3.8</v>
      </c>
      <c r="P552" t="b">
        <v>1</v>
      </c>
    </row>
    <row r="553" spans="1:16" x14ac:dyDescent="0.2">
      <c r="A553" t="s">
        <v>892</v>
      </c>
      <c r="B553" s="1">
        <v>45438</v>
      </c>
      <c r="C553" s="1">
        <v>45492</v>
      </c>
      <c r="D553" t="s">
        <v>645</v>
      </c>
      <c r="E553" t="s">
        <v>29</v>
      </c>
      <c r="F553" t="s">
        <v>68</v>
      </c>
      <c r="G553" t="s">
        <v>20</v>
      </c>
      <c r="H553" t="s">
        <v>21</v>
      </c>
      <c r="I553" t="s">
        <v>83</v>
      </c>
      <c r="J553">
        <v>2</v>
      </c>
      <c r="K553">
        <v>1504000</v>
      </c>
      <c r="L553">
        <v>9.7000000000000003E-2</v>
      </c>
      <c r="M553" t="s">
        <v>23</v>
      </c>
      <c r="N553">
        <v>2716000</v>
      </c>
      <c r="O553">
        <v>3.9</v>
      </c>
      <c r="P553" t="b">
        <v>0</v>
      </c>
    </row>
    <row r="554" spans="1:16" x14ac:dyDescent="0.2">
      <c r="A554" t="s">
        <v>893</v>
      </c>
      <c r="B554" s="1">
        <v>45641</v>
      </c>
      <c r="C554" s="1">
        <v>45680</v>
      </c>
      <c r="D554" t="s">
        <v>894</v>
      </c>
      <c r="E554" t="s">
        <v>33</v>
      </c>
      <c r="F554" t="s">
        <v>19</v>
      </c>
      <c r="G554" t="s">
        <v>50</v>
      </c>
      <c r="H554" t="s">
        <v>47</v>
      </c>
      <c r="I554" t="s">
        <v>52</v>
      </c>
      <c r="J554">
        <v>1</v>
      </c>
      <c r="K554">
        <v>2645000</v>
      </c>
      <c r="L554">
        <v>0.13200000000000001</v>
      </c>
      <c r="M554" t="s">
        <v>23</v>
      </c>
      <c r="N554">
        <v>2296000</v>
      </c>
      <c r="O554">
        <v>4.4000000000000004</v>
      </c>
      <c r="P554" t="b">
        <v>1</v>
      </c>
    </row>
    <row r="555" spans="1:16" x14ac:dyDescent="0.2">
      <c r="A555" t="s">
        <v>895</v>
      </c>
      <c r="B555" s="1">
        <v>45494</v>
      </c>
      <c r="C555" s="1">
        <v>45529</v>
      </c>
      <c r="D555" t="s">
        <v>896</v>
      </c>
      <c r="E555" t="s">
        <v>33</v>
      </c>
      <c r="F555" t="s">
        <v>45</v>
      </c>
      <c r="G555" t="s">
        <v>20</v>
      </c>
      <c r="H555" t="s">
        <v>21</v>
      </c>
      <c r="I555" t="s">
        <v>30</v>
      </c>
      <c r="J555">
        <v>4</v>
      </c>
      <c r="K555">
        <v>3998000</v>
      </c>
      <c r="L555">
        <v>5.8000000000000003E-2</v>
      </c>
      <c r="M555" t="s">
        <v>23</v>
      </c>
      <c r="N555">
        <v>15064000</v>
      </c>
      <c r="O555">
        <v>4.0999999999999996</v>
      </c>
      <c r="P555" t="b">
        <v>0</v>
      </c>
    </row>
    <row r="556" spans="1:16" x14ac:dyDescent="0.2">
      <c r="A556" t="s">
        <v>897</v>
      </c>
      <c r="B556" s="1">
        <v>45847</v>
      </c>
      <c r="C556" s="1">
        <v>45935</v>
      </c>
      <c r="D556" t="s">
        <v>265</v>
      </c>
      <c r="E556" t="s">
        <v>29</v>
      </c>
      <c r="F556" t="s">
        <v>39</v>
      </c>
      <c r="G556" t="s">
        <v>35</v>
      </c>
      <c r="H556" t="s">
        <v>21</v>
      </c>
      <c r="I556" t="s">
        <v>22</v>
      </c>
      <c r="J556">
        <v>2</v>
      </c>
      <c r="K556">
        <v>2550000</v>
      </c>
      <c r="L556">
        <v>4.3999999999999997E-2</v>
      </c>
      <c r="M556" t="s">
        <v>23</v>
      </c>
      <c r="N556">
        <v>4876000</v>
      </c>
      <c r="O556">
        <v>3.8</v>
      </c>
      <c r="P556" t="b">
        <v>1</v>
      </c>
    </row>
    <row r="557" spans="1:16" x14ac:dyDescent="0.2">
      <c r="A557" t="s">
        <v>898</v>
      </c>
      <c r="B557" s="1">
        <v>45858</v>
      </c>
      <c r="C557" s="1">
        <v>45896</v>
      </c>
      <c r="D557" t="s">
        <v>899</v>
      </c>
      <c r="E557" t="s">
        <v>45</v>
      </c>
      <c r="F557" t="s">
        <v>68</v>
      </c>
      <c r="G557" t="s">
        <v>50</v>
      </c>
      <c r="H557" t="s">
        <v>51</v>
      </c>
      <c r="I557" t="s">
        <v>26</v>
      </c>
      <c r="J557">
        <v>1</v>
      </c>
      <c r="K557">
        <v>2353000</v>
      </c>
      <c r="L557">
        <v>6.2E-2</v>
      </c>
      <c r="M557" t="s">
        <v>23</v>
      </c>
      <c r="N557">
        <v>2207000</v>
      </c>
      <c r="O557">
        <v>3.2</v>
      </c>
      <c r="P557" t="b">
        <v>1</v>
      </c>
    </row>
    <row r="558" spans="1:16" x14ac:dyDescent="0.2">
      <c r="A558" t="s">
        <v>900</v>
      </c>
      <c r="B558" s="1">
        <v>45482</v>
      </c>
      <c r="C558" s="1">
        <v>45497</v>
      </c>
      <c r="D558" t="s">
        <v>901</v>
      </c>
      <c r="E558" t="s">
        <v>18</v>
      </c>
      <c r="F558" t="s">
        <v>34</v>
      </c>
      <c r="G558" t="s">
        <v>35</v>
      </c>
      <c r="H558" t="s">
        <v>21</v>
      </c>
      <c r="I558" t="s">
        <v>57</v>
      </c>
      <c r="J558">
        <v>3</v>
      </c>
      <c r="K558">
        <v>5491000</v>
      </c>
      <c r="L558">
        <v>0</v>
      </c>
      <c r="M558" t="s">
        <v>23</v>
      </c>
      <c r="N558">
        <v>16473000</v>
      </c>
      <c r="O558">
        <v>4.4000000000000004</v>
      </c>
      <c r="P558" t="b">
        <v>0</v>
      </c>
    </row>
    <row r="559" spans="1:16" x14ac:dyDescent="0.2">
      <c r="A559" t="s">
        <v>902</v>
      </c>
      <c r="B559" s="1">
        <v>45621</v>
      </c>
      <c r="C559" s="1">
        <v>45661</v>
      </c>
      <c r="D559" t="s">
        <v>894</v>
      </c>
      <c r="E559" t="s">
        <v>33</v>
      </c>
      <c r="F559" t="s">
        <v>39</v>
      </c>
      <c r="G559" t="s">
        <v>35</v>
      </c>
      <c r="H559" t="s">
        <v>21</v>
      </c>
      <c r="I559" t="s">
        <v>52</v>
      </c>
      <c r="J559">
        <v>3</v>
      </c>
      <c r="K559">
        <v>2653000</v>
      </c>
      <c r="L559">
        <v>8.5000000000000006E-2</v>
      </c>
      <c r="M559" t="s">
        <v>23</v>
      </c>
      <c r="N559">
        <v>7282000</v>
      </c>
      <c r="O559">
        <v>4.2</v>
      </c>
      <c r="P559" t="b">
        <v>1</v>
      </c>
    </row>
    <row r="560" spans="1:16" x14ac:dyDescent="0.2">
      <c r="A560" t="s">
        <v>903</v>
      </c>
      <c r="B560" s="1">
        <v>45905</v>
      </c>
      <c r="C560" s="1">
        <v>45958</v>
      </c>
      <c r="D560" t="s">
        <v>196</v>
      </c>
      <c r="E560" t="s">
        <v>18</v>
      </c>
      <c r="F560" t="s">
        <v>39</v>
      </c>
      <c r="G560" t="s">
        <v>35</v>
      </c>
      <c r="H560" t="s">
        <v>40</v>
      </c>
      <c r="I560" t="s">
        <v>77</v>
      </c>
      <c r="J560">
        <v>3</v>
      </c>
      <c r="K560">
        <v>2326000</v>
      </c>
      <c r="L560">
        <v>8.5999999999999993E-2</v>
      </c>
      <c r="M560" t="s">
        <v>23</v>
      </c>
      <c r="N560">
        <v>6378000</v>
      </c>
      <c r="O560">
        <v>3.9</v>
      </c>
      <c r="P560" t="b">
        <v>1</v>
      </c>
    </row>
    <row r="561" spans="1:16" x14ac:dyDescent="0.2">
      <c r="A561" t="s">
        <v>904</v>
      </c>
      <c r="B561" s="1">
        <v>45754</v>
      </c>
      <c r="C561" s="1">
        <v>45771</v>
      </c>
      <c r="D561" t="s">
        <v>905</v>
      </c>
      <c r="E561" t="s">
        <v>18</v>
      </c>
      <c r="F561" t="s">
        <v>34</v>
      </c>
      <c r="G561" t="s">
        <v>20</v>
      </c>
      <c r="H561" t="s">
        <v>21</v>
      </c>
      <c r="I561" t="s">
        <v>77</v>
      </c>
      <c r="J561">
        <v>1</v>
      </c>
      <c r="K561">
        <v>4278000</v>
      </c>
      <c r="L561">
        <v>0.13700000000000001</v>
      </c>
      <c r="M561" t="s">
        <v>23</v>
      </c>
      <c r="N561">
        <v>3692000</v>
      </c>
      <c r="O561">
        <v>3.7</v>
      </c>
      <c r="P561" t="b">
        <v>1</v>
      </c>
    </row>
    <row r="562" spans="1:16" x14ac:dyDescent="0.2">
      <c r="A562" t="s">
        <v>906</v>
      </c>
      <c r="B562" s="1">
        <v>45426</v>
      </c>
      <c r="C562" s="1">
        <v>45460</v>
      </c>
      <c r="D562" t="s">
        <v>907</v>
      </c>
      <c r="E562" t="s">
        <v>33</v>
      </c>
      <c r="F562" t="s">
        <v>45</v>
      </c>
      <c r="G562" t="s">
        <v>35</v>
      </c>
      <c r="H562" t="s">
        <v>21</v>
      </c>
      <c r="I562" t="s">
        <v>99</v>
      </c>
      <c r="J562">
        <v>4</v>
      </c>
      <c r="K562">
        <v>2006000</v>
      </c>
      <c r="L562">
        <v>0.13500000000000001</v>
      </c>
      <c r="M562" t="s">
        <v>23</v>
      </c>
      <c r="N562">
        <v>6941000</v>
      </c>
      <c r="O562">
        <v>4.2</v>
      </c>
      <c r="P562" t="b">
        <v>0</v>
      </c>
    </row>
    <row r="563" spans="1:16" x14ac:dyDescent="0.2">
      <c r="A563" t="s">
        <v>908</v>
      </c>
      <c r="B563" s="1">
        <v>45660</v>
      </c>
      <c r="C563" s="1">
        <v>45683</v>
      </c>
      <c r="D563" t="s">
        <v>169</v>
      </c>
      <c r="E563" t="s">
        <v>29</v>
      </c>
      <c r="F563" t="s">
        <v>19</v>
      </c>
      <c r="G563" t="s">
        <v>50</v>
      </c>
      <c r="H563" t="s">
        <v>40</v>
      </c>
      <c r="I563" t="s">
        <v>26</v>
      </c>
      <c r="J563">
        <v>2</v>
      </c>
      <c r="K563">
        <v>2128000</v>
      </c>
      <c r="L563">
        <v>0.154</v>
      </c>
      <c r="M563" t="s">
        <v>23</v>
      </c>
      <c r="N563">
        <v>3601000</v>
      </c>
      <c r="O563">
        <v>4.4000000000000004</v>
      </c>
      <c r="P563" t="b">
        <v>1</v>
      </c>
    </row>
    <row r="564" spans="1:16" x14ac:dyDescent="0.2">
      <c r="A564" t="s">
        <v>909</v>
      </c>
      <c r="B564" s="1">
        <v>45678</v>
      </c>
      <c r="C564" s="1">
        <v>45728</v>
      </c>
      <c r="D564" t="s">
        <v>613</v>
      </c>
      <c r="E564" t="s">
        <v>18</v>
      </c>
      <c r="F564" t="s">
        <v>45</v>
      </c>
      <c r="G564" t="s">
        <v>46</v>
      </c>
      <c r="H564" t="s">
        <v>47</v>
      </c>
      <c r="I564" t="s">
        <v>77</v>
      </c>
      <c r="J564">
        <v>4</v>
      </c>
      <c r="K564">
        <v>3244000</v>
      </c>
      <c r="L564">
        <v>0.20699999999999999</v>
      </c>
      <c r="M564" t="s">
        <v>23</v>
      </c>
      <c r="N564">
        <v>10290000</v>
      </c>
      <c r="O564">
        <v>4.2</v>
      </c>
      <c r="P564" t="b">
        <v>1</v>
      </c>
    </row>
    <row r="565" spans="1:16" x14ac:dyDescent="0.2">
      <c r="A565" t="s">
        <v>910</v>
      </c>
      <c r="B565" s="1">
        <v>45699</v>
      </c>
      <c r="C565" s="1">
        <v>45767</v>
      </c>
      <c r="D565" t="s">
        <v>911</v>
      </c>
      <c r="E565" t="s">
        <v>33</v>
      </c>
      <c r="F565" t="s">
        <v>25</v>
      </c>
      <c r="G565" t="s">
        <v>20</v>
      </c>
      <c r="H565" t="s">
        <v>47</v>
      </c>
      <c r="I565" t="s">
        <v>60</v>
      </c>
      <c r="J565">
        <v>1</v>
      </c>
      <c r="K565">
        <v>4900000</v>
      </c>
      <c r="L565">
        <v>0.159</v>
      </c>
      <c r="M565" t="s">
        <v>23</v>
      </c>
      <c r="N565">
        <v>4121000</v>
      </c>
      <c r="O565">
        <v>5</v>
      </c>
      <c r="P565" t="b">
        <v>0</v>
      </c>
    </row>
    <row r="566" spans="1:16" x14ac:dyDescent="0.2">
      <c r="A566" t="s">
        <v>912</v>
      </c>
      <c r="B566" s="1">
        <v>45307</v>
      </c>
      <c r="C566" s="1">
        <v>45395</v>
      </c>
      <c r="D566" t="s">
        <v>913</v>
      </c>
      <c r="E566" t="s">
        <v>33</v>
      </c>
      <c r="F566" t="s">
        <v>19</v>
      </c>
      <c r="G566" t="s">
        <v>20</v>
      </c>
      <c r="H566" t="s">
        <v>21</v>
      </c>
      <c r="I566" t="s">
        <v>26</v>
      </c>
      <c r="J566">
        <v>2</v>
      </c>
      <c r="K566">
        <v>2745000</v>
      </c>
      <c r="L566">
        <v>0.188</v>
      </c>
      <c r="M566" t="s">
        <v>23</v>
      </c>
      <c r="N566">
        <v>4458000</v>
      </c>
      <c r="O566">
        <v>4.5999999999999996</v>
      </c>
      <c r="P566" t="b">
        <v>0</v>
      </c>
    </row>
    <row r="567" spans="1:16" x14ac:dyDescent="0.2">
      <c r="A567" t="s">
        <v>914</v>
      </c>
      <c r="B567" s="1">
        <v>45478</v>
      </c>
      <c r="C567" s="1">
        <v>45519</v>
      </c>
      <c r="D567" t="s">
        <v>269</v>
      </c>
      <c r="E567" t="s">
        <v>29</v>
      </c>
      <c r="F567" t="s">
        <v>34</v>
      </c>
      <c r="G567" t="s">
        <v>50</v>
      </c>
      <c r="H567" t="s">
        <v>40</v>
      </c>
      <c r="I567" t="s">
        <v>52</v>
      </c>
      <c r="J567">
        <v>1</v>
      </c>
      <c r="K567">
        <v>2972000</v>
      </c>
      <c r="L567">
        <v>0.13400000000000001</v>
      </c>
      <c r="M567" t="s">
        <v>23</v>
      </c>
      <c r="N567">
        <v>2574000</v>
      </c>
      <c r="O567">
        <v>4.0999999999999996</v>
      </c>
      <c r="P567" t="b">
        <v>0</v>
      </c>
    </row>
    <row r="568" spans="1:16" x14ac:dyDescent="0.2">
      <c r="A568" t="s">
        <v>915</v>
      </c>
      <c r="B568" s="1">
        <v>45824</v>
      </c>
      <c r="C568" s="1">
        <v>45903</v>
      </c>
      <c r="D568" t="s">
        <v>116</v>
      </c>
      <c r="E568" t="s">
        <v>29</v>
      </c>
      <c r="F568" t="s">
        <v>34</v>
      </c>
      <c r="G568" t="s">
        <v>35</v>
      </c>
      <c r="H568" t="s">
        <v>47</v>
      </c>
      <c r="I568" t="s">
        <v>83</v>
      </c>
      <c r="J568">
        <v>1</v>
      </c>
      <c r="K568">
        <v>4783000</v>
      </c>
      <c r="L568">
        <v>7.5999999999999998E-2</v>
      </c>
      <c r="M568" t="s">
        <v>23</v>
      </c>
      <c r="N568">
        <v>4419000</v>
      </c>
      <c r="O568">
        <v>4.5999999999999996</v>
      </c>
      <c r="P568" t="b">
        <v>1</v>
      </c>
    </row>
    <row r="569" spans="1:16" x14ac:dyDescent="0.2">
      <c r="A569" t="s">
        <v>916</v>
      </c>
      <c r="B569" s="1">
        <v>45442</v>
      </c>
      <c r="C569" s="1">
        <v>45469</v>
      </c>
      <c r="D569" t="s">
        <v>307</v>
      </c>
      <c r="E569" t="s">
        <v>45</v>
      </c>
      <c r="F569" t="s">
        <v>34</v>
      </c>
      <c r="G569" t="s">
        <v>20</v>
      </c>
      <c r="H569" t="s">
        <v>21</v>
      </c>
      <c r="J569">
        <v>1</v>
      </c>
      <c r="K569">
        <v>4566000</v>
      </c>
      <c r="L569">
        <v>2.8000000000000001E-2</v>
      </c>
      <c r="M569" t="s">
        <v>23</v>
      </c>
      <c r="N569">
        <v>4438000</v>
      </c>
      <c r="O569">
        <v>4.2</v>
      </c>
      <c r="P569" t="b">
        <v>1</v>
      </c>
    </row>
    <row r="570" spans="1:16" x14ac:dyDescent="0.2">
      <c r="A570" t="s">
        <v>917</v>
      </c>
      <c r="B570" s="1">
        <v>45478</v>
      </c>
      <c r="C570" s="1">
        <v>45551</v>
      </c>
      <c r="D570" t="s">
        <v>802</v>
      </c>
      <c r="E570" t="s">
        <v>33</v>
      </c>
      <c r="F570" t="s">
        <v>45</v>
      </c>
      <c r="G570" t="s">
        <v>20</v>
      </c>
      <c r="H570" t="s">
        <v>21</v>
      </c>
      <c r="I570" t="s">
        <v>22</v>
      </c>
      <c r="J570">
        <v>3</v>
      </c>
      <c r="K570">
        <v>3487000</v>
      </c>
      <c r="L570">
        <v>0.16</v>
      </c>
      <c r="M570" t="s">
        <v>23</v>
      </c>
      <c r="N570">
        <v>8787000</v>
      </c>
      <c r="O570">
        <v>4.2</v>
      </c>
      <c r="P570" t="b">
        <v>1</v>
      </c>
    </row>
    <row r="571" spans="1:16" x14ac:dyDescent="0.2">
      <c r="A571" t="s">
        <v>918</v>
      </c>
      <c r="B571" s="1">
        <v>45492</v>
      </c>
      <c r="C571" s="1">
        <v>45547</v>
      </c>
      <c r="D571" t="s">
        <v>177</v>
      </c>
      <c r="E571" t="s">
        <v>18</v>
      </c>
      <c r="F571" t="s">
        <v>19</v>
      </c>
      <c r="G571" t="s">
        <v>20</v>
      </c>
      <c r="H571" t="s">
        <v>21</v>
      </c>
      <c r="I571" t="s">
        <v>57</v>
      </c>
      <c r="J571">
        <v>1</v>
      </c>
      <c r="K571">
        <v>3633000</v>
      </c>
      <c r="L571">
        <v>0.12</v>
      </c>
      <c r="M571" t="s">
        <v>23</v>
      </c>
      <c r="N571">
        <v>3197000</v>
      </c>
      <c r="O571">
        <v>4.8</v>
      </c>
      <c r="P571" t="b">
        <v>1</v>
      </c>
    </row>
    <row r="572" spans="1:16" x14ac:dyDescent="0.2">
      <c r="A572" t="s">
        <v>919</v>
      </c>
      <c r="B572" s="1">
        <v>45402</v>
      </c>
      <c r="C572" s="1">
        <v>45473</v>
      </c>
      <c r="D572" t="s">
        <v>177</v>
      </c>
      <c r="E572" t="s">
        <v>18</v>
      </c>
      <c r="F572" t="s">
        <v>34</v>
      </c>
      <c r="G572" t="s">
        <v>35</v>
      </c>
      <c r="H572" t="s">
        <v>21</v>
      </c>
      <c r="I572" t="s">
        <v>83</v>
      </c>
      <c r="J572">
        <v>1</v>
      </c>
      <c r="K572">
        <v>4679000</v>
      </c>
      <c r="L572">
        <v>6.9000000000000006E-2</v>
      </c>
      <c r="M572" t="s">
        <v>65</v>
      </c>
      <c r="N572">
        <v>0</v>
      </c>
      <c r="P572" t="b">
        <v>0</v>
      </c>
    </row>
    <row r="573" spans="1:16" x14ac:dyDescent="0.2">
      <c r="A573" t="s">
        <v>920</v>
      </c>
      <c r="B573" s="1">
        <v>45388</v>
      </c>
      <c r="C573" s="1">
        <v>45459</v>
      </c>
      <c r="D573" t="s">
        <v>224</v>
      </c>
      <c r="E573" t="s">
        <v>45</v>
      </c>
      <c r="F573" t="s">
        <v>45</v>
      </c>
      <c r="G573" t="s">
        <v>20</v>
      </c>
      <c r="H573" t="s">
        <v>21</v>
      </c>
      <c r="I573" t="s">
        <v>77</v>
      </c>
      <c r="J573">
        <v>4</v>
      </c>
      <c r="K573">
        <v>4160000</v>
      </c>
      <c r="L573">
        <v>0.05</v>
      </c>
      <c r="M573" t="s">
        <v>23</v>
      </c>
      <c r="N573">
        <v>15808000</v>
      </c>
      <c r="O573">
        <v>4.2</v>
      </c>
      <c r="P573" t="b">
        <v>1</v>
      </c>
    </row>
    <row r="574" spans="1:16" x14ac:dyDescent="0.2">
      <c r="A574" t="s">
        <v>921</v>
      </c>
      <c r="B574" s="1">
        <v>45508</v>
      </c>
      <c r="C574" s="1">
        <v>45561</v>
      </c>
      <c r="D574" t="s">
        <v>496</v>
      </c>
      <c r="E574" t="s">
        <v>18</v>
      </c>
      <c r="F574" t="s">
        <v>45</v>
      </c>
      <c r="G574" t="s">
        <v>20</v>
      </c>
      <c r="H574" t="s">
        <v>47</v>
      </c>
      <c r="I574" t="s">
        <v>22</v>
      </c>
      <c r="J574">
        <v>3</v>
      </c>
      <c r="K574">
        <v>2985000</v>
      </c>
      <c r="L574">
        <v>8.4000000000000005E-2</v>
      </c>
      <c r="M574" t="s">
        <v>23</v>
      </c>
      <c r="N574">
        <v>8203000</v>
      </c>
      <c r="O574">
        <v>4.8</v>
      </c>
      <c r="P574" t="b">
        <v>0</v>
      </c>
    </row>
    <row r="575" spans="1:16" x14ac:dyDescent="0.2">
      <c r="A575" t="s">
        <v>922</v>
      </c>
      <c r="B575" s="1">
        <v>45836</v>
      </c>
      <c r="C575" s="1">
        <v>45866</v>
      </c>
      <c r="D575" t="s">
        <v>64</v>
      </c>
      <c r="E575" t="s">
        <v>45</v>
      </c>
      <c r="F575" t="s">
        <v>25</v>
      </c>
      <c r="G575" t="s">
        <v>20</v>
      </c>
      <c r="H575" t="s">
        <v>51</v>
      </c>
      <c r="I575" t="s">
        <v>99</v>
      </c>
      <c r="J575">
        <v>1</v>
      </c>
      <c r="K575">
        <v>5485000</v>
      </c>
      <c r="L575">
        <v>0.125</v>
      </c>
      <c r="M575" t="s">
        <v>23</v>
      </c>
      <c r="N575">
        <v>4799000</v>
      </c>
      <c r="O575">
        <v>4.4000000000000004</v>
      </c>
      <c r="P575" t="b">
        <v>1</v>
      </c>
    </row>
    <row r="576" spans="1:16" x14ac:dyDescent="0.2">
      <c r="A576" t="s">
        <v>923</v>
      </c>
      <c r="B576" s="1">
        <v>45292</v>
      </c>
      <c r="C576" s="1">
        <v>45344</v>
      </c>
      <c r="D576" t="s">
        <v>32</v>
      </c>
      <c r="E576" t="s">
        <v>33</v>
      </c>
      <c r="F576" t="s">
        <v>68</v>
      </c>
      <c r="G576" t="s">
        <v>50</v>
      </c>
      <c r="H576" t="s">
        <v>21</v>
      </c>
      <c r="I576" t="s">
        <v>94</v>
      </c>
      <c r="J576">
        <v>2</v>
      </c>
      <c r="K576">
        <v>1949000</v>
      </c>
      <c r="L576">
        <v>5.3999999999999999E-2</v>
      </c>
      <c r="M576" t="s">
        <v>23</v>
      </c>
      <c r="N576">
        <v>3688000</v>
      </c>
      <c r="O576">
        <v>4</v>
      </c>
      <c r="P576" t="b">
        <v>0</v>
      </c>
    </row>
    <row r="577" spans="1:16" x14ac:dyDescent="0.2">
      <c r="A577" t="s">
        <v>924</v>
      </c>
      <c r="B577" s="1">
        <v>45468</v>
      </c>
      <c r="C577" s="1">
        <v>45544</v>
      </c>
      <c r="D577" t="s">
        <v>399</v>
      </c>
      <c r="E577" t="s">
        <v>18</v>
      </c>
      <c r="F577" t="s">
        <v>19</v>
      </c>
      <c r="G577" t="s">
        <v>20</v>
      </c>
      <c r="H577" t="s">
        <v>40</v>
      </c>
      <c r="I577" t="s">
        <v>52</v>
      </c>
      <c r="J577">
        <v>3</v>
      </c>
      <c r="K577">
        <v>2484000</v>
      </c>
      <c r="L577">
        <v>0.161</v>
      </c>
      <c r="M577" t="s">
        <v>23</v>
      </c>
      <c r="N577">
        <v>6252000</v>
      </c>
      <c r="O577">
        <v>3.3</v>
      </c>
      <c r="P577" t="b">
        <v>0</v>
      </c>
    </row>
    <row r="578" spans="1:16" x14ac:dyDescent="0.2">
      <c r="A578" t="s">
        <v>925</v>
      </c>
      <c r="B578" s="1">
        <v>45329</v>
      </c>
      <c r="C578" s="1">
        <v>45417</v>
      </c>
      <c r="D578" t="s">
        <v>475</v>
      </c>
      <c r="E578" t="s">
        <v>18</v>
      </c>
      <c r="F578" t="s">
        <v>39</v>
      </c>
      <c r="G578" t="s">
        <v>20</v>
      </c>
      <c r="H578" t="s">
        <v>21</v>
      </c>
      <c r="I578" t="s">
        <v>77</v>
      </c>
      <c r="J578">
        <v>3</v>
      </c>
      <c r="K578">
        <v>2565000</v>
      </c>
      <c r="L578">
        <v>0.151</v>
      </c>
      <c r="M578" t="s">
        <v>23</v>
      </c>
      <c r="N578">
        <v>6533000</v>
      </c>
      <c r="O578">
        <v>3.1</v>
      </c>
      <c r="P578" t="b">
        <v>0</v>
      </c>
    </row>
    <row r="579" spans="1:16" x14ac:dyDescent="0.2">
      <c r="A579" t="s">
        <v>926</v>
      </c>
      <c r="B579" s="1">
        <v>45641</v>
      </c>
      <c r="C579" s="1">
        <v>45726</v>
      </c>
      <c r="D579" t="s">
        <v>927</v>
      </c>
      <c r="E579" t="s">
        <v>18</v>
      </c>
      <c r="F579" t="s">
        <v>34</v>
      </c>
      <c r="G579" t="s">
        <v>35</v>
      </c>
      <c r="H579" t="s">
        <v>21</v>
      </c>
      <c r="I579" t="s">
        <v>99</v>
      </c>
      <c r="J579">
        <v>3</v>
      </c>
      <c r="K579">
        <v>3679000</v>
      </c>
      <c r="L579">
        <v>2.5000000000000001E-2</v>
      </c>
      <c r="M579" t="s">
        <v>23</v>
      </c>
      <c r="N579">
        <v>10761000</v>
      </c>
      <c r="O579">
        <v>5</v>
      </c>
      <c r="P579" t="b">
        <v>1</v>
      </c>
    </row>
    <row r="580" spans="1:16" x14ac:dyDescent="0.2">
      <c r="A580" t="s">
        <v>928</v>
      </c>
      <c r="B580" s="1">
        <v>45448</v>
      </c>
      <c r="C580" s="1">
        <v>45472</v>
      </c>
      <c r="D580" t="s">
        <v>662</v>
      </c>
      <c r="E580" t="s">
        <v>18</v>
      </c>
      <c r="F580" t="s">
        <v>45</v>
      </c>
      <c r="G580" t="s">
        <v>20</v>
      </c>
      <c r="H580" t="s">
        <v>47</v>
      </c>
      <c r="I580" t="s">
        <v>99</v>
      </c>
      <c r="J580">
        <v>5</v>
      </c>
      <c r="K580">
        <v>3361000</v>
      </c>
      <c r="L580">
        <v>2.7E-2</v>
      </c>
      <c r="M580" t="s">
        <v>23</v>
      </c>
      <c r="N580">
        <v>16351000</v>
      </c>
      <c r="O580">
        <v>4.4000000000000004</v>
      </c>
      <c r="P580" t="b">
        <v>1</v>
      </c>
    </row>
    <row r="581" spans="1:16" x14ac:dyDescent="0.2">
      <c r="A581" t="s">
        <v>929</v>
      </c>
      <c r="B581" s="1">
        <v>45785</v>
      </c>
      <c r="C581" s="1">
        <v>45843</v>
      </c>
      <c r="D581" t="s">
        <v>267</v>
      </c>
      <c r="E581" t="s">
        <v>45</v>
      </c>
      <c r="F581" t="s">
        <v>68</v>
      </c>
      <c r="G581" t="s">
        <v>46</v>
      </c>
      <c r="H581" t="s">
        <v>21</v>
      </c>
      <c r="I581" t="s">
        <v>26</v>
      </c>
      <c r="J581">
        <v>2</v>
      </c>
      <c r="K581">
        <v>2671000</v>
      </c>
      <c r="L581">
        <v>3.3000000000000002E-2</v>
      </c>
      <c r="M581" t="s">
        <v>23</v>
      </c>
      <c r="N581">
        <v>5166000</v>
      </c>
      <c r="O581">
        <v>3.9</v>
      </c>
      <c r="P581" t="b">
        <v>1</v>
      </c>
    </row>
    <row r="582" spans="1:16" x14ac:dyDescent="0.2">
      <c r="A582" t="s">
        <v>930</v>
      </c>
      <c r="B582" s="1">
        <v>45656</v>
      </c>
      <c r="C582" s="1">
        <v>45674</v>
      </c>
      <c r="D582" t="s">
        <v>380</v>
      </c>
      <c r="E582" t="s">
        <v>33</v>
      </c>
      <c r="F582" t="s">
        <v>39</v>
      </c>
      <c r="G582" t="s">
        <v>50</v>
      </c>
      <c r="H582" t="s">
        <v>51</v>
      </c>
      <c r="I582" t="s">
        <v>57</v>
      </c>
      <c r="J582">
        <v>4</v>
      </c>
      <c r="K582">
        <v>2791000</v>
      </c>
      <c r="L582">
        <v>0.154</v>
      </c>
      <c r="M582" t="s">
        <v>65</v>
      </c>
      <c r="N582">
        <v>0</v>
      </c>
      <c r="P582" t="b">
        <v>0</v>
      </c>
    </row>
    <row r="583" spans="1:16" x14ac:dyDescent="0.2">
      <c r="A583" t="s">
        <v>931</v>
      </c>
      <c r="B583" s="1">
        <v>45780</v>
      </c>
      <c r="C583" s="1">
        <v>45844</v>
      </c>
      <c r="D583" t="s">
        <v>118</v>
      </c>
      <c r="E583" t="s">
        <v>45</v>
      </c>
      <c r="F583" t="s">
        <v>80</v>
      </c>
      <c r="G583" t="s">
        <v>20</v>
      </c>
      <c r="H583" t="s">
        <v>21</v>
      </c>
      <c r="I583" t="s">
        <v>52</v>
      </c>
      <c r="J583">
        <v>3</v>
      </c>
      <c r="K583">
        <v>5470000</v>
      </c>
      <c r="L583">
        <v>4.4999999999999998E-2</v>
      </c>
      <c r="M583" t="s">
        <v>23</v>
      </c>
      <c r="N583">
        <v>15672000</v>
      </c>
      <c r="O583">
        <v>3.7</v>
      </c>
      <c r="P583" t="b">
        <v>1</v>
      </c>
    </row>
    <row r="584" spans="1:16" x14ac:dyDescent="0.2">
      <c r="A584" t="s">
        <v>932</v>
      </c>
      <c r="B584" s="1">
        <v>45687</v>
      </c>
      <c r="C584" s="1">
        <v>45777</v>
      </c>
      <c r="D584" t="s">
        <v>737</v>
      </c>
      <c r="E584" t="s">
        <v>18</v>
      </c>
      <c r="F584" t="s">
        <v>45</v>
      </c>
      <c r="G584" t="s">
        <v>20</v>
      </c>
      <c r="H584" t="s">
        <v>21</v>
      </c>
      <c r="I584" t="s">
        <v>99</v>
      </c>
      <c r="J584">
        <v>3</v>
      </c>
      <c r="K584">
        <v>3081000</v>
      </c>
      <c r="L584">
        <v>0.115</v>
      </c>
      <c r="M584" t="s">
        <v>23</v>
      </c>
      <c r="N584">
        <v>8180000</v>
      </c>
      <c r="O584">
        <v>4</v>
      </c>
      <c r="P584" t="b">
        <v>1</v>
      </c>
    </row>
    <row r="585" spans="1:16" x14ac:dyDescent="0.2">
      <c r="A585" t="s">
        <v>933</v>
      </c>
      <c r="B585" s="1">
        <v>45565</v>
      </c>
      <c r="C585" s="1">
        <v>45579</v>
      </c>
      <c r="D585" t="s">
        <v>161</v>
      </c>
      <c r="E585" t="s">
        <v>45</v>
      </c>
      <c r="F585" t="s">
        <v>19</v>
      </c>
      <c r="G585" t="s">
        <v>20</v>
      </c>
      <c r="H585" t="s">
        <v>21</v>
      </c>
      <c r="I585" t="s">
        <v>60</v>
      </c>
      <c r="J585">
        <v>3</v>
      </c>
      <c r="K585">
        <v>2173000</v>
      </c>
      <c r="L585">
        <v>3.3000000000000002E-2</v>
      </c>
      <c r="M585" t="s">
        <v>65</v>
      </c>
      <c r="N585">
        <v>0</v>
      </c>
      <c r="P585" t="b">
        <v>1</v>
      </c>
    </row>
    <row r="586" spans="1:16" x14ac:dyDescent="0.2">
      <c r="A586" t="s">
        <v>934</v>
      </c>
      <c r="B586" s="1">
        <v>45828</v>
      </c>
      <c r="C586" s="1">
        <v>45891</v>
      </c>
      <c r="D586" t="s">
        <v>777</v>
      </c>
      <c r="E586" t="s">
        <v>33</v>
      </c>
      <c r="F586" t="s">
        <v>45</v>
      </c>
      <c r="G586" t="s">
        <v>20</v>
      </c>
      <c r="H586" t="s">
        <v>21</v>
      </c>
      <c r="I586" t="s">
        <v>26</v>
      </c>
      <c r="J586">
        <v>4</v>
      </c>
      <c r="K586">
        <v>2333000</v>
      </c>
      <c r="L586">
        <v>0.153</v>
      </c>
      <c r="M586" t="s">
        <v>23</v>
      </c>
      <c r="N586">
        <v>7904000</v>
      </c>
      <c r="O586">
        <v>3.5</v>
      </c>
      <c r="P586" t="b">
        <v>1</v>
      </c>
    </row>
    <row r="587" spans="1:16" x14ac:dyDescent="0.2">
      <c r="A587" t="s">
        <v>935</v>
      </c>
      <c r="B587" s="1">
        <v>45588</v>
      </c>
      <c r="C587" s="1">
        <v>45674</v>
      </c>
      <c r="D587" t="s">
        <v>936</v>
      </c>
      <c r="E587" t="s">
        <v>33</v>
      </c>
      <c r="F587" t="s">
        <v>45</v>
      </c>
      <c r="G587" t="s">
        <v>20</v>
      </c>
      <c r="H587" t="s">
        <v>47</v>
      </c>
      <c r="I587" t="s">
        <v>99</v>
      </c>
      <c r="J587">
        <v>4</v>
      </c>
      <c r="K587">
        <v>3584000</v>
      </c>
      <c r="L587">
        <v>0.124</v>
      </c>
      <c r="M587" t="s">
        <v>23</v>
      </c>
      <c r="N587">
        <v>12558000</v>
      </c>
      <c r="O587">
        <v>3.1</v>
      </c>
      <c r="P587" t="b">
        <v>1</v>
      </c>
    </row>
    <row r="588" spans="1:16" x14ac:dyDescent="0.2">
      <c r="A588" t="s">
        <v>937</v>
      </c>
      <c r="B588" s="1">
        <v>45883</v>
      </c>
      <c r="C588" s="1">
        <v>45961</v>
      </c>
      <c r="D588" t="s">
        <v>938</v>
      </c>
      <c r="E588" t="s">
        <v>45</v>
      </c>
      <c r="F588" t="s">
        <v>68</v>
      </c>
      <c r="G588" t="s">
        <v>20</v>
      </c>
      <c r="H588" t="s">
        <v>40</v>
      </c>
      <c r="I588" t="s">
        <v>77</v>
      </c>
      <c r="J588">
        <v>3</v>
      </c>
      <c r="K588">
        <v>2519000</v>
      </c>
      <c r="L588">
        <v>0.15</v>
      </c>
      <c r="M588" t="s">
        <v>23</v>
      </c>
      <c r="N588">
        <v>6423000</v>
      </c>
      <c r="O588">
        <v>3.4</v>
      </c>
      <c r="P588" t="b">
        <v>1</v>
      </c>
    </row>
    <row r="589" spans="1:16" x14ac:dyDescent="0.2">
      <c r="A589" t="s">
        <v>939</v>
      </c>
      <c r="B589" s="1">
        <v>45911</v>
      </c>
      <c r="C589" s="1">
        <v>45952</v>
      </c>
      <c r="D589" t="s">
        <v>913</v>
      </c>
      <c r="E589" t="s">
        <v>33</v>
      </c>
      <c r="F589" t="s">
        <v>25</v>
      </c>
      <c r="G589" t="s">
        <v>20</v>
      </c>
      <c r="H589" t="s">
        <v>21</v>
      </c>
      <c r="I589" t="s">
        <v>52</v>
      </c>
      <c r="J589">
        <v>1</v>
      </c>
      <c r="K589">
        <v>5962000</v>
      </c>
      <c r="L589">
        <v>8.7999999999999995E-2</v>
      </c>
      <c r="M589" t="s">
        <v>23</v>
      </c>
      <c r="N589">
        <v>5437000</v>
      </c>
      <c r="O589">
        <v>4.7</v>
      </c>
      <c r="P589" t="b">
        <v>1</v>
      </c>
    </row>
    <row r="590" spans="1:16" x14ac:dyDescent="0.2">
      <c r="A590" t="s">
        <v>940</v>
      </c>
      <c r="B590" s="1">
        <v>45658</v>
      </c>
      <c r="C590" s="1">
        <v>45676</v>
      </c>
      <c r="D590" t="s">
        <v>466</v>
      </c>
      <c r="E590" t="s">
        <v>33</v>
      </c>
      <c r="F590" t="s">
        <v>34</v>
      </c>
      <c r="G590" t="s">
        <v>35</v>
      </c>
      <c r="H590" t="s">
        <v>21</v>
      </c>
      <c r="I590" t="s">
        <v>99</v>
      </c>
      <c r="J590">
        <v>1</v>
      </c>
      <c r="K590">
        <v>3088000</v>
      </c>
      <c r="L590">
        <v>8.1000000000000003E-2</v>
      </c>
      <c r="M590" t="s">
        <v>23</v>
      </c>
      <c r="N590">
        <v>2838000</v>
      </c>
      <c r="O590">
        <v>3.7</v>
      </c>
      <c r="P590" t="b">
        <v>1</v>
      </c>
    </row>
    <row r="591" spans="1:16" x14ac:dyDescent="0.2">
      <c r="A591" t="s">
        <v>941</v>
      </c>
      <c r="B591" s="1">
        <v>45712</v>
      </c>
      <c r="C591" s="1">
        <v>45796</v>
      </c>
      <c r="D591" t="s">
        <v>741</v>
      </c>
      <c r="E591" t="s">
        <v>18</v>
      </c>
      <c r="F591" t="s">
        <v>25</v>
      </c>
      <c r="G591" t="s">
        <v>20</v>
      </c>
      <c r="H591" t="s">
        <v>40</v>
      </c>
      <c r="I591" t="s">
        <v>30</v>
      </c>
      <c r="J591">
        <v>2</v>
      </c>
      <c r="K591">
        <v>3059000</v>
      </c>
      <c r="L591">
        <v>0.23499999999999999</v>
      </c>
      <c r="M591" t="s">
        <v>23</v>
      </c>
      <c r="N591">
        <v>4680000</v>
      </c>
      <c r="O591">
        <v>4.5</v>
      </c>
      <c r="P591" t="b">
        <v>1</v>
      </c>
    </row>
    <row r="592" spans="1:16" x14ac:dyDescent="0.2">
      <c r="A592" t="s">
        <v>942</v>
      </c>
      <c r="B592" s="1">
        <v>45451</v>
      </c>
      <c r="C592" s="1">
        <v>45535</v>
      </c>
      <c r="D592" t="s">
        <v>943</v>
      </c>
      <c r="E592" t="s">
        <v>18</v>
      </c>
      <c r="F592" t="s">
        <v>34</v>
      </c>
      <c r="G592" t="s">
        <v>20</v>
      </c>
      <c r="H592" t="s">
        <v>47</v>
      </c>
      <c r="I592" t="s">
        <v>30</v>
      </c>
      <c r="J592">
        <v>2</v>
      </c>
      <c r="K592">
        <v>2778000</v>
      </c>
      <c r="L592">
        <v>0</v>
      </c>
      <c r="M592" t="s">
        <v>23</v>
      </c>
      <c r="N592">
        <v>5556000</v>
      </c>
      <c r="O592">
        <v>4.7</v>
      </c>
      <c r="P592" t="b">
        <v>1</v>
      </c>
    </row>
    <row r="593" spans="1:16" x14ac:dyDescent="0.2">
      <c r="A593" t="s">
        <v>944</v>
      </c>
      <c r="B593" s="1">
        <v>45799</v>
      </c>
      <c r="C593" s="1">
        <v>45855</v>
      </c>
      <c r="D593" t="s">
        <v>530</v>
      </c>
      <c r="E593" t="s">
        <v>45</v>
      </c>
      <c r="F593" t="s">
        <v>19</v>
      </c>
      <c r="G593" t="s">
        <v>35</v>
      </c>
      <c r="H593" t="s">
        <v>21</v>
      </c>
      <c r="I593" t="s">
        <v>57</v>
      </c>
      <c r="J593">
        <v>3</v>
      </c>
      <c r="K593">
        <v>2305000</v>
      </c>
      <c r="L593">
        <v>7.0999999999999994E-2</v>
      </c>
      <c r="M593" t="s">
        <v>23</v>
      </c>
      <c r="N593">
        <v>6424000</v>
      </c>
      <c r="O593">
        <v>4.2</v>
      </c>
      <c r="P593" t="b">
        <v>1</v>
      </c>
    </row>
    <row r="594" spans="1:16" x14ac:dyDescent="0.2">
      <c r="A594" t="s">
        <v>945</v>
      </c>
      <c r="B594" s="1">
        <v>45710</v>
      </c>
      <c r="C594" s="1">
        <v>45799</v>
      </c>
      <c r="D594" t="s">
        <v>332</v>
      </c>
      <c r="E594" t="s">
        <v>18</v>
      </c>
      <c r="F594" t="s">
        <v>19</v>
      </c>
      <c r="G594" t="s">
        <v>20</v>
      </c>
      <c r="H594" t="s">
        <v>21</v>
      </c>
      <c r="I594" t="s">
        <v>94</v>
      </c>
      <c r="J594">
        <v>3</v>
      </c>
      <c r="K594">
        <v>3052000</v>
      </c>
      <c r="L594">
        <v>4.7E-2</v>
      </c>
      <c r="M594" t="s">
        <v>23</v>
      </c>
      <c r="N594">
        <v>8726000</v>
      </c>
      <c r="O594">
        <v>4.0999999999999996</v>
      </c>
      <c r="P594" t="b">
        <v>1</v>
      </c>
    </row>
    <row r="595" spans="1:16" x14ac:dyDescent="0.2">
      <c r="A595" t="s">
        <v>946</v>
      </c>
      <c r="B595" s="1">
        <v>45854</v>
      </c>
      <c r="C595" s="1">
        <v>45864</v>
      </c>
      <c r="D595" t="s">
        <v>466</v>
      </c>
      <c r="E595" t="s">
        <v>33</v>
      </c>
      <c r="F595" t="s">
        <v>45</v>
      </c>
      <c r="G595" t="s">
        <v>20</v>
      </c>
      <c r="H595" t="s">
        <v>21</v>
      </c>
      <c r="I595" t="s">
        <v>22</v>
      </c>
      <c r="J595">
        <v>4</v>
      </c>
      <c r="K595">
        <v>2938000</v>
      </c>
      <c r="L595">
        <v>4.3999999999999997E-2</v>
      </c>
      <c r="M595" t="s">
        <v>23</v>
      </c>
      <c r="N595">
        <v>11235000</v>
      </c>
      <c r="O595">
        <v>4.3</v>
      </c>
      <c r="P595" t="b">
        <v>1</v>
      </c>
    </row>
    <row r="596" spans="1:16" x14ac:dyDescent="0.2">
      <c r="A596" t="s">
        <v>947</v>
      </c>
      <c r="B596" s="1">
        <v>45458</v>
      </c>
      <c r="C596" s="1">
        <v>45517</v>
      </c>
      <c r="D596" t="s">
        <v>666</v>
      </c>
      <c r="E596" t="s">
        <v>33</v>
      </c>
      <c r="F596" t="s">
        <v>34</v>
      </c>
      <c r="G596" t="s">
        <v>20</v>
      </c>
      <c r="H596" t="s">
        <v>21</v>
      </c>
      <c r="I596" t="s">
        <v>77</v>
      </c>
      <c r="J596">
        <v>4</v>
      </c>
      <c r="K596">
        <v>4003000</v>
      </c>
      <c r="L596">
        <v>3.4000000000000002E-2</v>
      </c>
      <c r="M596" t="s">
        <v>23</v>
      </c>
      <c r="N596">
        <v>15468000</v>
      </c>
      <c r="O596">
        <v>4</v>
      </c>
      <c r="P596" t="b">
        <v>0</v>
      </c>
    </row>
    <row r="597" spans="1:16" x14ac:dyDescent="0.2">
      <c r="A597" t="s">
        <v>948</v>
      </c>
      <c r="B597" s="1">
        <v>45782</v>
      </c>
      <c r="C597" s="1">
        <v>45795</v>
      </c>
      <c r="D597" t="s">
        <v>949</v>
      </c>
      <c r="E597" t="s">
        <v>45</v>
      </c>
      <c r="F597" t="s">
        <v>34</v>
      </c>
      <c r="G597" t="s">
        <v>20</v>
      </c>
      <c r="H597" t="s">
        <v>21</v>
      </c>
      <c r="I597" t="s">
        <v>94</v>
      </c>
      <c r="J597">
        <v>1</v>
      </c>
      <c r="K597">
        <v>4205000</v>
      </c>
      <c r="L597">
        <v>6.0999999999999999E-2</v>
      </c>
      <c r="M597" t="s">
        <v>23</v>
      </c>
      <c r="N597">
        <v>3948000</v>
      </c>
      <c r="O597">
        <v>4.8</v>
      </c>
      <c r="P597" t="b">
        <v>1</v>
      </c>
    </row>
    <row r="598" spans="1:16" x14ac:dyDescent="0.2">
      <c r="A598" t="s">
        <v>950</v>
      </c>
      <c r="B598" s="1">
        <v>45584</v>
      </c>
      <c r="C598" s="1">
        <v>45669</v>
      </c>
      <c r="D598" t="s">
        <v>28</v>
      </c>
      <c r="E598" t="s">
        <v>29</v>
      </c>
      <c r="F598" t="s">
        <v>34</v>
      </c>
      <c r="G598" t="s">
        <v>20</v>
      </c>
      <c r="H598" t="s">
        <v>21</v>
      </c>
      <c r="I598" t="s">
        <v>77</v>
      </c>
      <c r="J598">
        <v>4</v>
      </c>
      <c r="K598">
        <v>4251000</v>
      </c>
      <c r="L598">
        <v>0.122</v>
      </c>
      <c r="M598" t="s">
        <v>23</v>
      </c>
      <c r="N598">
        <v>14930000</v>
      </c>
      <c r="O598">
        <v>5</v>
      </c>
      <c r="P598" t="b">
        <v>1</v>
      </c>
    </row>
    <row r="599" spans="1:16" x14ac:dyDescent="0.2">
      <c r="A599" t="s">
        <v>951</v>
      </c>
      <c r="B599" s="1">
        <v>45407</v>
      </c>
      <c r="C599" s="1">
        <v>45472</v>
      </c>
      <c r="D599" t="s">
        <v>831</v>
      </c>
      <c r="E599" t="s">
        <v>33</v>
      </c>
      <c r="F599" t="s">
        <v>39</v>
      </c>
      <c r="G599" t="s">
        <v>50</v>
      </c>
      <c r="H599" t="s">
        <v>21</v>
      </c>
      <c r="I599" t="s">
        <v>57</v>
      </c>
      <c r="J599">
        <v>1</v>
      </c>
      <c r="K599">
        <v>3110000</v>
      </c>
      <c r="L599">
        <v>0</v>
      </c>
      <c r="M599" t="s">
        <v>23</v>
      </c>
      <c r="N599">
        <v>3110000</v>
      </c>
      <c r="O599">
        <v>4.9000000000000004</v>
      </c>
      <c r="P599" t="b">
        <v>0</v>
      </c>
    </row>
    <row r="600" spans="1:16" x14ac:dyDescent="0.2">
      <c r="A600" t="s">
        <v>952</v>
      </c>
      <c r="B600" s="1">
        <v>45398</v>
      </c>
      <c r="C600" s="1">
        <v>45481</v>
      </c>
      <c r="D600" t="s">
        <v>873</v>
      </c>
      <c r="E600" t="s">
        <v>29</v>
      </c>
      <c r="F600" t="s">
        <v>45</v>
      </c>
      <c r="G600" t="s">
        <v>50</v>
      </c>
      <c r="H600" t="s">
        <v>21</v>
      </c>
      <c r="I600" t="s">
        <v>26</v>
      </c>
      <c r="J600">
        <v>4</v>
      </c>
      <c r="K600">
        <v>2997000</v>
      </c>
      <c r="L600">
        <v>4.7E-2</v>
      </c>
      <c r="M600" t="s">
        <v>23</v>
      </c>
      <c r="N600">
        <v>11425000</v>
      </c>
      <c r="O600">
        <v>3.1</v>
      </c>
      <c r="P600" t="b">
        <v>0</v>
      </c>
    </row>
    <row r="601" spans="1:16" x14ac:dyDescent="0.2">
      <c r="A601" t="s">
        <v>953</v>
      </c>
      <c r="B601" s="1">
        <v>45642</v>
      </c>
      <c r="C601" s="1">
        <v>45697</v>
      </c>
      <c r="D601" t="s">
        <v>954</v>
      </c>
      <c r="E601" t="s">
        <v>18</v>
      </c>
      <c r="F601" t="s">
        <v>34</v>
      </c>
      <c r="G601" t="s">
        <v>20</v>
      </c>
      <c r="H601" t="s">
        <v>21</v>
      </c>
      <c r="I601" t="s">
        <v>77</v>
      </c>
      <c r="J601">
        <v>1</v>
      </c>
      <c r="K601">
        <v>4290000</v>
      </c>
      <c r="L601">
        <v>0.115</v>
      </c>
      <c r="M601" t="s">
        <v>23</v>
      </c>
      <c r="N601">
        <v>3797000</v>
      </c>
      <c r="O601">
        <v>4</v>
      </c>
      <c r="P601" t="b">
        <v>0</v>
      </c>
    </row>
    <row r="602" spans="1:16" x14ac:dyDescent="0.2">
      <c r="A602" t="s">
        <v>955</v>
      </c>
      <c r="B602" s="1">
        <v>45491</v>
      </c>
      <c r="C602" s="1">
        <v>45507</v>
      </c>
      <c r="D602" t="s">
        <v>522</v>
      </c>
      <c r="E602" t="s">
        <v>33</v>
      </c>
      <c r="F602" t="s">
        <v>34</v>
      </c>
      <c r="G602" t="s">
        <v>20</v>
      </c>
      <c r="H602" t="s">
        <v>51</v>
      </c>
      <c r="I602" t="s">
        <v>83</v>
      </c>
      <c r="J602">
        <v>2</v>
      </c>
      <c r="K602">
        <v>2991000</v>
      </c>
      <c r="L602">
        <v>6.0000000000000001E-3</v>
      </c>
      <c r="M602" t="s">
        <v>23</v>
      </c>
      <c r="N602">
        <v>5946000</v>
      </c>
      <c r="O602">
        <v>4.2</v>
      </c>
      <c r="P602" t="b">
        <v>1</v>
      </c>
    </row>
    <row r="603" spans="1:16" x14ac:dyDescent="0.2">
      <c r="A603" t="s">
        <v>956</v>
      </c>
      <c r="B603" s="1">
        <v>45355</v>
      </c>
      <c r="C603" s="1">
        <v>45367</v>
      </c>
      <c r="D603" t="s">
        <v>805</v>
      </c>
      <c r="E603" t="s">
        <v>29</v>
      </c>
      <c r="F603" t="s">
        <v>25</v>
      </c>
      <c r="G603" t="s">
        <v>50</v>
      </c>
      <c r="H603" t="s">
        <v>40</v>
      </c>
      <c r="I603" t="s">
        <v>30</v>
      </c>
      <c r="J603">
        <v>1</v>
      </c>
      <c r="K603">
        <v>5801000</v>
      </c>
      <c r="L603">
        <v>0.21099999999999999</v>
      </c>
      <c r="M603" t="s">
        <v>23</v>
      </c>
      <c r="N603">
        <v>4577000</v>
      </c>
      <c r="O603">
        <v>4.4000000000000004</v>
      </c>
      <c r="P603" t="b">
        <v>1</v>
      </c>
    </row>
    <row r="604" spans="1:16" x14ac:dyDescent="0.2">
      <c r="A604" t="s">
        <v>957</v>
      </c>
      <c r="B604" s="1">
        <v>45558</v>
      </c>
      <c r="C604" s="1">
        <v>45595</v>
      </c>
      <c r="D604" t="s">
        <v>76</v>
      </c>
      <c r="E604" t="s">
        <v>45</v>
      </c>
      <c r="F604" t="s">
        <v>19</v>
      </c>
      <c r="G604" t="s">
        <v>35</v>
      </c>
      <c r="H604" t="s">
        <v>21</v>
      </c>
      <c r="I604" t="s">
        <v>94</v>
      </c>
      <c r="J604">
        <v>1</v>
      </c>
      <c r="K604">
        <v>2653000</v>
      </c>
      <c r="L604">
        <v>8.4000000000000005E-2</v>
      </c>
      <c r="M604" t="s">
        <v>23</v>
      </c>
      <c r="N604">
        <v>2430000</v>
      </c>
      <c r="O604">
        <v>3.3</v>
      </c>
      <c r="P604" t="b">
        <v>1</v>
      </c>
    </row>
    <row r="605" spans="1:16" x14ac:dyDescent="0.2">
      <c r="A605" t="s">
        <v>958</v>
      </c>
      <c r="B605" s="1">
        <v>45698</v>
      </c>
      <c r="C605" s="1">
        <v>45768</v>
      </c>
      <c r="D605" t="s">
        <v>959</v>
      </c>
      <c r="E605" t="s">
        <v>29</v>
      </c>
      <c r="F605" t="s">
        <v>25</v>
      </c>
      <c r="G605" t="s">
        <v>20</v>
      </c>
      <c r="H605" t="s">
        <v>21</v>
      </c>
      <c r="J605">
        <v>2</v>
      </c>
      <c r="K605">
        <v>5395000</v>
      </c>
      <c r="L605">
        <v>0.106</v>
      </c>
      <c r="M605" t="s">
        <v>23</v>
      </c>
      <c r="N605">
        <v>9646000</v>
      </c>
      <c r="O605">
        <v>3.3</v>
      </c>
      <c r="P605" t="b">
        <v>0</v>
      </c>
    </row>
    <row r="606" spans="1:16" x14ac:dyDescent="0.2">
      <c r="A606" t="s">
        <v>960</v>
      </c>
      <c r="B606" s="1">
        <v>45490</v>
      </c>
      <c r="C606" s="1">
        <v>45512</v>
      </c>
      <c r="D606" t="s">
        <v>314</v>
      </c>
      <c r="E606" t="s">
        <v>33</v>
      </c>
      <c r="F606" t="s">
        <v>19</v>
      </c>
      <c r="G606" t="s">
        <v>20</v>
      </c>
      <c r="H606" t="s">
        <v>21</v>
      </c>
      <c r="I606" t="s">
        <v>22</v>
      </c>
      <c r="J606">
        <v>2</v>
      </c>
      <c r="K606">
        <v>2162000</v>
      </c>
      <c r="L606">
        <v>3.5999999999999997E-2</v>
      </c>
      <c r="M606" t="s">
        <v>23</v>
      </c>
      <c r="N606">
        <v>4168000</v>
      </c>
      <c r="O606">
        <v>4.9000000000000004</v>
      </c>
      <c r="P606" t="b">
        <v>1</v>
      </c>
    </row>
    <row r="607" spans="1:16" x14ac:dyDescent="0.2">
      <c r="A607" t="s">
        <v>961</v>
      </c>
      <c r="B607" s="1">
        <v>45887</v>
      </c>
      <c r="C607" s="1">
        <v>45966</v>
      </c>
      <c r="D607" t="s">
        <v>611</v>
      </c>
      <c r="E607" t="s">
        <v>18</v>
      </c>
      <c r="F607" t="s">
        <v>68</v>
      </c>
      <c r="G607" t="s">
        <v>20</v>
      </c>
      <c r="H607" t="s">
        <v>47</v>
      </c>
      <c r="I607" t="s">
        <v>83</v>
      </c>
      <c r="J607">
        <v>1</v>
      </c>
      <c r="K607">
        <v>2250000</v>
      </c>
      <c r="L607">
        <v>0.115</v>
      </c>
      <c r="M607" t="s">
        <v>23</v>
      </c>
      <c r="N607">
        <v>1991000</v>
      </c>
      <c r="O607">
        <v>3.9</v>
      </c>
      <c r="P607" t="b">
        <v>1</v>
      </c>
    </row>
    <row r="608" spans="1:16" x14ac:dyDescent="0.2">
      <c r="A608" t="s">
        <v>962</v>
      </c>
      <c r="B608" s="1">
        <v>45777</v>
      </c>
      <c r="C608" s="1">
        <v>45806</v>
      </c>
      <c r="D608" t="s">
        <v>963</v>
      </c>
      <c r="E608" t="s">
        <v>18</v>
      </c>
      <c r="F608" t="s">
        <v>19</v>
      </c>
      <c r="G608" t="s">
        <v>35</v>
      </c>
      <c r="H608" t="s">
        <v>40</v>
      </c>
      <c r="I608" t="s">
        <v>52</v>
      </c>
      <c r="J608">
        <v>2</v>
      </c>
      <c r="K608">
        <v>3110000</v>
      </c>
      <c r="L608">
        <v>0.19800000000000001</v>
      </c>
      <c r="M608" t="s">
        <v>23</v>
      </c>
      <c r="N608">
        <v>4988000</v>
      </c>
      <c r="O608">
        <v>3.5</v>
      </c>
      <c r="P608" t="b">
        <v>0</v>
      </c>
    </row>
    <row r="609" spans="1:16" x14ac:dyDescent="0.2">
      <c r="A609" t="s">
        <v>964</v>
      </c>
      <c r="B609" s="1">
        <v>45611</v>
      </c>
      <c r="C609" s="1">
        <v>45661</v>
      </c>
      <c r="D609" t="s">
        <v>727</v>
      </c>
      <c r="E609" t="s">
        <v>45</v>
      </c>
      <c r="F609" t="s">
        <v>45</v>
      </c>
      <c r="G609" t="s">
        <v>20</v>
      </c>
      <c r="H609" t="s">
        <v>21</v>
      </c>
      <c r="I609" t="s">
        <v>94</v>
      </c>
      <c r="J609">
        <v>2</v>
      </c>
      <c r="K609">
        <v>3855000</v>
      </c>
      <c r="L609">
        <v>0.26800000000000002</v>
      </c>
      <c r="M609" t="s">
        <v>23</v>
      </c>
      <c r="N609">
        <v>5644000</v>
      </c>
      <c r="O609">
        <v>3.6</v>
      </c>
      <c r="P609" t="b">
        <v>1</v>
      </c>
    </row>
    <row r="610" spans="1:16" x14ac:dyDescent="0.2">
      <c r="A610" t="s">
        <v>965</v>
      </c>
      <c r="B610" s="1">
        <v>45874</v>
      </c>
      <c r="C610" s="1">
        <v>45900</v>
      </c>
      <c r="D610" t="s">
        <v>664</v>
      </c>
      <c r="E610" t="s">
        <v>45</v>
      </c>
      <c r="F610" t="s">
        <v>34</v>
      </c>
      <c r="G610" t="s">
        <v>20</v>
      </c>
      <c r="H610" t="s">
        <v>51</v>
      </c>
      <c r="I610" t="s">
        <v>77</v>
      </c>
      <c r="J610">
        <v>1</v>
      </c>
      <c r="K610">
        <v>3245000</v>
      </c>
      <c r="L610">
        <v>0.09</v>
      </c>
      <c r="M610" t="s">
        <v>23</v>
      </c>
      <c r="N610">
        <v>2953000</v>
      </c>
      <c r="O610">
        <v>4.4000000000000004</v>
      </c>
      <c r="P610" t="b">
        <v>1</v>
      </c>
    </row>
    <row r="611" spans="1:16" x14ac:dyDescent="0.2">
      <c r="A611" t="s">
        <v>966</v>
      </c>
      <c r="B611" s="1">
        <v>45561</v>
      </c>
      <c r="C611" s="1">
        <v>45608</v>
      </c>
      <c r="D611" t="s">
        <v>390</v>
      </c>
      <c r="E611" t="s">
        <v>18</v>
      </c>
      <c r="F611" t="s">
        <v>68</v>
      </c>
      <c r="G611" t="s">
        <v>20</v>
      </c>
      <c r="H611" t="s">
        <v>47</v>
      </c>
      <c r="I611" t="s">
        <v>565</v>
      </c>
      <c r="J611">
        <v>1</v>
      </c>
      <c r="K611">
        <v>2494000</v>
      </c>
      <c r="L611">
        <v>0.185</v>
      </c>
      <c r="M611" t="s">
        <v>23</v>
      </c>
      <c r="N611">
        <v>2033000</v>
      </c>
      <c r="O611">
        <v>3.8</v>
      </c>
      <c r="P611" t="b">
        <v>1</v>
      </c>
    </row>
    <row r="612" spans="1:16" x14ac:dyDescent="0.2">
      <c r="A612" t="s">
        <v>967</v>
      </c>
      <c r="B612" s="1">
        <v>45379</v>
      </c>
      <c r="C612" s="1">
        <v>45425</v>
      </c>
      <c r="D612" t="s">
        <v>847</v>
      </c>
      <c r="E612" t="s">
        <v>45</v>
      </c>
      <c r="F612" t="s">
        <v>68</v>
      </c>
      <c r="G612" t="s">
        <v>20</v>
      </c>
      <c r="H612" t="s">
        <v>47</v>
      </c>
      <c r="I612" t="s">
        <v>26</v>
      </c>
      <c r="J612">
        <v>2</v>
      </c>
      <c r="K612">
        <v>2006000</v>
      </c>
      <c r="L612">
        <v>0.223</v>
      </c>
      <c r="M612" t="s">
        <v>23</v>
      </c>
      <c r="N612">
        <v>3117000</v>
      </c>
      <c r="O612">
        <v>4.3</v>
      </c>
      <c r="P612" t="b">
        <v>0</v>
      </c>
    </row>
    <row r="613" spans="1:16" x14ac:dyDescent="0.2">
      <c r="A613" t="s">
        <v>968</v>
      </c>
      <c r="B613" s="1">
        <v>45314</v>
      </c>
      <c r="C613" s="1">
        <v>45324</v>
      </c>
      <c r="D613" t="s">
        <v>969</v>
      </c>
      <c r="E613" t="s">
        <v>45</v>
      </c>
      <c r="F613" t="s">
        <v>45</v>
      </c>
      <c r="G613" t="s">
        <v>35</v>
      </c>
      <c r="H613" t="s">
        <v>21</v>
      </c>
      <c r="I613" t="s">
        <v>26</v>
      </c>
      <c r="J613">
        <v>4</v>
      </c>
      <c r="K613">
        <v>4101000</v>
      </c>
      <c r="L613">
        <v>0.13500000000000001</v>
      </c>
      <c r="M613" t="s">
        <v>23</v>
      </c>
      <c r="N613">
        <v>14189000</v>
      </c>
      <c r="O613">
        <v>3.7</v>
      </c>
      <c r="P613" t="b">
        <v>0</v>
      </c>
    </row>
    <row r="614" spans="1:16" x14ac:dyDescent="0.2">
      <c r="A614" t="s">
        <v>970</v>
      </c>
      <c r="B614" s="1">
        <v>45876</v>
      </c>
      <c r="C614" s="1">
        <v>45931</v>
      </c>
      <c r="D614" t="s">
        <v>971</v>
      </c>
      <c r="E614" t="s">
        <v>45</v>
      </c>
      <c r="F614" t="s">
        <v>25</v>
      </c>
      <c r="G614" t="s">
        <v>35</v>
      </c>
      <c r="H614" t="s">
        <v>21</v>
      </c>
      <c r="I614" t="s">
        <v>60</v>
      </c>
      <c r="J614">
        <v>2</v>
      </c>
      <c r="K614">
        <v>5387000</v>
      </c>
      <c r="L614">
        <v>0.214</v>
      </c>
      <c r="M614" t="s">
        <v>23</v>
      </c>
      <c r="N614">
        <v>8468000</v>
      </c>
      <c r="O614">
        <v>3.3</v>
      </c>
      <c r="P614" t="b">
        <v>0</v>
      </c>
    </row>
    <row r="615" spans="1:16" x14ac:dyDescent="0.2">
      <c r="A615" t="s">
        <v>972</v>
      </c>
      <c r="B615" s="1">
        <v>45889</v>
      </c>
      <c r="C615" s="1">
        <v>45962</v>
      </c>
      <c r="D615" t="s">
        <v>448</v>
      </c>
      <c r="E615" t="s">
        <v>29</v>
      </c>
      <c r="F615" t="s">
        <v>34</v>
      </c>
      <c r="G615" t="s">
        <v>35</v>
      </c>
      <c r="H615" t="s">
        <v>40</v>
      </c>
      <c r="I615" t="s">
        <v>94</v>
      </c>
      <c r="J615">
        <v>3</v>
      </c>
      <c r="K615">
        <v>3767000</v>
      </c>
      <c r="L615">
        <v>0.16800000000000001</v>
      </c>
      <c r="M615" t="s">
        <v>23</v>
      </c>
      <c r="N615">
        <v>9402000</v>
      </c>
      <c r="O615">
        <v>4.9000000000000004</v>
      </c>
      <c r="P615" t="b">
        <v>1</v>
      </c>
    </row>
    <row r="616" spans="1:16" x14ac:dyDescent="0.2">
      <c r="A616" t="s">
        <v>973</v>
      </c>
      <c r="B616" s="1">
        <v>45752</v>
      </c>
      <c r="C616" s="1">
        <v>45837</v>
      </c>
      <c r="D616" t="s">
        <v>98</v>
      </c>
      <c r="E616" t="s">
        <v>18</v>
      </c>
      <c r="F616" t="s">
        <v>39</v>
      </c>
      <c r="G616" t="s">
        <v>20</v>
      </c>
      <c r="H616" t="s">
        <v>21</v>
      </c>
      <c r="I616" t="s">
        <v>52</v>
      </c>
      <c r="J616">
        <v>2</v>
      </c>
      <c r="K616">
        <v>1242000</v>
      </c>
      <c r="L616">
        <v>6.6000000000000003E-2</v>
      </c>
      <c r="M616" t="s">
        <v>23</v>
      </c>
      <c r="N616">
        <v>2320000</v>
      </c>
      <c r="O616">
        <v>4.4000000000000004</v>
      </c>
      <c r="P616" t="b">
        <v>1</v>
      </c>
    </row>
    <row r="617" spans="1:16" x14ac:dyDescent="0.2">
      <c r="A617" t="s">
        <v>974</v>
      </c>
      <c r="B617" s="1">
        <v>45356</v>
      </c>
      <c r="C617" s="1">
        <v>45392</v>
      </c>
      <c r="D617" t="s">
        <v>187</v>
      </c>
      <c r="E617" t="s">
        <v>18</v>
      </c>
      <c r="F617" t="s">
        <v>45</v>
      </c>
      <c r="G617" t="s">
        <v>20</v>
      </c>
      <c r="H617" t="s">
        <v>40</v>
      </c>
      <c r="I617" t="s">
        <v>60</v>
      </c>
      <c r="J617">
        <v>4</v>
      </c>
      <c r="K617">
        <v>2549000</v>
      </c>
      <c r="L617">
        <v>0.14099999999999999</v>
      </c>
      <c r="M617" t="s">
        <v>23</v>
      </c>
      <c r="N617">
        <v>8758000</v>
      </c>
      <c r="O617">
        <v>4</v>
      </c>
      <c r="P617" t="b">
        <v>0</v>
      </c>
    </row>
    <row r="618" spans="1:16" x14ac:dyDescent="0.2">
      <c r="A618" t="s">
        <v>975</v>
      </c>
      <c r="B618" s="1">
        <v>45474</v>
      </c>
      <c r="C618" s="1">
        <v>45555</v>
      </c>
      <c r="D618" t="s">
        <v>459</v>
      </c>
      <c r="E618" t="s">
        <v>18</v>
      </c>
      <c r="F618" t="s">
        <v>34</v>
      </c>
      <c r="G618" t="s">
        <v>50</v>
      </c>
      <c r="H618" t="s">
        <v>47</v>
      </c>
      <c r="I618" t="s">
        <v>26</v>
      </c>
      <c r="J618">
        <v>4</v>
      </c>
      <c r="K618">
        <v>3912000</v>
      </c>
      <c r="L618">
        <v>1.0999999999999999E-2</v>
      </c>
      <c r="M618" t="s">
        <v>23</v>
      </c>
      <c r="N618">
        <v>15476000</v>
      </c>
      <c r="O618">
        <v>3.9</v>
      </c>
      <c r="P618" t="b">
        <v>0</v>
      </c>
    </row>
    <row r="619" spans="1:16" x14ac:dyDescent="0.2">
      <c r="A619" t="s">
        <v>976</v>
      </c>
      <c r="B619" s="1">
        <v>45317</v>
      </c>
      <c r="C619" s="1">
        <v>45398</v>
      </c>
      <c r="D619" t="s">
        <v>280</v>
      </c>
      <c r="E619" t="s">
        <v>45</v>
      </c>
      <c r="F619" t="s">
        <v>25</v>
      </c>
      <c r="G619" t="s">
        <v>35</v>
      </c>
      <c r="H619" t="s">
        <v>21</v>
      </c>
      <c r="I619" t="s">
        <v>77</v>
      </c>
      <c r="J619">
        <v>1</v>
      </c>
      <c r="K619">
        <v>4691000</v>
      </c>
      <c r="L619">
        <v>0.13800000000000001</v>
      </c>
      <c r="M619" t="s">
        <v>23</v>
      </c>
      <c r="N619">
        <v>4044000</v>
      </c>
      <c r="O619">
        <v>4.9000000000000004</v>
      </c>
      <c r="P619" t="b">
        <v>1</v>
      </c>
    </row>
    <row r="620" spans="1:16" x14ac:dyDescent="0.2">
      <c r="A620" t="s">
        <v>977</v>
      </c>
      <c r="B620" s="1">
        <v>45323</v>
      </c>
      <c r="C620" s="1">
        <v>45413</v>
      </c>
      <c r="D620" t="s">
        <v>261</v>
      </c>
      <c r="E620" t="s">
        <v>45</v>
      </c>
      <c r="F620" t="s">
        <v>25</v>
      </c>
      <c r="G620" t="s">
        <v>20</v>
      </c>
      <c r="H620" t="s">
        <v>21</v>
      </c>
      <c r="I620" t="s">
        <v>60</v>
      </c>
      <c r="J620">
        <v>1</v>
      </c>
      <c r="K620">
        <v>3538000</v>
      </c>
      <c r="L620">
        <v>2.7E-2</v>
      </c>
      <c r="M620" t="s">
        <v>23</v>
      </c>
      <c r="N620">
        <v>3442000</v>
      </c>
      <c r="O620">
        <v>4.5</v>
      </c>
      <c r="P620" t="b">
        <v>0</v>
      </c>
    </row>
    <row r="621" spans="1:16" x14ac:dyDescent="0.2">
      <c r="A621" t="s">
        <v>978</v>
      </c>
      <c r="B621" s="1">
        <v>45445</v>
      </c>
      <c r="C621" s="1">
        <v>45485</v>
      </c>
      <c r="D621" t="s">
        <v>349</v>
      </c>
      <c r="E621" t="s">
        <v>18</v>
      </c>
      <c r="F621" t="s">
        <v>39</v>
      </c>
      <c r="G621" t="s">
        <v>20</v>
      </c>
      <c r="H621" t="s">
        <v>21</v>
      </c>
      <c r="I621" t="s">
        <v>83</v>
      </c>
      <c r="J621">
        <v>1</v>
      </c>
      <c r="K621">
        <v>1400000</v>
      </c>
      <c r="L621">
        <v>0</v>
      </c>
      <c r="M621" t="s">
        <v>23</v>
      </c>
      <c r="N621">
        <v>1400000</v>
      </c>
      <c r="O621">
        <v>4.8</v>
      </c>
      <c r="P621" t="b">
        <v>1</v>
      </c>
    </row>
    <row r="622" spans="1:16" x14ac:dyDescent="0.2">
      <c r="A622" t="s">
        <v>979</v>
      </c>
      <c r="B622" s="1">
        <v>45648</v>
      </c>
      <c r="C622" s="1">
        <v>45726</v>
      </c>
      <c r="D622" t="s">
        <v>721</v>
      </c>
      <c r="E622" t="s">
        <v>18</v>
      </c>
      <c r="F622" t="s">
        <v>45</v>
      </c>
      <c r="G622" t="s">
        <v>50</v>
      </c>
      <c r="H622" t="s">
        <v>21</v>
      </c>
      <c r="I622" t="s">
        <v>94</v>
      </c>
      <c r="J622">
        <v>4</v>
      </c>
      <c r="K622">
        <v>2848000</v>
      </c>
      <c r="L622">
        <v>0.13200000000000001</v>
      </c>
      <c r="M622" t="s">
        <v>23</v>
      </c>
      <c r="N622">
        <v>9888000</v>
      </c>
      <c r="O622">
        <v>3.9</v>
      </c>
      <c r="P622" t="b">
        <v>1</v>
      </c>
    </row>
    <row r="623" spans="1:16" x14ac:dyDescent="0.2">
      <c r="A623" t="s">
        <v>980</v>
      </c>
      <c r="B623" s="1">
        <v>45332</v>
      </c>
      <c r="C623" s="1">
        <v>45387</v>
      </c>
      <c r="D623" t="s">
        <v>485</v>
      </c>
      <c r="E623" t="s">
        <v>45</v>
      </c>
      <c r="F623" t="s">
        <v>45</v>
      </c>
      <c r="G623" t="s">
        <v>50</v>
      </c>
      <c r="H623" t="s">
        <v>40</v>
      </c>
      <c r="I623" t="s">
        <v>60</v>
      </c>
      <c r="J623">
        <v>3</v>
      </c>
      <c r="K623">
        <v>2888000</v>
      </c>
      <c r="L623">
        <v>5.2999999999999999E-2</v>
      </c>
      <c r="M623" t="s">
        <v>65</v>
      </c>
      <c r="N623">
        <v>0</v>
      </c>
      <c r="P623" t="b">
        <v>1</v>
      </c>
    </row>
    <row r="624" spans="1:16" x14ac:dyDescent="0.2">
      <c r="A624" t="s">
        <v>981</v>
      </c>
      <c r="B624" s="1">
        <v>45905</v>
      </c>
      <c r="C624" s="1">
        <v>45919</v>
      </c>
      <c r="D624" t="s">
        <v>982</v>
      </c>
      <c r="E624" t="s">
        <v>45</v>
      </c>
      <c r="F624" t="s">
        <v>45</v>
      </c>
      <c r="G624" t="s">
        <v>50</v>
      </c>
      <c r="H624" t="s">
        <v>47</v>
      </c>
      <c r="I624" t="s">
        <v>99</v>
      </c>
      <c r="J624">
        <v>2</v>
      </c>
      <c r="K624">
        <v>2971000</v>
      </c>
      <c r="L624">
        <v>0.12</v>
      </c>
      <c r="M624" t="s">
        <v>23</v>
      </c>
      <c r="N624">
        <v>5229000</v>
      </c>
      <c r="O624">
        <v>4.4000000000000004</v>
      </c>
      <c r="P624" t="b">
        <v>0</v>
      </c>
    </row>
    <row r="625" spans="1:16" x14ac:dyDescent="0.2">
      <c r="A625" t="s">
        <v>983</v>
      </c>
      <c r="B625" s="1">
        <v>45575</v>
      </c>
      <c r="C625" s="1">
        <v>45606</v>
      </c>
      <c r="D625" t="s">
        <v>508</v>
      </c>
      <c r="E625" t="s">
        <v>45</v>
      </c>
      <c r="F625" t="s">
        <v>19</v>
      </c>
      <c r="G625" t="s">
        <v>35</v>
      </c>
      <c r="H625" t="s">
        <v>21</v>
      </c>
      <c r="I625" t="s">
        <v>99</v>
      </c>
      <c r="J625">
        <v>3</v>
      </c>
      <c r="K625">
        <v>1723000</v>
      </c>
      <c r="L625">
        <v>0.128</v>
      </c>
      <c r="M625" t="s">
        <v>23</v>
      </c>
      <c r="N625">
        <v>4507000</v>
      </c>
      <c r="O625">
        <v>3.9</v>
      </c>
      <c r="P625" t="b">
        <v>1</v>
      </c>
    </row>
    <row r="626" spans="1:16" x14ac:dyDescent="0.2">
      <c r="A626" t="s">
        <v>984</v>
      </c>
      <c r="B626" s="1">
        <v>45456</v>
      </c>
      <c r="C626" s="1">
        <v>45520</v>
      </c>
      <c r="D626" t="s">
        <v>985</v>
      </c>
      <c r="E626" t="s">
        <v>29</v>
      </c>
      <c r="F626" t="s">
        <v>19</v>
      </c>
      <c r="G626" t="s">
        <v>20</v>
      </c>
      <c r="H626" t="s">
        <v>47</v>
      </c>
      <c r="I626" t="s">
        <v>99</v>
      </c>
      <c r="J626">
        <v>4</v>
      </c>
      <c r="K626">
        <v>3069000</v>
      </c>
      <c r="L626">
        <v>6.7000000000000004E-2</v>
      </c>
      <c r="M626" t="s">
        <v>23</v>
      </c>
      <c r="N626">
        <v>11454000</v>
      </c>
      <c r="O626">
        <v>4.2</v>
      </c>
      <c r="P626" t="b">
        <v>1</v>
      </c>
    </row>
    <row r="627" spans="1:16" x14ac:dyDescent="0.2">
      <c r="A627" t="s">
        <v>986</v>
      </c>
      <c r="B627" s="1">
        <v>45613</v>
      </c>
      <c r="C627" s="1">
        <v>45636</v>
      </c>
      <c r="D627" t="s">
        <v>576</v>
      </c>
      <c r="E627" t="s">
        <v>45</v>
      </c>
      <c r="F627" t="s">
        <v>34</v>
      </c>
      <c r="G627" t="s">
        <v>20</v>
      </c>
      <c r="H627" t="s">
        <v>21</v>
      </c>
      <c r="I627" t="s">
        <v>30</v>
      </c>
      <c r="J627">
        <v>1</v>
      </c>
      <c r="K627">
        <v>3565000</v>
      </c>
      <c r="L627">
        <v>2.4E-2</v>
      </c>
      <c r="M627" t="s">
        <v>23</v>
      </c>
      <c r="N627">
        <v>3479000</v>
      </c>
      <c r="O627">
        <v>3.9</v>
      </c>
      <c r="P627" t="b">
        <v>1</v>
      </c>
    </row>
    <row r="628" spans="1:16" x14ac:dyDescent="0.2">
      <c r="A628" t="s">
        <v>987</v>
      </c>
      <c r="B628" s="1">
        <v>45784</v>
      </c>
      <c r="C628" s="1">
        <v>45829</v>
      </c>
      <c r="D628" t="s">
        <v>988</v>
      </c>
      <c r="E628" t="s">
        <v>45</v>
      </c>
      <c r="F628" t="s">
        <v>39</v>
      </c>
      <c r="G628" t="s">
        <v>20</v>
      </c>
      <c r="H628" t="s">
        <v>47</v>
      </c>
      <c r="I628" t="s">
        <v>83</v>
      </c>
      <c r="J628">
        <v>1</v>
      </c>
      <c r="K628">
        <v>2071000</v>
      </c>
      <c r="L628">
        <v>9.6000000000000002E-2</v>
      </c>
      <c r="M628" t="s">
        <v>23</v>
      </c>
      <c r="N628">
        <v>1872000</v>
      </c>
      <c r="O628">
        <v>4.4000000000000004</v>
      </c>
      <c r="P628" t="b">
        <v>1</v>
      </c>
    </row>
    <row r="629" spans="1:16" x14ac:dyDescent="0.2">
      <c r="A629" t="s">
        <v>989</v>
      </c>
      <c r="B629" s="1">
        <v>45486</v>
      </c>
      <c r="C629" s="1">
        <v>45558</v>
      </c>
      <c r="D629" t="s">
        <v>990</v>
      </c>
      <c r="E629" t="s">
        <v>33</v>
      </c>
      <c r="F629" t="s">
        <v>19</v>
      </c>
      <c r="G629" t="s">
        <v>35</v>
      </c>
      <c r="H629" t="s">
        <v>21</v>
      </c>
      <c r="I629" t="s">
        <v>57</v>
      </c>
      <c r="J629">
        <v>1</v>
      </c>
      <c r="K629">
        <v>3007000</v>
      </c>
      <c r="L629">
        <v>0.115</v>
      </c>
      <c r="M629" t="s">
        <v>23</v>
      </c>
      <c r="N629">
        <v>2661000</v>
      </c>
      <c r="O629">
        <v>3.5</v>
      </c>
      <c r="P629" t="b">
        <v>0</v>
      </c>
    </row>
    <row r="630" spans="1:16" x14ac:dyDescent="0.2">
      <c r="A630" t="s">
        <v>991</v>
      </c>
      <c r="B630" s="1">
        <v>45321</v>
      </c>
      <c r="C630" s="1">
        <v>45343</v>
      </c>
      <c r="D630" t="s">
        <v>222</v>
      </c>
      <c r="E630" t="s">
        <v>45</v>
      </c>
      <c r="F630" t="s">
        <v>19</v>
      </c>
      <c r="G630" t="s">
        <v>35</v>
      </c>
      <c r="H630" t="s">
        <v>47</v>
      </c>
      <c r="I630" t="s">
        <v>22</v>
      </c>
      <c r="J630">
        <v>1</v>
      </c>
      <c r="K630">
        <v>2351000</v>
      </c>
      <c r="L630">
        <v>0.14599999999999999</v>
      </c>
      <c r="M630" t="s">
        <v>23</v>
      </c>
      <c r="N630">
        <v>2008000</v>
      </c>
      <c r="O630">
        <v>4.5</v>
      </c>
      <c r="P630" t="b">
        <v>0</v>
      </c>
    </row>
    <row r="631" spans="1:16" x14ac:dyDescent="0.2">
      <c r="A631" t="s">
        <v>992</v>
      </c>
      <c r="B631" s="1">
        <v>45323</v>
      </c>
      <c r="C631" s="1">
        <v>45373</v>
      </c>
      <c r="D631" t="s">
        <v>382</v>
      </c>
      <c r="E631" t="s">
        <v>45</v>
      </c>
      <c r="F631" t="s">
        <v>19</v>
      </c>
      <c r="G631" t="s">
        <v>20</v>
      </c>
      <c r="H631" t="s">
        <v>47</v>
      </c>
      <c r="I631" t="s">
        <v>26</v>
      </c>
      <c r="J631">
        <v>3</v>
      </c>
      <c r="K631">
        <v>3788000</v>
      </c>
      <c r="L631">
        <v>4.8000000000000001E-2</v>
      </c>
      <c r="M631" t="s">
        <v>23</v>
      </c>
      <c r="N631">
        <v>10819000</v>
      </c>
      <c r="O631">
        <v>4.4000000000000004</v>
      </c>
      <c r="P631" t="b">
        <v>0</v>
      </c>
    </row>
    <row r="632" spans="1:16" x14ac:dyDescent="0.2">
      <c r="A632" t="s">
        <v>993</v>
      </c>
      <c r="B632" s="1">
        <v>45822</v>
      </c>
      <c r="C632" s="1">
        <v>45849</v>
      </c>
      <c r="D632" t="s">
        <v>192</v>
      </c>
      <c r="E632" t="s">
        <v>33</v>
      </c>
      <c r="F632" t="s">
        <v>34</v>
      </c>
      <c r="G632" t="s">
        <v>50</v>
      </c>
      <c r="H632" t="s">
        <v>21</v>
      </c>
      <c r="I632" t="s">
        <v>22</v>
      </c>
      <c r="J632">
        <v>2</v>
      </c>
      <c r="K632">
        <v>4962000</v>
      </c>
      <c r="L632">
        <v>5.2999999999999999E-2</v>
      </c>
      <c r="M632" t="s">
        <v>23</v>
      </c>
      <c r="N632">
        <v>9398000</v>
      </c>
      <c r="O632">
        <v>4.0999999999999996</v>
      </c>
      <c r="P632" t="b">
        <v>1</v>
      </c>
    </row>
    <row r="633" spans="1:16" x14ac:dyDescent="0.2">
      <c r="A633" t="s">
        <v>994</v>
      </c>
      <c r="B633" s="1">
        <v>45361</v>
      </c>
      <c r="C633" s="1">
        <v>45414</v>
      </c>
      <c r="D633" t="s">
        <v>995</v>
      </c>
      <c r="E633" t="s">
        <v>45</v>
      </c>
      <c r="F633" t="s">
        <v>25</v>
      </c>
      <c r="G633" t="s">
        <v>20</v>
      </c>
      <c r="H633" t="s">
        <v>40</v>
      </c>
      <c r="I633" t="s">
        <v>30</v>
      </c>
      <c r="J633">
        <v>1</v>
      </c>
      <c r="K633">
        <v>4263000</v>
      </c>
      <c r="L633">
        <v>0.186</v>
      </c>
      <c r="M633" t="s">
        <v>23</v>
      </c>
      <c r="N633">
        <v>3470000</v>
      </c>
      <c r="O633">
        <v>4.4000000000000004</v>
      </c>
      <c r="P633" t="b">
        <v>0</v>
      </c>
    </row>
    <row r="634" spans="1:16" x14ac:dyDescent="0.2">
      <c r="A634" t="s">
        <v>996</v>
      </c>
      <c r="B634" s="1">
        <v>45687</v>
      </c>
      <c r="C634" s="1">
        <v>45716</v>
      </c>
      <c r="D634" t="s">
        <v>229</v>
      </c>
      <c r="E634" t="s">
        <v>18</v>
      </c>
      <c r="F634" t="s">
        <v>19</v>
      </c>
      <c r="G634" t="s">
        <v>20</v>
      </c>
      <c r="H634" t="s">
        <v>47</v>
      </c>
      <c r="I634" t="s">
        <v>57</v>
      </c>
      <c r="J634">
        <v>1</v>
      </c>
      <c r="K634">
        <v>2334000</v>
      </c>
      <c r="L634">
        <v>-0.2</v>
      </c>
      <c r="M634" t="s">
        <v>23</v>
      </c>
      <c r="N634">
        <v>1919000</v>
      </c>
      <c r="O634">
        <v>4</v>
      </c>
      <c r="P634" t="b">
        <v>1</v>
      </c>
    </row>
    <row r="635" spans="1:16" x14ac:dyDescent="0.2">
      <c r="A635" t="s">
        <v>997</v>
      </c>
      <c r="B635" s="1">
        <v>45531</v>
      </c>
      <c r="C635" s="1">
        <v>45619</v>
      </c>
      <c r="D635" t="s">
        <v>42</v>
      </c>
      <c r="E635" t="s">
        <v>33</v>
      </c>
      <c r="F635" t="s">
        <v>34</v>
      </c>
      <c r="G635" t="s">
        <v>20</v>
      </c>
      <c r="H635" t="s">
        <v>21</v>
      </c>
      <c r="I635" t="s">
        <v>99</v>
      </c>
      <c r="J635">
        <v>1</v>
      </c>
      <c r="K635">
        <v>4973000</v>
      </c>
      <c r="L635">
        <v>7.1999999999999995E-2</v>
      </c>
      <c r="M635" t="s">
        <v>65</v>
      </c>
      <c r="N635">
        <v>0</v>
      </c>
      <c r="P635" t="b">
        <v>1</v>
      </c>
    </row>
    <row r="636" spans="1:16" x14ac:dyDescent="0.2">
      <c r="A636" t="s">
        <v>998</v>
      </c>
      <c r="B636" s="1">
        <v>45776</v>
      </c>
      <c r="C636" s="1">
        <v>45792</v>
      </c>
      <c r="D636" t="s">
        <v>361</v>
      </c>
      <c r="E636" t="s">
        <v>18</v>
      </c>
      <c r="F636" t="s">
        <v>45</v>
      </c>
      <c r="G636" t="s">
        <v>50</v>
      </c>
      <c r="H636" t="s">
        <v>47</v>
      </c>
      <c r="J636">
        <v>3</v>
      </c>
      <c r="K636">
        <v>3238000</v>
      </c>
      <c r="L636">
        <v>8.6999999999999994E-2</v>
      </c>
      <c r="M636" t="s">
        <v>23</v>
      </c>
      <c r="N636">
        <v>8869000</v>
      </c>
      <c r="O636">
        <v>4.5</v>
      </c>
      <c r="P636" t="b">
        <v>1</v>
      </c>
    </row>
    <row r="637" spans="1:16" x14ac:dyDescent="0.2">
      <c r="A637" t="s">
        <v>999</v>
      </c>
      <c r="B637" s="1">
        <v>45329</v>
      </c>
      <c r="C637" s="1">
        <v>45417</v>
      </c>
      <c r="D637" t="s">
        <v>485</v>
      </c>
      <c r="E637" t="s">
        <v>45</v>
      </c>
      <c r="F637" t="s">
        <v>19</v>
      </c>
      <c r="G637" t="s">
        <v>50</v>
      </c>
      <c r="H637" t="s">
        <v>51</v>
      </c>
      <c r="I637" t="s">
        <v>26</v>
      </c>
      <c r="J637">
        <v>1</v>
      </c>
      <c r="K637">
        <v>2733000</v>
      </c>
      <c r="L637">
        <v>6.0999999999999999E-2</v>
      </c>
      <c r="M637" t="s">
        <v>23</v>
      </c>
      <c r="N637">
        <v>2566000</v>
      </c>
      <c r="O637">
        <v>4.5</v>
      </c>
      <c r="P637" t="b">
        <v>0</v>
      </c>
    </row>
    <row r="638" spans="1:16" x14ac:dyDescent="0.2">
      <c r="A638" t="s">
        <v>1000</v>
      </c>
      <c r="B638" s="1">
        <v>45851</v>
      </c>
      <c r="C638" s="1">
        <v>45925</v>
      </c>
      <c r="D638" t="s">
        <v>280</v>
      </c>
      <c r="E638" t="s">
        <v>45</v>
      </c>
      <c r="F638" t="s">
        <v>19</v>
      </c>
      <c r="G638" t="s">
        <v>35</v>
      </c>
      <c r="H638" t="s">
        <v>47</v>
      </c>
      <c r="I638" t="s">
        <v>57</v>
      </c>
      <c r="J638">
        <v>2</v>
      </c>
      <c r="K638">
        <v>3396000</v>
      </c>
      <c r="L638">
        <v>8.1000000000000003E-2</v>
      </c>
      <c r="M638" t="s">
        <v>23</v>
      </c>
      <c r="N638">
        <v>6242000</v>
      </c>
      <c r="O638">
        <v>3.9</v>
      </c>
      <c r="P638" t="b">
        <v>1</v>
      </c>
    </row>
    <row r="639" spans="1:16" x14ac:dyDescent="0.2">
      <c r="A639" t="s">
        <v>1001</v>
      </c>
      <c r="B639" s="1">
        <v>45726</v>
      </c>
      <c r="C639" s="1">
        <v>45805</v>
      </c>
      <c r="D639" t="s">
        <v>496</v>
      </c>
      <c r="E639" t="s">
        <v>18</v>
      </c>
      <c r="F639" t="s">
        <v>19</v>
      </c>
      <c r="G639" t="s">
        <v>46</v>
      </c>
      <c r="H639" t="s">
        <v>21</v>
      </c>
      <c r="I639" t="s">
        <v>22</v>
      </c>
      <c r="J639">
        <v>2</v>
      </c>
      <c r="K639">
        <v>1500000</v>
      </c>
      <c r="L639">
        <v>3.5999999999999997E-2</v>
      </c>
      <c r="M639" t="s">
        <v>65</v>
      </c>
      <c r="N639">
        <v>0</v>
      </c>
      <c r="P639" t="b">
        <v>1</v>
      </c>
    </row>
    <row r="640" spans="1:16" x14ac:dyDescent="0.2">
      <c r="A640" t="s">
        <v>1002</v>
      </c>
      <c r="B640" s="1">
        <v>45571</v>
      </c>
      <c r="C640" s="1">
        <v>45649</v>
      </c>
      <c r="D640" t="s">
        <v>433</v>
      </c>
      <c r="E640" t="s">
        <v>33</v>
      </c>
      <c r="F640" t="s">
        <v>39</v>
      </c>
      <c r="G640" t="s">
        <v>50</v>
      </c>
      <c r="H640" t="s">
        <v>40</v>
      </c>
      <c r="I640" t="s">
        <v>30</v>
      </c>
      <c r="J640">
        <v>3</v>
      </c>
      <c r="K640">
        <v>2056000</v>
      </c>
      <c r="L640">
        <v>5.3999999999999999E-2</v>
      </c>
      <c r="M640" t="s">
        <v>23</v>
      </c>
      <c r="N640">
        <v>5835000</v>
      </c>
      <c r="O640">
        <v>4.0999999999999996</v>
      </c>
      <c r="P640" t="b">
        <v>1</v>
      </c>
    </row>
    <row r="641" spans="1:16" x14ac:dyDescent="0.2">
      <c r="A641" t="s">
        <v>1003</v>
      </c>
      <c r="B641" s="1">
        <v>45420</v>
      </c>
      <c r="C641" s="1">
        <v>45445</v>
      </c>
      <c r="D641" t="s">
        <v>356</v>
      </c>
      <c r="E641" t="s">
        <v>18</v>
      </c>
      <c r="F641" t="s">
        <v>19</v>
      </c>
      <c r="G641" t="s">
        <v>50</v>
      </c>
      <c r="H641" t="s">
        <v>51</v>
      </c>
      <c r="I641" t="s">
        <v>22</v>
      </c>
      <c r="J641">
        <v>1</v>
      </c>
      <c r="K641">
        <v>3351000</v>
      </c>
      <c r="L641">
        <v>8.5000000000000006E-2</v>
      </c>
      <c r="M641" t="s">
        <v>23</v>
      </c>
      <c r="N641">
        <v>3066000</v>
      </c>
      <c r="O641">
        <v>3.9</v>
      </c>
      <c r="P641" t="b">
        <v>1</v>
      </c>
    </row>
    <row r="642" spans="1:16" x14ac:dyDescent="0.2">
      <c r="A642" t="s">
        <v>1004</v>
      </c>
      <c r="B642" s="1">
        <v>45900</v>
      </c>
      <c r="C642" s="1">
        <v>45985</v>
      </c>
      <c r="D642" t="s">
        <v>287</v>
      </c>
      <c r="E642" t="s">
        <v>33</v>
      </c>
      <c r="F642" t="s">
        <v>45</v>
      </c>
      <c r="G642" t="s">
        <v>50</v>
      </c>
      <c r="H642" t="s">
        <v>40</v>
      </c>
      <c r="I642" t="s">
        <v>52</v>
      </c>
      <c r="J642">
        <v>4</v>
      </c>
      <c r="K642">
        <v>2395000</v>
      </c>
      <c r="L642">
        <v>7.2999999999999995E-2</v>
      </c>
      <c r="M642" t="s">
        <v>65</v>
      </c>
      <c r="N642">
        <v>0</v>
      </c>
      <c r="P642" t="b">
        <v>1</v>
      </c>
    </row>
    <row r="643" spans="1:16" x14ac:dyDescent="0.2">
      <c r="A643" t="s">
        <v>1005</v>
      </c>
      <c r="B643" s="1">
        <v>45480</v>
      </c>
      <c r="C643" s="1">
        <v>45538</v>
      </c>
      <c r="D643" t="s">
        <v>249</v>
      </c>
      <c r="E643" t="s">
        <v>18</v>
      </c>
      <c r="F643" t="s">
        <v>68</v>
      </c>
      <c r="G643" t="s">
        <v>20</v>
      </c>
      <c r="H643" t="s">
        <v>21</v>
      </c>
      <c r="I643" t="s">
        <v>57</v>
      </c>
      <c r="J643">
        <v>1</v>
      </c>
      <c r="K643">
        <v>2489000</v>
      </c>
      <c r="L643">
        <v>0.115</v>
      </c>
      <c r="M643" t="s">
        <v>23</v>
      </c>
      <c r="N643">
        <v>2203000</v>
      </c>
      <c r="O643">
        <v>4.4000000000000004</v>
      </c>
      <c r="P643" t="b">
        <v>0</v>
      </c>
    </row>
    <row r="644" spans="1:16" x14ac:dyDescent="0.2">
      <c r="A644" t="s">
        <v>1006</v>
      </c>
      <c r="B644" s="1">
        <v>45597</v>
      </c>
      <c r="C644" s="1">
        <v>45684</v>
      </c>
      <c r="D644" t="s">
        <v>659</v>
      </c>
      <c r="E644" t="s">
        <v>33</v>
      </c>
      <c r="F644" t="s">
        <v>45</v>
      </c>
      <c r="G644" t="s">
        <v>50</v>
      </c>
      <c r="H644" t="s">
        <v>21</v>
      </c>
      <c r="I644" t="s">
        <v>83</v>
      </c>
      <c r="J644">
        <v>3</v>
      </c>
      <c r="K644">
        <v>2829000</v>
      </c>
      <c r="L644">
        <v>0.107</v>
      </c>
      <c r="M644" t="s">
        <v>23</v>
      </c>
      <c r="N644">
        <v>7579000</v>
      </c>
      <c r="O644">
        <v>4.2</v>
      </c>
      <c r="P644" t="b">
        <v>1</v>
      </c>
    </row>
    <row r="645" spans="1:16" x14ac:dyDescent="0.2">
      <c r="A645" t="s">
        <v>1007</v>
      </c>
      <c r="B645" s="1">
        <v>45537</v>
      </c>
      <c r="C645" s="1">
        <v>45618</v>
      </c>
      <c r="D645" t="s">
        <v>120</v>
      </c>
      <c r="E645" t="s">
        <v>29</v>
      </c>
      <c r="F645" t="s">
        <v>19</v>
      </c>
      <c r="G645" t="s">
        <v>35</v>
      </c>
      <c r="H645" t="s">
        <v>47</v>
      </c>
      <c r="I645" t="s">
        <v>60</v>
      </c>
      <c r="J645">
        <v>3</v>
      </c>
      <c r="K645">
        <v>2622000</v>
      </c>
      <c r="L645">
        <v>0.183</v>
      </c>
      <c r="M645" t="s">
        <v>23</v>
      </c>
      <c r="N645">
        <v>6427000</v>
      </c>
      <c r="O645">
        <v>3.7</v>
      </c>
      <c r="P645" t="b">
        <v>0</v>
      </c>
    </row>
    <row r="646" spans="1:16" x14ac:dyDescent="0.2">
      <c r="A646" t="s">
        <v>1008</v>
      </c>
      <c r="B646" s="1">
        <v>45435</v>
      </c>
      <c r="C646" s="1">
        <v>45491</v>
      </c>
      <c r="D646" t="s">
        <v>894</v>
      </c>
      <c r="E646" t="s">
        <v>33</v>
      </c>
      <c r="F646" t="s">
        <v>45</v>
      </c>
      <c r="G646" t="s">
        <v>50</v>
      </c>
      <c r="H646" t="s">
        <v>21</v>
      </c>
      <c r="I646" t="s">
        <v>22</v>
      </c>
      <c r="J646">
        <v>4</v>
      </c>
      <c r="K646">
        <v>3944000</v>
      </c>
      <c r="L646">
        <v>3.5999999999999997E-2</v>
      </c>
      <c r="M646" t="s">
        <v>23</v>
      </c>
      <c r="N646">
        <v>15208000</v>
      </c>
      <c r="O646">
        <v>4.5999999999999996</v>
      </c>
      <c r="P646" t="b">
        <v>1</v>
      </c>
    </row>
    <row r="647" spans="1:16" x14ac:dyDescent="0.2">
      <c r="A647" t="s">
        <v>1009</v>
      </c>
      <c r="B647" s="1">
        <v>45551</v>
      </c>
      <c r="C647" s="1">
        <v>45591</v>
      </c>
      <c r="D647" t="s">
        <v>1010</v>
      </c>
      <c r="E647" t="s">
        <v>33</v>
      </c>
      <c r="F647" t="s">
        <v>25</v>
      </c>
      <c r="G647" t="s">
        <v>20</v>
      </c>
      <c r="H647" t="s">
        <v>21</v>
      </c>
      <c r="I647" t="s">
        <v>77</v>
      </c>
      <c r="J647">
        <v>1</v>
      </c>
      <c r="K647">
        <v>3523000</v>
      </c>
      <c r="L647">
        <v>8.5000000000000006E-2</v>
      </c>
      <c r="M647" t="s">
        <v>23</v>
      </c>
      <c r="N647">
        <v>3224000</v>
      </c>
      <c r="O647">
        <v>3.9</v>
      </c>
      <c r="P647" t="b">
        <v>0</v>
      </c>
    </row>
    <row r="648" spans="1:16" x14ac:dyDescent="0.2">
      <c r="A648" t="s">
        <v>1011</v>
      </c>
      <c r="B648" s="1">
        <v>45386</v>
      </c>
      <c r="C648" s="1">
        <v>45405</v>
      </c>
      <c r="D648" t="s">
        <v>433</v>
      </c>
      <c r="E648" t="s">
        <v>33</v>
      </c>
      <c r="F648" t="s">
        <v>19</v>
      </c>
      <c r="G648" t="s">
        <v>50</v>
      </c>
      <c r="H648" t="s">
        <v>21</v>
      </c>
      <c r="I648" t="s">
        <v>22</v>
      </c>
      <c r="J648">
        <v>1</v>
      </c>
      <c r="K648">
        <v>2060000</v>
      </c>
      <c r="L648">
        <v>6.9000000000000006E-2</v>
      </c>
      <c r="M648" t="s">
        <v>23</v>
      </c>
      <c r="N648">
        <v>1918000</v>
      </c>
      <c r="O648">
        <v>3.9</v>
      </c>
      <c r="P648" t="b">
        <v>1</v>
      </c>
    </row>
    <row r="649" spans="1:16" x14ac:dyDescent="0.2">
      <c r="A649" t="s">
        <v>1012</v>
      </c>
      <c r="B649" s="1">
        <v>45293</v>
      </c>
      <c r="C649" s="1">
        <v>45311</v>
      </c>
      <c r="D649" t="s">
        <v>361</v>
      </c>
      <c r="E649" t="s">
        <v>18</v>
      </c>
      <c r="F649" t="s">
        <v>25</v>
      </c>
      <c r="G649" t="s">
        <v>46</v>
      </c>
      <c r="H649" t="s">
        <v>47</v>
      </c>
      <c r="I649" t="s">
        <v>22</v>
      </c>
      <c r="J649">
        <v>2</v>
      </c>
      <c r="K649">
        <v>3861000</v>
      </c>
      <c r="L649">
        <v>5.1999999999999998E-2</v>
      </c>
      <c r="M649" t="s">
        <v>23</v>
      </c>
      <c r="N649">
        <v>7320000</v>
      </c>
      <c r="O649">
        <v>4.5999999999999996</v>
      </c>
      <c r="P649" t="b">
        <v>0</v>
      </c>
    </row>
    <row r="650" spans="1:16" x14ac:dyDescent="0.2">
      <c r="A650" t="s">
        <v>1013</v>
      </c>
      <c r="B650" s="1">
        <v>45472</v>
      </c>
      <c r="C650" s="1">
        <v>45513</v>
      </c>
      <c r="D650" t="s">
        <v>865</v>
      </c>
      <c r="E650" t="s">
        <v>45</v>
      </c>
      <c r="F650" t="s">
        <v>19</v>
      </c>
      <c r="G650" t="s">
        <v>20</v>
      </c>
      <c r="H650" t="s">
        <v>21</v>
      </c>
      <c r="I650" t="s">
        <v>26</v>
      </c>
      <c r="J650">
        <v>3</v>
      </c>
      <c r="K650">
        <v>2651000</v>
      </c>
      <c r="L650">
        <v>8.1000000000000003E-2</v>
      </c>
      <c r="M650" t="s">
        <v>23</v>
      </c>
      <c r="N650">
        <v>7309000</v>
      </c>
      <c r="O650">
        <v>4.4000000000000004</v>
      </c>
      <c r="P650" t="b">
        <v>0</v>
      </c>
    </row>
    <row r="651" spans="1:16" x14ac:dyDescent="0.2">
      <c r="A651" t="s">
        <v>1014</v>
      </c>
      <c r="B651" s="1">
        <v>45361</v>
      </c>
      <c r="C651" s="1">
        <v>45436</v>
      </c>
      <c r="D651" t="s">
        <v>412</v>
      </c>
      <c r="E651" t="s">
        <v>18</v>
      </c>
      <c r="F651" t="s">
        <v>34</v>
      </c>
      <c r="G651" t="s">
        <v>46</v>
      </c>
      <c r="H651" t="s">
        <v>47</v>
      </c>
      <c r="I651" t="s">
        <v>57</v>
      </c>
      <c r="J651">
        <v>2</v>
      </c>
      <c r="K651">
        <v>3510000</v>
      </c>
      <c r="L651">
        <v>0.112</v>
      </c>
      <c r="M651" t="s">
        <v>23</v>
      </c>
      <c r="N651">
        <v>6234000</v>
      </c>
      <c r="O651">
        <v>2.9</v>
      </c>
      <c r="P651" t="b">
        <v>0</v>
      </c>
    </row>
    <row r="652" spans="1:16" x14ac:dyDescent="0.2">
      <c r="A652" t="s">
        <v>1015</v>
      </c>
      <c r="B652" s="1">
        <v>45550</v>
      </c>
      <c r="C652" s="1">
        <v>45600</v>
      </c>
      <c r="D652" t="s">
        <v>202</v>
      </c>
      <c r="E652" t="s">
        <v>33</v>
      </c>
      <c r="F652" t="s">
        <v>19</v>
      </c>
      <c r="G652" t="s">
        <v>20</v>
      </c>
      <c r="H652" t="s">
        <v>47</v>
      </c>
      <c r="I652" t="s">
        <v>77</v>
      </c>
      <c r="J652">
        <v>1</v>
      </c>
      <c r="K652">
        <v>3567000</v>
      </c>
      <c r="L652">
        <v>0.123</v>
      </c>
      <c r="M652" t="s">
        <v>23</v>
      </c>
      <c r="N652">
        <v>3128000</v>
      </c>
      <c r="O652">
        <v>4.0999999999999996</v>
      </c>
      <c r="P652" t="b">
        <v>1</v>
      </c>
    </row>
    <row r="653" spans="1:16" x14ac:dyDescent="0.2">
      <c r="A653" t="s">
        <v>1016</v>
      </c>
      <c r="B653" s="1">
        <v>45829</v>
      </c>
      <c r="C653" s="1">
        <v>45878</v>
      </c>
      <c r="D653" t="s">
        <v>134</v>
      </c>
      <c r="E653" t="s">
        <v>29</v>
      </c>
      <c r="F653" t="s">
        <v>34</v>
      </c>
      <c r="G653" t="s">
        <v>20</v>
      </c>
      <c r="H653" t="s">
        <v>51</v>
      </c>
      <c r="I653" t="s">
        <v>94</v>
      </c>
      <c r="J653">
        <v>1</v>
      </c>
      <c r="K653">
        <v>3494000</v>
      </c>
      <c r="L653">
        <v>0.111</v>
      </c>
      <c r="M653" t="s">
        <v>23</v>
      </c>
      <c r="N653">
        <v>3106000</v>
      </c>
      <c r="O653">
        <v>4.3</v>
      </c>
      <c r="P653" t="b">
        <v>1</v>
      </c>
    </row>
    <row r="654" spans="1:16" x14ac:dyDescent="0.2">
      <c r="A654" t="s">
        <v>1017</v>
      </c>
      <c r="B654" s="1">
        <v>45393</v>
      </c>
      <c r="C654" s="1">
        <v>45422</v>
      </c>
      <c r="D654" t="s">
        <v>699</v>
      </c>
      <c r="E654" t="s">
        <v>18</v>
      </c>
      <c r="F654" t="s">
        <v>19</v>
      </c>
      <c r="G654" t="s">
        <v>20</v>
      </c>
      <c r="H654" t="s">
        <v>47</v>
      </c>
      <c r="I654" t="s">
        <v>77</v>
      </c>
      <c r="J654">
        <v>1</v>
      </c>
      <c r="K654">
        <v>1834000</v>
      </c>
      <c r="L654">
        <v>0.2</v>
      </c>
      <c r="M654" t="s">
        <v>23</v>
      </c>
      <c r="N654">
        <v>1467000</v>
      </c>
      <c r="O654">
        <v>4</v>
      </c>
      <c r="P654" t="b">
        <v>0</v>
      </c>
    </row>
    <row r="655" spans="1:16" x14ac:dyDescent="0.2">
      <c r="A655" t="s">
        <v>1018</v>
      </c>
      <c r="B655" s="1">
        <v>45292</v>
      </c>
      <c r="C655" s="1">
        <v>45347</v>
      </c>
      <c r="D655" t="s">
        <v>894</v>
      </c>
      <c r="E655" t="s">
        <v>33</v>
      </c>
      <c r="F655" t="s">
        <v>25</v>
      </c>
      <c r="G655" t="s">
        <v>50</v>
      </c>
      <c r="H655" t="s">
        <v>21</v>
      </c>
      <c r="I655" t="s">
        <v>57</v>
      </c>
      <c r="J655">
        <v>1</v>
      </c>
      <c r="K655">
        <v>4644000</v>
      </c>
      <c r="L655">
        <v>2.1000000000000001E-2</v>
      </c>
      <c r="M655" t="s">
        <v>23</v>
      </c>
      <c r="N655">
        <v>4546000</v>
      </c>
      <c r="O655">
        <v>4.3</v>
      </c>
      <c r="P655" t="b">
        <v>0</v>
      </c>
    </row>
    <row r="656" spans="1:16" x14ac:dyDescent="0.2">
      <c r="A656" t="s">
        <v>1019</v>
      </c>
      <c r="B656" s="1">
        <v>45361</v>
      </c>
      <c r="C656" s="1">
        <v>45422</v>
      </c>
      <c r="D656" t="s">
        <v>54</v>
      </c>
      <c r="E656" t="s">
        <v>33</v>
      </c>
      <c r="F656" t="s">
        <v>68</v>
      </c>
      <c r="G656" t="s">
        <v>35</v>
      </c>
      <c r="H656" t="s">
        <v>40</v>
      </c>
      <c r="I656" t="s">
        <v>26</v>
      </c>
      <c r="J656">
        <v>2</v>
      </c>
      <c r="K656">
        <v>3616000</v>
      </c>
      <c r="L656">
        <v>0.159</v>
      </c>
      <c r="M656" t="s">
        <v>23</v>
      </c>
      <c r="N656">
        <v>6082000</v>
      </c>
      <c r="O656">
        <v>3.3</v>
      </c>
      <c r="P656" t="b">
        <v>0</v>
      </c>
    </row>
    <row r="657" spans="1:16" x14ac:dyDescent="0.2">
      <c r="A657" t="s">
        <v>1020</v>
      </c>
      <c r="B657" s="1">
        <v>45608</v>
      </c>
      <c r="C657" s="1">
        <v>45697</v>
      </c>
      <c r="D657" t="s">
        <v>534</v>
      </c>
      <c r="E657" t="s">
        <v>29</v>
      </c>
      <c r="F657" t="s">
        <v>34</v>
      </c>
      <c r="G657" t="s">
        <v>20</v>
      </c>
      <c r="H657" t="s">
        <v>21</v>
      </c>
      <c r="I657" t="s">
        <v>52</v>
      </c>
      <c r="J657">
        <v>2</v>
      </c>
      <c r="K657">
        <v>2629000</v>
      </c>
      <c r="L657">
        <v>0.13400000000000001</v>
      </c>
      <c r="M657" t="s">
        <v>23</v>
      </c>
      <c r="N657">
        <v>4553000</v>
      </c>
      <c r="O657">
        <v>2.8</v>
      </c>
      <c r="P657" t="b">
        <v>1</v>
      </c>
    </row>
    <row r="658" spans="1:16" x14ac:dyDescent="0.2">
      <c r="A658" t="s">
        <v>1021</v>
      </c>
      <c r="B658" s="1">
        <v>45463</v>
      </c>
      <c r="C658" s="1">
        <v>45532</v>
      </c>
      <c r="D658" t="s">
        <v>640</v>
      </c>
      <c r="E658" t="s">
        <v>33</v>
      </c>
      <c r="F658" t="s">
        <v>45</v>
      </c>
      <c r="G658" t="s">
        <v>35</v>
      </c>
      <c r="H658" t="s">
        <v>51</v>
      </c>
      <c r="I658" t="s">
        <v>52</v>
      </c>
      <c r="J658">
        <v>2</v>
      </c>
      <c r="K658">
        <v>3591000</v>
      </c>
      <c r="L658">
        <v>4.2000000000000003E-2</v>
      </c>
      <c r="M658" t="s">
        <v>23</v>
      </c>
      <c r="N658">
        <v>6880000</v>
      </c>
      <c r="O658">
        <v>3.7</v>
      </c>
      <c r="P658" t="b">
        <v>0</v>
      </c>
    </row>
    <row r="659" spans="1:16" x14ac:dyDescent="0.2">
      <c r="A659" t="s">
        <v>1022</v>
      </c>
      <c r="B659" s="1">
        <v>45596</v>
      </c>
      <c r="C659" s="1">
        <v>45655</v>
      </c>
      <c r="D659" t="s">
        <v>654</v>
      </c>
      <c r="E659" t="s">
        <v>33</v>
      </c>
      <c r="F659" t="s">
        <v>25</v>
      </c>
      <c r="G659" t="s">
        <v>20</v>
      </c>
      <c r="H659" t="s">
        <v>21</v>
      </c>
      <c r="I659" t="s">
        <v>94</v>
      </c>
      <c r="J659">
        <v>2</v>
      </c>
      <c r="K659">
        <v>4937000</v>
      </c>
      <c r="L659">
        <v>7.2999999999999995E-2</v>
      </c>
      <c r="M659" t="s">
        <v>23</v>
      </c>
      <c r="N659">
        <v>9153000</v>
      </c>
      <c r="O659">
        <v>4.3</v>
      </c>
      <c r="P659" t="b">
        <v>0</v>
      </c>
    </row>
    <row r="660" spans="1:16" x14ac:dyDescent="0.2">
      <c r="A660" t="s">
        <v>1023</v>
      </c>
      <c r="B660" s="1">
        <v>45310</v>
      </c>
      <c r="C660" s="1">
        <v>45393</v>
      </c>
      <c r="D660" t="s">
        <v>1024</v>
      </c>
      <c r="E660" t="s">
        <v>18</v>
      </c>
      <c r="F660" t="s">
        <v>34</v>
      </c>
      <c r="G660" t="s">
        <v>20</v>
      </c>
      <c r="H660" t="s">
        <v>40</v>
      </c>
      <c r="I660" t="s">
        <v>57</v>
      </c>
      <c r="J660">
        <v>2</v>
      </c>
      <c r="K660">
        <v>3612000</v>
      </c>
      <c r="L660">
        <v>1.6E-2</v>
      </c>
      <c r="M660" t="s">
        <v>23</v>
      </c>
      <c r="N660">
        <v>7108000</v>
      </c>
      <c r="O660">
        <v>2.6</v>
      </c>
      <c r="P660" t="b">
        <v>0</v>
      </c>
    </row>
    <row r="661" spans="1:16" x14ac:dyDescent="0.2">
      <c r="A661" t="s">
        <v>1025</v>
      </c>
      <c r="B661" s="1">
        <v>45499</v>
      </c>
      <c r="C661" s="1">
        <v>45543</v>
      </c>
      <c r="D661" t="s">
        <v>140</v>
      </c>
      <c r="E661" t="s">
        <v>33</v>
      </c>
      <c r="F661" t="s">
        <v>19</v>
      </c>
      <c r="G661" t="s">
        <v>50</v>
      </c>
      <c r="H661" t="s">
        <v>47</v>
      </c>
      <c r="I661" t="s">
        <v>52</v>
      </c>
      <c r="J661">
        <v>2</v>
      </c>
      <c r="K661">
        <v>1757000</v>
      </c>
      <c r="L661">
        <v>0.20799999999999999</v>
      </c>
      <c r="M661" t="s">
        <v>23</v>
      </c>
      <c r="N661">
        <v>2783000</v>
      </c>
      <c r="O661">
        <v>3.8</v>
      </c>
      <c r="P661" t="b">
        <v>1</v>
      </c>
    </row>
    <row r="662" spans="1:16" x14ac:dyDescent="0.2">
      <c r="A662" t="s">
        <v>1026</v>
      </c>
      <c r="B662" s="1">
        <v>45547</v>
      </c>
      <c r="C662" s="1">
        <v>45632</v>
      </c>
      <c r="D662" t="s">
        <v>668</v>
      </c>
      <c r="E662" t="s">
        <v>45</v>
      </c>
      <c r="F662" t="s">
        <v>80</v>
      </c>
      <c r="G662" t="s">
        <v>35</v>
      </c>
      <c r="H662" t="s">
        <v>21</v>
      </c>
      <c r="I662" t="s">
        <v>60</v>
      </c>
      <c r="J662">
        <v>1</v>
      </c>
      <c r="K662">
        <v>3206000</v>
      </c>
      <c r="L662">
        <v>8.1000000000000003E-2</v>
      </c>
      <c r="M662" t="s">
        <v>23</v>
      </c>
      <c r="N662">
        <v>2946000</v>
      </c>
      <c r="O662">
        <v>3.2</v>
      </c>
      <c r="P662" t="b">
        <v>0</v>
      </c>
    </row>
    <row r="663" spans="1:16" x14ac:dyDescent="0.2">
      <c r="A663" t="s">
        <v>1027</v>
      </c>
      <c r="B663" s="1">
        <v>45560</v>
      </c>
      <c r="C663" s="1">
        <v>45599</v>
      </c>
      <c r="D663" t="s">
        <v>185</v>
      </c>
      <c r="E663" t="s">
        <v>45</v>
      </c>
      <c r="F663" t="s">
        <v>34</v>
      </c>
      <c r="G663" t="s">
        <v>50</v>
      </c>
      <c r="H663" t="s">
        <v>47</v>
      </c>
      <c r="I663" t="s">
        <v>60</v>
      </c>
      <c r="J663">
        <v>1</v>
      </c>
      <c r="K663">
        <v>4451000</v>
      </c>
      <c r="L663">
        <v>6.8000000000000005E-2</v>
      </c>
      <c r="M663" t="s">
        <v>23</v>
      </c>
      <c r="N663">
        <v>4148000</v>
      </c>
      <c r="O663">
        <v>4.0999999999999996</v>
      </c>
      <c r="P663" t="b">
        <v>1</v>
      </c>
    </row>
    <row r="664" spans="1:16" x14ac:dyDescent="0.2">
      <c r="A664" t="s">
        <v>1028</v>
      </c>
      <c r="B664" s="1">
        <v>45635</v>
      </c>
      <c r="C664" s="1">
        <v>45655</v>
      </c>
      <c r="D664" t="s">
        <v>468</v>
      </c>
      <c r="E664" t="s">
        <v>29</v>
      </c>
      <c r="F664" t="s">
        <v>19</v>
      </c>
      <c r="G664" t="s">
        <v>35</v>
      </c>
      <c r="H664" t="s">
        <v>21</v>
      </c>
      <c r="I664" t="s">
        <v>83</v>
      </c>
      <c r="J664">
        <v>1</v>
      </c>
      <c r="K664">
        <v>2502000</v>
      </c>
      <c r="L664">
        <v>3.6999999999999998E-2</v>
      </c>
      <c r="M664" t="s">
        <v>23</v>
      </c>
      <c r="N664">
        <v>2409000</v>
      </c>
      <c r="O664">
        <v>5</v>
      </c>
      <c r="P664" t="b">
        <v>1</v>
      </c>
    </row>
    <row r="665" spans="1:16" x14ac:dyDescent="0.2">
      <c r="A665" t="s">
        <v>1029</v>
      </c>
      <c r="B665" s="1">
        <v>45778</v>
      </c>
      <c r="C665" s="1">
        <v>45821</v>
      </c>
      <c r="D665" t="s">
        <v>508</v>
      </c>
      <c r="E665" t="s">
        <v>45</v>
      </c>
      <c r="F665" t="s">
        <v>19</v>
      </c>
      <c r="G665" t="s">
        <v>46</v>
      </c>
      <c r="H665" t="s">
        <v>21</v>
      </c>
      <c r="I665" t="s">
        <v>52</v>
      </c>
      <c r="J665">
        <v>1</v>
      </c>
      <c r="K665">
        <v>2377000</v>
      </c>
      <c r="L665">
        <v>0</v>
      </c>
      <c r="M665" t="s">
        <v>65</v>
      </c>
      <c r="N665">
        <v>0</v>
      </c>
      <c r="P665" t="b">
        <v>1</v>
      </c>
    </row>
    <row r="666" spans="1:16" x14ac:dyDescent="0.2">
      <c r="A666" t="s">
        <v>1030</v>
      </c>
      <c r="B666" s="1">
        <v>45583</v>
      </c>
      <c r="C666" s="1">
        <v>45603</v>
      </c>
      <c r="D666" t="s">
        <v>838</v>
      </c>
      <c r="E666" t="s">
        <v>33</v>
      </c>
      <c r="F666" t="s">
        <v>25</v>
      </c>
      <c r="G666" t="s">
        <v>20</v>
      </c>
      <c r="H666" t="s">
        <v>21</v>
      </c>
      <c r="I666" t="s">
        <v>77</v>
      </c>
      <c r="J666">
        <v>1</v>
      </c>
      <c r="K666">
        <v>6729000</v>
      </c>
      <c r="L666">
        <v>0.10100000000000001</v>
      </c>
      <c r="M666" t="s">
        <v>23</v>
      </c>
      <c r="N666">
        <v>6049000</v>
      </c>
      <c r="O666">
        <v>4.0999999999999996</v>
      </c>
      <c r="P666" t="b">
        <v>1</v>
      </c>
    </row>
    <row r="667" spans="1:16" x14ac:dyDescent="0.2">
      <c r="A667" t="s">
        <v>1031</v>
      </c>
      <c r="B667" s="1">
        <v>45816</v>
      </c>
      <c r="C667" s="1">
        <v>45835</v>
      </c>
      <c r="D667" t="s">
        <v>654</v>
      </c>
      <c r="E667" t="s">
        <v>33</v>
      </c>
      <c r="F667" t="s">
        <v>34</v>
      </c>
      <c r="G667" t="s">
        <v>20</v>
      </c>
      <c r="H667" t="s">
        <v>21</v>
      </c>
      <c r="I667" t="s">
        <v>30</v>
      </c>
      <c r="J667">
        <v>1</v>
      </c>
      <c r="K667">
        <v>3360000</v>
      </c>
      <c r="L667">
        <v>4.1000000000000002E-2</v>
      </c>
      <c r="M667" t="s">
        <v>23</v>
      </c>
      <c r="N667">
        <v>3222000</v>
      </c>
      <c r="O667">
        <v>4.5999999999999996</v>
      </c>
      <c r="P667" t="b">
        <v>1</v>
      </c>
    </row>
    <row r="668" spans="1:16" x14ac:dyDescent="0.2">
      <c r="A668" t="s">
        <v>1032</v>
      </c>
      <c r="B668" s="1">
        <v>45622</v>
      </c>
      <c r="C668" s="1">
        <v>45703</v>
      </c>
      <c r="D668" t="s">
        <v>32</v>
      </c>
      <c r="E668" t="s">
        <v>33</v>
      </c>
      <c r="F668" t="s">
        <v>34</v>
      </c>
      <c r="G668" t="s">
        <v>20</v>
      </c>
      <c r="H668" t="s">
        <v>40</v>
      </c>
      <c r="I668" t="s">
        <v>83</v>
      </c>
      <c r="J668">
        <v>1</v>
      </c>
      <c r="K668">
        <v>4236000</v>
      </c>
      <c r="L668">
        <v>0.04</v>
      </c>
      <c r="M668" t="s">
        <v>23</v>
      </c>
      <c r="N668">
        <v>4067000</v>
      </c>
      <c r="O668">
        <v>4.2</v>
      </c>
      <c r="P668" t="b">
        <v>1</v>
      </c>
    </row>
    <row r="669" spans="1:16" x14ac:dyDescent="0.2">
      <c r="A669" t="s">
        <v>1033</v>
      </c>
      <c r="B669" s="1">
        <v>45454</v>
      </c>
      <c r="C669" s="1">
        <v>45528</v>
      </c>
      <c r="D669" t="s">
        <v>1034</v>
      </c>
      <c r="E669" t="s">
        <v>18</v>
      </c>
      <c r="F669" t="s">
        <v>34</v>
      </c>
      <c r="G669" t="s">
        <v>35</v>
      </c>
      <c r="H669" t="s">
        <v>51</v>
      </c>
      <c r="I669" t="s">
        <v>30</v>
      </c>
      <c r="J669">
        <v>1</v>
      </c>
      <c r="K669">
        <v>4428000</v>
      </c>
      <c r="L669">
        <v>9.0999999999999998E-2</v>
      </c>
      <c r="M669" t="s">
        <v>23</v>
      </c>
      <c r="N669">
        <v>4025000</v>
      </c>
      <c r="O669">
        <v>4.0999999999999996</v>
      </c>
      <c r="P669" t="b">
        <v>0</v>
      </c>
    </row>
    <row r="670" spans="1:16" x14ac:dyDescent="0.2">
      <c r="A670" t="s">
        <v>1035</v>
      </c>
      <c r="B670" s="1">
        <v>45434</v>
      </c>
      <c r="C670" s="1">
        <v>45461</v>
      </c>
      <c r="D670" t="s">
        <v>1036</v>
      </c>
      <c r="E670" t="s">
        <v>45</v>
      </c>
      <c r="F670" t="s">
        <v>25</v>
      </c>
      <c r="G670" t="s">
        <v>35</v>
      </c>
      <c r="H670" t="s">
        <v>21</v>
      </c>
      <c r="I670" t="s">
        <v>83</v>
      </c>
      <c r="J670">
        <v>3</v>
      </c>
      <c r="K670">
        <v>3720000</v>
      </c>
      <c r="L670">
        <v>0.111</v>
      </c>
      <c r="M670" t="s">
        <v>23</v>
      </c>
      <c r="N670">
        <v>9921000</v>
      </c>
      <c r="O670">
        <v>4.7</v>
      </c>
      <c r="P670" t="b">
        <v>0</v>
      </c>
    </row>
    <row r="671" spans="1:16" x14ac:dyDescent="0.2">
      <c r="A671" t="s">
        <v>1037</v>
      </c>
      <c r="B671" s="1">
        <v>45492</v>
      </c>
      <c r="C671" s="1">
        <v>45569</v>
      </c>
      <c r="D671" t="s">
        <v>1038</v>
      </c>
      <c r="E671" t="s">
        <v>29</v>
      </c>
      <c r="F671" t="s">
        <v>19</v>
      </c>
      <c r="G671" t="s">
        <v>50</v>
      </c>
      <c r="H671" t="s">
        <v>40</v>
      </c>
      <c r="I671" t="s">
        <v>83</v>
      </c>
      <c r="J671">
        <v>2</v>
      </c>
      <c r="K671">
        <v>1828000</v>
      </c>
      <c r="L671">
        <v>0.11799999999999999</v>
      </c>
      <c r="M671" t="s">
        <v>23</v>
      </c>
      <c r="N671">
        <v>3225000</v>
      </c>
      <c r="O671">
        <v>4.4000000000000004</v>
      </c>
      <c r="P671" t="b">
        <v>1</v>
      </c>
    </row>
    <row r="672" spans="1:16" x14ac:dyDescent="0.2">
      <c r="A672" t="s">
        <v>1039</v>
      </c>
      <c r="B672" s="1">
        <v>45664</v>
      </c>
      <c r="C672" s="1">
        <v>45679</v>
      </c>
      <c r="D672" t="s">
        <v>1040</v>
      </c>
      <c r="E672" t="s">
        <v>45</v>
      </c>
      <c r="F672" t="s">
        <v>25</v>
      </c>
      <c r="G672" t="s">
        <v>20</v>
      </c>
      <c r="H672" t="s">
        <v>47</v>
      </c>
      <c r="I672" t="s">
        <v>26</v>
      </c>
      <c r="J672">
        <v>1</v>
      </c>
      <c r="K672">
        <v>6195000</v>
      </c>
      <c r="L672">
        <v>0.10199999999999999</v>
      </c>
      <c r="M672" t="s">
        <v>23</v>
      </c>
      <c r="N672">
        <v>5563000</v>
      </c>
      <c r="O672">
        <v>4.3</v>
      </c>
      <c r="P672" t="b">
        <v>1</v>
      </c>
    </row>
    <row r="673" spans="1:16" x14ac:dyDescent="0.2">
      <c r="A673" t="s">
        <v>1041</v>
      </c>
      <c r="B673" s="1">
        <v>45443</v>
      </c>
      <c r="C673" s="1">
        <v>45476</v>
      </c>
      <c r="D673" t="s">
        <v>1042</v>
      </c>
      <c r="E673" t="s">
        <v>29</v>
      </c>
      <c r="F673" t="s">
        <v>34</v>
      </c>
      <c r="G673" t="s">
        <v>20</v>
      </c>
      <c r="H673" t="s">
        <v>47</v>
      </c>
      <c r="I673" t="s">
        <v>57</v>
      </c>
      <c r="J673">
        <v>3</v>
      </c>
      <c r="K673">
        <v>4208000</v>
      </c>
      <c r="L673">
        <v>7.6999999999999999E-2</v>
      </c>
      <c r="M673" t="s">
        <v>23</v>
      </c>
      <c r="N673">
        <v>11652000</v>
      </c>
      <c r="O673">
        <v>4.0999999999999996</v>
      </c>
      <c r="P673" t="b">
        <v>0</v>
      </c>
    </row>
    <row r="674" spans="1:16" x14ac:dyDescent="0.2">
      <c r="A674" t="s">
        <v>1043</v>
      </c>
      <c r="B674" s="1">
        <v>45861</v>
      </c>
      <c r="C674" s="1">
        <v>45928</v>
      </c>
      <c r="D674" t="s">
        <v>1044</v>
      </c>
      <c r="E674" t="s">
        <v>45</v>
      </c>
      <c r="F674" t="s">
        <v>34</v>
      </c>
      <c r="G674" t="s">
        <v>35</v>
      </c>
      <c r="H674" t="s">
        <v>21</v>
      </c>
      <c r="J674">
        <v>1</v>
      </c>
      <c r="K674">
        <v>2969000</v>
      </c>
      <c r="L674">
        <v>0.11899999999999999</v>
      </c>
      <c r="M674" t="s">
        <v>23</v>
      </c>
      <c r="N674">
        <v>2616000</v>
      </c>
      <c r="O674">
        <v>4</v>
      </c>
      <c r="P674" t="b">
        <v>1</v>
      </c>
    </row>
    <row r="675" spans="1:16" x14ac:dyDescent="0.2">
      <c r="A675" t="s">
        <v>1045</v>
      </c>
      <c r="B675" s="1">
        <v>45590</v>
      </c>
      <c r="C675" s="1">
        <v>45624</v>
      </c>
      <c r="D675" t="s">
        <v>130</v>
      </c>
      <c r="E675" t="s">
        <v>45</v>
      </c>
      <c r="F675" t="s">
        <v>68</v>
      </c>
      <c r="G675" t="s">
        <v>46</v>
      </c>
      <c r="H675" t="s">
        <v>51</v>
      </c>
      <c r="I675" t="s">
        <v>30</v>
      </c>
      <c r="J675">
        <v>1</v>
      </c>
      <c r="K675">
        <v>2434000</v>
      </c>
      <c r="L675">
        <v>5.5E-2</v>
      </c>
      <c r="M675" t="s">
        <v>23</v>
      </c>
      <c r="N675">
        <v>2300000</v>
      </c>
      <c r="O675">
        <v>4.7</v>
      </c>
      <c r="P675" t="b">
        <v>1</v>
      </c>
    </row>
    <row r="676" spans="1:16" x14ac:dyDescent="0.2">
      <c r="A676" t="s">
        <v>1046</v>
      </c>
      <c r="B676" s="1">
        <v>45829</v>
      </c>
      <c r="C676" s="1">
        <v>45898</v>
      </c>
      <c r="D676" t="s">
        <v>76</v>
      </c>
      <c r="E676" t="s">
        <v>45</v>
      </c>
      <c r="F676" t="s">
        <v>34</v>
      </c>
      <c r="G676" t="s">
        <v>20</v>
      </c>
      <c r="H676" t="s">
        <v>21</v>
      </c>
      <c r="I676" t="s">
        <v>57</v>
      </c>
      <c r="J676">
        <v>3</v>
      </c>
      <c r="K676">
        <v>4788000</v>
      </c>
      <c r="L676">
        <v>3.4000000000000002E-2</v>
      </c>
      <c r="M676" t="s">
        <v>23</v>
      </c>
      <c r="N676">
        <v>13876000</v>
      </c>
      <c r="O676">
        <v>4</v>
      </c>
      <c r="P676" t="b">
        <v>1</v>
      </c>
    </row>
    <row r="677" spans="1:16" x14ac:dyDescent="0.2">
      <c r="A677" t="s">
        <v>1047</v>
      </c>
      <c r="B677" s="1">
        <v>45717</v>
      </c>
      <c r="C677" s="1">
        <v>45797</v>
      </c>
      <c r="D677" t="s">
        <v>791</v>
      </c>
      <c r="E677" t="s">
        <v>45</v>
      </c>
      <c r="F677" t="s">
        <v>34</v>
      </c>
      <c r="G677" t="s">
        <v>20</v>
      </c>
      <c r="H677" t="s">
        <v>40</v>
      </c>
      <c r="I677" t="s">
        <v>52</v>
      </c>
      <c r="J677">
        <v>1</v>
      </c>
      <c r="K677">
        <v>3519000</v>
      </c>
      <c r="L677">
        <v>0.10199999999999999</v>
      </c>
      <c r="M677" t="s">
        <v>23</v>
      </c>
      <c r="N677">
        <v>3160000</v>
      </c>
      <c r="O677">
        <v>4.8</v>
      </c>
      <c r="P677" t="b">
        <v>1</v>
      </c>
    </row>
    <row r="678" spans="1:16" x14ac:dyDescent="0.2">
      <c r="A678" t="s">
        <v>1048</v>
      </c>
      <c r="B678" s="1">
        <v>45499</v>
      </c>
      <c r="C678" s="1">
        <v>45514</v>
      </c>
      <c r="D678" t="s">
        <v>1049</v>
      </c>
      <c r="E678" t="s">
        <v>33</v>
      </c>
      <c r="F678" t="s">
        <v>34</v>
      </c>
      <c r="G678" t="s">
        <v>20</v>
      </c>
      <c r="H678" t="s">
        <v>40</v>
      </c>
      <c r="I678" t="s">
        <v>26</v>
      </c>
      <c r="J678">
        <v>1</v>
      </c>
      <c r="K678">
        <v>5161000</v>
      </c>
      <c r="L678">
        <v>7.0000000000000007E-2</v>
      </c>
      <c r="M678" t="s">
        <v>65</v>
      </c>
      <c r="N678">
        <v>0</v>
      </c>
      <c r="P678" t="b">
        <v>0</v>
      </c>
    </row>
    <row r="679" spans="1:16" x14ac:dyDescent="0.2">
      <c r="A679" t="s">
        <v>1050</v>
      </c>
      <c r="B679" s="1">
        <v>45434</v>
      </c>
      <c r="C679" s="1">
        <v>45445</v>
      </c>
      <c r="D679" t="s">
        <v>130</v>
      </c>
      <c r="E679" t="s">
        <v>45</v>
      </c>
      <c r="F679" t="s">
        <v>68</v>
      </c>
      <c r="G679" t="s">
        <v>20</v>
      </c>
      <c r="H679" t="s">
        <v>47</v>
      </c>
      <c r="I679" t="s">
        <v>57</v>
      </c>
      <c r="J679">
        <v>1</v>
      </c>
      <c r="K679">
        <v>1842000</v>
      </c>
      <c r="L679">
        <v>0.06</v>
      </c>
      <c r="M679" t="s">
        <v>23</v>
      </c>
      <c r="N679">
        <v>1731000</v>
      </c>
      <c r="O679">
        <v>4.9000000000000004</v>
      </c>
      <c r="P679" t="b">
        <v>1</v>
      </c>
    </row>
    <row r="680" spans="1:16" x14ac:dyDescent="0.2">
      <c r="A680" t="s">
        <v>1051</v>
      </c>
      <c r="B680" s="1">
        <v>45755</v>
      </c>
      <c r="C680" s="1">
        <v>45841</v>
      </c>
      <c r="D680" t="s">
        <v>151</v>
      </c>
      <c r="E680" t="s">
        <v>45</v>
      </c>
      <c r="F680" t="s">
        <v>45</v>
      </c>
      <c r="G680" t="s">
        <v>20</v>
      </c>
      <c r="H680" t="s">
        <v>21</v>
      </c>
      <c r="I680" t="s">
        <v>99</v>
      </c>
      <c r="J680">
        <v>3</v>
      </c>
      <c r="K680">
        <v>3189000</v>
      </c>
      <c r="L680">
        <v>6.8000000000000005E-2</v>
      </c>
      <c r="M680" t="s">
        <v>23</v>
      </c>
      <c r="N680">
        <v>8916000</v>
      </c>
      <c r="O680">
        <v>4.4000000000000004</v>
      </c>
      <c r="P680" t="b">
        <v>0</v>
      </c>
    </row>
    <row r="681" spans="1:16" x14ac:dyDescent="0.2">
      <c r="A681" t="s">
        <v>1052</v>
      </c>
      <c r="B681" s="1">
        <v>45498</v>
      </c>
      <c r="C681" s="1">
        <v>45550</v>
      </c>
      <c r="D681" t="s">
        <v>1053</v>
      </c>
      <c r="E681" t="s">
        <v>18</v>
      </c>
      <c r="F681" t="s">
        <v>45</v>
      </c>
      <c r="G681" t="s">
        <v>20</v>
      </c>
      <c r="H681" t="s">
        <v>21</v>
      </c>
      <c r="I681" t="s">
        <v>57</v>
      </c>
      <c r="J681">
        <v>4</v>
      </c>
      <c r="K681">
        <v>4630000</v>
      </c>
      <c r="L681">
        <v>2.9000000000000001E-2</v>
      </c>
      <c r="M681" t="s">
        <v>23</v>
      </c>
      <c r="N681">
        <v>17983000</v>
      </c>
      <c r="O681">
        <v>3.7</v>
      </c>
      <c r="P681" t="b">
        <v>1</v>
      </c>
    </row>
    <row r="682" spans="1:16" x14ac:dyDescent="0.2">
      <c r="A682" t="s">
        <v>1054</v>
      </c>
      <c r="B682" s="1">
        <v>45445</v>
      </c>
      <c r="C682" s="1">
        <v>45496</v>
      </c>
      <c r="D682" t="s">
        <v>1055</v>
      </c>
      <c r="E682" t="s">
        <v>18</v>
      </c>
      <c r="F682" t="s">
        <v>68</v>
      </c>
      <c r="G682" t="s">
        <v>35</v>
      </c>
      <c r="H682" t="s">
        <v>47</v>
      </c>
      <c r="I682" t="s">
        <v>60</v>
      </c>
      <c r="J682">
        <v>1</v>
      </c>
      <c r="K682">
        <v>2921000</v>
      </c>
      <c r="L682">
        <v>8.6999999999999994E-2</v>
      </c>
      <c r="M682" t="s">
        <v>23</v>
      </c>
      <c r="N682">
        <v>2667000</v>
      </c>
      <c r="O682">
        <v>4.5</v>
      </c>
      <c r="P682" t="b">
        <v>0</v>
      </c>
    </row>
    <row r="683" spans="1:16" x14ac:dyDescent="0.2">
      <c r="A683" t="s">
        <v>1056</v>
      </c>
      <c r="B683" s="1">
        <v>45871</v>
      </c>
      <c r="C683" s="1">
        <v>45918</v>
      </c>
      <c r="D683" t="s">
        <v>620</v>
      </c>
      <c r="E683" t="s">
        <v>18</v>
      </c>
      <c r="F683" t="s">
        <v>34</v>
      </c>
      <c r="G683" t="s">
        <v>20</v>
      </c>
      <c r="H683" t="s">
        <v>21</v>
      </c>
      <c r="I683" t="s">
        <v>60</v>
      </c>
      <c r="J683">
        <v>1</v>
      </c>
      <c r="K683">
        <v>4383000</v>
      </c>
      <c r="L683">
        <v>0.12</v>
      </c>
      <c r="M683" t="s">
        <v>23</v>
      </c>
      <c r="N683">
        <v>3857000</v>
      </c>
      <c r="O683">
        <v>3.9</v>
      </c>
      <c r="P683" t="b">
        <v>1</v>
      </c>
    </row>
    <row r="684" spans="1:16" x14ac:dyDescent="0.2">
      <c r="A684" t="s">
        <v>1057</v>
      </c>
      <c r="B684" s="1">
        <v>45592</v>
      </c>
      <c r="C684" s="1">
        <v>45637</v>
      </c>
      <c r="D684" t="s">
        <v>591</v>
      </c>
      <c r="E684" t="s">
        <v>33</v>
      </c>
      <c r="F684" t="s">
        <v>68</v>
      </c>
      <c r="G684" t="s">
        <v>20</v>
      </c>
      <c r="H684" t="s">
        <v>21</v>
      </c>
      <c r="I684" t="s">
        <v>94</v>
      </c>
      <c r="J684">
        <v>1</v>
      </c>
      <c r="K684">
        <v>2237000</v>
      </c>
      <c r="L684">
        <v>0.16200000000000001</v>
      </c>
      <c r="M684" t="s">
        <v>23</v>
      </c>
      <c r="N684">
        <v>1875000</v>
      </c>
      <c r="O684">
        <v>4.2</v>
      </c>
      <c r="P684" t="b">
        <v>1</v>
      </c>
    </row>
    <row r="685" spans="1:16" x14ac:dyDescent="0.2">
      <c r="A685" t="s">
        <v>1058</v>
      </c>
      <c r="B685" s="1">
        <v>45322</v>
      </c>
      <c r="C685" s="1">
        <v>45387</v>
      </c>
      <c r="D685" t="s">
        <v>224</v>
      </c>
      <c r="E685" t="s">
        <v>45</v>
      </c>
      <c r="F685" t="s">
        <v>34</v>
      </c>
      <c r="G685" t="s">
        <v>20</v>
      </c>
      <c r="H685" t="s">
        <v>47</v>
      </c>
      <c r="I685" t="s">
        <v>83</v>
      </c>
      <c r="J685">
        <v>2</v>
      </c>
      <c r="K685">
        <v>4895000</v>
      </c>
      <c r="L685">
        <v>9.7000000000000003E-2</v>
      </c>
      <c r="M685" t="s">
        <v>23</v>
      </c>
      <c r="N685">
        <v>8840000</v>
      </c>
      <c r="O685">
        <v>4</v>
      </c>
      <c r="P685" t="b">
        <v>1</v>
      </c>
    </row>
    <row r="686" spans="1:16" x14ac:dyDescent="0.2">
      <c r="A686" t="s">
        <v>1059</v>
      </c>
      <c r="B686" s="1">
        <v>45600</v>
      </c>
      <c r="C686" s="1">
        <v>45656</v>
      </c>
      <c r="D686" t="s">
        <v>502</v>
      </c>
      <c r="E686" t="s">
        <v>33</v>
      </c>
      <c r="F686" t="s">
        <v>45</v>
      </c>
      <c r="G686" t="s">
        <v>50</v>
      </c>
      <c r="H686" t="s">
        <v>40</v>
      </c>
      <c r="I686" t="s">
        <v>77</v>
      </c>
      <c r="J686">
        <v>3</v>
      </c>
      <c r="K686">
        <v>2499000</v>
      </c>
      <c r="L686">
        <v>7.2999999999999995E-2</v>
      </c>
      <c r="M686" t="s">
        <v>23</v>
      </c>
      <c r="N686">
        <v>6950000</v>
      </c>
      <c r="O686">
        <v>4.0999999999999996</v>
      </c>
      <c r="P686" t="b">
        <v>1</v>
      </c>
    </row>
    <row r="687" spans="1:16" x14ac:dyDescent="0.2">
      <c r="A687" t="s">
        <v>1060</v>
      </c>
      <c r="B687" s="1">
        <v>45579</v>
      </c>
      <c r="C687" s="1">
        <v>45602</v>
      </c>
      <c r="D687" t="s">
        <v>218</v>
      </c>
      <c r="E687" t="s">
        <v>33</v>
      </c>
      <c r="F687" t="s">
        <v>19</v>
      </c>
      <c r="G687" t="s">
        <v>20</v>
      </c>
      <c r="H687" t="s">
        <v>21</v>
      </c>
      <c r="I687" t="s">
        <v>99</v>
      </c>
      <c r="J687">
        <v>3</v>
      </c>
      <c r="K687">
        <v>2891000</v>
      </c>
      <c r="L687">
        <v>0.28999999999999998</v>
      </c>
      <c r="M687" t="s">
        <v>23</v>
      </c>
      <c r="N687">
        <v>6158000</v>
      </c>
      <c r="O687">
        <v>4.7</v>
      </c>
      <c r="P687" t="b">
        <v>0</v>
      </c>
    </row>
    <row r="688" spans="1:16" x14ac:dyDescent="0.2">
      <c r="A688" t="s">
        <v>1061</v>
      </c>
      <c r="B688" s="1">
        <v>45830</v>
      </c>
      <c r="C688" s="1">
        <v>45890</v>
      </c>
      <c r="D688" t="s">
        <v>259</v>
      </c>
      <c r="E688" t="s">
        <v>33</v>
      </c>
      <c r="F688" t="s">
        <v>19</v>
      </c>
      <c r="G688" t="s">
        <v>20</v>
      </c>
      <c r="H688" t="s">
        <v>21</v>
      </c>
      <c r="I688" t="s">
        <v>57</v>
      </c>
      <c r="J688">
        <v>2</v>
      </c>
      <c r="K688">
        <v>1797000</v>
      </c>
      <c r="L688">
        <v>6.8000000000000005E-2</v>
      </c>
      <c r="M688" t="s">
        <v>23</v>
      </c>
      <c r="N688">
        <v>3350000</v>
      </c>
      <c r="O688">
        <v>4.5</v>
      </c>
      <c r="P688" t="b">
        <v>1</v>
      </c>
    </row>
    <row r="689" spans="1:16" x14ac:dyDescent="0.2">
      <c r="A689" t="s">
        <v>1062</v>
      </c>
      <c r="B689" s="1">
        <v>45735</v>
      </c>
      <c r="C689" s="1">
        <v>45799</v>
      </c>
      <c r="D689" t="s">
        <v>368</v>
      </c>
      <c r="E689" t="s">
        <v>33</v>
      </c>
      <c r="F689" t="s">
        <v>68</v>
      </c>
      <c r="G689" t="s">
        <v>20</v>
      </c>
      <c r="H689" t="s">
        <v>51</v>
      </c>
      <c r="I689" t="s">
        <v>30</v>
      </c>
      <c r="J689">
        <v>1</v>
      </c>
      <c r="K689">
        <v>2719000</v>
      </c>
      <c r="L689">
        <v>0.75</v>
      </c>
      <c r="M689" t="s">
        <v>23</v>
      </c>
      <c r="N689">
        <v>2404000</v>
      </c>
      <c r="O689">
        <v>3.6</v>
      </c>
      <c r="P689" t="b">
        <v>1</v>
      </c>
    </row>
    <row r="690" spans="1:16" x14ac:dyDescent="0.2">
      <c r="A690" t="s">
        <v>1063</v>
      </c>
      <c r="B690" s="1">
        <v>45411</v>
      </c>
      <c r="C690" s="1">
        <v>45430</v>
      </c>
      <c r="D690" t="s">
        <v>721</v>
      </c>
      <c r="E690" t="s">
        <v>18</v>
      </c>
      <c r="F690" t="s">
        <v>34</v>
      </c>
      <c r="G690" t="s">
        <v>35</v>
      </c>
      <c r="H690" t="s">
        <v>21</v>
      </c>
      <c r="I690" t="s">
        <v>77</v>
      </c>
      <c r="J690">
        <v>2</v>
      </c>
      <c r="K690">
        <v>3188000</v>
      </c>
      <c r="L690">
        <v>6.0999999999999999E-2</v>
      </c>
      <c r="M690" t="s">
        <v>23</v>
      </c>
      <c r="N690">
        <v>5987000</v>
      </c>
      <c r="O690">
        <v>3.7</v>
      </c>
      <c r="P690" t="b">
        <v>1</v>
      </c>
    </row>
    <row r="691" spans="1:16" x14ac:dyDescent="0.2">
      <c r="A691" t="s">
        <v>1064</v>
      </c>
      <c r="B691" s="1">
        <v>45385</v>
      </c>
      <c r="C691" s="1">
        <v>45425</v>
      </c>
      <c r="D691" t="s">
        <v>1065</v>
      </c>
      <c r="E691" t="s">
        <v>33</v>
      </c>
      <c r="F691" t="s">
        <v>68</v>
      </c>
      <c r="G691" t="s">
        <v>50</v>
      </c>
      <c r="H691" t="s">
        <v>21</v>
      </c>
      <c r="I691" t="s">
        <v>94</v>
      </c>
      <c r="J691">
        <v>1</v>
      </c>
      <c r="K691">
        <v>2673000</v>
      </c>
      <c r="L691">
        <v>0.21199999999999999</v>
      </c>
      <c r="M691" t="s">
        <v>23</v>
      </c>
      <c r="N691">
        <v>2106000</v>
      </c>
      <c r="O691">
        <v>4.3</v>
      </c>
      <c r="P691" t="b">
        <v>1</v>
      </c>
    </row>
    <row r="692" spans="1:16" x14ac:dyDescent="0.2">
      <c r="A692" t="s">
        <v>1066</v>
      </c>
      <c r="B692" s="1">
        <v>45668</v>
      </c>
      <c r="C692" s="1">
        <v>45742</v>
      </c>
      <c r="D692" t="s">
        <v>206</v>
      </c>
      <c r="E692" t="s">
        <v>33</v>
      </c>
      <c r="F692" t="s">
        <v>19</v>
      </c>
      <c r="G692" t="s">
        <v>20</v>
      </c>
      <c r="H692" t="s">
        <v>21</v>
      </c>
      <c r="I692" t="s">
        <v>52</v>
      </c>
      <c r="J692">
        <v>1</v>
      </c>
      <c r="K692">
        <v>3051000</v>
      </c>
      <c r="L692">
        <v>0.05</v>
      </c>
      <c r="M692" t="s">
        <v>23</v>
      </c>
      <c r="N692">
        <v>2898000</v>
      </c>
      <c r="O692">
        <v>4.4000000000000004</v>
      </c>
      <c r="P692" t="b">
        <v>1</v>
      </c>
    </row>
    <row r="693" spans="1:16" x14ac:dyDescent="0.2">
      <c r="A693" t="s">
        <v>1067</v>
      </c>
      <c r="B693" s="1">
        <v>45321</v>
      </c>
      <c r="C693" s="1">
        <v>45381</v>
      </c>
      <c r="D693" t="s">
        <v>1068</v>
      </c>
      <c r="E693" t="s">
        <v>45</v>
      </c>
      <c r="F693" t="s">
        <v>45</v>
      </c>
      <c r="G693" t="s">
        <v>20</v>
      </c>
      <c r="H693" t="s">
        <v>21</v>
      </c>
      <c r="I693" t="s">
        <v>77</v>
      </c>
      <c r="J693">
        <v>3</v>
      </c>
      <c r="K693">
        <v>3625000</v>
      </c>
      <c r="L693">
        <v>0.14599999999999999</v>
      </c>
      <c r="M693" t="s">
        <v>23</v>
      </c>
      <c r="N693">
        <v>9287000</v>
      </c>
      <c r="O693">
        <v>3.9</v>
      </c>
      <c r="P693" t="b">
        <v>0</v>
      </c>
    </row>
    <row r="694" spans="1:16" x14ac:dyDescent="0.2">
      <c r="A694" t="s">
        <v>1069</v>
      </c>
      <c r="B694" s="1">
        <v>45490</v>
      </c>
      <c r="C694" s="1">
        <v>45511</v>
      </c>
      <c r="D694" t="s">
        <v>794</v>
      </c>
      <c r="E694" t="s">
        <v>45</v>
      </c>
      <c r="F694" t="s">
        <v>68</v>
      </c>
      <c r="G694" t="s">
        <v>20</v>
      </c>
      <c r="H694" t="s">
        <v>51</v>
      </c>
      <c r="I694" t="s">
        <v>52</v>
      </c>
      <c r="J694">
        <v>1</v>
      </c>
      <c r="K694">
        <v>3073000</v>
      </c>
      <c r="L694">
        <v>4.1000000000000002E-2</v>
      </c>
      <c r="M694" t="s">
        <v>23</v>
      </c>
      <c r="N694">
        <v>2947000</v>
      </c>
      <c r="O694">
        <v>5</v>
      </c>
      <c r="P694" t="b">
        <v>0</v>
      </c>
    </row>
    <row r="695" spans="1:16" x14ac:dyDescent="0.2">
      <c r="A695" t="s">
        <v>1070</v>
      </c>
      <c r="B695" s="1">
        <v>45378</v>
      </c>
      <c r="C695" s="1">
        <v>45391</v>
      </c>
      <c r="D695" t="s">
        <v>601</v>
      </c>
      <c r="E695" t="s">
        <v>45</v>
      </c>
      <c r="F695" t="s">
        <v>34</v>
      </c>
      <c r="G695" t="s">
        <v>35</v>
      </c>
      <c r="H695" t="s">
        <v>21</v>
      </c>
      <c r="I695" t="s">
        <v>30</v>
      </c>
      <c r="J695">
        <v>2</v>
      </c>
      <c r="K695">
        <v>3684000</v>
      </c>
      <c r="L695">
        <v>0.109</v>
      </c>
      <c r="M695" t="s">
        <v>23</v>
      </c>
      <c r="N695">
        <v>6565000</v>
      </c>
      <c r="O695">
        <v>4.5999999999999996</v>
      </c>
      <c r="P695" t="b">
        <v>1</v>
      </c>
    </row>
    <row r="696" spans="1:16" x14ac:dyDescent="0.2">
      <c r="A696" t="s">
        <v>1071</v>
      </c>
      <c r="B696" s="1">
        <v>45304</v>
      </c>
      <c r="C696" s="1">
        <v>45361</v>
      </c>
      <c r="D696" t="s">
        <v>1072</v>
      </c>
      <c r="E696" t="s">
        <v>29</v>
      </c>
      <c r="F696" t="s">
        <v>68</v>
      </c>
      <c r="G696" t="s">
        <v>50</v>
      </c>
      <c r="H696" t="s">
        <v>21</v>
      </c>
      <c r="I696" t="s">
        <v>60</v>
      </c>
      <c r="J696">
        <v>4</v>
      </c>
      <c r="K696">
        <v>2067000</v>
      </c>
      <c r="L696">
        <v>3.5000000000000003E-2</v>
      </c>
      <c r="M696" t="s">
        <v>65</v>
      </c>
      <c r="N696">
        <v>0</v>
      </c>
      <c r="P696" t="b">
        <v>0</v>
      </c>
    </row>
    <row r="697" spans="1:16" x14ac:dyDescent="0.2">
      <c r="A697" t="s">
        <v>1073</v>
      </c>
      <c r="B697" s="1">
        <v>45864</v>
      </c>
      <c r="C697" s="1">
        <v>45911</v>
      </c>
      <c r="D697" t="s">
        <v>98</v>
      </c>
      <c r="E697" t="s">
        <v>18</v>
      </c>
      <c r="F697" t="s">
        <v>25</v>
      </c>
      <c r="G697" t="s">
        <v>20</v>
      </c>
      <c r="H697" t="s">
        <v>21</v>
      </c>
      <c r="I697" t="s">
        <v>83</v>
      </c>
      <c r="J697">
        <v>1</v>
      </c>
      <c r="K697">
        <v>3828000</v>
      </c>
      <c r="L697">
        <v>0.20100000000000001</v>
      </c>
      <c r="M697" t="s">
        <v>23</v>
      </c>
      <c r="N697">
        <v>3059000</v>
      </c>
      <c r="O697">
        <v>3.8</v>
      </c>
      <c r="P697" t="b">
        <v>1</v>
      </c>
    </row>
    <row r="698" spans="1:16" x14ac:dyDescent="0.2">
      <c r="A698" t="s">
        <v>1074</v>
      </c>
      <c r="B698" s="1">
        <v>45347</v>
      </c>
      <c r="C698" s="1">
        <v>45434</v>
      </c>
      <c r="D698" t="s">
        <v>762</v>
      </c>
      <c r="E698" t="s">
        <v>45</v>
      </c>
      <c r="F698" t="s">
        <v>45</v>
      </c>
      <c r="G698" t="s">
        <v>20</v>
      </c>
      <c r="H698" t="s">
        <v>21</v>
      </c>
      <c r="I698" t="s">
        <v>30</v>
      </c>
      <c r="J698">
        <v>3</v>
      </c>
      <c r="K698">
        <v>3174000</v>
      </c>
      <c r="L698">
        <v>0.10299999999999999</v>
      </c>
      <c r="M698" t="s">
        <v>23</v>
      </c>
      <c r="N698">
        <v>8541000</v>
      </c>
      <c r="O698">
        <v>4.0999999999999996</v>
      </c>
      <c r="P698" t="b">
        <v>0</v>
      </c>
    </row>
    <row r="699" spans="1:16" x14ac:dyDescent="0.2">
      <c r="A699" t="s">
        <v>1075</v>
      </c>
      <c r="B699" s="1">
        <v>45297</v>
      </c>
      <c r="C699" s="1">
        <v>45349</v>
      </c>
      <c r="D699" t="s">
        <v>556</v>
      </c>
      <c r="E699" t="s">
        <v>29</v>
      </c>
      <c r="F699" t="s">
        <v>34</v>
      </c>
      <c r="G699" t="s">
        <v>50</v>
      </c>
      <c r="H699" t="s">
        <v>21</v>
      </c>
      <c r="I699" t="s">
        <v>26</v>
      </c>
      <c r="J699">
        <v>2</v>
      </c>
      <c r="K699">
        <v>3950000</v>
      </c>
      <c r="L699">
        <v>4.7E-2</v>
      </c>
      <c r="M699" t="s">
        <v>23</v>
      </c>
      <c r="N699">
        <v>7529000</v>
      </c>
      <c r="O699">
        <v>4</v>
      </c>
      <c r="P699" t="b">
        <v>0</v>
      </c>
    </row>
    <row r="700" spans="1:16" x14ac:dyDescent="0.2">
      <c r="A700" t="s">
        <v>1076</v>
      </c>
      <c r="B700" s="1">
        <v>45873</v>
      </c>
      <c r="C700" s="1">
        <v>45958</v>
      </c>
      <c r="D700" t="s">
        <v>584</v>
      </c>
      <c r="E700" t="s">
        <v>29</v>
      </c>
      <c r="F700" t="s">
        <v>25</v>
      </c>
      <c r="G700" t="s">
        <v>50</v>
      </c>
      <c r="H700" t="s">
        <v>51</v>
      </c>
      <c r="I700" t="s">
        <v>57</v>
      </c>
      <c r="J700">
        <v>1</v>
      </c>
      <c r="K700">
        <v>5466000</v>
      </c>
      <c r="L700">
        <v>0.19500000000000001</v>
      </c>
      <c r="M700" t="s">
        <v>23</v>
      </c>
      <c r="N700">
        <v>4400000</v>
      </c>
      <c r="O700">
        <v>4.8</v>
      </c>
      <c r="P700" t="b">
        <v>1</v>
      </c>
    </row>
    <row r="701" spans="1:16" x14ac:dyDescent="0.2">
      <c r="A701" t="s">
        <v>1077</v>
      </c>
      <c r="B701" s="1">
        <v>45409</v>
      </c>
      <c r="C701" s="1">
        <v>45436</v>
      </c>
      <c r="D701" t="s">
        <v>38</v>
      </c>
      <c r="E701" t="s">
        <v>18</v>
      </c>
      <c r="F701" t="s">
        <v>45</v>
      </c>
      <c r="G701" t="s">
        <v>20</v>
      </c>
      <c r="H701" t="s">
        <v>47</v>
      </c>
      <c r="I701" t="s">
        <v>52</v>
      </c>
      <c r="J701">
        <v>2</v>
      </c>
      <c r="K701">
        <v>2429000</v>
      </c>
      <c r="L701">
        <v>0.09</v>
      </c>
      <c r="M701" t="s">
        <v>23</v>
      </c>
      <c r="N701">
        <v>4421000</v>
      </c>
      <c r="O701">
        <v>4.7</v>
      </c>
      <c r="P701" t="b">
        <v>1</v>
      </c>
    </row>
    <row r="702" spans="1:16" x14ac:dyDescent="0.2">
      <c r="A702" t="s">
        <v>1078</v>
      </c>
      <c r="B702" s="1">
        <v>45800</v>
      </c>
      <c r="C702" s="1">
        <v>45846</v>
      </c>
      <c r="D702" t="s">
        <v>143</v>
      </c>
      <c r="E702" t="s">
        <v>45</v>
      </c>
      <c r="F702" t="s">
        <v>25</v>
      </c>
      <c r="G702" t="s">
        <v>20</v>
      </c>
      <c r="H702" t="s">
        <v>21</v>
      </c>
      <c r="I702" t="s">
        <v>60</v>
      </c>
      <c r="J702">
        <v>3</v>
      </c>
      <c r="K702">
        <v>6101000</v>
      </c>
      <c r="L702">
        <v>7.2999999999999995E-2</v>
      </c>
      <c r="M702" t="s">
        <v>23</v>
      </c>
      <c r="N702">
        <v>16967000</v>
      </c>
      <c r="O702">
        <v>4.2</v>
      </c>
      <c r="P702" t="b">
        <v>1</v>
      </c>
    </row>
    <row r="703" spans="1:16" x14ac:dyDescent="0.2">
      <c r="A703" t="s">
        <v>1079</v>
      </c>
      <c r="B703" s="1">
        <v>45311</v>
      </c>
      <c r="C703" s="1">
        <v>45332</v>
      </c>
      <c r="D703" t="s">
        <v>224</v>
      </c>
      <c r="E703" t="s">
        <v>45</v>
      </c>
      <c r="F703" t="s">
        <v>34</v>
      </c>
      <c r="G703" t="s">
        <v>20</v>
      </c>
      <c r="H703" t="s">
        <v>21</v>
      </c>
      <c r="I703" t="s">
        <v>77</v>
      </c>
      <c r="J703">
        <v>3</v>
      </c>
      <c r="K703">
        <v>5254000</v>
      </c>
      <c r="L703">
        <v>0.17</v>
      </c>
      <c r="M703" t="s">
        <v>65</v>
      </c>
      <c r="N703">
        <v>0</v>
      </c>
      <c r="P703" t="b">
        <v>0</v>
      </c>
    </row>
    <row r="704" spans="1:16" x14ac:dyDescent="0.2">
      <c r="A704" t="s">
        <v>1080</v>
      </c>
      <c r="B704" s="1">
        <v>45387</v>
      </c>
      <c r="C704" s="1">
        <v>45443</v>
      </c>
      <c r="D704" t="s">
        <v>454</v>
      </c>
      <c r="E704" t="s">
        <v>18</v>
      </c>
      <c r="F704" t="s">
        <v>19</v>
      </c>
      <c r="G704" t="s">
        <v>50</v>
      </c>
      <c r="H704" t="s">
        <v>21</v>
      </c>
      <c r="I704" t="s">
        <v>52</v>
      </c>
      <c r="J704">
        <v>4</v>
      </c>
      <c r="K704">
        <v>2288000</v>
      </c>
      <c r="L704">
        <v>0.14799999999999999</v>
      </c>
      <c r="M704" t="s">
        <v>23</v>
      </c>
      <c r="N704">
        <v>7798000</v>
      </c>
      <c r="O704">
        <v>4.5999999999999996</v>
      </c>
      <c r="P704" t="b">
        <v>0</v>
      </c>
    </row>
    <row r="705" spans="1:16" x14ac:dyDescent="0.2">
      <c r="A705" t="s">
        <v>1081</v>
      </c>
      <c r="B705" s="1">
        <v>45360</v>
      </c>
      <c r="C705" s="1">
        <v>45385</v>
      </c>
      <c r="D705" t="s">
        <v>694</v>
      </c>
      <c r="E705" t="s">
        <v>33</v>
      </c>
      <c r="F705" t="s">
        <v>39</v>
      </c>
      <c r="G705" t="s">
        <v>35</v>
      </c>
      <c r="H705" t="s">
        <v>21</v>
      </c>
      <c r="I705" t="s">
        <v>99</v>
      </c>
      <c r="J705">
        <v>1</v>
      </c>
      <c r="K705">
        <v>1332000</v>
      </c>
      <c r="L705">
        <v>0</v>
      </c>
      <c r="M705" t="s">
        <v>65</v>
      </c>
      <c r="N705">
        <v>0</v>
      </c>
      <c r="P705" t="b">
        <v>0</v>
      </c>
    </row>
    <row r="706" spans="1:16" x14ac:dyDescent="0.2">
      <c r="A706" t="s">
        <v>1082</v>
      </c>
      <c r="B706" s="1">
        <v>45732</v>
      </c>
      <c r="C706" s="1">
        <v>45781</v>
      </c>
      <c r="D706" t="s">
        <v>341</v>
      </c>
      <c r="E706" t="s">
        <v>18</v>
      </c>
      <c r="F706" t="s">
        <v>34</v>
      </c>
      <c r="G706" t="s">
        <v>35</v>
      </c>
      <c r="H706" t="s">
        <v>40</v>
      </c>
      <c r="I706" t="s">
        <v>57</v>
      </c>
      <c r="J706">
        <v>1</v>
      </c>
      <c r="K706">
        <v>5308000</v>
      </c>
      <c r="L706">
        <v>0.16200000000000001</v>
      </c>
      <c r="M706" t="s">
        <v>23</v>
      </c>
      <c r="N706">
        <v>4448000</v>
      </c>
      <c r="O706">
        <v>4.4000000000000004</v>
      </c>
      <c r="P706" t="b">
        <v>1</v>
      </c>
    </row>
    <row r="707" spans="1:16" x14ac:dyDescent="0.2">
      <c r="A707" t="s">
        <v>1083</v>
      </c>
      <c r="B707" s="1">
        <v>45678</v>
      </c>
      <c r="C707" s="1">
        <v>45715</v>
      </c>
      <c r="D707" t="s">
        <v>1084</v>
      </c>
      <c r="E707" t="s">
        <v>45</v>
      </c>
      <c r="F707" t="s">
        <v>45</v>
      </c>
      <c r="G707" t="s">
        <v>50</v>
      </c>
      <c r="H707" t="s">
        <v>21</v>
      </c>
      <c r="I707" t="s">
        <v>94</v>
      </c>
      <c r="J707">
        <v>3</v>
      </c>
      <c r="K707">
        <v>2673000</v>
      </c>
      <c r="L707">
        <v>0.114</v>
      </c>
      <c r="M707" t="s">
        <v>23</v>
      </c>
      <c r="N707">
        <v>7105000</v>
      </c>
      <c r="O707">
        <v>4.5</v>
      </c>
      <c r="P707" t="b">
        <v>0</v>
      </c>
    </row>
    <row r="708" spans="1:16" x14ac:dyDescent="0.2">
      <c r="A708" t="s">
        <v>1085</v>
      </c>
      <c r="B708" s="1">
        <v>45588</v>
      </c>
      <c r="C708" s="1">
        <v>45613</v>
      </c>
      <c r="D708" t="s">
        <v>988</v>
      </c>
      <c r="E708" t="s">
        <v>45</v>
      </c>
      <c r="F708" t="s">
        <v>68</v>
      </c>
      <c r="G708" t="s">
        <v>20</v>
      </c>
      <c r="H708" t="s">
        <v>47</v>
      </c>
      <c r="I708" t="s">
        <v>57</v>
      </c>
      <c r="J708">
        <v>3</v>
      </c>
      <c r="K708">
        <v>2790000</v>
      </c>
      <c r="L708">
        <v>0.1</v>
      </c>
      <c r="M708" t="s">
        <v>23</v>
      </c>
      <c r="N708">
        <v>7533000</v>
      </c>
      <c r="O708">
        <v>4.4000000000000004</v>
      </c>
      <c r="P708" t="b">
        <v>0</v>
      </c>
    </row>
    <row r="709" spans="1:16" x14ac:dyDescent="0.2">
      <c r="A709" t="s">
        <v>1086</v>
      </c>
      <c r="B709" s="1">
        <v>45442</v>
      </c>
      <c r="C709" s="1">
        <v>45459</v>
      </c>
      <c r="D709" t="s">
        <v>1087</v>
      </c>
      <c r="E709" t="s">
        <v>29</v>
      </c>
      <c r="F709" t="s">
        <v>34</v>
      </c>
      <c r="G709" t="s">
        <v>20</v>
      </c>
      <c r="H709" t="s">
        <v>47</v>
      </c>
      <c r="I709" t="s">
        <v>57</v>
      </c>
      <c r="J709">
        <v>1</v>
      </c>
      <c r="K709">
        <v>3410000</v>
      </c>
      <c r="L709">
        <v>5.6000000000000001E-2</v>
      </c>
      <c r="M709" t="s">
        <v>23</v>
      </c>
      <c r="N709">
        <v>3219000</v>
      </c>
      <c r="O709">
        <v>3.8</v>
      </c>
      <c r="P709" t="b">
        <v>0</v>
      </c>
    </row>
    <row r="710" spans="1:16" x14ac:dyDescent="0.2">
      <c r="A710" t="s">
        <v>1088</v>
      </c>
      <c r="B710" s="1">
        <v>45347</v>
      </c>
      <c r="C710" s="1">
        <v>45398</v>
      </c>
      <c r="D710" t="s">
        <v>493</v>
      </c>
      <c r="E710" t="s">
        <v>29</v>
      </c>
      <c r="F710" t="s">
        <v>34</v>
      </c>
      <c r="G710" t="s">
        <v>20</v>
      </c>
      <c r="H710" t="s">
        <v>21</v>
      </c>
      <c r="I710" t="s">
        <v>57</v>
      </c>
      <c r="J710">
        <v>1</v>
      </c>
      <c r="K710">
        <v>3849000</v>
      </c>
      <c r="L710">
        <v>2.3E-2</v>
      </c>
      <c r="M710" t="s">
        <v>23</v>
      </c>
      <c r="N710">
        <v>3760000</v>
      </c>
      <c r="O710">
        <v>3.9</v>
      </c>
      <c r="P710" t="b">
        <v>0</v>
      </c>
    </row>
    <row r="711" spans="1:16" x14ac:dyDescent="0.2">
      <c r="A711" t="s">
        <v>1089</v>
      </c>
      <c r="B711" s="1">
        <v>45646</v>
      </c>
      <c r="C711" s="1">
        <v>45732</v>
      </c>
      <c r="D711" t="s">
        <v>130</v>
      </c>
      <c r="E711" t="s">
        <v>45</v>
      </c>
      <c r="F711" t="s">
        <v>45</v>
      </c>
      <c r="G711" t="s">
        <v>50</v>
      </c>
      <c r="H711" t="s">
        <v>51</v>
      </c>
      <c r="I711" t="s">
        <v>77</v>
      </c>
      <c r="J711">
        <v>2</v>
      </c>
      <c r="K711">
        <v>4024000</v>
      </c>
      <c r="L711">
        <v>0.13200000000000001</v>
      </c>
      <c r="M711" t="s">
        <v>23</v>
      </c>
      <c r="N711">
        <v>6986000</v>
      </c>
      <c r="O711">
        <v>4.0999999999999996</v>
      </c>
      <c r="P711" t="b">
        <v>1</v>
      </c>
    </row>
    <row r="712" spans="1:16" x14ac:dyDescent="0.2">
      <c r="A712" t="s">
        <v>1090</v>
      </c>
      <c r="B712" s="1">
        <v>45435</v>
      </c>
      <c r="C712" s="1">
        <v>45461</v>
      </c>
      <c r="D712" t="s">
        <v>1091</v>
      </c>
      <c r="E712" t="s">
        <v>45</v>
      </c>
      <c r="F712" t="s">
        <v>34</v>
      </c>
      <c r="G712" t="s">
        <v>35</v>
      </c>
      <c r="H712" t="s">
        <v>21</v>
      </c>
      <c r="I712" t="s">
        <v>77</v>
      </c>
      <c r="J712">
        <v>2</v>
      </c>
      <c r="K712">
        <v>5491000</v>
      </c>
      <c r="L712">
        <v>5.0000000000000001E-3</v>
      </c>
      <c r="M712" t="s">
        <v>65</v>
      </c>
      <c r="N712">
        <v>0</v>
      </c>
      <c r="P712" t="b">
        <v>1</v>
      </c>
    </row>
    <row r="713" spans="1:16" x14ac:dyDescent="0.2">
      <c r="A713" t="s">
        <v>1092</v>
      </c>
      <c r="B713" s="1">
        <v>45659</v>
      </c>
      <c r="C713" s="1">
        <v>45701</v>
      </c>
      <c r="D713" t="s">
        <v>1093</v>
      </c>
      <c r="E713" t="s">
        <v>45</v>
      </c>
      <c r="F713" t="s">
        <v>25</v>
      </c>
      <c r="G713" t="s">
        <v>20</v>
      </c>
      <c r="H713" t="s">
        <v>21</v>
      </c>
      <c r="I713" t="s">
        <v>99</v>
      </c>
      <c r="J713">
        <v>2</v>
      </c>
      <c r="K713">
        <v>4544000</v>
      </c>
      <c r="L713">
        <v>0.10299999999999999</v>
      </c>
      <c r="M713" t="s">
        <v>23</v>
      </c>
      <c r="N713">
        <v>8152000</v>
      </c>
      <c r="O713">
        <v>3.5</v>
      </c>
      <c r="P713" t="b">
        <v>0</v>
      </c>
    </row>
    <row r="714" spans="1:16" x14ac:dyDescent="0.2">
      <c r="A714" t="s">
        <v>1094</v>
      </c>
      <c r="B714" s="1">
        <v>45720</v>
      </c>
      <c r="C714" s="1">
        <v>45748</v>
      </c>
      <c r="D714" t="s">
        <v>177</v>
      </c>
      <c r="E714" t="s">
        <v>18</v>
      </c>
      <c r="F714" t="s">
        <v>45</v>
      </c>
      <c r="G714" t="s">
        <v>20</v>
      </c>
      <c r="H714" t="s">
        <v>47</v>
      </c>
      <c r="I714" t="s">
        <v>83</v>
      </c>
      <c r="J714">
        <v>4</v>
      </c>
      <c r="K714">
        <v>2733000</v>
      </c>
      <c r="L714">
        <v>0.129</v>
      </c>
      <c r="M714" t="s">
        <v>23</v>
      </c>
      <c r="N714">
        <v>9522000</v>
      </c>
      <c r="O714">
        <v>4.5</v>
      </c>
      <c r="P714" t="b">
        <v>1</v>
      </c>
    </row>
    <row r="715" spans="1:16" x14ac:dyDescent="0.2">
      <c r="A715" t="s">
        <v>1095</v>
      </c>
      <c r="B715" s="1">
        <v>45821</v>
      </c>
      <c r="C715" s="1">
        <v>45896</v>
      </c>
      <c r="D715" t="s">
        <v>1096</v>
      </c>
      <c r="E715" t="s">
        <v>33</v>
      </c>
      <c r="F715" t="s">
        <v>25</v>
      </c>
      <c r="G715" t="s">
        <v>50</v>
      </c>
      <c r="H715" t="s">
        <v>21</v>
      </c>
      <c r="I715" t="s">
        <v>83</v>
      </c>
      <c r="J715">
        <v>1</v>
      </c>
      <c r="K715">
        <v>5463000</v>
      </c>
      <c r="L715">
        <v>0.10299999999999999</v>
      </c>
      <c r="M715" t="s">
        <v>23</v>
      </c>
      <c r="N715">
        <v>4900000</v>
      </c>
      <c r="O715">
        <v>4.4000000000000004</v>
      </c>
      <c r="P715" t="b">
        <v>0</v>
      </c>
    </row>
    <row r="716" spans="1:16" x14ac:dyDescent="0.2">
      <c r="A716" t="s">
        <v>1097</v>
      </c>
      <c r="B716" s="1">
        <v>45599</v>
      </c>
      <c r="C716" s="1">
        <v>45642</v>
      </c>
      <c r="D716" t="s">
        <v>130</v>
      </c>
      <c r="E716" t="s">
        <v>45</v>
      </c>
      <c r="F716" t="s">
        <v>19</v>
      </c>
      <c r="G716" t="s">
        <v>50</v>
      </c>
      <c r="H716" t="s">
        <v>40</v>
      </c>
      <c r="I716" t="s">
        <v>26</v>
      </c>
      <c r="J716">
        <v>2</v>
      </c>
      <c r="K716">
        <v>3392000</v>
      </c>
      <c r="L716">
        <v>2.7E-2</v>
      </c>
      <c r="M716" t="s">
        <v>23</v>
      </c>
      <c r="N716">
        <v>6601000</v>
      </c>
      <c r="O716">
        <v>3.5</v>
      </c>
      <c r="P716" t="b">
        <v>1</v>
      </c>
    </row>
    <row r="717" spans="1:16" x14ac:dyDescent="0.2">
      <c r="A717" t="s">
        <v>1098</v>
      </c>
      <c r="B717" s="1">
        <v>45294</v>
      </c>
      <c r="C717" s="1">
        <v>45382</v>
      </c>
      <c r="D717" t="s">
        <v>862</v>
      </c>
      <c r="E717" t="s">
        <v>18</v>
      </c>
      <c r="F717" t="s">
        <v>45</v>
      </c>
      <c r="G717" t="s">
        <v>35</v>
      </c>
      <c r="H717" t="s">
        <v>47</v>
      </c>
      <c r="I717" t="s">
        <v>60</v>
      </c>
      <c r="J717">
        <v>3</v>
      </c>
      <c r="K717">
        <v>2682000</v>
      </c>
      <c r="L717">
        <v>0.20699999999999999</v>
      </c>
      <c r="M717" t="s">
        <v>23</v>
      </c>
      <c r="N717">
        <v>6380000</v>
      </c>
      <c r="O717">
        <v>4.0999999999999996</v>
      </c>
      <c r="P717" t="b">
        <v>0</v>
      </c>
    </row>
    <row r="718" spans="1:16" x14ac:dyDescent="0.2">
      <c r="A718" t="s">
        <v>1099</v>
      </c>
      <c r="B718" s="1">
        <v>45466</v>
      </c>
      <c r="C718" s="1">
        <v>45495</v>
      </c>
      <c r="D718" t="s">
        <v>1100</v>
      </c>
      <c r="E718" t="s">
        <v>45</v>
      </c>
      <c r="F718" t="s">
        <v>25</v>
      </c>
      <c r="G718" t="s">
        <v>20</v>
      </c>
      <c r="H718" t="s">
        <v>21</v>
      </c>
      <c r="I718" t="s">
        <v>99</v>
      </c>
      <c r="J718">
        <v>1</v>
      </c>
      <c r="K718">
        <v>5330000</v>
      </c>
      <c r="L718">
        <v>9.8000000000000004E-2</v>
      </c>
      <c r="M718" t="s">
        <v>23</v>
      </c>
      <c r="N718">
        <v>4808000</v>
      </c>
      <c r="O718">
        <v>4.0999999999999996</v>
      </c>
      <c r="P718" t="b">
        <v>1</v>
      </c>
    </row>
    <row r="719" spans="1:16" x14ac:dyDescent="0.2">
      <c r="A719" t="s">
        <v>1101</v>
      </c>
      <c r="B719" s="1">
        <v>45823</v>
      </c>
      <c r="C719" s="1">
        <v>45839</v>
      </c>
      <c r="D719" t="s">
        <v>414</v>
      </c>
      <c r="E719" t="s">
        <v>18</v>
      </c>
      <c r="F719" t="s">
        <v>34</v>
      </c>
      <c r="G719" t="s">
        <v>50</v>
      </c>
      <c r="H719" t="s">
        <v>47</v>
      </c>
      <c r="I719" t="s">
        <v>77</v>
      </c>
      <c r="J719">
        <v>1</v>
      </c>
      <c r="K719">
        <v>3985000</v>
      </c>
      <c r="L719">
        <v>4.2999999999999997E-2</v>
      </c>
      <c r="M719" t="s">
        <v>23</v>
      </c>
      <c r="N719">
        <v>3814000</v>
      </c>
      <c r="O719">
        <v>4.3</v>
      </c>
      <c r="P719" t="b">
        <v>1</v>
      </c>
    </row>
    <row r="720" spans="1:16" x14ac:dyDescent="0.2">
      <c r="A720" t="s">
        <v>1102</v>
      </c>
      <c r="B720" s="1">
        <v>45624</v>
      </c>
      <c r="C720" s="1">
        <v>45681</v>
      </c>
      <c r="D720" t="s">
        <v>263</v>
      </c>
      <c r="E720" t="s">
        <v>18</v>
      </c>
      <c r="F720" t="s">
        <v>25</v>
      </c>
      <c r="G720" t="s">
        <v>50</v>
      </c>
      <c r="H720" t="s">
        <v>21</v>
      </c>
      <c r="I720" t="s">
        <v>60</v>
      </c>
      <c r="J720">
        <v>2</v>
      </c>
      <c r="K720">
        <v>4914000</v>
      </c>
      <c r="L720">
        <v>5.2999999999999999E-2</v>
      </c>
      <c r="M720" t="s">
        <v>65</v>
      </c>
      <c r="N720">
        <v>0</v>
      </c>
      <c r="P720" t="b">
        <v>1</v>
      </c>
    </row>
    <row r="721" spans="1:16" x14ac:dyDescent="0.2">
      <c r="A721" t="s">
        <v>1103</v>
      </c>
      <c r="B721" s="1">
        <v>45677</v>
      </c>
      <c r="C721" s="1">
        <v>45739</v>
      </c>
      <c r="D721" t="s">
        <v>146</v>
      </c>
      <c r="E721" t="s">
        <v>33</v>
      </c>
      <c r="F721" t="s">
        <v>39</v>
      </c>
      <c r="G721" t="s">
        <v>35</v>
      </c>
      <c r="H721" t="s">
        <v>47</v>
      </c>
      <c r="I721" t="s">
        <v>77</v>
      </c>
      <c r="J721">
        <v>1</v>
      </c>
      <c r="K721">
        <v>2775000</v>
      </c>
      <c r="L721">
        <v>3.3000000000000002E-2</v>
      </c>
      <c r="M721" t="s">
        <v>23</v>
      </c>
      <c r="N721">
        <v>2683000</v>
      </c>
      <c r="O721">
        <v>3.5</v>
      </c>
      <c r="P721" t="b">
        <v>1</v>
      </c>
    </row>
    <row r="722" spans="1:16" x14ac:dyDescent="0.2">
      <c r="A722" t="s">
        <v>1104</v>
      </c>
      <c r="B722" s="1">
        <v>45577</v>
      </c>
      <c r="C722" s="1">
        <v>45667</v>
      </c>
      <c r="D722" t="s">
        <v>943</v>
      </c>
      <c r="E722" t="s">
        <v>18</v>
      </c>
      <c r="F722" t="s">
        <v>45</v>
      </c>
      <c r="G722" t="s">
        <v>35</v>
      </c>
      <c r="H722" t="s">
        <v>21</v>
      </c>
      <c r="I722" t="s">
        <v>77</v>
      </c>
      <c r="J722">
        <v>5</v>
      </c>
      <c r="K722">
        <v>4223000</v>
      </c>
      <c r="L722">
        <v>0.13600000000000001</v>
      </c>
      <c r="M722" t="s">
        <v>23</v>
      </c>
      <c r="N722">
        <v>18243000</v>
      </c>
      <c r="O722">
        <v>4.5</v>
      </c>
      <c r="P722" t="b">
        <v>1</v>
      </c>
    </row>
    <row r="723" spans="1:16" x14ac:dyDescent="0.2">
      <c r="A723" t="s">
        <v>1105</v>
      </c>
      <c r="B723" s="1">
        <v>45393</v>
      </c>
      <c r="C723" s="1">
        <v>45473</v>
      </c>
      <c r="D723" t="s">
        <v>772</v>
      </c>
      <c r="E723" t="s">
        <v>18</v>
      </c>
      <c r="F723" t="s">
        <v>80</v>
      </c>
      <c r="G723" t="s">
        <v>50</v>
      </c>
      <c r="H723" t="s">
        <v>21</v>
      </c>
      <c r="I723" t="s">
        <v>57</v>
      </c>
      <c r="J723">
        <v>1</v>
      </c>
      <c r="K723">
        <v>5001000</v>
      </c>
      <c r="L723">
        <v>3.1E-2</v>
      </c>
      <c r="M723" t="s">
        <v>65</v>
      </c>
      <c r="N723">
        <v>0</v>
      </c>
      <c r="P723" t="b">
        <v>0</v>
      </c>
    </row>
    <row r="724" spans="1:16" x14ac:dyDescent="0.2">
      <c r="A724" t="s">
        <v>1106</v>
      </c>
      <c r="B724" s="1">
        <v>45850</v>
      </c>
      <c r="C724" s="1">
        <v>45931</v>
      </c>
      <c r="D724" t="s">
        <v>1107</v>
      </c>
      <c r="E724" t="s">
        <v>29</v>
      </c>
      <c r="F724" t="s">
        <v>19</v>
      </c>
      <c r="G724" t="s">
        <v>50</v>
      </c>
      <c r="H724" t="s">
        <v>21</v>
      </c>
      <c r="I724" t="s">
        <v>77</v>
      </c>
      <c r="J724">
        <v>1</v>
      </c>
      <c r="K724">
        <v>3560000</v>
      </c>
      <c r="L724">
        <v>0.192</v>
      </c>
      <c r="M724" t="s">
        <v>65</v>
      </c>
      <c r="N724">
        <v>0</v>
      </c>
      <c r="P724" t="b">
        <v>1</v>
      </c>
    </row>
    <row r="725" spans="1:16" x14ac:dyDescent="0.2">
      <c r="A725" t="s">
        <v>1108</v>
      </c>
      <c r="B725" s="1">
        <v>45773</v>
      </c>
      <c r="C725" s="1">
        <v>45834</v>
      </c>
      <c r="D725" t="s">
        <v>459</v>
      </c>
      <c r="E725" t="s">
        <v>18</v>
      </c>
      <c r="F725" t="s">
        <v>34</v>
      </c>
      <c r="G725" t="s">
        <v>35</v>
      </c>
      <c r="H725" t="s">
        <v>47</v>
      </c>
      <c r="I725" t="s">
        <v>30</v>
      </c>
      <c r="J725">
        <v>2</v>
      </c>
      <c r="K725">
        <v>3571000</v>
      </c>
      <c r="L725">
        <v>3.3000000000000002E-2</v>
      </c>
      <c r="M725" t="s">
        <v>23</v>
      </c>
      <c r="N725">
        <v>6906000</v>
      </c>
      <c r="O725">
        <v>4</v>
      </c>
      <c r="P725" t="b">
        <v>1</v>
      </c>
    </row>
    <row r="726" spans="1:16" x14ac:dyDescent="0.2">
      <c r="A726" t="s">
        <v>1109</v>
      </c>
      <c r="B726" s="1">
        <v>45911</v>
      </c>
      <c r="C726" s="1">
        <v>45950</v>
      </c>
      <c r="D726" t="s">
        <v>132</v>
      </c>
      <c r="E726" t="s">
        <v>45</v>
      </c>
      <c r="F726" t="s">
        <v>19</v>
      </c>
      <c r="G726" t="s">
        <v>20</v>
      </c>
      <c r="H726" t="s">
        <v>21</v>
      </c>
      <c r="I726" t="s">
        <v>94</v>
      </c>
      <c r="J726">
        <v>2</v>
      </c>
      <c r="K726">
        <v>3104000</v>
      </c>
      <c r="L726">
        <v>6.6000000000000003E-2</v>
      </c>
      <c r="M726" t="s">
        <v>65</v>
      </c>
      <c r="N726">
        <v>0</v>
      </c>
      <c r="P726" t="b">
        <v>1</v>
      </c>
    </row>
    <row r="727" spans="1:16" x14ac:dyDescent="0.2">
      <c r="A727" t="s">
        <v>1110</v>
      </c>
      <c r="B727" s="1">
        <v>45824</v>
      </c>
      <c r="C727" s="1">
        <v>45868</v>
      </c>
      <c r="D727" t="s">
        <v>464</v>
      </c>
      <c r="E727" t="s">
        <v>33</v>
      </c>
      <c r="F727" t="s">
        <v>34</v>
      </c>
      <c r="G727" t="s">
        <v>20</v>
      </c>
      <c r="H727" t="s">
        <v>47</v>
      </c>
      <c r="I727" t="s">
        <v>52</v>
      </c>
      <c r="J727">
        <v>1</v>
      </c>
      <c r="K727">
        <v>3638000</v>
      </c>
      <c r="L727">
        <v>6.9000000000000006E-2</v>
      </c>
      <c r="M727" t="s">
        <v>65</v>
      </c>
      <c r="N727">
        <v>0</v>
      </c>
      <c r="P727" t="b">
        <v>1</v>
      </c>
    </row>
    <row r="728" spans="1:16" x14ac:dyDescent="0.2">
      <c r="A728" t="s">
        <v>1111</v>
      </c>
      <c r="B728" s="1">
        <v>45473</v>
      </c>
      <c r="C728" s="1">
        <v>45493</v>
      </c>
      <c r="D728" t="s">
        <v>1112</v>
      </c>
      <c r="E728" t="s">
        <v>18</v>
      </c>
      <c r="F728" t="s">
        <v>68</v>
      </c>
      <c r="G728" t="s">
        <v>50</v>
      </c>
      <c r="H728" t="s">
        <v>21</v>
      </c>
      <c r="I728" t="s">
        <v>83</v>
      </c>
      <c r="J728">
        <v>2</v>
      </c>
      <c r="K728">
        <v>1832000</v>
      </c>
      <c r="L728">
        <v>3.3000000000000002E-2</v>
      </c>
      <c r="M728" t="s">
        <v>23</v>
      </c>
      <c r="N728">
        <v>3543000</v>
      </c>
      <c r="O728">
        <v>5</v>
      </c>
      <c r="P728" t="b">
        <v>1</v>
      </c>
    </row>
    <row r="729" spans="1:16" x14ac:dyDescent="0.2">
      <c r="A729" t="s">
        <v>1113</v>
      </c>
      <c r="B729" s="1">
        <v>45450</v>
      </c>
      <c r="C729" s="1">
        <v>45494</v>
      </c>
      <c r="D729" t="s">
        <v>91</v>
      </c>
      <c r="E729" t="s">
        <v>33</v>
      </c>
      <c r="F729" t="s">
        <v>34</v>
      </c>
      <c r="G729" t="s">
        <v>35</v>
      </c>
      <c r="H729" t="s">
        <v>21</v>
      </c>
      <c r="I729" t="s">
        <v>52</v>
      </c>
      <c r="J729">
        <v>1</v>
      </c>
      <c r="K729">
        <v>2677000</v>
      </c>
      <c r="L729">
        <v>0.06</v>
      </c>
      <c r="M729" t="s">
        <v>23</v>
      </c>
      <c r="N729">
        <v>2516000</v>
      </c>
      <c r="O729">
        <v>3.4</v>
      </c>
      <c r="P729" t="b">
        <v>0</v>
      </c>
    </row>
    <row r="730" spans="1:16" x14ac:dyDescent="0.2">
      <c r="A730" t="s">
        <v>1114</v>
      </c>
      <c r="B730" s="1">
        <v>45446</v>
      </c>
      <c r="C730" s="1">
        <v>45485</v>
      </c>
      <c r="D730" t="s">
        <v>905</v>
      </c>
      <c r="E730" t="s">
        <v>18</v>
      </c>
      <c r="F730" t="s">
        <v>39</v>
      </c>
      <c r="G730" t="s">
        <v>20</v>
      </c>
      <c r="H730" t="s">
        <v>21</v>
      </c>
      <c r="I730" t="s">
        <v>22</v>
      </c>
      <c r="J730">
        <v>1</v>
      </c>
      <c r="K730">
        <v>2843000</v>
      </c>
      <c r="L730">
        <v>9.9000000000000005E-2</v>
      </c>
      <c r="M730" t="s">
        <v>23</v>
      </c>
      <c r="N730">
        <v>2562000</v>
      </c>
      <c r="O730">
        <v>4.5999999999999996</v>
      </c>
      <c r="P730" t="b">
        <v>0</v>
      </c>
    </row>
    <row r="731" spans="1:16" x14ac:dyDescent="0.2">
      <c r="A731" t="s">
        <v>1115</v>
      </c>
      <c r="B731" s="1">
        <v>45864</v>
      </c>
      <c r="C731" s="1">
        <v>45876</v>
      </c>
      <c r="D731" t="s">
        <v>1100</v>
      </c>
      <c r="E731" t="s">
        <v>45</v>
      </c>
      <c r="F731" t="s">
        <v>34</v>
      </c>
      <c r="G731" t="s">
        <v>20</v>
      </c>
      <c r="H731" t="s">
        <v>21</v>
      </c>
      <c r="I731" t="s">
        <v>60</v>
      </c>
      <c r="J731">
        <v>2</v>
      </c>
      <c r="K731">
        <v>5198000</v>
      </c>
      <c r="L731">
        <v>6.5000000000000002E-2</v>
      </c>
      <c r="M731" t="s">
        <v>23</v>
      </c>
      <c r="N731">
        <v>9720000</v>
      </c>
      <c r="O731">
        <v>2.9</v>
      </c>
      <c r="P731" t="b">
        <v>1</v>
      </c>
    </row>
    <row r="732" spans="1:16" x14ac:dyDescent="0.2">
      <c r="A732" t="s">
        <v>1116</v>
      </c>
      <c r="B732" s="1">
        <v>45638</v>
      </c>
      <c r="C732" s="1">
        <v>45664</v>
      </c>
      <c r="D732" t="s">
        <v>1117</v>
      </c>
      <c r="E732" t="s">
        <v>33</v>
      </c>
      <c r="F732" t="s">
        <v>19</v>
      </c>
      <c r="G732" t="s">
        <v>50</v>
      </c>
      <c r="H732" t="s">
        <v>51</v>
      </c>
      <c r="I732" t="s">
        <v>60</v>
      </c>
      <c r="J732">
        <v>2</v>
      </c>
      <c r="K732">
        <v>3437000</v>
      </c>
      <c r="L732">
        <v>0.127</v>
      </c>
      <c r="M732" t="s">
        <v>23</v>
      </c>
      <c r="N732">
        <v>6001000</v>
      </c>
      <c r="O732">
        <v>4.9000000000000004</v>
      </c>
      <c r="P732" t="b">
        <v>0</v>
      </c>
    </row>
    <row r="733" spans="1:16" x14ac:dyDescent="0.2">
      <c r="A733" t="s">
        <v>1118</v>
      </c>
      <c r="B733" s="1">
        <v>45575</v>
      </c>
      <c r="C733" s="1">
        <v>45628</v>
      </c>
      <c r="D733" t="s">
        <v>220</v>
      </c>
      <c r="E733" t="s">
        <v>45</v>
      </c>
      <c r="F733" t="s">
        <v>19</v>
      </c>
      <c r="G733" t="s">
        <v>50</v>
      </c>
      <c r="H733" t="s">
        <v>21</v>
      </c>
      <c r="I733" t="s">
        <v>26</v>
      </c>
      <c r="J733">
        <v>1</v>
      </c>
      <c r="K733">
        <v>1921000</v>
      </c>
      <c r="L733">
        <v>6.8000000000000005E-2</v>
      </c>
      <c r="M733" t="s">
        <v>23</v>
      </c>
      <c r="N733">
        <v>1790000</v>
      </c>
      <c r="O733">
        <v>3.2</v>
      </c>
      <c r="P733" t="b">
        <v>1</v>
      </c>
    </row>
    <row r="734" spans="1:16" x14ac:dyDescent="0.2">
      <c r="A734" t="s">
        <v>1119</v>
      </c>
      <c r="B734" s="1">
        <v>45895</v>
      </c>
      <c r="C734" s="1">
        <v>45934</v>
      </c>
      <c r="D734" t="s">
        <v>1120</v>
      </c>
      <c r="E734" t="s">
        <v>18</v>
      </c>
      <c r="F734" t="s">
        <v>19</v>
      </c>
      <c r="G734" t="s">
        <v>46</v>
      </c>
      <c r="H734" t="s">
        <v>40</v>
      </c>
      <c r="I734" t="s">
        <v>94</v>
      </c>
      <c r="J734">
        <v>1</v>
      </c>
      <c r="K734">
        <v>3368000</v>
      </c>
      <c r="L734">
        <v>1.7999999999999999E-2</v>
      </c>
      <c r="M734" t="s">
        <v>23</v>
      </c>
      <c r="N734">
        <v>3307000</v>
      </c>
      <c r="O734">
        <v>5</v>
      </c>
      <c r="P734" t="b">
        <v>0</v>
      </c>
    </row>
    <row r="735" spans="1:16" x14ac:dyDescent="0.2">
      <c r="A735" t="s">
        <v>1121</v>
      </c>
      <c r="B735" s="1">
        <v>45667</v>
      </c>
      <c r="C735" s="1">
        <v>45757</v>
      </c>
      <c r="D735" t="s">
        <v>842</v>
      </c>
      <c r="E735" t="s">
        <v>45</v>
      </c>
      <c r="F735" t="s">
        <v>39</v>
      </c>
      <c r="G735" t="s">
        <v>20</v>
      </c>
      <c r="H735" t="s">
        <v>40</v>
      </c>
      <c r="I735" t="s">
        <v>99</v>
      </c>
      <c r="J735">
        <v>2</v>
      </c>
      <c r="K735">
        <v>2908000</v>
      </c>
      <c r="L735">
        <v>0.14399999999999999</v>
      </c>
      <c r="M735" t="s">
        <v>23</v>
      </c>
      <c r="N735">
        <v>4978000</v>
      </c>
      <c r="O735">
        <v>4</v>
      </c>
      <c r="P735" t="b">
        <v>1</v>
      </c>
    </row>
    <row r="736" spans="1:16" x14ac:dyDescent="0.2">
      <c r="A736" t="s">
        <v>1122</v>
      </c>
      <c r="B736" s="1">
        <v>45858</v>
      </c>
      <c r="C736" s="1">
        <v>45906</v>
      </c>
      <c r="D736" t="s">
        <v>739</v>
      </c>
      <c r="E736" t="s">
        <v>18</v>
      </c>
      <c r="F736" t="s">
        <v>68</v>
      </c>
      <c r="G736" t="s">
        <v>50</v>
      </c>
      <c r="H736" t="s">
        <v>21</v>
      </c>
      <c r="I736" t="s">
        <v>52</v>
      </c>
      <c r="J736">
        <v>1</v>
      </c>
      <c r="K736">
        <v>2805000</v>
      </c>
      <c r="L736">
        <v>0.13</v>
      </c>
      <c r="M736" t="s">
        <v>23</v>
      </c>
      <c r="N736">
        <v>2440000</v>
      </c>
      <c r="O736">
        <v>4.8</v>
      </c>
      <c r="P736" t="b">
        <v>1</v>
      </c>
    </row>
    <row r="737" spans="1:16" x14ac:dyDescent="0.2">
      <c r="A737" t="s">
        <v>1123</v>
      </c>
      <c r="B737" s="1">
        <v>45905</v>
      </c>
      <c r="C737" s="1">
        <v>45992</v>
      </c>
      <c r="D737" t="s">
        <v>243</v>
      </c>
      <c r="E737" t="s">
        <v>45</v>
      </c>
      <c r="F737" t="s">
        <v>39</v>
      </c>
      <c r="G737" t="s">
        <v>50</v>
      </c>
      <c r="H737" t="s">
        <v>40</v>
      </c>
      <c r="I737" t="s">
        <v>22</v>
      </c>
      <c r="J737">
        <v>3</v>
      </c>
      <c r="K737">
        <v>1457000</v>
      </c>
      <c r="L737">
        <v>9.6000000000000002E-2</v>
      </c>
      <c r="M737" t="s">
        <v>23</v>
      </c>
      <c r="N737">
        <v>3951000</v>
      </c>
      <c r="O737">
        <v>4.7</v>
      </c>
      <c r="P737" t="b">
        <v>1</v>
      </c>
    </row>
    <row r="738" spans="1:16" x14ac:dyDescent="0.2">
      <c r="A738" t="s">
        <v>1124</v>
      </c>
      <c r="B738" s="1">
        <v>45341</v>
      </c>
      <c r="C738" s="1">
        <v>45404</v>
      </c>
      <c r="D738" t="s">
        <v>969</v>
      </c>
      <c r="E738" t="s">
        <v>45</v>
      </c>
      <c r="F738" t="s">
        <v>34</v>
      </c>
      <c r="G738" t="s">
        <v>20</v>
      </c>
      <c r="H738" t="s">
        <v>47</v>
      </c>
      <c r="I738" t="s">
        <v>26</v>
      </c>
      <c r="J738">
        <v>2</v>
      </c>
      <c r="K738">
        <v>5034000</v>
      </c>
      <c r="L738">
        <v>0.156</v>
      </c>
      <c r="M738" t="s">
        <v>23</v>
      </c>
      <c r="N738">
        <v>8497000</v>
      </c>
      <c r="O738">
        <v>4</v>
      </c>
      <c r="P738" t="b">
        <v>1</v>
      </c>
    </row>
    <row r="739" spans="1:16" x14ac:dyDescent="0.2">
      <c r="A739" t="s">
        <v>1125</v>
      </c>
      <c r="B739" s="1">
        <v>45517</v>
      </c>
      <c r="C739" s="1">
        <v>45530</v>
      </c>
      <c r="D739" t="s">
        <v>493</v>
      </c>
      <c r="E739" t="s">
        <v>29</v>
      </c>
      <c r="F739" t="s">
        <v>45</v>
      </c>
      <c r="G739" t="s">
        <v>20</v>
      </c>
      <c r="H739" t="s">
        <v>40</v>
      </c>
      <c r="I739" t="s">
        <v>94</v>
      </c>
      <c r="J739">
        <v>4</v>
      </c>
      <c r="K739">
        <v>3168000</v>
      </c>
      <c r="L739">
        <v>5.1999999999999998E-2</v>
      </c>
      <c r="M739" t="s">
        <v>23</v>
      </c>
      <c r="N739">
        <v>12013000</v>
      </c>
      <c r="O739">
        <v>4</v>
      </c>
      <c r="P739" t="b">
        <v>1</v>
      </c>
    </row>
    <row r="740" spans="1:16" x14ac:dyDescent="0.2">
      <c r="A740" t="s">
        <v>1126</v>
      </c>
      <c r="B740" s="1">
        <v>45749</v>
      </c>
      <c r="C740" s="1">
        <v>45775</v>
      </c>
      <c r="D740" t="s">
        <v>938</v>
      </c>
      <c r="E740" t="s">
        <v>45</v>
      </c>
      <c r="F740" t="s">
        <v>34</v>
      </c>
      <c r="G740" t="s">
        <v>46</v>
      </c>
      <c r="H740" t="s">
        <v>21</v>
      </c>
      <c r="I740" t="s">
        <v>94</v>
      </c>
      <c r="J740">
        <v>1</v>
      </c>
      <c r="K740">
        <v>3446000</v>
      </c>
      <c r="L740">
        <v>0.182</v>
      </c>
      <c r="M740" t="s">
        <v>23</v>
      </c>
      <c r="N740">
        <v>2819000</v>
      </c>
      <c r="O740">
        <v>3.8</v>
      </c>
      <c r="P740" t="b">
        <v>1</v>
      </c>
    </row>
    <row r="741" spans="1:16" x14ac:dyDescent="0.2">
      <c r="A741" t="s">
        <v>1127</v>
      </c>
      <c r="B741" s="1">
        <v>45798</v>
      </c>
      <c r="C741" s="1">
        <v>45865</v>
      </c>
      <c r="D741" t="s">
        <v>452</v>
      </c>
      <c r="E741" t="s">
        <v>33</v>
      </c>
      <c r="F741" t="s">
        <v>68</v>
      </c>
      <c r="G741" t="s">
        <v>20</v>
      </c>
      <c r="H741" t="s">
        <v>40</v>
      </c>
      <c r="I741" t="s">
        <v>94</v>
      </c>
      <c r="J741">
        <v>3</v>
      </c>
      <c r="K741">
        <v>2013000</v>
      </c>
      <c r="L741">
        <v>4.8000000000000001E-2</v>
      </c>
      <c r="M741" t="s">
        <v>23</v>
      </c>
      <c r="N741">
        <v>5749000</v>
      </c>
      <c r="O741">
        <v>4.5999999999999996</v>
      </c>
      <c r="P741" t="b">
        <v>1</v>
      </c>
    </row>
    <row r="742" spans="1:16" x14ac:dyDescent="0.2">
      <c r="A742" t="s">
        <v>1128</v>
      </c>
      <c r="B742" s="1">
        <v>45384</v>
      </c>
      <c r="C742" s="1">
        <v>45438</v>
      </c>
      <c r="D742" t="s">
        <v>363</v>
      </c>
      <c r="E742" t="s">
        <v>45</v>
      </c>
      <c r="F742" t="s">
        <v>25</v>
      </c>
      <c r="G742" t="s">
        <v>35</v>
      </c>
      <c r="H742" t="s">
        <v>40</v>
      </c>
      <c r="I742" t="s">
        <v>22</v>
      </c>
      <c r="J742">
        <v>1</v>
      </c>
      <c r="K742">
        <v>5253000</v>
      </c>
      <c r="L742">
        <v>0.13500000000000001</v>
      </c>
      <c r="M742" t="s">
        <v>23</v>
      </c>
      <c r="N742">
        <v>4544000</v>
      </c>
      <c r="O742">
        <v>4</v>
      </c>
      <c r="P742" t="b">
        <v>1</v>
      </c>
    </row>
    <row r="743" spans="1:16" x14ac:dyDescent="0.2">
      <c r="A743" t="s">
        <v>1129</v>
      </c>
      <c r="B743" s="1">
        <v>45490</v>
      </c>
      <c r="C743" s="1">
        <v>45524</v>
      </c>
      <c r="D743" t="s">
        <v>659</v>
      </c>
      <c r="E743" t="s">
        <v>33</v>
      </c>
      <c r="F743" t="s">
        <v>80</v>
      </c>
      <c r="G743" t="s">
        <v>35</v>
      </c>
      <c r="H743" t="s">
        <v>21</v>
      </c>
      <c r="I743" t="s">
        <v>26</v>
      </c>
      <c r="J743">
        <v>1</v>
      </c>
      <c r="K743">
        <v>3431000</v>
      </c>
      <c r="L743">
        <v>4.8000000000000001E-2</v>
      </c>
      <c r="M743" t="s">
        <v>23</v>
      </c>
      <c r="N743">
        <v>3266000</v>
      </c>
      <c r="O743">
        <v>3.8</v>
      </c>
      <c r="P743" t="b">
        <v>0</v>
      </c>
    </row>
    <row r="744" spans="1:16" x14ac:dyDescent="0.2">
      <c r="A744" t="s">
        <v>1130</v>
      </c>
      <c r="B744" s="1">
        <v>45633</v>
      </c>
      <c r="C744" s="1">
        <v>45685</v>
      </c>
      <c r="D744" t="s">
        <v>990</v>
      </c>
      <c r="E744" t="s">
        <v>33</v>
      </c>
      <c r="F744" t="s">
        <v>34</v>
      </c>
      <c r="G744" t="s">
        <v>35</v>
      </c>
      <c r="H744" t="s">
        <v>40</v>
      </c>
      <c r="I744" t="s">
        <v>57</v>
      </c>
      <c r="J744">
        <v>1</v>
      </c>
      <c r="K744">
        <v>4272000</v>
      </c>
      <c r="L744">
        <v>0.14799999999999999</v>
      </c>
      <c r="M744" t="s">
        <v>23</v>
      </c>
      <c r="N744">
        <v>3640000</v>
      </c>
      <c r="O744">
        <v>4.5</v>
      </c>
      <c r="P744" t="b">
        <v>1</v>
      </c>
    </row>
    <row r="745" spans="1:16" x14ac:dyDescent="0.2">
      <c r="A745" t="s">
        <v>1131</v>
      </c>
      <c r="B745" s="1">
        <v>45789</v>
      </c>
      <c r="C745" s="1">
        <v>45872</v>
      </c>
      <c r="D745" t="s">
        <v>294</v>
      </c>
      <c r="E745" t="s">
        <v>33</v>
      </c>
      <c r="F745" t="s">
        <v>34</v>
      </c>
      <c r="G745" t="s">
        <v>20</v>
      </c>
      <c r="H745" t="s">
        <v>21</v>
      </c>
      <c r="I745" t="s">
        <v>30</v>
      </c>
      <c r="J745">
        <v>1</v>
      </c>
      <c r="K745">
        <v>3945000</v>
      </c>
      <c r="L745">
        <v>4.4999999999999998E-2</v>
      </c>
      <c r="M745" t="s">
        <v>65</v>
      </c>
      <c r="N745">
        <v>0</v>
      </c>
      <c r="P745" t="b">
        <v>1</v>
      </c>
    </row>
    <row r="746" spans="1:16" x14ac:dyDescent="0.2">
      <c r="A746" t="s">
        <v>1132</v>
      </c>
      <c r="B746" s="1">
        <v>45362</v>
      </c>
      <c r="C746" s="1">
        <v>45403</v>
      </c>
      <c r="D746" t="s">
        <v>238</v>
      </c>
      <c r="E746" t="s">
        <v>45</v>
      </c>
      <c r="F746" t="s">
        <v>19</v>
      </c>
      <c r="G746" t="s">
        <v>50</v>
      </c>
      <c r="H746" t="s">
        <v>47</v>
      </c>
      <c r="I746" t="s">
        <v>77</v>
      </c>
      <c r="J746">
        <v>3</v>
      </c>
      <c r="K746">
        <v>2873000</v>
      </c>
      <c r="L746">
        <v>0.219</v>
      </c>
      <c r="M746" t="s">
        <v>23</v>
      </c>
      <c r="N746">
        <v>6731000</v>
      </c>
      <c r="O746">
        <v>4</v>
      </c>
      <c r="P746" t="b">
        <v>1</v>
      </c>
    </row>
    <row r="747" spans="1:16" x14ac:dyDescent="0.2">
      <c r="A747" t="s">
        <v>1133</v>
      </c>
      <c r="B747" s="1">
        <v>45666</v>
      </c>
      <c r="C747" s="1">
        <v>45679</v>
      </c>
      <c r="D747" t="s">
        <v>949</v>
      </c>
      <c r="E747" t="s">
        <v>45</v>
      </c>
      <c r="F747" t="s">
        <v>68</v>
      </c>
      <c r="G747" t="s">
        <v>20</v>
      </c>
      <c r="H747" t="s">
        <v>51</v>
      </c>
      <c r="I747" t="s">
        <v>30</v>
      </c>
      <c r="J747">
        <v>2</v>
      </c>
      <c r="K747">
        <v>1903000</v>
      </c>
      <c r="L747">
        <v>0.24099999999999999</v>
      </c>
      <c r="M747" t="s">
        <v>23</v>
      </c>
      <c r="N747">
        <v>2889000</v>
      </c>
      <c r="O747">
        <v>4.3</v>
      </c>
      <c r="P747" t="b">
        <v>1</v>
      </c>
    </row>
    <row r="748" spans="1:16" x14ac:dyDescent="0.2">
      <c r="A748" t="s">
        <v>1134</v>
      </c>
      <c r="B748" s="1">
        <v>45476</v>
      </c>
      <c r="C748" s="1">
        <v>45511</v>
      </c>
      <c r="D748" t="s">
        <v>737</v>
      </c>
      <c r="E748" t="s">
        <v>18</v>
      </c>
      <c r="F748" t="s">
        <v>39</v>
      </c>
      <c r="G748" t="s">
        <v>50</v>
      </c>
      <c r="H748" t="s">
        <v>51</v>
      </c>
      <c r="I748" t="s">
        <v>26</v>
      </c>
      <c r="J748">
        <v>2</v>
      </c>
      <c r="K748">
        <v>1549000</v>
      </c>
      <c r="L748">
        <v>9.5000000000000001E-2</v>
      </c>
      <c r="M748" t="s">
        <v>23</v>
      </c>
      <c r="N748">
        <v>2804000</v>
      </c>
      <c r="O748">
        <v>3.9</v>
      </c>
      <c r="P748" t="b">
        <v>1</v>
      </c>
    </row>
    <row r="749" spans="1:16" x14ac:dyDescent="0.2">
      <c r="A749" t="s">
        <v>1135</v>
      </c>
      <c r="B749" s="1">
        <v>45426</v>
      </c>
      <c r="C749" s="1">
        <v>45511</v>
      </c>
      <c r="D749" t="s">
        <v>49</v>
      </c>
      <c r="E749" t="s">
        <v>18</v>
      </c>
      <c r="F749" t="s">
        <v>68</v>
      </c>
      <c r="G749" t="s">
        <v>20</v>
      </c>
      <c r="H749" t="s">
        <v>47</v>
      </c>
      <c r="I749" t="s">
        <v>99</v>
      </c>
      <c r="J749">
        <v>2</v>
      </c>
      <c r="K749">
        <v>2532000</v>
      </c>
      <c r="L749">
        <v>0.122</v>
      </c>
      <c r="M749" t="s">
        <v>23</v>
      </c>
      <c r="N749">
        <v>4446000</v>
      </c>
      <c r="O749">
        <v>4</v>
      </c>
      <c r="P749" t="b">
        <v>1</v>
      </c>
    </row>
    <row r="750" spans="1:16" x14ac:dyDescent="0.2">
      <c r="A750" t="s">
        <v>1136</v>
      </c>
      <c r="B750" s="1">
        <v>45613</v>
      </c>
      <c r="C750" s="1">
        <v>45684</v>
      </c>
      <c r="D750" t="s">
        <v>1137</v>
      </c>
      <c r="E750" t="s">
        <v>33</v>
      </c>
      <c r="F750" t="s">
        <v>34</v>
      </c>
      <c r="G750" t="s">
        <v>35</v>
      </c>
      <c r="H750" t="s">
        <v>40</v>
      </c>
      <c r="I750" t="s">
        <v>60</v>
      </c>
      <c r="J750">
        <v>2</v>
      </c>
      <c r="K750">
        <v>3188000</v>
      </c>
      <c r="L750">
        <v>2.8000000000000001E-2</v>
      </c>
      <c r="M750" t="s">
        <v>23</v>
      </c>
      <c r="N750">
        <v>6197000</v>
      </c>
      <c r="O750">
        <v>5</v>
      </c>
      <c r="P750" t="b">
        <v>0</v>
      </c>
    </row>
    <row r="751" spans="1:16" x14ac:dyDescent="0.2">
      <c r="A751" t="s">
        <v>1138</v>
      </c>
      <c r="B751" s="1">
        <v>45549</v>
      </c>
      <c r="C751" s="1">
        <v>45626</v>
      </c>
      <c r="D751" t="s">
        <v>662</v>
      </c>
      <c r="E751" t="s">
        <v>18</v>
      </c>
      <c r="F751" t="s">
        <v>25</v>
      </c>
      <c r="G751" t="s">
        <v>50</v>
      </c>
      <c r="H751" t="s">
        <v>47</v>
      </c>
      <c r="I751" t="s">
        <v>57</v>
      </c>
      <c r="J751">
        <v>2</v>
      </c>
      <c r="K751">
        <v>6836000</v>
      </c>
      <c r="L751">
        <v>3.5000000000000003E-2</v>
      </c>
      <c r="M751" t="s">
        <v>23</v>
      </c>
      <c r="N751">
        <v>13193000</v>
      </c>
      <c r="O751">
        <v>4.0999999999999996</v>
      </c>
      <c r="P751" t="b">
        <v>1</v>
      </c>
    </row>
    <row r="752" spans="1:16" x14ac:dyDescent="0.2">
      <c r="A752" t="s">
        <v>1139</v>
      </c>
      <c r="B752" s="1">
        <v>45688</v>
      </c>
      <c r="C752" s="1">
        <v>45771</v>
      </c>
      <c r="D752" t="s">
        <v>234</v>
      </c>
      <c r="E752" t="s">
        <v>29</v>
      </c>
      <c r="F752" t="s">
        <v>19</v>
      </c>
      <c r="G752" t="s">
        <v>20</v>
      </c>
      <c r="H752" t="s">
        <v>21</v>
      </c>
      <c r="I752" t="s">
        <v>60</v>
      </c>
      <c r="J752">
        <v>3</v>
      </c>
      <c r="K752">
        <v>2941000</v>
      </c>
      <c r="L752">
        <v>0.10100000000000001</v>
      </c>
      <c r="M752" t="s">
        <v>23</v>
      </c>
      <c r="N752">
        <v>7932000</v>
      </c>
      <c r="O752">
        <v>4</v>
      </c>
      <c r="P752" t="b">
        <v>1</v>
      </c>
    </row>
    <row r="753" spans="1:16" x14ac:dyDescent="0.2">
      <c r="A753" t="s">
        <v>1140</v>
      </c>
      <c r="B753" s="1">
        <v>45489</v>
      </c>
      <c r="C753" s="1">
        <v>45508</v>
      </c>
      <c r="D753" t="s">
        <v>59</v>
      </c>
      <c r="E753" t="s">
        <v>29</v>
      </c>
      <c r="F753" t="s">
        <v>25</v>
      </c>
      <c r="G753" t="s">
        <v>20</v>
      </c>
      <c r="H753" t="s">
        <v>21</v>
      </c>
      <c r="I753" t="s">
        <v>52</v>
      </c>
      <c r="J753">
        <v>2</v>
      </c>
      <c r="K753">
        <v>5907000</v>
      </c>
      <c r="L753">
        <v>6.2E-2</v>
      </c>
      <c r="M753" t="s">
        <v>23</v>
      </c>
      <c r="N753">
        <v>11082000</v>
      </c>
      <c r="O753">
        <v>4.0999999999999996</v>
      </c>
      <c r="P753" t="b">
        <v>1</v>
      </c>
    </row>
    <row r="754" spans="1:16" x14ac:dyDescent="0.2">
      <c r="A754" t="s">
        <v>1141</v>
      </c>
      <c r="B754" s="1">
        <v>45804</v>
      </c>
      <c r="C754" s="1">
        <v>45836</v>
      </c>
      <c r="D754" t="s">
        <v>505</v>
      </c>
      <c r="E754" t="s">
        <v>33</v>
      </c>
      <c r="F754" t="s">
        <v>80</v>
      </c>
      <c r="G754" t="s">
        <v>50</v>
      </c>
      <c r="H754" t="s">
        <v>21</v>
      </c>
      <c r="I754" t="s">
        <v>22</v>
      </c>
      <c r="J754">
        <v>2</v>
      </c>
      <c r="K754">
        <v>3227000</v>
      </c>
      <c r="L754">
        <v>5.1999999999999998E-2</v>
      </c>
      <c r="M754" t="s">
        <v>65</v>
      </c>
      <c r="N754">
        <v>0</v>
      </c>
      <c r="P754" t="b">
        <v>0</v>
      </c>
    </row>
    <row r="755" spans="1:16" x14ac:dyDescent="0.2">
      <c r="A755" t="s">
        <v>1142</v>
      </c>
      <c r="B755" s="1">
        <v>45340</v>
      </c>
      <c r="C755" s="1">
        <v>45354</v>
      </c>
      <c r="D755" t="s">
        <v>358</v>
      </c>
      <c r="E755" t="s">
        <v>45</v>
      </c>
      <c r="F755" t="s">
        <v>19</v>
      </c>
      <c r="G755" t="s">
        <v>20</v>
      </c>
      <c r="H755" t="s">
        <v>21</v>
      </c>
      <c r="I755" t="s">
        <v>26</v>
      </c>
      <c r="J755">
        <v>1</v>
      </c>
      <c r="K755">
        <v>2447000</v>
      </c>
      <c r="L755">
        <v>2.1000000000000001E-2</v>
      </c>
      <c r="M755" t="s">
        <v>23</v>
      </c>
      <c r="N755">
        <v>2396000</v>
      </c>
      <c r="O755">
        <v>3.7</v>
      </c>
      <c r="P755" t="b">
        <v>0</v>
      </c>
    </row>
    <row r="756" spans="1:16" x14ac:dyDescent="0.2">
      <c r="A756" t="s">
        <v>1143</v>
      </c>
      <c r="B756" s="1">
        <v>45828</v>
      </c>
      <c r="C756" s="1">
        <v>45838</v>
      </c>
      <c r="D756" t="s">
        <v>443</v>
      </c>
      <c r="E756" t="s">
        <v>33</v>
      </c>
      <c r="F756" t="s">
        <v>25</v>
      </c>
      <c r="G756" t="s">
        <v>20</v>
      </c>
      <c r="H756" t="s">
        <v>51</v>
      </c>
      <c r="I756" t="s">
        <v>77</v>
      </c>
      <c r="J756">
        <v>3</v>
      </c>
      <c r="K756">
        <v>6424000</v>
      </c>
      <c r="L756">
        <v>0.106</v>
      </c>
      <c r="M756" t="s">
        <v>65</v>
      </c>
      <c r="N756">
        <v>0</v>
      </c>
      <c r="P756" t="b">
        <v>1</v>
      </c>
    </row>
    <row r="757" spans="1:16" x14ac:dyDescent="0.2">
      <c r="A757" t="s">
        <v>1144</v>
      </c>
      <c r="B757" s="1">
        <v>45310</v>
      </c>
      <c r="C757" s="1">
        <v>45387</v>
      </c>
      <c r="D757" t="s">
        <v>356</v>
      </c>
      <c r="E757" t="s">
        <v>18</v>
      </c>
      <c r="F757" t="s">
        <v>34</v>
      </c>
      <c r="G757" t="s">
        <v>35</v>
      </c>
      <c r="H757" t="s">
        <v>47</v>
      </c>
      <c r="I757" t="s">
        <v>83</v>
      </c>
      <c r="J757">
        <v>1</v>
      </c>
      <c r="K757">
        <v>4921000</v>
      </c>
      <c r="L757">
        <v>0.249</v>
      </c>
      <c r="M757" t="s">
        <v>23</v>
      </c>
      <c r="N757">
        <v>3696000</v>
      </c>
      <c r="O757">
        <v>4.3</v>
      </c>
      <c r="P757" t="b">
        <v>0</v>
      </c>
    </row>
    <row r="758" spans="1:16" x14ac:dyDescent="0.2">
      <c r="A758" t="s">
        <v>1145</v>
      </c>
      <c r="B758" s="1">
        <v>45750</v>
      </c>
      <c r="C758" s="1">
        <v>45835</v>
      </c>
      <c r="D758" t="s">
        <v>128</v>
      </c>
      <c r="E758" t="s">
        <v>18</v>
      </c>
      <c r="F758" t="s">
        <v>25</v>
      </c>
      <c r="G758" t="s">
        <v>50</v>
      </c>
      <c r="H758" t="s">
        <v>21</v>
      </c>
      <c r="I758" t="s">
        <v>60</v>
      </c>
      <c r="J758">
        <v>1</v>
      </c>
      <c r="K758">
        <v>4458000</v>
      </c>
      <c r="L758">
        <v>0.111</v>
      </c>
      <c r="M758" t="s">
        <v>23</v>
      </c>
      <c r="N758">
        <v>3963000</v>
      </c>
      <c r="O758">
        <v>3.3</v>
      </c>
      <c r="P758" t="b">
        <v>1</v>
      </c>
    </row>
    <row r="759" spans="1:16" x14ac:dyDescent="0.2">
      <c r="A759" t="s">
        <v>1146</v>
      </c>
      <c r="B759" s="1">
        <v>45507</v>
      </c>
      <c r="C759" s="1">
        <v>45529</v>
      </c>
      <c r="D759" t="s">
        <v>128</v>
      </c>
      <c r="E759" t="s">
        <v>18</v>
      </c>
      <c r="F759" t="s">
        <v>45</v>
      </c>
      <c r="G759" t="s">
        <v>35</v>
      </c>
      <c r="H759" t="s">
        <v>21</v>
      </c>
      <c r="I759" t="s">
        <v>26</v>
      </c>
      <c r="J759">
        <v>4</v>
      </c>
      <c r="K759">
        <v>3959000</v>
      </c>
      <c r="L759">
        <v>0.10299999999999999</v>
      </c>
      <c r="M759" t="s">
        <v>23</v>
      </c>
      <c r="N759">
        <v>14205000</v>
      </c>
      <c r="O759">
        <v>5</v>
      </c>
      <c r="P759" t="b">
        <v>0</v>
      </c>
    </row>
    <row r="760" spans="1:16" x14ac:dyDescent="0.2">
      <c r="A760" t="s">
        <v>1147</v>
      </c>
      <c r="B760" s="1">
        <v>45530</v>
      </c>
      <c r="C760" s="1">
        <v>45598</v>
      </c>
      <c r="D760" t="s">
        <v>54</v>
      </c>
      <c r="E760" t="s">
        <v>33</v>
      </c>
      <c r="F760" t="s">
        <v>34</v>
      </c>
      <c r="G760" t="s">
        <v>20</v>
      </c>
      <c r="H760" t="s">
        <v>40</v>
      </c>
      <c r="I760" t="s">
        <v>57</v>
      </c>
      <c r="J760">
        <v>1</v>
      </c>
      <c r="K760">
        <v>3567000</v>
      </c>
      <c r="L760">
        <v>0.13400000000000001</v>
      </c>
      <c r="M760" t="s">
        <v>23</v>
      </c>
      <c r="N760">
        <v>3089000</v>
      </c>
      <c r="O760">
        <v>4.9000000000000004</v>
      </c>
      <c r="P760" t="b">
        <v>1</v>
      </c>
    </row>
    <row r="761" spans="1:16" x14ac:dyDescent="0.2">
      <c r="A761" t="s">
        <v>1148</v>
      </c>
      <c r="B761" s="1">
        <v>45303</v>
      </c>
      <c r="C761" s="1">
        <v>45356</v>
      </c>
      <c r="D761" t="s">
        <v>374</v>
      </c>
      <c r="E761" t="s">
        <v>45</v>
      </c>
      <c r="F761" t="s">
        <v>68</v>
      </c>
      <c r="G761" t="s">
        <v>46</v>
      </c>
      <c r="H761" t="s">
        <v>21</v>
      </c>
      <c r="I761" t="s">
        <v>30</v>
      </c>
      <c r="J761">
        <v>1</v>
      </c>
      <c r="K761">
        <v>2256000</v>
      </c>
      <c r="L761">
        <v>6.9000000000000006E-2</v>
      </c>
      <c r="M761" t="s">
        <v>23</v>
      </c>
      <c r="N761">
        <v>2100000</v>
      </c>
      <c r="O761">
        <v>3.8</v>
      </c>
      <c r="P761" t="b">
        <v>1</v>
      </c>
    </row>
    <row r="762" spans="1:16" x14ac:dyDescent="0.2">
      <c r="A762" t="s">
        <v>1149</v>
      </c>
      <c r="B762" s="1">
        <v>45729</v>
      </c>
      <c r="C762" s="1">
        <v>45744</v>
      </c>
      <c r="D762" t="s">
        <v>1084</v>
      </c>
      <c r="E762" t="s">
        <v>45</v>
      </c>
      <c r="F762" t="s">
        <v>25</v>
      </c>
      <c r="G762" t="s">
        <v>35</v>
      </c>
      <c r="H762" t="s">
        <v>47</v>
      </c>
      <c r="I762" t="s">
        <v>57</v>
      </c>
      <c r="J762">
        <v>1</v>
      </c>
      <c r="K762">
        <v>5840000</v>
      </c>
      <c r="L762">
        <v>0.124</v>
      </c>
      <c r="M762" t="s">
        <v>23</v>
      </c>
      <c r="N762">
        <v>5116000</v>
      </c>
      <c r="O762">
        <v>3.6</v>
      </c>
      <c r="P762" t="b">
        <v>1</v>
      </c>
    </row>
    <row r="763" spans="1:16" x14ac:dyDescent="0.2">
      <c r="A763" t="s">
        <v>1150</v>
      </c>
      <c r="B763" s="1">
        <v>45395</v>
      </c>
      <c r="C763" s="1">
        <v>45479</v>
      </c>
      <c r="D763" t="s">
        <v>725</v>
      </c>
      <c r="E763" t="s">
        <v>18</v>
      </c>
      <c r="F763" t="s">
        <v>39</v>
      </c>
      <c r="G763" t="s">
        <v>20</v>
      </c>
      <c r="H763" t="s">
        <v>51</v>
      </c>
      <c r="I763" t="s">
        <v>26</v>
      </c>
      <c r="J763">
        <v>1</v>
      </c>
      <c r="K763">
        <v>1967000</v>
      </c>
      <c r="L763">
        <v>0.14399999999999999</v>
      </c>
      <c r="M763" t="s">
        <v>23</v>
      </c>
      <c r="N763">
        <v>1684000</v>
      </c>
      <c r="O763">
        <v>4.3</v>
      </c>
      <c r="P763" t="b">
        <v>1</v>
      </c>
    </row>
    <row r="764" spans="1:16" x14ac:dyDescent="0.2">
      <c r="A764" t="s">
        <v>1151</v>
      </c>
      <c r="B764" s="1">
        <v>45702</v>
      </c>
      <c r="C764" s="1">
        <v>45782</v>
      </c>
      <c r="D764" t="s">
        <v>410</v>
      </c>
      <c r="E764" t="s">
        <v>18</v>
      </c>
      <c r="F764" t="s">
        <v>45</v>
      </c>
      <c r="G764" t="s">
        <v>20</v>
      </c>
      <c r="H764" t="s">
        <v>21</v>
      </c>
      <c r="I764" t="s">
        <v>99</v>
      </c>
      <c r="J764">
        <v>5</v>
      </c>
      <c r="K764">
        <v>3396000</v>
      </c>
      <c r="L764">
        <v>9.9000000000000005E-2</v>
      </c>
      <c r="M764" t="s">
        <v>23</v>
      </c>
      <c r="N764">
        <v>15299000</v>
      </c>
      <c r="O764">
        <v>3.5</v>
      </c>
      <c r="P764" t="b">
        <v>0</v>
      </c>
    </row>
    <row r="765" spans="1:16" x14ac:dyDescent="0.2">
      <c r="A765" t="s">
        <v>1152</v>
      </c>
      <c r="B765" s="1">
        <v>45743</v>
      </c>
      <c r="C765" s="1">
        <v>45798</v>
      </c>
      <c r="D765" t="s">
        <v>190</v>
      </c>
      <c r="E765" t="s">
        <v>18</v>
      </c>
      <c r="F765" t="s">
        <v>45</v>
      </c>
      <c r="G765" t="s">
        <v>20</v>
      </c>
      <c r="H765" t="s">
        <v>21</v>
      </c>
      <c r="I765" t="s">
        <v>60</v>
      </c>
      <c r="J765">
        <v>4</v>
      </c>
      <c r="K765">
        <v>3935000</v>
      </c>
      <c r="L765">
        <v>9.2999999999999999E-2</v>
      </c>
      <c r="M765" t="s">
        <v>23</v>
      </c>
      <c r="N765">
        <v>14276000</v>
      </c>
      <c r="O765">
        <v>4.9000000000000004</v>
      </c>
      <c r="P765" t="b">
        <v>1</v>
      </c>
    </row>
    <row r="766" spans="1:16" x14ac:dyDescent="0.2">
      <c r="A766" t="s">
        <v>1153</v>
      </c>
      <c r="B766" s="1">
        <v>45818</v>
      </c>
      <c r="C766" s="1">
        <v>45885</v>
      </c>
      <c r="D766" t="s">
        <v>1093</v>
      </c>
      <c r="E766" t="s">
        <v>45</v>
      </c>
      <c r="F766" t="s">
        <v>45</v>
      </c>
      <c r="G766" t="s">
        <v>20</v>
      </c>
      <c r="H766" t="s">
        <v>21</v>
      </c>
      <c r="I766" t="s">
        <v>77</v>
      </c>
      <c r="J766">
        <v>3</v>
      </c>
      <c r="K766">
        <v>3162000</v>
      </c>
      <c r="L766">
        <v>0.104</v>
      </c>
      <c r="M766" t="s">
        <v>23</v>
      </c>
      <c r="N766">
        <v>8499000</v>
      </c>
      <c r="O766">
        <v>4</v>
      </c>
      <c r="P766" t="b">
        <v>1</v>
      </c>
    </row>
    <row r="767" spans="1:16" x14ac:dyDescent="0.2">
      <c r="A767" t="s">
        <v>1154</v>
      </c>
      <c r="B767" s="1">
        <v>45733</v>
      </c>
      <c r="C767" s="1">
        <v>45775</v>
      </c>
      <c r="D767" t="s">
        <v>1107</v>
      </c>
      <c r="E767" t="s">
        <v>29</v>
      </c>
      <c r="F767" t="s">
        <v>39</v>
      </c>
      <c r="G767" t="s">
        <v>35</v>
      </c>
      <c r="H767" t="s">
        <v>21</v>
      </c>
      <c r="I767" t="s">
        <v>52</v>
      </c>
      <c r="J767">
        <v>4</v>
      </c>
      <c r="K767">
        <v>2463000</v>
      </c>
      <c r="L767">
        <v>0.19</v>
      </c>
      <c r="M767" t="s">
        <v>65</v>
      </c>
      <c r="N767">
        <v>0</v>
      </c>
      <c r="P767" t="b">
        <v>1</v>
      </c>
    </row>
    <row r="768" spans="1:16" x14ac:dyDescent="0.2">
      <c r="A768" t="s">
        <v>1155</v>
      </c>
      <c r="B768" s="1">
        <v>45479</v>
      </c>
      <c r="C768" s="1">
        <v>45553</v>
      </c>
      <c r="D768" t="s">
        <v>1156</v>
      </c>
      <c r="E768" t="s">
        <v>18</v>
      </c>
      <c r="F768" t="s">
        <v>45</v>
      </c>
      <c r="G768" t="s">
        <v>20</v>
      </c>
      <c r="H768" t="s">
        <v>21</v>
      </c>
      <c r="I768" t="s">
        <v>565</v>
      </c>
      <c r="J768">
        <v>4</v>
      </c>
      <c r="K768">
        <v>4649000</v>
      </c>
      <c r="L768">
        <v>6.9000000000000006E-2</v>
      </c>
      <c r="M768" t="s">
        <v>23</v>
      </c>
      <c r="N768">
        <v>17313000</v>
      </c>
      <c r="O768">
        <v>3.8</v>
      </c>
      <c r="P768" t="b">
        <v>0</v>
      </c>
    </row>
    <row r="769" spans="1:16" x14ac:dyDescent="0.2">
      <c r="A769" t="s">
        <v>1157</v>
      </c>
      <c r="B769" s="1">
        <v>45752</v>
      </c>
      <c r="C769" s="1">
        <v>45798</v>
      </c>
      <c r="D769" t="s">
        <v>439</v>
      </c>
      <c r="E769" t="s">
        <v>45</v>
      </c>
      <c r="F769" t="s">
        <v>19</v>
      </c>
      <c r="G769" t="s">
        <v>35</v>
      </c>
      <c r="H769" t="s">
        <v>21</v>
      </c>
      <c r="I769" t="s">
        <v>30</v>
      </c>
      <c r="J769">
        <v>3</v>
      </c>
      <c r="K769">
        <v>1946000</v>
      </c>
      <c r="L769">
        <v>0.104</v>
      </c>
      <c r="M769" t="s">
        <v>23</v>
      </c>
      <c r="N769">
        <v>5231000</v>
      </c>
      <c r="O769">
        <v>4.0999999999999996</v>
      </c>
      <c r="P769" t="b">
        <v>1</v>
      </c>
    </row>
    <row r="770" spans="1:16" x14ac:dyDescent="0.2">
      <c r="A770" t="s">
        <v>1158</v>
      </c>
      <c r="B770" s="1">
        <v>45806</v>
      </c>
      <c r="C770" s="1">
        <v>45896</v>
      </c>
      <c r="D770" t="s">
        <v>198</v>
      </c>
      <c r="E770" t="s">
        <v>18</v>
      </c>
      <c r="F770" t="s">
        <v>34</v>
      </c>
      <c r="G770" t="s">
        <v>20</v>
      </c>
      <c r="H770" t="s">
        <v>21</v>
      </c>
      <c r="I770" t="s">
        <v>99</v>
      </c>
      <c r="J770">
        <v>1</v>
      </c>
      <c r="K770">
        <v>4058000</v>
      </c>
      <c r="L770">
        <v>0.04</v>
      </c>
      <c r="M770" t="s">
        <v>23</v>
      </c>
      <c r="N770">
        <v>3896000</v>
      </c>
      <c r="O770">
        <v>4.8</v>
      </c>
      <c r="P770" t="b">
        <v>1</v>
      </c>
    </row>
    <row r="771" spans="1:16" x14ac:dyDescent="0.2">
      <c r="A771" t="s">
        <v>1159</v>
      </c>
      <c r="B771" s="1">
        <v>45489</v>
      </c>
      <c r="C771" s="1">
        <v>45504</v>
      </c>
      <c r="D771" t="s">
        <v>582</v>
      </c>
      <c r="E771" t="s">
        <v>33</v>
      </c>
      <c r="F771" t="s">
        <v>45</v>
      </c>
      <c r="G771" t="s">
        <v>20</v>
      </c>
      <c r="H771" t="s">
        <v>21</v>
      </c>
      <c r="I771" t="s">
        <v>52</v>
      </c>
      <c r="J771">
        <v>3</v>
      </c>
      <c r="K771">
        <v>2590000</v>
      </c>
      <c r="L771">
        <v>6.3E-2</v>
      </c>
      <c r="M771" t="s">
        <v>23</v>
      </c>
      <c r="N771">
        <v>7280000</v>
      </c>
      <c r="O771">
        <v>4</v>
      </c>
      <c r="P771" t="b">
        <v>1</v>
      </c>
    </row>
    <row r="772" spans="1:16" x14ac:dyDescent="0.2">
      <c r="A772" t="s">
        <v>1160</v>
      </c>
      <c r="B772" s="1">
        <v>45369</v>
      </c>
      <c r="C772" s="1">
        <v>45392</v>
      </c>
      <c r="D772" t="s">
        <v>1161</v>
      </c>
      <c r="E772" t="s">
        <v>33</v>
      </c>
      <c r="F772" t="s">
        <v>34</v>
      </c>
      <c r="G772" t="s">
        <v>20</v>
      </c>
      <c r="H772" t="s">
        <v>21</v>
      </c>
      <c r="I772" t="s">
        <v>57</v>
      </c>
      <c r="J772">
        <v>1</v>
      </c>
      <c r="K772">
        <v>2774000</v>
      </c>
      <c r="L772">
        <v>0.186</v>
      </c>
      <c r="M772" t="s">
        <v>23</v>
      </c>
      <c r="N772">
        <v>2258000</v>
      </c>
      <c r="O772">
        <v>4.3</v>
      </c>
      <c r="P772" t="b">
        <v>0</v>
      </c>
    </row>
    <row r="773" spans="1:16" x14ac:dyDescent="0.2">
      <c r="A773" t="s">
        <v>1162</v>
      </c>
      <c r="B773" s="1">
        <v>45846</v>
      </c>
      <c r="C773" s="1">
        <v>45934</v>
      </c>
      <c r="D773" t="s">
        <v>611</v>
      </c>
      <c r="E773" t="s">
        <v>18</v>
      </c>
      <c r="F773" t="s">
        <v>19</v>
      </c>
      <c r="G773" t="s">
        <v>35</v>
      </c>
      <c r="H773" t="s">
        <v>47</v>
      </c>
      <c r="I773" t="s">
        <v>60</v>
      </c>
      <c r="J773">
        <v>1</v>
      </c>
      <c r="K773">
        <v>1841000</v>
      </c>
      <c r="L773">
        <v>7.1999999999999995E-2</v>
      </c>
      <c r="M773" t="s">
        <v>23</v>
      </c>
      <c r="N773">
        <v>1708000</v>
      </c>
      <c r="O773">
        <v>4.7</v>
      </c>
      <c r="P773" t="b">
        <v>1</v>
      </c>
    </row>
    <row r="774" spans="1:16" x14ac:dyDescent="0.2">
      <c r="A774" t="s">
        <v>1163</v>
      </c>
      <c r="B774" s="1">
        <v>45384</v>
      </c>
      <c r="C774" s="1">
        <v>45417</v>
      </c>
      <c r="D774" t="s">
        <v>809</v>
      </c>
      <c r="E774" t="s">
        <v>45</v>
      </c>
      <c r="F774" t="s">
        <v>34</v>
      </c>
      <c r="G774" t="s">
        <v>50</v>
      </c>
      <c r="H774" t="s">
        <v>21</v>
      </c>
      <c r="I774" t="s">
        <v>26</v>
      </c>
      <c r="J774">
        <v>2</v>
      </c>
      <c r="K774">
        <v>4911000</v>
      </c>
      <c r="L774">
        <v>0.185</v>
      </c>
      <c r="M774" t="s">
        <v>23</v>
      </c>
      <c r="N774">
        <v>8005000</v>
      </c>
      <c r="O774">
        <v>3.9</v>
      </c>
      <c r="P774" t="b">
        <v>0</v>
      </c>
    </row>
    <row r="775" spans="1:16" x14ac:dyDescent="0.2">
      <c r="A775" t="s">
        <v>1164</v>
      </c>
      <c r="B775" s="1">
        <v>45661</v>
      </c>
      <c r="C775" s="1">
        <v>45696</v>
      </c>
      <c r="D775" t="s">
        <v>632</v>
      </c>
      <c r="E775" t="s">
        <v>45</v>
      </c>
      <c r="F775" t="s">
        <v>25</v>
      </c>
      <c r="G775" t="s">
        <v>20</v>
      </c>
      <c r="H775" t="s">
        <v>47</v>
      </c>
      <c r="I775" t="s">
        <v>99</v>
      </c>
      <c r="J775">
        <v>1</v>
      </c>
      <c r="K775">
        <v>5271000</v>
      </c>
      <c r="L775">
        <v>0.126</v>
      </c>
      <c r="M775" t="s">
        <v>23</v>
      </c>
      <c r="N775">
        <v>4607000</v>
      </c>
      <c r="O775">
        <v>3.6</v>
      </c>
      <c r="P775" t="b">
        <v>1</v>
      </c>
    </row>
    <row r="776" spans="1:16" x14ac:dyDescent="0.2">
      <c r="A776" t="s">
        <v>1165</v>
      </c>
      <c r="B776" s="1">
        <v>45439</v>
      </c>
      <c r="C776" s="1">
        <v>45513</v>
      </c>
      <c r="D776" t="s">
        <v>72</v>
      </c>
      <c r="E776" t="s">
        <v>45</v>
      </c>
      <c r="F776" t="s">
        <v>34</v>
      </c>
      <c r="G776" t="s">
        <v>20</v>
      </c>
      <c r="H776" t="s">
        <v>21</v>
      </c>
      <c r="I776" t="s">
        <v>52</v>
      </c>
      <c r="J776">
        <v>2</v>
      </c>
      <c r="K776">
        <v>4872000</v>
      </c>
      <c r="L776">
        <v>0.153</v>
      </c>
      <c r="M776" t="s">
        <v>23</v>
      </c>
      <c r="N776">
        <v>8253000</v>
      </c>
      <c r="O776">
        <v>3.5</v>
      </c>
      <c r="P776" t="b">
        <v>0</v>
      </c>
    </row>
    <row r="777" spans="1:16" x14ac:dyDescent="0.2">
      <c r="A777" t="s">
        <v>1166</v>
      </c>
      <c r="B777" s="1">
        <v>45370</v>
      </c>
      <c r="C777" s="1">
        <v>45395</v>
      </c>
      <c r="D777" t="s">
        <v>1167</v>
      </c>
      <c r="E777" t="s">
        <v>45</v>
      </c>
      <c r="F777" t="s">
        <v>45</v>
      </c>
      <c r="G777" t="s">
        <v>20</v>
      </c>
      <c r="H777" t="s">
        <v>21</v>
      </c>
      <c r="I777" t="s">
        <v>22</v>
      </c>
      <c r="J777">
        <v>4</v>
      </c>
      <c r="K777">
        <v>3063000</v>
      </c>
      <c r="L777">
        <v>0.13900000000000001</v>
      </c>
      <c r="M777" t="s">
        <v>23</v>
      </c>
      <c r="N777">
        <v>10549000</v>
      </c>
      <c r="O777">
        <v>4.5</v>
      </c>
      <c r="P777" t="b">
        <v>0</v>
      </c>
    </row>
    <row r="778" spans="1:16" x14ac:dyDescent="0.2">
      <c r="A778" t="s">
        <v>1168</v>
      </c>
      <c r="B778" s="1">
        <v>45775</v>
      </c>
      <c r="C778" s="1">
        <v>45826</v>
      </c>
      <c r="D778" t="s">
        <v>1169</v>
      </c>
      <c r="E778" t="s">
        <v>18</v>
      </c>
      <c r="F778" t="s">
        <v>39</v>
      </c>
      <c r="G778" t="s">
        <v>50</v>
      </c>
      <c r="H778" t="s">
        <v>21</v>
      </c>
      <c r="I778" t="s">
        <v>94</v>
      </c>
      <c r="J778">
        <v>1</v>
      </c>
      <c r="K778">
        <v>2550000</v>
      </c>
      <c r="L778">
        <v>5.6000000000000001E-2</v>
      </c>
      <c r="M778" t="s">
        <v>65</v>
      </c>
      <c r="N778">
        <v>0</v>
      </c>
      <c r="P778" t="b">
        <v>1</v>
      </c>
    </row>
    <row r="779" spans="1:16" x14ac:dyDescent="0.2">
      <c r="A779" t="s">
        <v>1170</v>
      </c>
      <c r="B779" s="1">
        <v>45381</v>
      </c>
      <c r="C779" s="1">
        <v>45414</v>
      </c>
      <c r="D779" t="s">
        <v>387</v>
      </c>
      <c r="E779" t="s">
        <v>18</v>
      </c>
      <c r="F779" t="s">
        <v>39</v>
      </c>
      <c r="G779" t="s">
        <v>20</v>
      </c>
      <c r="H779" t="s">
        <v>47</v>
      </c>
      <c r="I779" t="s">
        <v>30</v>
      </c>
      <c r="J779">
        <v>1</v>
      </c>
      <c r="K779">
        <v>1375000</v>
      </c>
      <c r="L779">
        <v>0.154</v>
      </c>
      <c r="M779" t="s">
        <v>23</v>
      </c>
      <c r="N779">
        <v>1163000</v>
      </c>
      <c r="O779">
        <v>4.7</v>
      </c>
      <c r="P779" t="b">
        <v>0</v>
      </c>
    </row>
    <row r="780" spans="1:16" x14ac:dyDescent="0.2">
      <c r="A780" t="s">
        <v>1171</v>
      </c>
      <c r="B780" s="1">
        <v>45709</v>
      </c>
      <c r="C780" s="1">
        <v>45735</v>
      </c>
      <c r="D780" t="s">
        <v>101</v>
      </c>
      <c r="E780" t="s">
        <v>33</v>
      </c>
      <c r="F780" t="s">
        <v>19</v>
      </c>
      <c r="G780" t="s">
        <v>50</v>
      </c>
      <c r="H780" t="s">
        <v>21</v>
      </c>
      <c r="I780" t="s">
        <v>83</v>
      </c>
      <c r="J780">
        <v>2</v>
      </c>
      <c r="K780">
        <v>2297000</v>
      </c>
      <c r="L780">
        <v>0.1</v>
      </c>
      <c r="M780" t="s">
        <v>23</v>
      </c>
      <c r="N780">
        <v>4135000</v>
      </c>
      <c r="O780">
        <v>4.0999999999999996</v>
      </c>
      <c r="P780" t="b">
        <v>1</v>
      </c>
    </row>
    <row r="781" spans="1:16" x14ac:dyDescent="0.2">
      <c r="A781" t="s">
        <v>1172</v>
      </c>
      <c r="B781" s="1">
        <v>45723</v>
      </c>
      <c r="C781" s="1">
        <v>45811</v>
      </c>
      <c r="D781" t="s">
        <v>1173</v>
      </c>
      <c r="E781" t="s">
        <v>18</v>
      </c>
      <c r="F781" t="s">
        <v>25</v>
      </c>
      <c r="G781" t="s">
        <v>20</v>
      </c>
      <c r="H781" t="s">
        <v>21</v>
      </c>
      <c r="I781" t="s">
        <v>26</v>
      </c>
      <c r="J781">
        <v>3</v>
      </c>
      <c r="K781">
        <v>6439000</v>
      </c>
      <c r="L781">
        <v>0</v>
      </c>
      <c r="M781" t="s">
        <v>23</v>
      </c>
      <c r="N781">
        <v>19317000</v>
      </c>
      <c r="O781">
        <v>3.5</v>
      </c>
      <c r="P781" t="b">
        <v>1</v>
      </c>
    </row>
    <row r="782" spans="1:16" x14ac:dyDescent="0.2">
      <c r="A782" t="s">
        <v>1174</v>
      </c>
      <c r="B782" s="1">
        <v>45329</v>
      </c>
      <c r="C782" s="1">
        <v>45355</v>
      </c>
      <c r="D782" t="s">
        <v>1175</v>
      </c>
      <c r="E782" t="s">
        <v>18</v>
      </c>
      <c r="F782" t="s">
        <v>25</v>
      </c>
      <c r="G782" t="s">
        <v>20</v>
      </c>
      <c r="H782" t="s">
        <v>21</v>
      </c>
      <c r="I782" t="s">
        <v>60</v>
      </c>
      <c r="J782">
        <v>1</v>
      </c>
      <c r="K782">
        <v>6402000</v>
      </c>
      <c r="L782">
        <v>0.106</v>
      </c>
      <c r="M782" t="s">
        <v>23</v>
      </c>
      <c r="N782">
        <v>5723000</v>
      </c>
      <c r="O782">
        <v>3</v>
      </c>
      <c r="P782" t="b">
        <v>0</v>
      </c>
    </row>
    <row r="783" spans="1:16" x14ac:dyDescent="0.2">
      <c r="A783" t="s">
        <v>1176</v>
      </c>
      <c r="B783" s="1">
        <v>45399</v>
      </c>
      <c r="C783" s="1">
        <v>45416</v>
      </c>
      <c r="D783" t="s">
        <v>522</v>
      </c>
      <c r="E783" t="s">
        <v>33</v>
      </c>
      <c r="F783" t="s">
        <v>25</v>
      </c>
      <c r="G783" t="s">
        <v>50</v>
      </c>
      <c r="H783" t="s">
        <v>51</v>
      </c>
      <c r="I783" t="s">
        <v>83</v>
      </c>
      <c r="J783">
        <v>3</v>
      </c>
      <c r="K783">
        <v>4703000</v>
      </c>
      <c r="L783">
        <v>0.105</v>
      </c>
      <c r="M783" t="s">
        <v>23</v>
      </c>
      <c r="N783">
        <v>12628000</v>
      </c>
      <c r="O783">
        <v>5</v>
      </c>
      <c r="P783" t="b">
        <v>0</v>
      </c>
    </row>
    <row r="784" spans="1:16" x14ac:dyDescent="0.2">
      <c r="A784" t="s">
        <v>1177</v>
      </c>
      <c r="B784" s="1">
        <v>45786</v>
      </c>
      <c r="C784" s="1">
        <v>45850</v>
      </c>
      <c r="D784" t="s">
        <v>853</v>
      </c>
      <c r="E784" t="s">
        <v>45</v>
      </c>
      <c r="F784" t="s">
        <v>45</v>
      </c>
      <c r="G784" t="s">
        <v>35</v>
      </c>
      <c r="H784" t="s">
        <v>21</v>
      </c>
      <c r="I784" t="s">
        <v>52</v>
      </c>
      <c r="J784">
        <v>4</v>
      </c>
      <c r="K784">
        <v>3747000</v>
      </c>
      <c r="L784">
        <v>0</v>
      </c>
      <c r="M784" t="s">
        <v>23</v>
      </c>
      <c r="N784">
        <v>14988000</v>
      </c>
      <c r="O784">
        <v>4.5</v>
      </c>
      <c r="P784" t="b">
        <v>1</v>
      </c>
    </row>
    <row r="785" spans="1:16" x14ac:dyDescent="0.2">
      <c r="A785" t="s">
        <v>1178</v>
      </c>
      <c r="B785" s="1">
        <v>45608</v>
      </c>
      <c r="C785" s="1">
        <v>45688</v>
      </c>
      <c r="D785" t="s">
        <v>601</v>
      </c>
      <c r="E785" t="s">
        <v>45</v>
      </c>
      <c r="F785" t="s">
        <v>34</v>
      </c>
      <c r="G785" t="s">
        <v>20</v>
      </c>
      <c r="H785" t="s">
        <v>21</v>
      </c>
      <c r="I785" t="s">
        <v>83</v>
      </c>
      <c r="J785">
        <v>2</v>
      </c>
      <c r="K785">
        <v>3878000</v>
      </c>
      <c r="L785">
        <v>0.11600000000000001</v>
      </c>
      <c r="M785" t="s">
        <v>23</v>
      </c>
      <c r="N785">
        <v>6856000</v>
      </c>
      <c r="O785">
        <v>4.3</v>
      </c>
      <c r="P785" t="b">
        <v>1</v>
      </c>
    </row>
    <row r="786" spans="1:16" x14ac:dyDescent="0.2">
      <c r="A786" t="s">
        <v>1179</v>
      </c>
      <c r="B786" s="1">
        <v>45367</v>
      </c>
      <c r="C786" s="1">
        <v>45387</v>
      </c>
      <c r="D786" t="s">
        <v>273</v>
      </c>
      <c r="E786" t="s">
        <v>45</v>
      </c>
      <c r="F786" t="s">
        <v>68</v>
      </c>
      <c r="G786" t="s">
        <v>46</v>
      </c>
      <c r="H786" t="s">
        <v>47</v>
      </c>
      <c r="I786" t="s">
        <v>26</v>
      </c>
      <c r="J786">
        <v>1</v>
      </c>
      <c r="K786">
        <v>3365000</v>
      </c>
      <c r="L786">
        <v>0</v>
      </c>
      <c r="M786" t="s">
        <v>23</v>
      </c>
      <c r="N786">
        <v>3365000</v>
      </c>
      <c r="O786">
        <v>4.3</v>
      </c>
      <c r="P786" t="b">
        <v>0</v>
      </c>
    </row>
    <row r="787" spans="1:16" x14ac:dyDescent="0.2">
      <c r="A787" t="s">
        <v>1180</v>
      </c>
      <c r="B787" s="1">
        <v>45909</v>
      </c>
      <c r="C787" s="1">
        <v>45976</v>
      </c>
      <c r="D787" t="s">
        <v>613</v>
      </c>
      <c r="E787" t="s">
        <v>18</v>
      </c>
      <c r="F787" t="s">
        <v>34</v>
      </c>
      <c r="G787" t="s">
        <v>20</v>
      </c>
      <c r="H787" t="s">
        <v>21</v>
      </c>
      <c r="I787" t="s">
        <v>22</v>
      </c>
      <c r="J787">
        <v>2</v>
      </c>
      <c r="K787">
        <v>2496000</v>
      </c>
      <c r="L787">
        <v>9.9000000000000005E-2</v>
      </c>
      <c r="M787" t="s">
        <v>23</v>
      </c>
      <c r="N787">
        <v>4498000</v>
      </c>
      <c r="O787">
        <v>3.5</v>
      </c>
      <c r="P787" t="b">
        <v>1</v>
      </c>
    </row>
    <row r="788" spans="1:16" x14ac:dyDescent="0.2">
      <c r="A788" t="s">
        <v>1181</v>
      </c>
      <c r="B788" s="1">
        <v>45457</v>
      </c>
      <c r="C788" s="1">
        <v>45510</v>
      </c>
      <c r="D788" t="s">
        <v>138</v>
      </c>
      <c r="E788" t="s">
        <v>45</v>
      </c>
      <c r="F788" t="s">
        <v>39</v>
      </c>
      <c r="G788" t="s">
        <v>20</v>
      </c>
      <c r="H788" t="s">
        <v>21</v>
      </c>
      <c r="I788" t="s">
        <v>57</v>
      </c>
      <c r="J788">
        <v>3</v>
      </c>
      <c r="K788">
        <v>2771000</v>
      </c>
      <c r="L788">
        <v>7.0000000000000007E-2</v>
      </c>
      <c r="M788" t="s">
        <v>65</v>
      </c>
      <c r="N788">
        <v>0</v>
      </c>
      <c r="P788" t="b">
        <v>1</v>
      </c>
    </row>
    <row r="789" spans="1:16" x14ac:dyDescent="0.2">
      <c r="A789" t="s">
        <v>1182</v>
      </c>
      <c r="B789" s="1">
        <v>45294</v>
      </c>
      <c r="C789" s="1">
        <v>45371</v>
      </c>
      <c r="D789" t="s">
        <v>280</v>
      </c>
      <c r="E789" t="s">
        <v>45</v>
      </c>
      <c r="F789" t="s">
        <v>25</v>
      </c>
      <c r="G789" t="s">
        <v>20</v>
      </c>
      <c r="H789" t="s">
        <v>47</v>
      </c>
      <c r="I789" t="s">
        <v>26</v>
      </c>
      <c r="J789">
        <v>1</v>
      </c>
      <c r="K789">
        <v>5030000</v>
      </c>
      <c r="L789">
        <v>0.126</v>
      </c>
      <c r="M789" t="s">
        <v>23</v>
      </c>
      <c r="N789">
        <v>4396000</v>
      </c>
      <c r="O789">
        <v>5</v>
      </c>
      <c r="P789" t="b">
        <v>0</v>
      </c>
    </row>
    <row r="790" spans="1:16" x14ac:dyDescent="0.2">
      <c r="A790" t="s">
        <v>1183</v>
      </c>
      <c r="B790" s="1">
        <v>45867</v>
      </c>
      <c r="C790" s="1">
        <v>45887</v>
      </c>
      <c r="D790" t="s">
        <v>238</v>
      </c>
      <c r="E790" t="s">
        <v>45</v>
      </c>
      <c r="F790" t="s">
        <v>19</v>
      </c>
      <c r="G790" t="s">
        <v>35</v>
      </c>
      <c r="H790" t="s">
        <v>21</v>
      </c>
      <c r="I790" t="s">
        <v>83</v>
      </c>
      <c r="J790">
        <v>4</v>
      </c>
      <c r="K790">
        <v>3345000</v>
      </c>
      <c r="L790">
        <v>4.3999999999999997E-2</v>
      </c>
      <c r="M790" t="s">
        <v>23</v>
      </c>
      <c r="N790">
        <v>12791000</v>
      </c>
      <c r="O790">
        <v>4.5</v>
      </c>
      <c r="P790" t="b">
        <v>1</v>
      </c>
    </row>
    <row r="791" spans="1:16" x14ac:dyDescent="0.2">
      <c r="A791" t="s">
        <v>1184</v>
      </c>
      <c r="B791" s="1">
        <v>45302</v>
      </c>
      <c r="C791" s="1">
        <v>45391</v>
      </c>
      <c r="D791" t="s">
        <v>289</v>
      </c>
      <c r="E791" t="s">
        <v>45</v>
      </c>
      <c r="F791" t="s">
        <v>45</v>
      </c>
      <c r="G791" t="s">
        <v>50</v>
      </c>
      <c r="H791" t="s">
        <v>21</v>
      </c>
      <c r="I791" t="s">
        <v>52</v>
      </c>
      <c r="J791">
        <v>5</v>
      </c>
      <c r="K791">
        <v>3529000</v>
      </c>
      <c r="L791">
        <v>0.115</v>
      </c>
      <c r="M791" t="s">
        <v>23</v>
      </c>
      <c r="N791">
        <v>15616000</v>
      </c>
      <c r="O791">
        <v>3.8</v>
      </c>
      <c r="P791" t="b">
        <v>0</v>
      </c>
    </row>
    <row r="792" spans="1:16" x14ac:dyDescent="0.2">
      <c r="A792" t="s">
        <v>1185</v>
      </c>
      <c r="B792" s="1">
        <v>45636</v>
      </c>
      <c r="C792" s="1">
        <v>45696</v>
      </c>
      <c r="D792" t="s">
        <v>336</v>
      </c>
      <c r="E792" t="s">
        <v>29</v>
      </c>
      <c r="F792" t="s">
        <v>34</v>
      </c>
      <c r="G792" t="s">
        <v>20</v>
      </c>
      <c r="H792" t="s">
        <v>21</v>
      </c>
      <c r="I792" t="s">
        <v>60</v>
      </c>
      <c r="J792">
        <v>1</v>
      </c>
      <c r="K792">
        <v>3770000</v>
      </c>
      <c r="L792">
        <v>7.2999999999999995E-2</v>
      </c>
      <c r="M792" t="s">
        <v>23</v>
      </c>
      <c r="N792">
        <v>3495000</v>
      </c>
      <c r="O792">
        <v>3.6</v>
      </c>
      <c r="P792" t="b">
        <v>1</v>
      </c>
    </row>
    <row r="793" spans="1:16" x14ac:dyDescent="0.2">
      <c r="A793" t="s">
        <v>1186</v>
      </c>
      <c r="B793" s="1">
        <v>45910</v>
      </c>
      <c r="C793" s="1">
        <v>45988</v>
      </c>
      <c r="D793" t="s">
        <v>54</v>
      </c>
      <c r="E793" t="s">
        <v>33</v>
      </c>
      <c r="F793" t="s">
        <v>45</v>
      </c>
      <c r="G793" t="s">
        <v>50</v>
      </c>
      <c r="H793" t="s">
        <v>21</v>
      </c>
      <c r="I793" t="s">
        <v>22</v>
      </c>
      <c r="J793">
        <v>4</v>
      </c>
      <c r="K793">
        <v>3096000</v>
      </c>
      <c r="L793">
        <v>0.121</v>
      </c>
      <c r="M793" t="s">
        <v>23</v>
      </c>
      <c r="N793">
        <v>10886000</v>
      </c>
      <c r="O793">
        <v>3.9</v>
      </c>
      <c r="P793" t="b">
        <v>1</v>
      </c>
    </row>
    <row r="794" spans="1:16" x14ac:dyDescent="0.2">
      <c r="A794" t="s">
        <v>1187</v>
      </c>
      <c r="B794" s="1">
        <v>45651</v>
      </c>
      <c r="C794" s="1">
        <v>45690</v>
      </c>
      <c r="D794" t="s">
        <v>155</v>
      </c>
      <c r="E794" t="s">
        <v>33</v>
      </c>
      <c r="F794" t="s">
        <v>25</v>
      </c>
      <c r="G794" t="s">
        <v>35</v>
      </c>
      <c r="H794" t="s">
        <v>51</v>
      </c>
      <c r="I794" t="s">
        <v>60</v>
      </c>
      <c r="J794">
        <v>2</v>
      </c>
      <c r="K794">
        <v>5607000</v>
      </c>
      <c r="L794">
        <v>0.123</v>
      </c>
      <c r="M794" t="s">
        <v>23</v>
      </c>
      <c r="N794">
        <v>9835000</v>
      </c>
      <c r="O794">
        <v>4</v>
      </c>
      <c r="P794" t="b">
        <v>1</v>
      </c>
    </row>
    <row r="795" spans="1:16" x14ac:dyDescent="0.2">
      <c r="A795" t="s">
        <v>1188</v>
      </c>
      <c r="B795" s="1">
        <v>45656</v>
      </c>
      <c r="C795" s="1">
        <v>45742</v>
      </c>
      <c r="D795" t="s">
        <v>267</v>
      </c>
      <c r="E795" t="s">
        <v>45</v>
      </c>
      <c r="F795" t="s">
        <v>34</v>
      </c>
      <c r="G795" t="s">
        <v>46</v>
      </c>
      <c r="H795" t="s">
        <v>40</v>
      </c>
      <c r="I795" t="s">
        <v>99</v>
      </c>
      <c r="J795">
        <v>2</v>
      </c>
      <c r="K795">
        <v>3876000</v>
      </c>
      <c r="L795">
        <v>6.6000000000000003E-2</v>
      </c>
      <c r="M795" t="s">
        <v>23</v>
      </c>
      <c r="N795">
        <v>7240000</v>
      </c>
      <c r="O795">
        <v>5</v>
      </c>
      <c r="P795" t="b">
        <v>1</v>
      </c>
    </row>
    <row r="796" spans="1:16" x14ac:dyDescent="0.2">
      <c r="A796" t="s">
        <v>1189</v>
      </c>
      <c r="B796" s="1">
        <v>45533</v>
      </c>
      <c r="C796" s="1">
        <v>45593</v>
      </c>
      <c r="D796" t="s">
        <v>101</v>
      </c>
      <c r="E796" t="s">
        <v>33</v>
      </c>
      <c r="F796" t="s">
        <v>34</v>
      </c>
      <c r="G796" t="s">
        <v>50</v>
      </c>
      <c r="H796" t="s">
        <v>40</v>
      </c>
      <c r="I796" t="s">
        <v>30</v>
      </c>
      <c r="J796">
        <v>3</v>
      </c>
      <c r="K796">
        <v>4114000</v>
      </c>
      <c r="L796">
        <v>0.13600000000000001</v>
      </c>
      <c r="M796" t="s">
        <v>23</v>
      </c>
      <c r="N796">
        <v>10663000</v>
      </c>
      <c r="O796">
        <v>4.0999999999999996</v>
      </c>
      <c r="P796" t="b">
        <v>0</v>
      </c>
    </row>
    <row r="797" spans="1:16" x14ac:dyDescent="0.2">
      <c r="A797" t="s">
        <v>1190</v>
      </c>
      <c r="B797" s="1">
        <v>45371</v>
      </c>
      <c r="C797" s="1">
        <v>45391</v>
      </c>
      <c r="D797" t="s">
        <v>443</v>
      </c>
      <c r="E797" t="s">
        <v>33</v>
      </c>
      <c r="F797" t="s">
        <v>45</v>
      </c>
      <c r="G797" t="s">
        <v>50</v>
      </c>
      <c r="H797" t="s">
        <v>21</v>
      </c>
      <c r="I797" t="s">
        <v>99</v>
      </c>
      <c r="J797">
        <v>2</v>
      </c>
      <c r="K797">
        <v>3355000</v>
      </c>
      <c r="L797">
        <v>0.13600000000000001</v>
      </c>
      <c r="M797" t="s">
        <v>23</v>
      </c>
      <c r="N797">
        <v>5797000</v>
      </c>
      <c r="O797">
        <v>3.6</v>
      </c>
      <c r="P797" t="b">
        <v>0</v>
      </c>
    </row>
    <row r="798" spans="1:16" x14ac:dyDescent="0.2">
      <c r="A798" t="s">
        <v>1191</v>
      </c>
      <c r="B798" s="1">
        <v>45648</v>
      </c>
      <c r="C798" s="1">
        <v>45732</v>
      </c>
      <c r="D798" t="s">
        <v>238</v>
      </c>
      <c r="E798" t="s">
        <v>45</v>
      </c>
      <c r="F798" t="s">
        <v>19</v>
      </c>
      <c r="G798" t="s">
        <v>35</v>
      </c>
      <c r="H798" t="s">
        <v>40</v>
      </c>
      <c r="I798" t="s">
        <v>30</v>
      </c>
      <c r="J798">
        <v>1</v>
      </c>
      <c r="K798">
        <v>3161000</v>
      </c>
      <c r="L798">
        <v>0.11</v>
      </c>
      <c r="M798" t="s">
        <v>23</v>
      </c>
      <c r="N798">
        <v>2813000</v>
      </c>
      <c r="O798">
        <v>4.2</v>
      </c>
      <c r="P798" t="b">
        <v>1</v>
      </c>
    </row>
    <row r="799" spans="1:16" x14ac:dyDescent="0.2">
      <c r="A799" t="s">
        <v>1192</v>
      </c>
      <c r="B799" s="1">
        <v>45851</v>
      </c>
      <c r="C799" s="1">
        <v>45925</v>
      </c>
      <c r="D799" t="s">
        <v>229</v>
      </c>
      <c r="E799" t="s">
        <v>18</v>
      </c>
      <c r="F799" t="s">
        <v>39</v>
      </c>
      <c r="G799" t="s">
        <v>20</v>
      </c>
      <c r="H799" t="s">
        <v>40</v>
      </c>
      <c r="I799" t="s">
        <v>22</v>
      </c>
      <c r="J799">
        <v>1</v>
      </c>
      <c r="K799">
        <v>1933000</v>
      </c>
      <c r="L799">
        <v>0.26500000000000001</v>
      </c>
      <c r="M799" t="s">
        <v>23</v>
      </c>
      <c r="N799">
        <v>1421000</v>
      </c>
      <c r="O799">
        <v>4.3</v>
      </c>
      <c r="P799" t="b">
        <v>1</v>
      </c>
    </row>
    <row r="800" spans="1:16" x14ac:dyDescent="0.2">
      <c r="A800" t="s">
        <v>1193</v>
      </c>
      <c r="B800" s="1">
        <v>45348</v>
      </c>
      <c r="C800" s="1">
        <v>45382</v>
      </c>
      <c r="D800" t="s">
        <v>1194</v>
      </c>
      <c r="E800" t="s">
        <v>18</v>
      </c>
      <c r="F800" t="s">
        <v>45</v>
      </c>
      <c r="G800" t="s">
        <v>20</v>
      </c>
      <c r="H800" t="s">
        <v>21</v>
      </c>
      <c r="I800" t="s">
        <v>26</v>
      </c>
      <c r="J800">
        <v>5</v>
      </c>
      <c r="K800">
        <v>2686000</v>
      </c>
      <c r="L800">
        <v>0.112</v>
      </c>
      <c r="M800" t="s">
        <v>23</v>
      </c>
      <c r="N800">
        <v>11926000</v>
      </c>
      <c r="O800">
        <v>3.6</v>
      </c>
      <c r="P800" t="b">
        <v>0</v>
      </c>
    </row>
    <row r="801" spans="1:16" x14ac:dyDescent="0.2">
      <c r="A801" t="s">
        <v>1195</v>
      </c>
      <c r="B801" s="1">
        <v>45840</v>
      </c>
      <c r="C801" s="1">
        <v>45894</v>
      </c>
      <c r="D801" t="s">
        <v>1196</v>
      </c>
      <c r="E801" t="s">
        <v>45</v>
      </c>
      <c r="F801" t="s">
        <v>45</v>
      </c>
      <c r="G801" t="s">
        <v>35</v>
      </c>
      <c r="H801" t="s">
        <v>47</v>
      </c>
      <c r="I801" t="s">
        <v>94</v>
      </c>
      <c r="J801">
        <v>3</v>
      </c>
      <c r="K801">
        <v>2592000</v>
      </c>
      <c r="L801">
        <v>4.9000000000000002E-2</v>
      </c>
      <c r="M801" t="s">
        <v>23</v>
      </c>
      <c r="N801">
        <v>7395000</v>
      </c>
      <c r="O801">
        <v>4.4000000000000004</v>
      </c>
      <c r="P801" t="b">
        <v>1</v>
      </c>
    </row>
    <row r="802" spans="1:16" x14ac:dyDescent="0.2">
      <c r="A802" t="s">
        <v>1197</v>
      </c>
      <c r="B802" s="1">
        <v>45550</v>
      </c>
      <c r="C802" s="1">
        <v>45591</v>
      </c>
      <c r="D802" t="s">
        <v>743</v>
      </c>
      <c r="E802" t="s">
        <v>29</v>
      </c>
      <c r="F802" t="s">
        <v>19</v>
      </c>
      <c r="G802" t="s">
        <v>20</v>
      </c>
      <c r="H802" t="s">
        <v>40</v>
      </c>
      <c r="I802" t="s">
        <v>26</v>
      </c>
      <c r="J802">
        <v>3</v>
      </c>
      <c r="K802">
        <v>2930000</v>
      </c>
      <c r="L802">
        <v>9.5000000000000001E-2</v>
      </c>
      <c r="M802" t="s">
        <v>23</v>
      </c>
      <c r="N802">
        <v>7955000</v>
      </c>
      <c r="O802">
        <v>4.8</v>
      </c>
      <c r="P802" t="b">
        <v>1</v>
      </c>
    </row>
    <row r="803" spans="1:16" x14ac:dyDescent="0.2">
      <c r="A803" t="s">
        <v>1198</v>
      </c>
      <c r="B803" s="1">
        <v>45626</v>
      </c>
      <c r="C803" s="1">
        <v>45680</v>
      </c>
      <c r="D803" t="s">
        <v>764</v>
      </c>
      <c r="E803" t="s">
        <v>45</v>
      </c>
      <c r="F803" t="s">
        <v>45</v>
      </c>
      <c r="G803" t="s">
        <v>50</v>
      </c>
      <c r="H803" t="s">
        <v>47</v>
      </c>
      <c r="I803" t="s">
        <v>83</v>
      </c>
      <c r="J803">
        <v>3</v>
      </c>
      <c r="K803">
        <v>2004000</v>
      </c>
      <c r="L803">
        <v>6.2E-2</v>
      </c>
      <c r="M803" t="s">
        <v>23</v>
      </c>
      <c r="N803">
        <v>5639000</v>
      </c>
      <c r="O803">
        <v>4.3</v>
      </c>
      <c r="P803" t="b">
        <v>1</v>
      </c>
    </row>
    <row r="804" spans="1:16" x14ac:dyDescent="0.2">
      <c r="A804" t="s">
        <v>1199</v>
      </c>
      <c r="B804" s="1">
        <v>45395</v>
      </c>
      <c r="C804" s="1">
        <v>45483</v>
      </c>
      <c r="D804" t="s">
        <v>1200</v>
      </c>
      <c r="E804" t="s">
        <v>18</v>
      </c>
      <c r="F804" t="s">
        <v>68</v>
      </c>
      <c r="G804" t="s">
        <v>20</v>
      </c>
      <c r="H804" t="s">
        <v>21</v>
      </c>
      <c r="I804" t="s">
        <v>52</v>
      </c>
      <c r="J804">
        <v>1</v>
      </c>
      <c r="K804">
        <v>1795000</v>
      </c>
      <c r="L804">
        <v>8.6999999999999994E-2</v>
      </c>
      <c r="M804" t="s">
        <v>23</v>
      </c>
      <c r="N804">
        <v>1639000</v>
      </c>
      <c r="O804">
        <v>3.8</v>
      </c>
      <c r="P804" t="b">
        <v>0</v>
      </c>
    </row>
    <row r="805" spans="1:16" x14ac:dyDescent="0.2">
      <c r="A805" t="s">
        <v>1201</v>
      </c>
      <c r="B805" s="1">
        <v>45679</v>
      </c>
      <c r="C805" s="1">
        <v>45761</v>
      </c>
      <c r="D805" t="s">
        <v>368</v>
      </c>
      <c r="E805" t="s">
        <v>33</v>
      </c>
      <c r="F805" t="s">
        <v>34</v>
      </c>
      <c r="G805" t="s">
        <v>50</v>
      </c>
      <c r="H805" t="s">
        <v>21</v>
      </c>
      <c r="I805" t="s">
        <v>60</v>
      </c>
      <c r="J805">
        <v>3</v>
      </c>
      <c r="K805">
        <v>3375000</v>
      </c>
      <c r="L805">
        <v>7.9000000000000001E-2</v>
      </c>
      <c r="M805" t="s">
        <v>23</v>
      </c>
      <c r="N805">
        <v>9325000</v>
      </c>
      <c r="O805">
        <v>3.9</v>
      </c>
      <c r="P805" t="b">
        <v>1</v>
      </c>
    </row>
    <row r="806" spans="1:16" x14ac:dyDescent="0.2">
      <c r="A806" t="s">
        <v>1202</v>
      </c>
      <c r="B806" s="1">
        <v>45405</v>
      </c>
      <c r="C806" s="1">
        <v>45432</v>
      </c>
      <c r="D806" t="s">
        <v>240</v>
      </c>
      <c r="E806" t="s">
        <v>33</v>
      </c>
      <c r="F806" t="s">
        <v>19</v>
      </c>
      <c r="G806" t="s">
        <v>20</v>
      </c>
      <c r="H806" t="s">
        <v>47</v>
      </c>
      <c r="I806" t="s">
        <v>26</v>
      </c>
      <c r="J806">
        <v>2</v>
      </c>
      <c r="K806">
        <v>2203000</v>
      </c>
      <c r="L806">
        <v>8.5999999999999993E-2</v>
      </c>
      <c r="M806" t="s">
        <v>23</v>
      </c>
      <c r="N806">
        <v>4027000</v>
      </c>
      <c r="O806">
        <v>3.4</v>
      </c>
      <c r="P806" t="b">
        <v>0</v>
      </c>
    </row>
    <row r="807" spans="1:16" x14ac:dyDescent="0.2">
      <c r="A807" t="s">
        <v>1203</v>
      </c>
      <c r="B807" s="1">
        <v>45462</v>
      </c>
      <c r="C807" s="1">
        <v>45550</v>
      </c>
      <c r="D807" t="s">
        <v>67</v>
      </c>
      <c r="E807" t="s">
        <v>18</v>
      </c>
      <c r="F807" t="s">
        <v>19</v>
      </c>
      <c r="G807" t="s">
        <v>50</v>
      </c>
      <c r="H807" t="s">
        <v>47</v>
      </c>
      <c r="I807" t="s">
        <v>99</v>
      </c>
      <c r="J807">
        <v>1</v>
      </c>
      <c r="K807">
        <v>3497000</v>
      </c>
      <c r="L807">
        <v>8.7999999999999995E-2</v>
      </c>
      <c r="M807" t="s">
        <v>23</v>
      </c>
      <c r="N807">
        <v>3189000</v>
      </c>
      <c r="O807">
        <v>4.0999999999999996</v>
      </c>
      <c r="P807" t="b">
        <v>1</v>
      </c>
    </row>
    <row r="808" spans="1:16" x14ac:dyDescent="0.2">
      <c r="A808" t="s">
        <v>1204</v>
      </c>
      <c r="B808" s="1">
        <v>45741</v>
      </c>
      <c r="C808" s="1">
        <v>45786</v>
      </c>
      <c r="D808" t="s">
        <v>609</v>
      </c>
      <c r="E808" t="s">
        <v>45</v>
      </c>
      <c r="F808" t="s">
        <v>19</v>
      </c>
      <c r="G808" t="s">
        <v>20</v>
      </c>
      <c r="H808" t="s">
        <v>21</v>
      </c>
      <c r="I808" t="s">
        <v>52</v>
      </c>
      <c r="J808">
        <v>1</v>
      </c>
      <c r="K808">
        <v>0</v>
      </c>
      <c r="L808">
        <v>6.0999999999999999E-2</v>
      </c>
      <c r="M808" t="s">
        <v>23</v>
      </c>
      <c r="N808">
        <v>2761000</v>
      </c>
      <c r="O808">
        <v>4.4000000000000004</v>
      </c>
      <c r="P808" t="b">
        <v>1</v>
      </c>
    </row>
    <row r="809" spans="1:16" x14ac:dyDescent="0.2">
      <c r="A809" t="s">
        <v>1205</v>
      </c>
      <c r="B809" s="1">
        <v>45323</v>
      </c>
      <c r="C809" s="1">
        <v>45390</v>
      </c>
      <c r="D809" t="s">
        <v>632</v>
      </c>
      <c r="E809" t="s">
        <v>45</v>
      </c>
      <c r="F809" t="s">
        <v>80</v>
      </c>
      <c r="G809" t="s">
        <v>20</v>
      </c>
      <c r="H809" t="s">
        <v>21</v>
      </c>
      <c r="I809" t="s">
        <v>77</v>
      </c>
      <c r="J809">
        <v>2</v>
      </c>
      <c r="K809">
        <v>3761000</v>
      </c>
      <c r="L809">
        <v>1.4999999999999999E-2</v>
      </c>
      <c r="M809" t="s">
        <v>23</v>
      </c>
      <c r="N809">
        <v>7409000</v>
      </c>
      <c r="O809">
        <v>3.8</v>
      </c>
      <c r="P809" t="b">
        <v>0</v>
      </c>
    </row>
    <row r="810" spans="1:16" x14ac:dyDescent="0.2">
      <c r="A810" t="s">
        <v>1206</v>
      </c>
      <c r="B810" s="1">
        <v>45570</v>
      </c>
      <c r="C810" s="1">
        <v>45641</v>
      </c>
      <c r="D810" t="s">
        <v>247</v>
      </c>
      <c r="E810" t="s">
        <v>29</v>
      </c>
      <c r="F810" t="s">
        <v>25</v>
      </c>
      <c r="G810" t="s">
        <v>50</v>
      </c>
      <c r="H810" t="s">
        <v>47</v>
      </c>
      <c r="I810" t="s">
        <v>60</v>
      </c>
      <c r="J810">
        <v>1</v>
      </c>
      <c r="K810">
        <v>6417000</v>
      </c>
      <c r="L810">
        <v>4.1000000000000002E-2</v>
      </c>
      <c r="M810" t="s">
        <v>23</v>
      </c>
      <c r="N810">
        <v>6154000</v>
      </c>
      <c r="O810">
        <v>5</v>
      </c>
      <c r="P810" t="b">
        <v>1</v>
      </c>
    </row>
    <row r="811" spans="1:16" x14ac:dyDescent="0.2">
      <c r="A811" t="s">
        <v>1207</v>
      </c>
      <c r="B811" s="1">
        <v>45662</v>
      </c>
      <c r="C811" s="1">
        <v>45711</v>
      </c>
      <c r="D811" t="s">
        <v>487</v>
      </c>
      <c r="E811" t="s">
        <v>45</v>
      </c>
      <c r="F811" t="s">
        <v>25</v>
      </c>
      <c r="G811" t="s">
        <v>50</v>
      </c>
      <c r="H811" t="s">
        <v>21</v>
      </c>
      <c r="I811" t="s">
        <v>94</v>
      </c>
      <c r="J811">
        <v>1</v>
      </c>
      <c r="K811">
        <v>3106000</v>
      </c>
      <c r="L811">
        <v>0.17199999999999999</v>
      </c>
      <c r="M811" t="s">
        <v>23</v>
      </c>
      <c r="N811">
        <v>2572000</v>
      </c>
      <c r="O811">
        <v>4.5999999999999996</v>
      </c>
      <c r="P811" t="b">
        <v>1</v>
      </c>
    </row>
    <row r="812" spans="1:16" x14ac:dyDescent="0.2">
      <c r="A812" t="s">
        <v>1208</v>
      </c>
      <c r="B812" s="1">
        <v>45374</v>
      </c>
      <c r="C812" s="1">
        <v>45420</v>
      </c>
      <c r="D812" t="s">
        <v>134</v>
      </c>
      <c r="E812" t="s">
        <v>29</v>
      </c>
      <c r="F812" t="s">
        <v>19</v>
      </c>
      <c r="G812" t="s">
        <v>50</v>
      </c>
      <c r="H812" t="s">
        <v>21</v>
      </c>
      <c r="I812" t="s">
        <v>83</v>
      </c>
      <c r="J812">
        <v>2</v>
      </c>
      <c r="K812">
        <v>3058000</v>
      </c>
      <c r="L812">
        <v>0.13200000000000001</v>
      </c>
      <c r="M812" t="s">
        <v>23</v>
      </c>
      <c r="N812">
        <v>5309000</v>
      </c>
      <c r="O812">
        <v>3.3</v>
      </c>
      <c r="P812" t="b">
        <v>0</v>
      </c>
    </row>
    <row r="813" spans="1:16" x14ac:dyDescent="0.2">
      <c r="A813" t="s">
        <v>1209</v>
      </c>
      <c r="B813" s="1">
        <v>45475</v>
      </c>
      <c r="C813" s="1">
        <v>45521</v>
      </c>
      <c r="D813" t="s">
        <v>1038</v>
      </c>
      <c r="E813" t="s">
        <v>29</v>
      </c>
      <c r="F813" t="s">
        <v>34</v>
      </c>
      <c r="G813" t="s">
        <v>46</v>
      </c>
      <c r="H813" t="s">
        <v>40</v>
      </c>
      <c r="J813">
        <v>1</v>
      </c>
      <c r="K813">
        <v>3145000</v>
      </c>
      <c r="L813">
        <v>0.122</v>
      </c>
      <c r="M813" t="s">
        <v>23</v>
      </c>
      <c r="N813">
        <v>2761000</v>
      </c>
      <c r="O813">
        <v>3.3</v>
      </c>
      <c r="P813" t="b">
        <v>1</v>
      </c>
    </row>
    <row r="814" spans="1:16" x14ac:dyDescent="0.2">
      <c r="A814" t="s">
        <v>1210</v>
      </c>
      <c r="B814" s="1">
        <v>45506</v>
      </c>
      <c r="C814" s="1">
        <v>45585</v>
      </c>
      <c r="D814" t="s">
        <v>737</v>
      </c>
      <c r="E814" t="s">
        <v>18</v>
      </c>
      <c r="F814" t="s">
        <v>19</v>
      </c>
      <c r="G814" t="s">
        <v>20</v>
      </c>
      <c r="H814" t="s">
        <v>21</v>
      </c>
      <c r="I814" t="s">
        <v>60</v>
      </c>
      <c r="J814">
        <v>1</v>
      </c>
      <c r="K814">
        <v>2680000</v>
      </c>
      <c r="L814">
        <v>0.75</v>
      </c>
      <c r="M814" t="s">
        <v>23</v>
      </c>
      <c r="N814">
        <v>2238000</v>
      </c>
      <c r="O814">
        <v>3.7</v>
      </c>
      <c r="P814" t="b">
        <v>1</v>
      </c>
    </row>
    <row r="815" spans="1:16" x14ac:dyDescent="0.2">
      <c r="A815" t="s">
        <v>1211</v>
      </c>
      <c r="B815" s="1">
        <v>45705</v>
      </c>
      <c r="C815" s="1">
        <v>45746</v>
      </c>
      <c r="D815" t="s">
        <v>222</v>
      </c>
      <c r="E815" t="s">
        <v>45</v>
      </c>
      <c r="F815" t="s">
        <v>39</v>
      </c>
      <c r="G815" t="s">
        <v>50</v>
      </c>
      <c r="H815" t="s">
        <v>21</v>
      </c>
      <c r="I815" t="s">
        <v>57</v>
      </c>
      <c r="J815">
        <v>1</v>
      </c>
      <c r="K815">
        <v>2204000</v>
      </c>
      <c r="L815">
        <v>0.151</v>
      </c>
      <c r="M815" t="s">
        <v>23</v>
      </c>
      <c r="N815">
        <v>1871000</v>
      </c>
      <c r="O815">
        <v>5</v>
      </c>
      <c r="P815" t="b">
        <v>1</v>
      </c>
    </row>
    <row r="816" spans="1:16" x14ac:dyDescent="0.2">
      <c r="A816" t="s">
        <v>1212</v>
      </c>
      <c r="B816" s="1">
        <v>45900</v>
      </c>
      <c r="C816" s="1">
        <v>45932</v>
      </c>
      <c r="D816" t="s">
        <v>332</v>
      </c>
      <c r="E816" t="s">
        <v>18</v>
      </c>
      <c r="F816" t="s">
        <v>45</v>
      </c>
      <c r="G816" t="s">
        <v>20</v>
      </c>
      <c r="H816" t="s">
        <v>21</v>
      </c>
      <c r="I816" t="s">
        <v>60</v>
      </c>
      <c r="J816">
        <v>3</v>
      </c>
      <c r="K816">
        <v>3284000</v>
      </c>
      <c r="L816">
        <v>0.23300000000000001</v>
      </c>
      <c r="M816" t="s">
        <v>23</v>
      </c>
      <c r="N816">
        <v>7556000</v>
      </c>
      <c r="O816">
        <v>4.5999999999999996</v>
      </c>
      <c r="P816" t="b">
        <v>1</v>
      </c>
    </row>
    <row r="817" spans="1:16" x14ac:dyDescent="0.2">
      <c r="A817" t="s">
        <v>1213</v>
      </c>
      <c r="B817" s="1">
        <v>45812</v>
      </c>
      <c r="C817" s="1">
        <v>45851</v>
      </c>
      <c r="D817" t="s">
        <v>412</v>
      </c>
      <c r="E817" t="s">
        <v>18</v>
      </c>
      <c r="F817" t="s">
        <v>19</v>
      </c>
      <c r="G817" t="s">
        <v>35</v>
      </c>
      <c r="H817" t="s">
        <v>51</v>
      </c>
      <c r="I817" t="s">
        <v>36</v>
      </c>
      <c r="J817">
        <v>4</v>
      </c>
      <c r="K817">
        <v>3246000</v>
      </c>
      <c r="L817">
        <v>5.6000000000000001E-2</v>
      </c>
      <c r="M817" t="s">
        <v>23</v>
      </c>
      <c r="N817">
        <v>12257000</v>
      </c>
      <c r="O817">
        <v>5</v>
      </c>
      <c r="P817" t="b">
        <v>1</v>
      </c>
    </row>
    <row r="818" spans="1:16" x14ac:dyDescent="0.2">
      <c r="A818" t="s">
        <v>1214</v>
      </c>
      <c r="B818" s="1">
        <v>45410</v>
      </c>
      <c r="C818" s="1">
        <v>45435</v>
      </c>
      <c r="D818" t="s">
        <v>829</v>
      </c>
      <c r="E818" t="s">
        <v>33</v>
      </c>
      <c r="F818" t="s">
        <v>39</v>
      </c>
      <c r="G818" t="s">
        <v>20</v>
      </c>
      <c r="H818" t="s">
        <v>21</v>
      </c>
      <c r="I818" t="s">
        <v>26</v>
      </c>
      <c r="J818">
        <v>1</v>
      </c>
      <c r="K818">
        <v>3117000</v>
      </c>
      <c r="L818">
        <v>0.124</v>
      </c>
      <c r="M818" t="s">
        <v>23</v>
      </c>
      <c r="N818">
        <v>2730000</v>
      </c>
      <c r="O818">
        <v>4.2</v>
      </c>
      <c r="P818" t="b">
        <v>0</v>
      </c>
    </row>
    <row r="819" spans="1:16" x14ac:dyDescent="0.2">
      <c r="A819" t="s">
        <v>1215</v>
      </c>
      <c r="B819" s="1">
        <v>45303</v>
      </c>
      <c r="C819" s="1">
        <v>45344</v>
      </c>
      <c r="D819" t="s">
        <v>56</v>
      </c>
      <c r="E819" t="s">
        <v>18</v>
      </c>
      <c r="F819" t="s">
        <v>34</v>
      </c>
      <c r="G819" t="s">
        <v>20</v>
      </c>
      <c r="H819" t="s">
        <v>40</v>
      </c>
      <c r="I819" t="s">
        <v>83</v>
      </c>
      <c r="J819">
        <v>1</v>
      </c>
      <c r="K819">
        <v>3695000</v>
      </c>
      <c r="L819">
        <v>0.11899999999999999</v>
      </c>
      <c r="M819" t="s">
        <v>23</v>
      </c>
      <c r="N819">
        <v>3255000</v>
      </c>
      <c r="O819">
        <v>4.0999999999999996</v>
      </c>
      <c r="P819" t="b">
        <v>0</v>
      </c>
    </row>
    <row r="820" spans="1:16" x14ac:dyDescent="0.2">
      <c r="A820" t="s">
        <v>1216</v>
      </c>
      <c r="B820" s="1">
        <v>45324</v>
      </c>
      <c r="C820" s="1">
        <v>45343</v>
      </c>
      <c r="D820" t="s">
        <v>623</v>
      </c>
      <c r="E820" t="s">
        <v>18</v>
      </c>
      <c r="F820" t="s">
        <v>19</v>
      </c>
      <c r="G820" t="s">
        <v>35</v>
      </c>
      <c r="H820" t="s">
        <v>51</v>
      </c>
      <c r="I820" t="s">
        <v>77</v>
      </c>
      <c r="J820">
        <v>2</v>
      </c>
      <c r="K820">
        <v>3532000</v>
      </c>
      <c r="L820">
        <v>0.21299999999999999</v>
      </c>
      <c r="M820" t="s">
        <v>23</v>
      </c>
      <c r="N820">
        <v>5559000</v>
      </c>
      <c r="O820">
        <v>3.6</v>
      </c>
      <c r="P820" t="b">
        <v>0</v>
      </c>
    </row>
    <row r="821" spans="1:16" x14ac:dyDescent="0.2">
      <c r="A821" t="s">
        <v>1217</v>
      </c>
      <c r="B821" s="1">
        <v>45663</v>
      </c>
      <c r="C821" s="1">
        <v>45680</v>
      </c>
      <c r="D821" t="s">
        <v>42</v>
      </c>
      <c r="E821" t="s">
        <v>33</v>
      </c>
      <c r="F821" t="s">
        <v>19</v>
      </c>
      <c r="G821" t="s">
        <v>50</v>
      </c>
      <c r="H821" t="s">
        <v>40</v>
      </c>
      <c r="I821" t="s">
        <v>83</v>
      </c>
      <c r="J821">
        <v>3</v>
      </c>
      <c r="K821">
        <v>1722000</v>
      </c>
      <c r="L821">
        <v>0.12</v>
      </c>
      <c r="M821" t="s">
        <v>23</v>
      </c>
      <c r="N821">
        <v>4546000</v>
      </c>
      <c r="O821">
        <v>4.4000000000000004</v>
      </c>
      <c r="P821" t="b">
        <v>1</v>
      </c>
    </row>
    <row r="822" spans="1:16" x14ac:dyDescent="0.2">
      <c r="A822" t="s">
        <v>1218</v>
      </c>
      <c r="B822" s="1">
        <v>45389</v>
      </c>
      <c r="C822" s="1">
        <v>45457</v>
      </c>
      <c r="D822" t="s">
        <v>1219</v>
      </c>
      <c r="E822" t="s">
        <v>29</v>
      </c>
      <c r="F822" t="s">
        <v>68</v>
      </c>
      <c r="G822" t="s">
        <v>20</v>
      </c>
      <c r="H822" t="s">
        <v>21</v>
      </c>
      <c r="I822" t="s">
        <v>57</v>
      </c>
      <c r="J822">
        <v>2</v>
      </c>
      <c r="K822">
        <v>2248000</v>
      </c>
      <c r="L822">
        <v>3.4000000000000002E-2</v>
      </c>
      <c r="M822" t="s">
        <v>23</v>
      </c>
      <c r="N822">
        <v>4343000</v>
      </c>
      <c r="O822">
        <v>4.0999999999999996</v>
      </c>
      <c r="P822" t="b">
        <v>0</v>
      </c>
    </row>
    <row r="823" spans="1:16" x14ac:dyDescent="0.2">
      <c r="A823" t="s">
        <v>1220</v>
      </c>
      <c r="B823" s="1">
        <v>45436</v>
      </c>
      <c r="C823" s="1">
        <v>45452</v>
      </c>
      <c r="D823" t="s">
        <v>1100</v>
      </c>
      <c r="E823" t="s">
        <v>45</v>
      </c>
      <c r="F823" t="s">
        <v>45</v>
      </c>
      <c r="G823" t="s">
        <v>50</v>
      </c>
      <c r="H823" t="s">
        <v>21</v>
      </c>
      <c r="I823" t="s">
        <v>60</v>
      </c>
      <c r="J823">
        <v>4</v>
      </c>
      <c r="K823">
        <v>2704000</v>
      </c>
      <c r="L823">
        <v>8.4000000000000005E-2</v>
      </c>
      <c r="M823" t="s">
        <v>65</v>
      </c>
      <c r="N823">
        <v>0</v>
      </c>
      <c r="P823" t="b">
        <v>0</v>
      </c>
    </row>
    <row r="824" spans="1:16" x14ac:dyDescent="0.2">
      <c r="A824" t="s">
        <v>1221</v>
      </c>
      <c r="B824" s="1">
        <v>45819</v>
      </c>
      <c r="C824" s="1">
        <v>45875</v>
      </c>
      <c r="D824" t="s">
        <v>190</v>
      </c>
      <c r="E824" t="s">
        <v>18</v>
      </c>
      <c r="F824" t="s">
        <v>45</v>
      </c>
      <c r="G824" t="s">
        <v>35</v>
      </c>
      <c r="H824" t="s">
        <v>21</v>
      </c>
      <c r="I824" t="s">
        <v>99</v>
      </c>
      <c r="J824">
        <v>5</v>
      </c>
      <c r="K824">
        <v>2932000</v>
      </c>
      <c r="L824">
        <v>2.7E-2</v>
      </c>
      <c r="M824" t="s">
        <v>23</v>
      </c>
      <c r="N824">
        <v>14264000</v>
      </c>
      <c r="O824">
        <v>5</v>
      </c>
      <c r="P824" t="b">
        <v>1</v>
      </c>
    </row>
    <row r="825" spans="1:16" x14ac:dyDescent="0.2">
      <c r="A825" t="s">
        <v>1222</v>
      </c>
      <c r="B825" s="1">
        <v>45836</v>
      </c>
      <c r="C825" s="1">
        <v>45909</v>
      </c>
      <c r="D825" t="s">
        <v>708</v>
      </c>
      <c r="E825" t="s">
        <v>45</v>
      </c>
      <c r="F825" t="s">
        <v>34</v>
      </c>
      <c r="G825" t="s">
        <v>20</v>
      </c>
      <c r="H825" t="s">
        <v>40</v>
      </c>
      <c r="I825" t="s">
        <v>30</v>
      </c>
      <c r="J825">
        <v>2</v>
      </c>
      <c r="K825">
        <v>4599000</v>
      </c>
      <c r="L825">
        <v>0.152</v>
      </c>
      <c r="M825" t="s">
        <v>23</v>
      </c>
      <c r="N825">
        <v>7800000</v>
      </c>
      <c r="O825">
        <v>4.0999999999999996</v>
      </c>
      <c r="P825" t="b">
        <v>0</v>
      </c>
    </row>
    <row r="826" spans="1:16" x14ac:dyDescent="0.2">
      <c r="A826" t="s">
        <v>1223</v>
      </c>
      <c r="B826" s="1">
        <v>45814</v>
      </c>
      <c r="C826" s="1">
        <v>45882</v>
      </c>
      <c r="D826" t="s">
        <v>625</v>
      </c>
      <c r="E826" t="s">
        <v>45</v>
      </c>
      <c r="F826" t="s">
        <v>34</v>
      </c>
      <c r="G826" t="s">
        <v>35</v>
      </c>
      <c r="H826" t="s">
        <v>51</v>
      </c>
      <c r="I826" t="s">
        <v>60</v>
      </c>
      <c r="J826">
        <v>4</v>
      </c>
      <c r="K826">
        <v>4416000</v>
      </c>
      <c r="L826">
        <v>7.6999999999999999E-2</v>
      </c>
      <c r="M826" t="s">
        <v>23</v>
      </c>
      <c r="N826">
        <v>16304000</v>
      </c>
      <c r="O826">
        <v>4.9000000000000004</v>
      </c>
      <c r="P826" t="b">
        <v>1</v>
      </c>
    </row>
    <row r="827" spans="1:16" x14ac:dyDescent="0.2">
      <c r="A827" t="s">
        <v>1224</v>
      </c>
      <c r="B827" s="1">
        <v>45450</v>
      </c>
      <c r="C827" s="1">
        <v>45496</v>
      </c>
      <c r="D827" t="s">
        <v>943</v>
      </c>
      <c r="E827" t="s">
        <v>18</v>
      </c>
      <c r="F827" t="s">
        <v>45</v>
      </c>
      <c r="G827" t="s">
        <v>20</v>
      </c>
      <c r="H827" t="s">
        <v>47</v>
      </c>
      <c r="I827" t="s">
        <v>77</v>
      </c>
      <c r="J827">
        <v>2</v>
      </c>
      <c r="K827">
        <v>4097000</v>
      </c>
      <c r="L827">
        <v>5.1999999999999998E-2</v>
      </c>
      <c r="M827" t="s">
        <v>23</v>
      </c>
      <c r="N827">
        <v>7768000</v>
      </c>
      <c r="O827">
        <v>3.4</v>
      </c>
      <c r="P827" t="b">
        <v>0</v>
      </c>
    </row>
    <row r="828" spans="1:16" x14ac:dyDescent="0.2">
      <c r="A828" t="s">
        <v>1225</v>
      </c>
      <c r="B828" s="1">
        <v>45678</v>
      </c>
      <c r="C828" s="1">
        <v>45703</v>
      </c>
      <c r="D828" t="s">
        <v>747</v>
      </c>
      <c r="E828" t="s">
        <v>45</v>
      </c>
      <c r="F828" t="s">
        <v>19</v>
      </c>
      <c r="G828" t="s">
        <v>20</v>
      </c>
      <c r="H828" t="s">
        <v>21</v>
      </c>
      <c r="I828" t="s">
        <v>99</v>
      </c>
      <c r="J828">
        <v>3</v>
      </c>
      <c r="K828">
        <v>2872000</v>
      </c>
      <c r="L828">
        <v>0.154</v>
      </c>
      <c r="M828" t="s">
        <v>23</v>
      </c>
      <c r="N828">
        <v>7289000</v>
      </c>
      <c r="O828">
        <v>5</v>
      </c>
      <c r="P828" t="b">
        <v>1</v>
      </c>
    </row>
    <row r="829" spans="1:16" x14ac:dyDescent="0.2">
      <c r="A829" t="s">
        <v>1226</v>
      </c>
      <c r="B829" s="1">
        <v>45672</v>
      </c>
      <c r="C829" s="1">
        <v>45757</v>
      </c>
      <c r="D829" t="s">
        <v>177</v>
      </c>
      <c r="E829" t="s">
        <v>18</v>
      </c>
      <c r="F829" t="s">
        <v>68</v>
      </c>
      <c r="G829" t="s">
        <v>35</v>
      </c>
      <c r="H829" t="s">
        <v>21</v>
      </c>
      <c r="I829" t="s">
        <v>26</v>
      </c>
      <c r="J829">
        <v>3</v>
      </c>
      <c r="K829">
        <v>2188000</v>
      </c>
      <c r="L829">
        <v>3.1E-2</v>
      </c>
      <c r="M829" t="s">
        <v>23</v>
      </c>
      <c r="N829">
        <v>6361000</v>
      </c>
      <c r="O829">
        <v>4</v>
      </c>
      <c r="P829" t="b">
        <v>1</v>
      </c>
    </row>
    <row r="830" spans="1:16" x14ac:dyDescent="0.2">
      <c r="A830" t="s">
        <v>1227</v>
      </c>
      <c r="B830" s="1">
        <v>45407</v>
      </c>
      <c r="C830" s="1">
        <v>45484</v>
      </c>
      <c r="D830" t="s">
        <v>192</v>
      </c>
      <c r="E830" t="s">
        <v>33</v>
      </c>
      <c r="F830" t="s">
        <v>45</v>
      </c>
      <c r="G830" t="s">
        <v>20</v>
      </c>
      <c r="H830" t="s">
        <v>47</v>
      </c>
      <c r="I830" t="s">
        <v>94</v>
      </c>
      <c r="J830">
        <v>5</v>
      </c>
      <c r="K830">
        <v>3271000</v>
      </c>
      <c r="L830">
        <v>6.7000000000000004E-2</v>
      </c>
      <c r="M830" t="s">
        <v>23</v>
      </c>
      <c r="N830">
        <v>15259000</v>
      </c>
      <c r="O830">
        <v>4.5999999999999996</v>
      </c>
      <c r="P830" t="b">
        <v>0</v>
      </c>
    </row>
    <row r="831" spans="1:16" x14ac:dyDescent="0.2">
      <c r="A831" t="s">
        <v>1228</v>
      </c>
      <c r="B831" s="1">
        <v>45636</v>
      </c>
      <c r="C831" s="1">
        <v>45695</v>
      </c>
      <c r="D831" t="s">
        <v>376</v>
      </c>
      <c r="E831" t="s">
        <v>33</v>
      </c>
      <c r="F831" t="s">
        <v>19</v>
      </c>
      <c r="G831" t="s">
        <v>20</v>
      </c>
      <c r="H831" t="s">
        <v>21</v>
      </c>
      <c r="I831" t="s">
        <v>30</v>
      </c>
      <c r="J831">
        <v>1</v>
      </c>
      <c r="K831">
        <v>2088000</v>
      </c>
      <c r="L831">
        <v>9.1999999999999998E-2</v>
      </c>
      <c r="M831" t="s">
        <v>23</v>
      </c>
      <c r="N831">
        <v>1896000</v>
      </c>
      <c r="O831">
        <v>4.5999999999999996</v>
      </c>
      <c r="P831" t="b">
        <v>1</v>
      </c>
    </row>
    <row r="832" spans="1:16" x14ac:dyDescent="0.2">
      <c r="A832" t="s">
        <v>1229</v>
      </c>
      <c r="B832" s="1">
        <v>45619</v>
      </c>
      <c r="C832" s="1">
        <v>45636</v>
      </c>
      <c r="D832" t="s">
        <v>603</v>
      </c>
      <c r="E832" t="s">
        <v>45</v>
      </c>
      <c r="F832" t="s">
        <v>45</v>
      </c>
      <c r="G832" t="s">
        <v>50</v>
      </c>
      <c r="H832" t="s">
        <v>47</v>
      </c>
      <c r="I832" t="s">
        <v>57</v>
      </c>
      <c r="J832">
        <v>4</v>
      </c>
      <c r="K832">
        <v>2784000</v>
      </c>
      <c r="L832">
        <v>0.17399999999999999</v>
      </c>
      <c r="M832" t="s">
        <v>23</v>
      </c>
      <c r="N832">
        <v>9198000</v>
      </c>
      <c r="O832">
        <v>4</v>
      </c>
      <c r="P832" t="b">
        <v>1</v>
      </c>
    </row>
    <row r="833" spans="1:16" x14ac:dyDescent="0.2">
      <c r="A833" t="s">
        <v>1230</v>
      </c>
      <c r="B833" s="1">
        <v>45538</v>
      </c>
      <c r="C833" s="1">
        <v>45550</v>
      </c>
      <c r="D833" t="s">
        <v>1231</v>
      </c>
      <c r="E833" t="s">
        <v>18</v>
      </c>
      <c r="F833" t="s">
        <v>68</v>
      </c>
      <c r="G833" t="s">
        <v>20</v>
      </c>
      <c r="H833" t="s">
        <v>21</v>
      </c>
      <c r="I833" t="s">
        <v>99</v>
      </c>
      <c r="J833">
        <v>1</v>
      </c>
      <c r="K833">
        <v>2861000</v>
      </c>
      <c r="L833">
        <v>0.129</v>
      </c>
      <c r="M833" t="s">
        <v>65</v>
      </c>
      <c r="N833">
        <v>0</v>
      </c>
      <c r="P833" t="b">
        <v>0</v>
      </c>
    </row>
    <row r="834" spans="1:16" x14ac:dyDescent="0.2">
      <c r="A834" t="s">
        <v>1232</v>
      </c>
      <c r="B834" s="1">
        <v>45760</v>
      </c>
      <c r="C834" s="1">
        <v>45795</v>
      </c>
      <c r="D834" t="s">
        <v>1233</v>
      </c>
      <c r="E834" t="s">
        <v>18</v>
      </c>
      <c r="F834" t="s">
        <v>25</v>
      </c>
      <c r="G834" t="s">
        <v>50</v>
      </c>
      <c r="H834" t="s">
        <v>47</v>
      </c>
      <c r="I834" t="s">
        <v>57</v>
      </c>
      <c r="J834">
        <v>2</v>
      </c>
      <c r="K834">
        <v>5685000</v>
      </c>
      <c r="L834">
        <v>8.4000000000000005E-2</v>
      </c>
      <c r="M834" t="s">
        <v>23</v>
      </c>
      <c r="N834">
        <v>10415000</v>
      </c>
      <c r="O834">
        <v>4.5999999999999996</v>
      </c>
      <c r="P834" t="b">
        <v>0</v>
      </c>
    </row>
    <row r="835" spans="1:16" x14ac:dyDescent="0.2">
      <c r="A835" t="s">
        <v>1234</v>
      </c>
      <c r="B835" s="1">
        <v>45714</v>
      </c>
      <c r="C835" s="1">
        <v>45736</v>
      </c>
      <c r="D835" t="s">
        <v>594</v>
      </c>
      <c r="E835" t="s">
        <v>18</v>
      </c>
      <c r="F835" t="s">
        <v>80</v>
      </c>
      <c r="G835" t="s">
        <v>50</v>
      </c>
      <c r="H835" t="s">
        <v>47</v>
      </c>
      <c r="I835" t="s">
        <v>94</v>
      </c>
      <c r="J835">
        <v>3</v>
      </c>
      <c r="K835">
        <v>2605000</v>
      </c>
      <c r="L835">
        <v>3.6999999999999998E-2</v>
      </c>
      <c r="M835" t="s">
        <v>23</v>
      </c>
      <c r="N835">
        <v>7526000</v>
      </c>
      <c r="O835">
        <v>3.8</v>
      </c>
      <c r="P835" t="b">
        <v>0</v>
      </c>
    </row>
    <row r="836" spans="1:16" x14ac:dyDescent="0.2">
      <c r="A836" t="s">
        <v>1235</v>
      </c>
      <c r="B836" s="1">
        <v>45623</v>
      </c>
      <c r="C836" s="1">
        <v>45702</v>
      </c>
      <c r="D836" t="s">
        <v>323</v>
      </c>
      <c r="E836" t="s">
        <v>33</v>
      </c>
      <c r="F836" t="s">
        <v>68</v>
      </c>
      <c r="G836" t="s">
        <v>20</v>
      </c>
      <c r="H836" t="s">
        <v>21</v>
      </c>
      <c r="I836" t="s">
        <v>30</v>
      </c>
      <c r="J836">
        <v>2</v>
      </c>
      <c r="K836">
        <v>2219000</v>
      </c>
      <c r="L836">
        <v>0.19800000000000001</v>
      </c>
      <c r="M836" t="s">
        <v>23</v>
      </c>
      <c r="N836">
        <v>3559000</v>
      </c>
      <c r="O836">
        <v>3.8</v>
      </c>
      <c r="P836" t="b">
        <v>1</v>
      </c>
    </row>
    <row r="837" spans="1:16" x14ac:dyDescent="0.2">
      <c r="A837" t="s">
        <v>1236</v>
      </c>
      <c r="B837" s="1">
        <v>45744</v>
      </c>
      <c r="C837" s="1">
        <v>45770</v>
      </c>
      <c r="D837" t="s">
        <v>1237</v>
      </c>
      <c r="E837" t="s">
        <v>45</v>
      </c>
      <c r="F837" t="s">
        <v>19</v>
      </c>
      <c r="G837" t="s">
        <v>35</v>
      </c>
      <c r="H837" t="s">
        <v>21</v>
      </c>
      <c r="I837" t="s">
        <v>83</v>
      </c>
      <c r="J837">
        <v>2</v>
      </c>
      <c r="K837">
        <v>2464000</v>
      </c>
      <c r="L837">
        <v>9.9000000000000005E-2</v>
      </c>
      <c r="M837" t="s">
        <v>23</v>
      </c>
      <c r="N837">
        <v>4440000</v>
      </c>
      <c r="O837">
        <v>4.2</v>
      </c>
      <c r="P837" t="b">
        <v>1</v>
      </c>
    </row>
    <row r="838" spans="1:16" x14ac:dyDescent="0.2">
      <c r="A838" t="s">
        <v>1238</v>
      </c>
      <c r="B838" s="1">
        <v>45767</v>
      </c>
      <c r="C838" s="1">
        <v>45799</v>
      </c>
      <c r="D838" t="s">
        <v>372</v>
      </c>
      <c r="E838" t="s">
        <v>18</v>
      </c>
      <c r="F838" t="s">
        <v>39</v>
      </c>
      <c r="G838" t="s">
        <v>20</v>
      </c>
      <c r="H838" t="s">
        <v>47</v>
      </c>
      <c r="I838" t="s">
        <v>26</v>
      </c>
      <c r="J838">
        <v>1</v>
      </c>
      <c r="K838">
        <v>2133000</v>
      </c>
      <c r="L838">
        <v>7.2999999999999995E-2</v>
      </c>
      <c r="M838" t="s">
        <v>23</v>
      </c>
      <c r="N838">
        <v>1977000</v>
      </c>
      <c r="O838">
        <v>4.0999999999999996</v>
      </c>
      <c r="P838" t="b">
        <v>1</v>
      </c>
    </row>
    <row r="839" spans="1:16" x14ac:dyDescent="0.2">
      <c r="A839" t="s">
        <v>1239</v>
      </c>
      <c r="B839" s="1">
        <v>45645</v>
      </c>
      <c r="C839" s="1">
        <v>45734</v>
      </c>
      <c r="D839" t="s">
        <v>209</v>
      </c>
      <c r="E839" t="s">
        <v>45</v>
      </c>
      <c r="F839" t="s">
        <v>34</v>
      </c>
      <c r="G839" t="s">
        <v>35</v>
      </c>
      <c r="H839" t="s">
        <v>21</v>
      </c>
      <c r="I839" t="s">
        <v>94</v>
      </c>
      <c r="J839">
        <v>1</v>
      </c>
      <c r="K839">
        <v>3691000</v>
      </c>
      <c r="L839">
        <v>0.14000000000000001</v>
      </c>
      <c r="M839" t="s">
        <v>23</v>
      </c>
      <c r="N839">
        <v>3174000</v>
      </c>
      <c r="O839">
        <v>4.9000000000000004</v>
      </c>
      <c r="P839" t="b">
        <v>1</v>
      </c>
    </row>
    <row r="840" spans="1:16" x14ac:dyDescent="0.2">
      <c r="A840" t="s">
        <v>1240</v>
      </c>
      <c r="B840" s="1">
        <v>45458</v>
      </c>
      <c r="C840" s="1">
        <v>45534</v>
      </c>
      <c r="D840" t="s">
        <v>1241</v>
      </c>
      <c r="E840" t="s">
        <v>45</v>
      </c>
      <c r="F840" t="s">
        <v>45</v>
      </c>
      <c r="G840" t="s">
        <v>20</v>
      </c>
      <c r="H840" t="s">
        <v>21</v>
      </c>
      <c r="I840" t="s">
        <v>94</v>
      </c>
      <c r="J840">
        <v>3</v>
      </c>
      <c r="K840">
        <v>3488000</v>
      </c>
      <c r="L840">
        <v>0.75</v>
      </c>
      <c r="M840" t="s">
        <v>23</v>
      </c>
      <c r="N840">
        <v>9564000</v>
      </c>
      <c r="O840">
        <v>4.5999999999999996</v>
      </c>
      <c r="P840" t="b">
        <v>0</v>
      </c>
    </row>
    <row r="841" spans="1:16" x14ac:dyDescent="0.2">
      <c r="A841" t="s">
        <v>1242</v>
      </c>
      <c r="B841" s="1">
        <v>45764</v>
      </c>
      <c r="C841" s="1">
        <v>45791</v>
      </c>
      <c r="D841" t="s">
        <v>772</v>
      </c>
      <c r="E841" t="s">
        <v>18</v>
      </c>
      <c r="F841" t="s">
        <v>39</v>
      </c>
      <c r="G841" t="s">
        <v>50</v>
      </c>
      <c r="H841" t="s">
        <v>21</v>
      </c>
      <c r="I841" t="s">
        <v>60</v>
      </c>
      <c r="J841">
        <v>2</v>
      </c>
      <c r="K841">
        <v>2321000</v>
      </c>
      <c r="L841">
        <v>0.158</v>
      </c>
      <c r="M841" t="s">
        <v>23</v>
      </c>
      <c r="N841">
        <v>3909000</v>
      </c>
      <c r="O841">
        <v>4.2</v>
      </c>
      <c r="P841" t="b">
        <v>1</v>
      </c>
    </row>
    <row r="842" spans="1:16" x14ac:dyDescent="0.2">
      <c r="A842" t="s">
        <v>1243</v>
      </c>
      <c r="B842" s="1">
        <v>45739</v>
      </c>
      <c r="C842" s="1">
        <v>45780</v>
      </c>
      <c r="D842" t="s">
        <v>985</v>
      </c>
      <c r="E842" t="s">
        <v>29</v>
      </c>
      <c r="F842" t="s">
        <v>45</v>
      </c>
      <c r="G842" t="s">
        <v>20</v>
      </c>
      <c r="H842" t="s">
        <v>21</v>
      </c>
      <c r="I842" t="s">
        <v>94</v>
      </c>
      <c r="J842">
        <v>4</v>
      </c>
      <c r="K842">
        <v>3244000</v>
      </c>
      <c r="L842">
        <v>0.121</v>
      </c>
      <c r="M842" t="s">
        <v>23</v>
      </c>
      <c r="N842">
        <v>11406000</v>
      </c>
      <c r="O842">
        <v>4.5</v>
      </c>
      <c r="P842" t="b">
        <v>1</v>
      </c>
    </row>
    <row r="843" spans="1:16" x14ac:dyDescent="0.2">
      <c r="A843" t="s">
        <v>1244</v>
      </c>
      <c r="B843" s="1">
        <v>45904</v>
      </c>
      <c r="C843" s="1">
        <v>45955</v>
      </c>
      <c r="D843" t="s">
        <v>177</v>
      </c>
      <c r="E843" t="s">
        <v>18</v>
      </c>
      <c r="F843" t="s">
        <v>25</v>
      </c>
      <c r="G843" t="s">
        <v>35</v>
      </c>
      <c r="H843" t="s">
        <v>40</v>
      </c>
      <c r="I843" t="s">
        <v>83</v>
      </c>
      <c r="J843">
        <v>2</v>
      </c>
      <c r="K843">
        <v>3542000</v>
      </c>
      <c r="L843">
        <v>0.13</v>
      </c>
      <c r="M843" t="s">
        <v>23</v>
      </c>
      <c r="N843">
        <v>6163000</v>
      </c>
      <c r="O843">
        <v>3.2</v>
      </c>
      <c r="P843" t="b">
        <v>1</v>
      </c>
    </row>
    <row r="844" spans="1:16" x14ac:dyDescent="0.2">
      <c r="A844" t="s">
        <v>1245</v>
      </c>
      <c r="B844" s="1">
        <v>45385</v>
      </c>
      <c r="C844" s="1">
        <v>45448</v>
      </c>
      <c r="D844" t="s">
        <v>384</v>
      </c>
      <c r="E844" t="s">
        <v>45</v>
      </c>
      <c r="F844" t="s">
        <v>45</v>
      </c>
      <c r="G844" t="s">
        <v>20</v>
      </c>
      <c r="H844" t="s">
        <v>21</v>
      </c>
      <c r="I844" t="s">
        <v>30</v>
      </c>
      <c r="J844">
        <v>2</v>
      </c>
      <c r="K844">
        <v>3979000</v>
      </c>
      <c r="L844">
        <v>6.9000000000000006E-2</v>
      </c>
      <c r="M844" t="s">
        <v>65</v>
      </c>
      <c r="N844">
        <v>0</v>
      </c>
      <c r="P844" t="b">
        <v>1</v>
      </c>
    </row>
    <row r="845" spans="1:16" x14ac:dyDescent="0.2">
      <c r="A845" t="s">
        <v>1246</v>
      </c>
      <c r="B845" s="1">
        <v>45553</v>
      </c>
      <c r="C845" s="1">
        <v>45638</v>
      </c>
      <c r="D845" t="s">
        <v>167</v>
      </c>
      <c r="E845" t="s">
        <v>18</v>
      </c>
      <c r="F845" t="s">
        <v>34</v>
      </c>
      <c r="G845" t="s">
        <v>20</v>
      </c>
      <c r="H845" t="s">
        <v>21</v>
      </c>
      <c r="I845" t="s">
        <v>26</v>
      </c>
      <c r="J845">
        <v>3</v>
      </c>
      <c r="K845">
        <v>5423000</v>
      </c>
      <c r="L845">
        <v>7.2999999999999995E-2</v>
      </c>
      <c r="M845" t="s">
        <v>23</v>
      </c>
      <c r="N845">
        <v>15081000</v>
      </c>
      <c r="O845">
        <v>4.3</v>
      </c>
      <c r="P845" t="b">
        <v>1</v>
      </c>
    </row>
    <row r="846" spans="1:16" x14ac:dyDescent="0.2">
      <c r="A846" t="s">
        <v>1247</v>
      </c>
      <c r="B846" s="1">
        <v>45867</v>
      </c>
      <c r="C846" s="1">
        <v>45947</v>
      </c>
      <c r="D846" t="s">
        <v>120</v>
      </c>
      <c r="E846" t="s">
        <v>29</v>
      </c>
      <c r="F846" t="s">
        <v>34</v>
      </c>
      <c r="G846" t="s">
        <v>35</v>
      </c>
      <c r="H846" t="s">
        <v>47</v>
      </c>
      <c r="I846" t="s">
        <v>99</v>
      </c>
      <c r="J846">
        <v>2</v>
      </c>
      <c r="K846">
        <v>2843000</v>
      </c>
      <c r="L846">
        <v>0.14499999999999999</v>
      </c>
      <c r="M846" t="s">
        <v>23</v>
      </c>
      <c r="N846">
        <v>4862000</v>
      </c>
      <c r="O846">
        <v>4.8</v>
      </c>
      <c r="P846" t="b">
        <v>1</v>
      </c>
    </row>
    <row r="847" spans="1:16" x14ac:dyDescent="0.2">
      <c r="A847" t="s">
        <v>1248</v>
      </c>
      <c r="B847" s="1">
        <v>45612</v>
      </c>
      <c r="C847" s="1">
        <v>45701</v>
      </c>
      <c r="D847" t="s">
        <v>1042</v>
      </c>
      <c r="E847" t="s">
        <v>29</v>
      </c>
      <c r="F847" t="s">
        <v>19</v>
      </c>
      <c r="G847" t="s">
        <v>35</v>
      </c>
      <c r="H847" t="s">
        <v>21</v>
      </c>
      <c r="I847" t="s">
        <v>22</v>
      </c>
      <c r="J847">
        <v>1</v>
      </c>
      <c r="K847">
        <v>1445000</v>
      </c>
      <c r="L847">
        <v>0.186</v>
      </c>
      <c r="M847" t="s">
        <v>23</v>
      </c>
      <c r="N847">
        <v>1176000</v>
      </c>
      <c r="O847">
        <v>4.3</v>
      </c>
      <c r="P847" t="b">
        <v>1</v>
      </c>
    </row>
    <row r="848" spans="1:16" x14ac:dyDescent="0.2">
      <c r="A848" t="s">
        <v>1249</v>
      </c>
      <c r="B848" s="1">
        <v>45879</v>
      </c>
      <c r="C848" s="1">
        <v>45892</v>
      </c>
      <c r="D848" t="s">
        <v>530</v>
      </c>
      <c r="E848" t="s">
        <v>45</v>
      </c>
      <c r="F848" t="s">
        <v>25</v>
      </c>
      <c r="G848" t="s">
        <v>46</v>
      </c>
      <c r="H848" t="s">
        <v>21</v>
      </c>
      <c r="I848" t="s">
        <v>22</v>
      </c>
      <c r="J848">
        <v>1</v>
      </c>
      <c r="K848">
        <v>5944000</v>
      </c>
      <c r="L848">
        <v>6.2E-2</v>
      </c>
      <c r="M848" t="s">
        <v>23</v>
      </c>
      <c r="N848">
        <v>5575000</v>
      </c>
      <c r="O848">
        <v>4.9000000000000004</v>
      </c>
      <c r="P848" t="b">
        <v>1</v>
      </c>
    </row>
    <row r="849" spans="1:16" x14ac:dyDescent="0.2">
      <c r="A849" t="s">
        <v>1250</v>
      </c>
      <c r="B849" s="1">
        <v>45299</v>
      </c>
      <c r="C849" s="1">
        <v>45328</v>
      </c>
      <c r="D849" t="s">
        <v>374</v>
      </c>
      <c r="E849" t="s">
        <v>45</v>
      </c>
      <c r="F849" t="s">
        <v>19</v>
      </c>
      <c r="G849" t="s">
        <v>20</v>
      </c>
      <c r="H849" t="s">
        <v>40</v>
      </c>
      <c r="I849" t="s">
        <v>60</v>
      </c>
      <c r="J849">
        <v>1</v>
      </c>
      <c r="K849">
        <v>3043000</v>
      </c>
      <c r="L849">
        <v>7.0999999999999994E-2</v>
      </c>
      <c r="M849" t="s">
        <v>65</v>
      </c>
      <c r="N849">
        <v>0</v>
      </c>
      <c r="P849" t="b">
        <v>0</v>
      </c>
    </row>
    <row r="850" spans="1:16" x14ac:dyDescent="0.2">
      <c r="A850" t="s">
        <v>1251</v>
      </c>
      <c r="B850" s="1">
        <v>45313</v>
      </c>
      <c r="C850" s="1">
        <v>45368</v>
      </c>
      <c r="D850" t="s">
        <v>393</v>
      </c>
      <c r="E850" t="s">
        <v>18</v>
      </c>
      <c r="F850" t="s">
        <v>19</v>
      </c>
      <c r="G850" t="s">
        <v>20</v>
      </c>
      <c r="H850" t="s">
        <v>47</v>
      </c>
      <c r="I850" t="s">
        <v>94</v>
      </c>
      <c r="J850">
        <v>1</v>
      </c>
      <c r="K850">
        <v>1793000</v>
      </c>
      <c r="L850">
        <v>0.111</v>
      </c>
      <c r="M850" t="s">
        <v>23</v>
      </c>
      <c r="N850">
        <v>1594000</v>
      </c>
      <c r="O850">
        <v>4</v>
      </c>
      <c r="P850" t="b">
        <v>0</v>
      </c>
    </row>
    <row r="851" spans="1:16" x14ac:dyDescent="0.2">
      <c r="A851" t="s">
        <v>1252</v>
      </c>
      <c r="B851" s="1">
        <v>45787</v>
      </c>
      <c r="C851" s="1">
        <v>45800</v>
      </c>
      <c r="D851" t="s">
        <v>204</v>
      </c>
      <c r="E851" t="s">
        <v>45</v>
      </c>
      <c r="F851" t="s">
        <v>39</v>
      </c>
      <c r="G851" t="s">
        <v>20</v>
      </c>
      <c r="H851" t="s">
        <v>40</v>
      </c>
      <c r="I851" t="s">
        <v>52</v>
      </c>
      <c r="J851">
        <v>1</v>
      </c>
      <c r="K851">
        <v>2206000</v>
      </c>
      <c r="L851">
        <v>0.16500000000000001</v>
      </c>
      <c r="M851" t="s">
        <v>23</v>
      </c>
      <c r="N851">
        <v>1842000</v>
      </c>
      <c r="O851">
        <v>4.0999999999999996</v>
      </c>
      <c r="P851" t="b">
        <v>1</v>
      </c>
    </row>
    <row r="852" spans="1:16" x14ac:dyDescent="0.2">
      <c r="A852" t="s">
        <v>1253</v>
      </c>
      <c r="B852" s="1">
        <v>45515</v>
      </c>
      <c r="C852" s="1">
        <v>45553</v>
      </c>
      <c r="D852" t="s">
        <v>794</v>
      </c>
      <c r="E852" t="s">
        <v>45</v>
      </c>
      <c r="F852" t="s">
        <v>19</v>
      </c>
      <c r="G852" t="s">
        <v>20</v>
      </c>
      <c r="H852" t="s">
        <v>47</v>
      </c>
      <c r="I852" t="s">
        <v>26</v>
      </c>
      <c r="J852">
        <v>1</v>
      </c>
      <c r="K852">
        <v>2046000</v>
      </c>
      <c r="L852">
        <v>1.2999999999999999E-2</v>
      </c>
      <c r="M852" t="s">
        <v>23</v>
      </c>
      <c r="N852">
        <v>2019000</v>
      </c>
      <c r="O852">
        <v>4.4000000000000004</v>
      </c>
      <c r="P852" t="b">
        <v>1</v>
      </c>
    </row>
    <row r="853" spans="1:16" x14ac:dyDescent="0.2">
      <c r="A853" t="s">
        <v>1254</v>
      </c>
      <c r="B853" s="1">
        <v>45616</v>
      </c>
      <c r="C853" s="1">
        <v>45638</v>
      </c>
      <c r="D853" t="s">
        <v>192</v>
      </c>
      <c r="E853" t="s">
        <v>33</v>
      </c>
      <c r="F853" t="s">
        <v>19</v>
      </c>
      <c r="G853" t="s">
        <v>50</v>
      </c>
      <c r="H853" t="s">
        <v>21</v>
      </c>
      <c r="I853" t="s">
        <v>94</v>
      </c>
      <c r="J853">
        <v>1</v>
      </c>
      <c r="K853">
        <v>3380000</v>
      </c>
      <c r="L853">
        <v>0</v>
      </c>
      <c r="M853" t="s">
        <v>23</v>
      </c>
      <c r="N853">
        <v>3380000</v>
      </c>
      <c r="O853">
        <v>4</v>
      </c>
      <c r="P853" t="b">
        <v>1</v>
      </c>
    </row>
    <row r="854" spans="1:16" x14ac:dyDescent="0.2">
      <c r="A854" t="s">
        <v>1255</v>
      </c>
      <c r="B854" s="1">
        <v>45558</v>
      </c>
      <c r="C854" s="1">
        <v>45643</v>
      </c>
      <c r="D854" t="s">
        <v>853</v>
      </c>
      <c r="E854" t="s">
        <v>45</v>
      </c>
      <c r="F854" t="s">
        <v>19</v>
      </c>
      <c r="G854" t="s">
        <v>50</v>
      </c>
      <c r="H854" t="s">
        <v>21</v>
      </c>
      <c r="I854" t="s">
        <v>52</v>
      </c>
      <c r="J854">
        <v>1</v>
      </c>
      <c r="K854">
        <v>3237000</v>
      </c>
      <c r="L854">
        <v>9.7000000000000003E-2</v>
      </c>
      <c r="M854" t="s">
        <v>23</v>
      </c>
      <c r="N854">
        <v>2923000</v>
      </c>
      <c r="O854">
        <v>5</v>
      </c>
      <c r="P854" t="b">
        <v>0</v>
      </c>
    </row>
    <row r="855" spans="1:16" x14ac:dyDescent="0.2">
      <c r="A855" t="s">
        <v>1256</v>
      </c>
      <c r="B855" s="1">
        <v>45546</v>
      </c>
      <c r="C855" s="1">
        <v>45561</v>
      </c>
      <c r="D855" t="s">
        <v>185</v>
      </c>
      <c r="E855" t="s">
        <v>45</v>
      </c>
      <c r="F855" t="s">
        <v>34</v>
      </c>
      <c r="G855" t="s">
        <v>50</v>
      </c>
      <c r="H855" t="s">
        <v>51</v>
      </c>
      <c r="I855" t="s">
        <v>60</v>
      </c>
      <c r="J855">
        <v>1</v>
      </c>
      <c r="K855">
        <v>2995000</v>
      </c>
      <c r="L855">
        <v>0.21099999999999999</v>
      </c>
      <c r="M855" t="s">
        <v>23</v>
      </c>
      <c r="N855">
        <v>2363000</v>
      </c>
      <c r="O855">
        <v>3.6</v>
      </c>
      <c r="P855" t="b">
        <v>1</v>
      </c>
    </row>
    <row r="856" spans="1:16" x14ac:dyDescent="0.2">
      <c r="A856" t="s">
        <v>1257</v>
      </c>
      <c r="B856" s="1">
        <v>45877</v>
      </c>
      <c r="C856" s="1">
        <v>45899</v>
      </c>
      <c r="D856" t="s">
        <v>105</v>
      </c>
      <c r="E856" t="s">
        <v>33</v>
      </c>
      <c r="F856" t="s">
        <v>45</v>
      </c>
      <c r="G856" t="s">
        <v>20</v>
      </c>
      <c r="H856" t="s">
        <v>47</v>
      </c>
      <c r="I856" t="s">
        <v>60</v>
      </c>
      <c r="J856">
        <v>4</v>
      </c>
      <c r="K856">
        <v>3378000</v>
      </c>
      <c r="L856">
        <v>8.9999999999999993E-3</v>
      </c>
      <c r="M856" t="s">
        <v>65</v>
      </c>
      <c r="N856">
        <v>0</v>
      </c>
      <c r="P856" t="b">
        <v>1</v>
      </c>
    </row>
    <row r="857" spans="1:16" x14ac:dyDescent="0.2">
      <c r="A857" t="s">
        <v>1258</v>
      </c>
      <c r="B857" s="1">
        <v>45350</v>
      </c>
      <c r="C857" s="1">
        <v>45375</v>
      </c>
      <c r="D857" t="s">
        <v>105</v>
      </c>
      <c r="E857" t="s">
        <v>33</v>
      </c>
      <c r="F857" t="s">
        <v>19</v>
      </c>
      <c r="G857" t="s">
        <v>20</v>
      </c>
      <c r="H857" t="s">
        <v>40</v>
      </c>
      <c r="I857" t="s">
        <v>26</v>
      </c>
      <c r="J857">
        <v>2</v>
      </c>
      <c r="K857">
        <v>2958000</v>
      </c>
      <c r="L857">
        <v>0.126</v>
      </c>
      <c r="M857" t="s">
        <v>23</v>
      </c>
      <c r="N857">
        <v>5171000</v>
      </c>
      <c r="O857">
        <v>4.5999999999999996</v>
      </c>
      <c r="P857" t="b">
        <v>1</v>
      </c>
    </row>
    <row r="858" spans="1:16" x14ac:dyDescent="0.2">
      <c r="A858" t="s">
        <v>1259</v>
      </c>
      <c r="B858" s="1">
        <v>45773</v>
      </c>
      <c r="C858" s="1">
        <v>45795</v>
      </c>
      <c r="D858" t="s">
        <v>323</v>
      </c>
      <c r="E858" t="s">
        <v>33</v>
      </c>
      <c r="F858" t="s">
        <v>34</v>
      </c>
      <c r="G858" t="s">
        <v>50</v>
      </c>
      <c r="H858" t="s">
        <v>21</v>
      </c>
      <c r="I858" t="s">
        <v>26</v>
      </c>
      <c r="J858">
        <v>1</v>
      </c>
      <c r="K858">
        <v>3531000</v>
      </c>
      <c r="L858">
        <v>9.6000000000000002E-2</v>
      </c>
      <c r="M858" t="s">
        <v>23</v>
      </c>
      <c r="N858">
        <v>3192000</v>
      </c>
      <c r="O858">
        <v>4</v>
      </c>
      <c r="P858" t="b">
        <v>1</v>
      </c>
    </row>
    <row r="859" spans="1:16" x14ac:dyDescent="0.2">
      <c r="A859" t="s">
        <v>1260</v>
      </c>
      <c r="B859" s="1">
        <v>45846</v>
      </c>
      <c r="C859" s="1">
        <v>45902</v>
      </c>
      <c r="D859" t="s">
        <v>1010</v>
      </c>
      <c r="E859" t="s">
        <v>33</v>
      </c>
      <c r="F859" t="s">
        <v>68</v>
      </c>
      <c r="G859" t="s">
        <v>20</v>
      </c>
      <c r="H859" t="s">
        <v>21</v>
      </c>
      <c r="I859" t="s">
        <v>83</v>
      </c>
      <c r="J859">
        <v>2</v>
      </c>
      <c r="K859">
        <v>1966000</v>
      </c>
      <c r="L859">
        <v>0.104</v>
      </c>
      <c r="M859" t="s">
        <v>23</v>
      </c>
      <c r="N859">
        <v>3523000</v>
      </c>
      <c r="O859">
        <v>3.9</v>
      </c>
      <c r="P859" t="b">
        <v>1</v>
      </c>
    </row>
    <row r="860" spans="1:16" x14ac:dyDescent="0.2">
      <c r="A860" t="s">
        <v>1261</v>
      </c>
      <c r="B860" s="1">
        <v>45701</v>
      </c>
      <c r="C860" s="1">
        <v>45740</v>
      </c>
      <c r="D860" t="s">
        <v>757</v>
      </c>
      <c r="E860" t="s">
        <v>45</v>
      </c>
      <c r="F860" t="s">
        <v>39</v>
      </c>
      <c r="G860" t="s">
        <v>35</v>
      </c>
      <c r="H860" t="s">
        <v>21</v>
      </c>
      <c r="I860" t="s">
        <v>77</v>
      </c>
      <c r="J860">
        <v>2</v>
      </c>
      <c r="K860">
        <v>2162000</v>
      </c>
      <c r="L860">
        <v>0.13800000000000001</v>
      </c>
      <c r="M860" t="s">
        <v>23</v>
      </c>
      <c r="N860">
        <v>3727000</v>
      </c>
      <c r="O860">
        <v>4.2</v>
      </c>
      <c r="P860" t="b">
        <v>1</v>
      </c>
    </row>
    <row r="861" spans="1:16" x14ac:dyDescent="0.2">
      <c r="A861" t="s">
        <v>1262</v>
      </c>
      <c r="B861" s="1">
        <v>45538</v>
      </c>
      <c r="C861" s="1">
        <v>45621</v>
      </c>
      <c r="D861" t="s">
        <v>927</v>
      </c>
      <c r="E861" t="s">
        <v>18</v>
      </c>
      <c r="F861" t="s">
        <v>45</v>
      </c>
      <c r="G861" t="s">
        <v>20</v>
      </c>
      <c r="H861" t="s">
        <v>47</v>
      </c>
      <c r="I861" t="s">
        <v>94</v>
      </c>
      <c r="J861">
        <v>2</v>
      </c>
      <c r="K861">
        <v>2603000</v>
      </c>
      <c r="L861">
        <v>4.2000000000000003E-2</v>
      </c>
      <c r="M861" t="s">
        <v>23</v>
      </c>
      <c r="N861">
        <v>4987000</v>
      </c>
      <c r="O861">
        <v>4.5999999999999996</v>
      </c>
      <c r="P861" t="b">
        <v>0</v>
      </c>
    </row>
    <row r="862" spans="1:16" x14ac:dyDescent="0.2">
      <c r="A862" t="s">
        <v>1263</v>
      </c>
      <c r="B862" s="1">
        <v>45391</v>
      </c>
      <c r="C862" s="1">
        <v>45422</v>
      </c>
      <c r="D862" t="s">
        <v>314</v>
      </c>
      <c r="E862" t="s">
        <v>33</v>
      </c>
      <c r="F862" t="s">
        <v>39</v>
      </c>
      <c r="G862" t="s">
        <v>20</v>
      </c>
      <c r="H862" t="s">
        <v>47</v>
      </c>
      <c r="I862" t="s">
        <v>30</v>
      </c>
      <c r="J862">
        <v>1</v>
      </c>
      <c r="K862">
        <v>2465000</v>
      </c>
      <c r="L862">
        <v>5.3999999999999999E-2</v>
      </c>
      <c r="M862" t="s">
        <v>23</v>
      </c>
      <c r="N862">
        <v>2332000</v>
      </c>
      <c r="O862">
        <v>4</v>
      </c>
      <c r="P862" t="b">
        <v>0</v>
      </c>
    </row>
    <row r="863" spans="1:16" x14ac:dyDescent="0.2">
      <c r="A863" t="s">
        <v>1264</v>
      </c>
      <c r="B863" s="1">
        <v>45717</v>
      </c>
      <c r="C863" s="1">
        <v>45770</v>
      </c>
      <c r="D863" t="s">
        <v>689</v>
      </c>
      <c r="E863" t="s">
        <v>33</v>
      </c>
      <c r="F863" t="s">
        <v>68</v>
      </c>
      <c r="G863" t="s">
        <v>50</v>
      </c>
      <c r="H863" t="s">
        <v>21</v>
      </c>
      <c r="I863" t="s">
        <v>52</v>
      </c>
      <c r="J863">
        <v>1</v>
      </c>
      <c r="K863">
        <v>1672000</v>
      </c>
      <c r="L863">
        <v>0.10199999999999999</v>
      </c>
      <c r="M863" t="s">
        <v>23</v>
      </c>
      <c r="N863">
        <v>1501000</v>
      </c>
      <c r="O863">
        <v>3.7</v>
      </c>
      <c r="P863" t="b">
        <v>1</v>
      </c>
    </row>
    <row r="864" spans="1:16" x14ac:dyDescent="0.2">
      <c r="A864" t="s">
        <v>1265</v>
      </c>
      <c r="B864" s="1">
        <v>45584</v>
      </c>
      <c r="C864" s="1">
        <v>45647</v>
      </c>
      <c r="D864" t="s">
        <v>245</v>
      </c>
      <c r="E864" t="s">
        <v>29</v>
      </c>
      <c r="F864" t="s">
        <v>19</v>
      </c>
      <c r="G864" t="s">
        <v>20</v>
      </c>
      <c r="H864" t="s">
        <v>21</v>
      </c>
      <c r="I864" t="s">
        <v>26</v>
      </c>
      <c r="J864">
        <v>2</v>
      </c>
      <c r="K864">
        <v>1909000</v>
      </c>
      <c r="L864">
        <v>5.3999999999999999E-2</v>
      </c>
      <c r="M864" t="s">
        <v>23</v>
      </c>
      <c r="N864">
        <v>3612000</v>
      </c>
      <c r="O864">
        <v>4.8</v>
      </c>
      <c r="P864" t="b">
        <v>1</v>
      </c>
    </row>
    <row r="865" spans="1:16" x14ac:dyDescent="0.2">
      <c r="A865" t="s">
        <v>1266</v>
      </c>
      <c r="B865" s="1">
        <v>45385</v>
      </c>
      <c r="C865" s="1">
        <v>45445</v>
      </c>
      <c r="D865" t="s">
        <v>1267</v>
      </c>
      <c r="E865" t="s">
        <v>18</v>
      </c>
      <c r="F865" t="s">
        <v>45</v>
      </c>
      <c r="G865" t="s">
        <v>46</v>
      </c>
      <c r="H865" t="s">
        <v>21</v>
      </c>
      <c r="I865" t="s">
        <v>83</v>
      </c>
      <c r="J865">
        <v>3</v>
      </c>
      <c r="K865">
        <v>3245000</v>
      </c>
      <c r="L865">
        <v>1.4999999999999999E-2</v>
      </c>
      <c r="M865" t="s">
        <v>23</v>
      </c>
      <c r="N865">
        <v>9589000</v>
      </c>
      <c r="O865">
        <v>4.4000000000000004</v>
      </c>
      <c r="P865" t="b">
        <v>0</v>
      </c>
    </row>
    <row r="866" spans="1:16" x14ac:dyDescent="0.2">
      <c r="A866" t="s">
        <v>1268</v>
      </c>
      <c r="B866" s="1">
        <v>45516</v>
      </c>
      <c r="C866" s="1">
        <v>45590</v>
      </c>
      <c r="D866" t="s">
        <v>334</v>
      </c>
      <c r="E866" t="s">
        <v>29</v>
      </c>
      <c r="F866" t="s">
        <v>45</v>
      </c>
      <c r="G866" t="s">
        <v>20</v>
      </c>
      <c r="H866" t="s">
        <v>21</v>
      </c>
      <c r="I866" t="s">
        <v>94</v>
      </c>
      <c r="J866">
        <v>3</v>
      </c>
      <c r="K866">
        <v>2710000</v>
      </c>
      <c r="L866">
        <v>0.16700000000000001</v>
      </c>
      <c r="M866" t="s">
        <v>23</v>
      </c>
      <c r="N866">
        <v>6772000</v>
      </c>
      <c r="O866">
        <v>4.7</v>
      </c>
      <c r="P866" t="b">
        <v>0</v>
      </c>
    </row>
    <row r="867" spans="1:16" x14ac:dyDescent="0.2">
      <c r="A867" t="s">
        <v>1269</v>
      </c>
      <c r="B867" s="1">
        <v>45891</v>
      </c>
      <c r="C867" s="1">
        <v>45917</v>
      </c>
      <c r="D867" t="s">
        <v>332</v>
      </c>
      <c r="E867" t="s">
        <v>18</v>
      </c>
      <c r="F867" t="s">
        <v>19</v>
      </c>
      <c r="G867" t="s">
        <v>20</v>
      </c>
      <c r="H867" t="s">
        <v>47</v>
      </c>
      <c r="I867" t="s">
        <v>22</v>
      </c>
      <c r="J867">
        <v>2</v>
      </c>
      <c r="K867">
        <v>3127000</v>
      </c>
      <c r="L867">
        <v>9.5000000000000001E-2</v>
      </c>
      <c r="M867" t="s">
        <v>23</v>
      </c>
      <c r="N867">
        <v>5660000</v>
      </c>
      <c r="O867">
        <v>4.5999999999999996</v>
      </c>
      <c r="P867" t="b">
        <v>1</v>
      </c>
    </row>
    <row r="868" spans="1:16" x14ac:dyDescent="0.2">
      <c r="A868" t="s">
        <v>1270</v>
      </c>
      <c r="B868" s="1">
        <v>45457</v>
      </c>
      <c r="C868" s="1">
        <v>45508</v>
      </c>
      <c r="D868" t="s">
        <v>1271</v>
      </c>
      <c r="E868" t="s">
        <v>18</v>
      </c>
      <c r="F868" t="s">
        <v>80</v>
      </c>
      <c r="G868" t="s">
        <v>20</v>
      </c>
      <c r="H868" t="s">
        <v>40</v>
      </c>
      <c r="I868" t="s">
        <v>60</v>
      </c>
      <c r="J868">
        <v>4</v>
      </c>
      <c r="K868">
        <v>3297000</v>
      </c>
      <c r="L868">
        <v>4.2999999999999997E-2</v>
      </c>
      <c r="M868" t="s">
        <v>23</v>
      </c>
      <c r="N868">
        <v>12621000</v>
      </c>
      <c r="O868">
        <v>5</v>
      </c>
      <c r="P868" t="b">
        <v>0</v>
      </c>
    </row>
    <row r="869" spans="1:16" x14ac:dyDescent="0.2">
      <c r="A869" t="s">
        <v>1272</v>
      </c>
      <c r="B869" s="1">
        <v>45403</v>
      </c>
      <c r="C869" s="1">
        <v>45477</v>
      </c>
      <c r="D869" t="s">
        <v>294</v>
      </c>
      <c r="E869" t="s">
        <v>33</v>
      </c>
      <c r="F869" t="s">
        <v>34</v>
      </c>
      <c r="G869" t="s">
        <v>20</v>
      </c>
      <c r="H869" t="s">
        <v>21</v>
      </c>
      <c r="I869" t="s">
        <v>52</v>
      </c>
      <c r="J869">
        <v>1</v>
      </c>
      <c r="K869">
        <v>3205000</v>
      </c>
      <c r="L869">
        <v>7.0999999999999994E-2</v>
      </c>
      <c r="M869" t="s">
        <v>23</v>
      </c>
      <c r="N869">
        <v>2977000</v>
      </c>
      <c r="O869">
        <v>4.8</v>
      </c>
      <c r="P869" t="b">
        <v>0</v>
      </c>
    </row>
    <row r="870" spans="1:16" x14ac:dyDescent="0.2">
      <c r="A870" t="s">
        <v>1273</v>
      </c>
      <c r="B870" s="1">
        <v>45716</v>
      </c>
      <c r="C870" s="1">
        <v>45795</v>
      </c>
      <c r="D870" t="s">
        <v>72</v>
      </c>
      <c r="E870" t="s">
        <v>45</v>
      </c>
      <c r="F870" t="s">
        <v>45</v>
      </c>
      <c r="G870" t="s">
        <v>35</v>
      </c>
      <c r="H870" t="s">
        <v>40</v>
      </c>
      <c r="I870" t="s">
        <v>26</v>
      </c>
      <c r="J870">
        <v>3</v>
      </c>
      <c r="K870">
        <v>3805000</v>
      </c>
      <c r="L870">
        <v>0.112</v>
      </c>
      <c r="M870" t="s">
        <v>23</v>
      </c>
      <c r="N870">
        <v>10137000</v>
      </c>
      <c r="O870">
        <v>3.8</v>
      </c>
      <c r="P870" t="b">
        <v>1</v>
      </c>
    </row>
    <row r="871" spans="1:16" x14ac:dyDescent="0.2">
      <c r="A871" t="s">
        <v>1274</v>
      </c>
      <c r="B871" s="1">
        <v>45416</v>
      </c>
      <c r="C871" s="1">
        <v>45476</v>
      </c>
      <c r="D871" t="s">
        <v>1275</v>
      </c>
      <c r="E871" t="s">
        <v>45</v>
      </c>
      <c r="F871" t="s">
        <v>39</v>
      </c>
      <c r="G871" t="s">
        <v>20</v>
      </c>
      <c r="H871" t="s">
        <v>51</v>
      </c>
      <c r="I871" t="s">
        <v>22</v>
      </c>
      <c r="J871">
        <v>1</v>
      </c>
      <c r="K871">
        <v>2130000</v>
      </c>
      <c r="L871">
        <v>9.2999999999999999E-2</v>
      </c>
      <c r="M871" t="s">
        <v>23</v>
      </c>
      <c r="N871">
        <v>1932000</v>
      </c>
      <c r="O871">
        <v>4.4000000000000004</v>
      </c>
      <c r="P871" t="b">
        <v>0</v>
      </c>
    </row>
    <row r="872" spans="1:16" x14ac:dyDescent="0.2">
      <c r="A872" t="s">
        <v>1276</v>
      </c>
      <c r="B872" s="1">
        <v>45865</v>
      </c>
      <c r="C872" s="1">
        <v>45927</v>
      </c>
      <c r="D872" t="s">
        <v>620</v>
      </c>
      <c r="E872" t="s">
        <v>18</v>
      </c>
      <c r="F872" t="s">
        <v>45</v>
      </c>
      <c r="G872" t="s">
        <v>35</v>
      </c>
      <c r="H872" t="s">
        <v>21</v>
      </c>
      <c r="I872" t="s">
        <v>26</v>
      </c>
      <c r="J872">
        <v>4</v>
      </c>
      <c r="K872">
        <v>3337000</v>
      </c>
      <c r="L872">
        <v>6.4000000000000001E-2</v>
      </c>
      <c r="M872" t="s">
        <v>23</v>
      </c>
      <c r="N872">
        <v>12494000</v>
      </c>
      <c r="O872">
        <v>3.9</v>
      </c>
      <c r="P872" t="b">
        <v>1</v>
      </c>
    </row>
    <row r="873" spans="1:16" x14ac:dyDescent="0.2">
      <c r="A873" t="s">
        <v>1277</v>
      </c>
      <c r="B873" s="1">
        <v>45827</v>
      </c>
      <c r="C873" s="1">
        <v>45906</v>
      </c>
      <c r="D873" t="s">
        <v>336</v>
      </c>
      <c r="E873" t="s">
        <v>29</v>
      </c>
      <c r="F873" t="s">
        <v>19</v>
      </c>
      <c r="G873" t="s">
        <v>50</v>
      </c>
      <c r="H873" t="s">
        <v>21</v>
      </c>
      <c r="I873" t="s">
        <v>22</v>
      </c>
      <c r="J873">
        <v>2</v>
      </c>
      <c r="K873">
        <v>1500000</v>
      </c>
      <c r="L873">
        <v>3.5999999999999997E-2</v>
      </c>
      <c r="M873" t="s">
        <v>23</v>
      </c>
      <c r="N873">
        <v>2892000</v>
      </c>
      <c r="O873">
        <v>4</v>
      </c>
      <c r="P873" t="b">
        <v>1</v>
      </c>
    </row>
    <row r="874" spans="1:16" x14ac:dyDescent="0.2">
      <c r="A874" t="s">
        <v>1278</v>
      </c>
      <c r="B874" s="1">
        <v>45904</v>
      </c>
      <c r="C874" s="1">
        <v>45964</v>
      </c>
      <c r="D874" t="s">
        <v>496</v>
      </c>
      <c r="E874" t="s">
        <v>18</v>
      </c>
      <c r="F874" t="s">
        <v>34</v>
      </c>
      <c r="G874" t="s">
        <v>20</v>
      </c>
      <c r="H874" t="s">
        <v>21</v>
      </c>
      <c r="I874" t="s">
        <v>30</v>
      </c>
      <c r="J874">
        <v>2</v>
      </c>
      <c r="K874">
        <v>4211000</v>
      </c>
      <c r="L874">
        <v>0.10100000000000001</v>
      </c>
      <c r="M874" t="s">
        <v>23</v>
      </c>
      <c r="N874">
        <v>7571000</v>
      </c>
      <c r="O874">
        <v>3.5</v>
      </c>
      <c r="P874" t="b">
        <v>1</v>
      </c>
    </row>
    <row r="875" spans="1:16" x14ac:dyDescent="0.2">
      <c r="A875" t="s">
        <v>1279</v>
      </c>
      <c r="B875" s="1">
        <v>45860</v>
      </c>
      <c r="C875" s="1">
        <v>45946</v>
      </c>
      <c r="D875" t="s">
        <v>439</v>
      </c>
      <c r="E875" t="s">
        <v>45</v>
      </c>
      <c r="F875" t="s">
        <v>25</v>
      </c>
      <c r="G875" t="s">
        <v>20</v>
      </c>
      <c r="H875" t="s">
        <v>21</v>
      </c>
      <c r="I875" t="s">
        <v>26</v>
      </c>
      <c r="J875">
        <v>1</v>
      </c>
      <c r="K875">
        <v>4235000</v>
      </c>
      <c r="L875">
        <v>0.124</v>
      </c>
      <c r="M875" t="s">
        <v>23</v>
      </c>
      <c r="N875">
        <v>3710000</v>
      </c>
      <c r="O875">
        <v>4.0999999999999996</v>
      </c>
      <c r="P875" t="b">
        <v>1</v>
      </c>
    </row>
    <row r="876" spans="1:16" x14ac:dyDescent="0.2">
      <c r="A876" t="s">
        <v>1280</v>
      </c>
      <c r="B876" s="1">
        <v>45443</v>
      </c>
      <c r="C876" s="1">
        <v>45463</v>
      </c>
      <c r="D876" t="s">
        <v>181</v>
      </c>
      <c r="E876" t="s">
        <v>45</v>
      </c>
      <c r="F876" t="s">
        <v>25</v>
      </c>
      <c r="G876" t="s">
        <v>20</v>
      </c>
      <c r="H876" t="s">
        <v>21</v>
      </c>
      <c r="I876" t="s">
        <v>77</v>
      </c>
      <c r="J876">
        <v>1</v>
      </c>
      <c r="K876">
        <v>4667000</v>
      </c>
      <c r="L876">
        <v>0.01</v>
      </c>
      <c r="M876" t="s">
        <v>23</v>
      </c>
      <c r="N876">
        <v>4620000</v>
      </c>
      <c r="O876">
        <v>4.5</v>
      </c>
      <c r="P876" t="b">
        <v>1</v>
      </c>
    </row>
    <row r="877" spans="1:16" x14ac:dyDescent="0.2">
      <c r="A877" t="s">
        <v>1281</v>
      </c>
      <c r="B877" s="1">
        <v>45424</v>
      </c>
      <c r="C877" s="1">
        <v>45462</v>
      </c>
      <c r="D877" t="s">
        <v>985</v>
      </c>
      <c r="E877" t="s">
        <v>29</v>
      </c>
      <c r="F877" t="s">
        <v>68</v>
      </c>
      <c r="G877" t="s">
        <v>50</v>
      </c>
      <c r="H877" t="s">
        <v>40</v>
      </c>
      <c r="I877" t="s">
        <v>57</v>
      </c>
      <c r="J877">
        <v>3</v>
      </c>
      <c r="K877">
        <v>1978000</v>
      </c>
      <c r="L877">
        <v>4.0000000000000001E-3</v>
      </c>
      <c r="M877" t="s">
        <v>23</v>
      </c>
      <c r="N877">
        <v>5910000</v>
      </c>
      <c r="O877">
        <v>4.2</v>
      </c>
      <c r="P877" t="b">
        <v>0</v>
      </c>
    </row>
    <row r="878" spans="1:16" x14ac:dyDescent="0.2">
      <c r="A878" t="s">
        <v>1282</v>
      </c>
      <c r="B878" s="1">
        <v>45505</v>
      </c>
      <c r="C878" s="1">
        <v>45524</v>
      </c>
      <c r="D878" t="s">
        <v>1283</v>
      </c>
      <c r="E878" t="s">
        <v>18</v>
      </c>
      <c r="F878" t="s">
        <v>39</v>
      </c>
      <c r="G878" t="s">
        <v>35</v>
      </c>
      <c r="H878" t="s">
        <v>21</v>
      </c>
      <c r="I878" t="s">
        <v>52</v>
      </c>
      <c r="J878">
        <v>1</v>
      </c>
      <c r="K878">
        <v>2596000</v>
      </c>
      <c r="L878">
        <v>6.7000000000000004E-2</v>
      </c>
      <c r="M878" t="s">
        <v>23</v>
      </c>
      <c r="N878">
        <v>2422000</v>
      </c>
      <c r="O878">
        <v>3.7</v>
      </c>
      <c r="P878" t="b">
        <v>0</v>
      </c>
    </row>
    <row r="879" spans="1:16" x14ac:dyDescent="0.2">
      <c r="A879" t="s">
        <v>1284</v>
      </c>
      <c r="B879" s="1">
        <v>45584</v>
      </c>
      <c r="C879" s="1">
        <v>45601</v>
      </c>
      <c r="D879" t="s">
        <v>87</v>
      </c>
      <c r="E879" t="s">
        <v>29</v>
      </c>
      <c r="F879" t="s">
        <v>68</v>
      </c>
      <c r="G879" t="s">
        <v>20</v>
      </c>
      <c r="H879" t="s">
        <v>21</v>
      </c>
      <c r="I879" t="s">
        <v>22</v>
      </c>
      <c r="J879">
        <v>4</v>
      </c>
      <c r="K879">
        <v>2417000</v>
      </c>
      <c r="L879">
        <v>7.4999999999999997E-2</v>
      </c>
      <c r="M879" t="s">
        <v>23</v>
      </c>
      <c r="N879">
        <v>8943000</v>
      </c>
      <c r="O879">
        <v>3.4</v>
      </c>
      <c r="P879" t="b">
        <v>1</v>
      </c>
    </row>
    <row r="880" spans="1:16" x14ac:dyDescent="0.2">
      <c r="A880" t="s">
        <v>1285</v>
      </c>
      <c r="B880" s="1">
        <v>45840</v>
      </c>
      <c r="C880" s="1">
        <v>45888</v>
      </c>
      <c r="D880" t="s">
        <v>949</v>
      </c>
      <c r="E880" t="s">
        <v>45</v>
      </c>
      <c r="F880" t="s">
        <v>39</v>
      </c>
      <c r="G880" t="s">
        <v>35</v>
      </c>
      <c r="H880" t="s">
        <v>47</v>
      </c>
      <c r="I880" t="s">
        <v>30</v>
      </c>
      <c r="J880">
        <v>1</v>
      </c>
      <c r="K880">
        <v>2650000</v>
      </c>
      <c r="L880">
        <v>2E-3</v>
      </c>
      <c r="M880" t="s">
        <v>23</v>
      </c>
      <c r="N880">
        <v>2645000</v>
      </c>
      <c r="O880">
        <v>5</v>
      </c>
      <c r="P880" t="b">
        <v>1</v>
      </c>
    </row>
    <row r="881" spans="1:16" x14ac:dyDescent="0.2">
      <c r="A881" t="s">
        <v>1286</v>
      </c>
      <c r="B881" s="1">
        <v>45748</v>
      </c>
      <c r="C881" s="1">
        <v>45776</v>
      </c>
      <c r="D881" t="s">
        <v>1287</v>
      </c>
      <c r="E881" t="s">
        <v>45</v>
      </c>
      <c r="F881" t="s">
        <v>68</v>
      </c>
      <c r="G881" t="s">
        <v>35</v>
      </c>
      <c r="H881" t="s">
        <v>21</v>
      </c>
      <c r="I881" t="s">
        <v>52</v>
      </c>
      <c r="J881">
        <v>1</v>
      </c>
      <c r="K881">
        <v>1865000</v>
      </c>
      <c r="L881">
        <v>0.17799999999999999</v>
      </c>
      <c r="M881" t="s">
        <v>23</v>
      </c>
      <c r="N881">
        <v>1533000</v>
      </c>
      <c r="O881">
        <v>4.4000000000000004</v>
      </c>
      <c r="P881" t="b">
        <v>1</v>
      </c>
    </row>
    <row r="882" spans="1:16" x14ac:dyDescent="0.2">
      <c r="A882" t="s">
        <v>1288</v>
      </c>
      <c r="B882" s="1">
        <v>45693</v>
      </c>
      <c r="C882" s="1">
        <v>45735</v>
      </c>
      <c r="D882" t="s">
        <v>541</v>
      </c>
      <c r="E882" t="s">
        <v>33</v>
      </c>
      <c r="F882" t="s">
        <v>25</v>
      </c>
      <c r="G882" t="s">
        <v>20</v>
      </c>
      <c r="H882" t="s">
        <v>40</v>
      </c>
      <c r="I882" t="s">
        <v>77</v>
      </c>
      <c r="J882">
        <v>1</v>
      </c>
      <c r="K882">
        <v>6609000</v>
      </c>
      <c r="L882">
        <v>8.2000000000000003E-2</v>
      </c>
      <c r="M882" t="s">
        <v>23</v>
      </c>
      <c r="N882">
        <v>6067000</v>
      </c>
      <c r="O882">
        <v>3.8</v>
      </c>
      <c r="P882" t="b">
        <v>0</v>
      </c>
    </row>
    <row r="883" spans="1:16" x14ac:dyDescent="0.2">
      <c r="A883" t="s">
        <v>1289</v>
      </c>
      <c r="B883" s="1">
        <v>45839</v>
      </c>
      <c r="C883" s="1">
        <v>45884</v>
      </c>
      <c r="D883" t="s">
        <v>356</v>
      </c>
      <c r="E883" t="s">
        <v>18</v>
      </c>
      <c r="F883" t="s">
        <v>34</v>
      </c>
      <c r="G883" t="s">
        <v>20</v>
      </c>
      <c r="H883" t="s">
        <v>40</v>
      </c>
      <c r="I883" t="s">
        <v>77</v>
      </c>
      <c r="J883">
        <v>1</v>
      </c>
      <c r="K883">
        <v>3085000</v>
      </c>
      <c r="L883">
        <v>0.106</v>
      </c>
      <c r="M883" t="s">
        <v>23</v>
      </c>
      <c r="N883">
        <v>2758000</v>
      </c>
      <c r="O883">
        <v>4.4000000000000004</v>
      </c>
      <c r="P883" t="b">
        <v>1</v>
      </c>
    </row>
    <row r="884" spans="1:16" x14ac:dyDescent="0.2">
      <c r="A884" t="s">
        <v>1290</v>
      </c>
      <c r="B884" s="1">
        <v>45694</v>
      </c>
      <c r="C884" s="1">
        <v>45754</v>
      </c>
      <c r="D884" t="s">
        <v>508</v>
      </c>
      <c r="E884" t="s">
        <v>45</v>
      </c>
      <c r="F884" t="s">
        <v>34</v>
      </c>
      <c r="G884" t="s">
        <v>46</v>
      </c>
      <c r="H884" t="s">
        <v>47</v>
      </c>
      <c r="I884" t="s">
        <v>22</v>
      </c>
      <c r="J884">
        <v>3</v>
      </c>
      <c r="K884">
        <v>3645000</v>
      </c>
      <c r="L884">
        <v>0.122</v>
      </c>
      <c r="M884" t="s">
        <v>23</v>
      </c>
      <c r="N884">
        <v>9601000</v>
      </c>
      <c r="O884">
        <v>5</v>
      </c>
      <c r="P884" t="b">
        <v>1</v>
      </c>
    </row>
    <row r="885" spans="1:16" x14ac:dyDescent="0.2">
      <c r="A885" t="s">
        <v>1291</v>
      </c>
      <c r="B885" s="1">
        <v>45528</v>
      </c>
      <c r="C885" s="1">
        <v>45614</v>
      </c>
      <c r="D885" t="s">
        <v>1091</v>
      </c>
      <c r="E885" t="s">
        <v>45</v>
      </c>
      <c r="F885" t="s">
        <v>19</v>
      </c>
      <c r="G885" t="s">
        <v>20</v>
      </c>
      <c r="H885" t="s">
        <v>47</v>
      </c>
      <c r="J885">
        <v>1</v>
      </c>
      <c r="K885">
        <v>2671000</v>
      </c>
      <c r="L885">
        <v>0.13800000000000001</v>
      </c>
      <c r="M885" t="s">
        <v>23</v>
      </c>
      <c r="N885">
        <v>2302000</v>
      </c>
      <c r="O885">
        <v>4.5</v>
      </c>
      <c r="P885" t="b">
        <v>1</v>
      </c>
    </row>
    <row r="886" spans="1:16" x14ac:dyDescent="0.2">
      <c r="A886" t="s">
        <v>1292</v>
      </c>
      <c r="B886" s="1">
        <v>45549</v>
      </c>
      <c r="C886" s="1">
        <v>45627</v>
      </c>
      <c r="D886" t="s">
        <v>17</v>
      </c>
      <c r="E886" t="s">
        <v>18</v>
      </c>
      <c r="F886" t="s">
        <v>19</v>
      </c>
      <c r="G886" t="s">
        <v>20</v>
      </c>
      <c r="H886" t="s">
        <v>47</v>
      </c>
      <c r="I886" t="s">
        <v>94</v>
      </c>
      <c r="J886">
        <v>2</v>
      </c>
      <c r="K886">
        <v>2949000</v>
      </c>
      <c r="L886">
        <v>5.1999999999999998E-2</v>
      </c>
      <c r="M886" t="s">
        <v>23</v>
      </c>
      <c r="N886">
        <v>5591000</v>
      </c>
      <c r="O886">
        <v>2.8</v>
      </c>
      <c r="P886" t="b">
        <v>1</v>
      </c>
    </row>
    <row r="887" spans="1:16" x14ac:dyDescent="0.2">
      <c r="A887" t="s">
        <v>1293</v>
      </c>
      <c r="B887" s="1">
        <v>45614</v>
      </c>
      <c r="C887" s="1">
        <v>45654</v>
      </c>
      <c r="D887" t="s">
        <v>231</v>
      </c>
      <c r="E887" t="s">
        <v>18</v>
      </c>
      <c r="F887" t="s">
        <v>34</v>
      </c>
      <c r="G887" t="s">
        <v>20</v>
      </c>
      <c r="H887" t="s">
        <v>40</v>
      </c>
      <c r="I887" t="s">
        <v>22</v>
      </c>
      <c r="J887">
        <v>2</v>
      </c>
      <c r="K887">
        <v>4460000</v>
      </c>
      <c r="L887">
        <v>0</v>
      </c>
      <c r="M887" t="s">
        <v>23</v>
      </c>
      <c r="N887">
        <v>8920000</v>
      </c>
      <c r="O887">
        <v>5</v>
      </c>
      <c r="P887" t="b">
        <v>1</v>
      </c>
    </row>
    <row r="888" spans="1:16" x14ac:dyDescent="0.2">
      <c r="A888" t="s">
        <v>1294</v>
      </c>
      <c r="B888" s="1">
        <v>45347</v>
      </c>
      <c r="C888" s="1">
        <v>45383</v>
      </c>
      <c r="D888" t="s">
        <v>805</v>
      </c>
      <c r="E888" t="s">
        <v>29</v>
      </c>
      <c r="F888" t="s">
        <v>68</v>
      </c>
      <c r="G888" t="s">
        <v>35</v>
      </c>
      <c r="H888" t="s">
        <v>21</v>
      </c>
      <c r="I888" t="s">
        <v>57</v>
      </c>
      <c r="J888">
        <v>3</v>
      </c>
      <c r="K888">
        <v>2966000</v>
      </c>
      <c r="L888">
        <v>5.1999999999999998E-2</v>
      </c>
      <c r="M888" t="s">
        <v>23</v>
      </c>
      <c r="N888">
        <v>8435000</v>
      </c>
      <c r="O888">
        <v>3.3</v>
      </c>
      <c r="P888" t="b">
        <v>0</v>
      </c>
    </row>
    <row r="889" spans="1:16" x14ac:dyDescent="0.2">
      <c r="A889" t="s">
        <v>1295</v>
      </c>
      <c r="B889" s="1">
        <v>45754</v>
      </c>
      <c r="C889" s="1">
        <v>45826</v>
      </c>
      <c r="D889" t="s">
        <v>1112</v>
      </c>
      <c r="E889" t="s">
        <v>18</v>
      </c>
      <c r="F889" t="s">
        <v>34</v>
      </c>
      <c r="G889" t="s">
        <v>20</v>
      </c>
      <c r="H889" t="s">
        <v>21</v>
      </c>
      <c r="I889" t="s">
        <v>26</v>
      </c>
      <c r="J889">
        <v>2</v>
      </c>
      <c r="K889">
        <v>4706000</v>
      </c>
      <c r="L889">
        <v>5.5E-2</v>
      </c>
      <c r="M889" t="s">
        <v>23</v>
      </c>
      <c r="N889">
        <v>8894000</v>
      </c>
      <c r="O889">
        <v>4.0999999999999996</v>
      </c>
      <c r="P889" t="b">
        <v>1</v>
      </c>
    </row>
    <row r="890" spans="1:16" x14ac:dyDescent="0.2">
      <c r="A890" t="s">
        <v>1296</v>
      </c>
      <c r="B890" s="1">
        <v>45698</v>
      </c>
      <c r="C890" s="1">
        <v>45718</v>
      </c>
      <c r="D890" t="s">
        <v>276</v>
      </c>
      <c r="E890" t="s">
        <v>29</v>
      </c>
      <c r="F890" t="s">
        <v>68</v>
      </c>
      <c r="G890" t="s">
        <v>20</v>
      </c>
      <c r="H890" t="s">
        <v>21</v>
      </c>
      <c r="I890" t="s">
        <v>52</v>
      </c>
      <c r="J890">
        <v>4</v>
      </c>
      <c r="K890">
        <v>2165000</v>
      </c>
      <c r="L890">
        <v>0.14199999999999999</v>
      </c>
      <c r="M890" t="s">
        <v>23</v>
      </c>
      <c r="N890">
        <v>7430000</v>
      </c>
      <c r="O890">
        <v>3.6</v>
      </c>
      <c r="P890" t="b">
        <v>1</v>
      </c>
    </row>
    <row r="891" spans="1:16" x14ac:dyDescent="0.2">
      <c r="A891" t="s">
        <v>1297</v>
      </c>
      <c r="B891" s="1">
        <v>45747</v>
      </c>
      <c r="C891" s="1">
        <v>45800</v>
      </c>
      <c r="D891" t="s">
        <v>165</v>
      </c>
      <c r="E891" t="s">
        <v>18</v>
      </c>
      <c r="F891" t="s">
        <v>45</v>
      </c>
      <c r="G891" t="s">
        <v>20</v>
      </c>
      <c r="H891" t="s">
        <v>21</v>
      </c>
      <c r="I891" t="s">
        <v>99</v>
      </c>
      <c r="J891">
        <v>4</v>
      </c>
      <c r="K891">
        <v>3525000</v>
      </c>
      <c r="L891">
        <v>1.2999999999999999E-2</v>
      </c>
      <c r="M891" t="s">
        <v>23</v>
      </c>
      <c r="N891">
        <v>13917000</v>
      </c>
      <c r="O891">
        <v>3.8</v>
      </c>
      <c r="P891" t="b">
        <v>1</v>
      </c>
    </row>
    <row r="892" spans="1:16" x14ac:dyDescent="0.2">
      <c r="A892" t="s">
        <v>1298</v>
      </c>
      <c r="B892" s="1">
        <v>45624</v>
      </c>
      <c r="C892" s="1">
        <v>45668</v>
      </c>
      <c r="D892" t="s">
        <v>1055</v>
      </c>
      <c r="E892" t="s">
        <v>18</v>
      </c>
      <c r="F892" t="s">
        <v>80</v>
      </c>
      <c r="G892" t="s">
        <v>35</v>
      </c>
      <c r="H892" t="s">
        <v>21</v>
      </c>
      <c r="I892" t="s">
        <v>83</v>
      </c>
      <c r="J892">
        <v>3</v>
      </c>
      <c r="K892">
        <v>2421000</v>
      </c>
      <c r="L892">
        <v>0.11700000000000001</v>
      </c>
      <c r="M892" t="s">
        <v>23</v>
      </c>
      <c r="N892">
        <v>6413000</v>
      </c>
      <c r="O892">
        <v>4.3</v>
      </c>
      <c r="P892" t="b">
        <v>1</v>
      </c>
    </row>
    <row r="893" spans="1:16" x14ac:dyDescent="0.2">
      <c r="A893" t="s">
        <v>1299</v>
      </c>
      <c r="B893" s="1">
        <v>45779</v>
      </c>
      <c r="C893" s="1">
        <v>45803</v>
      </c>
      <c r="D893" t="s">
        <v>300</v>
      </c>
      <c r="E893" t="s">
        <v>45</v>
      </c>
      <c r="F893" t="s">
        <v>45</v>
      </c>
      <c r="G893" t="s">
        <v>20</v>
      </c>
      <c r="H893" t="s">
        <v>21</v>
      </c>
      <c r="I893" t="s">
        <v>77</v>
      </c>
      <c r="J893">
        <v>4</v>
      </c>
      <c r="K893">
        <v>3370000</v>
      </c>
      <c r="L893">
        <v>5.2999999999999999E-2</v>
      </c>
      <c r="M893" t="s">
        <v>23</v>
      </c>
      <c r="N893">
        <v>12766000</v>
      </c>
      <c r="O893">
        <v>3.2</v>
      </c>
      <c r="P893" t="b">
        <v>1</v>
      </c>
    </row>
    <row r="894" spans="1:16" x14ac:dyDescent="0.2">
      <c r="A894" t="s">
        <v>1300</v>
      </c>
      <c r="B894" s="1">
        <v>45883</v>
      </c>
      <c r="C894" s="1">
        <v>45942</v>
      </c>
      <c r="D894" t="s">
        <v>280</v>
      </c>
      <c r="E894" t="s">
        <v>45</v>
      </c>
      <c r="F894" t="s">
        <v>19</v>
      </c>
      <c r="G894" t="s">
        <v>50</v>
      </c>
      <c r="H894" t="s">
        <v>21</v>
      </c>
      <c r="I894" t="s">
        <v>30</v>
      </c>
      <c r="J894">
        <v>4</v>
      </c>
      <c r="K894">
        <v>1566000</v>
      </c>
      <c r="L894">
        <v>0.13400000000000001</v>
      </c>
      <c r="M894" t="s">
        <v>23</v>
      </c>
      <c r="N894">
        <v>5425000</v>
      </c>
      <c r="O894">
        <v>4.2</v>
      </c>
      <c r="P894" t="b">
        <v>1</v>
      </c>
    </row>
    <row r="895" spans="1:16" x14ac:dyDescent="0.2">
      <c r="A895" t="s">
        <v>1301</v>
      </c>
      <c r="B895" s="1">
        <v>45647</v>
      </c>
      <c r="C895" s="1">
        <v>45682</v>
      </c>
      <c r="D895" t="s">
        <v>1271</v>
      </c>
      <c r="E895" t="s">
        <v>18</v>
      </c>
      <c r="F895" t="s">
        <v>45</v>
      </c>
      <c r="G895" t="s">
        <v>20</v>
      </c>
      <c r="H895" t="s">
        <v>21</v>
      </c>
      <c r="I895" t="s">
        <v>30</v>
      </c>
      <c r="J895">
        <v>3</v>
      </c>
      <c r="K895">
        <v>2103000</v>
      </c>
      <c r="L895">
        <v>0.11899999999999999</v>
      </c>
      <c r="M895" t="s">
        <v>23</v>
      </c>
      <c r="N895">
        <v>5558000</v>
      </c>
      <c r="O895">
        <v>4.8</v>
      </c>
      <c r="P895" t="b">
        <v>1</v>
      </c>
    </row>
    <row r="896" spans="1:16" x14ac:dyDescent="0.2">
      <c r="A896" t="s">
        <v>1302</v>
      </c>
      <c r="B896" s="1">
        <v>45568</v>
      </c>
      <c r="C896" s="1">
        <v>45593</v>
      </c>
      <c r="D896" t="s">
        <v>466</v>
      </c>
      <c r="E896" t="s">
        <v>33</v>
      </c>
      <c r="F896" t="s">
        <v>34</v>
      </c>
      <c r="G896" t="s">
        <v>20</v>
      </c>
      <c r="H896" t="s">
        <v>21</v>
      </c>
      <c r="I896" t="s">
        <v>57</v>
      </c>
      <c r="J896">
        <v>2</v>
      </c>
      <c r="K896">
        <v>5068000</v>
      </c>
      <c r="L896">
        <v>0.16500000000000001</v>
      </c>
      <c r="M896" t="s">
        <v>23</v>
      </c>
      <c r="N896">
        <v>8464000</v>
      </c>
      <c r="O896">
        <v>3.8</v>
      </c>
      <c r="P896" t="b">
        <v>0</v>
      </c>
    </row>
    <row r="897" spans="1:16" x14ac:dyDescent="0.2">
      <c r="A897" t="s">
        <v>1303</v>
      </c>
      <c r="B897" s="1">
        <v>45357</v>
      </c>
      <c r="C897" s="1">
        <v>45419</v>
      </c>
      <c r="D897" t="s">
        <v>291</v>
      </c>
      <c r="E897" t="s">
        <v>29</v>
      </c>
      <c r="F897" t="s">
        <v>68</v>
      </c>
      <c r="G897" t="s">
        <v>46</v>
      </c>
      <c r="H897" t="s">
        <v>47</v>
      </c>
      <c r="I897" t="s">
        <v>36</v>
      </c>
      <c r="J897">
        <v>1</v>
      </c>
      <c r="K897">
        <v>2273000</v>
      </c>
      <c r="L897">
        <v>0.184</v>
      </c>
      <c r="M897" t="s">
        <v>23</v>
      </c>
      <c r="N897">
        <v>1855000</v>
      </c>
      <c r="O897">
        <v>3.5</v>
      </c>
      <c r="P897" t="b">
        <v>1</v>
      </c>
    </row>
    <row r="898" spans="1:16" x14ac:dyDescent="0.2">
      <c r="A898" t="s">
        <v>1304</v>
      </c>
      <c r="B898" s="1">
        <v>45777</v>
      </c>
      <c r="C898" s="1">
        <v>45801</v>
      </c>
      <c r="D898" t="s">
        <v>339</v>
      </c>
      <c r="E898" t="s">
        <v>45</v>
      </c>
      <c r="F898" t="s">
        <v>19</v>
      </c>
      <c r="G898" t="s">
        <v>50</v>
      </c>
      <c r="H898" t="s">
        <v>40</v>
      </c>
      <c r="I898" t="s">
        <v>26</v>
      </c>
      <c r="J898">
        <v>2</v>
      </c>
      <c r="K898">
        <v>2104000</v>
      </c>
      <c r="L898">
        <v>0.14799999999999999</v>
      </c>
      <c r="M898" t="s">
        <v>23</v>
      </c>
      <c r="N898">
        <v>3585000</v>
      </c>
      <c r="O898">
        <v>4.0999999999999996</v>
      </c>
      <c r="P898" t="b">
        <v>0</v>
      </c>
    </row>
    <row r="899" spans="1:16" x14ac:dyDescent="0.2">
      <c r="A899" t="s">
        <v>1305</v>
      </c>
      <c r="B899" s="1">
        <v>45855</v>
      </c>
      <c r="C899" s="1">
        <v>45919</v>
      </c>
      <c r="D899" t="s">
        <v>185</v>
      </c>
      <c r="E899" t="s">
        <v>45</v>
      </c>
      <c r="F899" t="s">
        <v>19</v>
      </c>
      <c r="G899" t="s">
        <v>20</v>
      </c>
      <c r="H899" t="s">
        <v>47</v>
      </c>
      <c r="I899" t="s">
        <v>60</v>
      </c>
      <c r="J899">
        <v>1</v>
      </c>
      <c r="K899">
        <v>2426000</v>
      </c>
      <c r="L899">
        <v>0.17199999999999999</v>
      </c>
      <c r="M899" t="s">
        <v>23</v>
      </c>
      <c r="N899">
        <v>2009000</v>
      </c>
      <c r="O899">
        <v>4</v>
      </c>
      <c r="P899" t="b">
        <v>1</v>
      </c>
    </row>
    <row r="900" spans="1:16" x14ac:dyDescent="0.2">
      <c r="A900" t="s">
        <v>1306</v>
      </c>
      <c r="B900" s="1">
        <v>45727</v>
      </c>
      <c r="C900" s="1">
        <v>45750</v>
      </c>
      <c r="D900" t="s">
        <v>38</v>
      </c>
      <c r="E900" t="s">
        <v>18</v>
      </c>
      <c r="F900" t="s">
        <v>45</v>
      </c>
      <c r="G900" t="s">
        <v>50</v>
      </c>
      <c r="H900" t="s">
        <v>21</v>
      </c>
      <c r="I900" t="s">
        <v>83</v>
      </c>
      <c r="J900">
        <v>4</v>
      </c>
      <c r="K900">
        <v>2923000</v>
      </c>
      <c r="L900">
        <v>9.9000000000000005E-2</v>
      </c>
      <c r="M900" t="s">
        <v>23</v>
      </c>
      <c r="N900">
        <v>10534000</v>
      </c>
      <c r="O900">
        <v>3.9</v>
      </c>
      <c r="P900" t="b">
        <v>1</v>
      </c>
    </row>
    <row r="901" spans="1:16" x14ac:dyDescent="0.2">
      <c r="A901" t="s">
        <v>1307</v>
      </c>
      <c r="B901" s="1">
        <v>45831</v>
      </c>
      <c r="C901" s="1">
        <v>45876</v>
      </c>
      <c r="D901" t="s">
        <v>300</v>
      </c>
      <c r="E901" t="s">
        <v>45</v>
      </c>
      <c r="F901" t="s">
        <v>45</v>
      </c>
      <c r="G901" t="s">
        <v>35</v>
      </c>
      <c r="H901" t="s">
        <v>47</v>
      </c>
      <c r="I901" t="s">
        <v>94</v>
      </c>
      <c r="J901">
        <v>3</v>
      </c>
      <c r="K901">
        <v>2992000</v>
      </c>
      <c r="L901">
        <v>0.17299999999999999</v>
      </c>
      <c r="M901" t="s">
        <v>23</v>
      </c>
      <c r="N901">
        <v>7423000</v>
      </c>
      <c r="O901">
        <v>3.6</v>
      </c>
      <c r="P901" t="b">
        <v>1</v>
      </c>
    </row>
    <row r="902" spans="1:16" x14ac:dyDescent="0.2">
      <c r="A902" t="s">
        <v>1308</v>
      </c>
      <c r="B902" s="1">
        <v>45828</v>
      </c>
      <c r="C902" s="1">
        <v>45903</v>
      </c>
      <c r="D902" t="s">
        <v>294</v>
      </c>
      <c r="E902" t="s">
        <v>33</v>
      </c>
      <c r="F902" t="s">
        <v>123</v>
      </c>
      <c r="G902" t="s">
        <v>20</v>
      </c>
      <c r="H902" t="s">
        <v>47</v>
      </c>
      <c r="I902" t="s">
        <v>30</v>
      </c>
      <c r="J902">
        <v>2</v>
      </c>
      <c r="K902">
        <v>4006000</v>
      </c>
      <c r="L902">
        <v>4.7E-2</v>
      </c>
      <c r="M902" t="s">
        <v>23</v>
      </c>
      <c r="N902">
        <v>7635000</v>
      </c>
      <c r="O902">
        <v>4.5</v>
      </c>
      <c r="P902" t="b">
        <v>1</v>
      </c>
    </row>
    <row r="903" spans="1:16" x14ac:dyDescent="0.2">
      <c r="A903" t="s">
        <v>1309</v>
      </c>
      <c r="B903" s="1">
        <v>45789</v>
      </c>
      <c r="C903" s="1">
        <v>45817</v>
      </c>
      <c r="D903" t="s">
        <v>130</v>
      </c>
      <c r="E903" t="s">
        <v>45</v>
      </c>
      <c r="F903" t="s">
        <v>45</v>
      </c>
      <c r="G903" t="s">
        <v>50</v>
      </c>
      <c r="H903" t="s">
        <v>21</v>
      </c>
      <c r="I903" t="s">
        <v>26</v>
      </c>
      <c r="J903">
        <v>2</v>
      </c>
      <c r="K903">
        <v>3793000</v>
      </c>
      <c r="L903">
        <v>3.9E-2</v>
      </c>
      <c r="M903" t="s">
        <v>23</v>
      </c>
      <c r="N903">
        <v>7290000</v>
      </c>
      <c r="O903">
        <v>4.5</v>
      </c>
      <c r="P903" t="b">
        <v>1</v>
      </c>
    </row>
    <row r="904" spans="1:16" x14ac:dyDescent="0.2">
      <c r="A904" t="s">
        <v>1310</v>
      </c>
      <c r="B904" s="1">
        <v>45605</v>
      </c>
      <c r="C904" s="1">
        <v>45677</v>
      </c>
      <c r="D904" t="s">
        <v>265</v>
      </c>
      <c r="E904" t="s">
        <v>29</v>
      </c>
      <c r="F904" t="s">
        <v>34</v>
      </c>
      <c r="G904" t="s">
        <v>50</v>
      </c>
      <c r="H904" t="s">
        <v>51</v>
      </c>
      <c r="I904" t="s">
        <v>60</v>
      </c>
      <c r="J904">
        <v>2</v>
      </c>
      <c r="K904">
        <v>5409000</v>
      </c>
      <c r="L904">
        <v>0.17399999999999999</v>
      </c>
      <c r="M904" t="s">
        <v>23</v>
      </c>
      <c r="N904">
        <v>8936000</v>
      </c>
      <c r="O904">
        <v>3.7</v>
      </c>
      <c r="P904" t="b">
        <v>1</v>
      </c>
    </row>
    <row r="905" spans="1:16" x14ac:dyDescent="0.2">
      <c r="A905" t="s">
        <v>1311</v>
      </c>
      <c r="B905" s="1">
        <v>45354</v>
      </c>
      <c r="C905" s="1">
        <v>45422</v>
      </c>
      <c r="D905" t="s">
        <v>452</v>
      </c>
      <c r="E905" t="s">
        <v>33</v>
      </c>
      <c r="F905" t="s">
        <v>45</v>
      </c>
      <c r="G905" t="s">
        <v>20</v>
      </c>
      <c r="H905" t="s">
        <v>21</v>
      </c>
      <c r="I905" t="s">
        <v>60</v>
      </c>
      <c r="J905">
        <v>3</v>
      </c>
      <c r="K905">
        <v>4409000</v>
      </c>
      <c r="L905">
        <v>0.16500000000000001</v>
      </c>
      <c r="M905" t="s">
        <v>23</v>
      </c>
      <c r="N905">
        <v>11045000</v>
      </c>
      <c r="O905">
        <v>3.7</v>
      </c>
      <c r="P905" t="b">
        <v>1</v>
      </c>
    </row>
    <row r="906" spans="1:16" x14ac:dyDescent="0.2">
      <c r="A906" t="s">
        <v>1312</v>
      </c>
      <c r="B906" s="1">
        <v>45294</v>
      </c>
      <c r="C906" s="1">
        <v>45377</v>
      </c>
      <c r="D906" t="s">
        <v>1313</v>
      </c>
      <c r="E906" t="s">
        <v>29</v>
      </c>
      <c r="F906" t="s">
        <v>19</v>
      </c>
      <c r="G906" t="s">
        <v>35</v>
      </c>
      <c r="H906" t="s">
        <v>40</v>
      </c>
      <c r="I906" t="s">
        <v>60</v>
      </c>
      <c r="J906">
        <v>2</v>
      </c>
      <c r="K906">
        <v>2211000</v>
      </c>
      <c r="L906">
        <v>0.14899999999999999</v>
      </c>
      <c r="M906" t="s">
        <v>23</v>
      </c>
      <c r="N906">
        <v>3763000</v>
      </c>
      <c r="O906">
        <v>4.3</v>
      </c>
      <c r="P906" t="b">
        <v>0</v>
      </c>
    </row>
    <row r="907" spans="1:16" x14ac:dyDescent="0.2">
      <c r="A907" t="s">
        <v>1314</v>
      </c>
      <c r="B907" s="1">
        <v>45419</v>
      </c>
      <c r="C907" s="1">
        <v>45442</v>
      </c>
      <c r="D907" t="s">
        <v>300</v>
      </c>
      <c r="E907" t="s">
        <v>45</v>
      </c>
      <c r="F907" t="s">
        <v>19</v>
      </c>
      <c r="G907" t="s">
        <v>20</v>
      </c>
      <c r="H907" t="s">
        <v>47</v>
      </c>
      <c r="I907" t="s">
        <v>60</v>
      </c>
      <c r="J907">
        <v>1</v>
      </c>
      <c r="K907">
        <v>3541000</v>
      </c>
      <c r="L907">
        <v>0.161</v>
      </c>
      <c r="M907" t="s">
        <v>23</v>
      </c>
      <c r="N907">
        <v>2971000</v>
      </c>
      <c r="O907">
        <v>3.7</v>
      </c>
      <c r="P907" t="b">
        <v>1</v>
      </c>
    </row>
    <row r="908" spans="1:16" x14ac:dyDescent="0.2">
      <c r="A908" t="s">
        <v>1315</v>
      </c>
      <c r="B908" s="1">
        <v>45560</v>
      </c>
      <c r="C908" s="1">
        <v>45627</v>
      </c>
      <c r="D908" t="s">
        <v>805</v>
      </c>
      <c r="E908" t="s">
        <v>29</v>
      </c>
      <c r="F908" t="s">
        <v>34</v>
      </c>
      <c r="G908" t="s">
        <v>20</v>
      </c>
      <c r="H908" t="s">
        <v>21</v>
      </c>
      <c r="I908" t="s">
        <v>26</v>
      </c>
      <c r="J908">
        <v>1</v>
      </c>
      <c r="K908">
        <v>2900000</v>
      </c>
      <c r="L908">
        <v>0</v>
      </c>
      <c r="M908" t="s">
        <v>23</v>
      </c>
      <c r="N908">
        <v>2900000</v>
      </c>
      <c r="O908">
        <v>4.3</v>
      </c>
      <c r="P908" t="b">
        <v>1</v>
      </c>
    </row>
    <row r="909" spans="1:16" x14ac:dyDescent="0.2">
      <c r="A909" t="s">
        <v>1316</v>
      </c>
      <c r="B909" s="1">
        <v>45755</v>
      </c>
      <c r="C909" s="1">
        <v>45840</v>
      </c>
      <c r="D909" t="s">
        <v>91</v>
      </c>
      <c r="E909" t="s">
        <v>33</v>
      </c>
      <c r="F909" t="s">
        <v>19</v>
      </c>
      <c r="G909" t="s">
        <v>46</v>
      </c>
      <c r="H909" t="s">
        <v>40</v>
      </c>
      <c r="I909" t="s">
        <v>30</v>
      </c>
      <c r="J909">
        <v>1</v>
      </c>
      <c r="K909">
        <v>1984000</v>
      </c>
      <c r="L909">
        <v>0.124</v>
      </c>
      <c r="M909" t="s">
        <v>65</v>
      </c>
      <c r="N909">
        <v>0</v>
      </c>
      <c r="P909" t="b">
        <v>1</v>
      </c>
    </row>
    <row r="910" spans="1:16" x14ac:dyDescent="0.2">
      <c r="A910" t="s">
        <v>1317</v>
      </c>
      <c r="B910" s="1">
        <v>45575</v>
      </c>
      <c r="C910" s="1">
        <v>45646</v>
      </c>
      <c r="D910" t="s">
        <v>202</v>
      </c>
      <c r="E910" t="s">
        <v>33</v>
      </c>
      <c r="F910" t="s">
        <v>19</v>
      </c>
      <c r="G910" t="s">
        <v>35</v>
      </c>
      <c r="H910" t="s">
        <v>21</v>
      </c>
      <c r="I910" t="s">
        <v>52</v>
      </c>
      <c r="J910">
        <v>3</v>
      </c>
      <c r="K910">
        <v>3240000</v>
      </c>
      <c r="L910">
        <v>5.1999999999999998E-2</v>
      </c>
      <c r="M910" t="s">
        <v>23</v>
      </c>
      <c r="N910">
        <v>9215000</v>
      </c>
      <c r="O910">
        <v>4.2</v>
      </c>
      <c r="P910" t="b">
        <v>1</v>
      </c>
    </row>
    <row r="911" spans="1:16" x14ac:dyDescent="0.2">
      <c r="A911" t="s">
        <v>1318</v>
      </c>
      <c r="B911" s="1">
        <v>45306</v>
      </c>
      <c r="C911" s="1">
        <v>45331</v>
      </c>
      <c r="D911" t="s">
        <v>500</v>
      </c>
      <c r="E911" t="s">
        <v>45</v>
      </c>
      <c r="F911" t="s">
        <v>25</v>
      </c>
      <c r="G911" t="s">
        <v>35</v>
      </c>
      <c r="H911" t="s">
        <v>21</v>
      </c>
      <c r="I911" t="s">
        <v>26</v>
      </c>
      <c r="J911">
        <v>1</v>
      </c>
      <c r="K911">
        <v>5061000</v>
      </c>
      <c r="L911">
        <v>0.19500000000000001</v>
      </c>
      <c r="M911" t="s">
        <v>23</v>
      </c>
      <c r="N911">
        <v>4074000</v>
      </c>
      <c r="O911">
        <v>3.6</v>
      </c>
      <c r="P911" t="b">
        <v>0</v>
      </c>
    </row>
    <row r="912" spans="1:16" x14ac:dyDescent="0.2">
      <c r="A912" t="s">
        <v>1319</v>
      </c>
      <c r="B912" s="1">
        <v>45423</v>
      </c>
      <c r="C912" s="1">
        <v>45499</v>
      </c>
      <c r="D912" t="s">
        <v>1091</v>
      </c>
      <c r="E912" t="s">
        <v>45</v>
      </c>
      <c r="F912" t="s">
        <v>34</v>
      </c>
      <c r="G912" t="s">
        <v>35</v>
      </c>
      <c r="H912" t="s">
        <v>21</v>
      </c>
      <c r="I912" t="s">
        <v>57</v>
      </c>
      <c r="J912">
        <v>2</v>
      </c>
      <c r="K912">
        <v>5371000</v>
      </c>
      <c r="L912">
        <v>0</v>
      </c>
      <c r="M912" t="s">
        <v>23</v>
      </c>
      <c r="N912">
        <v>10742000</v>
      </c>
      <c r="O912">
        <v>4.4000000000000004</v>
      </c>
      <c r="P912" t="b">
        <v>0</v>
      </c>
    </row>
    <row r="913" spans="1:16" x14ac:dyDescent="0.2">
      <c r="A913" t="s">
        <v>1320</v>
      </c>
      <c r="B913" s="1">
        <v>45902</v>
      </c>
      <c r="C913" s="1">
        <v>45920</v>
      </c>
      <c r="D913" t="s">
        <v>1196</v>
      </c>
      <c r="E913" t="s">
        <v>45</v>
      </c>
      <c r="F913" t="s">
        <v>34</v>
      </c>
      <c r="G913" t="s">
        <v>35</v>
      </c>
      <c r="H913" t="s">
        <v>21</v>
      </c>
      <c r="I913" t="s">
        <v>83</v>
      </c>
      <c r="J913">
        <v>1</v>
      </c>
      <c r="K913">
        <v>3978000</v>
      </c>
      <c r="L913">
        <v>0.13500000000000001</v>
      </c>
      <c r="M913" t="s">
        <v>23</v>
      </c>
      <c r="N913">
        <v>3441000</v>
      </c>
      <c r="O913">
        <v>4.0999999999999996</v>
      </c>
      <c r="P913" t="b">
        <v>1</v>
      </c>
    </row>
    <row r="914" spans="1:16" x14ac:dyDescent="0.2">
      <c r="A914" t="s">
        <v>1321</v>
      </c>
      <c r="B914" s="1">
        <v>45907</v>
      </c>
      <c r="C914" s="1">
        <v>45964</v>
      </c>
      <c r="D914" t="s">
        <v>134</v>
      </c>
      <c r="E914" t="s">
        <v>29</v>
      </c>
      <c r="F914" t="s">
        <v>25</v>
      </c>
      <c r="G914" t="s">
        <v>20</v>
      </c>
      <c r="H914" t="s">
        <v>21</v>
      </c>
      <c r="I914" t="s">
        <v>60</v>
      </c>
      <c r="J914">
        <v>2</v>
      </c>
      <c r="K914">
        <v>3558000</v>
      </c>
      <c r="L914">
        <v>8.5999999999999993E-2</v>
      </c>
      <c r="M914" t="s">
        <v>23</v>
      </c>
      <c r="N914">
        <v>6504000</v>
      </c>
      <c r="O914">
        <v>4.0999999999999996</v>
      </c>
      <c r="P914" t="b">
        <v>1</v>
      </c>
    </row>
    <row r="915" spans="1:16" x14ac:dyDescent="0.2">
      <c r="A915" t="s">
        <v>1322</v>
      </c>
      <c r="B915" s="1">
        <v>45526</v>
      </c>
      <c r="C915" s="1">
        <v>45576</v>
      </c>
      <c r="D915" t="s">
        <v>617</v>
      </c>
      <c r="E915" t="s">
        <v>45</v>
      </c>
      <c r="F915" t="s">
        <v>34</v>
      </c>
      <c r="G915" t="s">
        <v>46</v>
      </c>
      <c r="H915" t="s">
        <v>40</v>
      </c>
      <c r="I915" t="s">
        <v>22</v>
      </c>
      <c r="J915">
        <v>1</v>
      </c>
      <c r="K915">
        <v>3151000</v>
      </c>
      <c r="L915">
        <v>0.154</v>
      </c>
      <c r="M915" t="s">
        <v>65</v>
      </c>
      <c r="N915">
        <v>0</v>
      </c>
      <c r="P915" t="b">
        <v>1</v>
      </c>
    </row>
    <row r="916" spans="1:16" x14ac:dyDescent="0.2">
      <c r="A916" t="s">
        <v>1323</v>
      </c>
      <c r="B916" s="1">
        <v>45793</v>
      </c>
      <c r="C916" s="1">
        <v>45846</v>
      </c>
      <c r="D916" t="s">
        <v>1324</v>
      </c>
      <c r="E916" t="s">
        <v>33</v>
      </c>
      <c r="F916" t="s">
        <v>45</v>
      </c>
      <c r="G916" t="s">
        <v>35</v>
      </c>
      <c r="H916" t="s">
        <v>21</v>
      </c>
      <c r="I916" t="s">
        <v>57</v>
      </c>
      <c r="J916">
        <v>3</v>
      </c>
      <c r="K916">
        <v>3210000</v>
      </c>
      <c r="L916">
        <v>7.2999999999999995E-2</v>
      </c>
      <c r="M916" t="s">
        <v>23</v>
      </c>
      <c r="N916">
        <v>8927000</v>
      </c>
      <c r="O916">
        <v>4.5</v>
      </c>
      <c r="P916" t="b">
        <v>0</v>
      </c>
    </row>
    <row r="917" spans="1:16" x14ac:dyDescent="0.2">
      <c r="A917" t="s">
        <v>1325</v>
      </c>
      <c r="B917" s="1">
        <v>45740</v>
      </c>
      <c r="C917" s="1">
        <v>45792</v>
      </c>
      <c r="D917" t="s">
        <v>1326</v>
      </c>
      <c r="E917" t="s">
        <v>33</v>
      </c>
      <c r="F917" t="s">
        <v>68</v>
      </c>
      <c r="G917" t="s">
        <v>35</v>
      </c>
      <c r="H917" t="s">
        <v>21</v>
      </c>
      <c r="I917" t="s">
        <v>60</v>
      </c>
      <c r="J917">
        <v>1</v>
      </c>
      <c r="K917">
        <v>1857000</v>
      </c>
      <c r="L917">
        <v>0.14199999999999999</v>
      </c>
      <c r="M917" t="s">
        <v>23</v>
      </c>
      <c r="N917">
        <v>1593000</v>
      </c>
      <c r="O917">
        <v>4.2</v>
      </c>
      <c r="P917" t="b">
        <v>0</v>
      </c>
    </row>
    <row r="918" spans="1:16" x14ac:dyDescent="0.2">
      <c r="A918" t="s">
        <v>1327</v>
      </c>
      <c r="B918" s="1">
        <v>45872</v>
      </c>
      <c r="C918" s="1">
        <v>45884</v>
      </c>
      <c r="D918" t="s">
        <v>609</v>
      </c>
      <c r="E918" t="s">
        <v>45</v>
      </c>
      <c r="F918" t="s">
        <v>19</v>
      </c>
      <c r="G918" t="s">
        <v>35</v>
      </c>
      <c r="H918" t="s">
        <v>40</v>
      </c>
      <c r="I918" t="s">
        <v>77</v>
      </c>
      <c r="J918">
        <v>1</v>
      </c>
      <c r="K918">
        <v>1813000</v>
      </c>
      <c r="L918">
        <v>1.7999999999999999E-2</v>
      </c>
      <c r="M918" t="s">
        <v>23</v>
      </c>
      <c r="N918">
        <v>1780000</v>
      </c>
      <c r="O918">
        <v>4.2</v>
      </c>
      <c r="P918" t="b">
        <v>1</v>
      </c>
    </row>
    <row r="919" spans="1:16" x14ac:dyDescent="0.2">
      <c r="A919" t="s">
        <v>1328</v>
      </c>
      <c r="B919" s="1">
        <v>45844</v>
      </c>
      <c r="C919" s="1">
        <v>45895</v>
      </c>
      <c r="D919" t="s">
        <v>708</v>
      </c>
      <c r="E919" t="s">
        <v>45</v>
      </c>
      <c r="F919" t="s">
        <v>68</v>
      </c>
      <c r="G919" t="s">
        <v>20</v>
      </c>
      <c r="H919" t="s">
        <v>21</v>
      </c>
      <c r="I919" t="s">
        <v>26</v>
      </c>
      <c r="J919">
        <v>1</v>
      </c>
      <c r="K919">
        <v>3562000</v>
      </c>
      <c r="L919">
        <v>5.8000000000000003E-2</v>
      </c>
      <c r="M919" t="s">
        <v>23</v>
      </c>
      <c r="N919">
        <v>3355000</v>
      </c>
      <c r="O919">
        <v>5</v>
      </c>
      <c r="P919" t="b">
        <v>1</v>
      </c>
    </row>
    <row r="920" spans="1:16" x14ac:dyDescent="0.2">
      <c r="A920" t="s">
        <v>1329</v>
      </c>
      <c r="B920" s="1">
        <v>45683</v>
      </c>
      <c r="C920" s="1">
        <v>45768</v>
      </c>
      <c r="D920" t="s">
        <v>634</v>
      </c>
      <c r="E920" t="s">
        <v>45</v>
      </c>
      <c r="F920" t="s">
        <v>34</v>
      </c>
      <c r="G920" t="s">
        <v>20</v>
      </c>
      <c r="H920" t="s">
        <v>21</v>
      </c>
      <c r="I920" t="s">
        <v>26</v>
      </c>
      <c r="J920">
        <v>1</v>
      </c>
      <c r="K920">
        <v>4583000</v>
      </c>
      <c r="L920">
        <v>0.109</v>
      </c>
      <c r="M920" t="s">
        <v>23</v>
      </c>
      <c r="N920">
        <v>4083000</v>
      </c>
      <c r="O920">
        <v>4.8</v>
      </c>
      <c r="P920" t="b">
        <v>1</v>
      </c>
    </row>
    <row r="921" spans="1:16" x14ac:dyDescent="0.2">
      <c r="A921" t="s">
        <v>1330</v>
      </c>
      <c r="B921" s="1">
        <v>45537</v>
      </c>
      <c r="C921" s="1">
        <v>45582</v>
      </c>
      <c r="D921" t="s">
        <v>1287</v>
      </c>
      <c r="E921" t="s">
        <v>45</v>
      </c>
      <c r="F921" t="s">
        <v>34</v>
      </c>
      <c r="G921" t="s">
        <v>20</v>
      </c>
      <c r="H921" t="s">
        <v>47</v>
      </c>
      <c r="I921" t="s">
        <v>77</v>
      </c>
      <c r="J921">
        <v>2</v>
      </c>
      <c r="K921">
        <v>4914000</v>
      </c>
      <c r="L921">
        <v>0.15</v>
      </c>
      <c r="M921" t="s">
        <v>23</v>
      </c>
      <c r="N921">
        <v>8354000</v>
      </c>
      <c r="O921">
        <v>4.5999999999999996</v>
      </c>
      <c r="P921" t="b">
        <v>0</v>
      </c>
    </row>
    <row r="922" spans="1:16" x14ac:dyDescent="0.2">
      <c r="A922" t="s">
        <v>1331</v>
      </c>
      <c r="B922" s="1">
        <v>45682</v>
      </c>
      <c r="C922" s="1">
        <v>45714</v>
      </c>
      <c r="D922" t="s">
        <v>227</v>
      </c>
      <c r="E922" t="s">
        <v>45</v>
      </c>
      <c r="F922" t="s">
        <v>45</v>
      </c>
      <c r="G922" t="s">
        <v>20</v>
      </c>
      <c r="H922" t="s">
        <v>51</v>
      </c>
      <c r="I922" t="s">
        <v>94</v>
      </c>
      <c r="J922">
        <v>5</v>
      </c>
      <c r="K922">
        <v>3929000</v>
      </c>
      <c r="L922">
        <v>0.17899999999999999</v>
      </c>
      <c r="M922" t="s">
        <v>23</v>
      </c>
      <c r="N922">
        <v>16129000</v>
      </c>
      <c r="O922">
        <v>4.3</v>
      </c>
      <c r="P922" t="b">
        <v>1</v>
      </c>
    </row>
    <row r="923" spans="1:16" x14ac:dyDescent="0.2">
      <c r="A923" t="s">
        <v>1332</v>
      </c>
      <c r="B923" s="1">
        <v>45490</v>
      </c>
      <c r="C923" s="1">
        <v>45580</v>
      </c>
      <c r="D923" t="s">
        <v>273</v>
      </c>
      <c r="E923" t="s">
        <v>45</v>
      </c>
      <c r="F923" t="s">
        <v>45</v>
      </c>
      <c r="G923" t="s">
        <v>35</v>
      </c>
      <c r="H923" t="s">
        <v>21</v>
      </c>
      <c r="I923" t="s">
        <v>77</v>
      </c>
      <c r="J923">
        <v>3</v>
      </c>
      <c r="K923">
        <v>3260000</v>
      </c>
      <c r="L923">
        <v>0.129</v>
      </c>
      <c r="M923" t="s">
        <v>23</v>
      </c>
      <c r="N923">
        <v>8518000</v>
      </c>
      <c r="O923">
        <v>3.7</v>
      </c>
      <c r="P923" t="b">
        <v>1</v>
      </c>
    </row>
    <row r="924" spans="1:16" x14ac:dyDescent="0.2">
      <c r="A924" t="s">
        <v>1333</v>
      </c>
      <c r="B924" s="1">
        <v>45508</v>
      </c>
      <c r="C924" s="1">
        <v>45526</v>
      </c>
      <c r="D924" t="s">
        <v>1334</v>
      </c>
      <c r="E924" t="s">
        <v>29</v>
      </c>
      <c r="F924" t="s">
        <v>80</v>
      </c>
      <c r="G924" t="s">
        <v>50</v>
      </c>
      <c r="H924" t="s">
        <v>21</v>
      </c>
      <c r="I924" t="s">
        <v>26</v>
      </c>
      <c r="J924">
        <v>3</v>
      </c>
      <c r="K924">
        <v>2778000</v>
      </c>
      <c r="L924">
        <v>0.75</v>
      </c>
      <c r="M924" t="s">
        <v>65</v>
      </c>
      <c r="N924">
        <v>0</v>
      </c>
      <c r="P924" t="b">
        <v>0</v>
      </c>
    </row>
    <row r="925" spans="1:16" x14ac:dyDescent="0.2">
      <c r="A925" t="s">
        <v>1335</v>
      </c>
      <c r="B925" s="1">
        <v>45671</v>
      </c>
      <c r="C925" s="1">
        <v>45720</v>
      </c>
      <c r="D925" t="s">
        <v>390</v>
      </c>
      <c r="E925" t="s">
        <v>18</v>
      </c>
      <c r="F925" t="s">
        <v>123</v>
      </c>
      <c r="G925" t="s">
        <v>20</v>
      </c>
      <c r="H925" t="s">
        <v>47</v>
      </c>
      <c r="I925" t="s">
        <v>52</v>
      </c>
      <c r="J925">
        <v>1</v>
      </c>
      <c r="K925">
        <v>3818000</v>
      </c>
      <c r="L925">
        <v>0.126</v>
      </c>
      <c r="M925" t="s">
        <v>23</v>
      </c>
      <c r="N925">
        <v>3337000</v>
      </c>
      <c r="O925">
        <v>4.3</v>
      </c>
      <c r="P925" t="b">
        <v>1</v>
      </c>
    </row>
    <row r="926" spans="1:16" x14ac:dyDescent="0.2">
      <c r="A926" t="s">
        <v>1336</v>
      </c>
      <c r="B926" s="1">
        <v>45647</v>
      </c>
      <c r="C926" s="1">
        <v>45698</v>
      </c>
      <c r="D926" t="s">
        <v>1117</v>
      </c>
      <c r="E926" t="s">
        <v>33</v>
      </c>
      <c r="F926" t="s">
        <v>45</v>
      </c>
      <c r="G926" t="s">
        <v>20</v>
      </c>
      <c r="H926" t="s">
        <v>47</v>
      </c>
      <c r="I926" t="s">
        <v>60</v>
      </c>
      <c r="J926">
        <v>2</v>
      </c>
      <c r="K926">
        <v>3827000</v>
      </c>
      <c r="L926">
        <v>0.27700000000000002</v>
      </c>
      <c r="M926" t="s">
        <v>23</v>
      </c>
      <c r="N926">
        <v>5534000</v>
      </c>
      <c r="O926">
        <v>3.9</v>
      </c>
      <c r="P926" t="b">
        <v>1</v>
      </c>
    </row>
    <row r="927" spans="1:16" x14ac:dyDescent="0.2">
      <c r="A927" t="s">
        <v>1337</v>
      </c>
      <c r="B927" s="1">
        <v>45653</v>
      </c>
      <c r="C927" s="1">
        <v>45701</v>
      </c>
      <c r="D927" t="s">
        <v>764</v>
      </c>
      <c r="E927" t="s">
        <v>45</v>
      </c>
      <c r="F927" t="s">
        <v>19</v>
      </c>
      <c r="G927" t="s">
        <v>35</v>
      </c>
      <c r="H927" t="s">
        <v>21</v>
      </c>
      <c r="I927" t="s">
        <v>30</v>
      </c>
      <c r="J927">
        <v>1</v>
      </c>
      <c r="K927">
        <v>2238000</v>
      </c>
      <c r="L927">
        <v>0.219</v>
      </c>
      <c r="M927" t="s">
        <v>23</v>
      </c>
      <c r="N927">
        <v>1748000</v>
      </c>
      <c r="O927">
        <v>4.0999999999999996</v>
      </c>
      <c r="P927" t="b">
        <v>1</v>
      </c>
    </row>
    <row r="928" spans="1:16" x14ac:dyDescent="0.2">
      <c r="A928" t="s">
        <v>1338</v>
      </c>
      <c r="B928" s="1">
        <v>45531</v>
      </c>
      <c r="C928" s="1">
        <v>45615</v>
      </c>
      <c r="D928" t="s">
        <v>112</v>
      </c>
      <c r="E928" t="s">
        <v>29</v>
      </c>
      <c r="F928" t="s">
        <v>19</v>
      </c>
      <c r="G928" t="s">
        <v>20</v>
      </c>
      <c r="H928" t="s">
        <v>21</v>
      </c>
      <c r="I928" t="s">
        <v>22</v>
      </c>
      <c r="J928">
        <v>1</v>
      </c>
      <c r="K928">
        <v>1939000</v>
      </c>
      <c r="L928">
        <v>0</v>
      </c>
      <c r="M928" t="s">
        <v>23</v>
      </c>
      <c r="N928">
        <v>1939000</v>
      </c>
      <c r="O928">
        <v>3.7</v>
      </c>
      <c r="P928" t="b">
        <v>1</v>
      </c>
    </row>
    <row r="929" spans="1:16" x14ac:dyDescent="0.2">
      <c r="A929" t="s">
        <v>1339</v>
      </c>
      <c r="B929" s="1">
        <v>45546</v>
      </c>
      <c r="C929" s="1">
        <v>45590</v>
      </c>
      <c r="D929" t="s">
        <v>214</v>
      </c>
      <c r="E929" t="s">
        <v>45</v>
      </c>
      <c r="F929" t="s">
        <v>34</v>
      </c>
      <c r="G929" t="s">
        <v>50</v>
      </c>
      <c r="H929" t="s">
        <v>21</v>
      </c>
      <c r="I929" t="s">
        <v>30</v>
      </c>
      <c r="J929">
        <v>1</v>
      </c>
      <c r="K929">
        <v>3895000</v>
      </c>
      <c r="L929">
        <v>0.124</v>
      </c>
      <c r="M929" t="s">
        <v>23</v>
      </c>
      <c r="N929">
        <v>3412000</v>
      </c>
      <c r="O929">
        <v>4.7</v>
      </c>
      <c r="P929" t="b">
        <v>1</v>
      </c>
    </row>
    <row r="930" spans="1:16" x14ac:dyDescent="0.2">
      <c r="A930" t="s">
        <v>1340</v>
      </c>
      <c r="B930" s="1">
        <v>45298</v>
      </c>
      <c r="C930" s="1">
        <v>45386</v>
      </c>
      <c r="D930" t="s">
        <v>421</v>
      </c>
      <c r="E930" t="s">
        <v>18</v>
      </c>
      <c r="F930" t="s">
        <v>68</v>
      </c>
      <c r="G930" t="s">
        <v>20</v>
      </c>
      <c r="H930" t="s">
        <v>40</v>
      </c>
      <c r="I930" t="s">
        <v>60</v>
      </c>
      <c r="J930">
        <v>3</v>
      </c>
      <c r="K930">
        <v>3628000</v>
      </c>
      <c r="L930">
        <v>0.75</v>
      </c>
      <c r="M930" t="s">
        <v>23</v>
      </c>
      <c r="N930">
        <v>8968000</v>
      </c>
      <c r="O930">
        <v>4.5</v>
      </c>
      <c r="P930" t="b">
        <v>0</v>
      </c>
    </row>
    <row r="931" spans="1:16" x14ac:dyDescent="0.2">
      <c r="A931" t="s">
        <v>1341</v>
      </c>
      <c r="B931" s="1">
        <v>45666</v>
      </c>
      <c r="C931" s="1">
        <v>45681</v>
      </c>
      <c r="D931" t="s">
        <v>140</v>
      </c>
      <c r="E931" t="s">
        <v>33</v>
      </c>
      <c r="F931" t="s">
        <v>34</v>
      </c>
      <c r="G931" t="s">
        <v>20</v>
      </c>
      <c r="H931" t="s">
        <v>51</v>
      </c>
      <c r="I931" t="s">
        <v>26</v>
      </c>
      <c r="J931">
        <v>2</v>
      </c>
      <c r="K931">
        <v>3701000</v>
      </c>
      <c r="L931">
        <v>0.109</v>
      </c>
      <c r="M931" t="s">
        <v>23</v>
      </c>
      <c r="N931">
        <v>6595000</v>
      </c>
      <c r="O931">
        <v>4.3</v>
      </c>
      <c r="P931" t="b">
        <v>1</v>
      </c>
    </row>
    <row r="932" spans="1:16" x14ac:dyDescent="0.2">
      <c r="A932" t="s">
        <v>1342</v>
      </c>
      <c r="B932" s="1">
        <v>45650</v>
      </c>
      <c r="C932" s="1">
        <v>45719</v>
      </c>
      <c r="D932" t="s">
        <v>1044</v>
      </c>
      <c r="E932" t="s">
        <v>45</v>
      </c>
      <c r="F932" t="s">
        <v>39</v>
      </c>
      <c r="G932" t="s">
        <v>20</v>
      </c>
      <c r="H932" t="s">
        <v>40</v>
      </c>
      <c r="I932" t="s">
        <v>26</v>
      </c>
      <c r="J932">
        <v>2</v>
      </c>
      <c r="K932">
        <v>3036000</v>
      </c>
      <c r="L932">
        <v>9.1999999999999998E-2</v>
      </c>
      <c r="M932" t="s">
        <v>23</v>
      </c>
      <c r="N932">
        <v>5513000</v>
      </c>
      <c r="O932">
        <v>4.2</v>
      </c>
      <c r="P932" t="b">
        <v>0</v>
      </c>
    </row>
    <row r="933" spans="1:16" x14ac:dyDescent="0.2">
      <c r="A933" t="s">
        <v>1343</v>
      </c>
      <c r="B933" s="1">
        <v>45874</v>
      </c>
      <c r="C933" s="1">
        <v>45932</v>
      </c>
      <c r="D933" t="s">
        <v>870</v>
      </c>
      <c r="E933" t="s">
        <v>18</v>
      </c>
      <c r="F933" t="s">
        <v>45</v>
      </c>
      <c r="G933" t="s">
        <v>50</v>
      </c>
      <c r="H933" t="s">
        <v>21</v>
      </c>
      <c r="I933" t="s">
        <v>30</v>
      </c>
      <c r="J933">
        <v>3</v>
      </c>
      <c r="K933">
        <v>3011000</v>
      </c>
      <c r="L933">
        <v>0.104</v>
      </c>
      <c r="M933" t="s">
        <v>23</v>
      </c>
      <c r="N933">
        <v>8094000</v>
      </c>
      <c r="O933">
        <v>3.9</v>
      </c>
      <c r="P933" t="b">
        <v>1</v>
      </c>
    </row>
    <row r="934" spans="1:16" x14ac:dyDescent="0.2">
      <c r="A934" t="s">
        <v>1344</v>
      </c>
      <c r="B934" s="1">
        <v>45606</v>
      </c>
      <c r="C934" s="1">
        <v>45635</v>
      </c>
      <c r="D934" t="s">
        <v>146</v>
      </c>
      <c r="E934" t="s">
        <v>33</v>
      </c>
      <c r="F934" t="s">
        <v>45</v>
      </c>
      <c r="G934" t="s">
        <v>20</v>
      </c>
      <c r="H934" t="s">
        <v>40</v>
      </c>
      <c r="I934" t="s">
        <v>99</v>
      </c>
      <c r="J934">
        <v>3</v>
      </c>
      <c r="K934">
        <v>2778000</v>
      </c>
      <c r="L934">
        <v>8.2000000000000003E-2</v>
      </c>
      <c r="M934" t="s">
        <v>23</v>
      </c>
      <c r="N934">
        <v>7651000</v>
      </c>
      <c r="O934">
        <v>3.1</v>
      </c>
      <c r="P934" t="b">
        <v>0</v>
      </c>
    </row>
    <row r="935" spans="1:16" x14ac:dyDescent="0.2">
      <c r="A935" t="s">
        <v>1345</v>
      </c>
      <c r="B935" s="1">
        <v>45583</v>
      </c>
      <c r="C935" s="1">
        <v>45611</v>
      </c>
      <c r="D935" t="s">
        <v>1346</v>
      </c>
      <c r="E935" t="s">
        <v>18</v>
      </c>
      <c r="F935" t="s">
        <v>45</v>
      </c>
      <c r="G935" t="s">
        <v>35</v>
      </c>
      <c r="H935" t="s">
        <v>47</v>
      </c>
      <c r="I935" t="s">
        <v>57</v>
      </c>
      <c r="J935">
        <v>4</v>
      </c>
      <c r="K935">
        <v>2625000</v>
      </c>
      <c r="L935">
        <v>5.0999999999999997E-2</v>
      </c>
      <c r="M935" t="s">
        <v>23</v>
      </c>
      <c r="N935">
        <v>9964000</v>
      </c>
      <c r="O935">
        <v>3.5</v>
      </c>
      <c r="P935" t="b">
        <v>0</v>
      </c>
    </row>
    <row r="936" spans="1:16" x14ac:dyDescent="0.2">
      <c r="A936" t="s">
        <v>1347</v>
      </c>
      <c r="B936" s="1">
        <v>45334</v>
      </c>
      <c r="C936" s="1">
        <v>45402</v>
      </c>
      <c r="D936" t="s">
        <v>304</v>
      </c>
      <c r="E936" t="s">
        <v>33</v>
      </c>
      <c r="F936" t="s">
        <v>39</v>
      </c>
      <c r="G936" t="s">
        <v>20</v>
      </c>
      <c r="H936" t="s">
        <v>21</v>
      </c>
      <c r="I936" t="s">
        <v>77</v>
      </c>
      <c r="J936">
        <v>1</v>
      </c>
      <c r="K936">
        <v>2558000</v>
      </c>
      <c r="L936">
        <v>0.191</v>
      </c>
      <c r="M936" t="s">
        <v>65</v>
      </c>
      <c r="N936">
        <v>0</v>
      </c>
      <c r="P936" t="b">
        <v>1</v>
      </c>
    </row>
    <row r="937" spans="1:16" x14ac:dyDescent="0.2">
      <c r="A937" t="s">
        <v>1348</v>
      </c>
      <c r="B937" s="1">
        <v>45414</v>
      </c>
      <c r="C937" s="1">
        <v>45475</v>
      </c>
      <c r="D937" t="s">
        <v>662</v>
      </c>
      <c r="E937" t="s">
        <v>18</v>
      </c>
      <c r="F937" t="s">
        <v>34</v>
      </c>
      <c r="G937" t="s">
        <v>20</v>
      </c>
      <c r="H937" t="s">
        <v>47</v>
      </c>
      <c r="I937" t="s">
        <v>94</v>
      </c>
      <c r="J937">
        <v>1</v>
      </c>
      <c r="K937">
        <v>4797000</v>
      </c>
      <c r="L937">
        <v>5.8000000000000003E-2</v>
      </c>
      <c r="M937" t="s">
        <v>23</v>
      </c>
      <c r="N937">
        <v>4519000</v>
      </c>
      <c r="O937">
        <v>3.8</v>
      </c>
      <c r="P937" t="b">
        <v>0</v>
      </c>
    </row>
    <row r="938" spans="1:16" x14ac:dyDescent="0.2">
      <c r="A938" t="s">
        <v>1348</v>
      </c>
      <c r="B938" s="1">
        <v>45414</v>
      </c>
      <c r="C938" s="1">
        <v>45475</v>
      </c>
      <c r="D938" t="s">
        <v>662</v>
      </c>
      <c r="E938" t="s">
        <v>18</v>
      </c>
      <c r="F938" t="s">
        <v>34</v>
      </c>
      <c r="G938" t="s">
        <v>20</v>
      </c>
      <c r="H938" t="s">
        <v>47</v>
      </c>
      <c r="I938" t="s">
        <v>94</v>
      </c>
      <c r="J938">
        <v>1</v>
      </c>
      <c r="K938">
        <v>4797000</v>
      </c>
      <c r="L938">
        <v>5.8000000000000003E-2</v>
      </c>
      <c r="M938" t="s">
        <v>23</v>
      </c>
      <c r="N938">
        <v>4519000</v>
      </c>
      <c r="O938">
        <v>3.8</v>
      </c>
      <c r="P938" t="b">
        <v>0</v>
      </c>
    </row>
    <row r="939" spans="1:16" x14ac:dyDescent="0.2">
      <c r="A939" t="s">
        <v>1349</v>
      </c>
      <c r="B939" s="1">
        <v>45502</v>
      </c>
      <c r="C939" s="1">
        <v>45561</v>
      </c>
      <c r="D939" t="s">
        <v>67</v>
      </c>
      <c r="E939" t="s">
        <v>18</v>
      </c>
      <c r="F939" t="s">
        <v>34</v>
      </c>
      <c r="G939" t="s">
        <v>50</v>
      </c>
      <c r="H939" t="s">
        <v>21</v>
      </c>
      <c r="I939" t="s">
        <v>94</v>
      </c>
      <c r="J939">
        <v>1</v>
      </c>
      <c r="K939">
        <v>4149000</v>
      </c>
      <c r="L939">
        <v>6.4000000000000001E-2</v>
      </c>
      <c r="M939" t="s">
        <v>23</v>
      </c>
      <c r="N939">
        <v>3883000</v>
      </c>
      <c r="O939">
        <v>4.3</v>
      </c>
      <c r="P939" t="b">
        <v>1</v>
      </c>
    </row>
    <row r="940" spans="1:16" x14ac:dyDescent="0.2">
      <c r="A940" t="s">
        <v>1350</v>
      </c>
      <c r="B940" s="1">
        <v>45526</v>
      </c>
      <c r="C940" s="1">
        <v>45540</v>
      </c>
      <c r="D940" t="s">
        <v>524</v>
      </c>
      <c r="E940" t="s">
        <v>18</v>
      </c>
      <c r="F940" t="s">
        <v>25</v>
      </c>
      <c r="G940" t="s">
        <v>20</v>
      </c>
      <c r="H940" t="s">
        <v>21</v>
      </c>
      <c r="I940" t="s">
        <v>26</v>
      </c>
      <c r="J940">
        <v>1</v>
      </c>
      <c r="K940">
        <v>6489000</v>
      </c>
      <c r="L940">
        <v>0.187</v>
      </c>
      <c r="M940" t="s">
        <v>23</v>
      </c>
      <c r="N940">
        <v>5276000</v>
      </c>
      <c r="O940">
        <v>4.5999999999999996</v>
      </c>
      <c r="P940" t="b">
        <v>1</v>
      </c>
    </row>
    <row r="941" spans="1:16" x14ac:dyDescent="0.2">
      <c r="A941" t="s">
        <v>1351</v>
      </c>
      <c r="B941" s="1">
        <v>45517</v>
      </c>
      <c r="C941" s="1">
        <v>45575</v>
      </c>
      <c r="D941" t="s">
        <v>304</v>
      </c>
      <c r="E941" t="s">
        <v>33</v>
      </c>
      <c r="F941" t="s">
        <v>19</v>
      </c>
      <c r="G941" t="s">
        <v>20</v>
      </c>
      <c r="H941" t="s">
        <v>40</v>
      </c>
      <c r="I941" t="s">
        <v>30</v>
      </c>
      <c r="J941">
        <v>2</v>
      </c>
      <c r="K941">
        <v>2409000</v>
      </c>
      <c r="L941">
        <v>2.7E-2</v>
      </c>
      <c r="M941" t="s">
        <v>23</v>
      </c>
      <c r="N941">
        <v>4688000</v>
      </c>
      <c r="O941">
        <v>4.0999999999999996</v>
      </c>
      <c r="P941" t="b">
        <v>1</v>
      </c>
    </row>
    <row r="942" spans="1:16" x14ac:dyDescent="0.2">
      <c r="A942" t="s">
        <v>1352</v>
      </c>
      <c r="B942" s="1">
        <v>45537</v>
      </c>
      <c r="C942" s="1">
        <v>45626</v>
      </c>
      <c r="D942" t="s">
        <v>351</v>
      </c>
      <c r="E942" t="s">
        <v>33</v>
      </c>
      <c r="F942" t="s">
        <v>34</v>
      </c>
      <c r="G942" t="s">
        <v>35</v>
      </c>
      <c r="H942" t="s">
        <v>21</v>
      </c>
      <c r="I942" t="s">
        <v>83</v>
      </c>
      <c r="J942">
        <v>1</v>
      </c>
      <c r="K942">
        <v>5056000</v>
      </c>
      <c r="L942">
        <v>8.6999999999999994E-2</v>
      </c>
      <c r="M942" t="s">
        <v>23</v>
      </c>
      <c r="N942">
        <v>4616000</v>
      </c>
      <c r="O942">
        <v>4.9000000000000004</v>
      </c>
      <c r="P942" t="b">
        <v>0</v>
      </c>
    </row>
    <row r="943" spans="1:16" x14ac:dyDescent="0.2">
      <c r="A943" t="s">
        <v>1353</v>
      </c>
      <c r="B943" s="1">
        <v>45771</v>
      </c>
      <c r="C943" s="1">
        <v>45782</v>
      </c>
      <c r="D943" t="s">
        <v>183</v>
      </c>
      <c r="E943" t="s">
        <v>18</v>
      </c>
      <c r="F943" t="s">
        <v>34</v>
      </c>
      <c r="G943" t="s">
        <v>50</v>
      </c>
      <c r="H943" t="s">
        <v>51</v>
      </c>
      <c r="I943" t="s">
        <v>94</v>
      </c>
      <c r="J943">
        <v>1</v>
      </c>
      <c r="K943">
        <v>4902000</v>
      </c>
      <c r="L943">
        <v>8.5999999999999993E-2</v>
      </c>
      <c r="M943" t="s">
        <v>23</v>
      </c>
      <c r="N943">
        <v>4480000</v>
      </c>
      <c r="O943">
        <v>3.8</v>
      </c>
      <c r="P943" t="b">
        <v>1</v>
      </c>
    </row>
    <row r="944" spans="1:16" x14ac:dyDescent="0.2">
      <c r="A944" t="s">
        <v>1354</v>
      </c>
      <c r="B944" s="1">
        <v>45373</v>
      </c>
      <c r="C944" s="1">
        <v>45420</v>
      </c>
      <c r="D944" t="s">
        <v>429</v>
      </c>
      <c r="E944" t="s">
        <v>18</v>
      </c>
      <c r="F944" t="s">
        <v>19</v>
      </c>
      <c r="G944" t="s">
        <v>20</v>
      </c>
      <c r="H944" t="s">
        <v>21</v>
      </c>
      <c r="I944" t="s">
        <v>99</v>
      </c>
      <c r="J944">
        <v>3</v>
      </c>
      <c r="K944">
        <v>3138000</v>
      </c>
      <c r="L944">
        <v>0.249</v>
      </c>
      <c r="M944" t="s">
        <v>23</v>
      </c>
      <c r="N944">
        <v>7070000</v>
      </c>
      <c r="O944">
        <v>4.0999999999999996</v>
      </c>
      <c r="P944" t="b">
        <v>1</v>
      </c>
    </row>
    <row r="945" spans="1:16" x14ac:dyDescent="0.2">
      <c r="A945" t="s">
        <v>1355</v>
      </c>
      <c r="B945" s="1">
        <v>45498</v>
      </c>
      <c r="C945" s="1">
        <v>45548</v>
      </c>
      <c r="D945" t="s">
        <v>838</v>
      </c>
      <c r="E945" t="s">
        <v>33</v>
      </c>
      <c r="F945" t="s">
        <v>34</v>
      </c>
      <c r="G945" t="s">
        <v>20</v>
      </c>
      <c r="H945" t="s">
        <v>21</v>
      </c>
      <c r="I945" t="s">
        <v>77</v>
      </c>
      <c r="J945">
        <v>4</v>
      </c>
      <c r="K945">
        <v>3954000</v>
      </c>
      <c r="L945">
        <v>7.9000000000000001E-2</v>
      </c>
      <c r="M945" t="s">
        <v>65</v>
      </c>
      <c r="N945">
        <v>0</v>
      </c>
      <c r="P945" t="b">
        <v>1</v>
      </c>
    </row>
    <row r="946" spans="1:16" x14ac:dyDescent="0.2">
      <c r="A946" t="s">
        <v>1356</v>
      </c>
      <c r="B946" s="1">
        <v>45393</v>
      </c>
      <c r="C946" s="1">
        <v>45475</v>
      </c>
      <c r="D946" t="s">
        <v>1357</v>
      </c>
      <c r="E946" t="s">
        <v>33</v>
      </c>
      <c r="F946" t="s">
        <v>34</v>
      </c>
      <c r="G946" t="s">
        <v>46</v>
      </c>
      <c r="H946" t="s">
        <v>21</v>
      </c>
      <c r="I946" t="s">
        <v>77</v>
      </c>
      <c r="J946">
        <v>1</v>
      </c>
      <c r="K946">
        <v>4118000</v>
      </c>
      <c r="L946">
        <v>0</v>
      </c>
      <c r="M946" t="s">
        <v>65</v>
      </c>
      <c r="N946">
        <v>0</v>
      </c>
      <c r="P946" t="b">
        <v>0</v>
      </c>
    </row>
    <row r="947" spans="1:16" x14ac:dyDescent="0.2">
      <c r="A947" t="s">
        <v>1358</v>
      </c>
      <c r="B947" s="1">
        <v>45483</v>
      </c>
      <c r="C947" s="1">
        <v>45515</v>
      </c>
      <c r="D947" t="s">
        <v>1359</v>
      </c>
      <c r="E947" t="s">
        <v>45</v>
      </c>
      <c r="F947" t="s">
        <v>68</v>
      </c>
      <c r="G947" t="s">
        <v>35</v>
      </c>
      <c r="H947" t="s">
        <v>21</v>
      </c>
      <c r="I947" t="s">
        <v>22</v>
      </c>
      <c r="J947">
        <v>1</v>
      </c>
      <c r="K947">
        <v>2147000</v>
      </c>
      <c r="L947">
        <v>3.6999999999999998E-2</v>
      </c>
      <c r="M947" t="s">
        <v>23</v>
      </c>
      <c r="N947">
        <v>2068000</v>
      </c>
      <c r="O947">
        <v>4.3</v>
      </c>
      <c r="P947" t="b">
        <v>0</v>
      </c>
    </row>
    <row r="948" spans="1:16" x14ac:dyDescent="0.2">
      <c r="A948" t="s">
        <v>1360</v>
      </c>
      <c r="B948" s="1">
        <v>45718</v>
      </c>
      <c r="C948" s="1">
        <v>45766</v>
      </c>
      <c r="D948" t="s">
        <v>1361</v>
      </c>
      <c r="E948" t="s">
        <v>33</v>
      </c>
      <c r="F948" t="s">
        <v>19</v>
      </c>
      <c r="G948" t="s">
        <v>50</v>
      </c>
      <c r="H948" t="s">
        <v>21</v>
      </c>
      <c r="I948" t="s">
        <v>77</v>
      </c>
      <c r="J948">
        <v>2</v>
      </c>
      <c r="K948">
        <v>4000000</v>
      </c>
      <c r="L948">
        <v>0.14699999999999999</v>
      </c>
      <c r="M948" t="s">
        <v>23</v>
      </c>
      <c r="N948">
        <v>6824000</v>
      </c>
      <c r="O948">
        <v>4.3</v>
      </c>
      <c r="P948" t="b">
        <v>0</v>
      </c>
    </row>
    <row r="949" spans="1:16" x14ac:dyDescent="0.2">
      <c r="A949" t="s">
        <v>1362</v>
      </c>
      <c r="B949" s="1">
        <v>45321</v>
      </c>
      <c r="C949" s="1">
        <v>45389</v>
      </c>
      <c r="D949" t="s">
        <v>110</v>
      </c>
      <c r="E949" t="s">
        <v>45</v>
      </c>
      <c r="F949" t="s">
        <v>68</v>
      </c>
      <c r="G949" t="s">
        <v>50</v>
      </c>
      <c r="H949" t="s">
        <v>47</v>
      </c>
      <c r="I949" t="s">
        <v>57</v>
      </c>
      <c r="J949">
        <v>1</v>
      </c>
      <c r="K949">
        <v>3526000</v>
      </c>
      <c r="L949">
        <v>0.16700000000000001</v>
      </c>
      <c r="M949" t="s">
        <v>23</v>
      </c>
      <c r="N949">
        <v>2937000</v>
      </c>
      <c r="O949">
        <v>3.4</v>
      </c>
      <c r="P949" t="b">
        <v>0</v>
      </c>
    </row>
    <row r="950" spans="1:16" x14ac:dyDescent="0.2">
      <c r="A950" t="s">
        <v>1363</v>
      </c>
      <c r="B950" s="1">
        <v>45503</v>
      </c>
      <c r="C950" s="1">
        <v>45517</v>
      </c>
      <c r="D950" t="s">
        <v>448</v>
      </c>
      <c r="E950" t="s">
        <v>29</v>
      </c>
      <c r="F950" t="s">
        <v>68</v>
      </c>
      <c r="G950" t="s">
        <v>35</v>
      </c>
      <c r="H950" t="s">
        <v>21</v>
      </c>
      <c r="I950" t="s">
        <v>52</v>
      </c>
      <c r="J950">
        <v>1</v>
      </c>
      <c r="K950">
        <v>2336000</v>
      </c>
      <c r="L950">
        <v>0.151</v>
      </c>
      <c r="M950" t="s">
        <v>23</v>
      </c>
      <c r="N950">
        <v>1983000</v>
      </c>
      <c r="O950">
        <v>3.8</v>
      </c>
      <c r="P950" t="b">
        <v>0</v>
      </c>
    </row>
    <row r="951" spans="1:16" x14ac:dyDescent="0.2">
      <c r="A951" t="s">
        <v>1364</v>
      </c>
      <c r="B951" s="1">
        <v>45306</v>
      </c>
      <c r="C951" s="1">
        <v>45380</v>
      </c>
      <c r="D951" t="s">
        <v>1237</v>
      </c>
      <c r="E951" t="s">
        <v>45</v>
      </c>
      <c r="F951" t="s">
        <v>34</v>
      </c>
      <c r="G951" t="s">
        <v>20</v>
      </c>
      <c r="H951" t="s">
        <v>21</v>
      </c>
      <c r="I951" t="s">
        <v>77</v>
      </c>
      <c r="J951">
        <v>1</v>
      </c>
      <c r="K951">
        <v>5380000</v>
      </c>
      <c r="L951">
        <v>0.20399999999999999</v>
      </c>
      <c r="M951" t="s">
        <v>23</v>
      </c>
      <c r="N951">
        <v>4282000</v>
      </c>
      <c r="O951">
        <v>4.7</v>
      </c>
      <c r="P951" t="b">
        <v>0</v>
      </c>
    </row>
    <row r="952" spans="1:16" x14ac:dyDescent="0.2">
      <c r="A952" t="s">
        <v>1365</v>
      </c>
      <c r="B952" s="1">
        <v>45886</v>
      </c>
      <c r="C952" s="1">
        <v>45962</v>
      </c>
      <c r="D952" t="s">
        <v>1233</v>
      </c>
      <c r="E952" t="s">
        <v>18</v>
      </c>
      <c r="F952" t="s">
        <v>45</v>
      </c>
      <c r="G952" t="s">
        <v>20</v>
      </c>
      <c r="H952" t="s">
        <v>40</v>
      </c>
      <c r="I952" t="s">
        <v>22</v>
      </c>
      <c r="J952">
        <v>3</v>
      </c>
      <c r="K952">
        <v>2481000</v>
      </c>
      <c r="L952">
        <v>0.13100000000000001</v>
      </c>
      <c r="M952" t="s">
        <v>23</v>
      </c>
      <c r="N952">
        <v>6468000</v>
      </c>
      <c r="O952">
        <v>3.2</v>
      </c>
      <c r="P952" t="b">
        <v>1</v>
      </c>
    </row>
    <row r="953" spans="1:16" x14ac:dyDescent="0.2">
      <c r="A953" t="s">
        <v>1366</v>
      </c>
      <c r="B953" s="1">
        <v>45745</v>
      </c>
      <c r="C953" s="1">
        <v>45813</v>
      </c>
      <c r="D953" t="s">
        <v>269</v>
      </c>
      <c r="E953" t="s">
        <v>29</v>
      </c>
      <c r="F953" t="s">
        <v>45</v>
      </c>
      <c r="G953" t="s">
        <v>50</v>
      </c>
      <c r="H953" t="s">
        <v>21</v>
      </c>
      <c r="I953" t="s">
        <v>22</v>
      </c>
      <c r="J953">
        <v>5</v>
      </c>
      <c r="K953">
        <v>3312000</v>
      </c>
      <c r="L953">
        <v>2.4E-2</v>
      </c>
      <c r="M953" t="s">
        <v>23</v>
      </c>
      <c r="N953">
        <v>16163000</v>
      </c>
      <c r="O953">
        <v>4.9000000000000004</v>
      </c>
      <c r="P953" t="b">
        <v>1</v>
      </c>
    </row>
    <row r="954" spans="1:16" x14ac:dyDescent="0.2">
      <c r="A954" t="s">
        <v>1367</v>
      </c>
      <c r="B954" s="1">
        <v>45443</v>
      </c>
      <c r="C954" s="1">
        <v>45505</v>
      </c>
      <c r="D954" t="s">
        <v>1068</v>
      </c>
      <c r="E954" t="s">
        <v>45</v>
      </c>
      <c r="F954" t="s">
        <v>45</v>
      </c>
      <c r="G954" t="s">
        <v>50</v>
      </c>
      <c r="H954" t="s">
        <v>40</v>
      </c>
      <c r="I954" t="s">
        <v>99</v>
      </c>
      <c r="J954">
        <v>4</v>
      </c>
      <c r="K954">
        <v>2264000</v>
      </c>
      <c r="L954">
        <v>0.125</v>
      </c>
      <c r="M954" t="s">
        <v>23</v>
      </c>
      <c r="N954">
        <v>7924000</v>
      </c>
      <c r="O954">
        <v>4.4000000000000004</v>
      </c>
      <c r="P954" t="b">
        <v>1</v>
      </c>
    </row>
    <row r="955" spans="1:16" x14ac:dyDescent="0.2">
      <c r="A955" t="s">
        <v>1368</v>
      </c>
      <c r="B955" s="1">
        <v>45415</v>
      </c>
      <c r="C955" s="1">
        <v>45485</v>
      </c>
      <c r="D955" t="s">
        <v>165</v>
      </c>
      <c r="E955" t="s">
        <v>18</v>
      </c>
      <c r="F955" t="s">
        <v>34</v>
      </c>
      <c r="G955" t="s">
        <v>46</v>
      </c>
      <c r="H955" t="s">
        <v>21</v>
      </c>
      <c r="I955" t="s">
        <v>30</v>
      </c>
      <c r="J955">
        <v>4</v>
      </c>
      <c r="K955">
        <v>3783000</v>
      </c>
      <c r="L955">
        <v>4.4999999999999998E-2</v>
      </c>
      <c r="M955" t="s">
        <v>23</v>
      </c>
      <c r="N955">
        <v>14451000</v>
      </c>
      <c r="O955">
        <v>3.8</v>
      </c>
      <c r="P955" t="b">
        <v>1</v>
      </c>
    </row>
    <row r="956" spans="1:16" x14ac:dyDescent="0.2">
      <c r="A956" t="s">
        <v>1369</v>
      </c>
      <c r="B956" s="1">
        <v>45353</v>
      </c>
      <c r="C956" s="1">
        <v>45426</v>
      </c>
      <c r="D956" t="s">
        <v>1370</v>
      </c>
      <c r="E956" t="s">
        <v>18</v>
      </c>
      <c r="F956" t="s">
        <v>34</v>
      </c>
      <c r="G956" t="s">
        <v>35</v>
      </c>
      <c r="H956" t="s">
        <v>21</v>
      </c>
      <c r="I956" t="s">
        <v>22</v>
      </c>
      <c r="J956">
        <v>2</v>
      </c>
      <c r="K956">
        <v>4814000</v>
      </c>
      <c r="L956">
        <v>8.1000000000000003E-2</v>
      </c>
      <c r="M956" t="s">
        <v>65</v>
      </c>
      <c r="N956">
        <v>0</v>
      </c>
      <c r="P956" t="b">
        <v>0</v>
      </c>
    </row>
    <row r="957" spans="1:16" x14ac:dyDescent="0.2">
      <c r="A957" t="s">
        <v>1371</v>
      </c>
      <c r="B957" s="1">
        <v>45586</v>
      </c>
      <c r="C957" s="1">
        <v>45669</v>
      </c>
      <c r="D957" t="s">
        <v>1010</v>
      </c>
      <c r="E957" t="s">
        <v>33</v>
      </c>
      <c r="F957" t="s">
        <v>34</v>
      </c>
      <c r="G957" t="s">
        <v>20</v>
      </c>
      <c r="H957" t="s">
        <v>47</v>
      </c>
      <c r="I957" t="s">
        <v>22</v>
      </c>
      <c r="J957">
        <v>2</v>
      </c>
      <c r="K957">
        <v>3451000</v>
      </c>
      <c r="L957">
        <v>9.5000000000000001E-2</v>
      </c>
      <c r="M957" t="s">
        <v>23</v>
      </c>
      <c r="N957">
        <v>6246000</v>
      </c>
      <c r="O957">
        <v>5</v>
      </c>
      <c r="P957" t="b">
        <v>1</v>
      </c>
    </row>
    <row r="958" spans="1:16" x14ac:dyDescent="0.2">
      <c r="A958" t="s">
        <v>1372</v>
      </c>
      <c r="B958" s="1">
        <v>45761</v>
      </c>
      <c r="C958" s="1">
        <v>45805</v>
      </c>
      <c r="D958" t="s">
        <v>1373</v>
      </c>
      <c r="E958" t="s">
        <v>18</v>
      </c>
      <c r="F958" t="s">
        <v>45</v>
      </c>
      <c r="G958" t="s">
        <v>35</v>
      </c>
      <c r="H958" t="s">
        <v>47</v>
      </c>
      <c r="I958" t="s">
        <v>26</v>
      </c>
      <c r="J958">
        <v>4</v>
      </c>
      <c r="K958">
        <v>4477000</v>
      </c>
      <c r="L958">
        <v>4.4999999999999998E-2</v>
      </c>
      <c r="M958" t="s">
        <v>23</v>
      </c>
      <c r="N958">
        <v>17102000</v>
      </c>
      <c r="O958">
        <v>4.9000000000000004</v>
      </c>
      <c r="P958" t="b">
        <v>0</v>
      </c>
    </row>
    <row r="959" spans="1:16" x14ac:dyDescent="0.2">
      <c r="A959" t="s">
        <v>1374</v>
      </c>
      <c r="B959" s="1">
        <v>45655</v>
      </c>
      <c r="C959" s="1">
        <v>45701</v>
      </c>
      <c r="D959" t="s">
        <v>880</v>
      </c>
      <c r="E959" t="s">
        <v>29</v>
      </c>
      <c r="F959" t="s">
        <v>68</v>
      </c>
      <c r="G959" t="s">
        <v>35</v>
      </c>
      <c r="H959" t="s">
        <v>47</v>
      </c>
      <c r="I959" t="s">
        <v>77</v>
      </c>
      <c r="J959">
        <v>2</v>
      </c>
      <c r="K959">
        <v>2488000</v>
      </c>
      <c r="L959">
        <v>9.1999999999999998E-2</v>
      </c>
      <c r="M959" t="s">
        <v>23</v>
      </c>
      <c r="N959">
        <v>4518000</v>
      </c>
      <c r="O959">
        <v>4.0999999999999996</v>
      </c>
      <c r="P959" t="b">
        <v>0</v>
      </c>
    </row>
    <row r="960" spans="1:16" x14ac:dyDescent="0.2">
      <c r="A960" t="s">
        <v>1375</v>
      </c>
      <c r="B960" s="1">
        <v>45840</v>
      </c>
      <c r="C960" s="1">
        <v>45901</v>
      </c>
      <c r="D960" t="s">
        <v>821</v>
      </c>
      <c r="E960" t="s">
        <v>45</v>
      </c>
      <c r="F960" t="s">
        <v>45</v>
      </c>
      <c r="G960" t="s">
        <v>20</v>
      </c>
      <c r="H960" t="s">
        <v>21</v>
      </c>
      <c r="I960" t="s">
        <v>83</v>
      </c>
      <c r="J960">
        <v>3</v>
      </c>
      <c r="K960">
        <v>2476000</v>
      </c>
      <c r="L960">
        <v>0.106</v>
      </c>
      <c r="M960" t="s">
        <v>23</v>
      </c>
      <c r="N960">
        <v>6641000</v>
      </c>
      <c r="O960">
        <v>4.3</v>
      </c>
      <c r="P960" t="b">
        <v>1</v>
      </c>
    </row>
    <row r="961" spans="1:16" x14ac:dyDescent="0.2">
      <c r="A961" t="s">
        <v>1376</v>
      </c>
      <c r="B961" s="1">
        <v>45506</v>
      </c>
      <c r="C961" s="1">
        <v>45531</v>
      </c>
      <c r="D961" t="s">
        <v>89</v>
      </c>
      <c r="E961" t="s">
        <v>18</v>
      </c>
      <c r="F961" t="s">
        <v>45</v>
      </c>
      <c r="G961" t="s">
        <v>50</v>
      </c>
      <c r="H961" t="s">
        <v>21</v>
      </c>
      <c r="I961" t="s">
        <v>22</v>
      </c>
      <c r="J961">
        <v>3</v>
      </c>
      <c r="K961">
        <v>2390000</v>
      </c>
      <c r="L961">
        <v>8.8999999999999996E-2</v>
      </c>
      <c r="M961" t="s">
        <v>23</v>
      </c>
      <c r="N961">
        <v>6532000</v>
      </c>
      <c r="O961">
        <v>3.9</v>
      </c>
      <c r="P961" t="b">
        <v>1</v>
      </c>
    </row>
    <row r="962" spans="1:16" x14ac:dyDescent="0.2">
      <c r="A962" t="s">
        <v>1377</v>
      </c>
      <c r="B962" s="1">
        <v>45465</v>
      </c>
      <c r="C962" s="1">
        <v>45544</v>
      </c>
      <c r="D962" t="s">
        <v>1378</v>
      </c>
      <c r="E962" t="s">
        <v>45</v>
      </c>
      <c r="F962" t="s">
        <v>68</v>
      </c>
      <c r="G962" t="s">
        <v>35</v>
      </c>
      <c r="H962" t="s">
        <v>47</v>
      </c>
      <c r="I962" t="s">
        <v>94</v>
      </c>
      <c r="J962">
        <v>2</v>
      </c>
      <c r="K962">
        <v>2483000</v>
      </c>
      <c r="L962">
        <v>9.7000000000000003E-2</v>
      </c>
      <c r="M962" t="s">
        <v>23</v>
      </c>
      <c r="N962">
        <v>4484000</v>
      </c>
      <c r="O962">
        <v>4.3</v>
      </c>
      <c r="P962" t="b">
        <v>1</v>
      </c>
    </row>
    <row r="963" spans="1:16" x14ac:dyDescent="0.2">
      <c r="A963" t="s">
        <v>1377</v>
      </c>
      <c r="B963" s="1">
        <v>45465</v>
      </c>
      <c r="C963" s="1">
        <v>45544</v>
      </c>
      <c r="D963" t="s">
        <v>1378</v>
      </c>
      <c r="E963" t="s">
        <v>45</v>
      </c>
      <c r="F963" t="s">
        <v>68</v>
      </c>
      <c r="G963" t="s">
        <v>35</v>
      </c>
      <c r="H963" t="s">
        <v>47</v>
      </c>
      <c r="I963" t="s">
        <v>94</v>
      </c>
      <c r="J963">
        <v>2</v>
      </c>
      <c r="K963">
        <v>2483000</v>
      </c>
      <c r="L963">
        <v>9.7000000000000003E-2</v>
      </c>
      <c r="M963" t="s">
        <v>23</v>
      </c>
      <c r="N963">
        <v>4484000</v>
      </c>
      <c r="O963">
        <v>4.3</v>
      </c>
      <c r="P963" t="b">
        <v>1</v>
      </c>
    </row>
    <row r="964" spans="1:16" x14ac:dyDescent="0.2">
      <c r="A964" t="s">
        <v>1379</v>
      </c>
      <c r="B964" s="1">
        <v>45589</v>
      </c>
      <c r="C964" s="1">
        <v>45661</v>
      </c>
      <c r="D964" t="s">
        <v>79</v>
      </c>
      <c r="E964" t="s">
        <v>45</v>
      </c>
      <c r="F964" t="s">
        <v>45</v>
      </c>
      <c r="G964" t="s">
        <v>20</v>
      </c>
      <c r="H964" t="s">
        <v>40</v>
      </c>
      <c r="J964">
        <v>3</v>
      </c>
      <c r="K964">
        <v>2919000</v>
      </c>
      <c r="L964">
        <v>4.3999999999999997E-2</v>
      </c>
      <c r="M964" t="s">
        <v>23</v>
      </c>
      <c r="N964">
        <v>8372000</v>
      </c>
      <c r="O964">
        <v>3.9</v>
      </c>
      <c r="P964" t="b">
        <v>0</v>
      </c>
    </row>
    <row r="965" spans="1:16" x14ac:dyDescent="0.2">
      <c r="A965" t="s">
        <v>1380</v>
      </c>
      <c r="B965" s="1">
        <v>45417</v>
      </c>
      <c r="C965" s="1">
        <v>45478</v>
      </c>
      <c r="D965" t="s">
        <v>727</v>
      </c>
      <c r="E965" t="s">
        <v>45</v>
      </c>
      <c r="F965" t="s">
        <v>34</v>
      </c>
      <c r="G965" t="s">
        <v>35</v>
      </c>
      <c r="H965" t="s">
        <v>40</v>
      </c>
      <c r="I965" t="s">
        <v>94</v>
      </c>
      <c r="J965">
        <v>1</v>
      </c>
      <c r="K965">
        <v>2878000</v>
      </c>
      <c r="L965">
        <v>0</v>
      </c>
      <c r="M965" t="s">
        <v>23</v>
      </c>
      <c r="N965">
        <v>2878000</v>
      </c>
      <c r="O965">
        <v>4.2</v>
      </c>
      <c r="P965" t="b">
        <v>0</v>
      </c>
    </row>
    <row r="966" spans="1:16" x14ac:dyDescent="0.2">
      <c r="A966" t="s">
        <v>1381</v>
      </c>
      <c r="B966" s="1">
        <v>45899</v>
      </c>
      <c r="C966" s="1">
        <v>45933</v>
      </c>
      <c r="D966" t="s">
        <v>645</v>
      </c>
      <c r="E966" t="s">
        <v>29</v>
      </c>
      <c r="F966" t="s">
        <v>39</v>
      </c>
      <c r="G966" t="s">
        <v>35</v>
      </c>
      <c r="H966" t="s">
        <v>40</v>
      </c>
      <c r="I966" t="s">
        <v>52</v>
      </c>
      <c r="J966">
        <v>1</v>
      </c>
      <c r="K966">
        <v>1451000</v>
      </c>
      <c r="L966">
        <v>0.13300000000000001</v>
      </c>
      <c r="M966" t="s">
        <v>23</v>
      </c>
      <c r="N966">
        <v>1258000</v>
      </c>
      <c r="O966">
        <v>5</v>
      </c>
      <c r="P966" t="b">
        <v>1</v>
      </c>
    </row>
    <row r="967" spans="1:16" x14ac:dyDescent="0.2">
      <c r="A967" t="s">
        <v>1382</v>
      </c>
      <c r="B967" s="1">
        <v>45407</v>
      </c>
      <c r="C967" s="1">
        <v>45445</v>
      </c>
      <c r="D967" t="s">
        <v>938</v>
      </c>
      <c r="E967" t="s">
        <v>45</v>
      </c>
      <c r="F967" t="s">
        <v>19</v>
      </c>
      <c r="G967" t="s">
        <v>50</v>
      </c>
      <c r="H967" t="s">
        <v>47</v>
      </c>
      <c r="I967" t="s">
        <v>30</v>
      </c>
      <c r="J967">
        <v>2</v>
      </c>
      <c r="K967">
        <v>2923000</v>
      </c>
      <c r="L967">
        <v>6.3E-2</v>
      </c>
      <c r="M967" t="s">
        <v>23</v>
      </c>
      <c r="N967">
        <v>5478000</v>
      </c>
      <c r="O967">
        <v>4.2</v>
      </c>
      <c r="P967" t="b">
        <v>0</v>
      </c>
    </row>
    <row r="968" spans="1:16" x14ac:dyDescent="0.2">
      <c r="A968" t="s">
        <v>1383</v>
      </c>
      <c r="B968" s="1">
        <v>45590</v>
      </c>
      <c r="C968" s="1">
        <v>45635</v>
      </c>
      <c r="D968" t="s">
        <v>611</v>
      </c>
      <c r="E968" t="s">
        <v>18</v>
      </c>
      <c r="F968" t="s">
        <v>34</v>
      </c>
      <c r="G968" t="s">
        <v>20</v>
      </c>
      <c r="H968" t="s">
        <v>21</v>
      </c>
      <c r="I968" t="s">
        <v>57</v>
      </c>
      <c r="J968">
        <v>1</v>
      </c>
      <c r="K968">
        <v>3261000</v>
      </c>
      <c r="L968">
        <v>3.7999999999999999E-2</v>
      </c>
      <c r="M968" t="s">
        <v>23</v>
      </c>
      <c r="N968">
        <v>3137000</v>
      </c>
      <c r="O968">
        <v>3.7</v>
      </c>
      <c r="P968" t="b">
        <v>1</v>
      </c>
    </row>
    <row r="969" spans="1:16" x14ac:dyDescent="0.2">
      <c r="A969" t="s">
        <v>1384</v>
      </c>
      <c r="B969" s="1">
        <v>45617</v>
      </c>
      <c r="C969" s="1">
        <v>45680</v>
      </c>
      <c r="D969" t="s">
        <v>296</v>
      </c>
      <c r="E969" t="s">
        <v>29</v>
      </c>
      <c r="F969" t="s">
        <v>80</v>
      </c>
      <c r="G969" t="s">
        <v>35</v>
      </c>
      <c r="H969" t="s">
        <v>40</v>
      </c>
      <c r="I969" t="s">
        <v>60</v>
      </c>
      <c r="J969">
        <v>1</v>
      </c>
      <c r="K969">
        <v>6530000</v>
      </c>
      <c r="L969">
        <v>9.1999999999999998E-2</v>
      </c>
      <c r="M969" t="s">
        <v>23</v>
      </c>
      <c r="N969">
        <v>5929000</v>
      </c>
      <c r="O969">
        <v>3.5</v>
      </c>
      <c r="P969" t="b">
        <v>1</v>
      </c>
    </row>
    <row r="970" spans="1:16" x14ac:dyDescent="0.2">
      <c r="A970" t="s">
        <v>1385</v>
      </c>
      <c r="B970" s="1">
        <v>45327</v>
      </c>
      <c r="C970" s="1">
        <v>45400</v>
      </c>
      <c r="D970" t="s">
        <v>326</v>
      </c>
      <c r="E970" t="s">
        <v>45</v>
      </c>
      <c r="F970" t="s">
        <v>68</v>
      </c>
      <c r="G970" t="s">
        <v>35</v>
      </c>
      <c r="H970" t="s">
        <v>21</v>
      </c>
      <c r="I970" t="s">
        <v>22</v>
      </c>
      <c r="J970">
        <v>1</v>
      </c>
      <c r="K970">
        <v>2997000</v>
      </c>
      <c r="L970">
        <v>0.14299999999999999</v>
      </c>
      <c r="M970" t="s">
        <v>23</v>
      </c>
      <c r="N970">
        <v>2568000</v>
      </c>
      <c r="O970">
        <v>4.3</v>
      </c>
      <c r="P970" t="b">
        <v>0</v>
      </c>
    </row>
    <row r="971" spans="1:16" x14ac:dyDescent="0.2">
      <c r="A971" t="s">
        <v>1386</v>
      </c>
      <c r="B971" s="1">
        <v>45583</v>
      </c>
      <c r="C971" s="1">
        <v>45647</v>
      </c>
      <c r="D971" t="s">
        <v>62</v>
      </c>
      <c r="E971" t="s">
        <v>18</v>
      </c>
      <c r="F971" t="s">
        <v>19</v>
      </c>
      <c r="G971" t="s">
        <v>35</v>
      </c>
      <c r="H971" t="s">
        <v>21</v>
      </c>
      <c r="I971" t="s">
        <v>83</v>
      </c>
      <c r="J971">
        <v>1</v>
      </c>
      <c r="K971">
        <v>2884000</v>
      </c>
      <c r="L971">
        <v>0.11600000000000001</v>
      </c>
      <c r="M971" t="s">
        <v>23</v>
      </c>
      <c r="N971">
        <v>2549000</v>
      </c>
      <c r="O971">
        <v>3.8</v>
      </c>
      <c r="P971" t="b">
        <v>1</v>
      </c>
    </row>
    <row r="972" spans="1:16" x14ac:dyDescent="0.2">
      <c r="A972" t="s">
        <v>1387</v>
      </c>
      <c r="B972" s="1">
        <v>45575</v>
      </c>
      <c r="C972" s="1">
        <v>45660</v>
      </c>
      <c r="D972" t="s">
        <v>1231</v>
      </c>
      <c r="E972" t="s">
        <v>18</v>
      </c>
      <c r="F972" t="s">
        <v>25</v>
      </c>
      <c r="G972" t="s">
        <v>20</v>
      </c>
      <c r="H972" t="s">
        <v>40</v>
      </c>
      <c r="I972" t="s">
        <v>77</v>
      </c>
      <c r="J972">
        <v>3</v>
      </c>
      <c r="K972">
        <v>4170000</v>
      </c>
      <c r="L972">
        <v>7.2999999999999995E-2</v>
      </c>
      <c r="M972" t="s">
        <v>23</v>
      </c>
      <c r="N972">
        <v>11597000</v>
      </c>
      <c r="O972">
        <v>4.3</v>
      </c>
      <c r="P972" t="b">
        <v>1</v>
      </c>
    </row>
    <row r="973" spans="1:16" x14ac:dyDescent="0.2">
      <c r="A973" t="s">
        <v>1388</v>
      </c>
      <c r="B973" s="1">
        <v>45453</v>
      </c>
      <c r="C973" s="1">
        <v>45540</v>
      </c>
      <c r="D973" t="s">
        <v>1091</v>
      </c>
      <c r="E973" t="s">
        <v>45</v>
      </c>
      <c r="F973" t="s">
        <v>34</v>
      </c>
      <c r="G973" t="s">
        <v>50</v>
      </c>
      <c r="H973" t="s">
        <v>21</v>
      </c>
      <c r="I973" t="s">
        <v>60</v>
      </c>
      <c r="J973">
        <v>1</v>
      </c>
      <c r="K973">
        <v>5038000</v>
      </c>
      <c r="L973">
        <v>0.125</v>
      </c>
      <c r="M973" t="s">
        <v>23</v>
      </c>
      <c r="N973">
        <v>4408000</v>
      </c>
      <c r="O973">
        <v>3.4</v>
      </c>
      <c r="P973" t="b">
        <v>1</v>
      </c>
    </row>
    <row r="974" spans="1:16" x14ac:dyDescent="0.2">
      <c r="A974" t="s">
        <v>1389</v>
      </c>
      <c r="B974" s="1">
        <v>45371</v>
      </c>
      <c r="C974" s="1">
        <v>45438</v>
      </c>
      <c r="D974" t="s">
        <v>1390</v>
      </c>
      <c r="E974" t="s">
        <v>33</v>
      </c>
      <c r="F974" t="s">
        <v>34</v>
      </c>
      <c r="G974" t="s">
        <v>50</v>
      </c>
      <c r="H974" t="s">
        <v>21</v>
      </c>
      <c r="I974" t="s">
        <v>94</v>
      </c>
      <c r="J974">
        <v>1</v>
      </c>
      <c r="K974">
        <v>4410000</v>
      </c>
      <c r="L974">
        <v>0.17699999999999999</v>
      </c>
      <c r="M974" t="s">
        <v>23</v>
      </c>
      <c r="N974">
        <v>3629000</v>
      </c>
      <c r="O974">
        <v>4.5</v>
      </c>
      <c r="P974" t="b">
        <v>0</v>
      </c>
    </row>
    <row r="975" spans="1:16" x14ac:dyDescent="0.2">
      <c r="A975" t="s">
        <v>1391</v>
      </c>
      <c r="B975" s="1">
        <v>45320</v>
      </c>
      <c r="C975" s="1">
        <v>45360</v>
      </c>
      <c r="D975" t="s">
        <v>802</v>
      </c>
      <c r="E975" t="s">
        <v>33</v>
      </c>
      <c r="F975" t="s">
        <v>34</v>
      </c>
      <c r="G975" t="s">
        <v>35</v>
      </c>
      <c r="H975" t="s">
        <v>47</v>
      </c>
      <c r="I975" t="s">
        <v>99</v>
      </c>
      <c r="J975">
        <v>1</v>
      </c>
      <c r="K975">
        <v>3858000</v>
      </c>
      <c r="L975">
        <v>0.75</v>
      </c>
      <c r="M975" t="s">
        <v>23</v>
      </c>
      <c r="N975">
        <v>3576000</v>
      </c>
      <c r="O975">
        <v>3.7</v>
      </c>
      <c r="P975" t="b">
        <v>0</v>
      </c>
    </row>
    <row r="976" spans="1:16" x14ac:dyDescent="0.2">
      <c r="A976" t="s">
        <v>1392</v>
      </c>
      <c r="B976" s="1">
        <v>45297</v>
      </c>
      <c r="C976" s="1">
        <v>45355</v>
      </c>
      <c r="D976" t="s">
        <v>791</v>
      </c>
      <c r="E976" t="s">
        <v>45</v>
      </c>
      <c r="F976" t="s">
        <v>45</v>
      </c>
      <c r="G976" t="s">
        <v>35</v>
      </c>
      <c r="H976" t="s">
        <v>47</v>
      </c>
      <c r="I976" t="s">
        <v>26</v>
      </c>
      <c r="J976">
        <v>4</v>
      </c>
      <c r="K976">
        <v>4469000</v>
      </c>
      <c r="L976">
        <v>0.11899999999999999</v>
      </c>
      <c r="M976" t="s">
        <v>65</v>
      </c>
      <c r="N976">
        <v>0</v>
      </c>
      <c r="P976" t="b">
        <v>0</v>
      </c>
    </row>
    <row r="977" spans="1:16" x14ac:dyDescent="0.2">
      <c r="A977" t="s">
        <v>1393</v>
      </c>
      <c r="B977" s="1">
        <v>45591</v>
      </c>
      <c r="C977" s="1">
        <v>45635</v>
      </c>
      <c r="D977" t="s">
        <v>1394</v>
      </c>
      <c r="E977" t="s">
        <v>45</v>
      </c>
      <c r="F977" t="s">
        <v>39</v>
      </c>
      <c r="G977" t="s">
        <v>20</v>
      </c>
      <c r="H977" t="s">
        <v>21</v>
      </c>
      <c r="I977" t="s">
        <v>83</v>
      </c>
      <c r="J977">
        <v>2</v>
      </c>
      <c r="K977">
        <v>1314000</v>
      </c>
      <c r="L977">
        <v>5.8000000000000003E-2</v>
      </c>
      <c r="M977" t="s">
        <v>23</v>
      </c>
      <c r="N977">
        <v>2476000</v>
      </c>
      <c r="O977">
        <v>4</v>
      </c>
      <c r="P977" t="b">
        <v>1</v>
      </c>
    </row>
    <row r="978" spans="1:16" x14ac:dyDescent="0.2">
      <c r="A978" t="s">
        <v>1395</v>
      </c>
      <c r="B978" s="1">
        <v>45347</v>
      </c>
      <c r="C978" s="1">
        <v>45407</v>
      </c>
      <c r="D978" t="s">
        <v>227</v>
      </c>
      <c r="E978" t="s">
        <v>45</v>
      </c>
      <c r="F978" t="s">
        <v>34</v>
      </c>
      <c r="G978" t="s">
        <v>35</v>
      </c>
      <c r="H978" t="s">
        <v>51</v>
      </c>
      <c r="I978" t="s">
        <v>77</v>
      </c>
      <c r="J978">
        <v>1</v>
      </c>
      <c r="K978">
        <v>5715000</v>
      </c>
      <c r="L978">
        <v>4.1000000000000002E-2</v>
      </c>
      <c r="M978" t="s">
        <v>23</v>
      </c>
      <c r="N978">
        <v>5481000</v>
      </c>
      <c r="O978">
        <v>5</v>
      </c>
      <c r="P978" t="b">
        <v>0</v>
      </c>
    </row>
    <row r="979" spans="1:16" x14ac:dyDescent="0.2">
      <c r="A979" t="s">
        <v>1396</v>
      </c>
      <c r="B979" s="1">
        <v>45889</v>
      </c>
      <c r="C979" s="1">
        <v>45964</v>
      </c>
      <c r="D979" t="s">
        <v>399</v>
      </c>
      <c r="E979" t="s">
        <v>18</v>
      </c>
      <c r="F979" t="s">
        <v>19</v>
      </c>
      <c r="G979" t="s">
        <v>20</v>
      </c>
      <c r="H979" t="s">
        <v>21</v>
      </c>
      <c r="I979" t="s">
        <v>77</v>
      </c>
      <c r="J979">
        <v>1</v>
      </c>
      <c r="K979">
        <v>2038000</v>
      </c>
      <c r="L979">
        <v>0.13</v>
      </c>
      <c r="M979" t="s">
        <v>23</v>
      </c>
      <c r="N979">
        <v>1773000</v>
      </c>
      <c r="O979">
        <v>4.3</v>
      </c>
      <c r="P979" t="b">
        <v>1</v>
      </c>
    </row>
    <row r="980" spans="1:16" x14ac:dyDescent="0.2">
      <c r="A980" t="s">
        <v>1397</v>
      </c>
      <c r="B980" s="1">
        <v>45444</v>
      </c>
      <c r="C980" s="1">
        <v>45483</v>
      </c>
      <c r="D980" t="s">
        <v>949</v>
      </c>
      <c r="E980" t="s">
        <v>45</v>
      </c>
      <c r="F980" t="s">
        <v>34</v>
      </c>
      <c r="G980" t="s">
        <v>50</v>
      </c>
      <c r="H980" t="s">
        <v>47</v>
      </c>
      <c r="I980" t="s">
        <v>83</v>
      </c>
      <c r="J980">
        <v>2</v>
      </c>
      <c r="K980">
        <v>3916000</v>
      </c>
      <c r="L980">
        <v>6.0999999999999999E-2</v>
      </c>
      <c r="M980" t="s">
        <v>23</v>
      </c>
      <c r="N980">
        <v>7354000</v>
      </c>
      <c r="O980">
        <v>5</v>
      </c>
      <c r="P980" t="b">
        <v>0</v>
      </c>
    </row>
    <row r="981" spans="1:16" x14ac:dyDescent="0.2">
      <c r="A981" t="s">
        <v>1398</v>
      </c>
      <c r="B981" s="1">
        <v>45698</v>
      </c>
      <c r="C981" s="1">
        <v>45748</v>
      </c>
      <c r="D981" t="s">
        <v>485</v>
      </c>
      <c r="E981" t="s">
        <v>45</v>
      </c>
      <c r="F981" t="s">
        <v>34</v>
      </c>
      <c r="G981" t="s">
        <v>20</v>
      </c>
      <c r="H981" t="s">
        <v>21</v>
      </c>
      <c r="I981" t="s">
        <v>22</v>
      </c>
      <c r="J981">
        <v>3</v>
      </c>
      <c r="K981">
        <v>4639000</v>
      </c>
      <c r="L981">
        <v>0.153</v>
      </c>
      <c r="M981" t="s">
        <v>23</v>
      </c>
      <c r="N981">
        <v>11788000</v>
      </c>
      <c r="O981">
        <v>4.5</v>
      </c>
      <c r="P981" t="b">
        <v>1</v>
      </c>
    </row>
    <row r="982" spans="1:16" x14ac:dyDescent="0.2">
      <c r="A982" t="s">
        <v>1399</v>
      </c>
      <c r="B982" s="1">
        <v>45711</v>
      </c>
      <c r="C982" s="1">
        <v>45724</v>
      </c>
      <c r="D982" t="s">
        <v>443</v>
      </c>
      <c r="E982" t="s">
        <v>33</v>
      </c>
      <c r="F982" t="s">
        <v>25</v>
      </c>
      <c r="G982" t="s">
        <v>50</v>
      </c>
      <c r="H982" t="s">
        <v>21</v>
      </c>
      <c r="I982" t="s">
        <v>26</v>
      </c>
      <c r="J982">
        <v>1</v>
      </c>
      <c r="K982">
        <v>6395000</v>
      </c>
      <c r="L982">
        <v>4.9000000000000002E-2</v>
      </c>
      <c r="M982" t="s">
        <v>23</v>
      </c>
      <c r="N982">
        <v>6082000</v>
      </c>
      <c r="O982">
        <v>4.9000000000000004</v>
      </c>
      <c r="P982" t="b">
        <v>1</v>
      </c>
    </row>
    <row r="983" spans="1:16" x14ac:dyDescent="0.2">
      <c r="A983" t="s">
        <v>1400</v>
      </c>
      <c r="B983" s="1">
        <v>45600</v>
      </c>
      <c r="C983" s="1">
        <v>45669</v>
      </c>
      <c r="D983" t="s">
        <v>417</v>
      </c>
      <c r="E983" t="s">
        <v>45</v>
      </c>
      <c r="F983" t="s">
        <v>45</v>
      </c>
      <c r="G983" t="s">
        <v>20</v>
      </c>
      <c r="H983" t="s">
        <v>21</v>
      </c>
      <c r="I983" t="s">
        <v>26</v>
      </c>
      <c r="J983">
        <v>2</v>
      </c>
      <c r="K983">
        <v>3083000</v>
      </c>
      <c r="L983">
        <v>0.121</v>
      </c>
      <c r="M983" t="s">
        <v>23</v>
      </c>
      <c r="N983">
        <v>5420000</v>
      </c>
      <c r="O983">
        <v>4.0999999999999996</v>
      </c>
      <c r="P983" t="b">
        <v>1</v>
      </c>
    </row>
    <row r="984" spans="1:16" x14ac:dyDescent="0.2">
      <c r="A984" t="s">
        <v>1400</v>
      </c>
      <c r="B984" s="1">
        <v>45600</v>
      </c>
      <c r="C984" s="1">
        <v>45669</v>
      </c>
      <c r="D984" t="s">
        <v>417</v>
      </c>
      <c r="E984" t="s">
        <v>45</v>
      </c>
      <c r="F984" t="s">
        <v>45</v>
      </c>
      <c r="G984" t="s">
        <v>20</v>
      </c>
      <c r="H984" t="s">
        <v>21</v>
      </c>
      <c r="I984" t="s">
        <v>26</v>
      </c>
      <c r="J984">
        <v>2</v>
      </c>
      <c r="K984">
        <v>3083000</v>
      </c>
      <c r="L984">
        <v>0.121</v>
      </c>
      <c r="M984" t="s">
        <v>23</v>
      </c>
      <c r="N984">
        <v>5420000</v>
      </c>
      <c r="O984">
        <v>4.0999999999999996</v>
      </c>
      <c r="P984" t="b">
        <v>1</v>
      </c>
    </row>
    <row r="985" spans="1:16" x14ac:dyDescent="0.2">
      <c r="A985" t="s">
        <v>1401</v>
      </c>
      <c r="B985" s="1">
        <v>45842</v>
      </c>
      <c r="C985" s="1">
        <v>45891</v>
      </c>
      <c r="D985" t="s">
        <v>1200</v>
      </c>
      <c r="E985" t="s">
        <v>18</v>
      </c>
      <c r="F985" t="s">
        <v>45</v>
      </c>
      <c r="G985" t="s">
        <v>35</v>
      </c>
      <c r="H985" t="s">
        <v>21</v>
      </c>
      <c r="I985" t="s">
        <v>52</v>
      </c>
      <c r="J985">
        <v>2</v>
      </c>
      <c r="K985">
        <v>3142000</v>
      </c>
      <c r="L985">
        <v>0.115</v>
      </c>
      <c r="M985" t="s">
        <v>23</v>
      </c>
      <c r="N985">
        <v>5561000</v>
      </c>
      <c r="O985">
        <v>4.4000000000000004</v>
      </c>
      <c r="P985" t="b">
        <v>1</v>
      </c>
    </row>
    <row r="986" spans="1:16" x14ac:dyDescent="0.2">
      <c r="A986" t="s">
        <v>1402</v>
      </c>
      <c r="B986" s="1">
        <v>45360</v>
      </c>
      <c r="C986" s="1">
        <v>45407</v>
      </c>
      <c r="D986" t="s">
        <v>1403</v>
      </c>
      <c r="E986" t="s">
        <v>33</v>
      </c>
      <c r="F986" t="s">
        <v>19</v>
      </c>
      <c r="G986" t="s">
        <v>35</v>
      </c>
      <c r="H986" t="s">
        <v>21</v>
      </c>
      <c r="I986" t="s">
        <v>94</v>
      </c>
      <c r="J986">
        <v>1</v>
      </c>
      <c r="K986">
        <v>2534000</v>
      </c>
      <c r="L986">
        <v>0.245</v>
      </c>
      <c r="M986" t="s">
        <v>23</v>
      </c>
      <c r="N986">
        <v>1913000</v>
      </c>
      <c r="O986">
        <v>4.8</v>
      </c>
      <c r="P986" t="b">
        <v>0</v>
      </c>
    </row>
    <row r="987" spans="1:16" x14ac:dyDescent="0.2">
      <c r="A987" t="s">
        <v>1404</v>
      </c>
      <c r="B987" s="1">
        <v>45437</v>
      </c>
      <c r="C987" s="1">
        <v>45490</v>
      </c>
      <c r="D987" t="s">
        <v>1173</v>
      </c>
      <c r="E987" t="s">
        <v>18</v>
      </c>
      <c r="F987" t="s">
        <v>25</v>
      </c>
      <c r="G987" t="s">
        <v>20</v>
      </c>
      <c r="H987" t="s">
        <v>21</v>
      </c>
      <c r="I987" t="s">
        <v>60</v>
      </c>
      <c r="J987">
        <v>2</v>
      </c>
      <c r="K987">
        <v>4507000</v>
      </c>
      <c r="L987">
        <v>0.111</v>
      </c>
      <c r="M987" t="s">
        <v>23</v>
      </c>
      <c r="N987">
        <v>8013000</v>
      </c>
      <c r="O987">
        <v>4.7</v>
      </c>
      <c r="P987" t="b">
        <v>0</v>
      </c>
    </row>
    <row r="988" spans="1:16" x14ac:dyDescent="0.2">
      <c r="A988" t="s">
        <v>1405</v>
      </c>
      <c r="B988" s="1">
        <v>45449</v>
      </c>
      <c r="C988" s="1">
        <v>45476</v>
      </c>
      <c r="D988" t="s">
        <v>821</v>
      </c>
      <c r="E988" t="s">
        <v>45</v>
      </c>
      <c r="F988" t="s">
        <v>34</v>
      </c>
      <c r="G988" t="s">
        <v>20</v>
      </c>
      <c r="H988" t="s">
        <v>40</v>
      </c>
      <c r="I988" t="s">
        <v>99</v>
      </c>
      <c r="J988">
        <v>4</v>
      </c>
      <c r="K988">
        <v>4216000</v>
      </c>
      <c r="L988">
        <v>1.2999999999999999E-2</v>
      </c>
      <c r="M988" t="s">
        <v>65</v>
      </c>
      <c r="N988">
        <v>0</v>
      </c>
      <c r="P988" t="b">
        <v>1</v>
      </c>
    </row>
    <row r="989" spans="1:16" x14ac:dyDescent="0.2">
      <c r="A989" t="s">
        <v>1406</v>
      </c>
      <c r="B989" s="1">
        <v>45376</v>
      </c>
      <c r="C989" s="1">
        <v>45434</v>
      </c>
      <c r="D989" t="s">
        <v>93</v>
      </c>
      <c r="E989" t="s">
        <v>18</v>
      </c>
      <c r="F989" t="s">
        <v>34</v>
      </c>
      <c r="G989" t="s">
        <v>50</v>
      </c>
      <c r="H989" t="s">
        <v>21</v>
      </c>
      <c r="I989" t="s">
        <v>26</v>
      </c>
      <c r="J989">
        <v>4</v>
      </c>
      <c r="K989">
        <v>4257000</v>
      </c>
      <c r="L989">
        <v>0.14699999999999999</v>
      </c>
      <c r="M989" t="s">
        <v>23</v>
      </c>
      <c r="N989">
        <v>14525000</v>
      </c>
      <c r="O989">
        <v>4</v>
      </c>
      <c r="P989" t="b">
        <v>1</v>
      </c>
    </row>
    <row r="990" spans="1:16" x14ac:dyDescent="0.2">
      <c r="A990" t="s">
        <v>1407</v>
      </c>
      <c r="B990" s="1">
        <v>45475</v>
      </c>
      <c r="C990" s="1">
        <v>45545</v>
      </c>
      <c r="D990" t="s">
        <v>202</v>
      </c>
      <c r="E990" t="s">
        <v>33</v>
      </c>
      <c r="F990" t="s">
        <v>68</v>
      </c>
      <c r="G990" t="s">
        <v>35</v>
      </c>
      <c r="H990" t="s">
        <v>21</v>
      </c>
      <c r="I990" t="s">
        <v>52</v>
      </c>
      <c r="J990">
        <v>2</v>
      </c>
      <c r="K990">
        <v>3141000</v>
      </c>
      <c r="L990">
        <v>9.0999999999999998E-2</v>
      </c>
      <c r="M990" t="s">
        <v>23</v>
      </c>
      <c r="N990">
        <v>5710000</v>
      </c>
      <c r="O990">
        <v>4.0999999999999996</v>
      </c>
      <c r="P990" t="b">
        <v>0</v>
      </c>
    </row>
    <row r="991" spans="1:16" x14ac:dyDescent="0.2">
      <c r="A991" t="s">
        <v>1408</v>
      </c>
      <c r="B991" s="1">
        <v>45486</v>
      </c>
      <c r="C991" s="1">
        <v>45524</v>
      </c>
      <c r="D991" t="s">
        <v>636</v>
      </c>
      <c r="E991" t="s">
        <v>18</v>
      </c>
      <c r="F991" t="s">
        <v>45</v>
      </c>
      <c r="G991" t="s">
        <v>20</v>
      </c>
      <c r="H991" t="s">
        <v>51</v>
      </c>
      <c r="I991" t="s">
        <v>26</v>
      </c>
      <c r="J991">
        <v>2</v>
      </c>
      <c r="K991">
        <v>3841000</v>
      </c>
      <c r="L991">
        <v>7.0999999999999994E-2</v>
      </c>
      <c r="M991" t="s">
        <v>23</v>
      </c>
      <c r="N991">
        <v>7137000</v>
      </c>
      <c r="O991">
        <v>4.8</v>
      </c>
      <c r="P991" t="b">
        <v>0</v>
      </c>
    </row>
    <row r="992" spans="1:16" x14ac:dyDescent="0.2">
      <c r="A992" t="s">
        <v>1409</v>
      </c>
      <c r="B992" s="1">
        <v>45768</v>
      </c>
      <c r="C992" s="1">
        <v>45788</v>
      </c>
      <c r="D992" t="s">
        <v>1107</v>
      </c>
      <c r="E992" t="s">
        <v>29</v>
      </c>
      <c r="F992" t="s">
        <v>68</v>
      </c>
      <c r="G992" t="s">
        <v>20</v>
      </c>
      <c r="H992" t="s">
        <v>40</v>
      </c>
      <c r="I992" t="s">
        <v>30</v>
      </c>
      <c r="J992">
        <v>4</v>
      </c>
      <c r="K992">
        <v>2717000</v>
      </c>
      <c r="L992">
        <v>7.3999999999999996E-2</v>
      </c>
      <c r="M992" t="s">
        <v>23</v>
      </c>
      <c r="N992">
        <v>10064000</v>
      </c>
      <c r="O992">
        <v>4.9000000000000004</v>
      </c>
      <c r="P992" t="b">
        <v>1</v>
      </c>
    </row>
    <row r="993" spans="1:16" x14ac:dyDescent="0.2">
      <c r="A993" t="s">
        <v>1410</v>
      </c>
      <c r="B993" s="1">
        <v>45479</v>
      </c>
      <c r="C993" s="1">
        <v>45520</v>
      </c>
      <c r="D993" t="s">
        <v>534</v>
      </c>
      <c r="E993" t="s">
        <v>29</v>
      </c>
      <c r="F993" t="s">
        <v>123</v>
      </c>
      <c r="G993" t="s">
        <v>20</v>
      </c>
      <c r="H993" t="s">
        <v>51</v>
      </c>
      <c r="I993" t="s">
        <v>60</v>
      </c>
      <c r="J993">
        <v>1</v>
      </c>
      <c r="K993">
        <v>1802000</v>
      </c>
      <c r="L993">
        <v>0</v>
      </c>
      <c r="M993" t="s">
        <v>65</v>
      </c>
      <c r="N993">
        <v>0</v>
      </c>
      <c r="P993" t="b">
        <v>1</v>
      </c>
    </row>
    <row r="994" spans="1:16" x14ac:dyDescent="0.2">
      <c r="A994" t="s">
        <v>1411</v>
      </c>
      <c r="B994" s="1">
        <v>45838</v>
      </c>
      <c r="C994" s="1">
        <v>45864</v>
      </c>
      <c r="D994" t="s">
        <v>468</v>
      </c>
      <c r="E994" t="s">
        <v>29</v>
      </c>
      <c r="F994" t="s">
        <v>45</v>
      </c>
      <c r="G994" t="s">
        <v>35</v>
      </c>
      <c r="H994" t="s">
        <v>21</v>
      </c>
      <c r="I994" t="s">
        <v>22</v>
      </c>
      <c r="J994">
        <v>3</v>
      </c>
      <c r="K994">
        <v>3108000</v>
      </c>
      <c r="L994">
        <v>4.5999999999999999E-2</v>
      </c>
      <c r="M994" t="s">
        <v>23</v>
      </c>
      <c r="N994">
        <v>8895000</v>
      </c>
      <c r="O994">
        <v>3.8</v>
      </c>
      <c r="P994" t="b">
        <v>1</v>
      </c>
    </row>
    <row r="995" spans="1:16" x14ac:dyDescent="0.2">
      <c r="A995" t="s">
        <v>1412</v>
      </c>
      <c r="B995" s="1">
        <v>45773</v>
      </c>
      <c r="C995" s="1">
        <v>45813</v>
      </c>
      <c r="D995" t="s">
        <v>209</v>
      </c>
      <c r="E995" t="s">
        <v>45</v>
      </c>
      <c r="F995" t="s">
        <v>68</v>
      </c>
      <c r="G995" t="s">
        <v>35</v>
      </c>
      <c r="H995" t="s">
        <v>21</v>
      </c>
      <c r="I995" t="s">
        <v>57</v>
      </c>
      <c r="J995">
        <v>2</v>
      </c>
      <c r="K995">
        <v>2334000</v>
      </c>
      <c r="L995">
        <v>8.8999999999999996E-2</v>
      </c>
      <c r="M995" t="s">
        <v>23</v>
      </c>
      <c r="N995">
        <v>4253000</v>
      </c>
      <c r="O995">
        <v>3.7</v>
      </c>
      <c r="P995" t="b">
        <v>1</v>
      </c>
    </row>
    <row r="996" spans="1:16" x14ac:dyDescent="0.2">
      <c r="A996" t="s">
        <v>1413</v>
      </c>
      <c r="B996" s="1">
        <v>45853</v>
      </c>
      <c r="C996" s="1">
        <v>45913</v>
      </c>
      <c r="D996" t="s">
        <v>894</v>
      </c>
      <c r="E996" t="s">
        <v>33</v>
      </c>
      <c r="F996" t="s">
        <v>19</v>
      </c>
      <c r="G996" t="s">
        <v>20</v>
      </c>
      <c r="H996" t="s">
        <v>40</v>
      </c>
      <c r="I996" t="s">
        <v>60</v>
      </c>
      <c r="J996">
        <v>1</v>
      </c>
      <c r="K996">
        <v>3942000</v>
      </c>
      <c r="L996">
        <v>0.13700000000000001</v>
      </c>
      <c r="M996" t="s">
        <v>23</v>
      </c>
      <c r="N996">
        <v>3402000</v>
      </c>
      <c r="O996">
        <v>4.5999999999999996</v>
      </c>
      <c r="P996" t="b">
        <v>1</v>
      </c>
    </row>
    <row r="997" spans="1:16" x14ac:dyDescent="0.2">
      <c r="A997" t="s">
        <v>1414</v>
      </c>
      <c r="B997" s="1">
        <v>45357</v>
      </c>
      <c r="C997" s="1">
        <v>45376</v>
      </c>
      <c r="D997" t="s">
        <v>500</v>
      </c>
      <c r="E997" t="s">
        <v>45</v>
      </c>
      <c r="F997" t="s">
        <v>34</v>
      </c>
      <c r="G997" t="s">
        <v>35</v>
      </c>
      <c r="H997" t="s">
        <v>40</v>
      </c>
      <c r="I997" t="s">
        <v>57</v>
      </c>
      <c r="J997">
        <v>3</v>
      </c>
      <c r="K997">
        <v>5527000</v>
      </c>
      <c r="L997">
        <v>0.14399999999999999</v>
      </c>
      <c r="M997" t="s">
        <v>23</v>
      </c>
      <c r="N997">
        <v>14193000</v>
      </c>
      <c r="O997">
        <v>3.7</v>
      </c>
      <c r="P997" t="b">
        <v>1</v>
      </c>
    </row>
    <row r="998" spans="1:16" x14ac:dyDescent="0.2">
      <c r="A998" t="s">
        <v>1415</v>
      </c>
      <c r="B998" s="1">
        <v>45905</v>
      </c>
      <c r="C998" s="1">
        <v>45975</v>
      </c>
      <c r="D998" t="s">
        <v>218</v>
      </c>
      <c r="E998" t="s">
        <v>33</v>
      </c>
      <c r="F998" t="s">
        <v>34</v>
      </c>
      <c r="G998" t="s">
        <v>50</v>
      </c>
      <c r="H998" t="s">
        <v>21</v>
      </c>
      <c r="I998" t="s">
        <v>52</v>
      </c>
      <c r="J998">
        <v>4</v>
      </c>
      <c r="K998">
        <v>3796000</v>
      </c>
      <c r="L998">
        <v>0.13300000000000001</v>
      </c>
      <c r="M998" t="s">
        <v>23</v>
      </c>
      <c r="N998">
        <v>13165000</v>
      </c>
      <c r="O998">
        <v>4.5999999999999996</v>
      </c>
      <c r="P998" t="b">
        <v>1</v>
      </c>
    </row>
    <row r="999" spans="1:16" x14ac:dyDescent="0.2">
      <c r="A999" t="s">
        <v>1416</v>
      </c>
      <c r="B999" s="1">
        <v>45674</v>
      </c>
      <c r="C999" s="1">
        <v>45702</v>
      </c>
      <c r="D999" t="s">
        <v>429</v>
      </c>
      <c r="E999" t="s">
        <v>18</v>
      </c>
      <c r="F999" t="s">
        <v>34</v>
      </c>
      <c r="G999" t="s">
        <v>50</v>
      </c>
      <c r="H999" t="s">
        <v>47</v>
      </c>
      <c r="I999" t="s">
        <v>99</v>
      </c>
      <c r="J999">
        <v>2</v>
      </c>
      <c r="K999">
        <v>3639000</v>
      </c>
      <c r="L999">
        <v>0.14399999999999999</v>
      </c>
      <c r="M999" t="s">
        <v>23</v>
      </c>
      <c r="N999">
        <v>6230000</v>
      </c>
      <c r="O999">
        <v>4.5</v>
      </c>
      <c r="P999" t="b">
        <v>1</v>
      </c>
    </row>
    <row r="1000" spans="1:16" x14ac:dyDescent="0.2">
      <c r="A1000" t="s">
        <v>1417</v>
      </c>
      <c r="B1000" s="1">
        <v>45904</v>
      </c>
      <c r="C1000" s="1">
        <v>45986</v>
      </c>
      <c r="D1000" t="s">
        <v>1038</v>
      </c>
      <c r="E1000" t="s">
        <v>29</v>
      </c>
      <c r="F1000" t="s">
        <v>34</v>
      </c>
      <c r="G1000" t="s">
        <v>20</v>
      </c>
      <c r="H1000" t="s">
        <v>40</v>
      </c>
      <c r="I1000" t="s">
        <v>22</v>
      </c>
      <c r="J1000">
        <v>2</v>
      </c>
      <c r="K1000">
        <v>3988000</v>
      </c>
      <c r="L1000">
        <v>0.152</v>
      </c>
      <c r="M1000" t="s">
        <v>23</v>
      </c>
      <c r="N1000">
        <v>6764000</v>
      </c>
      <c r="O1000">
        <v>3.9</v>
      </c>
      <c r="P1000" t="b">
        <v>1</v>
      </c>
    </row>
    <row r="1001" spans="1:16" x14ac:dyDescent="0.2">
      <c r="A1001" t="s">
        <v>1418</v>
      </c>
      <c r="B1001" s="1">
        <v>45513</v>
      </c>
      <c r="C1001" s="1">
        <v>45582</v>
      </c>
      <c r="D1001" t="s">
        <v>118</v>
      </c>
      <c r="E1001" t="s">
        <v>45</v>
      </c>
      <c r="F1001" t="s">
        <v>19</v>
      </c>
      <c r="G1001" t="s">
        <v>20</v>
      </c>
      <c r="H1001" t="s">
        <v>47</v>
      </c>
      <c r="I1001" t="s">
        <v>83</v>
      </c>
      <c r="J1001">
        <v>1</v>
      </c>
      <c r="K1001">
        <v>3255000</v>
      </c>
      <c r="L1001">
        <v>0.104</v>
      </c>
      <c r="M1001" t="s">
        <v>23</v>
      </c>
      <c r="N1001">
        <v>2916000</v>
      </c>
      <c r="O1001">
        <v>5</v>
      </c>
      <c r="P1001" t="b">
        <v>0</v>
      </c>
    </row>
    <row r="1002" spans="1:16" x14ac:dyDescent="0.2">
      <c r="A1002" t="s">
        <v>1419</v>
      </c>
      <c r="B1002" s="1">
        <v>45885</v>
      </c>
      <c r="C1002" s="1">
        <v>45917</v>
      </c>
      <c r="D1002" t="s">
        <v>493</v>
      </c>
      <c r="E1002" t="s">
        <v>29</v>
      </c>
      <c r="F1002" t="s">
        <v>45</v>
      </c>
      <c r="G1002" t="s">
        <v>20</v>
      </c>
      <c r="H1002" t="s">
        <v>21</v>
      </c>
      <c r="I1002" t="s">
        <v>83</v>
      </c>
      <c r="J1002">
        <v>2</v>
      </c>
      <c r="K1002">
        <v>3278000</v>
      </c>
      <c r="L1002">
        <v>0.125</v>
      </c>
      <c r="M1002" t="s">
        <v>23</v>
      </c>
      <c r="N1002">
        <v>5736000</v>
      </c>
      <c r="O1002">
        <v>3.5</v>
      </c>
      <c r="P1002" t="b">
        <v>1</v>
      </c>
    </row>
    <row r="1003" spans="1:16" x14ac:dyDescent="0.2">
      <c r="A1003" t="s">
        <v>1420</v>
      </c>
      <c r="B1003" s="1">
        <v>45658</v>
      </c>
      <c r="C1003" s="1">
        <v>45713</v>
      </c>
      <c r="D1003" t="s">
        <v>399</v>
      </c>
      <c r="E1003" t="s">
        <v>18</v>
      </c>
      <c r="F1003" t="s">
        <v>39</v>
      </c>
      <c r="G1003" t="s">
        <v>20</v>
      </c>
      <c r="H1003" t="s">
        <v>40</v>
      </c>
      <c r="I1003" t="s">
        <v>52</v>
      </c>
      <c r="J1003">
        <v>2</v>
      </c>
      <c r="K1003">
        <v>2300000</v>
      </c>
      <c r="L1003">
        <v>0.22500000000000001</v>
      </c>
      <c r="M1003" t="s">
        <v>23</v>
      </c>
      <c r="N1003">
        <v>3565000</v>
      </c>
      <c r="O1003">
        <v>5</v>
      </c>
      <c r="P1003" t="b">
        <v>1</v>
      </c>
    </row>
    <row r="1004" spans="1:16" x14ac:dyDescent="0.2">
      <c r="A1004" t="s">
        <v>1421</v>
      </c>
      <c r="B1004" s="1">
        <v>45336</v>
      </c>
      <c r="C1004" s="1">
        <v>45354</v>
      </c>
      <c r="D1004" t="s">
        <v>165</v>
      </c>
      <c r="E1004" t="s">
        <v>18</v>
      </c>
      <c r="F1004" t="s">
        <v>25</v>
      </c>
      <c r="G1004" t="s">
        <v>20</v>
      </c>
      <c r="H1004" t="s">
        <v>21</v>
      </c>
      <c r="I1004" t="s">
        <v>83</v>
      </c>
      <c r="J1004">
        <v>2</v>
      </c>
      <c r="K1004">
        <v>5593000</v>
      </c>
      <c r="L1004">
        <v>0.129</v>
      </c>
      <c r="M1004" t="s">
        <v>23</v>
      </c>
      <c r="N1004">
        <v>9743000</v>
      </c>
      <c r="O1004">
        <v>4.4000000000000004</v>
      </c>
      <c r="P1004" t="b">
        <v>1</v>
      </c>
    </row>
    <row r="1005" spans="1:16" x14ac:dyDescent="0.2">
      <c r="A1005" t="s">
        <v>1422</v>
      </c>
      <c r="B1005" s="1">
        <v>45547</v>
      </c>
      <c r="C1005" s="1">
        <v>45565</v>
      </c>
      <c r="D1005" t="s">
        <v>452</v>
      </c>
      <c r="E1005" t="s">
        <v>33</v>
      </c>
      <c r="F1005" t="s">
        <v>34</v>
      </c>
      <c r="G1005" t="s">
        <v>20</v>
      </c>
      <c r="H1005" t="s">
        <v>51</v>
      </c>
      <c r="I1005" t="s">
        <v>52</v>
      </c>
      <c r="J1005">
        <v>3</v>
      </c>
      <c r="K1005">
        <v>3622000</v>
      </c>
      <c r="L1005">
        <v>0.123</v>
      </c>
      <c r="M1005" t="s">
        <v>65</v>
      </c>
      <c r="N1005">
        <v>0</v>
      </c>
      <c r="P1005" t="b">
        <v>1</v>
      </c>
    </row>
    <row r="1006" spans="1:16" x14ac:dyDescent="0.2">
      <c r="A1006" t="s">
        <v>1423</v>
      </c>
      <c r="B1006" s="1">
        <v>45377</v>
      </c>
      <c r="C1006" s="1">
        <v>45464</v>
      </c>
      <c r="D1006" t="s">
        <v>1378</v>
      </c>
      <c r="E1006" t="s">
        <v>45</v>
      </c>
      <c r="F1006" t="s">
        <v>45</v>
      </c>
      <c r="G1006" t="s">
        <v>20</v>
      </c>
      <c r="H1006" t="s">
        <v>21</v>
      </c>
      <c r="J1006">
        <v>2</v>
      </c>
      <c r="K1006">
        <v>2740000</v>
      </c>
      <c r="L1006">
        <v>6.4000000000000001E-2</v>
      </c>
      <c r="M1006" t="s">
        <v>23</v>
      </c>
      <c r="N1006">
        <v>5129000</v>
      </c>
      <c r="O1006">
        <v>5</v>
      </c>
      <c r="P1006" t="b">
        <v>0</v>
      </c>
    </row>
    <row r="1007" spans="1:16" x14ac:dyDescent="0.2">
      <c r="A1007" t="s">
        <v>1424</v>
      </c>
      <c r="B1007" s="1">
        <v>45878</v>
      </c>
      <c r="C1007" s="1">
        <v>45952</v>
      </c>
      <c r="D1007" t="s">
        <v>179</v>
      </c>
      <c r="E1007" t="s">
        <v>45</v>
      </c>
      <c r="F1007" t="s">
        <v>19</v>
      </c>
      <c r="G1007" t="s">
        <v>35</v>
      </c>
      <c r="H1007" t="s">
        <v>21</v>
      </c>
      <c r="I1007" t="s">
        <v>77</v>
      </c>
      <c r="J1007">
        <v>1</v>
      </c>
      <c r="K1007">
        <v>2147000</v>
      </c>
      <c r="L1007">
        <v>0.107</v>
      </c>
      <c r="M1007" t="s">
        <v>23</v>
      </c>
      <c r="N1007">
        <v>1917000</v>
      </c>
      <c r="O1007">
        <v>4.7</v>
      </c>
      <c r="P1007" t="b">
        <v>1</v>
      </c>
    </row>
    <row r="1008" spans="1:16" x14ac:dyDescent="0.2">
      <c r="A1008" t="s">
        <v>1425</v>
      </c>
      <c r="B1008" s="1">
        <v>45481</v>
      </c>
      <c r="C1008" s="1">
        <v>45503</v>
      </c>
      <c r="D1008" t="s">
        <v>487</v>
      </c>
      <c r="E1008" t="s">
        <v>45</v>
      </c>
      <c r="F1008" t="s">
        <v>123</v>
      </c>
      <c r="G1008" t="s">
        <v>20</v>
      </c>
      <c r="H1008" t="s">
        <v>21</v>
      </c>
      <c r="I1008" t="s">
        <v>57</v>
      </c>
      <c r="J1008">
        <v>1</v>
      </c>
      <c r="K1008">
        <v>4029000</v>
      </c>
      <c r="L1008">
        <v>4.2999999999999997E-2</v>
      </c>
      <c r="M1008" t="s">
        <v>23</v>
      </c>
      <c r="N1008">
        <v>3856000</v>
      </c>
      <c r="O1008">
        <v>4</v>
      </c>
      <c r="P1008" t="b">
        <v>0</v>
      </c>
    </row>
    <row r="1009" spans="1:16" x14ac:dyDescent="0.2">
      <c r="A1009" t="s">
        <v>1426</v>
      </c>
      <c r="B1009" s="1">
        <v>45430</v>
      </c>
      <c r="C1009" s="1">
        <v>45462</v>
      </c>
      <c r="D1009" t="s">
        <v>890</v>
      </c>
      <c r="E1009" t="s">
        <v>18</v>
      </c>
      <c r="F1009" t="s">
        <v>123</v>
      </c>
      <c r="G1009" t="s">
        <v>50</v>
      </c>
      <c r="H1009" t="s">
        <v>40</v>
      </c>
      <c r="I1009" t="s">
        <v>57</v>
      </c>
      <c r="J1009">
        <v>2</v>
      </c>
      <c r="K1009">
        <v>2566000</v>
      </c>
      <c r="L1009">
        <v>6.8000000000000005E-2</v>
      </c>
      <c r="M1009" t="s">
        <v>23</v>
      </c>
      <c r="N1009">
        <v>4783000</v>
      </c>
      <c r="O1009">
        <v>3.7</v>
      </c>
      <c r="P1009" t="b">
        <v>0</v>
      </c>
    </row>
    <row r="1010" spans="1:16" x14ac:dyDescent="0.2">
      <c r="A1010" t="s">
        <v>1427</v>
      </c>
      <c r="B1010" s="1">
        <v>45636</v>
      </c>
      <c r="C1010" s="1">
        <v>45662</v>
      </c>
      <c r="D1010" t="s">
        <v>296</v>
      </c>
      <c r="E1010" t="s">
        <v>29</v>
      </c>
      <c r="F1010" t="s">
        <v>19</v>
      </c>
      <c r="G1010" t="s">
        <v>20</v>
      </c>
      <c r="H1010" t="s">
        <v>51</v>
      </c>
      <c r="J1010">
        <v>2</v>
      </c>
      <c r="K1010">
        <v>2978000</v>
      </c>
      <c r="L1010">
        <v>0.09</v>
      </c>
      <c r="M1010" t="s">
        <v>23</v>
      </c>
      <c r="N1010">
        <v>5420000</v>
      </c>
      <c r="O1010">
        <v>3.4</v>
      </c>
      <c r="P1010" t="b">
        <v>1</v>
      </c>
    </row>
    <row r="1011" spans="1:16" x14ac:dyDescent="0.2">
      <c r="A1011" t="s">
        <v>1428</v>
      </c>
      <c r="B1011" s="1">
        <v>45556</v>
      </c>
      <c r="C1011" s="1">
        <v>45598</v>
      </c>
      <c r="D1011" t="s">
        <v>725</v>
      </c>
      <c r="E1011" t="s">
        <v>18</v>
      </c>
      <c r="F1011" t="s">
        <v>19</v>
      </c>
      <c r="G1011" t="s">
        <v>35</v>
      </c>
      <c r="H1011" t="s">
        <v>47</v>
      </c>
      <c r="I1011" t="s">
        <v>77</v>
      </c>
      <c r="J1011">
        <v>4</v>
      </c>
      <c r="K1011">
        <v>2102000</v>
      </c>
      <c r="L1011">
        <v>0.111</v>
      </c>
      <c r="M1011" t="s">
        <v>65</v>
      </c>
      <c r="N1011">
        <v>0</v>
      </c>
      <c r="P1011" t="b">
        <v>1</v>
      </c>
    </row>
    <row r="1012" spans="1:16" x14ac:dyDescent="0.2">
      <c r="A1012" t="s">
        <v>1429</v>
      </c>
      <c r="B1012" s="1">
        <v>45352</v>
      </c>
      <c r="C1012" s="1">
        <v>45385</v>
      </c>
      <c r="D1012" t="s">
        <v>169</v>
      </c>
      <c r="E1012" t="s">
        <v>29</v>
      </c>
      <c r="F1012" t="s">
        <v>39</v>
      </c>
      <c r="G1012" t="s">
        <v>20</v>
      </c>
      <c r="H1012" t="s">
        <v>47</v>
      </c>
      <c r="I1012" t="s">
        <v>30</v>
      </c>
      <c r="J1012">
        <v>1</v>
      </c>
      <c r="K1012">
        <v>2885000</v>
      </c>
      <c r="L1012">
        <v>7.2999999999999995E-2</v>
      </c>
      <c r="M1012" t="s">
        <v>23</v>
      </c>
      <c r="N1012">
        <v>2674000</v>
      </c>
      <c r="O1012">
        <v>3.7</v>
      </c>
      <c r="P1012" t="b">
        <v>0</v>
      </c>
    </row>
    <row r="1013" spans="1:16" x14ac:dyDescent="0.2">
      <c r="A1013" t="s">
        <v>1430</v>
      </c>
      <c r="B1013" s="1">
        <v>45800</v>
      </c>
      <c r="C1013" s="1">
        <v>45836</v>
      </c>
      <c r="D1013" t="s">
        <v>534</v>
      </c>
      <c r="E1013" t="s">
        <v>29</v>
      </c>
      <c r="F1013" t="s">
        <v>45</v>
      </c>
      <c r="G1013" t="s">
        <v>50</v>
      </c>
      <c r="H1013" t="s">
        <v>51</v>
      </c>
      <c r="I1013" t="s">
        <v>52</v>
      </c>
      <c r="J1013">
        <v>3</v>
      </c>
      <c r="K1013">
        <v>2163000</v>
      </c>
      <c r="L1013">
        <v>6.4000000000000001E-2</v>
      </c>
      <c r="M1013" t="s">
        <v>23</v>
      </c>
      <c r="N1013">
        <v>6074000</v>
      </c>
      <c r="O1013">
        <v>3.6</v>
      </c>
      <c r="P1013" t="b">
        <v>1</v>
      </c>
    </row>
    <row r="1014" spans="1:16" x14ac:dyDescent="0.2">
      <c r="A1014" t="s">
        <v>1431</v>
      </c>
      <c r="B1014" s="1">
        <v>45818</v>
      </c>
      <c r="C1014" s="1">
        <v>45870</v>
      </c>
      <c r="D1014" t="s">
        <v>764</v>
      </c>
      <c r="E1014" t="s">
        <v>45</v>
      </c>
      <c r="F1014" t="s">
        <v>45</v>
      </c>
      <c r="G1014" t="s">
        <v>50</v>
      </c>
      <c r="H1014" t="s">
        <v>47</v>
      </c>
      <c r="I1014" t="s">
        <v>77</v>
      </c>
      <c r="J1014">
        <v>2</v>
      </c>
      <c r="K1014">
        <v>3215000</v>
      </c>
      <c r="L1014">
        <v>8.3000000000000004E-2</v>
      </c>
      <c r="M1014" t="s">
        <v>23</v>
      </c>
      <c r="N1014">
        <v>5896000</v>
      </c>
      <c r="O1014">
        <v>4.3</v>
      </c>
      <c r="P1014" t="b">
        <v>1</v>
      </c>
    </row>
    <row r="1015" spans="1:16" x14ac:dyDescent="0.2">
      <c r="A1015" t="s">
        <v>1432</v>
      </c>
      <c r="B1015" s="1">
        <v>45754</v>
      </c>
      <c r="C1015" s="1">
        <v>45779</v>
      </c>
      <c r="D1015" t="s">
        <v>349</v>
      </c>
      <c r="E1015" t="s">
        <v>18</v>
      </c>
      <c r="F1015" t="s">
        <v>34</v>
      </c>
      <c r="G1015" t="s">
        <v>20</v>
      </c>
      <c r="H1015" t="s">
        <v>21</v>
      </c>
      <c r="I1015" t="s">
        <v>57</v>
      </c>
      <c r="J1015">
        <v>1</v>
      </c>
      <c r="K1015">
        <v>3359000</v>
      </c>
      <c r="L1015">
        <v>0.107</v>
      </c>
      <c r="M1015" t="s">
        <v>23</v>
      </c>
      <c r="N1015">
        <v>3000000</v>
      </c>
      <c r="O1015">
        <v>3.4</v>
      </c>
      <c r="P1015" t="b">
        <v>1</v>
      </c>
    </row>
    <row r="1016" spans="1:16" x14ac:dyDescent="0.2">
      <c r="A1016" t="s">
        <v>1433</v>
      </c>
      <c r="B1016" s="1">
        <v>45676</v>
      </c>
      <c r="C1016" s="1">
        <v>45757</v>
      </c>
      <c r="D1016" t="s">
        <v>1196</v>
      </c>
      <c r="E1016" t="s">
        <v>45</v>
      </c>
      <c r="F1016" t="s">
        <v>39</v>
      </c>
      <c r="G1016" t="s">
        <v>35</v>
      </c>
      <c r="H1016" t="s">
        <v>40</v>
      </c>
      <c r="I1016" t="s">
        <v>22</v>
      </c>
      <c r="J1016">
        <v>1</v>
      </c>
      <c r="K1016">
        <v>1522000</v>
      </c>
      <c r="L1016">
        <v>0</v>
      </c>
      <c r="M1016" t="s">
        <v>23</v>
      </c>
      <c r="N1016">
        <v>1522000</v>
      </c>
      <c r="O1016">
        <v>3.7</v>
      </c>
      <c r="P1016" t="b">
        <v>0</v>
      </c>
    </row>
    <row r="1017" spans="1:16" x14ac:dyDescent="0.2">
      <c r="A1017" t="s">
        <v>1434</v>
      </c>
      <c r="B1017" s="1">
        <v>45542</v>
      </c>
      <c r="C1017" s="1">
        <v>45610</v>
      </c>
      <c r="D1017" t="s">
        <v>1435</v>
      </c>
      <c r="E1017" t="s">
        <v>33</v>
      </c>
      <c r="F1017" t="s">
        <v>45</v>
      </c>
      <c r="G1017" t="s">
        <v>20</v>
      </c>
      <c r="H1017" t="s">
        <v>21</v>
      </c>
      <c r="I1017" t="s">
        <v>60</v>
      </c>
      <c r="J1017">
        <v>4</v>
      </c>
      <c r="K1017">
        <v>4233000</v>
      </c>
      <c r="L1017">
        <v>0.155</v>
      </c>
      <c r="M1017" t="s">
        <v>23</v>
      </c>
      <c r="N1017">
        <v>14308000</v>
      </c>
      <c r="O1017">
        <v>4.7</v>
      </c>
      <c r="P1017" t="b">
        <v>0</v>
      </c>
    </row>
    <row r="1018" spans="1:16" x14ac:dyDescent="0.2">
      <c r="A1018" t="s">
        <v>1436</v>
      </c>
      <c r="B1018" s="1">
        <v>45629</v>
      </c>
      <c r="C1018" s="1">
        <v>45700</v>
      </c>
      <c r="D1018" t="s">
        <v>779</v>
      </c>
      <c r="E1018" t="s">
        <v>18</v>
      </c>
      <c r="F1018" t="s">
        <v>34</v>
      </c>
      <c r="G1018" t="s">
        <v>35</v>
      </c>
      <c r="H1018" t="s">
        <v>21</v>
      </c>
      <c r="I1018" t="s">
        <v>26</v>
      </c>
      <c r="J1018">
        <v>1</v>
      </c>
      <c r="K1018">
        <v>3927000</v>
      </c>
      <c r="L1018">
        <v>0.127</v>
      </c>
      <c r="M1018" t="s">
        <v>23</v>
      </c>
      <c r="N1018">
        <v>3428000</v>
      </c>
      <c r="O1018">
        <v>4.4000000000000004</v>
      </c>
      <c r="P1018" t="b">
        <v>1</v>
      </c>
    </row>
    <row r="1019" spans="1:16" x14ac:dyDescent="0.2">
      <c r="A1019" t="s">
        <v>1437</v>
      </c>
      <c r="B1019" s="1">
        <v>45616</v>
      </c>
      <c r="C1019" s="1">
        <v>45639</v>
      </c>
      <c r="D1019" t="s">
        <v>316</v>
      </c>
      <c r="E1019" t="s">
        <v>18</v>
      </c>
      <c r="F1019" t="s">
        <v>45</v>
      </c>
      <c r="G1019" t="s">
        <v>20</v>
      </c>
      <c r="H1019" t="s">
        <v>21</v>
      </c>
      <c r="I1019" t="s">
        <v>22</v>
      </c>
      <c r="J1019">
        <v>3</v>
      </c>
      <c r="K1019">
        <v>3605000</v>
      </c>
      <c r="L1019">
        <v>0.02</v>
      </c>
      <c r="M1019" t="s">
        <v>23</v>
      </c>
      <c r="N1019">
        <v>10599000</v>
      </c>
      <c r="O1019">
        <v>4</v>
      </c>
      <c r="P1019" t="b">
        <v>0</v>
      </c>
    </row>
    <row r="1020" spans="1:16" x14ac:dyDescent="0.2">
      <c r="A1020" t="s">
        <v>1438</v>
      </c>
      <c r="B1020" s="1">
        <v>45394</v>
      </c>
      <c r="C1020" s="1">
        <v>45461</v>
      </c>
      <c r="D1020" t="s">
        <v>549</v>
      </c>
      <c r="E1020" t="s">
        <v>45</v>
      </c>
      <c r="F1020" t="s">
        <v>80</v>
      </c>
      <c r="G1020" t="s">
        <v>20</v>
      </c>
      <c r="H1020" t="s">
        <v>21</v>
      </c>
      <c r="I1020" t="s">
        <v>83</v>
      </c>
      <c r="J1020">
        <v>2</v>
      </c>
      <c r="K1020">
        <v>5330000</v>
      </c>
      <c r="L1020">
        <v>9.0999999999999998E-2</v>
      </c>
      <c r="M1020" t="s">
        <v>23</v>
      </c>
      <c r="N1020">
        <v>9690000</v>
      </c>
      <c r="O1020">
        <v>4.2</v>
      </c>
      <c r="P1020" t="b">
        <v>0</v>
      </c>
    </row>
    <row r="1021" spans="1:16" x14ac:dyDescent="0.2">
      <c r="A1021" t="s">
        <v>1439</v>
      </c>
      <c r="B1021" s="1">
        <v>45342</v>
      </c>
      <c r="C1021" s="1">
        <v>45419</v>
      </c>
      <c r="D1021" t="s">
        <v>1065</v>
      </c>
      <c r="E1021" t="s">
        <v>33</v>
      </c>
      <c r="F1021" t="s">
        <v>19</v>
      </c>
      <c r="G1021" t="s">
        <v>20</v>
      </c>
      <c r="H1021" t="s">
        <v>51</v>
      </c>
      <c r="I1021" t="s">
        <v>26</v>
      </c>
      <c r="J1021">
        <v>3</v>
      </c>
      <c r="K1021">
        <v>3745000</v>
      </c>
      <c r="L1021">
        <v>-0.2</v>
      </c>
      <c r="M1021" t="s">
        <v>23</v>
      </c>
      <c r="N1021">
        <v>10831000</v>
      </c>
      <c r="O1021">
        <v>4</v>
      </c>
      <c r="P1021" t="b">
        <v>0</v>
      </c>
    </row>
    <row r="1022" spans="1:16" x14ac:dyDescent="0.2">
      <c r="A1022" t="s">
        <v>1440</v>
      </c>
      <c r="B1022" s="1">
        <v>45449</v>
      </c>
      <c r="C1022" s="1">
        <v>45473</v>
      </c>
      <c r="D1022" t="s">
        <v>1441</v>
      </c>
      <c r="E1022" t="s">
        <v>29</v>
      </c>
      <c r="F1022" t="s">
        <v>34</v>
      </c>
      <c r="G1022" t="s">
        <v>50</v>
      </c>
      <c r="H1022" t="s">
        <v>51</v>
      </c>
      <c r="I1022" t="s">
        <v>52</v>
      </c>
      <c r="J1022">
        <v>1</v>
      </c>
      <c r="K1022">
        <v>2707000</v>
      </c>
      <c r="L1022">
        <v>0.10199999999999999</v>
      </c>
      <c r="M1022" t="s">
        <v>23</v>
      </c>
      <c r="N1022">
        <v>2431000</v>
      </c>
      <c r="O1022">
        <v>4.2</v>
      </c>
      <c r="P1022" t="b">
        <v>0</v>
      </c>
    </row>
    <row r="1023" spans="1:16" x14ac:dyDescent="0.2">
      <c r="A1023" t="s">
        <v>1442</v>
      </c>
      <c r="B1023" s="1">
        <v>45575</v>
      </c>
      <c r="C1023" s="1">
        <v>45645</v>
      </c>
      <c r="D1023" t="s">
        <v>384</v>
      </c>
      <c r="E1023" t="s">
        <v>45</v>
      </c>
      <c r="F1023" t="s">
        <v>25</v>
      </c>
      <c r="G1023" t="s">
        <v>20</v>
      </c>
      <c r="H1023" t="s">
        <v>21</v>
      </c>
      <c r="I1023" t="s">
        <v>99</v>
      </c>
      <c r="J1023">
        <v>1</v>
      </c>
      <c r="K1023">
        <v>4560000</v>
      </c>
      <c r="L1023">
        <v>5.8000000000000003E-2</v>
      </c>
      <c r="M1023" t="s">
        <v>65</v>
      </c>
      <c r="N1023">
        <v>0</v>
      </c>
      <c r="P1023" t="b">
        <v>1</v>
      </c>
    </row>
    <row r="1024" spans="1:16" x14ac:dyDescent="0.2">
      <c r="A1024" t="s">
        <v>1443</v>
      </c>
      <c r="B1024" s="1">
        <v>45391</v>
      </c>
      <c r="C1024" s="1">
        <v>45429</v>
      </c>
      <c r="D1024" t="s">
        <v>59</v>
      </c>
      <c r="E1024" t="s">
        <v>29</v>
      </c>
      <c r="F1024" t="s">
        <v>34</v>
      </c>
      <c r="G1024" t="s">
        <v>35</v>
      </c>
      <c r="H1024" t="s">
        <v>47</v>
      </c>
      <c r="I1024" t="s">
        <v>77</v>
      </c>
      <c r="J1024">
        <v>2</v>
      </c>
      <c r="K1024">
        <v>3570000</v>
      </c>
      <c r="L1024">
        <v>0</v>
      </c>
      <c r="M1024" t="s">
        <v>23</v>
      </c>
      <c r="N1024">
        <v>7140000</v>
      </c>
      <c r="O1024">
        <v>3.9</v>
      </c>
      <c r="P1024" t="b">
        <v>0</v>
      </c>
    </row>
    <row r="1025" spans="1:16" x14ac:dyDescent="0.2">
      <c r="A1025" t="s">
        <v>1444</v>
      </c>
      <c r="B1025" s="1">
        <v>45358</v>
      </c>
      <c r="C1025" s="1">
        <v>45431</v>
      </c>
      <c r="D1025" t="s">
        <v>821</v>
      </c>
      <c r="E1025" t="s">
        <v>45</v>
      </c>
      <c r="F1025" t="s">
        <v>34</v>
      </c>
      <c r="G1025" t="s">
        <v>20</v>
      </c>
      <c r="H1025" t="s">
        <v>21</v>
      </c>
      <c r="I1025" t="s">
        <v>26</v>
      </c>
      <c r="J1025">
        <v>2</v>
      </c>
      <c r="K1025">
        <v>4777000</v>
      </c>
      <c r="L1025">
        <v>0.13100000000000001</v>
      </c>
      <c r="M1025" t="s">
        <v>23</v>
      </c>
      <c r="N1025">
        <v>8302000</v>
      </c>
      <c r="O1025">
        <v>3.9</v>
      </c>
      <c r="P1025" t="b">
        <v>0</v>
      </c>
    </row>
    <row r="1026" spans="1:16" x14ac:dyDescent="0.2">
      <c r="A1026" t="s">
        <v>1445</v>
      </c>
      <c r="B1026" s="1">
        <v>45822</v>
      </c>
      <c r="C1026" s="1">
        <v>45870</v>
      </c>
      <c r="D1026" t="s">
        <v>657</v>
      </c>
      <c r="E1026" t="s">
        <v>18</v>
      </c>
      <c r="F1026" t="s">
        <v>34</v>
      </c>
      <c r="G1026" t="s">
        <v>20</v>
      </c>
      <c r="H1026" t="s">
        <v>21</v>
      </c>
      <c r="I1026" t="s">
        <v>22</v>
      </c>
      <c r="J1026">
        <v>3</v>
      </c>
      <c r="K1026">
        <v>3003000</v>
      </c>
      <c r="L1026">
        <v>4.3999999999999997E-2</v>
      </c>
      <c r="M1026" t="s">
        <v>23</v>
      </c>
      <c r="N1026">
        <v>8613000</v>
      </c>
      <c r="O1026">
        <v>3.8</v>
      </c>
      <c r="P1026" t="b">
        <v>1</v>
      </c>
    </row>
    <row r="1027" spans="1:16" x14ac:dyDescent="0.2">
      <c r="A1027" t="s">
        <v>1446</v>
      </c>
      <c r="B1027" s="1">
        <v>45525</v>
      </c>
      <c r="C1027" s="1">
        <v>45599</v>
      </c>
      <c r="D1027" t="s">
        <v>657</v>
      </c>
      <c r="E1027" t="s">
        <v>18</v>
      </c>
      <c r="F1027" t="s">
        <v>68</v>
      </c>
      <c r="G1027" t="s">
        <v>20</v>
      </c>
      <c r="H1027" t="s">
        <v>21</v>
      </c>
      <c r="I1027" t="s">
        <v>83</v>
      </c>
      <c r="J1027">
        <v>1</v>
      </c>
      <c r="K1027">
        <v>2130000</v>
      </c>
      <c r="L1027">
        <v>8.6999999999999994E-2</v>
      </c>
      <c r="M1027" t="s">
        <v>23</v>
      </c>
      <c r="N1027">
        <v>1945000</v>
      </c>
      <c r="O1027">
        <v>4.7</v>
      </c>
      <c r="P1027" t="b">
        <v>1</v>
      </c>
    </row>
    <row r="1028" spans="1:16" x14ac:dyDescent="0.2">
      <c r="A1028" t="s">
        <v>1447</v>
      </c>
      <c r="B1028" s="1">
        <v>45655</v>
      </c>
      <c r="C1028" s="1">
        <v>45676</v>
      </c>
      <c r="D1028" t="s">
        <v>49</v>
      </c>
      <c r="E1028" t="s">
        <v>18</v>
      </c>
      <c r="F1028" t="s">
        <v>19</v>
      </c>
      <c r="G1028" t="s">
        <v>50</v>
      </c>
      <c r="H1028" t="s">
        <v>21</v>
      </c>
      <c r="I1028" t="s">
        <v>83</v>
      </c>
      <c r="J1028">
        <v>2</v>
      </c>
      <c r="K1028">
        <v>2930000</v>
      </c>
      <c r="L1028">
        <v>7.5999999999999998E-2</v>
      </c>
      <c r="M1028" t="s">
        <v>23</v>
      </c>
      <c r="N1028">
        <v>5415000</v>
      </c>
      <c r="O1028">
        <v>4.5999999999999996</v>
      </c>
      <c r="P1028" t="b">
        <v>1</v>
      </c>
    </row>
    <row r="1029" spans="1:16" x14ac:dyDescent="0.2">
      <c r="A1029" t="s">
        <v>1448</v>
      </c>
      <c r="B1029" s="1">
        <v>45618</v>
      </c>
      <c r="C1029" s="1">
        <v>45659</v>
      </c>
      <c r="D1029" t="s">
        <v>249</v>
      </c>
      <c r="E1029" t="s">
        <v>18</v>
      </c>
      <c r="F1029" t="s">
        <v>19</v>
      </c>
      <c r="G1029" t="s">
        <v>50</v>
      </c>
      <c r="H1029" t="s">
        <v>21</v>
      </c>
      <c r="I1029" t="s">
        <v>60</v>
      </c>
      <c r="J1029">
        <v>3</v>
      </c>
      <c r="K1029">
        <v>3682000</v>
      </c>
      <c r="L1029">
        <v>0.112</v>
      </c>
      <c r="M1029" t="s">
        <v>23</v>
      </c>
      <c r="N1029">
        <v>9809000</v>
      </c>
      <c r="O1029">
        <v>3.7</v>
      </c>
      <c r="P1029" t="b">
        <v>1</v>
      </c>
    </row>
    <row r="1030" spans="1:16" x14ac:dyDescent="0.2">
      <c r="A1030" t="s">
        <v>1449</v>
      </c>
      <c r="B1030" s="1">
        <v>45749</v>
      </c>
      <c r="C1030" s="1">
        <v>45781</v>
      </c>
      <c r="D1030" t="s">
        <v>410</v>
      </c>
      <c r="E1030" t="s">
        <v>18</v>
      </c>
      <c r="F1030" t="s">
        <v>19</v>
      </c>
      <c r="G1030" t="s">
        <v>20</v>
      </c>
      <c r="H1030" t="s">
        <v>21</v>
      </c>
      <c r="I1030" t="s">
        <v>26</v>
      </c>
      <c r="J1030">
        <v>1</v>
      </c>
      <c r="K1030">
        <v>2829000</v>
      </c>
      <c r="L1030">
        <v>9.0999999999999998E-2</v>
      </c>
      <c r="M1030" t="s">
        <v>23</v>
      </c>
      <c r="N1030">
        <v>2572000</v>
      </c>
      <c r="O1030">
        <v>3.6</v>
      </c>
      <c r="P1030" t="b">
        <v>1</v>
      </c>
    </row>
    <row r="1031" spans="1:16" x14ac:dyDescent="0.2">
      <c r="A1031" t="s">
        <v>1450</v>
      </c>
      <c r="B1031" s="1">
        <v>45752</v>
      </c>
      <c r="C1031" s="1">
        <v>45782</v>
      </c>
      <c r="D1031" t="s">
        <v>187</v>
      </c>
      <c r="E1031" t="s">
        <v>18</v>
      </c>
      <c r="F1031" t="s">
        <v>39</v>
      </c>
      <c r="G1031" t="s">
        <v>50</v>
      </c>
      <c r="H1031" t="s">
        <v>21</v>
      </c>
      <c r="I1031" t="s">
        <v>77</v>
      </c>
      <c r="J1031">
        <v>1</v>
      </c>
      <c r="K1031">
        <v>2678000</v>
      </c>
      <c r="L1031">
        <v>8.9999999999999993E-3</v>
      </c>
      <c r="M1031" t="s">
        <v>23</v>
      </c>
      <c r="N1031">
        <v>2654000</v>
      </c>
      <c r="O1031">
        <v>4.0999999999999996</v>
      </c>
      <c r="P1031" t="b">
        <v>1</v>
      </c>
    </row>
    <row r="1032" spans="1:16" x14ac:dyDescent="0.2">
      <c r="A1032" t="s">
        <v>1451</v>
      </c>
      <c r="B1032" s="1">
        <v>45476</v>
      </c>
      <c r="C1032" s="1">
        <v>45510</v>
      </c>
      <c r="D1032" t="s">
        <v>140</v>
      </c>
      <c r="E1032" t="s">
        <v>33</v>
      </c>
      <c r="F1032" t="s">
        <v>25</v>
      </c>
      <c r="G1032" t="s">
        <v>20</v>
      </c>
      <c r="H1032" t="s">
        <v>21</v>
      </c>
      <c r="I1032" t="s">
        <v>26</v>
      </c>
      <c r="J1032">
        <v>3</v>
      </c>
      <c r="K1032">
        <v>3669000</v>
      </c>
      <c r="L1032">
        <v>0.111</v>
      </c>
      <c r="M1032" t="s">
        <v>23</v>
      </c>
      <c r="N1032">
        <v>9785000</v>
      </c>
      <c r="O1032">
        <v>5</v>
      </c>
      <c r="P1032" t="b">
        <v>1</v>
      </c>
    </row>
    <row r="1033" spans="1:16" x14ac:dyDescent="0.2">
      <c r="A1033" t="s">
        <v>1452</v>
      </c>
      <c r="B1033" s="1">
        <v>45820</v>
      </c>
      <c r="C1033" s="1">
        <v>45860</v>
      </c>
      <c r="D1033" t="s">
        <v>541</v>
      </c>
      <c r="E1033" t="s">
        <v>33</v>
      </c>
      <c r="F1033" t="s">
        <v>68</v>
      </c>
      <c r="G1033" t="s">
        <v>20</v>
      </c>
      <c r="H1033" t="s">
        <v>51</v>
      </c>
      <c r="I1033" t="s">
        <v>60</v>
      </c>
      <c r="J1033">
        <v>1</v>
      </c>
      <c r="K1033">
        <v>1828000</v>
      </c>
      <c r="L1033">
        <v>0.05</v>
      </c>
      <c r="M1033" t="s">
        <v>23</v>
      </c>
      <c r="N1033">
        <v>1737000</v>
      </c>
      <c r="O1033">
        <v>3.7</v>
      </c>
      <c r="P1033" t="b">
        <v>1</v>
      </c>
    </row>
    <row r="1034" spans="1:16" x14ac:dyDescent="0.2">
      <c r="A1034" t="s">
        <v>1453</v>
      </c>
      <c r="B1034" s="1">
        <v>45523</v>
      </c>
      <c r="C1034" s="1">
        <v>45543</v>
      </c>
      <c r="D1034" t="s">
        <v>603</v>
      </c>
      <c r="E1034" t="s">
        <v>45</v>
      </c>
      <c r="F1034" t="s">
        <v>19</v>
      </c>
      <c r="G1034" t="s">
        <v>35</v>
      </c>
      <c r="H1034" t="s">
        <v>21</v>
      </c>
      <c r="I1034" t="s">
        <v>83</v>
      </c>
      <c r="J1034">
        <v>2</v>
      </c>
      <c r="K1034">
        <v>1750000</v>
      </c>
      <c r="L1034">
        <v>7.5999999999999998E-2</v>
      </c>
      <c r="M1034" t="s">
        <v>23</v>
      </c>
      <c r="N1034">
        <v>3234000</v>
      </c>
      <c r="O1034">
        <v>4.0999999999999996</v>
      </c>
      <c r="P1034" t="b">
        <v>1</v>
      </c>
    </row>
    <row r="1035" spans="1:16" x14ac:dyDescent="0.2">
      <c r="A1035" t="s">
        <v>1454</v>
      </c>
      <c r="B1035" s="1">
        <v>45812</v>
      </c>
      <c r="C1035" s="1">
        <v>45879</v>
      </c>
      <c r="D1035" t="s">
        <v>959</v>
      </c>
      <c r="E1035" t="s">
        <v>29</v>
      </c>
      <c r="F1035" t="s">
        <v>34</v>
      </c>
      <c r="G1035" t="s">
        <v>20</v>
      </c>
      <c r="H1035" t="s">
        <v>21</v>
      </c>
      <c r="I1035" t="s">
        <v>99</v>
      </c>
      <c r="J1035">
        <v>3</v>
      </c>
      <c r="K1035">
        <v>4648000</v>
      </c>
      <c r="L1035">
        <v>1.4999999999999999E-2</v>
      </c>
      <c r="M1035" t="s">
        <v>23</v>
      </c>
      <c r="N1035">
        <v>13735000</v>
      </c>
      <c r="O1035">
        <v>4.2</v>
      </c>
      <c r="P1035" t="b">
        <v>1</v>
      </c>
    </row>
    <row r="1036" spans="1:16" x14ac:dyDescent="0.2">
      <c r="A1036" t="s">
        <v>1455</v>
      </c>
      <c r="B1036" s="1">
        <v>45544</v>
      </c>
      <c r="C1036" s="1">
        <v>45598</v>
      </c>
      <c r="D1036" t="s">
        <v>1403</v>
      </c>
      <c r="E1036" t="s">
        <v>33</v>
      </c>
      <c r="F1036" t="s">
        <v>25</v>
      </c>
      <c r="G1036" t="s">
        <v>20</v>
      </c>
      <c r="H1036" t="s">
        <v>21</v>
      </c>
      <c r="I1036" t="s">
        <v>22</v>
      </c>
      <c r="J1036">
        <v>1</v>
      </c>
      <c r="K1036">
        <v>3283000</v>
      </c>
      <c r="L1036">
        <v>0.16600000000000001</v>
      </c>
      <c r="M1036" t="s">
        <v>23</v>
      </c>
      <c r="N1036">
        <v>2738000</v>
      </c>
      <c r="O1036">
        <v>4.0999999999999996</v>
      </c>
      <c r="P1036" t="b">
        <v>1</v>
      </c>
    </row>
    <row r="1037" spans="1:16" x14ac:dyDescent="0.2">
      <c r="A1037" t="s">
        <v>1456</v>
      </c>
      <c r="B1037" s="1">
        <v>45361</v>
      </c>
      <c r="C1037" s="1">
        <v>45438</v>
      </c>
      <c r="D1037" t="s">
        <v>349</v>
      </c>
      <c r="E1037" t="s">
        <v>18</v>
      </c>
      <c r="F1037" t="s">
        <v>19</v>
      </c>
      <c r="G1037" t="s">
        <v>35</v>
      </c>
      <c r="H1037" t="s">
        <v>21</v>
      </c>
      <c r="I1037" t="s">
        <v>30</v>
      </c>
      <c r="J1037">
        <v>2</v>
      </c>
      <c r="K1037">
        <v>2725000</v>
      </c>
      <c r="L1037">
        <v>4.2000000000000003E-2</v>
      </c>
      <c r="M1037" t="s">
        <v>23</v>
      </c>
      <c r="N1037">
        <v>5221000</v>
      </c>
      <c r="O1037">
        <v>4</v>
      </c>
      <c r="P1037" t="b">
        <v>0</v>
      </c>
    </row>
    <row r="1038" spans="1:16" x14ac:dyDescent="0.2">
      <c r="A1038" t="s">
        <v>1457</v>
      </c>
      <c r="B1038" s="1">
        <v>45765</v>
      </c>
      <c r="C1038" s="1">
        <v>45832</v>
      </c>
      <c r="D1038" t="s">
        <v>493</v>
      </c>
      <c r="E1038" t="s">
        <v>29</v>
      </c>
      <c r="F1038" t="s">
        <v>39</v>
      </c>
      <c r="G1038" t="s">
        <v>20</v>
      </c>
      <c r="H1038" t="s">
        <v>21</v>
      </c>
      <c r="I1038" t="s">
        <v>30</v>
      </c>
      <c r="J1038">
        <v>1</v>
      </c>
      <c r="K1038">
        <v>2762000</v>
      </c>
      <c r="L1038">
        <v>6.5000000000000002E-2</v>
      </c>
      <c r="M1038" t="s">
        <v>23</v>
      </c>
      <c r="N1038">
        <v>2582000</v>
      </c>
      <c r="O1038">
        <v>4.8</v>
      </c>
      <c r="P1038" t="b">
        <v>1</v>
      </c>
    </row>
    <row r="1039" spans="1:16" x14ac:dyDescent="0.2">
      <c r="A1039" t="s">
        <v>1458</v>
      </c>
      <c r="B1039" s="1">
        <v>45310</v>
      </c>
      <c r="C1039" s="1">
        <v>45332</v>
      </c>
      <c r="D1039" t="s">
        <v>1459</v>
      </c>
      <c r="E1039" t="s">
        <v>45</v>
      </c>
      <c r="F1039" t="s">
        <v>39</v>
      </c>
      <c r="G1039" t="s">
        <v>50</v>
      </c>
      <c r="H1039" t="s">
        <v>21</v>
      </c>
      <c r="I1039" t="s">
        <v>57</v>
      </c>
      <c r="J1039">
        <v>3</v>
      </c>
      <c r="K1039">
        <v>1768000</v>
      </c>
      <c r="L1039">
        <v>8.5000000000000006E-2</v>
      </c>
      <c r="M1039" t="s">
        <v>23</v>
      </c>
      <c r="N1039">
        <v>4853000</v>
      </c>
      <c r="O1039">
        <v>4.4000000000000004</v>
      </c>
      <c r="P1039" t="b">
        <v>0</v>
      </c>
    </row>
    <row r="1040" spans="1:16" x14ac:dyDescent="0.2">
      <c r="A1040" t="s">
        <v>1460</v>
      </c>
      <c r="B1040" s="1">
        <v>45773</v>
      </c>
      <c r="C1040" s="1">
        <v>45788</v>
      </c>
      <c r="D1040" t="s">
        <v>300</v>
      </c>
      <c r="E1040" t="s">
        <v>45</v>
      </c>
      <c r="F1040" t="s">
        <v>123</v>
      </c>
      <c r="G1040" t="s">
        <v>35</v>
      </c>
      <c r="H1040" t="s">
        <v>40</v>
      </c>
      <c r="I1040" t="s">
        <v>30</v>
      </c>
      <c r="J1040">
        <v>3</v>
      </c>
      <c r="K1040">
        <v>4350000</v>
      </c>
      <c r="L1040">
        <v>8.7999999999999995E-2</v>
      </c>
      <c r="M1040" t="s">
        <v>23</v>
      </c>
      <c r="N1040">
        <v>11902000</v>
      </c>
      <c r="O1040">
        <v>4.5999999999999996</v>
      </c>
      <c r="P1040" t="b">
        <v>1</v>
      </c>
    </row>
    <row r="1041" spans="1:16" x14ac:dyDescent="0.2">
      <c r="A1041" t="s">
        <v>1461</v>
      </c>
      <c r="B1041" s="1">
        <v>45318</v>
      </c>
      <c r="C1041" s="1">
        <v>45362</v>
      </c>
      <c r="D1041" t="s">
        <v>318</v>
      </c>
      <c r="E1041" t="s">
        <v>45</v>
      </c>
      <c r="F1041" t="s">
        <v>68</v>
      </c>
      <c r="G1041" t="s">
        <v>50</v>
      </c>
      <c r="H1041" t="s">
        <v>40</v>
      </c>
      <c r="I1041" t="s">
        <v>22</v>
      </c>
      <c r="J1041">
        <v>3</v>
      </c>
      <c r="K1041">
        <v>2127000</v>
      </c>
      <c r="L1041">
        <v>5.3999999999999999E-2</v>
      </c>
      <c r="M1041" t="s">
        <v>23</v>
      </c>
      <c r="N1041">
        <v>6036000</v>
      </c>
      <c r="O1041">
        <v>4.5</v>
      </c>
      <c r="P1041" t="b">
        <v>0</v>
      </c>
    </row>
    <row r="1042" spans="1:16" x14ac:dyDescent="0.2">
      <c r="A1042" t="s">
        <v>1462</v>
      </c>
      <c r="B1042" s="1">
        <v>45420</v>
      </c>
      <c r="C1042" s="1">
        <v>45468</v>
      </c>
      <c r="D1042" t="s">
        <v>468</v>
      </c>
      <c r="E1042" t="s">
        <v>29</v>
      </c>
      <c r="F1042" t="s">
        <v>25</v>
      </c>
      <c r="G1042" t="s">
        <v>35</v>
      </c>
      <c r="H1042" t="s">
        <v>40</v>
      </c>
      <c r="I1042" t="s">
        <v>57</v>
      </c>
      <c r="J1042">
        <v>1</v>
      </c>
      <c r="K1042">
        <v>4689000</v>
      </c>
      <c r="L1042">
        <v>3.5000000000000003E-2</v>
      </c>
      <c r="M1042" t="s">
        <v>23</v>
      </c>
      <c r="N1042">
        <v>4525000</v>
      </c>
      <c r="O1042">
        <v>4.5999999999999996</v>
      </c>
      <c r="P1042" t="b">
        <v>1</v>
      </c>
    </row>
    <row r="1043" spans="1:16" x14ac:dyDescent="0.2">
      <c r="A1043" t="s">
        <v>1463</v>
      </c>
      <c r="B1043" s="1">
        <v>45667</v>
      </c>
      <c r="C1043" s="1">
        <v>45696</v>
      </c>
      <c r="D1043" t="s">
        <v>827</v>
      </c>
      <c r="E1043" t="s">
        <v>33</v>
      </c>
      <c r="F1043" t="s">
        <v>19</v>
      </c>
      <c r="G1043" t="s">
        <v>50</v>
      </c>
      <c r="H1043" t="s">
        <v>40</v>
      </c>
      <c r="I1043" t="s">
        <v>83</v>
      </c>
      <c r="J1043">
        <v>2</v>
      </c>
      <c r="K1043">
        <v>1651000</v>
      </c>
      <c r="L1043">
        <v>0.121</v>
      </c>
      <c r="M1043" t="s">
        <v>23</v>
      </c>
      <c r="N1043">
        <v>2902000</v>
      </c>
      <c r="O1043">
        <v>5</v>
      </c>
      <c r="P1043" t="b">
        <v>0</v>
      </c>
    </row>
    <row r="1044" spans="1:16" x14ac:dyDescent="0.2">
      <c r="A1044" t="s">
        <v>1464</v>
      </c>
      <c r="B1044" s="1">
        <v>45878</v>
      </c>
      <c r="C1044" s="1">
        <v>45951</v>
      </c>
      <c r="D1044" t="s">
        <v>899</v>
      </c>
      <c r="E1044" t="s">
        <v>45</v>
      </c>
      <c r="F1044" t="s">
        <v>25</v>
      </c>
      <c r="G1044" t="s">
        <v>20</v>
      </c>
      <c r="H1044" t="s">
        <v>21</v>
      </c>
      <c r="I1044" t="s">
        <v>60</v>
      </c>
      <c r="J1044">
        <v>3</v>
      </c>
      <c r="K1044">
        <v>5574000</v>
      </c>
      <c r="L1044">
        <v>0.13400000000000001</v>
      </c>
      <c r="M1044" t="s">
        <v>23</v>
      </c>
      <c r="N1044">
        <v>14481000</v>
      </c>
      <c r="O1044">
        <v>4.9000000000000004</v>
      </c>
      <c r="P1044" t="b">
        <v>1</v>
      </c>
    </row>
    <row r="1045" spans="1:16" x14ac:dyDescent="0.2">
      <c r="A1045" t="s">
        <v>1465</v>
      </c>
      <c r="B1045" s="1">
        <v>45546</v>
      </c>
      <c r="C1045" s="1">
        <v>45603</v>
      </c>
      <c r="D1045" t="s">
        <v>764</v>
      </c>
      <c r="E1045" t="s">
        <v>45</v>
      </c>
      <c r="F1045" t="s">
        <v>34</v>
      </c>
      <c r="G1045" t="s">
        <v>35</v>
      </c>
      <c r="H1045" t="s">
        <v>21</v>
      </c>
      <c r="I1045" t="s">
        <v>57</v>
      </c>
      <c r="J1045">
        <v>2</v>
      </c>
      <c r="K1045">
        <v>3219000</v>
      </c>
      <c r="L1045">
        <v>7.2999999999999995E-2</v>
      </c>
      <c r="M1045" t="s">
        <v>23</v>
      </c>
      <c r="N1045">
        <v>5968000</v>
      </c>
      <c r="O1045">
        <v>5</v>
      </c>
      <c r="P1045" t="b">
        <v>0</v>
      </c>
    </row>
    <row r="1046" spans="1:16" x14ac:dyDescent="0.2">
      <c r="A1046" t="s">
        <v>1466</v>
      </c>
      <c r="B1046" s="1">
        <v>45367</v>
      </c>
      <c r="C1046" s="1">
        <v>45437</v>
      </c>
      <c r="D1046" t="s">
        <v>321</v>
      </c>
      <c r="E1046" t="s">
        <v>45</v>
      </c>
      <c r="F1046" t="s">
        <v>39</v>
      </c>
      <c r="G1046" t="s">
        <v>35</v>
      </c>
      <c r="H1046" t="s">
        <v>21</v>
      </c>
      <c r="I1046" t="s">
        <v>22</v>
      </c>
      <c r="J1046">
        <v>2</v>
      </c>
      <c r="K1046">
        <v>1998000</v>
      </c>
      <c r="L1046">
        <v>0.115</v>
      </c>
      <c r="M1046" t="s">
        <v>23</v>
      </c>
      <c r="N1046">
        <v>3536000</v>
      </c>
      <c r="O1046">
        <v>4.8</v>
      </c>
      <c r="P1046" t="b">
        <v>0</v>
      </c>
    </row>
    <row r="1047" spans="1:16" x14ac:dyDescent="0.2">
      <c r="A1047" t="s">
        <v>1467</v>
      </c>
      <c r="B1047" s="1">
        <v>45437</v>
      </c>
      <c r="C1047" s="1">
        <v>45455</v>
      </c>
      <c r="D1047" t="s">
        <v>591</v>
      </c>
      <c r="E1047" t="s">
        <v>33</v>
      </c>
      <c r="F1047" t="s">
        <v>34</v>
      </c>
      <c r="G1047" t="s">
        <v>50</v>
      </c>
      <c r="H1047" t="s">
        <v>21</v>
      </c>
      <c r="I1047" t="s">
        <v>57</v>
      </c>
      <c r="J1047">
        <v>1</v>
      </c>
      <c r="K1047">
        <v>5382000</v>
      </c>
      <c r="L1047">
        <v>9.6000000000000002E-2</v>
      </c>
      <c r="M1047" t="s">
        <v>23</v>
      </c>
      <c r="N1047">
        <v>4865000</v>
      </c>
      <c r="O1047">
        <v>3.9</v>
      </c>
      <c r="P1047" t="b">
        <v>1</v>
      </c>
    </row>
    <row r="1048" spans="1:16" x14ac:dyDescent="0.2">
      <c r="A1048" t="s">
        <v>1468</v>
      </c>
      <c r="B1048" s="1">
        <v>45850</v>
      </c>
      <c r="C1048" s="1">
        <v>45926</v>
      </c>
      <c r="D1048" t="s">
        <v>623</v>
      </c>
      <c r="E1048" t="s">
        <v>18</v>
      </c>
      <c r="F1048" t="s">
        <v>19</v>
      </c>
      <c r="G1048" t="s">
        <v>20</v>
      </c>
      <c r="H1048" t="s">
        <v>21</v>
      </c>
      <c r="I1048" t="s">
        <v>94</v>
      </c>
      <c r="J1048">
        <v>3</v>
      </c>
      <c r="K1048">
        <v>2853000</v>
      </c>
      <c r="L1048">
        <v>0.02</v>
      </c>
      <c r="M1048" t="s">
        <v>23</v>
      </c>
      <c r="N1048">
        <v>8388000</v>
      </c>
      <c r="O1048">
        <v>4.5999999999999996</v>
      </c>
      <c r="P1048" t="b">
        <v>1</v>
      </c>
    </row>
    <row r="1049" spans="1:16" x14ac:dyDescent="0.2">
      <c r="A1049" t="s">
        <v>1469</v>
      </c>
      <c r="B1049" s="1">
        <v>45744</v>
      </c>
      <c r="C1049" s="1">
        <v>45770</v>
      </c>
      <c r="D1049" t="s">
        <v>459</v>
      </c>
      <c r="E1049" t="s">
        <v>18</v>
      </c>
      <c r="F1049" t="s">
        <v>25</v>
      </c>
      <c r="G1049" t="s">
        <v>35</v>
      </c>
      <c r="H1049" t="s">
        <v>21</v>
      </c>
      <c r="I1049" t="s">
        <v>60</v>
      </c>
      <c r="J1049">
        <v>1</v>
      </c>
      <c r="K1049">
        <v>3856000</v>
      </c>
      <c r="L1049">
        <v>0.12</v>
      </c>
      <c r="M1049" t="s">
        <v>23</v>
      </c>
      <c r="N1049">
        <v>3393000</v>
      </c>
      <c r="O1049">
        <v>4.5999999999999996</v>
      </c>
      <c r="P1049" t="b">
        <v>1</v>
      </c>
    </row>
    <row r="1050" spans="1:16" x14ac:dyDescent="0.2">
      <c r="A1050" t="s">
        <v>1470</v>
      </c>
      <c r="B1050" s="1">
        <v>45354</v>
      </c>
      <c r="C1050" s="1">
        <v>45400</v>
      </c>
      <c r="D1050" t="s">
        <v>1471</v>
      </c>
      <c r="E1050" t="s">
        <v>18</v>
      </c>
      <c r="F1050" t="s">
        <v>34</v>
      </c>
      <c r="G1050" t="s">
        <v>50</v>
      </c>
      <c r="H1050" t="s">
        <v>40</v>
      </c>
      <c r="I1050" t="s">
        <v>22</v>
      </c>
      <c r="J1050">
        <v>1</v>
      </c>
      <c r="K1050">
        <v>3134000</v>
      </c>
      <c r="L1050">
        <v>6.3E-2</v>
      </c>
      <c r="M1050" t="s">
        <v>23</v>
      </c>
      <c r="N1050">
        <v>2937000</v>
      </c>
      <c r="O1050">
        <v>5</v>
      </c>
      <c r="P1050" t="b">
        <v>0</v>
      </c>
    </row>
    <row r="1051" spans="1:16" x14ac:dyDescent="0.2">
      <c r="A1051" t="s">
        <v>1472</v>
      </c>
      <c r="B1051" s="1">
        <v>45531</v>
      </c>
      <c r="C1051" s="1">
        <v>45576</v>
      </c>
      <c r="D1051" t="s">
        <v>87</v>
      </c>
      <c r="E1051" t="s">
        <v>29</v>
      </c>
      <c r="F1051" t="s">
        <v>34</v>
      </c>
      <c r="G1051" t="s">
        <v>20</v>
      </c>
      <c r="H1051" t="s">
        <v>21</v>
      </c>
      <c r="I1051" t="s">
        <v>22</v>
      </c>
      <c r="J1051">
        <v>3</v>
      </c>
      <c r="K1051">
        <v>2790000</v>
      </c>
      <c r="L1051">
        <v>5.7000000000000002E-2</v>
      </c>
      <c r="M1051" t="s">
        <v>23</v>
      </c>
      <c r="N1051">
        <v>7893000</v>
      </c>
      <c r="O1051">
        <v>3.7</v>
      </c>
      <c r="P1051" t="b">
        <v>1</v>
      </c>
    </row>
    <row r="1052" spans="1:16" x14ac:dyDescent="0.2">
      <c r="A1052" t="s">
        <v>1473</v>
      </c>
      <c r="B1052" s="1">
        <v>45456</v>
      </c>
      <c r="C1052" s="1">
        <v>45532</v>
      </c>
      <c r="D1052" t="s">
        <v>28</v>
      </c>
      <c r="E1052" t="s">
        <v>29</v>
      </c>
      <c r="F1052" t="s">
        <v>45</v>
      </c>
      <c r="G1052" t="s">
        <v>50</v>
      </c>
      <c r="H1052" t="s">
        <v>21</v>
      </c>
      <c r="I1052" t="s">
        <v>60</v>
      </c>
      <c r="J1052">
        <v>5</v>
      </c>
      <c r="K1052">
        <v>3888000</v>
      </c>
      <c r="L1052">
        <v>7.0000000000000007E-2</v>
      </c>
      <c r="M1052" t="s">
        <v>23</v>
      </c>
      <c r="N1052">
        <v>18079000</v>
      </c>
      <c r="O1052">
        <v>4.5</v>
      </c>
      <c r="P1052" t="b">
        <v>0</v>
      </c>
    </row>
    <row r="1053" spans="1:16" x14ac:dyDescent="0.2">
      <c r="A1053" t="s">
        <v>1474</v>
      </c>
      <c r="B1053" s="1">
        <v>45402</v>
      </c>
      <c r="C1053" s="1">
        <v>45434</v>
      </c>
      <c r="D1053" t="s">
        <v>528</v>
      </c>
      <c r="E1053" t="s">
        <v>18</v>
      </c>
      <c r="F1053" t="s">
        <v>34</v>
      </c>
      <c r="G1053" t="s">
        <v>20</v>
      </c>
      <c r="H1053" t="s">
        <v>40</v>
      </c>
      <c r="I1053" t="s">
        <v>26</v>
      </c>
      <c r="J1053">
        <v>4</v>
      </c>
      <c r="K1053">
        <v>3455000</v>
      </c>
      <c r="L1053">
        <v>8.6999999999999994E-2</v>
      </c>
      <c r="M1053" t="s">
        <v>23</v>
      </c>
      <c r="N1053">
        <v>12618000</v>
      </c>
      <c r="O1053">
        <v>3.9</v>
      </c>
      <c r="P1053" t="b">
        <v>0</v>
      </c>
    </row>
    <row r="1054" spans="1:16" x14ac:dyDescent="0.2">
      <c r="A1054" t="s">
        <v>1475</v>
      </c>
      <c r="B1054" s="1">
        <v>45819</v>
      </c>
      <c r="C1054" s="1">
        <v>45848</v>
      </c>
      <c r="D1054" t="s">
        <v>85</v>
      </c>
      <c r="E1054" t="s">
        <v>18</v>
      </c>
      <c r="F1054" t="s">
        <v>25</v>
      </c>
      <c r="G1054" t="s">
        <v>20</v>
      </c>
      <c r="H1054" t="s">
        <v>21</v>
      </c>
      <c r="I1054" t="s">
        <v>94</v>
      </c>
      <c r="J1054">
        <v>1</v>
      </c>
      <c r="K1054">
        <v>5925000</v>
      </c>
      <c r="L1054">
        <v>1.0999999999999999E-2</v>
      </c>
      <c r="M1054" t="s">
        <v>23</v>
      </c>
      <c r="N1054">
        <v>5860000</v>
      </c>
      <c r="O1054">
        <v>4.5</v>
      </c>
      <c r="P1054" t="b">
        <v>1</v>
      </c>
    </row>
    <row r="1055" spans="1:16" x14ac:dyDescent="0.2">
      <c r="A1055" t="s">
        <v>1476</v>
      </c>
      <c r="B1055" s="1">
        <v>45676</v>
      </c>
      <c r="C1055" s="1">
        <v>45713</v>
      </c>
      <c r="D1055" t="s">
        <v>253</v>
      </c>
      <c r="E1055" t="s">
        <v>33</v>
      </c>
      <c r="F1055" t="s">
        <v>19</v>
      </c>
      <c r="G1055" t="s">
        <v>35</v>
      </c>
      <c r="H1055" t="s">
        <v>47</v>
      </c>
      <c r="I1055" t="s">
        <v>83</v>
      </c>
      <c r="J1055">
        <v>1</v>
      </c>
      <c r="K1055">
        <v>3183000</v>
      </c>
      <c r="L1055">
        <v>0.19900000000000001</v>
      </c>
      <c r="M1055" t="s">
        <v>23</v>
      </c>
      <c r="N1055">
        <v>2550000</v>
      </c>
      <c r="O1055">
        <v>4.0999999999999996</v>
      </c>
      <c r="P1055" t="b">
        <v>1</v>
      </c>
    </row>
    <row r="1056" spans="1:16" x14ac:dyDescent="0.2">
      <c r="A1056" t="s">
        <v>1477</v>
      </c>
      <c r="B1056" s="1">
        <v>45403</v>
      </c>
      <c r="C1056" s="1">
        <v>45442</v>
      </c>
      <c r="D1056" t="s">
        <v>44</v>
      </c>
      <c r="E1056" t="s">
        <v>18</v>
      </c>
      <c r="F1056" t="s">
        <v>34</v>
      </c>
      <c r="G1056" t="s">
        <v>20</v>
      </c>
      <c r="H1056" t="s">
        <v>51</v>
      </c>
      <c r="I1056" t="s">
        <v>30</v>
      </c>
      <c r="J1056">
        <v>1</v>
      </c>
      <c r="K1056">
        <v>4654000</v>
      </c>
      <c r="L1056">
        <v>0.17499999999999999</v>
      </c>
      <c r="M1056" t="s">
        <v>23</v>
      </c>
      <c r="N1056">
        <v>3840000</v>
      </c>
      <c r="O1056">
        <v>4.4000000000000004</v>
      </c>
      <c r="P1056" t="b">
        <v>1</v>
      </c>
    </row>
    <row r="1057" spans="1:16" x14ac:dyDescent="0.2">
      <c r="A1057" t="s">
        <v>1478</v>
      </c>
      <c r="B1057" s="1">
        <v>45697</v>
      </c>
      <c r="C1057" s="1">
        <v>45721</v>
      </c>
      <c r="D1057" t="s">
        <v>417</v>
      </c>
      <c r="E1057" t="s">
        <v>45</v>
      </c>
      <c r="F1057" t="s">
        <v>34</v>
      </c>
      <c r="G1057" t="s">
        <v>20</v>
      </c>
      <c r="H1057" t="s">
        <v>51</v>
      </c>
      <c r="I1057" t="s">
        <v>77</v>
      </c>
      <c r="J1057">
        <v>1</v>
      </c>
      <c r="K1057">
        <v>5346000</v>
      </c>
      <c r="L1057">
        <v>4.0000000000000001E-3</v>
      </c>
      <c r="M1057" t="s">
        <v>23</v>
      </c>
      <c r="N1057">
        <v>5325000</v>
      </c>
      <c r="O1057">
        <v>3.5</v>
      </c>
      <c r="P1057" t="b">
        <v>1</v>
      </c>
    </row>
    <row r="1058" spans="1:16" x14ac:dyDescent="0.2">
      <c r="A1058" t="s">
        <v>1479</v>
      </c>
      <c r="B1058" s="1">
        <v>45549</v>
      </c>
      <c r="C1058" s="1">
        <v>45573</v>
      </c>
      <c r="D1058" t="s">
        <v>802</v>
      </c>
      <c r="E1058" t="s">
        <v>33</v>
      </c>
      <c r="F1058" t="s">
        <v>45</v>
      </c>
      <c r="G1058" t="s">
        <v>20</v>
      </c>
      <c r="H1058" t="s">
        <v>21</v>
      </c>
      <c r="I1058" t="s">
        <v>22</v>
      </c>
      <c r="J1058">
        <v>4</v>
      </c>
      <c r="K1058">
        <v>2222000</v>
      </c>
      <c r="L1058">
        <v>3.2000000000000001E-2</v>
      </c>
      <c r="M1058" t="s">
        <v>23</v>
      </c>
      <c r="N1058">
        <v>8604000</v>
      </c>
      <c r="O1058">
        <v>4.5999999999999996</v>
      </c>
      <c r="P1058" t="b">
        <v>1</v>
      </c>
    </row>
    <row r="1059" spans="1:16" x14ac:dyDescent="0.2">
      <c r="A1059" t="s">
        <v>1480</v>
      </c>
      <c r="B1059" s="1">
        <v>45330</v>
      </c>
      <c r="C1059" s="1">
        <v>45358</v>
      </c>
      <c r="D1059" t="s">
        <v>623</v>
      </c>
      <c r="E1059" t="s">
        <v>18</v>
      </c>
      <c r="F1059" t="s">
        <v>68</v>
      </c>
      <c r="G1059" t="s">
        <v>20</v>
      </c>
      <c r="H1059" t="s">
        <v>21</v>
      </c>
      <c r="I1059" t="s">
        <v>30</v>
      </c>
      <c r="J1059">
        <v>2</v>
      </c>
      <c r="K1059">
        <v>1997000</v>
      </c>
      <c r="L1059">
        <v>0.156</v>
      </c>
      <c r="M1059" t="s">
        <v>23</v>
      </c>
      <c r="N1059">
        <v>3371000</v>
      </c>
      <c r="O1059">
        <v>4.3</v>
      </c>
      <c r="P1059" t="b">
        <v>1</v>
      </c>
    </row>
    <row r="1060" spans="1:16" x14ac:dyDescent="0.2">
      <c r="A1060" t="s">
        <v>1481</v>
      </c>
      <c r="B1060" s="1">
        <v>45572</v>
      </c>
      <c r="C1060" s="1">
        <v>45619</v>
      </c>
      <c r="D1060" t="s">
        <v>298</v>
      </c>
      <c r="E1060" t="s">
        <v>45</v>
      </c>
      <c r="F1060" t="s">
        <v>34</v>
      </c>
      <c r="G1060" t="s">
        <v>50</v>
      </c>
      <c r="H1060" t="s">
        <v>40</v>
      </c>
      <c r="I1060" t="s">
        <v>57</v>
      </c>
      <c r="J1060">
        <v>1</v>
      </c>
      <c r="K1060">
        <v>4524000</v>
      </c>
      <c r="L1060">
        <v>0.10299999999999999</v>
      </c>
      <c r="M1060" t="s">
        <v>23</v>
      </c>
      <c r="N1060">
        <v>4058000</v>
      </c>
      <c r="O1060">
        <v>4.3</v>
      </c>
      <c r="P1060" t="b">
        <v>1</v>
      </c>
    </row>
    <row r="1061" spans="1:16" x14ac:dyDescent="0.2">
      <c r="A1061" t="s">
        <v>1482</v>
      </c>
      <c r="B1061" s="1">
        <v>45407</v>
      </c>
      <c r="C1061" s="1">
        <v>45444</v>
      </c>
      <c r="D1061" t="s">
        <v>591</v>
      </c>
      <c r="E1061" t="s">
        <v>33</v>
      </c>
      <c r="F1061" t="s">
        <v>68</v>
      </c>
      <c r="G1061" t="s">
        <v>50</v>
      </c>
      <c r="H1061" t="s">
        <v>40</v>
      </c>
      <c r="I1061" t="s">
        <v>94</v>
      </c>
      <c r="J1061">
        <v>1</v>
      </c>
      <c r="K1061">
        <v>1741000</v>
      </c>
      <c r="L1061">
        <v>0.12</v>
      </c>
      <c r="M1061" t="s">
        <v>23</v>
      </c>
      <c r="N1061">
        <v>1532000</v>
      </c>
      <c r="O1061">
        <v>5</v>
      </c>
      <c r="P1061" t="b">
        <v>0</v>
      </c>
    </row>
    <row r="1062" spans="1:16" x14ac:dyDescent="0.2">
      <c r="A1062" t="s">
        <v>1483</v>
      </c>
      <c r="B1062" s="1">
        <v>45444</v>
      </c>
      <c r="C1062" s="1">
        <v>45485</v>
      </c>
      <c r="D1062" t="s">
        <v>185</v>
      </c>
      <c r="E1062" t="s">
        <v>45</v>
      </c>
      <c r="F1062" t="s">
        <v>25</v>
      </c>
      <c r="G1062" t="s">
        <v>35</v>
      </c>
      <c r="H1062" t="s">
        <v>40</v>
      </c>
      <c r="I1062" t="s">
        <v>52</v>
      </c>
      <c r="J1062">
        <v>1</v>
      </c>
      <c r="K1062">
        <v>5049000</v>
      </c>
      <c r="L1062">
        <v>8.5000000000000006E-2</v>
      </c>
      <c r="M1062" t="s">
        <v>23</v>
      </c>
      <c r="N1062">
        <v>4620000</v>
      </c>
      <c r="O1062">
        <v>4</v>
      </c>
      <c r="P1062" t="b">
        <v>0</v>
      </c>
    </row>
    <row r="1063" spans="1:16" x14ac:dyDescent="0.2">
      <c r="A1063" t="s">
        <v>1484</v>
      </c>
      <c r="B1063" s="1">
        <v>45839</v>
      </c>
      <c r="C1063" s="1">
        <v>45907</v>
      </c>
      <c r="D1063" t="s">
        <v>705</v>
      </c>
      <c r="E1063" t="s">
        <v>33</v>
      </c>
      <c r="F1063" t="s">
        <v>45</v>
      </c>
      <c r="G1063" t="s">
        <v>20</v>
      </c>
      <c r="H1063" t="s">
        <v>21</v>
      </c>
      <c r="I1063" t="s">
        <v>94</v>
      </c>
      <c r="J1063">
        <v>4</v>
      </c>
      <c r="K1063">
        <v>2247000</v>
      </c>
      <c r="L1063">
        <v>0.13800000000000001</v>
      </c>
      <c r="M1063" t="s">
        <v>23</v>
      </c>
      <c r="N1063">
        <v>7748000</v>
      </c>
      <c r="O1063">
        <v>4.4000000000000004</v>
      </c>
      <c r="P1063" t="b">
        <v>1</v>
      </c>
    </row>
    <row r="1064" spans="1:16" x14ac:dyDescent="0.2">
      <c r="A1064" t="s">
        <v>1485</v>
      </c>
      <c r="B1064" s="1">
        <v>45734</v>
      </c>
      <c r="C1064" s="1">
        <v>45763</v>
      </c>
      <c r="D1064" t="s">
        <v>363</v>
      </c>
      <c r="E1064" t="s">
        <v>45</v>
      </c>
      <c r="F1064" t="s">
        <v>45</v>
      </c>
      <c r="G1064" t="s">
        <v>35</v>
      </c>
      <c r="H1064" t="s">
        <v>21</v>
      </c>
      <c r="I1064" t="s">
        <v>60</v>
      </c>
      <c r="J1064">
        <v>4</v>
      </c>
      <c r="K1064">
        <v>2236000</v>
      </c>
      <c r="L1064">
        <v>5.8999999999999997E-2</v>
      </c>
      <c r="M1064" t="s">
        <v>23</v>
      </c>
      <c r="N1064">
        <v>8416000</v>
      </c>
      <c r="O1064">
        <v>4.3</v>
      </c>
      <c r="P1064" t="b">
        <v>1</v>
      </c>
    </row>
    <row r="1065" spans="1:16" x14ac:dyDescent="0.2">
      <c r="A1065" t="s">
        <v>1486</v>
      </c>
      <c r="B1065" s="1">
        <v>45375</v>
      </c>
      <c r="C1065" s="1">
        <v>45458</v>
      </c>
      <c r="D1065" t="s">
        <v>493</v>
      </c>
      <c r="E1065" t="s">
        <v>29</v>
      </c>
      <c r="F1065" t="s">
        <v>45</v>
      </c>
      <c r="G1065" t="s">
        <v>50</v>
      </c>
      <c r="H1065" t="s">
        <v>21</v>
      </c>
      <c r="I1065" t="s">
        <v>22</v>
      </c>
      <c r="J1065">
        <v>2</v>
      </c>
      <c r="K1065">
        <v>3114000</v>
      </c>
      <c r="L1065">
        <v>0.08</v>
      </c>
      <c r="M1065" t="s">
        <v>23</v>
      </c>
      <c r="N1065">
        <v>5730000</v>
      </c>
      <c r="O1065">
        <v>4.3</v>
      </c>
      <c r="P1065" t="b">
        <v>1</v>
      </c>
    </row>
    <row r="1066" spans="1:16" x14ac:dyDescent="0.2">
      <c r="A1066" t="s">
        <v>1487</v>
      </c>
      <c r="B1066" s="1">
        <v>45822</v>
      </c>
      <c r="C1066" s="1">
        <v>45892</v>
      </c>
      <c r="D1066" t="s">
        <v>122</v>
      </c>
      <c r="E1066" t="s">
        <v>45</v>
      </c>
      <c r="F1066" t="s">
        <v>39</v>
      </c>
      <c r="G1066" t="s">
        <v>50</v>
      </c>
      <c r="H1066" t="s">
        <v>21</v>
      </c>
      <c r="I1066" t="s">
        <v>94</v>
      </c>
      <c r="J1066">
        <v>1</v>
      </c>
      <c r="K1066">
        <v>1463000</v>
      </c>
      <c r="L1066">
        <v>8.9999999999999993E-3</v>
      </c>
      <c r="M1066" t="s">
        <v>65</v>
      </c>
      <c r="N1066">
        <v>0</v>
      </c>
      <c r="P1066" t="b">
        <v>1</v>
      </c>
    </row>
    <row r="1067" spans="1:16" x14ac:dyDescent="0.2">
      <c r="A1067" t="s">
        <v>1488</v>
      </c>
      <c r="B1067" s="1">
        <v>45649</v>
      </c>
      <c r="C1067" s="1">
        <v>45673</v>
      </c>
      <c r="D1067" t="s">
        <v>582</v>
      </c>
      <c r="E1067" t="s">
        <v>33</v>
      </c>
      <c r="F1067" t="s">
        <v>25</v>
      </c>
      <c r="G1067" t="s">
        <v>20</v>
      </c>
      <c r="H1067" t="s">
        <v>21</v>
      </c>
      <c r="I1067" t="s">
        <v>77</v>
      </c>
      <c r="J1067">
        <v>1</v>
      </c>
      <c r="K1067">
        <v>4291000</v>
      </c>
      <c r="L1067">
        <v>0.19800000000000001</v>
      </c>
      <c r="M1067" t="s">
        <v>23</v>
      </c>
      <c r="N1067">
        <v>3441000</v>
      </c>
      <c r="O1067">
        <v>4.2</v>
      </c>
      <c r="P1067" t="b">
        <v>1</v>
      </c>
    </row>
    <row r="1068" spans="1:16" x14ac:dyDescent="0.2">
      <c r="A1068" t="s">
        <v>1489</v>
      </c>
      <c r="B1068" s="1">
        <v>45836</v>
      </c>
      <c r="C1068" s="1">
        <v>45871</v>
      </c>
      <c r="D1068" t="s">
        <v>393</v>
      </c>
      <c r="E1068" t="s">
        <v>18</v>
      </c>
      <c r="F1068" t="s">
        <v>25</v>
      </c>
      <c r="G1068" t="s">
        <v>20</v>
      </c>
      <c r="H1068" t="s">
        <v>51</v>
      </c>
      <c r="I1068" t="s">
        <v>94</v>
      </c>
      <c r="J1068">
        <v>1</v>
      </c>
      <c r="K1068">
        <v>3601000</v>
      </c>
      <c r="L1068">
        <v>7.6999999999999999E-2</v>
      </c>
      <c r="M1068" t="s">
        <v>23</v>
      </c>
      <c r="N1068">
        <v>3324000</v>
      </c>
      <c r="O1068">
        <v>3.9</v>
      </c>
      <c r="P1068" t="b">
        <v>1</v>
      </c>
    </row>
    <row r="1069" spans="1:16" x14ac:dyDescent="0.2">
      <c r="A1069" t="s">
        <v>1490</v>
      </c>
      <c r="B1069" s="1">
        <v>45757</v>
      </c>
      <c r="C1069" s="1">
        <v>45781</v>
      </c>
      <c r="D1069" t="s">
        <v>567</v>
      </c>
      <c r="E1069" t="s">
        <v>18</v>
      </c>
      <c r="F1069" t="s">
        <v>19</v>
      </c>
      <c r="G1069" t="s">
        <v>50</v>
      </c>
      <c r="H1069" t="s">
        <v>21</v>
      </c>
      <c r="I1069" t="s">
        <v>83</v>
      </c>
      <c r="J1069">
        <v>3</v>
      </c>
      <c r="K1069">
        <v>1627000</v>
      </c>
      <c r="L1069">
        <v>7.0999999999999994E-2</v>
      </c>
      <c r="M1069" t="s">
        <v>65</v>
      </c>
      <c r="N1069">
        <v>0</v>
      </c>
      <c r="P1069" t="b">
        <v>1</v>
      </c>
    </row>
    <row r="1070" spans="1:16" x14ac:dyDescent="0.2">
      <c r="A1070" t="s">
        <v>1491</v>
      </c>
      <c r="B1070" s="1">
        <v>45503</v>
      </c>
      <c r="C1070" s="1">
        <v>45535</v>
      </c>
      <c r="D1070" t="s">
        <v>363</v>
      </c>
      <c r="E1070" t="s">
        <v>45</v>
      </c>
      <c r="F1070" t="s">
        <v>34</v>
      </c>
      <c r="G1070" t="s">
        <v>50</v>
      </c>
      <c r="H1070" t="s">
        <v>40</v>
      </c>
      <c r="I1070" t="s">
        <v>57</v>
      </c>
      <c r="J1070">
        <v>2</v>
      </c>
      <c r="K1070">
        <v>5055000</v>
      </c>
      <c r="L1070">
        <v>9.1999999999999998E-2</v>
      </c>
      <c r="M1070" t="s">
        <v>23</v>
      </c>
      <c r="N1070">
        <v>9180000</v>
      </c>
      <c r="O1070">
        <v>4</v>
      </c>
      <c r="P1070" t="b">
        <v>1</v>
      </c>
    </row>
    <row r="1071" spans="1:16" x14ac:dyDescent="0.2">
      <c r="A1071" t="s">
        <v>1492</v>
      </c>
      <c r="B1071" s="1">
        <v>45625</v>
      </c>
      <c r="C1071" s="1">
        <v>45664</v>
      </c>
      <c r="D1071" t="s">
        <v>1493</v>
      </c>
      <c r="E1071" t="s">
        <v>45</v>
      </c>
      <c r="F1071" t="s">
        <v>45</v>
      </c>
      <c r="G1071" t="s">
        <v>20</v>
      </c>
      <c r="H1071" t="s">
        <v>51</v>
      </c>
      <c r="I1071" t="s">
        <v>22</v>
      </c>
      <c r="J1071">
        <v>2</v>
      </c>
      <c r="K1071">
        <v>2349000</v>
      </c>
      <c r="L1071">
        <v>0.254</v>
      </c>
      <c r="M1071" t="s">
        <v>23</v>
      </c>
      <c r="N1071">
        <v>3505000</v>
      </c>
      <c r="O1071">
        <v>3.4</v>
      </c>
      <c r="P1071" t="b">
        <v>0</v>
      </c>
    </row>
    <row r="1072" spans="1:16" x14ac:dyDescent="0.2">
      <c r="A1072" t="s">
        <v>1494</v>
      </c>
      <c r="B1072" s="1">
        <v>45622</v>
      </c>
      <c r="C1072" s="1">
        <v>45642</v>
      </c>
      <c r="D1072" t="s">
        <v>905</v>
      </c>
      <c r="E1072" t="s">
        <v>18</v>
      </c>
      <c r="F1072" t="s">
        <v>34</v>
      </c>
      <c r="G1072" t="s">
        <v>50</v>
      </c>
      <c r="H1072" t="s">
        <v>21</v>
      </c>
      <c r="I1072" t="s">
        <v>30</v>
      </c>
      <c r="J1072">
        <v>2</v>
      </c>
      <c r="K1072">
        <v>4299000</v>
      </c>
      <c r="L1072">
        <v>5.0999999999999997E-2</v>
      </c>
      <c r="M1072" t="s">
        <v>23</v>
      </c>
      <c r="N1072">
        <v>8160000</v>
      </c>
      <c r="O1072">
        <v>3.8</v>
      </c>
      <c r="P1072" t="b">
        <v>1</v>
      </c>
    </row>
    <row r="1073" spans="1:16" x14ac:dyDescent="0.2">
      <c r="A1073" t="s">
        <v>1495</v>
      </c>
      <c r="B1073" s="1">
        <v>45740</v>
      </c>
      <c r="C1073" s="1">
        <v>45751</v>
      </c>
      <c r="D1073" t="s">
        <v>103</v>
      </c>
      <c r="E1073" t="s">
        <v>18</v>
      </c>
      <c r="F1073" t="s">
        <v>19</v>
      </c>
      <c r="G1073" t="s">
        <v>20</v>
      </c>
      <c r="H1073" t="s">
        <v>21</v>
      </c>
      <c r="I1073" t="s">
        <v>30</v>
      </c>
      <c r="J1073">
        <v>1</v>
      </c>
      <c r="K1073">
        <v>2000000</v>
      </c>
      <c r="L1073">
        <v>0.153</v>
      </c>
      <c r="M1073" t="s">
        <v>23</v>
      </c>
      <c r="N1073">
        <v>1694000</v>
      </c>
      <c r="O1073">
        <v>3.6</v>
      </c>
      <c r="P1073" t="b">
        <v>1</v>
      </c>
    </row>
    <row r="1074" spans="1:16" x14ac:dyDescent="0.2">
      <c r="A1074" t="s">
        <v>1496</v>
      </c>
      <c r="B1074" s="1">
        <v>45446</v>
      </c>
      <c r="C1074" s="1">
        <v>45491</v>
      </c>
      <c r="D1074" t="s">
        <v>198</v>
      </c>
      <c r="E1074" t="s">
        <v>18</v>
      </c>
      <c r="F1074" t="s">
        <v>34</v>
      </c>
      <c r="G1074" t="s">
        <v>20</v>
      </c>
      <c r="H1074" t="s">
        <v>40</v>
      </c>
      <c r="I1074" t="s">
        <v>99</v>
      </c>
      <c r="J1074">
        <v>1</v>
      </c>
      <c r="K1074">
        <v>4829000</v>
      </c>
      <c r="L1074">
        <v>4.2999999999999997E-2</v>
      </c>
      <c r="M1074" t="s">
        <v>23</v>
      </c>
      <c r="N1074">
        <v>4621000</v>
      </c>
      <c r="O1074">
        <v>3.3</v>
      </c>
      <c r="P1074" t="b">
        <v>0</v>
      </c>
    </row>
    <row r="1075" spans="1:16" x14ac:dyDescent="0.2">
      <c r="A1075" t="s">
        <v>1497</v>
      </c>
      <c r="B1075" s="1">
        <v>45499</v>
      </c>
      <c r="C1075" s="1">
        <v>45565</v>
      </c>
      <c r="D1075" t="s">
        <v>719</v>
      </c>
      <c r="E1075" t="s">
        <v>33</v>
      </c>
      <c r="F1075" t="s">
        <v>34</v>
      </c>
      <c r="G1075" t="s">
        <v>50</v>
      </c>
      <c r="H1075" t="s">
        <v>21</v>
      </c>
      <c r="I1075" t="s">
        <v>99</v>
      </c>
      <c r="J1075">
        <v>2</v>
      </c>
      <c r="K1075">
        <v>4569000</v>
      </c>
      <c r="L1075">
        <v>0.125</v>
      </c>
      <c r="M1075" t="s">
        <v>23</v>
      </c>
      <c r="N1075">
        <v>7996000</v>
      </c>
      <c r="O1075">
        <v>4</v>
      </c>
      <c r="P1075" t="b">
        <v>0</v>
      </c>
    </row>
    <row r="1076" spans="1:16" x14ac:dyDescent="0.2">
      <c r="A1076" t="s">
        <v>1498</v>
      </c>
      <c r="B1076" s="1">
        <v>45444</v>
      </c>
      <c r="C1076" s="1">
        <v>45478</v>
      </c>
      <c r="D1076" t="s">
        <v>393</v>
      </c>
      <c r="E1076" t="s">
        <v>18</v>
      </c>
      <c r="F1076" t="s">
        <v>45</v>
      </c>
      <c r="G1076" t="s">
        <v>35</v>
      </c>
      <c r="H1076" t="s">
        <v>21</v>
      </c>
      <c r="I1076" t="s">
        <v>26</v>
      </c>
      <c r="J1076">
        <v>2</v>
      </c>
      <c r="K1076">
        <v>3340000</v>
      </c>
      <c r="L1076">
        <v>0</v>
      </c>
      <c r="M1076" t="s">
        <v>23</v>
      </c>
      <c r="N1076">
        <v>6680000</v>
      </c>
      <c r="O1076">
        <v>4.2</v>
      </c>
      <c r="P1076" t="b">
        <v>1</v>
      </c>
    </row>
    <row r="1077" spans="1:16" x14ac:dyDescent="0.2">
      <c r="A1077" t="s">
        <v>1499</v>
      </c>
      <c r="B1077" s="1">
        <v>45476</v>
      </c>
      <c r="C1077" s="1">
        <v>45555</v>
      </c>
      <c r="D1077" t="s">
        <v>98</v>
      </c>
      <c r="E1077" t="s">
        <v>18</v>
      </c>
      <c r="F1077" t="s">
        <v>45</v>
      </c>
      <c r="G1077" t="s">
        <v>20</v>
      </c>
      <c r="H1077" t="s">
        <v>47</v>
      </c>
      <c r="I1077" t="s">
        <v>94</v>
      </c>
      <c r="J1077">
        <v>3</v>
      </c>
      <c r="K1077">
        <v>3767000</v>
      </c>
      <c r="L1077">
        <v>0.12</v>
      </c>
      <c r="M1077" t="s">
        <v>65</v>
      </c>
      <c r="N1077">
        <v>0</v>
      </c>
      <c r="P1077" t="b">
        <v>0</v>
      </c>
    </row>
    <row r="1078" spans="1:16" x14ac:dyDescent="0.2">
      <c r="A1078" t="s">
        <v>1500</v>
      </c>
      <c r="B1078" s="1">
        <v>45392</v>
      </c>
      <c r="C1078" s="1">
        <v>45431</v>
      </c>
      <c r="D1078" t="s">
        <v>318</v>
      </c>
      <c r="E1078" t="s">
        <v>45</v>
      </c>
      <c r="F1078" t="s">
        <v>19</v>
      </c>
      <c r="G1078" t="s">
        <v>50</v>
      </c>
      <c r="H1078" t="s">
        <v>47</v>
      </c>
      <c r="I1078" t="s">
        <v>60</v>
      </c>
      <c r="J1078">
        <v>3</v>
      </c>
      <c r="K1078">
        <v>3453000</v>
      </c>
      <c r="L1078">
        <v>0.123</v>
      </c>
      <c r="M1078" t="s">
        <v>23</v>
      </c>
      <c r="N1078">
        <v>9085000</v>
      </c>
      <c r="O1078">
        <v>4.5</v>
      </c>
      <c r="P1078" t="b">
        <v>1</v>
      </c>
    </row>
    <row r="1079" spans="1:16" x14ac:dyDescent="0.2">
      <c r="A1079" t="s">
        <v>1501</v>
      </c>
      <c r="B1079" s="1">
        <v>45314</v>
      </c>
      <c r="C1079" s="1">
        <v>45396</v>
      </c>
      <c r="D1079" t="s">
        <v>161</v>
      </c>
      <c r="E1079" t="s">
        <v>45</v>
      </c>
      <c r="F1079" t="s">
        <v>34</v>
      </c>
      <c r="G1079" t="s">
        <v>50</v>
      </c>
      <c r="H1079" t="s">
        <v>47</v>
      </c>
      <c r="I1079" t="s">
        <v>77</v>
      </c>
      <c r="J1079">
        <v>3</v>
      </c>
      <c r="K1079">
        <v>3098000</v>
      </c>
      <c r="L1079">
        <v>0.22800000000000001</v>
      </c>
      <c r="M1079" t="s">
        <v>65</v>
      </c>
      <c r="N1079">
        <v>0</v>
      </c>
      <c r="P1079" t="b">
        <v>0</v>
      </c>
    </row>
    <row r="1080" spans="1:16" x14ac:dyDescent="0.2">
      <c r="A1080" t="s">
        <v>1502</v>
      </c>
      <c r="B1080" s="1">
        <v>45877</v>
      </c>
      <c r="C1080" s="1">
        <v>45906</v>
      </c>
      <c r="D1080" t="s">
        <v>249</v>
      </c>
      <c r="E1080" t="s">
        <v>18</v>
      </c>
      <c r="F1080" t="s">
        <v>19</v>
      </c>
      <c r="G1080" t="s">
        <v>20</v>
      </c>
      <c r="H1080" t="s">
        <v>51</v>
      </c>
      <c r="J1080">
        <v>1</v>
      </c>
      <c r="K1080">
        <v>3244000</v>
      </c>
      <c r="L1080">
        <v>1.2E-2</v>
      </c>
      <c r="M1080" t="s">
        <v>23</v>
      </c>
      <c r="N1080">
        <v>3205000</v>
      </c>
      <c r="O1080">
        <v>3.8</v>
      </c>
      <c r="P1080" t="b">
        <v>1</v>
      </c>
    </row>
    <row r="1081" spans="1:16" x14ac:dyDescent="0.2">
      <c r="A1081" t="s">
        <v>1503</v>
      </c>
      <c r="B1081" s="1">
        <v>45338</v>
      </c>
      <c r="C1081" s="1">
        <v>45391</v>
      </c>
      <c r="D1081" t="s">
        <v>1107</v>
      </c>
      <c r="E1081" t="s">
        <v>29</v>
      </c>
      <c r="F1081" t="s">
        <v>19</v>
      </c>
      <c r="G1081" t="s">
        <v>35</v>
      </c>
      <c r="H1081" t="s">
        <v>21</v>
      </c>
      <c r="I1081" t="s">
        <v>83</v>
      </c>
      <c r="J1081">
        <v>2</v>
      </c>
      <c r="K1081">
        <v>2598000</v>
      </c>
      <c r="L1081">
        <v>0.10299999999999999</v>
      </c>
      <c r="M1081" t="s">
        <v>23</v>
      </c>
      <c r="N1081">
        <v>4661000</v>
      </c>
      <c r="O1081">
        <v>4.5999999999999996</v>
      </c>
      <c r="P1081" t="b">
        <v>0</v>
      </c>
    </row>
    <row r="1082" spans="1:16" x14ac:dyDescent="0.2">
      <c r="A1082" t="s">
        <v>1504</v>
      </c>
      <c r="B1082" s="1">
        <v>45845</v>
      </c>
      <c r="C1082" s="1">
        <v>45916</v>
      </c>
      <c r="D1082" t="s">
        <v>617</v>
      </c>
      <c r="E1082" t="s">
        <v>45</v>
      </c>
      <c r="F1082" t="s">
        <v>45</v>
      </c>
      <c r="G1082" t="s">
        <v>50</v>
      </c>
      <c r="H1082" t="s">
        <v>47</v>
      </c>
      <c r="I1082" t="s">
        <v>60</v>
      </c>
      <c r="J1082">
        <v>3</v>
      </c>
      <c r="K1082">
        <v>3293000</v>
      </c>
      <c r="L1082">
        <v>0.19700000000000001</v>
      </c>
      <c r="M1082" t="s">
        <v>23</v>
      </c>
      <c r="N1082">
        <v>7933000</v>
      </c>
      <c r="O1082">
        <v>4.9000000000000004</v>
      </c>
      <c r="P1082" t="b">
        <v>1</v>
      </c>
    </row>
    <row r="1083" spans="1:16" x14ac:dyDescent="0.2">
      <c r="A1083" t="s">
        <v>1505</v>
      </c>
      <c r="B1083" s="1">
        <v>45293</v>
      </c>
      <c r="C1083" s="1">
        <v>45307</v>
      </c>
      <c r="D1083" t="s">
        <v>429</v>
      </c>
      <c r="E1083" t="s">
        <v>18</v>
      </c>
      <c r="F1083" t="s">
        <v>25</v>
      </c>
      <c r="G1083" t="s">
        <v>35</v>
      </c>
      <c r="H1083" t="s">
        <v>40</v>
      </c>
      <c r="I1083" t="s">
        <v>60</v>
      </c>
      <c r="J1083">
        <v>2</v>
      </c>
      <c r="K1083">
        <v>6569000</v>
      </c>
      <c r="L1083">
        <v>0.105</v>
      </c>
      <c r="M1083" t="s">
        <v>23</v>
      </c>
      <c r="N1083">
        <v>11759000</v>
      </c>
      <c r="O1083">
        <v>4.4000000000000004</v>
      </c>
      <c r="P1083" t="b">
        <v>0</v>
      </c>
    </row>
    <row r="1084" spans="1:16" x14ac:dyDescent="0.2">
      <c r="A1084" t="s">
        <v>1506</v>
      </c>
      <c r="B1084" s="1">
        <v>45776</v>
      </c>
      <c r="C1084" s="1">
        <v>45861</v>
      </c>
      <c r="D1084" t="s">
        <v>132</v>
      </c>
      <c r="E1084" t="s">
        <v>45</v>
      </c>
      <c r="F1084" t="s">
        <v>25</v>
      </c>
      <c r="G1084" t="s">
        <v>46</v>
      </c>
      <c r="H1084" t="s">
        <v>40</v>
      </c>
      <c r="I1084" t="s">
        <v>22</v>
      </c>
      <c r="J1084">
        <v>1</v>
      </c>
      <c r="K1084">
        <v>3323000</v>
      </c>
      <c r="L1084">
        <v>5.2999999999999999E-2</v>
      </c>
      <c r="M1084" t="s">
        <v>23</v>
      </c>
      <c r="N1084">
        <v>3147000</v>
      </c>
      <c r="O1084">
        <v>4.4000000000000004</v>
      </c>
      <c r="P1084" t="b">
        <v>1</v>
      </c>
    </row>
    <row r="1085" spans="1:16" x14ac:dyDescent="0.2">
      <c r="A1085" t="s">
        <v>1507</v>
      </c>
      <c r="B1085" s="1">
        <v>45496</v>
      </c>
      <c r="C1085" s="1">
        <v>45535</v>
      </c>
      <c r="D1085" t="s">
        <v>435</v>
      </c>
      <c r="E1085" t="s">
        <v>18</v>
      </c>
      <c r="F1085" t="s">
        <v>25</v>
      </c>
      <c r="G1085" t="s">
        <v>35</v>
      </c>
      <c r="H1085" t="s">
        <v>47</v>
      </c>
      <c r="I1085" t="s">
        <v>99</v>
      </c>
      <c r="J1085">
        <v>2</v>
      </c>
      <c r="K1085">
        <v>4857000</v>
      </c>
      <c r="L1085">
        <v>2.7E-2</v>
      </c>
      <c r="M1085" t="s">
        <v>23</v>
      </c>
      <c r="N1085">
        <v>9452000</v>
      </c>
      <c r="O1085">
        <v>3.6</v>
      </c>
      <c r="P1085" t="b">
        <v>1</v>
      </c>
    </row>
    <row r="1086" spans="1:16" x14ac:dyDescent="0.2">
      <c r="A1086" t="s">
        <v>1508</v>
      </c>
      <c r="B1086" s="1">
        <v>45614</v>
      </c>
      <c r="C1086" s="1">
        <v>45664</v>
      </c>
      <c r="D1086" t="s">
        <v>169</v>
      </c>
      <c r="E1086" t="s">
        <v>29</v>
      </c>
      <c r="F1086" t="s">
        <v>68</v>
      </c>
      <c r="G1086" t="s">
        <v>20</v>
      </c>
      <c r="H1086" t="s">
        <v>47</v>
      </c>
      <c r="I1086" t="s">
        <v>30</v>
      </c>
      <c r="J1086">
        <v>1</v>
      </c>
      <c r="K1086">
        <v>2970000</v>
      </c>
      <c r="L1086">
        <v>6.4000000000000001E-2</v>
      </c>
      <c r="M1086" t="s">
        <v>65</v>
      </c>
      <c r="N1086">
        <v>0</v>
      </c>
      <c r="P1086" t="b">
        <v>1</v>
      </c>
    </row>
    <row r="1087" spans="1:16" x14ac:dyDescent="0.2">
      <c r="A1087" t="s">
        <v>1509</v>
      </c>
      <c r="B1087" s="1">
        <v>45467</v>
      </c>
      <c r="C1087" s="1">
        <v>45527</v>
      </c>
      <c r="D1087" t="s">
        <v>384</v>
      </c>
      <c r="E1087" t="s">
        <v>45</v>
      </c>
      <c r="F1087" t="s">
        <v>45</v>
      </c>
      <c r="G1087" t="s">
        <v>20</v>
      </c>
      <c r="H1087" t="s">
        <v>47</v>
      </c>
      <c r="I1087" t="s">
        <v>22</v>
      </c>
      <c r="J1087">
        <v>5</v>
      </c>
      <c r="K1087">
        <v>2046000</v>
      </c>
      <c r="L1087">
        <v>0</v>
      </c>
      <c r="M1087" t="s">
        <v>23</v>
      </c>
      <c r="N1087">
        <v>10230000</v>
      </c>
      <c r="O1087">
        <v>5</v>
      </c>
      <c r="P1087" t="b">
        <v>1</v>
      </c>
    </row>
    <row r="1088" spans="1:16" x14ac:dyDescent="0.2">
      <c r="A1088" t="s">
        <v>1510</v>
      </c>
      <c r="B1088" s="1">
        <v>45597</v>
      </c>
      <c r="C1088" s="1">
        <v>45659</v>
      </c>
      <c r="D1088" t="s">
        <v>134</v>
      </c>
      <c r="E1088" t="s">
        <v>29</v>
      </c>
      <c r="F1088" t="s">
        <v>25</v>
      </c>
      <c r="G1088" t="s">
        <v>50</v>
      </c>
      <c r="H1088" t="s">
        <v>21</v>
      </c>
      <c r="I1088" t="s">
        <v>83</v>
      </c>
      <c r="J1088">
        <v>3</v>
      </c>
      <c r="K1088">
        <v>5676000</v>
      </c>
      <c r="L1088">
        <v>8.2000000000000003E-2</v>
      </c>
      <c r="M1088" t="s">
        <v>23</v>
      </c>
      <c r="N1088">
        <v>15632000</v>
      </c>
      <c r="O1088">
        <v>4.4000000000000004</v>
      </c>
      <c r="P1088" t="b">
        <v>1</v>
      </c>
    </row>
    <row r="1089" spans="1:16" x14ac:dyDescent="0.2">
      <c r="A1089" t="s">
        <v>1511</v>
      </c>
      <c r="B1089" s="1">
        <v>45573</v>
      </c>
      <c r="C1089" s="1">
        <v>45584</v>
      </c>
      <c r="D1089" t="s">
        <v>220</v>
      </c>
      <c r="E1089" t="s">
        <v>45</v>
      </c>
      <c r="F1089" t="s">
        <v>25</v>
      </c>
      <c r="G1089" t="s">
        <v>46</v>
      </c>
      <c r="H1089" t="s">
        <v>40</v>
      </c>
      <c r="I1089" t="s">
        <v>52</v>
      </c>
      <c r="J1089">
        <v>1</v>
      </c>
      <c r="K1089">
        <v>3662000</v>
      </c>
      <c r="L1089">
        <v>6.0999999999999999E-2</v>
      </c>
      <c r="M1089" t="s">
        <v>65</v>
      </c>
      <c r="N1089">
        <v>0</v>
      </c>
      <c r="P1089" t="b">
        <v>1</v>
      </c>
    </row>
    <row r="1090" spans="1:16" x14ac:dyDescent="0.2">
      <c r="A1090" t="s">
        <v>1512</v>
      </c>
      <c r="B1090" s="1">
        <v>45622</v>
      </c>
      <c r="C1090" s="1">
        <v>45702</v>
      </c>
      <c r="D1090" t="s">
        <v>1010</v>
      </c>
      <c r="E1090" t="s">
        <v>33</v>
      </c>
      <c r="F1090" t="s">
        <v>34</v>
      </c>
      <c r="G1090" t="s">
        <v>20</v>
      </c>
      <c r="H1090" t="s">
        <v>21</v>
      </c>
      <c r="I1090" t="s">
        <v>52</v>
      </c>
      <c r="J1090">
        <v>2</v>
      </c>
      <c r="K1090">
        <v>-100000</v>
      </c>
      <c r="L1090">
        <v>0.127</v>
      </c>
      <c r="M1090" t="s">
        <v>23</v>
      </c>
      <c r="N1090">
        <v>5908000</v>
      </c>
      <c r="O1090">
        <v>4.0999999999999996</v>
      </c>
      <c r="P1090" t="b">
        <v>1</v>
      </c>
    </row>
    <row r="1091" spans="1:16" x14ac:dyDescent="0.2">
      <c r="A1091" t="s">
        <v>1513</v>
      </c>
      <c r="B1091" s="1">
        <v>45537</v>
      </c>
      <c r="C1091" s="1">
        <v>45597</v>
      </c>
      <c r="D1091" t="s">
        <v>354</v>
      </c>
      <c r="E1091" t="s">
        <v>18</v>
      </c>
      <c r="F1091" t="s">
        <v>80</v>
      </c>
      <c r="G1091" t="s">
        <v>20</v>
      </c>
      <c r="H1091" t="s">
        <v>40</v>
      </c>
      <c r="I1091" t="s">
        <v>99</v>
      </c>
      <c r="J1091">
        <v>1</v>
      </c>
      <c r="K1091">
        <v>2194000</v>
      </c>
      <c r="L1091">
        <v>7.2999999999999995E-2</v>
      </c>
      <c r="M1091" t="s">
        <v>23</v>
      </c>
      <c r="N1091">
        <v>2034000</v>
      </c>
      <c r="O1091">
        <v>4</v>
      </c>
      <c r="P1091" t="b">
        <v>1</v>
      </c>
    </row>
    <row r="1092" spans="1:16" x14ac:dyDescent="0.2">
      <c r="A1092" t="s">
        <v>1514</v>
      </c>
      <c r="B1092" s="1">
        <v>45626</v>
      </c>
      <c r="C1092" s="1">
        <v>45716</v>
      </c>
      <c r="D1092" t="s">
        <v>500</v>
      </c>
      <c r="E1092" t="s">
        <v>45</v>
      </c>
      <c r="F1092" t="s">
        <v>19</v>
      </c>
      <c r="G1092" t="s">
        <v>50</v>
      </c>
      <c r="H1092" t="s">
        <v>47</v>
      </c>
      <c r="I1092" t="s">
        <v>52</v>
      </c>
      <c r="J1092">
        <v>2</v>
      </c>
      <c r="K1092">
        <v>1735000</v>
      </c>
      <c r="L1092">
        <v>9.0999999999999998E-2</v>
      </c>
      <c r="M1092" t="s">
        <v>23</v>
      </c>
      <c r="N1092">
        <v>3154000</v>
      </c>
      <c r="O1092">
        <v>4</v>
      </c>
      <c r="P1092" t="b">
        <v>1</v>
      </c>
    </row>
    <row r="1093" spans="1:16" x14ac:dyDescent="0.2">
      <c r="A1093" t="s">
        <v>1515</v>
      </c>
      <c r="B1093" s="1">
        <v>45806</v>
      </c>
      <c r="C1093" s="1">
        <v>45854</v>
      </c>
      <c r="D1093" t="s">
        <v>146</v>
      </c>
      <c r="E1093" t="s">
        <v>33</v>
      </c>
      <c r="F1093" t="s">
        <v>19</v>
      </c>
      <c r="G1093" t="s">
        <v>20</v>
      </c>
      <c r="H1093" t="s">
        <v>47</v>
      </c>
      <c r="J1093">
        <v>1</v>
      </c>
      <c r="K1093">
        <v>2790000</v>
      </c>
      <c r="L1093">
        <v>4.2000000000000003E-2</v>
      </c>
      <c r="M1093" t="s">
        <v>65</v>
      </c>
      <c r="N1093">
        <v>0</v>
      </c>
      <c r="P1093" t="b">
        <v>1</v>
      </c>
    </row>
    <row r="1094" spans="1:16" x14ac:dyDescent="0.2">
      <c r="A1094" t="s">
        <v>1516</v>
      </c>
      <c r="B1094" s="1">
        <v>45562</v>
      </c>
      <c r="C1094" s="1">
        <v>45621</v>
      </c>
      <c r="D1094" t="s">
        <v>165</v>
      </c>
      <c r="E1094" t="s">
        <v>18</v>
      </c>
      <c r="F1094" t="s">
        <v>68</v>
      </c>
      <c r="G1094" t="s">
        <v>20</v>
      </c>
      <c r="H1094" t="s">
        <v>21</v>
      </c>
      <c r="I1094" t="s">
        <v>26</v>
      </c>
      <c r="J1094">
        <v>1</v>
      </c>
      <c r="K1094">
        <v>2969000</v>
      </c>
      <c r="L1094">
        <v>0.11700000000000001</v>
      </c>
      <c r="M1094" t="s">
        <v>23</v>
      </c>
      <c r="N1094">
        <v>2622000</v>
      </c>
      <c r="O1094">
        <v>4.3</v>
      </c>
      <c r="P1094" t="b">
        <v>1</v>
      </c>
    </row>
    <row r="1095" spans="1:16" x14ac:dyDescent="0.2">
      <c r="A1095" t="s">
        <v>1517</v>
      </c>
      <c r="B1095" s="1">
        <v>45517</v>
      </c>
      <c r="C1095" s="1">
        <v>45562</v>
      </c>
      <c r="D1095" t="s">
        <v>130</v>
      </c>
      <c r="E1095" t="s">
        <v>45</v>
      </c>
      <c r="F1095" t="s">
        <v>45</v>
      </c>
      <c r="G1095" t="s">
        <v>50</v>
      </c>
      <c r="H1095" t="s">
        <v>21</v>
      </c>
      <c r="I1095" t="s">
        <v>30</v>
      </c>
      <c r="J1095">
        <v>4</v>
      </c>
      <c r="K1095">
        <v>2033000</v>
      </c>
      <c r="L1095">
        <v>8.7999999999999995E-2</v>
      </c>
      <c r="M1095" t="s">
        <v>23</v>
      </c>
      <c r="N1095">
        <v>7416000</v>
      </c>
      <c r="O1095">
        <v>4.7</v>
      </c>
      <c r="P1095" t="b">
        <v>1</v>
      </c>
    </row>
    <row r="1096" spans="1:16" x14ac:dyDescent="0.2">
      <c r="A1096" t="s">
        <v>1518</v>
      </c>
      <c r="B1096" s="1">
        <v>45374</v>
      </c>
      <c r="C1096" s="1">
        <v>45456</v>
      </c>
      <c r="D1096" t="s">
        <v>214</v>
      </c>
      <c r="E1096" t="s">
        <v>45</v>
      </c>
      <c r="F1096" t="s">
        <v>34</v>
      </c>
      <c r="G1096" t="s">
        <v>50</v>
      </c>
      <c r="H1096" t="s">
        <v>21</v>
      </c>
      <c r="I1096" t="s">
        <v>22</v>
      </c>
      <c r="J1096">
        <v>1</v>
      </c>
      <c r="K1096">
        <v>2715000</v>
      </c>
      <c r="L1096">
        <v>1.7999999999999999E-2</v>
      </c>
      <c r="M1096" t="s">
        <v>23</v>
      </c>
      <c r="N1096">
        <v>2666000</v>
      </c>
      <c r="O1096">
        <v>4.4000000000000004</v>
      </c>
      <c r="P1096" t="b">
        <v>1</v>
      </c>
    </row>
    <row r="1097" spans="1:16" x14ac:dyDescent="0.2">
      <c r="A1097" t="s">
        <v>1519</v>
      </c>
      <c r="B1097" s="1">
        <v>45516</v>
      </c>
      <c r="C1097" s="1">
        <v>45593</v>
      </c>
      <c r="D1097" t="s">
        <v>220</v>
      </c>
      <c r="E1097" t="s">
        <v>45</v>
      </c>
      <c r="F1097" t="s">
        <v>34</v>
      </c>
      <c r="G1097" t="s">
        <v>50</v>
      </c>
      <c r="H1097" t="s">
        <v>21</v>
      </c>
      <c r="I1097" t="s">
        <v>52</v>
      </c>
      <c r="J1097">
        <v>2</v>
      </c>
      <c r="K1097">
        <v>2745000</v>
      </c>
      <c r="L1097">
        <v>0.75</v>
      </c>
      <c r="M1097" t="s">
        <v>23</v>
      </c>
      <c r="N1097">
        <v>4804000</v>
      </c>
      <c r="O1097">
        <v>3.8</v>
      </c>
      <c r="P1097" t="b">
        <v>0</v>
      </c>
    </row>
    <row r="1098" spans="1:16" x14ac:dyDescent="0.2">
      <c r="A1098" t="s">
        <v>1520</v>
      </c>
      <c r="B1098" s="1">
        <v>45370</v>
      </c>
      <c r="C1098" s="1">
        <v>45453</v>
      </c>
      <c r="D1098" t="s">
        <v>743</v>
      </c>
      <c r="E1098" t="s">
        <v>29</v>
      </c>
      <c r="F1098" t="s">
        <v>34</v>
      </c>
      <c r="G1098" t="s">
        <v>35</v>
      </c>
      <c r="H1098" t="s">
        <v>21</v>
      </c>
      <c r="I1098" t="s">
        <v>57</v>
      </c>
      <c r="J1098">
        <v>2</v>
      </c>
      <c r="K1098">
        <v>4634000</v>
      </c>
      <c r="L1098">
        <v>0.10299999999999999</v>
      </c>
      <c r="M1098" t="s">
        <v>23</v>
      </c>
      <c r="N1098">
        <v>8313000</v>
      </c>
      <c r="O1098">
        <v>3.9</v>
      </c>
      <c r="P1098" t="b">
        <v>0</v>
      </c>
    </row>
    <row r="1099" spans="1:16" x14ac:dyDescent="0.2">
      <c r="A1099" t="s">
        <v>1521</v>
      </c>
      <c r="B1099" s="1">
        <v>45405</v>
      </c>
      <c r="C1099" s="1">
        <v>45455</v>
      </c>
      <c r="D1099" t="s">
        <v>1522</v>
      </c>
      <c r="E1099" t="s">
        <v>45</v>
      </c>
      <c r="F1099" t="s">
        <v>25</v>
      </c>
      <c r="G1099" t="s">
        <v>20</v>
      </c>
      <c r="H1099" t="s">
        <v>51</v>
      </c>
      <c r="I1099" t="s">
        <v>26</v>
      </c>
      <c r="J1099">
        <v>1</v>
      </c>
      <c r="K1099">
        <v>5389000</v>
      </c>
      <c r="L1099">
        <v>6.5000000000000002E-2</v>
      </c>
      <c r="M1099" t="s">
        <v>23</v>
      </c>
      <c r="N1099">
        <v>5039000</v>
      </c>
      <c r="O1099">
        <v>3.9</v>
      </c>
      <c r="P1099" t="b">
        <v>1</v>
      </c>
    </row>
    <row r="1100" spans="1:16" x14ac:dyDescent="0.2">
      <c r="A1100" t="s">
        <v>1523</v>
      </c>
      <c r="B1100" s="1">
        <v>45885</v>
      </c>
      <c r="C1100" s="1">
        <v>45959</v>
      </c>
      <c r="D1100" t="s">
        <v>1313</v>
      </c>
      <c r="E1100" t="s">
        <v>29</v>
      </c>
      <c r="F1100" t="s">
        <v>34</v>
      </c>
      <c r="G1100" t="s">
        <v>50</v>
      </c>
      <c r="H1100" t="s">
        <v>21</v>
      </c>
      <c r="J1100">
        <v>1</v>
      </c>
      <c r="K1100">
        <v>3004000</v>
      </c>
      <c r="L1100">
        <v>8.3000000000000004E-2</v>
      </c>
      <c r="M1100" t="s">
        <v>23</v>
      </c>
      <c r="N1100">
        <v>2755000</v>
      </c>
      <c r="O1100">
        <v>4.0999999999999996</v>
      </c>
      <c r="P1100" t="b">
        <v>1</v>
      </c>
    </row>
    <row r="1101" spans="1:16" x14ac:dyDescent="0.2">
      <c r="A1101" t="s">
        <v>1524</v>
      </c>
      <c r="B1101" s="1">
        <v>45347</v>
      </c>
      <c r="C1101" s="1">
        <v>45386</v>
      </c>
      <c r="D1101" t="s">
        <v>143</v>
      </c>
      <c r="E1101" t="s">
        <v>45</v>
      </c>
      <c r="F1101" t="s">
        <v>68</v>
      </c>
      <c r="G1101" t="s">
        <v>20</v>
      </c>
      <c r="H1101" t="s">
        <v>51</v>
      </c>
      <c r="I1101" t="s">
        <v>57</v>
      </c>
      <c r="J1101">
        <v>2</v>
      </c>
      <c r="K1101">
        <v>2711000</v>
      </c>
      <c r="L1101">
        <v>0.113</v>
      </c>
      <c r="M1101" t="s">
        <v>23</v>
      </c>
      <c r="N1101">
        <v>4809000</v>
      </c>
      <c r="O1101">
        <v>5</v>
      </c>
      <c r="P1101" t="b">
        <v>0</v>
      </c>
    </row>
    <row r="1102" spans="1:16" x14ac:dyDescent="0.2">
      <c r="A1102" t="s">
        <v>1525</v>
      </c>
      <c r="B1102" s="1">
        <v>45592</v>
      </c>
      <c r="C1102" s="1">
        <v>45639</v>
      </c>
      <c r="D1102" t="s">
        <v>853</v>
      </c>
      <c r="E1102" t="s">
        <v>45</v>
      </c>
      <c r="F1102" t="s">
        <v>68</v>
      </c>
      <c r="G1102" t="s">
        <v>20</v>
      </c>
      <c r="H1102" t="s">
        <v>21</v>
      </c>
      <c r="I1102" t="s">
        <v>26</v>
      </c>
      <c r="J1102">
        <v>2</v>
      </c>
      <c r="K1102">
        <v>3080000</v>
      </c>
      <c r="L1102">
        <v>0</v>
      </c>
      <c r="M1102" t="s">
        <v>23</v>
      </c>
      <c r="N1102">
        <v>6160000</v>
      </c>
      <c r="O1102">
        <v>5</v>
      </c>
      <c r="P1102" t="b">
        <v>1</v>
      </c>
    </row>
    <row r="1103" spans="1:16" x14ac:dyDescent="0.2">
      <c r="A1103" t="s">
        <v>1526</v>
      </c>
      <c r="B1103" s="1">
        <v>45811</v>
      </c>
      <c r="C1103" s="1">
        <v>45882</v>
      </c>
      <c r="D1103" t="s">
        <v>91</v>
      </c>
      <c r="E1103" t="s">
        <v>33</v>
      </c>
      <c r="F1103" t="s">
        <v>25</v>
      </c>
      <c r="G1103" t="s">
        <v>50</v>
      </c>
      <c r="H1103" t="s">
        <v>47</v>
      </c>
      <c r="I1103" t="s">
        <v>77</v>
      </c>
      <c r="J1103">
        <v>1</v>
      </c>
      <c r="K1103">
        <v>5654000</v>
      </c>
      <c r="L1103">
        <v>5.3999999999999999E-2</v>
      </c>
      <c r="M1103" t="s">
        <v>23</v>
      </c>
      <c r="N1103">
        <v>5349000</v>
      </c>
      <c r="O1103">
        <v>4.5999999999999996</v>
      </c>
      <c r="P1103" t="b">
        <v>1</v>
      </c>
    </row>
    <row r="1104" spans="1:16" x14ac:dyDescent="0.2">
      <c r="A1104" t="s">
        <v>1527</v>
      </c>
      <c r="B1104" s="1">
        <v>45885</v>
      </c>
      <c r="C1104" s="1">
        <v>45901</v>
      </c>
      <c r="D1104" t="s">
        <v>936</v>
      </c>
      <c r="E1104" t="s">
        <v>33</v>
      </c>
      <c r="F1104" t="s">
        <v>45</v>
      </c>
      <c r="G1104" t="s">
        <v>35</v>
      </c>
      <c r="H1104" t="s">
        <v>40</v>
      </c>
      <c r="I1104" t="s">
        <v>99</v>
      </c>
      <c r="J1104">
        <v>3</v>
      </c>
      <c r="K1104">
        <v>2625000</v>
      </c>
      <c r="L1104">
        <v>9.6000000000000002E-2</v>
      </c>
      <c r="M1104" t="s">
        <v>23</v>
      </c>
      <c r="N1104">
        <v>7119000</v>
      </c>
      <c r="O1104">
        <v>4.3</v>
      </c>
      <c r="P1104" t="b">
        <v>1</v>
      </c>
    </row>
    <row r="1105" spans="1:16" x14ac:dyDescent="0.2">
      <c r="A1105" t="s">
        <v>1528</v>
      </c>
      <c r="B1105" s="1">
        <v>45383</v>
      </c>
      <c r="C1105" s="1">
        <v>45450</v>
      </c>
      <c r="D1105" t="s">
        <v>216</v>
      </c>
      <c r="E1105" t="s">
        <v>29</v>
      </c>
      <c r="F1105" t="s">
        <v>19</v>
      </c>
      <c r="G1105" t="s">
        <v>50</v>
      </c>
      <c r="H1105" t="s">
        <v>40</v>
      </c>
      <c r="I1105" t="s">
        <v>77</v>
      </c>
      <c r="J1105">
        <v>2</v>
      </c>
      <c r="K1105">
        <v>1781000</v>
      </c>
      <c r="L1105">
        <v>2.3E-2</v>
      </c>
      <c r="M1105" t="s">
        <v>23</v>
      </c>
      <c r="N1105">
        <v>3480000</v>
      </c>
      <c r="O1105">
        <v>3.5</v>
      </c>
      <c r="P1105" t="b">
        <v>0</v>
      </c>
    </row>
    <row r="1106" spans="1:16" x14ac:dyDescent="0.2">
      <c r="A1106" t="s">
        <v>1529</v>
      </c>
      <c r="B1106" s="1">
        <v>45393</v>
      </c>
      <c r="C1106" s="1">
        <v>45404</v>
      </c>
      <c r="D1106" t="s">
        <v>743</v>
      </c>
      <c r="E1106" t="s">
        <v>29</v>
      </c>
      <c r="F1106" t="s">
        <v>34</v>
      </c>
      <c r="G1106" t="s">
        <v>20</v>
      </c>
      <c r="H1106" t="s">
        <v>40</v>
      </c>
      <c r="J1106">
        <v>2</v>
      </c>
      <c r="K1106">
        <v>3229000</v>
      </c>
      <c r="L1106">
        <v>7.4999999999999997E-2</v>
      </c>
      <c r="M1106" t="s">
        <v>23</v>
      </c>
      <c r="N1106">
        <v>5974000</v>
      </c>
      <c r="O1106">
        <v>4.3</v>
      </c>
      <c r="P1106" t="b">
        <v>1</v>
      </c>
    </row>
    <row r="1107" spans="1:16" x14ac:dyDescent="0.2">
      <c r="A1107" t="s">
        <v>1530</v>
      </c>
      <c r="B1107" s="1">
        <v>45524</v>
      </c>
      <c r="C1107" s="1">
        <v>45581</v>
      </c>
      <c r="D1107" t="s">
        <v>603</v>
      </c>
      <c r="E1107" t="s">
        <v>45</v>
      </c>
      <c r="F1107" t="s">
        <v>45</v>
      </c>
      <c r="G1107" t="s">
        <v>46</v>
      </c>
      <c r="H1107" t="s">
        <v>47</v>
      </c>
      <c r="I1107" t="s">
        <v>57</v>
      </c>
      <c r="J1107">
        <v>4</v>
      </c>
      <c r="K1107">
        <v>3107000</v>
      </c>
      <c r="L1107">
        <v>9.5000000000000001E-2</v>
      </c>
      <c r="M1107" t="s">
        <v>23</v>
      </c>
      <c r="N1107">
        <v>11247000</v>
      </c>
      <c r="O1107">
        <v>3.8</v>
      </c>
      <c r="P1107" t="b">
        <v>1</v>
      </c>
    </row>
    <row r="1108" spans="1:16" x14ac:dyDescent="0.2">
      <c r="A1108" t="s">
        <v>1531</v>
      </c>
      <c r="B1108" s="1">
        <v>45637</v>
      </c>
      <c r="C1108" s="1">
        <v>45685</v>
      </c>
      <c r="D1108" t="s">
        <v>657</v>
      </c>
      <c r="E1108" t="s">
        <v>18</v>
      </c>
      <c r="F1108" t="s">
        <v>34</v>
      </c>
      <c r="G1108" t="s">
        <v>35</v>
      </c>
      <c r="H1108" t="s">
        <v>51</v>
      </c>
      <c r="I1108" t="s">
        <v>83</v>
      </c>
      <c r="J1108">
        <v>1</v>
      </c>
      <c r="K1108">
        <v>4226000</v>
      </c>
      <c r="L1108">
        <v>0.18</v>
      </c>
      <c r="M1108" t="s">
        <v>23</v>
      </c>
      <c r="N1108">
        <v>3465000</v>
      </c>
      <c r="O1108">
        <v>5</v>
      </c>
      <c r="P1108" t="b">
        <v>1</v>
      </c>
    </row>
    <row r="1109" spans="1:16" x14ac:dyDescent="0.2">
      <c r="A1109" t="s">
        <v>1532</v>
      </c>
      <c r="B1109" s="1">
        <v>45889</v>
      </c>
      <c r="C1109" s="1">
        <v>45936</v>
      </c>
      <c r="D1109" t="s">
        <v>98</v>
      </c>
      <c r="E1109" t="s">
        <v>18</v>
      </c>
      <c r="F1109" t="s">
        <v>34</v>
      </c>
      <c r="G1109" t="s">
        <v>35</v>
      </c>
      <c r="H1109" t="s">
        <v>40</v>
      </c>
      <c r="I1109" t="s">
        <v>94</v>
      </c>
      <c r="J1109">
        <v>2</v>
      </c>
      <c r="K1109">
        <v>4123000</v>
      </c>
      <c r="L1109">
        <v>0.186</v>
      </c>
      <c r="M1109" t="s">
        <v>23</v>
      </c>
      <c r="N1109">
        <v>6712000</v>
      </c>
      <c r="O1109">
        <v>3.4</v>
      </c>
      <c r="P1109" t="b">
        <v>1</v>
      </c>
    </row>
    <row r="1110" spans="1:16" x14ac:dyDescent="0.2">
      <c r="A1110" t="s">
        <v>1533</v>
      </c>
      <c r="B1110" s="1">
        <v>45421</v>
      </c>
      <c r="C1110" s="1">
        <v>45471</v>
      </c>
      <c r="D1110" t="s">
        <v>300</v>
      </c>
      <c r="E1110" t="s">
        <v>45</v>
      </c>
      <c r="F1110" t="s">
        <v>19</v>
      </c>
      <c r="G1110" t="s">
        <v>50</v>
      </c>
      <c r="H1110" t="s">
        <v>21</v>
      </c>
      <c r="I1110" t="s">
        <v>99</v>
      </c>
      <c r="J1110">
        <v>2</v>
      </c>
      <c r="K1110">
        <v>1653000</v>
      </c>
      <c r="L1110">
        <v>2.3E-2</v>
      </c>
      <c r="M1110" t="s">
        <v>23</v>
      </c>
      <c r="N1110">
        <v>3230000</v>
      </c>
      <c r="O1110">
        <v>4.4000000000000004</v>
      </c>
      <c r="P1110" t="b">
        <v>1</v>
      </c>
    </row>
    <row r="1111" spans="1:16" x14ac:dyDescent="0.2">
      <c r="A1111" t="s">
        <v>1534</v>
      </c>
      <c r="B1111" s="1">
        <v>45394</v>
      </c>
      <c r="C1111" s="1">
        <v>45443</v>
      </c>
      <c r="D1111" t="s">
        <v>231</v>
      </c>
      <c r="E1111" t="s">
        <v>18</v>
      </c>
      <c r="F1111" t="s">
        <v>34</v>
      </c>
      <c r="G1111" t="s">
        <v>20</v>
      </c>
      <c r="H1111" t="s">
        <v>21</v>
      </c>
      <c r="I1111" t="s">
        <v>52</v>
      </c>
      <c r="J1111">
        <v>1</v>
      </c>
      <c r="K1111">
        <v>3702000</v>
      </c>
      <c r="L1111">
        <v>8.8999999999999996E-2</v>
      </c>
      <c r="M1111" t="s">
        <v>23</v>
      </c>
      <c r="N1111">
        <v>3373000</v>
      </c>
      <c r="O1111">
        <v>3.8</v>
      </c>
      <c r="P1111" t="b">
        <v>1</v>
      </c>
    </row>
    <row r="1112" spans="1:16" x14ac:dyDescent="0.2">
      <c r="A1112" t="s">
        <v>1534</v>
      </c>
      <c r="B1112" s="1">
        <v>45394</v>
      </c>
      <c r="C1112" s="1">
        <v>45443</v>
      </c>
      <c r="D1112" t="s">
        <v>231</v>
      </c>
      <c r="E1112" t="s">
        <v>18</v>
      </c>
      <c r="F1112" t="s">
        <v>34</v>
      </c>
      <c r="G1112" t="s">
        <v>20</v>
      </c>
      <c r="H1112" t="s">
        <v>21</v>
      </c>
      <c r="I1112" t="s">
        <v>52</v>
      </c>
      <c r="J1112">
        <v>1</v>
      </c>
      <c r="K1112">
        <v>3702000</v>
      </c>
      <c r="L1112">
        <v>8.8999999999999996E-2</v>
      </c>
      <c r="M1112" t="s">
        <v>23</v>
      </c>
      <c r="N1112">
        <v>3373000</v>
      </c>
      <c r="O1112">
        <v>3.8</v>
      </c>
      <c r="P1112" t="b">
        <v>1</v>
      </c>
    </row>
    <row r="1113" spans="1:16" x14ac:dyDescent="0.2">
      <c r="A1113" t="s">
        <v>1535</v>
      </c>
      <c r="B1113" s="1">
        <v>45449</v>
      </c>
      <c r="C1113" s="1">
        <v>45491</v>
      </c>
      <c r="D1113" t="s">
        <v>1065</v>
      </c>
      <c r="E1113" t="s">
        <v>33</v>
      </c>
      <c r="F1113" t="s">
        <v>19</v>
      </c>
      <c r="G1113" t="s">
        <v>50</v>
      </c>
      <c r="H1113" t="s">
        <v>47</v>
      </c>
      <c r="I1113" t="s">
        <v>60</v>
      </c>
      <c r="J1113">
        <v>1</v>
      </c>
      <c r="K1113">
        <v>1841000</v>
      </c>
      <c r="L1113">
        <v>0.04</v>
      </c>
      <c r="M1113" t="s">
        <v>23</v>
      </c>
      <c r="N1113">
        <v>1767000</v>
      </c>
      <c r="O1113">
        <v>4.2</v>
      </c>
      <c r="P1113" t="b">
        <v>1</v>
      </c>
    </row>
    <row r="1114" spans="1:16" x14ac:dyDescent="0.2">
      <c r="A1114" t="s">
        <v>1536</v>
      </c>
      <c r="B1114" s="1">
        <v>45836</v>
      </c>
      <c r="C1114" s="1">
        <v>45882</v>
      </c>
      <c r="D1114" t="s">
        <v>136</v>
      </c>
      <c r="E1114" t="s">
        <v>45</v>
      </c>
      <c r="F1114" t="s">
        <v>45</v>
      </c>
      <c r="G1114" t="s">
        <v>35</v>
      </c>
      <c r="H1114" t="s">
        <v>21</v>
      </c>
      <c r="I1114" t="s">
        <v>60</v>
      </c>
      <c r="J1114">
        <v>2</v>
      </c>
      <c r="K1114">
        <v>2994000</v>
      </c>
      <c r="L1114">
        <v>9.1999999999999998E-2</v>
      </c>
      <c r="M1114" t="s">
        <v>23</v>
      </c>
      <c r="N1114">
        <v>5437000</v>
      </c>
      <c r="O1114">
        <v>4.5</v>
      </c>
      <c r="P1114" t="b">
        <v>1</v>
      </c>
    </row>
    <row r="1115" spans="1:16" x14ac:dyDescent="0.2">
      <c r="A1115" t="s">
        <v>1537</v>
      </c>
      <c r="B1115" s="1">
        <v>45310</v>
      </c>
      <c r="C1115" s="1">
        <v>45366</v>
      </c>
      <c r="D1115" t="s">
        <v>452</v>
      </c>
      <c r="E1115" t="s">
        <v>33</v>
      </c>
      <c r="F1115" t="s">
        <v>39</v>
      </c>
      <c r="G1115" t="s">
        <v>50</v>
      </c>
      <c r="H1115" t="s">
        <v>21</v>
      </c>
      <c r="I1115" t="s">
        <v>60</v>
      </c>
      <c r="J1115">
        <v>3</v>
      </c>
      <c r="K1115">
        <v>2805000</v>
      </c>
      <c r="L1115">
        <v>0.129</v>
      </c>
      <c r="M1115" t="s">
        <v>23</v>
      </c>
      <c r="N1115">
        <v>7329000</v>
      </c>
      <c r="O1115">
        <v>4.7</v>
      </c>
      <c r="P1115" t="b">
        <v>0</v>
      </c>
    </row>
    <row r="1116" spans="1:16" x14ac:dyDescent="0.2">
      <c r="A1116" t="s">
        <v>1538</v>
      </c>
      <c r="B1116" s="1">
        <v>45528</v>
      </c>
      <c r="C1116" s="1">
        <v>45599</v>
      </c>
      <c r="D1116" t="s">
        <v>1539</v>
      </c>
      <c r="E1116" t="s">
        <v>45</v>
      </c>
      <c r="F1116" t="s">
        <v>45</v>
      </c>
      <c r="G1116" t="s">
        <v>50</v>
      </c>
      <c r="H1116" t="s">
        <v>40</v>
      </c>
      <c r="I1116" t="s">
        <v>52</v>
      </c>
      <c r="J1116">
        <v>3</v>
      </c>
      <c r="K1116">
        <v>2124000</v>
      </c>
      <c r="L1116">
        <v>0.126</v>
      </c>
      <c r="M1116" t="s">
        <v>65</v>
      </c>
      <c r="N1116">
        <v>0</v>
      </c>
      <c r="P1116" t="b">
        <v>0</v>
      </c>
    </row>
    <row r="1117" spans="1:16" x14ac:dyDescent="0.2">
      <c r="A1117" t="s">
        <v>1540</v>
      </c>
      <c r="B1117" s="1">
        <v>45366</v>
      </c>
      <c r="C1117" s="1">
        <v>45420</v>
      </c>
      <c r="D1117" t="s">
        <v>300</v>
      </c>
      <c r="E1117" t="s">
        <v>45</v>
      </c>
      <c r="F1117" t="s">
        <v>39</v>
      </c>
      <c r="G1117" t="s">
        <v>35</v>
      </c>
      <c r="H1117" t="s">
        <v>21</v>
      </c>
      <c r="I1117" t="s">
        <v>83</v>
      </c>
      <c r="J1117">
        <v>2</v>
      </c>
      <c r="K1117">
        <v>2715000</v>
      </c>
      <c r="L1117">
        <v>0.152</v>
      </c>
      <c r="M1117" t="s">
        <v>23</v>
      </c>
      <c r="N1117">
        <v>4605000</v>
      </c>
      <c r="O1117">
        <v>4.5999999999999996</v>
      </c>
      <c r="P1117" t="b">
        <v>0</v>
      </c>
    </row>
    <row r="1118" spans="1:16" x14ac:dyDescent="0.2">
      <c r="A1118" t="s">
        <v>1541</v>
      </c>
      <c r="B1118" s="1">
        <v>45389</v>
      </c>
      <c r="C1118" s="1">
        <v>45451</v>
      </c>
      <c r="D1118" t="s">
        <v>1522</v>
      </c>
      <c r="E1118" t="s">
        <v>45</v>
      </c>
      <c r="F1118" t="s">
        <v>19</v>
      </c>
      <c r="G1118" t="s">
        <v>20</v>
      </c>
      <c r="H1118" t="s">
        <v>47</v>
      </c>
      <c r="I1118" t="s">
        <v>83</v>
      </c>
      <c r="J1118">
        <v>2</v>
      </c>
      <c r="K1118">
        <v>3186000</v>
      </c>
      <c r="L1118">
        <v>3.5999999999999997E-2</v>
      </c>
      <c r="M1118" t="s">
        <v>23</v>
      </c>
      <c r="N1118">
        <v>6143000</v>
      </c>
      <c r="O1118">
        <v>3.9</v>
      </c>
      <c r="P1118" t="b">
        <v>0</v>
      </c>
    </row>
    <row r="1119" spans="1:16" x14ac:dyDescent="0.2">
      <c r="A1119" t="s">
        <v>1542</v>
      </c>
      <c r="B1119" s="1">
        <v>45863</v>
      </c>
      <c r="C1119" s="1">
        <v>45940</v>
      </c>
      <c r="D1119" t="s">
        <v>949</v>
      </c>
      <c r="E1119" t="s">
        <v>45</v>
      </c>
      <c r="F1119" t="s">
        <v>39</v>
      </c>
      <c r="G1119" t="s">
        <v>20</v>
      </c>
      <c r="H1119" t="s">
        <v>47</v>
      </c>
      <c r="I1119" t="s">
        <v>60</v>
      </c>
      <c r="J1119">
        <v>1</v>
      </c>
      <c r="K1119">
        <v>2528000</v>
      </c>
      <c r="L1119">
        <v>0.20200000000000001</v>
      </c>
      <c r="M1119" t="s">
        <v>23</v>
      </c>
      <c r="N1119">
        <v>2017000</v>
      </c>
      <c r="O1119">
        <v>4.3</v>
      </c>
      <c r="P1119" t="b">
        <v>1</v>
      </c>
    </row>
    <row r="1120" spans="1:16" x14ac:dyDescent="0.2">
      <c r="A1120" t="s">
        <v>1543</v>
      </c>
      <c r="B1120" s="1">
        <v>45293</v>
      </c>
      <c r="C1120" s="1">
        <v>45383</v>
      </c>
      <c r="D1120" t="s">
        <v>44</v>
      </c>
      <c r="E1120" t="s">
        <v>18</v>
      </c>
      <c r="F1120" t="s">
        <v>25</v>
      </c>
      <c r="G1120" t="s">
        <v>46</v>
      </c>
      <c r="H1120" t="s">
        <v>47</v>
      </c>
      <c r="I1120" t="s">
        <v>60</v>
      </c>
      <c r="J1120">
        <v>2</v>
      </c>
      <c r="K1120">
        <v>6120000</v>
      </c>
      <c r="L1120">
        <v>0.12</v>
      </c>
      <c r="M1120" t="s">
        <v>23</v>
      </c>
      <c r="N1120">
        <v>10771000</v>
      </c>
      <c r="O1120">
        <v>4.7</v>
      </c>
      <c r="P1120" t="b">
        <v>0</v>
      </c>
    </row>
    <row r="1121" spans="1:16" x14ac:dyDescent="0.2">
      <c r="A1121" t="s">
        <v>1544</v>
      </c>
      <c r="B1121" s="1">
        <v>45492</v>
      </c>
      <c r="C1121" s="1">
        <v>45510</v>
      </c>
      <c r="D1121" t="s">
        <v>349</v>
      </c>
      <c r="E1121" t="s">
        <v>18</v>
      </c>
      <c r="F1121" t="s">
        <v>34</v>
      </c>
      <c r="G1121" t="s">
        <v>46</v>
      </c>
      <c r="H1121" t="s">
        <v>47</v>
      </c>
      <c r="I1121" t="s">
        <v>77</v>
      </c>
      <c r="J1121">
        <v>2</v>
      </c>
      <c r="K1121">
        <v>3323000</v>
      </c>
      <c r="L1121">
        <v>2.5999999999999999E-2</v>
      </c>
      <c r="M1121" t="s">
        <v>23</v>
      </c>
      <c r="N1121">
        <v>6473000</v>
      </c>
      <c r="O1121">
        <v>4.4000000000000004</v>
      </c>
      <c r="P1121" t="b">
        <v>1</v>
      </c>
    </row>
    <row r="1122" spans="1:16" x14ac:dyDescent="0.2">
      <c r="A1122" t="s">
        <v>1545</v>
      </c>
      <c r="B1122" s="1">
        <v>45862</v>
      </c>
      <c r="C1122" s="1">
        <v>45929</v>
      </c>
      <c r="D1122" t="s">
        <v>668</v>
      </c>
      <c r="E1122" t="s">
        <v>45</v>
      </c>
      <c r="F1122" t="s">
        <v>68</v>
      </c>
      <c r="G1122" t="s">
        <v>46</v>
      </c>
      <c r="H1122" t="s">
        <v>47</v>
      </c>
      <c r="I1122" t="s">
        <v>94</v>
      </c>
      <c r="J1122">
        <v>1</v>
      </c>
      <c r="K1122">
        <v>1634000</v>
      </c>
      <c r="L1122">
        <v>0.106</v>
      </c>
      <c r="M1122" t="s">
        <v>23</v>
      </c>
      <c r="N1122">
        <v>1461000</v>
      </c>
      <c r="O1122">
        <v>3.9</v>
      </c>
      <c r="P1122" t="b">
        <v>1</v>
      </c>
    </row>
    <row r="1123" spans="1:16" x14ac:dyDescent="0.2">
      <c r="A1123" t="s">
        <v>1546</v>
      </c>
      <c r="B1123" s="1">
        <v>45670</v>
      </c>
      <c r="C1123" s="1">
        <v>45698</v>
      </c>
      <c r="D1123" t="s">
        <v>79</v>
      </c>
      <c r="E1123" t="s">
        <v>45</v>
      </c>
      <c r="F1123" t="s">
        <v>19</v>
      </c>
      <c r="G1123" t="s">
        <v>20</v>
      </c>
      <c r="H1123" t="s">
        <v>40</v>
      </c>
      <c r="I1123" t="s">
        <v>57</v>
      </c>
      <c r="J1123">
        <v>2</v>
      </c>
      <c r="K1123">
        <v>2868000</v>
      </c>
      <c r="L1123">
        <v>0.19400000000000001</v>
      </c>
      <c r="M1123" t="s">
        <v>23</v>
      </c>
      <c r="N1123">
        <v>4623000</v>
      </c>
      <c r="O1123">
        <v>4.0999999999999996</v>
      </c>
      <c r="P1123" t="b">
        <v>1</v>
      </c>
    </row>
    <row r="1124" spans="1:16" x14ac:dyDescent="0.2">
      <c r="A1124" t="s">
        <v>1547</v>
      </c>
      <c r="B1124" s="1">
        <v>45336</v>
      </c>
      <c r="C1124" s="1">
        <v>45361</v>
      </c>
      <c r="D1124" t="s">
        <v>1053</v>
      </c>
      <c r="E1124" t="s">
        <v>18</v>
      </c>
      <c r="F1124" t="s">
        <v>34</v>
      </c>
      <c r="G1124" t="s">
        <v>20</v>
      </c>
      <c r="H1124" t="s">
        <v>51</v>
      </c>
      <c r="I1124" t="s">
        <v>57</v>
      </c>
      <c r="J1124">
        <v>2</v>
      </c>
      <c r="K1124">
        <v>5098000</v>
      </c>
      <c r="L1124">
        <v>9.4E-2</v>
      </c>
      <c r="M1124" t="s">
        <v>23</v>
      </c>
      <c r="N1124">
        <v>9238000</v>
      </c>
      <c r="O1124">
        <v>4.7</v>
      </c>
      <c r="P1124" t="b">
        <v>0</v>
      </c>
    </row>
    <row r="1125" spans="1:16" x14ac:dyDescent="0.2">
      <c r="A1125" t="s">
        <v>1548</v>
      </c>
      <c r="B1125" s="1">
        <v>45581</v>
      </c>
      <c r="C1125" s="1">
        <v>45655</v>
      </c>
      <c r="D1125" t="s">
        <v>134</v>
      </c>
      <c r="E1125" t="s">
        <v>29</v>
      </c>
      <c r="F1125" t="s">
        <v>19</v>
      </c>
      <c r="G1125" t="s">
        <v>50</v>
      </c>
      <c r="H1125" t="s">
        <v>21</v>
      </c>
      <c r="J1125">
        <v>1</v>
      </c>
      <c r="K1125">
        <v>1922000</v>
      </c>
      <c r="L1125">
        <v>9.8000000000000004E-2</v>
      </c>
      <c r="M1125" t="s">
        <v>23</v>
      </c>
      <c r="N1125">
        <v>1734000</v>
      </c>
      <c r="O1125">
        <v>3.7</v>
      </c>
      <c r="P1125" t="b">
        <v>1</v>
      </c>
    </row>
    <row r="1126" spans="1:16" x14ac:dyDescent="0.2">
      <c r="A1126" t="s">
        <v>1549</v>
      </c>
      <c r="B1126" s="1">
        <v>45896</v>
      </c>
      <c r="C1126" s="1">
        <v>45911</v>
      </c>
      <c r="D1126" t="s">
        <v>721</v>
      </c>
      <c r="E1126" t="s">
        <v>18</v>
      </c>
      <c r="F1126" t="s">
        <v>19</v>
      </c>
      <c r="G1126" t="s">
        <v>50</v>
      </c>
      <c r="H1126" t="s">
        <v>40</v>
      </c>
      <c r="I1126" t="s">
        <v>77</v>
      </c>
      <c r="J1126">
        <v>2</v>
      </c>
      <c r="K1126">
        <v>2259000</v>
      </c>
      <c r="L1126">
        <v>8.2000000000000003E-2</v>
      </c>
      <c r="M1126" t="s">
        <v>23</v>
      </c>
      <c r="N1126">
        <v>4148000</v>
      </c>
      <c r="O1126">
        <v>3.7</v>
      </c>
      <c r="P1126" t="b">
        <v>1</v>
      </c>
    </row>
    <row r="1127" spans="1:16" x14ac:dyDescent="0.2">
      <c r="A1127" t="s">
        <v>1550</v>
      </c>
      <c r="B1127" s="1">
        <v>45541</v>
      </c>
      <c r="C1127" s="1">
        <v>45619</v>
      </c>
      <c r="D1127" t="s">
        <v>534</v>
      </c>
      <c r="E1127" t="s">
        <v>29</v>
      </c>
      <c r="F1127" t="s">
        <v>19</v>
      </c>
      <c r="G1127" t="s">
        <v>20</v>
      </c>
      <c r="H1127" t="s">
        <v>47</v>
      </c>
      <c r="I1127" t="s">
        <v>26</v>
      </c>
      <c r="J1127">
        <v>2</v>
      </c>
      <c r="K1127">
        <v>2830000</v>
      </c>
      <c r="L1127">
        <v>7.3999999999999996E-2</v>
      </c>
      <c r="M1127" t="s">
        <v>23</v>
      </c>
      <c r="N1127">
        <v>5241000</v>
      </c>
      <c r="O1127">
        <v>4.5</v>
      </c>
      <c r="P1127" t="b">
        <v>1</v>
      </c>
    </row>
    <row r="1128" spans="1:16" x14ac:dyDescent="0.2">
      <c r="A1128" t="s">
        <v>1551</v>
      </c>
      <c r="B1128" s="1">
        <v>45621</v>
      </c>
      <c r="C1128" s="1">
        <v>45693</v>
      </c>
      <c r="D1128" t="s">
        <v>1552</v>
      </c>
      <c r="E1128" t="s">
        <v>29</v>
      </c>
      <c r="F1128" t="s">
        <v>25</v>
      </c>
      <c r="G1128" t="s">
        <v>35</v>
      </c>
      <c r="H1128" t="s">
        <v>21</v>
      </c>
      <c r="J1128">
        <v>1</v>
      </c>
      <c r="K1128">
        <v>3460000</v>
      </c>
      <c r="L1128">
        <v>0.16</v>
      </c>
      <c r="M1128" t="s">
        <v>23</v>
      </c>
      <c r="N1128">
        <v>2906000</v>
      </c>
      <c r="O1128">
        <v>4</v>
      </c>
      <c r="P1128" t="b">
        <v>0</v>
      </c>
    </row>
    <row r="1129" spans="1:16" x14ac:dyDescent="0.2">
      <c r="A1129" t="s">
        <v>1553</v>
      </c>
      <c r="B1129" s="1">
        <v>45623</v>
      </c>
      <c r="C1129" s="1">
        <v>45713</v>
      </c>
      <c r="D1129" t="s">
        <v>196</v>
      </c>
      <c r="E1129" t="s">
        <v>18</v>
      </c>
      <c r="F1129" t="s">
        <v>39</v>
      </c>
      <c r="G1129" t="s">
        <v>20</v>
      </c>
      <c r="H1129" t="s">
        <v>21</v>
      </c>
      <c r="I1129" t="s">
        <v>77</v>
      </c>
      <c r="J1129">
        <v>4</v>
      </c>
      <c r="K1129">
        <v>2172000</v>
      </c>
      <c r="L1129">
        <v>6.8000000000000005E-2</v>
      </c>
      <c r="M1129" t="s">
        <v>23</v>
      </c>
      <c r="N1129">
        <v>8097000</v>
      </c>
      <c r="O1129">
        <v>3.5</v>
      </c>
      <c r="P1129" t="b">
        <v>1</v>
      </c>
    </row>
    <row r="1130" spans="1:16" x14ac:dyDescent="0.2">
      <c r="A1130" t="s">
        <v>1554</v>
      </c>
      <c r="B1130" s="1">
        <v>45703</v>
      </c>
      <c r="C1130" s="1">
        <v>45767</v>
      </c>
      <c r="D1130" t="s">
        <v>1137</v>
      </c>
      <c r="E1130" t="s">
        <v>33</v>
      </c>
      <c r="F1130" t="s">
        <v>19</v>
      </c>
      <c r="G1130" t="s">
        <v>35</v>
      </c>
      <c r="H1130" t="s">
        <v>40</v>
      </c>
      <c r="I1130" t="s">
        <v>60</v>
      </c>
      <c r="J1130">
        <v>2</v>
      </c>
      <c r="K1130">
        <v>2161000</v>
      </c>
      <c r="L1130">
        <v>0.16900000000000001</v>
      </c>
      <c r="M1130" t="s">
        <v>23</v>
      </c>
      <c r="N1130">
        <v>3592000</v>
      </c>
      <c r="O1130">
        <v>4.9000000000000004</v>
      </c>
      <c r="P1130" t="b">
        <v>1</v>
      </c>
    </row>
    <row r="1131" spans="1:16" x14ac:dyDescent="0.2">
      <c r="A1131" t="s">
        <v>1555</v>
      </c>
      <c r="B1131" s="1">
        <v>45408</v>
      </c>
      <c r="C1131" s="1">
        <v>45488</v>
      </c>
      <c r="D1131" t="s">
        <v>130</v>
      </c>
      <c r="E1131" t="s">
        <v>45</v>
      </c>
      <c r="F1131" t="s">
        <v>25</v>
      </c>
      <c r="G1131" t="s">
        <v>20</v>
      </c>
      <c r="H1131" t="s">
        <v>21</v>
      </c>
      <c r="J1131">
        <v>2</v>
      </c>
      <c r="K1131">
        <v>4866000</v>
      </c>
      <c r="L1131">
        <v>7.3999999999999996E-2</v>
      </c>
      <c r="M1131" t="s">
        <v>23</v>
      </c>
      <c r="N1131">
        <v>9012000</v>
      </c>
      <c r="O1131">
        <v>3.7</v>
      </c>
      <c r="P1131" t="b">
        <v>0</v>
      </c>
    </row>
    <row r="1132" spans="1:16" x14ac:dyDescent="0.2">
      <c r="A1132" t="s">
        <v>1556</v>
      </c>
      <c r="B1132" s="1">
        <v>45815</v>
      </c>
      <c r="C1132" s="1">
        <v>45834</v>
      </c>
      <c r="D1132" t="s">
        <v>339</v>
      </c>
      <c r="E1132" t="s">
        <v>45</v>
      </c>
      <c r="F1132" t="s">
        <v>19</v>
      </c>
      <c r="G1132" t="s">
        <v>20</v>
      </c>
      <c r="H1132" t="s">
        <v>51</v>
      </c>
      <c r="I1132" t="s">
        <v>52</v>
      </c>
      <c r="J1132">
        <v>1</v>
      </c>
      <c r="K1132">
        <v>2621000</v>
      </c>
      <c r="L1132">
        <v>2.5000000000000001E-2</v>
      </c>
      <c r="M1132" t="s">
        <v>23</v>
      </c>
      <c r="N1132">
        <v>2555000</v>
      </c>
      <c r="O1132">
        <v>4.0999999999999996</v>
      </c>
      <c r="P1132" t="b">
        <v>1</v>
      </c>
    </row>
    <row r="1133" spans="1:16" x14ac:dyDescent="0.2">
      <c r="A1133" t="s">
        <v>1557</v>
      </c>
      <c r="B1133" s="1">
        <v>45907</v>
      </c>
      <c r="C1133" s="1">
        <v>45989</v>
      </c>
      <c r="D1133" t="s">
        <v>1120</v>
      </c>
      <c r="E1133" t="s">
        <v>18</v>
      </c>
      <c r="F1133" t="s">
        <v>80</v>
      </c>
      <c r="G1133" t="s">
        <v>20</v>
      </c>
      <c r="H1133" t="s">
        <v>21</v>
      </c>
      <c r="J1133">
        <v>1</v>
      </c>
      <c r="K1133">
        <v>2781000</v>
      </c>
      <c r="L1133">
        <v>0.11600000000000001</v>
      </c>
      <c r="M1133" t="s">
        <v>23</v>
      </c>
      <c r="N1133">
        <v>2458000</v>
      </c>
      <c r="O1133">
        <v>3.9</v>
      </c>
      <c r="P1133" t="b">
        <v>1</v>
      </c>
    </row>
    <row r="1134" spans="1:16" x14ac:dyDescent="0.2">
      <c r="A1134" t="s">
        <v>1558</v>
      </c>
      <c r="B1134" s="1">
        <v>45380</v>
      </c>
      <c r="C1134" s="1">
        <v>45402</v>
      </c>
      <c r="D1134" t="s">
        <v>424</v>
      </c>
      <c r="E1134" t="s">
        <v>33</v>
      </c>
      <c r="F1134" t="s">
        <v>34</v>
      </c>
      <c r="G1134" t="s">
        <v>50</v>
      </c>
      <c r="H1134" t="s">
        <v>21</v>
      </c>
      <c r="I1134" t="s">
        <v>83</v>
      </c>
      <c r="J1134">
        <v>1</v>
      </c>
      <c r="K1134">
        <v>3639000</v>
      </c>
      <c r="L1134">
        <v>8.6999999999999994E-2</v>
      </c>
      <c r="M1134" t="s">
        <v>23</v>
      </c>
      <c r="N1134">
        <v>3322000</v>
      </c>
      <c r="O1134">
        <v>4.0999999999999996</v>
      </c>
      <c r="P1134" t="b">
        <v>1</v>
      </c>
    </row>
    <row r="1135" spans="1:16" x14ac:dyDescent="0.2">
      <c r="A1135" t="s">
        <v>1559</v>
      </c>
      <c r="B1135" s="1">
        <v>45801</v>
      </c>
      <c r="C1135" s="1">
        <v>45836</v>
      </c>
      <c r="D1135" t="s">
        <v>732</v>
      </c>
      <c r="E1135" t="s">
        <v>18</v>
      </c>
      <c r="F1135" t="s">
        <v>34</v>
      </c>
      <c r="G1135" t="s">
        <v>50</v>
      </c>
      <c r="H1135" t="s">
        <v>40</v>
      </c>
      <c r="I1135" t="s">
        <v>60</v>
      </c>
      <c r="J1135">
        <v>2</v>
      </c>
      <c r="K1135">
        <v>2842000</v>
      </c>
      <c r="L1135">
        <v>-0.2</v>
      </c>
      <c r="M1135" t="s">
        <v>23</v>
      </c>
      <c r="N1135">
        <v>5263000</v>
      </c>
      <c r="O1135">
        <v>3.8</v>
      </c>
      <c r="P1135" t="b">
        <v>1</v>
      </c>
    </row>
    <row r="1136" spans="1:16" x14ac:dyDescent="0.2">
      <c r="A1136" t="s">
        <v>1560</v>
      </c>
      <c r="B1136" s="1">
        <v>45800</v>
      </c>
      <c r="C1136" s="1">
        <v>45820</v>
      </c>
      <c r="D1136" t="s">
        <v>1561</v>
      </c>
      <c r="E1136" t="s">
        <v>18</v>
      </c>
      <c r="F1136" t="s">
        <v>25</v>
      </c>
      <c r="G1136" t="s">
        <v>50</v>
      </c>
      <c r="H1136" t="s">
        <v>21</v>
      </c>
      <c r="I1136" t="s">
        <v>60</v>
      </c>
      <c r="J1136">
        <v>2</v>
      </c>
      <c r="K1136">
        <v>5398000</v>
      </c>
      <c r="L1136">
        <v>0.13600000000000001</v>
      </c>
      <c r="M1136" t="s">
        <v>23</v>
      </c>
      <c r="N1136">
        <v>9328000</v>
      </c>
      <c r="O1136">
        <v>4.5999999999999996</v>
      </c>
      <c r="P1136" t="b">
        <v>0</v>
      </c>
    </row>
    <row r="1137" spans="1:16" x14ac:dyDescent="0.2">
      <c r="A1137" t="s">
        <v>1562</v>
      </c>
      <c r="B1137" s="1">
        <v>45754</v>
      </c>
      <c r="C1137" s="1">
        <v>45796</v>
      </c>
      <c r="D1137" t="s">
        <v>1563</v>
      </c>
      <c r="E1137" t="s">
        <v>45</v>
      </c>
      <c r="F1137" t="s">
        <v>45</v>
      </c>
      <c r="G1137" t="s">
        <v>35</v>
      </c>
      <c r="H1137" t="s">
        <v>21</v>
      </c>
      <c r="I1137" t="s">
        <v>52</v>
      </c>
      <c r="J1137">
        <v>4</v>
      </c>
      <c r="K1137">
        <v>2099000</v>
      </c>
      <c r="L1137">
        <v>9.8000000000000004E-2</v>
      </c>
      <c r="M1137" t="s">
        <v>23</v>
      </c>
      <c r="N1137">
        <v>7573000</v>
      </c>
      <c r="O1137">
        <v>4.3</v>
      </c>
      <c r="P1137" t="b">
        <v>0</v>
      </c>
    </row>
    <row r="1138" spans="1:16" x14ac:dyDescent="0.2">
      <c r="A1138" t="s">
        <v>1564</v>
      </c>
      <c r="B1138" s="1">
        <v>45523</v>
      </c>
      <c r="C1138" s="1">
        <v>45593</v>
      </c>
      <c r="D1138" t="s">
        <v>107</v>
      </c>
      <c r="E1138" t="s">
        <v>18</v>
      </c>
      <c r="F1138" t="s">
        <v>39</v>
      </c>
      <c r="G1138" t="s">
        <v>20</v>
      </c>
      <c r="H1138" t="s">
        <v>40</v>
      </c>
      <c r="I1138" t="s">
        <v>26</v>
      </c>
      <c r="J1138">
        <v>1</v>
      </c>
      <c r="K1138">
        <v>1684000</v>
      </c>
      <c r="L1138">
        <v>0.152</v>
      </c>
      <c r="M1138" t="s">
        <v>23</v>
      </c>
      <c r="N1138">
        <v>1428000</v>
      </c>
      <c r="O1138">
        <v>4.7</v>
      </c>
      <c r="P1138" t="b">
        <v>1</v>
      </c>
    </row>
    <row r="1139" spans="1:16" x14ac:dyDescent="0.2">
      <c r="A1139" t="s">
        <v>1565</v>
      </c>
      <c r="B1139" s="1">
        <v>45584</v>
      </c>
      <c r="C1139" s="1">
        <v>45615</v>
      </c>
      <c r="D1139" t="s">
        <v>522</v>
      </c>
      <c r="E1139" t="s">
        <v>33</v>
      </c>
      <c r="F1139" t="s">
        <v>25</v>
      </c>
      <c r="G1139" t="s">
        <v>20</v>
      </c>
      <c r="H1139" t="s">
        <v>21</v>
      </c>
      <c r="I1139" t="s">
        <v>26</v>
      </c>
      <c r="J1139">
        <v>2</v>
      </c>
      <c r="K1139">
        <v>4726000</v>
      </c>
      <c r="L1139">
        <v>0.121</v>
      </c>
      <c r="M1139" t="s">
        <v>23</v>
      </c>
      <c r="N1139">
        <v>8308000</v>
      </c>
      <c r="O1139">
        <v>3.9</v>
      </c>
      <c r="P1139" t="b">
        <v>1</v>
      </c>
    </row>
    <row r="1140" spans="1:16" x14ac:dyDescent="0.2">
      <c r="A1140" t="s">
        <v>1566</v>
      </c>
      <c r="B1140" s="1">
        <v>45814</v>
      </c>
      <c r="C1140" s="1">
        <v>45890</v>
      </c>
      <c r="D1140" t="s">
        <v>493</v>
      </c>
      <c r="E1140" t="s">
        <v>29</v>
      </c>
      <c r="F1140" t="s">
        <v>45</v>
      </c>
      <c r="G1140" t="s">
        <v>35</v>
      </c>
      <c r="H1140" t="s">
        <v>21</v>
      </c>
      <c r="I1140" t="s">
        <v>22</v>
      </c>
      <c r="J1140">
        <v>4</v>
      </c>
      <c r="K1140">
        <v>2189000</v>
      </c>
      <c r="L1140">
        <v>6.0999999999999999E-2</v>
      </c>
      <c r="M1140" t="s">
        <v>23</v>
      </c>
      <c r="N1140">
        <v>8222000</v>
      </c>
      <c r="O1140">
        <v>5</v>
      </c>
      <c r="P1140" t="b">
        <v>1</v>
      </c>
    </row>
    <row r="1141" spans="1:16" x14ac:dyDescent="0.2">
      <c r="A1141" t="s">
        <v>1567</v>
      </c>
      <c r="B1141" s="1">
        <v>45387</v>
      </c>
      <c r="C1141" s="1">
        <v>45446</v>
      </c>
      <c r="D1141" t="s">
        <v>93</v>
      </c>
      <c r="E1141" t="s">
        <v>18</v>
      </c>
      <c r="F1141" t="s">
        <v>19</v>
      </c>
      <c r="G1141" t="s">
        <v>20</v>
      </c>
      <c r="H1141" t="s">
        <v>40</v>
      </c>
      <c r="I1141" t="s">
        <v>30</v>
      </c>
      <c r="J1141">
        <v>2</v>
      </c>
      <c r="K1141">
        <v>2206000</v>
      </c>
      <c r="L1141">
        <v>5.2999999999999999E-2</v>
      </c>
      <c r="M1141" t="s">
        <v>23</v>
      </c>
      <c r="N1141">
        <v>4178000</v>
      </c>
      <c r="O1141">
        <v>3.2</v>
      </c>
      <c r="P1141" t="b">
        <v>1</v>
      </c>
    </row>
    <row r="1142" spans="1:16" x14ac:dyDescent="0.2">
      <c r="A1142" t="s">
        <v>1568</v>
      </c>
      <c r="B1142" s="1">
        <v>45808</v>
      </c>
      <c r="C1142" s="1">
        <v>45868</v>
      </c>
      <c r="D1142" t="s">
        <v>729</v>
      </c>
      <c r="E1142" t="s">
        <v>29</v>
      </c>
      <c r="F1142" t="s">
        <v>34</v>
      </c>
      <c r="G1142" t="s">
        <v>50</v>
      </c>
      <c r="H1142" t="s">
        <v>40</v>
      </c>
      <c r="I1142" t="s">
        <v>52</v>
      </c>
      <c r="J1142">
        <v>2</v>
      </c>
      <c r="K1142">
        <v>2836000</v>
      </c>
      <c r="L1142">
        <v>2.5999999999999999E-2</v>
      </c>
      <c r="M1142" t="s">
        <v>23</v>
      </c>
      <c r="N1142">
        <v>5525000</v>
      </c>
      <c r="O1142">
        <v>3.4</v>
      </c>
      <c r="P1142" t="b">
        <v>1</v>
      </c>
    </row>
    <row r="1143" spans="1:16" x14ac:dyDescent="0.2">
      <c r="A1143" t="s">
        <v>1569</v>
      </c>
      <c r="B1143" s="1">
        <v>45865</v>
      </c>
      <c r="C1143" s="1">
        <v>45951</v>
      </c>
      <c r="D1143" t="s">
        <v>528</v>
      </c>
      <c r="E1143" t="s">
        <v>18</v>
      </c>
      <c r="F1143" t="s">
        <v>34</v>
      </c>
      <c r="G1143" t="s">
        <v>50</v>
      </c>
      <c r="H1143" t="s">
        <v>47</v>
      </c>
      <c r="I1143" t="s">
        <v>22</v>
      </c>
      <c r="J1143">
        <v>3</v>
      </c>
      <c r="K1143">
        <v>2707000</v>
      </c>
      <c r="L1143">
        <v>0.14000000000000001</v>
      </c>
      <c r="M1143" t="s">
        <v>23</v>
      </c>
      <c r="N1143">
        <v>6984000</v>
      </c>
      <c r="O1143">
        <v>5</v>
      </c>
      <c r="P1143" t="b">
        <v>1</v>
      </c>
    </row>
    <row r="1144" spans="1:16" x14ac:dyDescent="0.2">
      <c r="A1144" t="s">
        <v>1570</v>
      </c>
      <c r="B1144" s="1">
        <v>45716</v>
      </c>
      <c r="C1144" s="1">
        <v>45760</v>
      </c>
      <c r="D1144" t="s">
        <v>227</v>
      </c>
      <c r="E1144" t="s">
        <v>45</v>
      </c>
      <c r="F1144" t="s">
        <v>123</v>
      </c>
      <c r="G1144" t="s">
        <v>50</v>
      </c>
      <c r="H1144" t="s">
        <v>21</v>
      </c>
      <c r="I1144" t="s">
        <v>26</v>
      </c>
      <c r="J1144">
        <v>1</v>
      </c>
      <c r="K1144">
        <v>3474000</v>
      </c>
      <c r="L1144">
        <v>0.10299999999999999</v>
      </c>
      <c r="M1144" t="s">
        <v>23</v>
      </c>
      <c r="N1144">
        <v>3116000</v>
      </c>
      <c r="O1144">
        <v>4.4000000000000004</v>
      </c>
      <c r="P1144" t="b">
        <v>1</v>
      </c>
    </row>
    <row r="1145" spans="1:16" x14ac:dyDescent="0.2">
      <c r="A1145" t="s">
        <v>1571</v>
      </c>
      <c r="B1145" s="1">
        <v>45504</v>
      </c>
      <c r="C1145" s="1">
        <v>45541</v>
      </c>
      <c r="D1145" t="s">
        <v>431</v>
      </c>
      <c r="E1145" t="s">
        <v>45</v>
      </c>
      <c r="F1145" t="s">
        <v>19</v>
      </c>
      <c r="G1145" t="s">
        <v>20</v>
      </c>
      <c r="H1145" t="s">
        <v>21</v>
      </c>
      <c r="I1145" t="s">
        <v>83</v>
      </c>
      <c r="J1145">
        <v>2</v>
      </c>
      <c r="K1145">
        <v>2642000</v>
      </c>
      <c r="L1145">
        <v>6.6000000000000003E-2</v>
      </c>
      <c r="M1145" t="s">
        <v>23</v>
      </c>
      <c r="N1145">
        <v>4935000</v>
      </c>
      <c r="O1145">
        <v>4.4000000000000004</v>
      </c>
      <c r="P1145" t="b">
        <v>1</v>
      </c>
    </row>
    <row r="1146" spans="1:16" x14ac:dyDescent="0.2">
      <c r="A1146" t="s">
        <v>1572</v>
      </c>
      <c r="B1146" s="1">
        <v>45640</v>
      </c>
      <c r="C1146" s="1">
        <v>45730</v>
      </c>
      <c r="D1146" t="s">
        <v>838</v>
      </c>
      <c r="E1146" t="s">
        <v>33</v>
      </c>
      <c r="F1146" t="s">
        <v>25</v>
      </c>
      <c r="G1146" t="s">
        <v>35</v>
      </c>
      <c r="H1146" t="s">
        <v>51</v>
      </c>
      <c r="I1146" t="s">
        <v>83</v>
      </c>
      <c r="J1146">
        <v>3</v>
      </c>
      <c r="K1146">
        <v>3326000</v>
      </c>
      <c r="L1146">
        <v>0.18099999999999999</v>
      </c>
      <c r="M1146" t="s">
        <v>23</v>
      </c>
      <c r="N1146">
        <v>8172000</v>
      </c>
      <c r="O1146">
        <v>4.4000000000000004</v>
      </c>
      <c r="P1146" t="b">
        <v>1</v>
      </c>
    </row>
    <row r="1147" spans="1:16" x14ac:dyDescent="0.2">
      <c r="A1147" t="s">
        <v>1573</v>
      </c>
      <c r="B1147" s="1">
        <v>45323</v>
      </c>
      <c r="C1147" s="1">
        <v>45378</v>
      </c>
      <c r="D1147" t="s">
        <v>1574</v>
      </c>
      <c r="E1147" t="s">
        <v>29</v>
      </c>
      <c r="F1147" t="s">
        <v>19</v>
      </c>
      <c r="G1147" t="s">
        <v>20</v>
      </c>
      <c r="H1147" t="s">
        <v>40</v>
      </c>
      <c r="I1147" t="s">
        <v>94</v>
      </c>
      <c r="J1147">
        <v>2</v>
      </c>
      <c r="K1147">
        <v>2069000</v>
      </c>
      <c r="L1147">
        <v>0.126</v>
      </c>
      <c r="M1147" t="s">
        <v>23</v>
      </c>
      <c r="N1147">
        <v>3617000</v>
      </c>
      <c r="O1147">
        <v>4.5</v>
      </c>
      <c r="P1147" t="b">
        <v>0</v>
      </c>
    </row>
    <row r="1148" spans="1:16" x14ac:dyDescent="0.2">
      <c r="A1148" t="s">
        <v>1575</v>
      </c>
      <c r="B1148" s="1">
        <v>45872</v>
      </c>
      <c r="C1148" s="1">
        <v>45931</v>
      </c>
      <c r="D1148" t="s">
        <v>899</v>
      </c>
      <c r="E1148" t="s">
        <v>45</v>
      </c>
      <c r="F1148" t="s">
        <v>25</v>
      </c>
      <c r="G1148" t="s">
        <v>20</v>
      </c>
      <c r="H1148" t="s">
        <v>21</v>
      </c>
      <c r="I1148" t="s">
        <v>77</v>
      </c>
      <c r="J1148">
        <v>1</v>
      </c>
      <c r="K1148">
        <v>7001000</v>
      </c>
      <c r="L1148">
        <v>0.106</v>
      </c>
      <c r="M1148" t="s">
        <v>23</v>
      </c>
      <c r="N1148">
        <v>6259000</v>
      </c>
      <c r="O1148">
        <v>4.3</v>
      </c>
      <c r="P1148" t="b">
        <v>1</v>
      </c>
    </row>
    <row r="1149" spans="1:16" x14ac:dyDescent="0.2">
      <c r="A1149" t="s">
        <v>1576</v>
      </c>
      <c r="B1149" s="1">
        <v>45505</v>
      </c>
      <c r="C1149" s="1">
        <v>45539</v>
      </c>
      <c r="D1149" t="s">
        <v>524</v>
      </c>
      <c r="E1149" t="s">
        <v>18</v>
      </c>
      <c r="F1149" t="s">
        <v>25</v>
      </c>
      <c r="G1149" t="s">
        <v>50</v>
      </c>
      <c r="H1149" t="s">
        <v>47</v>
      </c>
      <c r="I1149" t="s">
        <v>26</v>
      </c>
      <c r="J1149">
        <v>3</v>
      </c>
      <c r="K1149">
        <v>4665000</v>
      </c>
      <c r="L1149">
        <v>0.2</v>
      </c>
      <c r="M1149" t="s">
        <v>23</v>
      </c>
      <c r="N1149">
        <v>11196000</v>
      </c>
      <c r="O1149">
        <v>3.7</v>
      </c>
      <c r="P1149" t="b">
        <v>1</v>
      </c>
    </row>
    <row r="1150" spans="1:16" x14ac:dyDescent="0.2">
      <c r="A1150" t="s">
        <v>1577</v>
      </c>
      <c r="B1150" s="1">
        <v>45327</v>
      </c>
      <c r="C1150" s="1">
        <v>45354</v>
      </c>
      <c r="D1150" t="s">
        <v>107</v>
      </c>
      <c r="E1150" t="s">
        <v>18</v>
      </c>
      <c r="F1150" t="s">
        <v>80</v>
      </c>
      <c r="G1150" t="s">
        <v>35</v>
      </c>
      <c r="H1150" t="s">
        <v>21</v>
      </c>
      <c r="I1150" t="s">
        <v>83</v>
      </c>
      <c r="J1150">
        <v>2</v>
      </c>
      <c r="K1150">
        <v>3502000</v>
      </c>
      <c r="L1150">
        <v>0.01</v>
      </c>
      <c r="M1150" t="s">
        <v>23</v>
      </c>
      <c r="N1150">
        <v>6934000</v>
      </c>
      <c r="O1150">
        <v>4.5999999999999996</v>
      </c>
      <c r="P1150" t="b">
        <v>0</v>
      </c>
    </row>
    <row r="1151" spans="1:16" x14ac:dyDescent="0.2">
      <c r="A1151" t="s">
        <v>1578</v>
      </c>
      <c r="B1151" s="1">
        <v>45786</v>
      </c>
      <c r="C1151" s="1">
        <v>45809</v>
      </c>
      <c r="D1151" t="s">
        <v>185</v>
      </c>
      <c r="E1151" t="s">
        <v>45</v>
      </c>
      <c r="F1151" t="s">
        <v>45</v>
      </c>
      <c r="G1151" t="s">
        <v>50</v>
      </c>
      <c r="H1151" t="s">
        <v>47</v>
      </c>
      <c r="I1151" t="s">
        <v>83</v>
      </c>
      <c r="J1151">
        <v>3</v>
      </c>
      <c r="K1151">
        <v>2287000</v>
      </c>
      <c r="L1151">
        <v>0.111</v>
      </c>
      <c r="M1151" t="s">
        <v>23</v>
      </c>
      <c r="N1151">
        <v>6099000</v>
      </c>
      <c r="O1151">
        <v>4.5</v>
      </c>
      <c r="P1151" t="b">
        <v>1</v>
      </c>
    </row>
    <row r="1152" spans="1:16" x14ac:dyDescent="0.2">
      <c r="A1152" t="s">
        <v>1579</v>
      </c>
      <c r="B1152" s="1">
        <v>45701</v>
      </c>
      <c r="C1152" s="1">
        <v>45729</v>
      </c>
      <c r="D1152" t="s">
        <v>259</v>
      </c>
      <c r="E1152" t="s">
        <v>33</v>
      </c>
      <c r="F1152" t="s">
        <v>19</v>
      </c>
      <c r="G1152" t="s">
        <v>20</v>
      </c>
      <c r="H1152" t="s">
        <v>47</v>
      </c>
      <c r="I1152" t="s">
        <v>52</v>
      </c>
      <c r="J1152">
        <v>1</v>
      </c>
      <c r="K1152">
        <v>2479000</v>
      </c>
      <c r="L1152">
        <v>6.7000000000000004E-2</v>
      </c>
      <c r="M1152" t="s">
        <v>23</v>
      </c>
      <c r="N1152">
        <v>2313000</v>
      </c>
      <c r="O1152">
        <v>4.9000000000000004</v>
      </c>
      <c r="P1152" t="b">
        <v>1</v>
      </c>
    </row>
    <row r="1153" spans="1:16" x14ac:dyDescent="0.2">
      <c r="A1153" t="s">
        <v>1580</v>
      </c>
      <c r="B1153" s="1">
        <v>45679</v>
      </c>
      <c r="C1153" s="1">
        <v>45704</v>
      </c>
      <c r="D1153" t="s">
        <v>1167</v>
      </c>
      <c r="E1153" t="s">
        <v>45</v>
      </c>
      <c r="F1153" t="s">
        <v>19</v>
      </c>
      <c r="G1153" t="s">
        <v>46</v>
      </c>
      <c r="H1153" t="s">
        <v>51</v>
      </c>
      <c r="I1153" t="s">
        <v>60</v>
      </c>
      <c r="J1153">
        <v>1</v>
      </c>
      <c r="K1153">
        <v>3710000</v>
      </c>
      <c r="L1153">
        <v>0.13300000000000001</v>
      </c>
      <c r="M1153" t="s">
        <v>23</v>
      </c>
      <c r="N1153">
        <v>3217000</v>
      </c>
      <c r="O1153">
        <v>5</v>
      </c>
      <c r="P1153" t="b">
        <v>1</v>
      </c>
    </row>
    <row r="1154" spans="1:16" x14ac:dyDescent="0.2">
      <c r="A1154" t="s">
        <v>1581</v>
      </c>
      <c r="B1154" s="1">
        <v>45325</v>
      </c>
      <c r="C1154" s="1">
        <v>45395</v>
      </c>
      <c r="D1154" t="s">
        <v>1169</v>
      </c>
      <c r="E1154" t="s">
        <v>18</v>
      </c>
      <c r="F1154" t="s">
        <v>25</v>
      </c>
      <c r="G1154" t="s">
        <v>46</v>
      </c>
      <c r="H1154" t="s">
        <v>51</v>
      </c>
      <c r="I1154" t="s">
        <v>99</v>
      </c>
      <c r="J1154">
        <v>1</v>
      </c>
      <c r="K1154">
        <v>5628000</v>
      </c>
      <c r="L1154">
        <v>8.5000000000000006E-2</v>
      </c>
      <c r="M1154" t="s">
        <v>23</v>
      </c>
      <c r="N1154">
        <v>5150000</v>
      </c>
      <c r="O1154">
        <v>4.4000000000000004</v>
      </c>
      <c r="P1154" t="b">
        <v>0</v>
      </c>
    </row>
    <row r="1155" spans="1:16" x14ac:dyDescent="0.2">
      <c r="A1155" t="s">
        <v>1582</v>
      </c>
      <c r="B1155" s="1">
        <v>45759</v>
      </c>
      <c r="C1155" s="1">
        <v>45773</v>
      </c>
      <c r="D1155" t="s">
        <v>421</v>
      </c>
      <c r="E1155" t="s">
        <v>18</v>
      </c>
      <c r="F1155" t="s">
        <v>25</v>
      </c>
      <c r="G1155" t="s">
        <v>35</v>
      </c>
      <c r="H1155" t="s">
        <v>21</v>
      </c>
      <c r="I1155" t="s">
        <v>57</v>
      </c>
      <c r="J1155">
        <v>1</v>
      </c>
      <c r="K1155">
        <v>5966000</v>
      </c>
      <c r="L1155">
        <v>6.5000000000000002E-2</v>
      </c>
      <c r="M1155" t="s">
        <v>23</v>
      </c>
      <c r="N1155">
        <v>5578000</v>
      </c>
      <c r="O1155">
        <v>3.6</v>
      </c>
      <c r="P1155" t="b">
        <v>1</v>
      </c>
    </row>
    <row r="1156" spans="1:16" x14ac:dyDescent="0.2">
      <c r="A1156" t="s">
        <v>1583</v>
      </c>
      <c r="B1156" s="1">
        <v>45689</v>
      </c>
      <c r="C1156" s="1">
        <v>45749</v>
      </c>
      <c r="D1156" t="s">
        <v>380</v>
      </c>
      <c r="E1156" t="s">
        <v>33</v>
      </c>
      <c r="F1156" t="s">
        <v>19</v>
      </c>
      <c r="G1156" t="s">
        <v>50</v>
      </c>
      <c r="H1156" t="s">
        <v>47</v>
      </c>
      <c r="I1156" t="s">
        <v>94</v>
      </c>
      <c r="J1156">
        <v>3</v>
      </c>
      <c r="K1156">
        <v>2500000</v>
      </c>
      <c r="L1156">
        <v>0.19900000000000001</v>
      </c>
      <c r="M1156" t="s">
        <v>23</v>
      </c>
      <c r="N1156">
        <v>6007000</v>
      </c>
      <c r="O1156">
        <v>5</v>
      </c>
      <c r="P1156" t="b">
        <v>1</v>
      </c>
    </row>
    <row r="1157" spans="1:16" x14ac:dyDescent="0.2">
      <c r="A1157" t="s">
        <v>1584</v>
      </c>
      <c r="B1157" s="1">
        <v>45786</v>
      </c>
      <c r="C1157" s="1">
        <v>45872</v>
      </c>
      <c r="D1157" t="s">
        <v>1585</v>
      </c>
      <c r="E1157" t="s">
        <v>18</v>
      </c>
      <c r="F1157" t="s">
        <v>19</v>
      </c>
      <c r="G1157" t="s">
        <v>20</v>
      </c>
      <c r="H1157" t="s">
        <v>21</v>
      </c>
      <c r="I1157" t="s">
        <v>52</v>
      </c>
      <c r="J1157">
        <v>1</v>
      </c>
      <c r="K1157">
        <v>3475000</v>
      </c>
      <c r="L1157">
        <v>0.13400000000000001</v>
      </c>
      <c r="M1157" t="s">
        <v>23</v>
      </c>
      <c r="N1157">
        <v>3009000</v>
      </c>
      <c r="O1157">
        <v>3.7</v>
      </c>
      <c r="P1157" t="b">
        <v>0</v>
      </c>
    </row>
    <row r="1158" spans="1:16" x14ac:dyDescent="0.2">
      <c r="A1158" t="s">
        <v>1586</v>
      </c>
      <c r="B1158" s="1">
        <v>45807</v>
      </c>
      <c r="C1158" s="1">
        <v>45879</v>
      </c>
      <c r="D1158" t="s">
        <v>598</v>
      </c>
      <c r="E1158" t="s">
        <v>29</v>
      </c>
      <c r="F1158" t="s">
        <v>45</v>
      </c>
      <c r="G1158" t="s">
        <v>50</v>
      </c>
      <c r="H1158" t="s">
        <v>40</v>
      </c>
      <c r="I1158" t="s">
        <v>22</v>
      </c>
      <c r="J1158">
        <v>3</v>
      </c>
      <c r="K1158">
        <v>4025000</v>
      </c>
      <c r="L1158">
        <v>5.0999999999999997E-2</v>
      </c>
      <c r="M1158" t="s">
        <v>23</v>
      </c>
      <c r="N1158">
        <v>11459000</v>
      </c>
      <c r="O1158">
        <v>4.4000000000000004</v>
      </c>
      <c r="P1158" t="b">
        <v>1</v>
      </c>
    </row>
    <row r="1159" spans="1:16" x14ac:dyDescent="0.2">
      <c r="A1159" t="s">
        <v>1587</v>
      </c>
      <c r="B1159" s="1">
        <v>45424</v>
      </c>
      <c r="C1159" s="1">
        <v>45466</v>
      </c>
      <c r="D1159" t="s">
        <v>515</v>
      </c>
      <c r="E1159" t="s">
        <v>45</v>
      </c>
      <c r="F1159" t="s">
        <v>45</v>
      </c>
      <c r="G1159" t="s">
        <v>50</v>
      </c>
      <c r="H1159" t="s">
        <v>40</v>
      </c>
      <c r="I1159" t="s">
        <v>52</v>
      </c>
      <c r="J1159">
        <v>4</v>
      </c>
      <c r="K1159">
        <v>3551000</v>
      </c>
      <c r="L1159">
        <v>7.2999999999999995E-2</v>
      </c>
      <c r="M1159" t="s">
        <v>23</v>
      </c>
      <c r="N1159">
        <v>13167000</v>
      </c>
      <c r="O1159">
        <v>4.0999999999999996</v>
      </c>
      <c r="P1159" t="b">
        <v>0</v>
      </c>
    </row>
    <row r="1160" spans="1:16" x14ac:dyDescent="0.2">
      <c r="A1160" t="s">
        <v>1588</v>
      </c>
      <c r="B1160" s="1">
        <v>45423</v>
      </c>
      <c r="C1160" s="1">
        <v>45437</v>
      </c>
      <c r="D1160" t="s">
        <v>332</v>
      </c>
      <c r="E1160" t="s">
        <v>18</v>
      </c>
      <c r="F1160" t="s">
        <v>34</v>
      </c>
      <c r="G1160" t="s">
        <v>50</v>
      </c>
      <c r="H1160" t="s">
        <v>21</v>
      </c>
      <c r="I1160" t="s">
        <v>57</v>
      </c>
      <c r="J1160">
        <v>3</v>
      </c>
      <c r="K1160">
        <v>4295000</v>
      </c>
      <c r="L1160">
        <v>0.123</v>
      </c>
      <c r="M1160" t="s">
        <v>23</v>
      </c>
      <c r="N1160">
        <v>11300000</v>
      </c>
      <c r="O1160">
        <v>4</v>
      </c>
      <c r="P1160" t="b">
        <v>0</v>
      </c>
    </row>
    <row r="1161" spans="1:16" x14ac:dyDescent="0.2">
      <c r="A1161" t="s">
        <v>1589</v>
      </c>
      <c r="B1161" s="1">
        <v>45867</v>
      </c>
      <c r="C1161" s="1">
        <v>45944</v>
      </c>
      <c r="D1161" t="s">
        <v>959</v>
      </c>
      <c r="E1161" t="s">
        <v>29</v>
      </c>
      <c r="F1161" t="s">
        <v>19</v>
      </c>
      <c r="G1161" t="s">
        <v>50</v>
      </c>
      <c r="H1161" t="s">
        <v>21</v>
      </c>
      <c r="I1161" t="s">
        <v>26</v>
      </c>
      <c r="J1161">
        <v>1</v>
      </c>
      <c r="K1161">
        <v>3419000</v>
      </c>
      <c r="L1161">
        <v>0.224</v>
      </c>
      <c r="M1161" t="s">
        <v>23</v>
      </c>
      <c r="N1161">
        <v>2653000</v>
      </c>
      <c r="O1161">
        <v>4.5999999999999996</v>
      </c>
      <c r="P1161" t="b">
        <v>1</v>
      </c>
    </row>
    <row r="1162" spans="1:16" x14ac:dyDescent="0.2">
      <c r="A1162" t="s">
        <v>1590</v>
      </c>
      <c r="B1162" s="1">
        <v>45622</v>
      </c>
      <c r="C1162" s="1">
        <v>45632</v>
      </c>
      <c r="D1162" t="s">
        <v>741</v>
      </c>
      <c r="E1162" t="s">
        <v>18</v>
      </c>
      <c r="F1162" t="s">
        <v>39</v>
      </c>
      <c r="G1162" t="s">
        <v>35</v>
      </c>
      <c r="H1162" t="s">
        <v>21</v>
      </c>
      <c r="I1162" t="s">
        <v>99</v>
      </c>
      <c r="J1162">
        <v>1</v>
      </c>
      <c r="K1162">
        <v>1609000</v>
      </c>
      <c r="L1162">
        <v>0</v>
      </c>
      <c r="M1162" t="s">
        <v>23</v>
      </c>
      <c r="N1162">
        <v>1609000</v>
      </c>
      <c r="O1162">
        <v>4.3</v>
      </c>
      <c r="P1162" t="b">
        <v>1</v>
      </c>
    </row>
    <row r="1163" spans="1:16" x14ac:dyDescent="0.2">
      <c r="A1163" t="s">
        <v>1591</v>
      </c>
      <c r="B1163" s="1">
        <v>45564</v>
      </c>
      <c r="C1163" s="1">
        <v>45629</v>
      </c>
      <c r="D1163" t="s">
        <v>1592</v>
      </c>
      <c r="E1163" t="s">
        <v>45</v>
      </c>
      <c r="F1163" t="s">
        <v>34</v>
      </c>
      <c r="G1163" t="s">
        <v>50</v>
      </c>
      <c r="H1163" t="s">
        <v>21</v>
      </c>
      <c r="I1163" t="s">
        <v>26</v>
      </c>
      <c r="J1163">
        <v>2</v>
      </c>
      <c r="K1163">
        <v>3993000</v>
      </c>
      <c r="L1163">
        <v>7.4999999999999997E-2</v>
      </c>
      <c r="M1163" t="s">
        <v>23</v>
      </c>
      <c r="N1163">
        <v>7387000</v>
      </c>
      <c r="O1163">
        <v>4.5</v>
      </c>
      <c r="P1163" t="b">
        <v>0</v>
      </c>
    </row>
    <row r="1164" spans="1:16" x14ac:dyDescent="0.2">
      <c r="A1164" t="s">
        <v>1593</v>
      </c>
      <c r="B1164" s="1">
        <v>45470</v>
      </c>
      <c r="C1164" s="1">
        <v>45534</v>
      </c>
      <c r="D1164" t="s">
        <v>1038</v>
      </c>
      <c r="E1164" t="s">
        <v>29</v>
      </c>
      <c r="F1164" t="s">
        <v>39</v>
      </c>
      <c r="G1164" t="s">
        <v>35</v>
      </c>
      <c r="H1164" t="s">
        <v>21</v>
      </c>
      <c r="I1164" t="s">
        <v>77</v>
      </c>
      <c r="J1164">
        <v>3</v>
      </c>
      <c r="K1164">
        <v>2378000</v>
      </c>
      <c r="L1164">
        <v>3.1E-2</v>
      </c>
      <c r="M1164" t="s">
        <v>23</v>
      </c>
      <c r="N1164">
        <v>6913000</v>
      </c>
      <c r="O1164">
        <v>3.8</v>
      </c>
      <c r="P1164" t="b">
        <v>0</v>
      </c>
    </row>
    <row r="1165" spans="1:16" x14ac:dyDescent="0.2">
      <c r="A1165" t="s">
        <v>1594</v>
      </c>
      <c r="B1165" s="1">
        <v>45690</v>
      </c>
      <c r="C1165" s="1">
        <v>45715</v>
      </c>
      <c r="D1165" t="s">
        <v>591</v>
      </c>
      <c r="E1165" t="s">
        <v>33</v>
      </c>
      <c r="F1165" t="s">
        <v>34</v>
      </c>
      <c r="G1165" t="s">
        <v>20</v>
      </c>
      <c r="H1165" t="s">
        <v>51</v>
      </c>
      <c r="I1165" t="s">
        <v>30</v>
      </c>
      <c r="J1165">
        <v>2</v>
      </c>
      <c r="K1165">
        <v>2762000</v>
      </c>
      <c r="L1165">
        <v>0</v>
      </c>
      <c r="M1165" t="s">
        <v>23</v>
      </c>
      <c r="N1165">
        <v>5524000</v>
      </c>
      <c r="O1165">
        <v>4.0999999999999996</v>
      </c>
      <c r="P1165" t="b">
        <v>1</v>
      </c>
    </row>
    <row r="1166" spans="1:16" x14ac:dyDescent="0.2">
      <c r="A1166" t="s">
        <v>1595</v>
      </c>
      <c r="B1166" s="1">
        <v>45761</v>
      </c>
      <c r="C1166" s="1">
        <v>45830</v>
      </c>
      <c r="D1166" t="s">
        <v>1036</v>
      </c>
      <c r="E1166" t="s">
        <v>45</v>
      </c>
      <c r="F1166" t="s">
        <v>25</v>
      </c>
      <c r="G1166" t="s">
        <v>20</v>
      </c>
      <c r="H1166" t="s">
        <v>21</v>
      </c>
      <c r="J1166">
        <v>1</v>
      </c>
      <c r="K1166">
        <v>3492000</v>
      </c>
      <c r="L1166">
        <v>4.5999999999999999E-2</v>
      </c>
      <c r="M1166" t="s">
        <v>23</v>
      </c>
      <c r="N1166">
        <v>3331000</v>
      </c>
      <c r="O1166">
        <v>3.8</v>
      </c>
      <c r="P1166" t="b">
        <v>1</v>
      </c>
    </row>
    <row r="1167" spans="1:16" x14ac:dyDescent="0.2">
      <c r="A1167" t="s">
        <v>1596</v>
      </c>
      <c r="B1167" s="1">
        <v>45293</v>
      </c>
      <c r="C1167" s="1">
        <v>45317</v>
      </c>
      <c r="D1167" t="s">
        <v>181</v>
      </c>
      <c r="E1167" t="s">
        <v>45</v>
      </c>
      <c r="F1167" t="s">
        <v>19</v>
      </c>
      <c r="G1167" t="s">
        <v>50</v>
      </c>
      <c r="H1167" t="s">
        <v>47</v>
      </c>
      <c r="I1167" t="s">
        <v>77</v>
      </c>
      <c r="J1167">
        <v>2</v>
      </c>
      <c r="K1167">
        <v>1763000</v>
      </c>
      <c r="L1167">
        <v>0.23100000000000001</v>
      </c>
      <c r="M1167" t="s">
        <v>23</v>
      </c>
      <c r="N1167">
        <v>2711000</v>
      </c>
      <c r="O1167">
        <v>4.0999999999999996</v>
      </c>
      <c r="P1167" t="b">
        <v>0</v>
      </c>
    </row>
    <row r="1168" spans="1:16" x14ac:dyDescent="0.2">
      <c r="A1168" t="s">
        <v>1597</v>
      </c>
      <c r="B1168" s="1">
        <v>45636</v>
      </c>
      <c r="C1168" s="1">
        <v>45664</v>
      </c>
      <c r="D1168" t="s">
        <v>401</v>
      </c>
      <c r="E1168" t="s">
        <v>18</v>
      </c>
      <c r="F1168" t="s">
        <v>34</v>
      </c>
      <c r="G1168" t="s">
        <v>35</v>
      </c>
      <c r="H1168" t="s">
        <v>47</v>
      </c>
      <c r="I1168" t="s">
        <v>57</v>
      </c>
      <c r="J1168">
        <v>2</v>
      </c>
      <c r="K1168">
        <v>3440000</v>
      </c>
      <c r="L1168">
        <v>8.1000000000000003E-2</v>
      </c>
      <c r="M1168" t="s">
        <v>23</v>
      </c>
      <c r="N1168">
        <v>6323000</v>
      </c>
      <c r="O1168">
        <v>4.0999999999999996</v>
      </c>
      <c r="P1168" t="b">
        <v>1</v>
      </c>
    </row>
    <row r="1169" spans="1:16" x14ac:dyDescent="0.2">
      <c r="A1169" t="s">
        <v>1598</v>
      </c>
      <c r="B1169" s="1">
        <v>45910</v>
      </c>
      <c r="C1169" s="1">
        <v>45985</v>
      </c>
      <c r="D1169" t="s">
        <v>452</v>
      </c>
      <c r="E1169" t="s">
        <v>33</v>
      </c>
      <c r="F1169" t="s">
        <v>68</v>
      </c>
      <c r="G1169" t="s">
        <v>35</v>
      </c>
      <c r="H1169" t="s">
        <v>47</v>
      </c>
      <c r="I1169" t="s">
        <v>26</v>
      </c>
      <c r="J1169">
        <v>2</v>
      </c>
      <c r="K1169">
        <v>2332000</v>
      </c>
      <c r="L1169">
        <v>0.16700000000000001</v>
      </c>
      <c r="M1169" t="s">
        <v>23</v>
      </c>
      <c r="N1169">
        <v>3885000</v>
      </c>
      <c r="O1169">
        <v>5</v>
      </c>
      <c r="P1169" t="b">
        <v>1</v>
      </c>
    </row>
    <row r="1170" spans="1:16" x14ac:dyDescent="0.2">
      <c r="A1170" t="s">
        <v>1599</v>
      </c>
      <c r="B1170" s="1">
        <v>45466</v>
      </c>
      <c r="C1170" s="1">
        <v>45555</v>
      </c>
      <c r="D1170" t="s">
        <v>358</v>
      </c>
      <c r="E1170" t="s">
        <v>45</v>
      </c>
      <c r="F1170" t="s">
        <v>25</v>
      </c>
      <c r="G1170" t="s">
        <v>50</v>
      </c>
      <c r="H1170" t="s">
        <v>21</v>
      </c>
      <c r="I1170" t="s">
        <v>60</v>
      </c>
      <c r="J1170">
        <v>3</v>
      </c>
      <c r="K1170">
        <v>5983000</v>
      </c>
      <c r="L1170">
        <v>0.192</v>
      </c>
      <c r="M1170" t="s">
        <v>23</v>
      </c>
      <c r="N1170">
        <v>14503000</v>
      </c>
      <c r="O1170">
        <v>4.0999999999999996</v>
      </c>
      <c r="P1170" t="b">
        <v>1</v>
      </c>
    </row>
    <row r="1171" spans="1:16" x14ac:dyDescent="0.2">
      <c r="A1171" t="s">
        <v>1600</v>
      </c>
      <c r="B1171" s="1">
        <v>45466</v>
      </c>
      <c r="C1171" s="1">
        <v>45497</v>
      </c>
      <c r="D1171" t="s">
        <v>1072</v>
      </c>
      <c r="E1171" t="s">
        <v>29</v>
      </c>
      <c r="F1171" t="s">
        <v>68</v>
      </c>
      <c r="G1171" t="s">
        <v>35</v>
      </c>
      <c r="H1171" t="s">
        <v>47</v>
      </c>
      <c r="I1171" t="s">
        <v>57</v>
      </c>
      <c r="J1171">
        <v>2</v>
      </c>
      <c r="K1171">
        <v>2399000</v>
      </c>
      <c r="L1171">
        <v>5.8999999999999997E-2</v>
      </c>
      <c r="M1171" t="s">
        <v>65</v>
      </c>
      <c r="N1171">
        <v>0</v>
      </c>
      <c r="P1171" t="b">
        <v>1</v>
      </c>
    </row>
    <row r="1172" spans="1:16" x14ac:dyDescent="0.2">
      <c r="A1172" t="s">
        <v>1601</v>
      </c>
      <c r="B1172" s="1">
        <v>45839</v>
      </c>
      <c r="C1172" s="1">
        <v>45923</v>
      </c>
      <c r="D1172" t="s">
        <v>549</v>
      </c>
      <c r="E1172" t="s">
        <v>45</v>
      </c>
      <c r="F1172" t="s">
        <v>19</v>
      </c>
      <c r="G1172" t="s">
        <v>20</v>
      </c>
      <c r="H1172" t="s">
        <v>47</v>
      </c>
      <c r="I1172" t="s">
        <v>30</v>
      </c>
      <c r="J1172">
        <v>2</v>
      </c>
      <c r="K1172">
        <v>1588000</v>
      </c>
      <c r="L1172">
        <v>0.127</v>
      </c>
      <c r="M1172" t="s">
        <v>23</v>
      </c>
      <c r="N1172">
        <v>2773000</v>
      </c>
      <c r="O1172">
        <v>4.9000000000000004</v>
      </c>
      <c r="P1172" t="b">
        <v>1</v>
      </c>
    </row>
    <row r="1173" spans="1:16" x14ac:dyDescent="0.2">
      <c r="A1173" t="s">
        <v>1602</v>
      </c>
      <c r="B1173" s="1">
        <v>45330</v>
      </c>
      <c r="C1173" s="1">
        <v>45413</v>
      </c>
      <c r="D1173" t="s">
        <v>171</v>
      </c>
      <c r="E1173" t="s">
        <v>33</v>
      </c>
      <c r="F1173" t="s">
        <v>39</v>
      </c>
      <c r="G1173" t="s">
        <v>20</v>
      </c>
      <c r="H1173" t="s">
        <v>47</v>
      </c>
      <c r="I1173" t="s">
        <v>94</v>
      </c>
      <c r="J1173">
        <v>2</v>
      </c>
      <c r="K1173">
        <v>2694000</v>
      </c>
      <c r="L1173">
        <v>1.7000000000000001E-2</v>
      </c>
      <c r="M1173" t="s">
        <v>23</v>
      </c>
      <c r="N1173">
        <v>5296000</v>
      </c>
      <c r="O1173">
        <v>4.4000000000000004</v>
      </c>
      <c r="P1173" t="b">
        <v>1</v>
      </c>
    </row>
    <row r="1174" spans="1:16" x14ac:dyDescent="0.2">
      <c r="A1174" t="s">
        <v>1603</v>
      </c>
      <c r="B1174" s="1">
        <v>45539</v>
      </c>
      <c r="C1174" s="1">
        <v>45611</v>
      </c>
      <c r="D1174" t="s">
        <v>194</v>
      </c>
      <c r="E1174" t="s">
        <v>45</v>
      </c>
      <c r="F1174" t="s">
        <v>68</v>
      </c>
      <c r="G1174" t="s">
        <v>35</v>
      </c>
      <c r="H1174" t="s">
        <v>51</v>
      </c>
      <c r="I1174" t="s">
        <v>22</v>
      </c>
      <c r="J1174">
        <v>2</v>
      </c>
      <c r="K1174">
        <v>3107000</v>
      </c>
      <c r="L1174">
        <v>7.6999999999999999E-2</v>
      </c>
      <c r="M1174" t="s">
        <v>23</v>
      </c>
      <c r="N1174">
        <v>5736000</v>
      </c>
      <c r="O1174">
        <v>4.0999999999999996</v>
      </c>
      <c r="P1174" t="b">
        <v>0</v>
      </c>
    </row>
    <row r="1175" spans="1:16" x14ac:dyDescent="0.2">
      <c r="A1175" t="s">
        <v>1604</v>
      </c>
      <c r="B1175" s="1">
        <v>45577</v>
      </c>
      <c r="C1175" s="1">
        <v>45598</v>
      </c>
      <c r="D1175" t="s">
        <v>1394</v>
      </c>
      <c r="E1175" t="s">
        <v>45</v>
      </c>
      <c r="F1175" t="s">
        <v>25</v>
      </c>
      <c r="G1175" t="s">
        <v>50</v>
      </c>
      <c r="H1175" t="s">
        <v>40</v>
      </c>
      <c r="I1175" t="s">
        <v>60</v>
      </c>
      <c r="J1175">
        <v>2</v>
      </c>
      <c r="K1175">
        <v>6527000</v>
      </c>
      <c r="L1175">
        <v>0.17399999999999999</v>
      </c>
      <c r="M1175" t="s">
        <v>23</v>
      </c>
      <c r="N1175">
        <v>10783000</v>
      </c>
      <c r="O1175">
        <v>4</v>
      </c>
      <c r="P1175" t="b">
        <v>0</v>
      </c>
    </row>
    <row r="1176" spans="1:16" x14ac:dyDescent="0.2">
      <c r="A1176" t="s">
        <v>1605</v>
      </c>
      <c r="B1176" s="1">
        <v>45789</v>
      </c>
      <c r="C1176" s="1">
        <v>45823</v>
      </c>
      <c r="D1176" t="s">
        <v>598</v>
      </c>
      <c r="E1176" t="s">
        <v>29</v>
      </c>
      <c r="F1176" t="s">
        <v>34</v>
      </c>
      <c r="G1176" t="s">
        <v>35</v>
      </c>
      <c r="H1176" t="s">
        <v>21</v>
      </c>
      <c r="I1176" t="s">
        <v>83</v>
      </c>
      <c r="J1176">
        <v>1</v>
      </c>
      <c r="K1176">
        <v>3240000</v>
      </c>
      <c r="L1176">
        <v>6.2E-2</v>
      </c>
      <c r="M1176" t="s">
        <v>23</v>
      </c>
      <c r="N1176">
        <v>3039000</v>
      </c>
      <c r="O1176">
        <v>3.7</v>
      </c>
      <c r="P1176" t="b">
        <v>1</v>
      </c>
    </row>
    <row r="1177" spans="1:16" x14ac:dyDescent="0.2">
      <c r="A1177" t="s">
        <v>1606</v>
      </c>
      <c r="B1177" s="1">
        <v>45372</v>
      </c>
      <c r="C1177" s="1">
        <v>45436</v>
      </c>
      <c r="D1177" t="s">
        <v>936</v>
      </c>
      <c r="E1177" t="s">
        <v>33</v>
      </c>
      <c r="F1177" t="s">
        <v>45</v>
      </c>
      <c r="G1177" t="s">
        <v>35</v>
      </c>
      <c r="H1177" t="s">
        <v>47</v>
      </c>
      <c r="I1177" t="s">
        <v>60</v>
      </c>
      <c r="J1177">
        <v>4</v>
      </c>
      <c r="K1177">
        <v>2250000</v>
      </c>
      <c r="L1177">
        <v>0.14199999999999999</v>
      </c>
      <c r="M1177" t="s">
        <v>23</v>
      </c>
      <c r="N1177">
        <v>7722000</v>
      </c>
      <c r="O1177">
        <v>5</v>
      </c>
      <c r="P1177" t="b">
        <v>0</v>
      </c>
    </row>
    <row r="1178" spans="1:16" x14ac:dyDescent="0.2">
      <c r="A1178" t="s">
        <v>1607</v>
      </c>
      <c r="B1178" s="1">
        <v>45562</v>
      </c>
      <c r="C1178" s="1">
        <v>45652</v>
      </c>
      <c r="D1178" t="s">
        <v>452</v>
      </c>
      <c r="E1178" t="s">
        <v>33</v>
      </c>
      <c r="F1178" t="s">
        <v>25</v>
      </c>
      <c r="G1178" t="s">
        <v>50</v>
      </c>
      <c r="H1178" t="s">
        <v>21</v>
      </c>
      <c r="I1178" t="s">
        <v>52</v>
      </c>
      <c r="J1178">
        <v>2</v>
      </c>
      <c r="K1178">
        <v>4434000</v>
      </c>
      <c r="L1178">
        <v>0.75</v>
      </c>
      <c r="M1178" t="s">
        <v>23</v>
      </c>
      <c r="N1178">
        <v>8292000</v>
      </c>
      <c r="O1178">
        <v>4.2</v>
      </c>
      <c r="P1178" t="b">
        <v>1</v>
      </c>
    </row>
    <row r="1179" spans="1:16" x14ac:dyDescent="0.2">
      <c r="A1179" t="s">
        <v>1608</v>
      </c>
      <c r="B1179" s="1">
        <v>45386</v>
      </c>
      <c r="C1179" s="1">
        <v>45461</v>
      </c>
      <c r="D1179" t="s">
        <v>273</v>
      </c>
      <c r="E1179" t="s">
        <v>45</v>
      </c>
      <c r="F1179" t="s">
        <v>68</v>
      </c>
      <c r="G1179" t="s">
        <v>50</v>
      </c>
      <c r="H1179" t="s">
        <v>47</v>
      </c>
      <c r="I1179" t="s">
        <v>52</v>
      </c>
      <c r="J1179">
        <v>1</v>
      </c>
      <c r="K1179">
        <v>2363000</v>
      </c>
      <c r="L1179">
        <v>0.14799999999999999</v>
      </c>
      <c r="M1179" t="s">
        <v>23</v>
      </c>
      <c r="N1179">
        <v>2013000</v>
      </c>
      <c r="O1179">
        <v>3.3</v>
      </c>
      <c r="P1179" t="b">
        <v>1</v>
      </c>
    </row>
    <row r="1180" spans="1:16" x14ac:dyDescent="0.2">
      <c r="A1180" t="s">
        <v>1609</v>
      </c>
      <c r="B1180" s="1">
        <v>45782</v>
      </c>
      <c r="C1180" s="1">
        <v>45826</v>
      </c>
      <c r="D1180" t="s">
        <v>598</v>
      </c>
      <c r="E1180" t="s">
        <v>29</v>
      </c>
      <c r="F1180" t="s">
        <v>19</v>
      </c>
      <c r="G1180" t="s">
        <v>50</v>
      </c>
      <c r="H1180" t="s">
        <v>21</v>
      </c>
      <c r="I1180" t="s">
        <v>52</v>
      </c>
      <c r="J1180">
        <v>1</v>
      </c>
      <c r="K1180">
        <v>1935000</v>
      </c>
      <c r="L1180">
        <v>4.2999999999999997E-2</v>
      </c>
      <c r="M1180" t="s">
        <v>23</v>
      </c>
      <c r="N1180">
        <v>1852000</v>
      </c>
      <c r="O1180">
        <v>4.4000000000000004</v>
      </c>
      <c r="P1180" t="b">
        <v>1</v>
      </c>
    </row>
    <row r="1181" spans="1:16" x14ac:dyDescent="0.2">
      <c r="A1181" t="s">
        <v>1610</v>
      </c>
      <c r="B1181" s="1">
        <v>45685</v>
      </c>
      <c r="C1181" s="1">
        <v>45714</v>
      </c>
      <c r="D1181" t="s">
        <v>829</v>
      </c>
      <c r="E1181" t="s">
        <v>33</v>
      </c>
      <c r="F1181" t="s">
        <v>19</v>
      </c>
      <c r="G1181" t="s">
        <v>20</v>
      </c>
      <c r="H1181" t="s">
        <v>21</v>
      </c>
      <c r="I1181" t="s">
        <v>26</v>
      </c>
      <c r="J1181">
        <v>2</v>
      </c>
      <c r="K1181">
        <v>2936000</v>
      </c>
      <c r="L1181">
        <v>0.216</v>
      </c>
      <c r="M1181" t="s">
        <v>23</v>
      </c>
      <c r="N1181">
        <v>4604000</v>
      </c>
      <c r="O1181">
        <v>4.8</v>
      </c>
      <c r="P1181" t="b">
        <v>1</v>
      </c>
    </row>
    <row r="1182" spans="1:16" x14ac:dyDescent="0.2">
      <c r="A1182" t="s">
        <v>1611</v>
      </c>
      <c r="B1182" s="1">
        <v>45601</v>
      </c>
      <c r="C1182" s="1">
        <v>45688</v>
      </c>
      <c r="D1182" t="s">
        <v>547</v>
      </c>
      <c r="E1182" t="s">
        <v>33</v>
      </c>
      <c r="F1182" t="s">
        <v>34</v>
      </c>
      <c r="G1182" t="s">
        <v>50</v>
      </c>
      <c r="H1182" t="s">
        <v>21</v>
      </c>
      <c r="I1182" t="s">
        <v>22</v>
      </c>
      <c r="J1182">
        <v>2</v>
      </c>
      <c r="K1182">
        <v>3081000</v>
      </c>
      <c r="L1182">
        <v>0.128</v>
      </c>
      <c r="M1182" t="s">
        <v>23</v>
      </c>
      <c r="N1182">
        <v>5373000</v>
      </c>
      <c r="O1182">
        <v>4.3</v>
      </c>
      <c r="P1182" t="b">
        <v>1</v>
      </c>
    </row>
    <row r="1183" spans="1:16" x14ac:dyDescent="0.2">
      <c r="A1183" t="s">
        <v>1612</v>
      </c>
      <c r="B1183" s="1">
        <v>45536</v>
      </c>
      <c r="C1183" s="1">
        <v>45568</v>
      </c>
      <c r="D1183" t="s">
        <v>750</v>
      </c>
      <c r="E1183" t="s">
        <v>45</v>
      </c>
      <c r="F1183" t="s">
        <v>45</v>
      </c>
      <c r="G1183" t="s">
        <v>35</v>
      </c>
      <c r="H1183" t="s">
        <v>21</v>
      </c>
      <c r="I1183" t="s">
        <v>57</v>
      </c>
      <c r="J1183">
        <v>3</v>
      </c>
      <c r="K1183">
        <v>3826000</v>
      </c>
      <c r="L1183">
        <v>0.222</v>
      </c>
      <c r="M1183" t="s">
        <v>23</v>
      </c>
      <c r="N1183">
        <v>8930000</v>
      </c>
      <c r="O1183">
        <v>3.7</v>
      </c>
      <c r="P1183" t="b">
        <v>0</v>
      </c>
    </row>
    <row r="1184" spans="1:16" x14ac:dyDescent="0.2">
      <c r="A1184" t="s">
        <v>1613</v>
      </c>
      <c r="B1184" s="1">
        <v>45387</v>
      </c>
      <c r="C1184" s="1">
        <v>45424</v>
      </c>
      <c r="D1184" t="s">
        <v>725</v>
      </c>
      <c r="E1184" t="s">
        <v>18</v>
      </c>
      <c r="F1184" t="s">
        <v>68</v>
      </c>
      <c r="G1184" t="s">
        <v>20</v>
      </c>
      <c r="H1184" t="s">
        <v>51</v>
      </c>
      <c r="I1184" t="s">
        <v>22</v>
      </c>
      <c r="J1184">
        <v>1</v>
      </c>
      <c r="K1184">
        <v>2500000</v>
      </c>
      <c r="L1184">
        <v>4.7E-2</v>
      </c>
      <c r="M1184" t="s">
        <v>65</v>
      </c>
      <c r="N1184">
        <v>0</v>
      </c>
      <c r="P1184" t="b">
        <v>0</v>
      </c>
    </row>
    <row r="1185" spans="1:16" x14ac:dyDescent="0.2">
      <c r="A1185" t="s">
        <v>1614</v>
      </c>
      <c r="B1185" s="1">
        <v>45866</v>
      </c>
      <c r="C1185" s="1">
        <v>45954</v>
      </c>
      <c r="D1185" t="s">
        <v>1357</v>
      </c>
      <c r="E1185" t="s">
        <v>33</v>
      </c>
      <c r="F1185" t="s">
        <v>34</v>
      </c>
      <c r="G1185" t="s">
        <v>35</v>
      </c>
      <c r="H1185" t="s">
        <v>21</v>
      </c>
      <c r="I1185" t="s">
        <v>26</v>
      </c>
      <c r="J1185">
        <v>1</v>
      </c>
      <c r="K1185">
        <v>4258000</v>
      </c>
      <c r="L1185">
        <v>0.13100000000000001</v>
      </c>
      <c r="M1185" t="s">
        <v>23</v>
      </c>
      <c r="N1185">
        <v>3700000</v>
      </c>
      <c r="O1185">
        <v>3.7</v>
      </c>
      <c r="P1185" t="b">
        <v>1</v>
      </c>
    </row>
    <row r="1186" spans="1:16" x14ac:dyDescent="0.2">
      <c r="A1186" t="s">
        <v>1615</v>
      </c>
      <c r="B1186" s="1">
        <v>45695</v>
      </c>
      <c r="C1186" s="1">
        <v>45750</v>
      </c>
      <c r="D1186" t="s">
        <v>705</v>
      </c>
      <c r="E1186" t="s">
        <v>33</v>
      </c>
      <c r="F1186" t="s">
        <v>45</v>
      </c>
      <c r="G1186" t="s">
        <v>50</v>
      </c>
      <c r="H1186" t="s">
        <v>47</v>
      </c>
      <c r="I1186" t="s">
        <v>26</v>
      </c>
      <c r="J1186">
        <v>5</v>
      </c>
      <c r="K1186">
        <v>2345000</v>
      </c>
      <c r="L1186">
        <v>9.6000000000000002E-2</v>
      </c>
      <c r="M1186" t="s">
        <v>23</v>
      </c>
      <c r="N1186">
        <v>10599000</v>
      </c>
      <c r="O1186">
        <v>5</v>
      </c>
      <c r="P1186" t="b">
        <v>1</v>
      </c>
    </row>
    <row r="1187" spans="1:16" x14ac:dyDescent="0.2">
      <c r="A1187" t="s">
        <v>1616</v>
      </c>
      <c r="B1187" s="1">
        <v>45490</v>
      </c>
      <c r="C1187" s="1">
        <v>45521</v>
      </c>
      <c r="D1187" t="s">
        <v>267</v>
      </c>
      <c r="E1187" t="s">
        <v>45</v>
      </c>
      <c r="F1187" t="s">
        <v>68</v>
      </c>
      <c r="G1187" t="s">
        <v>35</v>
      </c>
      <c r="H1187" t="s">
        <v>21</v>
      </c>
      <c r="I1187" t="s">
        <v>60</v>
      </c>
      <c r="J1187">
        <v>3</v>
      </c>
      <c r="K1187">
        <v>1682000</v>
      </c>
      <c r="L1187">
        <v>6.6000000000000003E-2</v>
      </c>
      <c r="M1187" t="s">
        <v>23</v>
      </c>
      <c r="N1187">
        <v>4713000</v>
      </c>
      <c r="O1187">
        <v>4.2</v>
      </c>
      <c r="P1187" t="b">
        <v>0</v>
      </c>
    </row>
    <row r="1188" spans="1:16" x14ac:dyDescent="0.2">
      <c r="A1188" t="s">
        <v>1617</v>
      </c>
      <c r="B1188" s="1">
        <v>45549</v>
      </c>
      <c r="C1188" s="1">
        <v>45559</v>
      </c>
      <c r="D1188" t="s">
        <v>1618</v>
      </c>
      <c r="E1188" t="s">
        <v>29</v>
      </c>
      <c r="F1188" t="s">
        <v>34</v>
      </c>
      <c r="G1188" t="s">
        <v>50</v>
      </c>
      <c r="H1188" t="s">
        <v>51</v>
      </c>
      <c r="I1188" t="s">
        <v>94</v>
      </c>
      <c r="J1188">
        <v>2</v>
      </c>
      <c r="K1188">
        <v>3656000</v>
      </c>
      <c r="L1188">
        <v>0.193</v>
      </c>
      <c r="M1188" t="s">
        <v>23</v>
      </c>
      <c r="N1188">
        <v>5901000</v>
      </c>
      <c r="O1188">
        <v>3.4</v>
      </c>
      <c r="P1188" t="b">
        <v>0</v>
      </c>
    </row>
    <row r="1189" spans="1:16" x14ac:dyDescent="0.2">
      <c r="A1189" t="s">
        <v>1619</v>
      </c>
      <c r="B1189" s="1">
        <v>45744</v>
      </c>
      <c r="C1189" s="1">
        <v>45788</v>
      </c>
      <c r="D1189" t="s">
        <v>64</v>
      </c>
      <c r="E1189" t="s">
        <v>45</v>
      </c>
      <c r="F1189" t="s">
        <v>34</v>
      </c>
      <c r="G1189" t="s">
        <v>20</v>
      </c>
      <c r="H1189" t="s">
        <v>21</v>
      </c>
      <c r="I1189" t="s">
        <v>77</v>
      </c>
      <c r="J1189">
        <v>1</v>
      </c>
      <c r="K1189">
        <v>3264000</v>
      </c>
      <c r="L1189">
        <v>0.14299999999999999</v>
      </c>
      <c r="M1189" t="s">
        <v>23</v>
      </c>
      <c r="N1189">
        <v>2797000</v>
      </c>
      <c r="O1189">
        <v>4.4000000000000004</v>
      </c>
      <c r="P1189" t="b">
        <v>1</v>
      </c>
    </row>
    <row r="1190" spans="1:16" x14ac:dyDescent="0.2">
      <c r="A1190" t="s">
        <v>1620</v>
      </c>
      <c r="B1190" s="1">
        <v>45740</v>
      </c>
      <c r="C1190" s="1">
        <v>45829</v>
      </c>
      <c r="D1190" t="s">
        <v>417</v>
      </c>
      <c r="E1190" t="s">
        <v>45</v>
      </c>
      <c r="F1190" t="s">
        <v>45</v>
      </c>
      <c r="G1190" t="s">
        <v>20</v>
      </c>
      <c r="H1190" t="s">
        <v>21</v>
      </c>
      <c r="I1190" t="s">
        <v>83</v>
      </c>
      <c r="J1190">
        <v>4</v>
      </c>
      <c r="K1190">
        <v>3577000</v>
      </c>
      <c r="L1190">
        <v>0.109</v>
      </c>
      <c r="M1190" t="s">
        <v>23</v>
      </c>
      <c r="N1190">
        <v>12748000</v>
      </c>
      <c r="O1190">
        <v>4.3</v>
      </c>
      <c r="P1190" t="b">
        <v>1</v>
      </c>
    </row>
    <row r="1191" spans="1:16" x14ac:dyDescent="0.2">
      <c r="A1191" t="s">
        <v>1621</v>
      </c>
      <c r="B1191" s="1">
        <v>45579</v>
      </c>
      <c r="C1191" s="1">
        <v>45624</v>
      </c>
      <c r="D1191" t="s">
        <v>496</v>
      </c>
      <c r="E1191" t="s">
        <v>18</v>
      </c>
      <c r="F1191" t="s">
        <v>45</v>
      </c>
      <c r="G1191" t="s">
        <v>20</v>
      </c>
      <c r="H1191" t="s">
        <v>21</v>
      </c>
      <c r="I1191" t="s">
        <v>57</v>
      </c>
      <c r="J1191">
        <v>3</v>
      </c>
      <c r="K1191">
        <v>2599000</v>
      </c>
      <c r="L1191">
        <v>0.08</v>
      </c>
      <c r="M1191" t="s">
        <v>23</v>
      </c>
      <c r="N1191">
        <v>7173000</v>
      </c>
      <c r="O1191">
        <v>4</v>
      </c>
      <c r="P1191" t="b">
        <v>1</v>
      </c>
    </row>
    <row r="1192" spans="1:16" x14ac:dyDescent="0.2">
      <c r="A1192" t="s">
        <v>1622</v>
      </c>
      <c r="B1192" s="1">
        <v>45480</v>
      </c>
      <c r="C1192" s="1">
        <v>45546</v>
      </c>
      <c r="D1192" t="s">
        <v>341</v>
      </c>
      <c r="E1192" t="s">
        <v>18</v>
      </c>
      <c r="F1192" t="s">
        <v>34</v>
      </c>
      <c r="G1192" t="s">
        <v>20</v>
      </c>
      <c r="H1192" t="s">
        <v>40</v>
      </c>
      <c r="I1192" t="s">
        <v>99</v>
      </c>
      <c r="J1192">
        <v>4</v>
      </c>
      <c r="K1192">
        <v>3651000</v>
      </c>
      <c r="L1192">
        <v>7.0999999999999994E-2</v>
      </c>
      <c r="M1192" t="s">
        <v>23</v>
      </c>
      <c r="N1192">
        <v>13567000</v>
      </c>
      <c r="O1192">
        <v>3.7</v>
      </c>
      <c r="P1192" t="b">
        <v>0</v>
      </c>
    </row>
    <row r="1193" spans="1:16" x14ac:dyDescent="0.2">
      <c r="A1193" t="s">
        <v>1623</v>
      </c>
      <c r="B1193" s="1">
        <v>45703</v>
      </c>
      <c r="C1193" s="1">
        <v>45733</v>
      </c>
      <c r="D1193" t="s">
        <v>712</v>
      </c>
      <c r="E1193" t="s">
        <v>29</v>
      </c>
      <c r="F1193" t="s">
        <v>39</v>
      </c>
      <c r="G1193" t="s">
        <v>35</v>
      </c>
      <c r="H1193" t="s">
        <v>51</v>
      </c>
      <c r="I1193" t="s">
        <v>60</v>
      </c>
      <c r="J1193">
        <v>1</v>
      </c>
      <c r="K1193">
        <v>3056000</v>
      </c>
      <c r="L1193">
        <v>0.121</v>
      </c>
      <c r="M1193" t="s">
        <v>65</v>
      </c>
      <c r="N1193">
        <v>0</v>
      </c>
      <c r="P1193" t="b">
        <v>1</v>
      </c>
    </row>
    <row r="1194" spans="1:16" x14ac:dyDescent="0.2">
      <c r="A1194" t="s">
        <v>1624</v>
      </c>
      <c r="B1194" s="1">
        <v>45702</v>
      </c>
      <c r="C1194" s="1">
        <v>45774</v>
      </c>
      <c r="D1194" t="s">
        <v>1042</v>
      </c>
      <c r="E1194" t="s">
        <v>29</v>
      </c>
      <c r="F1194" t="s">
        <v>25</v>
      </c>
      <c r="G1194" t="s">
        <v>50</v>
      </c>
      <c r="H1194" t="s">
        <v>51</v>
      </c>
      <c r="I1194" t="s">
        <v>99</v>
      </c>
      <c r="J1194">
        <v>1</v>
      </c>
      <c r="K1194">
        <v>4883000</v>
      </c>
      <c r="L1194">
        <v>0.11799999999999999</v>
      </c>
      <c r="M1194" t="s">
        <v>65</v>
      </c>
      <c r="N1194">
        <v>0</v>
      </c>
      <c r="P1194" t="b">
        <v>1</v>
      </c>
    </row>
    <row r="1195" spans="1:16" x14ac:dyDescent="0.2">
      <c r="A1195" t="s">
        <v>1625</v>
      </c>
      <c r="B1195" s="1">
        <v>45665</v>
      </c>
      <c r="C1195" s="1">
        <v>45737</v>
      </c>
      <c r="D1195" t="s">
        <v>412</v>
      </c>
      <c r="E1195" t="s">
        <v>18</v>
      </c>
      <c r="F1195" t="s">
        <v>68</v>
      </c>
      <c r="G1195" t="s">
        <v>50</v>
      </c>
      <c r="H1195" t="s">
        <v>21</v>
      </c>
      <c r="I1195" t="s">
        <v>52</v>
      </c>
      <c r="J1195">
        <v>2</v>
      </c>
      <c r="K1195">
        <v>3070000</v>
      </c>
      <c r="L1195">
        <v>0.109</v>
      </c>
      <c r="M1195" t="s">
        <v>23</v>
      </c>
      <c r="N1195">
        <v>5471000</v>
      </c>
      <c r="O1195">
        <v>4.3</v>
      </c>
      <c r="P1195" t="b">
        <v>1</v>
      </c>
    </row>
    <row r="1196" spans="1:16" x14ac:dyDescent="0.2">
      <c r="A1196" t="s">
        <v>1626</v>
      </c>
      <c r="B1196" s="1">
        <v>45337</v>
      </c>
      <c r="C1196" s="1">
        <v>45396</v>
      </c>
      <c r="D1196" t="s">
        <v>899</v>
      </c>
      <c r="E1196" t="s">
        <v>45</v>
      </c>
      <c r="F1196" t="s">
        <v>39</v>
      </c>
      <c r="G1196" t="s">
        <v>20</v>
      </c>
      <c r="H1196" t="s">
        <v>21</v>
      </c>
      <c r="I1196" t="s">
        <v>22</v>
      </c>
      <c r="J1196">
        <v>1</v>
      </c>
      <c r="K1196">
        <v>-100000</v>
      </c>
      <c r="L1196">
        <v>6.2E-2</v>
      </c>
      <c r="M1196" t="s">
        <v>23</v>
      </c>
      <c r="N1196">
        <v>1444000</v>
      </c>
      <c r="O1196">
        <v>4.4000000000000004</v>
      </c>
      <c r="P1196" t="b">
        <v>0</v>
      </c>
    </row>
    <row r="1197" spans="1:16" x14ac:dyDescent="0.2">
      <c r="A1197" t="s">
        <v>1627</v>
      </c>
      <c r="B1197" s="1">
        <v>45586</v>
      </c>
      <c r="C1197" s="1">
        <v>45658</v>
      </c>
      <c r="D1197" t="s">
        <v>1040</v>
      </c>
      <c r="E1197" t="s">
        <v>45</v>
      </c>
      <c r="F1197" t="s">
        <v>39</v>
      </c>
      <c r="G1197" t="s">
        <v>20</v>
      </c>
      <c r="H1197" t="s">
        <v>21</v>
      </c>
      <c r="I1197" t="s">
        <v>60</v>
      </c>
      <c r="J1197">
        <v>2</v>
      </c>
      <c r="K1197">
        <v>2739000</v>
      </c>
      <c r="L1197">
        <v>0.192</v>
      </c>
      <c r="M1197" t="s">
        <v>23</v>
      </c>
      <c r="N1197">
        <v>4426000</v>
      </c>
      <c r="O1197">
        <v>4.3</v>
      </c>
      <c r="P1197" t="b">
        <v>0</v>
      </c>
    </row>
    <row r="1198" spans="1:16" x14ac:dyDescent="0.2">
      <c r="A1198" t="s">
        <v>1628</v>
      </c>
      <c r="B1198" s="1">
        <v>45674</v>
      </c>
      <c r="C1198" s="1">
        <v>45730</v>
      </c>
      <c r="D1198" t="s">
        <v>452</v>
      </c>
      <c r="E1198" t="s">
        <v>33</v>
      </c>
      <c r="F1198" t="s">
        <v>25</v>
      </c>
      <c r="G1198" t="s">
        <v>20</v>
      </c>
      <c r="H1198" t="s">
        <v>21</v>
      </c>
      <c r="I1198" t="s">
        <v>30</v>
      </c>
      <c r="J1198">
        <v>2</v>
      </c>
      <c r="K1198">
        <v>3512000</v>
      </c>
      <c r="L1198">
        <v>9.8000000000000004E-2</v>
      </c>
      <c r="M1198" t="s">
        <v>23</v>
      </c>
      <c r="N1198">
        <v>6336000</v>
      </c>
      <c r="O1198">
        <v>4.4000000000000004</v>
      </c>
      <c r="P1198" t="b">
        <v>1</v>
      </c>
    </row>
    <row r="1199" spans="1:16" x14ac:dyDescent="0.2">
      <c r="A1199" t="s">
        <v>1628</v>
      </c>
      <c r="B1199" s="1">
        <v>45674</v>
      </c>
      <c r="C1199" s="1">
        <v>45730</v>
      </c>
      <c r="D1199" t="s">
        <v>452</v>
      </c>
      <c r="E1199" t="s">
        <v>33</v>
      </c>
      <c r="F1199" t="s">
        <v>25</v>
      </c>
      <c r="G1199" t="s">
        <v>20</v>
      </c>
      <c r="H1199" t="s">
        <v>21</v>
      </c>
      <c r="I1199" t="s">
        <v>30</v>
      </c>
      <c r="J1199">
        <v>2</v>
      </c>
      <c r="K1199">
        <v>3512000</v>
      </c>
      <c r="L1199">
        <v>9.8000000000000004E-2</v>
      </c>
      <c r="M1199" t="s">
        <v>23</v>
      </c>
      <c r="N1199">
        <v>6336000</v>
      </c>
      <c r="O1199">
        <v>4.4000000000000004</v>
      </c>
      <c r="P1199" t="b">
        <v>1</v>
      </c>
    </row>
    <row r="1200" spans="1:16" x14ac:dyDescent="0.2">
      <c r="A1200" t="s">
        <v>1629</v>
      </c>
      <c r="B1200" s="1">
        <v>45883</v>
      </c>
      <c r="C1200" s="1">
        <v>45923</v>
      </c>
      <c r="D1200" t="s">
        <v>721</v>
      </c>
      <c r="E1200" t="s">
        <v>18</v>
      </c>
      <c r="F1200" t="s">
        <v>19</v>
      </c>
      <c r="G1200" t="s">
        <v>35</v>
      </c>
      <c r="H1200" t="s">
        <v>40</v>
      </c>
      <c r="I1200" t="s">
        <v>26</v>
      </c>
      <c r="J1200">
        <v>1</v>
      </c>
      <c r="K1200">
        <v>2532000</v>
      </c>
      <c r="L1200">
        <v>0.20599999999999999</v>
      </c>
      <c r="M1200" t="s">
        <v>23</v>
      </c>
      <c r="N1200">
        <v>2010000</v>
      </c>
      <c r="O1200">
        <v>4</v>
      </c>
      <c r="P1200" t="b">
        <v>1</v>
      </c>
    </row>
    <row r="1201" spans="1:16" x14ac:dyDescent="0.2">
      <c r="A1201" t="s">
        <v>1630</v>
      </c>
      <c r="B1201" s="1">
        <v>45619</v>
      </c>
      <c r="C1201" s="1">
        <v>45688</v>
      </c>
      <c r="D1201" t="s">
        <v>393</v>
      </c>
      <c r="E1201" t="s">
        <v>18</v>
      </c>
      <c r="F1201" t="s">
        <v>25</v>
      </c>
      <c r="G1201" t="s">
        <v>20</v>
      </c>
      <c r="H1201" t="s">
        <v>21</v>
      </c>
      <c r="I1201" t="s">
        <v>30</v>
      </c>
      <c r="J1201">
        <v>1</v>
      </c>
      <c r="K1201">
        <v>5880000</v>
      </c>
      <c r="L1201">
        <v>0.121</v>
      </c>
      <c r="M1201" t="s">
        <v>23</v>
      </c>
      <c r="N1201">
        <v>5169000</v>
      </c>
      <c r="O1201">
        <v>4.0999999999999996</v>
      </c>
      <c r="P1201" t="b">
        <v>1</v>
      </c>
    </row>
    <row r="1202" spans="1:16" x14ac:dyDescent="0.2">
      <c r="A1202" t="s">
        <v>1631</v>
      </c>
      <c r="B1202" s="1">
        <v>45505</v>
      </c>
      <c r="C1202" s="1">
        <v>45582</v>
      </c>
      <c r="D1202" t="s">
        <v>116</v>
      </c>
      <c r="E1202" t="s">
        <v>29</v>
      </c>
      <c r="F1202" t="s">
        <v>34</v>
      </c>
      <c r="G1202" t="s">
        <v>35</v>
      </c>
      <c r="H1202" t="s">
        <v>40</v>
      </c>
      <c r="I1202" t="s">
        <v>22</v>
      </c>
      <c r="J1202">
        <v>2</v>
      </c>
      <c r="K1202">
        <v>2417000</v>
      </c>
      <c r="L1202">
        <v>0.159</v>
      </c>
      <c r="M1202" t="s">
        <v>23</v>
      </c>
      <c r="N1202">
        <v>4065000</v>
      </c>
      <c r="O1202">
        <v>4.8</v>
      </c>
      <c r="P1202" t="b">
        <v>0</v>
      </c>
    </row>
    <row r="1203" spans="1:16" x14ac:dyDescent="0.2">
      <c r="A1203" t="s">
        <v>1632</v>
      </c>
      <c r="B1203" s="1">
        <v>45638</v>
      </c>
      <c r="C1203" s="1">
        <v>45716</v>
      </c>
      <c r="D1203" t="s">
        <v>847</v>
      </c>
      <c r="E1203" t="s">
        <v>45</v>
      </c>
      <c r="F1203" t="s">
        <v>45</v>
      </c>
      <c r="G1203" t="s">
        <v>50</v>
      </c>
      <c r="H1203" t="s">
        <v>47</v>
      </c>
      <c r="I1203" t="s">
        <v>26</v>
      </c>
      <c r="J1203">
        <v>4</v>
      </c>
      <c r="K1203">
        <v>4157000</v>
      </c>
      <c r="L1203">
        <v>0.153</v>
      </c>
      <c r="M1203" t="s">
        <v>23</v>
      </c>
      <c r="N1203">
        <v>14084000</v>
      </c>
      <c r="O1203">
        <v>4.9000000000000004</v>
      </c>
      <c r="P1203" t="b">
        <v>1</v>
      </c>
    </row>
    <row r="1204" spans="1:16" x14ac:dyDescent="0.2">
      <c r="A1204" t="s">
        <v>1633</v>
      </c>
      <c r="B1204" s="1">
        <v>45402</v>
      </c>
      <c r="C1204" s="1">
        <v>45429</v>
      </c>
      <c r="D1204" t="s">
        <v>126</v>
      </c>
      <c r="E1204" t="s">
        <v>33</v>
      </c>
      <c r="F1204" t="s">
        <v>34</v>
      </c>
      <c r="G1204" t="s">
        <v>35</v>
      </c>
      <c r="H1204" t="s">
        <v>21</v>
      </c>
      <c r="I1204" t="s">
        <v>60</v>
      </c>
      <c r="J1204">
        <v>1</v>
      </c>
      <c r="K1204">
        <v>4364000</v>
      </c>
      <c r="L1204">
        <v>7.0999999999999994E-2</v>
      </c>
      <c r="M1204" t="s">
        <v>23</v>
      </c>
      <c r="N1204">
        <v>4054000</v>
      </c>
      <c r="O1204">
        <v>3.6</v>
      </c>
      <c r="P1204" t="b">
        <v>1</v>
      </c>
    </row>
    <row r="1205" spans="1:16" x14ac:dyDescent="0.2">
      <c r="A1205" t="s">
        <v>1634</v>
      </c>
      <c r="B1205" s="1">
        <v>45348</v>
      </c>
      <c r="C1205" s="1">
        <v>45412</v>
      </c>
      <c r="D1205" t="s">
        <v>1635</v>
      </c>
      <c r="E1205" t="s">
        <v>18</v>
      </c>
      <c r="F1205" t="s">
        <v>25</v>
      </c>
      <c r="G1205" t="s">
        <v>20</v>
      </c>
      <c r="H1205" t="s">
        <v>21</v>
      </c>
      <c r="I1205" t="s">
        <v>60</v>
      </c>
      <c r="J1205">
        <v>1</v>
      </c>
      <c r="K1205">
        <v>5336000</v>
      </c>
      <c r="L1205">
        <v>0.14199999999999999</v>
      </c>
      <c r="M1205" t="s">
        <v>23</v>
      </c>
      <c r="N1205">
        <v>4578000</v>
      </c>
      <c r="O1205">
        <v>4.0999999999999996</v>
      </c>
      <c r="P1205" t="b">
        <v>0</v>
      </c>
    </row>
    <row r="1206" spans="1:16" x14ac:dyDescent="0.2">
      <c r="A1206" t="s">
        <v>1636</v>
      </c>
      <c r="B1206" s="1">
        <v>45714</v>
      </c>
      <c r="C1206" s="1">
        <v>45724</v>
      </c>
      <c r="D1206" t="s">
        <v>901</v>
      </c>
      <c r="E1206" t="s">
        <v>18</v>
      </c>
      <c r="F1206" t="s">
        <v>34</v>
      </c>
      <c r="G1206" t="s">
        <v>20</v>
      </c>
      <c r="H1206" t="s">
        <v>21</v>
      </c>
      <c r="I1206" t="s">
        <v>22</v>
      </c>
      <c r="J1206">
        <v>2</v>
      </c>
      <c r="K1206">
        <v>3574000</v>
      </c>
      <c r="L1206">
        <v>0.23599999999999999</v>
      </c>
      <c r="M1206" t="s">
        <v>23</v>
      </c>
      <c r="N1206">
        <v>5461000</v>
      </c>
      <c r="O1206">
        <v>4.5999999999999996</v>
      </c>
      <c r="P1206" t="b">
        <v>1</v>
      </c>
    </row>
    <row r="1207" spans="1:16" x14ac:dyDescent="0.2">
      <c r="A1207" t="s">
        <v>1637</v>
      </c>
      <c r="B1207" s="1">
        <v>45906</v>
      </c>
      <c r="C1207" s="1">
        <v>45962</v>
      </c>
      <c r="D1207" t="s">
        <v>1574</v>
      </c>
      <c r="E1207" t="s">
        <v>29</v>
      </c>
      <c r="F1207" t="s">
        <v>19</v>
      </c>
      <c r="G1207" t="s">
        <v>35</v>
      </c>
      <c r="H1207" t="s">
        <v>21</v>
      </c>
      <c r="I1207" t="s">
        <v>26</v>
      </c>
      <c r="J1207">
        <v>1</v>
      </c>
      <c r="K1207">
        <v>2357000</v>
      </c>
      <c r="L1207">
        <v>0.13500000000000001</v>
      </c>
      <c r="M1207" t="s">
        <v>23</v>
      </c>
      <c r="N1207">
        <v>2039000</v>
      </c>
      <c r="O1207">
        <v>5</v>
      </c>
      <c r="P1207" t="b">
        <v>1</v>
      </c>
    </row>
    <row r="1208" spans="1:16" x14ac:dyDescent="0.2">
      <c r="A1208" t="s">
        <v>1638</v>
      </c>
      <c r="B1208" s="1">
        <v>45819</v>
      </c>
      <c r="C1208" s="1">
        <v>45875</v>
      </c>
      <c r="D1208" t="s">
        <v>185</v>
      </c>
      <c r="E1208" t="s">
        <v>45</v>
      </c>
      <c r="F1208" t="s">
        <v>19</v>
      </c>
      <c r="G1208" t="s">
        <v>35</v>
      </c>
      <c r="H1208" t="s">
        <v>21</v>
      </c>
      <c r="I1208" t="s">
        <v>77</v>
      </c>
      <c r="J1208">
        <v>2</v>
      </c>
      <c r="K1208">
        <v>2058000</v>
      </c>
      <c r="L1208">
        <v>9.6000000000000002E-2</v>
      </c>
      <c r="M1208" t="s">
        <v>23</v>
      </c>
      <c r="N1208">
        <v>3721000</v>
      </c>
      <c r="O1208">
        <v>5</v>
      </c>
      <c r="P1208" t="b">
        <v>1</v>
      </c>
    </row>
    <row r="1209" spans="1:16" x14ac:dyDescent="0.2">
      <c r="A1209" t="s">
        <v>1639</v>
      </c>
      <c r="B1209" s="1">
        <v>45655</v>
      </c>
      <c r="C1209" s="1">
        <v>45694</v>
      </c>
      <c r="D1209" t="s">
        <v>905</v>
      </c>
      <c r="E1209" t="s">
        <v>18</v>
      </c>
      <c r="F1209" t="s">
        <v>45</v>
      </c>
      <c r="G1209" t="s">
        <v>20</v>
      </c>
      <c r="H1209" t="s">
        <v>40</v>
      </c>
      <c r="I1209" t="s">
        <v>30</v>
      </c>
      <c r="J1209">
        <v>4</v>
      </c>
      <c r="K1209">
        <v>2337000</v>
      </c>
      <c r="L1209">
        <v>0.16200000000000001</v>
      </c>
      <c r="M1209" t="s">
        <v>23</v>
      </c>
      <c r="N1209">
        <v>7834000</v>
      </c>
      <c r="O1209">
        <v>3.8</v>
      </c>
      <c r="P1209" t="b">
        <v>1</v>
      </c>
    </row>
    <row r="1210" spans="1:16" x14ac:dyDescent="0.2">
      <c r="A1210" t="s">
        <v>1640</v>
      </c>
      <c r="B1210" s="1">
        <v>45317</v>
      </c>
      <c r="C1210" s="1">
        <v>45407</v>
      </c>
      <c r="D1210" t="s">
        <v>1112</v>
      </c>
      <c r="E1210" t="s">
        <v>18</v>
      </c>
      <c r="F1210" t="s">
        <v>39</v>
      </c>
      <c r="G1210" t="s">
        <v>50</v>
      </c>
      <c r="H1210" t="s">
        <v>21</v>
      </c>
      <c r="I1210" t="s">
        <v>22</v>
      </c>
      <c r="J1210">
        <v>1</v>
      </c>
      <c r="K1210">
        <v>1640000</v>
      </c>
      <c r="L1210">
        <v>0.13800000000000001</v>
      </c>
      <c r="M1210" t="s">
        <v>23</v>
      </c>
      <c r="N1210">
        <v>1414000</v>
      </c>
      <c r="O1210">
        <v>4.8</v>
      </c>
      <c r="P1210" t="b">
        <v>0</v>
      </c>
    </row>
    <row r="1211" spans="1:16" x14ac:dyDescent="0.2">
      <c r="A1211" t="s">
        <v>1641</v>
      </c>
      <c r="B1211" s="1">
        <v>45907</v>
      </c>
      <c r="C1211" s="1">
        <v>45988</v>
      </c>
      <c r="D1211" t="s">
        <v>1231</v>
      </c>
      <c r="E1211" t="s">
        <v>18</v>
      </c>
      <c r="F1211" t="s">
        <v>34</v>
      </c>
      <c r="G1211" t="s">
        <v>35</v>
      </c>
      <c r="H1211" t="s">
        <v>47</v>
      </c>
      <c r="I1211" t="s">
        <v>57</v>
      </c>
      <c r="J1211">
        <v>2</v>
      </c>
      <c r="K1211">
        <v>4201000</v>
      </c>
      <c r="L1211">
        <v>0.13100000000000001</v>
      </c>
      <c r="M1211" t="s">
        <v>23</v>
      </c>
      <c r="N1211">
        <v>7301000</v>
      </c>
      <c r="O1211">
        <v>4.2</v>
      </c>
      <c r="P1211" t="b">
        <v>1</v>
      </c>
    </row>
    <row r="1212" spans="1:16" x14ac:dyDescent="0.2">
      <c r="A1212" t="s">
        <v>1641</v>
      </c>
      <c r="B1212" s="1">
        <v>45907</v>
      </c>
      <c r="C1212" s="1">
        <v>45988</v>
      </c>
      <c r="D1212" t="s">
        <v>1231</v>
      </c>
      <c r="E1212" t="s">
        <v>18</v>
      </c>
      <c r="F1212" t="s">
        <v>34</v>
      </c>
      <c r="G1212" t="s">
        <v>35</v>
      </c>
      <c r="H1212" t="s">
        <v>47</v>
      </c>
      <c r="I1212" t="s">
        <v>57</v>
      </c>
      <c r="J1212">
        <v>2</v>
      </c>
      <c r="K1212">
        <v>4201000</v>
      </c>
      <c r="L1212">
        <v>0.13100000000000001</v>
      </c>
      <c r="M1212" t="s">
        <v>23</v>
      </c>
      <c r="N1212">
        <v>7301000</v>
      </c>
      <c r="O1212">
        <v>4.2</v>
      </c>
      <c r="P1212" t="b">
        <v>1</v>
      </c>
    </row>
    <row r="1213" spans="1:16" x14ac:dyDescent="0.2">
      <c r="A1213" t="s">
        <v>1642</v>
      </c>
      <c r="B1213" s="1">
        <v>45572</v>
      </c>
      <c r="C1213" s="1">
        <v>45585</v>
      </c>
      <c r="D1213" t="s">
        <v>899</v>
      </c>
      <c r="E1213" t="s">
        <v>45</v>
      </c>
      <c r="F1213" t="s">
        <v>39</v>
      </c>
      <c r="G1213" t="s">
        <v>35</v>
      </c>
      <c r="H1213" t="s">
        <v>47</v>
      </c>
      <c r="I1213" t="s">
        <v>26</v>
      </c>
      <c r="J1213">
        <v>2</v>
      </c>
      <c r="K1213">
        <v>2326000</v>
      </c>
      <c r="L1213">
        <v>0.153</v>
      </c>
      <c r="M1213" t="s">
        <v>23</v>
      </c>
      <c r="N1213">
        <v>3940000</v>
      </c>
      <c r="O1213">
        <v>4.7</v>
      </c>
      <c r="P1213" t="b">
        <v>1</v>
      </c>
    </row>
    <row r="1214" spans="1:16" x14ac:dyDescent="0.2">
      <c r="A1214" t="s">
        <v>1643</v>
      </c>
      <c r="B1214" s="1">
        <v>44562</v>
      </c>
      <c r="C1214" s="1">
        <v>44598</v>
      </c>
      <c r="D1214" t="s">
        <v>247</v>
      </c>
      <c r="E1214" t="s">
        <v>29</v>
      </c>
      <c r="F1214" t="s">
        <v>34</v>
      </c>
      <c r="G1214" t="s">
        <v>20</v>
      </c>
      <c r="H1214" t="s">
        <v>21</v>
      </c>
      <c r="I1214" t="s">
        <v>83</v>
      </c>
      <c r="J1214">
        <v>3</v>
      </c>
      <c r="K1214">
        <v>4398000</v>
      </c>
      <c r="L1214" s="2" t="s">
        <v>1644</v>
      </c>
      <c r="M1214" t="s">
        <v>23</v>
      </c>
      <c r="N1214">
        <v>11084000</v>
      </c>
      <c r="O1214">
        <v>4.2</v>
      </c>
      <c r="P1214" t="b">
        <v>1</v>
      </c>
    </row>
    <row r="1215" spans="1:16" x14ac:dyDescent="0.2">
      <c r="A1215" t="s">
        <v>1645</v>
      </c>
      <c r="B1215" s="1">
        <v>44562</v>
      </c>
      <c r="C1215" s="1">
        <v>44585</v>
      </c>
      <c r="D1215" t="s">
        <v>1646</v>
      </c>
      <c r="E1215" t="s">
        <v>29</v>
      </c>
      <c r="F1215" t="s">
        <v>19</v>
      </c>
      <c r="G1215" t="s">
        <v>20</v>
      </c>
      <c r="H1215" t="s">
        <v>21</v>
      </c>
      <c r="I1215" t="s">
        <v>57</v>
      </c>
      <c r="J1215">
        <v>2</v>
      </c>
      <c r="K1215">
        <v>3186000</v>
      </c>
      <c r="L1215" s="2" t="s">
        <v>1647</v>
      </c>
      <c r="M1215" t="s">
        <v>23</v>
      </c>
      <c r="N1215">
        <v>5507000</v>
      </c>
      <c r="O1215">
        <v>4.2</v>
      </c>
      <c r="P1215" t="b">
        <v>0</v>
      </c>
    </row>
    <row r="1216" spans="1:16" x14ac:dyDescent="0.2">
      <c r="A1216" t="s">
        <v>1648</v>
      </c>
      <c r="B1216" s="1">
        <v>44562</v>
      </c>
      <c r="C1216" s="1">
        <v>44563</v>
      </c>
      <c r="D1216" t="s">
        <v>1649</v>
      </c>
      <c r="E1216" t="s">
        <v>33</v>
      </c>
      <c r="F1216" t="s">
        <v>19</v>
      </c>
      <c r="G1216" t="s">
        <v>20</v>
      </c>
      <c r="H1216" t="s">
        <v>21</v>
      </c>
      <c r="I1216" t="s">
        <v>1650</v>
      </c>
      <c r="J1216">
        <v>1</v>
      </c>
      <c r="K1216">
        <v>2596000</v>
      </c>
      <c r="L1216" s="2" t="s">
        <v>1651</v>
      </c>
      <c r="M1216" t="s">
        <v>23</v>
      </c>
      <c r="N1216">
        <v>2085000</v>
      </c>
      <c r="O1216">
        <v>4.0999999999999996</v>
      </c>
      <c r="P1216" t="b">
        <v>0</v>
      </c>
    </row>
    <row r="1217" spans="1:16" x14ac:dyDescent="0.2">
      <c r="A1217" t="s">
        <v>1652</v>
      </c>
      <c r="B1217" s="1">
        <v>44563</v>
      </c>
      <c r="C1217" s="1">
        <v>44602</v>
      </c>
      <c r="D1217" t="s">
        <v>1653</v>
      </c>
      <c r="E1217" t="s">
        <v>45</v>
      </c>
      <c r="F1217" t="s">
        <v>19</v>
      </c>
      <c r="G1217" t="s">
        <v>20</v>
      </c>
      <c r="H1217" t="s">
        <v>21</v>
      </c>
      <c r="I1217" t="s">
        <v>1654</v>
      </c>
      <c r="J1217">
        <v>3</v>
      </c>
      <c r="K1217">
        <v>3165000</v>
      </c>
      <c r="L1217" s="2" t="s">
        <v>1655</v>
      </c>
      <c r="M1217" t="s">
        <v>1656</v>
      </c>
      <c r="N1217">
        <v>9230000</v>
      </c>
      <c r="O1217">
        <v>4.5</v>
      </c>
      <c r="P1217" t="b">
        <v>0</v>
      </c>
    </row>
    <row r="1218" spans="1:16" x14ac:dyDescent="0.2">
      <c r="A1218" t="s">
        <v>1657</v>
      </c>
      <c r="B1218" s="1">
        <v>44564</v>
      </c>
      <c r="C1218" s="1">
        <v>44592</v>
      </c>
      <c r="D1218" t="s">
        <v>1658</v>
      </c>
      <c r="E1218" t="s">
        <v>33</v>
      </c>
      <c r="F1218" t="s">
        <v>45</v>
      </c>
      <c r="G1218" t="s">
        <v>50</v>
      </c>
      <c r="H1218" t="s">
        <v>47</v>
      </c>
      <c r="I1218" t="s">
        <v>83</v>
      </c>
      <c r="J1218">
        <v>1</v>
      </c>
      <c r="K1218">
        <v>2631000</v>
      </c>
      <c r="L1218" s="2" t="s">
        <v>1659</v>
      </c>
      <c r="M1218" t="s">
        <v>23</v>
      </c>
      <c r="N1218">
        <v>2323000</v>
      </c>
      <c r="O1218">
        <v>4.3</v>
      </c>
      <c r="P1218" t="b">
        <v>0</v>
      </c>
    </row>
    <row r="1219" spans="1:16" x14ac:dyDescent="0.2">
      <c r="A1219" t="s">
        <v>1660</v>
      </c>
      <c r="B1219" s="1">
        <v>44564</v>
      </c>
      <c r="C1219" s="1">
        <v>44629</v>
      </c>
      <c r="D1219" t="s">
        <v>211</v>
      </c>
      <c r="E1219" t="s">
        <v>33</v>
      </c>
      <c r="F1219" t="s">
        <v>34</v>
      </c>
      <c r="G1219" t="s">
        <v>20</v>
      </c>
      <c r="H1219" t="s">
        <v>21</v>
      </c>
      <c r="I1219" t="s">
        <v>26</v>
      </c>
      <c r="J1219">
        <v>3</v>
      </c>
      <c r="K1219">
        <v>3991000</v>
      </c>
      <c r="L1219" s="2" t="s">
        <v>1661</v>
      </c>
      <c r="M1219" t="s">
        <v>23</v>
      </c>
      <c r="N1219">
        <v>10078000</v>
      </c>
      <c r="O1219">
        <v>4.3</v>
      </c>
      <c r="P1219" t="b">
        <v>1</v>
      </c>
    </row>
    <row r="1220" spans="1:16" x14ac:dyDescent="0.2">
      <c r="A1220" t="s">
        <v>1662</v>
      </c>
      <c r="B1220" s="1">
        <v>44564</v>
      </c>
      <c r="C1220" s="1">
        <v>44594</v>
      </c>
      <c r="D1220" t="s">
        <v>437</v>
      </c>
      <c r="E1220" t="s">
        <v>45</v>
      </c>
      <c r="F1220" t="s">
        <v>19</v>
      </c>
      <c r="G1220" t="s">
        <v>50</v>
      </c>
      <c r="H1220" t="s">
        <v>21</v>
      </c>
      <c r="I1220" t="s">
        <v>26</v>
      </c>
      <c r="J1220">
        <v>1</v>
      </c>
      <c r="K1220">
        <v>2787000</v>
      </c>
      <c r="L1220" s="2" t="s">
        <v>1663</v>
      </c>
      <c r="M1220" t="s">
        <v>23</v>
      </c>
      <c r="N1220">
        <v>2468000</v>
      </c>
      <c r="O1220">
        <v>4.0999999999999996</v>
      </c>
      <c r="P1220" t="b">
        <v>1</v>
      </c>
    </row>
    <row r="1221" spans="1:16" x14ac:dyDescent="0.2">
      <c r="A1221" t="s">
        <v>1664</v>
      </c>
      <c r="B1221" s="1">
        <v>44565</v>
      </c>
      <c r="C1221" s="1">
        <v>44610</v>
      </c>
      <c r="D1221" t="s">
        <v>361</v>
      </c>
      <c r="E1221" t="s">
        <v>18</v>
      </c>
      <c r="F1221" t="s">
        <v>34</v>
      </c>
      <c r="G1221" t="s">
        <v>35</v>
      </c>
      <c r="H1221" t="s">
        <v>21</v>
      </c>
      <c r="I1221" t="s">
        <v>30</v>
      </c>
      <c r="J1221">
        <v>4</v>
      </c>
      <c r="K1221">
        <v>3980000</v>
      </c>
      <c r="L1221" s="2" t="s">
        <v>1665</v>
      </c>
      <c r="M1221" t="s">
        <v>23</v>
      </c>
      <c r="N1221">
        <v>13468000</v>
      </c>
      <c r="O1221">
        <v>4.3</v>
      </c>
      <c r="P1221" t="b">
        <v>1</v>
      </c>
    </row>
    <row r="1222" spans="1:16" x14ac:dyDescent="0.2">
      <c r="A1222" t="s">
        <v>1666</v>
      </c>
      <c r="B1222" s="1">
        <v>44566</v>
      </c>
      <c r="C1222" s="1">
        <v>44611</v>
      </c>
      <c r="D1222" t="s">
        <v>1667</v>
      </c>
      <c r="E1222" t="s">
        <v>45</v>
      </c>
      <c r="F1222" t="s">
        <v>34</v>
      </c>
      <c r="G1222" t="s">
        <v>20</v>
      </c>
      <c r="H1222" t="s">
        <v>21</v>
      </c>
      <c r="I1222" t="s">
        <v>26</v>
      </c>
      <c r="J1222">
        <v>2</v>
      </c>
      <c r="K1222">
        <v>4472000</v>
      </c>
      <c r="L1222">
        <v>8.2415287049109998E-2</v>
      </c>
      <c r="M1222" t="s">
        <v>23</v>
      </c>
      <c r="N1222">
        <v>8207000</v>
      </c>
      <c r="O1222">
        <v>3.3</v>
      </c>
      <c r="P1222" t="b">
        <v>0</v>
      </c>
    </row>
    <row r="1223" spans="1:16" x14ac:dyDescent="0.2">
      <c r="A1223" t="s">
        <v>1668</v>
      </c>
      <c r="B1223" s="1">
        <v>44566</v>
      </c>
      <c r="C1223" s="1">
        <v>44618</v>
      </c>
      <c r="D1223" t="s">
        <v>553</v>
      </c>
      <c r="E1223" t="s">
        <v>33</v>
      </c>
      <c r="F1223" t="s">
        <v>39</v>
      </c>
      <c r="G1223" t="s">
        <v>20</v>
      </c>
      <c r="H1223" t="s">
        <v>21</v>
      </c>
      <c r="I1223" t="s">
        <v>77</v>
      </c>
      <c r="J1223">
        <v>1</v>
      </c>
      <c r="K1223">
        <v>2637000</v>
      </c>
      <c r="L1223" s="2" t="s">
        <v>1669</v>
      </c>
      <c r="M1223" t="s">
        <v>23</v>
      </c>
      <c r="N1223">
        <v>2277000</v>
      </c>
      <c r="O1223">
        <v>4.0999999999999996</v>
      </c>
      <c r="P1223" t="b">
        <v>1</v>
      </c>
    </row>
    <row r="1224" spans="1:16" x14ac:dyDescent="0.2">
      <c r="A1224" t="s">
        <v>1670</v>
      </c>
      <c r="B1224" s="1">
        <v>44567</v>
      </c>
      <c r="C1224" s="1">
        <v>44643</v>
      </c>
      <c r="D1224" t="s">
        <v>334</v>
      </c>
      <c r="E1224" t="s">
        <v>18</v>
      </c>
      <c r="F1224" t="s">
        <v>25</v>
      </c>
      <c r="G1224" t="s">
        <v>20</v>
      </c>
      <c r="H1224" t="s">
        <v>47</v>
      </c>
      <c r="I1224" t="s">
        <v>60</v>
      </c>
      <c r="J1224">
        <v>4</v>
      </c>
      <c r="K1224">
        <v>5490000</v>
      </c>
      <c r="L1224">
        <v>0</v>
      </c>
      <c r="M1224" t="s">
        <v>23</v>
      </c>
      <c r="N1224">
        <v>21960000</v>
      </c>
      <c r="O1224">
        <v>3.6</v>
      </c>
      <c r="P1224" t="b">
        <v>1</v>
      </c>
    </row>
    <row r="1225" spans="1:16" x14ac:dyDescent="0.2">
      <c r="A1225" t="s">
        <v>1671</v>
      </c>
      <c r="B1225" s="1">
        <v>44567</v>
      </c>
      <c r="C1225" s="1">
        <v>44606</v>
      </c>
      <c r="D1225" t="s">
        <v>159</v>
      </c>
      <c r="E1225" t="s">
        <v>29</v>
      </c>
      <c r="F1225" t="s">
        <v>39</v>
      </c>
      <c r="G1225" t="s">
        <v>20</v>
      </c>
      <c r="H1225" t="s">
        <v>21</v>
      </c>
      <c r="I1225" t="s">
        <v>22</v>
      </c>
      <c r="J1225">
        <v>1</v>
      </c>
      <c r="K1225">
        <v>2154000</v>
      </c>
      <c r="L1225">
        <v>4.8252214360538399E-2</v>
      </c>
      <c r="M1225" t="s">
        <v>23</v>
      </c>
      <c r="N1225">
        <v>2050000</v>
      </c>
      <c r="O1225">
        <v>4.8</v>
      </c>
      <c r="P1225" t="b">
        <v>1</v>
      </c>
    </row>
    <row r="1226" spans="1:16" x14ac:dyDescent="0.2">
      <c r="A1226" t="s">
        <v>1672</v>
      </c>
      <c r="B1226" s="1">
        <v>44568</v>
      </c>
      <c r="C1226" s="1">
        <v>44599</v>
      </c>
      <c r="D1226" t="s">
        <v>943</v>
      </c>
      <c r="E1226" t="s">
        <v>18</v>
      </c>
      <c r="F1226" t="s">
        <v>34</v>
      </c>
      <c r="G1226" t="s">
        <v>50</v>
      </c>
      <c r="H1226" t="s">
        <v>21</v>
      </c>
      <c r="I1226" t="s">
        <v>94</v>
      </c>
      <c r="J1226">
        <v>1</v>
      </c>
      <c r="K1226">
        <v>4480000</v>
      </c>
      <c r="L1226">
        <v>9.1358751731309598E-2</v>
      </c>
      <c r="M1226" t="s">
        <v>1673</v>
      </c>
      <c r="N1226">
        <v>4071000</v>
      </c>
      <c r="O1226">
        <v>4</v>
      </c>
      <c r="P1226" t="b">
        <v>1</v>
      </c>
    </row>
    <row r="1227" spans="1:16" x14ac:dyDescent="0.2">
      <c r="A1227" t="s">
        <v>1674</v>
      </c>
      <c r="B1227" s="1">
        <v>44568</v>
      </c>
      <c r="C1227" s="1">
        <v>44656</v>
      </c>
      <c r="D1227" t="s">
        <v>1091</v>
      </c>
      <c r="E1227" t="s">
        <v>18</v>
      </c>
      <c r="F1227" t="s">
        <v>34</v>
      </c>
      <c r="G1227" t="s">
        <v>35</v>
      </c>
      <c r="H1227" t="s">
        <v>21</v>
      </c>
      <c r="I1227" t="s">
        <v>52</v>
      </c>
      <c r="J1227">
        <v>1</v>
      </c>
      <c r="K1227">
        <v>3590000</v>
      </c>
      <c r="L1227">
        <v>9.0157254227715505E-2</v>
      </c>
      <c r="M1227" t="s">
        <v>23</v>
      </c>
      <c r="N1227">
        <v>3266000</v>
      </c>
      <c r="O1227">
        <v>4.2</v>
      </c>
      <c r="P1227" t="b">
        <v>1</v>
      </c>
    </row>
    <row r="1228" spans="1:16" x14ac:dyDescent="0.2">
      <c r="A1228" t="s">
        <v>1675</v>
      </c>
      <c r="B1228" s="1">
        <v>44569</v>
      </c>
      <c r="C1228" s="1">
        <v>44613</v>
      </c>
      <c r="D1228" t="s">
        <v>70</v>
      </c>
      <c r="E1228" t="s">
        <v>18</v>
      </c>
      <c r="F1228" t="s">
        <v>45</v>
      </c>
      <c r="G1228" t="s">
        <v>20</v>
      </c>
      <c r="H1228" t="s">
        <v>21</v>
      </c>
      <c r="I1228" t="s">
        <v>77</v>
      </c>
      <c r="J1228">
        <v>1</v>
      </c>
      <c r="K1228">
        <v>3703000</v>
      </c>
      <c r="L1228" s="2" t="s">
        <v>1676</v>
      </c>
      <c r="M1228" t="s">
        <v>23</v>
      </c>
      <c r="N1228">
        <v>3321000</v>
      </c>
      <c r="O1228">
        <v>4</v>
      </c>
      <c r="P1228" t="b">
        <v>1</v>
      </c>
    </row>
    <row r="1229" spans="1:16" x14ac:dyDescent="0.2">
      <c r="A1229" t="s">
        <v>1677</v>
      </c>
      <c r="B1229" s="1">
        <v>44570</v>
      </c>
      <c r="C1229" s="1">
        <v>44625</v>
      </c>
      <c r="D1229" t="s">
        <v>351</v>
      </c>
      <c r="E1229" t="s">
        <v>18</v>
      </c>
      <c r="F1229" t="s">
        <v>34</v>
      </c>
      <c r="G1229" t="s">
        <v>20</v>
      </c>
      <c r="H1229" t="s">
        <v>21</v>
      </c>
      <c r="I1229" t="s">
        <v>22</v>
      </c>
      <c r="J1229">
        <v>1</v>
      </c>
      <c r="K1229">
        <v>3645000</v>
      </c>
      <c r="L1229" s="2" t="s">
        <v>1678</v>
      </c>
      <c r="M1229" t="s">
        <v>23</v>
      </c>
      <c r="N1229">
        <v>3156000</v>
      </c>
      <c r="O1229">
        <v>4.0999999999999996</v>
      </c>
      <c r="P1229" t="b">
        <v>1</v>
      </c>
    </row>
    <row r="1230" spans="1:16" x14ac:dyDescent="0.2">
      <c r="A1230" t="s">
        <v>1679</v>
      </c>
      <c r="B1230" s="1">
        <v>44570</v>
      </c>
      <c r="C1230" s="1">
        <v>44630</v>
      </c>
      <c r="D1230" t="s">
        <v>489</v>
      </c>
      <c r="E1230" t="s">
        <v>18</v>
      </c>
      <c r="F1230" t="s">
        <v>45</v>
      </c>
      <c r="G1230" t="s">
        <v>20</v>
      </c>
      <c r="H1230" t="s">
        <v>40</v>
      </c>
      <c r="I1230" t="s">
        <v>60</v>
      </c>
      <c r="J1230">
        <v>3</v>
      </c>
      <c r="K1230">
        <v>3248000</v>
      </c>
      <c r="L1230">
        <v>9.4973322801571905E-2</v>
      </c>
      <c r="M1230" t="s">
        <v>23</v>
      </c>
      <c r="N1230">
        <v>8819000</v>
      </c>
      <c r="O1230">
        <v>4.5999999999999996</v>
      </c>
      <c r="P1230" t="b">
        <v>1</v>
      </c>
    </row>
    <row r="1231" spans="1:16" x14ac:dyDescent="0.2">
      <c r="A1231" t="s">
        <v>1680</v>
      </c>
      <c r="B1231" s="1">
        <v>44571</v>
      </c>
      <c r="C1231" s="1">
        <v>44611</v>
      </c>
      <c r="D1231" t="s">
        <v>1681</v>
      </c>
      <c r="E1231" t="s">
        <v>18</v>
      </c>
      <c r="F1231" t="s">
        <v>19</v>
      </c>
      <c r="G1231" t="s">
        <v>35</v>
      </c>
      <c r="H1231" t="s">
        <v>21</v>
      </c>
      <c r="I1231" t="s">
        <v>77</v>
      </c>
      <c r="J1231">
        <v>1</v>
      </c>
      <c r="K1231">
        <v>2756000</v>
      </c>
      <c r="L1231">
        <v>7.3179582663098194E-2</v>
      </c>
      <c r="M1231" t="s">
        <v>23</v>
      </c>
      <c r="N1231">
        <v>2554000</v>
      </c>
      <c r="O1231">
        <v>4.5</v>
      </c>
      <c r="P1231" t="b">
        <v>0</v>
      </c>
    </row>
    <row r="1232" spans="1:16" x14ac:dyDescent="0.2">
      <c r="A1232" t="s">
        <v>1682</v>
      </c>
      <c r="B1232" s="1">
        <v>44571</v>
      </c>
      <c r="C1232" s="1">
        <v>44598</v>
      </c>
      <c r="D1232" t="s">
        <v>267</v>
      </c>
      <c r="E1232" t="s">
        <v>45</v>
      </c>
      <c r="F1232" t="s">
        <v>39</v>
      </c>
      <c r="G1232" t="s">
        <v>50</v>
      </c>
      <c r="H1232" t="s">
        <v>21</v>
      </c>
      <c r="I1232" t="s">
        <v>60</v>
      </c>
      <c r="J1232">
        <v>2</v>
      </c>
      <c r="K1232">
        <v>2710000</v>
      </c>
      <c r="L1232" s="2" t="s">
        <v>1683</v>
      </c>
      <c r="M1232" t="s">
        <v>23</v>
      </c>
      <c r="N1232">
        <v>4711000</v>
      </c>
      <c r="O1232">
        <v>4.9000000000000004</v>
      </c>
      <c r="P1232" t="b">
        <v>1</v>
      </c>
    </row>
    <row r="1233" spans="1:16" x14ac:dyDescent="0.2">
      <c r="A1233" t="s">
        <v>1684</v>
      </c>
      <c r="B1233" s="1">
        <v>44571</v>
      </c>
      <c r="C1233" s="1">
        <v>44639</v>
      </c>
      <c r="D1233" t="s">
        <v>485</v>
      </c>
      <c r="E1233" t="s">
        <v>18</v>
      </c>
      <c r="F1233" t="s">
        <v>19</v>
      </c>
      <c r="G1233" t="s">
        <v>20</v>
      </c>
      <c r="H1233" t="s">
        <v>21</v>
      </c>
      <c r="I1233" t="s">
        <v>77</v>
      </c>
      <c r="J1233">
        <v>1</v>
      </c>
      <c r="K1233">
        <v>2729000</v>
      </c>
      <c r="L1233">
        <v>5.3742888684712803E-2</v>
      </c>
      <c r="M1233" t="s">
        <v>23</v>
      </c>
      <c r="N1233">
        <v>2582000</v>
      </c>
      <c r="O1233">
        <v>3.7</v>
      </c>
      <c r="P1233" t="b">
        <v>1</v>
      </c>
    </row>
    <row r="1234" spans="1:16" x14ac:dyDescent="0.2">
      <c r="A1234" t="s">
        <v>1685</v>
      </c>
      <c r="B1234" s="1">
        <v>44572</v>
      </c>
      <c r="C1234" s="1">
        <v>44616</v>
      </c>
      <c r="D1234" t="s">
        <v>323</v>
      </c>
      <c r="E1234" t="s">
        <v>29</v>
      </c>
      <c r="F1234" t="s">
        <v>25</v>
      </c>
      <c r="G1234" t="s">
        <v>20</v>
      </c>
      <c r="H1234" t="s">
        <v>21</v>
      </c>
      <c r="I1234" t="s">
        <v>99</v>
      </c>
      <c r="J1234">
        <v>2</v>
      </c>
      <c r="K1234">
        <v>5059000</v>
      </c>
      <c r="L1234" s="2" t="s">
        <v>1686</v>
      </c>
      <c r="M1234" t="s">
        <v>23</v>
      </c>
      <c r="N1234">
        <v>9102000</v>
      </c>
      <c r="O1234">
        <v>4.4000000000000004</v>
      </c>
      <c r="P1234" t="b">
        <v>1</v>
      </c>
    </row>
    <row r="1235" spans="1:16" x14ac:dyDescent="0.2">
      <c r="A1235" t="s">
        <v>1687</v>
      </c>
      <c r="B1235" s="1">
        <v>44572</v>
      </c>
      <c r="C1235" s="1">
        <v>44628</v>
      </c>
      <c r="D1235" t="s">
        <v>1688</v>
      </c>
      <c r="E1235" t="s">
        <v>18</v>
      </c>
      <c r="F1235" t="s">
        <v>19</v>
      </c>
      <c r="G1235" t="s">
        <v>35</v>
      </c>
      <c r="H1235" t="s">
        <v>40</v>
      </c>
      <c r="I1235" t="s">
        <v>60</v>
      </c>
      <c r="J1235">
        <v>3</v>
      </c>
      <c r="K1235">
        <v>2405000</v>
      </c>
      <c r="L1235">
        <v>7.8562245385041696E-2</v>
      </c>
      <c r="M1235" t="s">
        <v>65</v>
      </c>
      <c r="N1235">
        <v>0</v>
      </c>
      <c r="P1235" t="b">
        <v>0</v>
      </c>
    </row>
    <row r="1236" spans="1:16" x14ac:dyDescent="0.2">
      <c r="A1236" t="s">
        <v>1689</v>
      </c>
      <c r="B1236" s="1">
        <v>44572</v>
      </c>
      <c r="C1236" s="1">
        <v>44582</v>
      </c>
      <c r="D1236" t="s">
        <v>452</v>
      </c>
      <c r="E1236" t="s">
        <v>45</v>
      </c>
      <c r="F1236" t="s">
        <v>45</v>
      </c>
      <c r="G1236" t="s">
        <v>20</v>
      </c>
      <c r="H1236" t="s">
        <v>21</v>
      </c>
      <c r="I1236" t="s">
        <v>52</v>
      </c>
      <c r="J1236">
        <v>3</v>
      </c>
      <c r="K1236">
        <v>2824000</v>
      </c>
      <c r="L1236" s="2" t="s">
        <v>1690</v>
      </c>
      <c r="M1236" t="s">
        <v>23</v>
      </c>
      <c r="N1236">
        <v>8139000</v>
      </c>
      <c r="O1236">
        <v>4</v>
      </c>
      <c r="P1236" t="b">
        <v>1</v>
      </c>
    </row>
    <row r="1237" spans="1:16" x14ac:dyDescent="0.2">
      <c r="A1237" t="s">
        <v>1691</v>
      </c>
      <c r="B1237" s="1">
        <v>44573</v>
      </c>
      <c r="C1237" s="1">
        <v>44639</v>
      </c>
      <c r="D1237" t="s">
        <v>1692</v>
      </c>
      <c r="E1237" t="s">
        <v>18</v>
      </c>
      <c r="F1237" t="s">
        <v>68</v>
      </c>
      <c r="G1237" t="s">
        <v>46</v>
      </c>
      <c r="H1237" t="s">
        <v>40</v>
      </c>
      <c r="I1237" t="s">
        <v>60</v>
      </c>
      <c r="J1237">
        <v>1</v>
      </c>
      <c r="K1237">
        <v>2631000</v>
      </c>
      <c r="L1237" s="2" t="s">
        <v>1693</v>
      </c>
      <c r="M1237" t="s">
        <v>65</v>
      </c>
      <c r="N1237">
        <v>0</v>
      </c>
      <c r="P1237" t="b">
        <v>0</v>
      </c>
    </row>
    <row r="1238" spans="1:16" x14ac:dyDescent="0.2">
      <c r="A1238" t="s">
        <v>1694</v>
      </c>
      <c r="B1238" s="1">
        <v>44574</v>
      </c>
      <c r="C1238" s="1">
        <v>44685</v>
      </c>
      <c r="D1238" t="s">
        <v>382</v>
      </c>
      <c r="E1238" t="s">
        <v>33</v>
      </c>
      <c r="F1238" t="s">
        <v>34</v>
      </c>
      <c r="G1238" t="s">
        <v>20</v>
      </c>
      <c r="H1238" t="s">
        <v>47</v>
      </c>
      <c r="I1238" t="s">
        <v>26</v>
      </c>
      <c r="J1238">
        <v>2</v>
      </c>
      <c r="K1238">
        <v>4057000</v>
      </c>
      <c r="L1238">
        <v>6.9076706858312006E-2</v>
      </c>
      <c r="M1238" t="s">
        <v>23</v>
      </c>
      <c r="N1238">
        <v>7554000</v>
      </c>
      <c r="O1238">
        <v>4.5999999999999996</v>
      </c>
      <c r="P1238" t="b">
        <v>1</v>
      </c>
    </row>
    <row r="1239" spans="1:16" x14ac:dyDescent="0.2">
      <c r="A1239" t="s">
        <v>1695</v>
      </c>
      <c r="B1239" s="1">
        <v>44574</v>
      </c>
      <c r="C1239" s="1">
        <v>44625</v>
      </c>
      <c r="D1239" t="s">
        <v>530</v>
      </c>
      <c r="E1239" t="s">
        <v>33</v>
      </c>
      <c r="F1239" t="s">
        <v>39</v>
      </c>
      <c r="H1239" t="s">
        <v>21</v>
      </c>
      <c r="I1239" t="s">
        <v>99</v>
      </c>
      <c r="J1239">
        <v>1</v>
      </c>
      <c r="K1239">
        <v>2003000</v>
      </c>
      <c r="L1239" s="2" t="s">
        <v>1696</v>
      </c>
      <c r="M1239" t="s">
        <v>23</v>
      </c>
      <c r="N1239">
        <v>1760000</v>
      </c>
      <c r="O1239">
        <v>4.2</v>
      </c>
      <c r="P1239" t="b">
        <v>1</v>
      </c>
    </row>
    <row r="1240" spans="1:16" x14ac:dyDescent="0.2">
      <c r="A1240" t="s">
        <v>1697</v>
      </c>
      <c r="B1240" s="1">
        <v>44574</v>
      </c>
      <c r="C1240" s="1">
        <v>44636</v>
      </c>
      <c r="D1240" t="s">
        <v>410</v>
      </c>
      <c r="E1240" t="s">
        <v>45</v>
      </c>
      <c r="F1240" t="s">
        <v>45</v>
      </c>
      <c r="G1240" t="s">
        <v>20</v>
      </c>
      <c r="H1240" t="s">
        <v>40</v>
      </c>
      <c r="I1240" t="s">
        <v>57</v>
      </c>
      <c r="J1240">
        <v>2</v>
      </c>
      <c r="K1240">
        <v>3440000</v>
      </c>
      <c r="L1240" s="2" t="s">
        <v>1698</v>
      </c>
      <c r="M1240" t="s">
        <v>23</v>
      </c>
      <c r="N1240">
        <v>6122000</v>
      </c>
      <c r="O1240">
        <v>4.0999999999999996</v>
      </c>
      <c r="P1240" t="b">
        <v>1</v>
      </c>
    </row>
    <row r="1241" spans="1:16" x14ac:dyDescent="0.2">
      <c r="A1241" t="s">
        <v>1699</v>
      </c>
      <c r="B1241" s="1">
        <v>44574</v>
      </c>
      <c r="C1241" s="1">
        <v>44601</v>
      </c>
      <c r="D1241" t="s">
        <v>1700</v>
      </c>
      <c r="E1241" t="s">
        <v>33</v>
      </c>
      <c r="F1241" t="s">
        <v>45</v>
      </c>
      <c r="G1241" t="s">
        <v>20</v>
      </c>
      <c r="H1241" t="s">
        <v>40</v>
      </c>
      <c r="I1241" t="s">
        <v>52</v>
      </c>
      <c r="J1241">
        <v>3</v>
      </c>
      <c r="K1241">
        <v>3275000</v>
      </c>
      <c r="L1241">
        <v>8.1225113930112405E-2</v>
      </c>
      <c r="M1241" t="s">
        <v>23</v>
      </c>
      <c r="N1241">
        <v>9027000</v>
      </c>
      <c r="O1241">
        <v>4.2</v>
      </c>
      <c r="P1241" t="b">
        <v>0</v>
      </c>
    </row>
    <row r="1242" spans="1:16" x14ac:dyDescent="0.2">
      <c r="A1242" t="s">
        <v>1701</v>
      </c>
      <c r="B1242" s="1">
        <v>44576</v>
      </c>
      <c r="C1242" s="1">
        <v>44587</v>
      </c>
      <c r="D1242" t="s">
        <v>1702</v>
      </c>
      <c r="E1242" t="s">
        <v>33</v>
      </c>
      <c r="F1242" t="s">
        <v>19</v>
      </c>
      <c r="G1242" t="s">
        <v>20</v>
      </c>
      <c r="H1242" t="s">
        <v>21</v>
      </c>
      <c r="I1242" t="s">
        <v>60</v>
      </c>
      <c r="J1242">
        <v>1</v>
      </c>
      <c r="K1242">
        <v>2761000</v>
      </c>
      <c r="L1242" s="2" t="s">
        <v>1703</v>
      </c>
      <c r="M1242" t="s">
        <v>23</v>
      </c>
      <c r="N1242">
        <v>2400000</v>
      </c>
      <c r="O1242">
        <v>4.2</v>
      </c>
      <c r="P1242" t="b">
        <v>0</v>
      </c>
    </row>
    <row r="1243" spans="1:16" x14ac:dyDescent="0.2">
      <c r="A1243" t="s">
        <v>1704</v>
      </c>
      <c r="B1243" s="1">
        <v>44576</v>
      </c>
      <c r="C1243" s="1">
        <v>44636</v>
      </c>
      <c r="D1243" t="s">
        <v>1705</v>
      </c>
      <c r="E1243" t="s">
        <v>33</v>
      </c>
      <c r="F1243" t="s">
        <v>19</v>
      </c>
      <c r="G1243" t="s">
        <v>35</v>
      </c>
      <c r="H1243" t="s">
        <v>47</v>
      </c>
      <c r="J1243">
        <v>3</v>
      </c>
      <c r="K1243">
        <v>2877000</v>
      </c>
      <c r="L1243">
        <v>6.6446628501656904E-2</v>
      </c>
      <c r="M1243" t="s">
        <v>23</v>
      </c>
      <c r="N1243">
        <v>8057000</v>
      </c>
      <c r="O1243">
        <v>3.3</v>
      </c>
      <c r="P1243" t="b">
        <v>0</v>
      </c>
    </row>
    <row r="1244" spans="1:16" x14ac:dyDescent="0.2">
      <c r="A1244" t="s">
        <v>1706</v>
      </c>
      <c r="B1244" s="1">
        <v>44577</v>
      </c>
      <c r="C1244" s="1">
        <v>44606</v>
      </c>
      <c r="D1244" t="s">
        <v>291</v>
      </c>
      <c r="E1244" t="s">
        <v>45</v>
      </c>
      <c r="F1244" t="s">
        <v>39</v>
      </c>
      <c r="G1244" t="s">
        <v>20</v>
      </c>
      <c r="H1244" t="s">
        <v>40</v>
      </c>
      <c r="I1244" t="s">
        <v>57</v>
      </c>
      <c r="J1244">
        <v>1</v>
      </c>
      <c r="K1244">
        <v>2768000</v>
      </c>
      <c r="L1244" s="2" t="s">
        <v>1707</v>
      </c>
      <c r="M1244" t="s">
        <v>23</v>
      </c>
      <c r="N1244">
        <v>2484000</v>
      </c>
      <c r="O1244">
        <v>4</v>
      </c>
      <c r="P1244" t="b">
        <v>1</v>
      </c>
    </row>
    <row r="1245" spans="1:16" x14ac:dyDescent="0.2">
      <c r="A1245" t="s">
        <v>1708</v>
      </c>
      <c r="B1245" s="1">
        <v>44577</v>
      </c>
      <c r="C1245" s="1">
        <v>44638</v>
      </c>
      <c r="D1245" t="s">
        <v>1175</v>
      </c>
      <c r="E1245" t="s">
        <v>29</v>
      </c>
      <c r="F1245" t="s">
        <v>39</v>
      </c>
      <c r="G1245" t="s">
        <v>35</v>
      </c>
      <c r="H1245" t="s">
        <v>21</v>
      </c>
      <c r="I1245" t="s">
        <v>52</v>
      </c>
      <c r="J1245">
        <v>2</v>
      </c>
      <c r="K1245">
        <v>2294000</v>
      </c>
      <c r="L1245" s="2" t="s">
        <v>1709</v>
      </c>
      <c r="M1245" t="s">
        <v>23</v>
      </c>
      <c r="N1245">
        <v>4033000</v>
      </c>
      <c r="O1245">
        <v>4.2</v>
      </c>
      <c r="P1245" t="b">
        <v>1</v>
      </c>
    </row>
    <row r="1246" spans="1:16" x14ac:dyDescent="0.2">
      <c r="A1246" t="s">
        <v>1710</v>
      </c>
      <c r="B1246" s="1">
        <v>44577</v>
      </c>
      <c r="C1246" s="1">
        <v>44587</v>
      </c>
      <c r="D1246" t="s">
        <v>441</v>
      </c>
      <c r="E1246" t="s">
        <v>18</v>
      </c>
      <c r="F1246" t="s">
        <v>19</v>
      </c>
      <c r="G1246" t="s">
        <v>20</v>
      </c>
      <c r="H1246" t="s">
        <v>21</v>
      </c>
      <c r="I1246" t="s">
        <v>94</v>
      </c>
      <c r="J1246">
        <v>2</v>
      </c>
      <c r="K1246">
        <v>2652000</v>
      </c>
      <c r="L1246" s="2" t="s">
        <v>1711</v>
      </c>
      <c r="M1246" t="s">
        <v>23</v>
      </c>
      <c r="N1246">
        <v>4628000</v>
      </c>
      <c r="O1246">
        <v>3.6</v>
      </c>
      <c r="P1246" t="b">
        <v>1</v>
      </c>
    </row>
    <row r="1247" spans="1:16" x14ac:dyDescent="0.2">
      <c r="A1247" t="s">
        <v>1712</v>
      </c>
      <c r="B1247" s="1">
        <v>44578</v>
      </c>
      <c r="C1247" s="1">
        <v>44621</v>
      </c>
      <c r="D1247" t="s">
        <v>349</v>
      </c>
      <c r="E1247" t="s">
        <v>45</v>
      </c>
      <c r="F1247" t="s">
        <v>39</v>
      </c>
      <c r="G1247" t="s">
        <v>20</v>
      </c>
      <c r="H1247" t="s">
        <v>21</v>
      </c>
      <c r="I1247" t="s">
        <v>26</v>
      </c>
      <c r="J1247">
        <v>1</v>
      </c>
      <c r="K1247">
        <v>2125000</v>
      </c>
      <c r="L1247" s="2" t="s">
        <v>1713</v>
      </c>
      <c r="M1247" t="s">
        <v>23</v>
      </c>
      <c r="N1247">
        <v>1842000</v>
      </c>
      <c r="O1247">
        <v>3.9</v>
      </c>
      <c r="P1247" t="b">
        <v>1</v>
      </c>
    </row>
    <row r="1248" spans="1:16" x14ac:dyDescent="0.2">
      <c r="A1248" t="s">
        <v>1714</v>
      </c>
      <c r="B1248" s="1">
        <v>44579</v>
      </c>
      <c r="C1248" s="1">
        <v>44629</v>
      </c>
      <c r="D1248" t="s">
        <v>1287</v>
      </c>
      <c r="E1248" t="s">
        <v>45</v>
      </c>
      <c r="F1248" t="s">
        <v>39</v>
      </c>
      <c r="G1248" t="s">
        <v>20</v>
      </c>
      <c r="H1248" t="s">
        <v>21</v>
      </c>
      <c r="I1248" t="s">
        <v>22</v>
      </c>
      <c r="J1248">
        <v>2</v>
      </c>
      <c r="K1248">
        <v>1697000</v>
      </c>
      <c r="L1248" s="2" t="s">
        <v>1715</v>
      </c>
      <c r="M1248" t="s">
        <v>23</v>
      </c>
      <c r="N1248">
        <v>2922000</v>
      </c>
      <c r="O1248">
        <v>4.0999999999999996</v>
      </c>
      <c r="P1248" t="b">
        <v>1</v>
      </c>
    </row>
    <row r="1249" spans="1:16" x14ac:dyDescent="0.2">
      <c r="A1249" t="s">
        <v>1716</v>
      </c>
      <c r="B1249" s="1">
        <v>44579</v>
      </c>
      <c r="C1249" s="1">
        <v>44683</v>
      </c>
      <c r="D1249" t="s">
        <v>1585</v>
      </c>
      <c r="E1249" t="s">
        <v>33</v>
      </c>
      <c r="F1249" t="s">
        <v>45</v>
      </c>
      <c r="G1249" t="s">
        <v>46</v>
      </c>
      <c r="H1249" t="s">
        <v>21</v>
      </c>
      <c r="I1249" t="s">
        <v>60</v>
      </c>
      <c r="J1249">
        <v>3</v>
      </c>
      <c r="K1249">
        <v>3527000</v>
      </c>
      <c r="L1249" s="2" t="s">
        <v>1717</v>
      </c>
      <c r="M1249" t="s">
        <v>23</v>
      </c>
      <c r="N1249">
        <v>9228000</v>
      </c>
      <c r="O1249">
        <v>3.8</v>
      </c>
      <c r="P1249" t="b">
        <v>1</v>
      </c>
    </row>
    <row r="1250" spans="1:16" x14ac:dyDescent="0.2">
      <c r="A1250" t="s">
        <v>1718</v>
      </c>
      <c r="B1250" s="1">
        <v>44579</v>
      </c>
      <c r="C1250" s="1">
        <v>44666</v>
      </c>
      <c r="D1250" t="s">
        <v>1719</v>
      </c>
      <c r="E1250" t="s">
        <v>33</v>
      </c>
      <c r="F1250" t="s">
        <v>45</v>
      </c>
      <c r="G1250" t="s">
        <v>50</v>
      </c>
      <c r="H1250" t="s">
        <v>21</v>
      </c>
      <c r="I1250" t="s">
        <v>26</v>
      </c>
      <c r="J1250">
        <v>1</v>
      </c>
      <c r="K1250">
        <v>3693000</v>
      </c>
      <c r="L1250" s="2" t="s">
        <v>1720</v>
      </c>
      <c r="M1250" t="s">
        <v>23</v>
      </c>
      <c r="N1250">
        <v>2957000</v>
      </c>
      <c r="O1250">
        <v>4.9000000000000004</v>
      </c>
      <c r="P1250" t="b">
        <v>0</v>
      </c>
    </row>
    <row r="1251" spans="1:16" x14ac:dyDescent="0.2">
      <c r="A1251" t="s">
        <v>1721</v>
      </c>
      <c r="B1251" s="1">
        <v>44579</v>
      </c>
      <c r="C1251" s="1">
        <v>44592</v>
      </c>
      <c r="D1251" t="s">
        <v>1722</v>
      </c>
      <c r="E1251" t="s">
        <v>45</v>
      </c>
      <c r="F1251" t="s">
        <v>34</v>
      </c>
      <c r="G1251" t="s">
        <v>50</v>
      </c>
      <c r="H1251" t="s">
        <v>21</v>
      </c>
      <c r="I1251" t="s">
        <v>60</v>
      </c>
      <c r="J1251">
        <v>3</v>
      </c>
      <c r="K1251">
        <v>4192000</v>
      </c>
      <c r="L1251">
        <v>9.2218774049020596E-2</v>
      </c>
      <c r="M1251" t="s">
        <v>23</v>
      </c>
      <c r="N1251">
        <v>11416000</v>
      </c>
      <c r="O1251">
        <v>4.7</v>
      </c>
      <c r="P1251" t="b">
        <v>0</v>
      </c>
    </row>
    <row r="1252" spans="1:16" x14ac:dyDescent="0.2">
      <c r="A1252" t="s">
        <v>1723</v>
      </c>
      <c r="B1252" s="1">
        <v>44580</v>
      </c>
      <c r="C1252" s="1">
        <v>44625</v>
      </c>
      <c r="D1252" t="s">
        <v>126</v>
      </c>
      <c r="E1252" t="s">
        <v>45</v>
      </c>
      <c r="F1252" t="s">
        <v>25</v>
      </c>
      <c r="G1252" t="s">
        <v>50</v>
      </c>
      <c r="H1252" t="s">
        <v>21</v>
      </c>
      <c r="I1252" t="s">
        <v>77</v>
      </c>
      <c r="J1252">
        <v>2</v>
      </c>
      <c r="K1252">
        <v>5779000</v>
      </c>
      <c r="L1252" s="2" t="s">
        <v>1724</v>
      </c>
      <c r="M1252" t="s">
        <v>23</v>
      </c>
      <c r="N1252">
        <v>10060000</v>
      </c>
      <c r="O1252">
        <v>3.6</v>
      </c>
      <c r="P1252" t="b">
        <v>1</v>
      </c>
    </row>
    <row r="1253" spans="1:16" x14ac:dyDescent="0.2">
      <c r="A1253" t="s">
        <v>1725</v>
      </c>
      <c r="B1253" s="1">
        <v>44580</v>
      </c>
      <c r="C1253" s="1">
        <v>44641</v>
      </c>
      <c r="D1253" t="s">
        <v>1726</v>
      </c>
      <c r="E1253" t="s">
        <v>33</v>
      </c>
      <c r="F1253" t="s">
        <v>45</v>
      </c>
      <c r="G1253" t="s">
        <v>35</v>
      </c>
      <c r="H1253" t="s">
        <v>21</v>
      </c>
      <c r="I1253" t="s">
        <v>99</v>
      </c>
      <c r="J1253">
        <v>4</v>
      </c>
      <c r="K1253">
        <v>2897000</v>
      </c>
      <c r="L1253">
        <v>9.7186382417029801E-2</v>
      </c>
      <c r="M1253" t="s">
        <v>23</v>
      </c>
      <c r="N1253">
        <v>10462000</v>
      </c>
      <c r="O1253">
        <v>4.7</v>
      </c>
      <c r="P1253" t="b">
        <v>0</v>
      </c>
    </row>
    <row r="1254" spans="1:16" x14ac:dyDescent="0.2">
      <c r="A1254" t="s">
        <v>1727</v>
      </c>
      <c r="B1254" s="1">
        <v>44581</v>
      </c>
      <c r="C1254" s="1">
        <v>44636</v>
      </c>
      <c r="D1254" t="s">
        <v>98</v>
      </c>
      <c r="E1254" t="s">
        <v>29</v>
      </c>
      <c r="F1254" t="s">
        <v>25</v>
      </c>
      <c r="G1254" t="s">
        <v>20</v>
      </c>
      <c r="H1254" t="s">
        <v>40</v>
      </c>
      <c r="I1254" t="s">
        <v>30</v>
      </c>
      <c r="J1254">
        <v>1</v>
      </c>
      <c r="K1254">
        <v>4970000</v>
      </c>
      <c r="L1254" s="2" t="s">
        <v>1728</v>
      </c>
      <c r="M1254" t="s">
        <v>23</v>
      </c>
      <c r="N1254">
        <v>4870000</v>
      </c>
      <c r="O1254">
        <v>4.2</v>
      </c>
      <c r="P1254" t="b">
        <v>1</v>
      </c>
    </row>
    <row r="1255" spans="1:16" x14ac:dyDescent="0.2">
      <c r="A1255" t="s">
        <v>1729</v>
      </c>
      <c r="B1255" s="1">
        <v>44581</v>
      </c>
      <c r="C1255" s="1">
        <v>44664</v>
      </c>
      <c r="D1255" t="s">
        <v>677</v>
      </c>
      <c r="E1255" t="s">
        <v>18</v>
      </c>
      <c r="F1255" t="s">
        <v>34</v>
      </c>
      <c r="G1255" t="s">
        <v>50</v>
      </c>
      <c r="H1255" t="s">
        <v>21</v>
      </c>
      <c r="J1255">
        <v>1</v>
      </c>
      <c r="K1255">
        <v>3972000</v>
      </c>
      <c r="L1255" s="3">
        <v>2E-3</v>
      </c>
      <c r="M1255" t="s">
        <v>23</v>
      </c>
      <c r="N1255">
        <v>3962000</v>
      </c>
      <c r="O1255">
        <v>4.7</v>
      </c>
      <c r="P1255" t="b">
        <v>1</v>
      </c>
    </row>
    <row r="1256" spans="1:16" x14ac:dyDescent="0.2">
      <c r="A1256" t="s">
        <v>1730</v>
      </c>
      <c r="B1256" s="1">
        <v>44582</v>
      </c>
      <c r="C1256" s="1">
        <v>44627</v>
      </c>
      <c r="D1256" t="s">
        <v>1539</v>
      </c>
      <c r="E1256" t="s">
        <v>45</v>
      </c>
      <c r="F1256" t="s">
        <v>25</v>
      </c>
      <c r="G1256" t="s">
        <v>20</v>
      </c>
      <c r="H1256" t="s">
        <v>21</v>
      </c>
      <c r="I1256" t="s">
        <v>94</v>
      </c>
      <c r="J1256">
        <v>4</v>
      </c>
      <c r="K1256">
        <v>4471000</v>
      </c>
      <c r="L1256" s="3">
        <v>0.123</v>
      </c>
      <c r="M1256" t="s">
        <v>65</v>
      </c>
      <c r="N1256">
        <v>0</v>
      </c>
      <c r="P1256" t="b">
        <v>1</v>
      </c>
    </row>
    <row r="1257" spans="1:16" x14ac:dyDescent="0.2">
      <c r="A1257" t="s">
        <v>1731</v>
      </c>
      <c r="B1257" s="1">
        <v>44582</v>
      </c>
      <c r="C1257" s="1">
        <v>44626</v>
      </c>
      <c r="D1257" t="s">
        <v>1732</v>
      </c>
      <c r="E1257" t="s">
        <v>18</v>
      </c>
      <c r="F1257" t="s">
        <v>25</v>
      </c>
      <c r="G1257" t="s">
        <v>20</v>
      </c>
      <c r="H1257" t="s">
        <v>21</v>
      </c>
      <c r="I1257" t="s">
        <v>57</v>
      </c>
      <c r="J1257">
        <v>2</v>
      </c>
      <c r="K1257">
        <v>5110000</v>
      </c>
      <c r="L1257" s="2" t="s">
        <v>1733</v>
      </c>
      <c r="M1257" t="s">
        <v>23</v>
      </c>
      <c r="N1257">
        <v>8846000</v>
      </c>
      <c r="O1257">
        <v>4.4000000000000004</v>
      </c>
      <c r="P1257" t="b">
        <v>0</v>
      </c>
    </row>
    <row r="1258" spans="1:16" x14ac:dyDescent="0.2">
      <c r="A1258" t="s">
        <v>1734</v>
      </c>
      <c r="B1258" s="1">
        <v>44583</v>
      </c>
      <c r="C1258" s="1">
        <v>44627</v>
      </c>
      <c r="D1258" t="s">
        <v>1735</v>
      </c>
      <c r="E1258" t="s">
        <v>18</v>
      </c>
      <c r="F1258" t="s">
        <v>19</v>
      </c>
      <c r="G1258" t="s">
        <v>35</v>
      </c>
      <c r="H1258" t="s">
        <v>40</v>
      </c>
      <c r="I1258" t="s">
        <v>60</v>
      </c>
      <c r="J1258">
        <v>1</v>
      </c>
      <c r="K1258">
        <v>2772000</v>
      </c>
      <c r="L1258" s="2" t="s">
        <v>1736</v>
      </c>
      <c r="M1258" t="s">
        <v>65</v>
      </c>
      <c r="N1258">
        <v>0</v>
      </c>
      <c r="P1258" t="b">
        <v>0</v>
      </c>
    </row>
    <row r="1259" spans="1:16" x14ac:dyDescent="0.2">
      <c r="A1259" t="s">
        <v>1737</v>
      </c>
      <c r="B1259" s="1">
        <v>44584</v>
      </c>
      <c r="C1259" s="1">
        <v>44625</v>
      </c>
      <c r="D1259" t="s">
        <v>963</v>
      </c>
      <c r="E1259" t="s">
        <v>45</v>
      </c>
      <c r="F1259" t="s">
        <v>34</v>
      </c>
      <c r="G1259" t="s">
        <v>50</v>
      </c>
      <c r="I1259" t="s">
        <v>57</v>
      </c>
      <c r="J1259">
        <v>2</v>
      </c>
      <c r="K1259">
        <v>4429000</v>
      </c>
      <c r="L1259">
        <v>8.7027459160401194E-2</v>
      </c>
      <c r="M1259" t="s">
        <v>23</v>
      </c>
      <c r="N1259">
        <v>8087000</v>
      </c>
      <c r="O1259">
        <v>3.6</v>
      </c>
      <c r="P1259" t="b">
        <v>1</v>
      </c>
    </row>
    <row r="1260" spans="1:16" x14ac:dyDescent="0.2">
      <c r="A1260" t="s">
        <v>1738</v>
      </c>
      <c r="B1260" s="1">
        <v>44584</v>
      </c>
      <c r="C1260" s="1">
        <v>44605</v>
      </c>
      <c r="D1260" t="s">
        <v>372</v>
      </c>
      <c r="E1260" t="s">
        <v>18</v>
      </c>
      <c r="F1260" t="s">
        <v>19</v>
      </c>
      <c r="G1260" t="s">
        <v>20</v>
      </c>
      <c r="H1260" t="s">
        <v>40</v>
      </c>
      <c r="I1260" t="s">
        <v>83</v>
      </c>
      <c r="J1260">
        <v>1</v>
      </c>
      <c r="K1260">
        <v>3209000</v>
      </c>
      <c r="L1260">
        <v>3.7202431152934597E-2</v>
      </c>
      <c r="M1260" t="s">
        <v>23</v>
      </c>
      <c r="N1260">
        <v>3090000</v>
      </c>
      <c r="O1260">
        <v>3.7</v>
      </c>
      <c r="P1260" t="b">
        <v>1</v>
      </c>
    </row>
    <row r="1261" spans="1:16" x14ac:dyDescent="0.2">
      <c r="A1261" t="s">
        <v>1739</v>
      </c>
      <c r="B1261" s="1">
        <v>44584</v>
      </c>
      <c r="C1261" s="1">
        <v>44634</v>
      </c>
      <c r="D1261" t="s">
        <v>336</v>
      </c>
      <c r="E1261" t="s">
        <v>29</v>
      </c>
      <c r="F1261" t="s">
        <v>19</v>
      </c>
      <c r="G1261" t="s">
        <v>50</v>
      </c>
      <c r="H1261" t="s">
        <v>21</v>
      </c>
      <c r="I1261" t="s">
        <v>57</v>
      </c>
      <c r="J1261">
        <v>1</v>
      </c>
      <c r="K1261">
        <v>3205000</v>
      </c>
      <c r="L1261" s="2" t="s">
        <v>1740</v>
      </c>
      <c r="M1261" t="s">
        <v>23</v>
      </c>
      <c r="N1261">
        <v>2820000</v>
      </c>
      <c r="O1261">
        <v>4</v>
      </c>
      <c r="P1261" t="b">
        <v>1</v>
      </c>
    </row>
    <row r="1262" spans="1:16" x14ac:dyDescent="0.2">
      <c r="A1262" t="s">
        <v>1741</v>
      </c>
      <c r="B1262" s="1">
        <v>44584</v>
      </c>
      <c r="C1262" s="1">
        <v>44611</v>
      </c>
      <c r="D1262" t="s">
        <v>130</v>
      </c>
      <c r="E1262" t="s">
        <v>45</v>
      </c>
      <c r="F1262" t="s">
        <v>25</v>
      </c>
      <c r="G1262" t="s">
        <v>50</v>
      </c>
      <c r="I1262" t="s">
        <v>60</v>
      </c>
      <c r="J1262">
        <v>1</v>
      </c>
      <c r="K1262">
        <v>5912000</v>
      </c>
      <c r="L1262">
        <v>2.4476858922490501E-2</v>
      </c>
      <c r="M1262" t="s">
        <v>65</v>
      </c>
      <c r="N1262">
        <v>0</v>
      </c>
      <c r="P1262" t="b">
        <v>1</v>
      </c>
    </row>
    <row r="1263" spans="1:16" x14ac:dyDescent="0.2">
      <c r="A1263" t="s">
        <v>1742</v>
      </c>
      <c r="B1263" s="1">
        <v>44584</v>
      </c>
      <c r="C1263" s="1">
        <v>44636</v>
      </c>
      <c r="D1263" t="s">
        <v>181</v>
      </c>
      <c r="E1263" t="s">
        <v>29</v>
      </c>
      <c r="F1263" t="s">
        <v>45</v>
      </c>
      <c r="G1263" t="s">
        <v>35</v>
      </c>
      <c r="H1263" t="s">
        <v>51</v>
      </c>
      <c r="I1263" t="s">
        <v>99</v>
      </c>
      <c r="J1263">
        <v>1</v>
      </c>
      <c r="K1263">
        <v>3085000</v>
      </c>
      <c r="L1263" s="2" t="s">
        <v>1743</v>
      </c>
      <c r="M1263" t="s">
        <v>23</v>
      </c>
      <c r="N1263">
        <v>2665000</v>
      </c>
      <c r="O1263">
        <v>4</v>
      </c>
      <c r="P1263" t="b">
        <v>1</v>
      </c>
    </row>
    <row r="1264" spans="1:16" x14ac:dyDescent="0.2">
      <c r="A1264" t="s">
        <v>1744</v>
      </c>
      <c r="B1264" s="1">
        <v>44584</v>
      </c>
      <c r="C1264" s="1">
        <v>44676</v>
      </c>
      <c r="D1264" t="s">
        <v>1745</v>
      </c>
      <c r="E1264" t="s">
        <v>18</v>
      </c>
      <c r="F1264" t="s">
        <v>25</v>
      </c>
      <c r="G1264" t="s">
        <v>50</v>
      </c>
      <c r="H1264" t="s">
        <v>21</v>
      </c>
      <c r="I1264" t="s">
        <v>77</v>
      </c>
      <c r="J1264">
        <v>3</v>
      </c>
      <c r="K1264">
        <v>6356000</v>
      </c>
      <c r="L1264" s="2" t="s">
        <v>1746</v>
      </c>
      <c r="M1264" t="s">
        <v>65</v>
      </c>
      <c r="N1264">
        <v>0</v>
      </c>
      <c r="P1264" t="b">
        <v>0</v>
      </c>
    </row>
    <row r="1265" spans="1:16" x14ac:dyDescent="0.2">
      <c r="A1265" t="s">
        <v>1747</v>
      </c>
      <c r="B1265" s="1">
        <v>44585</v>
      </c>
      <c r="C1265" s="1">
        <v>44647</v>
      </c>
      <c r="D1265" t="s">
        <v>54</v>
      </c>
      <c r="E1265" t="s">
        <v>29</v>
      </c>
      <c r="F1265" t="s">
        <v>34</v>
      </c>
      <c r="G1265" t="s">
        <v>50</v>
      </c>
      <c r="H1265" t="s">
        <v>21</v>
      </c>
      <c r="I1265" t="s">
        <v>57</v>
      </c>
      <c r="J1265">
        <v>4</v>
      </c>
      <c r="K1265">
        <v>4165000</v>
      </c>
      <c r="L1265" s="2" t="s">
        <v>1748</v>
      </c>
      <c r="M1265" t="s">
        <v>23</v>
      </c>
      <c r="N1265">
        <v>14053000</v>
      </c>
      <c r="O1265">
        <v>3.2</v>
      </c>
      <c r="P1265" t="b">
        <v>1</v>
      </c>
    </row>
    <row r="1266" spans="1:16" x14ac:dyDescent="0.2">
      <c r="A1266" t="s">
        <v>1749</v>
      </c>
      <c r="B1266" s="1">
        <v>44585</v>
      </c>
      <c r="C1266" s="1">
        <v>44602</v>
      </c>
      <c r="D1266" t="s">
        <v>28</v>
      </c>
      <c r="E1266" t="s">
        <v>33</v>
      </c>
      <c r="F1266" t="s">
        <v>68</v>
      </c>
      <c r="H1266" t="s">
        <v>51</v>
      </c>
      <c r="I1266" t="s">
        <v>26</v>
      </c>
      <c r="J1266">
        <v>4</v>
      </c>
      <c r="K1266">
        <v>2898000</v>
      </c>
      <c r="L1266">
        <v>7.3069228023393898E-2</v>
      </c>
      <c r="M1266" t="s">
        <v>23</v>
      </c>
      <c r="N1266">
        <v>10745000</v>
      </c>
      <c r="O1266">
        <v>4</v>
      </c>
      <c r="P1266" t="b">
        <v>1</v>
      </c>
    </row>
    <row r="1267" spans="1:16" x14ac:dyDescent="0.2">
      <c r="A1267" t="s">
        <v>1750</v>
      </c>
      <c r="B1267" s="1">
        <v>44585</v>
      </c>
      <c r="C1267" s="1">
        <v>44669</v>
      </c>
      <c r="D1267" t="s">
        <v>173</v>
      </c>
      <c r="E1267" t="s">
        <v>33</v>
      </c>
      <c r="F1267" t="s">
        <v>25</v>
      </c>
      <c r="G1267" t="s">
        <v>20</v>
      </c>
      <c r="H1267" t="s">
        <v>47</v>
      </c>
      <c r="I1267" t="s">
        <v>30</v>
      </c>
      <c r="J1267">
        <v>5</v>
      </c>
      <c r="K1267">
        <v>5430000</v>
      </c>
      <c r="L1267" s="2" t="s">
        <v>1751</v>
      </c>
      <c r="M1267" t="s">
        <v>23</v>
      </c>
      <c r="N1267">
        <v>22909000</v>
      </c>
      <c r="O1267">
        <v>5</v>
      </c>
      <c r="P1267" t="b">
        <v>1</v>
      </c>
    </row>
    <row r="1268" spans="1:16" x14ac:dyDescent="0.2">
      <c r="A1268" t="s">
        <v>1752</v>
      </c>
      <c r="B1268" s="1">
        <v>44585</v>
      </c>
      <c r="C1268" s="1">
        <v>44650</v>
      </c>
      <c r="D1268" t="s">
        <v>1753</v>
      </c>
      <c r="E1268" t="s">
        <v>29</v>
      </c>
      <c r="F1268" t="s">
        <v>45</v>
      </c>
      <c r="G1268" t="s">
        <v>20</v>
      </c>
      <c r="H1268" t="s">
        <v>21</v>
      </c>
      <c r="I1268" t="s">
        <v>26</v>
      </c>
      <c r="J1268">
        <v>4</v>
      </c>
      <c r="K1268">
        <v>3388000</v>
      </c>
      <c r="L1268">
        <v>7.4365058159567898E-2</v>
      </c>
      <c r="M1268" t="s">
        <v>23</v>
      </c>
      <c r="N1268">
        <v>12544000</v>
      </c>
      <c r="O1268">
        <v>4.4000000000000004</v>
      </c>
      <c r="P1268" t="b">
        <v>0</v>
      </c>
    </row>
    <row r="1269" spans="1:16" x14ac:dyDescent="0.2">
      <c r="A1269" t="s">
        <v>1754</v>
      </c>
      <c r="B1269" s="1">
        <v>44586</v>
      </c>
      <c r="C1269" s="1">
        <v>44652</v>
      </c>
      <c r="D1269" t="s">
        <v>729</v>
      </c>
      <c r="E1269" t="s">
        <v>45</v>
      </c>
      <c r="F1269" t="s">
        <v>68</v>
      </c>
      <c r="G1269" t="s">
        <v>20</v>
      </c>
      <c r="I1269" t="s">
        <v>60</v>
      </c>
      <c r="J1269">
        <v>4</v>
      </c>
      <c r="K1269">
        <v>2722000</v>
      </c>
      <c r="L1269" s="2" t="s">
        <v>1755</v>
      </c>
      <c r="M1269" t="s">
        <v>23</v>
      </c>
      <c r="N1269">
        <v>10692000</v>
      </c>
      <c r="O1269">
        <v>5</v>
      </c>
      <c r="P1269" t="b">
        <v>1</v>
      </c>
    </row>
    <row r="1270" spans="1:16" x14ac:dyDescent="0.2">
      <c r="A1270" t="s">
        <v>1756</v>
      </c>
      <c r="B1270" s="1">
        <v>44586</v>
      </c>
      <c r="C1270" s="1">
        <v>44606</v>
      </c>
      <c r="D1270" t="s">
        <v>569</v>
      </c>
      <c r="E1270" t="s">
        <v>45</v>
      </c>
      <c r="F1270" t="s">
        <v>39</v>
      </c>
      <c r="G1270" t="s">
        <v>20</v>
      </c>
      <c r="H1270" t="s">
        <v>21</v>
      </c>
      <c r="I1270" t="s">
        <v>57</v>
      </c>
      <c r="J1270">
        <v>4</v>
      </c>
      <c r="K1270">
        <v>2563000</v>
      </c>
      <c r="L1270">
        <v>9.3650924903231902E-2</v>
      </c>
      <c r="M1270" t="s">
        <v>23</v>
      </c>
      <c r="N1270">
        <v>9292000</v>
      </c>
      <c r="O1270">
        <v>4</v>
      </c>
      <c r="P1270" t="b">
        <v>1</v>
      </c>
    </row>
    <row r="1271" spans="1:16" x14ac:dyDescent="0.2">
      <c r="A1271" t="s">
        <v>1757</v>
      </c>
      <c r="B1271" s="1">
        <v>44586</v>
      </c>
      <c r="C1271" s="1">
        <v>44632</v>
      </c>
      <c r="D1271" t="s">
        <v>276</v>
      </c>
      <c r="E1271" t="s">
        <v>45</v>
      </c>
      <c r="F1271" t="s">
        <v>45</v>
      </c>
      <c r="G1271" t="s">
        <v>50</v>
      </c>
      <c r="H1271" t="s">
        <v>47</v>
      </c>
      <c r="J1271">
        <v>2</v>
      </c>
      <c r="K1271">
        <v>2625000</v>
      </c>
      <c r="L1271">
        <v>7.7080492643573403E-2</v>
      </c>
      <c r="M1271" t="s">
        <v>23</v>
      </c>
      <c r="N1271">
        <v>4845000</v>
      </c>
      <c r="O1271">
        <v>4.2</v>
      </c>
      <c r="P1271" t="b">
        <v>1</v>
      </c>
    </row>
    <row r="1272" spans="1:16" x14ac:dyDescent="0.2">
      <c r="A1272" t="s">
        <v>1758</v>
      </c>
      <c r="B1272" s="1">
        <v>44586</v>
      </c>
      <c r="C1272" s="1">
        <v>44610</v>
      </c>
      <c r="D1272" t="s">
        <v>1394</v>
      </c>
      <c r="E1272" t="s">
        <v>45</v>
      </c>
      <c r="F1272" t="s">
        <v>19</v>
      </c>
      <c r="G1272" t="s">
        <v>20</v>
      </c>
      <c r="H1272" t="s">
        <v>21</v>
      </c>
      <c r="I1272" t="s">
        <v>30</v>
      </c>
      <c r="J1272">
        <v>1</v>
      </c>
      <c r="K1272">
        <v>2320000</v>
      </c>
      <c r="L1272">
        <v>5.7234855109499098E-2</v>
      </c>
      <c r="M1272" t="s">
        <v>23</v>
      </c>
      <c r="N1272">
        <v>2187000</v>
      </c>
      <c r="O1272">
        <v>4.4000000000000004</v>
      </c>
      <c r="P1272" t="b">
        <v>1</v>
      </c>
    </row>
    <row r="1273" spans="1:16" x14ac:dyDescent="0.2">
      <c r="A1273" t="s">
        <v>1759</v>
      </c>
      <c r="B1273" s="1">
        <v>44587</v>
      </c>
      <c r="C1273" s="1">
        <v>44640</v>
      </c>
      <c r="D1273" t="s">
        <v>224</v>
      </c>
      <c r="E1273" t="s">
        <v>29</v>
      </c>
      <c r="F1273" t="s">
        <v>34</v>
      </c>
      <c r="G1273" t="s">
        <v>35</v>
      </c>
      <c r="H1273" t="s">
        <v>21</v>
      </c>
      <c r="I1273" t="s">
        <v>52</v>
      </c>
      <c r="J1273">
        <v>1</v>
      </c>
      <c r="K1273">
        <v>3225000</v>
      </c>
      <c r="L1273">
        <v>9.0824229644964102E-2</v>
      </c>
      <c r="M1273" t="s">
        <v>23</v>
      </c>
      <c r="N1273">
        <v>2932000</v>
      </c>
      <c r="O1273">
        <v>5</v>
      </c>
      <c r="P1273" t="b">
        <v>1</v>
      </c>
    </row>
    <row r="1274" spans="1:16" x14ac:dyDescent="0.2">
      <c r="A1274" t="s">
        <v>1760</v>
      </c>
      <c r="B1274" s="1">
        <v>44587</v>
      </c>
      <c r="C1274" s="1">
        <v>44587</v>
      </c>
      <c r="D1274" t="s">
        <v>1156</v>
      </c>
      <c r="E1274" t="s">
        <v>33</v>
      </c>
      <c r="F1274" t="s">
        <v>68</v>
      </c>
      <c r="G1274" t="s">
        <v>20</v>
      </c>
      <c r="H1274" t="s">
        <v>21</v>
      </c>
      <c r="I1274" t="s">
        <v>94</v>
      </c>
      <c r="J1274">
        <v>1</v>
      </c>
      <c r="K1274">
        <v>2101000</v>
      </c>
      <c r="L1274" s="2" t="s">
        <v>1761</v>
      </c>
      <c r="M1274" t="s">
        <v>65</v>
      </c>
      <c r="N1274">
        <v>0</v>
      </c>
      <c r="P1274" t="b">
        <v>1</v>
      </c>
    </row>
    <row r="1275" spans="1:16" x14ac:dyDescent="0.2">
      <c r="A1275" t="s">
        <v>1762</v>
      </c>
      <c r="B1275" s="1">
        <v>44588</v>
      </c>
      <c r="C1275" s="1">
        <v>44614</v>
      </c>
      <c r="D1275" t="s">
        <v>1763</v>
      </c>
      <c r="E1275" t="s">
        <v>45</v>
      </c>
      <c r="F1275" t="s">
        <v>45</v>
      </c>
      <c r="G1275" t="s">
        <v>35</v>
      </c>
      <c r="H1275" t="s">
        <v>21</v>
      </c>
      <c r="I1275" t="s">
        <v>57</v>
      </c>
      <c r="J1275">
        <v>1</v>
      </c>
      <c r="K1275">
        <v>3917000</v>
      </c>
      <c r="L1275" s="2" t="s">
        <v>1764</v>
      </c>
      <c r="M1275" t="s">
        <v>23</v>
      </c>
      <c r="N1275">
        <v>3295000</v>
      </c>
      <c r="O1275">
        <v>3.6</v>
      </c>
      <c r="P1275" t="b">
        <v>0</v>
      </c>
    </row>
    <row r="1276" spans="1:16" x14ac:dyDescent="0.2">
      <c r="A1276" t="s">
        <v>1765</v>
      </c>
      <c r="B1276" s="1">
        <v>44588</v>
      </c>
      <c r="C1276" s="1">
        <v>44595</v>
      </c>
      <c r="D1276" t="s">
        <v>1719</v>
      </c>
      <c r="E1276" t="s">
        <v>18</v>
      </c>
      <c r="F1276" t="s">
        <v>19</v>
      </c>
      <c r="G1276" t="s">
        <v>20</v>
      </c>
      <c r="H1276" t="s">
        <v>21</v>
      </c>
      <c r="I1276" t="s">
        <v>26</v>
      </c>
      <c r="J1276">
        <v>1</v>
      </c>
      <c r="K1276">
        <v>2738000</v>
      </c>
      <c r="L1276" s="2" t="s">
        <v>1766</v>
      </c>
      <c r="M1276" t="s">
        <v>23</v>
      </c>
      <c r="N1276">
        <v>2641000</v>
      </c>
      <c r="O1276">
        <v>4.4000000000000004</v>
      </c>
      <c r="P1276" t="b">
        <v>1</v>
      </c>
    </row>
    <row r="1277" spans="1:16" x14ac:dyDescent="0.2">
      <c r="A1277" t="s">
        <v>1767</v>
      </c>
      <c r="B1277" s="1">
        <v>44589</v>
      </c>
      <c r="C1277" s="1">
        <v>44644</v>
      </c>
      <c r="D1277" t="s">
        <v>896</v>
      </c>
      <c r="E1277" t="s">
        <v>18</v>
      </c>
      <c r="F1277" t="s">
        <v>45</v>
      </c>
      <c r="G1277" t="s">
        <v>20</v>
      </c>
      <c r="H1277" t="s">
        <v>47</v>
      </c>
      <c r="I1277" t="s">
        <v>60</v>
      </c>
      <c r="J1277">
        <v>1</v>
      </c>
      <c r="K1277">
        <v>3393000</v>
      </c>
      <c r="L1277">
        <v>9.8313841786006897E-2</v>
      </c>
      <c r="M1277" t="s">
        <v>65</v>
      </c>
      <c r="N1277">
        <v>0</v>
      </c>
      <c r="P1277" t="b">
        <v>1</v>
      </c>
    </row>
    <row r="1278" spans="1:16" x14ac:dyDescent="0.2">
      <c r="A1278" t="s">
        <v>1768</v>
      </c>
      <c r="B1278" s="1">
        <v>44589</v>
      </c>
      <c r="C1278" s="1">
        <v>44625</v>
      </c>
      <c r="D1278" t="s">
        <v>1769</v>
      </c>
      <c r="E1278" t="s">
        <v>45</v>
      </c>
      <c r="F1278" t="s">
        <v>68</v>
      </c>
      <c r="G1278" t="s">
        <v>35</v>
      </c>
      <c r="I1278" t="s">
        <v>22</v>
      </c>
      <c r="J1278">
        <v>2</v>
      </c>
      <c r="K1278">
        <v>2512000</v>
      </c>
      <c r="L1278">
        <v>7.7617004397037698E-2</v>
      </c>
      <c r="M1278" t="s">
        <v>23</v>
      </c>
      <c r="N1278">
        <v>4634000</v>
      </c>
      <c r="O1278">
        <v>4.0999999999999996</v>
      </c>
      <c r="P1278" t="b">
        <v>0</v>
      </c>
    </row>
    <row r="1279" spans="1:16" x14ac:dyDescent="0.2">
      <c r="A1279" t="s">
        <v>1770</v>
      </c>
      <c r="B1279" s="1">
        <v>44589</v>
      </c>
      <c r="C1279" s="1">
        <v>44610</v>
      </c>
      <c r="D1279" t="s">
        <v>620</v>
      </c>
      <c r="E1279" t="s">
        <v>33</v>
      </c>
      <c r="F1279" t="s">
        <v>45</v>
      </c>
      <c r="G1279" t="s">
        <v>20</v>
      </c>
      <c r="H1279" t="s">
        <v>21</v>
      </c>
      <c r="I1279" t="s">
        <v>94</v>
      </c>
      <c r="J1279">
        <v>4</v>
      </c>
      <c r="K1279">
        <v>3346000</v>
      </c>
      <c r="L1279" s="2" t="s">
        <v>1771</v>
      </c>
      <c r="M1279" t="s">
        <v>65</v>
      </c>
      <c r="N1279">
        <v>0</v>
      </c>
      <c r="P1279" t="b">
        <v>1</v>
      </c>
    </row>
    <row r="1280" spans="1:16" x14ac:dyDescent="0.2">
      <c r="A1280" t="s">
        <v>1772</v>
      </c>
      <c r="B1280" s="1">
        <v>44590</v>
      </c>
      <c r="C1280" s="1">
        <v>44624</v>
      </c>
      <c r="D1280" t="s">
        <v>1773</v>
      </c>
      <c r="E1280" t="s">
        <v>45</v>
      </c>
      <c r="F1280" t="s">
        <v>45</v>
      </c>
      <c r="G1280" t="s">
        <v>20</v>
      </c>
      <c r="H1280" t="s">
        <v>21</v>
      </c>
      <c r="I1280" t="s">
        <v>30</v>
      </c>
      <c r="J1280">
        <v>1</v>
      </c>
      <c r="K1280">
        <v>3210000</v>
      </c>
      <c r="L1280">
        <v>9.2191823282959107E-2</v>
      </c>
      <c r="M1280" t="s">
        <v>23</v>
      </c>
      <c r="N1280">
        <v>2914000</v>
      </c>
      <c r="O1280">
        <v>3.9</v>
      </c>
      <c r="P1280" t="b">
        <v>0</v>
      </c>
    </row>
    <row r="1281" spans="1:16" x14ac:dyDescent="0.2">
      <c r="A1281" t="s">
        <v>1774</v>
      </c>
      <c r="B1281" s="1">
        <v>44590</v>
      </c>
      <c r="C1281" s="1">
        <v>44643</v>
      </c>
      <c r="D1281" t="s">
        <v>1775</v>
      </c>
      <c r="E1281" t="s">
        <v>18</v>
      </c>
      <c r="F1281" t="s">
        <v>25</v>
      </c>
      <c r="I1281" t="s">
        <v>30</v>
      </c>
      <c r="J1281">
        <v>3</v>
      </c>
      <c r="K1281">
        <v>5056000</v>
      </c>
      <c r="L1281" s="2" t="s">
        <v>1776</v>
      </c>
      <c r="M1281" t="s">
        <v>23</v>
      </c>
      <c r="N1281">
        <v>13576000</v>
      </c>
      <c r="O1281">
        <v>3.5</v>
      </c>
      <c r="P1281" t="b">
        <v>0</v>
      </c>
    </row>
    <row r="1282" spans="1:16" x14ac:dyDescent="0.2">
      <c r="A1282" t="s">
        <v>1777</v>
      </c>
      <c r="B1282" s="1">
        <v>44590</v>
      </c>
      <c r="C1282" s="1">
        <v>44615</v>
      </c>
      <c r="D1282" t="s">
        <v>1539</v>
      </c>
      <c r="E1282" t="s">
        <v>45</v>
      </c>
      <c r="F1282" t="s">
        <v>45</v>
      </c>
      <c r="G1282" t="s">
        <v>20</v>
      </c>
      <c r="H1282" t="s">
        <v>47</v>
      </c>
      <c r="I1282" t="s">
        <v>94</v>
      </c>
      <c r="J1282">
        <v>2</v>
      </c>
      <c r="K1282">
        <v>3211000</v>
      </c>
      <c r="L1282">
        <v>9.2091888635595601E-2</v>
      </c>
      <c r="M1282" t="s">
        <v>65</v>
      </c>
      <c r="N1282">
        <v>0</v>
      </c>
      <c r="P1282" t="b">
        <v>1</v>
      </c>
    </row>
    <row r="1283" spans="1:16" x14ac:dyDescent="0.2">
      <c r="A1283" t="s">
        <v>1778</v>
      </c>
      <c r="B1283" s="1">
        <v>44590</v>
      </c>
      <c r="C1283" s="1">
        <v>44608</v>
      </c>
      <c r="D1283" t="s">
        <v>668</v>
      </c>
      <c r="E1283" t="s">
        <v>33</v>
      </c>
      <c r="F1283" t="s">
        <v>34</v>
      </c>
      <c r="G1283" t="s">
        <v>50</v>
      </c>
      <c r="H1283" t="s">
        <v>21</v>
      </c>
      <c r="I1283" t="s">
        <v>30</v>
      </c>
      <c r="J1283">
        <v>3</v>
      </c>
      <c r="K1283">
        <v>4024000</v>
      </c>
      <c r="L1283">
        <v>9.5703756945631296E-2</v>
      </c>
      <c r="M1283" t="s">
        <v>23</v>
      </c>
      <c r="N1283">
        <v>10917000</v>
      </c>
      <c r="O1283">
        <v>4</v>
      </c>
      <c r="P1283" t="b">
        <v>1</v>
      </c>
    </row>
    <row r="1284" spans="1:16" x14ac:dyDescent="0.2">
      <c r="A1284" t="s">
        <v>1779</v>
      </c>
      <c r="B1284" s="1">
        <v>44593</v>
      </c>
      <c r="C1284" s="1">
        <v>44602</v>
      </c>
      <c r="D1284" t="s">
        <v>339</v>
      </c>
      <c r="E1284" t="s">
        <v>45</v>
      </c>
      <c r="F1284" t="s">
        <v>19</v>
      </c>
      <c r="G1284" t="s">
        <v>50</v>
      </c>
      <c r="H1284" t="s">
        <v>47</v>
      </c>
      <c r="I1284" t="s">
        <v>99</v>
      </c>
      <c r="J1284">
        <v>1</v>
      </c>
      <c r="K1284">
        <v>2781000</v>
      </c>
      <c r="L1284" s="2" t="s">
        <v>1780</v>
      </c>
      <c r="M1284" t="s">
        <v>23</v>
      </c>
      <c r="N1284">
        <v>2702000</v>
      </c>
      <c r="O1284">
        <v>4</v>
      </c>
      <c r="P1284" t="b">
        <v>1</v>
      </c>
    </row>
    <row r="1285" spans="1:16" x14ac:dyDescent="0.2">
      <c r="A1285" t="s">
        <v>1781</v>
      </c>
      <c r="B1285" s="1">
        <v>44563</v>
      </c>
      <c r="C1285" s="1">
        <v>44655</v>
      </c>
      <c r="D1285" t="s">
        <v>1782</v>
      </c>
      <c r="E1285" t="s">
        <v>18</v>
      </c>
      <c r="F1285" t="s">
        <v>39</v>
      </c>
      <c r="G1285" t="s">
        <v>35</v>
      </c>
      <c r="H1285" t="s">
        <v>47</v>
      </c>
      <c r="I1285" t="s">
        <v>99</v>
      </c>
      <c r="J1285">
        <v>2</v>
      </c>
      <c r="K1285">
        <v>2220000</v>
      </c>
      <c r="L1285" s="2" t="s">
        <v>1783</v>
      </c>
      <c r="M1285" t="s">
        <v>23</v>
      </c>
      <c r="N1285">
        <v>3912000</v>
      </c>
      <c r="O1285">
        <v>3.7</v>
      </c>
      <c r="P1285" t="b">
        <v>0</v>
      </c>
    </row>
    <row r="1286" spans="1:16" x14ac:dyDescent="0.2">
      <c r="A1286" t="s">
        <v>1784</v>
      </c>
      <c r="B1286" s="1">
        <v>44593</v>
      </c>
      <c r="C1286" s="1">
        <v>44705</v>
      </c>
      <c r="D1286" t="s">
        <v>198</v>
      </c>
      <c r="E1286" t="s">
        <v>29</v>
      </c>
      <c r="F1286" t="s">
        <v>45</v>
      </c>
      <c r="G1286" t="s">
        <v>35</v>
      </c>
      <c r="H1286" t="s">
        <v>21</v>
      </c>
      <c r="I1286" t="s">
        <v>94</v>
      </c>
      <c r="J1286">
        <v>2</v>
      </c>
      <c r="K1286">
        <v>3077000</v>
      </c>
      <c r="L1286">
        <v>4.8573744338062101E-2</v>
      </c>
      <c r="M1286" t="s">
        <v>23</v>
      </c>
      <c r="N1286">
        <v>5855000</v>
      </c>
      <c r="O1286">
        <v>4.3</v>
      </c>
      <c r="P1286" t="b">
        <v>1</v>
      </c>
    </row>
    <row r="1287" spans="1:16" x14ac:dyDescent="0.2">
      <c r="A1287" t="s">
        <v>1785</v>
      </c>
      <c r="B1287" s="1">
        <v>44594</v>
      </c>
      <c r="C1287" s="1">
        <v>44645</v>
      </c>
      <c r="D1287" t="s">
        <v>1786</v>
      </c>
      <c r="E1287" t="s">
        <v>18</v>
      </c>
      <c r="F1287" t="s">
        <v>34</v>
      </c>
      <c r="G1287" t="s">
        <v>50</v>
      </c>
      <c r="H1287" t="s">
        <v>21</v>
      </c>
      <c r="I1287" t="s">
        <v>83</v>
      </c>
      <c r="J1287">
        <v>1</v>
      </c>
      <c r="K1287">
        <v>3841000</v>
      </c>
      <c r="L1287" s="2" t="s">
        <v>1787</v>
      </c>
      <c r="M1287" t="s">
        <v>23</v>
      </c>
      <c r="N1287">
        <v>3058000</v>
      </c>
      <c r="O1287">
        <v>4.3</v>
      </c>
      <c r="P1287" t="b">
        <v>0</v>
      </c>
    </row>
    <row r="1288" spans="1:16" x14ac:dyDescent="0.2">
      <c r="A1288" t="s">
        <v>1788</v>
      </c>
      <c r="B1288" s="1">
        <v>44594</v>
      </c>
      <c r="C1288" s="1">
        <v>44646</v>
      </c>
      <c r="D1288" t="s">
        <v>859</v>
      </c>
      <c r="E1288" t="s">
        <v>45</v>
      </c>
      <c r="F1288" t="s">
        <v>25</v>
      </c>
      <c r="G1288" t="s">
        <v>50</v>
      </c>
      <c r="H1288" t="s">
        <v>21</v>
      </c>
      <c r="I1288" t="s">
        <v>99</v>
      </c>
      <c r="J1288">
        <v>3</v>
      </c>
      <c r="K1288">
        <v>4588000</v>
      </c>
      <c r="L1288" s="2" t="s">
        <v>1789</v>
      </c>
      <c r="M1288" t="s">
        <v>65</v>
      </c>
      <c r="N1288">
        <v>0</v>
      </c>
      <c r="P1288" t="b">
        <v>1</v>
      </c>
    </row>
    <row r="1289" spans="1:16" x14ac:dyDescent="0.2">
      <c r="A1289" t="s">
        <v>1790</v>
      </c>
      <c r="B1289" s="1">
        <v>44594</v>
      </c>
      <c r="C1289" s="1">
        <v>44665</v>
      </c>
      <c r="D1289" t="s">
        <v>1791</v>
      </c>
      <c r="E1289" t="s">
        <v>18</v>
      </c>
      <c r="F1289" t="s">
        <v>45</v>
      </c>
      <c r="H1289" t="s">
        <v>47</v>
      </c>
      <c r="I1289" t="s">
        <v>60</v>
      </c>
      <c r="J1289">
        <v>2</v>
      </c>
      <c r="K1289">
        <v>3594000</v>
      </c>
      <c r="L1289">
        <v>7.3322230738122093E-2</v>
      </c>
      <c r="M1289" t="s">
        <v>23</v>
      </c>
      <c r="N1289">
        <v>6661000</v>
      </c>
      <c r="O1289">
        <v>4.2</v>
      </c>
      <c r="P1289" t="b">
        <v>0</v>
      </c>
    </row>
    <row r="1290" spans="1:16" x14ac:dyDescent="0.2">
      <c r="A1290" t="s">
        <v>1792</v>
      </c>
      <c r="B1290" s="1">
        <v>44595</v>
      </c>
      <c r="C1290" s="1">
        <v>44653</v>
      </c>
      <c r="D1290" t="s">
        <v>1793</v>
      </c>
      <c r="E1290" t="s">
        <v>29</v>
      </c>
      <c r="F1290" t="s">
        <v>39</v>
      </c>
      <c r="G1290" t="s">
        <v>50</v>
      </c>
      <c r="H1290" t="s">
        <v>51</v>
      </c>
      <c r="I1290" t="s">
        <v>94</v>
      </c>
      <c r="J1290">
        <v>2</v>
      </c>
      <c r="K1290">
        <v>2706000</v>
      </c>
      <c r="L1290" s="3">
        <v>8.4000000000000005E-2</v>
      </c>
      <c r="M1290" t="s">
        <v>23</v>
      </c>
      <c r="N1290">
        <v>4957000</v>
      </c>
      <c r="O1290">
        <v>4.9000000000000004</v>
      </c>
      <c r="P1290" t="b">
        <v>0</v>
      </c>
    </row>
    <row r="1291" spans="1:16" x14ac:dyDescent="0.2">
      <c r="A1291" t="s">
        <v>1794</v>
      </c>
      <c r="B1291" s="1">
        <v>44596</v>
      </c>
      <c r="C1291" s="1">
        <v>44688</v>
      </c>
      <c r="D1291" t="s">
        <v>1795</v>
      </c>
      <c r="E1291" t="s">
        <v>33</v>
      </c>
      <c r="F1291" t="s">
        <v>45</v>
      </c>
      <c r="G1291" t="s">
        <v>50</v>
      </c>
      <c r="H1291" t="s">
        <v>21</v>
      </c>
      <c r="I1291" t="s">
        <v>26</v>
      </c>
      <c r="J1291">
        <v>3</v>
      </c>
      <c r="K1291">
        <v>3516000</v>
      </c>
      <c r="L1291" s="2" t="s">
        <v>1796</v>
      </c>
      <c r="M1291" t="s">
        <v>23</v>
      </c>
      <c r="N1291">
        <v>9449000</v>
      </c>
      <c r="O1291">
        <v>3.5</v>
      </c>
      <c r="P1291" t="b">
        <v>0</v>
      </c>
    </row>
    <row r="1292" spans="1:16" x14ac:dyDescent="0.2">
      <c r="A1292" t="s">
        <v>1797</v>
      </c>
      <c r="B1292" s="1">
        <v>44596</v>
      </c>
      <c r="C1292" s="1">
        <v>44695</v>
      </c>
      <c r="D1292" t="s">
        <v>229</v>
      </c>
      <c r="E1292" t="s">
        <v>29</v>
      </c>
      <c r="F1292" t="s">
        <v>34</v>
      </c>
      <c r="G1292" t="s">
        <v>20</v>
      </c>
      <c r="H1292" t="s">
        <v>21</v>
      </c>
      <c r="I1292" t="s">
        <v>30</v>
      </c>
      <c r="J1292">
        <v>1</v>
      </c>
      <c r="K1292">
        <v>3730000</v>
      </c>
      <c r="L1292">
        <v>7.5616169924574997E-2</v>
      </c>
      <c r="M1292" t="s">
        <v>23</v>
      </c>
      <c r="N1292">
        <v>3448000</v>
      </c>
      <c r="O1292">
        <v>5</v>
      </c>
      <c r="P1292" t="b">
        <v>1</v>
      </c>
    </row>
    <row r="1293" spans="1:16" x14ac:dyDescent="0.2">
      <c r="A1293" t="s">
        <v>1798</v>
      </c>
      <c r="B1293" s="1">
        <v>44596</v>
      </c>
      <c r="C1293" s="1">
        <v>44635</v>
      </c>
      <c r="D1293" t="s">
        <v>487</v>
      </c>
      <c r="E1293" t="s">
        <v>18</v>
      </c>
      <c r="F1293" t="s">
        <v>19</v>
      </c>
      <c r="G1293" t="s">
        <v>20</v>
      </c>
      <c r="H1293" t="s">
        <v>21</v>
      </c>
      <c r="I1293" t="s">
        <v>83</v>
      </c>
      <c r="J1293">
        <v>2</v>
      </c>
      <c r="K1293">
        <v>2646000</v>
      </c>
      <c r="L1293" s="2" t="s">
        <v>1799</v>
      </c>
      <c r="M1293" t="s">
        <v>23</v>
      </c>
      <c r="N1293">
        <v>4717000</v>
      </c>
      <c r="O1293">
        <v>3.9</v>
      </c>
      <c r="P1293" t="b">
        <v>1</v>
      </c>
    </row>
    <row r="1294" spans="1:16" x14ac:dyDescent="0.2">
      <c r="A1294" t="s">
        <v>1800</v>
      </c>
      <c r="B1294" s="1">
        <v>44597</v>
      </c>
      <c r="C1294" s="1">
        <v>44643</v>
      </c>
      <c r="D1294" t="s">
        <v>530</v>
      </c>
      <c r="E1294" t="s">
        <v>33</v>
      </c>
      <c r="F1294" t="s">
        <v>25</v>
      </c>
      <c r="G1294" t="s">
        <v>20</v>
      </c>
      <c r="H1294" t="s">
        <v>40</v>
      </c>
      <c r="I1294" t="s">
        <v>52</v>
      </c>
      <c r="J1294">
        <v>1</v>
      </c>
      <c r="K1294">
        <v>4811000</v>
      </c>
      <c r="L1294">
        <v>6.7092424592663694E-2</v>
      </c>
      <c r="M1294" t="s">
        <v>23</v>
      </c>
      <c r="N1294">
        <v>4488000</v>
      </c>
      <c r="O1294">
        <v>4.5999999999999996</v>
      </c>
      <c r="P1294" t="b">
        <v>1</v>
      </c>
    </row>
    <row r="1295" spans="1:16" x14ac:dyDescent="0.2">
      <c r="A1295" t="s">
        <v>1801</v>
      </c>
      <c r="B1295" s="1">
        <v>44597</v>
      </c>
      <c r="C1295" s="1">
        <v>44717</v>
      </c>
      <c r="D1295" t="s">
        <v>1802</v>
      </c>
      <c r="E1295" t="s">
        <v>29</v>
      </c>
      <c r="F1295" t="s">
        <v>19</v>
      </c>
      <c r="G1295" t="s">
        <v>20</v>
      </c>
      <c r="H1295" t="s">
        <v>21</v>
      </c>
      <c r="I1295" t="s">
        <v>94</v>
      </c>
      <c r="J1295">
        <v>1</v>
      </c>
      <c r="K1295">
        <v>2796000</v>
      </c>
      <c r="L1295">
        <v>3.8953236977517201E-2</v>
      </c>
      <c r="M1295" t="s">
        <v>23</v>
      </c>
      <c r="N1295">
        <v>2687000</v>
      </c>
      <c r="O1295">
        <v>4.3</v>
      </c>
      <c r="P1295" t="b">
        <v>0</v>
      </c>
    </row>
    <row r="1296" spans="1:16" x14ac:dyDescent="0.2">
      <c r="A1296" t="s">
        <v>1803</v>
      </c>
      <c r="B1296" s="1">
        <v>44598</v>
      </c>
      <c r="C1296" s="1">
        <v>44645</v>
      </c>
      <c r="D1296" t="s">
        <v>1719</v>
      </c>
      <c r="E1296" t="s">
        <v>45</v>
      </c>
      <c r="F1296" t="s">
        <v>68</v>
      </c>
      <c r="G1296" t="s">
        <v>20</v>
      </c>
      <c r="H1296" t="s">
        <v>21</v>
      </c>
      <c r="I1296" t="s">
        <v>57</v>
      </c>
      <c r="J1296">
        <v>1</v>
      </c>
      <c r="K1296">
        <v>2562000</v>
      </c>
      <c r="L1296" s="2" t="s">
        <v>1804</v>
      </c>
      <c r="M1296" t="s">
        <v>23</v>
      </c>
      <c r="N1296">
        <v>2233000</v>
      </c>
      <c r="O1296">
        <v>5</v>
      </c>
      <c r="P1296" t="b">
        <v>1</v>
      </c>
    </row>
    <row r="1297" spans="1:16" x14ac:dyDescent="0.2">
      <c r="A1297" t="s">
        <v>1805</v>
      </c>
      <c r="B1297" s="1">
        <v>44598</v>
      </c>
      <c r="C1297" s="1">
        <v>44662</v>
      </c>
      <c r="D1297" t="s">
        <v>1806</v>
      </c>
      <c r="E1297" t="s">
        <v>33</v>
      </c>
      <c r="F1297" t="s">
        <v>68</v>
      </c>
      <c r="G1297" t="s">
        <v>20</v>
      </c>
      <c r="H1297" t="s">
        <v>21</v>
      </c>
      <c r="I1297" t="s">
        <v>26</v>
      </c>
      <c r="J1297">
        <v>1</v>
      </c>
      <c r="K1297">
        <v>3009000</v>
      </c>
      <c r="L1297" s="2" t="s">
        <v>1807</v>
      </c>
      <c r="M1297" t="s">
        <v>23</v>
      </c>
      <c r="N1297">
        <v>2574000</v>
      </c>
      <c r="O1297">
        <v>4.2</v>
      </c>
      <c r="P1297" t="b">
        <v>0</v>
      </c>
    </row>
    <row r="1298" spans="1:16" x14ac:dyDescent="0.2">
      <c r="A1298" t="s">
        <v>1808</v>
      </c>
      <c r="B1298" s="1">
        <v>44598</v>
      </c>
      <c r="C1298" s="1">
        <v>44648</v>
      </c>
      <c r="D1298" t="s">
        <v>76</v>
      </c>
      <c r="E1298" t="s">
        <v>18</v>
      </c>
      <c r="F1298" t="s">
        <v>45</v>
      </c>
      <c r="G1298" t="s">
        <v>35</v>
      </c>
      <c r="H1298" t="s">
        <v>21</v>
      </c>
      <c r="I1298" t="s">
        <v>57</v>
      </c>
      <c r="J1298">
        <v>2</v>
      </c>
      <c r="K1298">
        <v>3473000</v>
      </c>
      <c r="L1298">
        <v>3.87609135308465E-2</v>
      </c>
      <c r="M1298" t="s">
        <v>23</v>
      </c>
      <c r="N1298">
        <v>6677000</v>
      </c>
      <c r="O1298">
        <v>4.5</v>
      </c>
      <c r="P1298" t="b">
        <v>1</v>
      </c>
    </row>
    <row r="1299" spans="1:16" x14ac:dyDescent="0.2">
      <c r="A1299" t="s">
        <v>1809</v>
      </c>
      <c r="B1299" s="1">
        <v>44598</v>
      </c>
      <c r="C1299" s="1">
        <v>44605</v>
      </c>
      <c r="D1299" t="s">
        <v>93</v>
      </c>
      <c r="E1299" t="s">
        <v>29</v>
      </c>
      <c r="F1299" t="s">
        <v>34</v>
      </c>
      <c r="G1299" t="s">
        <v>50</v>
      </c>
      <c r="H1299" t="s">
        <v>21</v>
      </c>
      <c r="I1299" t="s">
        <v>83</v>
      </c>
      <c r="J1299">
        <v>3</v>
      </c>
      <c r="K1299">
        <v>4052000</v>
      </c>
      <c r="L1299" s="2" t="s">
        <v>1810</v>
      </c>
      <c r="M1299" t="s">
        <v>23</v>
      </c>
      <c r="N1299">
        <v>10900000</v>
      </c>
      <c r="O1299">
        <v>4.5999999999999996</v>
      </c>
      <c r="P1299" t="b">
        <v>1</v>
      </c>
    </row>
    <row r="1300" spans="1:16" x14ac:dyDescent="0.2">
      <c r="A1300" t="s">
        <v>1811</v>
      </c>
      <c r="B1300" s="1">
        <v>44599</v>
      </c>
      <c r="C1300" s="1">
        <v>44646</v>
      </c>
      <c r="D1300" t="s">
        <v>1812</v>
      </c>
      <c r="F1300" t="s">
        <v>34</v>
      </c>
      <c r="G1300" t="s">
        <v>20</v>
      </c>
      <c r="H1300" t="s">
        <v>40</v>
      </c>
      <c r="I1300" t="s">
        <v>26</v>
      </c>
      <c r="J1300">
        <v>1</v>
      </c>
      <c r="K1300">
        <v>4139000</v>
      </c>
      <c r="L1300">
        <v>9.0202889409665601E-2</v>
      </c>
      <c r="M1300" t="s">
        <v>23</v>
      </c>
      <c r="N1300">
        <v>3766000</v>
      </c>
      <c r="O1300">
        <v>3.3</v>
      </c>
      <c r="P1300" t="b">
        <v>0</v>
      </c>
    </row>
    <row r="1301" spans="1:16" x14ac:dyDescent="0.2">
      <c r="A1301" t="s">
        <v>1813</v>
      </c>
      <c r="B1301" s="1">
        <v>44599</v>
      </c>
      <c r="C1301" s="1">
        <v>44642</v>
      </c>
      <c r="D1301" t="s">
        <v>1814</v>
      </c>
      <c r="E1301" t="s">
        <v>33</v>
      </c>
      <c r="F1301" t="s">
        <v>34</v>
      </c>
      <c r="G1301" t="s">
        <v>35</v>
      </c>
      <c r="H1301" t="s">
        <v>21</v>
      </c>
      <c r="I1301" t="s">
        <v>99</v>
      </c>
      <c r="J1301">
        <v>1</v>
      </c>
      <c r="K1301">
        <v>3715000</v>
      </c>
      <c r="L1301" s="2" t="s">
        <v>1815</v>
      </c>
      <c r="M1301" t="s">
        <v>23</v>
      </c>
      <c r="N1301">
        <v>3143000</v>
      </c>
      <c r="O1301">
        <v>4.5999999999999996</v>
      </c>
      <c r="P1301" t="b">
        <v>0</v>
      </c>
    </row>
    <row r="1302" spans="1:16" x14ac:dyDescent="0.2">
      <c r="A1302" t="s">
        <v>1816</v>
      </c>
      <c r="B1302" s="1">
        <v>44599</v>
      </c>
      <c r="C1302" s="1">
        <v>44658</v>
      </c>
      <c r="D1302" t="s">
        <v>1817</v>
      </c>
      <c r="E1302" t="s">
        <v>18</v>
      </c>
      <c r="F1302" t="s">
        <v>68</v>
      </c>
      <c r="G1302" t="s">
        <v>35</v>
      </c>
      <c r="H1302" t="s">
        <v>21</v>
      </c>
      <c r="I1302" t="s">
        <v>52</v>
      </c>
      <c r="J1302">
        <v>1</v>
      </c>
      <c r="K1302">
        <v>2524000</v>
      </c>
      <c r="L1302" s="2" t="s">
        <v>1818</v>
      </c>
      <c r="M1302" t="s">
        <v>23</v>
      </c>
      <c r="N1302">
        <v>2047000</v>
      </c>
      <c r="O1302">
        <v>4</v>
      </c>
      <c r="P1302" t="b">
        <v>0</v>
      </c>
    </row>
    <row r="1303" spans="1:16" x14ac:dyDescent="0.2">
      <c r="A1303" t="s">
        <v>1819</v>
      </c>
      <c r="B1303" s="1">
        <v>44599</v>
      </c>
      <c r="C1303" s="1">
        <v>44634</v>
      </c>
      <c r="D1303" t="s">
        <v>515</v>
      </c>
      <c r="E1303" t="s">
        <v>29</v>
      </c>
      <c r="F1303" t="s">
        <v>68</v>
      </c>
      <c r="G1303" t="s">
        <v>50</v>
      </c>
      <c r="H1303" t="s">
        <v>21</v>
      </c>
      <c r="I1303" t="s">
        <v>60</v>
      </c>
      <c r="J1303">
        <v>2</v>
      </c>
      <c r="K1303">
        <v>2521000</v>
      </c>
      <c r="L1303">
        <v>7.3796626487497796E-2</v>
      </c>
      <c r="M1303" t="s">
        <v>23</v>
      </c>
      <c r="N1303">
        <v>4670000</v>
      </c>
      <c r="O1303">
        <v>3.8</v>
      </c>
      <c r="P1303" t="b">
        <v>1</v>
      </c>
    </row>
    <row r="1304" spans="1:16" x14ac:dyDescent="0.2">
      <c r="A1304" t="s">
        <v>1820</v>
      </c>
      <c r="B1304" s="1">
        <v>44600</v>
      </c>
      <c r="C1304" s="1">
        <v>44638</v>
      </c>
      <c r="D1304" t="s">
        <v>1821</v>
      </c>
      <c r="E1304" t="s">
        <v>33</v>
      </c>
      <c r="F1304" t="s">
        <v>68</v>
      </c>
      <c r="G1304" t="s">
        <v>20</v>
      </c>
      <c r="H1304" t="s">
        <v>47</v>
      </c>
      <c r="I1304" t="s">
        <v>60</v>
      </c>
      <c r="J1304">
        <v>3</v>
      </c>
      <c r="K1304">
        <v>2586000</v>
      </c>
      <c r="L1304" s="2" t="s">
        <v>1822</v>
      </c>
      <c r="M1304" t="s">
        <v>23</v>
      </c>
      <c r="N1304">
        <v>6720000</v>
      </c>
      <c r="O1304">
        <v>4.5999999999999996</v>
      </c>
      <c r="P1304" t="b">
        <v>0</v>
      </c>
    </row>
    <row r="1305" spans="1:16" x14ac:dyDescent="0.2">
      <c r="A1305" t="s">
        <v>1823</v>
      </c>
      <c r="B1305" s="1">
        <v>44600</v>
      </c>
      <c r="C1305" s="1">
        <v>44656</v>
      </c>
      <c r="D1305" t="s">
        <v>1824</v>
      </c>
      <c r="E1305" t="s">
        <v>45</v>
      </c>
      <c r="F1305" t="s">
        <v>19</v>
      </c>
      <c r="G1305" t="s">
        <v>20</v>
      </c>
      <c r="H1305" t="s">
        <v>21</v>
      </c>
      <c r="I1305" t="s">
        <v>94</v>
      </c>
      <c r="J1305">
        <v>2</v>
      </c>
      <c r="K1305">
        <v>2549000</v>
      </c>
      <c r="L1305" s="3">
        <v>0.157</v>
      </c>
      <c r="M1305" t="s">
        <v>23</v>
      </c>
      <c r="N1305">
        <v>4296000</v>
      </c>
      <c r="O1305">
        <v>3.6</v>
      </c>
      <c r="P1305" t="b">
        <v>0</v>
      </c>
    </row>
    <row r="1306" spans="1:16" x14ac:dyDescent="0.2">
      <c r="A1306" t="s">
        <v>1825</v>
      </c>
      <c r="B1306" s="1">
        <v>44600</v>
      </c>
      <c r="C1306" s="1">
        <v>44664</v>
      </c>
      <c r="D1306" t="s">
        <v>1826</v>
      </c>
      <c r="F1306" t="s">
        <v>25</v>
      </c>
      <c r="G1306" t="s">
        <v>20</v>
      </c>
      <c r="H1306" t="s">
        <v>40</v>
      </c>
      <c r="I1306" t="s">
        <v>60</v>
      </c>
      <c r="J1306">
        <v>3</v>
      </c>
      <c r="K1306">
        <v>5422000</v>
      </c>
      <c r="L1306" s="2" t="s">
        <v>1827</v>
      </c>
      <c r="M1306" t="s">
        <v>65</v>
      </c>
      <c r="N1306">
        <v>0</v>
      </c>
      <c r="P1306" t="b">
        <v>0</v>
      </c>
    </row>
    <row r="1307" spans="1:16" x14ac:dyDescent="0.2">
      <c r="A1307" t="s">
        <v>1828</v>
      </c>
      <c r="B1307" s="1">
        <v>44600</v>
      </c>
      <c r="C1307" s="1">
        <v>44678</v>
      </c>
      <c r="D1307" t="s">
        <v>907</v>
      </c>
      <c r="E1307" t="s">
        <v>33</v>
      </c>
      <c r="F1307" t="s">
        <v>34</v>
      </c>
      <c r="G1307" t="s">
        <v>35</v>
      </c>
      <c r="H1307" t="s">
        <v>21</v>
      </c>
      <c r="I1307" t="s">
        <v>52</v>
      </c>
      <c r="J1307">
        <v>1</v>
      </c>
      <c r="K1307">
        <v>3632000</v>
      </c>
      <c r="L1307" s="2" t="s">
        <v>1829</v>
      </c>
      <c r="M1307" t="s">
        <v>23</v>
      </c>
      <c r="N1307">
        <v>3204000</v>
      </c>
      <c r="O1307">
        <v>4.4000000000000004</v>
      </c>
      <c r="P1307" t="b">
        <v>1</v>
      </c>
    </row>
    <row r="1308" spans="1:16" x14ac:dyDescent="0.2">
      <c r="A1308" t="s">
        <v>1830</v>
      </c>
      <c r="B1308" s="1">
        <v>44600</v>
      </c>
      <c r="C1308" s="1">
        <v>44637</v>
      </c>
      <c r="D1308" t="s">
        <v>1044</v>
      </c>
      <c r="E1308" t="s">
        <v>18</v>
      </c>
      <c r="F1308" t="s">
        <v>25</v>
      </c>
      <c r="G1308" t="s">
        <v>50</v>
      </c>
      <c r="H1308" t="s">
        <v>40</v>
      </c>
      <c r="I1308" t="s">
        <v>57</v>
      </c>
      <c r="J1308">
        <v>1</v>
      </c>
      <c r="K1308">
        <v>5053000</v>
      </c>
      <c r="L1308">
        <v>9.9453988725498405E-2</v>
      </c>
      <c r="M1308" t="s">
        <v>23</v>
      </c>
      <c r="N1308">
        <v>4550000</v>
      </c>
      <c r="O1308">
        <v>4.3</v>
      </c>
      <c r="P1308" t="b">
        <v>1</v>
      </c>
    </row>
    <row r="1309" spans="1:16" x14ac:dyDescent="0.2">
      <c r="A1309" t="s">
        <v>1831</v>
      </c>
      <c r="B1309" s="1">
        <v>44602</v>
      </c>
      <c r="C1309" s="1">
        <v>44674</v>
      </c>
      <c r="D1309" t="s">
        <v>625</v>
      </c>
      <c r="E1309" t="s">
        <v>45</v>
      </c>
      <c r="F1309" t="s">
        <v>19</v>
      </c>
      <c r="G1309" t="s">
        <v>35</v>
      </c>
      <c r="H1309" t="s">
        <v>51</v>
      </c>
      <c r="I1309" t="s">
        <v>22</v>
      </c>
      <c r="J1309">
        <v>1</v>
      </c>
      <c r="K1309">
        <v>2455000</v>
      </c>
      <c r="L1309" s="3">
        <v>0.153</v>
      </c>
      <c r="M1309" t="s">
        <v>23</v>
      </c>
      <c r="N1309">
        <v>2079000</v>
      </c>
      <c r="O1309">
        <v>4.7</v>
      </c>
      <c r="P1309" t="b">
        <v>1</v>
      </c>
    </row>
    <row r="1310" spans="1:16" x14ac:dyDescent="0.2">
      <c r="A1310" t="s">
        <v>1832</v>
      </c>
      <c r="B1310" s="1">
        <v>44602</v>
      </c>
      <c r="C1310" s="1">
        <v>44602</v>
      </c>
      <c r="D1310" t="s">
        <v>1833</v>
      </c>
      <c r="E1310" t="s">
        <v>45</v>
      </c>
      <c r="F1310" t="s">
        <v>45</v>
      </c>
      <c r="G1310" t="s">
        <v>35</v>
      </c>
      <c r="H1310" t="s">
        <v>40</v>
      </c>
      <c r="I1310" t="s">
        <v>52</v>
      </c>
      <c r="J1310">
        <v>2</v>
      </c>
      <c r="K1310">
        <v>3281000</v>
      </c>
      <c r="L1310">
        <v>9.0094600136353606E-2</v>
      </c>
      <c r="M1310" t="s">
        <v>23</v>
      </c>
      <c r="N1310">
        <v>5971000</v>
      </c>
      <c r="O1310">
        <v>4.5999999999999996</v>
      </c>
      <c r="P1310" t="b">
        <v>0</v>
      </c>
    </row>
    <row r="1311" spans="1:16" x14ac:dyDescent="0.2">
      <c r="A1311" t="s">
        <v>1834</v>
      </c>
      <c r="B1311" s="1">
        <v>44602</v>
      </c>
      <c r="C1311" s="1">
        <v>44654</v>
      </c>
      <c r="D1311" t="s">
        <v>725</v>
      </c>
      <c r="E1311" t="s">
        <v>33</v>
      </c>
      <c r="F1311" t="s">
        <v>68</v>
      </c>
      <c r="G1311" t="s">
        <v>20</v>
      </c>
      <c r="H1311" t="s">
        <v>51</v>
      </c>
      <c r="I1311" t="s">
        <v>52</v>
      </c>
      <c r="J1311">
        <v>4</v>
      </c>
      <c r="K1311">
        <v>2575000</v>
      </c>
      <c r="L1311" s="2" t="s">
        <v>1835</v>
      </c>
      <c r="M1311" t="s">
        <v>23</v>
      </c>
      <c r="N1311">
        <v>8581000</v>
      </c>
      <c r="O1311">
        <v>4.7</v>
      </c>
      <c r="P1311" t="b">
        <v>1</v>
      </c>
    </row>
    <row r="1312" spans="1:16" x14ac:dyDescent="0.2">
      <c r="A1312" t="s">
        <v>1836</v>
      </c>
      <c r="B1312" s="1">
        <v>44604</v>
      </c>
      <c r="C1312" s="1">
        <v>44634</v>
      </c>
      <c r="D1312" t="s">
        <v>421</v>
      </c>
      <c r="E1312" t="s">
        <v>18</v>
      </c>
      <c r="F1312" t="s">
        <v>45</v>
      </c>
      <c r="G1312" t="s">
        <v>20</v>
      </c>
      <c r="H1312" t="s">
        <v>47</v>
      </c>
      <c r="I1312" t="s">
        <v>99</v>
      </c>
      <c r="J1312">
        <v>4</v>
      </c>
      <c r="K1312">
        <v>3194000</v>
      </c>
      <c r="L1312" s="2" t="s">
        <v>1837</v>
      </c>
      <c r="M1312" t="s">
        <v>23</v>
      </c>
      <c r="N1312">
        <v>11152000</v>
      </c>
      <c r="O1312">
        <v>5</v>
      </c>
      <c r="P1312" t="b">
        <v>1</v>
      </c>
    </row>
    <row r="1313" spans="1:16" x14ac:dyDescent="0.2">
      <c r="A1313" t="s">
        <v>1838</v>
      </c>
      <c r="B1313" s="1">
        <v>44604</v>
      </c>
      <c r="C1313" s="1">
        <v>44649</v>
      </c>
      <c r="D1313" t="s">
        <v>261</v>
      </c>
      <c r="E1313" t="s">
        <v>33</v>
      </c>
      <c r="F1313" t="s">
        <v>34</v>
      </c>
      <c r="G1313" t="s">
        <v>35</v>
      </c>
      <c r="H1313" t="s">
        <v>21</v>
      </c>
      <c r="I1313" t="s">
        <v>26</v>
      </c>
      <c r="J1313">
        <v>4</v>
      </c>
      <c r="K1313">
        <v>3981000</v>
      </c>
      <c r="L1313" s="2" t="s">
        <v>1839</v>
      </c>
      <c r="M1313" t="s">
        <v>23</v>
      </c>
      <c r="N1313">
        <v>13905000</v>
      </c>
      <c r="O1313">
        <v>4</v>
      </c>
      <c r="P1313" t="b">
        <v>1</v>
      </c>
    </row>
    <row r="1314" spans="1:16" x14ac:dyDescent="0.2">
      <c r="A1314" t="s">
        <v>1840</v>
      </c>
      <c r="B1314" s="1">
        <v>44604</v>
      </c>
      <c r="C1314" s="1">
        <v>44671</v>
      </c>
      <c r="D1314" t="s">
        <v>1841</v>
      </c>
      <c r="E1314" t="s">
        <v>45</v>
      </c>
      <c r="F1314" t="s">
        <v>34</v>
      </c>
      <c r="G1314" t="s">
        <v>20</v>
      </c>
      <c r="H1314" t="s">
        <v>21</v>
      </c>
      <c r="I1314" t="s">
        <v>60</v>
      </c>
      <c r="J1314">
        <v>1</v>
      </c>
      <c r="K1314">
        <v>4666000</v>
      </c>
      <c r="L1314">
        <v>8.4297912478143305E-2</v>
      </c>
      <c r="M1314" t="s">
        <v>23</v>
      </c>
      <c r="N1314">
        <v>4273000</v>
      </c>
      <c r="O1314">
        <v>4.4000000000000004</v>
      </c>
      <c r="P1314" t="b">
        <v>0</v>
      </c>
    </row>
    <row r="1315" spans="1:16" x14ac:dyDescent="0.2">
      <c r="A1315" t="s">
        <v>1842</v>
      </c>
      <c r="B1315" s="1">
        <v>44605</v>
      </c>
      <c r="C1315" s="1">
        <v>44630</v>
      </c>
      <c r="D1315" t="s">
        <v>1373</v>
      </c>
      <c r="E1315" t="s">
        <v>33</v>
      </c>
      <c r="F1315" t="s">
        <v>34</v>
      </c>
      <c r="G1315" t="s">
        <v>35</v>
      </c>
      <c r="H1315" t="s">
        <v>21</v>
      </c>
      <c r="I1315" t="s">
        <v>57</v>
      </c>
      <c r="J1315">
        <v>3</v>
      </c>
      <c r="K1315">
        <v>4277000</v>
      </c>
      <c r="L1315" s="2" t="s">
        <v>1843</v>
      </c>
      <c r="M1315" t="s">
        <v>65</v>
      </c>
      <c r="N1315">
        <v>0</v>
      </c>
      <c r="P1315" t="b">
        <v>1</v>
      </c>
    </row>
    <row r="1316" spans="1:16" x14ac:dyDescent="0.2">
      <c r="A1316" t="s">
        <v>1844</v>
      </c>
      <c r="B1316" s="1">
        <v>44605</v>
      </c>
      <c r="C1316" s="1">
        <v>44613</v>
      </c>
      <c r="D1316" t="s">
        <v>1845</v>
      </c>
      <c r="E1316" t="s">
        <v>45</v>
      </c>
      <c r="F1316" t="s">
        <v>45</v>
      </c>
      <c r="G1316" t="s">
        <v>35</v>
      </c>
      <c r="H1316" t="s">
        <v>40</v>
      </c>
      <c r="I1316" t="s">
        <v>30</v>
      </c>
      <c r="J1316">
        <v>5</v>
      </c>
      <c r="K1316">
        <v>3131000</v>
      </c>
      <c r="L1316" s="2" t="s">
        <v>1846</v>
      </c>
      <c r="M1316" t="s">
        <v>23</v>
      </c>
      <c r="N1316">
        <v>13075000</v>
      </c>
      <c r="O1316">
        <v>4.2</v>
      </c>
      <c r="P1316" t="b">
        <v>0</v>
      </c>
    </row>
    <row r="1317" spans="1:16" x14ac:dyDescent="0.2">
      <c r="A1317" t="s">
        <v>1847</v>
      </c>
      <c r="B1317" s="1">
        <v>44605</v>
      </c>
      <c r="C1317" s="1">
        <v>44646</v>
      </c>
      <c r="D1317" t="s">
        <v>526</v>
      </c>
      <c r="E1317" t="s">
        <v>45</v>
      </c>
      <c r="F1317" t="s">
        <v>34</v>
      </c>
      <c r="G1317" t="s">
        <v>35</v>
      </c>
      <c r="H1317" t="s">
        <v>21</v>
      </c>
      <c r="I1317" t="s">
        <v>26</v>
      </c>
      <c r="J1317">
        <v>2</v>
      </c>
      <c r="K1317">
        <v>3993000</v>
      </c>
      <c r="L1317" s="2" t="s">
        <v>1848</v>
      </c>
      <c r="M1317" t="s">
        <v>23</v>
      </c>
      <c r="N1317">
        <v>7007000</v>
      </c>
      <c r="O1317">
        <v>4</v>
      </c>
      <c r="P1317" t="b">
        <v>1</v>
      </c>
    </row>
    <row r="1318" spans="1:16" x14ac:dyDescent="0.2">
      <c r="A1318" t="s">
        <v>1849</v>
      </c>
      <c r="B1318" s="1">
        <v>44606</v>
      </c>
      <c r="C1318" s="1">
        <v>44701</v>
      </c>
      <c r="D1318" t="s">
        <v>1850</v>
      </c>
      <c r="E1318" t="s">
        <v>45</v>
      </c>
      <c r="F1318" t="s">
        <v>34</v>
      </c>
      <c r="G1318" t="s">
        <v>20</v>
      </c>
      <c r="H1318" t="s">
        <v>21</v>
      </c>
      <c r="I1318" t="s">
        <v>22</v>
      </c>
      <c r="J1318">
        <v>2</v>
      </c>
      <c r="K1318">
        <v>3686000</v>
      </c>
      <c r="L1318">
        <v>5.5312585726901099E-2</v>
      </c>
      <c r="M1318" t="s">
        <v>23</v>
      </c>
      <c r="N1318">
        <v>6964000</v>
      </c>
      <c r="O1318">
        <v>4.7</v>
      </c>
      <c r="P1318" t="b">
        <v>0</v>
      </c>
    </row>
    <row r="1319" spans="1:16" x14ac:dyDescent="0.2">
      <c r="A1319" t="s">
        <v>1851</v>
      </c>
      <c r="B1319" s="1">
        <v>44606</v>
      </c>
      <c r="C1319" s="1">
        <v>44623</v>
      </c>
      <c r="D1319" t="s">
        <v>1646</v>
      </c>
      <c r="E1319" t="s">
        <v>18</v>
      </c>
      <c r="F1319" t="s">
        <v>19</v>
      </c>
      <c r="G1319" t="s">
        <v>46</v>
      </c>
      <c r="H1319" t="s">
        <v>47</v>
      </c>
      <c r="I1319" t="s">
        <v>94</v>
      </c>
      <c r="J1319">
        <v>1</v>
      </c>
      <c r="K1319">
        <v>2555000</v>
      </c>
      <c r="L1319">
        <v>3.1754480148840199E-2</v>
      </c>
      <c r="M1319" t="s">
        <v>23</v>
      </c>
      <c r="N1319">
        <v>2474000</v>
      </c>
      <c r="O1319">
        <v>3.9</v>
      </c>
      <c r="P1319" t="b">
        <v>1</v>
      </c>
    </row>
    <row r="1320" spans="1:16" x14ac:dyDescent="0.2">
      <c r="A1320" t="s">
        <v>1852</v>
      </c>
      <c r="B1320" s="1">
        <v>44607</v>
      </c>
      <c r="C1320" s="1">
        <v>44641</v>
      </c>
      <c r="D1320" t="s">
        <v>1361</v>
      </c>
      <c r="E1320" t="s">
        <v>45</v>
      </c>
      <c r="F1320" t="s">
        <v>19</v>
      </c>
      <c r="G1320" t="s">
        <v>20</v>
      </c>
      <c r="H1320" t="s">
        <v>21</v>
      </c>
      <c r="I1320" t="s">
        <v>94</v>
      </c>
      <c r="J1320">
        <v>2</v>
      </c>
      <c r="K1320">
        <v>2725000</v>
      </c>
      <c r="L1320">
        <v>4.5415605429606702E-2</v>
      </c>
      <c r="M1320" t="s">
        <v>23</v>
      </c>
      <c r="N1320">
        <v>5202000</v>
      </c>
      <c r="O1320">
        <v>3.9</v>
      </c>
      <c r="P1320" t="b">
        <v>1</v>
      </c>
    </row>
    <row r="1321" spans="1:16" x14ac:dyDescent="0.2">
      <c r="A1321" t="s">
        <v>1853</v>
      </c>
      <c r="B1321" s="1">
        <v>44608</v>
      </c>
      <c r="C1321" s="1">
        <v>44635</v>
      </c>
      <c r="D1321" t="s">
        <v>725</v>
      </c>
      <c r="E1321" t="s">
        <v>45</v>
      </c>
      <c r="F1321" t="s">
        <v>19</v>
      </c>
      <c r="G1321" t="s">
        <v>50</v>
      </c>
      <c r="H1321" t="s">
        <v>21</v>
      </c>
      <c r="I1321" t="s">
        <v>60</v>
      </c>
      <c r="J1321">
        <v>1</v>
      </c>
      <c r="K1321">
        <v>2578000</v>
      </c>
      <c r="L1321" s="2" t="s">
        <v>1854</v>
      </c>
      <c r="M1321" t="s">
        <v>23</v>
      </c>
      <c r="N1321">
        <v>2284000</v>
      </c>
      <c r="O1321">
        <v>3.2</v>
      </c>
      <c r="P1321" t="b">
        <v>1</v>
      </c>
    </row>
    <row r="1322" spans="1:16" x14ac:dyDescent="0.2">
      <c r="A1322" t="s">
        <v>1855</v>
      </c>
      <c r="B1322" s="1">
        <v>44609</v>
      </c>
      <c r="C1322" s="1">
        <v>44617</v>
      </c>
      <c r="D1322" t="s">
        <v>126</v>
      </c>
      <c r="F1322" t="s">
        <v>34</v>
      </c>
      <c r="G1322" t="s">
        <v>50</v>
      </c>
      <c r="H1322" t="s">
        <v>47</v>
      </c>
      <c r="I1322" t="s">
        <v>30</v>
      </c>
      <c r="J1322">
        <v>2</v>
      </c>
      <c r="K1322">
        <v>3727000</v>
      </c>
      <c r="L1322">
        <v>8.0000132688909306E-2</v>
      </c>
      <c r="M1322" t="s">
        <v>23</v>
      </c>
      <c r="N1322">
        <v>6858000</v>
      </c>
      <c r="O1322">
        <v>4.4000000000000004</v>
      </c>
      <c r="P1322" t="b">
        <v>1</v>
      </c>
    </row>
    <row r="1323" spans="1:16" x14ac:dyDescent="0.2">
      <c r="A1323" t="s">
        <v>1856</v>
      </c>
      <c r="B1323" s="1">
        <v>44609</v>
      </c>
      <c r="C1323" s="1">
        <v>44641</v>
      </c>
      <c r="D1323" t="s">
        <v>1857</v>
      </c>
      <c r="E1323" t="s">
        <v>18</v>
      </c>
      <c r="F1323" t="s">
        <v>34</v>
      </c>
      <c r="G1323" t="s">
        <v>20</v>
      </c>
      <c r="H1323" t="s">
        <v>21</v>
      </c>
      <c r="I1323" t="s">
        <v>77</v>
      </c>
      <c r="J1323">
        <v>2</v>
      </c>
      <c r="K1323">
        <v>4002000</v>
      </c>
      <c r="L1323" s="2" t="s">
        <v>1858</v>
      </c>
      <c r="M1323" t="s">
        <v>65</v>
      </c>
      <c r="N1323">
        <v>0</v>
      </c>
      <c r="P1323" t="b">
        <v>0</v>
      </c>
    </row>
    <row r="1324" spans="1:16" x14ac:dyDescent="0.2">
      <c r="A1324" t="s">
        <v>1859</v>
      </c>
      <c r="B1324" s="1">
        <v>44609</v>
      </c>
      <c r="C1324" s="1">
        <v>44684</v>
      </c>
      <c r="D1324" t="s">
        <v>1860</v>
      </c>
      <c r="E1324" t="s">
        <v>18</v>
      </c>
      <c r="F1324" t="s">
        <v>39</v>
      </c>
      <c r="G1324" t="s">
        <v>35</v>
      </c>
      <c r="H1324" t="s">
        <v>47</v>
      </c>
      <c r="I1324" t="s">
        <v>22</v>
      </c>
      <c r="J1324">
        <v>2</v>
      </c>
      <c r="K1324">
        <v>2040000</v>
      </c>
      <c r="L1324" s="2" t="s">
        <v>1861</v>
      </c>
      <c r="M1324" t="s">
        <v>23</v>
      </c>
      <c r="N1324">
        <v>4023000</v>
      </c>
      <c r="O1324">
        <v>4</v>
      </c>
      <c r="P1324" t="b">
        <v>0</v>
      </c>
    </row>
    <row r="1325" spans="1:16" x14ac:dyDescent="0.2">
      <c r="A1325" t="s">
        <v>1862</v>
      </c>
      <c r="B1325" s="1">
        <v>44610</v>
      </c>
      <c r="C1325" s="1">
        <v>44610</v>
      </c>
      <c r="D1325" t="s">
        <v>300</v>
      </c>
      <c r="E1325" t="s">
        <v>45</v>
      </c>
      <c r="F1325" t="s">
        <v>45</v>
      </c>
      <c r="G1325" t="s">
        <v>20</v>
      </c>
      <c r="H1325" t="s">
        <v>47</v>
      </c>
      <c r="I1325" t="s">
        <v>52</v>
      </c>
      <c r="J1325">
        <v>3</v>
      </c>
      <c r="K1325">
        <v>3204000</v>
      </c>
      <c r="L1325">
        <v>7.8882308378718805E-2</v>
      </c>
      <c r="M1325" t="s">
        <v>23</v>
      </c>
      <c r="N1325">
        <v>8854000</v>
      </c>
      <c r="O1325">
        <v>4.9000000000000004</v>
      </c>
      <c r="P1325" t="b">
        <v>1</v>
      </c>
    </row>
    <row r="1326" spans="1:16" x14ac:dyDescent="0.2">
      <c r="A1326" t="s">
        <v>1863</v>
      </c>
      <c r="B1326" s="1">
        <v>44611</v>
      </c>
      <c r="C1326" s="1">
        <v>44669</v>
      </c>
      <c r="D1326" t="s">
        <v>747</v>
      </c>
      <c r="E1326" t="s">
        <v>18</v>
      </c>
      <c r="F1326" t="s">
        <v>19</v>
      </c>
      <c r="G1326" t="s">
        <v>20</v>
      </c>
      <c r="H1326" t="s">
        <v>21</v>
      </c>
      <c r="I1326" t="s">
        <v>99</v>
      </c>
      <c r="J1326">
        <v>2</v>
      </c>
      <c r="K1326">
        <v>2469000</v>
      </c>
      <c r="L1326">
        <v>4.4156843931578003E-2</v>
      </c>
      <c r="M1326" t="s">
        <v>23</v>
      </c>
      <c r="N1326">
        <v>4720000</v>
      </c>
      <c r="O1326">
        <v>4</v>
      </c>
      <c r="P1326" t="b">
        <v>1</v>
      </c>
    </row>
    <row r="1327" spans="1:16" x14ac:dyDescent="0.2">
      <c r="A1327" t="s">
        <v>1864</v>
      </c>
      <c r="B1327" s="1">
        <v>44612</v>
      </c>
      <c r="C1327" s="1">
        <v>44670</v>
      </c>
      <c r="D1327" t="s">
        <v>307</v>
      </c>
      <c r="E1327" t="s">
        <v>33</v>
      </c>
      <c r="F1327" t="s">
        <v>68</v>
      </c>
      <c r="G1327" t="s">
        <v>20</v>
      </c>
      <c r="H1327" t="s">
        <v>47</v>
      </c>
      <c r="J1327">
        <v>2</v>
      </c>
      <c r="K1327">
        <v>2783000</v>
      </c>
      <c r="L1327" s="2" t="s">
        <v>1865</v>
      </c>
      <c r="M1327" t="s">
        <v>23</v>
      </c>
      <c r="N1327">
        <v>4821000</v>
      </c>
      <c r="O1327">
        <v>3.8</v>
      </c>
      <c r="P1327" t="b">
        <v>1</v>
      </c>
    </row>
    <row r="1328" spans="1:16" x14ac:dyDescent="0.2">
      <c r="A1328" t="s">
        <v>1866</v>
      </c>
      <c r="B1328" s="1">
        <v>44612</v>
      </c>
      <c r="C1328" s="1">
        <v>44692</v>
      </c>
      <c r="D1328" t="s">
        <v>1585</v>
      </c>
      <c r="E1328" t="s">
        <v>18</v>
      </c>
      <c r="F1328" t="s">
        <v>68</v>
      </c>
      <c r="H1328" t="s">
        <v>51</v>
      </c>
      <c r="I1328" t="s">
        <v>83</v>
      </c>
      <c r="J1328">
        <v>1</v>
      </c>
      <c r="K1328">
        <v>1923000</v>
      </c>
      <c r="L1328" s="2" t="s">
        <v>1867</v>
      </c>
      <c r="M1328" t="s">
        <v>23</v>
      </c>
      <c r="N1328">
        <v>1726000</v>
      </c>
      <c r="O1328">
        <v>4.5</v>
      </c>
      <c r="P1328" t="b">
        <v>1</v>
      </c>
    </row>
    <row r="1329" spans="1:16" x14ac:dyDescent="0.2">
      <c r="A1329" t="s">
        <v>1868</v>
      </c>
      <c r="B1329" s="1">
        <v>44612</v>
      </c>
      <c r="C1329" s="1">
        <v>44649</v>
      </c>
      <c r="D1329" t="s">
        <v>805</v>
      </c>
      <c r="E1329" t="s">
        <v>18</v>
      </c>
      <c r="F1329" t="s">
        <v>34</v>
      </c>
      <c r="G1329" t="s">
        <v>50</v>
      </c>
      <c r="H1329" t="s">
        <v>21</v>
      </c>
      <c r="I1329" t="s">
        <v>60</v>
      </c>
      <c r="J1329">
        <v>2</v>
      </c>
      <c r="K1329">
        <v>4626000</v>
      </c>
      <c r="L1329" s="2" t="s">
        <v>1869</v>
      </c>
      <c r="M1329" t="s">
        <v>23</v>
      </c>
      <c r="N1329">
        <v>8125000</v>
      </c>
      <c r="O1329">
        <v>4.4000000000000004</v>
      </c>
      <c r="P1329" t="b">
        <v>1</v>
      </c>
    </row>
    <row r="1330" spans="1:16" x14ac:dyDescent="0.2">
      <c r="A1330" t="s">
        <v>1870</v>
      </c>
      <c r="B1330" s="1">
        <v>44613</v>
      </c>
      <c r="C1330" s="1">
        <v>44658</v>
      </c>
      <c r="D1330" t="s">
        <v>179</v>
      </c>
      <c r="E1330" t="s">
        <v>18</v>
      </c>
      <c r="F1330" t="s">
        <v>19</v>
      </c>
      <c r="G1330" t="s">
        <v>20</v>
      </c>
      <c r="H1330" t="s">
        <v>40</v>
      </c>
      <c r="I1330" t="s">
        <v>77</v>
      </c>
      <c r="J1330">
        <v>2</v>
      </c>
      <c r="K1330">
        <v>2667000</v>
      </c>
      <c r="L1330" s="2" t="s">
        <v>1871</v>
      </c>
      <c r="M1330" t="s">
        <v>23</v>
      </c>
      <c r="N1330">
        <v>4395000</v>
      </c>
      <c r="O1330">
        <v>4.3</v>
      </c>
      <c r="P1330" t="b">
        <v>1</v>
      </c>
    </row>
    <row r="1331" spans="1:16" x14ac:dyDescent="0.2">
      <c r="A1331" t="s">
        <v>1872</v>
      </c>
      <c r="B1331" s="1">
        <v>44613</v>
      </c>
      <c r="C1331" s="1">
        <v>44692</v>
      </c>
      <c r="D1331" t="s">
        <v>747</v>
      </c>
      <c r="E1331" t="s">
        <v>45</v>
      </c>
      <c r="F1331" t="s">
        <v>19</v>
      </c>
      <c r="G1331" t="s">
        <v>20</v>
      </c>
      <c r="H1331" t="s">
        <v>40</v>
      </c>
      <c r="I1331" t="s">
        <v>83</v>
      </c>
      <c r="J1331">
        <v>2</v>
      </c>
      <c r="K1331">
        <v>2809000</v>
      </c>
      <c r="L1331" s="2" t="s">
        <v>1873</v>
      </c>
      <c r="M1331" t="s">
        <v>23</v>
      </c>
      <c r="N1331">
        <v>4869000</v>
      </c>
      <c r="O1331">
        <v>4.5</v>
      </c>
      <c r="P1331" t="b">
        <v>1</v>
      </c>
    </row>
    <row r="1332" spans="1:16" x14ac:dyDescent="0.2">
      <c r="A1332" t="s">
        <v>1874</v>
      </c>
      <c r="B1332" s="1">
        <v>44614</v>
      </c>
      <c r="C1332" s="1">
        <v>44683</v>
      </c>
      <c r="D1332" t="s">
        <v>654</v>
      </c>
      <c r="E1332" t="s">
        <v>18</v>
      </c>
      <c r="F1332" t="s">
        <v>45</v>
      </c>
      <c r="G1332" t="s">
        <v>20</v>
      </c>
      <c r="H1332" t="s">
        <v>21</v>
      </c>
      <c r="I1332" t="s">
        <v>30</v>
      </c>
      <c r="J1332">
        <v>2</v>
      </c>
      <c r="K1332">
        <v>3173000</v>
      </c>
      <c r="L1332">
        <v>6.7339157801239197E-2</v>
      </c>
      <c r="M1332" t="s">
        <v>23</v>
      </c>
      <c r="N1332">
        <v>5919000</v>
      </c>
      <c r="O1332">
        <v>3.6</v>
      </c>
      <c r="P1332" t="b">
        <v>1</v>
      </c>
    </row>
    <row r="1333" spans="1:16" x14ac:dyDescent="0.2">
      <c r="A1333" t="s">
        <v>1875</v>
      </c>
      <c r="B1333" s="1">
        <v>44614</v>
      </c>
      <c r="C1333" s="1">
        <v>44643</v>
      </c>
      <c r="D1333" t="s">
        <v>1876</v>
      </c>
      <c r="E1333" t="s">
        <v>45</v>
      </c>
      <c r="F1333" t="s">
        <v>39</v>
      </c>
      <c r="G1333" t="s">
        <v>35</v>
      </c>
      <c r="H1333" t="s">
        <v>51</v>
      </c>
      <c r="J1333">
        <v>1</v>
      </c>
      <c r="K1333">
        <v>1921000</v>
      </c>
      <c r="L1333">
        <v>8.3811329065410403E-2</v>
      </c>
      <c r="M1333" t="s">
        <v>23</v>
      </c>
      <c r="N1333">
        <v>1760000</v>
      </c>
      <c r="O1333">
        <v>4.4000000000000004</v>
      </c>
      <c r="P1333" t="b">
        <v>0</v>
      </c>
    </row>
    <row r="1334" spans="1:16" x14ac:dyDescent="0.2">
      <c r="A1334" t="s">
        <v>1877</v>
      </c>
      <c r="B1334" s="1">
        <v>44614</v>
      </c>
      <c r="C1334" s="1">
        <v>44698</v>
      </c>
      <c r="D1334" t="s">
        <v>862</v>
      </c>
      <c r="F1334" t="s">
        <v>19</v>
      </c>
      <c r="G1334" t="s">
        <v>50</v>
      </c>
      <c r="H1334" t="s">
        <v>47</v>
      </c>
      <c r="I1334" t="s">
        <v>99</v>
      </c>
      <c r="J1334">
        <v>2</v>
      </c>
      <c r="K1334">
        <v>2521000</v>
      </c>
      <c r="L1334" s="2" t="s">
        <v>1878</v>
      </c>
      <c r="M1334" t="s">
        <v>23</v>
      </c>
      <c r="N1334">
        <v>4409000</v>
      </c>
      <c r="O1334">
        <v>3.2</v>
      </c>
      <c r="P1334" t="b">
        <v>1</v>
      </c>
    </row>
    <row r="1335" spans="1:16" x14ac:dyDescent="0.2">
      <c r="A1335" t="s">
        <v>1879</v>
      </c>
      <c r="B1335" s="1">
        <v>44614</v>
      </c>
      <c r="C1335" s="1">
        <v>44699</v>
      </c>
      <c r="D1335" t="s">
        <v>990</v>
      </c>
      <c r="E1335" t="s">
        <v>45</v>
      </c>
      <c r="F1335" t="s">
        <v>19</v>
      </c>
      <c r="G1335" t="s">
        <v>50</v>
      </c>
      <c r="H1335" t="s">
        <v>47</v>
      </c>
      <c r="I1335" t="s">
        <v>22</v>
      </c>
      <c r="J1335">
        <v>3</v>
      </c>
      <c r="K1335">
        <v>2310000</v>
      </c>
      <c r="L1335">
        <v>9.4838791376219395E-2</v>
      </c>
      <c r="M1335" t="s">
        <v>23</v>
      </c>
      <c r="N1335">
        <v>6273000</v>
      </c>
      <c r="O1335">
        <v>3.6</v>
      </c>
      <c r="P1335" t="b">
        <v>1</v>
      </c>
    </row>
    <row r="1336" spans="1:16" x14ac:dyDescent="0.2">
      <c r="A1336" t="s">
        <v>1880</v>
      </c>
      <c r="B1336" s="1">
        <v>44616</v>
      </c>
      <c r="C1336" s="1">
        <v>44671</v>
      </c>
      <c r="D1336" t="s">
        <v>1161</v>
      </c>
      <c r="E1336" t="s">
        <v>45</v>
      </c>
      <c r="F1336" t="s">
        <v>68</v>
      </c>
      <c r="G1336" t="s">
        <v>20</v>
      </c>
      <c r="H1336" t="s">
        <v>40</v>
      </c>
      <c r="I1336" t="s">
        <v>30</v>
      </c>
      <c r="J1336">
        <v>2</v>
      </c>
      <c r="K1336">
        <v>2560000</v>
      </c>
      <c r="L1336" s="2" t="s">
        <v>1881</v>
      </c>
      <c r="M1336" t="s">
        <v>1882</v>
      </c>
      <c r="N1336">
        <v>4515000</v>
      </c>
      <c r="O1336">
        <v>4.5999999999999996</v>
      </c>
      <c r="P1336" t="b">
        <v>1</v>
      </c>
    </row>
    <row r="1337" spans="1:16" x14ac:dyDescent="0.2">
      <c r="A1337" t="s">
        <v>1883</v>
      </c>
      <c r="B1337" s="1">
        <v>44617</v>
      </c>
      <c r="C1337" s="1">
        <v>44657</v>
      </c>
      <c r="D1337" t="s">
        <v>433</v>
      </c>
      <c r="E1337" t="s">
        <v>18</v>
      </c>
      <c r="F1337" t="s">
        <v>34</v>
      </c>
      <c r="G1337" t="s">
        <v>20</v>
      </c>
      <c r="H1337" t="s">
        <v>21</v>
      </c>
      <c r="I1337" t="s">
        <v>77</v>
      </c>
      <c r="J1337">
        <v>3</v>
      </c>
      <c r="K1337">
        <v>4375000</v>
      </c>
      <c r="L1337">
        <v>6.2280378574532197E-2</v>
      </c>
      <c r="M1337" t="s">
        <v>23</v>
      </c>
      <c r="N1337">
        <v>12308000</v>
      </c>
      <c r="O1337">
        <v>4.5</v>
      </c>
      <c r="P1337" t="b">
        <v>1</v>
      </c>
    </row>
    <row r="1338" spans="1:16" x14ac:dyDescent="0.2">
      <c r="A1338" t="s">
        <v>1884</v>
      </c>
      <c r="B1338" s="1">
        <v>44617</v>
      </c>
      <c r="C1338" s="1">
        <v>44661</v>
      </c>
      <c r="D1338" t="s">
        <v>1885</v>
      </c>
      <c r="E1338" t="s">
        <v>29</v>
      </c>
      <c r="F1338" t="s">
        <v>19</v>
      </c>
      <c r="G1338" t="s">
        <v>20</v>
      </c>
      <c r="H1338" t="s">
        <v>21</v>
      </c>
      <c r="I1338" t="s">
        <v>22</v>
      </c>
      <c r="J1338">
        <v>1</v>
      </c>
      <c r="K1338">
        <v>2513000</v>
      </c>
      <c r="L1338">
        <v>7.8682556171137702E-2</v>
      </c>
      <c r="M1338" t="s">
        <v>23</v>
      </c>
      <c r="N1338">
        <v>2315000</v>
      </c>
      <c r="O1338">
        <v>4.7</v>
      </c>
      <c r="P1338" t="b">
        <v>0</v>
      </c>
    </row>
    <row r="1339" spans="1:16" x14ac:dyDescent="0.2">
      <c r="A1339" t="s">
        <v>1886</v>
      </c>
      <c r="B1339" s="1">
        <v>44617</v>
      </c>
      <c r="C1339" s="1">
        <v>44689</v>
      </c>
      <c r="D1339" t="s">
        <v>285</v>
      </c>
      <c r="E1339" t="s">
        <v>18</v>
      </c>
      <c r="F1339" t="s">
        <v>39</v>
      </c>
      <c r="G1339" t="s">
        <v>20</v>
      </c>
      <c r="H1339" t="s">
        <v>21</v>
      </c>
      <c r="I1339" t="s">
        <v>30</v>
      </c>
      <c r="J1339">
        <v>2</v>
      </c>
      <c r="K1339">
        <v>2468000</v>
      </c>
      <c r="L1339" s="3">
        <v>5.5E-2</v>
      </c>
      <c r="M1339" t="s">
        <v>23</v>
      </c>
      <c r="N1339">
        <v>4663000</v>
      </c>
      <c r="O1339">
        <v>4.3</v>
      </c>
      <c r="P1339" t="b">
        <v>1</v>
      </c>
    </row>
    <row r="1340" spans="1:16" x14ac:dyDescent="0.2">
      <c r="A1340" t="s">
        <v>1887</v>
      </c>
      <c r="B1340" s="1">
        <v>44617</v>
      </c>
      <c r="C1340" s="1">
        <v>44707</v>
      </c>
      <c r="D1340" t="s">
        <v>634</v>
      </c>
      <c r="E1340" t="s">
        <v>18</v>
      </c>
      <c r="F1340" t="s">
        <v>19</v>
      </c>
      <c r="G1340" t="s">
        <v>20</v>
      </c>
      <c r="H1340" t="s">
        <v>21</v>
      </c>
      <c r="I1340" t="s">
        <v>60</v>
      </c>
      <c r="J1340">
        <v>1</v>
      </c>
      <c r="K1340">
        <v>2516000</v>
      </c>
      <c r="L1340" s="2" t="s">
        <v>1888</v>
      </c>
      <c r="M1340" t="s">
        <v>23</v>
      </c>
      <c r="N1340">
        <v>2062000</v>
      </c>
      <c r="O1340">
        <v>3.9</v>
      </c>
      <c r="P1340" t="b">
        <v>1</v>
      </c>
    </row>
    <row r="1341" spans="1:16" x14ac:dyDescent="0.2">
      <c r="A1341" t="s">
        <v>1889</v>
      </c>
      <c r="B1341" s="1">
        <v>44618</v>
      </c>
      <c r="C1341" s="1">
        <v>44658</v>
      </c>
      <c r="D1341" t="s">
        <v>251</v>
      </c>
      <c r="E1341" t="s">
        <v>45</v>
      </c>
      <c r="F1341" t="s">
        <v>68</v>
      </c>
      <c r="G1341" t="s">
        <v>50</v>
      </c>
      <c r="H1341" t="s">
        <v>21</v>
      </c>
      <c r="I1341" t="s">
        <v>57</v>
      </c>
      <c r="J1341">
        <v>5</v>
      </c>
      <c r="K1341">
        <v>2942000</v>
      </c>
      <c r="L1341" s="2" t="s">
        <v>1890</v>
      </c>
      <c r="M1341" t="s">
        <v>65</v>
      </c>
      <c r="N1341">
        <v>0</v>
      </c>
      <c r="P1341" t="b">
        <v>1</v>
      </c>
    </row>
    <row r="1342" spans="1:16" x14ac:dyDescent="0.2">
      <c r="A1342" t="s">
        <v>1891</v>
      </c>
      <c r="B1342" s="1">
        <v>44618</v>
      </c>
      <c r="C1342" s="1">
        <v>44627</v>
      </c>
      <c r="D1342" t="s">
        <v>1100</v>
      </c>
      <c r="E1342" t="s">
        <v>45</v>
      </c>
      <c r="F1342" t="s">
        <v>34</v>
      </c>
      <c r="G1342" t="s">
        <v>35</v>
      </c>
      <c r="H1342" t="s">
        <v>40</v>
      </c>
      <c r="I1342" t="s">
        <v>26</v>
      </c>
      <c r="J1342">
        <v>4</v>
      </c>
      <c r="K1342">
        <v>4218000</v>
      </c>
      <c r="L1342" s="2" t="s">
        <v>1892</v>
      </c>
      <c r="M1342" t="s">
        <v>23</v>
      </c>
      <c r="N1342">
        <v>14160000</v>
      </c>
      <c r="O1342">
        <v>4.8</v>
      </c>
      <c r="P1342" t="b">
        <v>1</v>
      </c>
    </row>
    <row r="1343" spans="1:16" x14ac:dyDescent="0.2">
      <c r="A1343" t="s">
        <v>1893</v>
      </c>
      <c r="B1343" s="1">
        <v>44618</v>
      </c>
      <c r="C1343" s="1">
        <v>44663</v>
      </c>
      <c r="D1343" t="s">
        <v>727</v>
      </c>
      <c r="E1343" t="s">
        <v>33</v>
      </c>
      <c r="F1343" t="s">
        <v>45</v>
      </c>
      <c r="G1343" t="s">
        <v>20</v>
      </c>
      <c r="H1343" t="s">
        <v>51</v>
      </c>
      <c r="I1343" t="s">
        <v>30</v>
      </c>
      <c r="J1343">
        <v>4</v>
      </c>
      <c r="K1343">
        <v>3253000</v>
      </c>
      <c r="L1343">
        <v>7.7833841637062404E-2</v>
      </c>
      <c r="M1343" t="s">
        <v>65</v>
      </c>
      <c r="N1343">
        <v>0</v>
      </c>
      <c r="P1343" t="b">
        <v>1</v>
      </c>
    </row>
    <row r="1344" spans="1:16" x14ac:dyDescent="0.2">
      <c r="A1344" t="s">
        <v>1894</v>
      </c>
      <c r="B1344" s="1">
        <v>44618</v>
      </c>
      <c r="C1344" s="1">
        <v>44664</v>
      </c>
      <c r="D1344" t="s">
        <v>406</v>
      </c>
      <c r="E1344" t="s">
        <v>33</v>
      </c>
      <c r="F1344" t="s">
        <v>68</v>
      </c>
      <c r="G1344" t="s">
        <v>20</v>
      </c>
      <c r="H1344" t="s">
        <v>21</v>
      </c>
      <c r="I1344" t="s">
        <v>60</v>
      </c>
      <c r="J1344">
        <v>2</v>
      </c>
      <c r="K1344">
        <v>2838000</v>
      </c>
      <c r="L1344" s="2" t="s">
        <v>1895</v>
      </c>
      <c r="M1344" t="s">
        <v>23</v>
      </c>
      <c r="N1344">
        <v>4802000</v>
      </c>
      <c r="O1344">
        <v>4.5</v>
      </c>
      <c r="P1344" t="b">
        <v>1</v>
      </c>
    </row>
    <row r="1345" spans="1:16" x14ac:dyDescent="0.2">
      <c r="A1345" t="s">
        <v>1896</v>
      </c>
      <c r="B1345" s="1">
        <v>44619</v>
      </c>
      <c r="C1345" s="1">
        <v>44653</v>
      </c>
      <c r="D1345" t="s">
        <v>936</v>
      </c>
      <c r="E1345" t="s">
        <v>45</v>
      </c>
      <c r="F1345" t="s">
        <v>45</v>
      </c>
      <c r="G1345" t="s">
        <v>20</v>
      </c>
      <c r="H1345" t="s">
        <v>21</v>
      </c>
      <c r="I1345" t="s">
        <v>30</v>
      </c>
      <c r="J1345">
        <v>1</v>
      </c>
      <c r="K1345">
        <v>3415000</v>
      </c>
      <c r="L1345">
        <v>9.2233913669334394E-2</v>
      </c>
      <c r="M1345" t="s">
        <v>23</v>
      </c>
      <c r="N1345">
        <v>3100000</v>
      </c>
      <c r="O1345">
        <v>4.5</v>
      </c>
      <c r="P1345" t="b">
        <v>1</v>
      </c>
    </row>
    <row r="1346" spans="1:16" x14ac:dyDescent="0.2">
      <c r="A1346" t="s">
        <v>1897</v>
      </c>
      <c r="B1346" s="1">
        <v>44619</v>
      </c>
      <c r="C1346" s="1">
        <v>44645</v>
      </c>
      <c r="D1346" t="s">
        <v>1898</v>
      </c>
      <c r="E1346" t="s">
        <v>18</v>
      </c>
      <c r="F1346" t="s">
        <v>34</v>
      </c>
      <c r="G1346" t="s">
        <v>20</v>
      </c>
      <c r="H1346" t="s">
        <v>51</v>
      </c>
      <c r="I1346" t="s">
        <v>30</v>
      </c>
      <c r="J1346">
        <v>3</v>
      </c>
      <c r="K1346">
        <v>3548000</v>
      </c>
      <c r="L1346" s="2" t="s">
        <v>1899</v>
      </c>
      <c r="M1346" t="s">
        <v>23</v>
      </c>
      <c r="N1346">
        <v>9429000</v>
      </c>
      <c r="O1346">
        <v>4.5999999999999996</v>
      </c>
      <c r="P1346" t="b">
        <v>0</v>
      </c>
    </row>
    <row r="1347" spans="1:16" x14ac:dyDescent="0.2">
      <c r="A1347" t="s">
        <v>1900</v>
      </c>
      <c r="B1347" s="1">
        <v>44621</v>
      </c>
      <c r="C1347" s="1">
        <v>44695</v>
      </c>
      <c r="D1347" t="s">
        <v>734</v>
      </c>
      <c r="E1347" t="s">
        <v>18</v>
      </c>
      <c r="F1347" t="s">
        <v>25</v>
      </c>
      <c r="G1347" t="s">
        <v>35</v>
      </c>
      <c r="H1347" t="s">
        <v>21</v>
      </c>
      <c r="I1347" t="s">
        <v>30</v>
      </c>
      <c r="J1347">
        <v>2</v>
      </c>
      <c r="K1347">
        <v>5323000</v>
      </c>
      <c r="L1347">
        <v>8.2796529061348198E-2</v>
      </c>
      <c r="M1347" t="s">
        <v>1882</v>
      </c>
      <c r="N1347">
        <v>9765000</v>
      </c>
      <c r="O1347">
        <v>4.0999999999999996</v>
      </c>
      <c r="P1347" t="b">
        <v>1</v>
      </c>
    </row>
    <row r="1348" spans="1:16" x14ac:dyDescent="0.2">
      <c r="A1348" t="s">
        <v>1901</v>
      </c>
      <c r="B1348" s="1">
        <v>44622</v>
      </c>
      <c r="C1348" s="1">
        <v>44722</v>
      </c>
      <c r="D1348" t="s">
        <v>316</v>
      </c>
      <c r="E1348" t="s">
        <v>18</v>
      </c>
      <c r="F1348" t="s">
        <v>19</v>
      </c>
      <c r="G1348" t="s">
        <v>46</v>
      </c>
      <c r="H1348" t="s">
        <v>47</v>
      </c>
      <c r="J1348">
        <v>3</v>
      </c>
      <c r="K1348">
        <v>2529000</v>
      </c>
      <c r="L1348">
        <v>0.100583898416107</v>
      </c>
      <c r="M1348" t="s">
        <v>23</v>
      </c>
      <c r="N1348">
        <v>6824000</v>
      </c>
      <c r="O1348">
        <v>5</v>
      </c>
      <c r="P1348" t="b">
        <v>1</v>
      </c>
    </row>
    <row r="1349" spans="1:16" x14ac:dyDescent="0.2">
      <c r="A1349" t="s">
        <v>1902</v>
      </c>
      <c r="B1349" s="1">
        <v>44623</v>
      </c>
      <c r="C1349" s="1">
        <v>44670</v>
      </c>
      <c r="D1349" t="s">
        <v>654</v>
      </c>
      <c r="E1349" t="s">
        <v>33</v>
      </c>
      <c r="F1349" t="s">
        <v>34</v>
      </c>
      <c r="G1349" t="s">
        <v>35</v>
      </c>
      <c r="I1349" t="s">
        <v>99</v>
      </c>
      <c r="J1349">
        <v>3</v>
      </c>
      <c r="K1349">
        <v>4141000</v>
      </c>
      <c r="L1349" s="2" t="s">
        <v>1903</v>
      </c>
      <c r="M1349" t="s">
        <v>23</v>
      </c>
      <c r="N1349">
        <v>10773000</v>
      </c>
      <c r="O1349">
        <v>4.4000000000000004</v>
      </c>
      <c r="P1349" t="b">
        <v>1</v>
      </c>
    </row>
    <row r="1350" spans="1:16" x14ac:dyDescent="0.2">
      <c r="A1350" t="s">
        <v>1904</v>
      </c>
      <c r="B1350" s="1">
        <v>44624</v>
      </c>
      <c r="C1350" s="1">
        <v>44634</v>
      </c>
      <c r="D1350" t="s">
        <v>157</v>
      </c>
      <c r="E1350" t="s">
        <v>33</v>
      </c>
      <c r="F1350" t="s">
        <v>19</v>
      </c>
      <c r="G1350" t="s">
        <v>20</v>
      </c>
      <c r="H1350" t="s">
        <v>40</v>
      </c>
      <c r="I1350" t="s">
        <v>83</v>
      </c>
      <c r="J1350">
        <v>1</v>
      </c>
      <c r="K1350">
        <v>2507000</v>
      </c>
      <c r="L1350" s="2" t="s">
        <v>1905</v>
      </c>
      <c r="M1350" t="s">
        <v>23</v>
      </c>
      <c r="N1350">
        <v>2184000</v>
      </c>
      <c r="O1350">
        <v>4.2</v>
      </c>
      <c r="P1350" t="b">
        <v>1</v>
      </c>
    </row>
    <row r="1351" spans="1:16" x14ac:dyDescent="0.2">
      <c r="A1351" t="s">
        <v>1906</v>
      </c>
      <c r="B1351" s="1">
        <v>44625</v>
      </c>
      <c r="C1351" s="1">
        <v>44703</v>
      </c>
      <c r="D1351" t="s">
        <v>1120</v>
      </c>
      <c r="E1351" t="s">
        <v>45</v>
      </c>
      <c r="F1351" t="s">
        <v>68</v>
      </c>
      <c r="G1351" t="s">
        <v>20</v>
      </c>
      <c r="H1351" t="s">
        <v>21</v>
      </c>
      <c r="I1351" t="s">
        <v>30</v>
      </c>
      <c r="J1351">
        <v>1</v>
      </c>
      <c r="K1351">
        <v>2375000</v>
      </c>
      <c r="L1351">
        <v>8.4371364619449205E-2</v>
      </c>
      <c r="M1351" t="s">
        <v>23</v>
      </c>
      <c r="N1351">
        <v>2175000</v>
      </c>
      <c r="O1351">
        <v>4.5</v>
      </c>
      <c r="P1351" t="b">
        <v>1</v>
      </c>
    </row>
    <row r="1352" spans="1:16" x14ac:dyDescent="0.2">
      <c r="A1352" t="s">
        <v>1907</v>
      </c>
      <c r="B1352" s="1">
        <v>44625</v>
      </c>
      <c r="C1352" s="1">
        <v>44671</v>
      </c>
      <c r="D1352" t="s">
        <v>1908</v>
      </c>
      <c r="E1352" t="s">
        <v>33</v>
      </c>
      <c r="F1352" t="s">
        <v>68</v>
      </c>
      <c r="G1352" t="s">
        <v>20</v>
      </c>
      <c r="H1352" t="s">
        <v>21</v>
      </c>
      <c r="I1352" t="s">
        <v>30</v>
      </c>
      <c r="J1352">
        <v>2</v>
      </c>
      <c r="K1352">
        <v>2633000</v>
      </c>
      <c r="L1352">
        <v>4.9760663482878303E-2</v>
      </c>
      <c r="M1352" t="s">
        <v>23</v>
      </c>
      <c r="N1352">
        <v>5004000</v>
      </c>
      <c r="O1352">
        <v>4.0999999999999996</v>
      </c>
      <c r="P1352" t="b">
        <v>0</v>
      </c>
    </row>
    <row r="1353" spans="1:16" x14ac:dyDescent="0.2">
      <c r="A1353" t="s">
        <v>1909</v>
      </c>
      <c r="B1353" s="1">
        <v>44626</v>
      </c>
      <c r="C1353" s="1">
        <v>44665</v>
      </c>
      <c r="D1353" t="s">
        <v>1910</v>
      </c>
      <c r="E1353" t="s">
        <v>45</v>
      </c>
      <c r="F1353" t="s">
        <v>19</v>
      </c>
      <c r="G1353" t="s">
        <v>20</v>
      </c>
      <c r="H1353" t="s">
        <v>47</v>
      </c>
      <c r="I1353" t="s">
        <v>83</v>
      </c>
      <c r="J1353">
        <v>4</v>
      </c>
      <c r="K1353">
        <v>2964000</v>
      </c>
      <c r="L1353">
        <v>8.3637775769713804E-2</v>
      </c>
      <c r="M1353" t="s">
        <v>23</v>
      </c>
      <c r="N1353">
        <v>10864000</v>
      </c>
      <c r="O1353">
        <v>3.8</v>
      </c>
      <c r="P1353" t="b">
        <v>0</v>
      </c>
    </row>
    <row r="1354" spans="1:16" x14ac:dyDescent="0.2">
      <c r="A1354" t="s">
        <v>1911</v>
      </c>
      <c r="B1354" s="1">
        <v>44627</v>
      </c>
      <c r="C1354" s="1">
        <v>44641</v>
      </c>
      <c r="D1354" t="s">
        <v>1912</v>
      </c>
      <c r="E1354" t="s">
        <v>33</v>
      </c>
      <c r="F1354" t="s">
        <v>68</v>
      </c>
      <c r="G1354" t="s">
        <v>20</v>
      </c>
      <c r="H1354" t="s">
        <v>21</v>
      </c>
      <c r="I1354" t="s">
        <v>57</v>
      </c>
      <c r="J1354">
        <v>2</v>
      </c>
      <c r="K1354">
        <v>2373000</v>
      </c>
      <c r="L1354">
        <v>9.3457471558131694E-2</v>
      </c>
      <c r="M1354" t="s">
        <v>23</v>
      </c>
      <c r="N1354">
        <v>4302000</v>
      </c>
      <c r="O1354">
        <v>3.8</v>
      </c>
      <c r="P1354" t="b">
        <v>0</v>
      </c>
    </row>
    <row r="1355" spans="1:16" x14ac:dyDescent="0.2">
      <c r="A1355" t="s">
        <v>1913</v>
      </c>
      <c r="B1355" s="1">
        <v>44627</v>
      </c>
      <c r="C1355" s="1">
        <v>44686</v>
      </c>
      <c r="D1355" t="s">
        <v>1161</v>
      </c>
      <c r="E1355" t="s">
        <v>33</v>
      </c>
      <c r="F1355" t="s">
        <v>68</v>
      </c>
      <c r="I1355" t="s">
        <v>57</v>
      </c>
      <c r="J1355">
        <v>1</v>
      </c>
      <c r="K1355">
        <v>2693000</v>
      </c>
      <c r="L1355" s="2" t="s">
        <v>1914</v>
      </c>
      <c r="M1355" t="s">
        <v>23</v>
      </c>
      <c r="N1355">
        <v>2392000</v>
      </c>
      <c r="O1355">
        <v>4.4000000000000004</v>
      </c>
      <c r="P1355" t="b">
        <v>1</v>
      </c>
    </row>
    <row r="1356" spans="1:16" x14ac:dyDescent="0.2">
      <c r="A1356" t="s">
        <v>1915</v>
      </c>
      <c r="B1356" s="1">
        <v>44627</v>
      </c>
      <c r="C1356" s="1">
        <v>44689</v>
      </c>
      <c r="D1356" t="s">
        <v>1241</v>
      </c>
      <c r="E1356" t="s">
        <v>45</v>
      </c>
      <c r="F1356" t="s">
        <v>19</v>
      </c>
      <c r="G1356" t="s">
        <v>35</v>
      </c>
      <c r="H1356" t="s">
        <v>21</v>
      </c>
      <c r="I1356" t="s">
        <v>83</v>
      </c>
      <c r="J1356">
        <v>4</v>
      </c>
      <c r="K1356">
        <v>2760000</v>
      </c>
      <c r="L1356" s="2" t="s">
        <v>1916</v>
      </c>
      <c r="M1356" t="s">
        <v>23</v>
      </c>
      <c r="N1356">
        <v>9822000</v>
      </c>
      <c r="O1356">
        <v>4.5</v>
      </c>
      <c r="P1356" t="b">
        <v>1</v>
      </c>
    </row>
    <row r="1357" spans="1:16" x14ac:dyDescent="0.2">
      <c r="A1357" t="s">
        <v>1917</v>
      </c>
      <c r="B1357" s="1">
        <v>44627</v>
      </c>
      <c r="C1357" s="1">
        <v>44666</v>
      </c>
      <c r="D1357" t="s">
        <v>1918</v>
      </c>
      <c r="E1357" t="s">
        <v>18</v>
      </c>
      <c r="F1357" t="s">
        <v>39</v>
      </c>
      <c r="G1357" t="s">
        <v>20</v>
      </c>
      <c r="H1357" t="s">
        <v>51</v>
      </c>
      <c r="I1357" t="s">
        <v>60</v>
      </c>
      <c r="J1357">
        <v>1</v>
      </c>
      <c r="K1357">
        <v>2913000</v>
      </c>
      <c r="L1357" s="2" t="s">
        <v>1919</v>
      </c>
      <c r="M1357" t="s">
        <v>23</v>
      </c>
      <c r="N1357">
        <v>2416000</v>
      </c>
      <c r="O1357">
        <v>4.8</v>
      </c>
      <c r="P1357" t="b">
        <v>0</v>
      </c>
    </row>
    <row r="1358" spans="1:16" x14ac:dyDescent="0.2">
      <c r="A1358" t="s">
        <v>1920</v>
      </c>
      <c r="B1358" s="1">
        <v>44627</v>
      </c>
      <c r="C1358" s="1">
        <v>44715</v>
      </c>
      <c r="D1358" t="s">
        <v>1921</v>
      </c>
      <c r="E1358" t="s">
        <v>45</v>
      </c>
      <c r="F1358" t="s">
        <v>19</v>
      </c>
      <c r="G1358" t="s">
        <v>50</v>
      </c>
      <c r="H1358" t="s">
        <v>21</v>
      </c>
      <c r="I1358" t="s">
        <v>60</v>
      </c>
      <c r="J1358">
        <v>3</v>
      </c>
      <c r="K1358">
        <v>2856000</v>
      </c>
      <c r="L1358" s="2" t="s">
        <v>1922</v>
      </c>
      <c r="M1358" t="s">
        <v>23</v>
      </c>
      <c r="N1358">
        <v>7631000</v>
      </c>
      <c r="O1358">
        <v>3.7</v>
      </c>
      <c r="P1358" t="b">
        <v>0</v>
      </c>
    </row>
    <row r="1359" spans="1:16" x14ac:dyDescent="0.2">
      <c r="A1359" t="s">
        <v>1923</v>
      </c>
      <c r="B1359" s="1">
        <v>44628</v>
      </c>
      <c r="C1359" s="1">
        <v>44682</v>
      </c>
      <c r="D1359" t="s">
        <v>1117</v>
      </c>
      <c r="E1359" t="s">
        <v>18</v>
      </c>
      <c r="F1359" t="s">
        <v>19</v>
      </c>
      <c r="H1359" t="s">
        <v>47</v>
      </c>
      <c r="I1359" t="s">
        <v>77</v>
      </c>
      <c r="J1359">
        <v>3</v>
      </c>
      <c r="K1359">
        <v>2511000</v>
      </c>
      <c r="L1359">
        <v>8.0368734196418101E-2</v>
      </c>
      <c r="M1359" t="s">
        <v>23</v>
      </c>
      <c r="N1359">
        <v>6928000</v>
      </c>
      <c r="O1359">
        <v>4.8</v>
      </c>
      <c r="P1359" t="b">
        <v>1</v>
      </c>
    </row>
    <row r="1360" spans="1:16" x14ac:dyDescent="0.2">
      <c r="A1360" t="s">
        <v>1924</v>
      </c>
      <c r="B1360" s="1">
        <v>44628</v>
      </c>
      <c r="C1360" s="1">
        <v>44628</v>
      </c>
      <c r="D1360" t="s">
        <v>1925</v>
      </c>
      <c r="E1360" t="s">
        <v>45</v>
      </c>
      <c r="F1360" t="s">
        <v>19</v>
      </c>
      <c r="G1360" t="s">
        <v>35</v>
      </c>
      <c r="H1360" t="s">
        <v>21</v>
      </c>
      <c r="I1360" t="s">
        <v>77</v>
      </c>
      <c r="J1360">
        <v>2</v>
      </c>
      <c r="K1360">
        <v>2608000</v>
      </c>
      <c r="L1360">
        <v>9.5324029047655998E-3</v>
      </c>
      <c r="M1360" t="s">
        <v>23</v>
      </c>
      <c r="N1360">
        <v>5166000</v>
      </c>
      <c r="O1360">
        <v>4.2</v>
      </c>
      <c r="P1360" t="b">
        <v>0</v>
      </c>
    </row>
    <row r="1361" spans="1:16" x14ac:dyDescent="0.2">
      <c r="A1361" t="s">
        <v>1926</v>
      </c>
      <c r="B1361" s="1">
        <v>44628</v>
      </c>
      <c r="C1361" s="1">
        <v>44671</v>
      </c>
      <c r="D1361" t="s">
        <v>1927</v>
      </c>
      <c r="E1361" t="s">
        <v>45</v>
      </c>
      <c r="F1361" t="s">
        <v>34</v>
      </c>
      <c r="G1361" t="s">
        <v>20</v>
      </c>
      <c r="H1361" t="s">
        <v>47</v>
      </c>
      <c r="J1361">
        <v>3</v>
      </c>
      <c r="K1361">
        <v>4602000</v>
      </c>
      <c r="L1361" s="2" t="s">
        <v>1928</v>
      </c>
      <c r="M1361" t="s">
        <v>65</v>
      </c>
      <c r="N1361">
        <v>0</v>
      </c>
      <c r="P1361" t="b">
        <v>0</v>
      </c>
    </row>
    <row r="1362" spans="1:16" x14ac:dyDescent="0.2">
      <c r="A1362" t="s">
        <v>1929</v>
      </c>
      <c r="B1362" s="1">
        <v>44628</v>
      </c>
      <c r="C1362" s="1">
        <v>44649</v>
      </c>
      <c r="D1362" t="s">
        <v>1930</v>
      </c>
      <c r="E1362" t="s">
        <v>45</v>
      </c>
      <c r="F1362" t="s">
        <v>34</v>
      </c>
      <c r="G1362" t="s">
        <v>20</v>
      </c>
      <c r="H1362" t="s">
        <v>21</v>
      </c>
      <c r="I1362" t="s">
        <v>26</v>
      </c>
      <c r="J1362">
        <v>2</v>
      </c>
      <c r="K1362">
        <v>4085000</v>
      </c>
      <c r="L1362" s="2" t="s">
        <v>1931</v>
      </c>
      <c r="M1362" t="s">
        <v>23</v>
      </c>
      <c r="N1362">
        <v>7294000</v>
      </c>
      <c r="O1362">
        <v>4.2</v>
      </c>
      <c r="P1362" t="b">
        <v>0</v>
      </c>
    </row>
    <row r="1363" spans="1:16" x14ac:dyDescent="0.2">
      <c r="A1363" t="s">
        <v>1932</v>
      </c>
      <c r="B1363" s="1">
        <v>44629</v>
      </c>
      <c r="C1363" s="1">
        <v>44675</v>
      </c>
      <c r="D1363" t="s">
        <v>1933</v>
      </c>
      <c r="E1363" t="s">
        <v>18</v>
      </c>
      <c r="F1363" t="s">
        <v>45</v>
      </c>
      <c r="G1363" t="s">
        <v>20</v>
      </c>
      <c r="H1363" t="s">
        <v>21</v>
      </c>
      <c r="I1363" t="s">
        <v>83</v>
      </c>
      <c r="J1363">
        <v>2</v>
      </c>
      <c r="K1363">
        <v>2956000</v>
      </c>
      <c r="L1363">
        <v>8.6138998087960106E-2</v>
      </c>
      <c r="M1363" t="s">
        <v>23</v>
      </c>
      <c r="N1363">
        <v>5403000</v>
      </c>
      <c r="O1363">
        <v>3.3</v>
      </c>
      <c r="P1363" t="b">
        <v>0</v>
      </c>
    </row>
    <row r="1364" spans="1:16" x14ac:dyDescent="0.2">
      <c r="A1364" t="s">
        <v>1934</v>
      </c>
      <c r="B1364" s="1">
        <v>44629</v>
      </c>
      <c r="C1364" s="1">
        <v>44700</v>
      </c>
      <c r="D1364" t="s">
        <v>862</v>
      </c>
      <c r="E1364" t="s">
        <v>18</v>
      </c>
      <c r="F1364" t="s">
        <v>34</v>
      </c>
      <c r="H1364" t="s">
        <v>21</v>
      </c>
      <c r="I1364" t="s">
        <v>52</v>
      </c>
      <c r="J1364">
        <v>3</v>
      </c>
      <c r="K1364">
        <v>3118000</v>
      </c>
      <c r="L1364" s="2" t="s">
        <v>1935</v>
      </c>
      <c r="M1364" t="s">
        <v>23</v>
      </c>
      <c r="N1364">
        <v>8204000</v>
      </c>
      <c r="O1364">
        <v>4.3</v>
      </c>
      <c r="P1364" t="b">
        <v>1</v>
      </c>
    </row>
    <row r="1365" spans="1:16" x14ac:dyDescent="0.2">
      <c r="A1365" t="s">
        <v>1936</v>
      </c>
      <c r="B1365" s="1">
        <v>44632</v>
      </c>
      <c r="C1365" s="1">
        <v>44722</v>
      </c>
      <c r="D1365" t="s">
        <v>146</v>
      </c>
      <c r="E1365" t="s">
        <v>18</v>
      </c>
      <c r="F1365" t="s">
        <v>19</v>
      </c>
      <c r="G1365" t="s">
        <v>20</v>
      </c>
      <c r="H1365" t="s">
        <v>21</v>
      </c>
      <c r="I1365" t="s">
        <v>26</v>
      </c>
      <c r="J1365">
        <v>2</v>
      </c>
      <c r="K1365">
        <v>2746000</v>
      </c>
      <c r="L1365">
        <v>8.4652828538088601E-2</v>
      </c>
      <c r="M1365" t="s">
        <v>23</v>
      </c>
      <c r="N1365">
        <v>5027000</v>
      </c>
      <c r="O1365">
        <v>4.5</v>
      </c>
      <c r="P1365" t="b">
        <v>1</v>
      </c>
    </row>
    <row r="1366" spans="1:16" x14ac:dyDescent="0.2">
      <c r="A1366" t="s">
        <v>1937</v>
      </c>
      <c r="B1366" s="1">
        <v>44632</v>
      </c>
      <c r="C1366" s="1">
        <v>44681</v>
      </c>
      <c r="D1366" t="s">
        <v>1938</v>
      </c>
      <c r="E1366" t="s">
        <v>18</v>
      </c>
      <c r="F1366" t="s">
        <v>34</v>
      </c>
      <c r="G1366" t="s">
        <v>20</v>
      </c>
      <c r="H1366" t="s">
        <v>21</v>
      </c>
      <c r="I1366" t="s">
        <v>26</v>
      </c>
      <c r="J1366">
        <v>4</v>
      </c>
      <c r="K1366">
        <v>4559000</v>
      </c>
      <c r="L1366" s="2" t="s">
        <v>1939</v>
      </c>
      <c r="M1366" t="s">
        <v>65</v>
      </c>
      <c r="N1366">
        <v>0</v>
      </c>
      <c r="P1366" t="b">
        <v>0</v>
      </c>
    </row>
    <row r="1367" spans="1:16" x14ac:dyDescent="0.2">
      <c r="A1367" t="s">
        <v>1940</v>
      </c>
      <c r="B1367" s="1">
        <v>44632</v>
      </c>
      <c r="C1367" s="1">
        <v>44679</v>
      </c>
      <c r="D1367" t="s">
        <v>323</v>
      </c>
      <c r="E1367" t="s">
        <v>45</v>
      </c>
      <c r="F1367" t="s">
        <v>34</v>
      </c>
      <c r="G1367" t="s">
        <v>20</v>
      </c>
      <c r="H1367" t="s">
        <v>47</v>
      </c>
      <c r="I1367" t="s">
        <v>57</v>
      </c>
      <c r="J1367">
        <v>1</v>
      </c>
      <c r="K1367">
        <v>4550000</v>
      </c>
      <c r="L1367" s="2" t="s">
        <v>1941</v>
      </c>
      <c r="M1367" t="s">
        <v>23</v>
      </c>
      <c r="N1367">
        <v>3976000</v>
      </c>
      <c r="O1367">
        <v>4.5999999999999996</v>
      </c>
      <c r="P1367" t="b">
        <v>1</v>
      </c>
    </row>
    <row r="1368" spans="1:16" x14ac:dyDescent="0.2">
      <c r="A1368" t="s">
        <v>1942</v>
      </c>
      <c r="B1368" s="1">
        <v>44633</v>
      </c>
      <c r="C1368" s="1">
        <v>44633</v>
      </c>
      <c r="D1368" t="s">
        <v>1943</v>
      </c>
      <c r="E1368" t="s">
        <v>18</v>
      </c>
      <c r="F1368" t="s">
        <v>39</v>
      </c>
      <c r="G1368" t="s">
        <v>35</v>
      </c>
      <c r="H1368" t="s">
        <v>21</v>
      </c>
      <c r="I1368" t="s">
        <v>60</v>
      </c>
      <c r="J1368">
        <v>3</v>
      </c>
      <c r="K1368">
        <v>2585000</v>
      </c>
      <c r="L1368" s="2" t="s">
        <v>1944</v>
      </c>
      <c r="M1368" t="s">
        <v>23</v>
      </c>
      <c r="N1368">
        <v>6881000</v>
      </c>
      <c r="O1368">
        <v>4.5</v>
      </c>
      <c r="P1368" t="b">
        <v>0</v>
      </c>
    </row>
    <row r="1369" spans="1:16" x14ac:dyDescent="0.2">
      <c r="A1369" t="s">
        <v>1945</v>
      </c>
      <c r="B1369" s="1">
        <v>44633</v>
      </c>
      <c r="C1369" s="1">
        <v>44687</v>
      </c>
      <c r="D1369" t="s">
        <v>276</v>
      </c>
      <c r="E1369" t="s">
        <v>29</v>
      </c>
      <c r="F1369" t="s">
        <v>34</v>
      </c>
      <c r="G1369" t="s">
        <v>20</v>
      </c>
      <c r="H1369" t="s">
        <v>21</v>
      </c>
      <c r="I1369" t="s">
        <v>94</v>
      </c>
      <c r="J1369">
        <v>3</v>
      </c>
      <c r="K1369">
        <v>4399000</v>
      </c>
      <c r="L1369">
        <v>7.8134774601661003E-2</v>
      </c>
      <c r="M1369" t="s">
        <v>65</v>
      </c>
      <c r="N1369">
        <v>0</v>
      </c>
      <c r="P1369" t="b">
        <v>1</v>
      </c>
    </row>
    <row r="1370" spans="1:16" x14ac:dyDescent="0.2">
      <c r="A1370" t="s">
        <v>1946</v>
      </c>
      <c r="B1370" s="1">
        <v>44633</v>
      </c>
      <c r="C1370" s="1">
        <v>44663</v>
      </c>
      <c r="D1370" t="s">
        <v>1719</v>
      </c>
      <c r="E1370" t="s">
        <v>33</v>
      </c>
      <c r="F1370" t="s">
        <v>34</v>
      </c>
      <c r="G1370" t="s">
        <v>50</v>
      </c>
      <c r="H1370" t="s">
        <v>51</v>
      </c>
      <c r="I1370" t="s">
        <v>57</v>
      </c>
      <c r="J1370">
        <v>1</v>
      </c>
      <c r="K1370">
        <v>4946000</v>
      </c>
      <c r="L1370" s="2" t="s">
        <v>1947</v>
      </c>
      <c r="M1370" t="s">
        <v>23</v>
      </c>
      <c r="N1370">
        <v>4313000</v>
      </c>
      <c r="O1370">
        <v>3.6</v>
      </c>
      <c r="P1370" t="b">
        <v>1</v>
      </c>
    </row>
    <row r="1371" spans="1:16" x14ac:dyDescent="0.2">
      <c r="A1371" t="s">
        <v>1948</v>
      </c>
      <c r="B1371" s="1">
        <v>44633</v>
      </c>
      <c r="C1371" s="1">
        <v>44667</v>
      </c>
      <c r="D1371" t="s">
        <v>98</v>
      </c>
      <c r="E1371" t="s">
        <v>29</v>
      </c>
      <c r="F1371" t="s">
        <v>34</v>
      </c>
      <c r="G1371" t="s">
        <v>20</v>
      </c>
      <c r="H1371" t="s">
        <v>21</v>
      </c>
      <c r="I1371" t="s">
        <v>52</v>
      </c>
      <c r="J1371">
        <v>1</v>
      </c>
      <c r="K1371">
        <v>3350000</v>
      </c>
      <c r="L1371" s="2" t="s">
        <v>1949</v>
      </c>
      <c r="M1371" t="s">
        <v>1673</v>
      </c>
      <c r="N1371">
        <v>0</v>
      </c>
      <c r="P1371" t="b">
        <v>1</v>
      </c>
    </row>
    <row r="1372" spans="1:16" x14ac:dyDescent="0.2">
      <c r="A1372" t="s">
        <v>1950</v>
      </c>
      <c r="B1372" s="1">
        <v>44634</v>
      </c>
      <c r="C1372" s="1">
        <v>44708</v>
      </c>
      <c r="D1372" t="s">
        <v>390</v>
      </c>
      <c r="E1372" t="s">
        <v>45</v>
      </c>
      <c r="F1372" t="s">
        <v>45</v>
      </c>
      <c r="G1372" t="s">
        <v>20</v>
      </c>
      <c r="I1372" t="s">
        <v>26</v>
      </c>
      <c r="J1372">
        <v>1</v>
      </c>
      <c r="K1372">
        <v>3173000</v>
      </c>
      <c r="L1372" s="2" t="s">
        <v>1951</v>
      </c>
      <c r="M1372" t="s">
        <v>23</v>
      </c>
      <c r="N1372">
        <v>2682000</v>
      </c>
      <c r="O1372">
        <v>4.0999999999999996</v>
      </c>
      <c r="P1372" t="b">
        <v>1</v>
      </c>
    </row>
    <row r="1373" spans="1:16" x14ac:dyDescent="0.2">
      <c r="A1373" t="s">
        <v>1952</v>
      </c>
      <c r="B1373" s="1">
        <v>44635</v>
      </c>
      <c r="C1373" s="1">
        <v>44644</v>
      </c>
      <c r="D1373" t="s">
        <v>1824</v>
      </c>
      <c r="E1373" t="s">
        <v>18</v>
      </c>
      <c r="F1373" t="s">
        <v>34</v>
      </c>
      <c r="G1373" t="s">
        <v>50</v>
      </c>
      <c r="H1373" t="s">
        <v>47</v>
      </c>
      <c r="I1373" t="s">
        <v>22</v>
      </c>
      <c r="J1373">
        <v>2</v>
      </c>
      <c r="K1373">
        <v>3288000</v>
      </c>
      <c r="L1373">
        <v>3.9765898404569802E-2</v>
      </c>
      <c r="M1373" t="s">
        <v>23</v>
      </c>
      <c r="N1373">
        <v>6314000</v>
      </c>
      <c r="O1373">
        <v>3.7</v>
      </c>
      <c r="P1373" t="b">
        <v>1</v>
      </c>
    </row>
    <row r="1374" spans="1:16" x14ac:dyDescent="0.2">
      <c r="A1374" t="s">
        <v>1953</v>
      </c>
      <c r="B1374" s="1">
        <v>44636</v>
      </c>
      <c r="C1374" s="1">
        <v>44698</v>
      </c>
      <c r="D1374" t="s">
        <v>489</v>
      </c>
      <c r="E1374" t="s">
        <v>33</v>
      </c>
      <c r="F1374" t="s">
        <v>19</v>
      </c>
      <c r="G1374" t="s">
        <v>20</v>
      </c>
      <c r="H1374" t="s">
        <v>21</v>
      </c>
      <c r="I1374" t="s">
        <v>83</v>
      </c>
      <c r="J1374">
        <v>2</v>
      </c>
      <c r="K1374">
        <v>2524000</v>
      </c>
      <c r="L1374" s="2" t="s">
        <v>1954</v>
      </c>
      <c r="M1374" t="s">
        <v>23</v>
      </c>
      <c r="N1374">
        <v>4516000</v>
      </c>
      <c r="O1374">
        <v>3.9</v>
      </c>
      <c r="P1374" t="b">
        <v>1</v>
      </c>
    </row>
    <row r="1375" spans="1:16" x14ac:dyDescent="0.2">
      <c r="A1375" t="s">
        <v>1955</v>
      </c>
      <c r="B1375" s="1">
        <v>44636</v>
      </c>
      <c r="C1375" s="1">
        <v>44695</v>
      </c>
      <c r="D1375" t="s">
        <v>163</v>
      </c>
      <c r="E1375" t="s">
        <v>18</v>
      </c>
      <c r="F1375" t="s">
        <v>25</v>
      </c>
      <c r="G1375" t="s">
        <v>35</v>
      </c>
      <c r="H1375" t="s">
        <v>21</v>
      </c>
      <c r="I1375" t="s">
        <v>77</v>
      </c>
      <c r="J1375">
        <v>2</v>
      </c>
      <c r="K1375">
        <v>5612000</v>
      </c>
      <c r="L1375">
        <v>3.8364554441674401E-2</v>
      </c>
      <c r="M1375" t="s">
        <v>23</v>
      </c>
      <c r="N1375">
        <v>10793000</v>
      </c>
      <c r="O1375">
        <v>4.0999999999999996</v>
      </c>
      <c r="P1375" t="b">
        <v>1</v>
      </c>
    </row>
    <row r="1376" spans="1:16" x14ac:dyDescent="0.2">
      <c r="A1376" t="s">
        <v>1956</v>
      </c>
      <c r="B1376" s="1">
        <v>44637</v>
      </c>
      <c r="C1376" s="1">
        <v>44660</v>
      </c>
      <c r="D1376" t="s">
        <v>1957</v>
      </c>
      <c r="E1376" t="s">
        <v>18</v>
      </c>
      <c r="F1376" t="s">
        <v>39</v>
      </c>
      <c r="G1376" t="s">
        <v>20</v>
      </c>
      <c r="H1376" t="s">
        <v>21</v>
      </c>
      <c r="I1376" t="s">
        <v>52</v>
      </c>
      <c r="J1376">
        <v>1</v>
      </c>
      <c r="K1376">
        <v>2581000</v>
      </c>
      <c r="L1376" s="2" t="s">
        <v>1958</v>
      </c>
      <c r="M1376" t="s">
        <v>23</v>
      </c>
      <c r="N1376">
        <v>2285000</v>
      </c>
      <c r="O1376">
        <v>4.5</v>
      </c>
      <c r="P1376" t="b">
        <v>0</v>
      </c>
    </row>
    <row r="1377" spans="1:16" x14ac:dyDescent="0.2">
      <c r="A1377" t="s">
        <v>1959</v>
      </c>
      <c r="B1377" s="1">
        <v>44637</v>
      </c>
      <c r="C1377" s="1">
        <v>44732</v>
      </c>
      <c r="D1377" t="s">
        <v>1960</v>
      </c>
      <c r="E1377" t="s">
        <v>45</v>
      </c>
      <c r="F1377" t="s">
        <v>68</v>
      </c>
      <c r="G1377" t="s">
        <v>20</v>
      </c>
      <c r="H1377" t="s">
        <v>21</v>
      </c>
      <c r="I1377" t="s">
        <v>26</v>
      </c>
      <c r="J1377">
        <v>2</v>
      </c>
      <c r="K1377">
        <v>2796000</v>
      </c>
      <c r="L1377">
        <v>4.3482126396665502E-2</v>
      </c>
      <c r="M1377" t="s">
        <v>23</v>
      </c>
      <c r="N1377">
        <v>5349000</v>
      </c>
      <c r="O1377">
        <v>4.3</v>
      </c>
      <c r="P1377" t="b">
        <v>0</v>
      </c>
    </row>
    <row r="1378" spans="1:16" x14ac:dyDescent="0.2">
      <c r="A1378" t="s">
        <v>1961</v>
      </c>
      <c r="B1378" s="1">
        <v>44637</v>
      </c>
      <c r="C1378" s="1">
        <v>44698</v>
      </c>
      <c r="D1378" t="s">
        <v>1962</v>
      </c>
      <c r="E1378" t="s">
        <v>18</v>
      </c>
      <c r="F1378" t="s">
        <v>19</v>
      </c>
      <c r="G1378" t="s">
        <v>35</v>
      </c>
      <c r="H1378" t="s">
        <v>21</v>
      </c>
      <c r="J1378">
        <v>1</v>
      </c>
      <c r="K1378">
        <v>2536000</v>
      </c>
      <c r="L1378" s="2" t="s">
        <v>1963</v>
      </c>
      <c r="M1378" t="s">
        <v>65</v>
      </c>
      <c r="N1378">
        <v>0</v>
      </c>
      <c r="P1378" t="b">
        <v>0</v>
      </c>
    </row>
    <row r="1379" spans="1:16" x14ac:dyDescent="0.2">
      <c r="A1379" t="s">
        <v>1964</v>
      </c>
      <c r="B1379" s="1">
        <v>44638</v>
      </c>
      <c r="C1379" s="1">
        <v>44676</v>
      </c>
      <c r="D1379" t="s">
        <v>1965</v>
      </c>
      <c r="E1379" t="s">
        <v>45</v>
      </c>
      <c r="F1379" t="s">
        <v>39</v>
      </c>
      <c r="G1379" t="s">
        <v>50</v>
      </c>
      <c r="H1379" t="s">
        <v>47</v>
      </c>
      <c r="I1379" t="s">
        <v>99</v>
      </c>
      <c r="J1379">
        <v>3</v>
      </c>
      <c r="K1379">
        <v>2348000</v>
      </c>
      <c r="L1379">
        <v>8.4716420793418401E-2</v>
      </c>
      <c r="M1379" t="s">
        <v>23</v>
      </c>
      <c r="N1379">
        <v>6447000</v>
      </c>
      <c r="O1379">
        <v>3.2</v>
      </c>
      <c r="P1379" t="b">
        <v>0</v>
      </c>
    </row>
    <row r="1380" spans="1:16" x14ac:dyDescent="0.2">
      <c r="A1380" t="s">
        <v>1966</v>
      </c>
      <c r="B1380" s="1">
        <v>44639</v>
      </c>
      <c r="C1380" s="1">
        <v>44654</v>
      </c>
      <c r="D1380" t="s">
        <v>1346</v>
      </c>
      <c r="E1380" t="s">
        <v>33</v>
      </c>
      <c r="F1380" t="s">
        <v>19</v>
      </c>
      <c r="G1380" t="s">
        <v>35</v>
      </c>
      <c r="H1380" t="s">
        <v>21</v>
      </c>
      <c r="I1380" t="s">
        <v>99</v>
      </c>
      <c r="J1380">
        <v>1</v>
      </c>
      <c r="K1380">
        <v>2644000</v>
      </c>
      <c r="L1380">
        <v>6.9948125036166806E-2</v>
      </c>
      <c r="M1380" t="s">
        <v>23</v>
      </c>
      <c r="N1380">
        <v>2459000</v>
      </c>
      <c r="O1380">
        <v>4.7</v>
      </c>
      <c r="P1380" t="b">
        <v>1</v>
      </c>
    </row>
    <row r="1381" spans="1:16" x14ac:dyDescent="0.2">
      <c r="A1381" t="s">
        <v>1967</v>
      </c>
      <c r="B1381" s="1">
        <v>44640</v>
      </c>
      <c r="C1381" s="1">
        <v>44689</v>
      </c>
      <c r="D1381" t="s">
        <v>526</v>
      </c>
      <c r="E1381" t="s">
        <v>33</v>
      </c>
      <c r="F1381" t="s">
        <v>34</v>
      </c>
      <c r="G1381" t="s">
        <v>35</v>
      </c>
      <c r="H1381" t="s">
        <v>21</v>
      </c>
      <c r="I1381" t="s">
        <v>99</v>
      </c>
      <c r="J1381">
        <v>1</v>
      </c>
      <c r="K1381">
        <v>3645000</v>
      </c>
      <c r="L1381" s="2" t="s">
        <v>1968</v>
      </c>
      <c r="M1381" t="s">
        <v>23</v>
      </c>
      <c r="N1381">
        <v>3516000</v>
      </c>
      <c r="O1381">
        <v>3.9</v>
      </c>
      <c r="P1381" t="b">
        <v>1</v>
      </c>
    </row>
    <row r="1382" spans="1:16" x14ac:dyDescent="0.2">
      <c r="A1382" t="s">
        <v>1969</v>
      </c>
      <c r="B1382" s="1">
        <v>44641</v>
      </c>
      <c r="C1382" s="1">
        <v>44715</v>
      </c>
      <c r="D1382" t="s">
        <v>146</v>
      </c>
      <c r="E1382" t="s">
        <v>33</v>
      </c>
      <c r="F1382" t="s">
        <v>34</v>
      </c>
      <c r="G1382" t="s">
        <v>50</v>
      </c>
      <c r="H1382" t="s">
        <v>51</v>
      </c>
      <c r="I1382" t="s">
        <v>30</v>
      </c>
      <c r="J1382">
        <v>4</v>
      </c>
      <c r="K1382">
        <v>3890000</v>
      </c>
      <c r="L1382" s="2" t="s">
        <v>1970</v>
      </c>
      <c r="M1382" t="s">
        <v>23</v>
      </c>
      <c r="N1382">
        <v>13796000</v>
      </c>
      <c r="O1382">
        <v>4.0999999999999996</v>
      </c>
      <c r="P1382" t="b">
        <v>1</v>
      </c>
    </row>
    <row r="1383" spans="1:16" x14ac:dyDescent="0.2">
      <c r="A1383" t="s">
        <v>1971</v>
      </c>
      <c r="B1383" s="1">
        <v>44641</v>
      </c>
      <c r="C1383" s="1">
        <v>44666</v>
      </c>
      <c r="D1383" t="s">
        <v>794</v>
      </c>
      <c r="E1383" t="s">
        <v>29</v>
      </c>
      <c r="F1383" t="s">
        <v>19</v>
      </c>
      <c r="G1383" t="s">
        <v>20</v>
      </c>
      <c r="H1383" t="s">
        <v>47</v>
      </c>
      <c r="I1383" t="s">
        <v>52</v>
      </c>
      <c r="J1383">
        <v>1</v>
      </c>
      <c r="K1383">
        <v>2709000</v>
      </c>
      <c r="L1383" s="2" t="s">
        <v>1972</v>
      </c>
      <c r="M1383" t="s">
        <v>23</v>
      </c>
      <c r="N1383">
        <v>2316000</v>
      </c>
      <c r="O1383">
        <v>3.9</v>
      </c>
      <c r="P1383" t="b">
        <v>1</v>
      </c>
    </row>
    <row r="1384" spans="1:16" x14ac:dyDescent="0.2">
      <c r="A1384" t="s">
        <v>1973</v>
      </c>
      <c r="B1384" s="1">
        <v>44641</v>
      </c>
      <c r="C1384" s="1">
        <v>44697</v>
      </c>
      <c r="D1384" t="s">
        <v>433</v>
      </c>
      <c r="E1384" t="s">
        <v>33</v>
      </c>
      <c r="F1384" t="s">
        <v>68</v>
      </c>
      <c r="G1384" t="s">
        <v>20</v>
      </c>
      <c r="H1384" t="s">
        <v>40</v>
      </c>
      <c r="I1384" t="s">
        <v>60</v>
      </c>
      <c r="J1384">
        <v>1</v>
      </c>
      <c r="K1384">
        <v>2465000</v>
      </c>
      <c r="L1384" s="2" t="s">
        <v>1974</v>
      </c>
      <c r="M1384" t="s">
        <v>1673</v>
      </c>
      <c r="N1384">
        <v>2207000</v>
      </c>
      <c r="O1384">
        <v>4.7</v>
      </c>
      <c r="P1384" t="b">
        <v>1</v>
      </c>
    </row>
    <row r="1385" spans="1:16" x14ac:dyDescent="0.2">
      <c r="A1385" t="s">
        <v>1975</v>
      </c>
      <c r="B1385" s="1">
        <v>44643</v>
      </c>
      <c r="C1385" s="1">
        <v>44694</v>
      </c>
      <c r="D1385" t="s">
        <v>236</v>
      </c>
      <c r="E1385" t="s">
        <v>33</v>
      </c>
      <c r="F1385" t="s">
        <v>19</v>
      </c>
      <c r="G1385" t="s">
        <v>35</v>
      </c>
      <c r="H1385" t="s">
        <v>21</v>
      </c>
      <c r="I1385" t="s">
        <v>26</v>
      </c>
      <c r="J1385">
        <v>1</v>
      </c>
      <c r="K1385">
        <v>2401000</v>
      </c>
      <c r="L1385">
        <v>7.8637319945696699E-2</v>
      </c>
      <c r="M1385" t="s">
        <v>23</v>
      </c>
      <c r="N1385">
        <v>2212000</v>
      </c>
      <c r="O1385">
        <v>4.4000000000000004</v>
      </c>
      <c r="P1385" t="b">
        <v>1</v>
      </c>
    </row>
    <row r="1386" spans="1:16" x14ac:dyDescent="0.2">
      <c r="A1386" t="s">
        <v>1976</v>
      </c>
      <c r="B1386" s="1">
        <v>44643</v>
      </c>
      <c r="C1386" s="1">
        <v>44675</v>
      </c>
      <c r="D1386" t="s">
        <v>755</v>
      </c>
      <c r="E1386" t="s">
        <v>33</v>
      </c>
      <c r="F1386" t="s">
        <v>34</v>
      </c>
      <c r="G1386" t="s">
        <v>50</v>
      </c>
      <c r="H1386" t="s">
        <v>21</v>
      </c>
      <c r="I1386" t="s">
        <v>30</v>
      </c>
      <c r="J1386">
        <v>1</v>
      </c>
      <c r="K1386">
        <v>4030000</v>
      </c>
      <c r="L1386">
        <v>6.6966043781755594E-2</v>
      </c>
      <c r="M1386" t="s">
        <v>65</v>
      </c>
      <c r="N1386">
        <v>0</v>
      </c>
      <c r="P1386" t="b">
        <v>1</v>
      </c>
    </row>
    <row r="1387" spans="1:16" x14ac:dyDescent="0.2">
      <c r="A1387" t="s">
        <v>1977</v>
      </c>
      <c r="B1387" s="1">
        <v>44643</v>
      </c>
      <c r="C1387" s="1">
        <v>44714</v>
      </c>
      <c r="D1387" t="s">
        <v>439</v>
      </c>
      <c r="E1387" t="s">
        <v>45</v>
      </c>
      <c r="F1387" t="s">
        <v>34</v>
      </c>
      <c r="G1387" t="s">
        <v>50</v>
      </c>
      <c r="H1387" t="s">
        <v>21</v>
      </c>
      <c r="I1387" t="s">
        <v>1978</v>
      </c>
      <c r="J1387">
        <v>3</v>
      </c>
      <c r="K1387">
        <v>4924000</v>
      </c>
      <c r="L1387" s="2" t="s">
        <v>1979</v>
      </c>
      <c r="M1387" t="s">
        <v>23</v>
      </c>
      <c r="N1387">
        <v>12669000</v>
      </c>
      <c r="O1387">
        <v>4</v>
      </c>
      <c r="P1387" t="b">
        <v>1</v>
      </c>
    </row>
    <row r="1388" spans="1:16" x14ac:dyDescent="0.2">
      <c r="A1388" t="s">
        <v>1980</v>
      </c>
      <c r="B1388" s="1">
        <v>44644</v>
      </c>
      <c r="C1388" s="1">
        <v>44709</v>
      </c>
      <c r="D1388" t="s">
        <v>424</v>
      </c>
      <c r="E1388" t="s">
        <v>45</v>
      </c>
      <c r="F1388" t="s">
        <v>68</v>
      </c>
      <c r="G1388" t="s">
        <v>35</v>
      </c>
      <c r="H1388" t="s">
        <v>47</v>
      </c>
      <c r="I1388" t="s">
        <v>22</v>
      </c>
      <c r="J1388">
        <v>3</v>
      </c>
      <c r="K1388">
        <v>2620000</v>
      </c>
      <c r="L1388" s="2" t="s">
        <v>1981</v>
      </c>
      <c r="M1388" t="s">
        <v>23</v>
      </c>
      <c r="N1388">
        <v>6945000</v>
      </c>
      <c r="O1388">
        <v>3.3</v>
      </c>
      <c r="P1388" t="b">
        <v>1</v>
      </c>
    </row>
    <row r="1389" spans="1:16" x14ac:dyDescent="0.2">
      <c r="A1389" t="s">
        <v>1982</v>
      </c>
      <c r="B1389" s="1">
        <v>44644</v>
      </c>
      <c r="C1389" s="1">
        <v>44675</v>
      </c>
      <c r="D1389" t="s">
        <v>654</v>
      </c>
      <c r="E1389" t="s">
        <v>45</v>
      </c>
      <c r="F1389" t="s">
        <v>19</v>
      </c>
      <c r="G1389" t="s">
        <v>50</v>
      </c>
      <c r="H1389" t="s">
        <v>40</v>
      </c>
      <c r="I1389" t="s">
        <v>60</v>
      </c>
      <c r="J1389">
        <v>1</v>
      </c>
      <c r="K1389">
        <v>2766000</v>
      </c>
      <c r="L1389">
        <v>8.2043770821651499E-2</v>
      </c>
      <c r="M1389" t="s">
        <v>23</v>
      </c>
      <c r="N1389">
        <v>2539000</v>
      </c>
      <c r="O1389">
        <v>4.4000000000000004</v>
      </c>
      <c r="P1389" t="b">
        <v>1</v>
      </c>
    </row>
    <row r="1390" spans="1:16" x14ac:dyDescent="0.2">
      <c r="A1390" t="s">
        <v>1983</v>
      </c>
      <c r="B1390" s="1">
        <v>44644</v>
      </c>
      <c r="C1390" s="1">
        <v>44671</v>
      </c>
      <c r="D1390" t="s">
        <v>267</v>
      </c>
      <c r="E1390" t="s">
        <v>45</v>
      </c>
      <c r="F1390" t="s">
        <v>34</v>
      </c>
      <c r="G1390" t="s">
        <v>35</v>
      </c>
      <c r="H1390" t="s">
        <v>21</v>
      </c>
      <c r="I1390" t="s">
        <v>26</v>
      </c>
      <c r="J1390">
        <v>4</v>
      </c>
      <c r="K1390">
        <v>4378000</v>
      </c>
      <c r="L1390">
        <v>9.9450511601287206E-2</v>
      </c>
      <c r="M1390" t="s">
        <v>23</v>
      </c>
      <c r="N1390">
        <v>15770000</v>
      </c>
      <c r="O1390">
        <v>4.0999999999999996</v>
      </c>
      <c r="P1390" t="b">
        <v>1</v>
      </c>
    </row>
    <row r="1391" spans="1:16" x14ac:dyDescent="0.2">
      <c r="A1391" t="s">
        <v>1984</v>
      </c>
      <c r="B1391" s="1">
        <v>44644</v>
      </c>
      <c r="C1391" s="1">
        <v>44712</v>
      </c>
      <c r="D1391" t="s">
        <v>1112</v>
      </c>
      <c r="E1391" t="s">
        <v>45</v>
      </c>
      <c r="F1391" t="s">
        <v>45</v>
      </c>
      <c r="G1391" t="s">
        <v>20</v>
      </c>
      <c r="H1391" t="s">
        <v>21</v>
      </c>
      <c r="I1391" t="s">
        <v>94</v>
      </c>
      <c r="J1391">
        <v>2</v>
      </c>
      <c r="K1391">
        <v>3110000</v>
      </c>
      <c r="L1391" s="2" t="s">
        <v>1985</v>
      </c>
      <c r="M1391" t="s">
        <v>23</v>
      </c>
      <c r="N1391">
        <v>5465000</v>
      </c>
      <c r="O1391">
        <v>3.6</v>
      </c>
      <c r="P1391" t="b">
        <v>1</v>
      </c>
    </row>
    <row r="1392" spans="1:16" x14ac:dyDescent="0.2">
      <c r="A1392" t="s">
        <v>1986</v>
      </c>
      <c r="B1392" s="1">
        <v>44644</v>
      </c>
      <c r="C1392" s="1">
        <v>44701</v>
      </c>
      <c r="D1392" t="s">
        <v>1987</v>
      </c>
      <c r="E1392" t="s">
        <v>45</v>
      </c>
      <c r="F1392" t="s">
        <v>19</v>
      </c>
      <c r="G1392" t="s">
        <v>50</v>
      </c>
      <c r="H1392" t="s">
        <v>21</v>
      </c>
      <c r="I1392" t="s">
        <v>1654</v>
      </c>
      <c r="J1392">
        <v>3</v>
      </c>
      <c r="K1392">
        <v>2676000</v>
      </c>
      <c r="L1392" s="2" t="s">
        <v>1988</v>
      </c>
      <c r="M1392" t="s">
        <v>23</v>
      </c>
      <c r="N1392">
        <v>7220000</v>
      </c>
      <c r="O1392">
        <v>4.2</v>
      </c>
      <c r="P1392" t="b">
        <v>0</v>
      </c>
    </row>
    <row r="1393" spans="1:16" x14ac:dyDescent="0.2">
      <c r="A1393" t="s">
        <v>1989</v>
      </c>
      <c r="B1393" s="1">
        <v>44644</v>
      </c>
      <c r="C1393" s="1">
        <v>44690</v>
      </c>
      <c r="D1393" t="s">
        <v>206</v>
      </c>
      <c r="E1393" t="s">
        <v>18</v>
      </c>
      <c r="F1393" t="s">
        <v>25</v>
      </c>
      <c r="G1393" t="s">
        <v>20</v>
      </c>
      <c r="H1393" t="s">
        <v>47</v>
      </c>
      <c r="I1393" t="s">
        <v>26</v>
      </c>
      <c r="J1393">
        <v>1</v>
      </c>
      <c r="K1393">
        <v>5425000</v>
      </c>
      <c r="L1393" s="2" t="s">
        <v>1990</v>
      </c>
      <c r="M1393" t="s">
        <v>23</v>
      </c>
      <c r="N1393">
        <v>4492000</v>
      </c>
      <c r="O1393">
        <v>4.0999999999999996</v>
      </c>
      <c r="P1393" t="b">
        <v>1</v>
      </c>
    </row>
    <row r="1394" spans="1:16" x14ac:dyDescent="0.2">
      <c r="A1394" t="s">
        <v>1991</v>
      </c>
      <c r="B1394" s="1">
        <v>44645</v>
      </c>
      <c r="C1394" s="1">
        <v>44679</v>
      </c>
      <c r="D1394" t="s">
        <v>515</v>
      </c>
      <c r="E1394" t="s">
        <v>33</v>
      </c>
      <c r="F1394" t="s">
        <v>45</v>
      </c>
      <c r="G1394" t="s">
        <v>20</v>
      </c>
      <c r="H1394" t="s">
        <v>47</v>
      </c>
      <c r="I1394" t="s">
        <v>94</v>
      </c>
      <c r="J1394">
        <v>1</v>
      </c>
      <c r="K1394">
        <v>3568000</v>
      </c>
      <c r="L1394">
        <v>0</v>
      </c>
      <c r="M1394" t="s">
        <v>23</v>
      </c>
      <c r="N1394">
        <v>3568000</v>
      </c>
      <c r="O1394">
        <v>5</v>
      </c>
      <c r="P1394" t="b">
        <v>1</v>
      </c>
    </row>
    <row r="1395" spans="1:16" x14ac:dyDescent="0.2">
      <c r="A1395" t="s">
        <v>1992</v>
      </c>
      <c r="B1395" s="1">
        <v>44646</v>
      </c>
      <c r="C1395" s="1">
        <v>44710</v>
      </c>
      <c r="D1395" t="s">
        <v>1993</v>
      </c>
      <c r="E1395" t="s">
        <v>33</v>
      </c>
      <c r="F1395" t="s">
        <v>39</v>
      </c>
      <c r="G1395" t="s">
        <v>50</v>
      </c>
      <c r="H1395" t="s">
        <v>21</v>
      </c>
      <c r="I1395" t="s">
        <v>60</v>
      </c>
      <c r="J1395">
        <v>1</v>
      </c>
      <c r="K1395">
        <v>2652000</v>
      </c>
      <c r="L1395" s="2" t="s">
        <v>1994</v>
      </c>
      <c r="M1395" t="s">
        <v>65</v>
      </c>
      <c r="N1395">
        <v>0</v>
      </c>
      <c r="P1395" t="b">
        <v>0</v>
      </c>
    </row>
    <row r="1396" spans="1:16" x14ac:dyDescent="0.2">
      <c r="A1396" t="s">
        <v>1995</v>
      </c>
      <c r="B1396" s="1">
        <v>44647</v>
      </c>
      <c r="C1396" s="1">
        <v>44671</v>
      </c>
      <c r="D1396" t="s">
        <v>401</v>
      </c>
      <c r="E1396" t="s">
        <v>18</v>
      </c>
      <c r="F1396" t="s">
        <v>19</v>
      </c>
      <c r="G1396" t="s">
        <v>46</v>
      </c>
      <c r="H1396" t="s">
        <v>21</v>
      </c>
      <c r="I1396" t="s">
        <v>77</v>
      </c>
      <c r="J1396">
        <v>4</v>
      </c>
      <c r="K1396">
        <v>2859000</v>
      </c>
      <c r="L1396">
        <v>7.3000676844494697E-2</v>
      </c>
      <c r="M1396" t="s">
        <v>23</v>
      </c>
      <c r="N1396">
        <v>10601000</v>
      </c>
      <c r="O1396">
        <v>4.3</v>
      </c>
      <c r="P1396" t="b">
        <v>1</v>
      </c>
    </row>
    <row r="1397" spans="1:16" x14ac:dyDescent="0.2">
      <c r="A1397" t="s">
        <v>1996</v>
      </c>
      <c r="B1397" s="1">
        <v>44648</v>
      </c>
      <c r="C1397" s="1">
        <v>44705</v>
      </c>
      <c r="D1397" t="s">
        <v>1997</v>
      </c>
      <c r="E1397" t="s">
        <v>45</v>
      </c>
      <c r="F1397" t="s">
        <v>19</v>
      </c>
      <c r="G1397" t="s">
        <v>20</v>
      </c>
      <c r="H1397" t="s">
        <v>40</v>
      </c>
      <c r="I1397" t="s">
        <v>22</v>
      </c>
      <c r="J1397">
        <v>1</v>
      </c>
      <c r="K1397">
        <v>2213000</v>
      </c>
      <c r="L1397" s="2" t="s">
        <v>1998</v>
      </c>
      <c r="M1397" t="s">
        <v>23</v>
      </c>
      <c r="N1397">
        <v>1961000</v>
      </c>
      <c r="O1397">
        <v>4.3</v>
      </c>
      <c r="P1397" t="b">
        <v>0</v>
      </c>
    </row>
    <row r="1398" spans="1:16" x14ac:dyDescent="0.2">
      <c r="A1398" t="s">
        <v>1999</v>
      </c>
      <c r="B1398" s="1">
        <v>44648</v>
      </c>
      <c r="C1398" s="1">
        <v>44717</v>
      </c>
      <c r="D1398" t="s">
        <v>2000</v>
      </c>
      <c r="F1398" t="s">
        <v>45</v>
      </c>
      <c r="G1398" t="s">
        <v>20</v>
      </c>
      <c r="H1398" t="s">
        <v>21</v>
      </c>
      <c r="I1398" t="s">
        <v>30</v>
      </c>
      <c r="J1398">
        <v>1</v>
      </c>
      <c r="K1398">
        <v>3434000</v>
      </c>
      <c r="L1398">
        <v>5.2041198491874698E-2</v>
      </c>
      <c r="M1398" t="s">
        <v>23</v>
      </c>
      <c r="N1398">
        <v>3255000</v>
      </c>
      <c r="O1398">
        <v>4.0999999999999996</v>
      </c>
      <c r="P1398" t="b">
        <v>0</v>
      </c>
    </row>
    <row r="1399" spans="1:16" x14ac:dyDescent="0.2">
      <c r="A1399" t="s">
        <v>2001</v>
      </c>
      <c r="B1399" s="1">
        <v>44649</v>
      </c>
      <c r="C1399" s="1">
        <v>44701</v>
      </c>
      <c r="D1399" t="s">
        <v>524</v>
      </c>
      <c r="E1399" t="s">
        <v>33</v>
      </c>
      <c r="F1399" t="s">
        <v>19</v>
      </c>
      <c r="H1399" t="s">
        <v>21</v>
      </c>
      <c r="I1399" t="s">
        <v>94</v>
      </c>
      <c r="J1399">
        <v>2</v>
      </c>
      <c r="K1399">
        <v>2721000</v>
      </c>
      <c r="L1399">
        <v>6.3267709777479905E-2</v>
      </c>
      <c r="M1399" t="s">
        <v>23</v>
      </c>
      <c r="N1399">
        <v>5098000</v>
      </c>
      <c r="O1399">
        <v>4.3</v>
      </c>
      <c r="P1399" t="b">
        <v>1</v>
      </c>
    </row>
    <row r="1400" spans="1:16" x14ac:dyDescent="0.2">
      <c r="A1400" t="s">
        <v>2002</v>
      </c>
      <c r="B1400" s="1">
        <v>44649</v>
      </c>
      <c r="C1400" s="1">
        <v>44718</v>
      </c>
      <c r="D1400" t="s">
        <v>1646</v>
      </c>
      <c r="E1400" t="s">
        <v>45</v>
      </c>
      <c r="F1400" t="s">
        <v>39</v>
      </c>
      <c r="G1400" t="s">
        <v>50</v>
      </c>
      <c r="H1400" t="s">
        <v>21</v>
      </c>
      <c r="I1400" t="s">
        <v>57</v>
      </c>
      <c r="J1400">
        <v>1</v>
      </c>
      <c r="K1400">
        <v>2807000</v>
      </c>
      <c r="L1400">
        <v>7.1245375212328099E-2</v>
      </c>
      <c r="M1400" t="s">
        <v>23</v>
      </c>
      <c r="N1400">
        <v>2607000</v>
      </c>
      <c r="O1400">
        <v>3.7</v>
      </c>
      <c r="P1400" t="b">
        <v>1</v>
      </c>
    </row>
    <row r="1401" spans="1:16" x14ac:dyDescent="0.2">
      <c r="A1401" t="s">
        <v>2003</v>
      </c>
      <c r="B1401" s="1">
        <v>44650</v>
      </c>
      <c r="C1401" s="1">
        <v>44673</v>
      </c>
      <c r="D1401" t="s">
        <v>414</v>
      </c>
      <c r="E1401" t="s">
        <v>33</v>
      </c>
      <c r="F1401" t="s">
        <v>34</v>
      </c>
      <c r="G1401" t="s">
        <v>20</v>
      </c>
      <c r="H1401" t="s">
        <v>21</v>
      </c>
      <c r="I1401" t="s">
        <v>22</v>
      </c>
      <c r="J1401">
        <v>3</v>
      </c>
      <c r="K1401">
        <v>3741000</v>
      </c>
      <c r="L1401">
        <v>7.1536754493837298E-2</v>
      </c>
      <c r="M1401" t="s">
        <v>23</v>
      </c>
      <c r="N1401">
        <v>10420000</v>
      </c>
      <c r="O1401">
        <v>4.0999999999999996</v>
      </c>
      <c r="P1401" t="b">
        <v>1</v>
      </c>
    </row>
    <row r="1402" spans="1:16" x14ac:dyDescent="0.2">
      <c r="A1402" t="s">
        <v>2004</v>
      </c>
      <c r="B1402" s="1">
        <v>44650</v>
      </c>
      <c r="C1402" s="1">
        <v>44720</v>
      </c>
      <c r="D1402" t="s">
        <v>2005</v>
      </c>
      <c r="E1402" t="s">
        <v>45</v>
      </c>
      <c r="F1402" t="s">
        <v>39</v>
      </c>
      <c r="G1402" t="s">
        <v>35</v>
      </c>
      <c r="H1402" t="s">
        <v>21</v>
      </c>
      <c r="I1402" t="s">
        <v>60</v>
      </c>
      <c r="J1402">
        <v>2</v>
      </c>
      <c r="K1402">
        <v>2817000</v>
      </c>
      <c r="L1402">
        <v>9.8933152281011696E-2</v>
      </c>
      <c r="M1402" t="s">
        <v>23</v>
      </c>
      <c r="N1402">
        <v>5077000</v>
      </c>
      <c r="O1402">
        <v>3.6</v>
      </c>
      <c r="P1402" t="b">
        <v>0</v>
      </c>
    </row>
    <row r="1403" spans="1:16" x14ac:dyDescent="0.2">
      <c r="A1403" t="s">
        <v>2006</v>
      </c>
      <c r="B1403" s="1">
        <v>44651</v>
      </c>
      <c r="C1403" s="1">
        <v>44731</v>
      </c>
      <c r="D1403" t="s">
        <v>2007</v>
      </c>
      <c r="E1403" t="s">
        <v>45</v>
      </c>
      <c r="F1403" t="s">
        <v>34</v>
      </c>
      <c r="G1403" t="s">
        <v>20</v>
      </c>
      <c r="H1403" t="s">
        <v>21</v>
      </c>
      <c r="I1403" t="s">
        <v>83</v>
      </c>
      <c r="J1403">
        <v>1</v>
      </c>
      <c r="K1403">
        <v>4393000</v>
      </c>
      <c r="L1403" s="2" t="s">
        <v>2008</v>
      </c>
      <c r="M1403" t="s">
        <v>23</v>
      </c>
      <c r="N1403">
        <v>3866000</v>
      </c>
      <c r="O1403">
        <v>4.5999999999999996</v>
      </c>
      <c r="P1403" t="b">
        <v>0</v>
      </c>
    </row>
    <row r="1404" spans="1:16" x14ac:dyDescent="0.2">
      <c r="A1404" t="s">
        <v>2009</v>
      </c>
      <c r="B1404" s="1">
        <v>44652</v>
      </c>
      <c r="C1404" s="1">
        <v>44697</v>
      </c>
      <c r="D1404" t="s">
        <v>727</v>
      </c>
      <c r="E1404" t="s">
        <v>29</v>
      </c>
      <c r="F1404" t="s">
        <v>34</v>
      </c>
      <c r="G1404" t="s">
        <v>35</v>
      </c>
      <c r="H1404" t="s">
        <v>40</v>
      </c>
      <c r="I1404" t="s">
        <v>22</v>
      </c>
      <c r="J1404">
        <v>1</v>
      </c>
      <c r="K1404">
        <v>3501000</v>
      </c>
      <c r="L1404">
        <v>9.6878106841820896E-2</v>
      </c>
      <c r="M1404" t="s">
        <v>23</v>
      </c>
      <c r="N1404">
        <v>3162000</v>
      </c>
      <c r="O1404">
        <v>4</v>
      </c>
      <c r="P1404" t="b">
        <v>1</v>
      </c>
    </row>
    <row r="1405" spans="1:16" x14ac:dyDescent="0.2">
      <c r="A1405" t="s">
        <v>2010</v>
      </c>
      <c r="B1405" s="1">
        <v>44652</v>
      </c>
      <c r="C1405" s="1">
        <v>44756</v>
      </c>
      <c r="D1405" t="s">
        <v>2011</v>
      </c>
      <c r="E1405" t="s">
        <v>45</v>
      </c>
      <c r="F1405" t="s">
        <v>34</v>
      </c>
      <c r="G1405" t="s">
        <v>20</v>
      </c>
      <c r="H1405" t="s">
        <v>21</v>
      </c>
      <c r="I1405" t="s">
        <v>99</v>
      </c>
      <c r="J1405">
        <v>2</v>
      </c>
      <c r="K1405">
        <v>4137000</v>
      </c>
      <c r="L1405" s="2" t="s">
        <v>2012</v>
      </c>
      <c r="M1405" t="s">
        <v>23</v>
      </c>
      <c r="N1405">
        <v>7075000</v>
      </c>
      <c r="O1405">
        <v>4.4000000000000004</v>
      </c>
      <c r="P1405" t="b">
        <v>0</v>
      </c>
    </row>
    <row r="1406" spans="1:16" x14ac:dyDescent="0.2">
      <c r="A1406" t="s">
        <v>2013</v>
      </c>
      <c r="B1406" s="1">
        <v>44652</v>
      </c>
      <c r="C1406" s="1">
        <v>44673</v>
      </c>
      <c r="D1406" t="s">
        <v>2014</v>
      </c>
      <c r="E1406" t="s">
        <v>18</v>
      </c>
      <c r="F1406" t="s">
        <v>19</v>
      </c>
      <c r="G1406" t="s">
        <v>20</v>
      </c>
      <c r="H1406" t="s">
        <v>40</v>
      </c>
      <c r="I1406" t="s">
        <v>30</v>
      </c>
      <c r="J1406">
        <v>3</v>
      </c>
      <c r="K1406">
        <v>2546000</v>
      </c>
      <c r="L1406" s="2" t="s">
        <v>2015</v>
      </c>
      <c r="M1406" t="s">
        <v>23</v>
      </c>
      <c r="N1406">
        <v>6606000</v>
      </c>
      <c r="O1406">
        <v>4.7</v>
      </c>
      <c r="P1406" t="b">
        <v>0</v>
      </c>
    </row>
    <row r="1407" spans="1:16" x14ac:dyDescent="0.2">
      <c r="A1407" t="s">
        <v>2016</v>
      </c>
      <c r="B1407" s="1">
        <v>44653</v>
      </c>
      <c r="C1407" s="1">
        <v>44663</v>
      </c>
      <c r="D1407" t="s">
        <v>122</v>
      </c>
      <c r="E1407" t="s">
        <v>29</v>
      </c>
      <c r="F1407" t="s">
        <v>34</v>
      </c>
      <c r="G1407" t="s">
        <v>50</v>
      </c>
      <c r="I1407" t="s">
        <v>30</v>
      </c>
      <c r="J1407">
        <v>1</v>
      </c>
      <c r="K1407">
        <v>3810000</v>
      </c>
      <c r="L1407">
        <v>6.2735056910978304E-2</v>
      </c>
      <c r="M1407" t="s">
        <v>23</v>
      </c>
      <c r="N1407">
        <v>3571000</v>
      </c>
      <c r="O1407">
        <v>4.4000000000000004</v>
      </c>
      <c r="P1407" t="b">
        <v>1</v>
      </c>
    </row>
    <row r="1408" spans="1:16" x14ac:dyDescent="0.2">
      <c r="A1408" t="s">
        <v>2017</v>
      </c>
      <c r="B1408" s="1">
        <v>44654</v>
      </c>
      <c r="C1408" s="1">
        <v>44704</v>
      </c>
      <c r="D1408" t="s">
        <v>1860</v>
      </c>
      <c r="E1408" t="s">
        <v>45</v>
      </c>
      <c r="F1408" t="s">
        <v>19</v>
      </c>
      <c r="G1408" t="s">
        <v>20</v>
      </c>
      <c r="H1408" t="s">
        <v>21</v>
      </c>
      <c r="I1408" t="s">
        <v>83</v>
      </c>
      <c r="J1408">
        <v>1</v>
      </c>
      <c r="K1408">
        <v>2659000</v>
      </c>
      <c r="L1408">
        <v>5.15487225333775E-2</v>
      </c>
      <c r="M1408" t="s">
        <v>23</v>
      </c>
      <c r="N1408">
        <v>2522000</v>
      </c>
      <c r="O1408">
        <v>3.8</v>
      </c>
      <c r="P1408" t="b">
        <v>1</v>
      </c>
    </row>
    <row r="1409" spans="1:16" x14ac:dyDescent="0.2">
      <c r="A1409" t="s">
        <v>2018</v>
      </c>
      <c r="B1409" s="1">
        <v>44654</v>
      </c>
      <c r="C1409" s="1">
        <v>44700</v>
      </c>
      <c r="D1409" t="s">
        <v>79</v>
      </c>
      <c r="E1409" t="s">
        <v>45</v>
      </c>
      <c r="F1409" t="s">
        <v>25</v>
      </c>
      <c r="G1409" t="s">
        <v>50</v>
      </c>
      <c r="H1409" t="s">
        <v>47</v>
      </c>
      <c r="I1409" t="s">
        <v>22</v>
      </c>
      <c r="J1409">
        <v>1</v>
      </c>
      <c r="K1409">
        <v>4503000</v>
      </c>
      <c r="L1409">
        <v>4.1588791383779501E-2</v>
      </c>
      <c r="M1409" t="s">
        <v>23</v>
      </c>
      <c r="N1409">
        <v>4316000</v>
      </c>
      <c r="O1409">
        <v>4.3</v>
      </c>
      <c r="P1409" t="b">
        <v>1</v>
      </c>
    </row>
    <row r="1410" spans="1:16" x14ac:dyDescent="0.2">
      <c r="A1410" t="s">
        <v>2019</v>
      </c>
      <c r="B1410" s="1">
        <v>44654</v>
      </c>
      <c r="C1410" s="1">
        <v>44746</v>
      </c>
      <c r="D1410" t="s">
        <v>49</v>
      </c>
      <c r="F1410" t="s">
        <v>19</v>
      </c>
      <c r="G1410" t="s">
        <v>20</v>
      </c>
      <c r="H1410" t="s">
        <v>47</v>
      </c>
      <c r="I1410" t="s">
        <v>30</v>
      </c>
      <c r="J1410">
        <v>1</v>
      </c>
      <c r="K1410">
        <v>2742000</v>
      </c>
      <c r="L1410">
        <v>8.3152481926669394E-2</v>
      </c>
      <c r="M1410" t="s">
        <v>23</v>
      </c>
      <c r="N1410">
        <v>2514000</v>
      </c>
      <c r="O1410">
        <v>4.0999999999999996</v>
      </c>
      <c r="P1410" t="b">
        <v>1</v>
      </c>
    </row>
    <row r="1411" spans="1:16" x14ac:dyDescent="0.2">
      <c r="A1411" t="s">
        <v>2020</v>
      </c>
      <c r="B1411" s="1">
        <v>44654</v>
      </c>
      <c r="C1411" s="1">
        <v>44751</v>
      </c>
      <c r="D1411" t="s">
        <v>251</v>
      </c>
      <c r="E1411" t="s">
        <v>33</v>
      </c>
      <c r="F1411" t="s">
        <v>19</v>
      </c>
      <c r="G1411" t="s">
        <v>35</v>
      </c>
      <c r="H1411" t="s">
        <v>21</v>
      </c>
      <c r="I1411" t="s">
        <v>77</v>
      </c>
      <c r="J1411">
        <v>3</v>
      </c>
      <c r="K1411">
        <v>2925000</v>
      </c>
      <c r="L1411" s="2" t="s">
        <v>2021</v>
      </c>
      <c r="M1411" t="s">
        <v>23</v>
      </c>
      <c r="N1411">
        <v>7859000</v>
      </c>
      <c r="O1411">
        <v>4.5</v>
      </c>
      <c r="P1411" t="b">
        <v>1</v>
      </c>
    </row>
    <row r="1412" spans="1:16" x14ac:dyDescent="0.2">
      <c r="A1412" t="s">
        <v>2022</v>
      </c>
      <c r="B1412" s="1">
        <v>44655</v>
      </c>
      <c r="C1412" s="1">
        <v>44722</v>
      </c>
      <c r="D1412" t="s">
        <v>2023</v>
      </c>
      <c r="E1412" t="s">
        <v>18</v>
      </c>
      <c r="F1412" t="s">
        <v>34</v>
      </c>
      <c r="G1412" t="s">
        <v>20</v>
      </c>
      <c r="I1412" t="s">
        <v>1654</v>
      </c>
      <c r="J1412">
        <v>1</v>
      </c>
      <c r="K1412">
        <v>3408000</v>
      </c>
      <c r="L1412" s="2" t="s">
        <v>2024</v>
      </c>
      <c r="M1412" t="s">
        <v>23</v>
      </c>
      <c r="N1412">
        <v>2927000</v>
      </c>
      <c r="O1412">
        <v>4.3</v>
      </c>
      <c r="P1412" t="b">
        <v>0</v>
      </c>
    </row>
    <row r="1413" spans="1:16" x14ac:dyDescent="0.2">
      <c r="A1413" t="s">
        <v>2025</v>
      </c>
      <c r="B1413" s="1">
        <v>44655</v>
      </c>
      <c r="C1413" s="1">
        <v>44732</v>
      </c>
      <c r="D1413" t="s">
        <v>2026</v>
      </c>
      <c r="E1413" t="s">
        <v>45</v>
      </c>
      <c r="F1413" t="s">
        <v>68</v>
      </c>
      <c r="G1413" t="s">
        <v>20</v>
      </c>
      <c r="H1413" t="s">
        <v>47</v>
      </c>
      <c r="I1413" t="s">
        <v>94</v>
      </c>
      <c r="J1413">
        <v>1</v>
      </c>
      <c r="K1413">
        <v>2368000</v>
      </c>
      <c r="L1413" s="2" t="s">
        <v>2027</v>
      </c>
      <c r="M1413" t="s">
        <v>23</v>
      </c>
      <c r="N1413">
        <v>2305000</v>
      </c>
      <c r="O1413">
        <v>4</v>
      </c>
      <c r="P1413" t="b">
        <v>0</v>
      </c>
    </row>
    <row r="1414" spans="1:16" x14ac:dyDescent="0.2">
      <c r="A1414" t="s">
        <v>2028</v>
      </c>
      <c r="B1414" s="1">
        <v>44655</v>
      </c>
      <c r="C1414" s="1">
        <v>44694</v>
      </c>
      <c r="D1414" t="s">
        <v>2029</v>
      </c>
      <c r="E1414" t="s">
        <v>45</v>
      </c>
      <c r="F1414" t="s">
        <v>34</v>
      </c>
      <c r="G1414" t="s">
        <v>20</v>
      </c>
      <c r="H1414" t="s">
        <v>47</v>
      </c>
      <c r="I1414" t="s">
        <v>30</v>
      </c>
      <c r="J1414">
        <v>1</v>
      </c>
      <c r="K1414">
        <v>3586000</v>
      </c>
      <c r="L1414" s="2" t="s">
        <v>2030</v>
      </c>
      <c r="M1414" t="s">
        <v>23</v>
      </c>
      <c r="N1414">
        <v>3093000</v>
      </c>
      <c r="O1414">
        <v>4.9000000000000004</v>
      </c>
      <c r="P1414" t="b">
        <v>0</v>
      </c>
    </row>
    <row r="1415" spans="1:16" x14ac:dyDescent="0.2">
      <c r="A1415" t="s">
        <v>2031</v>
      </c>
      <c r="B1415" s="1">
        <v>44656</v>
      </c>
      <c r="C1415" s="1">
        <v>44692</v>
      </c>
      <c r="D1415" t="s">
        <v>1010</v>
      </c>
      <c r="F1415" t="s">
        <v>19</v>
      </c>
      <c r="G1415" t="s">
        <v>50</v>
      </c>
      <c r="H1415" t="s">
        <v>21</v>
      </c>
      <c r="I1415" t="s">
        <v>83</v>
      </c>
      <c r="J1415">
        <v>5</v>
      </c>
      <c r="K1415">
        <v>2738000</v>
      </c>
      <c r="L1415">
        <v>9.2652908351346194E-2</v>
      </c>
      <c r="M1415" t="s">
        <v>23</v>
      </c>
      <c r="N1415">
        <v>12422000</v>
      </c>
      <c r="O1415">
        <v>3.3</v>
      </c>
      <c r="P1415" t="b">
        <v>1</v>
      </c>
    </row>
    <row r="1416" spans="1:16" x14ac:dyDescent="0.2">
      <c r="A1416" t="s">
        <v>2032</v>
      </c>
      <c r="B1416" s="1">
        <v>44656</v>
      </c>
      <c r="C1416" s="1">
        <v>44719</v>
      </c>
      <c r="D1416" t="s">
        <v>541</v>
      </c>
      <c r="E1416" t="s">
        <v>45</v>
      </c>
      <c r="F1416" t="s">
        <v>34</v>
      </c>
      <c r="G1416" t="s">
        <v>20</v>
      </c>
      <c r="H1416" t="s">
        <v>47</v>
      </c>
      <c r="I1416" t="s">
        <v>77</v>
      </c>
      <c r="J1416">
        <v>2</v>
      </c>
      <c r="K1416">
        <v>4495000</v>
      </c>
      <c r="L1416">
        <v>3.9055316582980802E-2</v>
      </c>
      <c r="M1416" t="s">
        <v>23</v>
      </c>
      <c r="N1416">
        <v>8639000</v>
      </c>
      <c r="O1416">
        <v>3.7</v>
      </c>
      <c r="P1416" t="b">
        <v>1</v>
      </c>
    </row>
    <row r="1417" spans="1:16" x14ac:dyDescent="0.2">
      <c r="A1417" t="s">
        <v>2033</v>
      </c>
      <c r="B1417" s="1">
        <v>44656</v>
      </c>
      <c r="C1417" s="1">
        <v>44725</v>
      </c>
      <c r="D1417" t="s">
        <v>1814</v>
      </c>
      <c r="E1417" t="s">
        <v>45</v>
      </c>
      <c r="F1417" t="s">
        <v>39</v>
      </c>
      <c r="G1417" t="s">
        <v>20</v>
      </c>
      <c r="I1417" t="s">
        <v>83</v>
      </c>
      <c r="J1417">
        <v>3</v>
      </c>
      <c r="K1417">
        <v>1555000</v>
      </c>
      <c r="L1417">
        <v>6.0628168330652203E-2</v>
      </c>
      <c r="M1417" t="s">
        <v>23</v>
      </c>
      <c r="N1417">
        <v>4382000</v>
      </c>
      <c r="O1417">
        <v>4.8</v>
      </c>
      <c r="P1417" t="b">
        <v>1</v>
      </c>
    </row>
    <row r="1418" spans="1:16" x14ac:dyDescent="0.2">
      <c r="A1418" t="s">
        <v>2034</v>
      </c>
      <c r="B1418" s="1">
        <v>44657</v>
      </c>
      <c r="C1418" s="1">
        <v>44724</v>
      </c>
      <c r="D1418" t="s">
        <v>657</v>
      </c>
      <c r="E1418" t="s">
        <v>18</v>
      </c>
      <c r="F1418" t="s">
        <v>19</v>
      </c>
      <c r="G1418" t="s">
        <v>20</v>
      </c>
      <c r="H1418" t="s">
        <v>47</v>
      </c>
      <c r="I1418" t="s">
        <v>26</v>
      </c>
      <c r="J1418">
        <v>2</v>
      </c>
      <c r="K1418">
        <v>3022000</v>
      </c>
      <c r="L1418" s="2" t="s">
        <v>2035</v>
      </c>
      <c r="M1418" t="s">
        <v>23</v>
      </c>
      <c r="N1418">
        <v>5261000</v>
      </c>
      <c r="O1418">
        <v>3.9</v>
      </c>
      <c r="P1418" t="b">
        <v>1</v>
      </c>
    </row>
    <row r="1419" spans="1:16" x14ac:dyDescent="0.2">
      <c r="A1419" t="s">
        <v>2036</v>
      </c>
      <c r="B1419" s="1">
        <v>44658</v>
      </c>
      <c r="C1419" s="1">
        <v>44724</v>
      </c>
      <c r="D1419" t="s">
        <v>1841</v>
      </c>
      <c r="E1419" t="s">
        <v>45</v>
      </c>
      <c r="F1419" t="s">
        <v>25</v>
      </c>
      <c r="G1419" t="s">
        <v>50</v>
      </c>
      <c r="H1419" t="s">
        <v>47</v>
      </c>
      <c r="I1419" t="s">
        <v>52</v>
      </c>
      <c r="J1419">
        <v>4</v>
      </c>
      <c r="K1419">
        <v>5114000</v>
      </c>
      <c r="L1419" s="2" t="s">
        <v>2037</v>
      </c>
      <c r="M1419" t="s">
        <v>23</v>
      </c>
      <c r="N1419">
        <v>17925000</v>
      </c>
      <c r="O1419">
        <v>4</v>
      </c>
      <c r="P1419" t="b">
        <v>1</v>
      </c>
    </row>
    <row r="1420" spans="1:16" x14ac:dyDescent="0.2">
      <c r="A1420" t="s">
        <v>2038</v>
      </c>
      <c r="B1420" s="1">
        <v>44658</v>
      </c>
      <c r="C1420" s="1">
        <v>44696</v>
      </c>
      <c r="D1420" t="s">
        <v>2039</v>
      </c>
      <c r="E1420" t="s">
        <v>18</v>
      </c>
      <c r="F1420" t="s">
        <v>68</v>
      </c>
      <c r="G1420" t="s">
        <v>50</v>
      </c>
      <c r="H1420" t="s">
        <v>21</v>
      </c>
      <c r="I1420" t="s">
        <v>30</v>
      </c>
      <c r="J1420">
        <v>2</v>
      </c>
      <c r="K1420">
        <v>2438000</v>
      </c>
      <c r="L1420" s="2" t="s">
        <v>2040</v>
      </c>
      <c r="M1420" t="s">
        <v>23</v>
      </c>
      <c r="N1420">
        <v>4286000</v>
      </c>
      <c r="O1420">
        <v>4.4000000000000004</v>
      </c>
      <c r="P1420" t="b">
        <v>0</v>
      </c>
    </row>
    <row r="1421" spans="1:16" x14ac:dyDescent="0.2">
      <c r="A1421" t="s">
        <v>2041</v>
      </c>
      <c r="B1421" s="1">
        <v>44658</v>
      </c>
      <c r="C1421" s="1">
        <v>44696</v>
      </c>
      <c r="D1421" t="s">
        <v>2042</v>
      </c>
      <c r="E1421" t="s">
        <v>33</v>
      </c>
      <c r="F1421" t="s">
        <v>19</v>
      </c>
      <c r="H1421" t="s">
        <v>47</v>
      </c>
      <c r="I1421" t="s">
        <v>77</v>
      </c>
      <c r="J1421">
        <v>2</v>
      </c>
      <c r="K1421">
        <v>2549000</v>
      </c>
      <c r="L1421">
        <v>8.2417042769382595E-2</v>
      </c>
      <c r="M1421" t="s">
        <v>23</v>
      </c>
      <c r="N1421">
        <v>4678000</v>
      </c>
      <c r="O1421">
        <v>4.5</v>
      </c>
      <c r="P1421" t="b">
        <v>0</v>
      </c>
    </row>
    <row r="1422" spans="1:16" x14ac:dyDescent="0.2">
      <c r="A1422" t="s">
        <v>2043</v>
      </c>
      <c r="B1422" s="1">
        <v>44660</v>
      </c>
      <c r="C1422" s="1">
        <v>44768</v>
      </c>
      <c r="D1422" t="s">
        <v>842</v>
      </c>
      <c r="E1422" t="s">
        <v>18</v>
      </c>
      <c r="F1422" t="s">
        <v>45</v>
      </c>
      <c r="G1422" t="s">
        <v>20</v>
      </c>
      <c r="I1422" t="s">
        <v>52</v>
      </c>
      <c r="J1422">
        <v>5</v>
      </c>
      <c r="K1422">
        <v>2723000</v>
      </c>
      <c r="L1422" s="2" t="s">
        <v>2044</v>
      </c>
      <c r="M1422" t="s">
        <v>23</v>
      </c>
      <c r="N1422">
        <v>13130000</v>
      </c>
      <c r="O1422">
        <v>4.3</v>
      </c>
      <c r="P1422" t="b">
        <v>1</v>
      </c>
    </row>
    <row r="1423" spans="1:16" x14ac:dyDescent="0.2">
      <c r="A1423" t="s">
        <v>2045</v>
      </c>
      <c r="B1423" s="1">
        <v>44660</v>
      </c>
      <c r="C1423" s="1">
        <v>44708</v>
      </c>
      <c r="D1423" t="s">
        <v>662</v>
      </c>
      <c r="E1423" t="s">
        <v>33</v>
      </c>
      <c r="F1423" t="s">
        <v>25</v>
      </c>
      <c r="G1423" t="s">
        <v>20</v>
      </c>
      <c r="H1423" t="s">
        <v>21</v>
      </c>
      <c r="I1423" t="s">
        <v>77</v>
      </c>
      <c r="J1423">
        <v>2</v>
      </c>
      <c r="K1423">
        <v>5677000</v>
      </c>
      <c r="L1423" s="2" t="s">
        <v>2046</v>
      </c>
      <c r="M1423" t="s">
        <v>23</v>
      </c>
      <c r="N1423">
        <v>10007000</v>
      </c>
      <c r="O1423">
        <v>3.6</v>
      </c>
      <c r="P1423" t="b">
        <v>1</v>
      </c>
    </row>
    <row r="1424" spans="1:16" x14ac:dyDescent="0.2">
      <c r="A1424" t="s">
        <v>2047</v>
      </c>
      <c r="B1424" s="1">
        <v>44660</v>
      </c>
      <c r="C1424" s="1">
        <v>44696</v>
      </c>
      <c r="D1424" t="s">
        <v>2048</v>
      </c>
      <c r="E1424" t="s">
        <v>33</v>
      </c>
      <c r="F1424" t="s">
        <v>68</v>
      </c>
      <c r="G1424" t="s">
        <v>50</v>
      </c>
      <c r="H1424" t="s">
        <v>21</v>
      </c>
      <c r="I1424" t="s">
        <v>22</v>
      </c>
      <c r="J1424">
        <v>1</v>
      </c>
      <c r="K1424">
        <v>2513000</v>
      </c>
      <c r="L1424" s="2" t="s">
        <v>2049</v>
      </c>
      <c r="M1424" t="s">
        <v>23</v>
      </c>
      <c r="N1424">
        <v>2121000</v>
      </c>
      <c r="O1424">
        <v>4.9000000000000004</v>
      </c>
      <c r="P1424" t="b">
        <v>0</v>
      </c>
    </row>
    <row r="1425" spans="1:16" x14ac:dyDescent="0.2">
      <c r="A1425" t="s">
        <v>2050</v>
      </c>
      <c r="B1425" s="1">
        <v>44660</v>
      </c>
      <c r="C1425" s="1">
        <v>44763</v>
      </c>
      <c r="D1425" t="s">
        <v>1241</v>
      </c>
      <c r="E1425" t="s">
        <v>45</v>
      </c>
      <c r="F1425" t="s">
        <v>19</v>
      </c>
      <c r="G1425" t="s">
        <v>20</v>
      </c>
      <c r="H1425" t="s">
        <v>21</v>
      </c>
      <c r="I1425" t="s">
        <v>57</v>
      </c>
      <c r="J1425">
        <v>1</v>
      </c>
      <c r="K1425">
        <v>3637000</v>
      </c>
      <c r="L1425" s="2" t="s">
        <v>2051</v>
      </c>
      <c r="M1425" t="s">
        <v>23</v>
      </c>
      <c r="N1425">
        <v>3156000</v>
      </c>
      <c r="O1425">
        <v>4</v>
      </c>
      <c r="P1425" t="b">
        <v>1</v>
      </c>
    </row>
    <row r="1426" spans="1:16" x14ac:dyDescent="0.2">
      <c r="A1426" t="s">
        <v>2052</v>
      </c>
      <c r="B1426" s="1">
        <v>44661</v>
      </c>
      <c r="C1426" s="1">
        <v>44730</v>
      </c>
      <c r="D1426" t="s">
        <v>332</v>
      </c>
      <c r="E1426" t="s">
        <v>18</v>
      </c>
      <c r="F1426" t="s">
        <v>39</v>
      </c>
      <c r="G1426" t="s">
        <v>35</v>
      </c>
      <c r="I1426" t="s">
        <v>26</v>
      </c>
      <c r="J1426">
        <v>3</v>
      </c>
      <c r="K1426">
        <v>2421000</v>
      </c>
      <c r="L1426">
        <v>6.0883910493221803E-2</v>
      </c>
      <c r="M1426" t="s">
        <v>23</v>
      </c>
      <c r="N1426">
        <v>6821000</v>
      </c>
      <c r="O1426">
        <v>4.5</v>
      </c>
      <c r="P1426" t="b">
        <v>1</v>
      </c>
    </row>
    <row r="1427" spans="1:16" x14ac:dyDescent="0.2">
      <c r="A1427" t="s">
        <v>2053</v>
      </c>
      <c r="B1427" s="1">
        <v>44662</v>
      </c>
      <c r="C1427" s="1">
        <v>44721</v>
      </c>
      <c r="D1427" t="s">
        <v>1522</v>
      </c>
      <c r="E1427" t="s">
        <v>45</v>
      </c>
      <c r="F1427" t="s">
        <v>34</v>
      </c>
      <c r="G1427" t="s">
        <v>20</v>
      </c>
      <c r="H1427" t="s">
        <v>21</v>
      </c>
      <c r="I1427" t="s">
        <v>2054</v>
      </c>
      <c r="J1427">
        <v>5</v>
      </c>
      <c r="K1427">
        <v>3835000</v>
      </c>
      <c r="L1427">
        <v>6.5014693459712197E-2</v>
      </c>
      <c r="M1427" t="s">
        <v>23</v>
      </c>
      <c r="N1427">
        <v>17928000</v>
      </c>
      <c r="O1427">
        <v>3.9</v>
      </c>
      <c r="P1427" t="b">
        <v>1</v>
      </c>
    </row>
    <row r="1428" spans="1:16" x14ac:dyDescent="0.2">
      <c r="A1428" t="s">
        <v>2055</v>
      </c>
      <c r="B1428" s="1">
        <v>44662</v>
      </c>
      <c r="C1428" s="1">
        <v>44709</v>
      </c>
      <c r="D1428" t="s">
        <v>764</v>
      </c>
      <c r="E1428" t="s">
        <v>45</v>
      </c>
      <c r="F1428" t="s">
        <v>34</v>
      </c>
      <c r="G1428" t="s">
        <v>20</v>
      </c>
      <c r="H1428" t="s">
        <v>47</v>
      </c>
      <c r="I1428" t="s">
        <v>83</v>
      </c>
      <c r="J1428">
        <v>1</v>
      </c>
      <c r="K1428">
        <v>3879000</v>
      </c>
      <c r="L1428" s="2" t="s">
        <v>2056</v>
      </c>
      <c r="M1428" t="s">
        <v>23</v>
      </c>
      <c r="N1428">
        <v>3295000</v>
      </c>
      <c r="O1428">
        <v>4</v>
      </c>
      <c r="P1428" t="b">
        <v>1</v>
      </c>
    </row>
    <row r="1429" spans="1:16" x14ac:dyDescent="0.2">
      <c r="A1429" t="s">
        <v>2057</v>
      </c>
      <c r="B1429" s="1">
        <v>44663</v>
      </c>
      <c r="C1429" s="1">
        <v>44707</v>
      </c>
      <c r="D1429" t="s">
        <v>890</v>
      </c>
      <c r="E1429" t="s">
        <v>29</v>
      </c>
      <c r="F1429" t="s">
        <v>19</v>
      </c>
      <c r="G1429" t="s">
        <v>50</v>
      </c>
      <c r="H1429" t="s">
        <v>21</v>
      </c>
      <c r="I1429" t="s">
        <v>1654</v>
      </c>
      <c r="J1429">
        <v>1</v>
      </c>
      <c r="K1429">
        <v>2666000</v>
      </c>
      <c r="L1429" s="2" t="s">
        <v>2058</v>
      </c>
      <c r="M1429" t="s">
        <v>23</v>
      </c>
      <c r="N1429">
        <v>2338000</v>
      </c>
      <c r="O1429">
        <v>4.5</v>
      </c>
      <c r="P1429" t="b">
        <v>1</v>
      </c>
    </row>
    <row r="1430" spans="1:16" x14ac:dyDescent="0.2">
      <c r="A1430" t="s">
        <v>2059</v>
      </c>
      <c r="B1430" s="1">
        <v>44663</v>
      </c>
      <c r="C1430" s="1">
        <v>44693</v>
      </c>
      <c r="D1430" t="s">
        <v>2060</v>
      </c>
      <c r="E1430" t="s">
        <v>33</v>
      </c>
      <c r="F1430" t="s">
        <v>45</v>
      </c>
      <c r="G1430" t="s">
        <v>50</v>
      </c>
      <c r="I1430" t="s">
        <v>26</v>
      </c>
      <c r="J1430">
        <v>1</v>
      </c>
      <c r="K1430">
        <v>3650000</v>
      </c>
      <c r="L1430">
        <v>7.4138302035888698E-2</v>
      </c>
      <c r="M1430" t="s">
        <v>65</v>
      </c>
      <c r="N1430">
        <v>0</v>
      </c>
      <c r="P1430" t="b">
        <v>0</v>
      </c>
    </row>
    <row r="1431" spans="1:16" x14ac:dyDescent="0.2">
      <c r="A1431" t="s">
        <v>2061</v>
      </c>
      <c r="B1431" s="1">
        <v>44663</v>
      </c>
      <c r="C1431" s="1">
        <v>44683</v>
      </c>
      <c r="D1431" t="s">
        <v>165</v>
      </c>
      <c r="E1431" t="s">
        <v>45</v>
      </c>
      <c r="F1431" t="s">
        <v>19</v>
      </c>
      <c r="G1431" t="s">
        <v>46</v>
      </c>
      <c r="H1431" t="s">
        <v>51</v>
      </c>
      <c r="I1431" t="s">
        <v>60</v>
      </c>
      <c r="J1431">
        <v>3</v>
      </c>
      <c r="K1431">
        <v>2693000</v>
      </c>
      <c r="L1431" s="2" t="s">
        <v>2062</v>
      </c>
      <c r="M1431" t="s">
        <v>65</v>
      </c>
      <c r="N1431">
        <v>0</v>
      </c>
      <c r="P1431" t="b">
        <v>1</v>
      </c>
    </row>
    <row r="1432" spans="1:16" x14ac:dyDescent="0.2">
      <c r="A1432" t="s">
        <v>2063</v>
      </c>
      <c r="B1432" s="1">
        <v>44663</v>
      </c>
      <c r="C1432" s="1">
        <v>44678</v>
      </c>
      <c r="D1432" t="s">
        <v>1435</v>
      </c>
      <c r="E1432" t="s">
        <v>33</v>
      </c>
      <c r="F1432" t="s">
        <v>34</v>
      </c>
      <c r="G1432" t="s">
        <v>35</v>
      </c>
      <c r="H1432" t="s">
        <v>47</v>
      </c>
      <c r="I1432" t="s">
        <v>83</v>
      </c>
      <c r="J1432">
        <v>4</v>
      </c>
      <c r="K1432">
        <v>4308000</v>
      </c>
      <c r="L1432">
        <v>7.0813423202578898E-2</v>
      </c>
      <c r="M1432" t="s">
        <v>23</v>
      </c>
      <c r="N1432">
        <v>16012000</v>
      </c>
      <c r="O1432">
        <v>4</v>
      </c>
      <c r="P1432" t="b">
        <v>1</v>
      </c>
    </row>
    <row r="1433" spans="1:16" x14ac:dyDescent="0.2">
      <c r="A1433" t="s">
        <v>2064</v>
      </c>
      <c r="B1433" s="1">
        <v>44664</v>
      </c>
      <c r="C1433" s="1">
        <v>44727</v>
      </c>
      <c r="D1433" t="s">
        <v>38</v>
      </c>
      <c r="E1433" t="s">
        <v>18</v>
      </c>
      <c r="F1433" t="s">
        <v>34</v>
      </c>
      <c r="G1433" t="s">
        <v>20</v>
      </c>
      <c r="H1433" t="s">
        <v>21</v>
      </c>
      <c r="I1433" t="s">
        <v>99</v>
      </c>
      <c r="J1433">
        <v>3</v>
      </c>
      <c r="K1433">
        <v>4322000</v>
      </c>
      <c r="L1433">
        <v>7.9199676678789105E-2</v>
      </c>
      <c r="M1433" t="s">
        <v>23</v>
      </c>
      <c r="N1433">
        <v>11939000</v>
      </c>
      <c r="O1433">
        <v>4.5999999999999996</v>
      </c>
      <c r="P1433" t="b">
        <v>1</v>
      </c>
    </row>
    <row r="1434" spans="1:16" x14ac:dyDescent="0.2">
      <c r="A1434" t="s">
        <v>2065</v>
      </c>
      <c r="B1434" s="1">
        <v>44664</v>
      </c>
      <c r="C1434" s="1">
        <v>44730</v>
      </c>
      <c r="D1434" t="s">
        <v>594</v>
      </c>
      <c r="E1434" t="s">
        <v>29</v>
      </c>
      <c r="F1434" t="s">
        <v>34</v>
      </c>
      <c r="H1434" t="s">
        <v>47</v>
      </c>
      <c r="J1434">
        <v>1</v>
      </c>
      <c r="K1434">
        <v>4611000</v>
      </c>
      <c r="L1434">
        <v>5.84771405554056E-2</v>
      </c>
      <c r="M1434" t="s">
        <v>23</v>
      </c>
      <c r="N1434">
        <v>4341000</v>
      </c>
      <c r="O1434">
        <v>4.3</v>
      </c>
      <c r="P1434" t="b">
        <v>1</v>
      </c>
    </row>
    <row r="1435" spans="1:16" x14ac:dyDescent="0.2">
      <c r="A1435" t="s">
        <v>2066</v>
      </c>
      <c r="B1435" s="1">
        <v>44665</v>
      </c>
      <c r="C1435" s="1">
        <v>44707</v>
      </c>
      <c r="D1435" t="s">
        <v>2067</v>
      </c>
      <c r="F1435" t="s">
        <v>19</v>
      </c>
      <c r="G1435" t="s">
        <v>50</v>
      </c>
      <c r="H1435" t="s">
        <v>21</v>
      </c>
      <c r="I1435" t="s">
        <v>83</v>
      </c>
      <c r="J1435">
        <v>2</v>
      </c>
      <c r="K1435">
        <v>2738000</v>
      </c>
      <c r="L1435" s="2" t="s">
        <v>2068</v>
      </c>
      <c r="M1435" t="s">
        <v>23</v>
      </c>
      <c r="N1435">
        <v>4919000</v>
      </c>
      <c r="O1435">
        <v>4.2</v>
      </c>
      <c r="P1435" t="b">
        <v>0</v>
      </c>
    </row>
    <row r="1436" spans="1:16" x14ac:dyDescent="0.2">
      <c r="A1436" t="s">
        <v>2069</v>
      </c>
      <c r="B1436" s="1">
        <v>44665</v>
      </c>
      <c r="C1436" s="1">
        <v>44719</v>
      </c>
      <c r="D1436" t="s">
        <v>865</v>
      </c>
      <c r="E1436" t="s">
        <v>33</v>
      </c>
      <c r="F1436" t="s">
        <v>39</v>
      </c>
      <c r="G1436" t="s">
        <v>35</v>
      </c>
      <c r="H1436" t="s">
        <v>47</v>
      </c>
      <c r="I1436" t="s">
        <v>57</v>
      </c>
      <c r="J1436">
        <v>4</v>
      </c>
      <c r="K1436">
        <v>2574000</v>
      </c>
      <c r="L1436" s="3">
        <v>0.11799999999999999</v>
      </c>
      <c r="M1436" t="s">
        <v>23</v>
      </c>
      <c r="N1436">
        <v>9079000</v>
      </c>
      <c r="O1436">
        <v>4</v>
      </c>
      <c r="P1436" t="b">
        <v>1</v>
      </c>
    </row>
    <row r="1437" spans="1:16" x14ac:dyDescent="0.2">
      <c r="A1437" t="s">
        <v>2070</v>
      </c>
      <c r="B1437" s="1">
        <v>44665</v>
      </c>
      <c r="C1437" s="1">
        <v>44702</v>
      </c>
      <c r="D1437" t="s">
        <v>1049</v>
      </c>
      <c r="F1437" t="s">
        <v>34</v>
      </c>
      <c r="G1437" t="s">
        <v>20</v>
      </c>
      <c r="H1437" t="s">
        <v>40</v>
      </c>
      <c r="I1437" t="s">
        <v>60</v>
      </c>
      <c r="J1437">
        <v>1</v>
      </c>
      <c r="K1437">
        <v>4245000</v>
      </c>
      <c r="L1437" s="2" t="s">
        <v>2071</v>
      </c>
      <c r="M1437" t="s">
        <v>23</v>
      </c>
      <c r="N1437">
        <v>3820000</v>
      </c>
      <c r="O1437">
        <v>3.7</v>
      </c>
      <c r="P1437" t="b">
        <v>1</v>
      </c>
    </row>
    <row r="1438" spans="1:16" x14ac:dyDescent="0.2">
      <c r="A1438" t="s">
        <v>2072</v>
      </c>
      <c r="B1438" s="1">
        <v>44665</v>
      </c>
      <c r="C1438" s="1">
        <v>44727</v>
      </c>
      <c r="D1438" t="s">
        <v>1585</v>
      </c>
      <c r="E1438" t="s">
        <v>45</v>
      </c>
      <c r="F1438" t="s">
        <v>25</v>
      </c>
      <c r="G1438" t="s">
        <v>35</v>
      </c>
      <c r="H1438" t="s">
        <v>21</v>
      </c>
      <c r="J1438">
        <v>2</v>
      </c>
      <c r="K1438">
        <v>4820000</v>
      </c>
      <c r="L1438">
        <v>8.78098896232576E-2</v>
      </c>
      <c r="M1438" t="s">
        <v>23</v>
      </c>
      <c r="N1438">
        <v>8794000</v>
      </c>
      <c r="O1438">
        <v>5</v>
      </c>
      <c r="P1438" t="b">
        <v>1</v>
      </c>
    </row>
    <row r="1439" spans="1:16" x14ac:dyDescent="0.2">
      <c r="A1439" t="s">
        <v>2073</v>
      </c>
      <c r="B1439" s="1">
        <v>44666</v>
      </c>
      <c r="C1439" s="1">
        <v>44720</v>
      </c>
      <c r="D1439" t="s">
        <v>464</v>
      </c>
      <c r="E1439" t="s">
        <v>29</v>
      </c>
      <c r="F1439" t="s">
        <v>39</v>
      </c>
      <c r="G1439" t="s">
        <v>20</v>
      </c>
      <c r="H1439" t="s">
        <v>21</v>
      </c>
      <c r="I1439" t="s">
        <v>57</v>
      </c>
      <c r="J1439">
        <v>2</v>
      </c>
      <c r="K1439">
        <v>2579000</v>
      </c>
      <c r="L1439">
        <v>3.5334419458691702E-2</v>
      </c>
      <c r="M1439" t="s">
        <v>23</v>
      </c>
      <c r="N1439">
        <v>4976000</v>
      </c>
      <c r="O1439">
        <v>3.7</v>
      </c>
      <c r="P1439" t="b">
        <v>1</v>
      </c>
    </row>
    <row r="1440" spans="1:16" x14ac:dyDescent="0.2">
      <c r="A1440" t="s">
        <v>2074</v>
      </c>
      <c r="B1440" s="1">
        <v>44666</v>
      </c>
      <c r="C1440" s="1">
        <v>44736</v>
      </c>
      <c r="D1440" t="s">
        <v>2075</v>
      </c>
      <c r="E1440" t="s">
        <v>45</v>
      </c>
      <c r="F1440" t="s">
        <v>45</v>
      </c>
      <c r="G1440" t="s">
        <v>46</v>
      </c>
      <c r="H1440" t="s">
        <v>21</v>
      </c>
      <c r="I1440" t="s">
        <v>83</v>
      </c>
      <c r="J1440">
        <v>1</v>
      </c>
      <c r="K1440">
        <v>2651000</v>
      </c>
      <c r="L1440" s="2" t="s">
        <v>2076</v>
      </c>
      <c r="M1440" t="s">
        <v>23</v>
      </c>
      <c r="N1440">
        <v>2355000</v>
      </c>
      <c r="O1440">
        <v>4.5</v>
      </c>
      <c r="P1440" t="b">
        <v>0</v>
      </c>
    </row>
    <row r="1441" spans="1:16" x14ac:dyDescent="0.2">
      <c r="A1441" t="s">
        <v>2077</v>
      </c>
      <c r="B1441" s="1">
        <v>44667</v>
      </c>
      <c r="C1441" s="1">
        <v>44794</v>
      </c>
      <c r="D1441" t="s">
        <v>2078</v>
      </c>
      <c r="E1441" t="s">
        <v>45</v>
      </c>
      <c r="F1441" t="s">
        <v>19</v>
      </c>
      <c r="G1441" t="s">
        <v>20</v>
      </c>
      <c r="H1441" t="s">
        <v>47</v>
      </c>
      <c r="I1441" t="s">
        <v>77</v>
      </c>
      <c r="J1441">
        <v>1</v>
      </c>
      <c r="K1441">
        <v>2687000</v>
      </c>
      <c r="L1441" s="2" t="s">
        <v>2079</v>
      </c>
      <c r="M1441" t="s">
        <v>23</v>
      </c>
      <c r="N1441">
        <v>2412000</v>
      </c>
      <c r="O1441">
        <v>4.4000000000000004</v>
      </c>
      <c r="P1441" t="b">
        <v>0</v>
      </c>
    </row>
    <row r="1442" spans="1:16" x14ac:dyDescent="0.2">
      <c r="A1442" t="s">
        <v>2080</v>
      </c>
      <c r="B1442" s="1">
        <v>44667</v>
      </c>
      <c r="C1442" s="1">
        <v>44731</v>
      </c>
      <c r="D1442" t="s">
        <v>393</v>
      </c>
      <c r="E1442" t="s">
        <v>18</v>
      </c>
      <c r="F1442" t="s">
        <v>39</v>
      </c>
      <c r="G1442" t="s">
        <v>20</v>
      </c>
      <c r="H1442" t="s">
        <v>40</v>
      </c>
      <c r="I1442" t="s">
        <v>30</v>
      </c>
      <c r="J1442">
        <v>1</v>
      </c>
      <c r="K1442">
        <v>2668000</v>
      </c>
      <c r="L1442" s="2" t="s">
        <v>2081</v>
      </c>
      <c r="M1442" t="s">
        <v>23</v>
      </c>
      <c r="N1442">
        <v>2323000</v>
      </c>
      <c r="O1442">
        <v>3.9</v>
      </c>
      <c r="P1442" t="b">
        <v>1</v>
      </c>
    </row>
    <row r="1443" spans="1:16" x14ac:dyDescent="0.2">
      <c r="A1443" t="s">
        <v>2082</v>
      </c>
      <c r="B1443" s="1">
        <v>44667</v>
      </c>
      <c r="C1443" s="1">
        <v>44723</v>
      </c>
      <c r="D1443" t="s">
        <v>510</v>
      </c>
      <c r="E1443" t="s">
        <v>18</v>
      </c>
      <c r="F1443" t="s">
        <v>19</v>
      </c>
      <c r="G1443" t="s">
        <v>35</v>
      </c>
      <c r="H1443" t="s">
        <v>47</v>
      </c>
      <c r="I1443" t="s">
        <v>22</v>
      </c>
      <c r="J1443">
        <v>2</v>
      </c>
      <c r="K1443">
        <v>2290000</v>
      </c>
      <c r="L1443" s="2" t="s">
        <v>2083</v>
      </c>
      <c r="M1443" t="s">
        <v>23</v>
      </c>
      <c r="N1443">
        <v>3978000</v>
      </c>
      <c r="O1443">
        <v>3.9</v>
      </c>
      <c r="P1443" t="b">
        <v>1</v>
      </c>
    </row>
    <row r="1444" spans="1:16" x14ac:dyDescent="0.2">
      <c r="A1444" t="s">
        <v>2084</v>
      </c>
      <c r="B1444" s="1">
        <v>44667</v>
      </c>
      <c r="C1444" s="1">
        <v>44716</v>
      </c>
      <c r="D1444" t="s">
        <v>185</v>
      </c>
      <c r="E1444" t="s">
        <v>29</v>
      </c>
      <c r="F1444" t="s">
        <v>34</v>
      </c>
      <c r="G1444" t="s">
        <v>20</v>
      </c>
      <c r="H1444" t="s">
        <v>47</v>
      </c>
      <c r="I1444" t="s">
        <v>60</v>
      </c>
      <c r="J1444">
        <v>4</v>
      </c>
      <c r="K1444">
        <v>4220000</v>
      </c>
      <c r="L1444" s="2" t="s">
        <v>2085</v>
      </c>
      <c r="M1444" t="s">
        <v>23</v>
      </c>
      <c r="N1444">
        <v>14754000</v>
      </c>
      <c r="O1444">
        <v>3.4</v>
      </c>
      <c r="P1444" t="b">
        <v>1</v>
      </c>
    </row>
    <row r="1445" spans="1:16" x14ac:dyDescent="0.2">
      <c r="A1445" t="s">
        <v>2086</v>
      </c>
      <c r="B1445" s="1">
        <v>44669</v>
      </c>
      <c r="C1445" s="1">
        <v>44743</v>
      </c>
      <c r="D1445" t="s">
        <v>534</v>
      </c>
      <c r="E1445" t="s">
        <v>45</v>
      </c>
      <c r="F1445" t="s">
        <v>34</v>
      </c>
      <c r="G1445" t="s">
        <v>20</v>
      </c>
      <c r="H1445" t="s">
        <v>40</v>
      </c>
      <c r="I1445" t="s">
        <v>60</v>
      </c>
      <c r="J1445">
        <v>1</v>
      </c>
      <c r="K1445">
        <v>4654000</v>
      </c>
      <c r="L1445" s="2" t="s">
        <v>2087</v>
      </c>
      <c r="M1445" t="s">
        <v>23</v>
      </c>
      <c r="N1445">
        <v>4559000</v>
      </c>
      <c r="O1445">
        <v>4.3</v>
      </c>
      <c r="P1445" t="b">
        <v>1</v>
      </c>
    </row>
    <row r="1446" spans="1:16" x14ac:dyDescent="0.2">
      <c r="A1446" t="s">
        <v>2088</v>
      </c>
      <c r="B1446" s="1">
        <v>44669</v>
      </c>
      <c r="C1446" s="1">
        <v>44736</v>
      </c>
      <c r="D1446" t="s">
        <v>2089</v>
      </c>
      <c r="E1446" t="s">
        <v>45</v>
      </c>
      <c r="F1446" t="s">
        <v>68</v>
      </c>
      <c r="G1446" t="s">
        <v>35</v>
      </c>
      <c r="H1446" t="s">
        <v>21</v>
      </c>
      <c r="I1446" t="s">
        <v>94</v>
      </c>
      <c r="J1446">
        <v>3</v>
      </c>
      <c r="K1446">
        <v>2286000</v>
      </c>
      <c r="L1446">
        <v>8.2937242502285596E-2</v>
      </c>
      <c r="M1446" t="s">
        <v>23</v>
      </c>
      <c r="N1446">
        <v>6289000</v>
      </c>
      <c r="O1446">
        <v>5</v>
      </c>
      <c r="P1446" t="b">
        <v>0</v>
      </c>
    </row>
    <row r="1447" spans="1:16" x14ac:dyDescent="0.2">
      <c r="A1447" t="s">
        <v>2090</v>
      </c>
      <c r="B1447" s="1">
        <v>44670</v>
      </c>
      <c r="C1447" s="1">
        <v>44748</v>
      </c>
      <c r="D1447" t="s">
        <v>2091</v>
      </c>
      <c r="E1447" t="s">
        <v>45</v>
      </c>
      <c r="F1447" t="s">
        <v>45</v>
      </c>
      <c r="G1447" t="s">
        <v>50</v>
      </c>
      <c r="H1447" t="s">
        <v>21</v>
      </c>
      <c r="I1447" t="s">
        <v>83</v>
      </c>
      <c r="J1447">
        <v>3</v>
      </c>
      <c r="K1447">
        <v>2692000</v>
      </c>
      <c r="L1447">
        <v>7.7027635137935896E-2</v>
      </c>
      <c r="M1447" t="s">
        <v>23</v>
      </c>
      <c r="N1447">
        <v>7454000</v>
      </c>
      <c r="O1447">
        <v>4.0999999999999996</v>
      </c>
      <c r="P1447" t="b">
        <v>0</v>
      </c>
    </row>
    <row r="1448" spans="1:16" x14ac:dyDescent="0.2">
      <c r="A1448" t="s">
        <v>2092</v>
      </c>
      <c r="B1448" s="1">
        <v>44670</v>
      </c>
      <c r="C1448" s="1">
        <v>44685</v>
      </c>
      <c r="D1448" t="s">
        <v>408</v>
      </c>
      <c r="E1448" t="s">
        <v>33</v>
      </c>
      <c r="F1448" t="s">
        <v>34</v>
      </c>
      <c r="G1448" t="s">
        <v>50</v>
      </c>
      <c r="H1448" t="s">
        <v>51</v>
      </c>
      <c r="I1448" t="s">
        <v>57</v>
      </c>
      <c r="J1448">
        <v>3</v>
      </c>
      <c r="K1448">
        <v>4113000</v>
      </c>
      <c r="L1448">
        <v>7.2311288775931806E-2</v>
      </c>
      <c r="M1448" t="s">
        <v>23</v>
      </c>
      <c r="N1448">
        <v>11447000</v>
      </c>
      <c r="O1448">
        <v>4.3</v>
      </c>
      <c r="P1448" t="b">
        <v>1</v>
      </c>
    </row>
    <row r="1449" spans="1:16" x14ac:dyDescent="0.2">
      <c r="A1449" t="s">
        <v>2093</v>
      </c>
      <c r="B1449" s="1">
        <v>44671</v>
      </c>
      <c r="C1449" s="1">
        <v>44773</v>
      </c>
      <c r="D1449" t="s">
        <v>805</v>
      </c>
      <c r="E1449" t="s">
        <v>33</v>
      </c>
      <c r="F1449" t="s">
        <v>19</v>
      </c>
      <c r="H1449" t="s">
        <v>21</v>
      </c>
      <c r="I1449" t="s">
        <v>60</v>
      </c>
      <c r="J1449">
        <v>2</v>
      </c>
      <c r="K1449">
        <v>3009000</v>
      </c>
      <c r="L1449" s="2" t="s">
        <v>2094</v>
      </c>
      <c r="M1449" t="s">
        <v>23</v>
      </c>
      <c r="N1449">
        <v>5001000</v>
      </c>
      <c r="O1449">
        <v>5</v>
      </c>
      <c r="P1449" t="b">
        <v>1</v>
      </c>
    </row>
    <row r="1450" spans="1:16" x14ac:dyDescent="0.2">
      <c r="A1450" t="s">
        <v>2095</v>
      </c>
      <c r="B1450" s="1">
        <v>44672</v>
      </c>
      <c r="C1450" s="1">
        <v>44738</v>
      </c>
      <c r="D1450" t="s">
        <v>1943</v>
      </c>
      <c r="E1450" t="s">
        <v>29</v>
      </c>
      <c r="F1450" t="s">
        <v>34</v>
      </c>
      <c r="G1450" t="s">
        <v>20</v>
      </c>
      <c r="H1450" t="s">
        <v>40</v>
      </c>
      <c r="I1450" t="s">
        <v>26</v>
      </c>
      <c r="J1450">
        <v>3</v>
      </c>
      <c r="K1450">
        <v>4345000</v>
      </c>
      <c r="L1450">
        <v>7.5809354299123194E-2</v>
      </c>
      <c r="M1450" t="s">
        <v>65</v>
      </c>
      <c r="N1450">
        <v>0</v>
      </c>
      <c r="P1450" t="b">
        <v>1</v>
      </c>
    </row>
    <row r="1451" spans="1:16" x14ac:dyDescent="0.2">
      <c r="A1451" t="s">
        <v>2096</v>
      </c>
      <c r="B1451" s="1">
        <v>44674</v>
      </c>
      <c r="C1451" s="1">
        <v>44738</v>
      </c>
      <c r="D1451" t="s">
        <v>216</v>
      </c>
      <c r="E1451" t="s">
        <v>18</v>
      </c>
      <c r="F1451" t="s">
        <v>39</v>
      </c>
      <c r="G1451" t="s">
        <v>50</v>
      </c>
      <c r="I1451" t="s">
        <v>30</v>
      </c>
      <c r="J1451">
        <v>1</v>
      </c>
      <c r="K1451">
        <v>2656000</v>
      </c>
      <c r="L1451" s="2" t="s">
        <v>2097</v>
      </c>
      <c r="M1451" t="s">
        <v>65</v>
      </c>
      <c r="N1451">
        <v>0</v>
      </c>
      <c r="P1451" t="b">
        <v>1</v>
      </c>
    </row>
    <row r="1452" spans="1:16" x14ac:dyDescent="0.2">
      <c r="A1452" t="s">
        <v>2098</v>
      </c>
      <c r="B1452" s="1">
        <v>44674</v>
      </c>
      <c r="C1452" s="1">
        <v>44713</v>
      </c>
      <c r="D1452" t="s">
        <v>2099</v>
      </c>
      <c r="E1452" t="s">
        <v>18</v>
      </c>
      <c r="F1452" t="s">
        <v>19</v>
      </c>
      <c r="G1452" t="s">
        <v>35</v>
      </c>
      <c r="H1452" t="s">
        <v>47</v>
      </c>
      <c r="I1452" t="s">
        <v>26</v>
      </c>
      <c r="J1452">
        <v>1</v>
      </c>
      <c r="K1452">
        <v>2774000</v>
      </c>
      <c r="L1452" s="2" t="s">
        <v>2100</v>
      </c>
      <c r="M1452" t="s">
        <v>23</v>
      </c>
      <c r="N1452">
        <v>2440000</v>
      </c>
      <c r="O1452">
        <v>4.5</v>
      </c>
      <c r="P1452" t="b">
        <v>0</v>
      </c>
    </row>
    <row r="1453" spans="1:16" x14ac:dyDescent="0.2">
      <c r="A1453" t="s">
        <v>2101</v>
      </c>
      <c r="B1453" s="1">
        <v>44674</v>
      </c>
      <c r="C1453" s="1">
        <v>44725</v>
      </c>
      <c r="D1453" t="s">
        <v>2102</v>
      </c>
      <c r="E1453" t="s">
        <v>45</v>
      </c>
      <c r="F1453" t="s">
        <v>25</v>
      </c>
      <c r="G1453" t="s">
        <v>20</v>
      </c>
      <c r="H1453" t="s">
        <v>47</v>
      </c>
      <c r="I1453" t="s">
        <v>52</v>
      </c>
      <c r="J1453">
        <v>3</v>
      </c>
      <c r="K1453">
        <v>4806000</v>
      </c>
      <c r="L1453" s="3">
        <v>0</v>
      </c>
      <c r="M1453" t="s">
        <v>65</v>
      </c>
      <c r="N1453">
        <v>0</v>
      </c>
      <c r="P1453" t="b">
        <v>0</v>
      </c>
    </row>
    <row r="1454" spans="1:16" x14ac:dyDescent="0.2">
      <c r="A1454" t="s">
        <v>2103</v>
      </c>
      <c r="B1454" s="1">
        <v>44674</v>
      </c>
      <c r="C1454" s="1">
        <v>44717</v>
      </c>
      <c r="D1454" t="s">
        <v>2104</v>
      </c>
      <c r="E1454" t="s">
        <v>45</v>
      </c>
      <c r="F1454" t="s">
        <v>25</v>
      </c>
      <c r="G1454" t="s">
        <v>35</v>
      </c>
      <c r="H1454" t="s">
        <v>21</v>
      </c>
      <c r="I1454" t="s">
        <v>83</v>
      </c>
      <c r="J1454">
        <v>4</v>
      </c>
      <c r="K1454">
        <v>5095000</v>
      </c>
      <c r="L1454" s="2" t="s">
        <v>2105</v>
      </c>
      <c r="M1454" t="s">
        <v>23</v>
      </c>
      <c r="N1454">
        <v>18161000</v>
      </c>
      <c r="O1454">
        <v>4.2</v>
      </c>
      <c r="P1454" t="b">
        <v>0</v>
      </c>
    </row>
    <row r="1455" spans="1:16" x14ac:dyDescent="0.2">
      <c r="A1455" t="s">
        <v>2106</v>
      </c>
      <c r="B1455" s="1">
        <v>44675</v>
      </c>
      <c r="C1455" s="1">
        <v>44719</v>
      </c>
      <c r="D1455" t="s">
        <v>1775</v>
      </c>
      <c r="E1455" t="s">
        <v>33</v>
      </c>
      <c r="F1455" t="s">
        <v>39</v>
      </c>
      <c r="G1455" t="s">
        <v>50</v>
      </c>
      <c r="H1455" t="s">
        <v>47</v>
      </c>
      <c r="I1455" t="s">
        <v>60</v>
      </c>
      <c r="J1455">
        <v>2</v>
      </c>
      <c r="K1455">
        <v>2984000</v>
      </c>
      <c r="L1455">
        <v>7.12757962999441E-2</v>
      </c>
      <c r="M1455" t="s">
        <v>23</v>
      </c>
      <c r="N1455">
        <v>5543000</v>
      </c>
      <c r="O1455">
        <v>4.2</v>
      </c>
      <c r="P1455" t="b">
        <v>1</v>
      </c>
    </row>
    <row r="1456" spans="1:16" x14ac:dyDescent="0.2">
      <c r="A1456" t="s">
        <v>2107</v>
      </c>
      <c r="B1456" s="1">
        <v>44675</v>
      </c>
      <c r="C1456" s="1">
        <v>44738</v>
      </c>
      <c r="D1456" t="s">
        <v>114</v>
      </c>
      <c r="E1456" t="s">
        <v>45</v>
      </c>
      <c r="F1456" t="s">
        <v>45</v>
      </c>
      <c r="G1456" t="s">
        <v>20</v>
      </c>
      <c r="H1456" t="s">
        <v>21</v>
      </c>
      <c r="J1456">
        <v>3</v>
      </c>
      <c r="K1456">
        <v>3343000</v>
      </c>
      <c r="L1456" s="2" t="s">
        <v>2108</v>
      </c>
      <c r="M1456" t="s">
        <v>23</v>
      </c>
      <c r="N1456">
        <v>9016000</v>
      </c>
      <c r="O1456">
        <v>4.4000000000000004</v>
      </c>
      <c r="P1456" t="b">
        <v>1</v>
      </c>
    </row>
    <row r="1457" spans="1:16" x14ac:dyDescent="0.2">
      <c r="A1457" t="s">
        <v>2109</v>
      </c>
      <c r="B1457" s="1">
        <v>44675</v>
      </c>
      <c r="C1457" s="1">
        <v>44708</v>
      </c>
      <c r="D1457" t="s">
        <v>2110</v>
      </c>
      <c r="E1457" t="s">
        <v>29</v>
      </c>
      <c r="F1457" t="s">
        <v>25</v>
      </c>
      <c r="G1457" t="s">
        <v>50</v>
      </c>
      <c r="H1457" t="s">
        <v>21</v>
      </c>
      <c r="I1457" t="s">
        <v>30</v>
      </c>
      <c r="J1457">
        <v>3</v>
      </c>
      <c r="K1457">
        <v>4941000</v>
      </c>
      <c r="L1457" s="2" t="s">
        <v>2111</v>
      </c>
      <c r="M1457" t="s">
        <v>23</v>
      </c>
      <c r="N1457">
        <v>13030000</v>
      </c>
      <c r="O1457">
        <v>4.3</v>
      </c>
      <c r="P1457" t="b">
        <v>0</v>
      </c>
    </row>
    <row r="1458" spans="1:16" x14ac:dyDescent="0.2">
      <c r="A1458" t="s">
        <v>2112</v>
      </c>
      <c r="B1458" s="1">
        <v>44675</v>
      </c>
      <c r="C1458" s="1">
        <v>44719</v>
      </c>
      <c r="D1458" t="s">
        <v>2113</v>
      </c>
      <c r="E1458" t="s">
        <v>45</v>
      </c>
      <c r="F1458" t="s">
        <v>45</v>
      </c>
      <c r="G1458" t="s">
        <v>20</v>
      </c>
      <c r="H1458" t="s">
        <v>47</v>
      </c>
      <c r="I1458" t="s">
        <v>60</v>
      </c>
      <c r="J1458">
        <v>3</v>
      </c>
      <c r="K1458">
        <v>3459000</v>
      </c>
      <c r="L1458">
        <v>7.9849626830977197E-2</v>
      </c>
      <c r="M1458" t="s">
        <v>23</v>
      </c>
      <c r="N1458">
        <v>9548000</v>
      </c>
      <c r="O1458">
        <v>4.5</v>
      </c>
      <c r="P1458" t="b">
        <v>0</v>
      </c>
    </row>
    <row r="1459" spans="1:16" x14ac:dyDescent="0.2">
      <c r="A1459" t="s">
        <v>2114</v>
      </c>
      <c r="B1459" s="1">
        <v>44675</v>
      </c>
      <c r="C1459" s="1">
        <v>44741</v>
      </c>
      <c r="D1459" t="s">
        <v>96</v>
      </c>
      <c r="E1459" t="s">
        <v>45</v>
      </c>
      <c r="F1459" t="s">
        <v>39</v>
      </c>
      <c r="G1459" t="s">
        <v>35</v>
      </c>
      <c r="H1459" t="s">
        <v>21</v>
      </c>
      <c r="I1459" t="s">
        <v>30</v>
      </c>
      <c r="J1459">
        <v>1</v>
      </c>
      <c r="K1459">
        <v>2388000</v>
      </c>
      <c r="L1459" s="2" t="s">
        <v>2115</v>
      </c>
      <c r="M1459" t="s">
        <v>23</v>
      </c>
      <c r="N1459">
        <v>2055000</v>
      </c>
      <c r="O1459">
        <v>5</v>
      </c>
      <c r="P1459" t="b">
        <v>1</v>
      </c>
    </row>
    <row r="1460" spans="1:16" x14ac:dyDescent="0.2">
      <c r="A1460" t="s">
        <v>2116</v>
      </c>
      <c r="B1460" s="1">
        <v>44675</v>
      </c>
      <c r="C1460" s="1">
        <v>44762</v>
      </c>
      <c r="D1460" t="s">
        <v>2117</v>
      </c>
      <c r="E1460" t="s">
        <v>29</v>
      </c>
      <c r="F1460" t="s">
        <v>45</v>
      </c>
      <c r="G1460" t="s">
        <v>20</v>
      </c>
      <c r="I1460" t="s">
        <v>57</v>
      </c>
      <c r="J1460">
        <v>1</v>
      </c>
      <c r="K1460">
        <v>4391000</v>
      </c>
      <c r="L1460">
        <v>7.3302922452416305E-2</v>
      </c>
      <c r="M1460" t="s">
        <v>23</v>
      </c>
      <c r="N1460">
        <v>4069000</v>
      </c>
      <c r="O1460">
        <v>4.7</v>
      </c>
      <c r="P1460" t="b">
        <v>0</v>
      </c>
    </row>
    <row r="1461" spans="1:16" x14ac:dyDescent="0.2">
      <c r="A1461" t="s">
        <v>2118</v>
      </c>
      <c r="B1461" s="1">
        <v>44676</v>
      </c>
      <c r="C1461" s="1">
        <v>44721</v>
      </c>
      <c r="D1461" t="s">
        <v>2119</v>
      </c>
      <c r="E1461" t="s">
        <v>18</v>
      </c>
      <c r="F1461" t="s">
        <v>34</v>
      </c>
      <c r="G1461" t="s">
        <v>20</v>
      </c>
      <c r="H1461" t="s">
        <v>21</v>
      </c>
      <c r="I1461" t="s">
        <v>30</v>
      </c>
      <c r="J1461">
        <v>3</v>
      </c>
      <c r="K1461">
        <v>4012000</v>
      </c>
      <c r="L1461" s="2" t="s">
        <v>2120</v>
      </c>
      <c r="M1461" t="s">
        <v>23</v>
      </c>
      <c r="N1461">
        <v>11906000</v>
      </c>
      <c r="O1461">
        <v>3.3</v>
      </c>
      <c r="P1461" t="b">
        <v>0</v>
      </c>
    </row>
    <row r="1462" spans="1:16" x14ac:dyDescent="0.2">
      <c r="A1462" t="s">
        <v>2121</v>
      </c>
      <c r="B1462" s="1">
        <v>44677</v>
      </c>
      <c r="C1462" s="1">
        <v>44743</v>
      </c>
      <c r="D1462" t="s">
        <v>2122</v>
      </c>
      <c r="E1462" t="s">
        <v>33</v>
      </c>
      <c r="F1462" t="s">
        <v>34</v>
      </c>
      <c r="G1462" t="s">
        <v>50</v>
      </c>
      <c r="H1462" t="s">
        <v>21</v>
      </c>
      <c r="I1462" t="s">
        <v>94</v>
      </c>
      <c r="J1462">
        <v>1</v>
      </c>
      <c r="K1462">
        <v>4738000</v>
      </c>
      <c r="L1462" s="3">
        <v>6.4000000000000001E-2</v>
      </c>
      <c r="M1462" t="s">
        <v>23</v>
      </c>
      <c r="N1462">
        <v>4436000</v>
      </c>
      <c r="O1462">
        <v>4.3</v>
      </c>
      <c r="P1462" t="b">
        <v>0</v>
      </c>
    </row>
    <row r="1463" spans="1:16" x14ac:dyDescent="0.2">
      <c r="A1463" t="s">
        <v>2123</v>
      </c>
      <c r="B1463" s="1">
        <v>44677</v>
      </c>
      <c r="C1463" s="1">
        <v>44695</v>
      </c>
      <c r="D1463" t="s">
        <v>1943</v>
      </c>
      <c r="E1463" t="s">
        <v>45</v>
      </c>
      <c r="F1463" t="s">
        <v>34</v>
      </c>
      <c r="G1463" t="s">
        <v>20</v>
      </c>
      <c r="I1463" t="s">
        <v>30</v>
      </c>
      <c r="J1463">
        <v>2</v>
      </c>
      <c r="K1463">
        <v>3539000</v>
      </c>
      <c r="L1463" s="2" t="s">
        <v>2124</v>
      </c>
      <c r="M1463" t="s">
        <v>23</v>
      </c>
      <c r="N1463">
        <v>6072000</v>
      </c>
      <c r="O1463">
        <v>3.9</v>
      </c>
      <c r="P1463" t="b">
        <v>1</v>
      </c>
    </row>
    <row r="1464" spans="1:16" x14ac:dyDescent="0.2">
      <c r="A1464" t="s">
        <v>2125</v>
      </c>
      <c r="B1464" s="1">
        <v>44677</v>
      </c>
      <c r="C1464" s="1">
        <v>44706</v>
      </c>
      <c r="D1464" t="s">
        <v>805</v>
      </c>
      <c r="E1464" t="s">
        <v>18</v>
      </c>
      <c r="F1464" t="s">
        <v>68</v>
      </c>
      <c r="G1464" t="s">
        <v>46</v>
      </c>
      <c r="H1464" t="s">
        <v>21</v>
      </c>
      <c r="I1464" t="s">
        <v>94</v>
      </c>
      <c r="J1464">
        <v>1</v>
      </c>
      <c r="K1464">
        <v>2144000</v>
      </c>
      <c r="L1464">
        <v>4.0063034815549903E-2</v>
      </c>
      <c r="M1464" t="s">
        <v>23</v>
      </c>
      <c r="N1464">
        <v>2058000</v>
      </c>
      <c r="O1464">
        <v>4.5</v>
      </c>
      <c r="P1464" t="b">
        <v>1</v>
      </c>
    </row>
    <row r="1465" spans="1:16" x14ac:dyDescent="0.2">
      <c r="A1465" t="s">
        <v>2126</v>
      </c>
      <c r="B1465" s="1">
        <v>44677</v>
      </c>
      <c r="C1465" s="1">
        <v>44724</v>
      </c>
      <c r="D1465" t="s">
        <v>755</v>
      </c>
      <c r="E1465" t="s">
        <v>33</v>
      </c>
      <c r="F1465" t="s">
        <v>39</v>
      </c>
      <c r="G1465" t="s">
        <v>50</v>
      </c>
      <c r="H1465" t="s">
        <v>21</v>
      </c>
      <c r="I1465" t="s">
        <v>1654</v>
      </c>
      <c r="J1465">
        <v>3</v>
      </c>
      <c r="K1465">
        <v>2365000</v>
      </c>
      <c r="L1465" s="2" t="s">
        <v>2127</v>
      </c>
      <c r="M1465" t="s">
        <v>23</v>
      </c>
      <c r="N1465">
        <v>6105000</v>
      </c>
      <c r="O1465">
        <v>4.7</v>
      </c>
      <c r="P1465" t="b">
        <v>1</v>
      </c>
    </row>
    <row r="1466" spans="1:16" x14ac:dyDescent="0.2">
      <c r="A1466" t="s">
        <v>2128</v>
      </c>
      <c r="B1466" s="1">
        <v>44677</v>
      </c>
      <c r="C1466" s="1">
        <v>44701</v>
      </c>
      <c r="D1466" t="s">
        <v>2129</v>
      </c>
      <c r="E1466" t="s">
        <v>45</v>
      </c>
      <c r="F1466" t="s">
        <v>45</v>
      </c>
      <c r="G1466" t="s">
        <v>35</v>
      </c>
      <c r="H1466" t="s">
        <v>40</v>
      </c>
      <c r="I1466" t="s">
        <v>57</v>
      </c>
      <c r="J1466">
        <v>1</v>
      </c>
      <c r="K1466">
        <v>3660000</v>
      </c>
      <c r="L1466" s="2" t="s">
        <v>2130</v>
      </c>
      <c r="M1466" t="s">
        <v>23</v>
      </c>
      <c r="N1466">
        <v>3540000</v>
      </c>
      <c r="O1466">
        <v>4.5</v>
      </c>
      <c r="P1466" t="b">
        <v>0</v>
      </c>
    </row>
    <row r="1467" spans="1:16" x14ac:dyDescent="0.2">
      <c r="A1467" t="s">
        <v>2131</v>
      </c>
      <c r="B1467" s="1">
        <v>44678</v>
      </c>
      <c r="C1467" s="1">
        <v>44726</v>
      </c>
      <c r="D1467" t="s">
        <v>482</v>
      </c>
      <c r="E1467" t="s">
        <v>18</v>
      </c>
      <c r="F1467" t="s">
        <v>25</v>
      </c>
      <c r="H1467" t="s">
        <v>21</v>
      </c>
      <c r="I1467" t="s">
        <v>94</v>
      </c>
      <c r="J1467">
        <v>1</v>
      </c>
      <c r="K1467">
        <v>4764000</v>
      </c>
      <c r="L1467" s="2" t="s">
        <v>2132</v>
      </c>
      <c r="M1467" t="s">
        <v>65</v>
      </c>
      <c r="N1467">
        <v>0</v>
      </c>
      <c r="P1467" t="b">
        <v>1</v>
      </c>
    </row>
    <row r="1468" spans="1:16" x14ac:dyDescent="0.2">
      <c r="A1468" t="s">
        <v>2133</v>
      </c>
      <c r="B1468" s="1">
        <v>44679</v>
      </c>
      <c r="C1468" s="1">
        <v>44703</v>
      </c>
      <c r="D1468" t="s">
        <v>1806</v>
      </c>
      <c r="E1468" t="s">
        <v>18</v>
      </c>
      <c r="F1468" t="s">
        <v>34</v>
      </c>
      <c r="G1468" t="s">
        <v>20</v>
      </c>
      <c r="H1468" t="s">
        <v>40</v>
      </c>
      <c r="I1468" t="s">
        <v>57</v>
      </c>
      <c r="J1468">
        <v>1</v>
      </c>
      <c r="K1468">
        <v>4423000</v>
      </c>
      <c r="L1468" s="2" t="s">
        <v>2134</v>
      </c>
      <c r="M1468" t="s">
        <v>23</v>
      </c>
      <c r="N1468">
        <v>4223000</v>
      </c>
      <c r="O1468">
        <v>3.7</v>
      </c>
      <c r="P1468" t="b">
        <v>1</v>
      </c>
    </row>
    <row r="1469" spans="1:16" x14ac:dyDescent="0.2">
      <c r="A1469" t="s">
        <v>2135</v>
      </c>
      <c r="B1469" s="1">
        <v>44679</v>
      </c>
      <c r="C1469" s="1">
        <v>44784</v>
      </c>
      <c r="D1469" t="s">
        <v>1313</v>
      </c>
      <c r="E1469" t="s">
        <v>33</v>
      </c>
      <c r="F1469" t="s">
        <v>25</v>
      </c>
      <c r="G1469" t="s">
        <v>35</v>
      </c>
      <c r="H1469" t="s">
        <v>47</v>
      </c>
      <c r="I1469" t="s">
        <v>60</v>
      </c>
      <c r="J1469">
        <v>1</v>
      </c>
      <c r="K1469">
        <v>5404000</v>
      </c>
      <c r="L1469">
        <v>6.21641730195793E-2</v>
      </c>
      <c r="M1469" t="s">
        <v>23</v>
      </c>
      <c r="N1469">
        <v>5068000</v>
      </c>
      <c r="O1469">
        <v>4</v>
      </c>
      <c r="P1469" t="b">
        <v>1</v>
      </c>
    </row>
    <row r="1470" spans="1:16" x14ac:dyDescent="0.2">
      <c r="A1470" t="s">
        <v>2136</v>
      </c>
      <c r="B1470" s="1">
        <v>44679</v>
      </c>
      <c r="C1470" s="1">
        <v>44732</v>
      </c>
      <c r="D1470" t="s">
        <v>2137</v>
      </c>
      <c r="E1470" t="s">
        <v>45</v>
      </c>
      <c r="F1470" t="s">
        <v>34</v>
      </c>
      <c r="G1470" t="s">
        <v>50</v>
      </c>
      <c r="H1470" t="s">
        <v>21</v>
      </c>
      <c r="I1470" t="s">
        <v>52</v>
      </c>
      <c r="J1470">
        <v>2</v>
      </c>
      <c r="K1470">
        <v>3148000</v>
      </c>
      <c r="L1470" s="2" t="s">
        <v>2138</v>
      </c>
      <c r="M1470" t="s">
        <v>23</v>
      </c>
      <c r="N1470">
        <v>5201000</v>
      </c>
      <c r="O1470">
        <v>3.7</v>
      </c>
      <c r="P1470" t="b">
        <v>0</v>
      </c>
    </row>
    <row r="1471" spans="1:16" x14ac:dyDescent="0.2">
      <c r="A1471" t="s">
        <v>2139</v>
      </c>
      <c r="B1471" s="1">
        <v>44679</v>
      </c>
      <c r="C1471" s="1">
        <v>44679</v>
      </c>
      <c r="D1471" t="s">
        <v>613</v>
      </c>
      <c r="E1471" t="s">
        <v>18</v>
      </c>
      <c r="F1471" t="s">
        <v>68</v>
      </c>
      <c r="G1471" t="s">
        <v>35</v>
      </c>
      <c r="H1471" t="s">
        <v>21</v>
      </c>
      <c r="I1471" t="s">
        <v>99</v>
      </c>
      <c r="J1471">
        <v>2</v>
      </c>
      <c r="K1471">
        <v>2685000</v>
      </c>
      <c r="L1471">
        <v>8.6142210296706101E-2</v>
      </c>
      <c r="M1471" t="s">
        <v>23</v>
      </c>
      <c r="N1471">
        <v>4907000</v>
      </c>
      <c r="O1471">
        <v>4.8</v>
      </c>
      <c r="P1471" t="b">
        <v>1</v>
      </c>
    </row>
    <row r="1472" spans="1:16" x14ac:dyDescent="0.2">
      <c r="A1472" t="s">
        <v>2140</v>
      </c>
      <c r="B1472" s="1">
        <v>44679</v>
      </c>
      <c r="C1472" s="1">
        <v>44730</v>
      </c>
      <c r="D1472" t="s">
        <v>2141</v>
      </c>
      <c r="E1472" t="s">
        <v>45</v>
      </c>
      <c r="F1472" t="s">
        <v>25</v>
      </c>
      <c r="G1472" t="s">
        <v>20</v>
      </c>
      <c r="H1472" t="s">
        <v>40</v>
      </c>
      <c r="J1472">
        <v>1</v>
      </c>
      <c r="K1472">
        <v>6011000</v>
      </c>
      <c r="L1472" s="2" t="s">
        <v>2142</v>
      </c>
      <c r="M1472" t="s">
        <v>23</v>
      </c>
      <c r="N1472">
        <v>5009000</v>
      </c>
      <c r="O1472">
        <v>4.3</v>
      </c>
      <c r="P1472" t="b">
        <v>0</v>
      </c>
    </row>
    <row r="1473" spans="1:16" x14ac:dyDescent="0.2">
      <c r="A1473" t="s">
        <v>2143</v>
      </c>
      <c r="B1473" s="1">
        <v>44679</v>
      </c>
      <c r="C1473" s="1">
        <v>44727</v>
      </c>
      <c r="D1473" t="s">
        <v>2144</v>
      </c>
      <c r="E1473" t="s">
        <v>18</v>
      </c>
      <c r="F1473" t="s">
        <v>45</v>
      </c>
      <c r="G1473" t="s">
        <v>20</v>
      </c>
      <c r="I1473" t="s">
        <v>77</v>
      </c>
      <c r="J1473">
        <v>2</v>
      </c>
      <c r="K1473">
        <v>3472000</v>
      </c>
      <c r="L1473">
        <v>7.8363841680998497E-2</v>
      </c>
      <c r="M1473" t="s">
        <v>23</v>
      </c>
      <c r="N1473">
        <v>6400000</v>
      </c>
      <c r="O1473">
        <v>3.7</v>
      </c>
      <c r="P1473" t="b">
        <v>0</v>
      </c>
    </row>
    <row r="1474" spans="1:16" x14ac:dyDescent="0.2">
      <c r="A1474" t="s">
        <v>2145</v>
      </c>
      <c r="B1474" s="1">
        <v>44680</v>
      </c>
      <c r="C1474" s="1">
        <v>44721</v>
      </c>
      <c r="D1474" t="s">
        <v>356</v>
      </c>
      <c r="E1474" t="s">
        <v>18</v>
      </c>
      <c r="F1474" t="s">
        <v>68</v>
      </c>
      <c r="G1474" t="s">
        <v>50</v>
      </c>
      <c r="H1474" t="s">
        <v>21</v>
      </c>
      <c r="I1474" t="s">
        <v>77</v>
      </c>
      <c r="J1474">
        <v>4</v>
      </c>
      <c r="K1474">
        <v>2662000</v>
      </c>
      <c r="L1474" s="2" t="s">
        <v>2146</v>
      </c>
      <c r="M1474" t="s">
        <v>23</v>
      </c>
      <c r="N1474">
        <v>9439000</v>
      </c>
      <c r="O1474">
        <v>3.7</v>
      </c>
      <c r="P1474" t="b">
        <v>1</v>
      </c>
    </row>
    <row r="1475" spans="1:16" x14ac:dyDescent="0.2">
      <c r="A1475" t="s">
        <v>2147</v>
      </c>
      <c r="B1475" s="1">
        <v>44680</v>
      </c>
      <c r="C1475" s="1">
        <v>44714</v>
      </c>
      <c r="D1475" t="s">
        <v>2148</v>
      </c>
      <c r="E1475" t="s">
        <v>45</v>
      </c>
      <c r="F1475" t="s">
        <v>34</v>
      </c>
      <c r="G1475" t="s">
        <v>20</v>
      </c>
      <c r="H1475" t="s">
        <v>21</v>
      </c>
      <c r="I1475" t="s">
        <v>57</v>
      </c>
      <c r="J1475">
        <v>3</v>
      </c>
      <c r="K1475">
        <v>4936000</v>
      </c>
      <c r="L1475" s="2" t="s">
        <v>2149</v>
      </c>
      <c r="M1475" t="s">
        <v>1673</v>
      </c>
      <c r="N1475">
        <v>12435000</v>
      </c>
      <c r="O1475">
        <v>4.5999999999999996</v>
      </c>
      <c r="P1475" t="b">
        <v>0</v>
      </c>
    </row>
    <row r="1476" spans="1:16" x14ac:dyDescent="0.2">
      <c r="A1476" t="s">
        <v>2150</v>
      </c>
      <c r="B1476" s="1">
        <v>44680</v>
      </c>
      <c r="C1476" s="1">
        <v>44723</v>
      </c>
      <c r="D1476" t="s">
        <v>2151</v>
      </c>
      <c r="E1476" t="s">
        <v>45</v>
      </c>
      <c r="F1476" t="s">
        <v>25</v>
      </c>
      <c r="G1476" t="s">
        <v>20</v>
      </c>
      <c r="H1476" t="s">
        <v>21</v>
      </c>
      <c r="I1476" t="s">
        <v>77</v>
      </c>
      <c r="J1476">
        <v>1</v>
      </c>
      <c r="K1476">
        <v>6327000</v>
      </c>
      <c r="L1476" s="2" t="s">
        <v>2152</v>
      </c>
      <c r="M1476" t="s">
        <v>23</v>
      </c>
      <c r="N1476">
        <v>5368000</v>
      </c>
      <c r="O1476">
        <v>3.9</v>
      </c>
      <c r="P1476" t="b">
        <v>0</v>
      </c>
    </row>
    <row r="1477" spans="1:16" x14ac:dyDescent="0.2">
      <c r="A1477" t="s">
        <v>2153</v>
      </c>
      <c r="B1477" s="1">
        <v>44680</v>
      </c>
      <c r="C1477" s="1">
        <v>44747</v>
      </c>
      <c r="D1477" t="s">
        <v>2154</v>
      </c>
      <c r="E1477" t="s">
        <v>33</v>
      </c>
      <c r="F1477" t="s">
        <v>25</v>
      </c>
      <c r="G1477" t="s">
        <v>20</v>
      </c>
      <c r="H1477" t="s">
        <v>47</v>
      </c>
      <c r="I1477" t="s">
        <v>99</v>
      </c>
      <c r="J1477">
        <v>3</v>
      </c>
      <c r="K1477">
        <v>5149000</v>
      </c>
      <c r="L1477" s="2" t="s">
        <v>2155</v>
      </c>
      <c r="M1477" t="s">
        <v>23</v>
      </c>
      <c r="N1477">
        <v>13262000</v>
      </c>
      <c r="O1477">
        <v>4.0999999999999996</v>
      </c>
      <c r="P1477" t="b">
        <v>0</v>
      </c>
    </row>
    <row r="1478" spans="1:16" x14ac:dyDescent="0.2">
      <c r="A1478" t="s">
        <v>2156</v>
      </c>
      <c r="B1478" s="1">
        <v>44681</v>
      </c>
      <c r="C1478" s="1">
        <v>44743</v>
      </c>
      <c r="D1478" t="s">
        <v>2157</v>
      </c>
      <c r="E1478" t="s">
        <v>33</v>
      </c>
      <c r="F1478" t="s">
        <v>19</v>
      </c>
      <c r="G1478" t="s">
        <v>20</v>
      </c>
      <c r="H1478" t="s">
        <v>21</v>
      </c>
      <c r="I1478" t="s">
        <v>52</v>
      </c>
      <c r="J1478">
        <v>2</v>
      </c>
      <c r="K1478">
        <v>2695000</v>
      </c>
      <c r="L1478" s="2" t="s">
        <v>2158</v>
      </c>
      <c r="M1478" t="s">
        <v>23</v>
      </c>
      <c r="N1478">
        <v>5303000</v>
      </c>
      <c r="O1478">
        <v>3.7</v>
      </c>
      <c r="P1478" t="b">
        <v>0</v>
      </c>
    </row>
    <row r="1479" spans="1:16" x14ac:dyDescent="0.2">
      <c r="A1479" t="s">
        <v>2159</v>
      </c>
      <c r="B1479" s="1">
        <v>44681</v>
      </c>
      <c r="C1479" s="1">
        <v>44738</v>
      </c>
      <c r="D1479" t="s">
        <v>49</v>
      </c>
      <c r="E1479" t="s">
        <v>45</v>
      </c>
      <c r="F1479" t="s">
        <v>45</v>
      </c>
      <c r="G1479" t="s">
        <v>20</v>
      </c>
      <c r="H1479" t="s">
        <v>47</v>
      </c>
      <c r="I1479" t="s">
        <v>94</v>
      </c>
      <c r="J1479">
        <v>4</v>
      </c>
      <c r="K1479">
        <v>3507000</v>
      </c>
      <c r="L1479" s="2" t="s">
        <v>2160</v>
      </c>
      <c r="M1479" t="s">
        <v>23</v>
      </c>
      <c r="N1479">
        <v>12226000</v>
      </c>
      <c r="O1479">
        <v>4.8</v>
      </c>
      <c r="P1479" t="b">
        <v>1</v>
      </c>
    </row>
    <row r="1480" spans="1:16" x14ac:dyDescent="0.2">
      <c r="A1480" t="s">
        <v>2161</v>
      </c>
      <c r="B1480" s="1">
        <v>44681</v>
      </c>
      <c r="C1480" s="1">
        <v>44731</v>
      </c>
      <c r="D1480" t="s">
        <v>1726</v>
      </c>
      <c r="E1480" t="s">
        <v>45</v>
      </c>
      <c r="F1480" t="s">
        <v>45</v>
      </c>
      <c r="G1480" t="s">
        <v>35</v>
      </c>
      <c r="H1480" t="s">
        <v>47</v>
      </c>
      <c r="I1480" t="s">
        <v>30</v>
      </c>
      <c r="J1480">
        <v>2</v>
      </c>
      <c r="K1480">
        <v>3570000</v>
      </c>
      <c r="L1480" s="2" t="s">
        <v>2162</v>
      </c>
      <c r="M1480" t="s">
        <v>23</v>
      </c>
      <c r="N1480">
        <v>6286000</v>
      </c>
      <c r="O1480">
        <v>3.3</v>
      </c>
      <c r="P1480" t="b">
        <v>1</v>
      </c>
    </row>
    <row r="1481" spans="1:16" x14ac:dyDescent="0.2">
      <c r="A1481" t="s">
        <v>2163</v>
      </c>
      <c r="B1481" s="1">
        <v>44681</v>
      </c>
      <c r="C1481" s="1">
        <v>44691</v>
      </c>
      <c r="D1481" t="s">
        <v>2164</v>
      </c>
      <c r="E1481" t="s">
        <v>33</v>
      </c>
      <c r="F1481" t="s">
        <v>25</v>
      </c>
      <c r="G1481" t="s">
        <v>20</v>
      </c>
      <c r="H1481" t="s">
        <v>21</v>
      </c>
      <c r="I1481" t="s">
        <v>99</v>
      </c>
      <c r="J1481">
        <v>1</v>
      </c>
      <c r="K1481">
        <v>4275000</v>
      </c>
      <c r="L1481">
        <v>8.0885578628725696E-2</v>
      </c>
      <c r="M1481" t="s">
        <v>23</v>
      </c>
      <c r="N1481">
        <v>3929000</v>
      </c>
      <c r="O1481">
        <v>4.0999999999999996</v>
      </c>
      <c r="P1481" t="b">
        <v>0</v>
      </c>
    </row>
    <row r="1482" spans="1:16" x14ac:dyDescent="0.2">
      <c r="A1482" t="s">
        <v>2165</v>
      </c>
      <c r="B1482" s="1">
        <v>44682</v>
      </c>
      <c r="C1482" s="1">
        <v>44703</v>
      </c>
      <c r="D1482" t="s">
        <v>1275</v>
      </c>
      <c r="E1482" t="s">
        <v>45</v>
      </c>
      <c r="F1482" t="s">
        <v>19</v>
      </c>
      <c r="G1482" t="s">
        <v>35</v>
      </c>
      <c r="H1482" t="s">
        <v>40</v>
      </c>
      <c r="I1482" t="s">
        <v>22</v>
      </c>
      <c r="J1482">
        <v>1</v>
      </c>
      <c r="K1482">
        <v>2220000</v>
      </c>
      <c r="L1482" s="2" t="s">
        <v>2166</v>
      </c>
      <c r="M1482" t="s">
        <v>23</v>
      </c>
      <c r="N1482">
        <v>1965000</v>
      </c>
      <c r="O1482">
        <v>4.3</v>
      </c>
      <c r="P1482" t="b">
        <v>1</v>
      </c>
    </row>
    <row r="1483" spans="1:16" x14ac:dyDescent="0.2">
      <c r="A1483" t="s">
        <v>2167</v>
      </c>
      <c r="B1483" s="1">
        <v>44682</v>
      </c>
      <c r="C1483" s="1">
        <v>44758</v>
      </c>
      <c r="D1483" t="s">
        <v>132</v>
      </c>
      <c r="E1483" t="s">
        <v>18</v>
      </c>
      <c r="F1483" t="s">
        <v>19</v>
      </c>
      <c r="G1483" t="s">
        <v>35</v>
      </c>
      <c r="H1483" t="s">
        <v>47</v>
      </c>
      <c r="I1483" t="s">
        <v>99</v>
      </c>
      <c r="J1483">
        <v>5</v>
      </c>
      <c r="K1483">
        <v>2565000</v>
      </c>
      <c r="L1483">
        <v>9.1202347363290207E-2</v>
      </c>
      <c r="M1483" t="s">
        <v>23</v>
      </c>
      <c r="N1483">
        <v>11655000</v>
      </c>
      <c r="O1483">
        <v>4.3</v>
      </c>
      <c r="P1483" t="b">
        <v>1</v>
      </c>
    </row>
    <row r="1484" spans="1:16" x14ac:dyDescent="0.2">
      <c r="A1484" t="s">
        <v>2168</v>
      </c>
      <c r="B1484" s="1">
        <v>44682</v>
      </c>
      <c r="C1484" s="1">
        <v>44736</v>
      </c>
      <c r="D1484" t="s">
        <v>2169</v>
      </c>
      <c r="E1484" t="s">
        <v>18</v>
      </c>
      <c r="F1484" t="s">
        <v>34</v>
      </c>
      <c r="G1484" t="s">
        <v>20</v>
      </c>
      <c r="H1484" t="s">
        <v>47</v>
      </c>
      <c r="I1484" t="s">
        <v>1654</v>
      </c>
      <c r="J1484">
        <v>1</v>
      </c>
      <c r="K1484">
        <v>3439000</v>
      </c>
      <c r="L1484" s="2" t="s">
        <v>2170</v>
      </c>
      <c r="M1484" t="s">
        <v>23</v>
      </c>
      <c r="N1484">
        <v>2994000</v>
      </c>
      <c r="O1484">
        <v>4.5999999999999996</v>
      </c>
      <c r="P1484" t="b">
        <v>0</v>
      </c>
    </row>
    <row r="1485" spans="1:16" x14ac:dyDescent="0.2">
      <c r="A1485" t="s">
        <v>2171</v>
      </c>
      <c r="B1485" s="1">
        <v>44683</v>
      </c>
      <c r="C1485" s="1">
        <v>44700</v>
      </c>
      <c r="D1485" t="s">
        <v>2172</v>
      </c>
      <c r="E1485" t="s">
        <v>18</v>
      </c>
      <c r="F1485" t="s">
        <v>19</v>
      </c>
      <c r="G1485" t="s">
        <v>50</v>
      </c>
      <c r="H1485" t="s">
        <v>40</v>
      </c>
      <c r="I1485" t="s">
        <v>52</v>
      </c>
      <c r="J1485">
        <v>1</v>
      </c>
      <c r="K1485">
        <v>2550000</v>
      </c>
      <c r="L1485">
        <v>9.3809217899780806E-2</v>
      </c>
      <c r="M1485" t="s">
        <v>23</v>
      </c>
      <c r="N1485">
        <v>2311000</v>
      </c>
      <c r="O1485">
        <v>3.8</v>
      </c>
      <c r="P1485" t="b">
        <v>0</v>
      </c>
    </row>
    <row r="1486" spans="1:16" x14ac:dyDescent="0.2">
      <c r="A1486" t="s">
        <v>2173</v>
      </c>
      <c r="B1486" s="1">
        <v>44684</v>
      </c>
      <c r="C1486" s="1">
        <v>44714</v>
      </c>
      <c r="D1486" t="s">
        <v>32</v>
      </c>
      <c r="E1486" t="s">
        <v>45</v>
      </c>
      <c r="F1486" t="s">
        <v>19</v>
      </c>
      <c r="G1486" t="s">
        <v>35</v>
      </c>
      <c r="H1486" t="s">
        <v>40</v>
      </c>
      <c r="I1486" t="s">
        <v>22</v>
      </c>
      <c r="J1486">
        <v>2</v>
      </c>
      <c r="K1486">
        <v>2437000</v>
      </c>
      <c r="L1486" s="2" t="s">
        <v>2174</v>
      </c>
      <c r="M1486" t="s">
        <v>23</v>
      </c>
      <c r="N1486">
        <v>4124000</v>
      </c>
      <c r="O1486">
        <v>3.9</v>
      </c>
      <c r="P1486" t="b">
        <v>1</v>
      </c>
    </row>
    <row r="1487" spans="1:16" x14ac:dyDescent="0.2">
      <c r="A1487" t="s">
        <v>2175</v>
      </c>
      <c r="B1487" s="1">
        <v>44684</v>
      </c>
      <c r="C1487" s="1">
        <v>44748</v>
      </c>
      <c r="D1487" t="s">
        <v>155</v>
      </c>
      <c r="E1487" t="s">
        <v>29</v>
      </c>
      <c r="F1487" t="s">
        <v>19</v>
      </c>
      <c r="G1487" t="s">
        <v>35</v>
      </c>
      <c r="H1487" t="s">
        <v>40</v>
      </c>
      <c r="I1487" t="s">
        <v>60</v>
      </c>
      <c r="J1487">
        <v>1</v>
      </c>
      <c r="K1487">
        <v>2791000</v>
      </c>
      <c r="L1487">
        <v>9.0362562152126194E-2</v>
      </c>
      <c r="M1487" t="s">
        <v>23</v>
      </c>
      <c r="N1487">
        <v>2539000</v>
      </c>
      <c r="O1487">
        <v>4.7</v>
      </c>
      <c r="P1487" t="b">
        <v>1</v>
      </c>
    </row>
    <row r="1488" spans="1:16" x14ac:dyDescent="0.2">
      <c r="A1488" t="s">
        <v>2176</v>
      </c>
      <c r="B1488" s="1">
        <v>44625</v>
      </c>
      <c r="C1488" s="1">
        <v>44724</v>
      </c>
      <c r="D1488" t="s">
        <v>2177</v>
      </c>
      <c r="E1488" t="s">
        <v>45</v>
      </c>
      <c r="F1488" t="s">
        <v>68</v>
      </c>
      <c r="G1488" t="s">
        <v>20</v>
      </c>
      <c r="H1488" t="s">
        <v>51</v>
      </c>
      <c r="I1488" t="s">
        <v>52</v>
      </c>
      <c r="J1488">
        <v>1</v>
      </c>
      <c r="K1488">
        <v>2624000</v>
      </c>
      <c r="L1488" s="2" t="s">
        <v>2178</v>
      </c>
      <c r="M1488" t="s">
        <v>23</v>
      </c>
      <c r="N1488">
        <v>2255000</v>
      </c>
      <c r="O1488">
        <v>4.7</v>
      </c>
      <c r="P1488" t="b">
        <v>0</v>
      </c>
    </row>
    <row r="1489" spans="1:16" x14ac:dyDescent="0.2">
      <c r="A1489" t="s">
        <v>2179</v>
      </c>
      <c r="B1489" s="1">
        <v>44684</v>
      </c>
      <c r="C1489" s="1">
        <v>44743</v>
      </c>
      <c r="D1489" t="s">
        <v>913</v>
      </c>
      <c r="E1489" t="s">
        <v>33</v>
      </c>
      <c r="F1489" t="s">
        <v>34</v>
      </c>
      <c r="G1489" t="s">
        <v>50</v>
      </c>
      <c r="H1489" t="s">
        <v>51</v>
      </c>
      <c r="I1489" t="s">
        <v>30</v>
      </c>
      <c r="J1489">
        <v>1</v>
      </c>
      <c r="K1489">
        <v>4110000</v>
      </c>
      <c r="L1489">
        <v>0.18871338584518799</v>
      </c>
      <c r="M1489" t="s">
        <v>23</v>
      </c>
      <c r="N1489">
        <v>3334000</v>
      </c>
      <c r="O1489">
        <v>4.8</v>
      </c>
      <c r="P1489" t="b">
        <v>1</v>
      </c>
    </row>
    <row r="1490" spans="1:16" x14ac:dyDescent="0.2">
      <c r="A1490" t="s">
        <v>2180</v>
      </c>
      <c r="B1490" s="1">
        <v>44685</v>
      </c>
      <c r="C1490" s="1">
        <v>44753</v>
      </c>
      <c r="D1490" t="s">
        <v>2181</v>
      </c>
      <c r="E1490" t="s">
        <v>33</v>
      </c>
      <c r="F1490" t="s">
        <v>34</v>
      </c>
      <c r="G1490" t="s">
        <v>20</v>
      </c>
      <c r="H1490" t="s">
        <v>47</v>
      </c>
      <c r="I1490" t="s">
        <v>30</v>
      </c>
      <c r="J1490">
        <v>2</v>
      </c>
      <c r="K1490">
        <v>4147000</v>
      </c>
      <c r="L1490">
        <v>7.1491676446912802E-2</v>
      </c>
      <c r="M1490" t="s">
        <v>23</v>
      </c>
      <c r="N1490">
        <v>7701000</v>
      </c>
      <c r="O1490">
        <v>5</v>
      </c>
      <c r="P1490" t="b">
        <v>0</v>
      </c>
    </row>
    <row r="1491" spans="1:16" x14ac:dyDescent="0.2">
      <c r="A1491" t="s">
        <v>2182</v>
      </c>
      <c r="B1491" s="1">
        <v>44656</v>
      </c>
      <c r="C1491" s="1">
        <v>44719</v>
      </c>
      <c r="D1491" t="s">
        <v>2183</v>
      </c>
      <c r="E1491" t="s">
        <v>33</v>
      </c>
      <c r="F1491" t="s">
        <v>25</v>
      </c>
      <c r="G1491" t="s">
        <v>20</v>
      </c>
      <c r="H1491" t="s">
        <v>47</v>
      </c>
      <c r="I1491" t="s">
        <v>26</v>
      </c>
      <c r="J1491">
        <v>3</v>
      </c>
      <c r="K1491">
        <v>5143000</v>
      </c>
      <c r="L1491">
        <v>5.87363523372589E-2</v>
      </c>
      <c r="M1491" t="s">
        <v>1882</v>
      </c>
      <c r="N1491">
        <v>14523000</v>
      </c>
      <c r="O1491">
        <v>4.5999999999999996</v>
      </c>
      <c r="P1491" t="b">
        <v>0</v>
      </c>
    </row>
    <row r="1492" spans="1:16" x14ac:dyDescent="0.2">
      <c r="A1492" t="s">
        <v>2184</v>
      </c>
      <c r="B1492" s="1">
        <v>44685</v>
      </c>
      <c r="C1492" s="1">
        <v>44709</v>
      </c>
      <c r="D1492" t="s">
        <v>2185</v>
      </c>
      <c r="E1492" t="s">
        <v>45</v>
      </c>
      <c r="F1492" t="s">
        <v>68</v>
      </c>
      <c r="G1492" t="s">
        <v>20</v>
      </c>
      <c r="H1492" t="s">
        <v>40</v>
      </c>
      <c r="I1492" t="s">
        <v>99</v>
      </c>
      <c r="J1492">
        <v>4</v>
      </c>
      <c r="K1492">
        <v>2506000</v>
      </c>
      <c r="L1492">
        <v>4.2309185764337398E-2</v>
      </c>
      <c r="M1492" t="s">
        <v>23</v>
      </c>
      <c r="N1492">
        <v>9600000</v>
      </c>
      <c r="O1492">
        <v>3.5</v>
      </c>
      <c r="P1492" t="b">
        <v>0</v>
      </c>
    </row>
    <row r="1493" spans="1:16" x14ac:dyDescent="0.2">
      <c r="A1493" t="s">
        <v>2186</v>
      </c>
      <c r="B1493" s="1">
        <v>44686</v>
      </c>
      <c r="C1493" s="1">
        <v>44748</v>
      </c>
      <c r="D1493" t="s">
        <v>2187</v>
      </c>
      <c r="E1493" t="s">
        <v>29</v>
      </c>
      <c r="F1493" t="s">
        <v>45</v>
      </c>
      <c r="G1493" t="s">
        <v>35</v>
      </c>
      <c r="H1493" t="s">
        <v>51</v>
      </c>
      <c r="I1493" t="s">
        <v>1654</v>
      </c>
      <c r="J1493">
        <v>2</v>
      </c>
      <c r="K1493">
        <v>3295000</v>
      </c>
      <c r="L1493">
        <v>8.3664240592375497E-2</v>
      </c>
      <c r="M1493" t="s">
        <v>23</v>
      </c>
      <c r="N1493">
        <v>6039000</v>
      </c>
      <c r="O1493">
        <v>4.3</v>
      </c>
      <c r="P1493" t="b">
        <v>0</v>
      </c>
    </row>
    <row r="1494" spans="1:16" x14ac:dyDescent="0.2">
      <c r="A1494" t="s">
        <v>2188</v>
      </c>
      <c r="B1494" s="1">
        <v>44686</v>
      </c>
      <c r="C1494" s="1">
        <v>44731</v>
      </c>
      <c r="D1494" t="s">
        <v>2157</v>
      </c>
      <c r="E1494" t="s">
        <v>45</v>
      </c>
      <c r="F1494" t="s">
        <v>39</v>
      </c>
      <c r="G1494" t="s">
        <v>20</v>
      </c>
      <c r="H1494" t="s">
        <v>47</v>
      </c>
      <c r="I1494" t="s">
        <v>52</v>
      </c>
      <c r="J1494">
        <v>3</v>
      </c>
      <c r="K1494">
        <v>2632000</v>
      </c>
      <c r="L1494">
        <v>6.8227448256473894E-2</v>
      </c>
      <c r="M1494" t="s">
        <v>23</v>
      </c>
      <c r="N1494">
        <v>7357000</v>
      </c>
      <c r="O1494">
        <v>4.3</v>
      </c>
      <c r="P1494" t="b">
        <v>1</v>
      </c>
    </row>
    <row r="1495" spans="1:16" x14ac:dyDescent="0.2">
      <c r="A1495" t="s">
        <v>2189</v>
      </c>
      <c r="B1495" s="1">
        <v>44686</v>
      </c>
      <c r="C1495" s="1">
        <v>44697</v>
      </c>
      <c r="D1495" t="s">
        <v>431</v>
      </c>
      <c r="E1495" t="s">
        <v>33</v>
      </c>
      <c r="F1495" t="s">
        <v>19</v>
      </c>
      <c r="G1495" t="s">
        <v>50</v>
      </c>
      <c r="I1495" t="s">
        <v>30</v>
      </c>
      <c r="J1495">
        <v>2</v>
      </c>
      <c r="K1495">
        <v>2246000</v>
      </c>
      <c r="L1495" s="2" t="s">
        <v>2190</v>
      </c>
      <c r="M1495" t="s">
        <v>23</v>
      </c>
      <c r="N1495">
        <v>3739000</v>
      </c>
      <c r="O1495">
        <v>4.2</v>
      </c>
      <c r="P1495" t="b">
        <v>1</v>
      </c>
    </row>
    <row r="1496" spans="1:16" x14ac:dyDescent="0.2">
      <c r="A1496" t="s">
        <v>2191</v>
      </c>
      <c r="B1496" s="1">
        <v>44686</v>
      </c>
      <c r="C1496" s="1">
        <v>44686</v>
      </c>
      <c r="D1496" t="s">
        <v>206</v>
      </c>
      <c r="E1496" t="s">
        <v>45</v>
      </c>
      <c r="F1496" t="s">
        <v>39</v>
      </c>
      <c r="G1496" t="s">
        <v>35</v>
      </c>
      <c r="H1496" t="s">
        <v>21</v>
      </c>
      <c r="I1496" t="s">
        <v>99</v>
      </c>
      <c r="J1496">
        <v>1</v>
      </c>
      <c r="K1496">
        <v>2051000</v>
      </c>
      <c r="L1496">
        <v>6.6938956645630293E-2</v>
      </c>
      <c r="M1496" t="s">
        <v>23</v>
      </c>
      <c r="N1496">
        <v>1914000</v>
      </c>
      <c r="O1496">
        <v>4.4000000000000004</v>
      </c>
      <c r="P1496" t="b">
        <v>1</v>
      </c>
    </row>
    <row r="1497" spans="1:16" x14ac:dyDescent="0.2">
      <c r="A1497" t="s">
        <v>2192</v>
      </c>
      <c r="B1497" s="1">
        <v>44687</v>
      </c>
      <c r="C1497" s="1">
        <v>44741</v>
      </c>
      <c r="D1497" t="s">
        <v>1817</v>
      </c>
      <c r="E1497" t="s">
        <v>33</v>
      </c>
      <c r="F1497" t="s">
        <v>39</v>
      </c>
      <c r="G1497" t="s">
        <v>20</v>
      </c>
      <c r="H1497" t="s">
        <v>21</v>
      </c>
      <c r="I1497" t="s">
        <v>26</v>
      </c>
      <c r="J1497">
        <v>2</v>
      </c>
      <c r="K1497">
        <v>2281000</v>
      </c>
      <c r="L1497">
        <v>0.19005600399984801</v>
      </c>
      <c r="M1497" t="s">
        <v>23</v>
      </c>
      <c r="N1497">
        <v>3695000</v>
      </c>
      <c r="O1497">
        <v>4</v>
      </c>
      <c r="P1497" t="b">
        <v>1</v>
      </c>
    </row>
    <row r="1498" spans="1:16" x14ac:dyDescent="0.2">
      <c r="A1498" t="s">
        <v>2193</v>
      </c>
      <c r="B1498" s="1">
        <v>44688</v>
      </c>
      <c r="C1498" s="1">
        <v>44697</v>
      </c>
      <c r="D1498" t="s">
        <v>2194</v>
      </c>
      <c r="E1498" t="s">
        <v>33</v>
      </c>
      <c r="F1498" t="s">
        <v>25</v>
      </c>
      <c r="G1498" t="s">
        <v>20</v>
      </c>
      <c r="H1498" t="s">
        <v>51</v>
      </c>
      <c r="I1498" t="s">
        <v>99</v>
      </c>
      <c r="J1498">
        <v>1</v>
      </c>
      <c r="K1498">
        <v>4534000</v>
      </c>
      <c r="L1498" s="2" t="s">
        <v>2195</v>
      </c>
      <c r="M1498" t="s">
        <v>23</v>
      </c>
      <c r="N1498">
        <v>3866000</v>
      </c>
      <c r="O1498">
        <v>4.2</v>
      </c>
      <c r="P1498" t="b">
        <v>0</v>
      </c>
    </row>
    <row r="1499" spans="1:16" x14ac:dyDescent="0.2">
      <c r="A1499" t="s">
        <v>2196</v>
      </c>
      <c r="B1499" s="1">
        <v>44688</v>
      </c>
      <c r="C1499" s="1">
        <v>44766</v>
      </c>
      <c r="D1499" t="s">
        <v>382</v>
      </c>
      <c r="E1499" t="s">
        <v>45</v>
      </c>
      <c r="F1499" t="s">
        <v>45</v>
      </c>
      <c r="G1499" t="s">
        <v>20</v>
      </c>
      <c r="H1499" t="s">
        <v>40</v>
      </c>
      <c r="I1499" t="s">
        <v>94</v>
      </c>
      <c r="J1499">
        <v>2</v>
      </c>
      <c r="K1499">
        <v>3160000</v>
      </c>
      <c r="L1499" s="2" t="s">
        <v>2197</v>
      </c>
      <c r="M1499" t="s">
        <v>65</v>
      </c>
      <c r="N1499">
        <v>0</v>
      </c>
      <c r="P1499" t="b">
        <v>1</v>
      </c>
    </row>
    <row r="1500" spans="1:16" x14ac:dyDescent="0.2">
      <c r="A1500" t="s">
        <v>2198</v>
      </c>
      <c r="B1500" s="1">
        <v>44688</v>
      </c>
      <c r="C1500" s="1">
        <v>44721</v>
      </c>
      <c r="D1500" t="s">
        <v>1539</v>
      </c>
      <c r="E1500" t="s">
        <v>45</v>
      </c>
      <c r="F1500" t="s">
        <v>39</v>
      </c>
      <c r="H1500" t="s">
        <v>51</v>
      </c>
      <c r="I1500" t="s">
        <v>22</v>
      </c>
      <c r="J1500">
        <v>2</v>
      </c>
      <c r="K1500">
        <v>2148000</v>
      </c>
      <c r="L1500" s="2" t="s">
        <v>2199</v>
      </c>
      <c r="M1500" t="s">
        <v>23</v>
      </c>
      <c r="N1500">
        <v>3824000</v>
      </c>
      <c r="O1500">
        <v>4.5</v>
      </c>
      <c r="P1500" t="b">
        <v>1</v>
      </c>
    </row>
    <row r="1501" spans="1:16" x14ac:dyDescent="0.2">
      <c r="A1501" t="s">
        <v>2200</v>
      </c>
      <c r="B1501" s="1">
        <v>44688</v>
      </c>
      <c r="C1501" s="1">
        <v>44729</v>
      </c>
      <c r="D1501" t="s">
        <v>2201</v>
      </c>
      <c r="E1501" t="s">
        <v>18</v>
      </c>
      <c r="F1501" t="s">
        <v>19</v>
      </c>
      <c r="G1501" t="s">
        <v>20</v>
      </c>
      <c r="H1501" t="s">
        <v>21</v>
      </c>
      <c r="I1501" t="s">
        <v>52</v>
      </c>
      <c r="J1501">
        <v>4</v>
      </c>
      <c r="K1501">
        <v>2928000</v>
      </c>
      <c r="L1501">
        <v>6.16729349797236E-2</v>
      </c>
      <c r="M1501" t="s">
        <v>23</v>
      </c>
      <c r="N1501">
        <v>10990000</v>
      </c>
      <c r="O1501">
        <v>3.9</v>
      </c>
      <c r="P1501" t="b">
        <v>0</v>
      </c>
    </row>
    <row r="1502" spans="1:16" x14ac:dyDescent="0.2">
      <c r="A1502" t="s">
        <v>2202</v>
      </c>
      <c r="B1502" s="1">
        <v>44688</v>
      </c>
      <c r="C1502" s="1">
        <v>44713</v>
      </c>
      <c r="D1502" t="s">
        <v>387</v>
      </c>
      <c r="E1502" t="s">
        <v>29</v>
      </c>
      <c r="F1502" t="s">
        <v>25</v>
      </c>
      <c r="G1502" t="s">
        <v>20</v>
      </c>
      <c r="H1502" t="s">
        <v>21</v>
      </c>
      <c r="I1502" t="s">
        <v>83</v>
      </c>
      <c r="J1502">
        <v>2</v>
      </c>
      <c r="K1502">
        <v>5036000</v>
      </c>
      <c r="L1502">
        <v>9.1057273563481297E-2</v>
      </c>
      <c r="M1502" t="s">
        <v>23</v>
      </c>
      <c r="N1502">
        <v>9155000</v>
      </c>
      <c r="O1502">
        <v>4</v>
      </c>
      <c r="P1502" t="b">
        <v>1</v>
      </c>
    </row>
    <row r="1503" spans="1:16" x14ac:dyDescent="0.2">
      <c r="A1503" t="s">
        <v>2203</v>
      </c>
      <c r="B1503" s="1">
        <v>44688</v>
      </c>
      <c r="C1503" s="1">
        <v>44730</v>
      </c>
      <c r="D1503" t="s">
        <v>311</v>
      </c>
      <c r="E1503" t="s">
        <v>18</v>
      </c>
      <c r="F1503" t="s">
        <v>19</v>
      </c>
      <c r="G1503" t="s">
        <v>35</v>
      </c>
      <c r="H1503" t="s">
        <v>47</v>
      </c>
      <c r="I1503" t="s">
        <v>83</v>
      </c>
      <c r="J1503">
        <v>2</v>
      </c>
      <c r="K1503">
        <v>2973000</v>
      </c>
      <c r="L1503">
        <v>5.2288116241397897E-2</v>
      </c>
      <c r="M1503" t="s">
        <v>23</v>
      </c>
      <c r="N1503">
        <v>5635000</v>
      </c>
      <c r="O1503">
        <v>4.5999999999999996</v>
      </c>
      <c r="P1503" t="b">
        <v>1</v>
      </c>
    </row>
    <row r="1504" spans="1:16" x14ac:dyDescent="0.2">
      <c r="A1504" t="s">
        <v>2204</v>
      </c>
      <c r="B1504" s="1">
        <v>44688</v>
      </c>
      <c r="C1504" s="1">
        <v>44756</v>
      </c>
      <c r="D1504" t="s">
        <v>1084</v>
      </c>
      <c r="E1504" t="s">
        <v>29</v>
      </c>
      <c r="F1504" t="s">
        <v>34</v>
      </c>
      <c r="G1504" t="s">
        <v>20</v>
      </c>
      <c r="H1504" t="s">
        <v>40</v>
      </c>
      <c r="I1504" t="s">
        <v>60</v>
      </c>
      <c r="J1504">
        <v>2</v>
      </c>
      <c r="K1504">
        <v>4770000</v>
      </c>
      <c r="L1504" s="2" t="s">
        <v>2205</v>
      </c>
      <c r="M1504" t="s">
        <v>23</v>
      </c>
      <c r="N1504">
        <v>8544000</v>
      </c>
      <c r="O1504">
        <v>5</v>
      </c>
      <c r="P1504" t="b">
        <v>1</v>
      </c>
    </row>
    <row r="1505" spans="1:16" x14ac:dyDescent="0.2">
      <c r="A1505" t="s">
        <v>2206</v>
      </c>
      <c r="B1505" s="1">
        <v>44688</v>
      </c>
      <c r="C1505" s="1">
        <v>44696</v>
      </c>
      <c r="D1505" t="s">
        <v>2207</v>
      </c>
      <c r="E1505" t="s">
        <v>18</v>
      </c>
      <c r="F1505" t="s">
        <v>19</v>
      </c>
      <c r="G1505" t="s">
        <v>20</v>
      </c>
      <c r="H1505" t="s">
        <v>21</v>
      </c>
      <c r="I1505" t="s">
        <v>57</v>
      </c>
      <c r="J1505">
        <v>5</v>
      </c>
      <c r="K1505">
        <v>3155000</v>
      </c>
      <c r="L1505" s="2" t="s">
        <v>2208</v>
      </c>
      <c r="M1505" t="s">
        <v>23</v>
      </c>
      <c r="N1505">
        <v>13302000</v>
      </c>
      <c r="O1505">
        <v>4.2</v>
      </c>
      <c r="P1505" t="b">
        <v>0</v>
      </c>
    </row>
    <row r="1506" spans="1:16" x14ac:dyDescent="0.2">
      <c r="A1506" t="s">
        <v>2209</v>
      </c>
      <c r="B1506" s="1">
        <v>44778</v>
      </c>
      <c r="C1506" s="1">
        <v>44747</v>
      </c>
      <c r="D1506" t="s">
        <v>1681</v>
      </c>
      <c r="E1506" t="s">
        <v>18</v>
      </c>
      <c r="F1506" t="s">
        <v>25</v>
      </c>
      <c r="G1506" t="s">
        <v>20</v>
      </c>
      <c r="H1506" t="s">
        <v>40</v>
      </c>
      <c r="I1506" t="s">
        <v>26</v>
      </c>
      <c r="J1506">
        <v>2</v>
      </c>
      <c r="K1506">
        <v>5443000</v>
      </c>
      <c r="L1506">
        <v>9.2440144277137204E-2</v>
      </c>
      <c r="M1506" t="s">
        <v>23</v>
      </c>
      <c r="N1506">
        <v>9880000</v>
      </c>
      <c r="O1506">
        <v>4.5</v>
      </c>
      <c r="P1506" t="b">
        <v>1</v>
      </c>
    </row>
    <row r="1507" spans="1:16" x14ac:dyDescent="0.2">
      <c r="A1507" t="s">
        <v>2210</v>
      </c>
      <c r="B1507" s="1">
        <v>44689</v>
      </c>
      <c r="C1507" s="1">
        <v>44726</v>
      </c>
      <c r="D1507" t="s">
        <v>1763</v>
      </c>
      <c r="E1507" t="s">
        <v>45</v>
      </c>
      <c r="F1507" t="s">
        <v>19</v>
      </c>
      <c r="G1507" t="s">
        <v>35</v>
      </c>
      <c r="H1507" t="s">
        <v>21</v>
      </c>
      <c r="I1507" t="s">
        <v>26</v>
      </c>
      <c r="J1507">
        <v>3</v>
      </c>
      <c r="K1507">
        <v>2955000</v>
      </c>
      <c r="L1507">
        <v>7.2900807957947802E-2</v>
      </c>
      <c r="M1507" t="s">
        <v>23</v>
      </c>
      <c r="N1507">
        <v>8219000</v>
      </c>
      <c r="O1507">
        <v>3.8</v>
      </c>
      <c r="P1507" t="b">
        <v>1</v>
      </c>
    </row>
    <row r="1508" spans="1:16" x14ac:dyDescent="0.2">
      <c r="A1508" t="s">
        <v>2211</v>
      </c>
      <c r="B1508" s="1">
        <v>44690</v>
      </c>
      <c r="C1508" s="1">
        <v>44725</v>
      </c>
      <c r="D1508" t="s">
        <v>1200</v>
      </c>
      <c r="E1508" t="s">
        <v>45</v>
      </c>
      <c r="F1508" t="s">
        <v>45</v>
      </c>
      <c r="G1508" t="s">
        <v>20</v>
      </c>
      <c r="H1508" t="s">
        <v>21</v>
      </c>
      <c r="I1508" t="s">
        <v>30</v>
      </c>
      <c r="J1508">
        <v>2</v>
      </c>
      <c r="K1508">
        <v>3573000</v>
      </c>
      <c r="L1508" s="2" t="s">
        <v>2212</v>
      </c>
      <c r="M1508" t="s">
        <v>23</v>
      </c>
      <c r="N1508">
        <v>6054000</v>
      </c>
      <c r="O1508">
        <v>4.3</v>
      </c>
      <c r="P1508" t="b">
        <v>1</v>
      </c>
    </row>
    <row r="1509" spans="1:16" x14ac:dyDescent="0.2">
      <c r="A1509" t="s">
        <v>2213</v>
      </c>
      <c r="B1509" s="1">
        <v>44691</v>
      </c>
      <c r="C1509" s="1">
        <v>44768</v>
      </c>
      <c r="D1509" t="s">
        <v>2214</v>
      </c>
      <c r="E1509" t="s">
        <v>33</v>
      </c>
      <c r="F1509" t="s">
        <v>25</v>
      </c>
      <c r="G1509" t="s">
        <v>35</v>
      </c>
      <c r="H1509" t="s">
        <v>21</v>
      </c>
      <c r="I1509" t="s">
        <v>60</v>
      </c>
      <c r="J1509">
        <v>3</v>
      </c>
      <c r="K1509">
        <v>5842000</v>
      </c>
      <c r="L1509">
        <v>0.156507832943139</v>
      </c>
      <c r="M1509" t="s">
        <v>23</v>
      </c>
      <c r="N1509">
        <v>14783000</v>
      </c>
      <c r="O1509">
        <v>4</v>
      </c>
      <c r="P1509" t="b">
        <v>0</v>
      </c>
    </row>
    <row r="1510" spans="1:16" x14ac:dyDescent="0.2">
      <c r="A1510" t="s">
        <v>2215</v>
      </c>
      <c r="B1510" s="1">
        <v>44692</v>
      </c>
      <c r="C1510" s="1">
        <v>44734</v>
      </c>
      <c r="D1510" t="s">
        <v>1373</v>
      </c>
      <c r="E1510" t="s">
        <v>45</v>
      </c>
      <c r="F1510" t="s">
        <v>34</v>
      </c>
      <c r="G1510" t="s">
        <v>50</v>
      </c>
      <c r="H1510" t="s">
        <v>47</v>
      </c>
      <c r="I1510" t="s">
        <v>57</v>
      </c>
      <c r="J1510">
        <v>3</v>
      </c>
      <c r="K1510">
        <v>4785000</v>
      </c>
      <c r="L1510" s="2" t="s">
        <v>2216</v>
      </c>
      <c r="M1510" t="s">
        <v>23</v>
      </c>
      <c r="N1510">
        <v>12197000</v>
      </c>
      <c r="O1510">
        <v>4</v>
      </c>
      <c r="P1510" t="b">
        <v>1</v>
      </c>
    </row>
    <row r="1511" spans="1:16" x14ac:dyDescent="0.2">
      <c r="A1511" t="s">
        <v>2217</v>
      </c>
      <c r="B1511" s="1">
        <v>44692</v>
      </c>
      <c r="C1511" s="1">
        <v>44727</v>
      </c>
      <c r="D1511" t="s">
        <v>530</v>
      </c>
      <c r="E1511" t="s">
        <v>29</v>
      </c>
      <c r="F1511" t="s">
        <v>45</v>
      </c>
      <c r="G1511" t="s">
        <v>50</v>
      </c>
      <c r="H1511" t="s">
        <v>47</v>
      </c>
      <c r="I1511" t="s">
        <v>30</v>
      </c>
      <c r="J1511">
        <v>1</v>
      </c>
      <c r="K1511">
        <v>3450000</v>
      </c>
      <c r="L1511">
        <v>0.144705624704175</v>
      </c>
      <c r="M1511" t="s">
        <v>23</v>
      </c>
      <c r="N1511">
        <v>2951000</v>
      </c>
      <c r="O1511">
        <v>4.5999999999999996</v>
      </c>
      <c r="P1511" t="b">
        <v>1</v>
      </c>
    </row>
    <row r="1512" spans="1:16" x14ac:dyDescent="0.2">
      <c r="A1512" t="s">
        <v>2218</v>
      </c>
      <c r="B1512" s="1">
        <v>44694</v>
      </c>
      <c r="C1512" s="1">
        <v>44742</v>
      </c>
      <c r="D1512" t="s">
        <v>2219</v>
      </c>
      <c r="E1512" t="s">
        <v>18</v>
      </c>
      <c r="F1512" t="s">
        <v>45</v>
      </c>
      <c r="G1512" t="s">
        <v>35</v>
      </c>
      <c r="H1512" t="s">
        <v>21</v>
      </c>
      <c r="I1512" t="s">
        <v>57</v>
      </c>
      <c r="J1512">
        <v>1</v>
      </c>
      <c r="K1512">
        <v>4007000</v>
      </c>
      <c r="L1512" s="2" t="s">
        <v>2220</v>
      </c>
      <c r="M1512" t="s">
        <v>65</v>
      </c>
      <c r="N1512">
        <v>0</v>
      </c>
      <c r="P1512" t="b">
        <v>0</v>
      </c>
    </row>
    <row r="1513" spans="1:16" x14ac:dyDescent="0.2">
      <c r="A1513" t="s">
        <v>2221</v>
      </c>
      <c r="B1513" s="1">
        <v>44694</v>
      </c>
      <c r="C1513" s="1">
        <v>44724</v>
      </c>
      <c r="D1513" t="s">
        <v>2091</v>
      </c>
      <c r="E1513" t="s">
        <v>18</v>
      </c>
      <c r="F1513" t="s">
        <v>68</v>
      </c>
      <c r="G1513" t="s">
        <v>20</v>
      </c>
      <c r="H1513" t="s">
        <v>21</v>
      </c>
      <c r="I1513" t="s">
        <v>77</v>
      </c>
      <c r="J1513">
        <v>2</v>
      </c>
      <c r="K1513">
        <v>2738000</v>
      </c>
      <c r="L1513" s="2" t="s">
        <v>2222</v>
      </c>
      <c r="M1513" t="s">
        <v>23</v>
      </c>
      <c r="N1513">
        <v>4666000</v>
      </c>
      <c r="O1513">
        <v>4.0999999999999996</v>
      </c>
      <c r="P1513" t="b">
        <v>1</v>
      </c>
    </row>
    <row r="1514" spans="1:16" x14ac:dyDescent="0.2">
      <c r="A1514" t="s">
        <v>2223</v>
      </c>
      <c r="B1514" s="1">
        <v>44694</v>
      </c>
      <c r="C1514" s="1">
        <v>44762</v>
      </c>
      <c r="D1514" t="s">
        <v>2224</v>
      </c>
      <c r="E1514" t="s">
        <v>33</v>
      </c>
      <c r="F1514" t="s">
        <v>39</v>
      </c>
      <c r="G1514" t="s">
        <v>20</v>
      </c>
      <c r="H1514" t="s">
        <v>47</v>
      </c>
      <c r="J1514">
        <v>1</v>
      </c>
      <c r="K1514">
        <v>2682000</v>
      </c>
      <c r="L1514" s="2" t="s">
        <v>2225</v>
      </c>
      <c r="M1514" t="s">
        <v>23</v>
      </c>
      <c r="N1514">
        <v>2320000</v>
      </c>
      <c r="O1514">
        <v>3.8</v>
      </c>
      <c r="P1514" t="b">
        <v>0</v>
      </c>
    </row>
    <row r="1515" spans="1:16" x14ac:dyDescent="0.2">
      <c r="A1515" t="s">
        <v>2226</v>
      </c>
      <c r="B1515" s="1">
        <v>44695</v>
      </c>
      <c r="C1515" s="1">
        <v>44786</v>
      </c>
      <c r="D1515" t="s">
        <v>2104</v>
      </c>
      <c r="E1515" t="s">
        <v>18</v>
      </c>
      <c r="F1515" t="s">
        <v>25</v>
      </c>
      <c r="G1515" t="s">
        <v>20</v>
      </c>
      <c r="H1515" t="s">
        <v>21</v>
      </c>
      <c r="I1515" t="s">
        <v>52</v>
      </c>
      <c r="J1515">
        <v>2</v>
      </c>
      <c r="K1515">
        <v>5166000</v>
      </c>
      <c r="L1515" s="2" t="s">
        <v>2227</v>
      </c>
      <c r="M1515" t="s">
        <v>23</v>
      </c>
      <c r="N1515">
        <v>8837000</v>
      </c>
      <c r="O1515">
        <v>5</v>
      </c>
      <c r="P1515" t="b">
        <v>1</v>
      </c>
    </row>
    <row r="1516" spans="1:16" x14ac:dyDescent="0.2">
      <c r="A1516" t="s">
        <v>2228</v>
      </c>
      <c r="B1516" s="1">
        <v>44697</v>
      </c>
      <c r="C1516" s="1">
        <v>44764</v>
      </c>
      <c r="D1516" t="s">
        <v>343</v>
      </c>
      <c r="E1516" t="s">
        <v>45</v>
      </c>
      <c r="F1516" t="s">
        <v>25</v>
      </c>
      <c r="G1516" t="s">
        <v>50</v>
      </c>
      <c r="H1516" t="s">
        <v>21</v>
      </c>
      <c r="I1516" t="s">
        <v>57</v>
      </c>
      <c r="J1516">
        <v>3</v>
      </c>
      <c r="K1516">
        <v>5393000</v>
      </c>
      <c r="L1516" s="2" t="s">
        <v>2229</v>
      </c>
      <c r="M1516" t="s">
        <v>23</v>
      </c>
      <c r="N1516">
        <v>14018000</v>
      </c>
      <c r="O1516">
        <v>4.3</v>
      </c>
      <c r="P1516" t="b">
        <v>1</v>
      </c>
    </row>
    <row r="1517" spans="1:16" x14ac:dyDescent="0.2">
      <c r="A1517" t="s">
        <v>2230</v>
      </c>
      <c r="B1517" s="1">
        <v>44697</v>
      </c>
      <c r="C1517" s="1">
        <v>44780</v>
      </c>
      <c r="D1517" t="s">
        <v>2231</v>
      </c>
      <c r="E1517" t="s">
        <v>45</v>
      </c>
      <c r="F1517" t="s">
        <v>25</v>
      </c>
      <c r="H1517" t="s">
        <v>40</v>
      </c>
      <c r="I1517" t="s">
        <v>30</v>
      </c>
      <c r="J1517">
        <v>1</v>
      </c>
      <c r="K1517">
        <v>5123000</v>
      </c>
      <c r="L1517" s="2" t="s">
        <v>2232</v>
      </c>
      <c r="M1517" t="s">
        <v>23</v>
      </c>
      <c r="N1517">
        <v>4282000</v>
      </c>
      <c r="O1517">
        <v>4.5</v>
      </c>
      <c r="P1517" t="b">
        <v>0</v>
      </c>
    </row>
    <row r="1518" spans="1:16" x14ac:dyDescent="0.2">
      <c r="A1518" t="s">
        <v>2233</v>
      </c>
      <c r="B1518" s="1">
        <v>44697</v>
      </c>
      <c r="C1518" s="1">
        <v>44771</v>
      </c>
      <c r="D1518" t="s">
        <v>2234</v>
      </c>
      <c r="E1518" t="s">
        <v>18</v>
      </c>
      <c r="F1518" t="s">
        <v>19</v>
      </c>
      <c r="G1518" t="s">
        <v>35</v>
      </c>
      <c r="H1518" t="s">
        <v>21</v>
      </c>
      <c r="I1518" t="s">
        <v>52</v>
      </c>
      <c r="J1518">
        <v>2</v>
      </c>
      <c r="K1518">
        <v>2737000</v>
      </c>
      <c r="L1518">
        <v>8.9098980297901698E-2</v>
      </c>
      <c r="M1518" t="s">
        <v>23</v>
      </c>
      <c r="N1518">
        <v>4986000</v>
      </c>
      <c r="O1518">
        <v>3.5</v>
      </c>
      <c r="P1518" t="b">
        <v>0</v>
      </c>
    </row>
    <row r="1519" spans="1:16" x14ac:dyDescent="0.2">
      <c r="A1519" t="s">
        <v>2235</v>
      </c>
      <c r="B1519" s="1">
        <v>44698</v>
      </c>
      <c r="C1519" s="1">
        <v>44705</v>
      </c>
      <c r="D1519" t="s">
        <v>261</v>
      </c>
      <c r="E1519" t="s">
        <v>18</v>
      </c>
      <c r="F1519" t="s">
        <v>34</v>
      </c>
      <c r="G1519" t="s">
        <v>20</v>
      </c>
      <c r="H1519" t="s">
        <v>51</v>
      </c>
      <c r="I1519" t="s">
        <v>30</v>
      </c>
      <c r="J1519">
        <v>1</v>
      </c>
      <c r="K1519">
        <v>3692000</v>
      </c>
      <c r="L1519" s="2" t="s">
        <v>2236</v>
      </c>
      <c r="M1519" t="s">
        <v>23</v>
      </c>
      <c r="N1519">
        <v>3300000</v>
      </c>
      <c r="O1519">
        <v>4.9000000000000004</v>
      </c>
      <c r="P1519" t="b">
        <v>1</v>
      </c>
    </row>
    <row r="1520" spans="1:16" x14ac:dyDescent="0.2">
      <c r="A1520" t="s">
        <v>2237</v>
      </c>
      <c r="B1520" s="1">
        <v>44700</v>
      </c>
      <c r="C1520" s="1">
        <v>44751</v>
      </c>
      <c r="D1520" t="s">
        <v>969</v>
      </c>
      <c r="E1520" t="s">
        <v>18</v>
      </c>
      <c r="F1520" t="s">
        <v>34</v>
      </c>
      <c r="G1520" t="s">
        <v>46</v>
      </c>
      <c r="H1520" t="s">
        <v>40</v>
      </c>
      <c r="I1520" t="s">
        <v>52</v>
      </c>
      <c r="J1520">
        <v>1</v>
      </c>
      <c r="K1520">
        <v>3478000</v>
      </c>
      <c r="L1520" s="2" t="s">
        <v>2238</v>
      </c>
      <c r="M1520" t="s">
        <v>23</v>
      </c>
      <c r="N1520">
        <v>3090000</v>
      </c>
      <c r="O1520">
        <v>3.9</v>
      </c>
      <c r="P1520" t="b">
        <v>1</v>
      </c>
    </row>
    <row r="1521" spans="1:16" x14ac:dyDescent="0.2">
      <c r="A1521" t="s">
        <v>2239</v>
      </c>
      <c r="B1521" s="1">
        <v>44700</v>
      </c>
      <c r="C1521" s="1">
        <v>44757</v>
      </c>
      <c r="D1521" t="s">
        <v>2240</v>
      </c>
      <c r="E1521" t="s">
        <v>33</v>
      </c>
      <c r="F1521" t="s">
        <v>19</v>
      </c>
      <c r="G1521" t="s">
        <v>20</v>
      </c>
      <c r="H1521" t="s">
        <v>21</v>
      </c>
      <c r="I1521" t="s">
        <v>52</v>
      </c>
      <c r="J1521">
        <v>1</v>
      </c>
      <c r="K1521">
        <v>2955000</v>
      </c>
      <c r="L1521" s="3">
        <v>9.7000000000000003E-2</v>
      </c>
      <c r="M1521" t="s">
        <v>23</v>
      </c>
      <c r="N1521">
        <v>2670000</v>
      </c>
      <c r="O1521">
        <v>3</v>
      </c>
      <c r="P1521" t="b">
        <v>0</v>
      </c>
    </row>
    <row r="1522" spans="1:16" x14ac:dyDescent="0.2">
      <c r="A1522" t="s">
        <v>2241</v>
      </c>
      <c r="B1522" s="1">
        <v>44701</v>
      </c>
      <c r="C1522" s="1">
        <v>44751</v>
      </c>
      <c r="D1522" t="s">
        <v>356</v>
      </c>
      <c r="E1522" t="s">
        <v>45</v>
      </c>
      <c r="F1522" t="s">
        <v>34</v>
      </c>
      <c r="G1522" t="s">
        <v>35</v>
      </c>
      <c r="H1522" t="s">
        <v>21</v>
      </c>
      <c r="I1522" t="s">
        <v>83</v>
      </c>
      <c r="J1522">
        <v>2</v>
      </c>
      <c r="K1522">
        <v>4665000</v>
      </c>
      <c r="L1522" s="2" t="s">
        <v>2242</v>
      </c>
      <c r="M1522" t="s">
        <v>23</v>
      </c>
      <c r="N1522">
        <v>7713000</v>
      </c>
      <c r="O1522">
        <v>4.4000000000000004</v>
      </c>
      <c r="P1522" t="b">
        <v>1</v>
      </c>
    </row>
    <row r="1523" spans="1:16" x14ac:dyDescent="0.2">
      <c r="A1523" t="s">
        <v>2243</v>
      </c>
      <c r="B1523" s="1">
        <v>44702</v>
      </c>
      <c r="C1523" s="1">
        <v>44748</v>
      </c>
      <c r="D1523" t="s">
        <v>2244</v>
      </c>
      <c r="E1523" t="s">
        <v>45</v>
      </c>
      <c r="F1523" t="s">
        <v>25</v>
      </c>
      <c r="G1523" t="s">
        <v>20</v>
      </c>
      <c r="H1523" t="s">
        <v>21</v>
      </c>
      <c r="I1523" t="s">
        <v>60</v>
      </c>
      <c r="J1523">
        <v>1</v>
      </c>
      <c r="K1523">
        <v>5894000</v>
      </c>
      <c r="L1523">
        <v>9.3028636854518398E-2</v>
      </c>
      <c r="M1523" t="s">
        <v>23</v>
      </c>
      <c r="N1523">
        <v>5346000</v>
      </c>
      <c r="O1523">
        <v>3.8</v>
      </c>
      <c r="P1523" t="b">
        <v>0</v>
      </c>
    </row>
    <row r="1524" spans="1:16" x14ac:dyDescent="0.2">
      <c r="A1524" t="s">
        <v>2245</v>
      </c>
      <c r="B1524" s="1">
        <v>44702</v>
      </c>
      <c r="C1524" s="1">
        <v>44757</v>
      </c>
      <c r="D1524" t="s">
        <v>1093</v>
      </c>
      <c r="E1524" t="s">
        <v>45</v>
      </c>
      <c r="F1524" t="s">
        <v>68</v>
      </c>
      <c r="I1524" t="s">
        <v>1978</v>
      </c>
      <c r="J1524">
        <v>4</v>
      </c>
      <c r="K1524">
        <v>2703000</v>
      </c>
      <c r="L1524" s="2" t="s">
        <v>2246</v>
      </c>
      <c r="M1524" t="s">
        <v>23</v>
      </c>
      <c r="N1524">
        <v>9607000</v>
      </c>
      <c r="O1524">
        <v>4.8</v>
      </c>
      <c r="P1524" t="b">
        <v>1</v>
      </c>
    </row>
    <row r="1525" spans="1:16" x14ac:dyDescent="0.2">
      <c r="A1525" t="s">
        <v>2247</v>
      </c>
      <c r="B1525" s="1">
        <v>44703</v>
      </c>
      <c r="C1525" s="1">
        <v>44770</v>
      </c>
      <c r="D1525" t="s">
        <v>2248</v>
      </c>
      <c r="E1525" t="s">
        <v>29</v>
      </c>
      <c r="F1525" t="s">
        <v>68</v>
      </c>
      <c r="G1525" t="s">
        <v>20</v>
      </c>
      <c r="H1525" t="s">
        <v>21</v>
      </c>
      <c r="I1525" t="s">
        <v>22</v>
      </c>
      <c r="J1525">
        <v>1</v>
      </c>
      <c r="K1525">
        <v>3010000</v>
      </c>
      <c r="L1525" s="2" t="s">
        <v>2249</v>
      </c>
      <c r="M1525" t="s">
        <v>23</v>
      </c>
      <c r="N1525">
        <v>2626000</v>
      </c>
      <c r="O1525">
        <v>3.9</v>
      </c>
      <c r="P1525" t="b">
        <v>0</v>
      </c>
    </row>
    <row r="1526" spans="1:16" x14ac:dyDescent="0.2">
      <c r="A1526" t="s">
        <v>2250</v>
      </c>
      <c r="B1526" s="1">
        <v>44704</v>
      </c>
      <c r="C1526" s="1">
        <v>44749</v>
      </c>
      <c r="D1526" t="s">
        <v>49</v>
      </c>
      <c r="E1526" t="s">
        <v>18</v>
      </c>
      <c r="F1526" t="s">
        <v>19</v>
      </c>
      <c r="G1526" t="s">
        <v>20</v>
      </c>
      <c r="H1526" t="s">
        <v>21</v>
      </c>
      <c r="I1526" t="s">
        <v>52</v>
      </c>
      <c r="J1526">
        <v>1</v>
      </c>
      <c r="K1526">
        <v>2733000</v>
      </c>
      <c r="L1526">
        <v>9.5086809614440201E-2</v>
      </c>
      <c r="M1526" t="s">
        <v>23</v>
      </c>
      <c r="N1526">
        <v>2473000</v>
      </c>
      <c r="O1526">
        <v>4.8</v>
      </c>
      <c r="P1526" t="b">
        <v>1</v>
      </c>
    </row>
    <row r="1527" spans="1:16" x14ac:dyDescent="0.2">
      <c r="A1527" t="s">
        <v>2251</v>
      </c>
      <c r="B1527" s="1">
        <v>44704</v>
      </c>
      <c r="C1527" s="1">
        <v>44745</v>
      </c>
      <c r="D1527" t="s">
        <v>1965</v>
      </c>
      <c r="E1527" t="s">
        <v>18</v>
      </c>
      <c r="F1527" t="s">
        <v>19</v>
      </c>
      <c r="G1527" t="s">
        <v>20</v>
      </c>
      <c r="H1527" t="s">
        <v>51</v>
      </c>
      <c r="I1527" t="s">
        <v>22</v>
      </c>
      <c r="J1527">
        <v>1</v>
      </c>
      <c r="K1527">
        <v>2428000</v>
      </c>
      <c r="L1527" s="2" t="s">
        <v>2252</v>
      </c>
      <c r="M1527" t="s">
        <v>23</v>
      </c>
      <c r="N1527">
        <v>2166000</v>
      </c>
      <c r="O1527">
        <v>4.2</v>
      </c>
      <c r="P1527" t="b">
        <v>1</v>
      </c>
    </row>
    <row r="1528" spans="1:16" x14ac:dyDescent="0.2">
      <c r="A1528" t="s">
        <v>2253</v>
      </c>
      <c r="B1528" s="1">
        <v>44704</v>
      </c>
      <c r="C1528" s="1">
        <v>44780</v>
      </c>
      <c r="D1528" t="s">
        <v>408</v>
      </c>
      <c r="E1528" t="s">
        <v>33</v>
      </c>
      <c r="F1528" t="s">
        <v>19</v>
      </c>
      <c r="G1528" t="s">
        <v>20</v>
      </c>
      <c r="H1528" t="s">
        <v>21</v>
      </c>
      <c r="I1528" t="s">
        <v>77</v>
      </c>
      <c r="J1528">
        <v>1</v>
      </c>
      <c r="K1528">
        <v>2873000</v>
      </c>
      <c r="L1528">
        <v>8.5868840306755706E-2</v>
      </c>
      <c r="M1528" t="s">
        <v>23</v>
      </c>
      <c r="N1528">
        <v>2626000</v>
      </c>
      <c r="O1528">
        <v>5</v>
      </c>
      <c r="P1528" t="b">
        <v>1</v>
      </c>
    </row>
    <row r="1529" spans="1:16" x14ac:dyDescent="0.2">
      <c r="A1529" t="s">
        <v>2254</v>
      </c>
      <c r="B1529" s="1">
        <v>44704</v>
      </c>
      <c r="C1529" s="1">
        <v>44749</v>
      </c>
      <c r="D1529" t="s">
        <v>668</v>
      </c>
      <c r="E1529" t="s">
        <v>18</v>
      </c>
      <c r="F1529" t="s">
        <v>19</v>
      </c>
      <c r="G1529" t="s">
        <v>50</v>
      </c>
      <c r="H1529" t="s">
        <v>40</v>
      </c>
      <c r="I1529" t="s">
        <v>26</v>
      </c>
      <c r="J1529">
        <v>3</v>
      </c>
      <c r="K1529">
        <v>2648000</v>
      </c>
      <c r="L1529">
        <v>4.62313976964124E-2</v>
      </c>
      <c r="M1529" t="s">
        <v>23</v>
      </c>
      <c r="N1529">
        <v>7577000</v>
      </c>
      <c r="O1529">
        <v>4.4000000000000004</v>
      </c>
      <c r="P1529" t="b">
        <v>1</v>
      </c>
    </row>
    <row r="1530" spans="1:16" x14ac:dyDescent="0.2">
      <c r="A1530" t="s">
        <v>2255</v>
      </c>
      <c r="B1530" s="1">
        <v>44706</v>
      </c>
      <c r="C1530" s="1">
        <v>44742</v>
      </c>
      <c r="D1530" t="s">
        <v>2014</v>
      </c>
      <c r="F1530" t="s">
        <v>25</v>
      </c>
      <c r="G1530" t="s">
        <v>50</v>
      </c>
      <c r="H1530" t="s">
        <v>47</v>
      </c>
      <c r="I1530" t="s">
        <v>83</v>
      </c>
      <c r="J1530">
        <v>1</v>
      </c>
      <c r="K1530">
        <v>4958000</v>
      </c>
      <c r="L1530" s="2" t="s">
        <v>2256</v>
      </c>
      <c r="M1530" t="s">
        <v>23</v>
      </c>
      <c r="N1530">
        <v>4461000</v>
      </c>
      <c r="O1530">
        <v>4.5</v>
      </c>
      <c r="P1530" t="b">
        <v>1</v>
      </c>
    </row>
    <row r="1531" spans="1:16" x14ac:dyDescent="0.2">
      <c r="A1531" t="s">
        <v>2257</v>
      </c>
      <c r="B1531" s="1">
        <v>44706</v>
      </c>
      <c r="C1531" s="1">
        <v>44788</v>
      </c>
      <c r="D1531" t="s">
        <v>1795</v>
      </c>
      <c r="E1531" t="s">
        <v>29</v>
      </c>
      <c r="F1531" t="s">
        <v>39</v>
      </c>
      <c r="G1531" t="s">
        <v>20</v>
      </c>
      <c r="H1531" t="s">
        <v>21</v>
      </c>
      <c r="I1531" t="s">
        <v>99</v>
      </c>
      <c r="J1531">
        <v>1</v>
      </c>
      <c r="K1531">
        <v>2240000</v>
      </c>
      <c r="L1531">
        <v>9.5284947626855895E-2</v>
      </c>
      <c r="M1531" t="s">
        <v>23</v>
      </c>
      <c r="N1531">
        <v>2027000</v>
      </c>
      <c r="O1531">
        <v>5</v>
      </c>
      <c r="P1531" t="b">
        <v>1</v>
      </c>
    </row>
    <row r="1532" spans="1:16" x14ac:dyDescent="0.2">
      <c r="A1532" t="s">
        <v>2258</v>
      </c>
      <c r="B1532" s="1">
        <v>44706</v>
      </c>
      <c r="C1532" s="1">
        <v>44779</v>
      </c>
      <c r="D1532" t="s">
        <v>2259</v>
      </c>
      <c r="E1532" t="s">
        <v>45</v>
      </c>
      <c r="F1532" t="s">
        <v>45</v>
      </c>
      <c r="G1532" t="s">
        <v>50</v>
      </c>
      <c r="H1532" t="s">
        <v>21</v>
      </c>
      <c r="I1532" t="s">
        <v>22</v>
      </c>
      <c r="J1532">
        <v>3</v>
      </c>
      <c r="K1532">
        <v>3150000</v>
      </c>
      <c r="L1532">
        <v>7.7291890027287993E-2</v>
      </c>
      <c r="M1532" t="s">
        <v>23</v>
      </c>
      <c r="N1532">
        <v>8720000</v>
      </c>
      <c r="O1532">
        <v>4.5999999999999996</v>
      </c>
      <c r="P1532" t="b">
        <v>0</v>
      </c>
    </row>
    <row r="1533" spans="1:16" x14ac:dyDescent="0.2">
      <c r="A1533" t="s">
        <v>2260</v>
      </c>
      <c r="B1533" s="1">
        <v>44708</v>
      </c>
      <c r="C1533" s="1">
        <v>44749</v>
      </c>
      <c r="D1533" t="s">
        <v>757</v>
      </c>
      <c r="E1533" t="s">
        <v>33</v>
      </c>
      <c r="F1533" t="s">
        <v>39</v>
      </c>
      <c r="G1533" t="s">
        <v>35</v>
      </c>
      <c r="H1533" t="s">
        <v>47</v>
      </c>
      <c r="I1533" t="s">
        <v>94</v>
      </c>
      <c r="J1533">
        <v>3</v>
      </c>
      <c r="K1533">
        <v>2926000</v>
      </c>
      <c r="L1533">
        <v>7.8901238007753699E-2</v>
      </c>
      <c r="M1533" t="s">
        <v>23</v>
      </c>
      <c r="N1533">
        <v>8085000</v>
      </c>
      <c r="O1533">
        <v>4.2</v>
      </c>
      <c r="P1533" t="b">
        <v>1</v>
      </c>
    </row>
    <row r="1534" spans="1:16" x14ac:dyDescent="0.2">
      <c r="A1534" t="s">
        <v>2261</v>
      </c>
      <c r="B1534" s="1">
        <v>44708</v>
      </c>
      <c r="C1534" s="1">
        <v>44742</v>
      </c>
      <c r="D1534" t="s">
        <v>2154</v>
      </c>
      <c r="E1534" t="s">
        <v>45</v>
      </c>
      <c r="F1534" t="s">
        <v>19</v>
      </c>
      <c r="G1534" t="s">
        <v>35</v>
      </c>
      <c r="H1534" t="s">
        <v>21</v>
      </c>
      <c r="I1534" t="s">
        <v>99</v>
      </c>
      <c r="J1534">
        <v>4</v>
      </c>
      <c r="K1534">
        <v>2493000</v>
      </c>
      <c r="L1534" s="2" t="s">
        <v>2262</v>
      </c>
      <c r="M1534" t="s">
        <v>23</v>
      </c>
      <c r="N1534">
        <v>8734000</v>
      </c>
      <c r="O1534">
        <v>4.9000000000000004</v>
      </c>
      <c r="P1534" t="b">
        <v>1</v>
      </c>
    </row>
    <row r="1535" spans="1:16" x14ac:dyDescent="0.2">
      <c r="A1535" t="s">
        <v>2263</v>
      </c>
      <c r="B1535" s="1">
        <v>44709</v>
      </c>
      <c r="C1535" s="1">
        <v>44728</v>
      </c>
      <c r="D1535" t="s">
        <v>1068</v>
      </c>
      <c r="F1535" t="s">
        <v>34</v>
      </c>
      <c r="G1535" t="s">
        <v>35</v>
      </c>
      <c r="H1535" t="s">
        <v>21</v>
      </c>
      <c r="I1535" t="s">
        <v>77</v>
      </c>
      <c r="J1535">
        <v>1</v>
      </c>
      <c r="K1535">
        <v>4233000</v>
      </c>
      <c r="L1535" s="2" t="s">
        <v>2264</v>
      </c>
      <c r="M1535" t="s">
        <v>65</v>
      </c>
      <c r="N1535">
        <v>0</v>
      </c>
      <c r="P1535" t="b">
        <v>1</v>
      </c>
    </row>
    <row r="1536" spans="1:16" x14ac:dyDescent="0.2">
      <c r="A1536" t="s">
        <v>2265</v>
      </c>
      <c r="B1536" s="1">
        <v>44709</v>
      </c>
      <c r="C1536" s="1">
        <v>44747</v>
      </c>
      <c r="D1536" t="s">
        <v>1112</v>
      </c>
      <c r="E1536" t="s">
        <v>33</v>
      </c>
      <c r="F1536" t="s">
        <v>34</v>
      </c>
      <c r="G1536" t="s">
        <v>46</v>
      </c>
      <c r="H1536" t="s">
        <v>47</v>
      </c>
      <c r="I1536" t="s">
        <v>83</v>
      </c>
      <c r="J1536">
        <v>1</v>
      </c>
      <c r="K1536">
        <v>4478000</v>
      </c>
      <c r="L1536" s="2" t="s">
        <v>2266</v>
      </c>
      <c r="M1536" t="s">
        <v>23</v>
      </c>
      <c r="N1536">
        <v>3518000</v>
      </c>
      <c r="O1536">
        <v>3.9</v>
      </c>
      <c r="P1536" t="b">
        <v>1</v>
      </c>
    </row>
    <row r="1537" spans="1:16" x14ac:dyDescent="0.2">
      <c r="A1537" t="s">
        <v>2267</v>
      </c>
      <c r="B1537" s="1">
        <v>44709</v>
      </c>
      <c r="C1537" s="1">
        <v>44759</v>
      </c>
      <c r="D1537" t="s">
        <v>705</v>
      </c>
      <c r="E1537" t="s">
        <v>45</v>
      </c>
      <c r="F1537" t="s">
        <v>25</v>
      </c>
      <c r="G1537" t="s">
        <v>50</v>
      </c>
      <c r="H1537" t="s">
        <v>21</v>
      </c>
      <c r="I1537" t="s">
        <v>77</v>
      </c>
      <c r="J1537">
        <v>1</v>
      </c>
      <c r="K1537">
        <v>6162000</v>
      </c>
      <c r="L1537">
        <v>9.8381114748162704E-2</v>
      </c>
      <c r="M1537" t="s">
        <v>23</v>
      </c>
      <c r="N1537">
        <v>5556000</v>
      </c>
      <c r="O1537">
        <v>4.7</v>
      </c>
      <c r="P1537" t="b">
        <v>1</v>
      </c>
    </row>
    <row r="1538" spans="1:16" x14ac:dyDescent="0.2">
      <c r="A1538" t="s">
        <v>2268</v>
      </c>
      <c r="B1538" s="1">
        <v>44709</v>
      </c>
      <c r="C1538" s="1">
        <v>44747</v>
      </c>
      <c r="D1538" t="s">
        <v>821</v>
      </c>
      <c r="E1538" t="s">
        <v>18</v>
      </c>
      <c r="F1538" t="s">
        <v>45</v>
      </c>
      <c r="G1538" t="s">
        <v>35</v>
      </c>
      <c r="H1538" t="s">
        <v>21</v>
      </c>
      <c r="I1538" t="s">
        <v>60</v>
      </c>
      <c r="J1538">
        <v>1</v>
      </c>
      <c r="K1538">
        <v>3761000</v>
      </c>
      <c r="L1538">
        <v>8.61841462278162E-2</v>
      </c>
      <c r="M1538" t="s">
        <v>23</v>
      </c>
      <c r="N1538">
        <v>3437000</v>
      </c>
      <c r="O1538">
        <v>3.6</v>
      </c>
      <c r="P1538" t="b">
        <v>1</v>
      </c>
    </row>
    <row r="1539" spans="1:16" x14ac:dyDescent="0.2">
      <c r="A1539" t="s">
        <v>2269</v>
      </c>
      <c r="B1539" s="1">
        <v>44710</v>
      </c>
      <c r="C1539" s="1">
        <v>44792</v>
      </c>
      <c r="D1539" t="s">
        <v>1231</v>
      </c>
      <c r="E1539" t="s">
        <v>18</v>
      </c>
      <c r="F1539" t="s">
        <v>19</v>
      </c>
      <c r="G1539" t="s">
        <v>20</v>
      </c>
      <c r="H1539" t="s">
        <v>21</v>
      </c>
      <c r="I1539" t="s">
        <v>22</v>
      </c>
      <c r="J1539">
        <v>2</v>
      </c>
      <c r="K1539">
        <v>2286000</v>
      </c>
      <c r="L1539" s="2" t="s">
        <v>2270</v>
      </c>
      <c r="M1539" t="s">
        <v>23</v>
      </c>
      <c r="N1539">
        <v>4076000</v>
      </c>
      <c r="O1539">
        <v>3.7</v>
      </c>
      <c r="P1539" t="b">
        <v>1</v>
      </c>
    </row>
    <row r="1540" spans="1:16" x14ac:dyDescent="0.2">
      <c r="A1540" t="s">
        <v>2271</v>
      </c>
      <c r="B1540" s="1">
        <v>44711</v>
      </c>
      <c r="C1540" s="1">
        <v>44780</v>
      </c>
      <c r="D1540" t="s">
        <v>971</v>
      </c>
      <c r="E1540" t="s">
        <v>45</v>
      </c>
      <c r="F1540" t="s">
        <v>45</v>
      </c>
      <c r="G1540" t="s">
        <v>20</v>
      </c>
      <c r="H1540" t="s">
        <v>21</v>
      </c>
      <c r="I1540" t="s">
        <v>60</v>
      </c>
      <c r="J1540">
        <v>1</v>
      </c>
      <c r="K1540">
        <v>3768000</v>
      </c>
      <c r="L1540">
        <v>9.0604113146251899E-2</v>
      </c>
      <c r="M1540" t="s">
        <v>23</v>
      </c>
      <c r="N1540">
        <v>3427000</v>
      </c>
      <c r="O1540">
        <v>4.5</v>
      </c>
      <c r="P1540" t="b">
        <v>1</v>
      </c>
    </row>
    <row r="1541" spans="1:16" x14ac:dyDescent="0.2">
      <c r="A1541" t="s">
        <v>2272</v>
      </c>
      <c r="B1541" s="1">
        <v>44712</v>
      </c>
      <c r="C1541" s="1">
        <v>44758</v>
      </c>
      <c r="D1541" t="s">
        <v>2273</v>
      </c>
      <c r="E1541" t="s">
        <v>45</v>
      </c>
      <c r="F1541" t="s">
        <v>34</v>
      </c>
      <c r="G1541" t="s">
        <v>20</v>
      </c>
      <c r="H1541" t="s">
        <v>47</v>
      </c>
      <c r="I1541" t="s">
        <v>60</v>
      </c>
      <c r="J1541">
        <v>1</v>
      </c>
      <c r="K1541">
        <v>4634000</v>
      </c>
      <c r="L1541">
        <v>7.0362784791244096E-2</v>
      </c>
      <c r="M1541" t="s">
        <v>23</v>
      </c>
      <c r="N1541">
        <v>4308000</v>
      </c>
      <c r="O1541">
        <v>3.9</v>
      </c>
      <c r="P1541" t="b">
        <v>0</v>
      </c>
    </row>
    <row r="1542" spans="1:16" x14ac:dyDescent="0.2">
      <c r="A1542" t="s">
        <v>2274</v>
      </c>
      <c r="B1542" s="1">
        <v>44712</v>
      </c>
      <c r="C1542" s="1">
        <v>44743</v>
      </c>
      <c r="D1542" t="s">
        <v>510</v>
      </c>
      <c r="E1542" t="s">
        <v>33</v>
      </c>
      <c r="F1542" t="s">
        <v>39</v>
      </c>
      <c r="G1542" t="s">
        <v>50</v>
      </c>
      <c r="H1542" t="s">
        <v>21</v>
      </c>
      <c r="I1542" t="s">
        <v>30</v>
      </c>
      <c r="J1542">
        <v>1</v>
      </c>
      <c r="K1542">
        <v>2608000</v>
      </c>
      <c r="L1542">
        <v>2.2509439511175602E-3</v>
      </c>
      <c r="M1542" t="s">
        <v>23</v>
      </c>
      <c r="N1542">
        <v>2602000</v>
      </c>
      <c r="O1542">
        <v>4.2</v>
      </c>
      <c r="P1542" t="b">
        <v>1</v>
      </c>
    </row>
    <row r="1543" spans="1:16" x14ac:dyDescent="0.2">
      <c r="A1543" t="s">
        <v>2275</v>
      </c>
      <c r="B1543" s="1">
        <v>44712</v>
      </c>
      <c r="C1543" s="1">
        <v>44755</v>
      </c>
      <c r="D1543" t="s">
        <v>477</v>
      </c>
      <c r="E1543" t="s">
        <v>18</v>
      </c>
      <c r="F1543" t="s">
        <v>68</v>
      </c>
      <c r="G1543" t="s">
        <v>46</v>
      </c>
      <c r="H1543" t="s">
        <v>40</v>
      </c>
      <c r="I1543" t="s">
        <v>77</v>
      </c>
      <c r="J1543">
        <v>2</v>
      </c>
      <c r="K1543">
        <v>2762000</v>
      </c>
      <c r="L1543">
        <v>5.18305449047506E-2</v>
      </c>
      <c r="M1543" t="s">
        <v>23</v>
      </c>
      <c r="N1543">
        <v>5238000</v>
      </c>
      <c r="O1543">
        <v>4.4000000000000004</v>
      </c>
      <c r="P1543" t="b">
        <v>1</v>
      </c>
    </row>
    <row r="1544" spans="1:16" x14ac:dyDescent="0.2">
      <c r="A1544" t="s">
        <v>2276</v>
      </c>
      <c r="B1544" s="1">
        <v>44712</v>
      </c>
      <c r="C1544" s="1">
        <v>44776</v>
      </c>
      <c r="D1544" t="s">
        <v>2277</v>
      </c>
      <c r="F1544" t="s">
        <v>34</v>
      </c>
      <c r="G1544" t="s">
        <v>20</v>
      </c>
      <c r="H1544" t="s">
        <v>21</v>
      </c>
      <c r="I1544" t="s">
        <v>57</v>
      </c>
      <c r="J1544">
        <v>1</v>
      </c>
      <c r="K1544">
        <v>4321000</v>
      </c>
      <c r="L1544">
        <v>6.2100044403566999E-2</v>
      </c>
      <c r="M1544" t="s">
        <v>23</v>
      </c>
      <c r="N1544">
        <v>4053000</v>
      </c>
      <c r="O1544">
        <v>4.5</v>
      </c>
      <c r="P1544" t="b">
        <v>0</v>
      </c>
    </row>
    <row r="1545" spans="1:16" x14ac:dyDescent="0.2">
      <c r="A1545" t="s">
        <v>2278</v>
      </c>
      <c r="B1545" s="1">
        <v>44713</v>
      </c>
      <c r="C1545" s="1">
        <v>44761</v>
      </c>
      <c r="D1545" t="s">
        <v>1326</v>
      </c>
      <c r="E1545" t="s">
        <v>18</v>
      </c>
      <c r="F1545" t="s">
        <v>39</v>
      </c>
      <c r="G1545" t="s">
        <v>50</v>
      </c>
      <c r="H1545" t="s">
        <v>40</v>
      </c>
      <c r="I1545" t="s">
        <v>99</v>
      </c>
      <c r="J1545">
        <v>1</v>
      </c>
      <c r="K1545">
        <v>2131000</v>
      </c>
      <c r="L1545" s="2" t="s">
        <v>2279</v>
      </c>
      <c r="M1545" t="s">
        <v>23</v>
      </c>
      <c r="N1545">
        <v>1907000</v>
      </c>
      <c r="O1545">
        <v>4.2</v>
      </c>
      <c r="P1545" t="b">
        <v>1</v>
      </c>
    </row>
    <row r="1546" spans="1:16" x14ac:dyDescent="0.2">
      <c r="A1546" t="s">
        <v>2280</v>
      </c>
      <c r="B1546" s="1">
        <v>44713</v>
      </c>
      <c r="C1546" s="1">
        <v>44768</v>
      </c>
      <c r="D1546" t="s">
        <v>243</v>
      </c>
      <c r="E1546" t="s">
        <v>18</v>
      </c>
      <c r="F1546" t="s">
        <v>34</v>
      </c>
      <c r="G1546" t="s">
        <v>20</v>
      </c>
      <c r="H1546" t="s">
        <v>47</v>
      </c>
      <c r="I1546" t="s">
        <v>57</v>
      </c>
      <c r="J1546">
        <v>2</v>
      </c>
      <c r="K1546">
        <v>4704000</v>
      </c>
      <c r="L1546" s="2" t="s">
        <v>2281</v>
      </c>
      <c r="M1546" t="s">
        <v>23</v>
      </c>
      <c r="N1546">
        <v>8026000</v>
      </c>
      <c r="O1546">
        <v>4.4000000000000004</v>
      </c>
      <c r="P1546" t="b">
        <v>1</v>
      </c>
    </row>
    <row r="1547" spans="1:16" x14ac:dyDescent="0.2">
      <c r="A1547" t="s">
        <v>2282</v>
      </c>
      <c r="B1547" s="1">
        <v>44714</v>
      </c>
      <c r="C1547" s="1">
        <v>44761</v>
      </c>
      <c r="D1547" t="s">
        <v>435</v>
      </c>
      <c r="E1547" t="s">
        <v>33</v>
      </c>
      <c r="F1547" t="s">
        <v>19</v>
      </c>
      <c r="G1547" t="s">
        <v>46</v>
      </c>
      <c r="H1547" t="s">
        <v>21</v>
      </c>
      <c r="I1547" t="s">
        <v>52</v>
      </c>
      <c r="J1547">
        <v>2</v>
      </c>
      <c r="K1547">
        <v>2774000</v>
      </c>
      <c r="L1547" s="2" t="s">
        <v>2283</v>
      </c>
      <c r="M1547" t="s">
        <v>23</v>
      </c>
      <c r="N1547">
        <v>4972000</v>
      </c>
      <c r="O1547">
        <v>5</v>
      </c>
      <c r="P1547" t="b">
        <v>1</v>
      </c>
    </row>
    <row r="1548" spans="1:16" x14ac:dyDescent="0.2">
      <c r="A1548" t="s">
        <v>2284</v>
      </c>
      <c r="B1548" s="1">
        <v>44715</v>
      </c>
      <c r="C1548" s="1">
        <v>44715</v>
      </c>
      <c r="D1548" t="s">
        <v>2285</v>
      </c>
      <c r="E1548" t="s">
        <v>45</v>
      </c>
      <c r="F1548" t="s">
        <v>45</v>
      </c>
      <c r="G1548" t="s">
        <v>50</v>
      </c>
      <c r="H1548" t="s">
        <v>21</v>
      </c>
      <c r="I1548" t="s">
        <v>57</v>
      </c>
      <c r="J1548">
        <v>1</v>
      </c>
      <c r="K1548">
        <v>3952000</v>
      </c>
      <c r="L1548" s="2" t="s">
        <v>2286</v>
      </c>
      <c r="M1548" t="s">
        <v>23</v>
      </c>
      <c r="N1548">
        <v>3396000</v>
      </c>
      <c r="O1548">
        <v>3.6</v>
      </c>
      <c r="P1548" t="b">
        <v>0</v>
      </c>
    </row>
    <row r="1549" spans="1:16" x14ac:dyDescent="0.2">
      <c r="A1549" t="s">
        <v>2287</v>
      </c>
      <c r="B1549" s="1">
        <v>44715</v>
      </c>
      <c r="C1549" s="1">
        <v>44771</v>
      </c>
      <c r="D1549" t="s">
        <v>72</v>
      </c>
      <c r="E1549" t="s">
        <v>45</v>
      </c>
      <c r="F1549" t="s">
        <v>45</v>
      </c>
      <c r="G1549" t="s">
        <v>35</v>
      </c>
      <c r="H1549" t="s">
        <v>47</v>
      </c>
      <c r="I1549" t="s">
        <v>57</v>
      </c>
      <c r="J1549">
        <v>1</v>
      </c>
      <c r="K1549">
        <v>3855000</v>
      </c>
      <c r="L1549">
        <v>7.8961714409864395E-2</v>
      </c>
      <c r="M1549" t="s">
        <v>23</v>
      </c>
      <c r="N1549">
        <v>3551000</v>
      </c>
      <c r="O1549">
        <v>4.3</v>
      </c>
      <c r="P1549" t="b">
        <v>1</v>
      </c>
    </row>
    <row r="1550" spans="1:16" x14ac:dyDescent="0.2">
      <c r="A1550" t="s">
        <v>2288</v>
      </c>
      <c r="B1550" s="1">
        <v>44715</v>
      </c>
      <c r="C1550" s="1">
        <v>44782</v>
      </c>
      <c r="D1550" t="s">
        <v>1927</v>
      </c>
      <c r="E1550" t="s">
        <v>33</v>
      </c>
      <c r="F1550" t="s">
        <v>39</v>
      </c>
      <c r="H1550" t="s">
        <v>21</v>
      </c>
      <c r="I1550" t="s">
        <v>60</v>
      </c>
      <c r="J1550">
        <v>1</v>
      </c>
      <c r="K1550">
        <v>2515000</v>
      </c>
      <c r="L1550">
        <v>9.8483605064938307E-2</v>
      </c>
      <c r="M1550" t="s">
        <v>23</v>
      </c>
      <c r="N1550">
        <v>2267000</v>
      </c>
      <c r="O1550">
        <v>3.7</v>
      </c>
      <c r="P1550" t="b">
        <v>1</v>
      </c>
    </row>
    <row r="1551" spans="1:16" x14ac:dyDescent="0.2">
      <c r="A1551" t="s">
        <v>2289</v>
      </c>
      <c r="B1551" s="1">
        <v>44716</v>
      </c>
      <c r="C1551" s="1">
        <v>44770</v>
      </c>
      <c r="D1551" t="s">
        <v>227</v>
      </c>
      <c r="E1551" t="s">
        <v>33</v>
      </c>
      <c r="F1551" t="s">
        <v>25</v>
      </c>
      <c r="G1551" t="s">
        <v>20</v>
      </c>
      <c r="H1551" t="s">
        <v>47</v>
      </c>
      <c r="I1551" t="s">
        <v>99</v>
      </c>
      <c r="J1551">
        <v>1</v>
      </c>
      <c r="K1551">
        <v>4868000</v>
      </c>
      <c r="L1551" s="2" t="s">
        <v>2290</v>
      </c>
      <c r="M1551" t="s">
        <v>23</v>
      </c>
      <c r="N1551">
        <v>4373000</v>
      </c>
      <c r="O1551">
        <v>5</v>
      </c>
      <c r="P1551" t="b">
        <v>1</v>
      </c>
    </row>
    <row r="1552" spans="1:16" x14ac:dyDescent="0.2">
      <c r="A1552" t="s">
        <v>2291</v>
      </c>
      <c r="B1552" s="1">
        <v>44716</v>
      </c>
      <c r="C1552" s="1">
        <v>44785</v>
      </c>
      <c r="D1552" t="s">
        <v>2292</v>
      </c>
      <c r="E1552" t="s">
        <v>45</v>
      </c>
      <c r="F1552" t="s">
        <v>45</v>
      </c>
      <c r="G1552" t="s">
        <v>20</v>
      </c>
      <c r="H1552" t="s">
        <v>40</v>
      </c>
      <c r="I1552" t="s">
        <v>22</v>
      </c>
      <c r="J1552">
        <v>1</v>
      </c>
      <c r="K1552">
        <v>3244000</v>
      </c>
      <c r="L1552">
        <v>8.5042948372395094E-2</v>
      </c>
      <c r="M1552" t="s">
        <v>23</v>
      </c>
      <c r="N1552">
        <v>2968000</v>
      </c>
      <c r="O1552">
        <v>4.4000000000000004</v>
      </c>
      <c r="P1552" t="b">
        <v>0</v>
      </c>
    </row>
    <row r="1553" spans="1:16" x14ac:dyDescent="0.2">
      <c r="A1553" t="s">
        <v>2293</v>
      </c>
      <c r="B1553" s="1">
        <v>44716</v>
      </c>
      <c r="C1553" s="1">
        <v>44767</v>
      </c>
      <c r="D1553" t="s">
        <v>1722</v>
      </c>
      <c r="E1553" t="s">
        <v>45</v>
      </c>
      <c r="F1553" t="s">
        <v>19</v>
      </c>
      <c r="G1553" t="s">
        <v>35</v>
      </c>
      <c r="H1553" t="s">
        <v>51</v>
      </c>
      <c r="I1553" t="s">
        <v>94</v>
      </c>
      <c r="J1553">
        <v>2</v>
      </c>
      <c r="K1553">
        <v>2696000</v>
      </c>
      <c r="L1553">
        <v>8.8963521086540501E-2</v>
      </c>
      <c r="M1553" t="s">
        <v>23</v>
      </c>
      <c r="N1553">
        <v>4912000</v>
      </c>
      <c r="O1553">
        <v>4.5999999999999996</v>
      </c>
      <c r="P1553" t="b">
        <v>1</v>
      </c>
    </row>
    <row r="1554" spans="1:16" x14ac:dyDescent="0.2">
      <c r="A1554" t="s">
        <v>2294</v>
      </c>
      <c r="B1554" s="1">
        <v>44717</v>
      </c>
      <c r="C1554" s="1">
        <v>44782</v>
      </c>
      <c r="D1554" t="s">
        <v>556</v>
      </c>
      <c r="E1554" t="s">
        <v>45</v>
      </c>
      <c r="F1554" t="s">
        <v>19</v>
      </c>
      <c r="H1554" t="s">
        <v>21</v>
      </c>
      <c r="I1554" t="s">
        <v>26</v>
      </c>
      <c r="J1554">
        <v>5</v>
      </c>
      <c r="K1554">
        <v>2529000</v>
      </c>
      <c r="L1554">
        <v>9.2911253897597204E-2</v>
      </c>
      <c r="M1554" t="s">
        <v>65</v>
      </c>
      <c r="N1554">
        <v>0</v>
      </c>
      <c r="P1554" t="b">
        <v>1</v>
      </c>
    </row>
    <row r="1555" spans="1:16" x14ac:dyDescent="0.2">
      <c r="A1555" t="s">
        <v>2295</v>
      </c>
      <c r="B1555" s="1">
        <v>44717</v>
      </c>
      <c r="C1555" s="1">
        <v>44786</v>
      </c>
      <c r="D1555" t="s">
        <v>2296</v>
      </c>
      <c r="E1555" t="s">
        <v>45</v>
      </c>
      <c r="F1555" t="s">
        <v>68</v>
      </c>
      <c r="G1555" t="s">
        <v>50</v>
      </c>
      <c r="H1555" t="s">
        <v>47</v>
      </c>
      <c r="I1555" t="s">
        <v>57</v>
      </c>
      <c r="J1555">
        <v>2</v>
      </c>
      <c r="K1555">
        <v>2552000</v>
      </c>
      <c r="L1555">
        <v>8.2785199562849895E-2</v>
      </c>
      <c r="M1555" t="s">
        <v>23</v>
      </c>
      <c r="N1555">
        <v>4681000</v>
      </c>
      <c r="O1555">
        <v>4.8</v>
      </c>
      <c r="P1555" t="b">
        <v>0</v>
      </c>
    </row>
    <row r="1556" spans="1:16" x14ac:dyDescent="0.2">
      <c r="A1556" t="s">
        <v>2297</v>
      </c>
      <c r="B1556" s="1">
        <v>44717</v>
      </c>
      <c r="C1556" s="1">
        <v>44785</v>
      </c>
      <c r="D1556" t="s">
        <v>181</v>
      </c>
      <c r="E1556" t="s">
        <v>29</v>
      </c>
      <c r="F1556" t="s">
        <v>19</v>
      </c>
      <c r="G1556" t="s">
        <v>50</v>
      </c>
      <c r="H1556" t="s">
        <v>21</v>
      </c>
      <c r="I1556" t="s">
        <v>94</v>
      </c>
      <c r="J1556">
        <v>1</v>
      </c>
      <c r="K1556">
        <v>2850000</v>
      </c>
      <c r="L1556">
        <v>4.3460255759039397E-2</v>
      </c>
      <c r="M1556" t="s">
        <v>23</v>
      </c>
      <c r="N1556">
        <v>2726000</v>
      </c>
      <c r="O1556">
        <v>4.3</v>
      </c>
      <c r="P1556" t="b">
        <v>1</v>
      </c>
    </row>
    <row r="1557" spans="1:16" x14ac:dyDescent="0.2">
      <c r="A1557" t="s">
        <v>2298</v>
      </c>
      <c r="B1557" s="1">
        <v>44717</v>
      </c>
      <c r="C1557" s="1">
        <v>44794</v>
      </c>
      <c r="D1557" t="s">
        <v>257</v>
      </c>
      <c r="E1557" t="s">
        <v>18</v>
      </c>
      <c r="F1557" t="s">
        <v>39</v>
      </c>
      <c r="G1557" t="s">
        <v>50</v>
      </c>
      <c r="H1557" t="s">
        <v>21</v>
      </c>
      <c r="I1557" t="s">
        <v>30</v>
      </c>
      <c r="J1557">
        <v>3</v>
      </c>
      <c r="K1557">
        <v>2835000</v>
      </c>
      <c r="L1557" s="3">
        <v>6.5000000000000002E-2</v>
      </c>
      <c r="M1557" t="s">
        <v>23</v>
      </c>
      <c r="N1557">
        <v>7948000</v>
      </c>
      <c r="O1557">
        <v>4.5</v>
      </c>
      <c r="P1557" t="b">
        <v>1</v>
      </c>
    </row>
    <row r="1558" spans="1:16" x14ac:dyDescent="0.2">
      <c r="A1558" t="s">
        <v>2299</v>
      </c>
      <c r="B1558" s="1">
        <v>44718</v>
      </c>
      <c r="C1558" s="1">
        <v>44734</v>
      </c>
      <c r="D1558" t="s">
        <v>169</v>
      </c>
      <c r="E1558" t="s">
        <v>29</v>
      </c>
      <c r="F1558" t="s">
        <v>19</v>
      </c>
      <c r="G1558" t="s">
        <v>46</v>
      </c>
      <c r="H1558" t="s">
        <v>21</v>
      </c>
      <c r="J1558">
        <v>1</v>
      </c>
      <c r="K1558">
        <v>2589000</v>
      </c>
      <c r="L1558">
        <v>3.22664109642226E-2</v>
      </c>
      <c r="M1558" t="s">
        <v>23</v>
      </c>
      <c r="N1558">
        <v>2505000</v>
      </c>
      <c r="O1558">
        <v>4.4000000000000004</v>
      </c>
      <c r="P1558" t="b">
        <v>1</v>
      </c>
    </row>
    <row r="1559" spans="1:16" x14ac:dyDescent="0.2">
      <c r="A1559" t="s">
        <v>2300</v>
      </c>
      <c r="B1559" s="1">
        <v>44718</v>
      </c>
      <c r="C1559" s="1">
        <v>44794</v>
      </c>
      <c r="D1559" t="s">
        <v>2301</v>
      </c>
      <c r="E1559" t="s">
        <v>18</v>
      </c>
      <c r="F1559" t="s">
        <v>19</v>
      </c>
      <c r="G1559" t="s">
        <v>50</v>
      </c>
      <c r="H1559" t="s">
        <v>21</v>
      </c>
      <c r="I1559" t="s">
        <v>26</v>
      </c>
      <c r="J1559">
        <v>5</v>
      </c>
      <c r="K1559">
        <v>2768000</v>
      </c>
      <c r="L1559">
        <v>8.9848927713844298E-2</v>
      </c>
      <c r="M1559" t="s">
        <v>23</v>
      </c>
      <c r="N1559">
        <v>12596000</v>
      </c>
      <c r="O1559">
        <v>3.7</v>
      </c>
      <c r="P1559" t="b">
        <v>0</v>
      </c>
    </row>
    <row r="1560" spans="1:16" x14ac:dyDescent="0.2">
      <c r="A1560" t="s">
        <v>2302</v>
      </c>
      <c r="B1560" s="1">
        <v>44719</v>
      </c>
      <c r="C1560" s="1">
        <v>44774</v>
      </c>
      <c r="D1560" t="s">
        <v>424</v>
      </c>
      <c r="E1560" t="s">
        <v>18</v>
      </c>
      <c r="F1560" t="s">
        <v>45</v>
      </c>
      <c r="G1560" t="s">
        <v>20</v>
      </c>
      <c r="H1560" t="s">
        <v>21</v>
      </c>
      <c r="I1560" t="s">
        <v>99</v>
      </c>
      <c r="J1560">
        <v>4</v>
      </c>
      <c r="K1560">
        <v>3160000</v>
      </c>
      <c r="L1560" s="2" t="s">
        <v>2303</v>
      </c>
      <c r="M1560" t="s">
        <v>23</v>
      </c>
      <c r="N1560">
        <v>11257000</v>
      </c>
      <c r="O1560">
        <v>4.4000000000000004</v>
      </c>
      <c r="P1560" t="b">
        <v>1</v>
      </c>
    </row>
    <row r="1561" spans="1:16" x14ac:dyDescent="0.2">
      <c r="A1561" t="s">
        <v>2304</v>
      </c>
      <c r="B1561" s="1">
        <v>44719</v>
      </c>
      <c r="C1561" s="1">
        <v>44786</v>
      </c>
      <c r="D1561" t="s">
        <v>859</v>
      </c>
      <c r="E1561" t="s">
        <v>18</v>
      </c>
      <c r="F1561" t="s">
        <v>45</v>
      </c>
      <c r="G1561" t="s">
        <v>20</v>
      </c>
      <c r="H1561" t="s">
        <v>40</v>
      </c>
      <c r="I1561" t="s">
        <v>60</v>
      </c>
      <c r="J1561">
        <v>2</v>
      </c>
      <c r="K1561">
        <v>3732000</v>
      </c>
      <c r="L1561">
        <v>6.3498775353667505E-2</v>
      </c>
      <c r="M1561" t="s">
        <v>23</v>
      </c>
      <c r="N1561">
        <v>6990000</v>
      </c>
      <c r="O1561">
        <v>3.9</v>
      </c>
      <c r="P1561" t="b">
        <v>1</v>
      </c>
    </row>
    <row r="1562" spans="1:16" x14ac:dyDescent="0.2">
      <c r="A1562" t="s">
        <v>2305</v>
      </c>
      <c r="B1562" s="1">
        <v>44719</v>
      </c>
      <c r="C1562" s="1">
        <v>44749</v>
      </c>
      <c r="D1562" t="s">
        <v>448</v>
      </c>
      <c r="E1562" t="s">
        <v>29</v>
      </c>
      <c r="F1562" t="s">
        <v>25</v>
      </c>
      <c r="G1562" t="s">
        <v>20</v>
      </c>
      <c r="H1562" t="s">
        <v>40</v>
      </c>
      <c r="I1562" t="s">
        <v>30</v>
      </c>
      <c r="J1562">
        <v>2</v>
      </c>
      <c r="K1562">
        <v>5573000</v>
      </c>
      <c r="L1562" s="2" t="s">
        <v>2306</v>
      </c>
      <c r="M1562" t="s">
        <v>23</v>
      </c>
      <c r="N1562">
        <v>9717000</v>
      </c>
      <c r="O1562">
        <v>4.4000000000000004</v>
      </c>
      <c r="P1562" t="b">
        <v>1</v>
      </c>
    </row>
    <row r="1563" spans="1:16" x14ac:dyDescent="0.2">
      <c r="A1563" t="s">
        <v>2307</v>
      </c>
      <c r="B1563" s="1">
        <v>44719</v>
      </c>
      <c r="C1563" s="1">
        <v>44782</v>
      </c>
      <c r="D1563" t="s">
        <v>712</v>
      </c>
      <c r="E1563" t="s">
        <v>45</v>
      </c>
      <c r="F1563" t="s">
        <v>45</v>
      </c>
      <c r="G1563" t="s">
        <v>20</v>
      </c>
      <c r="H1563" t="s">
        <v>21</v>
      </c>
      <c r="I1563" t="s">
        <v>26</v>
      </c>
      <c r="J1563">
        <v>2</v>
      </c>
      <c r="K1563">
        <v>3847000</v>
      </c>
      <c r="L1563" s="2" t="s">
        <v>2308</v>
      </c>
      <c r="M1563" t="s">
        <v>23</v>
      </c>
      <c r="N1563">
        <v>6451000</v>
      </c>
      <c r="O1563">
        <v>4.2</v>
      </c>
      <c r="P1563" t="b">
        <v>1</v>
      </c>
    </row>
    <row r="1564" spans="1:16" x14ac:dyDescent="0.2">
      <c r="A1564" t="s">
        <v>2309</v>
      </c>
      <c r="B1564" s="1">
        <v>44720</v>
      </c>
      <c r="C1564" s="1">
        <v>44759</v>
      </c>
      <c r="D1564" t="s">
        <v>1705</v>
      </c>
      <c r="E1564" t="s">
        <v>45</v>
      </c>
      <c r="F1564" t="s">
        <v>45</v>
      </c>
      <c r="G1564" t="s">
        <v>20</v>
      </c>
      <c r="H1564" t="s">
        <v>40</v>
      </c>
      <c r="I1564" t="s">
        <v>77</v>
      </c>
      <c r="J1564">
        <v>4</v>
      </c>
      <c r="K1564">
        <v>3562000</v>
      </c>
      <c r="L1564">
        <v>2.9186518955173799E-2</v>
      </c>
      <c r="M1564" t="s">
        <v>23</v>
      </c>
      <c r="N1564">
        <v>13832000</v>
      </c>
      <c r="O1564">
        <v>4.4000000000000004</v>
      </c>
      <c r="P1564" t="b">
        <v>1</v>
      </c>
    </row>
    <row r="1565" spans="1:16" x14ac:dyDescent="0.2">
      <c r="A1565" t="s">
        <v>2310</v>
      </c>
      <c r="B1565" s="1">
        <v>44720</v>
      </c>
      <c r="C1565" s="1">
        <v>44776</v>
      </c>
      <c r="D1565" t="s">
        <v>853</v>
      </c>
      <c r="E1565" t="s">
        <v>33</v>
      </c>
      <c r="F1565" t="s">
        <v>68</v>
      </c>
      <c r="G1565" t="s">
        <v>35</v>
      </c>
      <c r="H1565" t="s">
        <v>40</v>
      </c>
      <c r="I1565" t="s">
        <v>30</v>
      </c>
      <c r="J1565">
        <v>1</v>
      </c>
      <c r="K1565">
        <v>2507000</v>
      </c>
      <c r="L1565" s="2" t="s">
        <v>2311</v>
      </c>
      <c r="M1565" t="s">
        <v>23</v>
      </c>
      <c r="N1565">
        <v>2072000</v>
      </c>
      <c r="O1565">
        <v>5</v>
      </c>
      <c r="P1565" t="b">
        <v>1</v>
      </c>
    </row>
    <row r="1566" spans="1:16" x14ac:dyDescent="0.2">
      <c r="A1566" t="s">
        <v>2312</v>
      </c>
      <c r="B1566" s="1">
        <v>44721</v>
      </c>
      <c r="C1566" s="1">
        <v>44779</v>
      </c>
      <c r="D1566" t="s">
        <v>2313</v>
      </c>
      <c r="E1566" t="s">
        <v>29</v>
      </c>
      <c r="F1566" t="s">
        <v>45</v>
      </c>
      <c r="G1566" t="s">
        <v>20</v>
      </c>
      <c r="H1566" t="s">
        <v>21</v>
      </c>
      <c r="I1566" t="s">
        <v>83</v>
      </c>
      <c r="J1566">
        <v>1</v>
      </c>
      <c r="K1566">
        <v>2775000</v>
      </c>
      <c r="L1566">
        <v>0.12127803263804</v>
      </c>
      <c r="M1566" t="s">
        <v>23</v>
      </c>
      <c r="N1566">
        <v>2438000</v>
      </c>
      <c r="O1566">
        <v>5</v>
      </c>
      <c r="P1566" t="b">
        <v>0</v>
      </c>
    </row>
    <row r="1567" spans="1:16" x14ac:dyDescent="0.2">
      <c r="A1567" t="s">
        <v>2314</v>
      </c>
      <c r="B1567" s="1">
        <v>44722</v>
      </c>
      <c r="C1567" s="1">
        <v>44775</v>
      </c>
      <c r="D1567" t="s">
        <v>2315</v>
      </c>
      <c r="E1567" t="s">
        <v>33</v>
      </c>
      <c r="F1567" t="s">
        <v>19</v>
      </c>
      <c r="G1567" t="s">
        <v>35</v>
      </c>
      <c r="H1567" t="s">
        <v>47</v>
      </c>
      <c r="I1567" t="s">
        <v>83</v>
      </c>
      <c r="J1567">
        <v>1</v>
      </c>
      <c r="K1567">
        <v>2869000</v>
      </c>
      <c r="L1567" s="2" t="s">
        <v>2316</v>
      </c>
      <c r="M1567" t="s">
        <v>23</v>
      </c>
      <c r="N1567">
        <v>2432000</v>
      </c>
      <c r="O1567">
        <v>3.7</v>
      </c>
      <c r="P1567" t="b">
        <v>0</v>
      </c>
    </row>
    <row r="1568" spans="1:16" x14ac:dyDescent="0.2">
      <c r="A1568" t="s">
        <v>2317</v>
      </c>
      <c r="B1568" s="1">
        <v>44840</v>
      </c>
      <c r="C1568" s="1">
        <v>44765</v>
      </c>
      <c r="D1568" t="s">
        <v>2318</v>
      </c>
      <c r="E1568" t="s">
        <v>45</v>
      </c>
      <c r="F1568" t="s">
        <v>45</v>
      </c>
      <c r="G1568" t="s">
        <v>35</v>
      </c>
      <c r="H1568" t="s">
        <v>40</v>
      </c>
      <c r="I1568" t="s">
        <v>77</v>
      </c>
      <c r="J1568">
        <v>2</v>
      </c>
      <c r="K1568">
        <v>3841000</v>
      </c>
      <c r="L1568" s="2" t="s">
        <v>2319</v>
      </c>
      <c r="M1568" t="s">
        <v>23</v>
      </c>
      <c r="N1568">
        <v>6610000</v>
      </c>
      <c r="O1568">
        <v>4.9000000000000004</v>
      </c>
      <c r="P1568" t="b">
        <v>0</v>
      </c>
    </row>
    <row r="1569" spans="1:16" x14ac:dyDescent="0.2">
      <c r="A1569" t="s">
        <v>2320</v>
      </c>
      <c r="B1569" s="1">
        <v>44722</v>
      </c>
      <c r="C1569" s="1">
        <v>44819</v>
      </c>
      <c r="D1569" t="s">
        <v>185</v>
      </c>
      <c r="E1569" t="s">
        <v>33</v>
      </c>
      <c r="F1569" t="s">
        <v>45</v>
      </c>
      <c r="G1569" t="s">
        <v>50</v>
      </c>
      <c r="H1569" t="s">
        <v>47</v>
      </c>
      <c r="I1569" t="s">
        <v>60</v>
      </c>
      <c r="J1569">
        <v>2</v>
      </c>
      <c r="K1569">
        <v>3552000</v>
      </c>
      <c r="L1569">
        <v>9.6728222032732902E-2</v>
      </c>
      <c r="M1569" t="s">
        <v>23</v>
      </c>
      <c r="N1569">
        <v>6417000</v>
      </c>
      <c r="O1569">
        <v>4.4000000000000004</v>
      </c>
      <c r="P1569" t="b">
        <v>1</v>
      </c>
    </row>
    <row r="1570" spans="1:16" x14ac:dyDescent="0.2">
      <c r="A1570" t="s">
        <v>2321</v>
      </c>
      <c r="B1570" s="1">
        <v>44723</v>
      </c>
      <c r="C1570" s="1">
        <v>44748</v>
      </c>
      <c r="D1570" t="s">
        <v>2322</v>
      </c>
      <c r="E1570" t="s">
        <v>33</v>
      </c>
      <c r="F1570" t="s">
        <v>45</v>
      </c>
      <c r="G1570" t="s">
        <v>35</v>
      </c>
      <c r="H1570" t="s">
        <v>51</v>
      </c>
      <c r="I1570" t="s">
        <v>83</v>
      </c>
      <c r="J1570">
        <v>2</v>
      </c>
      <c r="K1570">
        <v>2529000</v>
      </c>
      <c r="L1570" s="2" t="s">
        <v>2323</v>
      </c>
      <c r="M1570" t="s">
        <v>23</v>
      </c>
      <c r="N1570">
        <v>4235000</v>
      </c>
      <c r="O1570">
        <v>5</v>
      </c>
      <c r="P1570" t="b">
        <v>0</v>
      </c>
    </row>
    <row r="1571" spans="1:16" x14ac:dyDescent="0.2">
      <c r="A1571" t="s">
        <v>2324</v>
      </c>
      <c r="B1571" s="1">
        <v>44723</v>
      </c>
      <c r="C1571" s="1">
        <v>44768</v>
      </c>
      <c r="D1571" t="s">
        <v>2325</v>
      </c>
      <c r="E1571" t="s">
        <v>45</v>
      </c>
      <c r="F1571" t="s">
        <v>19</v>
      </c>
      <c r="G1571" t="s">
        <v>35</v>
      </c>
      <c r="H1571" t="s">
        <v>51</v>
      </c>
      <c r="I1571" t="s">
        <v>30</v>
      </c>
      <c r="J1571">
        <v>3</v>
      </c>
      <c r="K1571">
        <v>2419000</v>
      </c>
      <c r="L1571">
        <v>6.7141603393910607E-2</v>
      </c>
      <c r="M1571" t="s">
        <v>23</v>
      </c>
      <c r="N1571">
        <v>6770000</v>
      </c>
      <c r="O1571">
        <v>4.5</v>
      </c>
      <c r="P1571" t="b">
        <v>0</v>
      </c>
    </row>
    <row r="1572" spans="1:16" x14ac:dyDescent="0.2">
      <c r="A1572" t="s">
        <v>2326</v>
      </c>
      <c r="B1572" s="1">
        <v>44723</v>
      </c>
      <c r="C1572" s="1">
        <v>44783</v>
      </c>
      <c r="D1572" t="s">
        <v>2327</v>
      </c>
      <c r="E1572" t="s">
        <v>45</v>
      </c>
      <c r="F1572" t="s">
        <v>45</v>
      </c>
      <c r="G1572" t="s">
        <v>20</v>
      </c>
      <c r="H1572" t="s">
        <v>40</v>
      </c>
      <c r="I1572" t="s">
        <v>77</v>
      </c>
      <c r="J1572">
        <v>3</v>
      </c>
      <c r="K1572">
        <v>3985000</v>
      </c>
      <c r="L1572" s="2" t="s">
        <v>2328</v>
      </c>
      <c r="M1572" t="s">
        <v>65</v>
      </c>
      <c r="N1572">
        <v>0</v>
      </c>
      <c r="P1572" t="b">
        <v>0</v>
      </c>
    </row>
    <row r="1573" spans="1:16" x14ac:dyDescent="0.2">
      <c r="A1573" t="s">
        <v>2329</v>
      </c>
      <c r="B1573" s="1">
        <v>44723</v>
      </c>
      <c r="C1573" s="1">
        <v>44771</v>
      </c>
      <c r="D1573" t="s">
        <v>1702</v>
      </c>
      <c r="E1573" t="s">
        <v>33</v>
      </c>
      <c r="F1573" t="s">
        <v>19</v>
      </c>
      <c r="G1573" t="s">
        <v>50</v>
      </c>
      <c r="H1573" t="s">
        <v>21</v>
      </c>
      <c r="I1573" t="s">
        <v>57</v>
      </c>
      <c r="J1573">
        <v>1</v>
      </c>
      <c r="K1573">
        <v>3383000</v>
      </c>
      <c r="L1573" s="2" t="s">
        <v>2330</v>
      </c>
      <c r="M1573" t="s">
        <v>23</v>
      </c>
      <c r="N1573">
        <v>3211000</v>
      </c>
      <c r="O1573">
        <v>3.7</v>
      </c>
      <c r="P1573" t="b">
        <v>1</v>
      </c>
    </row>
    <row r="1574" spans="1:16" x14ac:dyDescent="0.2">
      <c r="A1574" t="s">
        <v>2331</v>
      </c>
      <c r="B1574" s="1">
        <v>44724</v>
      </c>
      <c r="C1574" s="1">
        <v>44789</v>
      </c>
      <c r="D1574" t="s">
        <v>2332</v>
      </c>
      <c r="E1574" t="s">
        <v>45</v>
      </c>
      <c r="F1574" t="s">
        <v>45</v>
      </c>
      <c r="G1574" t="s">
        <v>50</v>
      </c>
      <c r="H1574" t="s">
        <v>21</v>
      </c>
      <c r="I1574" t="s">
        <v>83</v>
      </c>
      <c r="J1574">
        <v>2</v>
      </c>
      <c r="K1574">
        <v>2854000</v>
      </c>
      <c r="L1574">
        <v>7.9352903678816894E-2</v>
      </c>
      <c r="M1574" t="s">
        <v>23</v>
      </c>
      <c r="N1574">
        <v>5255000</v>
      </c>
      <c r="O1574">
        <v>4.3</v>
      </c>
      <c r="P1574" t="b">
        <v>0</v>
      </c>
    </row>
    <row r="1575" spans="1:16" x14ac:dyDescent="0.2">
      <c r="A1575" t="s">
        <v>2333</v>
      </c>
      <c r="B1575" s="1">
        <v>44724</v>
      </c>
      <c r="C1575" s="1">
        <v>44773</v>
      </c>
      <c r="D1575" t="s">
        <v>1646</v>
      </c>
      <c r="E1575" t="s">
        <v>18</v>
      </c>
      <c r="F1575" t="s">
        <v>19</v>
      </c>
      <c r="G1575" t="s">
        <v>20</v>
      </c>
      <c r="I1575" t="s">
        <v>26</v>
      </c>
      <c r="J1575">
        <v>1</v>
      </c>
      <c r="K1575">
        <v>2739000</v>
      </c>
      <c r="L1575">
        <v>0.187909389251527</v>
      </c>
      <c r="M1575" t="s">
        <v>23</v>
      </c>
      <c r="N1575">
        <v>2224000</v>
      </c>
      <c r="O1575">
        <v>3.7</v>
      </c>
      <c r="P1575" t="b">
        <v>1</v>
      </c>
    </row>
    <row r="1576" spans="1:16" x14ac:dyDescent="0.2">
      <c r="A1576" t="s">
        <v>2334</v>
      </c>
      <c r="B1576" s="1">
        <v>44724</v>
      </c>
      <c r="C1576" s="1">
        <v>44770</v>
      </c>
      <c r="D1576" t="s">
        <v>1175</v>
      </c>
      <c r="E1576" t="s">
        <v>29</v>
      </c>
      <c r="F1576" t="s">
        <v>25</v>
      </c>
      <c r="G1576" t="s">
        <v>20</v>
      </c>
      <c r="H1576" t="s">
        <v>51</v>
      </c>
      <c r="I1576" t="s">
        <v>52</v>
      </c>
      <c r="J1576">
        <v>4</v>
      </c>
      <c r="K1576">
        <v>4467000</v>
      </c>
      <c r="L1576">
        <v>6.1056892053026203E-2</v>
      </c>
      <c r="M1576" t="s">
        <v>23</v>
      </c>
      <c r="N1576">
        <v>16777000</v>
      </c>
      <c r="O1576">
        <v>4.2</v>
      </c>
      <c r="P1576" t="b">
        <v>1</v>
      </c>
    </row>
    <row r="1577" spans="1:16" x14ac:dyDescent="0.2">
      <c r="A1577" t="s">
        <v>2335</v>
      </c>
      <c r="B1577" s="1">
        <v>44725</v>
      </c>
      <c r="C1577" s="1">
        <v>44725</v>
      </c>
      <c r="D1577" t="s">
        <v>954</v>
      </c>
      <c r="E1577" t="s">
        <v>45</v>
      </c>
      <c r="F1577" t="s">
        <v>34</v>
      </c>
      <c r="G1577" t="s">
        <v>20</v>
      </c>
      <c r="H1577" t="s">
        <v>21</v>
      </c>
      <c r="I1577" t="s">
        <v>60</v>
      </c>
      <c r="J1577">
        <v>2</v>
      </c>
      <c r="K1577">
        <v>4897000</v>
      </c>
      <c r="L1577">
        <v>7.6257320844885595E-2</v>
      </c>
      <c r="M1577" t="s">
        <v>65</v>
      </c>
      <c r="N1577">
        <v>0</v>
      </c>
      <c r="P1577" t="b">
        <v>1</v>
      </c>
    </row>
    <row r="1578" spans="1:16" x14ac:dyDescent="0.2">
      <c r="A1578" t="s">
        <v>2336</v>
      </c>
      <c r="B1578" s="1">
        <v>44727</v>
      </c>
      <c r="C1578" s="1">
        <v>44759</v>
      </c>
      <c r="D1578" t="s">
        <v>2337</v>
      </c>
      <c r="E1578" t="s">
        <v>18</v>
      </c>
      <c r="F1578" t="s">
        <v>45</v>
      </c>
      <c r="G1578" t="s">
        <v>20</v>
      </c>
      <c r="H1578" t="s">
        <v>21</v>
      </c>
      <c r="I1578" t="s">
        <v>83</v>
      </c>
      <c r="J1578">
        <v>3</v>
      </c>
      <c r="K1578">
        <v>2871000</v>
      </c>
      <c r="L1578" s="2" t="s">
        <v>2338</v>
      </c>
      <c r="M1578" t="s">
        <v>23</v>
      </c>
      <c r="N1578">
        <v>7521000</v>
      </c>
      <c r="O1578">
        <v>3.4</v>
      </c>
      <c r="P1578" t="b">
        <v>0</v>
      </c>
    </row>
    <row r="1579" spans="1:16" x14ac:dyDescent="0.2">
      <c r="A1579" t="s">
        <v>2339</v>
      </c>
      <c r="B1579" s="1">
        <v>44727</v>
      </c>
      <c r="C1579" s="1">
        <v>44817</v>
      </c>
      <c r="D1579" t="s">
        <v>2340</v>
      </c>
      <c r="E1579" t="s">
        <v>33</v>
      </c>
      <c r="F1579" t="s">
        <v>45</v>
      </c>
      <c r="G1579" t="s">
        <v>20</v>
      </c>
      <c r="H1579" t="s">
        <v>21</v>
      </c>
      <c r="I1579" t="s">
        <v>1654</v>
      </c>
      <c r="J1579">
        <v>1</v>
      </c>
      <c r="K1579">
        <v>3157000</v>
      </c>
      <c r="L1579">
        <v>8.2528343211940594E-2</v>
      </c>
      <c r="M1579" t="s">
        <v>23</v>
      </c>
      <c r="N1579">
        <v>2896000</v>
      </c>
      <c r="O1579">
        <v>4.2</v>
      </c>
      <c r="P1579" t="b">
        <v>0</v>
      </c>
    </row>
    <row r="1580" spans="1:16" x14ac:dyDescent="0.2">
      <c r="A1580" t="s">
        <v>2341</v>
      </c>
      <c r="B1580" s="1">
        <v>44727</v>
      </c>
      <c r="C1580" s="1">
        <v>44786</v>
      </c>
      <c r="D1580" t="s">
        <v>2342</v>
      </c>
      <c r="E1580" t="s">
        <v>29</v>
      </c>
      <c r="F1580" t="s">
        <v>39</v>
      </c>
      <c r="G1580" t="s">
        <v>35</v>
      </c>
      <c r="H1580" t="s">
        <v>21</v>
      </c>
      <c r="I1580" t="s">
        <v>22</v>
      </c>
      <c r="J1580">
        <v>1</v>
      </c>
      <c r="K1580">
        <v>2061000</v>
      </c>
      <c r="L1580">
        <v>4.3964453894884001E-2</v>
      </c>
      <c r="M1580" t="s">
        <v>23</v>
      </c>
      <c r="N1580">
        <v>1970000</v>
      </c>
      <c r="O1580">
        <v>4.5</v>
      </c>
      <c r="P1580" t="b">
        <v>0</v>
      </c>
    </row>
    <row r="1581" spans="1:16" x14ac:dyDescent="0.2">
      <c r="A1581" t="s">
        <v>2343</v>
      </c>
      <c r="B1581" s="1">
        <v>44727</v>
      </c>
      <c r="C1581" s="1">
        <v>44779</v>
      </c>
      <c r="D1581" t="s">
        <v>985</v>
      </c>
      <c r="E1581" t="s">
        <v>45</v>
      </c>
      <c r="F1581" t="s">
        <v>34</v>
      </c>
      <c r="G1581" t="s">
        <v>35</v>
      </c>
      <c r="H1581" t="s">
        <v>47</v>
      </c>
      <c r="I1581" t="s">
        <v>77</v>
      </c>
      <c r="J1581">
        <v>2</v>
      </c>
      <c r="K1581">
        <v>4266000</v>
      </c>
      <c r="L1581">
        <v>8.0014397741308904E-2</v>
      </c>
      <c r="M1581" t="s">
        <v>65</v>
      </c>
      <c r="N1581">
        <v>0</v>
      </c>
      <c r="P1581" t="b">
        <v>1</v>
      </c>
    </row>
    <row r="1582" spans="1:16" x14ac:dyDescent="0.2">
      <c r="A1582" t="s">
        <v>2344</v>
      </c>
      <c r="B1582" s="1">
        <v>44727</v>
      </c>
      <c r="C1582" s="1">
        <v>44763</v>
      </c>
      <c r="D1582" t="s">
        <v>2315</v>
      </c>
      <c r="E1582" t="s">
        <v>18</v>
      </c>
      <c r="F1582" t="s">
        <v>25</v>
      </c>
      <c r="G1582" t="s">
        <v>50</v>
      </c>
      <c r="H1582" t="s">
        <v>40</v>
      </c>
      <c r="I1582" t="s">
        <v>83</v>
      </c>
      <c r="J1582">
        <v>3</v>
      </c>
      <c r="K1582">
        <v>4864000</v>
      </c>
      <c r="L1582" s="2" t="s">
        <v>2345</v>
      </c>
      <c r="M1582" t="s">
        <v>23</v>
      </c>
      <c r="N1582">
        <v>12886000</v>
      </c>
      <c r="O1582">
        <v>3.8</v>
      </c>
      <c r="P1582" t="b">
        <v>1</v>
      </c>
    </row>
    <row r="1583" spans="1:16" x14ac:dyDescent="0.2">
      <c r="A1583" t="s">
        <v>2346</v>
      </c>
      <c r="B1583" s="1">
        <v>44728</v>
      </c>
      <c r="C1583" s="1">
        <v>44792</v>
      </c>
      <c r="D1583" t="s">
        <v>847</v>
      </c>
      <c r="E1583" t="s">
        <v>33</v>
      </c>
      <c r="F1583" t="s">
        <v>68</v>
      </c>
      <c r="G1583" t="s">
        <v>50</v>
      </c>
      <c r="H1583" t="s">
        <v>51</v>
      </c>
      <c r="J1583">
        <v>3</v>
      </c>
      <c r="K1583">
        <v>2194000</v>
      </c>
      <c r="L1583" s="2" t="s">
        <v>2347</v>
      </c>
      <c r="M1583" t="s">
        <v>23</v>
      </c>
      <c r="N1583">
        <v>5439000</v>
      </c>
      <c r="O1583">
        <v>4.7</v>
      </c>
      <c r="P1583" t="b">
        <v>1</v>
      </c>
    </row>
    <row r="1584" spans="1:16" x14ac:dyDescent="0.2">
      <c r="A1584" t="s">
        <v>2348</v>
      </c>
      <c r="B1584" s="1">
        <v>44728</v>
      </c>
      <c r="C1584" s="1">
        <v>44796</v>
      </c>
      <c r="D1584" t="s">
        <v>677</v>
      </c>
      <c r="E1584" t="s">
        <v>18</v>
      </c>
      <c r="F1584" t="s">
        <v>19</v>
      </c>
      <c r="G1584" t="s">
        <v>20</v>
      </c>
      <c r="H1584" t="s">
        <v>21</v>
      </c>
      <c r="I1584" t="s">
        <v>52</v>
      </c>
      <c r="J1584">
        <v>1</v>
      </c>
      <c r="K1584">
        <v>2646000</v>
      </c>
      <c r="L1584" s="3">
        <v>8.1000000000000003E-2</v>
      </c>
      <c r="M1584" t="s">
        <v>23</v>
      </c>
      <c r="N1584">
        <v>2431000</v>
      </c>
      <c r="O1584">
        <v>4</v>
      </c>
      <c r="P1584" t="b">
        <v>1</v>
      </c>
    </row>
    <row r="1585" spans="1:16" x14ac:dyDescent="0.2">
      <c r="A1585" t="s">
        <v>2349</v>
      </c>
      <c r="B1585" s="1">
        <v>44728</v>
      </c>
      <c r="C1585" s="1">
        <v>44774</v>
      </c>
      <c r="D1585" t="s">
        <v>2350</v>
      </c>
      <c r="E1585" t="s">
        <v>18</v>
      </c>
      <c r="F1585" t="s">
        <v>45</v>
      </c>
      <c r="G1585" t="s">
        <v>20</v>
      </c>
      <c r="I1585" t="s">
        <v>60</v>
      </c>
      <c r="J1585">
        <v>1</v>
      </c>
      <c r="K1585">
        <v>3358000</v>
      </c>
      <c r="L1585">
        <v>0.14794103333379599</v>
      </c>
      <c r="M1585" t="s">
        <v>23</v>
      </c>
      <c r="N1585">
        <v>2861000</v>
      </c>
      <c r="O1585">
        <v>3</v>
      </c>
      <c r="P1585" t="b">
        <v>0</v>
      </c>
    </row>
    <row r="1586" spans="1:16" x14ac:dyDescent="0.2">
      <c r="A1586" t="s">
        <v>2351</v>
      </c>
      <c r="B1586" s="1">
        <v>44728</v>
      </c>
      <c r="C1586" s="1">
        <v>44795</v>
      </c>
      <c r="D1586" t="s">
        <v>611</v>
      </c>
      <c r="E1586" t="s">
        <v>29</v>
      </c>
      <c r="F1586" t="s">
        <v>34</v>
      </c>
      <c r="G1586" t="s">
        <v>20</v>
      </c>
      <c r="H1586" t="s">
        <v>21</v>
      </c>
      <c r="I1586" t="s">
        <v>26</v>
      </c>
      <c r="J1586">
        <v>2</v>
      </c>
      <c r="K1586">
        <v>4340000</v>
      </c>
      <c r="L1586">
        <v>8.5388547004293894E-2</v>
      </c>
      <c r="M1586" t="s">
        <v>65</v>
      </c>
      <c r="N1586">
        <v>0</v>
      </c>
      <c r="P1586" t="b">
        <v>1</v>
      </c>
    </row>
    <row r="1587" spans="1:16" x14ac:dyDescent="0.2">
      <c r="A1587" t="s">
        <v>2352</v>
      </c>
      <c r="B1587" s="1">
        <v>44729</v>
      </c>
      <c r="C1587" s="1">
        <v>44793</v>
      </c>
      <c r="D1587" t="s">
        <v>336</v>
      </c>
      <c r="E1587" t="s">
        <v>33</v>
      </c>
      <c r="F1587" t="s">
        <v>34</v>
      </c>
      <c r="G1587" t="s">
        <v>46</v>
      </c>
      <c r="H1587" t="s">
        <v>21</v>
      </c>
      <c r="I1587" t="s">
        <v>57</v>
      </c>
      <c r="J1587">
        <v>1</v>
      </c>
      <c r="K1587">
        <v>4483000</v>
      </c>
      <c r="L1587">
        <v>7.7922931429249095E-2</v>
      </c>
      <c r="M1587" t="s">
        <v>23</v>
      </c>
      <c r="N1587">
        <v>4134000</v>
      </c>
      <c r="O1587">
        <v>4.4000000000000004</v>
      </c>
      <c r="P1587" t="b">
        <v>1</v>
      </c>
    </row>
    <row r="1588" spans="1:16" x14ac:dyDescent="0.2">
      <c r="A1588" t="s">
        <v>2353</v>
      </c>
      <c r="B1588" s="1">
        <v>44729</v>
      </c>
      <c r="C1588" s="1">
        <v>44749</v>
      </c>
      <c r="D1588" t="s">
        <v>530</v>
      </c>
      <c r="E1588" t="s">
        <v>33</v>
      </c>
      <c r="F1588" t="s">
        <v>45</v>
      </c>
      <c r="G1588" t="s">
        <v>35</v>
      </c>
      <c r="H1588" t="s">
        <v>40</v>
      </c>
      <c r="I1588" t="s">
        <v>57</v>
      </c>
      <c r="J1588">
        <v>2</v>
      </c>
      <c r="K1588">
        <v>3822000</v>
      </c>
      <c r="L1588" s="2" t="s">
        <v>2354</v>
      </c>
      <c r="M1588" t="s">
        <v>23</v>
      </c>
      <c r="N1588">
        <v>6759000</v>
      </c>
      <c r="O1588">
        <v>3.8</v>
      </c>
      <c r="P1588" t="b">
        <v>1</v>
      </c>
    </row>
    <row r="1589" spans="1:16" x14ac:dyDescent="0.2">
      <c r="A1589" t="s">
        <v>2355</v>
      </c>
      <c r="B1589" s="1">
        <v>44729</v>
      </c>
      <c r="C1589" s="1">
        <v>44740</v>
      </c>
      <c r="D1589" t="s">
        <v>712</v>
      </c>
      <c r="E1589" t="s">
        <v>45</v>
      </c>
      <c r="F1589" t="s">
        <v>19</v>
      </c>
      <c r="G1589" t="s">
        <v>50</v>
      </c>
      <c r="H1589" t="s">
        <v>21</v>
      </c>
      <c r="I1589" t="s">
        <v>99</v>
      </c>
      <c r="J1589">
        <v>1</v>
      </c>
      <c r="K1589">
        <v>2784000</v>
      </c>
      <c r="L1589" s="2" t="s">
        <v>2356</v>
      </c>
      <c r="M1589" t="s">
        <v>23</v>
      </c>
      <c r="N1589">
        <v>2477000</v>
      </c>
      <c r="O1589">
        <v>4.3</v>
      </c>
      <c r="P1589" t="b">
        <v>1</v>
      </c>
    </row>
    <row r="1590" spans="1:16" x14ac:dyDescent="0.2">
      <c r="A1590" t="s">
        <v>2357</v>
      </c>
      <c r="B1590" s="1">
        <v>44729</v>
      </c>
      <c r="C1590" s="1">
        <v>44815</v>
      </c>
      <c r="D1590" t="s">
        <v>510</v>
      </c>
      <c r="E1590" t="s">
        <v>33</v>
      </c>
      <c r="F1590" t="s">
        <v>19</v>
      </c>
      <c r="G1590" t="s">
        <v>50</v>
      </c>
      <c r="H1590" t="s">
        <v>40</v>
      </c>
      <c r="I1590" t="s">
        <v>1654</v>
      </c>
      <c r="J1590">
        <v>2</v>
      </c>
      <c r="K1590">
        <v>2888000</v>
      </c>
      <c r="L1590" s="2" t="s">
        <v>2358</v>
      </c>
      <c r="M1590" t="s">
        <v>23</v>
      </c>
      <c r="N1590">
        <v>5125000</v>
      </c>
      <c r="O1590">
        <v>4.0999999999999996</v>
      </c>
      <c r="P1590" t="b">
        <v>1</v>
      </c>
    </row>
    <row r="1591" spans="1:16" x14ac:dyDescent="0.2">
      <c r="A1591" t="s">
        <v>2359</v>
      </c>
      <c r="B1591" s="1">
        <v>44729</v>
      </c>
      <c r="C1591" s="1">
        <v>44789</v>
      </c>
      <c r="D1591" t="s">
        <v>101</v>
      </c>
      <c r="E1591" t="s">
        <v>45</v>
      </c>
      <c r="F1591" t="s">
        <v>34</v>
      </c>
      <c r="G1591" t="s">
        <v>35</v>
      </c>
      <c r="H1591" t="s">
        <v>21</v>
      </c>
      <c r="I1591" t="s">
        <v>60</v>
      </c>
      <c r="J1591">
        <v>2</v>
      </c>
      <c r="K1591">
        <v>4435000</v>
      </c>
      <c r="L1591" s="2" t="s">
        <v>2360</v>
      </c>
      <c r="M1591" t="s">
        <v>23</v>
      </c>
      <c r="N1591">
        <v>7668000</v>
      </c>
      <c r="O1591">
        <v>4.3</v>
      </c>
      <c r="P1591" t="b">
        <v>1</v>
      </c>
    </row>
    <row r="1592" spans="1:16" x14ac:dyDescent="0.2">
      <c r="A1592" t="s">
        <v>2361</v>
      </c>
      <c r="B1592" s="1">
        <v>44730</v>
      </c>
      <c r="C1592" s="1">
        <v>44745</v>
      </c>
      <c r="D1592" t="s">
        <v>249</v>
      </c>
      <c r="E1592" t="s">
        <v>33</v>
      </c>
      <c r="F1592" t="s">
        <v>34</v>
      </c>
      <c r="G1592" t="s">
        <v>46</v>
      </c>
      <c r="H1592" t="s">
        <v>21</v>
      </c>
      <c r="I1592" t="s">
        <v>94</v>
      </c>
      <c r="J1592">
        <v>2</v>
      </c>
      <c r="K1592">
        <v>4618000</v>
      </c>
      <c r="L1592">
        <v>6.8522588968125006E-2</v>
      </c>
      <c r="M1592" t="s">
        <v>23</v>
      </c>
      <c r="N1592">
        <v>8603000</v>
      </c>
      <c r="O1592">
        <v>4.7</v>
      </c>
      <c r="P1592" t="b">
        <v>1</v>
      </c>
    </row>
    <row r="1593" spans="1:16" x14ac:dyDescent="0.2">
      <c r="A1593" t="s">
        <v>2362</v>
      </c>
      <c r="B1593" s="1">
        <v>44730</v>
      </c>
      <c r="C1593" s="1">
        <v>44780</v>
      </c>
      <c r="D1593" t="s">
        <v>969</v>
      </c>
      <c r="E1593" t="s">
        <v>45</v>
      </c>
      <c r="F1593" t="s">
        <v>39</v>
      </c>
      <c r="G1593" t="s">
        <v>35</v>
      </c>
      <c r="H1593" t="s">
        <v>40</v>
      </c>
      <c r="J1593">
        <v>1</v>
      </c>
      <c r="K1593">
        <v>2798000</v>
      </c>
      <c r="L1593">
        <v>9.3426525529964694E-2</v>
      </c>
      <c r="M1593" t="s">
        <v>23</v>
      </c>
      <c r="N1593">
        <v>2537000</v>
      </c>
      <c r="O1593">
        <v>4.2</v>
      </c>
      <c r="P1593" t="b">
        <v>1</v>
      </c>
    </row>
    <row r="1594" spans="1:16" x14ac:dyDescent="0.2">
      <c r="A1594" t="s">
        <v>2363</v>
      </c>
      <c r="B1594" s="1">
        <v>44730</v>
      </c>
      <c r="C1594" s="1">
        <v>44766</v>
      </c>
      <c r="D1594" t="s">
        <v>762</v>
      </c>
      <c r="E1594" t="s">
        <v>33</v>
      </c>
      <c r="F1594" t="s">
        <v>25</v>
      </c>
      <c r="G1594" t="s">
        <v>50</v>
      </c>
      <c r="H1594" t="s">
        <v>21</v>
      </c>
      <c r="J1594">
        <v>1</v>
      </c>
      <c r="K1594">
        <v>4699000</v>
      </c>
      <c r="L1594" s="2" t="s">
        <v>2364</v>
      </c>
      <c r="M1594" t="s">
        <v>23</v>
      </c>
      <c r="N1594">
        <v>4161000</v>
      </c>
      <c r="O1594">
        <v>4.8</v>
      </c>
      <c r="P1594" t="b">
        <v>1</v>
      </c>
    </row>
    <row r="1595" spans="1:16" x14ac:dyDescent="0.2">
      <c r="A1595" t="s">
        <v>2365</v>
      </c>
      <c r="B1595" s="1">
        <v>44731</v>
      </c>
      <c r="C1595" s="1">
        <v>44785</v>
      </c>
      <c r="D1595" t="s">
        <v>1814</v>
      </c>
      <c r="E1595" t="s">
        <v>45</v>
      </c>
      <c r="F1595" t="s">
        <v>19</v>
      </c>
      <c r="G1595" t="s">
        <v>20</v>
      </c>
      <c r="H1595" t="s">
        <v>21</v>
      </c>
      <c r="I1595" t="s">
        <v>57</v>
      </c>
      <c r="J1595">
        <v>2</v>
      </c>
      <c r="K1595">
        <v>3467000</v>
      </c>
      <c r="L1595" s="2" t="s">
        <v>2366</v>
      </c>
      <c r="M1595" t="s">
        <v>23</v>
      </c>
      <c r="N1595">
        <v>5881000</v>
      </c>
      <c r="O1595">
        <v>4.4000000000000004</v>
      </c>
      <c r="P1595" t="b">
        <v>1</v>
      </c>
    </row>
    <row r="1596" spans="1:16" x14ac:dyDescent="0.2">
      <c r="A1596" t="s">
        <v>2367</v>
      </c>
      <c r="B1596" s="1">
        <v>44732</v>
      </c>
      <c r="C1596" s="1">
        <v>44746</v>
      </c>
      <c r="D1596" t="s">
        <v>177</v>
      </c>
      <c r="E1596" t="s">
        <v>18</v>
      </c>
      <c r="F1596" t="s">
        <v>45</v>
      </c>
      <c r="G1596" t="s">
        <v>35</v>
      </c>
      <c r="H1596" t="s">
        <v>21</v>
      </c>
      <c r="I1596" t="s">
        <v>99</v>
      </c>
      <c r="J1596">
        <v>2</v>
      </c>
      <c r="K1596">
        <v>3581000</v>
      </c>
      <c r="L1596" s="2" t="s">
        <v>2368</v>
      </c>
      <c r="M1596" t="s">
        <v>23</v>
      </c>
      <c r="N1596">
        <v>6344000</v>
      </c>
      <c r="O1596">
        <v>4.5999999999999996</v>
      </c>
      <c r="P1596" t="b">
        <v>1</v>
      </c>
    </row>
    <row r="1597" spans="1:16" x14ac:dyDescent="0.2">
      <c r="A1597" t="s">
        <v>2369</v>
      </c>
      <c r="B1597" s="1">
        <v>44733</v>
      </c>
      <c r="C1597" s="1">
        <v>44773</v>
      </c>
      <c r="D1597" t="s">
        <v>2370</v>
      </c>
      <c r="E1597" t="s">
        <v>45</v>
      </c>
      <c r="F1597" t="s">
        <v>25</v>
      </c>
      <c r="G1597" t="s">
        <v>20</v>
      </c>
      <c r="H1597" t="s">
        <v>21</v>
      </c>
      <c r="J1597">
        <v>1</v>
      </c>
      <c r="K1597">
        <v>5050000</v>
      </c>
      <c r="L1597">
        <v>4.5374422274226202E-2</v>
      </c>
      <c r="M1597" t="s">
        <v>23</v>
      </c>
      <c r="N1597">
        <v>4821000</v>
      </c>
      <c r="O1597">
        <v>4.5</v>
      </c>
      <c r="P1597" t="b">
        <v>0</v>
      </c>
    </row>
    <row r="1598" spans="1:16" x14ac:dyDescent="0.2">
      <c r="A1598" t="s">
        <v>2371</v>
      </c>
      <c r="B1598" s="1">
        <v>44733</v>
      </c>
      <c r="C1598" s="1">
        <v>44814</v>
      </c>
      <c r="D1598" t="s">
        <v>2372</v>
      </c>
      <c r="E1598" t="s">
        <v>45</v>
      </c>
      <c r="F1598" t="s">
        <v>45</v>
      </c>
      <c r="G1598" t="s">
        <v>20</v>
      </c>
      <c r="H1598" t="s">
        <v>51</v>
      </c>
      <c r="I1598" t="s">
        <v>30</v>
      </c>
      <c r="J1598">
        <v>1</v>
      </c>
      <c r="K1598">
        <v>2972000</v>
      </c>
      <c r="L1598">
        <v>7.9081786680435404E-2</v>
      </c>
      <c r="M1598" t="s">
        <v>23</v>
      </c>
      <c r="N1598">
        <v>2737000</v>
      </c>
      <c r="O1598">
        <v>4.5</v>
      </c>
      <c r="P1598" t="b">
        <v>0</v>
      </c>
    </row>
    <row r="1599" spans="1:16" x14ac:dyDescent="0.2">
      <c r="A1599" t="s">
        <v>2373</v>
      </c>
      <c r="B1599" s="1">
        <v>44733</v>
      </c>
      <c r="C1599" s="1">
        <v>44778</v>
      </c>
      <c r="D1599" t="s">
        <v>2224</v>
      </c>
      <c r="E1599" t="s">
        <v>29</v>
      </c>
      <c r="F1599" t="s">
        <v>19</v>
      </c>
      <c r="G1599" t="s">
        <v>35</v>
      </c>
      <c r="H1599" t="s">
        <v>21</v>
      </c>
      <c r="I1599" t="s">
        <v>57</v>
      </c>
      <c r="J1599">
        <v>1</v>
      </c>
      <c r="K1599">
        <v>3229000</v>
      </c>
      <c r="L1599" s="2" t="s">
        <v>2374</v>
      </c>
      <c r="M1599" t="s">
        <v>65</v>
      </c>
      <c r="N1599">
        <v>0</v>
      </c>
      <c r="P1599" t="b">
        <v>1</v>
      </c>
    </row>
    <row r="1600" spans="1:16" x14ac:dyDescent="0.2">
      <c r="A1600" t="s">
        <v>2375</v>
      </c>
      <c r="B1600" s="1">
        <v>44733</v>
      </c>
      <c r="C1600" s="1">
        <v>44805</v>
      </c>
      <c r="D1600" t="s">
        <v>625</v>
      </c>
      <c r="E1600" t="s">
        <v>33</v>
      </c>
      <c r="F1600" t="s">
        <v>45</v>
      </c>
      <c r="G1600" t="s">
        <v>50</v>
      </c>
      <c r="H1600" t="s">
        <v>21</v>
      </c>
      <c r="I1600" t="s">
        <v>1654</v>
      </c>
      <c r="J1600">
        <v>2</v>
      </c>
      <c r="K1600">
        <v>3075000</v>
      </c>
      <c r="L1600" s="2" t="s">
        <v>2376</v>
      </c>
      <c r="M1600" t="s">
        <v>23</v>
      </c>
      <c r="N1600">
        <v>5469000</v>
      </c>
      <c r="O1600">
        <v>3.8</v>
      </c>
      <c r="P1600" t="b">
        <v>1</v>
      </c>
    </row>
    <row r="1601" spans="1:16" x14ac:dyDescent="0.2">
      <c r="A1601" t="s">
        <v>2377</v>
      </c>
      <c r="B1601" s="1">
        <v>44733</v>
      </c>
      <c r="C1601" s="1">
        <v>44783</v>
      </c>
      <c r="D1601" t="s">
        <v>913</v>
      </c>
      <c r="E1601" t="s">
        <v>45</v>
      </c>
      <c r="F1601" t="s">
        <v>45</v>
      </c>
      <c r="G1601" t="s">
        <v>20</v>
      </c>
      <c r="H1601" t="s">
        <v>47</v>
      </c>
      <c r="I1601" t="s">
        <v>26</v>
      </c>
      <c r="J1601">
        <v>4</v>
      </c>
      <c r="K1601">
        <v>3937000</v>
      </c>
      <c r="L1601">
        <v>9.48844623219533E-2</v>
      </c>
      <c r="M1601" t="s">
        <v>23</v>
      </c>
      <c r="N1601">
        <v>14254000</v>
      </c>
      <c r="O1601">
        <v>4.5999999999999996</v>
      </c>
      <c r="P1601" t="b">
        <v>1</v>
      </c>
    </row>
    <row r="1602" spans="1:16" x14ac:dyDescent="0.2">
      <c r="A1602" t="s">
        <v>2378</v>
      </c>
      <c r="B1602" s="1">
        <v>44734</v>
      </c>
      <c r="C1602" s="1">
        <v>44798</v>
      </c>
      <c r="D1602" t="s">
        <v>2157</v>
      </c>
      <c r="E1602" t="s">
        <v>18</v>
      </c>
      <c r="F1602" t="s">
        <v>34</v>
      </c>
      <c r="G1602" t="s">
        <v>50</v>
      </c>
      <c r="H1602" t="s">
        <v>51</v>
      </c>
      <c r="I1602" t="s">
        <v>83</v>
      </c>
      <c r="J1602">
        <v>1</v>
      </c>
      <c r="K1602">
        <v>4093000</v>
      </c>
      <c r="L1602">
        <v>4.5214481022051403E-2</v>
      </c>
      <c r="M1602" t="s">
        <v>23</v>
      </c>
      <c r="N1602">
        <v>3908000</v>
      </c>
      <c r="O1602">
        <v>3.9</v>
      </c>
      <c r="P1602" t="b">
        <v>1</v>
      </c>
    </row>
    <row r="1603" spans="1:16" x14ac:dyDescent="0.2">
      <c r="A1603" t="s">
        <v>2379</v>
      </c>
      <c r="B1603" s="1">
        <v>44735</v>
      </c>
      <c r="C1603" s="1">
        <v>44813</v>
      </c>
      <c r="D1603" t="s">
        <v>157</v>
      </c>
      <c r="F1603" t="s">
        <v>34</v>
      </c>
      <c r="G1603" t="s">
        <v>50</v>
      </c>
      <c r="H1603" t="s">
        <v>47</v>
      </c>
      <c r="I1603" t="s">
        <v>99</v>
      </c>
      <c r="J1603">
        <v>4</v>
      </c>
      <c r="K1603">
        <v>3773000</v>
      </c>
      <c r="L1603" s="2" t="s">
        <v>2380</v>
      </c>
      <c r="M1603" t="s">
        <v>23</v>
      </c>
      <c r="N1603">
        <v>14599000</v>
      </c>
      <c r="O1603">
        <v>3.4</v>
      </c>
      <c r="P1603" t="b">
        <v>1</v>
      </c>
    </row>
    <row r="1604" spans="1:16" x14ac:dyDescent="0.2">
      <c r="A1604" t="s">
        <v>2381</v>
      </c>
      <c r="B1604" s="1">
        <v>44735</v>
      </c>
      <c r="C1604" s="1">
        <v>44804</v>
      </c>
      <c r="D1604" t="s">
        <v>2382</v>
      </c>
      <c r="E1604" t="s">
        <v>45</v>
      </c>
      <c r="F1604" t="s">
        <v>19</v>
      </c>
      <c r="G1604" t="s">
        <v>35</v>
      </c>
      <c r="H1604" t="s">
        <v>21</v>
      </c>
      <c r="I1604" t="s">
        <v>57</v>
      </c>
      <c r="J1604">
        <v>3</v>
      </c>
      <c r="K1604">
        <v>3365000</v>
      </c>
      <c r="L1604" s="2" t="s">
        <v>2383</v>
      </c>
      <c r="M1604" t="s">
        <v>23</v>
      </c>
      <c r="N1604">
        <v>8581000</v>
      </c>
      <c r="O1604">
        <v>4.0999999999999996</v>
      </c>
      <c r="P1604" t="b">
        <v>0</v>
      </c>
    </row>
    <row r="1605" spans="1:16" x14ac:dyDescent="0.2">
      <c r="A1605" t="s">
        <v>2384</v>
      </c>
      <c r="B1605" s="1">
        <v>44735</v>
      </c>
      <c r="C1605" s="1">
        <v>44802</v>
      </c>
      <c r="D1605" t="s">
        <v>694</v>
      </c>
      <c r="E1605" t="s">
        <v>45</v>
      </c>
      <c r="F1605" t="s">
        <v>39</v>
      </c>
      <c r="H1605" t="s">
        <v>21</v>
      </c>
      <c r="I1605" t="s">
        <v>83</v>
      </c>
      <c r="J1605">
        <v>1</v>
      </c>
      <c r="K1605">
        <v>1474000</v>
      </c>
      <c r="L1605">
        <v>8.0785527852395095E-2</v>
      </c>
      <c r="M1605" t="s">
        <v>23</v>
      </c>
      <c r="N1605">
        <v>1355000</v>
      </c>
      <c r="O1605">
        <v>4</v>
      </c>
      <c r="P1605" t="b">
        <v>1</v>
      </c>
    </row>
    <row r="1606" spans="1:16" x14ac:dyDescent="0.2">
      <c r="A1606" t="s">
        <v>2385</v>
      </c>
      <c r="B1606" s="1">
        <v>44736</v>
      </c>
      <c r="C1606" s="1">
        <v>44780</v>
      </c>
      <c r="D1606" t="s">
        <v>1522</v>
      </c>
      <c r="E1606" t="s">
        <v>45</v>
      </c>
      <c r="F1606" t="s">
        <v>39</v>
      </c>
      <c r="G1606" t="s">
        <v>35</v>
      </c>
      <c r="H1606" t="s">
        <v>21</v>
      </c>
      <c r="I1606" t="s">
        <v>99</v>
      </c>
      <c r="J1606">
        <v>4</v>
      </c>
      <c r="K1606">
        <v>2305000</v>
      </c>
      <c r="L1606">
        <v>8.6978673473297699E-2</v>
      </c>
      <c r="M1606" t="s">
        <v>23</v>
      </c>
      <c r="N1606">
        <v>8418000</v>
      </c>
      <c r="O1606">
        <v>4.9000000000000004</v>
      </c>
      <c r="P1606" t="b">
        <v>1</v>
      </c>
    </row>
    <row r="1607" spans="1:16" x14ac:dyDescent="0.2">
      <c r="A1607" t="s">
        <v>2386</v>
      </c>
      <c r="B1607" s="1">
        <v>44736</v>
      </c>
      <c r="C1607" s="1">
        <v>44767</v>
      </c>
      <c r="D1607" t="s">
        <v>2259</v>
      </c>
      <c r="E1607" t="s">
        <v>45</v>
      </c>
      <c r="F1607" t="s">
        <v>34</v>
      </c>
      <c r="G1607" t="s">
        <v>20</v>
      </c>
      <c r="H1607" t="s">
        <v>51</v>
      </c>
      <c r="I1607" t="s">
        <v>30</v>
      </c>
      <c r="J1607">
        <v>3</v>
      </c>
      <c r="K1607">
        <v>4212000</v>
      </c>
      <c r="L1607" s="2" t="s">
        <v>2387</v>
      </c>
      <c r="M1607" t="s">
        <v>23</v>
      </c>
      <c r="N1607">
        <v>11247000</v>
      </c>
      <c r="O1607">
        <v>3.9</v>
      </c>
      <c r="P1607" t="b">
        <v>1</v>
      </c>
    </row>
    <row r="1608" spans="1:16" x14ac:dyDescent="0.2">
      <c r="A1608" t="s">
        <v>2388</v>
      </c>
      <c r="B1608" s="1">
        <v>44737</v>
      </c>
      <c r="C1608" s="1">
        <v>44767</v>
      </c>
      <c r="D1608" t="s">
        <v>1091</v>
      </c>
      <c r="E1608" t="s">
        <v>33</v>
      </c>
      <c r="F1608" t="s">
        <v>34</v>
      </c>
      <c r="G1608" t="s">
        <v>20</v>
      </c>
      <c r="H1608" t="s">
        <v>51</v>
      </c>
      <c r="I1608" t="s">
        <v>26</v>
      </c>
      <c r="J1608">
        <v>2</v>
      </c>
      <c r="K1608">
        <v>4618000</v>
      </c>
      <c r="L1608" s="2" t="s">
        <v>2389</v>
      </c>
      <c r="M1608" t="s">
        <v>23</v>
      </c>
      <c r="N1608">
        <v>7993000</v>
      </c>
      <c r="O1608">
        <v>3.8</v>
      </c>
      <c r="P1608" t="b">
        <v>1</v>
      </c>
    </row>
    <row r="1609" spans="1:16" x14ac:dyDescent="0.2">
      <c r="A1609" t="s">
        <v>2390</v>
      </c>
      <c r="B1609" s="1">
        <v>44737</v>
      </c>
      <c r="C1609" s="1">
        <v>44797</v>
      </c>
      <c r="D1609" t="s">
        <v>155</v>
      </c>
      <c r="E1609" t="s">
        <v>29</v>
      </c>
      <c r="F1609" t="s">
        <v>19</v>
      </c>
      <c r="H1609" t="s">
        <v>21</v>
      </c>
      <c r="I1609" t="s">
        <v>52</v>
      </c>
      <c r="J1609">
        <v>2</v>
      </c>
      <c r="K1609">
        <v>2811000</v>
      </c>
      <c r="L1609">
        <v>8.0790298383325895E-2</v>
      </c>
      <c r="M1609" t="s">
        <v>23</v>
      </c>
      <c r="N1609">
        <v>5168000</v>
      </c>
      <c r="O1609">
        <v>4.0999999999999996</v>
      </c>
      <c r="P1609" t="b">
        <v>1</v>
      </c>
    </row>
    <row r="1610" spans="1:16" x14ac:dyDescent="0.2">
      <c r="A1610" t="s">
        <v>2391</v>
      </c>
      <c r="B1610" s="1">
        <v>44737</v>
      </c>
      <c r="C1610" s="1">
        <v>44818</v>
      </c>
      <c r="D1610" t="s">
        <v>2392</v>
      </c>
      <c r="E1610" t="s">
        <v>18</v>
      </c>
      <c r="F1610" t="s">
        <v>45</v>
      </c>
      <c r="G1610" t="s">
        <v>50</v>
      </c>
      <c r="H1610" t="s">
        <v>40</v>
      </c>
      <c r="I1610" t="s">
        <v>26</v>
      </c>
      <c r="J1610">
        <v>2</v>
      </c>
      <c r="K1610">
        <v>3337000</v>
      </c>
      <c r="L1610" s="2" t="s">
        <v>2393</v>
      </c>
      <c r="M1610" t="s">
        <v>23</v>
      </c>
      <c r="N1610">
        <v>5827000</v>
      </c>
      <c r="O1610">
        <v>3.6</v>
      </c>
      <c r="P1610" t="b">
        <v>0</v>
      </c>
    </row>
    <row r="1611" spans="1:16" x14ac:dyDescent="0.2">
      <c r="A1611" t="s">
        <v>2394</v>
      </c>
      <c r="B1611" s="1">
        <v>44738</v>
      </c>
      <c r="C1611" s="1">
        <v>44759</v>
      </c>
      <c r="D1611" t="s">
        <v>1096</v>
      </c>
      <c r="E1611" t="s">
        <v>29</v>
      </c>
      <c r="F1611" t="s">
        <v>39</v>
      </c>
      <c r="G1611" t="s">
        <v>46</v>
      </c>
      <c r="H1611" t="s">
        <v>40</v>
      </c>
      <c r="I1611" t="s">
        <v>22</v>
      </c>
      <c r="J1611">
        <v>2</v>
      </c>
      <c r="K1611">
        <v>2033000</v>
      </c>
      <c r="L1611">
        <v>8.0490472460963899E-2</v>
      </c>
      <c r="M1611" t="s">
        <v>23</v>
      </c>
      <c r="N1611">
        <v>3739000</v>
      </c>
      <c r="O1611">
        <v>4.3</v>
      </c>
      <c r="P1611" t="b">
        <v>1</v>
      </c>
    </row>
    <row r="1612" spans="1:16" x14ac:dyDescent="0.2">
      <c r="A1612" t="s">
        <v>2395</v>
      </c>
      <c r="B1612" s="1">
        <v>44738</v>
      </c>
      <c r="C1612" s="1">
        <v>44757</v>
      </c>
      <c r="D1612" t="s">
        <v>2042</v>
      </c>
      <c r="E1612" t="s">
        <v>45</v>
      </c>
      <c r="F1612" t="s">
        <v>34</v>
      </c>
      <c r="G1612" t="s">
        <v>20</v>
      </c>
      <c r="H1612" t="s">
        <v>21</v>
      </c>
      <c r="I1612" t="s">
        <v>83</v>
      </c>
      <c r="J1612">
        <v>1</v>
      </c>
      <c r="K1612">
        <v>4501000</v>
      </c>
      <c r="L1612">
        <v>4.7071232792888003E-2</v>
      </c>
      <c r="M1612" t="s">
        <v>23</v>
      </c>
      <c r="N1612">
        <v>4289000</v>
      </c>
      <c r="O1612">
        <v>4.5999999999999996</v>
      </c>
      <c r="P1612" t="b">
        <v>1</v>
      </c>
    </row>
    <row r="1613" spans="1:16" x14ac:dyDescent="0.2">
      <c r="A1613" t="s">
        <v>2396</v>
      </c>
      <c r="B1613" s="1">
        <v>44738</v>
      </c>
      <c r="C1613" s="1">
        <v>44809</v>
      </c>
      <c r="D1613" t="s">
        <v>2397</v>
      </c>
      <c r="E1613" t="s">
        <v>29</v>
      </c>
      <c r="F1613" t="s">
        <v>45</v>
      </c>
      <c r="G1613" t="s">
        <v>35</v>
      </c>
      <c r="H1613" t="s">
        <v>40</v>
      </c>
      <c r="I1613" t="s">
        <v>83</v>
      </c>
      <c r="J1613">
        <v>1</v>
      </c>
      <c r="K1613">
        <v>2685000</v>
      </c>
      <c r="L1613" s="2" t="s">
        <v>2398</v>
      </c>
      <c r="M1613" t="s">
        <v>65</v>
      </c>
      <c r="N1613">
        <v>0</v>
      </c>
      <c r="P1613" t="b">
        <v>0</v>
      </c>
    </row>
    <row r="1614" spans="1:16" x14ac:dyDescent="0.2">
      <c r="A1614" t="s">
        <v>2399</v>
      </c>
      <c r="B1614" s="1">
        <v>44738</v>
      </c>
      <c r="C1614" s="1">
        <v>44835</v>
      </c>
      <c r="D1614" t="s">
        <v>220</v>
      </c>
      <c r="E1614" t="s">
        <v>33</v>
      </c>
      <c r="F1614" t="s">
        <v>45</v>
      </c>
      <c r="G1614" t="s">
        <v>20</v>
      </c>
      <c r="H1614" t="s">
        <v>21</v>
      </c>
      <c r="I1614" t="s">
        <v>94</v>
      </c>
      <c r="J1614">
        <v>2</v>
      </c>
      <c r="K1614">
        <v>3009000</v>
      </c>
      <c r="L1614" s="2" t="s">
        <v>2400</v>
      </c>
      <c r="M1614" t="s">
        <v>23</v>
      </c>
      <c r="N1614">
        <v>5407000</v>
      </c>
      <c r="O1614">
        <v>3.8</v>
      </c>
      <c r="P1614" t="b">
        <v>1</v>
      </c>
    </row>
    <row r="1615" spans="1:16" x14ac:dyDescent="0.2">
      <c r="A1615" t="s">
        <v>2401</v>
      </c>
      <c r="B1615" s="1">
        <v>44738</v>
      </c>
      <c r="C1615" s="1">
        <v>44807</v>
      </c>
      <c r="D1615" t="s">
        <v>1055</v>
      </c>
      <c r="E1615" t="s">
        <v>45</v>
      </c>
      <c r="F1615" t="s">
        <v>68</v>
      </c>
      <c r="G1615" t="s">
        <v>20</v>
      </c>
      <c r="H1615" t="s">
        <v>21</v>
      </c>
      <c r="I1615" t="s">
        <v>99</v>
      </c>
      <c r="J1615">
        <v>1</v>
      </c>
      <c r="K1615">
        <v>2618000</v>
      </c>
      <c r="L1615" s="2" t="s">
        <v>2402</v>
      </c>
      <c r="M1615" t="s">
        <v>23</v>
      </c>
      <c r="N1615">
        <v>2255000</v>
      </c>
      <c r="O1615">
        <v>4.5999999999999996</v>
      </c>
      <c r="P1615" t="b">
        <v>1</v>
      </c>
    </row>
    <row r="1616" spans="1:16" x14ac:dyDescent="0.2">
      <c r="A1616" t="s">
        <v>2403</v>
      </c>
      <c r="B1616" s="1">
        <v>44740</v>
      </c>
      <c r="C1616" s="1">
        <v>44775</v>
      </c>
      <c r="D1616" t="s">
        <v>1112</v>
      </c>
      <c r="E1616" t="s">
        <v>33</v>
      </c>
      <c r="F1616" t="s">
        <v>34</v>
      </c>
      <c r="G1616" t="s">
        <v>35</v>
      </c>
      <c r="H1616" t="s">
        <v>21</v>
      </c>
      <c r="I1616" t="s">
        <v>77</v>
      </c>
      <c r="J1616">
        <v>2</v>
      </c>
      <c r="K1616">
        <v>4184000</v>
      </c>
      <c r="L1616">
        <v>7.0576563716043803E-2</v>
      </c>
      <c r="M1616" t="s">
        <v>23</v>
      </c>
      <c r="N1616">
        <v>7777000</v>
      </c>
      <c r="O1616">
        <v>4.5999999999999996</v>
      </c>
      <c r="P1616" t="b">
        <v>1</v>
      </c>
    </row>
    <row r="1617" spans="1:16" x14ac:dyDescent="0.2">
      <c r="A1617" t="s">
        <v>2404</v>
      </c>
      <c r="B1617" s="1">
        <v>44740</v>
      </c>
      <c r="C1617" s="1">
        <v>44817</v>
      </c>
      <c r="D1617" t="s">
        <v>2315</v>
      </c>
      <c r="E1617" t="s">
        <v>33</v>
      </c>
      <c r="F1617" t="s">
        <v>19</v>
      </c>
      <c r="G1617" t="s">
        <v>20</v>
      </c>
      <c r="H1617" t="s">
        <v>40</v>
      </c>
      <c r="I1617" t="s">
        <v>77</v>
      </c>
      <c r="J1617">
        <v>1</v>
      </c>
      <c r="K1617">
        <v>2943000</v>
      </c>
      <c r="L1617" s="2" t="s">
        <v>2405</v>
      </c>
      <c r="M1617" t="s">
        <v>23</v>
      </c>
      <c r="N1617">
        <v>2593000</v>
      </c>
      <c r="O1617">
        <v>4.9000000000000004</v>
      </c>
      <c r="P1617" t="b">
        <v>1</v>
      </c>
    </row>
    <row r="1618" spans="1:16" x14ac:dyDescent="0.2">
      <c r="A1618" t="s">
        <v>2406</v>
      </c>
      <c r="B1618" s="1">
        <v>44741</v>
      </c>
      <c r="C1618" s="1">
        <v>44804</v>
      </c>
      <c r="D1618" t="s">
        <v>2407</v>
      </c>
      <c r="E1618" t="s">
        <v>18</v>
      </c>
      <c r="F1618" t="s">
        <v>45</v>
      </c>
      <c r="G1618" t="s">
        <v>35</v>
      </c>
      <c r="H1618" t="s">
        <v>40</v>
      </c>
      <c r="I1618" t="s">
        <v>57</v>
      </c>
      <c r="J1618">
        <v>2</v>
      </c>
      <c r="K1618">
        <v>3746000</v>
      </c>
      <c r="L1618">
        <v>7.9268457469466799E-2</v>
      </c>
      <c r="M1618" t="s">
        <v>1882</v>
      </c>
      <c r="N1618">
        <v>6898000</v>
      </c>
      <c r="O1618">
        <v>4.3</v>
      </c>
      <c r="P1618" t="b">
        <v>0</v>
      </c>
    </row>
    <row r="1619" spans="1:16" x14ac:dyDescent="0.2">
      <c r="A1619" t="s">
        <v>2408</v>
      </c>
      <c r="B1619" s="1">
        <v>44742</v>
      </c>
      <c r="C1619" s="1">
        <v>44785</v>
      </c>
      <c r="D1619" t="s">
        <v>424</v>
      </c>
      <c r="E1619" t="s">
        <v>18</v>
      </c>
      <c r="F1619" t="s">
        <v>34</v>
      </c>
      <c r="G1619" t="s">
        <v>50</v>
      </c>
      <c r="H1619" t="s">
        <v>21</v>
      </c>
      <c r="I1619" t="s">
        <v>60</v>
      </c>
      <c r="J1619">
        <v>2</v>
      </c>
      <c r="K1619">
        <v>4245000</v>
      </c>
      <c r="L1619" s="2" t="s">
        <v>2409</v>
      </c>
      <c r="M1619" t="s">
        <v>65</v>
      </c>
      <c r="N1619">
        <v>0</v>
      </c>
      <c r="P1619" t="b">
        <v>1</v>
      </c>
    </row>
    <row r="1620" spans="1:16" x14ac:dyDescent="0.2">
      <c r="A1620" t="s">
        <v>2410</v>
      </c>
      <c r="B1620" s="1">
        <v>44742</v>
      </c>
      <c r="C1620" s="1">
        <v>44780</v>
      </c>
      <c r="D1620" t="s">
        <v>2332</v>
      </c>
      <c r="E1620" t="s">
        <v>45</v>
      </c>
      <c r="F1620" t="s">
        <v>34</v>
      </c>
      <c r="G1620" t="s">
        <v>35</v>
      </c>
      <c r="H1620" t="s">
        <v>21</v>
      </c>
      <c r="J1620">
        <v>5</v>
      </c>
      <c r="K1620">
        <v>4577000</v>
      </c>
      <c r="L1620" s="2" t="s">
        <v>2411</v>
      </c>
      <c r="M1620" t="s">
        <v>23</v>
      </c>
      <c r="N1620">
        <v>20403000</v>
      </c>
      <c r="O1620">
        <v>4.5</v>
      </c>
      <c r="P1620" t="b">
        <v>1</v>
      </c>
    </row>
    <row r="1621" spans="1:16" x14ac:dyDescent="0.2">
      <c r="A1621" t="s">
        <v>2412</v>
      </c>
      <c r="B1621" s="1">
        <v>44742</v>
      </c>
      <c r="C1621" s="1">
        <v>44793</v>
      </c>
      <c r="D1621" t="s">
        <v>831</v>
      </c>
      <c r="E1621" t="s">
        <v>18</v>
      </c>
      <c r="F1621" t="s">
        <v>34</v>
      </c>
      <c r="G1621" t="s">
        <v>50</v>
      </c>
      <c r="I1621" t="s">
        <v>77</v>
      </c>
      <c r="J1621">
        <v>3</v>
      </c>
      <c r="K1621">
        <v>4215000</v>
      </c>
      <c r="L1621" s="2" t="s">
        <v>2413</v>
      </c>
      <c r="M1621" t="s">
        <v>23</v>
      </c>
      <c r="N1621">
        <v>11049000</v>
      </c>
      <c r="O1621">
        <v>4.3</v>
      </c>
      <c r="P1621" t="b">
        <v>1</v>
      </c>
    </row>
    <row r="1622" spans="1:16" x14ac:dyDescent="0.2">
      <c r="A1622" t="s">
        <v>2414</v>
      </c>
      <c r="B1622" s="1">
        <v>44742</v>
      </c>
      <c r="C1622" s="1">
        <v>44805</v>
      </c>
      <c r="D1622" t="s">
        <v>1845</v>
      </c>
      <c r="E1622" t="s">
        <v>45</v>
      </c>
      <c r="F1622" t="s">
        <v>25</v>
      </c>
      <c r="G1622" t="s">
        <v>50</v>
      </c>
      <c r="H1622" t="s">
        <v>47</v>
      </c>
      <c r="I1622" t="s">
        <v>83</v>
      </c>
      <c r="J1622">
        <v>2</v>
      </c>
      <c r="K1622">
        <v>4530000</v>
      </c>
      <c r="L1622">
        <v>7.4756615049533404E-2</v>
      </c>
      <c r="M1622" t="s">
        <v>23</v>
      </c>
      <c r="N1622">
        <v>8383000</v>
      </c>
      <c r="O1622">
        <v>4.4000000000000004</v>
      </c>
      <c r="P1622" t="b">
        <v>1</v>
      </c>
    </row>
    <row r="1623" spans="1:16" x14ac:dyDescent="0.2">
      <c r="A1623" t="s">
        <v>2415</v>
      </c>
      <c r="B1623" s="1">
        <v>44743</v>
      </c>
      <c r="C1623" s="1">
        <v>44824</v>
      </c>
      <c r="D1623" t="s">
        <v>2416</v>
      </c>
      <c r="E1623" t="s">
        <v>33</v>
      </c>
      <c r="F1623" t="s">
        <v>45</v>
      </c>
      <c r="G1623" t="s">
        <v>20</v>
      </c>
      <c r="H1623" t="s">
        <v>51</v>
      </c>
      <c r="I1623" t="s">
        <v>60</v>
      </c>
      <c r="J1623">
        <v>4</v>
      </c>
      <c r="K1623">
        <v>3321000</v>
      </c>
      <c r="L1623">
        <v>9.7381840476851597E-2</v>
      </c>
      <c r="M1623" t="s">
        <v>23</v>
      </c>
      <c r="N1623">
        <v>11990000</v>
      </c>
      <c r="O1623">
        <v>4.4000000000000004</v>
      </c>
      <c r="P1623" t="b">
        <v>0</v>
      </c>
    </row>
    <row r="1624" spans="1:16" x14ac:dyDescent="0.2">
      <c r="A1624" t="s">
        <v>2417</v>
      </c>
      <c r="B1624" s="1">
        <v>44743</v>
      </c>
      <c r="C1624" s="1">
        <v>44820</v>
      </c>
      <c r="D1624" t="s">
        <v>831</v>
      </c>
      <c r="E1624" t="s">
        <v>45</v>
      </c>
      <c r="F1624" t="s">
        <v>45</v>
      </c>
      <c r="H1624" t="s">
        <v>21</v>
      </c>
      <c r="I1624" t="s">
        <v>57</v>
      </c>
      <c r="J1624">
        <v>2</v>
      </c>
      <c r="K1624">
        <v>3557000</v>
      </c>
      <c r="L1624" s="2" t="s">
        <v>2418</v>
      </c>
      <c r="M1624" t="s">
        <v>23</v>
      </c>
      <c r="N1624">
        <v>6895000</v>
      </c>
      <c r="O1624">
        <v>3.9</v>
      </c>
      <c r="P1624" t="b">
        <v>1</v>
      </c>
    </row>
    <row r="1625" spans="1:16" x14ac:dyDescent="0.2">
      <c r="A1625" t="s">
        <v>2419</v>
      </c>
      <c r="B1625" s="1">
        <v>44743</v>
      </c>
      <c r="C1625" s="1">
        <v>44766</v>
      </c>
      <c r="D1625" t="s">
        <v>287</v>
      </c>
      <c r="F1625" t="s">
        <v>25</v>
      </c>
      <c r="H1625" t="s">
        <v>21</v>
      </c>
      <c r="I1625" t="s">
        <v>94</v>
      </c>
      <c r="J1625">
        <v>2</v>
      </c>
      <c r="K1625">
        <v>5115000</v>
      </c>
      <c r="L1625" s="2" t="s">
        <v>2420</v>
      </c>
      <c r="M1625" t="s">
        <v>23</v>
      </c>
      <c r="N1625">
        <v>8641000</v>
      </c>
      <c r="O1625">
        <v>4.8</v>
      </c>
      <c r="P1625" t="b">
        <v>1</v>
      </c>
    </row>
    <row r="1626" spans="1:16" x14ac:dyDescent="0.2">
      <c r="A1626" t="s">
        <v>2421</v>
      </c>
      <c r="B1626" s="1">
        <v>44744</v>
      </c>
      <c r="C1626" s="1">
        <v>44778</v>
      </c>
      <c r="D1626" t="s">
        <v>519</v>
      </c>
      <c r="E1626" t="s">
        <v>45</v>
      </c>
      <c r="F1626" t="s">
        <v>34</v>
      </c>
      <c r="G1626" t="s">
        <v>20</v>
      </c>
      <c r="H1626" t="s">
        <v>47</v>
      </c>
      <c r="I1626" t="s">
        <v>26</v>
      </c>
      <c r="J1626">
        <v>1</v>
      </c>
      <c r="K1626">
        <v>4478000</v>
      </c>
      <c r="L1626" s="2" t="s">
        <v>2422</v>
      </c>
      <c r="M1626" t="s">
        <v>23</v>
      </c>
      <c r="N1626">
        <v>3772000</v>
      </c>
      <c r="O1626">
        <v>4.0999999999999996</v>
      </c>
      <c r="P1626" t="b">
        <v>1</v>
      </c>
    </row>
    <row r="1627" spans="1:16" x14ac:dyDescent="0.2">
      <c r="A1627" t="s">
        <v>2423</v>
      </c>
      <c r="B1627" s="1">
        <v>44744</v>
      </c>
      <c r="C1627" s="1">
        <v>44747</v>
      </c>
      <c r="D1627" t="s">
        <v>412</v>
      </c>
      <c r="E1627" t="s">
        <v>18</v>
      </c>
      <c r="F1627" t="s">
        <v>19</v>
      </c>
      <c r="G1627" t="s">
        <v>50</v>
      </c>
      <c r="H1627" t="s">
        <v>40</v>
      </c>
      <c r="I1627" t="s">
        <v>22</v>
      </c>
      <c r="J1627">
        <v>1</v>
      </c>
      <c r="K1627">
        <v>2424000</v>
      </c>
      <c r="L1627">
        <v>9.6650464766539199E-2</v>
      </c>
      <c r="M1627" t="s">
        <v>65</v>
      </c>
      <c r="N1627">
        <v>0</v>
      </c>
      <c r="P1627" t="b">
        <v>1</v>
      </c>
    </row>
    <row r="1628" spans="1:16" x14ac:dyDescent="0.2">
      <c r="A1628" t="s">
        <v>2424</v>
      </c>
      <c r="B1628" s="1">
        <v>44745</v>
      </c>
      <c r="C1628" s="1">
        <v>44809</v>
      </c>
      <c r="D1628" t="s">
        <v>1722</v>
      </c>
      <c r="E1628" t="s">
        <v>18</v>
      </c>
      <c r="F1628" t="s">
        <v>34</v>
      </c>
      <c r="G1628" t="s">
        <v>20</v>
      </c>
      <c r="H1628" t="s">
        <v>21</v>
      </c>
      <c r="I1628" t="s">
        <v>60</v>
      </c>
      <c r="J1628">
        <v>5</v>
      </c>
      <c r="K1628">
        <v>4439000</v>
      </c>
      <c r="L1628">
        <v>9.9903915672048801E-2</v>
      </c>
      <c r="M1628" t="s">
        <v>23</v>
      </c>
      <c r="N1628">
        <v>19978000</v>
      </c>
      <c r="O1628">
        <v>4</v>
      </c>
      <c r="P1628" t="b">
        <v>1</v>
      </c>
    </row>
    <row r="1629" spans="1:16" x14ac:dyDescent="0.2">
      <c r="A1629" t="s">
        <v>2425</v>
      </c>
      <c r="B1629" s="1">
        <v>44746</v>
      </c>
      <c r="C1629" s="1">
        <v>44776</v>
      </c>
      <c r="D1629" t="s">
        <v>2426</v>
      </c>
      <c r="E1629" t="s">
        <v>18</v>
      </c>
      <c r="F1629" t="s">
        <v>25</v>
      </c>
      <c r="G1629" t="s">
        <v>50</v>
      </c>
      <c r="H1629" t="s">
        <v>51</v>
      </c>
      <c r="I1629" t="s">
        <v>57</v>
      </c>
      <c r="J1629">
        <v>1</v>
      </c>
      <c r="K1629">
        <v>5026000</v>
      </c>
      <c r="L1629">
        <v>8.3210975721356398E-2</v>
      </c>
      <c r="M1629" t="s">
        <v>23</v>
      </c>
      <c r="N1629">
        <v>4608000</v>
      </c>
      <c r="O1629">
        <v>4.5999999999999996</v>
      </c>
      <c r="P1629" t="b">
        <v>0</v>
      </c>
    </row>
    <row r="1630" spans="1:16" x14ac:dyDescent="0.2">
      <c r="A1630" t="s">
        <v>2427</v>
      </c>
      <c r="B1630" s="1">
        <v>44746</v>
      </c>
      <c r="C1630" s="1">
        <v>44785</v>
      </c>
      <c r="D1630" t="s">
        <v>985</v>
      </c>
      <c r="E1630" t="s">
        <v>45</v>
      </c>
      <c r="F1630" t="s">
        <v>34</v>
      </c>
      <c r="G1630" t="s">
        <v>20</v>
      </c>
      <c r="H1630" t="s">
        <v>21</v>
      </c>
      <c r="I1630" t="s">
        <v>26</v>
      </c>
      <c r="J1630">
        <v>1</v>
      </c>
      <c r="K1630">
        <v>4313000</v>
      </c>
      <c r="L1630" s="2" t="s">
        <v>2428</v>
      </c>
      <c r="M1630" t="s">
        <v>23</v>
      </c>
      <c r="N1630">
        <v>3867000</v>
      </c>
      <c r="O1630">
        <v>4.5999999999999996</v>
      </c>
      <c r="P1630" t="b">
        <v>1</v>
      </c>
    </row>
    <row r="1631" spans="1:16" x14ac:dyDescent="0.2">
      <c r="A1631" t="s">
        <v>2429</v>
      </c>
      <c r="B1631" s="1">
        <v>44746</v>
      </c>
      <c r="C1631" s="1">
        <v>44749</v>
      </c>
      <c r="D1631" t="s">
        <v>2430</v>
      </c>
      <c r="E1631" t="s">
        <v>33</v>
      </c>
      <c r="F1631" t="s">
        <v>45</v>
      </c>
      <c r="G1631" t="s">
        <v>35</v>
      </c>
      <c r="H1631" t="s">
        <v>21</v>
      </c>
      <c r="I1631" t="s">
        <v>26</v>
      </c>
      <c r="J1631">
        <v>2</v>
      </c>
      <c r="K1631">
        <v>3539000</v>
      </c>
      <c r="L1631" s="2" t="s">
        <v>2431</v>
      </c>
      <c r="M1631" t="s">
        <v>23</v>
      </c>
      <c r="N1631">
        <v>6107000</v>
      </c>
      <c r="O1631">
        <v>5</v>
      </c>
      <c r="P1631" t="b">
        <v>0</v>
      </c>
    </row>
    <row r="1632" spans="1:16" x14ac:dyDescent="0.2">
      <c r="A1632" t="s">
        <v>2432</v>
      </c>
      <c r="B1632" s="1">
        <v>44746</v>
      </c>
      <c r="C1632" s="1">
        <v>44845</v>
      </c>
      <c r="D1632" t="s">
        <v>2259</v>
      </c>
      <c r="E1632" t="s">
        <v>45</v>
      </c>
      <c r="F1632" t="s">
        <v>68</v>
      </c>
      <c r="G1632" t="s">
        <v>20</v>
      </c>
      <c r="H1632" t="s">
        <v>21</v>
      </c>
      <c r="I1632" t="s">
        <v>26</v>
      </c>
      <c r="J1632">
        <v>1</v>
      </c>
      <c r="K1632">
        <v>2587000</v>
      </c>
      <c r="L1632">
        <v>4.3546395994017398E-2</v>
      </c>
      <c r="M1632" t="s">
        <v>23</v>
      </c>
      <c r="N1632">
        <v>2474000</v>
      </c>
      <c r="O1632">
        <v>4.4000000000000004</v>
      </c>
      <c r="P1632" t="b">
        <v>1</v>
      </c>
    </row>
    <row r="1633" spans="1:16" x14ac:dyDescent="0.2">
      <c r="A1633" t="s">
        <v>2433</v>
      </c>
      <c r="B1633" s="1">
        <v>44747</v>
      </c>
      <c r="C1633" s="1">
        <v>44765</v>
      </c>
      <c r="D1633" t="s">
        <v>2434</v>
      </c>
      <c r="E1633" t="s">
        <v>33</v>
      </c>
      <c r="F1633" t="s">
        <v>45</v>
      </c>
      <c r="G1633" t="s">
        <v>35</v>
      </c>
      <c r="H1633" t="s">
        <v>40</v>
      </c>
      <c r="I1633" t="s">
        <v>60</v>
      </c>
      <c r="J1633">
        <v>1</v>
      </c>
      <c r="K1633">
        <v>3871000</v>
      </c>
      <c r="L1633" s="2" t="s">
        <v>2435</v>
      </c>
      <c r="M1633" t="s">
        <v>23</v>
      </c>
      <c r="N1633">
        <v>3396000</v>
      </c>
      <c r="O1633">
        <v>3.8</v>
      </c>
      <c r="P1633" t="b">
        <v>0</v>
      </c>
    </row>
    <row r="1634" spans="1:16" x14ac:dyDescent="0.2">
      <c r="A1634" t="s">
        <v>2436</v>
      </c>
      <c r="B1634" s="1">
        <v>44747</v>
      </c>
      <c r="C1634" s="1">
        <v>44815</v>
      </c>
      <c r="D1634" t="s">
        <v>2177</v>
      </c>
      <c r="E1634" t="s">
        <v>18</v>
      </c>
      <c r="F1634" t="s">
        <v>45</v>
      </c>
      <c r="G1634" t="s">
        <v>20</v>
      </c>
      <c r="H1634" t="s">
        <v>40</v>
      </c>
      <c r="I1634" t="s">
        <v>22</v>
      </c>
      <c r="J1634">
        <v>1</v>
      </c>
      <c r="K1634">
        <v>2835000</v>
      </c>
      <c r="L1634" s="2" t="s">
        <v>2437</v>
      </c>
      <c r="M1634" t="s">
        <v>23</v>
      </c>
      <c r="N1634">
        <v>2791000</v>
      </c>
      <c r="O1634">
        <v>4.5999999999999996</v>
      </c>
      <c r="P1634" t="b">
        <v>1</v>
      </c>
    </row>
    <row r="1635" spans="1:16" x14ac:dyDescent="0.2">
      <c r="A1635" t="s">
        <v>2438</v>
      </c>
      <c r="B1635" s="1">
        <v>44748</v>
      </c>
      <c r="C1635" s="1">
        <v>44781</v>
      </c>
      <c r="D1635" t="s">
        <v>2439</v>
      </c>
      <c r="E1635" t="s">
        <v>29</v>
      </c>
      <c r="F1635" t="s">
        <v>34</v>
      </c>
      <c r="G1635" t="s">
        <v>50</v>
      </c>
      <c r="H1635" t="s">
        <v>21</v>
      </c>
      <c r="I1635" t="s">
        <v>30</v>
      </c>
      <c r="J1635">
        <v>2</v>
      </c>
      <c r="K1635">
        <v>4209000</v>
      </c>
      <c r="L1635">
        <v>6.5680124206880103E-2</v>
      </c>
      <c r="M1635" t="s">
        <v>65</v>
      </c>
      <c r="N1635">
        <v>0</v>
      </c>
      <c r="P1635" t="b">
        <v>0</v>
      </c>
    </row>
    <row r="1636" spans="1:16" x14ac:dyDescent="0.2">
      <c r="A1636" t="s">
        <v>2440</v>
      </c>
      <c r="B1636" s="1">
        <v>44748</v>
      </c>
      <c r="C1636" s="1">
        <v>44795</v>
      </c>
      <c r="D1636" t="s">
        <v>2441</v>
      </c>
      <c r="E1636" t="s">
        <v>45</v>
      </c>
      <c r="F1636" t="s">
        <v>34</v>
      </c>
      <c r="G1636" t="s">
        <v>20</v>
      </c>
      <c r="H1636" t="s">
        <v>51</v>
      </c>
      <c r="I1636" t="s">
        <v>77</v>
      </c>
      <c r="J1636">
        <v>2</v>
      </c>
      <c r="K1636">
        <v>4343000</v>
      </c>
      <c r="L1636" s="2" t="s">
        <v>2442</v>
      </c>
      <c r="M1636" t="s">
        <v>23</v>
      </c>
      <c r="N1636">
        <v>7779000</v>
      </c>
      <c r="O1636">
        <v>3.7</v>
      </c>
      <c r="P1636" t="b">
        <v>0</v>
      </c>
    </row>
    <row r="1637" spans="1:16" x14ac:dyDescent="0.2">
      <c r="A1637" t="s">
        <v>2443</v>
      </c>
      <c r="B1637" s="1">
        <v>44748</v>
      </c>
      <c r="C1637" s="1">
        <v>44803</v>
      </c>
      <c r="D1637" t="s">
        <v>2430</v>
      </c>
      <c r="E1637" t="s">
        <v>45</v>
      </c>
      <c r="F1637" t="s">
        <v>34</v>
      </c>
      <c r="G1637" t="s">
        <v>50</v>
      </c>
      <c r="H1637" t="s">
        <v>21</v>
      </c>
      <c r="I1637" t="s">
        <v>77</v>
      </c>
      <c r="J1637">
        <v>4</v>
      </c>
      <c r="K1637">
        <v>4119000</v>
      </c>
      <c r="L1637" s="2" t="s">
        <v>2444</v>
      </c>
      <c r="M1637" t="s">
        <v>23</v>
      </c>
      <c r="N1637">
        <v>14754000</v>
      </c>
      <c r="O1637">
        <v>3</v>
      </c>
      <c r="P1637" t="b">
        <v>1</v>
      </c>
    </row>
    <row r="1638" spans="1:16" x14ac:dyDescent="0.2">
      <c r="A1638" t="s">
        <v>2445</v>
      </c>
      <c r="B1638" s="1">
        <v>44749</v>
      </c>
      <c r="C1638" s="1">
        <v>44806</v>
      </c>
      <c r="D1638" t="s">
        <v>280</v>
      </c>
      <c r="E1638" t="s">
        <v>45</v>
      </c>
      <c r="F1638" t="s">
        <v>19</v>
      </c>
      <c r="G1638" t="s">
        <v>20</v>
      </c>
      <c r="H1638" t="s">
        <v>51</v>
      </c>
      <c r="I1638" t="s">
        <v>26</v>
      </c>
      <c r="J1638">
        <v>2</v>
      </c>
      <c r="K1638">
        <v>2409000</v>
      </c>
      <c r="L1638">
        <v>5.5282353224260797E-2</v>
      </c>
      <c r="M1638" t="s">
        <v>65</v>
      </c>
      <c r="N1638">
        <v>0</v>
      </c>
      <c r="P1638" t="b">
        <v>1</v>
      </c>
    </row>
    <row r="1639" spans="1:16" x14ac:dyDescent="0.2">
      <c r="A1639" t="s">
        <v>2446</v>
      </c>
      <c r="B1639" s="1">
        <v>44749</v>
      </c>
      <c r="C1639" s="1">
        <v>44782</v>
      </c>
      <c r="D1639" t="s">
        <v>1826</v>
      </c>
      <c r="F1639" t="s">
        <v>19</v>
      </c>
      <c r="G1639" t="s">
        <v>35</v>
      </c>
      <c r="H1639" t="s">
        <v>40</v>
      </c>
      <c r="I1639" t="s">
        <v>94</v>
      </c>
      <c r="J1639">
        <v>3</v>
      </c>
      <c r="K1639">
        <v>2755000</v>
      </c>
      <c r="L1639">
        <v>9.4422653468447096E-2</v>
      </c>
      <c r="M1639" t="s">
        <v>1656</v>
      </c>
      <c r="N1639">
        <v>0</v>
      </c>
      <c r="P1639" t="b">
        <v>1</v>
      </c>
    </row>
    <row r="1640" spans="1:16" x14ac:dyDescent="0.2">
      <c r="A1640" t="s">
        <v>2447</v>
      </c>
      <c r="B1640" s="1">
        <v>44750</v>
      </c>
      <c r="C1640" s="1">
        <v>44807</v>
      </c>
      <c r="D1640" t="s">
        <v>739</v>
      </c>
      <c r="E1640" t="s">
        <v>29</v>
      </c>
      <c r="F1640" t="s">
        <v>45</v>
      </c>
      <c r="G1640" t="s">
        <v>35</v>
      </c>
      <c r="H1640" t="s">
        <v>21</v>
      </c>
      <c r="I1640" t="s">
        <v>77</v>
      </c>
      <c r="J1640">
        <v>1</v>
      </c>
      <c r="K1640">
        <v>3735000</v>
      </c>
      <c r="L1640">
        <v>5.4848557030624301E-2</v>
      </c>
      <c r="M1640" t="s">
        <v>23</v>
      </c>
      <c r="N1640">
        <v>3530000</v>
      </c>
      <c r="O1640">
        <v>4.0999999999999996</v>
      </c>
      <c r="P1640" t="b">
        <v>1</v>
      </c>
    </row>
    <row r="1641" spans="1:16" x14ac:dyDescent="0.2">
      <c r="A1641" t="s">
        <v>2448</v>
      </c>
      <c r="B1641" s="1">
        <v>44751</v>
      </c>
      <c r="C1641" s="1">
        <v>44813</v>
      </c>
      <c r="D1641" t="s">
        <v>349</v>
      </c>
      <c r="E1641" t="s">
        <v>18</v>
      </c>
      <c r="F1641" t="s">
        <v>39</v>
      </c>
      <c r="G1641" t="s">
        <v>20</v>
      </c>
      <c r="H1641" t="s">
        <v>47</v>
      </c>
      <c r="I1641" t="s">
        <v>26</v>
      </c>
      <c r="J1641">
        <v>1</v>
      </c>
      <c r="K1641">
        <v>2208000</v>
      </c>
      <c r="L1641" s="2" t="s">
        <v>2449</v>
      </c>
      <c r="M1641" t="s">
        <v>23</v>
      </c>
      <c r="N1641">
        <v>1944000</v>
      </c>
      <c r="O1641">
        <v>3.8</v>
      </c>
      <c r="P1641" t="b">
        <v>1</v>
      </c>
    </row>
    <row r="1642" spans="1:16" x14ac:dyDescent="0.2">
      <c r="A1642" t="s">
        <v>2450</v>
      </c>
      <c r="B1642" s="1">
        <v>44751</v>
      </c>
      <c r="C1642" s="1">
        <v>44825</v>
      </c>
      <c r="D1642" t="s">
        <v>1885</v>
      </c>
      <c r="E1642" t="s">
        <v>18</v>
      </c>
      <c r="F1642" t="s">
        <v>19</v>
      </c>
      <c r="G1642" t="s">
        <v>20</v>
      </c>
      <c r="H1642" t="s">
        <v>51</v>
      </c>
      <c r="I1642" t="s">
        <v>57</v>
      </c>
      <c r="J1642">
        <v>2</v>
      </c>
      <c r="K1642">
        <v>3248000</v>
      </c>
      <c r="L1642">
        <v>8.92375593535112E-2</v>
      </c>
      <c r="M1642" t="s">
        <v>23</v>
      </c>
      <c r="N1642">
        <v>5916000</v>
      </c>
      <c r="O1642">
        <v>4.7</v>
      </c>
      <c r="P1642" t="b">
        <v>1</v>
      </c>
    </row>
    <row r="1643" spans="1:16" x14ac:dyDescent="0.2">
      <c r="A1643" t="s">
        <v>2451</v>
      </c>
      <c r="B1643" s="1">
        <v>44751</v>
      </c>
      <c r="C1643" s="1">
        <v>44826</v>
      </c>
      <c r="D1643" t="s">
        <v>1093</v>
      </c>
      <c r="E1643" t="s">
        <v>18</v>
      </c>
      <c r="F1643" t="s">
        <v>19</v>
      </c>
      <c r="G1643" t="s">
        <v>35</v>
      </c>
      <c r="H1643" t="s">
        <v>21</v>
      </c>
      <c r="I1643" t="s">
        <v>52</v>
      </c>
      <c r="J1643">
        <v>2</v>
      </c>
      <c r="K1643">
        <v>2576000</v>
      </c>
      <c r="L1643">
        <v>7.53408430316444E-2</v>
      </c>
      <c r="M1643" t="s">
        <v>23</v>
      </c>
      <c r="N1643">
        <v>4764000</v>
      </c>
      <c r="O1643">
        <v>3.5</v>
      </c>
      <c r="P1643" t="b">
        <v>1</v>
      </c>
    </row>
    <row r="1644" spans="1:16" x14ac:dyDescent="0.2">
      <c r="A1644" t="s">
        <v>2452</v>
      </c>
      <c r="B1644" s="1">
        <v>44811</v>
      </c>
      <c r="C1644" s="1">
        <v>44820</v>
      </c>
      <c r="D1644" t="s">
        <v>659</v>
      </c>
      <c r="E1644" t="s">
        <v>45</v>
      </c>
      <c r="F1644" t="s">
        <v>68</v>
      </c>
      <c r="G1644" t="s">
        <v>20</v>
      </c>
      <c r="H1644" t="s">
        <v>21</v>
      </c>
      <c r="I1644" t="s">
        <v>30</v>
      </c>
      <c r="J1644">
        <v>2</v>
      </c>
      <c r="K1644">
        <v>2531000</v>
      </c>
      <c r="L1644" s="2" t="s">
        <v>2453</v>
      </c>
      <c r="M1644" t="s">
        <v>23</v>
      </c>
      <c r="N1644">
        <v>4509000</v>
      </c>
      <c r="O1644">
        <v>3.7</v>
      </c>
      <c r="P1644" t="b">
        <v>1</v>
      </c>
    </row>
    <row r="1645" spans="1:16" x14ac:dyDescent="0.2">
      <c r="A1645" t="s">
        <v>2454</v>
      </c>
      <c r="B1645" s="1">
        <v>44751</v>
      </c>
      <c r="C1645" s="1">
        <v>44776</v>
      </c>
      <c r="D1645" t="s">
        <v>1912</v>
      </c>
      <c r="E1645" t="s">
        <v>45</v>
      </c>
      <c r="F1645" t="s">
        <v>68</v>
      </c>
      <c r="G1645" t="s">
        <v>20</v>
      </c>
      <c r="H1645" t="s">
        <v>21</v>
      </c>
      <c r="I1645" t="s">
        <v>94</v>
      </c>
      <c r="J1645">
        <v>1</v>
      </c>
      <c r="K1645">
        <v>2377000</v>
      </c>
      <c r="L1645">
        <v>8.8144484337912499E-2</v>
      </c>
      <c r="M1645" t="s">
        <v>23</v>
      </c>
      <c r="N1645">
        <v>2167000</v>
      </c>
      <c r="O1645">
        <v>4.2</v>
      </c>
      <c r="P1645" t="b">
        <v>1</v>
      </c>
    </row>
    <row r="1646" spans="1:16" x14ac:dyDescent="0.2">
      <c r="A1646" t="s">
        <v>2455</v>
      </c>
      <c r="B1646" s="1">
        <v>44752</v>
      </c>
      <c r="C1646" s="1">
        <v>44796</v>
      </c>
      <c r="D1646" t="s">
        <v>2207</v>
      </c>
      <c r="E1646" t="s">
        <v>29</v>
      </c>
      <c r="F1646" t="s">
        <v>45</v>
      </c>
      <c r="G1646" t="s">
        <v>35</v>
      </c>
      <c r="H1646" t="s">
        <v>47</v>
      </c>
      <c r="I1646" t="s">
        <v>30</v>
      </c>
      <c r="J1646">
        <v>1</v>
      </c>
      <c r="K1646">
        <v>3423000</v>
      </c>
      <c r="L1646" s="2" t="s">
        <v>2456</v>
      </c>
      <c r="M1646" t="s">
        <v>23</v>
      </c>
      <c r="N1646">
        <v>2675000</v>
      </c>
      <c r="O1646">
        <v>4.4000000000000004</v>
      </c>
      <c r="P1646" t="b">
        <v>1</v>
      </c>
    </row>
    <row r="1647" spans="1:16" x14ac:dyDescent="0.2">
      <c r="A1647" t="s">
        <v>2457</v>
      </c>
      <c r="B1647" s="1">
        <v>44752</v>
      </c>
      <c r="C1647" s="1">
        <v>44794</v>
      </c>
      <c r="D1647" t="s">
        <v>2458</v>
      </c>
      <c r="E1647" t="s">
        <v>33</v>
      </c>
      <c r="F1647" t="s">
        <v>34</v>
      </c>
      <c r="G1647" t="s">
        <v>50</v>
      </c>
      <c r="H1647" t="s">
        <v>47</v>
      </c>
      <c r="I1647" t="s">
        <v>30</v>
      </c>
      <c r="J1647">
        <v>2</v>
      </c>
      <c r="K1647">
        <v>4120000</v>
      </c>
      <c r="L1647" s="2" t="s">
        <v>2459</v>
      </c>
      <c r="M1647" t="s">
        <v>23</v>
      </c>
      <c r="N1647">
        <v>7757000</v>
      </c>
      <c r="O1647">
        <v>4.9000000000000004</v>
      </c>
      <c r="P1647" t="b">
        <v>0</v>
      </c>
    </row>
    <row r="1648" spans="1:16" x14ac:dyDescent="0.2">
      <c r="A1648" t="s">
        <v>2460</v>
      </c>
      <c r="B1648" s="1">
        <v>44752</v>
      </c>
      <c r="C1648" s="1">
        <v>44815</v>
      </c>
      <c r="D1648" t="s">
        <v>2407</v>
      </c>
      <c r="E1648" t="s">
        <v>45</v>
      </c>
      <c r="F1648" t="s">
        <v>34</v>
      </c>
      <c r="G1648" t="s">
        <v>20</v>
      </c>
      <c r="H1648" t="s">
        <v>21</v>
      </c>
      <c r="I1648" t="s">
        <v>52</v>
      </c>
      <c r="J1648">
        <v>2</v>
      </c>
      <c r="K1648">
        <v>3450000</v>
      </c>
      <c r="L1648">
        <v>7.0988831165386193E-2</v>
      </c>
      <c r="M1648" t="s">
        <v>23</v>
      </c>
      <c r="N1648">
        <v>6410000</v>
      </c>
      <c r="O1648">
        <v>4.5</v>
      </c>
      <c r="P1648" t="b">
        <v>1</v>
      </c>
    </row>
    <row r="1649" spans="1:16" x14ac:dyDescent="0.2">
      <c r="A1649" t="s">
        <v>2461</v>
      </c>
      <c r="B1649" s="1">
        <v>44752</v>
      </c>
      <c r="C1649" s="1">
        <v>44858</v>
      </c>
      <c r="D1649" t="s">
        <v>2462</v>
      </c>
      <c r="E1649" t="s">
        <v>29</v>
      </c>
      <c r="F1649" t="s">
        <v>25</v>
      </c>
      <c r="I1649" t="s">
        <v>60</v>
      </c>
      <c r="J1649">
        <v>1</v>
      </c>
      <c r="K1649">
        <v>5425000</v>
      </c>
      <c r="L1649" s="2" t="s">
        <v>2463</v>
      </c>
      <c r="M1649" t="s">
        <v>23</v>
      </c>
      <c r="N1649">
        <v>4616000</v>
      </c>
      <c r="O1649">
        <v>4.3</v>
      </c>
      <c r="P1649" t="b">
        <v>0</v>
      </c>
    </row>
    <row r="1650" spans="1:16" x14ac:dyDescent="0.2">
      <c r="A1650" t="s">
        <v>2464</v>
      </c>
      <c r="B1650" s="1">
        <v>44752</v>
      </c>
      <c r="C1650" s="1">
        <v>44868</v>
      </c>
      <c r="D1650" t="s">
        <v>2277</v>
      </c>
      <c r="E1650" t="s">
        <v>33</v>
      </c>
      <c r="F1650" t="s">
        <v>45</v>
      </c>
      <c r="G1650" t="s">
        <v>50</v>
      </c>
      <c r="H1650" t="s">
        <v>21</v>
      </c>
      <c r="I1650" t="s">
        <v>60</v>
      </c>
      <c r="J1650">
        <v>4</v>
      </c>
      <c r="K1650">
        <v>3125000</v>
      </c>
      <c r="L1650">
        <v>9.5612907349388307E-2</v>
      </c>
      <c r="M1650" t="s">
        <v>23</v>
      </c>
      <c r="N1650">
        <v>11305000</v>
      </c>
      <c r="O1650">
        <v>4.4000000000000004</v>
      </c>
      <c r="P1650" t="b">
        <v>1</v>
      </c>
    </row>
    <row r="1651" spans="1:16" x14ac:dyDescent="0.2">
      <c r="A1651" t="s">
        <v>2465</v>
      </c>
      <c r="B1651" s="1">
        <v>44754</v>
      </c>
      <c r="C1651" s="1">
        <v>44795</v>
      </c>
      <c r="D1651" t="s">
        <v>358</v>
      </c>
      <c r="E1651" t="s">
        <v>45</v>
      </c>
      <c r="F1651" t="s">
        <v>34</v>
      </c>
      <c r="G1651" t="s">
        <v>20</v>
      </c>
      <c r="H1651" t="s">
        <v>21</v>
      </c>
      <c r="I1651" t="s">
        <v>99</v>
      </c>
      <c r="J1651">
        <v>1</v>
      </c>
      <c r="K1651">
        <v>4162000</v>
      </c>
      <c r="L1651" s="2" t="s">
        <v>2466</v>
      </c>
      <c r="M1651" t="s">
        <v>23</v>
      </c>
      <c r="N1651">
        <v>3568000</v>
      </c>
      <c r="O1651">
        <v>4</v>
      </c>
      <c r="P1651" t="b">
        <v>1</v>
      </c>
    </row>
    <row r="1652" spans="1:16" x14ac:dyDescent="0.2">
      <c r="A1652" t="s">
        <v>2467</v>
      </c>
      <c r="B1652" s="1">
        <v>44754</v>
      </c>
      <c r="C1652" s="1">
        <v>44795</v>
      </c>
      <c r="D1652" t="s">
        <v>741</v>
      </c>
      <c r="E1652" t="s">
        <v>18</v>
      </c>
      <c r="F1652" t="s">
        <v>34</v>
      </c>
      <c r="G1652" t="s">
        <v>20</v>
      </c>
      <c r="H1652" t="s">
        <v>21</v>
      </c>
      <c r="I1652" t="s">
        <v>57</v>
      </c>
      <c r="J1652">
        <v>4</v>
      </c>
      <c r="K1652">
        <v>4362000</v>
      </c>
      <c r="L1652">
        <v>8.7433272123601899E-2</v>
      </c>
      <c r="M1652" t="s">
        <v>23</v>
      </c>
      <c r="N1652">
        <v>15922000</v>
      </c>
      <c r="O1652">
        <v>4</v>
      </c>
      <c r="P1652" t="b">
        <v>1</v>
      </c>
    </row>
    <row r="1653" spans="1:16" x14ac:dyDescent="0.2">
      <c r="A1653" t="s">
        <v>2468</v>
      </c>
      <c r="B1653" s="1">
        <v>44902</v>
      </c>
      <c r="C1653" s="1">
        <v>44826</v>
      </c>
      <c r="D1653" t="s">
        <v>2469</v>
      </c>
      <c r="E1653" t="s">
        <v>18</v>
      </c>
      <c r="F1653" t="s">
        <v>19</v>
      </c>
      <c r="G1653" t="s">
        <v>46</v>
      </c>
      <c r="H1653" t="s">
        <v>21</v>
      </c>
      <c r="I1653" t="s">
        <v>26</v>
      </c>
      <c r="J1653">
        <v>1</v>
      </c>
      <c r="K1653">
        <v>2603000</v>
      </c>
      <c r="L1653" s="2" t="s">
        <v>2470</v>
      </c>
      <c r="M1653" t="s">
        <v>65</v>
      </c>
      <c r="N1653">
        <v>0</v>
      </c>
      <c r="P1653" t="b">
        <v>0</v>
      </c>
    </row>
    <row r="1654" spans="1:16" x14ac:dyDescent="0.2">
      <c r="A1654" t="s">
        <v>2471</v>
      </c>
      <c r="B1654" s="1">
        <v>44755</v>
      </c>
      <c r="C1654" s="1">
        <v>44821</v>
      </c>
      <c r="D1654" t="s">
        <v>62</v>
      </c>
      <c r="E1654" t="s">
        <v>18</v>
      </c>
      <c r="F1654" t="s">
        <v>19</v>
      </c>
      <c r="G1654" t="s">
        <v>35</v>
      </c>
      <c r="H1654" t="s">
        <v>21</v>
      </c>
      <c r="I1654" t="s">
        <v>60</v>
      </c>
      <c r="J1654">
        <v>1</v>
      </c>
      <c r="K1654">
        <v>2584000</v>
      </c>
      <c r="L1654" s="2" t="s">
        <v>2472</v>
      </c>
      <c r="M1654" t="s">
        <v>23</v>
      </c>
      <c r="N1654">
        <v>2271000</v>
      </c>
      <c r="O1654">
        <v>3.8</v>
      </c>
      <c r="P1654" t="b">
        <v>1</v>
      </c>
    </row>
    <row r="1655" spans="1:16" x14ac:dyDescent="0.2">
      <c r="A1655" t="s">
        <v>2473</v>
      </c>
      <c r="B1655" s="1">
        <v>44755</v>
      </c>
      <c r="C1655" s="1">
        <v>44804</v>
      </c>
      <c r="D1655" t="s">
        <v>2129</v>
      </c>
      <c r="E1655" t="s">
        <v>45</v>
      </c>
      <c r="F1655" t="s">
        <v>25</v>
      </c>
      <c r="G1655" t="s">
        <v>20</v>
      </c>
      <c r="H1655" t="s">
        <v>21</v>
      </c>
      <c r="I1655" t="s">
        <v>52</v>
      </c>
      <c r="J1655">
        <v>1</v>
      </c>
      <c r="K1655">
        <v>4952000</v>
      </c>
      <c r="L1655" s="2" t="s">
        <v>2474</v>
      </c>
      <c r="M1655" t="s">
        <v>23</v>
      </c>
      <c r="N1655">
        <v>4664000</v>
      </c>
      <c r="O1655">
        <v>5</v>
      </c>
      <c r="P1655" t="b">
        <v>1</v>
      </c>
    </row>
    <row r="1656" spans="1:16" x14ac:dyDescent="0.2">
      <c r="A1656" t="s">
        <v>2475</v>
      </c>
      <c r="B1656" s="1">
        <v>44757</v>
      </c>
      <c r="C1656" s="1">
        <v>44788</v>
      </c>
      <c r="D1656" t="s">
        <v>153</v>
      </c>
      <c r="E1656" t="s">
        <v>29</v>
      </c>
      <c r="F1656" t="s">
        <v>34</v>
      </c>
      <c r="G1656" t="s">
        <v>20</v>
      </c>
      <c r="H1656" t="s">
        <v>21</v>
      </c>
      <c r="I1656" t="s">
        <v>94</v>
      </c>
      <c r="J1656">
        <v>2</v>
      </c>
      <c r="K1656">
        <v>4951000</v>
      </c>
      <c r="L1656">
        <v>7.07941302306761E-2</v>
      </c>
      <c r="M1656" t="s">
        <v>23</v>
      </c>
      <c r="N1656">
        <v>9201000</v>
      </c>
      <c r="O1656">
        <v>3.8</v>
      </c>
      <c r="P1656" t="b">
        <v>1</v>
      </c>
    </row>
    <row r="1657" spans="1:16" x14ac:dyDescent="0.2">
      <c r="A1657" t="s">
        <v>2476</v>
      </c>
      <c r="B1657" s="1">
        <v>44757</v>
      </c>
      <c r="C1657" s="1">
        <v>44805</v>
      </c>
      <c r="D1657" t="s">
        <v>2477</v>
      </c>
      <c r="E1657" t="s">
        <v>45</v>
      </c>
      <c r="F1657" t="s">
        <v>34</v>
      </c>
      <c r="G1657" t="s">
        <v>35</v>
      </c>
      <c r="H1657" t="s">
        <v>51</v>
      </c>
      <c r="I1657" t="s">
        <v>94</v>
      </c>
      <c r="J1657">
        <v>3</v>
      </c>
      <c r="K1657">
        <v>4058000</v>
      </c>
      <c r="L1657" s="2" t="s">
        <v>2478</v>
      </c>
      <c r="M1657" t="s">
        <v>23</v>
      </c>
      <c r="N1657">
        <v>10770000</v>
      </c>
      <c r="O1657">
        <v>4.5</v>
      </c>
      <c r="P1657" t="b">
        <v>0</v>
      </c>
    </row>
    <row r="1658" spans="1:16" x14ac:dyDescent="0.2">
      <c r="A1658" t="s">
        <v>2479</v>
      </c>
      <c r="B1658" s="1">
        <v>44757</v>
      </c>
      <c r="C1658" s="1">
        <v>44826</v>
      </c>
      <c r="D1658" t="s">
        <v>1997</v>
      </c>
      <c r="E1658" t="s">
        <v>33</v>
      </c>
      <c r="F1658" t="s">
        <v>34</v>
      </c>
      <c r="G1658" t="s">
        <v>50</v>
      </c>
      <c r="H1658" t="s">
        <v>21</v>
      </c>
      <c r="I1658" t="s">
        <v>94</v>
      </c>
      <c r="J1658">
        <v>1</v>
      </c>
      <c r="K1658">
        <v>4228000</v>
      </c>
      <c r="L1658">
        <v>6.28285480576046E-2</v>
      </c>
      <c r="M1658" t="s">
        <v>23</v>
      </c>
      <c r="N1658">
        <v>3962000</v>
      </c>
      <c r="O1658">
        <v>3.9</v>
      </c>
      <c r="P1658" t="b">
        <v>1</v>
      </c>
    </row>
    <row r="1659" spans="1:16" x14ac:dyDescent="0.2">
      <c r="A1659" t="s">
        <v>2480</v>
      </c>
      <c r="B1659" s="1">
        <v>44758</v>
      </c>
      <c r="C1659" s="1">
        <v>44828</v>
      </c>
      <c r="D1659" t="s">
        <v>397</v>
      </c>
      <c r="E1659" t="s">
        <v>45</v>
      </c>
      <c r="F1659" t="s">
        <v>34</v>
      </c>
      <c r="G1659" t="s">
        <v>35</v>
      </c>
      <c r="H1659" t="s">
        <v>21</v>
      </c>
      <c r="I1659" t="s">
        <v>60</v>
      </c>
      <c r="J1659">
        <v>1</v>
      </c>
      <c r="K1659">
        <v>4396000</v>
      </c>
      <c r="L1659">
        <v>4.4968491337144603E-2</v>
      </c>
      <c r="M1659" t="s">
        <v>23</v>
      </c>
      <c r="N1659">
        <v>4198000</v>
      </c>
      <c r="O1659">
        <v>3.9</v>
      </c>
      <c r="P1659" t="b">
        <v>1</v>
      </c>
    </row>
    <row r="1660" spans="1:16" x14ac:dyDescent="0.2">
      <c r="A1660" t="s">
        <v>2481</v>
      </c>
      <c r="B1660" s="1">
        <v>44759</v>
      </c>
      <c r="C1660" s="1">
        <v>44805</v>
      </c>
      <c r="D1660" t="s">
        <v>2482</v>
      </c>
      <c r="E1660" t="s">
        <v>33</v>
      </c>
      <c r="F1660" t="s">
        <v>39</v>
      </c>
      <c r="G1660" t="s">
        <v>50</v>
      </c>
      <c r="H1660" t="s">
        <v>40</v>
      </c>
      <c r="I1660" t="s">
        <v>22</v>
      </c>
      <c r="J1660">
        <v>2</v>
      </c>
      <c r="K1660">
        <v>2075000</v>
      </c>
      <c r="L1660" s="2" t="s">
        <v>2483</v>
      </c>
      <c r="M1660" t="s">
        <v>23</v>
      </c>
      <c r="N1660">
        <v>3705000</v>
      </c>
      <c r="O1660">
        <v>4.2</v>
      </c>
      <c r="P1660" t="b">
        <v>0</v>
      </c>
    </row>
    <row r="1661" spans="1:16" x14ac:dyDescent="0.2">
      <c r="A1661" t="s">
        <v>2484</v>
      </c>
      <c r="B1661" s="1">
        <v>44759</v>
      </c>
      <c r="C1661" s="1">
        <v>44769</v>
      </c>
      <c r="D1661" t="s">
        <v>762</v>
      </c>
      <c r="E1661" t="s">
        <v>18</v>
      </c>
      <c r="F1661" t="s">
        <v>25</v>
      </c>
      <c r="G1661" t="s">
        <v>20</v>
      </c>
      <c r="H1661" t="s">
        <v>21</v>
      </c>
      <c r="I1661" t="s">
        <v>77</v>
      </c>
      <c r="J1661">
        <v>1</v>
      </c>
      <c r="K1661">
        <v>5981000</v>
      </c>
      <c r="L1661">
        <v>9.0725245872666199E-2</v>
      </c>
      <c r="M1661" t="s">
        <v>23</v>
      </c>
      <c r="N1661">
        <v>5438000</v>
      </c>
      <c r="O1661">
        <v>3.7</v>
      </c>
      <c r="P1661" t="b">
        <v>1</v>
      </c>
    </row>
    <row r="1662" spans="1:16" x14ac:dyDescent="0.2">
      <c r="A1662" t="s">
        <v>2485</v>
      </c>
      <c r="B1662" s="1">
        <v>44760</v>
      </c>
      <c r="C1662" s="1">
        <v>44827</v>
      </c>
      <c r="D1662" t="s">
        <v>2486</v>
      </c>
      <c r="E1662" t="s">
        <v>45</v>
      </c>
      <c r="F1662" t="s">
        <v>34</v>
      </c>
      <c r="G1662" t="s">
        <v>20</v>
      </c>
      <c r="H1662" t="s">
        <v>40</v>
      </c>
      <c r="I1662" t="s">
        <v>52</v>
      </c>
      <c r="J1662">
        <v>2</v>
      </c>
      <c r="K1662">
        <v>3097000</v>
      </c>
      <c r="L1662">
        <v>7.6996872306653502E-2</v>
      </c>
      <c r="M1662" t="s">
        <v>23</v>
      </c>
      <c r="N1662">
        <v>5717000</v>
      </c>
      <c r="O1662">
        <v>4.5</v>
      </c>
      <c r="P1662" t="b">
        <v>0</v>
      </c>
    </row>
    <row r="1663" spans="1:16" x14ac:dyDescent="0.2">
      <c r="A1663" t="s">
        <v>2487</v>
      </c>
      <c r="B1663" s="1">
        <v>44760</v>
      </c>
      <c r="C1663" s="1">
        <v>44820</v>
      </c>
      <c r="D1663" t="s">
        <v>1681</v>
      </c>
      <c r="E1663" t="s">
        <v>18</v>
      </c>
      <c r="F1663" t="s">
        <v>39</v>
      </c>
      <c r="G1663" t="s">
        <v>35</v>
      </c>
      <c r="H1663" t="s">
        <v>40</v>
      </c>
      <c r="I1663" t="s">
        <v>57</v>
      </c>
      <c r="J1663">
        <v>2</v>
      </c>
      <c r="K1663">
        <v>2447000</v>
      </c>
      <c r="L1663">
        <v>9.7674451648339294E-2</v>
      </c>
      <c r="M1663" t="s">
        <v>23</v>
      </c>
      <c r="N1663">
        <v>4416000</v>
      </c>
      <c r="O1663">
        <v>3.4</v>
      </c>
      <c r="P1663" t="b">
        <v>1</v>
      </c>
    </row>
    <row r="1664" spans="1:16" x14ac:dyDescent="0.2">
      <c r="A1664" t="s">
        <v>2488</v>
      </c>
      <c r="B1664" s="1">
        <v>44760</v>
      </c>
      <c r="C1664" s="1">
        <v>44760</v>
      </c>
      <c r="D1664" t="s">
        <v>2489</v>
      </c>
      <c r="E1664" t="s">
        <v>29</v>
      </c>
      <c r="F1664" t="s">
        <v>34</v>
      </c>
      <c r="G1664" t="s">
        <v>20</v>
      </c>
      <c r="H1664" t="s">
        <v>21</v>
      </c>
      <c r="I1664" t="s">
        <v>60</v>
      </c>
      <c r="J1664">
        <v>2</v>
      </c>
      <c r="K1664">
        <v>4924000</v>
      </c>
      <c r="L1664" s="2" t="s">
        <v>2490</v>
      </c>
      <c r="M1664" t="s">
        <v>23</v>
      </c>
      <c r="N1664">
        <v>9273000</v>
      </c>
      <c r="O1664">
        <v>4.4000000000000004</v>
      </c>
      <c r="P1664" t="b">
        <v>0</v>
      </c>
    </row>
    <row r="1665" spans="1:16" x14ac:dyDescent="0.2">
      <c r="A1665" t="s">
        <v>2491</v>
      </c>
      <c r="B1665" s="1">
        <v>44760</v>
      </c>
      <c r="C1665" s="1">
        <v>44822</v>
      </c>
      <c r="D1665" t="s">
        <v>1394</v>
      </c>
      <c r="E1665" t="s">
        <v>18</v>
      </c>
      <c r="F1665" t="s">
        <v>34</v>
      </c>
      <c r="G1665" t="s">
        <v>20</v>
      </c>
      <c r="H1665" t="s">
        <v>40</v>
      </c>
      <c r="I1665" t="s">
        <v>52</v>
      </c>
      <c r="J1665">
        <v>1</v>
      </c>
      <c r="K1665">
        <v>3083000</v>
      </c>
      <c r="L1665" s="2" t="s">
        <v>2492</v>
      </c>
      <c r="M1665" t="s">
        <v>23</v>
      </c>
      <c r="N1665">
        <v>2724000</v>
      </c>
      <c r="O1665">
        <v>3.7</v>
      </c>
      <c r="P1665" t="b">
        <v>1</v>
      </c>
    </row>
    <row r="1666" spans="1:16" x14ac:dyDescent="0.2">
      <c r="A1666" t="s">
        <v>2493</v>
      </c>
      <c r="B1666" s="1">
        <v>44761</v>
      </c>
      <c r="C1666" s="1">
        <v>44851</v>
      </c>
      <c r="D1666" t="s">
        <v>541</v>
      </c>
      <c r="E1666" t="s">
        <v>33</v>
      </c>
      <c r="F1666" t="s">
        <v>45</v>
      </c>
      <c r="H1666" t="s">
        <v>21</v>
      </c>
      <c r="I1666" t="s">
        <v>52</v>
      </c>
      <c r="J1666">
        <v>4</v>
      </c>
      <c r="K1666">
        <v>3055000</v>
      </c>
      <c r="L1666">
        <v>7.1926191476351403E-2</v>
      </c>
      <c r="M1666" t="s">
        <v>23</v>
      </c>
      <c r="N1666">
        <v>11341000</v>
      </c>
      <c r="O1666">
        <v>4.4000000000000004</v>
      </c>
      <c r="P1666" t="b">
        <v>1</v>
      </c>
    </row>
    <row r="1667" spans="1:16" x14ac:dyDescent="0.2">
      <c r="A1667" t="s">
        <v>2494</v>
      </c>
      <c r="B1667" s="1">
        <v>44761</v>
      </c>
      <c r="C1667" s="1">
        <v>44855</v>
      </c>
      <c r="D1667" t="s">
        <v>588</v>
      </c>
      <c r="E1667" t="s">
        <v>45</v>
      </c>
      <c r="F1667" t="s">
        <v>34</v>
      </c>
      <c r="G1667" t="s">
        <v>35</v>
      </c>
      <c r="H1667" t="s">
        <v>21</v>
      </c>
      <c r="I1667" t="s">
        <v>30</v>
      </c>
      <c r="J1667">
        <v>4</v>
      </c>
      <c r="K1667">
        <v>3570000</v>
      </c>
      <c r="L1667">
        <v>7.3733424667300901E-2</v>
      </c>
      <c r="M1667" t="s">
        <v>23</v>
      </c>
      <c r="N1667">
        <v>13227000</v>
      </c>
      <c r="O1667">
        <v>4.3</v>
      </c>
      <c r="P1667" t="b">
        <v>1</v>
      </c>
    </row>
    <row r="1668" spans="1:16" x14ac:dyDescent="0.2">
      <c r="A1668" t="s">
        <v>2495</v>
      </c>
      <c r="B1668" s="1">
        <v>44762</v>
      </c>
      <c r="C1668" s="1">
        <v>44779</v>
      </c>
      <c r="D1668" t="s">
        <v>2496</v>
      </c>
      <c r="E1668" t="s">
        <v>45</v>
      </c>
      <c r="F1668" t="s">
        <v>34</v>
      </c>
      <c r="G1668" t="s">
        <v>35</v>
      </c>
      <c r="H1668" t="s">
        <v>21</v>
      </c>
      <c r="I1668" t="s">
        <v>30</v>
      </c>
      <c r="J1668">
        <v>3</v>
      </c>
      <c r="K1668">
        <v>3953000</v>
      </c>
      <c r="L1668" s="2" t="s">
        <v>2497</v>
      </c>
      <c r="M1668" t="s">
        <v>23</v>
      </c>
      <c r="N1668">
        <v>10085000</v>
      </c>
      <c r="O1668">
        <v>5</v>
      </c>
      <c r="P1668" t="b">
        <v>0</v>
      </c>
    </row>
    <row r="1669" spans="1:16" x14ac:dyDescent="0.2">
      <c r="A1669" t="s">
        <v>2498</v>
      </c>
      <c r="B1669" s="1">
        <v>44762</v>
      </c>
      <c r="C1669" s="1">
        <v>44823</v>
      </c>
      <c r="D1669" t="s">
        <v>332</v>
      </c>
      <c r="E1669" t="s">
        <v>29</v>
      </c>
      <c r="F1669" t="s">
        <v>45</v>
      </c>
      <c r="G1669" t="s">
        <v>50</v>
      </c>
      <c r="H1669" t="s">
        <v>47</v>
      </c>
      <c r="I1669" t="s">
        <v>22</v>
      </c>
      <c r="J1669">
        <v>4</v>
      </c>
      <c r="K1669">
        <v>2793000</v>
      </c>
      <c r="L1669" s="2" t="s">
        <v>2499</v>
      </c>
      <c r="M1669" t="s">
        <v>23</v>
      </c>
      <c r="N1669">
        <v>9693000</v>
      </c>
      <c r="O1669">
        <v>4.3</v>
      </c>
      <c r="P1669" t="b">
        <v>1</v>
      </c>
    </row>
    <row r="1670" spans="1:16" x14ac:dyDescent="0.2">
      <c r="A1670" t="s">
        <v>2500</v>
      </c>
      <c r="B1670" s="1">
        <v>44763</v>
      </c>
      <c r="C1670" s="1">
        <v>44819</v>
      </c>
      <c r="D1670" t="s">
        <v>2501</v>
      </c>
      <c r="F1670" t="s">
        <v>34</v>
      </c>
      <c r="G1670" t="s">
        <v>50</v>
      </c>
      <c r="H1670" t="s">
        <v>40</v>
      </c>
      <c r="I1670" t="s">
        <v>52</v>
      </c>
      <c r="J1670">
        <v>5</v>
      </c>
      <c r="K1670">
        <v>3124000</v>
      </c>
      <c r="L1670" s="2" t="s">
        <v>2502</v>
      </c>
      <c r="M1670" t="s">
        <v>23</v>
      </c>
      <c r="N1670">
        <v>13358000</v>
      </c>
      <c r="O1670">
        <v>4</v>
      </c>
      <c r="P1670" t="b">
        <v>0</v>
      </c>
    </row>
    <row r="1671" spans="1:16" x14ac:dyDescent="0.2">
      <c r="A1671" t="s">
        <v>2503</v>
      </c>
      <c r="B1671" s="1">
        <v>44763</v>
      </c>
      <c r="C1671" s="1">
        <v>44809</v>
      </c>
      <c r="D1671" t="s">
        <v>2504</v>
      </c>
      <c r="F1671" t="s">
        <v>19</v>
      </c>
      <c r="G1671" t="s">
        <v>35</v>
      </c>
      <c r="H1671" t="s">
        <v>21</v>
      </c>
      <c r="I1671" t="s">
        <v>83</v>
      </c>
      <c r="J1671">
        <v>2</v>
      </c>
      <c r="K1671">
        <v>2873000</v>
      </c>
      <c r="L1671" s="2" t="s">
        <v>2505</v>
      </c>
      <c r="M1671" t="s">
        <v>23</v>
      </c>
      <c r="N1671">
        <v>4759000</v>
      </c>
      <c r="O1671">
        <v>5</v>
      </c>
      <c r="P1671" t="b">
        <v>0</v>
      </c>
    </row>
    <row r="1672" spans="1:16" x14ac:dyDescent="0.2">
      <c r="A1672" t="s">
        <v>2506</v>
      </c>
      <c r="B1672" s="1">
        <v>44764</v>
      </c>
      <c r="C1672" s="1">
        <v>44813</v>
      </c>
      <c r="D1672" t="s">
        <v>2507</v>
      </c>
      <c r="E1672" t="s">
        <v>45</v>
      </c>
      <c r="F1672" t="s">
        <v>34</v>
      </c>
      <c r="G1672" t="s">
        <v>50</v>
      </c>
      <c r="H1672" t="s">
        <v>47</v>
      </c>
      <c r="I1672" t="s">
        <v>52</v>
      </c>
      <c r="J1672">
        <v>2</v>
      </c>
      <c r="K1672">
        <v>2845000</v>
      </c>
      <c r="L1672" s="2" t="s">
        <v>2508</v>
      </c>
      <c r="M1672" t="s">
        <v>23</v>
      </c>
      <c r="N1672">
        <v>5099000</v>
      </c>
      <c r="O1672">
        <v>4.3</v>
      </c>
      <c r="P1672" t="b">
        <v>0</v>
      </c>
    </row>
    <row r="1673" spans="1:16" x14ac:dyDescent="0.2">
      <c r="A1673" t="s">
        <v>2509</v>
      </c>
      <c r="B1673" s="1">
        <v>44765</v>
      </c>
      <c r="C1673" s="1">
        <v>44859</v>
      </c>
      <c r="D1673" t="s">
        <v>2510</v>
      </c>
      <c r="E1673" t="s">
        <v>33</v>
      </c>
      <c r="F1673" t="s">
        <v>25</v>
      </c>
      <c r="G1673" t="s">
        <v>35</v>
      </c>
      <c r="H1673" t="s">
        <v>21</v>
      </c>
      <c r="I1673" t="s">
        <v>26</v>
      </c>
      <c r="J1673">
        <v>3</v>
      </c>
      <c r="K1673">
        <v>4934000</v>
      </c>
      <c r="L1673" s="2" t="s">
        <v>2511</v>
      </c>
      <c r="M1673" t="s">
        <v>23</v>
      </c>
      <c r="N1673">
        <v>14132000</v>
      </c>
      <c r="O1673">
        <v>3.8</v>
      </c>
      <c r="P1673" t="b">
        <v>0</v>
      </c>
    </row>
    <row r="1674" spans="1:16" x14ac:dyDescent="0.2">
      <c r="A1674" t="s">
        <v>2512</v>
      </c>
      <c r="B1674" s="1">
        <v>44765</v>
      </c>
      <c r="C1674" s="1">
        <v>44818</v>
      </c>
      <c r="D1674" t="s">
        <v>831</v>
      </c>
      <c r="E1674" t="s">
        <v>45</v>
      </c>
      <c r="F1674" t="s">
        <v>45</v>
      </c>
      <c r="G1674" t="s">
        <v>50</v>
      </c>
      <c r="I1674" t="s">
        <v>57</v>
      </c>
      <c r="J1674">
        <v>4</v>
      </c>
      <c r="K1674">
        <v>3525000</v>
      </c>
      <c r="L1674" s="2" t="s">
        <v>2513</v>
      </c>
      <c r="M1674" t="s">
        <v>23</v>
      </c>
      <c r="N1674">
        <v>12287000</v>
      </c>
      <c r="O1674">
        <v>4.8</v>
      </c>
      <c r="P1674" t="b">
        <v>1</v>
      </c>
    </row>
    <row r="1675" spans="1:16" x14ac:dyDescent="0.2">
      <c r="A1675" t="s">
        <v>2514</v>
      </c>
      <c r="B1675" s="1">
        <v>44765</v>
      </c>
      <c r="C1675" s="1">
        <v>44852</v>
      </c>
      <c r="D1675" t="s">
        <v>2515</v>
      </c>
      <c r="E1675" t="s">
        <v>18</v>
      </c>
      <c r="F1675" t="s">
        <v>45</v>
      </c>
      <c r="G1675" t="s">
        <v>35</v>
      </c>
      <c r="H1675" t="s">
        <v>21</v>
      </c>
      <c r="I1675" t="s">
        <v>60</v>
      </c>
      <c r="J1675">
        <v>1</v>
      </c>
      <c r="K1675">
        <v>3267000</v>
      </c>
      <c r="L1675">
        <v>8.9301775545139697E-2</v>
      </c>
      <c r="M1675" t="s">
        <v>23</v>
      </c>
      <c r="N1675">
        <v>2975000</v>
      </c>
      <c r="O1675">
        <v>4.0999999999999996</v>
      </c>
      <c r="P1675" t="b">
        <v>0</v>
      </c>
    </row>
    <row r="1676" spans="1:16" x14ac:dyDescent="0.2">
      <c r="A1676" t="s">
        <v>2516</v>
      </c>
      <c r="B1676" s="1">
        <v>44766</v>
      </c>
      <c r="C1676" s="1">
        <v>44802</v>
      </c>
      <c r="D1676" t="s">
        <v>2517</v>
      </c>
      <c r="E1676" t="s">
        <v>45</v>
      </c>
      <c r="F1676" t="s">
        <v>25</v>
      </c>
      <c r="G1676" t="s">
        <v>50</v>
      </c>
      <c r="H1676" t="s">
        <v>21</v>
      </c>
      <c r="I1676" t="s">
        <v>1654</v>
      </c>
      <c r="J1676">
        <v>3</v>
      </c>
      <c r="K1676">
        <v>3602000</v>
      </c>
      <c r="L1676" s="2" t="s">
        <v>2518</v>
      </c>
      <c r="M1676" t="s">
        <v>23</v>
      </c>
      <c r="N1676">
        <v>9641000</v>
      </c>
      <c r="O1676">
        <v>4.4000000000000004</v>
      </c>
      <c r="P1676" t="b">
        <v>0</v>
      </c>
    </row>
    <row r="1677" spans="1:16" x14ac:dyDescent="0.2">
      <c r="A1677" t="s">
        <v>2519</v>
      </c>
      <c r="B1677" s="1">
        <v>44766</v>
      </c>
      <c r="C1677" s="1">
        <v>44809</v>
      </c>
      <c r="D1677" t="s">
        <v>519</v>
      </c>
      <c r="E1677" t="s">
        <v>33</v>
      </c>
      <c r="F1677" t="s">
        <v>34</v>
      </c>
      <c r="G1677" t="s">
        <v>20</v>
      </c>
      <c r="H1677" t="s">
        <v>47</v>
      </c>
      <c r="I1677" t="s">
        <v>99</v>
      </c>
      <c r="J1677">
        <v>1</v>
      </c>
      <c r="K1677">
        <v>4137000</v>
      </c>
      <c r="L1677">
        <v>8.3899344334990994E-2</v>
      </c>
      <c r="M1677" t="s">
        <v>23</v>
      </c>
      <c r="N1677">
        <v>3790000</v>
      </c>
      <c r="O1677">
        <v>4.4000000000000004</v>
      </c>
      <c r="P1677" t="b">
        <v>1</v>
      </c>
    </row>
    <row r="1678" spans="1:16" x14ac:dyDescent="0.2">
      <c r="A1678" t="s">
        <v>2520</v>
      </c>
      <c r="B1678" s="1">
        <v>44766</v>
      </c>
      <c r="C1678" s="1">
        <v>44842</v>
      </c>
      <c r="D1678" t="s">
        <v>2521</v>
      </c>
      <c r="E1678" t="s">
        <v>45</v>
      </c>
      <c r="F1678" t="s">
        <v>45</v>
      </c>
      <c r="G1678" t="s">
        <v>35</v>
      </c>
      <c r="H1678" t="s">
        <v>47</v>
      </c>
      <c r="I1678" t="s">
        <v>22</v>
      </c>
      <c r="J1678">
        <v>2</v>
      </c>
      <c r="K1678">
        <v>3137000</v>
      </c>
      <c r="L1678">
        <v>6.0189080764174799E-2</v>
      </c>
      <c r="M1678" t="s">
        <v>1882</v>
      </c>
      <c r="N1678">
        <v>5896000</v>
      </c>
      <c r="O1678">
        <v>4.7</v>
      </c>
      <c r="P1678" t="b">
        <v>0</v>
      </c>
    </row>
    <row r="1679" spans="1:16" x14ac:dyDescent="0.2">
      <c r="A1679" t="s">
        <v>2522</v>
      </c>
      <c r="B1679" s="1">
        <v>44767</v>
      </c>
      <c r="C1679" s="1">
        <v>44796</v>
      </c>
      <c r="D1679" t="s">
        <v>805</v>
      </c>
      <c r="E1679" t="s">
        <v>33</v>
      </c>
      <c r="F1679" t="s">
        <v>19</v>
      </c>
      <c r="G1679" t="s">
        <v>20</v>
      </c>
      <c r="H1679" t="s">
        <v>21</v>
      </c>
      <c r="I1679" t="s">
        <v>60</v>
      </c>
      <c r="J1679">
        <v>3</v>
      </c>
      <c r="K1679">
        <v>2802000</v>
      </c>
      <c r="L1679" s="2" t="s">
        <v>2523</v>
      </c>
      <c r="M1679" t="s">
        <v>23</v>
      </c>
      <c r="N1679">
        <v>7093000</v>
      </c>
      <c r="O1679">
        <v>3.9</v>
      </c>
      <c r="P1679" t="b">
        <v>1</v>
      </c>
    </row>
    <row r="1680" spans="1:16" x14ac:dyDescent="0.2">
      <c r="A1680" t="s">
        <v>2524</v>
      </c>
      <c r="B1680" s="1">
        <v>44768</v>
      </c>
      <c r="C1680" s="1">
        <v>44792</v>
      </c>
      <c r="D1680" t="s">
        <v>515</v>
      </c>
      <c r="E1680" t="s">
        <v>45</v>
      </c>
      <c r="F1680" t="s">
        <v>39</v>
      </c>
      <c r="H1680" t="s">
        <v>51</v>
      </c>
      <c r="I1680" t="s">
        <v>52</v>
      </c>
      <c r="J1680">
        <v>4</v>
      </c>
      <c r="K1680">
        <v>2346000</v>
      </c>
      <c r="L1680" s="2" t="s">
        <v>2525</v>
      </c>
      <c r="M1680" t="s">
        <v>23</v>
      </c>
      <c r="N1680">
        <v>8420000</v>
      </c>
      <c r="O1680">
        <v>4.3</v>
      </c>
      <c r="P1680" t="b">
        <v>1</v>
      </c>
    </row>
    <row r="1681" spans="1:16" x14ac:dyDescent="0.2">
      <c r="A1681" t="s">
        <v>2526</v>
      </c>
      <c r="B1681" s="1">
        <v>44768</v>
      </c>
      <c r="C1681" s="1">
        <v>44800</v>
      </c>
      <c r="D1681" t="s">
        <v>2527</v>
      </c>
      <c r="E1681" t="s">
        <v>45</v>
      </c>
      <c r="F1681" t="s">
        <v>34</v>
      </c>
      <c r="G1681" t="s">
        <v>20</v>
      </c>
      <c r="H1681" t="s">
        <v>51</v>
      </c>
      <c r="I1681" t="s">
        <v>77</v>
      </c>
      <c r="J1681">
        <v>2</v>
      </c>
      <c r="K1681">
        <v>4161000</v>
      </c>
      <c r="L1681" s="2" t="s">
        <v>2528</v>
      </c>
      <c r="M1681" t="s">
        <v>23</v>
      </c>
      <c r="N1681">
        <v>7364000</v>
      </c>
      <c r="O1681">
        <v>4.3</v>
      </c>
      <c r="P1681" t="b">
        <v>0</v>
      </c>
    </row>
    <row r="1682" spans="1:16" x14ac:dyDescent="0.2">
      <c r="A1682" t="s">
        <v>2529</v>
      </c>
      <c r="B1682" s="1">
        <v>44769</v>
      </c>
      <c r="C1682" s="1">
        <v>44856</v>
      </c>
      <c r="D1682" t="s">
        <v>116</v>
      </c>
      <c r="E1682" t="s">
        <v>45</v>
      </c>
      <c r="F1682" t="s">
        <v>19</v>
      </c>
      <c r="G1682" t="s">
        <v>20</v>
      </c>
      <c r="H1682" t="s">
        <v>47</v>
      </c>
      <c r="I1682" t="s">
        <v>77</v>
      </c>
      <c r="J1682">
        <v>2</v>
      </c>
      <c r="K1682">
        <v>2782000</v>
      </c>
      <c r="L1682">
        <v>6.1036651669570702E-2</v>
      </c>
      <c r="M1682" t="s">
        <v>23</v>
      </c>
      <c r="N1682">
        <v>5224000</v>
      </c>
      <c r="O1682">
        <v>4.9000000000000004</v>
      </c>
      <c r="P1682" t="b">
        <v>1</v>
      </c>
    </row>
    <row r="1683" spans="1:16" x14ac:dyDescent="0.2">
      <c r="A1683" t="s">
        <v>2530</v>
      </c>
      <c r="B1683" s="1">
        <v>44769</v>
      </c>
      <c r="C1683" s="1">
        <v>44808</v>
      </c>
      <c r="D1683" t="s">
        <v>2248</v>
      </c>
      <c r="E1683" t="s">
        <v>45</v>
      </c>
      <c r="F1683" t="s">
        <v>68</v>
      </c>
      <c r="G1683" t="s">
        <v>50</v>
      </c>
      <c r="I1683" t="s">
        <v>22</v>
      </c>
      <c r="J1683">
        <v>4</v>
      </c>
      <c r="K1683">
        <v>2428000</v>
      </c>
      <c r="L1683">
        <v>6.5416149021603906E-2</v>
      </c>
      <c r="M1683" t="s">
        <v>23</v>
      </c>
      <c r="N1683">
        <v>9077000</v>
      </c>
      <c r="O1683">
        <v>4.3</v>
      </c>
      <c r="P1683" t="b">
        <v>1</v>
      </c>
    </row>
    <row r="1684" spans="1:16" x14ac:dyDescent="0.2">
      <c r="A1684" t="s">
        <v>2531</v>
      </c>
      <c r="B1684" s="1">
        <v>44769</v>
      </c>
      <c r="C1684" s="1">
        <v>44813</v>
      </c>
      <c r="D1684" t="s">
        <v>745</v>
      </c>
      <c r="E1684" t="s">
        <v>29</v>
      </c>
      <c r="F1684" t="s">
        <v>39</v>
      </c>
      <c r="G1684" t="s">
        <v>46</v>
      </c>
      <c r="H1684" t="s">
        <v>40</v>
      </c>
      <c r="I1684" t="s">
        <v>99</v>
      </c>
      <c r="J1684">
        <v>5</v>
      </c>
      <c r="K1684">
        <v>1873000</v>
      </c>
      <c r="L1684" s="2" t="s">
        <v>2532</v>
      </c>
      <c r="M1684" t="s">
        <v>23</v>
      </c>
      <c r="N1684">
        <v>7963000</v>
      </c>
      <c r="O1684">
        <v>4.2</v>
      </c>
      <c r="P1684" t="b">
        <v>1</v>
      </c>
    </row>
    <row r="1685" spans="1:16" x14ac:dyDescent="0.2">
      <c r="A1685" t="s">
        <v>2533</v>
      </c>
      <c r="B1685" s="1">
        <v>44769</v>
      </c>
      <c r="C1685" s="1">
        <v>44814</v>
      </c>
      <c r="D1685" t="s">
        <v>2534</v>
      </c>
      <c r="E1685" t="s">
        <v>29</v>
      </c>
      <c r="F1685" t="s">
        <v>45</v>
      </c>
      <c r="G1685" t="s">
        <v>35</v>
      </c>
      <c r="H1685" t="s">
        <v>47</v>
      </c>
      <c r="I1685" t="s">
        <v>1654</v>
      </c>
      <c r="J1685">
        <v>4</v>
      </c>
      <c r="K1685">
        <v>3154000</v>
      </c>
      <c r="L1685" s="2" t="s">
        <v>2535</v>
      </c>
      <c r="M1685" t="s">
        <v>23</v>
      </c>
      <c r="N1685">
        <v>11145000</v>
      </c>
      <c r="O1685">
        <v>3.6</v>
      </c>
      <c r="P1685" t="b">
        <v>0</v>
      </c>
    </row>
    <row r="1686" spans="1:16" x14ac:dyDescent="0.2">
      <c r="A1686" t="s">
        <v>2536</v>
      </c>
      <c r="B1686" s="1">
        <v>44769</v>
      </c>
      <c r="C1686" s="1">
        <v>44814</v>
      </c>
      <c r="D1686" t="s">
        <v>2537</v>
      </c>
      <c r="E1686" t="s">
        <v>18</v>
      </c>
      <c r="F1686" t="s">
        <v>34</v>
      </c>
      <c r="G1686" t="s">
        <v>20</v>
      </c>
      <c r="H1686" t="s">
        <v>21</v>
      </c>
      <c r="I1686" t="s">
        <v>30</v>
      </c>
      <c r="J1686">
        <v>2</v>
      </c>
      <c r="K1686">
        <v>3872000</v>
      </c>
      <c r="L1686" s="2" t="s">
        <v>2538</v>
      </c>
      <c r="M1686" t="s">
        <v>23</v>
      </c>
      <c r="N1686">
        <v>6529000</v>
      </c>
      <c r="O1686">
        <v>4</v>
      </c>
      <c r="P1686" t="b">
        <v>0</v>
      </c>
    </row>
    <row r="1687" spans="1:16" x14ac:dyDescent="0.2">
      <c r="A1687" t="s">
        <v>2539</v>
      </c>
      <c r="B1687" s="1">
        <v>44770</v>
      </c>
      <c r="C1687" s="1">
        <v>44802</v>
      </c>
      <c r="D1687" t="s">
        <v>528</v>
      </c>
      <c r="E1687" t="s">
        <v>45</v>
      </c>
      <c r="F1687" t="s">
        <v>34</v>
      </c>
      <c r="G1687" t="s">
        <v>20</v>
      </c>
      <c r="H1687" t="s">
        <v>21</v>
      </c>
      <c r="I1687" t="s">
        <v>26</v>
      </c>
      <c r="J1687">
        <v>1</v>
      </c>
      <c r="K1687">
        <v>4035000</v>
      </c>
      <c r="L1687">
        <v>7.2289318681509299E-2</v>
      </c>
      <c r="M1687" t="s">
        <v>23</v>
      </c>
      <c r="N1687">
        <v>3743000</v>
      </c>
      <c r="O1687">
        <v>4.0999999999999996</v>
      </c>
      <c r="P1687" t="b">
        <v>1</v>
      </c>
    </row>
    <row r="1688" spans="1:16" x14ac:dyDescent="0.2">
      <c r="A1688" t="s">
        <v>2540</v>
      </c>
      <c r="B1688" s="1">
        <v>44770</v>
      </c>
      <c r="C1688" s="1">
        <v>44826</v>
      </c>
      <c r="D1688" t="s">
        <v>1653</v>
      </c>
      <c r="E1688" t="s">
        <v>29</v>
      </c>
      <c r="F1688" t="s">
        <v>25</v>
      </c>
      <c r="G1688" t="s">
        <v>35</v>
      </c>
      <c r="H1688" t="s">
        <v>21</v>
      </c>
      <c r="I1688" t="s">
        <v>52</v>
      </c>
      <c r="J1688">
        <v>2</v>
      </c>
      <c r="K1688">
        <v>4459000</v>
      </c>
      <c r="L1688">
        <v>5.20640279229393E-2</v>
      </c>
      <c r="M1688" t="s">
        <v>23</v>
      </c>
      <c r="N1688">
        <v>8454000</v>
      </c>
      <c r="O1688">
        <v>4.2</v>
      </c>
      <c r="P1688" t="b">
        <v>1</v>
      </c>
    </row>
    <row r="1689" spans="1:16" x14ac:dyDescent="0.2">
      <c r="A1689" t="s">
        <v>2541</v>
      </c>
      <c r="B1689" s="1">
        <v>44770</v>
      </c>
      <c r="C1689" s="1">
        <v>44865</v>
      </c>
      <c r="D1689" t="s">
        <v>2521</v>
      </c>
      <c r="E1689" t="s">
        <v>45</v>
      </c>
      <c r="F1689" t="s">
        <v>34</v>
      </c>
      <c r="G1689" t="s">
        <v>20</v>
      </c>
      <c r="H1689" t="s">
        <v>21</v>
      </c>
      <c r="I1689" t="s">
        <v>22</v>
      </c>
      <c r="J1689">
        <v>3</v>
      </c>
      <c r="K1689">
        <v>3370000</v>
      </c>
      <c r="L1689" s="2" t="s">
        <v>2542</v>
      </c>
      <c r="M1689" t="s">
        <v>23</v>
      </c>
      <c r="N1689">
        <v>9843000</v>
      </c>
      <c r="O1689">
        <v>4.4000000000000004</v>
      </c>
      <c r="P1689" t="b">
        <v>1</v>
      </c>
    </row>
    <row r="1690" spans="1:16" x14ac:dyDescent="0.2">
      <c r="A1690" t="s">
        <v>2543</v>
      </c>
      <c r="B1690" s="1">
        <v>44771</v>
      </c>
      <c r="C1690" s="1">
        <v>44835</v>
      </c>
      <c r="D1690" t="s">
        <v>2496</v>
      </c>
      <c r="E1690" t="s">
        <v>18</v>
      </c>
      <c r="F1690" t="s">
        <v>39</v>
      </c>
      <c r="G1690" t="s">
        <v>20</v>
      </c>
      <c r="H1690" t="s">
        <v>47</v>
      </c>
      <c r="I1690" t="s">
        <v>83</v>
      </c>
      <c r="J1690">
        <v>3</v>
      </c>
      <c r="K1690">
        <v>1457000</v>
      </c>
      <c r="L1690" s="2" t="s">
        <v>2544</v>
      </c>
      <c r="M1690" t="s">
        <v>1656</v>
      </c>
      <c r="N1690">
        <v>3874000</v>
      </c>
      <c r="O1690">
        <v>3.9</v>
      </c>
      <c r="P1690" t="b">
        <v>1</v>
      </c>
    </row>
    <row r="1691" spans="1:16" x14ac:dyDescent="0.2">
      <c r="A1691" t="s">
        <v>2545</v>
      </c>
      <c r="B1691" s="1">
        <v>44771</v>
      </c>
      <c r="C1691" s="1">
        <v>44812</v>
      </c>
      <c r="D1691" t="s">
        <v>2546</v>
      </c>
      <c r="F1691" t="s">
        <v>25</v>
      </c>
      <c r="G1691" t="s">
        <v>35</v>
      </c>
      <c r="H1691" t="s">
        <v>21</v>
      </c>
      <c r="I1691" t="s">
        <v>77</v>
      </c>
      <c r="J1691">
        <v>3</v>
      </c>
      <c r="K1691">
        <v>5342000</v>
      </c>
      <c r="L1691">
        <v>7.9360184045064605E-2</v>
      </c>
      <c r="M1691" t="s">
        <v>23</v>
      </c>
      <c r="N1691">
        <v>14754000</v>
      </c>
      <c r="O1691">
        <v>4.5</v>
      </c>
      <c r="P1691" t="b">
        <v>0</v>
      </c>
    </row>
    <row r="1692" spans="1:16" x14ac:dyDescent="0.2">
      <c r="A1692" t="s">
        <v>2547</v>
      </c>
      <c r="B1692" s="1">
        <v>44771</v>
      </c>
      <c r="C1692" s="1">
        <v>44823</v>
      </c>
      <c r="D1692" t="s">
        <v>2548</v>
      </c>
      <c r="E1692" t="s">
        <v>29</v>
      </c>
      <c r="F1692" t="s">
        <v>45</v>
      </c>
      <c r="G1692" t="s">
        <v>20</v>
      </c>
      <c r="H1692" t="s">
        <v>21</v>
      </c>
      <c r="I1692" t="s">
        <v>57</v>
      </c>
      <c r="J1692">
        <v>4</v>
      </c>
      <c r="K1692">
        <v>3750000</v>
      </c>
      <c r="L1692" s="3">
        <v>0.154</v>
      </c>
      <c r="M1692" t="s">
        <v>23</v>
      </c>
      <c r="N1692">
        <v>12685000</v>
      </c>
      <c r="O1692">
        <v>4</v>
      </c>
      <c r="P1692" t="b">
        <v>0</v>
      </c>
    </row>
    <row r="1693" spans="1:16" x14ac:dyDescent="0.2">
      <c r="A1693" t="s">
        <v>2549</v>
      </c>
      <c r="B1693" s="1">
        <v>44772</v>
      </c>
      <c r="C1693" s="1">
        <v>44845</v>
      </c>
      <c r="D1693" t="s">
        <v>2550</v>
      </c>
      <c r="E1693" t="s">
        <v>29</v>
      </c>
      <c r="F1693" t="s">
        <v>45</v>
      </c>
      <c r="G1693" t="s">
        <v>20</v>
      </c>
      <c r="H1693" t="s">
        <v>40</v>
      </c>
      <c r="I1693" t="s">
        <v>77</v>
      </c>
      <c r="J1693">
        <v>1</v>
      </c>
      <c r="K1693">
        <v>3518000</v>
      </c>
      <c r="L1693" s="2" t="s">
        <v>2551</v>
      </c>
      <c r="M1693" t="s">
        <v>23</v>
      </c>
      <c r="N1693">
        <v>3125000</v>
      </c>
      <c r="O1693">
        <v>4.4000000000000004</v>
      </c>
      <c r="P1693" t="b">
        <v>0</v>
      </c>
    </row>
    <row r="1694" spans="1:16" x14ac:dyDescent="0.2">
      <c r="A1694" t="s">
        <v>2552</v>
      </c>
      <c r="B1694" s="1">
        <v>44772</v>
      </c>
      <c r="C1694" s="1">
        <v>44833</v>
      </c>
      <c r="D1694" t="s">
        <v>2553</v>
      </c>
      <c r="E1694" t="s">
        <v>33</v>
      </c>
      <c r="F1694" t="s">
        <v>19</v>
      </c>
      <c r="G1694" t="s">
        <v>20</v>
      </c>
      <c r="H1694" t="s">
        <v>21</v>
      </c>
      <c r="I1694" t="s">
        <v>83</v>
      </c>
      <c r="J1694">
        <v>4</v>
      </c>
      <c r="K1694">
        <v>2683000</v>
      </c>
      <c r="L1694" s="2" t="s">
        <v>2554</v>
      </c>
      <c r="M1694" t="s">
        <v>23</v>
      </c>
      <c r="N1694">
        <v>9321000</v>
      </c>
      <c r="O1694">
        <v>4.8</v>
      </c>
      <c r="P1694" t="b">
        <v>0</v>
      </c>
    </row>
    <row r="1695" spans="1:16" x14ac:dyDescent="0.2">
      <c r="A1695" t="s">
        <v>2555</v>
      </c>
      <c r="B1695" s="1">
        <v>44772</v>
      </c>
      <c r="C1695" s="1">
        <v>44827</v>
      </c>
      <c r="D1695" t="s">
        <v>2141</v>
      </c>
      <c r="F1695" t="s">
        <v>34</v>
      </c>
      <c r="G1695" t="s">
        <v>35</v>
      </c>
      <c r="H1695" t="s">
        <v>21</v>
      </c>
      <c r="I1695" t="s">
        <v>22</v>
      </c>
      <c r="J1695">
        <v>1</v>
      </c>
      <c r="K1695">
        <v>3535000</v>
      </c>
      <c r="L1695">
        <v>9.0865926175130396E-2</v>
      </c>
      <c r="M1695" t="s">
        <v>23</v>
      </c>
      <c r="N1695">
        <v>3214000</v>
      </c>
      <c r="O1695">
        <v>4.5999999999999996</v>
      </c>
      <c r="P1695" t="b">
        <v>1</v>
      </c>
    </row>
    <row r="1696" spans="1:16" x14ac:dyDescent="0.2">
      <c r="A1696" t="s">
        <v>2556</v>
      </c>
      <c r="B1696" s="1">
        <v>44772</v>
      </c>
      <c r="C1696" s="1">
        <v>44779</v>
      </c>
      <c r="D1696" t="s">
        <v>2187</v>
      </c>
      <c r="E1696" t="s">
        <v>18</v>
      </c>
      <c r="F1696" t="s">
        <v>34</v>
      </c>
      <c r="G1696" t="s">
        <v>50</v>
      </c>
      <c r="H1696" t="s">
        <v>21</v>
      </c>
      <c r="I1696" t="s">
        <v>60</v>
      </c>
      <c r="J1696">
        <v>1</v>
      </c>
      <c r="K1696">
        <v>4507000</v>
      </c>
      <c r="L1696" s="3">
        <v>0.104</v>
      </c>
      <c r="M1696" t="s">
        <v>23</v>
      </c>
      <c r="N1696">
        <v>4038000</v>
      </c>
      <c r="O1696">
        <v>4.5999999999999996</v>
      </c>
      <c r="P1696" t="b">
        <v>1</v>
      </c>
    </row>
    <row r="1697" spans="1:16" x14ac:dyDescent="0.2">
      <c r="A1697" t="s">
        <v>2557</v>
      </c>
      <c r="B1697" s="1">
        <v>44773</v>
      </c>
      <c r="C1697" s="1">
        <v>44847</v>
      </c>
      <c r="D1697" t="s">
        <v>190</v>
      </c>
      <c r="E1697" t="s">
        <v>33</v>
      </c>
      <c r="F1697" t="s">
        <v>45</v>
      </c>
      <c r="G1697" t="s">
        <v>20</v>
      </c>
      <c r="H1697" t="s">
        <v>21</v>
      </c>
      <c r="I1697" t="s">
        <v>26</v>
      </c>
      <c r="J1697">
        <v>1</v>
      </c>
      <c r="K1697">
        <v>3390000</v>
      </c>
      <c r="L1697" s="2" t="s">
        <v>2558</v>
      </c>
      <c r="M1697" t="s">
        <v>23</v>
      </c>
      <c r="N1697">
        <v>2964000</v>
      </c>
      <c r="O1697">
        <v>4.2</v>
      </c>
      <c r="P1697" t="b">
        <v>1</v>
      </c>
    </row>
    <row r="1698" spans="1:16" x14ac:dyDescent="0.2">
      <c r="A1698" t="s">
        <v>2559</v>
      </c>
      <c r="B1698" s="1">
        <v>44774</v>
      </c>
      <c r="C1698" s="1">
        <v>44871</v>
      </c>
      <c r="D1698" t="s">
        <v>1927</v>
      </c>
      <c r="E1698" t="s">
        <v>33</v>
      </c>
      <c r="F1698" t="s">
        <v>34</v>
      </c>
      <c r="G1698" t="s">
        <v>50</v>
      </c>
      <c r="H1698" t="s">
        <v>21</v>
      </c>
      <c r="I1698" t="s">
        <v>94</v>
      </c>
      <c r="J1698">
        <v>2</v>
      </c>
      <c r="K1698">
        <v>4096000</v>
      </c>
      <c r="L1698" s="2" t="s">
        <v>2560</v>
      </c>
      <c r="M1698" t="s">
        <v>23</v>
      </c>
      <c r="N1698">
        <v>7306000</v>
      </c>
      <c r="O1698">
        <v>4.5</v>
      </c>
      <c r="P1698" t="b">
        <v>1</v>
      </c>
    </row>
    <row r="1699" spans="1:16" x14ac:dyDescent="0.2">
      <c r="A1699" t="s">
        <v>2561</v>
      </c>
      <c r="B1699" s="1">
        <v>44774</v>
      </c>
      <c r="C1699" s="1">
        <v>44815</v>
      </c>
      <c r="D1699" t="s">
        <v>431</v>
      </c>
      <c r="E1699" t="s">
        <v>45</v>
      </c>
      <c r="F1699" t="s">
        <v>19</v>
      </c>
      <c r="G1699" t="s">
        <v>20</v>
      </c>
      <c r="H1699" t="s">
        <v>21</v>
      </c>
      <c r="I1699" t="s">
        <v>30</v>
      </c>
      <c r="J1699">
        <v>2</v>
      </c>
      <c r="K1699">
        <v>2153000</v>
      </c>
      <c r="L1699" s="2" t="s">
        <v>2562</v>
      </c>
      <c r="M1699" t="s">
        <v>65</v>
      </c>
      <c r="N1699">
        <v>0</v>
      </c>
      <c r="P1699" t="b">
        <v>1</v>
      </c>
    </row>
    <row r="1700" spans="1:16" x14ac:dyDescent="0.2">
      <c r="A1700" t="s">
        <v>2563</v>
      </c>
      <c r="B1700" s="1">
        <v>44774</v>
      </c>
      <c r="C1700" s="1">
        <v>44848</v>
      </c>
      <c r="D1700" t="s">
        <v>747</v>
      </c>
      <c r="E1700" t="s">
        <v>18</v>
      </c>
      <c r="F1700" t="s">
        <v>68</v>
      </c>
      <c r="G1700" t="s">
        <v>35</v>
      </c>
      <c r="H1700" t="s">
        <v>21</v>
      </c>
      <c r="I1700" t="s">
        <v>99</v>
      </c>
      <c r="J1700">
        <v>4</v>
      </c>
      <c r="K1700">
        <v>2544000</v>
      </c>
      <c r="L1700">
        <v>5.7464319378895297E-2</v>
      </c>
      <c r="M1700" t="s">
        <v>23</v>
      </c>
      <c r="N1700">
        <v>9591000</v>
      </c>
      <c r="O1700">
        <v>4.2</v>
      </c>
      <c r="P1700" t="b">
        <v>1</v>
      </c>
    </row>
    <row r="1701" spans="1:16" x14ac:dyDescent="0.2">
      <c r="A1701" t="s">
        <v>2564</v>
      </c>
      <c r="B1701" s="1">
        <v>44774</v>
      </c>
      <c r="C1701" s="1">
        <v>44833</v>
      </c>
      <c r="D1701" t="s">
        <v>725</v>
      </c>
      <c r="E1701" t="s">
        <v>45</v>
      </c>
      <c r="F1701" t="s">
        <v>19</v>
      </c>
      <c r="G1701" t="s">
        <v>50</v>
      </c>
      <c r="H1701" t="s">
        <v>47</v>
      </c>
      <c r="I1701" t="s">
        <v>26</v>
      </c>
      <c r="J1701">
        <v>1</v>
      </c>
      <c r="K1701">
        <v>2519000</v>
      </c>
      <c r="L1701">
        <v>7.7718304571380806E-2</v>
      </c>
      <c r="M1701" t="s">
        <v>23</v>
      </c>
      <c r="N1701">
        <v>2323000</v>
      </c>
      <c r="O1701">
        <v>4.2</v>
      </c>
      <c r="P1701" t="b">
        <v>1</v>
      </c>
    </row>
    <row r="1702" spans="1:16" x14ac:dyDescent="0.2">
      <c r="A1702" t="s">
        <v>2565</v>
      </c>
      <c r="B1702" s="1">
        <v>44775</v>
      </c>
      <c r="C1702" s="1">
        <v>44835</v>
      </c>
      <c r="D1702" t="s">
        <v>2259</v>
      </c>
      <c r="E1702" t="s">
        <v>18</v>
      </c>
      <c r="F1702" t="s">
        <v>25</v>
      </c>
      <c r="G1702" t="s">
        <v>35</v>
      </c>
      <c r="H1702" t="s">
        <v>21</v>
      </c>
      <c r="I1702" t="s">
        <v>83</v>
      </c>
      <c r="J1702">
        <v>1</v>
      </c>
      <c r="K1702">
        <v>4468000</v>
      </c>
      <c r="L1702">
        <v>6.00649071858173E-2</v>
      </c>
      <c r="M1702" t="s">
        <v>23</v>
      </c>
      <c r="N1702">
        <v>4200000</v>
      </c>
      <c r="O1702">
        <v>4</v>
      </c>
      <c r="P1702" t="b">
        <v>1</v>
      </c>
    </row>
    <row r="1703" spans="1:16" x14ac:dyDescent="0.2">
      <c r="A1703" t="s">
        <v>2566</v>
      </c>
      <c r="B1703" s="1">
        <v>44600</v>
      </c>
      <c r="C1703" s="1">
        <v>44857</v>
      </c>
      <c r="D1703" t="s">
        <v>1732</v>
      </c>
      <c r="E1703" t="s">
        <v>33</v>
      </c>
      <c r="F1703" t="s">
        <v>34</v>
      </c>
      <c r="G1703" t="s">
        <v>35</v>
      </c>
      <c r="H1703" t="s">
        <v>21</v>
      </c>
      <c r="I1703" t="s">
        <v>94</v>
      </c>
      <c r="J1703">
        <v>4</v>
      </c>
      <c r="K1703">
        <v>3849000</v>
      </c>
      <c r="L1703" s="2" t="s">
        <v>2567</v>
      </c>
      <c r="M1703" t="s">
        <v>23</v>
      </c>
      <c r="N1703">
        <v>13476000</v>
      </c>
      <c r="O1703">
        <v>4.3</v>
      </c>
      <c r="P1703" t="b">
        <v>1</v>
      </c>
    </row>
    <row r="1704" spans="1:16" x14ac:dyDescent="0.2">
      <c r="A1704" t="s">
        <v>2568</v>
      </c>
      <c r="B1704" s="1">
        <v>44775</v>
      </c>
      <c r="C1704" s="1">
        <v>44808</v>
      </c>
      <c r="D1704" t="s">
        <v>2569</v>
      </c>
      <c r="F1704" t="s">
        <v>34</v>
      </c>
      <c r="G1704" t="s">
        <v>50</v>
      </c>
      <c r="H1704" t="s">
        <v>21</v>
      </c>
      <c r="I1704" t="s">
        <v>26</v>
      </c>
      <c r="J1704">
        <v>1</v>
      </c>
      <c r="K1704">
        <v>3626000</v>
      </c>
      <c r="L1704">
        <v>7.3369418636622594E-2</v>
      </c>
      <c r="M1704" t="s">
        <v>23</v>
      </c>
      <c r="N1704">
        <v>3360000</v>
      </c>
      <c r="O1704">
        <v>4.5999999999999996</v>
      </c>
      <c r="P1704" t="b">
        <v>0</v>
      </c>
    </row>
    <row r="1705" spans="1:16" x14ac:dyDescent="0.2">
      <c r="A1705" t="s">
        <v>2570</v>
      </c>
      <c r="B1705" s="1">
        <v>44776</v>
      </c>
      <c r="C1705" s="1">
        <v>44816</v>
      </c>
      <c r="D1705" t="s">
        <v>547</v>
      </c>
      <c r="E1705" t="s">
        <v>33</v>
      </c>
      <c r="F1705" t="s">
        <v>19</v>
      </c>
      <c r="G1705" t="s">
        <v>20</v>
      </c>
      <c r="H1705" t="s">
        <v>21</v>
      </c>
      <c r="I1705" t="s">
        <v>60</v>
      </c>
      <c r="J1705">
        <v>3</v>
      </c>
      <c r="K1705">
        <v>2754000</v>
      </c>
      <c r="L1705" s="3">
        <v>7.2999999999999995E-2</v>
      </c>
      <c r="M1705" t="s">
        <v>23</v>
      </c>
      <c r="N1705">
        <v>7662000</v>
      </c>
      <c r="O1705">
        <v>3.9</v>
      </c>
      <c r="P1705" t="b">
        <v>1</v>
      </c>
    </row>
    <row r="1706" spans="1:16" x14ac:dyDescent="0.2">
      <c r="A1706" t="s">
        <v>2571</v>
      </c>
      <c r="B1706" s="1">
        <v>44776</v>
      </c>
      <c r="C1706" s="1">
        <v>44828</v>
      </c>
      <c r="D1706" t="s">
        <v>245</v>
      </c>
      <c r="F1706" t="s">
        <v>25</v>
      </c>
      <c r="G1706" t="s">
        <v>50</v>
      </c>
      <c r="H1706" t="s">
        <v>40</v>
      </c>
      <c r="I1706" t="s">
        <v>26</v>
      </c>
      <c r="J1706">
        <v>2</v>
      </c>
      <c r="K1706">
        <v>5082000</v>
      </c>
      <c r="L1706">
        <v>9.5502538473220294E-2</v>
      </c>
      <c r="M1706" t="s">
        <v>23</v>
      </c>
      <c r="N1706">
        <v>9193000</v>
      </c>
      <c r="O1706">
        <v>4.2</v>
      </c>
      <c r="P1706" t="b">
        <v>1</v>
      </c>
    </row>
    <row r="1707" spans="1:16" x14ac:dyDescent="0.2">
      <c r="A1707" t="s">
        <v>2572</v>
      </c>
      <c r="B1707" s="1">
        <v>44776</v>
      </c>
      <c r="C1707" s="1">
        <v>44816</v>
      </c>
      <c r="D1707" t="s">
        <v>959</v>
      </c>
      <c r="E1707" t="s">
        <v>33</v>
      </c>
      <c r="F1707" t="s">
        <v>34</v>
      </c>
      <c r="G1707" t="s">
        <v>35</v>
      </c>
      <c r="H1707" t="s">
        <v>21</v>
      </c>
      <c r="I1707" t="s">
        <v>22</v>
      </c>
      <c r="J1707">
        <v>4</v>
      </c>
      <c r="K1707">
        <v>3436000</v>
      </c>
      <c r="L1707">
        <v>6.7061116104372903E-2</v>
      </c>
      <c r="M1707" t="s">
        <v>23</v>
      </c>
      <c r="N1707">
        <v>12822000</v>
      </c>
      <c r="O1707">
        <v>4.8</v>
      </c>
      <c r="P1707" t="b">
        <v>1</v>
      </c>
    </row>
    <row r="1708" spans="1:16" x14ac:dyDescent="0.2">
      <c r="A1708" t="s">
        <v>2573</v>
      </c>
      <c r="B1708" s="1">
        <v>44777</v>
      </c>
      <c r="C1708" s="1">
        <v>44848</v>
      </c>
      <c r="D1708" t="s">
        <v>969</v>
      </c>
      <c r="E1708" t="s">
        <v>45</v>
      </c>
      <c r="F1708" t="s">
        <v>19</v>
      </c>
      <c r="G1708" t="s">
        <v>50</v>
      </c>
      <c r="H1708" t="s">
        <v>21</v>
      </c>
      <c r="I1708" t="s">
        <v>57</v>
      </c>
      <c r="J1708">
        <v>2</v>
      </c>
      <c r="K1708">
        <v>3208000</v>
      </c>
      <c r="L1708" s="2" t="s">
        <v>2574</v>
      </c>
      <c r="M1708" t="s">
        <v>23</v>
      </c>
      <c r="N1708">
        <v>5746000</v>
      </c>
      <c r="O1708">
        <v>4.5999999999999996</v>
      </c>
      <c r="P1708" t="b">
        <v>1</v>
      </c>
    </row>
    <row r="1709" spans="1:16" x14ac:dyDescent="0.2">
      <c r="A1709" t="s">
        <v>2575</v>
      </c>
      <c r="B1709" s="1">
        <v>44778</v>
      </c>
      <c r="C1709" s="1">
        <v>44847</v>
      </c>
      <c r="D1709" t="s">
        <v>2576</v>
      </c>
      <c r="E1709" t="s">
        <v>18</v>
      </c>
      <c r="F1709" t="s">
        <v>25</v>
      </c>
      <c r="G1709" t="s">
        <v>20</v>
      </c>
      <c r="H1709" t="s">
        <v>47</v>
      </c>
      <c r="I1709" t="s">
        <v>60</v>
      </c>
      <c r="J1709">
        <v>1</v>
      </c>
      <c r="K1709">
        <v>5168000</v>
      </c>
      <c r="L1709" s="2" t="s">
        <v>2577</v>
      </c>
      <c r="M1709" t="s">
        <v>65</v>
      </c>
      <c r="N1709">
        <v>0</v>
      </c>
      <c r="P1709" t="b">
        <v>0</v>
      </c>
    </row>
    <row r="1710" spans="1:16" x14ac:dyDescent="0.2">
      <c r="A1710" t="s">
        <v>2578</v>
      </c>
      <c r="B1710" s="1">
        <v>44778</v>
      </c>
      <c r="C1710" s="1">
        <v>44852</v>
      </c>
      <c r="D1710" t="s">
        <v>2579</v>
      </c>
      <c r="E1710" t="s">
        <v>45</v>
      </c>
      <c r="F1710" t="s">
        <v>34</v>
      </c>
      <c r="G1710" t="s">
        <v>35</v>
      </c>
      <c r="H1710" t="s">
        <v>21</v>
      </c>
      <c r="I1710" t="s">
        <v>77</v>
      </c>
      <c r="J1710">
        <v>2</v>
      </c>
      <c r="K1710">
        <v>4050000</v>
      </c>
      <c r="L1710" s="2" t="s">
        <v>2580</v>
      </c>
      <c r="M1710" t="s">
        <v>23</v>
      </c>
      <c r="N1710">
        <v>6434000</v>
      </c>
      <c r="O1710">
        <v>3.9</v>
      </c>
      <c r="P1710" t="b">
        <v>0</v>
      </c>
    </row>
    <row r="1711" spans="1:16" x14ac:dyDescent="0.2">
      <c r="A1711" t="s">
        <v>2581</v>
      </c>
      <c r="B1711" s="1">
        <v>44779</v>
      </c>
      <c r="C1711" s="1">
        <v>44823</v>
      </c>
      <c r="D1711" t="s">
        <v>2582</v>
      </c>
      <c r="E1711" t="s">
        <v>18</v>
      </c>
      <c r="F1711" t="s">
        <v>39</v>
      </c>
      <c r="G1711" t="s">
        <v>20</v>
      </c>
      <c r="H1711" t="s">
        <v>40</v>
      </c>
      <c r="I1711" t="s">
        <v>30</v>
      </c>
      <c r="J1711">
        <v>4</v>
      </c>
      <c r="K1711">
        <v>2609000</v>
      </c>
      <c r="L1711">
        <v>3.96832697998524E-2</v>
      </c>
      <c r="M1711" t="s">
        <v>23</v>
      </c>
      <c r="N1711">
        <v>10022000</v>
      </c>
      <c r="O1711">
        <v>3.6</v>
      </c>
      <c r="P1711" t="b">
        <v>0</v>
      </c>
    </row>
    <row r="1712" spans="1:16" x14ac:dyDescent="0.2">
      <c r="A1712" t="s">
        <v>2583</v>
      </c>
      <c r="B1712" s="1">
        <v>44779</v>
      </c>
      <c r="C1712" s="1">
        <v>44779</v>
      </c>
      <c r="D1712" t="s">
        <v>2014</v>
      </c>
      <c r="E1712" t="s">
        <v>18</v>
      </c>
      <c r="F1712" t="s">
        <v>19</v>
      </c>
      <c r="G1712" t="s">
        <v>35</v>
      </c>
      <c r="H1712" t="s">
        <v>47</v>
      </c>
      <c r="I1712" t="s">
        <v>99</v>
      </c>
      <c r="J1712">
        <v>1</v>
      </c>
      <c r="K1712">
        <v>2564000</v>
      </c>
      <c r="L1712">
        <v>8.8845967972523004E-2</v>
      </c>
      <c r="M1712" t="s">
        <v>23</v>
      </c>
      <c r="N1712">
        <v>2336000</v>
      </c>
      <c r="O1712">
        <v>3.8</v>
      </c>
      <c r="P1712" t="b">
        <v>1</v>
      </c>
    </row>
    <row r="1713" spans="1:16" x14ac:dyDescent="0.2">
      <c r="A1713" t="s">
        <v>2584</v>
      </c>
      <c r="B1713" s="1">
        <v>44750</v>
      </c>
      <c r="C1713" s="1">
        <v>44822</v>
      </c>
      <c r="D1713" t="s">
        <v>2585</v>
      </c>
      <c r="E1713" t="s">
        <v>33</v>
      </c>
      <c r="F1713" t="s">
        <v>34</v>
      </c>
      <c r="G1713" t="s">
        <v>20</v>
      </c>
      <c r="H1713" t="s">
        <v>47</v>
      </c>
      <c r="I1713" t="s">
        <v>83</v>
      </c>
      <c r="J1713">
        <v>3</v>
      </c>
      <c r="K1713">
        <v>3722000</v>
      </c>
      <c r="L1713" s="2" t="s">
        <v>2586</v>
      </c>
      <c r="M1713" t="s">
        <v>23</v>
      </c>
      <c r="N1713">
        <v>9987000</v>
      </c>
      <c r="O1713">
        <v>4.4000000000000004</v>
      </c>
      <c r="P1713" t="b">
        <v>0</v>
      </c>
    </row>
    <row r="1714" spans="1:16" x14ac:dyDescent="0.2">
      <c r="A1714" t="s">
        <v>2587</v>
      </c>
      <c r="B1714" s="1">
        <v>44780</v>
      </c>
      <c r="C1714" s="1">
        <v>44849</v>
      </c>
      <c r="D1714" t="s">
        <v>2277</v>
      </c>
      <c r="E1714" t="s">
        <v>45</v>
      </c>
      <c r="F1714" t="s">
        <v>19</v>
      </c>
      <c r="G1714" t="s">
        <v>50</v>
      </c>
      <c r="H1714" t="s">
        <v>21</v>
      </c>
      <c r="I1714" t="s">
        <v>94</v>
      </c>
      <c r="J1714">
        <v>1</v>
      </c>
      <c r="K1714">
        <v>2693000</v>
      </c>
      <c r="L1714">
        <v>9.6374924990434999E-2</v>
      </c>
      <c r="M1714" t="s">
        <v>23</v>
      </c>
      <c r="N1714">
        <v>2433000</v>
      </c>
      <c r="O1714">
        <v>4.3</v>
      </c>
      <c r="P1714" t="b">
        <v>1</v>
      </c>
    </row>
    <row r="1715" spans="1:16" x14ac:dyDescent="0.2">
      <c r="A1715" t="s">
        <v>2588</v>
      </c>
      <c r="B1715" s="1">
        <v>44780</v>
      </c>
      <c r="C1715" s="1">
        <v>44867</v>
      </c>
      <c r="D1715" t="s">
        <v>2589</v>
      </c>
      <c r="E1715" t="s">
        <v>18</v>
      </c>
      <c r="F1715" t="s">
        <v>19</v>
      </c>
      <c r="G1715" t="s">
        <v>20</v>
      </c>
      <c r="H1715" t="s">
        <v>21</v>
      </c>
      <c r="I1715" t="s">
        <v>83</v>
      </c>
      <c r="J1715">
        <v>1</v>
      </c>
      <c r="K1715">
        <v>2487000</v>
      </c>
      <c r="L1715">
        <v>6.6026489986679204E-2</v>
      </c>
      <c r="M1715" t="s">
        <v>23</v>
      </c>
      <c r="N1715">
        <v>2323000</v>
      </c>
      <c r="O1715">
        <v>4.4000000000000004</v>
      </c>
      <c r="P1715" t="b">
        <v>0</v>
      </c>
    </row>
    <row r="1716" spans="1:16" x14ac:dyDescent="0.2">
      <c r="A1716" t="s">
        <v>2590</v>
      </c>
      <c r="B1716" s="1">
        <v>44780</v>
      </c>
      <c r="C1716" s="1">
        <v>44827</v>
      </c>
      <c r="D1716" t="s">
        <v>657</v>
      </c>
      <c r="E1716" t="s">
        <v>45</v>
      </c>
      <c r="F1716" t="s">
        <v>34</v>
      </c>
      <c r="G1716" t="s">
        <v>50</v>
      </c>
      <c r="H1716" t="s">
        <v>21</v>
      </c>
      <c r="I1716" t="s">
        <v>94</v>
      </c>
      <c r="J1716">
        <v>3</v>
      </c>
      <c r="K1716">
        <v>4317000</v>
      </c>
      <c r="L1716">
        <v>3.7022754333122701E-2</v>
      </c>
      <c r="M1716" t="s">
        <v>23</v>
      </c>
      <c r="N1716">
        <v>12472000</v>
      </c>
      <c r="O1716">
        <v>3.6</v>
      </c>
      <c r="P1716" t="b">
        <v>1</v>
      </c>
    </row>
    <row r="1717" spans="1:16" x14ac:dyDescent="0.2">
      <c r="A1717" t="s">
        <v>2591</v>
      </c>
      <c r="B1717" s="1">
        <v>44781</v>
      </c>
      <c r="C1717" s="1">
        <v>44811</v>
      </c>
      <c r="D1717" t="s">
        <v>2292</v>
      </c>
      <c r="E1717" t="s">
        <v>45</v>
      </c>
      <c r="F1717" t="s">
        <v>45</v>
      </c>
      <c r="G1717" t="s">
        <v>35</v>
      </c>
      <c r="H1717" t="s">
        <v>47</v>
      </c>
      <c r="I1717" t="s">
        <v>94</v>
      </c>
      <c r="J1717">
        <v>2</v>
      </c>
      <c r="K1717">
        <v>2782000</v>
      </c>
      <c r="L1717">
        <v>9.4999642264041895E-2</v>
      </c>
      <c r="M1717" t="s">
        <v>23</v>
      </c>
      <c r="N1717">
        <v>5035000</v>
      </c>
      <c r="O1717">
        <v>4.4000000000000004</v>
      </c>
      <c r="P1717" t="b">
        <v>1</v>
      </c>
    </row>
    <row r="1718" spans="1:16" x14ac:dyDescent="0.2">
      <c r="A1718" t="s">
        <v>2592</v>
      </c>
      <c r="B1718" s="1">
        <v>44782</v>
      </c>
      <c r="C1718" s="1">
        <v>44861</v>
      </c>
      <c r="D1718" t="s">
        <v>1763</v>
      </c>
      <c r="E1718" t="s">
        <v>45</v>
      </c>
      <c r="F1718" t="s">
        <v>25</v>
      </c>
      <c r="G1718" t="s">
        <v>20</v>
      </c>
      <c r="H1718" t="s">
        <v>21</v>
      </c>
      <c r="I1718" t="s">
        <v>60</v>
      </c>
      <c r="J1718">
        <v>1</v>
      </c>
      <c r="K1718">
        <v>5396000</v>
      </c>
      <c r="L1718">
        <v>8.7999765584220804E-2</v>
      </c>
      <c r="M1718" t="s">
        <v>23</v>
      </c>
      <c r="N1718">
        <v>4921000</v>
      </c>
      <c r="O1718">
        <v>4</v>
      </c>
      <c r="P1718" t="b">
        <v>1</v>
      </c>
    </row>
    <row r="1719" spans="1:16" x14ac:dyDescent="0.2">
      <c r="A1719" t="s">
        <v>2593</v>
      </c>
      <c r="B1719" s="1">
        <v>44782</v>
      </c>
      <c r="C1719" s="1">
        <v>44868</v>
      </c>
      <c r="D1719" t="s">
        <v>85</v>
      </c>
      <c r="E1719" t="s">
        <v>29</v>
      </c>
      <c r="F1719" t="s">
        <v>34</v>
      </c>
      <c r="G1719" t="s">
        <v>50</v>
      </c>
      <c r="H1719" t="s">
        <v>51</v>
      </c>
      <c r="I1719" t="s">
        <v>77</v>
      </c>
      <c r="J1719">
        <v>1</v>
      </c>
      <c r="K1719">
        <v>4313000</v>
      </c>
      <c r="L1719" s="2" t="s">
        <v>2594</v>
      </c>
      <c r="M1719" t="s">
        <v>23</v>
      </c>
      <c r="N1719">
        <v>3837000</v>
      </c>
      <c r="O1719">
        <v>4</v>
      </c>
      <c r="P1719" t="b">
        <v>1</v>
      </c>
    </row>
    <row r="1720" spans="1:16" x14ac:dyDescent="0.2">
      <c r="A1720" t="s">
        <v>2595</v>
      </c>
      <c r="B1720" s="1">
        <v>44782</v>
      </c>
      <c r="C1720" s="1">
        <v>44835</v>
      </c>
      <c r="D1720" t="s">
        <v>2596</v>
      </c>
      <c r="E1720" t="s">
        <v>18</v>
      </c>
      <c r="F1720" t="s">
        <v>34</v>
      </c>
      <c r="G1720" t="s">
        <v>20</v>
      </c>
      <c r="H1720" t="s">
        <v>47</v>
      </c>
      <c r="I1720" t="s">
        <v>77</v>
      </c>
      <c r="J1720">
        <v>2</v>
      </c>
      <c r="K1720">
        <v>4251000</v>
      </c>
      <c r="L1720" s="2" t="s">
        <v>2597</v>
      </c>
      <c r="M1720" t="s">
        <v>65</v>
      </c>
      <c r="N1720">
        <v>0</v>
      </c>
      <c r="P1720" t="b">
        <v>0</v>
      </c>
    </row>
    <row r="1721" spans="1:16" x14ac:dyDescent="0.2">
      <c r="A1721" t="s">
        <v>2598</v>
      </c>
      <c r="B1721" s="1">
        <v>44782</v>
      </c>
      <c r="C1721" s="1">
        <v>44823</v>
      </c>
      <c r="D1721" t="s">
        <v>2599</v>
      </c>
      <c r="E1721" t="s">
        <v>33</v>
      </c>
      <c r="F1721" t="s">
        <v>25</v>
      </c>
      <c r="G1721" t="s">
        <v>50</v>
      </c>
      <c r="H1721" t="s">
        <v>40</v>
      </c>
      <c r="I1721" t="s">
        <v>57</v>
      </c>
      <c r="J1721">
        <v>2</v>
      </c>
      <c r="K1721">
        <v>4934000</v>
      </c>
      <c r="L1721">
        <v>6.9224759956837495E-2</v>
      </c>
      <c r="M1721" t="s">
        <v>23</v>
      </c>
      <c r="N1721">
        <v>9185000</v>
      </c>
      <c r="O1721">
        <v>3.8</v>
      </c>
      <c r="P1721" t="b">
        <v>0</v>
      </c>
    </row>
    <row r="1722" spans="1:16" x14ac:dyDescent="0.2">
      <c r="A1722" t="s">
        <v>2600</v>
      </c>
      <c r="B1722" s="1">
        <v>44782</v>
      </c>
      <c r="C1722" s="1">
        <v>44854</v>
      </c>
      <c r="D1722" t="s">
        <v>361</v>
      </c>
      <c r="E1722" t="s">
        <v>18</v>
      </c>
      <c r="F1722" t="s">
        <v>34</v>
      </c>
      <c r="G1722" t="s">
        <v>50</v>
      </c>
      <c r="H1722" t="s">
        <v>21</v>
      </c>
      <c r="I1722" t="s">
        <v>83</v>
      </c>
      <c r="J1722">
        <v>2</v>
      </c>
      <c r="K1722">
        <v>4002000</v>
      </c>
      <c r="L1722" s="2" t="s">
        <v>2601</v>
      </c>
      <c r="M1722" t="s">
        <v>23</v>
      </c>
      <c r="N1722">
        <v>6912000</v>
      </c>
      <c r="O1722">
        <v>3.8</v>
      </c>
      <c r="P1722" t="b">
        <v>1</v>
      </c>
    </row>
    <row r="1723" spans="1:16" x14ac:dyDescent="0.2">
      <c r="A1723" t="s">
        <v>2602</v>
      </c>
      <c r="B1723" s="1">
        <v>44782</v>
      </c>
      <c r="C1723" s="1">
        <v>44845</v>
      </c>
      <c r="D1723" t="s">
        <v>441</v>
      </c>
      <c r="E1723" t="s">
        <v>33</v>
      </c>
      <c r="F1723" t="s">
        <v>25</v>
      </c>
      <c r="G1723" t="s">
        <v>35</v>
      </c>
      <c r="H1723" t="s">
        <v>51</v>
      </c>
      <c r="I1723" t="s">
        <v>60</v>
      </c>
      <c r="J1723">
        <v>3</v>
      </c>
      <c r="K1723">
        <v>5189000</v>
      </c>
      <c r="L1723">
        <v>8.6881988983589398E-2</v>
      </c>
      <c r="M1723" t="s">
        <v>23</v>
      </c>
      <c r="N1723">
        <v>14215000</v>
      </c>
      <c r="O1723">
        <v>3.4</v>
      </c>
      <c r="P1723" t="b">
        <v>1</v>
      </c>
    </row>
    <row r="1724" spans="1:16" x14ac:dyDescent="0.2">
      <c r="A1724" t="s">
        <v>2603</v>
      </c>
      <c r="B1724" s="1">
        <v>44782</v>
      </c>
      <c r="C1724" s="1">
        <v>44786</v>
      </c>
      <c r="D1724" t="s">
        <v>321</v>
      </c>
      <c r="E1724" t="s">
        <v>45</v>
      </c>
      <c r="F1724" t="s">
        <v>19</v>
      </c>
      <c r="G1724" t="s">
        <v>20</v>
      </c>
      <c r="H1724" t="s">
        <v>47</v>
      </c>
      <c r="I1724" t="s">
        <v>30</v>
      </c>
      <c r="J1724">
        <v>3</v>
      </c>
      <c r="K1724">
        <v>2428000</v>
      </c>
      <c r="L1724">
        <v>7.8269637473999204E-2</v>
      </c>
      <c r="M1724" t="s">
        <v>23</v>
      </c>
      <c r="N1724">
        <v>6714000</v>
      </c>
      <c r="O1724">
        <v>4.5999999999999996</v>
      </c>
      <c r="P1724" t="b">
        <v>1</v>
      </c>
    </row>
    <row r="1725" spans="1:16" x14ac:dyDescent="0.2">
      <c r="A1725" t="s">
        <v>2604</v>
      </c>
      <c r="B1725" s="1">
        <v>44782</v>
      </c>
      <c r="C1725" s="1">
        <v>44895</v>
      </c>
      <c r="D1725" t="s">
        <v>1802</v>
      </c>
      <c r="E1725" t="s">
        <v>45</v>
      </c>
      <c r="F1725" t="s">
        <v>45</v>
      </c>
      <c r="G1725" t="s">
        <v>20</v>
      </c>
      <c r="H1725" t="s">
        <v>21</v>
      </c>
      <c r="I1725" t="s">
        <v>26</v>
      </c>
      <c r="J1725">
        <v>2</v>
      </c>
      <c r="K1725">
        <v>3427000</v>
      </c>
      <c r="L1725" s="2" t="s">
        <v>2605</v>
      </c>
      <c r="M1725" t="s">
        <v>1882</v>
      </c>
      <c r="N1725">
        <v>6114000</v>
      </c>
      <c r="O1725">
        <v>4.0999999999999996</v>
      </c>
      <c r="P1725" t="b">
        <v>1</v>
      </c>
    </row>
    <row r="1726" spans="1:16" x14ac:dyDescent="0.2">
      <c r="A1726" t="s">
        <v>2606</v>
      </c>
      <c r="B1726" s="1">
        <v>44783</v>
      </c>
      <c r="C1726" s="1">
        <v>44871</v>
      </c>
      <c r="D1726" t="s">
        <v>1034</v>
      </c>
      <c r="E1726" t="s">
        <v>45</v>
      </c>
      <c r="F1726" t="s">
        <v>34</v>
      </c>
      <c r="G1726" t="s">
        <v>35</v>
      </c>
      <c r="H1726" t="s">
        <v>51</v>
      </c>
      <c r="I1726" t="s">
        <v>22</v>
      </c>
      <c r="J1726">
        <v>2</v>
      </c>
      <c r="K1726">
        <v>3456000</v>
      </c>
      <c r="L1726">
        <v>7.5030800959825103E-2</v>
      </c>
      <c r="M1726" t="s">
        <v>65</v>
      </c>
      <c r="N1726">
        <v>0</v>
      </c>
      <c r="P1726" t="b">
        <v>1</v>
      </c>
    </row>
    <row r="1727" spans="1:16" x14ac:dyDescent="0.2">
      <c r="A1727" t="s">
        <v>2607</v>
      </c>
      <c r="B1727" s="1">
        <v>44783</v>
      </c>
      <c r="C1727" s="1">
        <v>44826</v>
      </c>
      <c r="D1727" t="s">
        <v>91</v>
      </c>
      <c r="E1727" t="s">
        <v>18</v>
      </c>
      <c r="F1727" t="s">
        <v>45</v>
      </c>
      <c r="G1727" t="s">
        <v>20</v>
      </c>
      <c r="H1727" t="s">
        <v>21</v>
      </c>
      <c r="I1727" t="s">
        <v>57</v>
      </c>
      <c r="J1727">
        <v>1</v>
      </c>
      <c r="K1727">
        <v>3892000</v>
      </c>
      <c r="L1727" s="3">
        <v>0.157</v>
      </c>
      <c r="M1727" t="s">
        <v>23</v>
      </c>
      <c r="N1727">
        <v>3280000</v>
      </c>
      <c r="O1727">
        <v>4.8</v>
      </c>
      <c r="P1727" t="b">
        <v>1</v>
      </c>
    </row>
    <row r="1728" spans="1:16" x14ac:dyDescent="0.2">
      <c r="A1728" t="s">
        <v>2608</v>
      </c>
      <c r="B1728" s="1">
        <v>44783</v>
      </c>
      <c r="C1728" s="1">
        <v>44807</v>
      </c>
      <c r="D1728" t="s">
        <v>2609</v>
      </c>
      <c r="E1728" t="s">
        <v>18</v>
      </c>
      <c r="F1728" t="s">
        <v>68</v>
      </c>
      <c r="G1728" t="s">
        <v>20</v>
      </c>
      <c r="H1728" t="s">
        <v>21</v>
      </c>
      <c r="J1728">
        <v>1</v>
      </c>
      <c r="K1728">
        <v>2357000</v>
      </c>
      <c r="L1728" s="2" t="s">
        <v>2610</v>
      </c>
      <c r="M1728" t="s">
        <v>65</v>
      </c>
      <c r="N1728">
        <v>0</v>
      </c>
      <c r="P1728" t="b">
        <v>0</v>
      </c>
    </row>
    <row r="1729" spans="1:16" x14ac:dyDescent="0.2">
      <c r="A1729" t="s">
        <v>2611</v>
      </c>
      <c r="B1729" s="1">
        <v>44783</v>
      </c>
      <c r="C1729" s="1">
        <v>44829</v>
      </c>
      <c r="D1729" t="s">
        <v>2537</v>
      </c>
      <c r="E1729" t="s">
        <v>45</v>
      </c>
      <c r="F1729" t="s">
        <v>19</v>
      </c>
      <c r="G1729" t="s">
        <v>35</v>
      </c>
      <c r="H1729" t="s">
        <v>21</v>
      </c>
      <c r="I1729" t="s">
        <v>22</v>
      </c>
      <c r="J1729">
        <v>2</v>
      </c>
      <c r="K1729">
        <v>2398000</v>
      </c>
      <c r="L1729" s="2" t="s">
        <v>2612</v>
      </c>
      <c r="M1729" t="s">
        <v>23</v>
      </c>
      <c r="N1729">
        <v>3995000</v>
      </c>
      <c r="O1729">
        <v>4.5</v>
      </c>
      <c r="P1729" t="b">
        <v>1</v>
      </c>
    </row>
    <row r="1730" spans="1:16" x14ac:dyDescent="0.2">
      <c r="A1730" t="s">
        <v>2613</v>
      </c>
      <c r="B1730" s="1">
        <v>44783</v>
      </c>
      <c r="C1730" s="1">
        <v>44875</v>
      </c>
      <c r="D1730" t="s">
        <v>2614</v>
      </c>
      <c r="E1730" t="s">
        <v>33</v>
      </c>
      <c r="F1730" t="s">
        <v>45</v>
      </c>
      <c r="G1730" t="s">
        <v>20</v>
      </c>
      <c r="H1730" t="s">
        <v>47</v>
      </c>
      <c r="I1730" t="s">
        <v>26</v>
      </c>
      <c r="J1730">
        <v>4</v>
      </c>
      <c r="K1730">
        <v>3406000</v>
      </c>
      <c r="L1730" s="2" t="s">
        <v>2615</v>
      </c>
      <c r="M1730" t="s">
        <v>1882</v>
      </c>
      <c r="N1730">
        <v>11992000</v>
      </c>
      <c r="O1730">
        <v>3.4</v>
      </c>
      <c r="P1730" t="b">
        <v>0</v>
      </c>
    </row>
    <row r="1731" spans="1:16" x14ac:dyDescent="0.2">
      <c r="A1731" t="s">
        <v>2616</v>
      </c>
      <c r="B1731" s="1">
        <v>44784</v>
      </c>
      <c r="C1731" s="1">
        <v>44836</v>
      </c>
      <c r="D1731" t="s">
        <v>2617</v>
      </c>
      <c r="E1731" t="s">
        <v>18</v>
      </c>
      <c r="F1731" t="s">
        <v>34</v>
      </c>
      <c r="G1731" t="s">
        <v>20</v>
      </c>
      <c r="H1731" t="s">
        <v>21</v>
      </c>
      <c r="I1731" t="s">
        <v>99</v>
      </c>
      <c r="J1731">
        <v>4</v>
      </c>
      <c r="K1731">
        <v>4131000</v>
      </c>
      <c r="L1731" s="2" t="s">
        <v>2618</v>
      </c>
      <c r="M1731" t="s">
        <v>65</v>
      </c>
      <c r="N1731">
        <v>0</v>
      </c>
      <c r="P1731" t="b">
        <v>0</v>
      </c>
    </row>
    <row r="1732" spans="1:16" x14ac:dyDescent="0.2">
      <c r="A1732" t="s">
        <v>2619</v>
      </c>
      <c r="B1732" s="1">
        <v>44785</v>
      </c>
      <c r="C1732" s="1">
        <v>44809</v>
      </c>
      <c r="D1732" t="s">
        <v>326</v>
      </c>
      <c r="F1732" t="s">
        <v>19</v>
      </c>
      <c r="G1732" t="s">
        <v>35</v>
      </c>
      <c r="H1732" t="s">
        <v>21</v>
      </c>
      <c r="I1732" t="s">
        <v>30</v>
      </c>
      <c r="J1732">
        <v>1</v>
      </c>
      <c r="K1732">
        <v>2297000</v>
      </c>
      <c r="L1732">
        <v>5.00004958858387E-2</v>
      </c>
      <c r="M1732" t="s">
        <v>23</v>
      </c>
      <c r="N1732">
        <v>2182000</v>
      </c>
      <c r="O1732">
        <v>4.5</v>
      </c>
      <c r="P1732" t="b">
        <v>1</v>
      </c>
    </row>
    <row r="1733" spans="1:16" x14ac:dyDescent="0.2">
      <c r="A1733" t="s">
        <v>2620</v>
      </c>
      <c r="B1733" s="1">
        <v>44785</v>
      </c>
      <c r="C1733" s="1">
        <v>44816</v>
      </c>
      <c r="D1733" t="s">
        <v>120</v>
      </c>
      <c r="E1733" t="s">
        <v>45</v>
      </c>
      <c r="F1733" t="s">
        <v>45</v>
      </c>
      <c r="G1733" t="s">
        <v>20</v>
      </c>
      <c r="H1733" t="s">
        <v>21</v>
      </c>
      <c r="I1733" t="s">
        <v>22</v>
      </c>
      <c r="J1733">
        <v>2</v>
      </c>
      <c r="K1733">
        <v>2923000</v>
      </c>
      <c r="L1733" s="2" t="s">
        <v>2621</v>
      </c>
      <c r="M1733" t="s">
        <v>23</v>
      </c>
      <c r="N1733">
        <v>4925000</v>
      </c>
      <c r="O1733">
        <v>3.6</v>
      </c>
      <c r="P1733" t="b">
        <v>1</v>
      </c>
    </row>
    <row r="1734" spans="1:16" x14ac:dyDescent="0.2">
      <c r="A1734" t="s">
        <v>2622</v>
      </c>
      <c r="B1734" s="1">
        <v>44785</v>
      </c>
      <c r="C1734" s="1">
        <v>44845</v>
      </c>
      <c r="D1734" t="s">
        <v>805</v>
      </c>
      <c r="E1734" t="s">
        <v>45</v>
      </c>
      <c r="F1734" t="s">
        <v>34</v>
      </c>
      <c r="G1734" t="s">
        <v>35</v>
      </c>
      <c r="H1734" t="s">
        <v>21</v>
      </c>
      <c r="I1734" t="s">
        <v>94</v>
      </c>
      <c r="J1734">
        <v>1</v>
      </c>
      <c r="K1734">
        <v>4191000</v>
      </c>
      <c r="L1734" s="2" t="s">
        <v>2623</v>
      </c>
      <c r="M1734" t="s">
        <v>23</v>
      </c>
      <c r="N1734">
        <v>3740000</v>
      </c>
      <c r="O1734">
        <v>4.7</v>
      </c>
      <c r="P1734" t="b">
        <v>1</v>
      </c>
    </row>
    <row r="1735" spans="1:16" x14ac:dyDescent="0.2">
      <c r="A1735" t="s">
        <v>2624</v>
      </c>
      <c r="B1735" s="1">
        <v>44786</v>
      </c>
      <c r="C1735" s="1">
        <v>44817</v>
      </c>
      <c r="D1735" t="s">
        <v>2625</v>
      </c>
      <c r="F1735" t="s">
        <v>19</v>
      </c>
      <c r="G1735" t="s">
        <v>20</v>
      </c>
      <c r="H1735" t="s">
        <v>47</v>
      </c>
      <c r="J1735">
        <v>1</v>
      </c>
      <c r="K1735">
        <v>2712000</v>
      </c>
      <c r="L1735" s="2" t="s">
        <v>2626</v>
      </c>
      <c r="M1735" t="s">
        <v>23</v>
      </c>
      <c r="N1735">
        <v>2385000</v>
      </c>
      <c r="O1735">
        <v>4.3</v>
      </c>
      <c r="P1735" t="b">
        <v>0</v>
      </c>
    </row>
    <row r="1736" spans="1:16" x14ac:dyDescent="0.2">
      <c r="A1736" t="s">
        <v>2627</v>
      </c>
      <c r="B1736" s="1">
        <v>44786</v>
      </c>
      <c r="C1736" s="1">
        <v>44839</v>
      </c>
      <c r="D1736" t="s">
        <v>2628</v>
      </c>
      <c r="E1736" t="s">
        <v>18</v>
      </c>
      <c r="F1736" t="s">
        <v>45</v>
      </c>
      <c r="G1736" t="s">
        <v>20</v>
      </c>
      <c r="H1736" t="s">
        <v>47</v>
      </c>
      <c r="I1736" t="s">
        <v>60</v>
      </c>
      <c r="J1736">
        <v>2</v>
      </c>
      <c r="K1736">
        <v>3421000</v>
      </c>
      <c r="L1736" s="2" t="s">
        <v>2629</v>
      </c>
      <c r="M1736" t="s">
        <v>23</v>
      </c>
      <c r="N1736">
        <v>6079000</v>
      </c>
      <c r="O1736">
        <v>4.5999999999999996</v>
      </c>
      <c r="P1736" t="b">
        <v>0</v>
      </c>
    </row>
    <row r="1737" spans="1:16" x14ac:dyDescent="0.2">
      <c r="A1737" t="s">
        <v>2630</v>
      </c>
      <c r="B1737" s="1">
        <v>44786</v>
      </c>
      <c r="C1737" s="1">
        <v>44814</v>
      </c>
      <c r="D1737" t="s">
        <v>2631</v>
      </c>
      <c r="E1737" t="s">
        <v>29</v>
      </c>
      <c r="F1737" t="s">
        <v>45</v>
      </c>
      <c r="G1737" t="s">
        <v>20</v>
      </c>
      <c r="H1737" t="s">
        <v>21</v>
      </c>
      <c r="I1737" t="s">
        <v>26</v>
      </c>
      <c r="J1737">
        <v>1</v>
      </c>
      <c r="K1737">
        <v>3298000</v>
      </c>
      <c r="L1737">
        <v>0</v>
      </c>
      <c r="M1737" t="s">
        <v>23</v>
      </c>
      <c r="N1737">
        <v>3298000</v>
      </c>
      <c r="O1737">
        <v>5</v>
      </c>
      <c r="P1737" t="b">
        <v>0</v>
      </c>
    </row>
    <row r="1738" spans="1:16" x14ac:dyDescent="0.2">
      <c r="A1738" t="s">
        <v>2632</v>
      </c>
      <c r="B1738" s="1">
        <v>44786</v>
      </c>
      <c r="C1738" s="1">
        <v>44816</v>
      </c>
      <c r="D1738" t="s">
        <v>2633</v>
      </c>
      <c r="E1738" t="s">
        <v>45</v>
      </c>
      <c r="F1738" t="s">
        <v>19</v>
      </c>
      <c r="G1738" t="s">
        <v>20</v>
      </c>
      <c r="H1738" t="s">
        <v>51</v>
      </c>
      <c r="I1738" t="s">
        <v>83</v>
      </c>
      <c r="J1738">
        <v>3</v>
      </c>
      <c r="K1738">
        <v>2705000</v>
      </c>
      <c r="L1738" s="2" t="s">
        <v>2634</v>
      </c>
      <c r="M1738" t="s">
        <v>23</v>
      </c>
      <c r="N1738">
        <v>6912000</v>
      </c>
      <c r="O1738">
        <v>4.5</v>
      </c>
      <c r="P1738" t="b">
        <v>0</v>
      </c>
    </row>
    <row r="1739" spans="1:16" x14ac:dyDescent="0.2">
      <c r="A1739" t="s">
        <v>2635</v>
      </c>
      <c r="B1739" s="1">
        <v>44786</v>
      </c>
      <c r="C1739" s="1">
        <v>44834</v>
      </c>
      <c r="D1739" t="s">
        <v>2392</v>
      </c>
      <c r="E1739" t="s">
        <v>29</v>
      </c>
      <c r="F1739" t="s">
        <v>19</v>
      </c>
      <c r="G1739" t="s">
        <v>50</v>
      </c>
      <c r="H1739" t="s">
        <v>21</v>
      </c>
      <c r="I1739" t="s">
        <v>52</v>
      </c>
      <c r="J1739">
        <v>2</v>
      </c>
      <c r="K1739">
        <v>2480000</v>
      </c>
      <c r="L1739" s="2" t="s">
        <v>2636</v>
      </c>
      <c r="M1739" t="s">
        <v>23</v>
      </c>
      <c r="N1739">
        <v>4460000</v>
      </c>
      <c r="O1739">
        <v>3.9</v>
      </c>
      <c r="P1739" t="b">
        <v>1</v>
      </c>
    </row>
    <row r="1740" spans="1:16" x14ac:dyDescent="0.2">
      <c r="A1740" t="s">
        <v>2637</v>
      </c>
      <c r="B1740" s="1">
        <v>44787</v>
      </c>
      <c r="C1740" s="1">
        <v>44849</v>
      </c>
      <c r="D1740" t="s">
        <v>2510</v>
      </c>
      <c r="E1740" t="s">
        <v>33</v>
      </c>
      <c r="F1740" t="s">
        <v>34</v>
      </c>
      <c r="G1740" t="s">
        <v>20</v>
      </c>
      <c r="H1740" t="s">
        <v>47</v>
      </c>
      <c r="I1740" t="s">
        <v>22</v>
      </c>
      <c r="J1740">
        <v>4</v>
      </c>
      <c r="K1740">
        <v>3288000</v>
      </c>
      <c r="L1740" s="2" t="s">
        <v>2638</v>
      </c>
      <c r="M1740" t="s">
        <v>23</v>
      </c>
      <c r="N1740">
        <v>11727000</v>
      </c>
      <c r="O1740">
        <v>3.4</v>
      </c>
      <c r="P1740" t="b">
        <v>1</v>
      </c>
    </row>
    <row r="1741" spans="1:16" x14ac:dyDescent="0.2">
      <c r="A1741" t="s">
        <v>2639</v>
      </c>
      <c r="B1741" s="1">
        <v>44787</v>
      </c>
      <c r="C1741" s="1">
        <v>44841</v>
      </c>
      <c r="D1741" t="s">
        <v>697</v>
      </c>
      <c r="E1741" t="s">
        <v>45</v>
      </c>
      <c r="F1741" t="s">
        <v>19</v>
      </c>
      <c r="G1741" t="s">
        <v>20</v>
      </c>
      <c r="H1741" t="s">
        <v>47</v>
      </c>
      <c r="I1741" t="s">
        <v>77</v>
      </c>
      <c r="J1741">
        <v>1</v>
      </c>
      <c r="K1741">
        <v>2618000</v>
      </c>
      <c r="L1741" s="2" t="s">
        <v>2640</v>
      </c>
      <c r="M1741" t="s">
        <v>23</v>
      </c>
      <c r="N1741">
        <v>2180000</v>
      </c>
      <c r="O1741">
        <v>4.2</v>
      </c>
      <c r="P1741" t="b">
        <v>1</v>
      </c>
    </row>
    <row r="1742" spans="1:16" x14ac:dyDescent="0.2">
      <c r="A1742" t="s">
        <v>2641</v>
      </c>
      <c r="B1742" s="1">
        <v>44787</v>
      </c>
      <c r="C1742" s="1">
        <v>44829</v>
      </c>
      <c r="D1742" t="s">
        <v>1471</v>
      </c>
      <c r="E1742" t="s">
        <v>18</v>
      </c>
      <c r="F1742" t="s">
        <v>19</v>
      </c>
      <c r="G1742" t="s">
        <v>20</v>
      </c>
      <c r="I1742" t="s">
        <v>57</v>
      </c>
      <c r="J1742">
        <v>2</v>
      </c>
      <c r="K1742">
        <v>3158000</v>
      </c>
      <c r="L1742">
        <v>5.1168678811441798E-2</v>
      </c>
      <c r="M1742" t="s">
        <v>23</v>
      </c>
      <c r="N1742">
        <v>5993000</v>
      </c>
      <c r="O1742">
        <v>3.9</v>
      </c>
      <c r="P1742" t="b">
        <v>1</v>
      </c>
    </row>
    <row r="1743" spans="1:16" x14ac:dyDescent="0.2">
      <c r="A1743" t="s">
        <v>2642</v>
      </c>
      <c r="B1743" s="1">
        <v>44787</v>
      </c>
      <c r="C1743" s="1">
        <v>44875</v>
      </c>
      <c r="D1743" t="s">
        <v>659</v>
      </c>
      <c r="E1743" t="s">
        <v>33</v>
      </c>
      <c r="F1743" t="s">
        <v>39</v>
      </c>
      <c r="G1743" t="s">
        <v>35</v>
      </c>
      <c r="H1743" t="s">
        <v>21</v>
      </c>
      <c r="I1743" t="s">
        <v>60</v>
      </c>
      <c r="J1743">
        <v>4</v>
      </c>
      <c r="K1743">
        <v>2438000</v>
      </c>
      <c r="L1743">
        <v>6.8687549506298504E-2</v>
      </c>
      <c r="M1743" t="s">
        <v>1656</v>
      </c>
      <c r="N1743">
        <v>9082000</v>
      </c>
      <c r="O1743">
        <v>5</v>
      </c>
      <c r="P1743" t="b">
        <v>1</v>
      </c>
    </row>
    <row r="1744" spans="1:16" x14ac:dyDescent="0.2">
      <c r="A1744" t="s">
        <v>2643</v>
      </c>
      <c r="B1744" s="1">
        <v>44788</v>
      </c>
      <c r="C1744" s="1">
        <v>44819</v>
      </c>
      <c r="D1744" t="s">
        <v>380</v>
      </c>
      <c r="E1744" t="s">
        <v>33</v>
      </c>
      <c r="F1744" t="s">
        <v>19</v>
      </c>
      <c r="G1744" t="s">
        <v>50</v>
      </c>
      <c r="H1744" t="s">
        <v>40</v>
      </c>
      <c r="I1744" t="s">
        <v>22</v>
      </c>
      <c r="J1744">
        <v>1</v>
      </c>
      <c r="K1744">
        <v>2016000</v>
      </c>
      <c r="L1744">
        <v>6.4588673714730496E-2</v>
      </c>
      <c r="M1744" t="s">
        <v>23</v>
      </c>
      <c r="N1744">
        <v>1886000</v>
      </c>
      <c r="O1744">
        <v>4.5999999999999996</v>
      </c>
      <c r="P1744" t="b">
        <v>1</v>
      </c>
    </row>
    <row r="1745" spans="1:16" x14ac:dyDescent="0.2">
      <c r="A1745" t="s">
        <v>2644</v>
      </c>
      <c r="B1745" s="1">
        <v>44788</v>
      </c>
      <c r="C1745" s="1">
        <v>44866</v>
      </c>
      <c r="D1745" t="s">
        <v>2011</v>
      </c>
      <c r="E1745" t="s">
        <v>29</v>
      </c>
      <c r="F1745" t="s">
        <v>34</v>
      </c>
      <c r="G1745" t="s">
        <v>50</v>
      </c>
      <c r="H1745" t="s">
        <v>40</v>
      </c>
      <c r="I1745" t="s">
        <v>26</v>
      </c>
      <c r="J1745">
        <v>3</v>
      </c>
      <c r="K1745">
        <v>4032000</v>
      </c>
      <c r="L1745" s="2" t="s">
        <v>2645</v>
      </c>
      <c r="M1745" t="s">
        <v>23</v>
      </c>
      <c r="N1745">
        <v>10411000</v>
      </c>
      <c r="O1745">
        <v>4.5</v>
      </c>
      <c r="P1745" t="b">
        <v>1</v>
      </c>
    </row>
    <row r="1746" spans="1:16" x14ac:dyDescent="0.2">
      <c r="A1746" t="s">
        <v>2646</v>
      </c>
      <c r="B1746" s="1">
        <v>44789</v>
      </c>
      <c r="C1746" s="1">
        <v>44850</v>
      </c>
      <c r="D1746" t="s">
        <v>2496</v>
      </c>
      <c r="E1746" t="s">
        <v>45</v>
      </c>
      <c r="F1746" t="s">
        <v>19</v>
      </c>
      <c r="G1746" t="s">
        <v>35</v>
      </c>
      <c r="H1746" t="s">
        <v>47</v>
      </c>
      <c r="I1746" t="s">
        <v>83</v>
      </c>
      <c r="J1746">
        <v>4</v>
      </c>
      <c r="K1746">
        <v>2614000</v>
      </c>
      <c r="L1746" s="3">
        <v>4.8000000000000001E-2</v>
      </c>
      <c r="M1746" t="s">
        <v>23</v>
      </c>
      <c r="N1746">
        <v>9959000</v>
      </c>
      <c r="O1746">
        <v>4.3</v>
      </c>
      <c r="P1746" t="b">
        <v>1</v>
      </c>
    </row>
    <row r="1747" spans="1:16" x14ac:dyDescent="0.2">
      <c r="A1747" t="s">
        <v>2647</v>
      </c>
      <c r="B1747" s="1">
        <v>44789</v>
      </c>
      <c r="C1747" s="1">
        <v>44843</v>
      </c>
      <c r="D1747" t="s">
        <v>1649</v>
      </c>
      <c r="E1747" t="s">
        <v>18</v>
      </c>
      <c r="F1747" t="s">
        <v>68</v>
      </c>
      <c r="G1747" t="s">
        <v>20</v>
      </c>
      <c r="H1747" t="s">
        <v>21</v>
      </c>
      <c r="I1747" t="s">
        <v>26</v>
      </c>
      <c r="J1747">
        <v>1</v>
      </c>
      <c r="K1747">
        <v>2751000</v>
      </c>
      <c r="L1747">
        <v>8.1722916118442096E-2</v>
      </c>
      <c r="M1747" t="s">
        <v>23</v>
      </c>
      <c r="N1747">
        <v>2526000</v>
      </c>
      <c r="O1747">
        <v>4.3</v>
      </c>
      <c r="P1747" t="b">
        <v>1</v>
      </c>
    </row>
    <row r="1748" spans="1:16" x14ac:dyDescent="0.2">
      <c r="A1748" t="s">
        <v>2648</v>
      </c>
      <c r="B1748" s="1">
        <v>44790</v>
      </c>
      <c r="C1748" s="1">
        <v>44827</v>
      </c>
      <c r="D1748" t="s">
        <v>64</v>
      </c>
      <c r="E1748" t="s">
        <v>33</v>
      </c>
      <c r="F1748" t="s">
        <v>68</v>
      </c>
      <c r="H1748" t="s">
        <v>40</v>
      </c>
      <c r="I1748" t="s">
        <v>30</v>
      </c>
      <c r="J1748">
        <v>2</v>
      </c>
      <c r="K1748">
        <v>2415000</v>
      </c>
      <c r="L1748" s="2" t="s">
        <v>2649</v>
      </c>
      <c r="M1748" t="s">
        <v>23</v>
      </c>
      <c r="N1748">
        <v>4162000</v>
      </c>
      <c r="O1748">
        <v>4.4000000000000004</v>
      </c>
      <c r="P1748" t="b">
        <v>1</v>
      </c>
    </row>
    <row r="1749" spans="1:16" x14ac:dyDescent="0.2">
      <c r="A1749" t="s">
        <v>2650</v>
      </c>
      <c r="B1749" s="1">
        <v>44790</v>
      </c>
      <c r="C1749" s="1">
        <v>44862</v>
      </c>
      <c r="D1749" t="s">
        <v>2651</v>
      </c>
      <c r="F1749" t="s">
        <v>45</v>
      </c>
      <c r="G1749" t="s">
        <v>50</v>
      </c>
      <c r="H1749" t="s">
        <v>21</v>
      </c>
      <c r="I1749" t="s">
        <v>83</v>
      </c>
      <c r="J1749">
        <v>2</v>
      </c>
      <c r="K1749">
        <v>2641000</v>
      </c>
      <c r="L1749" s="3">
        <v>0.13100000000000001</v>
      </c>
      <c r="M1749" t="s">
        <v>23</v>
      </c>
      <c r="N1749">
        <v>4588000</v>
      </c>
      <c r="O1749">
        <v>4.9000000000000004</v>
      </c>
      <c r="P1749" t="b">
        <v>0</v>
      </c>
    </row>
    <row r="1750" spans="1:16" x14ac:dyDescent="0.2">
      <c r="A1750" t="s">
        <v>2652</v>
      </c>
      <c r="B1750" s="1">
        <v>44790</v>
      </c>
      <c r="C1750" s="1">
        <v>44817</v>
      </c>
      <c r="D1750" t="s">
        <v>2370</v>
      </c>
      <c r="E1750" t="s">
        <v>33</v>
      </c>
      <c r="F1750" t="s">
        <v>39</v>
      </c>
      <c r="G1750" t="s">
        <v>20</v>
      </c>
      <c r="I1750" t="s">
        <v>26</v>
      </c>
      <c r="J1750">
        <v>2</v>
      </c>
      <c r="K1750">
        <v>2199000</v>
      </c>
      <c r="L1750">
        <v>9.4551716832947205E-2</v>
      </c>
      <c r="M1750" t="s">
        <v>23</v>
      </c>
      <c r="N1750">
        <v>3982000</v>
      </c>
      <c r="O1750">
        <v>3.4</v>
      </c>
      <c r="P1750" t="b">
        <v>1</v>
      </c>
    </row>
    <row r="1751" spans="1:16" x14ac:dyDescent="0.2">
      <c r="A1751" t="s">
        <v>2653</v>
      </c>
      <c r="B1751" s="1">
        <v>44790</v>
      </c>
      <c r="C1751" s="1">
        <v>44831</v>
      </c>
      <c r="D1751" t="s">
        <v>307</v>
      </c>
      <c r="E1751" t="s">
        <v>45</v>
      </c>
      <c r="F1751" t="s">
        <v>45</v>
      </c>
      <c r="G1751" t="s">
        <v>50</v>
      </c>
      <c r="H1751" t="s">
        <v>21</v>
      </c>
      <c r="I1751" t="s">
        <v>83</v>
      </c>
      <c r="J1751">
        <v>1</v>
      </c>
      <c r="K1751">
        <v>2686000</v>
      </c>
      <c r="L1751">
        <v>9.6071073374222299E-2</v>
      </c>
      <c r="M1751" t="s">
        <v>65</v>
      </c>
      <c r="N1751">
        <v>0</v>
      </c>
      <c r="P1751" t="b">
        <v>1</v>
      </c>
    </row>
    <row r="1752" spans="1:16" x14ac:dyDescent="0.2">
      <c r="A1752" t="s">
        <v>2654</v>
      </c>
      <c r="B1752" s="1">
        <v>44790</v>
      </c>
      <c r="C1752" s="1">
        <v>44805</v>
      </c>
      <c r="D1752" t="s">
        <v>1997</v>
      </c>
      <c r="E1752" t="s">
        <v>29</v>
      </c>
      <c r="F1752" t="s">
        <v>19</v>
      </c>
      <c r="G1752" t="s">
        <v>20</v>
      </c>
      <c r="H1752" t="s">
        <v>21</v>
      </c>
      <c r="I1752" t="s">
        <v>60</v>
      </c>
      <c r="J1752">
        <v>3</v>
      </c>
      <c r="K1752">
        <v>2744000</v>
      </c>
      <c r="L1752" s="2" t="s">
        <v>2655</v>
      </c>
      <c r="M1752" t="s">
        <v>65</v>
      </c>
      <c r="N1752">
        <v>0</v>
      </c>
      <c r="P1752" t="b">
        <v>1</v>
      </c>
    </row>
    <row r="1753" spans="1:16" x14ac:dyDescent="0.2">
      <c r="A1753" t="s">
        <v>2656</v>
      </c>
      <c r="B1753" s="1">
        <v>44791</v>
      </c>
      <c r="C1753" s="1">
        <v>44814</v>
      </c>
      <c r="D1753" t="s">
        <v>873</v>
      </c>
      <c r="E1753" t="s">
        <v>45</v>
      </c>
      <c r="F1753" t="s">
        <v>34</v>
      </c>
      <c r="G1753" t="s">
        <v>50</v>
      </c>
      <c r="H1753" t="s">
        <v>21</v>
      </c>
      <c r="I1753" t="s">
        <v>83</v>
      </c>
      <c r="J1753">
        <v>1</v>
      </c>
      <c r="K1753">
        <v>3875000</v>
      </c>
      <c r="L1753" s="2" t="s">
        <v>2657</v>
      </c>
      <c r="M1753" t="s">
        <v>23</v>
      </c>
      <c r="N1753">
        <v>3411000</v>
      </c>
      <c r="O1753">
        <v>3.9</v>
      </c>
      <c r="P1753" t="b">
        <v>1</v>
      </c>
    </row>
    <row r="1754" spans="1:16" x14ac:dyDescent="0.2">
      <c r="A1754" t="s">
        <v>2658</v>
      </c>
      <c r="B1754" s="1">
        <v>44791</v>
      </c>
      <c r="C1754" s="1">
        <v>44863</v>
      </c>
      <c r="D1754" t="s">
        <v>990</v>
      </c>
      <c r="E1754" t="s">
        <v>45</v>
      </c>
      <c r="F1754" t="s">
        <v>45</v>
      </c>
      <c r="G1754" t="s">
        <v>50</v>
      </c>
      <c r="H1754" t="s">
        <v>21</v>
      </c>
      <c r="I1754" t="s">
        <v>77</v>
      </c>
      <c r="J1754">
        <v>2</v>
      </c>
      <c r="K1754">
        <v>3538000</v>
      </c>
      <c r="L1754" s="2" t="s">
        <v>2659</v>
      </c>
      <c r="M1754" t="s">
        <v>23</v>
      </c>
      <c r="N1754">
        <v>6638000</v>
      </c>
      <c r="O1754">
        <v>4</v>
      </c>
      <c r="P1754" t="b">
        <v>1</v>
      </c>
    </row>
    <row r="1755" spans="1:16" x14ac:dyDescent="0.2">
      <c r="A1755" t="s">
        <v>2660</v>
      </c>
      <c r="B1755" s="1">
        <v>44792</v>
      </c>
      <c r="C1755" s="1">
        <v>44844</v>
      </c>
      <c r="D1755" t="s">
        <v>2496</v>
      </c>
      <c r="E1755" t="s">
        <v>45</v>
      </c>
      <c r="F1755" t="s">
        <v>34</v>
      </c>
      <c r="G1755" t="s">
        <v>20</v>
      </c>
      <c r="H1755" t="s">
        <v>21</v>
      </c>
      <c r="I1755" t="s">
        <v>26</v>
      </c>
      <c r="J1755">
        <v>1</v>
      </c>
      <c r="K1755">
        <v>3919000</v>
      </c>
      <c r="L1755" s="2" t="s">
        <v>2661</v>
      </c>
      <c r="M1755" t="s">
        <v>23</v>
      </c>
      <c r="N1755">
        <v>3440000</v>
      </c>
      <c r="O1755">
        <v>3.7</v>
      </c>
      <c r="P1755" t="b">
        <v>1</v>
      </c>
    </row>
    <row r="1756" spans="1:16" x14ac:dyDescent="0.2">
      <c r="A1756" t="s">
        <v>2662</v>
      </c>
      <c r="B1756" s="1">
        <v>44792</v>
      </c>
      <c r="C1756" s="1">
        <v>44845</v>
      </c>
      <c r="D1756" t="s">
        <v>202</v>
      </c>
      <c r="E1756" t="s">
        <v>33</v>
      </c>
      <c r="F1756" t="s">
        <v>19</v>
      </c>
      <c r="G1756" t="s">
        <v>20</v>
      </c>
      <c r="H1756" t="s">
        <v>21</v>
      </c>
      <c r="I1756" t="s">
        <v>99</v>
      </c>
      <c r="J1756">
        <v>3</v>
      </c>
      <c r="K1756">
        <v>2302000</v>
      </c>
      <c r="L1756" s="2" t="s">
        <v>2663</v>
      </c>
      <c r="M1756" t="s">
        <v>23</v>
      </c>
      <c r="N1756">
        <v>5880000</v>
      </c>
      <c r="O1756">
        <v>3.8</v>
      </c>
      <c r="P1756" t="b">
        <v>1</v>
      </c>
    </row>
    <row r="1757" spans="1:16" x14ac:dyDescent="0.2">
      <c r="A1757" t="s">
        <v>2664</v>
      </c>
      <c r="B1757" s="1">
        <v>44792</v>
      </c>
      <c r="C1757" s="1">
        <v>44838</v>
      </c>
      <c r="D1757" t="s">
        <v>894</v>
      </c>
      <c r="E1757" t="s">
        <v>29</v>
      </c>
      <c r="F1757" t="s">
        <v>25</v>
      </c>
      <c r="G1757" t="s">
        <v>20</v>
      </c>
      <c r="H1757" t="s">
        <v>40</v>
      </c>
      <c r="I1757" t="s">
        <v>94</v>
      </c>
      <c r="J1757">
        <v>2</v>
      </c>
      <c r="K1757">
        <v>4549000</v>
      </c>
      <c r="L1757" s="2" t="s">
        <v>2665</v>
      </c>
      <c r="M1757" t="s">
        <v>23</v>
      </c>
      <c r="N1757">
        <v>7319000</v>
      </c>
      <c r="O1757">
        <v>4.9000000000000004</v>
      </c>
      <c r="P1757" t="b">
        <v>1</v>
      </c>
    </row>
    <row r="1758" spans="1:16" x14ac:dyDescent="0.2">
      <c r="A1758" t="s">
        <v>2666</v>
      </c>
      <c r="B1758" s="1">
        <v>44792</v>
      </c>
      <c r="C1758" s="1">
        <v>44819</v>
      </c>
      <c r="D1758" t="s">
        <v>1753</v>
      </c>
      <c r="E1758" t="s">
        <v>33</v>
      </c>
      <c r="F1758" t="s">
        <v>34</v>
      </c>
      <c r="G1758" t="s">
        <v>50</v>
      </c>
      <c r="H1758" t="s">
        <v>21</v>
      </c>
      <c r="I1758" t="s">
        <v>57</v>
      </c>
      <c r="J1758">
        <v>2</v>
      </c>
      <c r="K1758">
        <v>4524000</v>
      </c>
      <c r="L1758" s="2" t="s">
        <v>2667</v>
      </c>
      <c r="M1758" t="s">
        <v>1673</v>
      </c>
      <c r="N1758">
        <v>7716000</v>
      </c>
      <c r="O1758">
        <v>3.6</v>
      </c>
      <c r="P1758" t="b">
        <v>1</v>
      </c>
    </row>
    <row r="1759" spans="1:16" x14ac:dyDescent="0.2">
      <c r="A1759" t="s">
        <v>2668</v>
      </c>
      <c r="B1759" s="1">
        <v>44792</v>
      </c>
      <c r="C1759" s="1">
        <v>44802</v>
      </c>
      <c r="D1759" t="s">
        <v>2154</v>
      </c>
      <c r="E1759" t="s">
        <v>18</v>
      </c>
      <c r="F1759" t="s">
        <v>34</v>
      </c>
      <c r="G1759" t="s">
        <v>20</v>
      </c>
      <c r="H1759" t="s">
        <v>21</v>
      </c>
      <c r="I1759" t="s">
        <v>94</v>
      </c>
      <c r="J1759">
        <v>1</v>
      </c>
      <c r="K1759">
        <v>4783000</v>
      </c>
      <c r="L1759">
        <v>8.3732746276136499E-2</v>
      </c>
      <c r="M1759" t="s">
        <v>23</v>
      </c>
      <c r="N1759">
        <v>4383000</v>
      </c>
      <c r="O1759">
        <v>4.3</v>
      </c>
      <c r="P1759" t="b">
        <v>1</v>
      </c>
    </row>
    <row r="1760" spans="1:16" x14ac:dyDescent="0.2">
      <c r="A1760" t="s">
        <v>2669</v>
      </c>
      <c r="B1760" s="1">
        <v>44792</v>
      </c>
      <c r="C1760" s="1">
        <v>44863</v>
      </c>
      <c r="D1760" t="s">
        <v>1087</v>
      </c>
      <c r="E1760" t="s">
        <v>45</v>
      </c>
      <c r="F1760" t="s">
        <v>68</v>
      </c>
      <c r="G1760" t="s">
        <v>35</v>
      </c>
      <c r="H1760" t="s">
        <v>21</v>
      </c>
      <c r="I1760" t="s">
        <v>52</v>
      </c>
      <c r="J1760">
        <v>2</v>
      </c>
      <c r="K1760">
        <v>2301000</v>
      </c>
      <c r="L1760" s="2" t="s">
        <v>2670</v>
      </c>
      <c r="M1760" t="s">
        <v>65</v>
      </c>
      <c r="N1760">
        <v>0</v>
      </c>
      <c r="P1760" t="b">
        <v>1</v>
      </c>
    </row>
    <row r="1761" spans="1:16" x14ac:dyDescent="0.2">
      <c r="A1761" t="s">
        <v>2671</v>
      </c>
      <c r="B1761" s="1">
        <v>44793</v>
      </c>
      <c r="C1761" s="1">
        <v>44873</v>
      </c>
      <c r="D1761" t="s">
        <v>1112</v>
      </c>
      <c r="E1761" t="s">
        <v>18</v>
      </c>
      <c r="F1761" t="s">
        <v>45</v>
      </c>
      <c r="G1761" t="s">
        <v>20</v>
      </c>
      <c r="H1761" t="s">
        <v>21</v>
      </c>
      <c r="I1761" t="s">
        <v>30</v>
      </c>
      <c r="J1761">
        <v>2</v>
      </c>
      <c r="K1761">
        <v>3126000</v>
      </c>
      <c r="L1761" s="2" t="s">
        <v>2672</v>
      </c>
      <c r="M1761" t="s">
        <v>65</v>
      </c>
      <c r="N1761">
        <v>0</v>
      </c>
      <c r="P1761" t="b">
        <v>1</v>
      </c>
    </row>
    <row r="1762" spans="1:16" x14ac:dyDescent="0.2">
      <c r="A1762" t="s">
        <v>2673</v>
      </c>
      <c r="B1762" s="1">
        <v>44793</v>
      </c>
      <c r="C1762" s="1">
        <v>44818</v>
      </c>
      <c r="D1762" t="s">
        <v>1745</v>
      </c>
      <c r="E1762" t="s">
        <v>18</v>
      </c>
      <c r="F1762" t="s">
        <v>39</v>
      </c>
      <c r="G1762" t="s">
        <v>20</v>
      </c>
      <c r="H1762" t="s">
        <v>47</v>
      </c>
      <c r="I1762" t="s">
        <v>60</v>
      </c>
      <c r="J1762">
        <v>3</v>
      </c>
      <c r="K1762">
        <v>2490000</v>
      </c>
      <c r="L1762" s="3">
        <v>7.6999999999999999E-2</v>
      </c>
      <c r="M1762" t="s">
        <v>23</v>
      </c>
      <c r="N1762">
        <v>6893000</v>
      </c>
      <c r="O1762">
        <v>3.5</v>
      </c>
      <c r="P1762" t="b">
        <v>1</v>
      </c>
    </row>
    <row r="1763" spans="1:16" x14ac:dyDescent="0.2">
      <c r="A1763" t="s">
        <v>2674</v>
      </c>
      <c r="B1763" s="1">
        <v>44794</v>
      </c>
      <c r="C1763" s="1">
        <v>44810</v>
      </c>
      <c r="D1763" t="s">
        <v>2675</v>
      </c>
      <c r="E1763" t="s">
        <v>18</v>
      </c>
      <c r="F1763" t="s">
        <v>19</v>
      </c>
      <c r="G1763" t="s">
        <v>35</v>
      </c>
      <c r="H1763" t="s">
        <v>21</v>
      </c>
      <c r="I1763" t="s">
        <v>22</v>
      </c>
      <c r="J1763">
        <v>1</v>
      </c>
      <c r="K1763">
        <v>2149000</v>
      </c>
      <c r="L1763">
        <v>8.8684819601674098E-2</v>
      </c>
      <c r="M1763" t="s">
        <v>23</v>
      </c>
      <c r="N1763">
        <v>1958000</v>
      </c>
      <c r="O1763">
        <v>4.5</v>
      </c>
      <c r="P1763" t="b">
        <v>0</v>
      </c>
    </row>
    <row r="1764" spans="1:16" x14ac:dyDescent="0.2">
      <c r="A1764" t="s">
        <v>2676</v>
      </c>
      <c r="B1764" s="1">
        <v>44795</v>
      </c>
      <c r="C1764" s="1">
        <v>44864</v>
      </c>
      <c r="D1764" t="s">
        <v>2589</v>
      </c>
      <c r="E1764" t="s">
        <v>18</v>
      </c>
      <c r="F1764" t="s">
        <v>34</v>
      </c>
      <c r="G1764" t="s">
        <v>20</v>
      </c>
      <c r="H1764" t="s">
        <v>21</v>
      </c>
      <c r="I1764" t="s">
        <v>30</v>
      </c>
      <c r="J1764">
        <v>3</v>
      </c>
      <c r="K1764">
        <v>3430000</v>
      </c>
      <c r="L1764" s="2" t="s">
        <v>2677</v>
      </c>
      <c r="M1764" t="s">
        <v>23</v>
      </c>
      <c r="N1764">
        <v>9253000</v>
      </c>
      <c r="O1764">
        <v>4</v>
      </c>
      <c r="P1764" t="b">
        <v>1</v>
      </c>
    </row>
    <row r="1765" spans="1:16" x14ac:dyDescent="0.2">
      <c r="A1765" t="s">
        <v>2678</v>
      </c>
      <c r="B1765" s="1">
        <v>44795</v>
      </c>
      <c r="C1765" s="1">
        <v>44878</v>
      </c>
      <c r="D1765" t="s">
        <v>2679</v>
      </c>
      <c r="E1765" t="s">
        <v>33</v>
      </c>
      <c r="F1765" t="s">
        <v>45</v>
      </c>
      <c r="G1765" t="s">
        <v>20</v>
      </c>
      <c r="H1765" t="s">
        <v>40</v>
      </c>
      <c r="I1765" t="s">
        <v>2680</v>
      </c>
      <c r="J1765">
        <v>1</v>
      </c>
      <c r="K1765">
        <v>2920000</v>
      </c>
      <c r="L1765" s="2" t="s">
        <v>2681</v>
      </c>
      <c r="M1765" t="s">
        <v>23</v>
      </c>
      <c r="N1765">
        <v>2463000</v>
      </c>
      <c r="O1765">
        <v>4.5</v>
      </c>
      <c r="P1765" t="b">
        <v>0</v>
      </c>
    </row>
    <row r="1766" spans="1:16" x14ac:dyDescent="0.2">
      <c r="A1766" t="s">
        <v>2682</v>
      </c>
      <c r="B1766" s="1">
        <v>44796</v>
      </c>
      <c r="C1766" s="1">
        <v>44844</v>
      </c>
      <c r="D1766" t="s">
        <v>105</v>
      </c>
      <c r="E1766" t="s">
        <v>18</v>
      </c>
      <c r="F1766" t="s">
        <v>19</v>
      </c>
      <c r="G1766" t="s">
        <v>20</v>
      </c>
      <c r="H1766" t="s">
        <v>47</v>
      </c>
      <c r="I1766" t="s">
        <v>83</v>
      </c>
      <c r="J1766">
        <v>1</v>
      </c>
      <c r="K1766">
        <v>2644000</v>
      </c>
      <c r="L1766" s="2" t="s">
        <v>2683</v>
      </c>
      <c r="M1766" t="s">
        <v>23</v>
      </c>
      <c r="N1766">
        <v>2369000</v>
      </c>
      <c r="O1766">
        <v>4.4000000000000004</v>
      </c>
      <c r="P1766" t="b">
        <v>1</v>
      </c>
    </row>
    <row r="1767" spans="1:16" x14ac:dyDescent="0.2">
      <c r="A1767" t="s">
        <v>2684</v>
      </c>
      <c r="B1767" s="1">
        <v>44796</v>
      </c>
      <c r="C1767" s="1">
        <v>44847</v>
      </c>
      <c r="D1767" t="s">
        <v>382</v>
      </c>
      <c r="E1767" t="s">
        <v>33</v>
      </c>
      <c r="F1767" t="s">
        <v>25</v>
      </c>
      <c r="G1767" t="s">
        <v>50</v>
      </c>
      <c r="H1767" t="s">
        <v>21</v>
      </c>
      <c r="I1767" t="s">
        <v>57</v>
      </c>
      <c r="J1767">
        <v>1</v>
      </c>
      <c r="K1767">
        <v>4842000</v>
      </c>
      <c r="L1767" s="2" t="s">
        <v>2685</v>
      </c>
      <c r="M1767" t="s">
        <v>23</v>
      </c>
      <c r="N1767">
        <v>4571000</v>
      </c>
      <c r="O1767">
        <v>3.9</v>
      </c>
      <c r="P1767" t="b">
        <v>1</v>
      </c>
    </row>
    <row r="1768" spans="1:16" x14ac:dyDescent="0.2">
      <c r="A1768" t="s">
        <v>2686</v>
      </c>
      <c r="B1768" s="1">
        <v>44796</v>
      </c>
      <c r="C1768" s="1">
        <v>44841</v>
      </c>
      <c r="D1768" t="s">
        <v>2318</v>
      </c>
      <c r="E1768" t="s">
        <v>45</v>
      </c>
      <c r="F1768" t="s">
        <v>39</v>
      </c>
      <c r="G1768" t="s">
        <v>50</v>
      </c>
      <c r="H1768" t="s">
        <v>21</v>
      </c>
      <c r="I1768" t="s">
        <v>57</v>
      </c>
      <c r="J1768">
        <v>3</v>
      </c>
      <c r="K1768">
        <v>2460000</v>
      </c>
      <c r="L1768" s="2" t="s">
        <v>2687</v>
      </c>
      <c r="M1768" t="s">
        <v>23</v>
      </c>
      <c r="N1768">
        <v>6507000</v>
      </c>
      <c r="O1768">
        <v>4.4000000000000004</v>
      </c>
      <c r="P1768" t="b">
        <v>1</v>
      </c>
    </row>
    <row r="1769" spans="1:16" x14ac:dyDescent="0.2">
      <c r="A1769" t="s">
        <v>2688</v>
      </c>
      <c r="B1769" s="1">
        <v>44797</v>
      </c>
      <c r="C1769" s="1">
        <v>44859</v>
      </c>
      <c r="D1769" t="s">
        <v>2689</v>
      </c>
      <c r="E1769" t="s">
        <v>18</v>
      </c>
      <c r="F1769" t="s">
        <v>39</v>
      </c>
      <c r="G1769" t="s">
        <v>20</v>
      </c>
      <c r="H1769" t="s">
        <v>21</v>
      </c>
      <c r="I1769" t="s">
        <v>94</v>
      </c>
      <c r="J1769">
        <v>3</v>
      </c>
      <c r="K1769">
        <v>2487000</v>
      </c>
      <c r="L1769">
        <v>8.1966564913223502E-2</v>
      </c>
      <c r="M1769" t="s">
        <v>23</v>
      </c>
      <c r="N1769">
        <v>6849000</v>
      </c>
      <c r="O1769">
        <v>4.7</v>
      </c>
      <c r="P1769" t="b">
        <v>0</v>
      </c>
    </row>
    <row r="1770" spans="1:16" x14ac:dyDescent="0.2">
      <c r="A1770" t="s">
        <v>2690</v>
      </c>
      <c r="B1770" s="1">
        <v>44798</v>
      </c>
      <c r="C1770" s="1">
        <v>44812</v>
      </c>
      <c r="D1770" t="s">
        <v>1910</v>
      </c>
      <c r="E1770" t="s">
        <v>29</v>
      </c>
      <c r="F1770" t="s">
        <v>45</v>
      </c>
      <c r="G1770" t="s">
        <v>35</v>
      </c>
      <c r="H1770" t="s">
        <v>21</v>
      </c>
      <c r="I1770" t="s">
        <v>94</v>
      </c>
      <c r="J1770">
        <v>1</v>
      </c>
      <c r="K1770">
        <v>3078000</v>
      </c>
      <c r="L1770" s="2" t="s">
        <v>2691</v>
      </c>
      <c r="M1770" t="s">
        <v>1656</v>
      </c>
      <c r="N1770">
        <v>3033000</v>
      </c>
      <c r="O1770">
        <v>5</v>
      </c>
      <c r="P1770" t="b">
        <v>1</v>
      </c>
    </row>
    <row r="1771" spans="1:16" x14ac:dyDescent="0.2">
      <c r="A1771" t="s">
        <v>2692</v>
      </c>
      <c r="B1771" s="1">
        <v>44798</v>
      </c>
      <c r="C1771" s="1">
        <v>44847</v>
      </c>
      <c r="D1771" t="s">
        <v>896</v>
      </c>
      <c r="E1771" t="s">
        <v>45</v>
      </c>
      <c r="F1771" t="s">
        <v>19</v>
      </c>
      <c r="H1771" t="s">
        <v>47</v>
      </c>
      <c r="I1771" t="s">
        <v>52</v>
      </c>
      <c r="J1771">
        <v>2</v>
      </c>
      <c r="K1771">
        <v>2623000</v>
      </c>
      <c r="L1771">
        <v>9.7901298343677598E-2</v>
      </c>
      <c r="M1771" t="s">
        <v>23</v>
      </c>
      <c r="N1771">
        <v>4732000</v>
      </c>
      <c r="O1771">
        <v>3.7</v>
      </c>
      <c r="P1771" t="b">
        <v>1</v>
      </c>
    </row>
    <row r="1772" spans="1:16" x14ac:dyDescent="0.2">
      <c r="A1772" t="s">
        <v>2693</v>
      </c>
      <c r="B1772" s="1">
        <v>44798</v>
      </c>
      <c r="C1772" s="1">
        <v>44853</v>
      </c>
      <c r="D1772" t="s">
        <v>32</v>
      </c>
      <c r="E1772" t="s">
        <v>33</v>
      </c>
      <c r="F1772" t="s">
        <v>19</v>
      </c>
      <c r="G1772" t="s">
        <v>20</v>
      </c>
      <c r="H1772" t="s">
        <v>51</v>
      </c>
      <c r="I1772" t="s">
        <v>60</v>
      </c>
      <c r="J1772">
        <v>2</v>
      </c>
      <c r="K1772">
        <v>2930000</v>
      </c>
      <c r="L1772" s="2" t="s">
        <v>2694</v>
      </c>
      <c r="M1772" t="s">
        <v>23</v>
      </c>
      <c r="N1772">
        <v>5043000</v>
      </c>
      <c r="O1772">
        <v>4.2</v>
      </c>
      <c r="P1772" t="b">
        <v>1</v>
      </c>
    </row>
    <row r="1773" spans="1:16" x14ac:dyDescent="0.2">
      <c r="A1773" t="s">
        <v>2695</v>
      </c>
      <c r="B1773" s="1">
        <v>44798</v>
      </c>
      <c r="C1773" s="1">
        <v>44813</v>
      </c>
      <c r="D1773" t="s">
        <v>298</v>
      </c>
      <c r="E1773" t="s">
        <v>18</v>
      </c>
      <c r="F1773" t="s">
        <v>34</v>
      </c>
      <c r="G1773" t="s">
        <v>35</v>
      </c>
      <c r="H1773" t="s">
        <v>21</v>
      </c>
      <c r="I1773" t="s">
        <v>22</v>
      </c>
      <c r="J1773">
        <v>1</v>
      </c>
      <c r="K1773">
        <v>3143000</v>
      </c>
      <c r="L1773" s="2" t="s">
        <v>2696</v>
      </c>
      <c r="M1773" t="s">
        <v>23</v>
      </c>
      <c r="N1773">
        <v>2804000</v>
      </c>
      <c r="O1773">
        <v>5</v>
      </c>
      <c r="P1773" t="b">
        <v>1</v>
      </c>
    </row>
    <row r="1774" spans="1:16" x14ac:dyDescent="0.2">
      <c r="A1774" t="s">
        <v>2697</v>
      </c>
      <c r="B1774" s="1">
        <v>44799</v>
      </c>
      <c r="C1774" s="1">
        <v>44849</v>
      </c>
      <c r="D1774" t="s">
        <v>2698</v>
      </c>
      <c r="E1774" t="s">
        <v>33</v>
      </c>
      <c r="F1774" t="s">
        <v>19</v>
      </c>
      <c r="G1774" t="s">
        <v>20</v>
      </c>
      <c r="H1774" t="s">
        <v>47</v>
      </c>
      <c r="J1774">
        <v>2</v>
      </c>
      <c r="K1774">
        <v>2529000</v>
      </c>
      <c r="L1774" s="2" t="s">
        <v>2699</v>
      </c>
      <c r="M1774" t="s">
        <v>23</v>
      </c>
      <c r="N1774">
        <v>4307000</v>
      </c>
      <c r="O1774">
        <v>5</v>
      </c>
      <c r="P1774" t="b">
        <v>0</v>
      </c>
    </row>
    <row r="1775" spans="1:16" x14ac:dyDescent="0.2">
      <c r="A1775" t="s">
        <v>2700</v>
      </c>
      <c r="B1775" s="1">
        <v>44799</v>
      </c>
      <c r="C1775" s="1">
        <v>44862</v>
      </c>
      <c r="D1775" t="s">
        <v>2701</v>
      </c>
      <c r="E1775" t="s">
        <v>45</v>
      </c>
      <c r="F1775" t="s">
        <v>39</v>
      </c>
      <c r="G1775" t="s">
        <v>50</v>
      </c>
      <c r="H1775" t="s">
        <v>21</v>
      </c>
      <c r="I1775" t="s">
        <v>57</v>
      </c>
      <c r="J1775">
        <v>2</v>
      </c>
      <c r="K1775">
        <v>2442000</v>
      </c>
      <c r="L1775" s="2" t="s">
        <v>2702</v>
      </c>
      <c r="M1775" t="s">
        <v>1656</v>
      </c>
      <c r="N1775">
        <v>4375000</v>
      </c>
      <c r="O1775">
        <v>4.3</v>
      </c>
      <c r="P1775" t="b">
        <v>0</v>
      </c>
    </row>
    <row r="1776" spans="1:16" x14ac:dyDescent="0.2">
      <c r="A1776" t="s">
        <v>2703</v>
      </c>
      <c r="B1776" s="1">
        <v>44799</v>
      </c>
      <c r="C1776" s="1">
        <v>44879</v>
      </c>
      <c r="D1776" t="s">
        <v>779</v>
      </c>
      <c r="E1776" t="s">
        <v>45</v>
      </c>
      <c r="F1776" t="s">
        <v>34</v>
      </c>
      <c r="G1776" t="s">
        <v>20</v>
      </c>
      <c r="H1776" t="s">
        <v>47</v>
      </c>
      <c r="I1776" t="s">
        <v>22</v>
      </c>
      <c r="J1776">
        <v>2</v>
      </c>
      <c r="K1776">
        <v>3575000</v>
      </c>
      <c r="L1776">
        <v>9.5209737888704404E-2</v>
      </c>
      <c r="M1776" t="s">
        <v>23</v>
      </c>
      <c r="N1776">
        <v>6469000</v>
      </c>
      <c r="O1776">
        <v>5</v>
      </c>
      <c r="P1776" t="b">
        <v>1</v>
      </c>
    </row>
    <row r="1777" spans="1:16" x14ac:dyDescent="0.2">
      <c r="A1777" t="s">
        <v>2704</v>
      </c>
      <c r="B1777" s="1">
        <v>44799</v>
      </c>
      <c r="C1777" s="1">
        <v>44840</v>
      </c>
      <c r="D1777" t="s">
        <v>2705</v>
      </c>
      <c r="E1777" t="s">
        <v>18</v>
      </c>
      <c r="F1777" t="s">
        <v>19</v>
      </c>
      <c r="G1777" t="s">
        <v>46</v>
      </c>
      <c r="H1777" t="s">
        <v>21</v>
      </c>
      <c r="I1777" t="s">
        <v>22</v>
      </c>
      <c r="J1777">
        <v>1</v>
      </c>
      <c r="K1777">
        <v>2122000</v>
      </c>
      <c r="L1777" s="2" t="s">
        <v>2706</v>
      </c>
      <c r="M1777" t="s">
        <v>23</v>
      </c>
      <c r="N1777">
        <v>1865000</v>
      </c>
      <c r="O1777">
        <v>4</v>
      </c>
      <c r="P1777" t="b">
        <v>0</v>
      </c>
    </row>
    <row r="1778" spans="1:16" x14ac:dyDescent="0.2">
      <c r="A1778" t="s">
        <v>2707</v>
      </c>
      <c r="B1778" s="1">
        <v>44800</v>
      </c>
      <c r="C1778" s="1">
        <v>44837</v>
      </c>
      <c r="D1778" t="s">
        <v>134</v>
      </c>
      <c r="E1778" t="s">
        <v>45</v>
      </c>
      <c r="F1778" t="s">
        <v>68</v>
      </c>
      <c r="G1778" t="s">
        <v>50</v>
      </c>
      <c r="H1778" t="s">
        <v>21</v>
      </c>
      <c r="I1778" t="s">
        <v>26</v>
      </c>
      <c r="J1778">
        <v>4</v>
      </c>
      <c r="K1778">
        <v>2686000</v>
      </c>
      <c r="L1778">
        <v>4.7323638383693002E-2</v>
      </c>
      <c r="M1778" t="s">
        <v>23</v>
      </c>
      <c r="N1778">
        <v>10236000</v>
      </c>
      <c r="O1778">
        <v>4.3</v>
      </c>
      <c r="P1778" t="b">
        <v>1</v>
      </c>
    </row>
    <row r="1779" spans="1:16" x14ac:dyDescent="0.2">
      <c r="A1779" t="s">
        <v>2708</v>
      </c>
      <c r="B1779" s="1">
        <v>44800</v>
      </c>
      <c r="C1779" s="1">
        <v>44849</v>
      </c>
      <c r="D1779" t="s">
        <v>2709</v>
      </c>
      <c r="E1779" t="s">
        <v>45</v>
      </c>
      <c r="F1779" t="s">
        <v>25</v>
      </c>
      <c r="G1779" t="s">
        <v>50</v>
      </c>
      <c r="H1779" t="s">
        <v>40</v>
      </c>
      <c r="I1779" t="s">
        <v>83</v>
      </c>
      <c r="J1779">
        <v>3</v>
      </c>
      <c r="K1779">
        <v>4467000</v>
      </c>
      <c r="L1779">
        <v>8.6664632345394205E-2</v>
      </c>
      <c r="M1779" t="s">
        <v>23</v>
      </c>
      <c r="N1779">
        <v>12240000</v>
      </c>
      <c r="O1779">
        <v>4.8</v>
      </c>
      <c r="P1779" t="b">
        <v>0</v>
      </c>
    </row>
    <row r="1780" spans="1:16" x14ac:dyDescent="0.2">
      <c r="A1780" t="s">
        <v>2710</v>
      </c>
      <c r="B1780" s="1">
        <v>44800</v>
      </c>
      <c r="C1780" s="1">
        <v>44846</v>
      </c>
      <c r="D1780" t="s">
        <v>363</v>
      </c>
      <c r="E1780" t="s">
        <v>29</v>
      </c>
      <c r="F1780" t="s">
        <v>34</v>
      </c>
      <c r="G1780" t="s">
        <v>46</v>
      </c>
      <c r="H1780" t="s">
        <v>51</v>
      </c>
      <c r="I1780" t="s">
        <v>22</v>
      </c>
      <c r="J1780">
        <v>1</v>
      </c>
      <c r="K1780">
        <v>3589000</v>
      </c>
      <c r="L1780" s="2" t="s">
        <v>2711</v>
      </c>
      <c r="M1780" t="s">
        <v>23</v>
      </c>
      <c r="N1780">
        <v>3482000</v>
      </c>
      <c r="O1780">
        <v>4.4000000000000004</v>
      </c>
      <c r="P1780" t="b">
        <v>1</v>
      </c>
    </row>
    <row r="1781" spans="1:16" x14ac:dyDescent="0.2">
      <c r="A1781" t="s">
        <v>2712</v>
      </c>
      <c r="B1781" s="1">
        <v>44800</v>
      </c>
      <c r="C1781" s="1">
        <v>44875</v>
      </c>
      <c r="D1781" t="s">
        <v>2315</v>
      </c>
      <c r="E1781" t="s">
        <v>29</v>
      </c>
      <c r="F1781" t="s">
        <v>34</v>
      </c>
      <c r="G1781" t="s">
        <v>35</v>
      </c>
      <c r="H1781" t="s">
        <v>47</v>
      </c>
      <c r="I1781" t="s">
        <v>60</v>
      </c>
      <c r="J1781">
        <v>3</v>
      </c>
      <c r="K1781">
        <v>4291000</v>
      </c>
      <c r="L1781" s="2" t="s">
        <v>2713</v>
      </c>
      <c r="M1781" t="s">
        <v>65</v>
      </c>
      <c r="N1781">
        <v>0</v>
      </c>
      <c r="P1781" t="b">
        <v>1</v>
      </c>
    </row>
    <row r="1782" spans="1:16" x14ac:dyDescent="0.2">
      <c r="A1782" t="s">
        <v>2714</v>
      </c>
      <c r="B1782" s="1">
        <v>44800</v>
      </c>
      <c r="C1782" s="1">
        <v>44882</v>
      </c>
      <c r="D1782" t="s">
        <v>323</v>
      </c>
      <c r="E1782" t="s">
        <v>45</v>
      </c>
      <c r="F1782" t="s">
        <v>34</v>
      </c>
      <c r="G1782" t="s">
        <v>50</v>
      </c>
      <c r="H1782" t="s">
        <v>21</v>
      </c>
      <c r="I1782" t="s">
        <v>22</v>
      </c>
      <c r="J1782">
        <v>2</v>
      </c>
      <c r="K1782">
        <v>3447000</v>
      </c>
      <c r="L1782" s="2" t="s">
        <v>2715</v>
      </c>
      <c r="M1782" t="s">
        <v>23</v>
      </c>
      <c r="N1782">
        <v>6626000</v>
      </c>
      <c r="O1782">
        <v>3.7</v>
      </c>
      <c r="P1782" t="b">
        <v>1</v>
      </c>
    </row>
    <row r="1783" spans="1:16" x14ac:dyDescent="0.2">
      <c r="A1783" t="s">
        <v>2716</v>
      </c>
      <c r="B1783" s="1">
        <v>44800</v>
      </c>
      <c r="C1783" s="1">
        <v>44842</v>
      </c>
      <c r="D1783" t="s">
        <v>307</v>
      </c>
      <c r="E1783" t="s">
        <v>33</v>
      </c>
      <c r="F1783" t="s">
        <v>25</v>
      </c>
      <c r="G1783" t="s">
        <v>20</v>
      </c>
      <c r="H1783" t="s">
        <v>21</v>
      </c>
      <c r="I1783" t="s">
        <v>77</v>
      </c>
      <c r="J1783">
        <v>1</v>
      </c>
      <c r="K1783">
        <v>5635000</v>
      </c>
      <c r="L1783" s="2" t="s">
        <v>2717</v>
      </c>
      <c r="M1783" t="s">
        <v>23</v>
      </c>
      <c r="N1783">
        <v>5037000</v>
      </c>
      <c r="O1783">
        <v>4</v>
      </c>
      <c r="P1783" t="b">
        <v>1</v>
      </c>
    </row>
    <row r="1784" spans="1:16" x14ac:dyDescent="0.2">
      <c r="A1784" t="s">
        <v>2718</v>
      </c>
      <c r="B1784" s="1">
        <v>44801</v>
      </c>
      <c r="C1784" s="1">
        <v>44848</v>
      </c>
      <c r="D1784" t="s">
        <v>2313</v>
      </c>
      <c r="E1784" t="s">
        <v>33</v>
      </c>
      <c r="F1784" t="s">
        <v>25</v>
      </c>
      <c r="G1784" t="s">
        <v>35</v>
      </c>
      <c r="H1784" t="s">
        <v>21</v>
      </c>
      <c r="I1784" t="s">
        <v>26</v>
      </c>
      <c r="J1784">
        <v>2</v>
      </c>
      <c r="K1784">
        <v>4954000</v>
      </c>
      <c r="L1784">
        <v>9.9343977708268694E-2</v>
      </c>
      <c r="M1784" t="s">
        <v>23</v>
      </c>
      <c r="N1784">
        <v>8924000</v>
      </c>
      <c r="O1784">
        <v>3.8</v>
      </c>
      <c r="P1784" t="b">
        <v>1</v>
      </c>
    </row>
    <row r="1785" spans="1:16" x14ac:dyDescent="0.2">
      <c r="A1785" t="s">
        <v>2719</v>
      </c>
      <c r="B1785" s="1">
        <v>44801</v>
      </c>
      <c r="C1785" s="1">
        <v>44830</v>
      </c>
      <c r="D1785" t="s">
        <v>468</v>
      </c>
      <c r="E1785" t="s">
        <v>29</v>
      </c>
      <c r="F1785" t="s">
        <v>39</v>
      </c>
      <c r="G1785" t="s">
        <v>50</v>
      </c>
      <c r="H1785" t="s">
        <v>40</v>
      </c>
      <c r="I1785" t="s">
        <v>77</v>
      </c>
      <c r="J1785">
        <v>4</v>
      </c>
      <c r="K1785">
        <v>2570000</v>
      </c>
      <c r="L1785" s="2" t="s">
        <v>2720</v>
      </c>
      <c r="M1785" t="s">
        <v>65</v>
      </c>
      <c r="N1785">
        <v>0</v>
      </c>
      <c r="P1785" t="b">
        <v>1</v>
      </c>
    </row>
    <row r="1786" spans="1:16" x14ac:dyDescent="0.2">
      <c r="A1786" t="s">
        <v>2721</v>
      </c>
      <c r="B1786" s="1">
        <v>44802</v>
      </c>
      <c r="C1786" s="1">
        <v>44861</v>
      </c>
      <c r="D1786" t="s">
        <v>2014</v>
      </c>
      <c r="E1786" t="s">
        <v>45</v>
      </c>
      <c r="F1786" t="s">
        <v>19</v>
      </c>
      <c r="G1786" t="s">
        <v>50</v>
      </c>
      <c r="H1786" t="s">
        <v>21</v>
      </c>
      <c r="I1786" t="s">
        <v>57</v>
      </c>
      <c r="J1786">
        <v>1</v>
      </c>
      <c r="K1786">
        <v>3053000</v>
      </c>
      <c r="L1786" s="2" t="s">
        <v>2722</v>
      </c>
      <c r="M1786" t="s">
        <v>23</v>
      </c>
      <c r="N1786">
        <v>2693000</v>
      </c>
      <c r="O1786">
        <v>3.8</v>
      </c>
      <c r="P1786" t="b">
        <v>1</v>
      </c>
    </row>
    <row r="1787" spans="1:16" x14ac:dyDescent="0.2">
      <c r="A1787" t="s">
        <v>2723</v>
      </c>
      <c r="B1787" s="1">
        <v>44802</v>
      </c>
      <c r="C1787" s="1">
        <v>44877</v>
      </c>
      <c r="D1787" t="s">
        <v>2724</v>
      </c>
      <c r="E1787" t="s">
        <v>18</v>
      </c>
      <c r="F1787" t="s">
        <v>45</v>
      </c>
      <c r="H1787" t="s">
        <v>21</v>
      </c>
      <c r="I1787" t="s">
        <v>57</v>
      </c>
      <c r="J1787">
        <v>2</v>
      </c>
      <c r="K1787">
        <v>3559000</v>
      </c>
      <c r="L1787" s="2" t="s">
        <v>2725</v>
      </c>
      <c r="M1787" t="s">
        <v>23</v>
      </c>
      <c r="N1787">
        <v>5931000</v>
      </c>
      <c r="O1787">
        <v>4.0999999999999996</v>
      </c>
      <c r="P1787" t="b">
        <v>0</v>
      </c>
    </row>
    <row r="1788" spans="1:16" x14ac:dyDescent="0.2">
      <c r="A1788" t="s">
        <v>2726</v>
      </c>
      <c r="B1788" s="1">
        <v>44802</v>
      </c>
      <c r="C1788" s="1">
        <v>44814</v>
      </c>
      <c r="D1788" t="s">
        <v>1850</v>
      </c>
      <c r="E1788" t="s">
        <v>18</v>
      </c>
      <c r="F1788" t="s">
        <v>45</v>
      </c>
      <c r="G1788" t="s">
        <v>50</v>
      </c>
      <c r="H1788" t="s">
        <v>47</v>
      </c>
      <c r="I1788" t="s">
        <v>26</v>
      </c>
      <c r="J1788">
        <v>1</v>
      </c>
      <c r="K1788">
        <v>3545000</v>
      </c>
      <c r="L1788" s="2" t="s">
        <v>2727</v>
      </c>
      <c r="M1788" t="s">
        <v>23</v>
      </c>
      <c r="N1788">
        <v>3137000</v>
      </c>
      <c r="O1788">
        <v>5</v>
      </c>
      <c r="P1788" t="b">
        <v>1</v>
      </c>
    </row>
    <row r="1789" spans="1:16" x14ac:dyDescent="0.2">
      <c r="A1789" t="s">
        <v>2728</v>
      </c>
      <c r="B1789" s="1">
        <v>44802</v>
      </c>
      <c r="C1789" s="1">
        <v>44877</v>
      </c>
      <c r="D1789" t="s">
        <v>838</v>
      </c>
      <c r="E1789" t="s">
        <v>45</v>
      </c>
      <c r="F1789" t="s">
        <v>45</v>
      </c>
      <c r="G1789" t="s">
        <v>35</v>
      </c>
      <c r="I1789" t="s">
        <v>1654</v>
      </c>
      <c r="J1789">
        <v>2</v>
      </c>
      <c r="K1789">
        <v>3157000</v>
      </c>
      <c r="L1789" s="2" t="s">
        <v>2729</v>
      </c>
      <c r="M1789" t="s">
        <v>23</v>
      </c>
      <c r="N1789">
        <v>5482000</v>
      </c>
      <c r="O1789">
        <v>4.5999999999999996</v>
      </c>
      <c r="P1789" t="b">
        <v>1</v>
      </c>
    </row>
    <row r="1790" spans="1:16" x14ac:dyDescent="0.2">
      <c r="A1790" t="s">
        <v>2730</v>
      </c>
      <c r="B1790" s="1">
        <v>44805</v>
      </c>
      <c r="C1790" s="1">
        <v>44855</v>
      </c>
      <c r="D1790" t="s">
        <v>2731</v>
      </c>
      <c r="E1790" t="s">
        <v>18</v>
      </c>
      <c r="F1790" t="s">
        <v>39</v>
      </c>
      <c r="G1790" t="s">
        <v>46</v>
      </c>
      <c r="H1790" t="s">
        <v>21</v>
      </c>
      <c r="I1790" t="s">
        <v>30</v>
      </c>
      <c r="J1790">
        <v>1</v>
      </c>
      <c r="K1790">
        <v>2425000</v>
      </c>
      <c r="L1790">
        <v>5.4620043664357E-2</v>
      </c>
      <c r="M1790" t="s">
        <v>23</v>
      </c>
      <c r="N1790">
        <v>2293000</v>
      </c>
      <c r="O1790">
        <v>4</v>
      </c>
      <c r="P1790" t="b">
        <v>0</v>
      </c>
    </row>
    <row r="1791" spans="1:16" x14ac:dyDescent="0.2">
      <c r="A1791" t="s">
        <v>2732</v>
      </c>
      <c r="B1791" s="1">
        <v>44805</v>
      </c>
      <c r="C1791" s="1">
        <v>44863</v>
      </c>
      <c r="D1791" t="s">
        <v>2733</v>
      </c>
      <c r="E1791" t="s">
        <v>45</v>
      </c>
      <c r="F1791" t="s">
        <v>25</v>
      </c>
      <c r="G1791" t="s">
        <v>35</v>
      </c>
      <c r="H1791" t="s">
        <v>51</v>
      </c>
      <c r="I1791" t="s">
        <v>26</v>
      </c>
      <c r="J1791">
        <v>1</v>
      </c>
      <c r="K1791">
        <v>5033000</v>
      </c>
      <c r="L1791" s="2" t="s">
        <v>2734</v>
      </c>
      <c r="M1791" t="s">
        <v>23</v>
      </c>
      <c r="N1791">
        <v>4414000</v>
      </c>
      <c r="O1791">
        <v>4.2</v>
      </c>
      <c r="P1791" t="b">
        <v>0</v>
      </c>
    </row>
    <row r="1792" spans="1:16" x14ac:dyDescent="0.2">
      <c r="A1792" t="s">
        <v>2735</v>
      </c>
      <c r="B1792" s="1">
        <v>44806</v>
      </c>
      <c r="C1792" s="1">
        <v>44829</v>
      </c>
      <c r="D1792" t="s">
        <v>2736</v>
      </c>
      <c r="E1792" t="s">
        <v>45</v>
      </c>
      <c r="F1792" t="s">
        <v>39</v>
      </c>
      <c r="G1792" t="s">
        <v>50</v>
      </c>
      <c r="H1792" t="s">
        <v>40</v>
      </c>
      <c r="I1792" t="s">
        <v>30</v>
      </c>
      <c r="J1792">
        <v>1</v>
      </c>
      <c r="K1792">
        <v>2385000</v>
      </c>
      <c r="L1792" s="2" t="s">
        <v>2737</v>
      </c>
      <c r="M1792" t="s">
        <v>65</v>
      </c>
      <c r="N1792">
        <v>0</v>
      </c>
      <c r="P1792" t="b">
        <v>0</v>
      </c>
    </row>
    <row r="1793" spans="1:16" x14ac:dyDescent="0.2">
      <c r="A1793" t="s">
        <v>2738</v>
      </c>
      <c r="B1793" s="1">
        <v>44806</v>
      </c>
      <c r="C1793" s="1">
        <v>44891</v>
      </c>
      <c r="D1793" t="s">
        <v>1038</v>
      </c>
      <c r="E1793" t="s">
        <v>18</v>
      </c>
      <c r="F1793" t="s">
        <v>19</v>
      </c>
      <c r="G1793" t="s">
        <v>20</v>
      </c>
      <c r="H1793" t="s">
        <v>21</v>
      </c>
      <c r="I1793" t="s">
        <v>94</v>
      </c>
      <c r="J1793">
        <v>3</v>
      </c>
      <c r="K1793">
        <v>2778000</v>
      </c>
      <c r="L1793">
        <v>9.7614223259001501E-2</v>
      </c>
      <c r="M1793" t="s">
        <v>23</v>
      </c>
      <c r="N1793">
        <v>7520000</v>
      </c>
      <c r="O1793">
        <v>3.6</v>
      </c>
      <c r="P1793" t="b">
        <v>1</v>
      </c>
    </row>
    <row r="1794" spans="1:16" x14ac:dyDescent="0.2">
      <c r="A1794" t="s">
        <v>2739</v>
      </c>
      <c r="B1794" s="1">
        <v>44808</v>
      </c>
      <c r="C1794" s="1">
        <v>44848</v>
      </c>
      <c r="D1794" t="s">
        <v>2014</v>
      </c>
      <c r="F1794" t="s">
        <v>45</v>
      </c>
      <c r="G1794" t="s">
        <v>20</v>
      </c>
      <c r="H1794" t="s">
        <v>51</v>
      </c>
      <c r="I1794" t="s">
        <v>83</v>
      </c>
      <c r="J1794">
        <v>3</v>
      </c>
      <c r="K1794">
        <v>2557000</v>
      </c>
      <c r="L1794">
        <v>7.7284104475187798E-2</v>
      </c>
      <c r="M1794" t="s">
        <v>23</v>
      </c>
      <c r="N1794">
        <v>7078000</v>
      </c>
      <c r="O1794">
        <v>4.5999999999999996</v>
      </c>
      <c r="P1794" t="b">
        <v>1</v>
      </c>
    </row>
    <row r="1795" spans="1:16" x14ac:dyDescent="0.2">
      <c r="A1795" t="s">
        <v>2740</v>
      </c>
      <c r="B1795" s="1">
        <v>44809</v>
      </c>
      <c r="C1795" s="1">
        <v>44884</v>
      </c>
      <c r="D1795" t="s">
        <v>2741</v>
      </c>
      <c r="E1795" t="s">
        <v>33</v>
      </c>
      <c r="F1795" t="s">
        <v>25</v>
      </c>
      <c r="G1795" t="s">
        <v>20</v>
      </c>
      <c r="H1795" t="s">
        <v>21</v>
      </c>
      <c r="I1795" t="s">
        <v>26</v>
      </c>
      <c r="J1795">
        <v>1</v>
      </c>
      <c r="K1795">
        <v>4965000</v>
      </c>
      <c r="L1795" s="2" t="s">
        <v>2742</v>
      </c>
      <c r="M1795" t="s">
        <v>65</v>
      </c>
      <c r="N1795">
        <v>0</v>
      </c>
      <c r="P1795" t="b">
        <v>0</v>
      </c>
    </row>
    <row r="1796" spans="1:16" x14ac:dyDescent="0.2">
      <c r="A1796" t="s">
        <v>2743</v>
      </c>
      <c r="B1796" s="1">
        <v>44810</v>
      </c>
      <c r="C1796" s="1">
        <v>44862</v>
      </c>
      <c r="D1796" t="s">
        <v>2744</v>
      </c>
      <c r="E1796" t="s">
        <v>45</v>
      </c>
      <c r="F1796" t="s">
        <v>19</v>
      </c>
      <c r="G1796" t="s">
        <v>50</v>
      </c>
      <c r="H1796" t="s">
        <v>40</v>
      </c>
      <c r="I1796" t="s">
        <v>60</v>
      </c>
      <c r="J1796">
        <v>4</v>
      </c>
      <c r="K1796">
        <v>2704000</v>
      </c>
      <c r="L1796">
        <v>4.1577739879347597E-2</v>
      </c>
      <c r="M1796" t="s">
        <v>23</v>
      </c>
      <c r="N1796">
        <v>10366000</v>
      </c>
      <c r="O1796">
        <v>4.0999999999999996</v>
      </c>
      <c r="P1796" t="b">
        <v>0</v>
      </c>
    </row>
    <row r="1797" spans="1:16" x14ac:dyDescent="0.2">
      <c r="A1797" t="s">
        <v>2745</v>
      </c>
      <c r="B1797" s="1">
        <v>44810</v>
      </c>
      <c r="C1797" s="1">
        <v>44829</v>
      </c>
      <c r="D1797" t="s">
        <v>2746</v>
      </c>
      <c r="E1797" t="s">
        <v>45</v>
      </c>
      <c r="F1797" t="s">
        <v>25</v>
      </c>
      <c r="G1797" t="s">
        <v>35</v>
      </c>
      <c r="H1797" t="s">
        <v>47</v>
      </c>
      <c r="I1797" t="s">
        <v>22</v>
      </c>
      <c r="J1797">
        <v>4</v>
      </c>
      <c r="K1797">
        <v>4664000</v>
      </c>
      <c r="L1797">
        <v>7.1617264312074394E-2</v>
      </c>
      <c r="M1797" t="s">
        <v>23</v>
      </c>
      <c r="N1797">
        <v>17320000</v>
      </c>
      <c r="O1797">
        <v>3.6</v>
      </c>
      <c r="P1797" t="b">
        <v>0</v>
      </c>
    </row>
    <row r="1798" spans="1:16" x14ac:dyDescent="0.2">
      <c r="A1798" t="s">
        <v>2747</v>
      </c>
      <c r="B1798" s="1">
        <v>44811</v>
      </c>
      <c r="C1798" s="1">
        <v>44869</v>
      </c>
      <c r="D1798" t="s">
        <v>2748</v>
      </c>
      <c r="E1798" t="s">
        <v>18</v>
      </c>
      <c r="F1798" t="s">
        <v>34</v>
      </c>
      <c r="G1798" t="s">
        <v>50</v>
      </c>
      <c r="H1798" t="s">
        <v>21</v>
      </c>
      <c r="I1798" t="s">
        <v>22</v>
      </c>
      <c r="J1798">
        <v>1</v>
      </c>
      <c r="K1798">
        <v>3636000</v>
      </c>
      <c r="L1798" s="2" t="s">
        <v>2749</v>
      </c>
      <c r="M1798" t="s">
        <v>23</v>
      </c>
      <c r="N1798">
        <v>3271000</v>
      </c>
      <c r="O1798">
        <v>4.9000000000000004</v>
      </c>
      <c r="P1798" t="b">
        <v>0</v>
      </c>
    </row>
    <row r="1799" spans="1:16" x14ac:dyDescent="0.2">
      <c r="A1799" t="s">
        <v>2750</v>
      </c>
      <c r="B1799" s="1">
        <v>44811</v>
      </c>
      <c r="C1799" s="1">
        <v>44831</v>
      </c>
      <c r="D1799" t="s">
        <v>1925</v>
      </c>
      <c r="E1799" t="s">
        <v>33</v>
      </c>
      <c r="F1799" t="s">
        <v>45</v>
      </c>
      <c r="G1799" t="s">
        <v>20</v>
      </c>
      <c r="H1799" t="s">
        <v>21</v>
      </c>
      <c r="I1799" t="s">
        <v>60</v>
      </c>
      <c r="J1799">
        <v>1</v>
      </c>
      <c r="K1799">
        <v>3488000</v>
      </c>
      <c r="L1799">
        <v>7.6916574844365093E-2</v>
      </c>
      <c r="M1799" t="s">
        <v>23</v>
      </c>
      <c r="N1799">
        <v>3220000</v>
      </c>
      <c r="O1799">
        <v>4.4000000000000004</v>
      </c>
      <c r="P1799" t="b">
        <v>1</v>
      </c>
    </row>
    <row r="1800" spans="1:16" x14ac:dyDescent="0.2">
      <c r="A1800" t="s">
        <v>2751</v>
      </c>
      <c r="B1800" s="1">
        <v>44811</v>
      </c>
      <c r="C1800" s="1">
        <v>44843</v>
      </c>
      <c r="D1800" t="s">
        <v>1267</v>
      </c>
      <c r="E1800" t="s">
        <v>45</v>
      </c>
      <c r="F1800" t="s">
        <v>19</v>
      </c>
      <c r="G1800" t="s">
        <v>20</v>
      </c>
      <c r="H1800" t="s">
        <v>21</v>
      </c>
      <c r="I1800" t="s">
        <v>60</v>
      </c>
      <c r="J1800">
        <v>1</v>
      </c>
      <c r="K1800">
        <v>2549000</v>
      </c>
      <c r="L1800" s="2" t="s">
        <v>2752</v>
      </c>
      <c r="M1800" t="s">
        <v>23</v>
      </c>
      <c r="N1800">
        <v>2219000</v>
      </c>
      <c r="O1800">
        <v>4.5</v>
      </c>
      <c r="P1800" t="b">
        <v>1</v>
      </c>
    </row>
    <row r="1801" spans="1:16" x14ac:dyDescent="0.2">
      <c r="A1801" t="s">
        <v>2753</v>
      </c>
      <c r="B1801" s="1">
        <v>44811</v>
      </c>
      <c r="C1801" s="1">
        <v>44860</v>
      </c>
      <c r="D1801" t="s">
        <v>873</v>
      </c>
      <c r="E1801" t="s">
        <v>18</v>
      </c>
      <c r="F1801" t="s">
        <v>45</v>
      </c>
      <c r="G1801" t="s">
        <v>20</v>
      </c>
      <c r="H1801" t="s">
        <v>21</v>
      </c>
      <c r="I1801" t="s">
        <v>22</v>
      </c>
      <c r="J1801">
        <v>4</v>
      </c>
      <c r="K1801">
        <v>2828000</v>
      </c>
      <c r="L1801" s="2" t="s">
        <v>2754</v>
      </c>
      <c r="M1801" t="s">
        <v>23</v>
      </c>
      <c r="N1801">
        <v>9791000</v>
      </c>
      <c r="O1801">
        <v>4.4000000000000004</v>
      </c>
      <c r="P1801" t="b">
        <v>1</v>
      </c>
    </row>
    <row r="1802" spans="1:16" x14ac:dyDescent="0.2">
      <c r="A1802" t="s">
        <v>2755</v>
      </c>
      <c r="B1802" s="1">
        <v>44812</v>
      </c>
      <c r="C1802" s="1">
        <v>44867</v>
      </c>
      <c r="D1802" t="s">
        <v>959</v>
      </c>
      <c r="E1802" t="s">
        <v>45</v>
      </c>
      <c r="F1802" t="s">
        <v>19</v>
      </c>
      <c r="G1802" t="s">
        <v>50</v>
      </c>
      <c r="H1802" t="s">
        <v>40</v>
      </c>
      <c r="I1802" t="s">
        <v>83</v>
      </c>
      <c r="J1802">
        <v>1</v>
      </c>
      <c r="K1802">
        <v>2517000</v>
      </c>
      <c r="L1802">
        <v>8.9584045553359498E-2</v>
      </c>
      <c r="M1802" t="s">
        <v>65</v>
      </c>
      <c r="N1802">
        <v>0</v>
      </c>
      <c r="P1802" t="b">
        <v>1</v>
      </c>
    </row>
    <row r="1803" spans="1:16" x14ac:dyDescent="0.2">
      <c r="A1803" t="s">
        <v>2756</v>
      </c>
      <c r="B1803" s="1">
        <v>44812</v>
      </c>
      <c r="C1803" s="1">
        <v>44875</v>
      </c>
      <c r="D1803" t="s">
        <v>161</v>
      </c>
      <c r="E1803" t="s">
        <v>45</v>
      </c>
      <c r="F1803" t="s">
        <v>19</v>
      </c>
      <c r="G1803" t="s">
        <v>20</v>
      </c>
      <c r="H1803" t="s">
        <v>47</v>
      </c>
      <c r="I1803" t="s">
        <v>52</v>
      </c>
      <c r="J1803">
        <v>2</v>
      </c>
      <c r="K1803">
        <v>2475000</v>
      </c>
      <c r="L1803" s="2" t="s">
        <v>2757</v>
      </c>
      <c r="M1803" t="s">
        <v>23</v>
      </c>
      <c r="N1803">
        <v>4133000</v>
      </c>
      <c r="O1803">
        <v>3.9</v>
      </c>
      <c r="P1803" t="b">
        <v>1</v>
      </c>
    </row>
    <row r="1804" spans="1:16" x14ac:dyDescent="0.2">
      <c r="A1804" t="s">
        <v>2758</v>
      </c>
      <c r="B1804" s="1">
        <v>44812</v>
      </c>
      <c r="C1804" s="1">
        <v>44857</v>
      </c>
      <c r="D1804" t="s">
        <v>1065</v>
      </c>
      <c r="E1804" t="s">
        <v>29</v>
      </c>
      <c r="F1804" t="s">
        <v>68</v>
      </c>
      <c r="G1804" t="s">
        <v>50</v>
      </c>
      <c r="H1804" t="s">
        <v>40</v>
      </c>
      <c r="I1804" t="s">
        <v>83</v>
      </c>
      <c r="J1804">
        <v>2</v>
      </c>
      <c r="K1804">
        <v>1947000</v>
      </c>
      <c r="L1804" s="2" t="s">
        <v>2759</v>
      </c>
      <c r="M1804" t="s">
        <v>23</v>
      </c>
      <c r="N1804">
        <v>3423000</v>
      </c>
      <c r="O1804">
        <v>4.8</v>
      </c>
      <c r="P1804" t="b">
        <v>1</v>
      </c>
    </row>
    <row r="1805" spans="1:16" x14ac:dyDescent="0.2">
      <c r="A1805" t="s">
        <v>2760</v>
      </c>
      <c r="B1805" s="1">
        <v>44812</v>
      </c>
      <c r="C1805" s="1">
        <v>44821</v>
      </c>
      <c r="D1805" t="s">
        <v>2761</v>
      </c>
      <c r="E1805" t="s">
        <v>45</v>
      </c>
      <c r="F1805" t="s">
        <v>45</v>
      </c>
      <c r="G1805" t="s">
        <v>50</v>
      </c>
      <c r="H1805" t="s">
        <v>21</v>
      </c>
      <c r="J1805">
        <v>1</v>
      </c>
      <c r="K1805">
        <v>2535000</v>
      </c>
      <c r="L1805">
        <v>6.3853022537926504E-2</v>
      </c>
      <c r="M1805" t="s">
        <v>23</v>
      </c>
      <c r="N1805">
        <v>2373000</v>
      </c>
      <c r="O1805">
        <v>3.5</v>
      </c>
      <c r="P1805" t="b">
        <v>0</v>
      </c>
    </row>
    <row r="1806" spans="1:16" x14ac:dyDescent="0.2">
      <c r="A1806" t="s">
        <v>2762</v>
      </c>
      <c r="B1806" s="1">
        <v>44812</v>
      </c>
      <c r="C1806" s="1">
        <v>44870</v>
      </c>
      <c r="D1806" t="s">
        <v>177</v>
      </c>
      <c r="E1806" t="s">
        <v>45</v>
      </c>
      <c r="F1806" t="s">
        <v>19</v>
      </c>
      <c r="G1806" t="s">
        <v>20</v>
      </c>
      <c r="H1806" t="s">
        <v>21</v>
      </c>
      <c r="I1806" t="s">
        <v>22</v>
      </c>
      <c r="J1806">
        <v>2</v>
      </c>
      <c r="K1806">
        <v>2148000</v>
      </c>
      <c r="L1806">
        <v>8.6045281990309697E-2</v>
      </c>
      <c r="M1806" t="s">
        <v>65</v>
      </c>
      <c r="N1806">
        <v>0</v>
      </c>
      <c r="P1806" t="b">
        <v>1</v>
      </c>
    </row>
    <row r="1807" spans="1:16" x14ac:dyDescent="0.2">
      <c r="A1807" t="s">
        <v>2763</v>
      </c>
      <c r="B1807" s="1">
        <v>44813</v>
      </c>
      <c r="C1807" s="1">
        <v>44827</v>
      </c>
      <c r="D1807" t="s">
        <v>171</v>
      </c>
      <c r="E1807" t="s">
        <v>29</v>
      </c>
      <c r="F1807" t="s">
        <v>34</v>
      </c>
      <c r="G1807" t="s">
        <v>50</v>
      </c>
      <c r="H1807" t="s">
        <v>47</v>
      </c>
      <c r="I1807" t="s">
        <v>22</v>
      </c>
      <c r="J1807">
        <v>2</v>
      </c>
      <c r="K1807">
        <v>3317000</v>
      </c>
      <c r="L1807">
        <v>8.3234164061865998E-2</v>
      </c>
      <c r="M1807" t="s">
        <v>23</v>
      </c>
      <c r="N1807">
        <v>6082000</v>
      </c>
      <c r="O1807">
        <v>4.0999999999999996</v>
      </c>
      <c r="P1807" t="b">
        <v>1</v>
      </c>
    </row>
    <row r="1808" spans="1:16" x14ac:dyDescent="0.2">
      <c r="A1808" t="s">
        <v>2764</v>
      </c>
      <c r="B1808" s="1">
        <v>44813</v>
      </c>
      <c r="C1808" s="1">
        <v>44838</v>
      </c>
      <c r="D1808" t="s">
        <v>2765</v>
      </c>
      <c r="E1808" t="s">
        <v>45</v>
      </c>
      <c r="F1808" t="s">
        <v>34</v>
      </c>
      <c r="G1808" t="s">
        <v>20</v>
      </c>
      <c r="I1808" t="s">
        <v>22</v>
      </c>
      <c r="J1808">
        <v>2</v>
      </c>
      <c r="K1808">
        <v>3375000</v>
      </c>
      <c r="L1808" s="2" t="s">
        <v>2766</v>
      </c>
      <c r="M1808" t="s">
        <v>23</v>
      </c>
      <c r="N1808">
        <v>5861000</v>
      </c>
      <c r="O1808">
        <v>4</v>
      </c>
      <c r="P1808" t="b">
        <v>0</v>
      </c>
    </row>
    <row r="1809" spans="1:16" x14ac:dyDescent="0.2">
      <c r="A1809" t="s">
        <v>2767</v>
      </c>
      <c r="B1809" s="1">
        <v>44813</v>
      </c>
      <c r="C1809" s="1">
        <v>44850</v>
      </c>
      <c r="D1809" t="s">
        <v>2122</v>
      </c>
      <c r="E1809" t="s">
        <v>33</v>
      </c>
      <c r="F1809" t="s">
        <v>34</v>
      </c>
      <c r="G1809" t="s">
        <v>35</v>
      </c>
      <c r="H1809" t="s">
        <v>21</v>
      </c>
      <c r="I1809" t="s">
        <v>60</v>
      </c>
      <c r="J1809">
        <v>2</v>
      </c>
      <c r="K1809">
        <v>4090000</v>
      </c>
      <c r="L1809">
        <v>7.7292373247989904E-2</v>
      </c>
      <c r="M1809" t="s">
        <v>23</v>
      </c>
      <c r="N1809">
        <v>7548000</v>
      </c>
      <c r="O1809">
        <v>4.0999999999999996</v>
      </c>
      <c r="P1809" t="b">
        <v>1</v>
      </c>
    </row>
    <row r="1810" spans="1:16" x14ac:dyDescent="0.2">
      <c r="A1810" t="s">
        <v>2768</v>
      </c>
      <c r="B1810" s="1">
        <v>44813</v>
      </c>
      <c r="C1810" s="1">
        <v>44892</v>
      </c>
      <c r="D1810" t="s">
        <v>231</v>
      </c>
      <c r="E1810" t="s">
        <v>18</v>
      </c>
      <c r="F1810" t="s">
        <v>68</v>
      </c>
      <c r="H1810" t="s">
        <v>51</v>
      </c>
      <c r="I1810" t="s">
        <v>60</v>
      </c>
      <c r="J1810">
        <v>1</v>
      </c>
      <c r="K1810">
        <v>2628000</v>
      </c>
      <c r="L1810">
        <v>8.0131238453177295E-2</v>
      </c>
      <c r="M1810" t="s">
        <v>65</v>
      </c>
      <c r="N1810">
        <v>0</v>
      </c>
      <c r="P1810" t="b">
        <v>1</v>
      </c>
    </row>
    <row r="1811" spans="1:16" x14ac:dyDescent="0.2">
      <c r="A1811" t="s">
        <v>2769</v>
      </c>
      <c r="B1811" s="1">
        <v>44813</v>
      </c>
      <c r="C1811" s="1">
        <v>44874</v>
      </c>
      <c r="D1811" t="s">
        <v>2277</v>
      </c>
      <c r="E1811" t="s">
        <v>18</v>
      </c>
      <c r="F1811" t="s">
        <v>68</v>
      </c>
      <c r="G1811" t="s">
        <v>35</v>
      </c>
      <c r="H1811" t="s">
        <v>47</v>
      </c>
      <c r="I1811" t="s">
        <v>83</v>
      </c>
      <c r="J1811">
        <v>4</v>
      </c>
      <c r="K1811">
        <v>1851000</v>
      </c>
      <c r="L1811">
        <v>6.8981693483859699E-2</v>
      </c>
      <c r="M1811" t="s">
        <v>23</v>
      </c>
      <c r="N1811">
        <v>6893000</v>
      </c>
      <c r="O1811">
        <v>3.7</v>
      </c>
      <c r="P1811" t="b">
        <v>1</v>
      </c>
    </row>
    <row r="1812" spans="1:16" x14ac:dyDescent="0.2">
      <c r="A1812" t="s">
        <v>2770</v>
      </c>
      <c r="B1812" s="1">
        <v>44813</v>
      </c>
      <c r="C1812" s="1">
        <v>44831</v>
      </c>
      <c r="D1812" t="s">
        <v>2014</v>
      </c>
      <c r="E1812" t="s">
        <v>45</v>
      </c>
      <c r="F1812" t="s">
        <v>34</v>
      </c>
      <c r="G1812" t="s">
        <v>20</v>
      </c>
      <c r="H1812" t="s">
        <v>21</v>
      </c>
      <c r="I1812" t="s">
        <v>77</v>
      </c>
      <c r="J1812">
        <v>1</v>
      </c>
      <c r="K1812">
        <v>3969000</v>
      </c>
      <c r="L1812">
        <v>8.3167818400454493E-2</v>
      </c>
      <c r="M1812" t="s">
        <v>23</v>
      </c>
      <c r="N1812">
        <v>3639000</v>
      </c>
      <c r="O1812">
        <v>4</v>
      </c>
      <c r="P1812" t="b">
        <v>1</v>
      </c>
    </row>
    <row r="1813" spans="1:16" x14ac:dyDescent="0.2">
      <c r="A1813" t="s">
        <v>2771</v>
      </c>
      <c r="B1813" s="1">
        <v>44813</v>
      </c>
      <c r="C1813" s="1">
        <v>44878</v>
      </c>
      <c r="D1813" t="s">
        <v>2772</v>
      </c>
      <c r="E1813" t="s">
        <v>18</v>
      </c>
      <c r="F1813" t="s">
        <v>39</v>
      </c>
      <c r="G1813" t="s">
        <v>20</v>
      </c>
      <c r="H1813" t="s">
        <v>21</v>
      </c>
      <c r="I1813" t="s">
        <v>22</v>
      </c>
      <c r="J1813">
        <v>5</v>
      </c>
      <c r="K1813">
        <v>1837000</v>
      </c>
      <c r="L1813">
        <v>8.8153012617586499E-2</v>
      </c>
      <c r="M1813" t="s">
        <v>23</v>
      </c>
      <c r="N1813">
        <v>8375000</v>
      </c>
      <c r="O1813">
        <v>3.7</v>
      </c>
      <c r="P1813" t="b">
        <v>0</v>
      </c>
    </row>
    <row r="1814" spans="1:16" x14ac:dyDescent="0.2">
      <c r="A1814" t="s">
        <v>2773</v>
      </c>
      <c r="B1814" s="1">
        <v>44814</v>
      </c>
      <c r="C1814" s="1">
        <v>44880</v>
      </c>
      <c r="D1814" t="s">
        <v>32</v>
      </c>
      <c r="E1814" t="s">
        <v>18</v>
      </c>
      <c r="F1814" t="s">
        <v>45</v>
      </c>
      <c r="G1814" t="s">
        <v>20</v>
      </c>
      <c r="H1814" t="s">
        <v>21</v>
      </c>
      <c r="I1814" t="s">
        <v>60</v>
      </c>
      <c r="J1814">
        <v>1</v>
      </c>
      <c r="K1814">
        <v>3384000</v>
      </c>
      <c r="L1814" s="2" t="s">
        <v>2774</v>
      </c>
      <c r="M1814" t="s">
        <v>23</v>
      </c>
      <c r="N1814">
        <v>2974000</v>
      </c>
      <c r="O1814">
        <v>4.5999999999999996</v>
      </c>
      <c r="P1814" t="b">
        <v>1</v>
      </c>
    </row>
    <row r="1815" spans="1:16" x14ac:dyDescent="0.2">
      <c r="A1815" t="s">
        <v>2775</v>
      </c>
      <c r="B1815" s="1">
        <v>44814</v>
      </c>
      <c r="C1815" s="1">
        <v>44867</v>
      </c>
      <c r="D1815" t="s">
        <v>601</v>
      </c>
      <c r="E1815" t="s">
        <v>45</v>
      </c>
      <c r="F1815" t="s">
        <v>19</v>
      </c>
      <c r="G1815" t="s">
        <v>50</v>
      </c>
      <c r="H1815" t="s">
        <v>47</v>
      </c>
      <c r="J1815">
        <v>2</v>
      </c>
      <c r="K1815">
        <v>2206000</v>
      </c>
      <c r="L1815">
        <v>9.88262388328527E-2</v>
      </c>
      <c r="M1815" t="s">
        <v>23</v>
      </c>
      <c r="N1815">
        <v>3976000</v>
      </c>
      <c r="O1815">
        <v>3.8</v>
      </c>
      <c r="P1815" t="b">
        <v>1</v>
      </c>
    </row>
    <row r="1816" spans="1:16" x14ac:dyDescent="0.2">
      <c r="A1816" t="s">
        <v>2776</v>
      </c>
      <c r="B1816" s="1">
        <v>44814</v>
      </c>
      <c r="C1816" s="1">
        <v>44885</v>
      </c>
      <c r="D1816" t="s">
        <v>399</v>
      </c>
      <c r="F1816" t="s">
        <v>45</v>
      </c>
      <c r="G1816" t="s">
        <v>20</v>
      </c>
      <c r="H1816" t="s">
        <v>21</v>
      </c>
      <c r="I1816" t="s">
        <v>26</v>
      </c>
      <c r="J1816">
        <v>1</v>
      </c>
      <c r="K1816">
        <v>3362000</v>
      </c>
      <c r="L1816">
        <v>9.3186182394002795E-2</v>
      </c>
      <c r="M1816" t="s">
        <v>23</v>
      </c>
      <c r="N1816">
        <v>3049000</v>
      </c>
      <c r="O1816">
        <v>4.2</v>
      </c>
      <c r="P1816" t="b">
        <v>1</v>
      </c>
    </row>
    <row r="1817" spans="1:16" x14ac:dyDescent="0.2">
      <c r="A1817" t="s">
        <v>2777</v>
      </c>
      <c r="B1817" s="1">
        <v>44815</v>
      </c>
      <c r="C1817" s="1">
        <v>44894</v>
      </c>
      <c r="D1817" t="s">
        <v>1806</v>
      </c>
      <c r="E1817" t="s">
        <v>45</v>
      </c>
      <c r="F1817" t="s">
        <v>45</v>
      </c>
      <c r="G1817" t="s">
        <v>35</v>
      </c>
      <c r="H1817" t="s">
        <v>40</v>
      </c>
      <c r="I1817" t="s">
        <v>30</v>
      </c>
      <c r="J1817">
        <v>2</v>
      </c>
      <c r="K1817">
        <v>3472000</v>
      </c>
      <c r="L1817">
        <v>0.103015000301277</v>
      </c>
      <c r="M1817" t="s">
        <v>23</v>
      </c>
      <c r="N1817">
        <v>6229000</v>
      </c>
      <c r="O1817">
        <v>4.5</v>
      </c>
      <c r="P1817" t="b">
        <v>1</v>
      </c>
    </row>
    <row r="1818" spans="1:16" x14ac:dyDescent="0.2">
      <c r="A1818" t="s">
        <v>2778</v>
      </c>
      <c r="B1818" s="1">
        <v>44815</v>
      </c>
      <c r="C1818" s="1">
        <v>44894</v>
      </c>
      <c r="D1818" t="s">
        <v>2482</v>
      </c>
      <c r="E1818" t="s">
        <v>45</v>
      </c>
      <c r="F1818" t="s">
        <v>19</v>
      </c>
      <c r="G1818" t="s">
        <v>50</v>
      </c>
      <c r="H1818" t="s">
        <v>21</v>
      </c>
      <c r="I1818" t="s">
        <v>30</v>
      </c>
      <c r="J1818">
        <v>3</v>
      </c>
      <c r="K1818">
        <v>2305000</v>
      </c>
      <c r="L1818" s="2" t="s">
        <v>2779</v>
      </c>
      <c r="M1818" t="s">
        <v>23</v>
      </c>
      <c r="N1818">
        <v>6033000</v>
      </c>
      <c r="O1818">
        <v>4.2</v>
      </c>
      <c r="P1818" t="b">
        <v>1</v>
      </c>
    </row>
    <row r="1819" spans="1:16" x14ac:dyDescent="0.2">
      <c r="A1819" t="s">
        <v>2780</v>
      </c>
      <c r="B1819" s="1">
        <v>44817</v>
      </c>
      <c r="C1819" s="1">
        <v>44881</v>
      </c>
      <c r="D1819" t="s">
        <v>2781</v>
      </c>
      <c r="E1819" t="s">
        <v>29</v>
      </c>
      <c r="F1819" t="s">
        <v>19</v>
      </c>
      <c r="G1819" t="s">
        <v>20</v>
      </c>
      <c r="H1819" t="s">
        <v>21</v>
      </c>
      <c r="I1819" t="s">
        <v>60</v>
      </c>
      <c r="J1819">
        <v>1</v>
      </c>
      <c r="K1819">
        <v>2574000</v>
      </c>
      <c r="L1819">
        <v>8.9823408180482206E-2</v>
      </c>
      <c r="M1819" t="s">
        <v>23</v>
      </c>
      <c r="N1819">
        <v>2343000</v>
      </c>
      <c r="O1819">
        <v>4.0999999999999996</v>
      </c>
      <c r="P1819" t="b">
        <v>0</v>
      </c>
    </row>
    <row r="1820" spans="1:16" x14ac:dyDescent="0.2">
      <c r="A1820" t="s">
        <v>2782</v>
      </c>
      <c r="B1820" s="1">
        <v>44817</v>
      </c>
      <c r="C1820" s="1">
        <v>44875</v>
      </c>
      <c r="D1820" t="s">
        <v>2783</v>
      </c>
      <c r="E1820" t="s">
        <v>29</v>
      </c>
      <c r="F1820" t="s">
        <v>45</v>
      </c>
      <c r="G1820" t="s">
        <v>20</v>
      </c>
      <c r="H1820" t="s">
        <v>21</v>
      </c>
      <c r="I1820" t="s">
        <v>22</v>
      </c>
      <c r="J1820">
        <v>3</v>
      </c>
      <c r="K1820">
        <v>2885000</v>
      </c>
      <c r="L1820" s="2" t="s">
        <v>2784</v>
      </c>
      <c r="M1820" t="s">
        <v>23</v>
      </c>
      <c r="N1820">
        <v>7746000</v>
      </c>
      <c r="O1820">
        <v>4.8</v>
      </c>
      <c r="P1820" t="b">
        <v>0</v>
      </c>
    </row>
    <row r="1821" spans="1:16" x14ac:dyDescent="0.2">
      <c r="A1821" t="s">
        <v>2785</v>
      </c>
      <c r="B1821" s="1">
        <v>44817</v>
      </c>
      <c r="C1821" s="1">
        <v>44882</v>
      </c>
      <c r="D1821" t="s">
        <v>2765</v>
      </c>
      <c r="E1821" t="s">
        <v>33</v>
      </c>
      <c r="F1821" t="s">
        <v>34</v>
      </c>
      <c r="G1821" t="s">
        <v>50</v>
      </c>
      <c r="H1821" t="s">
        <v>21</v>
      </c>
      <c r="I1821" t="s">
        <v>52</v>
      </c>
      <c r="J1821">
        <v>2</v>
      </c>
      <c r="K1821">
        <v>3180000</v>
      </c>
      <c r="L1821" s="2" t="s">
        <v>2786</v>
      </c>
      <c r="M1821" t="s">
        <v>23</v>
      </c>
      <c r="N1821">
        <v>5457000</v>
      </c>
      <c r="O1821">
        <v>4.3</v>
      </c>
      <c r="P1821" t="b">
        <v>1</v>
      </c>
    </row>
    <row r="1822" spans="1:16" x14ac:dyDescent="0.2">
      <c r="A1822" t="s">
        <v>2787</v>
      </c>
      <c r="B1822" s="1">
        <v>44818</v>
      </c>
      <c r="C1822" s="1">
        <v>44846</v>
      </c>
      <c r="D1822" t="s">
        <v>2788</v>
      </c>
      <c r="E1822" t="s">
        <v>18</v>
      </c>
      <c r="F1822" t="s">
        <v>45</v>
      </c>
      <c r="G1822" t="s">
        <v>50</v>
      </c>
      <c r="H1822" t="s">
        <v>21</v>
      </c>
      <c r="I1822" t="s">
        <v>83</v>
      </c>
      <c r="J1822">
        <v>2</v>
      </c>
      <c r="K1822">
        <v>2624000</v>
      </c>
      <c r="L1822" s="2" t="s">
        <v>2789</v>
      </c>
      <c r="M1822" t="s">
        <v>23</v>
      </c>
      <c r="N1822">
        <v>4692000</v>
      </c>
      <c r="O1822">
        <v>3.8</v>
      </c>
      <c r="P1822" t="b">
        <v>0</v>
      </c>
    </row>
    <row r="1823" spans="1:16" x14ac:dyDescent="0.2">
      <c r="A1823" t="s">
        <v>2790</v>
      </c>
      <c r="B1823" s="1">
        <v>44818</v>
      </c>
      <c r="C1823" s="1">
        <v>44859</v>
      </c>
      <c r="D1823" t="s">
        <v>1933</v>
      </c>
      <c r="E1823" t="s">
        <v>18</v>
      </c>
      <c r="F1823" t="s">
        <v>34</v>
      </c>
      <c r="G1823" t="s">
        <v>20</v>
      </c>
      <c r="H1823" t="s">
        <v>47</v>
      </c>
      <c r="I1823" t="s">
        <v>26</v>
      </c>
      <c r="J1823">
        <v>3</v>
      </c>
      <c r="K1823">
        <v>3990000</v>
      </c>
      <c r="L1823">
        <v>8.3112953326439407E-2</v>
      </c>
      <c r="M1823" t="s">
        <v>23</v>
      </c>
      <c r="N1823">
        <v>10975000</v>
      </c>
      <c r="O1823">
        <v>4.9000000000000004</v>
      </c>
      <c r="P1823" t="b">
        <v>1</v>
      </c>
    </row>
    <row r="1824" spans="1:16" x14ac:dyDescent="0.2">
      <c r="A1824" t="s">
        <v>2791</v>
      </c>
      <c r="B1824" s="1">
        <v>44818</v>
      </c>
      <c r="C1824" s="1">
        <v>44891</v>
      </c>
      <c r="D1824" t="s">
        <v>2792</v>
      </c>
      <c r="E1824" t="s">
        <v>18</v>
      </c>
      <c r="F1824" t="s">
        <v>45</v>
      </c>
      <c r="G1824" t="s">
        <v>46</v>
      </c>
      <c r="H1824" t="s">
        <v>21</v>
      </c>
      <c r="I1824" t="s">
        <v>1654</v>
      </c>
      <c r="J1824">
        <v>4</v>
      </c>
      <c r="K1824">
        <v>2980000</v>
      </c>
      <c r="L1824" s="2" t="s">
        <v>2793</v>
      </c>
      <c r="M1824" t="s">
        <v>23</v>
      </c>
      <c r="N1824">
        <v>10505000</v>
      </c>
      <c r="O1824">
        <v>4.0999999999999996</v>
      </c>
      <c r="P1824" t="b">
        <v>0</v>
      </c>
    </row>
    <row r="1825" spans="1:16" x14ac:dyDescent="0.2">
      <c r="A1825" t="s">
        <v>2794</v>
      </c>
      <c r="B1825" s="1">
        <v>44818</v>
      </c>
      <c r="C1825" s="1">
        <v>44849</v>
      </c>
      <c r="D1825" t="s">
        <v>2026</v>
      </c>
      <c r="E1825" t="s">
        <v>45</v>
      </c>
      <c r="F1825" t="s">
        <v>25</v>
      </c>
      <c r="G1825" t="s">
        <v>50</v>
      </c>
      <c r="H1825" t="s">
        <v>51</v>
      </c>
      <c r="I1825" t="s">
        <v>77</v>
      </c>
      <c r="J1825">
        <v>1</v>
      </c>
      <c r="K1825">
        <v>5840000</v>
      </c>
      <c r="L1825" s="2" t="s">
        <v>2795</v>
      </c>
      <c r="M1825" t="s">
        <v>65</v>
      </c>
      <c r="N1825">
        <v>0</v>
      </c>
      <c r="P1825" t="b">
        <v>1</v>
      </c>
    </row>
    <row r="1826" spans="1:16" x14ac:dyDescent="0.2">
      <c r="A1826" t="s">
        <v>2796</v>
      </c>
      <c r="B1826" s="1">
        <v>44818</v>
      </c>
      <c r="C1826" s="1">
        <v>44827</v>
      </c>
      <c r="D1826" t="s">
        <v>2797</v>
      </c>
      <c r="E1826" t="s">
        <v>18</v>
      </c>
      <c r="F1826" t="s">
        <v>45</v>
      </c>
      <c r="G1826" t="s">
        <v>35</v>
      </c>
      <c r="H1826" t="s">
        <v>21</v>
      </c>
      <c r="I1826" t="s">
        <v>60</v>
      </c>
      <c r="J1826">
        <v>4</v>
      </c>
      <c r="K1826">
        <v>3448000</v>
      </c>
      <c r="L1826" s="2" t="s">
        <v>2798</v>
      </c>
      <c r="M1826" t="s">
        <v>23</v>
      </c>
      <c r="N1826">
        <v>11911000</v>
      </c>
      <c r="O1826">
        <v>3.5</v>
      </c>
      <c r="P1826" t="b">
        <v>0</v>
      </c>
    </row>
    <row r="1827" spans="1:16" x14ac:dyDescent="0.2">
      <c r="A1827" t="s">
        <v>2799</v>
      </c>
      <c r="B1827" s="1">
        <v>44819</v>
      </c>
      <c r="C1827" s="1">
        <v>44848</v>
      </c>
      <c r="D1827" t="s">
        <v>985</v>
      </c>
      <c r="E1827" t="s">
        <v>33</v>
      </c>
      <c r="F1827" t="s">
        <v>45</v>
      </c>
      <c r="G1827" t="s">
        <v>20</v>
      </c>
      <c r="I1827" t="s">
        <v>94</v>
      </c>
      <c r="J1827">
        <v>1</v>
      </c>
      <c r="K1827">
        <v>3185000</v>
      </c>
      <c r="L1827">
        <v>6.3450389985539493E-2</v>
      </c>
      <c r="M1827" t="s">
        <v>23</v>
      </c>
      <c r="N1827">
        <v>2983000</v>
      </c>
      <c r="O1827">
        <v>4.0999999999999996</v>
      </c>
      <c r="P1827" t="b">
        <v>1</v>
      </c>
    </row>
    <row r="1828" spans="1:16" x14ac:dyDescent="0.2">
      <c r="A1828" t="s">
        <v>2800</v>
      </c>
      <c r="B1828" s="1">
        <v>44821</v>
      </c>
      <c r="C1828" s="1">
        <v>44862</v>
      </c>
      <c r="D1828" t="s">
        <v>611</v>
      </c>
      <c r="E1828" t="s">
        <v>33</v>
      </c>
      <c r="F1828" t="s">
        <v>19</v>
      </c>
      <c r="G1828" t="s">
        <v>35</v>
      </c>
      <c r="H1828" t="s">
        <v>47</v>
      </c>
      <c r="I1828" t="s">
        <v>26</v>
      </c>
      <c r="J1828">
        <v>1</v>
      </c>
      <c r="K1828">
        <v>2463000</v>
      </c>
      <c r="L1828" s="2" t="s">
        <v>2801</v>
      </c>
      <c r="M1828" t="s">
        <v>65</v>
      </c>
      <c r="N1828">
        <v>0</v>
      </c>
      <c r="P1828" t="b">
        <v>1</v>
      </c>
    </row>
    <row r="1829" spans="1:16" x14ac:dyDescent="0.2">
      <c r="A1829" t="s">
        <v>2802</v>
      </c>
      <c r="B1829" s="1">
        <v>44821</v>
      </c>
      <c r="C1829" s="1">
        <v>44870</v>
      </c>
      <c r="D1829" t="s">
        <v>2240</v>
      </c>
      <c r="E1829" t="s">
        <v>45</v>
      </c>
      <c r="F1829" t="s">
        <v>19</v>
      </c>
      <c r="G1829" t="s">
        <v>35</v>
      </c>
      <c r="I1829" t="s">
        <v>30</v>
      </c>
      <c r="J1829">
        <v>2</v>
      </c>
      <c r="K1829">
        <v>2217000</v>
      </c>
      <c r="L1829" s="2" t="s">
        <v>2803</v>
      </c>
      <c r="M1829" t="s">
        <v>23</v>
      </c>
      <c r="N1829">
        <v>3868000</v>
      </c>
      <c r="O1829">
        <v>4.0999999999999996</v>
      </c>
      <c r="P1829" t="b">
        <v>1</v>
      </c>
    </row>
    <row r="1830" spans="1:16" x14ac:dyDescent="0.2">
      <c r="A1830" t="s">
        <v>2804</v>
      </c>
      <c r="B1830" s="1">
        <v>44822</v>
      </c>
      <c r="C1830" s="1">
        <v>44888</v>
      </c>
      <c r="D1830" t="s">
        <v>214</v>
      </c>
      <c r="E1830" t="s">
        <v>18</v>
      </c>
      <c r="F1830" t="s">
        <v>68</v>
      </c>
      <c r="G1830" t="s">
        <v>20</v>
      </c>
      <c r="H1830" t="s">
        <v>47</v>
      </c>
      <c r="I1830" t="s">
        <v>83</v>
      </c>
      <c r="J1830">
        <v>1</v>
      </c>
      <c r="K1830">
        <v>1894000</v>
      </c>
      <c r="L1830" s="2" t="s">
        <v>2805</v>
      </c>
      <c r="M1830" t="s">
        <v>23</v>
      </c>
      <c r="N1830">
        <v>1634000</v>
      </c>
      <c r="O1830">
        <v>4.3</v>
      </c>
      <c r="P1830" t="b">
        <v>1</v>
      </c>
    </row>
    <row r="1831" spans="1:16" x14ac:dyDescent="0.2">
      <c r="A1831" t="s">
        <v>2806</v>
      </c>
      <c r="B1831" s="1">
        <v>44823</v>
      </c>
      <c r="C1831" s="1">
        <v>44856</v>
      </c>
      <c r="D1831" t="s">
        <v>634</v>
      </c>
      <c r="E1831" t="s">
        <v>29</v>
      </c>
      <c r="F1831" t="s">
        <v>39</v>
      </c>
      <c r="G1831" t="s">
        <v>50</v>
      </c>
      <c r="H1831" t="s">
        <v>40</v>
      </c>
      <c r="I1831" t="s">
        <v>60</v>
      </c>
      <c r="J1831">
        <v>2</v>
      </c>
      <c r="K1831">
        <v>2330000</v>
      </c>
      <c r="L1831" s="2" t="s">
        <v>2807</v>
      </c>
      <c r="M1831" t="s">
        <v>23</v>
      </c>
      <c r="N1831">
        <v>3976000</v>
      </c>
      <c r="O1831">
        <v>3.7</v>
      </c>
      <c r="P1831" t="b">
        <v>1</v>
      </c>
    </row>
    <row r="1832" spans="1:16" x14ac:dyDescent="0.2">
      <c r="A1832" t="s">
        <v>2808</v>
      </c>
      <c r="B1832" s="1">
        <v>44824</v>
      </c>
      <c r="C1832" s="1">
        <v>44871</v>
      </c>
      <c r="D1832" t="s">
        <v>737</v>
      </c>
      <c r="E1832" t="s">
        <v>18</v>
      </c>
      <c r="F1832" t="s">
        <v>34</v>
      </c>
      <c r="H1832" t="s">
        <v>21</v>
      </c>
      <c r="I1832" t="s">
        <v>60</v>
      </c>
      <c r="J1832">
        <v>1</v>
      </c>
      <c r="K1832">
        <v>4573000</v>
      </c>
      <c r="L1832">
        <v>6.3596406005343303E-2</v>
      </c>
      <c r="M1832" t="s">
        <v>23</v>
      </c>
      <c r="N1832">
        <v>4282000</v>
      </c>
      <c r="O1832">
        <v>3.2</v>
      </c>
      <c r="P1832" t="b">
        <v>1</v>
      </c>
    </row>
    <row r="1833" spans="1:16" x14ac:dyDescent="0.2">
      <c r="A1833" t="s">
        <v>2809</v>
      </c>
      <c r="B1833" s="1">
        <v>44825</v>
      </c>
      <c r="C1833" s="1">
        <v>44882</v>
      </c>
      <c r="D1833" t="s">
        <v>901</v>
      </c>
      <c r="E1833" t="s">
        <v>45</v>
      </c>
      <c r="F1833" t="s">
        <v>45</v>
      </c>
      <c r="G1833" t="s">
        <v>20</v>
      </c>
      <c r="H1833" t="s">
        <v>40</v>
      </c>
      <c r="I1833" t="s">
        <v>57</v>
      </c>
      <c r="J1833">
        <v>1</v>
      </c>
      <c r="K1833">
        <v>3362000</v>
      </c>
      <c r="L1833" s="2" t="s">
        <v>2810</v>
      </c>
      <c r="M1833" t="s">
        <v>23</v>
      </c>
      <c r="N1833">
        <v>3019000</v>
      </c>
      <c r="O1833">
        <v>3.7</v>
      </c>
      <c r="P1833" t="b">
        <v>1</v>
      </c>
    </row>
    <row r="1834" spans="1:16" x14ac:dyDescent="0.2">
      <c r="A1834" t="s">
        <v>2811</v>
      </c>
      <c r="B1834" s="1">
        <v>44825</v>
      </c>
      <c r="C1834" s="1">
        <v>44883</v>
      </c>
      <c r="D1834" t="s">
        <v>2812</v>
      </c>
      <c r="E1834" t="s">
        <v>29</v>
      </c>
      <c r="F1834" t="s">
        <v>68</v>
      </c>
      <c r="G1834" t="s">
        <v>50</v>
      </c>
      <c r="H1834" t="s">
        <v>21</v>
      </c>
      <c r="I1834" t="s">
        <v>26</v>
      </c>
      <c r="J1834">
        <v>1</v>
      </c>
      <c r="K1834">
        <v>2674000</v>
      </c>
      <c r="L1834" s="2" t="s">
        <v>2813</v>
      </c>
      <c r="M1834" t="s">
        <v>23</v>
      </c>
      <c r="N1834">
        <v>2404000</v>
      </c>
      <c r="O1834">
        <v>5</v>
      </c>
      <c r="P1834" t="b">
        <v>0</v>
      </c>
    </row>
    <row r="1835" spans="1:16" x14ac:dyDescent="0.2">
      <c r="A1835" t="s">
        <v>2814</v>
      </c>
      <c r="B1835" s="1">
        <v>44825</v>
      </c>
      <c r="C1835" s="1">
        <v>44886</v>
      </c>
      <c r="D1835" t="s">
        <v>410</v>
      </c>
      <c r="E1835" t="s">
        <v>29</v>
      </c>
      <c r="F1835" t="s">
        <v>19</v>
      </c>
      <c r="G1835" t="s">
        <v>20</v>
      </c>
      <c r="H1835" t="s">
        <v>51</v>
      </c>
      <c r="I1835" t="s">
        <v>77</v>
      </c>
      <c r="J1835">
        <v>4</v>
      </c>
      <c r="K1835">
        <v>2592000</v>
      </c>
      <c r="L1835">
        <v>8.1639719318697707E-2</v>
      </c>
      <c r="M1835" t="s">
        <v>23</v>
      </c>
      <c r="N1835">
        <v>9522000</v>
      </c>
      <c r="O1835">
        <v>3.7</v>
      </c>
      <c r="P1835" t="b">
        <v>1</v>
      </c>
    </row>
    <row r="1836" spans="1:16" x14ac:dyDescent="0.2">
      <c r="A1836" t="s">
        <v>2815</v>
      </c>
      <c r="B1836" s="1">
        <v>44825</v>
      </c>
      <c r="C1836" s="1">
        <v>44879</v>
      </c>
      <c r="D1836" t="s">
        <v>370</v>
      </c>
      <c r="E1836" t="s">
        <v>29</v>
      </c>
      <c r="F1836" t="s">
        <v>34</v>
      </c>
      <c r="G1836" t="s">
        <v>35</v>
      </c>
      <c r="H1836" t="s">
        <v>21</v>
      </c>
      <c r="I1836" t="s">
        <v>22</v>
      </c>
      <c r="J1836">
        <v>2</v>
      </c>
      <c r="K1836">
        <v>3440000</v>
      </c>
      <c r="L1836" s="2" t="s">
        <v>2816</v>
      </c>
      <c r="M1836" t="s">
        <v>23</v>
      </c>
      <c r="N1836">
        <v>6070000</v>
      </c>
      <c r="O1836">
        <v>5</v>
      </c>
      <c r="P1836" t="b">
        <v>1</v>
      </c>
    </row>
    <row r="1837" spans="1:16" x14ac:dyDescent="0.2">
      <c r="A1837" t="s">
        <v>2817</v>
      </c>
      <c r="B1837" s="1">
        <v>44826</v>
      </c>
      <c r="C1837" s="1">
        <v>44842</v>
      </c>
      <c r="D1837" t="s">
        <v>2818</v>
      </c>
      <c r="E1837" t="s">
        <v>45</v>
      </c>
      <c r="F1837" t="s">
        <v>19</v>
      </c>
      <c r="G1837" t="s">
        <v>50</v>
      </c>
      <c r="H1837" t="s">
        <v>21</v>
      </c>
      <c r="I1837" t="s">
        <v>83</v>
      </c>
      <c r="J1837">
        <v>1</v>
      </c>
      <c r="K1837">
        <v>2583000</v>
      </c>
      <c r="L1837" s="2" t="s">
        <v>2819</v>
      </c>
      <c r="M1837" t="s">
        <v>23</v>
      </c>
      <c r="N1837">
        <v>2294000</v>
      </c>
      <c r="O1837">
        <v>5</v>
      </c>
      <c r="P1837" t="b">
        <v>0</v>
      </c>
    </row>
    <row r="1838" spans="1:16" x14ac:dyDescent="0.2">
      <c r="A1838" t="s">
        <v>2820</v>
      </c>
      <c r="B1838" s="1">
        <v>44826</v>
      </c>
      <c r="C1838" s="1">
        <v>44902</v>
      </c>
      <c r="D1838" t="s">
        <v>2821</v>
      </c>
      <c r="E1838" t="s">
        <v>18</v>
      </c>
      <c r="F1838" t="s">
        <v>68</v>
      </c>
      <c r="G1838" t="s">
        <v>20</v>
      </c>
      <c r="H1838" t="s">
        <v>40</v>
      </c>
      <c r="I1838" t="s">
        <v>99</v>
      </c>
      <c r="J1838">
        <v>1</v>
      </c>
      <c r="K1838">
        <v>2716000</v>
      </c>
      <c r="L1838" s="2" t="s">
        <v>2822</v>
      </c>
      <c r="M1838" t="s">
        <v>23</v>
      </c>
      <c r="N1838">
        <v>2680000</v>
      </c>
      <c r="O1838">
        <v>4</v>
      </c>
      <c r="P1838" t="b">
        <v>0</v>
      </c>
    </row>
    <row r="1839" spans="1:16" x14ac:dyDescent="0.2">
      <c r="A1839" t="s">
        <v>2823</v>
      </c>
      <c r="B1839" s="1">
        <v>44826</v>
      </c>
      <c r="C1839" s="1">
        <v>44873</v>
      </c>
      <c r="D1839" t="s">
        <v>185</v>
      </c>
      <c r="E1839" t="s">
        <v>33</v>
      </c>
      <c r="F1839" t="s">
        <v>45</v>
      </c>
      <c r="G1839" t="s">
        <v>20</v>
      </c>
      <c r="I1839" t="s">
        <v>26</v>
      </c>
      <c r="J1839">
        <v>1</v>
      </c>
      <c r="K1839">
        <v>3386000</v>
      </c>
      <c r="L1839">
        <v>9.2642647581703194E-2</v>
      </c>
      <c r="M1839" t="s">
        <v>23</v>
      </c>
      <c r="N1839">
        <v>3072000</v>
      </c>
      <c r="O1839">
        <v>4.5999999999999996</v>
      </c>
      <c r="P1839" t="b">
        <v>1</v>
      </c>
    </row>
    <row r="1840" spans="1:16" x14ac:dyDescent="0.2">
      <c r="A1840" t="s">
        <v>2824</v>
      </c>
      <c r="B1840" s="1">
        <v>44827</v>
      </c>
      <c r="C1840" s="1">
        <v>44888</v>
      </c>
      <c r="D1840" t="s">
        <v>138</v>
      </c>
      <c r="E1840" t="s">
        <v>29</v>
      </c>
      <c r="F1840" t="s">
        <v>45</v>
      </c>
      <c r="G1840" t="s">
        <v>35</v>
      </c>
      <c r="H1840" t="s">
        <v>21</v>
      </c>
      <c r="I1840" t="s">
        <v>57</v>
      </c>
      <c r="J1840">
        <v>2</v>
      </c>
      <c r="K1840">
        <v>3610000</v>
      </c>
      <c r="L1840" s="3">
        <v>0.108</v>
      </c>
      <c r="M1840" t="s">
        <v>23</v>
      </c>
      <c r="N1840">
        <v>6439000</v>
      </c>
      <c r="O1840">
        <v>4.9000000000000004</v>
      </c>
      <c r="P1840" t="b">
        <v>1</v>
      </c>
    </row>
    <row r="1841" spans="1:16" x14ac:dyDescent="0.2">
      <c r="A1841" t="s">
        <v>2825</v>
      </c>
      <c r="B1841" s="1">
        <v>44828</v>
      </c>
      <c r="C1841" s="1">
        <v>44928</v>
      </c>
      <c r="D1841" t="s">
        <v>2826</v>
      </c>
      <c r="E1841" t="s">
        <v>45</v>
      </c>
      <c r="F1841" t="s">
        <v>25</v>
      </c>
      <c r="G1841" t="s">
        <v>35</v>
      </c>
      <c r="H1841" t="s">
        <v>40</v>
      </c>
      <c r="I1841" t="s">
        <v>83</v>
      </c>
      <c r="J1841">
        <v>1</v>
      </c>
      <c r="K1841">
        <v>4657000</v>
      </c>
      <c r="L1841">
        <v>8.6345037402271493E-2</v>
      </c>
      <c r="M1841" t="s">
        <v>23</v>
      </c>
      <c r="N1841">
        <v>4255000</v>
      </c>
      <c r="O1841">
        <v>4.8</v>
      </c>
      <c r="P1841" t="b">
        <v>0</v>
      </c>
    </row>
    <row r="1842" spans="1:16" x14ac:dyDescent="0.2">
      <c r="A1842" t="s">
        <v>2827</v>
      </c>
      <c r="B1842" s="1">
        <v>44828</v>
      </c>
      <c r="C1842" s="1">
        <v>44876</v>
      </c>
      <c r="D1842" t="s">
        <v>905</v>
      </c>
      <c r="E1842" t="s">
        <v>18</v>
      </c>
      <c r="F1842" t="s">
        <v>25</v>
      </c>
      <c r="G1842" t="s">
        <v>20</v>
      </c>
      <c r="H1842" t="s">
        <v>40</v>
      </c>
      <c r="I1842" t="s">
        <v>52</v>
      </c>
      <c r="J1842">
        <v>4</v>
      </c>
      <c r="K1842">
        <v>4557000</v>
      </c>
      <c r="L1842">
        <v>7.8620275037916201E-2</v>
      </c>
      <c r="M1842" t="s">
        <v>65</v>
      </c>
      <c r="N1842">
        <v>0</v>
      </c>
      <c r="P1842" t="b">
        <v>1</v>
      </c>
    </row>
    <row r="1843" spans="1:16" x14ac:dyDescent="0.2">
      <c r="A1843" t="s">
        <v>2828</v>
      </c>
      <c r="B1843" s="1">
        <v>44828</v>
      </c>
      <c r="C1843" s="1">
        <v>44881</v>
      </c>
      <c r="D1843" t="s">
        <v>1283</v>
      </c>
      <c r="E1843" t="s">
        <v>45</v>
      </c>
      <c r="F1843" t="s">
        <v>39</v>
      </c>
      <c r="G1843" t="s">
        <v>35</v>
      </c>
      <c r="H1843" t="s">
        <v>21</v>
      </c>
      <c r="I1843" t="s">
        <v>52</v>
      </c>
      <c r="J1843">
        <v>4</v>
      </c>
      <c r="K1843">
        <v>2362000</v>
      </c>
      <c r="L1843">
        <v>9.4869844437675099E-2</v>
      </c>
      <c r="M1843" t="s">
        <v>23</v>
      </c>
      <c r="N1843">
        <v>8552000</v>
      </c>
      <c r="O1843">
        <v>4.5</v>
      </c>
      <c r="P1843" t="b">
        <v>1</v>
      </c>
    </row>
    <row r="1844" spans="1:16" x14ac:dyDescent="0.2">
      <c r="A1844" t="s">
        <v>2829</v>
      </c>
      <c r="B1844" s="1">
        <v>44828</v>
      </c>
      <c r="C1844" s="1">
        <v>44887</v>
      </c>
      <c r="D1844" t="s">
        <v>2830</v>
      </c>
      <c r="E1844" t="s">
        <v>18</v>
      </c>
      <c r="F1844" t="s">
        <v>45</v>
      </c>
      <c r="G1844" t="s">
        <v>20</v>
      </c>
      <c r="H1844" t="s">
        <v>21</v>
      </c>
      <c r="I1844" t="s">
        <v>22</v>
      </c>
      <c r="J1844">
        <v>2</v>
      </c>
      <c r="K1844">
        <v>3018000</v>
      </c>
      <c r="L1844">
        <v>5.8955118508818502E-2</v>
      </c>
      <c r="M1844" t="s">
        <v>23</v>
      </c>
      <c r="N1844">
        <v>5680000</v>
      </c>
      <c r="O1844">
        <v>4.4000000000000004</v>
      </c>
      <c r="P1844" t="b">
        <v>0</v>
      </c>
    </row>
    <row r="1845" spans="1:16" x14ac:dyDescent="0.2">
      <c r="A1845" t="s">
        <v>2831</v>
      </c>
      <c r="B1845" s="1">
        <v>44829</v>
      </c>
      <c r="C1845" s="1">
        <v>44858</v>
      </c>
      <c r="D1845" t="s">
        <v>2832</v>
      </c>
      <c r="E1845" t="s">
        <v>33</v>
      </c>
      <c r="F1845" t="s">
        <v>19</v>
      </c>
      <c r="G1845" t="s">
        <v>46</v>
      </c>
      <c r="H1845" t="s">
        <v>40</v>
      </c>
      <c r="I1845" t="s">
        <v>83</v>
      </c>
      <c r="J1845">
        <v>1</v>
      </c>
      <c r="K1845">
        <v>2708000</v>
      </c>
      <c r="L1845" s="2" t="s">
        <v>2833</v>
      </c>
      <c r="M1845" t="s">
        <v>23</v>
      </c>
      <c r="N1845">
        <v>2347000</v>
      </c>
      <c r="O1845">
        <v>4.2</v>
      </c>
      <c r="P1845" t="b">
        <v>0</v>
      </c>
    </row>
    <row r="1846" spans="1:16" x14ac:dyDescent="0.2">
      <c r="A1846" t="s">
        <v>2834</v>
      </c>
      <c r="B1846" s="1">
        <v>44829</v>
      </c>
      <c r="C1846" s="1">
        <v>44829</v>
      </c>
      <c r="D1846" t="s">
        <v>2835</v>
      </c>
      <c r="E1846" t="s">
        <v>45</v>
      </c>
      <c r="F1846" t="s">
        <v>34</v>
      </c>
      <c r="G1846" t="s">
        <v>35</v>
      </c>
      <c r="I1846" t="s">
        <v>83</v>
      </c>
      <c r="J1846">
        <v>3</v>
      </c>
      <c r="K1846">
        <v>3907000</v>
      </c>
      <c r="L1846" s="2" t="s">
        <v>2836</v>
      </c>
      <c r="M1846" t="s">
        <v>23</v>
      </c>
      <c r="N1846">
        <v>11514000</v>
      </c>
      <c r="O1846">
        <v>4.4000000000000004</v>
      </c>
      <c r="P1846" t="b">
        <v>0</v>
      </c>
    </row>
    <row r="1847" spans="1:16" x14ac:dyDescent="0.2">
      <c r="A1847" t="s">
        <v>2837</v>
      </c>
      <c r="B1847" s="1">
        <v>44830</v>
      </c>
      <c r="C1847" s="1">
        <v>44897</v>
      </c>
      <c r="D1847" t="s">
        <v>2838</v>
      </c>
      <c r="E1847" t="s">
        <v>29</v>
      </c>
      <c r="F1847" t="s">
        <v>25</v>
      </c>
      <c r="G1847" t="s">
        <v>50</v>
      </c>
      <c r="H1847" t="s">
        <v>47</v>
      </c>
      <c r="I1847" t="s">
        <v>26</v>
      </c>
      <c r="J1847">
        <v>2</v>
      </c>
      <c r="K1847">
        <v>5774000</v>
      </c>
      <c r="L1847" s="2" t="s">
        <v>2839</v>
      </c>
      <c r="M1847" t="s">
        <v>23</v>
      </c>
      <c r="N1847">
        <v>9653000</v>
      </c>
      <c r="O1847">
        <v>4.2</v>
      </c>
      <c r="P1847" t="b">
        <v>0</v>
      </c>
    </row>
    <row r="1848" spans="1:16" x14ac:dyDescent="0.2">
      <c r="A1848" t="s">
        <v>2840</v>
      </c>
      <c r="B1848" s="1">
        <v>44831</v>
      </c>
      <c r="C1848" s="1">
        <v>44860</v>
      </c>
      <c r="D1848" t="s">
        <v>2841</v>
      </c>
      <c r="E1848" t="s">
        <v>33</v>
      </c>
      <c r="F1848" t="s">
        <v>34</v>
      </c>
      <c r="G1848" t="s">
        <v>20</v>
      </c>
      <c r="H1848" t="s">
        <v>21</v>
      </c>
      <c r="I1848" t="s">
        <v>30</v>
      </c>
      <c r="J1848">
        <v>1</v>
      </c>
      <c r="K1848">
        <v>3500000</v>
      </c>
      <c r="L1848" s="2" t="s">
        <v>2842</v>
      </c>
      <c r="M1848" t="s">
        <v>23</v>
      </c>
      <c r="N1848">
        <v>2940000</v>
      </c>
      <c r="O1848">
        <v>4.0999999999999996</v>
      </c>
      <c r="P1848" t="b">
        <v>0</v>
      </c>
    </row>
    <row r="1849" spans="1:16" x14ac:dyDescent="0.2">
      <c r="A1849" t="s">
        <v>2843</v>
      </c>
      <c r="B1849" s="1">
        <v>44832</v>
      </c>
      <c r="C1849" s="1">
        <v>44897</v>
      </c>
      <c r="D1849" t="s">
        <v>732</v>
      </c>
      <c r="E1849" t="s">
        <v>45</v>
      </c>
      <c r="F1849" t="s">
        <v>34</v>
      </c>
      <c r="G1849" t="s">
        <v>50</v>
      </c>
      <c r="H1849" t="s">
        <v>21</v>
      </c>
      <c r="I1849" t="s">
        <v>22</v>
      </c>
      <c r="J1849">
        <v>2</v>
      </c>
      <c r="K1849">
        <v>3632000</v>
      </c>
      <c r="L1849" s="2" t="s">
        <v>2844</v>
      </c>
      <c r="M1849" t="s">
        <v>23</v>
      </c>
      <c r="N1849">
        <v>6162000</v>
      </c>
      <c r="O1849">
        <v>3.9</v>
      </c>
      <c r="P1849" t="b">
        <v>1</v>
      </c>
    </row>
    <row r="1850" spans="1:16" x14ac:dyDescent="0.2">
      <c r="A1850" t="s">
        <v>2845</v>
      </c>
      <c r="B1850" s="1">
        <v>44833</v>
      </c>
      <c r="C1850" s="1">
        <v>44926</v>
      </c>
      <c r="D1850" t="s">
        <v>2846</v>
      </c>
      <c r="E1850" t="s">
        <v>33</v>
      </c>
      <c r="F1850" t="s">
        <v>45</v>
      </c>
      <c r="G1850" t="s">
        <v>20</v>
      </c>
      <c r="H1850" t="s">
        <v>40</v>
      </c>
      <c r="I1850" t="s">
        <v>52</v>
      </c>
      <c r="J1850">
        <v>1</v>
      </c>
      <c r="K1850">
        <v>3045000</v>
      </c>
      <c r="L1850" s="3">
        <v>8.2000000000000003E-2</v>
      </c>
      <c r="M1850" t="s">
        <v>65</v>
      </c>
      <c r="N1850">
        <v>0</v>
      </c>
      <c r="P1850" t="b">
        <v>0</v>
      </c>
    </row>
    <row r="1851" spans="1:16" x14ac:dyDescent="0.2">
      <c r="A1851" t="s">
        <v>2847</v>
      </c>
      <c r="B1851" s="1">
        <v>44833</v>
      </c>
      <c r="C1851" s="1">
        <v>44866</v>
      </c>
      <c r="D1851" t="s">
        <v>2848</v>
      </c>
      <c r="E1851" t="s">
        <v>18</v>
      </c>
      <c r="F1851" t="s">
        <v>34</v>
      </c>
      <c r="G1851" t="s">
        <v>20</v>
      </c>
      <c r="H1851" t="s">
        <v>40</v>
      </c>
      <c r="I1851" t="s">
        <v>22</v>
      </c>
      <c r="J1851">
        <v>1</v>
      </c>
      <c r="K1851">
        <v>3408000</v>
      </c>
      <c r="L1851">
        <v>8.8769513413230097E-2</v>
      </c>
      <c r="M1851" t="s">
        <v>23</v>
      </c>
      <c r="N1851">
        <v>3105000</v>
      </c>
      <c r="O1851">
        <v>4.2</v>
      </c>
      <c r="P1851" t="b">
        <v>0</v>
      </c>
    </row>
    <row r="1852" spans="1:16" x14ac:dyDescent="0.2">
      <c r="A1852" t="s">
        <v>2849</v>
      </c>
      <c r="B1852" s="1">
        <v>44833</v>
      </c>
      <c r="C1852" s="1">
        <v>44951</v>
      </c>
      <c r="D1852" t="s">
        <v>2733</v>
      </c>
      <c r="E1852" t="s">
        <v>33</v>
      </c>
      <c r="F1852" t="s">
        <v>34</v>
      </c>
      <c r="G1852" t="s">
        <v>20</v>
      </c>
      <c r="H1852" t="s">
        <v>21</v>
      </c>
      <c r="I1852" t="s">
        <v>52</v>
      </c>
      <c r="J1852">
        <v>2</v>
      </c>
      <c r="K1852">
        <v>3137000</v>
      </c>
      <c r="L1852">
        <v>9.8845619079168598E-2</v>
      </c>
      <c r="M1852" t="s">
        <v>23</v>
      </c>
      <c r="N1852">
        <v>5654000</v>
      </c>
      <c r="O1852">
        <v>4.7</v>
      </c>
      <c r="P1852" t="b">
        <v>1</v>
      </c>
    </row>
    <row r="1853" spans="1:16" x14ac:dyDescent="0.2">
      <c r="A1853" t="s">
        <v>2850</v>
      </c>
      <c r="B1853" s="1">
        <v>44833</v>
      </c>
      <c r="C1853" s="1">
        <v>44883</v>
      </c>
      <c r="D1853" t="s">
        <v>1403</v>
      </c>
      <c r="E1853" t="s">
        <v>18</v>
      </c>
      <c r="F1853" t="s">
        <v>68</v>
      </c>
      <c r="G1853" t="s">
        <v>46</v>
      </c>
      <c r="H1853" t="s">
        <v>47</v>
      </c>
      <c r="I1853" t="s">
        <v>26</v>
      </c>
      <c r="J1853">
        <v>1</v>
      </c>
      <c r="K1853">
        <v>2739000</v>
      </c>
      <c r="L1853" s="2" t="s">
        <v>2851</v>
      </c>
      <c r="M1853" t="s">
        <v>23</v>
      </c>
      <c r="N1853">
        <v>2410000</v>
      </c>
      <c r="O1853">
        <v>5</v>
      </c>
      <c r="P1853" t="b">
        <v>1</v>
      </c>
    </row>
    <row r="1854" spans="1:16" x14ac:dyDescent="0.2">
      <c r="A1854" t="s">
        <v>2852</v>
      </c>
      <c r="B1854" s="1">
        <v>44834</v>
      </c>
      <c r="C1854" s="1">
        <v>44904</v>
      </c>
      <c r="D1854" t="s">
        <v>1283</v>
      </c>
      <c r="E1854" t="s">
        <v>29</v>
      </c>
      <c r="F1854" t="s">
        <v>39</v>
      </c>
      <c r="G1854" t="s">
        <v>35</v>
      </c>
      <c r="H1854" t="s">
        <v>21</v>
      </c>
      <c r="I1854" t="s">
        <v>83</v>
      </c>
      <c r="J1854">
        <v>1</v>
      </c>
      <c r="K1854">
        <v>1525000</v>
      </c>
      <c r="L1854" s="2" t="s">
        <v>2853</v>
      </c>
      <c r="M1854" t="s">
        <v>1656</v>
      </c>
      <c r="N1854">
        <v>1363000</v>
      </c>
      <c r="O1854">
        <v>3.7</v>
      </c>
      <c r="P1854" t="b">
        <v>1</v>
      </c>
    </row>
    <row r="1855" spans="1:16" x14ac:dyDescent="0.2">
      <c r="A1855" t="s">
        <v>2854</v>
      </c>
      <c r="B1855" s="1">
        <v>44835</v>
      </c>
      <c r="C1855" s="1">
        <v>44876</v>
      </c>
      <c r="D1855" t="s">
        <v>750</v>
      </c>
      <c r="E1855" t="s">
        <v>33</v>
      </c>
      <c r="F1855" t="s">
        <v>68</v>
      </c>
      <c r="H1855" t="s">
        <v>21</v>
      </c>
      <c r="I1855" t="s">
        <v>60</v>
      </c>
      <c r="J1855">
        <v>3</v>
      </c>
      <c r="K1855">
        <v>2597000</v>
      </c>
      <c r="L1855">
        <v>4.8250038194344799E-2</v>
      </c>
      <c r="M1855" t="s">
        <v>23</v>
      </c>
      <c r="N1855">
        <v>7415000</v>
      </c>
      <c r="O1855">
        <v>4.2</v>
      </c>
      <c r="P1855" t="b">
        <v>1</v>
      </c>
    </row>
    <row r="1856" spans="1:16" x14ac:dyDescent="0.2">
      <c r="A1856" t="s">
        <v>2855</v>
      </c>
      <c r="B1856" s="1">
        <v>44835</v>
      </c>
      <c r="C1856" s="1">
        <v>44877</v>
      </c>
      <c r="D1856" t="s">
        <v>750</v>
      </c>
      <c r="E1856" t="s">
        <v>18</v>
      </c>
      <c r="F1856" t="s">
        <v>19</v>
      </c>
      <c r="G1856" t="s">
        <v>20</v>
      </c>
      <c r="H1856" t="s">
        <v>47</v>
      </c>
      <c r="I1856" t="s">
        <v>30</v>
      </c>
      <c r="J1856">
        <v>1</v>
      </c>
      <c r="K1856">
        <v>2412000</v>
      </c>
      <c r="L1856">
        <v>6.4503279008703604E-2</v>
      </c>
      <c r="M1856" t="s">
        <v>23</v>
      </c>
      <c r="N1856">
        <v>2256000</v>
      </c>
      <c r="O1856">
        <v>4.3</v>
      </c>
      <c r="P1856" t="b">
        <v>1</v>
      </c>
    </row>
    <row r="1857" spans="1:16" x14ac:dyDescent="0.2">
      <c r="A1857" t="s">
        <v>2856</v>
      </c>
      <c r="B1857" s="1">
        <v>44835</v>
      </c>
      <c r="C1857" s="1">
        <v>44869</v>
      </c>
      <c r="D1857" t="s">
        <v>2462</v>
      </c>
      <c r="E1857" t="s">
        <v>45</v>
      </c>
      <c r="F1857" t="s">
        <v>45</v>
      </c>
      <c r="G1857" t="s">
        <v>20</v>
      </c>
      <c r="H1857" t="s">
        <v>21</v>
      </c>
      <c r="I1857" t="s">
        <v>77</v>
      </c>
      <c r="J1857">
        <v>2</v>
      </c>
      <c r="K1857">
        <v>3683000</v>
      </c>
      <c r="L1857" s="2" t="s">
        <v>2857</v>
      </c>
      <c r="M1857" t="s">
        <v>23</v>
      </c>
      <c r="N1857">
        <v>7173000</v>
      </c>
      <c r="O1857">
        <v>4.5</v>
      </c>
      <c r="P1857" t="b">
        <v>1</v>
      </c>
    </row>
    <row r="1858" spans="1:16" x14ac:dyDescent="0.2">
      <c r="A1858" t="s">
        <v>2858</v>
      </c>
      <c r="B1858" s="1">
        <v>44836</v>
      </c>
      <c r="C1858" s="1">
        <v>44902</v>
      </c>
      <c r="D1858" t="s">
        <v>2859</v>
      </c>
      <c r="E1858" t="s">
        <v>29</v>
      </c>
      <c r="F1858" t="s">
        <v>34</v>
      </c>
      <c r="G1858" t="s">
        <v>35</v>
      </c>
      <c r="H1858" t="s">
        <v>47</v>
      </c>
      <c r="I1858" t="s">
        <v>22</v>
      </c>
      <c r="J1858">
        <v>1</v>
      </c>
      <c r="K1858">
        <v>3758000</v>
      </c>
      <c r="L1858">
        <v>7.2641166020130599E-2</v>
      </c>
      <c r="M1858" t="s">
        <v>23</v>
      </c>
      <c r="N1858">
        <v>3485000</v>
      </c>
      <c r="O1858">
        <v>4.5</v>
      </c>
      <c r="P1858" t="b">
        <v>0</v>
      </c>
    </row>
    <row r="1859" spans="1:16" x14ac:dyDescent="0.2">
      <c r="A1859" t="s">
        <v>2860</v>
      </c>
      <c r="B1859" s="1">
        <v>44836</v>
      </c>
      <c r="C1859" s="1">
        <v>44885</v>
      </c>
      <c r="D1859" t="s">
        <v>1826</v>
      </c>
      <c r="E1859" t="s">
        <v>29</v>
      </c>
      <c r="F1859" t="s">
        <v>34</v>
      </c>
      <c r="G1859" t="s">
        <v>50</v>
      </c>
      <c r="H1859" t="s">
        <v>21</v>
      </c>
      <c r="I1859" t="s">
        <v>77</v>
      </c>
      <c r="J1859">
        <v>3</v>
      </c>
      <c r="K1859">
        <v>4178000</v>
      </c>
      <c r="L1859">
        <v>5.7803770935052901E-2</v>
      </c>
      <c r="M1859" t="s">
        <v>23</v>
      </c>
      <c r="N1859">
        <v>11809000</v>
      </c>
      <c r="O1859">
        <v>3.7</v>
      </c>
      <c r="P1859" t="b">
        <v>1</v>
      </c>
    </row>
    <row r="1860" spans="1:16" x14ac:dyDescent="0.2">
      <c r="A1860" t="s">
        <v>2861</v>
      </c>
      <c r="B1860" s="1">
        <v>44837</v>
      </c>
      <c r="C1860" s="1">
        <v>44879</v>
      </c>
      <c r="D1860" t="s">
        <v>802</v>
      </c>
      <c r="E1860" t="s">
        <v>18</v>
      </c>
      <c r="F1860" t="s">
        <v>19</v>
      </c>
      <c r="G1860" t="s">
        <v>35</v>
      </c>
      <c r="H1860" t="s">
        <v>21</v>
      </c>
      <c r="I1860" t="s">
        <v>57</v>
      </c>
      <c r="J1860">
        <v>1</v>
      </c>
      <c r="K1860">
        <v>3341000</v>
      </c>
      <c r="L1860" s="2" t="s">
        <v>2862</v>
      </c>
      <c r="M1860" t="s">
        <v>23</v>
      </c>
      <c r="N1860">
        <v>3206000</v>
      </c>
      <c r="O1860">
        <v>3.4</v>
      </c>
      <c r="P1860" t="b">
        <v>1</v>
      </c>
    </row>
    <row r="1861" spans="1:16" x14ac:dyDescent="0.2">
      <c r="A1861" t="s">
        <v>2863</v>
      </c>
      <c r="B1861" s="1">
        <v>44837</v>
      </c>
      <c r="C1861" s="1">
        <v>44906</v>
      </c>
      <c r="D1861" t="s">
        <v>311</v>
      </c>
      <c r="E1861" t="s">
        <v>45</v>
      </c>
      <c r="F1861" t="s">
        <v>34</v>
      </c>
      <c r="G1861" t="s">
        <v>20</v>
      </c>
      <c r="H1861" t="s">
        <v>40</v>
      </c>
      <c r="I1861" t="s">
        <v>57</v>
      </c>
      <c r="J1861">
        <v>3</v>
      </c>
      <c r="K1861">
        <v>4740000</v>
      </c>
      <c r="L1861">
        <v>9.7424952268093196E-2</v>
      </c>
      <c r="M1861" t="s">
        <v>23</v>
      </c>
      <c r="N1861">
        <v>12835000</v>
      </c>
      <c r="O1861">
        <v>3.9</v>
      </c>
      <c r="P1861" t="b">
        <v>1</v>
      </c>
    </row>
    <row r="1862" spans="1:16" x14ac:dyDescent="0.2">
      <c r="A1862" t="s">
        <v>2864</v>
      </c>
      <c r="B1862" s="1">
        <v>44838</v>
      </c>
      <c r="C1862" s="1">
        <v>44856</v>
      </c>
      <c r="D1862" t="s">
        <v>2865</v>
      </c>
      <c r="E1862" t="s">
        <v>18</v>
      </c>
      <c r="F1862" t="s">
        <v>34</v>
      </c>
      <c r="G1862" t="s">
        <v>46</v>
      </c>
      <c r="H1862" t="s">
        <v>21</v>
      </c>
      <c r="I1862" t="s">
        <v>1654</v>
      </c>
      <c r="J1862">
        <v>1</v>
      </c>
      <c r="K1862">
        <v>3072000</v>
      </c>
      <c r="L1862" s="2" t="s">
        <v>2866</v>
      </c>
      <c r="M1862" t="s">
        <v>23</v>
      </c>
      <c r="N1862">
        <v>2564000</v>
      </c>
      <c r="O1862">
        <v>4.0999999999999996</v>
      </c>
      <c r="P1862" t="b">
        <v>0</v>
      </c>
    </row>
    <row r="1863" spans="1:16" x14ac:dyDescent="0.2">
      <c r="A1863" t="s">
        <v>2867</v>
      </c>
      <c r="B1863" s="1">
        <v>44838</v>
      </c>
      <c r="C1863" s="1">
        <v>44838</v>
      </c>
      <c r="D1863" t="s">
        <v>2868</v>
      </c>
      <c r="E1863" t="s">
        <v>45</v>
      </c>
      <c r="F1863" t="s">
        <v>19</v>
      </c>
      <c r="G1863" t="s">
        <v>20</v>
      </c>
      <c r="H1863" t="s">
        <v>21</v>
      </c>
      <c r="I1863" t="s">
        <v>26</v>
      </c>
      <c r="J1863">
        <v>2</v>
      </c>
      <c r="K1863">
        <v>2343000</v>
      </c>
      <c r="L1863">
        <v>8.78234548678756E-2</v>
      </c>
      <c r="M1863" t="s">
        <v>23</v>
      </c>
      <c r="N1863">
        <v>4274000</v>
      </c>
      <c r="O1863">
        <v>4.5</v>
      </c>
      <c r="P1863" t="b">
        <v>0</v>
      </c>
    </row>
    <row r="1864" spans="1:16" x14ac:dyDescent="0.2">
      <c r="A1864" t="s">
        <v>2869</v>
      </c>
      <c r="B1864" s="1">
        <v>44838</v>
      </c>
      <c r="C1864" s="1">
        <v>44919</v>
      </c>
      <c r="D1864" t="s">
        <v>949</v>
      </c>
      <c r="E1864" t="s">
        <v>45</v>
      </c>
      <c r="F1864" t="s">
        <v>39</v>
      </c>
      <c r="G1864" t="s">
        <v>20</v>
      </c>
      <c r="H1864" t="s">
        <v>40</v>
      </c>
      <c r="I1864" t="s">
        <v>99</v>
      </c>
      <c r="J1864">
        <v>1</v>
      </c>
      <c r="K1864">
        <v>2327000</v>
      </c>
      <c r="L1864">
        <v>7.5456194058956205E-2</v>
      </c>
      <c r="M1864" t="s">
        <v>23</v>
      </c>
      <c r="N1864">
        <v>2151000</v>
      </c>
      <c r="O1864">
        <v>3.8</v>
      </c>
      <c r="P1864" t="b">
        <v>1</v>
      </c>
    </row>
    <row r="1865" spans="1:16" x14ac:dyDescent="0.2">
      <c r="A1865" t="s">
        <v>2870</v>
      </c>
      <c r="B1865" s="1">
        <v>44838</v>
      </c>
      <c r="C1865" s="1">
        <v>44858</v>
      </c>
      <c r="D1865" t="s">
        <v>2871</v>
      </c>
      <c r="E1865" t="s">
        <v>18</v>
      </c>
      <c r="F1865" t="s">
        <v>25</v>
      </c>
      <c r="G1865" t="s">
        <v>35</v>
      </c>
      <c r="H1865" t="s">
        <v>47</v>
      </c>
      <c r="I1865" t="s">
        <v>60</v>
      </c>
      <c r="J1865">
        <v>1</v>
      </c>
      <c r="K1865">
        <v>5486000</v>
      </c>
      <c r="L1865" s="2" t="s">
        <v>2872</v>
      </c>
      <c r="M1865" t="s">
        <v>65</v>
      </c>
      <c r="N1865">
        <v>0</v>
      </c>
      <c r="P1865" t="b">
        <v>0</v>
      </c>
    </row>
    <row r="1866" spans="1:16" x14ac:dyDescent="0.2">
      <c r="A1866" t="s">
        <v>2873</v>
      </c>
      <c r="B1866" s="1">
        <v>44839</v>
      </c>
      <c r="C1866" s="1">
        <v>44883</v>
      </c>
      <c r="D1866" t="s">
        <v>2214</v>
      </c>
      <c r="E1866" t="s">
        <v>33</v>
      </c>
      <c r="F1866" t="s">
        <v>19</v>
      </c>
      <c r="G1866" t="s">
        <v>20</v>
      </c>
      <c r="H1866" t="s">
        <v>51</v>
      </c>
      <c r="I1866" t="s">
        <v>26</v>
      </c>
      <c r="J1866">
        <v>1</v>
      </c>
      <c r="K1866">
        <v>2357000</v>
      </c>
      <c r="L1866" s="2" t="s">
        <v>2874</v>
      </c>
      <c r="M1866" t="s">
        <v>23</v>
      </c>
      <c r="N1866">
        <v>2085000</v>
      </c>
      <c r="O1866">
        <v>4.5</v>
      </c>
      <c r="P1866" t="b">
        <v>1</v>
      </c>
    </row>
    <row r="1867" spans="1:16" x14ac:dyDescent="0.2">
      <c r="A1867" t="s">
        <v>2875</v>
      </c>
      <c r="B1867" s="1">
        <v>44839</v>
      </c>
      <c r="C1867" s="1">
        <v>44868</v>
      </c>
      <c r="D1867" t="s">
        <v>777</v>
      </c>
      <c r="E1867" t="s">
        <v>29</v>
      </c>
      <c r="F1867" t="s">
        <v>25</v>
      </c>
      <c r="G1867" t="s">
        <v>35</v>
      </c>
      <c r="I1867" t="s">
        <v>94</v>
      </c>
      <c r="J1867">
        <v>2</v>
      </c>
      <c r="K1867">
        <v>4372000</v>
      </c>
      <c r="L1867">
        <v>9.7507532117513396E-2</v>
      </c>
      <c r="M1867" t="s">
        <v>23</v>
      </c>
      <c r="N1867">
        <v>7891000</v>
      </c>
      <c r="O1867">
        <v>3.5</v>
      </c>
      <c r="P1867" t="b">
        <v>1</v>
      </c>
    </row>
    <row r="1868" spans="1:16" x14ac:dyDescent="0.2">
      <c r="A1868" t="s">
        <v>2876</v>
      </c>
      <c r="B1868" s="1">
        <v>44840</v>
      </c>
      <c r="C1868" s="1">
        <v>44896</v>
      </c>
      <c r="D1868" t="s">
        <v>2877</v>
      </c>
      <c r="E1868" t="s">
        <v>18</v>
      </c>
      <c r="F1868" t="s">
        <v>19</v>
      </c>
      <c r="G1868" t="s">
        <v>20</v>
      </c>
      <c r="I1868" t="s">
        <v>83</v>
      </c>
      <c r="J1868">
        <v>2</v>
      </c>
      <c r="K1868">
        <v>2833000</v>
      </c>
      <c r="L1868" s="2" t="s">
        <v>2878</v>
      </c>
      <c r="M1868" t="s">
        <v>23</v>
      </c>
      <c r="N1868">
        <v>4895000</v>
      </c>
      <c r="O1868">
        <v>4.8</v>
      </c>
      <c r="P1868" t="b">
        <v>0</v>
      </c>
    </row>
    <row r="1869" spans="1:16" x14ac:dyDescent="0.2">
      <c r="A1869" t="s">
        <v>2879</v>
      </c>
      <c r="B1869" s="1">
        <v>44841</v>
      </c>
      <c r="C1869" s="1">
        <v>44912</v>
      </c>
      <c r="D1869" t="s">
        <v>2007</v>
      </c>
      <c r="E1869" t="s">
        <v>18</v>
      </c>
      <c r="F1869" t="s">
        <v>39</v>
      </c>
      <c r="G1869" t="s">
        <v>46</v>
      </c>
      <c r="H1869" t="s">
        <v>40</v>
      </c>
      <c r="I1869" t="s">
        <v>60</v>
      </c>
      <c r="J1869">
        <v>2</v>
      </c>
      <c r="K1869">
        <v>2761000</v>
      </c>
      <c r="L1869" s="2" t="s">
        <v>2880</v>
      </c>
      <c r="M1869" t="s">
        <v>23</v>
      </c>
      <c r="N1869">
        <v>5308000</v>
      </c>
      <c r="O1869">
        <v>4.8</v>
      </c>
      <c r="P1869" t="b">
        <v>1</v>
      </c>
    </row>
    <row r="1870" spans="1:16" x14ac:dyDescent="0.2">
      <c r="A1870" t="s">
        <v>2881</v>
      </c>
      <c r="B1870" s="1">
        <v>44841</v>
      </c>
      <c r="C1870" s="1">
        <v>44862</v>
      </c>
      <c r="D1870" t="s">
        <v>2783</v>
      </c>
      <c r="E1870" t="s">
        <v>18</v>
      </c>
      <c r="F1870" t="s">
        <v>19</v>
      </c>
      <c r="G1870" t="s">
        <v>35</v>
      </c>
      <c r="H1870" t="s">
        <v>21</v>
      </c>
      <c r="I1870" t="s">
        <v>99</v>
      </c>
      <c r="J1870">
        <v>2</v>
      </c>
      <c r="K1870">
        <v>2446000</v>
      </c>
      <c r="L1870">
        <v>6.7340756966377202E-2</v>
      </c>
      <c r="M1870" t="s">
        <v>23</v>
      </c>
      <c r="N1870">
        <v>4563000</v>
      </c>
      <c r="O1870">
        <v>5</v>
      </c>
      <c r="P1870" t="b">
        <v>1</v>
      </c>
    </row>
    <row r="1871" spans="1:16" x14ac:dyDescent="0.2">
      <c r="A1871" t="s">
        <v>2882</v>
      </c>
      <c r="B1871" s="1">
        <v>44842</v>
      </c>
      <c r="C1871" s="1">
        <v>44914</v>
      </c>
      <c r="D1871" t="s">
        <v>1773</v>
      </c>
      <c r="E1871" t="s">
        <v>45</v>
      </c>
      <c r="F1871" t="s">
        <v>45</v>
      </c>
      <c r="H1871" t="s">
        <v>21</v>
      </c>
      <c r="I1871" t="s">
        <v>77</v>
      </c>
      <c r="J1871">
        <v>2</v>
      </c>
      <c r="K1871">
        <v>3334000</v>
      </c>
      <c r="L1871">
        <v>0</v>
      </c>
      <c r="M1871" t="s">
        <v>23</v>
      </c>
      <c r="N1871">
        <v>6668000</v>
      </c>
      <c r="O1871">
        <v>5</v>
      </c>
      <c r="P1871" t="b">
        <v>1</v>
      </c>
    </row>
    <row r="1872" spans="1:16" x14ac:dyDescent="0.2">
      <c r="A1872" t="s">
        <v>2883</v>
      </c>
      <c r="B1872" s="1">
        <v>44844</v>
      </c>
      <c r="C1872" s="1">
        <v>44872</v>
      </c>
      <c r="D1872" t="s">
        <v>1918</v>
      </c>
      <c r="E1872" t="s">
        <v>18</v>
      </c>
      <c r="F1872" t="s">
        <v>45</v>
      </c>
      <c r="G1872" t="s">
        <v>20</v>
      </c>
      <c r="H1872" t="s">
        <v>21</v>
      </c>
      <c r="I1872" t="s">
        <v>22</v>
      </c>
      <c r="J1872">
        <v>3</v>
      </c>
      <c r="K1872">
        <v>3078000</v>
      </c>
      <c r="L1872">
        <v>9.7472298613380595E-2</v>
      </c>
      <c r="M1872" t="s">
        <v>23</v>
      </c>
      <c r="N1872">
        <v>8334000</v>
      </c>
      <c r="O1872">
        <v>4.5999999999999996</v>
      </c>
      <c r="P1872" t="b">
        <v>1</v>
      </c>
    </row>
    <row r="1873" spans="1:16" x14ac:dyDescent="0.2">
      <c r="A1873" t="s">
        <v>2884</v>
      </c>
      <c r="B1873" s="1">
        <v>44845</v>
      </c>
      <c r="C1873" s="1">
        <v>44870</v>
      </c>
      <c r="D1873" t="s">
        <v>588</v>
      </c>
      <c r="E1873" t="s">
        <v>33</v>
      </c>
      <c r="F1873" t="s">
        <v>68</v>
      </c>
      <c r="G1873" t="s">
        <v>20</v>
      </c>
      <c r="H1873" t="s">
        <v>21</v>
      </c>
      <c r="I1873" t="s">
        <v>57</v>
      </c>
      <c r="J1873">
        <v>3</v>
      </c>
      <c r="K1873">
        <v>2753000</v>
      </c>
      <c r="L1873" s="2" t="s">
        <v>2885</v>
      </c>
      <c r="M1873" t="s">
        <v>23</v>
      </c>
      <c r="N1873">
        <v>6758000</v>
      </c>
      <c r="O1873">
        <v>4.7</v>
      </c>
      <c r="P1873" t="b">
        <v>1</v>
      </c>
    </row>
    <row r="1874" spans="1:16" x14ac:dyDescent="0.2">
      <c r="A1874" t="s">
        <v>2886</v>
      </c>
      <c r="B1874" s="1">
        <v>44846</v>
      </c>
      <c r="C1874" s="1">
        <v>44900</v>
      </c>
      <c r="D1874" t="s">
        <v>2201</v>
      </c>
      <c r="E1874" t="s">
        <v>45</v>
      </c>
      <c r="F1874" t="s">
        <v>34</v>
      </c>
      <c r="G1874" t="s">
        <v>50</v>
      </c>
      <c r="H1874" t="s">
        <v>21</v>
      </c>
      <c r="I1874" t="s">
        <v>99</v>
      </c>
      <c r="J1874">
        <v>1</v>
      </c>
      <c r="K1874">
        <v>4437000</v>
      </c>
      <c r="L1874">
        <v>9.0844858955256194E-2</v>
      </c>
      <c r="M1874" t="s">
        <v>23</v>
      </c>
      <c r="N1874">
        <v>4034000</v>
      </c>
      <c r="O1874">
        <v>4.4000000000000004</v>
      </c>
      <c r="P1874" t="b">
        <v>1</v>
      </c>
    </row>
    <row r="1875" spans="1:16" x14ac:dyDescent="0.2">
      <c r="A1875" t="s">
        <v>2887</v>
      </c>
      <c r="B1875" s="1">
        <v>44846</v>
      </c>
      <c r="C1875" s="1">
        <v>44892</v>
      </c>
      <c r="D1875" t="s">
        <v>2888</v>
      </c>
      <c r="E1875" t="s">
        <v>29</v>
      </c>
      <c r="F1875" t="s">
        <v>34</v>
      </c>
      <c r="G1875" t="s">
        <v>20</v>
      </c>
      <c r="H1875" t="s">
        <v>21</v>
      </c>
      <c r="I1875" t="s">
        <v>57</v>
      </c>
      <c r="J1875">
        <v>1</v>
      </c>
      <c r="K1875">
        <v>4345000</v>
      </c>
      <c r="L1875" s="2" t="s">
        <v>2889</v>
      </c>
      <c r="M1875" t="s">
        <v>23</v>
      </c>
      <c r="N1875">
        <v>3523000</v>
      </c>
      <c r="O1875">
        <v>4.0999999999999996</v>
      </c>
      <c r="P1875" t="b">
        <v>0</v>
      </c>
    </row>
    <row r="1876" spans="1:16" x14ac:dyDescent="0.2">
      <c r="A1876" t="s">
        <v>2890</v>
      </c>
      <c r="B1876" s="1">
        <v>44847</v>
      </c>
      <c r="C1876" s="1">
        <v>44889</v>
      </c>
      <c r="D1876" t="s">
        <v>737</v>
      </c>
      <c r="E1876" t="s">
        <v>33</v>
      </c>
      <c r="F1876" t="s">
        <v>34</v>
      </c>
      <c r="G1876" t="s">
        <v>20</v>
      </c>
      <c r="H1876" t="s">
        <v>47</v>
      </c>
      <c r="I1876" t="s">
        <v>26</v>
      </c>
      <c r="J1876">
        <v>2</v>
      </c>
      <c r="K1876">
        <v>4094000</v>
      </c>
      <c r="L1876" s="2" t="s">
        <v>2891</v>
      </c>
      <c r="M1876" t="s">
        <v>23</v>
      </c>
      <c r="N1876">
        <v>7309000</v>
      </c>
      <c r="O1876">
        <v>4.2</v>
      </c>
      <c r="P1876" t="b">
        <v>1</v>
      </c>
    </row>
    <row r="1877" spans="1:16" x14ac:dyDescent="0.2">
      <c r="A1877" t="s">
        <v>2892</v>
      </c>
      <c r="B1877" s="1">
        <v>44847</v>
      </c>
      <c r="C1877" s="1">
        <v>44902</v>
      </c>
      <c r="D1877" t="s">
        <v>2893</v>
      </c>
      <c r="E1877" t="s">
        <v>18</v>
      </c>
      <c r="F1877" t="s">
        <v>25</v>
      </c>
      <c r="G1877" t="s">
        <v>35</v>
      </c>
      <c r="H1877" t="s">
        <v>21</v>
      </c>
      <c r="I1877" t="s">
        <v>94</v>
      </c>
      <c r="J1877">
        <v>3</v>
      </c>
      <c r="K1877">
        <v>4711000</v>
      </c>
      <c r="L1877" s="2" t="s">
        <v>2894</v>
      </c>
      <c r="M1877" t="s">
        <v>23</v>
      </c>
      <c r="N1877">
        <v>12051000</v>
      </c>
      <c r="O1877">
        <v>4</v>
      </c>
      <c r="P1877" t="b">
        <v>0</v>
      </c>
    </row>
    <row r="1878" spans="1:16" x14ac:dyDescent="0.2">
      <c r="A1878" t="s">
        <v>2895</v>
      </c>
      <c r="B1878" s="1">
        <v>44847</v>
      </c>
      <c r="C1878" s="1">
        <v>44918</v>
      </c>
      <c r="D1878" t="s">
        <v>153</v>
      </c>
      <c r="E1878" t="s">
        <v>29</v>
      </c>
      <c r="F1878" t="s">
        <v>34</v>
      </c>
      <c r="G1878" t="s">
        <v>20</v>
      </c>
      <c r="H1878" t="s">
        <v>21</v>
      </c>
      <c r="I1878" t="s">
        <v>52</v>
      </c>
      <c r="J1878">
        <v>1</v>
      </c>
      <c r="K1878">
        <v>3462000</v>
      </c>
      <c r="L1878">
        <v>8.9943727980189195E-2</v>
      </c>
      <c r="M1878" t="s">
        <v>23</v>
      </c>
      <c r="N1878">
        <v>3151000</v>
      </c>
      <c r="O1878">
        <v>3.9</v>
      </c>
      <c r="P1878" t="b">
        <v>1</v>
      </c>
    </row>
    <row r="1879" spans="1:16" x14ac:dyDescent="0.2">
      <c r="A1879" t="s">
        <v>2896</v>
      </c>
      <c r="B1879" s="1">
        <v>44848</v>
      </c>
      <c r="C1879" s="1">
        <v>44883</v>
      </c>
      <c r="D1879" t="s">
        <v>479</v>
      </c>
      <c r="E1879" t="s">
        <v>45</v>
      </c>
      <c r="F1879" t="s">
        <v>39</v>
      </c>
      <c r="G1879" t="s">
        <v>20</v>
      </c>
      <c r="H1879" t="s">
        <v>40</v>
      </c>
      <c r="I1879" t="s">
        <v>22</v>
      </c>
      <c r="J1879">
        <v>4</v>
      </c>
      <c r="K1879">
        <v>2019000</v>
      </c>
      <c r="L1879">
        <v>8.4207025172289701E-2</v>
      </c>
      <c r="M1879" t="s">
        <v>23</v>
      </c>
      <c r="N1879">
        <v>7396000</v>
      </c>
      <c r="O1879">
        <v>4.5</v>
      </c>
      <c r="P1879" t="b">
        <v>1</v>
      </c>
    </row>
    <row r="1880" spans="1:16" x14ac:dyDescent="0.2">
      <c r="A1880" t="s">
        <v>2897</v>
      </c>
      <c r="B1880" s="1">
        <v>44848</v>
      </c>
      <c r="C1880" s="1">
        <v>44914</v>
      </c>
      <c r="D1880" t="s">
        <v>2898</v>
      </c>
      <c r="E1880" t="s">
        <v>29</v>
      </c>
      <c r="F1880" t="s">
        <v>34</v>
      </c>
      <c r="G1880" t="s">
        <v>20</v>
      </c>
      <c r="H1880" t="s">
        <v>51</v>
      </c>
      <c r="I1880" t="s">
        <v>22</v>
      </c>
      <c r="J1880">
        <v>5</v>
      </c>
      <c r="K1880">
        <v>3843000</v>
      </c>
      <c r="L1880">
        <v>7.6912082680077001E-2</v>
      </c>
      <c r="M1880" t="s">
        <v>23</v>
      </c>
      <c r="N1880">
        <v>17737000</v>
      </c>
      <c r="O1880">
        <v>3.5</v>
      </c>
      <c r="P1880" t="b">
        <v>0</v>
      </c>
    </row>
    <row r="1881" spans="1:16" x14ac:dyDescent="0.2">
      <c r="A1881" t="s">
        <v>2899</v>
      </c>
      <c r="B1881" s="1">
        <v>44848</v>
      </c>
      <c r="C1881" s="1">
        <v>44864</v>
      </c>
      <c r="D1881" t="s">
        <v>2900</v>
      </c>
      <c r="E1881" t="s">
        <v>45</v>
      </c>
      <c r="F1881" t="s">
        <v>25</v>
      </c>
      <c r="G1881" t="s">
        <v>20</v>
      </c>
      <c r="H1881" t="s">
        <v>47</v>
      </c>
      <c r="I1881" t="s">
        <v>60</v>
      </c>
      <c r="J1881">
        <v>2</v>
      </c>
      <c r="K1881">
        <v>5170000</v>
      </c>
      <c r="L1881">
        <v>6.7600090288159997E-2</v>
      </c>
      <c r="M1881" t="s">
        <v>23</v>
      </c>
      <c r="N1881">
        <v>9641000</v>
      </c>
      <c r="O1881">
        <v>4.3</v>
      </c>
      <c r="P1881" t="b">
        <v>0</v>
      </c>
    </row>
    <row r="1882" spans="1:16" x14ac:dyDescent="0.2">
      <c r="A1882" t="s">
        <v>2901</v>
      </c>
      <c r="B1882" s="1">
        <v>44849</v>
      </c>
      <c r="C1882" s="1">
        <v>44914</v>
      </c>
      <c r="D1882" t="s">
        <v>603</v>
      </c>
      <c r="E1882" t="s">
        <v>45</v>
      </c>
      <c r="F1882" t="s">
        <v>68</v>
      </c>
      <c r="G1882" t="s">
        <v>20</v>
      </c>
      <c r="H1882" t="s">
        <v>21</v>
      </c>
      <c r="I1882" t="s">
        <v>60</v>
      </c>
      <c r="J1882">
        <v>1</v>
      </c>
      <c r="K1882">
        <v>2625000</v>
      </c>
      <c r="L1882" s="2" t="s">
        <v>2902</v>
      </c>
      <c r="M1882" t="s">
        <v>23</v>
      </c>
      <c r="N1882">
        <v>2319000</v>
      </c>
      <c r="O1882">
        <v>4</v>
      </c>
      <c r="P1882" t="b">
        <v>1</v>
      </c>
    </row>
    <row r="1883" spans="1:16" x14ac:dyDescent="0.2">
      <c r="A1883" t="s">
        <v>2903</v>
      </c>
      <c r="B1883" s="1">
        <v>44849</v>
      </c>
      <c r="C1883" s="1">
        <v>44900</v>
      </c>
      <c r="D1883" t="s">
        <v>2599</v>
      </c>
      <c r="E1883" t="s">
        <v>45</v>
      </c>
      <c r="F1883" t="s">
        <v>68</v>
      </c>
      <c r="G1883" t="s">
        <v>50</v>
      </c>
      <c r="H1883" t="s">
        <v>47</v>
      </c>
      <c r="I1883" t="s">
        <v>60</v>
      </c>
      <c r="J1883">
        <v>3</v>
      </c>
      <c r="K1883">
        <v>2922000</v>
      </c>
      <c r="L1883" s="2" t="s">
        <v>2904</v>
      </c>
      <c r="M1883" t="s">
        <v>23</v>
      </c>
      <c r="N1883">
        <v>7337000</v>
      </c>
      <c r="O1883">
        <v>3.8</v>
      </c>
      <c r="P1883" t="b">
        <v>1</v>
      </c>
    </row>
    <row r="1884" spans="1:16" x14ac:dyDescent="0.2">
      <c r="A1884" t="s">
        <v>2905</v>
      </c>
      <c r="B1884" s="1">
        <v>44849</v>
      </c>
      <c r="C1884" s="1">
        <v>44933</v>
      </c>
      <c r="D1884" t="s">
        <v>2906</v>
      </c>
      <c r="E1884" t="s">
        <v>33</v>
      </c>
      <c r="F1884" t="s">
        <v>19</v>
      </c>
      <c r="G1884" t="s">
        <v>50</v>
      </c>
      <c r="H1884" t="s">
        <v>21</v>
      </c>
      <c r="I1884" t="s">
        <v>52</v>
      </c>
      <c r="J1884">
        <v>2</v>
      </c>
      <c r="K1884">
        <v>2367000</v>
      </c>
      <c r="L1884">
        <v>0.11284148729578</v>
      </c>
      <c r="M1884" t="s">
        <v>23</v>
      </c>
      <c r="N1884">
        <v>4200000</v>
      </c>
      <c r="O1884">
        <v>4.3</v>
      </c>
      <c r="P1884" t="b">
        <v>0</v>
      </c>
    </row>
    <row r="1885" spans="1:16" x14ac:dyDescent="0.2">
      <c r="A1885" t="s">
        <v>2907</v>
      </c>
      <c r="B1885" s="1">
        <v>44850</v>
      </c>
      <c r="C1885" s="1">
        <v>44917</v>
      </c>
      <c r="D1885" t="s">
        <v>536</v>
      </c>
      <c r="E1885" t="s">
        <v>45</v>
      </c>
      <c r="F1885" t="s">
        <v>68</v>
      </c>
      <c r="G1885" t="s">
        <v>35</v>
      </c>
      <c r="H1885" t="s">
        <v>21</v>
      </c>
      <c r="I1885" t="s">
        <v>77</v>
      </c>
      <c r="J1885">
        <v>4</v>
      </c>
      <c r="K1885">
        <v>2675000</v>
      </c>
      <c r="L1885" s="2" t="s">
        <v>2908</v>
      </c>
      <c r="M1885" t="s">
        <v>23</v>
      </c>
      <c r="N1885">
        <v>9080000</v>
      </c>
      <c r="O1885">
        <v>5</v>
      </c>
      <c r="P1885" t="b">
        <v>1</v>
      </c>
    </row>
    <row r="1886" spans="1:16" x14ac:dyDescent="0.2">
      <c r="A1886" t="s">
        <v>2909</v>
      </c>
      <c r="B1886" s="1">
        <v>44852</v>
      </c>
      <c r="C1886" s="1">
        <v>44913</v>
      </c>
      <c r="D1886" t="s">
        <v>2910</v>
      </c>
      <c r="E1886" t="s">
        <v>33</v>
      </c>
      <c r="F1886" t="s">
        <v>19</v>
      </c>
      <c r="G1886" t="s">
        <v>20</v>
      </c>
      <c r="H1886" t="s">
        <v>40</v>
      </c>
      <c r="I1886" t="s">
        <v>60</v>
      </c>
      <c r="J1886">
        <v>2</v>
      </c>
      <c r="K1886">
        <v>2739000</v>
      </c>
      <c r="L1886">
        <v>9.8580323583585996E-2</v>
      </c>
      <c r="M1886" t="s">
        <v>23</v>
      </c>
      <c r="N1886">
        <v>4938000</v>
      </c>
      <c r="O1886">
        <v>5</v>
      </c>
      <c r="P1886" t="b">
        <v>0</v>
      </c>
    </row>
    <row r="1887" spans="1:16" x14ac:dyDescent="0.2">
      <c r="A1887" t="s">
        <v>2911</v>
      </c>
      <c r="B1887" s="1">
        <v>44853</v>
      </c>
      <c r="C1887" s="1">
        <v>44907</v>
      </c>
      <c r="D1887" t="s">
        <v>414</v>
      </c>
      <c r="E1887" t="s">
        <v>45</v>
      </c>
      <c r="F1887" t="s">
        <v>45</v>
      </c>
      <c r="G1887" t="s">
        <v>20</v>
      </c>
      <c r="I1887" t="s">
        <v>77</v>
      </c>
      <c r="J1887">
        <v>3</v>
      </c>
      <c r="K1887">
        <v>3648000</v>
      </c>
      <c r="L1887" s="2" t="s">
        <v>2912</v>
      </c>
      <c r="M1887" t="s">
        <v>23</v>
      </c>
      <c r="N1887">
        <v>9849000</v>
      </c>
      <c r="O1887">
        <v>4.5999999999999996</v>
      </c>
      <c r="P1887" t="b">
        <v>1</v>
      </c>
    </row>
    <row r="1888" spans="1:16" x14ac:dyDescent="0.2">
      <c r="A1888" t="s">
        <v>2913</v>
      </c>
      <c r="B1888" s="1">
        <v>44855</v>
      </c>
      <c r="C1888" s="1">
        <v>44915</v>
      </c>
      <c r="D1888" t="s">
        <v>2914</v>
      </c>
      <c r="E1888" t="s">
        <v>29</v>
      </c>
      <c r="F1888" t="s">
        <v>68</v>
      </c>
      <c r="G1888" t="s">
        <v>20</v>
      </c>
      <c r="H1888" t="s">
        <v>47</v>
      </c>
      <c r="I1888" t="s">
        <v>26</v>
      </c>
      <c r="J1888">
        <v>3</v>
      </c>
      <c r="K1888">
        <v>2812000</v>
      </c>
      <c r="L1888" s="2" t="s">
        <v>2915</v>
      </c>
      <c r="M1888" t="s">
        <v>65</v>
      </c>
      <c r="N1888">
        <v>0</v>
      </c>
      <c r="P1888" t="b">
        <v>0</v>
      </c>
    </row>
    <row r="1889" spans="1:16" x14ac:dyDescent="0.2">
      <c r="A1889" t="s">
        <v>2916</v>
      </c>
      <c r="B1889" s="1">
        <v>44855</v>
      </c>
      <c r="C1889" s="1">
        <v>44891</v>
      </c>
      <c r="D1889" t="s">
        <v>2917</v>
      </c>
      <c r="E1889" t="s">
        <v>29</v>
      </c>
      <c r="F1889" t="s">
        <v>45</v>
      </c>
      <c r="G1889" t="s">
        <v>35</v>
      </c>
      <c r="H1889" t="s">
        <v>21</v>
      </c>
      <c r="I1889" t="s">
        <v>77</v>
      </c>
      <c r="J1889">
        <v>1</v>
      </c>
      <c r="K1889">
        <v>3338000</v>
      </c>
      <c r="L1889" s="2" t="s">
        <v>2918</v>
      </c>
      <c r="M1889" t="s">
        <v>23</v>
      </c>
      <c r="N1889">
        <v>2906000</v>
      </c>
      <c r="O1889">
        <v>4.0999999999999996</v>
      </c>
      <c r="P1889" t="b">
        <v>0</v>
      </c>
    </row>
    <row r="1890" spans="1:16" x14ac:dyDescent="0.2">
      <c r="A1890" t="s">
        <v>2919</v>
      </c>
      <c r="B1890" s="1">
        <v>44855</v>
      </c>
      <c r="C1890" s="1">
        <v>44903</v>
      </c>
      <c r="D1890" t="s">
        <v>1876</v>
      </c>
      <c r="E1890" t="s">
        <v>45</v>
      </c>
      <c r="F1890" t="s">
        <v>39</v>
      </c>
      <c r="G1890" t="s">
        <v>50</v>
      </c>
      <c r="H1890" t="s">
        <v>21</v>
      </c>
      <c r="I1890" t="s">
        <v>94</v>
      </c>
      <c r="J1890">
        <v>3</v>
      </c>
      <c r="K1890">
        <v>2560000</v>
      </c>
      <c r="L1890" s="2" t="s">
        <v>2920</v>
      </c>
      <c r="M1890" t="s">
        <v>23</v>
      </c>
      <c r="N1890">
        <v>6427000</v>
      </c>
      <c r="O1890">
        <v>4</v>
      </c>
      <c r="P1890" t="b">
        <v>1</v>
      </c>
    </row>
    <row r="1891" spans="1:16" x14ac:dyDescent="0.2">
      <c r="A1891" t="s">
        <v>2921</v>
      </c>
      <c r="B1891" s="1">
        <v>44855</v>
      </c>
      <c r="C1891" s="1">
        <v>44890</v>
      </c>
      <c r="D1891" t="s">
        <v>110</v>
      </c>
      <c r="E1891" t="s">
        <v>33</v>
      </c>
      <c r="F1891" t="s">
        <v>39</v>
      </c>
      <c r="G1891" t="s">
        <v>50</v>
      </c>
      <c r="H1891" t="s">
        <v>47</v>
      </c>
      <c r="I1891" t="s">
        <v>57</v>
      </c>
      <c r="J1891">
        <v>3</v>
      </c>
      <c r="K1891">
        <v>2567000</v>
      </c>
      <c r="L1891">
        <v>7.3157423257969104E-2</v>
      </c>
      <c r="M1891" t="s">
        <v>23</v>
      </c>
      <c r="N1891">
        <v>7138000</v>
      </c>
      <c r="O1891">
        <v>4.0999999999999996</v>
      </c>
      <c r="P1891" t="b">
        <v>1</v>
      </c>
    </row>
    <row r="1892" spans="1:16" x14ac:dyDescent="0.2">
      <c r="A1892" t="s">
        <v>2922</v>
      </c>
      <c r="B1892" s="1">
        <v>44857</v>
      </c>
      <c r="C1892" s="1">
        <v>44921</v>
      </c>
      <c r="D1892" t="s">
        <v>764</v>
      </c>
      <c r="E1892" t="s">
        <v>29</v>
      </c>
      <c r="F1892" t="s">
        <v>19</v>
      </c>
      <c r="G1892" t="s">
        <v>50</v>
      </c>
      <c r="H1892" t="s">
        <v>21</v>
      </c>
      <c r="I1892" t="s">
        <v>26</v>
      </c>
      <c r="J1892">
        <v>2</v>
      </c>
      <c r="K1892">
        <v>2671000</v>
      </c>
      <c r="L1892" s="2" t="s">
        <v>2923</v>
      </c>
      <c r="M1892" t="s">
        <v>23</v>
      </c>
      <c r="N1892">
        <v>4662000</v>
      </c>
      <c r="O1892">
        <v>4.2</v>
      </c>
      <c r="P1892" t="b">
        <v>1</v>
      </c>
    </row>
    <row r="1893" spans="1:16" x14ac:dyDescent="0.2">
      <c r="A1893" t="s">
        <v>2924</v>
      </c>
      <c r="B1893" s="1">
        <v>44857</v>
      </c>
      <c r="C1893" s="1">
        <v>44918</v>
      </c>
      <c r="D1893" t="s">
        <v>136</v>
      </c>
      <c r="E1893" t="s">
        <v>29</v>
      </c>
      <c r="F1893" t="s">
        <v>19</v>
      </c>
      <c r="G1893" t="s">
        <v>35</v>
      </c>
      <c r="H1893" t="s">
        <v>21</v>
      </c>
      <c r="I1893" t="s">
        <v>22</v>
      </c>
      <c r="J1893">
        <v>2</v>
      </c>
      <c r="K1893">
        <v>2504000</v>
      </c>
      <c r="L1893" s="2" t="s">
        <v>2925</v>
      </c>
      <c r="M1893" t="s">
        <v>23</v>
      </c>
      <c r="N1893">
        <v>4361000</v>
      </c>
      <c r="O1893">
        <v>4</v>
      </c>
      <c r="P1893" t="b">
        <v>1</v>
      </c>
    </row>
    <row r="1894" spans="1:16" x14ac:dyDescent="0.2">
      <c r="A1894" t="s">
        <v>2926</v>
      </c>
      <c r="B1894" s="1">
        <v>44858</v>
      </c>
      <c r="C1894" s="1">
        <v>44913</v>
      </c>
      <c r="D1894" t="s">
        <v>522</v>
      </c>
      <c r="E1894" t="s">
        <v>18</v>
      </c>
      <c r="F1894" t="s">
        <v>19</v>
      </c>
      <c r="G1894" t="s">
        <v>35</v>
      </c>
      <c r="H1894" t="s">
        <v>47</v>
      </c>
      <c r="I1894" t="s">
        <v>22</v>
      </c>
      <c r="J1894">
        <v>4</v>
      </c>
      <c r="K1894">
        <v>2520000</v>
      </c>
      <c r="L1894">
        <v>5.6001812429244902E-2</v>
      </c>
      <c r="M1894" t="s">
        <v>23</v>
      </c>
      <c r="N1894">
        <v>9516000</v>
      </c>
      <c r="O1894">
        <v>4.5</v>
      </c>
      <c r="P1894" t="b">
        <v>1</v>
      </c>
    </row>
    <row r="1895" spans="1:16" x14ac:dyDescent="0.2">
      <c r="A1895" t="s">
        <v>2927</v>
      </c>
      <c r="B1895" s="1">
        <v>44858</v>
      </c>
      <c r="C1895" s="1">
        <v>44934</v>
      </c>
      <c r="D1895" t="s">
        <v>437</v>
      </c>
      <c r="E1895" t="s">
        <v>45</v>
      </c>
      <c r="F1895" t="s">
        <v>19</v>
      </c>
      <c r="G1895" t="s">
        <v>50</v>
      </c>
      <c r="H1895" t="s">
        <v>21</v>
      </c>
      <c r="I1895" t="s">
        <v>94</v>
      </c>
      <c r="J1895">
        <v>3</v>
      </c>
      <c r="K1895">
        <v>2609000</v>
      </c>
      <c r="L1895">
        <v>8.4407601778934596E-2</v>
      </c>
      <c r="M1895" t="s">
        <v>23</v>
      </c>
      <c r="N1895">
        <v>7166000</v>
      </c>
      <c r="O1895">
        <v>4.3</v>
      </c>
      <c r="P1895" t="b">
        <v>1</v>
      </c>
    </row>
    <row r="1896" spans="1:16" x14ac:dyDescent="0.2">
      <c r="A1896" t="s">
        <v>2928</v>
      </c>
      <c r="B1896" s="1">
        <v>44860</v>
      </c>
      <c r="C1896" s="1">
        <v>44896</v>
      </c>
      <c r="D1896" t="s">
        <v>384</v>
      </c>
      <c r="E1896" t="s">
        <v>18</v>
      </c>
      <c r="F1896" t="s">
        <v>34</v>
      </c>
      <c r="G1896" t="s">
        <v>20</v>
      </c>
      <c r="H1896" t="s">
        <v>21</v>
      </c>
      <c r="I1896" t="s">
        <v>30</v>
      </c>
      <c r="J1896">
        <v>4</v>
      </c>
      <c r="K1896">
        <v>3860000</v>
      </c>
      <c r="L1896" s="2" t="s">
        <v>2929</v>
      </c>
      <c r="M1896" t="s">
        <v>23</v>
      </c>
      <c r="N1896">
        <v>13467000</v>
      </c>
      <c r="O1896">
        <v>3.8</v>
      </c>
      <c r="P1896" t="b">
        <v>1</v>
      </c>
    </row>
    <row r="1897" spans="1:16" x14ac:dyDescent="0.2">
      <c r="A1897" t="s">
        <v>2930</v>
      </c>
      <c r="B1897" s="1">
        <v>44860</v>
      </c>
      <c r="C1897" s="1">
        <v>44886</v>
      </c>
      <c r="D1897" t="s">
        <v>187</v>
      </c>
      <c r="E1897" t="s">
        <v>45</v>
      </c>
      <c r="F1897" t="s">
        <v>39</v>
      </c>
      <c r="G1897" t="s">
        <v>20</v>
      </c>
      <c r="H1897" t="s">
        <v>47</v>
      </c>
      <c r="I1897" t="s">
        <v>60</v>
      </c>
      <c r="J1897">
        <v>1</v>
      </c>
      <c r="K1897">
        <v>2491000</v>
      </c>
      <c r="L1897" s="2" t="s">
        <v>2931</v>
      </c>
      <c r="M1897" t="s">
        <v>23</v>
      </c>
      <c r="N1897">
        <v>2220000</v>
      </c>
      <c r="O1897">
        <v>3.8</v>
      </c>
      <c r="P1897" t="b">
        <v>1</v>
      </c>
    </row>
    <row r="1898" spans="1:16" x14ac:dyDescent="0.2">
      <c r="A1898" t="s">
        <v>2932</v>
      </c>
      <c r="B1898" s="1">
        <v>44861</v>
      </c>
      <c r="C1898" s="1">
        <v>44929</v>
      </c>
      <c r="D1898" t="s">
        <v>2933</v>
      </c>
      <c r="E1898" t="s">
        <v>45</v>
      </c>
      <c r="F1898" t="s">
        <v>45</v>
      </c>
      <c r="G1898" t="s">
        <v>20</v>
      </c>
      <c r="H1898" t="s">
        <v>21</v>
      </c>
      <c r="I1898" t="s">
        <v>94</v>
      </c>
      <c r="J1898">
        <v>3</v>
      </c>
      <c r="K1898">
        <v>3162000</v>
      </c>
      <c r="L1898">
        <v>6.9677126225226399E-2</v>
      </c>
      <c r="M1898" t="s">
        <v>23</v>
      </c>
      <c r="N1898">
        <v>8825000</v>
      </c>
      <c r="O1898">
        <v>4.3</v>
      </c>
      <c r="P1898" t="b">
        <v>0</v>
      </c>
    </row>
    <row r="1899" spans="1:16" x14ac:dyDescent="0.2">
      <c r="A1899" t="s">
        <v>2934</v>
      </c>
      <c r="B1899" s="1">
        <v>44862</v>
      </c>
      <c r="C1899" s="1">
        <v>44911</v>
      </c>
      <c r="D1899" t="s">
        <v>265</v>
      </c>
      <c r="E1899" t="s">
        <v>33</v>
      </c>
      <c r="F1899" t="s">
        <v>19</v>
      </c>
      <c r="G1899" t="s">
        <v>20</v>
      </c>
      <c r="H1899" t="s">
        <v>47</v>
      </c>
      <c r="I1899" t="s">
        <v>57</v>
      </c>
      <c r="J1899">
        <v>2</v>
      </c>
      <c r="K1899">
        <v>3500000</v>
      </c>
      <c r="L1899">
        <v>6.9173206823718095E-2</v>
      </c>
      <c r="M1899" t="s">
        <v>23</v>
      </c>
      <c r="N1899">
        <v>6516000</v>
      </c>
      <c r="O1899">
        <v>4.5999999999999996</v>
      </c>
      <c r="P1899" t="b">
        <v>1</v>
      </c>
    </row>
    <row r="1900" spans="1:16" x14ac:dyDescent="0.2">
      <c r="A1900" t="s">
        <v>2935</v>
      </c>
      <c r="B1900" s="1">
        <v>44862</v>
      </c>
      <c r="C1900" s="1">
        <v>44950</v>
      </c>
      <c r="D1900" t="s">
        <v>2517</v>
      </c>
      <c r="E1900" t="s">
        <v>33</v>
      </c>
      <c r="F1900" t="s">
        <v>19</v>
      </c>
      <c r="G1900" t="s">
        <v>20</v>
      </c>
      <c r="H1900" t="s">
        <v>21</v>
      </c>
      <c r="I1900" t="s">
        <v>26</v>
      </c>
      <c r="J1900">
        <v>1</v>
      </c>
      <c r="K1900">
        <v>2420000</v>
      </c>
      <c r="L1900" s="2" t="s">
        <v>2936</v>
      </c>
      <c r="M1900" t="s">
        <v>23</v>
      </c>
      <c r="N1900">
        <v>2138000</v>
      </c>
      <c r="O1900">
        <v>5</v>
      </c>
      <c r="P1900" t="b">
        <v>1</v>
      </c>
    </row>
    <row r="1901" spans="1:16" x14ac:dyDescent="0.2">
      <c r="A1901" t="s">
        <v>2937</v>
      </c>
      <c r="B1901" s="1">
        <v>44863</v>
      </c>
      <c r="C1901" s="1">
        <v>44925</v>
      </c>
      <c r="D1901" t="s">
        <v>2407</v>
      </c>
      <c r="E1901" t="s">
        <v>45</v>
      </c>
      <c r="F1901" t="s">
        <v>39</v>
      </c>
      <c r="G1901" t="s">
        <v>35</v>
      </c>
      <c r="H1901" t="s">
        <v>21</v>
      </c>
      <c r="I1901" t="s">
        <v>22</v>
      </c>
      <c r="J1901">
        <v>1</v>
      </c>
      <c r="K1901">
        <v>2222000</v>
      </c>
      <c r="L1901" s="3">
        <v>0.14299999999999999</v>
      </c>
      <c r="M1901" t="s">
        <v>23</v>
      </c>
      <c r="N1901">
        <v>1905000</v>
      </c>
      <c r="O1901">
        <v>3.6</v>
      </c>
      <c r="P1901" t="b">
        <v>1</v>
      </c>
    </row>
    <row r="1902" spans="1:16" x14ac:dyDescent="0.2">
      <c r="A1902" t="s">
        <v>2938</v>
      </c>
      <c r="B1902" s="1">
        <v>44863</v>
      </c>
      <c r="C1902" s="1">
        <v>44956</v>
      </c>
      <c r="D1902" t="s">
        <v>2939</v>
      </c>
      <c r="E1902" t="s">
        <v>18</v>
      </c>
      <c r="F1902" t="s">
        <v>34</v>
      </c>
      <c r="G1902" t="s">
        <v>20</v>
      </c>
      <c r="H1902" t="s">
        <v>47</v>
      </c>
      <c r="J1902">
        <v>3</v>
      </c>
      <c r="K1902">
        <v>3337000</v>
      </c>
      <c r="L1902" s="2" t="s">
        <v>2940</v>
      </c>
      <c r="M1902" t="s">
        <v>23</v>
      </c>
      <c r="N1902">
        <v>8933000</v>
      </c>
      <c r="O1902">
        <v>3.7</v>
      </c>
      <c r="P1902" t="b">
        <v>0</v>
      </c>
    </row>
    <row r="1903" spans="1:16" x14ac:dyDescent="0.2">
      <c r="A1903" t="s">
        <v>2941</v>
      </c>
      <c r="B1903" s="1">
        <v>44864</v>
      </c>
      <c r="C1903" s="1">
        <v>44897</v>
      </c>
      <c r="D1903" t="s">
        <v>276</v>
      </c>
      <c r="E1903" t="s">
        <v>18</v>
      </c>
      <c r="F1903" t="s">
        <v>34</v>
      </c>
      <c r="G1903" t="s">
        <v>20</v>
      </c>
      <c r="H1903" t="s">
        <v>21</v>
      </c>
      <c r="I1903" t="s">
        <v>77</v>
      </c>
      <c r="J1903">
        <v>3</v>
      </c>
      <c r="K1903">
        <v>4389000</v>
      </c>
      <c r="L1903" s="2" t="s">
        <v>2942</v>
      </c>
      <c r="M1903" t="s">
        <v>23</v>
      </c>
      <c r="N1903">
        <v>11397000</v>
      </c>
      <c r="O1903">
        <v>4.7</v>
      </c>
      <c r="P1903" t="b">
        <v>1</v>
      </c>
    </row>
    <row r="1904" spans="1:16" x14ac:dyDescent="0.2">
      <c r="A1904" t="s">
        <v>2943</v>
      </c>
      <c r="B1904" s="1">
        <v>44866</v>
      </c>
      <c r="C1904" s="1">
        <v>44944</v>
      </c>
      <c r="D1904" t="s">
        <v>2944</v>
      </c>
      <c r="E1904" t="s">
        <v>18</v>
      </c>
      <c r="F1904" t="s">
        <v>45</v>
      </c>
      <c r="G1904" t="s">
        <v>35</v>
      </c>
      <c r="H1904" t="s">
        <v>21</v>
      </c>
      <c r="I1904" t="s">
        <v>83</v>
      </c>
      <c r="J1904">
        <v>1</v>
      </c>
      <c r="K1904">
        <v>2588000</v>
      </c>
      <c r="L1904" s="2" t="s">
        <v>2945</v>
      </c>
      <c r="M1904" t="s">
        <v>23</v>
      </c>
      <c r="N1904">
        <v>2328000</v>
      </c>
      <c r="O1904">
        <v>4.3</v>
      </c>
      <c r="P1904" t="b">
        <v>0</v>
      </c>
    </row>
    <row r="1905" spans="1:16" x14ac:dyDescent="0.2">
      <c r="A1905" t="s">
        <v>2946</v>
      </c>
      <c r="B1905" s="1">
        <v>44867</v>
      </c>
      <c r="C1905" s="1">
        <v>44942</v>
      </c>
      <c r="D1905" t="s">
        <v>1876</v>
      </c>
      <c r="E1905" t="s">
        <v>45</v>
      </c>
      <c r="F1905" t="s">
        <v>34</v>
      </c>
      <c r="G1905" t="s">
        <v>35</v>
      </c>
      <c r="H1905" t="s">
        <v>47</v>
      </c>
      <c r="I1905" t="s">
        <v>77</v>
      </c>
      <c r="J1905">
        <v>2</v>
      </c>
      <c r="K1905">
        <v>4095000</v>
      </c>
      <c r="L1905" s="3">
        <v>0.105</v>
      </c>
      <c r="M1905" t="s">
        <v>23</v>
      </c>
      <c r="N1905">
        <v>7334000</v>
      </c>
      <c r="O1905">
        <v>4.2</v>
      </c>
      <c r="P1905" t="b">
        <v>1</v>
      </c>
    </row>
    <row r="1906" spans="1:16" x14ac:dyDescent="0.2">
      <c r="A1906" t="s">
        <v>2947</v>
      </c>
      <c r="B1906" s="1">
        <v>44868</v>
      </c>
      <c r="C1906" s="1">
        <v>44917</v>
      </c>
      <c r="D1906" t="s">
        <v>1049</v>
      </c>
      <c r="E1906" t="s">
        <v>45</v>
      </c>
      <c r="F1906" t="s">
        <v>19</v>
      </c>
      <c r="G1906" t="s">
        <v>20</v>
      </c>
      <c r="H1906" t="s">
        <v>47</v>
      </c>
      <c r="I1906" t="s">
        <v>30</v>
      </c>
      <c r="J1906">
        <v>1</v>
      </c>
      <c r="K1906">
        <v>2390000</v>
      </c>
      <c r="L1906" s="2" t="s">
        <v>2948</v>
      </c>
      <c r="M1906" t="s">
        <v>23</v>
      </c>
      <c r="N1906">
        <v>1980000</v>
      </c>
      <c r="O1906">
        <v>3.8</v>
      </c>
      <c r="P1906" t="b">
        <v>1</v>
      </c>
    </row>
    <row r="1907" spans="1:16" x14ac:dyDescent="0.2">
      <c r="A1907" t="s">
        <v>2949</v>
      </c>
      <c r="B1907" s="1">
        <v>44631</v>
      </c>
      <c r="C1907" s="1">
        <v>44907</v>
      </c>
      <c r="D1907" t="s">
        <v>89</v>
      </c>
      <c r="E1907" t="s">
        <v>18</v>
      </c>
      <c r="F1907" t="s">
        <v>19</v>
      </c>
      <c r="G1907" t="s">
        <v>20</v>
      </c>
      <c r="H1907" t="s">
        <v>47</v>
      </c>
      <c r="I1907" t="s">
        <v>83</v>
      </c>
      <c r="J1907">
        <v>2</v>
      </c>
      <c r="K1907">
        <v>2886000</v>
      </c>
      <c r="L1907">
        <v>5.2057857351097102E-2</v>
      </c>
      <c r="M1907" t="s">
        <v>23</v>
      </c>
      <c r="N1907">
        <v>5472000</v>
      </c>
      <c r="O1907">
        <v>4.8</v>
      </c>
      <c r="P1907" t="b">
        <v>1</v>
      </c>
    </row>
    <row r="1908" spans="1:16" x14ac:dyDescent="0.2">
      <c r="A1908" t="s">
        <v>2950</v>
      </c>
      <c r="B1908" s="1">
        <v>44869</v>
      </c>
      <c r="C1908" s="1">
        <v>44892</v>
      </c>
      <c r="D1908" t="s">
        <v>2951</v>
      </c>
      <c r="E1908" t="s">
        <v>18</v>
      </c>
      <c r="F1908" t="s">
        <v>19</v>
      </c>
      <c r="G1908" t="s">
        <v>50</v>
      </c>
      <c r="H1908" t="s">
        <v>40</v>
      </c>
      <c r="I1908" t="s">
        <v>52</v>
      </c>
      <c r="J1908">
        <v>3</v>
      </c>
      <c r="K1908">
        <v>2580000</v>
      </c>
      <c r="L1908">
        <v>4.4851964519367099E-2</v>
      </c>
      <c r="M1908" t="s">
        <v>23</v>
      </c>
      <c r="N1908">
        <v>7393000</v>
      </c>
      <c r="O1908">
        <v>4.5999999999999996</v>
      </c>
      <c r="P1908" t="b">
        <v>0</v>
      </c>
    </row>
    <row r="1909" spans="1:16" x14ac:dyDescent="0.2">
      <c r="A1909" t="s">
        <v>2952</v>
      </c>
      <c r="B1909" s="1">
        <v>44870</v>
      </c>
      <c r="C1909" s="1">
        <v>44929</v>
      </c>
      <c r="D1909" t="s">
        <v>794</v>
      </c>
      <c r="E1909" t="s">
        <v>45</v>
      </c>
      <c r="F1909" t="s">
        <v>39</v>
      </c>
      <c r="G1909" t="s">
        <v>20</v>
      </c>
      <c r="H1909" t="s">
        <v>47</v>
      </c>
      <c r="I1909" t="s">
        <v>60</v>
      </c>
      <c r="J1909">
        <v>1</v>
      </c>
      <c r="K1909">
        <v>2446000</v>
      </c>
      <c r="L1909" s="2" t="s">
        <v>2953</v>
      </c>
      <c r="M1909" t="s">
        <v>23</v>
      </c>
      <c r="N1909">
        <v>2041000</v>
      </c>
      <c r="O1909">
        <v>3.9</v>
      </c>
      <c r="P1909" t="b">
        <v>1</v>
      </c>
    </row>
    <row r="1910" spans="1:16" x14ac:dyDescent="0.2">
      <c r="A1910" t="s">
        <v>2954</v>
      </c>
      <c r="B1910" s="1">
        <v>44870</v>
      </c>
      <c r="C1910" s="1">
        <v>44943</v>
      </c>
      <c r="D1910" t="s">
        <v>1930</v>
      </c>
      <c r="E1910" t="s">
        <v>18</v>
      </c>
      <c r="F1910" t="s">
        <v>34</v>
      </c>
      <c r="G1910" t="s">
        <v>20</v>
      </c>
      <c r="H1910" t="s">
        <v>21</v>
      </c>
      <c r="I1910" t="s">
        <v>30</v>
      </c>
      <c r="J1910">
        <v>4</v>
      </c>
      <c r="K1910">
        <v>3686000</v>
      </c>
      <c r="L1910" s="2" t="s">
        <v>2955</v>
      </c>
      <c r="M1910" t="s">
        <v>23</v>
      </c>
      <c r="N1910">
        <v>13041000</v>
      </c>
      <c r="O1910">
        <v>3.3</v>
      </c>
      <c r="P1910" t="b">
        <v>1</v>
      </c>
    </row>
    <row r="1911" spans="1:16" x14ac:dyDescent="0.2">
      <c r="A1911" t="s">
        <v>2956</v>
      </c>
      <c r="B1911" s="1">
        <v>44870</v>
      </c>
      <c r="C1911" s="1">
        <v>44919</v>
      </c>
      <c r="D1911" t="s">
        <v>2957</v>
      </c>
      <c r="E1911" t="s">
        <v>33</v>
      </c>
      <c r="F1911" t="s">
        <v>39</v>
      </c>
      <c r="G1911" t="s">
        <v>35</v>
      </c>
      <c r="H1911" t="s">
        <v>40</v>
      </c>
      <c r="I1911" t="s">
        <v>60</v>
      </c>
      <c r="J1911">
        <v>3</v>
      </c>
      <c r="K1911">
        <v>2736000</v>
      </c>
      <c r="L1911">
        <v>7.3152371126876295E-2</v>
      </c>
      <c r="M1911" t="s">
        <v>23</v>
      </c>
      <c r="N1911">
        <v>7608000</v>
      </c>
      <c r="O1911">
        <v>3.7</v>
      </c>
      <c r="P1911" t="b">
        <v>0</v>
      </c>
    </row>
    <row r="1912" spans="1:16" x14ac:dyDescent="0.2">
      <c r="A1912" t="s">
        <v>2958</v>
      </c>
      <c r="B1912" s="1">
        <v>44870</v>
      </c>
      <c r="C1912" s="1">
        <v>44897</v>
      </c>
      <c r="D1912" t="s">
        <v>2733</v>
      </c>
      <c r="E1912" t="s">
        <v>29</v>
      </c>
      <c r="F1912" t="s">
        <v>19</v>
      </c>
      <c r="G1912" t="s">
        <v>20</v>
      </c>
      <c r="H1912" t="s">
        <v>47</v>
      </c>
      <c r="I1912" t="s">
        <v>99</v>
      </c>
      <c r="J1912">
        <v>2</v>
      </c>
      <c r="K1912">
        <v>2448000</v>
      </c>
      <c r="L1912" s="2" t="s">
        <v>2959</v>
      </c>
      <c r="M1912" t="s">
        <v>23</v>
      </c>
      <c r="N1912">
        <v>4186000</v>
      </c>
      <c r="O1912">
        <v>4.5999999999999996</v>
      </c>
      <c r="P1912" t="b">
        <v>1</v>
      </c>
    </row>
    <row r="1913" spans="1:16" x14ac:dyDescent="0.2">
      <c r="A1913" t="s">
        <v>2960</v>
      </c>
      <c r="B1913" s="1">
        <v>44870</v>
      </c>
      <c r="C1913" s="1">
        <v>44911</v>
      </c>
      <c r="D1913" t="s">
        <v>431</v>
      </c>
      <c r="E1913" t="s">
        <v>33</v>
      </c>
      <c r="F1913" t="s">
        <v>19</v>
      </c>
      <c r="G1913" t="s">
        <v>35</v>
      </c>
      <c r="H1913" t="s">
        <v>21</v>
      </c>
      <c r="I1913" t="s">
        <v>94</v>
      </c>
      <c r="J1913">
        <v>3</v>
      </c>
      <c r="K1913">
        <v>2926000</v>
      </c>
      <c r="L1913" s="2" t="s">
        <v>2961</v>
      </c>
      <c r="M1913" t="s">
        <v>23</v>
      </c>
      <c r="N1913">
        <v>7564000</v>
      </c>
      <c r="O1913">
        <v>4.4000000000000004</v>
      </c>
      <c r="P1913" t="b">
        <v>1</v>
      </c>
    </row>
    <row r="1914" spans="1:16" x14ac:dyDescent="0.2">
      <c r="A1914" t="s">
        <v>2962</v>
      </c>
      <c r="B1914" s="1">
        <v>44871</v>
      </c>
      <c r="C1914" s="1">
        <v>44907</v>
      </c>
      <c r="D1914" t="s">
        <v>777</v>
      </c>
      <c r="F1914" t="s">
        <v>25</v>
      </c>
      <c r="G1914" t="s">
        <v>20</v>
      </c>
      <c r="H1914" t="s">
        <v>21</v>
      </c>
      <c r="I1914" t="s">
        <v>77</v>
      </c>
      <c r="J1914">
        <v>1</v>
      </c>
      <c r="K1914">
        <v>5938000</v>
      </c>
      <c r="L1914">
        <v>9.9504812722641001E-2</v>
      </c>
      <c r="M1914" t="s">
        <v>65</v>
      </c>
      <c r="N1914">
        <v>0</v>
      </c>
      <c r="P1914" t="b">
        <v>1</v>
      </c>
    </row>
    <row r="1915" spans="1:16" x14ac:dyDescent="0.2">
      <c r="A1915" t="s">
        <v>2963</v>
      </c>
      <c r="B1915" s="1">
        <v>44871</v>
      </c>
      <c r="C1915" s="1">
        <v>44933</v>
      </c>
      <c r="D1915" t="s">
        <v>2964</v>
      </c>
      <c r="E1915" t="s">
        <v>18</v>
      </c>
      <c r="F1915" t="s">
        <v>19</v>
      </c>
      <c r="G1915" t="s">
        <v>35</v>
      </c>
      <c r="H1915" t="s">
        <v>21</v>
      </c>
      <c r="I1915" t="s">
        <v>60</v>
      </c>
      <c r="J1915">
        <v>2</v>
      </c>
      <c r="K1915">
        <v>2597000</v>
      </c>
      <c r="L1915">
        <v>7.4364058923962403E-2</v>
      </c>
      <c r="M1915" t="s">
        <v>1656</v>
      </c>
      <c r="N1915">
        <v>4808000</v>
      </c>
      <c r="O1915">
        <v>3.6</v>
      </c>
      <c r="P1915" t="b">
        <v>0</v>
      </c>
    </row>
    <row r="1916" spans="1:16" x14ac:dyDescent="0.2">
      <c r="A1916" t="s">
        <v>2965</v>
      </c>
      <c r="B1916" s="1">
        <v>44871</v>
      </c>
      <c r="C1916" s="1">
        <v>44938</v>
      </c>
      <c r="D1916" t="s">
        <v>349</v>
      </c>
      <c r="E1916" t="s">
        <v>29</v>
      </c>
      <c r="F1916" t="s">
        <v>25</v>
      </c>
      <c r="G1916" t="s">
        <v>50</v>
      </c>
      <c r="H1916" t="s">
        <v>21</v>
      </c>
      <c r="I1916" t="s">
        <v>60</v>
      </c>
      <c r="J1916">
        <v>4</v>
      </c>
      <c r="K1916">
        <v>5205000</v>
      </c>
      <c r="L1916">
        <v>8.3027085638951295E-2</v>
      </c>
      <c r="M1916" t="s">
        <v>65</v>
      </c>
      <c r="N1916">
        <v>0</v>
      </c>
      <c r="P1916" t="b">
        <v>1</v>
      </c>
    </row>
    <row r="1917" spans="1:16" x14ac:dyDescent="0.2">
      <c r="A1917" t="s">
        <v>2966</v>
      </c>
      <c r="B1917" s="1">
        <v>44872</v>
      </c>
      <c r="C1917" s="1">
        <v>44927</v>
      </c>
      <c r="D1917" t="s">
        <v>584</v>
      </c>
      <c r="E1917" t="s">
        <v>45</v>
      </c>
      <c r="F1917" t="s">
        <v>45</v>
      </c>
      <c r="G1917" t="s">
        <v>50</v>
      </c>
      <c r="H1917" t="s">
        <v>21</v>
      </c>
      <c r="I1917" t="s">
        <v>52</v>
      </c>
      <c r="J1917">
        <v>3</v>
      </c>
      <c r="K1917">
        <v>2880000</v>
      </c>
      <c r="L1917" s="2" t="s">
        <v>2967</v>
      </c>
      <c r="M1917" t="s">
        <v>23</v>
      </c>
      <c r="N1917">
        <v>7173000</v>
      </c>
      <c r="O1917">
        <v>3.5</v>
      </c>
      <c r="P1917" t="b">
        <v>1</v>
      </c>
    </row>
    <row r="1918" spans="1:16" x14ac:dyDescent="0.2">
      <c r="A1918" t="s">
        <v>2968</v>
      </c>
      <c r="B1918" s="1">
        <v>44872</v>
      </c>
      <c r="C1918" s="1">
        <v>44917</v>
      </c>
      <c r="D1918" t="s">
        <v>2969</v>
      </c>
      <c r="E1918" t="s">
        <v>45</v>
      </c>
      <c r="F1918" t="s">
        <v>39</v>
      </c>
      <c r="G1918" t="s">
        <v>20</v>
      </c>
      <c r="I1918" t="s">
        <v>60</v>
      </c>
      <c r="J1918">
        <v>2</v>
      </c>
      <c r="K1918">
        <v>2875000</v>
      </c>
      <c r="L1918" s="2" t="s">
        <v>2970</v>
      </c>
      <c r="M1918" t="s">
        <v>23</v>
      </c>
      <c r="N1918">
        <v>5066000</v>
      </c>
      <c r="O1918">
        <v>4.8</v>
      </c>
      <c r="P1918" t="b">
        <v>0</v>
      </c>
    </row>
    <row r="1919" spans="1:16" x14ac:dyDescent="0.2">
      <c r="A1919" t="s">
        <v>2971</v>
      </c>
      <c r="B1919" s="1">
        <v>44873</v>
      </c>
      <c r="C1919" s="1">
        <v>44953</v>
      </c>
      <c r="D1919" t="s">
        <v>2972</v>
      </c>
      <c r="E1919" t="s">
        <v>18</v>
      </c>
      <c r="F1919" t="s">
        <v>25</v>
      </c>
      <c r="G1919" t="s">
        <v>50</v>
      </c>
      <c r="H1919" t="s">
        <v>21</v>
      </c>
      <c r="I1919" t="s">
        <v>22</v>
      </c>
      <c r="J1919">
        <v>2</v>
      </c>
      <c r="K1919">
        <v>4653000</v>
      </c>
      <c r="L1919" s="2" t="s">
        <v>2973</v>
      </c>
      <c r="M1919" t="s">
        <v>23</v>
      </c>
      <c r="N1919">
        <v>8887000</v>
      </c>
      <c r="O1919">
        <v>4.8</v>
      </c>
      <c r="P1919" t="b">
        <v>0</v>
      </c>
    </row>
    <row r="1920" spans="1:16" x14ac:dyDescent="0.2">
      <c r="A1920" t="s">
        <v>2974</v>
      </c>
      <c r="B1920" s="1">
        <v>44873</v>
      </c>
      <c r="C1920" s="1">
        <v>44919</v>
      </c>
      <c r="D1920" t="s">
        <v>1055</v>
      </c>
      <c r="E1920" t="s">
        <v>18</v>
      </c>
      <c r="F1920" t="s">
        <v>19</v>
      </c>
      <c r="G1920" t="s">
        <v>50</v>
      </c>
      <c r="H1920" t="s">
        <v>47</v>
      </c>
      <c r="I1920" t="s">
        <v>26</v>
      </c>
      <c r="J1920">
        <v>3</v>
      </c>
      <c r="K1920">
        <v>2654000</v>
      </c>
      <c r="L1920" s="2" t="s">
        <v>2975</v>
      </c>
      <c r="M1920" t="s">
        <v>23</v>
      </c>
      <c r="N1920">
        <v>6623000</v>
      </c>
      <c r="O1920">
        <v>3.7</v>
      </c>
      <c r="P1920" t="b">
        <v>1</v>
      </c>
    </row>
    <row r="1921" spans="1:16" x14ac:dyDescent="0.2">
      <c r="A1921" t="s">
        <v>2976</v>
      </c>
      <c r="B1921" s="1">
        <v>44874</v>
      </c>
      <c r="C1921" s="1">
        <v>44874</v>
      </c>
      <c r="D1921" t="s">
        <v>439</v>
      </c>
      <c r="E1921" t="s">
        <v>18</v>
      </c>
      <c r="F1921" t="s">
        <v>19</v>
      </c>
      <c r="G1921" t="s">
        <v>50</v>
      </c>
      <c r="H1921" t="s">
        <v>47</v>
      </c>
      <c r="I1921" t="s">
        <v>99</v>
      </c>
      <c r="J1921">
        <v>3</v>
      </c>
      <c r="K1921">
        <v>2475000</v>
      </c>
      <c r="L1921">
        <v>8.5218083475040105E-2</v>
      </c>
      <c r="M1921" t="s">
        <v>23</v>
      </c>
      <c r="N1921">
        <v>6792000</v>
      </c>
      <c r="O1921">
        <v>4.5999999999999996</v>
      </c>
      <c r="P1921" t="b">
        <v>1</v>
      </c>
    </row>
    <row r="1922" spans="1:16" x14ac:dyDescent="0.2">
      <c r="A1922" t="s">
        <v>2977</v>
      </c>
      <c r="B1922" s="1">
        <v>44874</v>
      </c>
      <c r="C1922" s="1">
        <v>44939</v>
      </c>
      <c r="D1922" t="s">
        <v>42</v>
      </c>
      <c r="E1922" t="s">
        <v>29</v>
      </c>
      <c r="F1922" t="s">
        <v>34</v>
      </c>
      <c r="G1922" t="s">
        <v>35</v>
      </c>
      <c r="H1922" t="s">
        <v>21</v>
      </c>
      <c r="I1922" t="s">
        <v>99</v>
      </c>
      <c r="J1922">
        <v>2</v>
      </c>
      <c r="K1922">
        <v>3636000</v>
      </c>
      <c r="L1922">
        <v>7.2360466244839203E-2</v>
      </c>
      <c r="M1922" t="s">
        <v>23</v>
      </c>
      <c r="N1922">
        <v>6746000</v>
      </c>
      <c r="O1922">
        <v>4.7</v>
      </c>
      <c r="P1922" t="b">
        <v>1</v>
      </c>
    </row>
    <row r="1923" spans="1:16" x14ac:dyDescent="0.2">
      <c r="A1923" t="s">
        <v>2978</v>
      </c>
      <c r="B1923" s="1">
        <v>44874</v>
      </c>
      <c r="C1923" s="1">
        <v>44917</v>
      </c>
      <c r="D1923" t="s">
        <v>2979</v>
      </c>
      <c r="E1923" t="s">
        <v>33</v>
      </c>
      <c r="F1923" t="s">
        <v>25</v>
      </c>
      <c r="G1923" t="s">
        <v>20</v>
      </c>
      <c r="H1923" t="s">
        <v>40</v>
      </c>
      <c r="I1923" t="s">
        <v>52</v>
      </c>
      <c r="J1923">
        <v>2</v>
      </c>
      <c r="K1923">
        <v>4612000</v>
      </c>
      <c r="L1923">
        <v>4.8600816453009697E-2</v>
      </c>
      <c r="M1923" t="s">
        <v>23</v>
      </c>
      <c r="N1923">
        <v>8776000</v>
      </c>
      <c r="O1923">
        <v>4.4000000000000004</v>
      </c>
      <c r="P1923" t="b">
        <v>0</v>
      </c>
    </row>
    <row r="1924" spans="1:16" x14ac:dyDescent="0.2">
      <c r="A1924" t="s">
        <v>2980</v>
      </c>
      <c r="B1924" s="1">
        <v>44874</v>
      </c>
      <c r="C1924" s="1">
        <v>44932</v>
      </c>
      <c r="D1924" t="s">
        <v>927</v>
      </c>
      <c r="E1924" t="s">
        <v>45</v>
      </c>
      <c r="F1924" t="s">
        <v>25</v>
      </c>
      <c r="G1924" t="s">
        <v>20</v>
      </c>
      <c r="H1924" t="s">
        <v>40</v>
      </c>
      <c r="I1924" t="s">
        <v>83</v>
      </c>
      <c r="J1924">
        <v>1</v>
      </c>
      <c r="K1924">
        <v>4558000</v>
      </c>
      <c r="L1924" s="2" t="s">
        <v>2981</v>
      </c>
      <c r="M1924" t="s">
        <v>23</v>
      </c>
      <c r="N1924">
        <v>4092000</v>
      </c>
      <c r="O1924">
        <v>4.5999999999999996</v>
      </c>
      <c r="P1924" t="b">
        <v>1</v>
      </c>
    </row>
    <row r="1925" spans="1:16" x14ac:dyDescent="0.2">
      <c r="A1925" t="s">
        <v>2982</v>
      </c>
      <c r="B1925" s="1">
        <v>44875</v>
      </c>
      <c r="C1925" s="1">
        <v>44892</v>
      </c>
      <c r="D1925" t="s">
        <v>2983</v>
      </c>
      <c r="E1925" t="s">
        <v>18</v>
      </c>
      <c r="F1925" t="s">
        <v>19</v>
      </c>
      <c r="G1925" t="s">
        <v>20</v>
      </c>
      <c r="H1925" t="s">
        <v>40</v>
      </c>
      <c r="I1925" t="s">
        <v>83</v>
      </c>
      <c r="J1925">
        <v>2</v>
      </c>
      <c r="K1925">
        <v>2755000</v>
      </c>
      <c r="L1925" s="2" t="s">
        <v>2984</v>
      </c>
      <c r="M1925" t="s">
        <v>65</v>
      </c>
      <c r="N1925">
        <v>0</v>
      </c>
      <c r="P1925" t="b">
        <v>0</v>
      </c>
    </row>
    <row r="1926" spans="1:16" x14ac:dyDescent="0.2">
      <c r="A1926" t="s">
        <v>2985</v>
      </c>
      <c r="B1926" s="1">
        <v>44875</v>
      </c>
      <c r="C1926" s="1">
        <v>44911</v>
      </c>
      <c r="D1926" t="s">
        <v>2277</v>
      </c>
      <c r="E1926" t="s">
        <v>33</v>
      </c>
      <c r="F1926" t="s">
        <v>34</v>
      </c>
      <c r="G1926" t="s">
        <v>20</v>
      </c>
      <c r="H1926" t="s">
        <v>21</v>
      </c>
      <c r="I1926" t="s">
        <v>83</v>
      </c>
      <c r="J1926">
        <v>1</v>
      </c>
      <c r="K1926">
        <v>4051000</v>
      </c>
      <c r="L1926">
        <v>3.77288136486802E-2</v>
      </c>
      <c r="M1926" t="s">
        <v>23</v>
      </c>
      <c r="N1926">
        <v>3898000</v>
      </c>
      <c r="O1926">
        <v>3.9</v>
      </c>
      <c r="P1926" t="b">
        <v>1</v>
      </c>
    </row>
    <row r="1927" spans="1:16" x14ac:dyDescent="0.2">
      <c r="A1927" t="s">
        <v>2986</v>
      </c>
      <c r="B1927" s="1">
        <v>44876</v>
      </c>
      <c r="C1927" s="1">
        <v>44890</v>
      </c>
      <c r="D1927" t="s">
        <v>138</v>
      </c>
      <c r="E1927" t="s">
        <v>18</v>
      </c>
      <c r="F1927" t="s">
        <v>34</v>
      </c>
      <c r="G1927" t="s">
        <v>20</v>
      </c>
      <c r="H1927" t="s">
        <v>47</v>
      </c>
      <c r="I1927" t="s">
        <v>1654</v>
      </c>
      <c r="J1927">
        <v>1</v>
      </c>
      <c r="K1927">
        <v>3232000</v>
      </c>
      <c r="L1927" s="2" t="s">
        <v>2987</v>
      </c>
      <c r="M1927" t="s">
        <v>23</v>
      </c>
      <c r="N1927">
        <v>2681000</v>
      </c>
      <c r="O1927">
        <v>4.2</v>
      </c>
      <c r="P1927" t="b">
        <v>1</v>
      </c>
    </row>
    <row r="1928" spans="1:16" x14ac:dyDescent="0.2">
      <c r="A1928" t="s">
        <v>2988</v>
      </c>
      <c r="B1928" s="1">
        <v>44877</v>
      </c>
      <c r="C1928" s="1">
        <v>44918</v>
      </c>
      <c r="D1928" t="s">
        <v>2989</v>
      </c>
      <c r="E1928" t="s">
        <v>29</v>
      </c>
      <c r="F1928" t="s">
        <v>68</v>
      </c>
      <c r="G1928" t="s">
        <v>50</v>
      </c>
      <c r="H1928" t="s">
        <v>21</v>
      </c>
      <c r="I1928" t="s">
        <v>77</v>
      </c>
      <c r="J1928">
        <v>4</v>
      </c>
      <c r="K1928">
        <v>2817000</v>
      </c>
      <c r="L1928">
        <v>7.4510415161675198E-2</v>
      </c>
      <c r="M1928" t="s">
        <v>23</v>
      </c>
      <c r="N1928">
        <v>10428000</v>
      </c>
      <c r="O1928">
        <v>3.6</v>
      </c>
      <c r="P1928" t="b">
        <v>0</v>
      </c>
    </row>
    <row r="1929" spans="1:16" x14ac:dyDescent="0.2">
      <c r="A1929" t="s">
        <v>2990</v>
      </c>
      <c r="B1929" s="1">
        <v>44877</v>
      </c>
      <c r="C1929" s="1">
        <v>44941</v>
      </c>
      <c r="D1929" t="s">
        <v>943</v>
      </c>
      <c r="E1929" t="s">
        <v>33</v>
      </c>
      <c r="F1929" t="s">
        <v>34</v>
      </c>
      <c r="G1929" t="s">
        <v>50</v>
      </c>
      <c r="H1929" t="s">
        <v>21</v>
      </c>
      <c r="I1929" t="s">
        <v>83</v>
      </c>
      <c r="J1929">
        <v>2</v>
      </c>
      <c r="K1929">
        <v>4225000</v>
      </c>
      <c r="L1929" s="2" t="s">
        <v>2991</v>
      </c>
      <c r="M1929" t="s">
        <v>23</v>
      </c>
      <c r="N1929">
        <v>8265000</v>
      </c>
      <c r="O1929">
        <v>5</v>
      </c>
      <c r="P1929" t="b">
        <v>1</v>
      </c>
    </row>
    <row r="1930" spans="1:16" x14ac:dyDescent="0.2">
      <c r="A1930" t="s">
        <v>2992</v>
      </c>
      <c r="B1930" s="1">
        <v>44877</v>
      </c>
      <c r="C1930" s="1">
        <v>44959</v>
      </c>
      <c r="D1930" t="s">
        <v>2993</v>
      </c>
      <c r="E1930" t="s">
        <v>33</v>
      </c>
      <c r="F1930" t="s">
        <v>34</v>
      </c>
      <c r="G1930" t="s">
        <v>46</v>
      </c>
      <c r="H1930" t="s">
        <v>21</v>
      </c>
      <c r="I1930" t="s">
        <v>99</v>
      </c>
      <c r="J1930">
        <v>3</v>
      </c>
      <c r="K1930">
        <v>4303000</v>
      </c>
      <c r="L1930" s="2" t="s">
        <v>2994</v>
      </c>
      <c r="M1930" t="s">
        <v>23</v>
      </c>
      <c r="N1930">
        <v>12634000</v>
      </c>
      <c r="O1930">
        <v>4.0999999999999996</v>
      </c>
      <c r="P1930" t="b">
        <v>0</v>
      </c>
    </row>
    <row r="1931" spans="1:16" x14ac:dyDescent="0.2">
      <c r="A1931" t="s">
        <v>2995</v>
      </c>
      <c r="B1931" s="1">
        <v>44877</v>
      </c>
      <c r="C1931" s="1">
        <v>44938</v>
      </c>
      <c r="D1931" t="s">
        <v>138</v>
      </c>
      <c r="E1931" t="s">
        <v>45</v>
      </c>
      <c r="F1931" t="s">
        <v>19</v>
      </c>
      <c r="G1931" t="s">
        <v>50</v>
      </c>
      <c r="H1931" t="s">
        <v>21</v>
      </c>
      <c r="I1931" t="s">
        <v>60</v>
      </c>
      <c r="J1931">
        <v>3</v>
      </c>
      <c r="K1931">
        <v>2667000</v>
      </c>
      <c r="L1931" s="2" t="s">
        <v>2996</v>
      </c>
      <c r="M1931" t="s">
        <v>23</v>
      </c>
      <c r="N1931">
        <v>7097000</v>
      </c>
      <c r="O1931">
        <v>3.8</v>
      </c>
      <c r="P1931" t="b">
        <v>1</v>
      </c>
    </row>
    <row r="1932" spans="1:16" x14ac:dyDescent="0.2">
      <c r="A1932" t="s">
        <v>2997</v>
      </c>
      <c r="B1932" s="1">
        <v>44880</v>
      </c>
      <c r="C1932" s="1">
        <v>44906</v>
      </c>
      <c r="D1932" t="s">
        <v>1857</v>
      </c>
      <c r="F1932" t="s">
        <v>45</v>
      </c>
      <c r="G1932" t="s">
        <v>50</v>
      </c>
      <c r="H1932" t="s">
        <v>21</v>
      </c>
      <c r="I1932" t="s">
        <v>52</v>
      </c>
      <c r="J1932">
        <v>3</v>
      </c>
      <c r="K1932">
        <v>3110000</v>
      </c>
      <c r="L1932">
        <v>9.3309290660022595E-2</v>
      </c>
      <c r="M1932" t="s">
        <v>23</v>
      </c>
      <c r="N1932">
        <v>8459000</v>
      </c>
      <c r="O1932">
        <v>3.8</v>
      </c>
      <c r="P1932" t="b">
        <v>1</v>
      </c>
    </row>
    <row r="1933" spans="1:16" x14ac:dyDescent="0.2">
      <c r="A1933" t="s">
        <v>2998</v>
      </c>
      <c r="B1933" s="1">
        <v>44881</v>
      </c>
      <c r="C1933" s="1">
        <v>44895</v>
      </c>
      <c r="D1933" t="s">
        <v>67</v>
      </c>
      <c r="E1933" t="s">
        <v>33</v>
      </c>
      <c r="F1933" t="s">
        <v>19</v>
      </c>
      <c r="G1933" t="s">
        <v>20</v>
      </c>
      <c r="H1933" t="s">
        <v>40</v>
      </c>
      <c r="I1933" t="s">
        <v>26</v>
      </c>
      <c r="J1933">
        <v>3</v>
      </c>
      <c r="K1933">
        <v>2563000</v>
      </c>
      <c r="L1933">
        <v>7.5283712440257097E-2</v>
      </c>
      <c r="M1933" t="s">
        <v>23</v>
      </c>
      <c r="N1933">
        <v>7110000</v>
      </c>
      <c r="O1933">
        <v>3.8</v>
      </c>
      <c r="P1933" t="b">
        <v>1</v>
      </c>
    </row>
    <row r="1934" spans="1:16" x14ac:dyDescent="0.2">
      <c r="A1934" t="s">
        <v>2999</v>
      </c>
      <c r="B1934" s="1">
        <v>44881</v>
      </c>
      <c r="C1934" s="1">
        <v>44924</v>
      </c>
      <c r="D1934" t="s">
        <v>3000</v>
      </c>
      <c r="E1934" t="s">
        <v>33</v>
      </c>
      <c r="F1934" t="s">
        <v>45</v>
      </c>
      <c r="G1934" t="s">
        <v>50</v>
      </c>
      <c r="H1934" t="s">
        <v>21</v>
      </c>
      <c r="I1934" t="s">
        <v>26</v>
      </c>
      <c r="J1934">
        <v>5</v>
      </c>
      <c r="K1934">
        <v>3699000</v>
      </c>
      <c r="L1934">
        <v>5.4370560606659797E-2</v>
      </c>
      <c r="M1934" t="s">
        <v>23</v>
      </c>
      <c r="N1934">
        <v>17489000</v>
      </c>
      <c r="O1934">
        <v>3.9</v>
      </c>
      <c r="P1934" t="b">
        <v>0</v>
      </c>
    </row>
    <row r="1935" spans="1:16" x14ac:dyDescent="0.2">
      <c r="A1935" t="s">
        <v>3001</v>
      </c>
      <c r="B1935" s="1">
        <v>44881</v>
      </c>
      <c r="C1935" s="1">
        <v>44907</v>
      </c>
      <c r="D1935" t="s">
        <v>2231</v>
      </c>
      <c r="E1935" t="s">
        <v>18</v>
      </c>
      <c r="F1935" t="s">
        <v>34</v>
      </c>
      <c r="G1935" t="s">
        <v>20</v>
      </c>
      <c r="H1935" t="s">
        <v>47</v>
      </c>
      <c r="I1935" t="s">
        <v>30</v>
      </c>
      <c r="J1935">
        <v>3</v>
      </c>
      <c r="K1935">
        <v>3910000</v>
      </c>
      <c r="L1935" s="2" t="s">
        <v>3002</v>
      </c>
      <c r="M1935" t="s">
        <v>23</v>
      </c>
      <c r="N1935">
        <v>10473000</v>
      </c>
      <c r="O1935">
        <v>4.3</v>
      </c>
      <c r="P1935" t="b">
        <v>1</v>
      </c>
    </row>
    <row r="1936" spans="1:16" x14ac:dyDescent="0.2">
      <c r="A1936" t="s">
        <v>3003</v>
      </c>
      <c r="B1936" s="1">
        <v>44881</v>
      </c>
      <c r="C1936" s="1">
        <v>44926</v>
      </c>
      <c r="D1936" t="s">
        <v>429</v>
      </c>
      <c r="E1936" t="s">
        <v>45</v>
      </c>
      <c r="F1936" t="s">
        <v>39</v>
      </c>
      <c r="G1936" t="s">
        <v>35</v>
      </c>
      <c r="H1936" t="s">
        <v>47</v>
      </c>
      <c r="I1936" t="s">
        <v>60</v>
      </c>
      <c r="J1936">
        <v>4</v>
      </c>
      <c r="K1936">
        <v>2634000</v>
      </c>
      <c r="L1936" s="3">
        <v>7.5999999999999998E-2</v>
      </c>
      <c r="M1936" t="s">
        <v>23</v>
      </c>
      <c r="N1936">
        <v>9731000</v>
      </c>
      <c r="O1936">
        <v>4.3</v>
      </c>
      <c r="P1936" t="b">
        <v>1</v>
      </c>
    </row>
    <row r="1937" spans="1:16" x14ac:dyDescent="0.2">
      <c r="A1937" t="s">
        <v>3004</v>
      </c>
      <c r="B1937" s="1">
        <v>44882</v>
      </c>
      <c r="C1937" s="1">
        <v>44921</v>
      </c>
      <c r="D1937" t="s">
        <v>2537</v>
      </c>
      <c r="E1937" t="s">
        <v>29</v>
      </c>
      <c r="F1937" t="s">
        <v>25</v>
      </c>
      <c r="G1937" t="s">
        <v>20</v>
      </c>
      <c r="H1937" t="s">
        <v>21</v>
      </c>
      <c r="I1937" t="s">
        <v>99</v>
      </c>
      <c r="J1937">
        <v>2</v>
      </c>
      <c r="K1937">
        <v>4583000</v>
      </c>
      <c r="L1937" s="2" t="s">
        <v>3005</v>
      </c>
      <c r="M1937" t="s">
        <v>23</v>
      </c>
      <c r="N1937">
        <v>7953000</v>
      </c>
      <c r="O1937">
        <v>4.5</v>
      </c>
      <c r="P1937" t="b">
        <v>1</v>
      </c>
    </row>
    <row r="1938" spans="1:16" x14ac:dyDescent="0.2">
      <c r="A1938" t="s">
        <v>3006</v>
      </c>
      <c r="B1938" s="1">
        <v>44883</v>
      </c>
      <c r="C1938" s="1">
        <v>44960</v>
      </c>
      <c r="D1938" t="s">
        <v>2234</v>
      </c>
      <c r="E1938" t="s">
        <v>45</v>
      </c>
      <c r="F1938" t="s">
        <v>68</v>
      </c>
      <c r="G1938" t="s">
        <v>20</v>
      </c>
      <c r="H1938" t="s">
        <v>21</v>
      </c>
      <c r="I1938" t="s">
        <v>94</v>
      </c>
      <c r="J1938">
        <v>1</v>
      </c>
      <c r="K1938">
        <v>2386000</v>
      </c>
      <c r="L1938" s="2" t="s">
        <v>3007</v>
      </c>
      <c r="M1938" t="s">
        <v>23</v>
      </c>
      <c r="N1938">
        <v>2020000</v>
      </c>
      <c r="O1938">
        <v>4.3</v>
      </c>
      <c r="P1938" t="b">
        <v>1</v>
      </c>
    </row>
    <row r="1939" spans="1:16" x14ac:dyDescent="0.2">
      <c r="A1939" t="s">
        <v>3008</v>
      </c>
      <c r="B1939" s="1">
        <v>44883</v>
      </c>
      <c r="C1939" s="1">
        <v>44994</v>
      </c>
      <c r="D1939" t="s">
        <v>441</v>
      </c>
      <c r="E1939" t="s">
        <v>45</v>
      </c>
      <c r="F1939" t="s">
        <v>25</v>
      </c>
      <c r="G1939" t="s">
        <v>20</v>
      </c>
      <c r="H1939" t="s">
        <v>40</v>
      </c>
      <c r="I1939" t="s">
        <v>26</v>
      </c>
      <c r="J1939">
        <v>3</v>
      </c>
      <c r="K1939">
        <v>5364000</v>
      </c>
      <c r="L1939" s="2" t="s">
        <v>3009</v>
      </c>
      <c r="M1939" t="s">
        <v>23</v>
      </c>
      <c r="N1939">
        <v>13326000</v>
      </c>
      <c r="O1939">
        <v>4.0999999999999996</v>
      </c>
      <c r="P1939" t="b">
        <v>1</v>
      </c>
    </row>
    <row r="1940" spans="1:16" x14ac:dyDescent="0.2">
      <c r="A1940" t="s">
        <v>3010</v>
      </c>
      <c r="B1940" s="1">
        <v>44884</v>
      </c>
      <c r="C1940" s="1">
        <v>44944</v>
      </c>
      <c r="D1940" t="s">
        <v>3011</v>
      </c>
      <c r="E1940" t="s">
        <v>45</v>
      </c>
      <c r="F1940" t="s">
        <v>25</v>
      </c>
      <c r="G1940" t="s">
        <v>20</v>
      </c>
      <c r="H1940" t="s">
        <v>40</v>
      </c>
      <c r="I1940" t="s">
        <v>30</v>
      </c>
      <c r="J1940">
        <v>4</v>
      </c>
      <c r="K1940">
        <v>4899000</v>
      </c>
      <c r="L1940">
        <v>2.1671805552921201E-2</v>
      </c>
      <c r="M1940" t="s">
        <v>23</v>
      </c>
      <c r="N1940">
        <v>19171000</v>
      </c>
      <c r="O1940">
        <v>4.3</v>
      </c>
      <c r="P1940" t="b">
        <v>0</v>
      </c>
    </row>
    <row r="1941" spans="1:16" x14ac:dyDescent="0.2">
      <c r="A1941" t="s">
        <v>3012</v>
      </c>
      <c r="B1941" s="1">
        <v>44884</v>
      </c>
      <c r="C1941" s="1">
        <v>44922</v>
      </c>
      <c r="D1941" t="s">
        <v>397</v>
      </c>
      <c r="E1941" t="s">
        <v>33</v>
      </c>
      <c r="F1941" t="s">
        <v>19</v>
      </c>
      <c r="G1941" t="s">
        <v>20</v>
      </c>
      <c r="H1941" t="s">
        <v>21</v>
      </c>
      <c r="I1941" t="s">
        <v>26</v>
      </c>
      <c r="J1941">
        <v>3</v>
      </c>
      <c r="K1941">
        <v>2927000</v>
      </c>
      <c r="L1941" s="2" t="s">
        <v>3013</v>
      </c>
      <c r="M1941" t="s">
        <v>23</v>
      </c>
      <c r="N1941">
        <v>7769000</v>
      </c>
      <c r="O1941">
        <v>4</v>
      </c>
      <c r="P1941" t="b">
        <v>1</v>
      </c>
    </row>
    <row r="1942" spans="1:16" x14ac:dyDescent="0.2">
      <c r="A1942" t="s">
        <v>3014</v>
      </c>
      <c r="B1942" s="1">
        <v>44884</v>
      </c>
      <c r="C1942" s="1">
        <v>44922</v>
      </c>
      <c r="D1942" t="s">
        <v>3015</v>
      </c>
      <c r="E1942" t="s">
        <v>45</v>
      </c>
      <c r="F1942" t="s">
        <v>45</v>
      </c>
      <c r="G1942" t="s">
        <v>20</v>
      </c>
      <c r="H1942" t="s">
        <v>21</v>
      </c>
      <c r="I1942" t="s">
        <v>94</v>
      </c>
      <c r="J1942">
        <v>1</v>
      </c>
      <c r="K1942">
        <v>3606000</v>
      </c>
      <c r="L1942" s="2" t="s">
        <v>3016</v>
      </c>
      <c r="M1942" t="s">
        <v>23</v>
      </c>
      <c r="N1942">
        <v>3207000</v>
      </c>
      <c r="O1942">
        <v>4.5</v>
      </c>
      <c r="P1942" t="b">
        <v>0</v>
      </c>
    </row>
    <row r="1943" spans="1:16" x14ac:dyDescent="0.2">
      <c r="A1943" t="s">
        <v>3017</v>
      </c>
      <c r="B1943" s="1">
        <v>44885</v>
      </c>
      <c r="C1943" s="1">
        <v>44967</v>
      </c>
      <c r="D1943" t="s">
        <v>1024</v>
      </c>
      <c r="E1943" t="s">
        <v>29</v>
      </c>
      <c r="F1943" t="s">
        <v>68</v>
      </c>
      <c r="G1943" t="s">
        <v>50</v>
      </c>
      <c r="H1943" t="s">
        <v>21</v>
      </c>
      <c r="I1943" t="s">
        <v>77</v>
      </c>
      <c r="J1943">
        <v>4</v>
      </c>
      <c r="K1943">
        <v>2491000</v>
      </c>
      <c r="L1943" s="2" t="s">
        <v>3018</v>
      </c>
      <c r="M1943" t="s">
        <v>23</v>
      </c>
      <c r="N1943">
        <v>8715000</v>
      </c>
      <c r="O1943">
        <v>5</v>
      </c>
      <c r="P1943" t="b">
        <v>1</v>
      </c>
    </row>
    <row r="1944" spans="1:16" x14ac:dyDescent="0.2">
      <c r="A1944" t="s">
        <v>3019</v>
      </c>
      <c r="B1944" s="1">
        <v>44885</v>
      </c>
      <c r="C1944" s="1">
        <v>44960</v>
      </c>
      <c r="D1944" t="s">
        <v>729</v>
      </c>
      <c r="E1944" t="s">
        <v>18</v>
      </c>
      <c r="F1944" t="s">
        <v>34</v>
      </c>
      <c r="G1944" t="s">
        <v>35</v>
      </c>
      <c r="I1944" t="s">
        <v>94</v>
      </c>
      <c r="J1944">
        <v>1</v>
      </c>
      <c r="K1944">
        <v>4494000</v>
      </c>
      <c r="L1944" s="2" t="s">
        <v>3020</v>
      </c>
      <c r="M1944" t="s">
        <v>23</v>
      </c>
      <c r="N1944">
        <v>3956000</v>
      </c>
      <c r="O1944">
        <v>4.2</v>
      </c>
      <c r="P1944" t="b">
        <v>1</v>
      </c>
    </row>
    <row r="1945" spans="1:16" x14ac:dyDescent="0.2">
      <c r="A1945" t="s">
        <v>3021</v>
      </c>
      <c r="B1945" s="1">
        <v>44885</v>
      </c>
      <c r="C1945" s="1">
        <v>44937</v>
      </c>
      <c r="D1945" t="s">
        <v>3022</v>
      </c>
      <c r="E1945" t="s">
        <v>18</v>
      </c>
      <c r="F1945" t="s">
        <v>34</v>
      </c>
      <c r="G1945" t="s">
        <v>46</v>
      </c>
      <c r="H1945" t="s">
        <v>40</v>
      </c>
      <c r="I1945" t="s">
        <v>26</v>
      </c>
      <c r="J1945">
        <v>3</v>
      </c>
      <c r="K1945">
        <v>4258000</v>
      </c>
      <c r="L1945">
        <v>8.0917180152444701E-2</v>
      </c>
      <c r="M1945" t="s">
        <v>65</v>
      </c>
      <c r="N1945">
        <v>0</v>
      </c>
      <c r="P1945" t="b">
        <v>0</v>
      </c>
    </row>
    <row r="1946" spans="1:16" x14ac:dyDescent="0.2">
      <c r="A1946" t="s">
        <v>3023</v>
      </c>
      <c r="B1946" s="1">
        <v>44885</v>
      </c>
      <c r="C1946" s="1">
        <v>44907</v>
      </c>
      <c r="D1946" t="s">
        <v>271</v>
      </c>
      <c r="E1946" t="s">
        <v>45</v>
      </c>
      <c r="F1946" t="s">
        <v>19</v>
      </c>
      <c r="G1946" t="s">
        <v>50</v>
      </c>
      <c r="H1946" t="s">
        <v>21</v>
      </c>
      <c r="I1946" t="s">
        <v>83</v>
      </c>
      <c r="J1946">
        <v>3</v>
      </c>
      <c r="K1946">
        <v>3017000</v>
      </c>
      <c r="L1946" s="2" t="s">
        <v>3024</v>
      </c>
      <c r="M1946" t="s">
        <v>23</v>
      </c>
      <c r="N1946">
        <v>7494000</v>
      </c>
      <c r="O1946">
        <v>4.0999999999999996</v>
      </c>
      <c r="P1946" t="b">
        <v>1</v>
      </c>
    </row>
    <row r="1947" spans="1:16" x14ac:dyDescent="0.2">
      <c r="A1947" t="s">
        <v>3025</v>
      </c>
      <c r="B1947" s="1">
        <v>44886</v>
      </c>
      <c r="C1947" s="1">
        <v>44949</v>
      </c>
      <c r="D1947" t="s">
        <v>3026</v>
      </c>
      <c r="E1947" t="s">
        <v>45</v>
      </c>
      <c r="F1947" t="s">
        <v>19</v>
      </c>
      <c r="G1947" t="s">
        <v>50</v>
      </c>
      <c r="I1947" t="s">
        <v>60</v>
      </c>
      <c r="J1947">
        <v>1</v>
      </c>
      <c r="K1947">
        <v>2734000</v>
      </c>
      <c r="L1947">
        <v>8.2946506597246394E-2</v>
      </c>
      <c r="M1947" t="s">
        <v>23</v>
      </c>
      <c r="N1947">
        <v>2507000</v>
      </c>
      <c r="O1947">
        <v>4.3</v>
      </c>
      <c r="P1947" t="b">
        <v>0</v>
      </c>
    </row>
    <row r="1948" spans="1:16" x14ac:dyDescent="0.2">
      <c r="A1948" t="s">
        <v>3027</v>
      </c>
      <c r="B1948" s="1">
        <v>44887</v>
      </c>
      <c r="C1948" s="1">
        <v>44932</v>
      </c>
      <c r="D1948" t="s">
        <v>3028</v>
      </c>
      <c r="E1948" t="s">
        <v>18</v>
      </c>
      <c r="F1948" t="s">
        <v>39</v>
      </c>
      <c r="G1948" t="s">
        <v>50</v>
      </c>
      <c r="H1948" t="s">
        <v>21</v>
      </c>
      <c r="I1948" t="s">
        <v>52</v>
      </c>
      <c r="J1948">
        <v>2</v>
      </c>
      <c r="K1948">
        <v>2147000</v>
      </c>
      <c r="L1948" s="2" t="s">
        <v>3029</v>
      </c>
      <c r="M1948" t="s">
        <v>23</v>
      </c>
      <c r="N1948">
        <v>3733000</v>
      </c>
      <c r="O1948">
        <v>4</v>
      </c>
      <c r="P1948" t="b">
        <v>0</v>
      </c>
    </row>
    <row r="1949" spans="1:16" x14ac:dyDescent="0.2">
      <c r="A1949" t="s">
        <v>3030</v>
      </c>
      <c r="B1949" s="1">
        <v>44888</v>
      </c>
      <c r="C1949" s="1">
        <v>44928</v>
      </c>
      <c r="D1949" t="s">
        <v>3031</v>
      </c>
      <c r="E1949" t="s">
        <v>33</v>
      </c>
      <c r="F1949" t="s">
        <v>39</v>
      </c>
      <c r="G1949" t="s">
        <v>20</v>
      </c>
      <c r="H1949" t="s">
        <v>51</v>
      </c>
      <c r="I1949" t="s">
        <v>22</v>
      </c>
      <c r="J1949">
        <v>3</v>
      </c>
      <c r="K1949">
        <v>1951000</v>
      </c>
      <c r="L1949">
        <v>7.4201871058203306E-2</v>
      </c>
      <c r="M1949" t="s">
        <v>23</v>
      </c>
      <c r="N1949">
        <v>5419000</v>
      </c>
      <c r="O1949">
        <v>4.7</v>
      </c>
      <c r="P1949" t="b">
        <v>0</v>
      </c>
    </row>
    <row r="1950" spans="1:16" x14ac:dyDescent="0.2">
      <c r="A1950" t="s">
        <v>3032</v>
      </c>
      <c r="B1950" s="1">
        <v>44888</v>
      </c>
      <c r="C1950" s="1">
        <v>44961</v>
      </c>
      <c r="D1950" t="s">
        <v>2944</v>
      </c>
      <c r="E1950" t="s">
        <v>45</v>
      </c>
      <c r="F1950" t="s">
        <v>39</v>
      </c>
      <c r="G1950" t="s">
        <v>50</v>
      </c>
      <c r="H1950" t="s">
        <v>51</v>
      </c>
      <c r="I1950" t="s">
        <v>52</v>
      </c>
      <c r="J1950">
        <v>1</v>
      </c>
      <c r="K1950">
        <v>2452000</v>
      </c>
      <c r="L1950">
        <v>8.7442955641753806E-2</v>
      </c>
      <c r="M1950" t="s">
        <v>23</v>
      </c>
      <c r="N1950">
        <v>2238000</v>
      </c>
      <c r="O1950">
        <v>4</v>
      </c>
      <c r="P1950" t="b">
        <v>1</v>
      </c>
    </row>
    <row r="1951" spans="1:16" x14ac:dyDescent="0.2">
      <c r="A1951" t="s">
        <v>3033</v>
      </c>
      <c r="B1951" s="1">
        <v>44888</v>
      </c>
      <c r="C1951" s="1">
        <v>44925</v>
      </c>
      <c r="D1951" t="s">
        <v>62</v>
      </c>
      <c r="E1951" t="s">
        <v>45</v>
      </c>
      <c r="F1951" t="s">
        <v>34</v>
      </c>
      <c r="G1951" t="s">
        <v>50</v>
      </c>
      <c r="H1951" t="s">
        <v>47</v>
      </c>
      <c r="I1951" t="s">
        <v>57</v>
      </c>
      <c r="J1951">
        <v>1</v>
      </c>
      <c r="K1951">
        <v>4253000</v>
      </c>
      <c r="L1951">
        <v>6.2917321373030993E-2</v>
      </c>
      <c r="M1951" t="s">
        <v>23</v>
      </c>
      <c r="N1951">
        <v>3985000</v>
      </c>
      <c r="O1951">
        <v>4.2</v>
      </c>
      <c r="P1951" t="b">
        <v>1</v>
      </c>
    </row>
    <row r="1952" spans="1:16" x14ac:dyDescent="0.2">
      <c r="A1952" t="s">
        <v>3034</v>
      </c>
      <c r="B1952" s="1">
        <v>44888</v>
      </c>
      <c r="C1952" s="1">
        <v>44931</v>
      </c>
      <c r="D1952" t="s">
        <v>1876</v>
      </c>
      <c r="E1952" t="s">
        <v>33</v>
      </c>
      <c r="F1952" t="s">
        <v>34</v>
      </c>
      <c r="G1952" t="s">
        <v>50</v>
      </c>
      <c r="H1952" t="s">
        <v>47</v>
      </c>
      <c r="I1952" t="s">
        <v>77</v>
      </c>
      <c r="J1952">
        <v>3</v>
      </c>
      <c r="K1952">
        <v>3959000</v>
      </c>
      <c r="L1952">
        <v>9.0976713242621493E-2</v>
      </c>
      <c r="M1952" t="s">
        <v>23</v>
      </c>
      <c r="N1952">
        <v>10796000</v>
      </c>
      <c r="O1952">
        <v>4.0999999999999996</v>
      </c>
      <c r="P1952" t="b">
        <v>1</v>
      </c>
    </row>
    <row r="1953" spans="1:16" x14ac:dyDescent="0.2">
      <c r="A1953" t="s">
        <v>3035</v>
      </c>
      <c r="B1953" s="1">
        <v>44889</v>
      </c>
      <c r="C1953" s="1">
        <v>44939</v>
      </c>
      <c r="D1953" t="s">
        <v>712</v>
      </c>
      <c r="E1953" t="s">
        <v>29</v>
      </c>
      <c r="F1953" t="s">
        <v>45</v>
      </c>
      <c r="G1953" t="s">
        <v>46</v>
      </c>
      <c r="H1953" t="s">
        <v>21</v>
      </c>
      <c r="I1953" t="s">
        <v>77</v>
      </c>
      <c r="J1953">
        <v>1</v>
      </c>
      <c r="K1953">
        <v>3659000</v>
      </c>
      <c r="L1953" s="2" t="s">
        <v>3036</v>
      </c>
      <c r="M1953" t="s">
        <v>23</v>
      </c>
      <c r="N1953">
        <v>3506000</v>
      </c>
      <c r="O1953">
        <v>3.8</v>
      </c>
      <c r="P1953" t="b">
        <v>1</v>
      </c>
    </row>
    <row r="1954" spans="1:16" x14ac:dyDescent="0.2">
      <c r="A1954" t="s">
        <v>3037</v>
      </c>
      <c r="B1954" s="1">
        <v>44889</v>
      </c>
      <c r="C1954" s="1">
        <v>44913</v>
      </c>
      <c r="D1954" t="s">
        <v>1910</v>
      </c>
      <c r="E1954" t="s">
        <v>18</v>
      </c>
      <c r="F1954" t="s">
        <v>19</v>
      </c>
      <c r="G1954" t="s">
        <v>20</v>
      </c>
      <c r="H1954" t="s">
        <v>21</v>
      </c>
      <c r="I1954" t="s">
        <v>52</v>
      </c>
      <c r="J1954">
        <v>4</v>
      </c>
      <c r="K1954">
        <v>2552000</v>
      </c>
      <c r="L1954" s="2" t="s">
        <v>3038</v>
      </c>
      <c r="M1954" t="s">
        <v>23</v>
      </c>
      <c r="N1954">
        <v>8715000</v>
      </c>
      <c r="O1954">
        <v>3.9</v>
      </c>
      <c r="P1954" t="b">
        <v>1</v>
      </c>
    </row>
    <row r="1955" spans="1:16" x14ac:dyDescent="0.2">
      <c r="A1955" t="s">
        <v>3039</v>
      </c>
      <c r="B1955" s="1">
        <v>44890</v>
      </c>
      <c r="C1955" s="1">
        <v>44919</v>
      </c>
      <c r="D1955" t="s">
        <v>3040</v>
      </c>
      <c r="E1955" t="s">
        <v>18</v>
      </c>
      <c r="F1955" t="s">
        <v>34</v>
      </c>
      <c r="G1955" t="s">
        <v>20</v>
      </c>
      <c r="H1955" t="s">
        <v>21</v>
      </c>
      <c r="I1955" t="s">
        <v>26</v>
      </c>
      <c r="J1955">
        <v>2</v>
      </c>
      <c r="K1955">
        <v>3885000</v>
      </c>
      <c r="L1955">
        <v>8.5474709124505596E-2</v>
      </c>
      <c r="M1955" t="s">
        <v>23</v>
      </c>
      <c r="N1955">
        <v>7106000</v>
      </c>
      <c r="O1955">
        <v>4.5</v>
      </c>
      <c r="P1955" t="b">
        <v>0</v>
      </c>
    </row>
    <row r="1956" spans="1:16" x14ac:dyDescent="0.2">
      <c r="A1956" t="s">
        <v>3041</v>
      </c>
      <c r="B1956" s="1">
        <v>44890</v>
      </c>
      <c r="C1956" s="1">
        <v>44940</v>
      </c>
      <c r="D1956" t="s">
        <v>1850</v>
      </c>
      <c r="E1956" t="s">
        <v>33</v>
      </c>
      <c r="F1956" t="s">
        <v>34</v>
      </c>
      <c r="G1956" t="s">
        <v>50</v>
      </c>
      <c r="H1956" t="s">
        <v>21</v>
      </c>
      <c r="I1956" t="s">
        <v>60</v>
      </c>
      <c r="J1956">
        <v>4</v>
      </c>
      <c r="K1956">
        <v>4495000</v>
      </c>
      <c r="L1956" s="2" t="s">
        <v>3042</v>
      </c>
      <c r="M1956" t="s">
        <v>23</v>
      </c>
      <c r="N1956">
        <v>16093000</v>
      </c>
      <c r="O1956">
        <v>3.2</v>
      </c>
      <c r="P1956" t="b">
        <v>1</v>
      </c>
    </row>
    <row r="1957" spans="1:16" x14ac:dyDescent="0.2">
      <c r="A1957" t="s">
        <v>3043</v>
      </c>
      <c r="B1957" s="1">
        <v>44890</v>
      </c>
      <c r="C1957" s="1">
        <v>44923</v>
      </c>
      <c r="D1957" t="s">
        <v>2746</v>
      </c>
      <c r="E1957" t="s">
        <v>45</v>
      </c>
      <c r="F1957" t="s">
        <v>45</v>
      </c>
      <c r="G1957" t="s">
        <v>20</v>
      </c>
      <c r="H1957" t="s">
        <v>21</v>
      </c>
      <c r="I1957" t="s">
        <v>57</v>
      </c>
      <c r="J1957">
        <v>2</v>
      </c>
      <c r="K1957">
        <v>3608000</v>
      </c>
      <c r="L1957" s="2" t="s">
        <v>3044</v>
      </c>
      <c r="M1957" t="s">
        <v>23</v>
      </c>
      <c r="N1957">
        <v>6204000</v>
      </c>
      <c r="O1957">
        <v>5</v>
      </c>
      <c r="P1957" t="b">
        <v>1</v>
      </c>
    </row>
    <row r="1958" spans="1:16" x14ac:dyDescent="0.2">
      <c r="A1958" t="s">
        <v>3045</v>
      </c>
      <c r="B1958" s="1">
        <v>44890</v>
      </c>
      <c r="C1958" s="1">
        <v>44955</v>
      </c>
      <c r="D1958" t="s">
        <v>905</v>
      </c>
      <c r="E1958" t="s">
        <v>33</v>
      </c>
      <c r="F1958" t="s">
        <v>68</v>
      </c>
      <c r="G1958" t="s">
        <v>50</v>
      </c>
      <c r="H1958" t="s">
        <v>51</v>
      </c>
      <c r="I1958" t="s">
        <v>57</v>
      </c>
      <c r="J1958">
        <v>3</v>
      </c>
      <c r="K1958">
        <v>2685000</v>
      </c>
      <c r="L1958" s="2" t="s">
        <v>3046</v>
      </c>
      <c r="M1958" t="s">
        <v>23</v>
      </c>
      <c r="N1958">
        <v>7147000</v>
      </c>
      <c r="O1958">
        <v>4.4000000000000004</v>
      </c>
      <c r="P1958" t="b">
        <v>1</v>
      </c>
    </row>
    <row r="1959" spans="1:16" x14ac:dyDescent="0.2">
      <c r="A1959" t="s">
        <v>3047</v>
      </c>
      <c r="B1959" s="1">
        <v>44892</v>
      </c>
      <c r="C1959" s="1">
        <v>44915</v>
      </c>
      <c r="D1959" t="s">
        <v>3048</v>
      </c>
      <c r="E1959" t="s">
        <v>33</v>
      </c>
      <c r="F1959" t="s">
        <v>45</v>
      </c>
      <c r="G1959" t="s">
        <v>35</v>
      </c>
      <c r="H1959" t="s">
        <v>21</v>
      </c>
      <c r="I1959" t="s">
        <v>60</v>
      </c>
      <c r="J1959">
        <v>1</v>
      </c>
      <c r="K1959">
        <v>3754000</v>
      </c>
      <c r="L1959" s="2" t="s">
        <v>3049</v>
      </c>
      <c r="M1959" t="s">
        <v>23</v>
      </c>
      <c r="N1959">
        <v>3282000</v>
      </c>
      <c r="O1959">
        <v>3.4</v>
      </c>
      <c r="P1959" t="b">
        <v>0</v>
      </c>
    </row>
    <row r="1960" spans="1:16" x14ac:dyDescent="0.2">
      <c r="A1960" t="s">
        <v>3050</v>
      </c>
      <c r="B1960" s="1">
        <v>44893</v>
      </c>
      <c r="C1960" s="1">
        <v>44931</v>
      </c>
      <c r="D1960" t="s">
        <v>3051</v>
      </c>
      <c r="E1960" t="s">
        <v>29</v>
      </c>
      <c r="F1960" t="s">
        <v>34</v>
      </c>
      <c r="G1960" t="s">
        <v>50</v>
      </c>
      <c r="H1960" t="s">
        <v>21</v>
      </c>
      <c r="I1960" t="s">
        <v>60</v>
      </c>
      <c r="J1960">
        <v>2</v>
      </c>
      <c r="K1960">
        <v>4302000</v>
      </c>
      <c r="L1960" s="2" t="s">
        <v>3052</v>
      </c>
      <c r="M1960" t="s">
        <v>23</v>
      </c>
      <c r="N1960">
        <v>8367000</v>
      </c>
      <c r="O1960">
        <v>3.2</v>
      </c>
      <c r="P1960" t="b">
        <v>0</v>
      </c>
    </row>
    <row r="1961" spans="1:16" x14ac:dyDescent="0.2">
      <c r="A1961" t="s">
        <v>3053</v>
      </c>
      <c r="B1961" s="1">
        <v>44893</v>
      </c>
      <c r="C1961" s="1">
        <v>44934</v>
      </c>
      <c r="D1961" t="s">
        <v>412</v>
      </c>
      <c r="E1961" t="s">
        <v>45</v>
      </c>
      <c r="F1961" t="s">
        <v>45</v>
      </c>
      <c r="G1961" t="s">
        <v>35</v>
      </c>
      <c r="H1961" t="s">
        <v>47</v>
      </c>
      <c r="I1961" t="s">
        <v>1654</v>
      </c>
      <c r="J1961">
        <v>1</v>
      </c>
      <c r="K1961">
        <v>2975000</v>
      </c>
      <c r="L1961">
        <v>9.7499651254369102E-2</v>
      </c>
      <c r="M1961" t="s">
        <v>65</v>
      </c>
      <c r="N1961">
        <v>0</v>
      </c>
      <c r="P1961" t="b">
        <v>1</v>
      </c>
    </row>
    <row r="1962" spans="1:16" x14ac:dyDescent="0.2">
      <c r="A1962" t="s">
        <v>3054</v>
      </c>
      <c r="B1962" s="1">
        <v>44893</v>
      </c>
      <c r="C1962" s="1">
        <v>44939</v>
      </c>
      <c r="D1962" t="s">
        <v>3055</v>
      </c>
      <c r="E1962" t="s">
        <v>45</v>
      </c>
      <c r="F1962" t="s">
        <v>19</v>
      </c>
      <c r="G1962" t="s">
        <v>35</v>
      </c>
      <c r="H1962" t="s">
        <v>21</v>
      </c>
      <c r="I1962" t="s">
        <v>77</v>
      </c>
      <c r="J1962">
        <v>1</v>
      </c>
      <c r="K1962">
        <v>2558000</v>
      </c>
      <c r="L1962">
        <v>8.6328989396618205E-2</v>
      </c>
      <c r="M1962" t="s">
        <v>23</v>
      </c>
      <c r="N1962">
        <v>2337000</v>
      </c>
      <c r="O1962">
        <v>3.9</v>
      </c>
      <c r="P1962" t="b">
        <v>0</v>
      </c>
    </row>
    <row r="1963" spans="1:16" x14ac:dyDescent="0.2">
      <c r="A1963" t="s">
        <v>3056</v>
      </c>
      <c r="B1963" s="1">
        <v>44893</v>
      </c>
      <c r="C1963" s="1">
        <v>44962</v>
      </c>
      <c r="D1963" t="s">
        <v>3057</v>
      </c>
      <c r="E1963" t="s">
        <v>29</v>
      </c>
      <c r="F1963" t="s">
        <v>25</v>
      </c>
      <c r="H1963" t="s">
        <v>51</v>
      </c>
      <c r="I1963" t="s">
        <v>57</v>
      </c>
      <c r="J1963">
        <v>1</v>
      </c>
      <c r="K1963">
        <v>5126000</v>
      </c>
      <c r="L1963">
        <v>7.3905038429858405E-2</v>
      </c>
      <c r="M1963" t="s">
        <v>23</v>
      </c>
      <c r="N1963">
        <v>4747000</v>
      </c>
      <c r="O1963">
        <v>4.5999999999999996</v>
      </c>
      <c r="P1963" t="b">
        <v>0</v>
      </c>
    </row>
    <row r="1964" spans="1:16" x14ac:dyDescent="0.2">
      <c r="A1964" t="s">
        <v>3058</v>
      </c>
      <c r="B1964" s="1">
        <v>44893</v>
      </c>
      <c r="C1964" s="1">
        <v>44914</v>
      </c>
      <c r="D1964" t="s">
        <v>1241</v>
      </c>
      <c r="E1964" t="s">
        <v>45</v>
      </c>
      <c r="F1964" t="s">
        <v>19</v>
      </c>
      <c r="G1964" t="s">
        <v>50</v>
      </c>
      <c r="H1964" t="s">
        <v>51</v>
      </c>
      <c r="I1964" t="s">
        <v>52</v>
      </c>
      <c r="J1964">
        <v>1</v>
      </c>
      <c r="K1964">
        <v>2805000</v>
      </c>
      <c r="L1964" s="2" t="s">
        <v>3059</v>
      </c>
      <c r="M1964" t="s">
        <v>23</v>
      </c>
      <c r="N1964">
        <v>2417000</v>
      </c>
      <c r="O1964">
        <v>4.2</v>
      </c>
      <c r="P1964" t="b">
        <v>1</v>
      </c>
    </row>
    <row r="1965" spans="1:16" x14ac:dyDescent="0.2">
      <c r="A1965" t="s">
        <v>3060</v>
      </c>
      <c r="B1965" s="1">
        <v>44894</v>
      </c>
      <c r="C1965" s="1">
        <v>44939</v>
      </c>
      <c r="D1965" t="s">
        <v>3061</v>
      </c>
      <c r="E1965" t="s">
        <v>18</v>
      </c>
      <c r="F1965" t="s">
        <v>25</v>
      </c>
      <c r="G1965" t="s">
        <v>20</v>
      </c>
      <c r="H1965" t="s">
        <v>21</v>
      </c>
      <c r="I1965" t="s">
        <v>94</v>
      </c>
      <c r="J1965">
        <v>3</v>
      </c>
      <c r="K1965">
        <v>4641000</v>
      </c>
      <c r="L1965">
        <v>7.3451899110173302E-2</v>
      </c>
      <c r="M1965" t="s">
        <v>23</v>
      </c>
      <c r="N1965">
        <v>12900000</v>
      </c>
      <c r="O1965">
        <v>4.7</v>
      </c>
      <c r="P1965" t="b">
        <v>0</v>
      </c>
    </row>
    <row r="1966" spans="1:16" x14ac:dyDescent="0.2">
      <c r="A1966" t="s">
        <v>3062</v>
      </c>
      <c r="B1966" s="1">
        <v>44894</v>
      </c>
      <c r="C1966" s="1">
        <v>44944</v>
      </c>
      <c r="D1966" t="s">
        <v>311</v>
      </c>
      <c r="F1966" t="s">
        <v>19</v>
      </c>
      <c r="G1966" t="s">
        <v>20</v>
      </c>
      <c r="H1966" t="s">
        <v>21</v>
      </c>
      <c r="I1966" t="s">
        <v>52</v>
      </c>
      <c r="J1966">
        <v>4</v>
      </c>
      <c r="K1966">
        <v>2544000</v>
      </c>
      <c r="L1966" s="2" t="s">
        <v>3063</v>
      </c>
      <c r="M1966" t="s">
        <v>23</v>
      </c>
      <c r="N1966">
        <v>8563000</v>
      </c>
      <c r="O1966">
        <v>4.5</v>
      </c>
      <c r="P1966" t="b">
        <v>1</v>
      </c>
    </row>
    <row r="1967" spans="1:16" x14ac:dyDescent="0.2">
      <c r="A1967" t="s">
        <v>3064</v>
      </c>
      <c r="B1967" s="1">
        <v>44895</v>
      </c>
      <c r="C1967" s="1">
        <v>44940</v>
      </c>
      <c r="D1967" t="s">
        <v>732</v>
      </c>
      <c r="E1967" t="s">
        <v>33</v>
      </c>
      <c r="F1967" t="s">
        <v>45</v>
      </c>
      <c r="G1967" t="s">
        <v>50</v>
      </c>
      <c r="H1967" t="s">
        <v>47</v>
      </c>
      <c r="I1967" t="s">
        <v>57</v>
      </c>
      <c r="J1967">
        <v>4</v>
      </c>
      <c r="K1967">
        <v>3548000</v>
      </c>
      <c r="L1967" s="2" t="s">
        <v>3065</v>
      </c>
      <c r="M1967" t="s">
        <v>23</v>
      </c>
      <c r="N1967">
        <v>12248000</v>
      </c>
      <c r="O1967">
        <v>3.7</v>
      </c>
      <c r="P1967" t="b">
        <v>1</v>
      </c>
    </row>
    <row r="1968" spans="1:16" x14ac:dyDescent="0.2">
      <c r="A1968" t="s">
        <v>3066</v>
      </c>
      <c r="B1968" s="1">
        <v>44897</v>
      </c>
      <c r="C1968" s="1">
        <v>44965</v>
      </c>
      <c r="D1968" t="s">
        <v>576</v>
      </c>
      <c r="E1968" t="s">
        <v>45</v>
      </c>
      <c r="F1968" t="s">
        <v>19</v>
      </c>
      <c r="G1968" t="s">
        <v>50</v>
      </c>
      <c r="H1968" t="s">
        <v>21</v>
      </c>
      <c r="I1968" t="s">
        <v>52</v>
      </c>
      <c r="J1968">
        <v>3</v>
      </c>
      <c r="K1968">
        <v>2673000</v>
      </c>
      <c r="L1968">
        <v>6.8878007493960794E-2</v>
      </c>
      <c r="M1968" t="s">
        <v>23</v>
      </c>
      <c r="N1968">
        <v>7467000</v>
      </c>
      <c r="O1968">
        <v>4.7</v>
      </c>
      <c r="P1968" t="b">
        <v>1</v>
      </c>
    </row>
    <row r="1969" spans="1:16" x14ac:dyDescent="0.2">
      <c r="A1969" t="s">
        <v>3067</v>
      </c>
      <c r="B1969" s="1">
        <v>44897</v>
      </c>
      <c r="C1969" s="1">
        <v>44970</v>
      </c>
      <c r="D1969" t="s">
        <v>294</v>
      </c>
      <c r="E1969" t="s">
        <v>18</v>
      </c>
      <c r="F1969" t="s">
        <v>45</v>
      </c>
      <c r="G1969" t="s">
        <v>50</v>
      </c>
      <c r="H1969" t="s">
        <v>47</v>
      </c>
      <c r="I1969" t="s">
        <v>30</v>
      </c>
      <c r="J1969">
        <v>1</v>
      </c>
      <c r="K1969">
        <v>3391000</v>
      </c>
      <c r="L1969" s="2" t="s">
        <v>3068</v>
      </c>
      <c r="M1969" t="s">
        <v>23</v>
      </c>
      <c r="N1969">
        <v>2899000</v>
      </c>
      <c r="O1969">
        <v>3.7</v>
      </c>
      <c r="P1969" t="b">
        <v>1</v>
      </c>
    </row>
    <row r="1970" spans="1:16" x14ac:dyDescent="0.2">
      <c r="A1970" t="s">
        <v>3069</v>
      </c>
      <c r="B1970" s="1">
        <v>44897</v>
      </c>
      <c r="C1970" s="1">
        <v>44956</v>
      </c>
      <c r="D1970" t="s">
        <v>572</v>
      </c>
      <c r="E1970" t="s">
        <v>18</v>
      </c>
      <c r="F1970" t="s">
        <v>45</v>
      </c>
      <c r="G1970" t="s">
        <v>20</v>
      </c>
      <c r="H1970" t="s">
        <v>21</v>
      </c>
      <c r="I1970" t="s">
        <v>77</v>
      </c>
      <c r="J1970">
        <v>4</v>
      </c>
      <c r="K1970">
        <v>3194000</v>
      </c>
      <c r="L1970">
        <v>5.51757560518263E-2</v>
      </c>
      <c r="M1970" t="s">
        <v>23</v>
      </c>
      <c r="N1970">
        <v>12071000</v>
      </c>
      <c r="O1970">
        <v>4</v>
      </c>
      <c r="P1970" t="b">
        <v>1</v>
      </c>
    </row>
    <row r="1971" spans="1:16" x14ac:dyDescent="0.2">
      <c r="A1971" t="s">
        <v>3070</v>
      </c>
      <c r="B1971" s="1">
        <v>44897</v>
      </c>
      <c r="C1971" s="1">
        <v>44953</v>
      </c>
      <c r="D1971" t="s">
        <v>1821</v>
      </c>
      <c r="E1971" t="s">
        <v>45</v>
      </c>
      <c r="F1971" t="s">
        <v>25</v>
      </c>
      <c r="G1971" t="s">
        <v>20</v>
      </c>
      <c r="H1971" t="s">
        <v>21</v>
      </c>
      <c r="I1971" t="s">
        <v>83</v>
      </c>
      <c r="J1971">
        <v>1</v>
      </c>
      <c r="K1971">
        <v>4866000</v>
      </c>
      <c r="L1971">
        <v>6.9205425497710901E-2</v>
      </c>
      <c r="M1971" t="s">
        <v>23</v>
      </c>
      <c r="N1971">
        <v>4529000</v>
      </c>
      <c r="O1971">
        <v>5</v>
      </c>
      <c r="P1971" t="b">
        <v>1</v>
      </c>
    </row>
    <row r="1972" spans="1:16" x14ac:dyDescent="0.2">
      <c r="A1972" t="s">
        <v>3071</v>
      </c>
      <c r="B1972" s="1">
        <v>44898</v>
      </c>
      <c r="C1972" s="1">
        <v>44942</v>
      </c>
      <c r="D1972" t="s">
        <v>2914</v>
      </c>
      <c r="E1972" t="s">
        <v>29</v>
      </c>
      <c r="F1972" t="s">
        <v>25</v>
      </c>
      <c r="G1972" t="s">
        <v>20</v>
      </c>
      <c r="H1972" t="s">
        <v>21</v>
      </c>
      <c r="I1972" t="s">
        <v>1654</v>
      </c>
      <c r="J1972">
        <v>3</v>
      </c>
      <c r="K1972">
        <v>3302000</v>
      </c>
      <c r="L1972" s="2" t="s">
        <v>3072</v>
      </c>
      <c r="M1972" t="s">
        <v>23</v>
      </c>
      <c r="N1972">
        <v>8655000</v>
      </c>
      <c r="O1972">
        <v>4</v>
      </c>
      <c r="P1972" t="b">
        <v>1</v>
      </c>
    </row>
    <row r="1973" spans="1:16" x14ac:dyDescent="0.2">
      <c r="A1973" t="s">
        <v>3073</v>
      </c>
      <c r="B1973" s="1">
        <v>44899</v>
      </c>
      <c r="C1973" s="1">
        <v>44980</v>
      </c>
      <c r="D1973" t="s">
        <v>3074</v>
      </c>
      <c r="E1973" t="s">
        <v>29</v>
      </c>
      <c r="F1973" t="s">
        <v>45</v>
      </c>
      <c r="G1973" t="s">
        <v>35</v>
      </c>
      <c r="H1973" t="s">
        <v>21</v>
      </c>
      <c r="I1973" t="s">
        <v>52</v>
      </c>
      <c r="J1973">
        <v>4</v>
      </c>
      <c r="K1973">
        <v>3090000</v>
      </c>
      <c r="L1973">
        <v>6.4069091020757904E-2</v>
      </c>
      <c r="M1973" t="s">
        <v>23</v>
      </c>
      <c r="N1973">
        <v>11568000</v>
      </c>
      <c r="O1973">
        <v>4</v>
      </c>
      <c r="P1973" t="b">
        <v>0</v>
      </c>
    </row>
    <row r="1974" spans="1:16" x14ac:dyDescent="0.2">
      <c r="A1974" t="s">
        <v>3075</v>
      </c>
      <c r="B1974" s="1">
        <v>44899</v>
      </c>
      <c r="C1974" s="1">
        <v>44942</v>
      </c>
      <c r="D1974" t="s">
        <v>224</v>
      </c>
      <c r="E1974" t="s">
        <v>18</v>
      </c>
      <c r="F1974" t="s">
        <v>34</v>
      </c>
      <c r="G1974" t="s">
        <v>50</v>
      </c>
      <c r="H1974" t="s">
        <v>21</v>
      </c>
      <c r="I1974" t="s">
        <v>22</v>
      </c>
      <c r="J1974">
        <v>5</v>
      </c>
      <c r="K1974">
        <v>3358000</v>
      </c>
      <c r="L1974">
        <v>6.2107235411787698E-2</v>
      </c>
      <c r="M1974" t="s">
        <v>23</v>
      </c>
      <c r="N1974">
        <v>15747000</v>
      </c>
      <c r="O1974">
        <v>3.7</v>
      </c>
      <c r="P1974" t="b">
        <v>1</v>
      </c>
    </row>
    <row r="1975" spans="1:16" x14ac:dyDescent="0.2">
      <c r="A1975" t="s">
        <v>3076</v>
      </c>
      <c r="B1975" s="1">
        <v>44900</v>
      </c>
      <c r="C1975" s="1">
        <v>44936</v>
      </c>
      <c r="D1975" t="s">
        <v>747</v>
      </c>
      <c r="E1975" t="s">
        <v>45</v>
      </c>
      <c r="F1975" t="s">
        <v>19</v>
      </c>
      <c r="G1975" t="s">
        <v>35</v>
      </c>
      <c r="H1975" t="s">
        <v>40</v>
      </c>
      <c r="I1975" t="s">
        <v>99</v>
      </c>
      <c r="J1975">
        <v>1</v>
      </c>
      <c r="K1975">
        <v>2457000</v>
      </c>
      <c r="L1975" s="2" t="s">
        <v>3077</v>
      </c>
      <c r="M1975" t="s">
        <v>23</v>
      </c>
      <c r="N1975">
        <v>2131000</v>
      </c>
      <c r="O1975">
        <v>5</v>
      </c>
      <c r="P1975" t="b">
        <v>1</v>
      </c>
    </row>
    <row r="1976" spans="1:16" x14ac:dyDescent="0.2">
      <c r="A1976" t="s">
        <v>3078</v>
      </c>
      <c r="B1976" s="1">
        <v>44901</v>
      </c>
      <c r="C1976" s="1">
        <v>44912</v>
      </c>
      <c r="D1976" t="s">
        <v>118</v>
      </c>
      <c r="E1976" t="s">
        <v>33</v>
      </c>
      <c r="F1976" t="s">
        <v>34</v>
      </c>
      <c r="G1976" t="s">
        <v>20</v>
      </c>
      <c r="H1976" t="s">
        <v>51</v>
      </c>
      <c r="I1976" t="s">
        <v>57</v>
      </c>
      <c r="J1976">
        <v>2</v>
      </c>
      <c r="K1976">
        <v>4927000</v>
      </c>
      <c r="L1976">
        <v>8.6447451072759501E-2</v>
      </c>
      <c r="M1976" t="s">
        <v>23</v>
      </c>
      <c r="N1976">
        <v>9002000</v>
      </c>
      <c r="O1976">
        <v>3.2</v>
      </c>
      <c r="P1976" t="b">
        <v>1</v>
      </c>
    </row>
    <row r="1977" spans="1:16" x14ac:dyDescent="0.2">
      <c r="A1977" t="s">
        <v>3079</v>
      </c>
      <c r="B1977" s="1">
        <v>44902</v>
      </c>
      <c r="C1977" s="1">
        <v>44974</v>
      </c>
      <c r="D1977" t="s">
        <v>3031</v>
      </c>
      <c r="E1977" t="s">
        <v>45</v>
      </c>
      <c r="F1977" t="s">
        <v>25</v>
      </c>
      <c r="G1977" t="s">
        <v>20</v>
      </c>
      <c r="H1977" t="s">
        <v>47</v>
      </c>
      <c r="I1977" t="s">
        <v>60</v>
      </c>
      <c r="J1977">
        <v>4</v>
      </c>
      <c r="K1977">
        <v>5717000</v>
      </c>
      <c r="L1977" s="2" t="s">
        <v>3080</v>
      </c>
      <c r="M1977" t="s">
        <v>23</v>
      </c>
      <c r="N1977">
        <v>20571000</v>
      </c>
      <c r="O1977">
        <v>3.6</v>
      </c>
      <c r="P1977" t="b">
        <v>1</v>
      </c>
    </row>
    <row r="1978" spans="1:16" x14ac:dyDescent="0.2">
      <c r="A1978" t="s">
        <v>3081</v>
      </c>
      <c r="B1978" s="1">
        <v>44902</v>
      </c>
      <c r="C1978" s="1">
        <v>44934</v>
      </c>
      <c r="D1978" t="s">
        <v>202</v>
      </c>
      <c r="E1978" t="s">
        <v>45</v>
      </c>
      <c r="F1978" t="s">
        <v>34</v>
      </c>
      <c r="G1978" t="s">
        <v>35</v>
      </c>
      <c r="H1978" t="s">
        <v>21</v>
      </c>
      <c r="I1978" t="s">
        <v>30</v>
      </c>
      <c r="J1978">
        <v>3</v>
      </c>
      <c r="K1978">
        <v>3598000</v>
      </c>
      <c r="L1978">
        <v>8.9647870412883496E-2</v>
      </c>
      <c r="M1978" t="s">
        <v>65</v>
      </c>
      <c r="N1978">
        <v>0</v>
      </c>
      <c r="P1978" t="b">
        <v>1</v>
      </c>
    </row>
    <row r="1979" spans="1:16" x14ac:dyDescent="0.2">
      <c r="A1979" t="s">
        <v>3082</v>
      </c>
      <c r="B1979" s="1">
        <v>44903</v>
      </c>
      <c r="C1979" s="1">
        <v>44978</v>
      </c>
      <c r="D1979" t="s">
        <v>2207</v>
      </c>
      <c r="E1979" t="s">
        <v>45</v>
      </c>
      <c r="F1979" t="s">
        <v>39</v>
      </c>
      <c r="G1979" t="s">
        <v>35</v>
      </c>
      <c r="H1979" t="s">
        <v>21</v>
      </c>
      <c r="I1979" t="s">
        <v>83</v>
      </c>
      <c r="J1979">
        <v>1</v>
      </c>
      <c r="K1979">
        <v>1467000</v>
      </c>
      <c r="L1979" s="2" t="s">
        <v>3083</v>
      </c>
      <c r="M1979" t="s">
        <v>23</v>
      </c>
      <c r="N1979">
        <v>1295000</v>
      </c>
      <c r="O1979">
        <v>4.9000000000000004</v>
      </c>
      <c r="P1979" t="b">
        <v>1</v>
      </c>
    </row>
    <row r="1980" spans="1:16" x14ac:dyDescent="0.2">
      <c r="A1980" t="s">
        <v>3084</v>
      </c>
      <c r="B1980" s="1">
        <v>44903</v>
      </c>
      <c r="C1980" s="1">
        <v>44953</v>
      </c>
      <c r="D1980" t="s">
        <v>2122</v>
      </c>
      <c r="F1980" t="s">
        <v>25</v>
      </c>
      <c r="G1980" t="s">
        <v>35</v>
      </c>
      <c r="H1980" t="s">
        <v>21</v>
      </c>
      <c r="I1980" t="s">
        <v>60</v>
      </c>
      <c r="J1980">
        <v>1</v>
      </c>
      <c r="K1980">
        <v>5219000</v>
      </c>
      <c r="L1980" s="2" t="s">
        <v>3085</v>
      </c>
      <c r="M1980" t="s">
        <v>65</v>
      </c>
      <c r="N1980">
        <v>0</v>
      </c>
      <c r="P1980" t="b">
        <v>1</v>
      </c>
    </row>
    <row r="1981" spans="1:16" x14ac:dyDescent="0.2">
      <c r="A1981" t="s">
        <v>3086</v>
      </c>
      <c r="B1981" s="1">
        <v>44904</v>
      </c>
      <c r="C1981" s="1">
        <v>44934</v>
      </c>
      <c r="D1981" t="s">
        <v>28</v>
      </c>
      <c r="E1981" t="s">
        <v>18</v>
      </c>
      <c r="F1981" t="s">
        <v>25</v>
      </c>
      <c r="G1981" t="s">
        <v>20</v>
      </c>
      <c r="H1981" t="s">
        <v>21</v>
      </c>
      <c r="I1981" t="s">
        <v>83</v>
      </c>
      <c r="J1981">
        <v>3</v>
      </c>
      <c r="K1981">
        <v>4432000</v>
      </c>
      <c r="L1981">
        <v>6.7966593885649601E-2</v>
      </c>
      <c r="M1981" t="s">
        <v>65</v>
      </c>
      <c r="N1981">
        <v>0</v>
      </c>
      <c r="P1981" t="b">
        <v>1</v>
      </c>
    </row>
    <row r="1982" spans="1:16" x14ac:dyDescent="0.2">
      <c r="A1982" t="s">
        <v>3087</v>
      </c>
      <c r="B1982" s="1">
        <v>44904</v>
      </c>
      <c r="C1982" s="1">
        <v>44983</v>
      </c>
      <c r="D1982" t="s">
        <v>3088</v>
      </c>
      <c r="F1982" t="s">
        <v>25</v>
      </c>
      <c r="G1982" t="s">
        <v>35</v>
      </c>
      <c r="H1982" t="s">
        <v>21</v>
      </c>
      <c r="I1982" t="s">
        <v>22</v>
      </c>
      <c r="J1982">
        <v>2</v>
      </c>
      <c r="K1982">
        <v>5271000</v>
      </c>
      <c r="L1982">
        <v>7.0294481835015701E-2</v>
      </c>
      <c r="M1982" t="s">
        <v>23</v>
      </c>
      <c r="N1982">
        <v>9801000</v>
      </c>
      <c r="O1982">
        <v>4.8</v>
      </c>
      <c r="P1982" t="b">
        <v>0</v>
      </c>
    </row>
    <row r="1983" spans="1:16" x14ac:dyDescent="0.2">
      <c r="A1983" t="s">
        <v>3089</v>
      </c>
      <c r="B1983" s="1">
        <v>44904</v>
      </c>
      <c r="C1983" s="1">
        <v>44934</v>
      </c>
      <c r="D1983" t="s">
        <v>697</v>
      </c>
      <c r="E1983" t="s">
        <v>18</v>
      </c>
      <c r="F1983" t="s">
        <v>19</v>
      </c>
      <c r="G1983" t="s">
        <v>20</v>
      </c>
      <c r="H1983" t="s">
        <v>21</v>
      </c>
      <c r="I1983" t="s">
        <v>30</v>
      </c>
      <c r="J1983">
        <v>3</v>
      </c>
      <c r="K1983">
        <v>2184000</v>
      </c>
      <c r="L1983" s="2" t="s">
        <v>3090</v>
      </c>
      <c r="M1983" t="s">
        <v>23</v>
      </c>
      <c r="N1983">
        <v>5617000</v>
      </c>
      <c r="O1983">
        <v>3.8</v>
      </c>
      <c r="P1983" t="b">
        <v>1</v>
      </c>
    </row>
    <row r="1984" spans="1:16" x14ac:dyDescent="0.2">
      <c r="A1984" t="s">
        <v>3091</v>
      </c>
      <c r="B1984" s="1">
        <v>44906</v>
      </c>
      <c r="C1984" s="1">
        <v>44926</v>
      </c>
      <c r="D1984" t="s">
        <v>3092</v>
      </c>
      <c r="E1984" t="s">
        <v>29</v>
      </c>
      <c r="F1984" t="s">
        <v>19</v>
      </c>
      <c r="G1984" t="s">
        <v>50</v>
      </c>
      <c r="H1984" t="s">
        <v>47</v>
      </c>
      <c r="I1984" t="s">
        <v>94</v>
      </c>
      <c r="J1984">
        <v>2</v>
      </c>
      <c r="K1984">
        <v>2613000</v>
      </c>
      <c r="L1984">
        <v>4.9758583093185503E-2</v>
      </c>
      <c r="M1984" t="s">
        <v>65</v>
      </c>
      <c r="N1984">
        <v>0</v>
      </c>
      <c r="P1984" t="b">
        <v>0</v>
      </c>
    </row>
    <row r="1985" spans="1:16" x14ac:dyDescent="0.2">
      <c r="A1985" t="s">
        <v>3093</v>
      </c>
      <c r="B1985" s="1">
        <v>44907</v>
      </c>
      <c r="C1985" s="1">
        <v>44934</v>
      </c>
      <c r="D1985" t="s">
        <v>2515</v>
      </c>
      <c r="E1985" t="s">
        <v>18</v>
      </c>
      <c r="F1985" t="s">
        <v>19</v>
      </c>
      <c r="G1985" t="s">
        <v>20</v>
      </c>
      <c r="H1985" t="s">
        <v>21</v>
      </c>
      <c r="I1985" t="s">
        <v>30</v>
      </c>
      <c r="J1985">
        <v>1</v>
      </c>
      <c r="K1985">
        <v>2368000</v>
      </c>
      <c r="L1985" s="2" t="s">
        <v>3094</v>
      </c>
      <c r="M1985" t="s">
        <v>23</v>
      </c>
      <c r="N1985">
        <v>2051000</v>
      </c>
      <c r="O1985">
        <v>4.5</v>
      </c>
      <c r="P1985" t="b">
        <v>1</v>
      </c>
    </row>
    <row r="1986" spans="1:16" x14ac:dyDescent="0.2">
      <c r="A1986" t="s">
        <v>3095</v>
      </c>
      <c r="B1986" s="1">
        <v>44907</v>
      </c>
      <c r="C1986" s="1">
        <v>44971</v>
      </c>
      <c r="D1986" t="s">
        <v>3096</v>
      </c>
      <c r="E1986" t="s">
        <v>18</v>
      </c>
      <c r="F1986" t="s">
        <v>25</v>
      </c>
      <c r="G1986" t="s">
        <v>50</v>
      </c>
      <c r="H1986" t="s">
        <v>47</v>
      </c>
      <c r="I1986" t="s">
        <v>52</v>
      </c>
      <c r="J1986">
        <v>1</v>
      </c>
      <c r="K1986">
        <v>4811000</v>
      </c>
      <c r="L1986" s="2" t="s">
        <v>3097</v>
      </c>
      <c r="M1986" t="s">
        <v>23</v>
      </c>
      <c r="N1986">
        <v>4219000</v>
      </c>
      <c r="O1986">
        <v>4.7</v>
      </c>
      <c r="P1986" t="b">
        <v>0</v>
      </c>
    </row>
    <row r="1987" spans="1:16" x14ac:dyDescent="0.2">
      <c r="A1987" t="s">
        <v>3098</v>
      </c>
      <c r="B1987" s="1">
        <v>44908</v>
      </c>
      <c r="C1987" s="1">
        <v>44960</v>
      </c>
      <c r="D1987" t="s">
        <v>2007</v>
      </c>
      <c r="E1987" t="s">
        <v>29</v>
      </c>
      <c r="F1987" t="s">
        <v>34</v>
      </c>
      <c r="G1987" t="s">
        <v>50</v>
      </c>
      <c r="H1987" t="s">
        <v>40</v>
      </c>
      <c r="I1987" t="s">
        <v>77</v>
      </c>
      <c r="J1987">
        <v>1</v>
      </c>
      <c r="K1987">
        <v>4019000</v>
      </c>
      <c r="L1987" s="2" t="s">
        <v>3099</v>
      </c>
      <c r="M1987" t="s">
        <v>23</v>
      </c>
      <c r="N1987">
        <v>3609000</v>
      </c>
      <c r="O1987">
        <v>3.5</v>
      </c>
      <c r="P1987" t="b">
        <v>1</v>
      </c>
    </row>
    <row r="1988" spans="1:16" x14ac:dyDescent="0.2">
      <c r="A1988" t="s">
        <v>3100</v>
      </c>
      <c r="B1988" s="1">
        <v>44908</v>
      </c>
      <c r="C1988" s="1">
        <v>44970</v>
      </c>
      <c r="D1988" t="s">
        <v>2005</v>
      </c>
      <c r="E1988" t="s">
        <v>33</v>
      </c>
      <c r="F1988" t="s">
        <v>39</v>
      </c>
      <c r="G1988" t="s">
        <v>50</v>
      </c>
      <c r="H1988" t="s">
        <v>47</v>
      </c>
      <c r="I1988" t="s">
        <v>99</v>
      </c>
      <c r="J1988">
        <v>1</v>
      </c>
      <c r="K1988">
        <v>2369000</v>
      </c>
      <c r="L1988">
        <v>8.7004302414365506E-2</v>
      </c>
      <c r="M1988" t="s">
        <v>23</v>
      </c>
      <c r="N1988">
        <v>2163000</v>
      </c>
      <c r="O1988">
        <v>4.5</v>
      </c>
      <c r="P1988" t="b">
        <v>1</v>
      </c>
    </row>
    <row r="1989" spans="1:16" x14ac:dyDescent="0.2">
      <c r="A1989" t="s">
        <v>3101</v>
      </c>
      <c r="B1989" s="1">
        <v>44908</v>
      </c>
      <c r="C1989" s="1">
        <v>44940</v>
      </c>
      <c r="D1989" t="s">
        <v>2841</v>
      </c>
      <c r="E1989" t="s">
        <v>33</v>
      </c>
      <c r="F1989" t="s">
        <v>34</v>
      </c>
      <c r="G1989" t="s">
        <v>20</v>
      </c>
      <c r="H1989" t="s">
        <v>21</v>
      </c>
      <c r="I1989" t="s">
        <v>94</v>
      </c>
      <c r="J1989">
        <v>3</v>
      </c>
      <c r="K1989">
        <v>4484000</v>
      </c>
      <c r="L1989">
        <v>7.7475510393036203E-3</v>
      </c>
      <c r="M1989" t="s">
        <v>23</v>
      </c>
      <c r="N1989">
        <v>13348000</v>
      </c>
      <c r="O1989">
        <v>3.8</v>
      </c>
      <c r="P1989" t="b">
        <v>1</v>
      </c>
    </row>
    <row r="1990" spans="1:16" x14ac:dyDescent="0.2">
      <c r="A1990" t="s">
        <v>3102</v>
      </c>
      <c r="B1990" s="1">
        <v>44909</v>
      </c>
      <c r="C1990" s="1">
        <v>44951</v>
      </c>
      <c r="D1990" t="s">
        <v>3103</v>
      </c>
      <c r="F1990" t="s">
        <v>34</v>
      </c>
      <c r="G1990" t="s">
        <v>20</v>
      </c>
      <c r="H1990" t="s">
        <v>40</v>
      </c>
      <c r="I1990" t="s">
        <v>99</v>
      </c>
      <c r="J1990">
        <v>1</v>
      </c>
      <c r="K1990">
        <v>3842000</v>
      </c>
      <c r="L1990" s="2" t="s">
        <v>3104</v>
      </c>
      <c r="M1990" t="s">
        <v>23</v>
      </c>
      <c r="N1990">
        <v>3196000</v>
      </c>
      <c r="O1990">
        <v>3.9</v>
      </c>
      <c r="P1990" t="b">
        <v>0</v>
      </c>
    </row>
    <row r="1991" spans="1:16" x14ac:dyDescent="0.2">
      <c r="A1991" t="s">
        <v>3105</v>
      </c>
      <c r="B1991" s="1">
        <v>44909</v>
      </c>
      <c r="C1991" s="1">
        <v>44971</v>
      </c>
      <c r="D1991" t="s">
        <v>911</v>
      </c>
      <c r="E1991" t="s">
        <v>33</v>
      </c>
      <c r="F1991" t="s">
        <v>34</v>
      </c>
      <c r="G1991" t="s">
        <v>35</v>
      </c>
      <c r="H1991" t="s">
        <v>21</v>
      </c>
      <c r="I1991" t="s">
        <v>22</v>
      </c>
      <c r="J1991">
        <v>3</v>
      </c>
      <c r="K1991">
        <v>3784000</v>
      </c>
      <c r="L1991">
        <v>8.6860844733231996E-2</v>
      </c>
      <c r="M1991" t="s">
        <v>23</v>
      </c>
      <c r="N1991">
        <v>10366000</v>
      </c>
      <c r="O1991">
        <v>4.5</v>
      </c>
      <c r="P1991" t="b">
        <v>1</v>
      </c>
    </row>
    <row r="1992" spans="1:16" x14ac:dyDescent="0.2">
      <c r="A1992" t="s">
        <v>3106</v>
      </c>
      <c r="B1992" s="1">
        <v>44910</v>
      </c>
      <c r="C1992" s="1">
        <v>44947</v>
      </c>
      <c r="D1992" t="s">
        <v>1169</v>
      </c>
      <c r="E1992" t="s">
        <v>45</v>
      </c>
      <c r="F1992" t="s">
        <v>19</v>
      </c>
      <c r="G1992" t="s">
        <v>20</v>
      </c>
      <c r="H1992" t="s">
        <v>40</v>
      </c>
      <c r="J1992">
        <v>3</v>
      </c>
      <c r="K1992">
        <v>2641000</v>
      </c>
      <c r="L1992" s="2" t="s">
        <v>3107</v>
      </c>
      <c r="M1992" t="s">
        <v>23</v>
      </c>
      <c r="N1992">
        <v>6809000</v>
      </c>
      <c r="O1992">
        <v>4.0999999999999996</v>
      </c>
      <c r="P1992" t="b">
        <v>1</v>
      </c>
    </row>
    <row r="1993" spans="1:16" x14ac:dyDescent="0.2">
      <c r="A1993" t="s">
        <v>3108</v>
      </c>
      <c r="B1993" s="1">
        <v>44910</v>
      </c>
      <c r="C1993" s="1">
        <v>44979</v>
      </c>
      <c r="D1993" t="s">
        <v>2144</v>
      </c>
      <c r="E1993" t="s">
        <v>33</v>
      </c>
      <c r="F1993" t="s">
        <v>45</v>
      </c>
      <c r="G1993" t="s">
        <v>20</v>
      </c>
      <c r="H1993" t="s">
        <v>51</v>
      </c>
      <c r="I1993" t="s">
        <v>26</v>
      </c>
      <c r="J1993">
        <v>3</v>
      </c>
      <c r="K1993">
        <v>3740000</v>
      </c>
      <c r="L1993" s="3">
        <v>0.08</v>
      </c>
      <c r="M1993" t="s">
        <v>23</v>
      </c>
      <c r="N1993">
        <v>10321000</v>
      </c>
      <c r="O1993">
        <v>4.7</v>
      </c>
      <c r="P1993" t="b">
        <v>1</v>
      </c>
    </row>
    <row r="1994" spans="1:16" x14ac:dyDescent="0.2">
      <c r="A1994" t="s">
        <v>3109</v>
      </c>
      <c r="B1994" s="1">
        <v>44910</v>
      </c>
      <c r="C1994" s="1">
        <v>44952</v>
      </c>
      <c r="D1994" t="s">
        <v>2515</v>
      </c>
      <c r="E1994" t="s">
        <v>18</v>
      </c>
      <c r="F1994" t="s">
        <v>39</v>
      </c>
      <c r="G1994" t="s">
        <v>20</v>
      </c>
      <c r="H1994" t="s">
        <v>51</v>
      </c>
      <c r="I1994" t="s">
        <v>1654</v>
      </c>
      <c r="J1994">
        <v>3</v>
      </c>
      <c r="K1994">
        <v>2019000</v>
      </c>
      <c r="L1994" s="2" t="s">
        <v>3110</v>
      </c>
      <c r="M1994" t="s">
        <v>23</v>
      </c>
      <c r="N1994">
        <v>5356000</v>
      </c>
      <c r="O1994">
        <v>4.4000000000000004</v>
      </c>
      <c r="P1994" t="b">
        <v>1</v>
      </c>
    </row>
    <row r="1995" spans="1:16" x14ac:dyDescent="0.2">
      <c r="A1995" t="s">
        <v>3111</v>
      </c>
      <c r="B1995" s="1">
        <v>44910</v>
      </c>
      <c r="C1995" s="1">
        <v>44966</v>
      </c>
      <c r="D1995" t="s">
        <v>2181</v>
      </c>
      <c r="E1995" t="s">
        <v>45</v>
      </c>
      <c r="F1995" t="s">
        <v>34</v>
      </c>
      <c r="G1995" t="s">
        <v>50</v>
      </c>
      <c r="H1995" t="s">
        <v>21</v>
      </c>
      <c r="I1995" t="s">
        <v>77</v>
      </c>
      <c r="J1995">
        <v>3</v>
      </c>
      <c r="K1995">
        <v>4339000</v>
      </c>
      <c r="L1995" s="2" t="s">
        <v>3112</v>
      </c>
      <c r="M1995" t="s">
        <v>23</v>
      </c>
      <c r="N1995">
        <v>11258000</v>
      </c>
      <c r="O1995">
        <v>3.2</v>
      </c>
      <c r="P1995" t="b">
        <v>1</v>
      </c>
    </row>
    <row r="1996" spans="1:16" x14ac:dyDescent="0.2">
      <c r="A1996" t="s">
        <v>3113</v>
      </c>
      <c r="B1996" s="1">
        <v>44911</v>
      </c>
      <c r="C1996" s="1">
        <v>44969</v>
      </c>
      <c r="D1996" t="s">
        <v>412</v>
      </c>
      <c r="E1996" t="s">
        <v>18</v>
      </c>
      <c r="F1996" t="s">
        <v>68</v>
      </c>
      <c r="G1996" t="s">
        <v>20</v>
      </c>
      <c r="H1996" t="s">
        <v>40</v>
      </c>
      <c r="I1996" t="s">
        <v>22</v>
      </c>
      <c r="J1996">
        <v>1</v>
      </c>
      <c r="K1996">
        <v>2600000</v>
      </c>
      <c r="L1996" s="2" t="s">
        <v>3114</v>
      </c>
      <c r="M1996" t="s">
        <v>23</v>
      </c>
      <c r="N1996">
        <v>2306000</v>
      </c>
      <c r="O1996">
        <v>4.4000000000000004</v>
      </c>
      <c r="P1996" t="b">
        <v>1</v>
      </c>
    </row>
    <row r="1997" spans="1:16" x14ac:dyDescent="0.2">
      <c r="A1997" t="s">
        <v>3115</v>
      </c>
      <c r="B1997" s="1">
        <v>44911</v>
      </c>
      <c r="C1997" s="1">
        <v>44936</v>
      </c>
      <c r="D1997" t="s">
        <v>3116</v>
      </c>
      <c r="E1997" t="s">
        <v>45</v>
      </c>
      <c r="F1997" t="s">
        <v>34</v>
      </c>
      <c r="G1997" t="s">
        <v>20</v>
      </c>
      <c r="H1997" t="s">
        <v>47</v>
      </c>
      <c r="I1997" t="s">
        <v>77</v>
      </c>
      <c r="J1997">
        <v>1</v>
      </c>
      <c r="K1997">
        <v>4268000</v>
      </c>
      <c r="L1997">
        <v>8.2209703763252706E-2</v>
      </c>
      <c r="M1997" t="s">
        <v>23</v>
      </c>
      <c r="N1997">
        <v>3917000</v>
      </c>
      <c r="O1997">
        <v>4.2</v>
      </c>
      <c r="P1997" t="b">
        <v>0</v>
      </c>
    </row>
    <row r="1998" spans="1:16" x14ac:dyDescent="0.2">
      <c r="A1998" t="s">
        <v>3117</v>
      </c>
      <c r="B1998" s="1">
        <v>44912</v>
      </c>
      <c r="C1998" s="1">
        <v>44981</v>
      </c>
      <c r="D1998" t="s">
        <v>927</v>
      </c>
      <c r="E1998" t="s">
        <v>45</v>
      </c>
      <c r="F1998" t="s">
        <v>68</v>
      </c>
      <c r="G1998" t="s">
        <v>35</v>
      </c>
      <c r="H1998" t="s">
        <v>47</v>
      </c>
      <c r="J1998">
        <v>2</v>
      </c>
      <c r="K1998">
        <v>2729000</v>
      </c>
      <c r="L1998">
        <v>8.1263931286872995E-2</v>
      </c>
      <c r="M1998" t="s">
        <v>23</v>
      </c>
      <c r="N1998">
        <v>5014000</v>
      </c>
      <c r="O1998">
        <v>4.3</v>
      </c>
      <c r="P1998" t="b">
        <v>1</v>
      </c>
    </row>
    <row r="1999" spans="1:16" x14ac:dyDescent="0.2">
      <c r="A1999" t="s">
        <v>3118</v>
      </c>
      <c r="B1999" s="1">
        <v>44912</v>
      </c>
      <c r="C1999" s="1">
        <v>44951</v>
      </c>
      <c r="D1999" t="s">
        <v>725</v>
      </c>
      <c r="E1999" t="s">
        <v>45</v>
      </c>
      <c r="F1999" t="s">
        <v>19</v>
      </c>
      <c r="G1999" t="s">
        <v>20</v>
      </c>
      <c r="H1999" t="s">
        <v>21</v>
      </c>
      <c r="I1999" t="s">
        <v>94</v>
      </c>
      <c r="J1999">
        <v>1</v>
      </c>
      <c r="K1999">
        <v>2435000</v>
      </c>
      <c r="L1999">
        <v>5.30205610811227E-2</v>
      </c>
      <c r="M1999" t="s">
        <v>23</v>
      </c>
      <c r="N1999">
        <v>2306000</v>
      </c>
      <c r="O1999">
        <v>3.9</v>
      </c>
      <c r="P1999" t="b">
        <v>1</v>
      </c>
    </row>
    <row r="2000" spans="1:16" x14ac:dyDescent="0.2">
      <c r="A2000" t="s">
        <v>3119</v>
      </c>
      <c r="B2000" s="1">
        <v>44912</v>
      </c>
      <c r="C2000" s="1">
        <v>44925</v>
      </c>
      <c r="D2000" t="s">
        <v>3000</v>
      </c>
      <c r="E2000" t="s">
        <v>45</v>
      </c>
      <c r="F2000" t="s">
        <v>39</v>
      </c>
      <c r="G2000" t="s">
        <v>35</v>
      </c>
      <c r="H2000" t="s">
        <v>21</v>
      </c>
      <c r="I2000" t="s">
        <v>57</v>
      </c>
      <c r="J2000">
        <v>4</v>
      </c>
      <c r="K2000">
        <v>2696000</v>
      </c>
      <c r="L2000" s="2" t="s">
        <v>3120</v>
      </c>
      <c r="M2000" t="s">
        <v>23</v>
      </c>
      <c r="N2000">
        <v>10640000</v>
      </c>
      <c r="O2000">
        <v>4.0999999999999996</v>
      </c>
      <c r="P2000" t="b">
        <v>1</v>
      </c>
    </row>
    <row r="2001" spans="1:16" x14ac:dyDescent="0.2">
      <c r="A2001" t="s">
        <v>3121</v>
      </c>
      <c r="B2001" s="1">
        <v>44912</v>
      </c>
      <c r="C2001" s="1">
        <v>44961</v>
      </c>
      <c r="D2001" t="s">
        <v>1237</v>
      </c>
      <c r="E2001" t="s">
        <v>18</v>
      </c>
      <c r="F2001" t="s">
        <v>45</v>
      </c>
      <c r="G2001" t="s">
        <v>20</v>
      </c>
      <c r="H2001" t="s">
        <v>21</v>
      </c>
      <c r="J2001">
        <v>2</v>
      </c>
      <c r="K2001">
        <v>3318000</v>
      </c>
      <c r="L2001" s="2" t="s">
        <v>3122</v>
      </c>
      <c r="M2001" t="s">
        <v>23</v>
      </c>
      <c r="N2001">
        <v>5752000</v>
      </c>
      <c r="O2001">
        <v>4.2</v>
      </c>
      <c r="P2001" t="b">
        <v>1</v>
      </c>
    </row>
    <row r="2002" spans="1:16" x14ac:dyDescent="0.2">
      <c r="A2002" t="s">
        <v>3123</v>
      </c>
      <c r="B2002" s="1">
        <v>44912</v>
      </c>
      <c r="C2002" s="1">
        <v>44945</v>
      </c>
      <c r="D2002" t="s">
        <v>2151</v>
      </c>
      <c r="E2002" t="s">
        <v>18</v>
      </c>
      <c r="F2002" t="s">
        <v>45</v>
      </c>
      <c r="G2002" t="s">
        <v>35</v>
      </c>
      <c r="H2002" t="s">
        <v>40</v>
      </c>
      <c r="I2002" t="s">
        <v>26</v>
      </c>
      <c r="J2002">
        <v>1</v>
      </c>
      <c r="K2002">
        <v>3369000</v>
      </c>
      <c r="L2002">
        <v>2.6688474277689701E-2</v>
      </c>
      <c r="M2002" t="s">
        <v>23</v>
      </c>
      <c r="N2002">
        <v>3279000</v>
      </c>
      <c r="O2002">
        <v>4.7</v>
      </c>
      <c r="P2002" t="b">
        <v>1</v>
      </c>
    </row>
    <row r="2003" spans="1:16" x14ac:dyDescent="0.2">
      <c r="A2003" t="s">
        <v>3124</v>
      </c>
      <c r="B2003" s="1">
        <v>44913</v>
      </c>
      <c r="C2003" s="1">
        <v>44964</v>
      </c>
      <c r="D2003" t="s">
        <v>3125</v>
      </c>
      <c r="E2003" t="s">
        <v>33</v>
      </c>
      <c r="F2003" t="s">
        <v>19</v>
      </c>
      <c r="G2003" t="s">
        <v>20</v>
      </c>
      <c r="I2003" t="s">
        <v>77</v>
      </c>
      <c r="J2003">
        <v>1</v>
      </c>
      <c r="K2003">
        <v>2949000</v>
      </c>
      <c r="L2003">
        <v>8.70900724218448E-2</v>
      </c>
      <c r="M2003" t="s">
        <v>23</v>
      </c>
      <c r="N2003">
        <v>2692000</v>
      </c>
      <c r="O2003">
        <v>4.5999999999999996</v>
      </c>
      <c r="P2003" t="b">
        <v>0</v>
      </c>
    </row>
    <row r="2004" spans="1:16" x14ac:dyDescent="0.2">
      <c r="A2004" t="s">
        <v>3126</v>
      </c>
      <c r="B2004" s="1">
        <v>44913</v>
      </c>
      <c r="C2004" s="1">
        <v>44947</v>
      </c>
      <c r="D2004" t="s">
        <v>3127</v>
      </c>
      <c r="E2004" t="s">
        <v>29</v>
      </c>
      <c r="F2004" t="s">
        <v>34</v>
      </c>
      <c r="G2004" t="s">
        <v>20</v>
      </c>
      <c r="H2004" t="s">
        <v>21</v>
      </c>
      <c r="I2004" t="s">
        <v>57</v>
      </c>
      <c r="J2004">
        <v>2</v>
      </c>
      <c r="K2004">
        <v>3849000</v>
      </c>
      <c r="L2004" s="2" t="s">
        <v>3128</v>
      </c>
      <c r="M2004" t="s">
        <v>23</v>
      </c>
      <c r="N2004">
        <v>7496000</v>
      </c>
      <c r="O2004">
        <v>4.5</v>
      </c>
      <c r="P2004" t="b">
        <v>0</v>
      </c>
    </row>
    <row r="2005" spans="1:16" x14ac:dyDescent="0.2">
      <c r="A2005" t="s">
        <v>3129</v>
      </c>
      <c r="B2005" s="1">
        <v>44913</v>
      </c>
      <c r="C2005" s="1">
        <v>44983</v>
      </c>
      <c r="D2005" t="s">
        <v>214</v>
      </c>
      <c r="E2005" t="s">
        <v>18</v>
      </c>
      <c r="F2005" t="s">
        <v>68</v>
      </c>
      <c r="G2005" t="s">
        <v>35</v>
      </c>
      <c r="H2005" t="s">
        <v>47</v>
      </c>
      <c r="I2005" t="s">
        <v>94</v>
      </c>
      <c r="J2005">
        <v>4</v>
      </c>
      <c r="K2005">
        <v>2122000</v>
      </c>
      <c r="L2005">
        <v>5.1238271179045301E-2</v>
      </c>
      <c r="M2005" t="s">
        <v>23</v>
      </c>
      <c r="N2005">
        <v>8053000</v>
      </c>
      <c r="O2005">
        <v>3.7</v>
      </c>
      <c r="P2005" t="b">
        <v>1</v>
      </c>
    </row>
    <row r="2006" spans="1:16" x14ac:dyDescent="0.2">
      <c r="A2006" t="s">
        <v>3130</v>
      </c>
      <c r="B2006" s="1">
        <v>44914</v>
      </c>
      <c r="C2006" s="1">
        <v>44992</v>
      </c>
      <c r="D2006" t="s">
        <v>821</v>
      </c>
      <c r="E2006" t="s">
        <v>33</v>
      </c>
      <c r="F2006" t="s">
        <v>34</v>
      </c>
      <c r="G2006" t="s">
        <v>50</v>
      </c>
      <c r="H2006" t="s">
        <v>51</v>
      </c>
      <c r="I2006" t="s">
        <v>22</v>
      </c>
      <c r="J2006">
        <v>5</v>
      </c>
      <c r="K2006">
        <v>3509000</v>
      </c>
      <c r="L2006" s="2" t="s">
        <v>3131</v>
      </c>
      <c r="M2006" t="s">
        <v>23</v>
      </c>
      <c r="N2006">
        <v>14399000</v>
      </c>
      <c r="O2006">
        <v>4.4000000000000004</v>
      </c>
      <c r="P2006" t="b">
        <v>1</v>
      </c>
    </row>
    <row r="2007" spans="1:16" x14ac:dyDescent="0.2">
      <c r="A2007" t="s">
        <v>3132</v>
      </c>
      <c r="B2007" s="1">
        <v>44914</v>
      </c>
      <c r="C2007" s="1">
        <v>44949</v>
      </c>
      <c r="D2007" t="s">
        <v>3133</v>
      </c>
      <c r="E2007" t="s">
        <v>33</v>
      </c>
      <c r="F2007" t="s">
        <v>34</v>
      </c>
      <c r="G2007" t="s">
        <v>35</v>
      </c>
      <c r="H2007" t="s">
        <v>40</v>
      </c>
      <c r="I2007" t="s">
        <v>99</v>
      </c>
      <c r="J2007">
        <v>4</v>
      </c>
      <c r="K2007">
        <v>3839000</v>
      </c>
      <c r="L2007">
        <v>7.4175178845114306E-2</v>
      </c>
      <c r="M2007" t="s">
        <v>23</v>
      </c>
      <c r="N2007">
        <v>14217000</v>
      </c>
      <c r="O2007">
        <v>3.9</v>
      </c>
      <c r="P2007" t="b">
        <v>0</v>
      </c>
    </row>
    <row r="2008" spans="1:16" x14ac:dyDescent="0.2">
      <c r="A2008" t="s">
        <v>3134</v>
      </c>
      <c r="B2008" s="1">
        <v>44914</v>
      </c>
      <c r="C2008" s="1">
        <v>44966</v>
      </c>
      <c r="D2008" t="s">
        <v>2477</v>
      </c>
      <c r="E2008" t="s">
        <v>18</v>
      </c>
      <c r="F2008" t="s">
        <v>25</v>
      </c>
      <c r="G2008" t="s">
        <v>35</v>
      </c>
      <c r="H2008" t="s">
        <v>51</v>
      </c>
      <c r="I2008" t="s">
        <v>77</v>
      </c>
      <c r="J2008">
        <v>1</v>
      </c>
      <c r="K2008">
        <v>6130000</v>
      </c>
      <c r="L2008" s="2" t="s">
        <v>3135</v>
      </c>
      <c r="M2008" t="s">
        <v>23</v>
      </c>
      <c r="N2008">
        <v>5463000</v>
      </c>
      <c r="O2008">
        <v>4.3</v>
      </c>
      <c r="P2008" t="b">
        <v>1</v>
      </c>
    </row>
    <row r="2009" spans="1:16" x14ac:dyDescent="0.2">
      <c r="A2009" t="s">
        <v>3136</v>
      </c>
      <c r="B2009" s="1">
        <v>44914</v>
      </c>
      <c r="C2009" s="1">
        <v>44951</v>
      </c>
      <c r="D2009" t="s">
        <v>1237</v>
      </c>
      <c r="E2009" t="s">
        <v>29</v>
      </c>
      <c r="F2009" t="s">
        <v>39</v>
      </c>
      <c r="H2009" t="s">
        <v>40</v>
      </c>
      <c r="I2009" t="s">
        <v>26</v>
      </c>
      <c r="J2009">
        <v>2</v>
      </c>
      <c r="K2009">
        <v>2228000</v>
      </c>
      <c r="L2009" s="2" t="s">
        <v>3137</v>
      </c>
      <c r="M2009" t="s">
        <v>23</v>
      </c>
      <c r="N2009">
        <v>3950000</v>
      </c>
      <c r="O2009">
        <v>3.9</v>
      </c>
      <c r="P2009" t="b">
        <v>1</v>
      </c>
    </row>
    <row r="2010" spans="1:16" x14ac:dyDescent="0.2">
      <c r="A2010" t="s">
        <v>3138</v>
      </c>
      <c r="B2010" s="1">
        <v>44916</v>
      </c>
      <c r="C2010" s="1">
        <v>44935</v>
      </c>
      <c r="D2010" t="s">
        <v>3139</v>
      </c>
      <c r="F2010" t="s">
        <v>19</v>
      </c>
      <c r="G2010" t="s">
        <v>50</v>
      </c>
      <c r="H2010" t="s">
        <v>21</v>
      </c>
      <c r="I2010" t="s">
        <v>83</v>
      </c>
      <c r="J2010">
        <v>1</v>
      </c>
      <c r="K2010">
        <v>2760000</v>
      </c>
      <c r="L2010" s="2" t="s">
        <v>3140</v>
      </c>
      <c r="M2010" t="s">
        <v>23</v>
      </c>
      <c r="N2010">
        <v>2459000</v>
      </c>
      <c r="O2010">
        <v>4.2</v>
      </c>
      <c r="P2010" t="b">
        <v>0</v>
      </c>
    </row>
    <row r="2011" spans="1:16" x14ac:dyDescent="0.2">
      <c r="A2011" t="s">
        <v>3141</v>
      </c>
      <c r="B2011" s="1">
        <v>44916</v>
      </c>
      <c r="C2011" s="1">
        <v>44955</v>
      </c>
      <c r="D2011" t="s">
        <v>594</v>
      </c>
      <c r="E2011" t="s">
        <v>29</v>
      </c>
      <c r="F2011" t="s">
        <v>45</v>
      </c>
      <c r="G2011" t="s">
        <v>50</v>
      </c>
      <c r="H2011" t="s">
        <v>47</v>
      </c>
      <c r="I2011" t="s">
        <v>30</v>
      </c>
      <c r="J2011">
        <v>2</v>
      </c>
      <c r="K2011">
        <v>3191000</v>
      </c>
      <c r="L2011" s="2" t="s">
        <v>3142</v>
      </c>
      <c r="M2011" t="s">
        <v>23</v>
      </c>
      <c r="N2011">
        <v>5482000</v>
      </c>
      <c r="O2011">
        <v>3.5</v>
      </c>
      <c r="P2011" t="b">
        <v>1</v>
      </c>
    </row>
    <row r="2012" spans="1:16" x14ac:dyDescent="0.2">
      <c r="A2012" t="s">
        <v>3143</v>
      </c>
      <c r="B2012" s="1">
        <v>44916</v>
      </c>
      <c r="C2012" s="1">
        <v>44987</v>
      </c>
      <c r="D2012" t="s">
        <v>3144</v>
      </c>
      <c r="E2012" t="s">
        <v>18</v>
      </c>
      <c r="F2012" t="s">
        <v>25</v>
      </c>
      <c r="G2012" t="s">
        <v>20</v>
      </c>
      <c r="H2012" t="s">
        <v>21</v>
      </c>
      <c r="J2012">
        <v>3</v>
      </c>
      <c r="K2012">
        <v>4563000</v>
      </c>
      <c r="L2012">
        <v>4.91249915559532E-2</v>
      </c>
      <c r="M2012" t="s">
        <v>23</v>
      </c>
      <c r="N2012">
        <v>13017000</v>
      </c>
      <c r="O2012">
        <v>4.8</v>
      </c>
      <c r="P2012" t="b">
        <v>0</v>
      </c>
    </row>
    <row r="2013" spans="1:16" x14ac:dyDescent="0.2">
      <c r="A2013" t="s">
        <v>3145</v>
      </c>
      <c r="B2013" s="1">
        <v>44917</v>
      </c>
      <c r="C2013" s="1">
        <v>44934</v>
      </c>
      <c r="D2013" t="s">
        <v>3146</v>
      </c>
      <c r="F2013" t="s">
        <v>39</v>
      </c>
      <c r="G2013" t="s">
        <v>20</v>
      </c>
      <c r="H2013" t="s">
        <v>40</v>
      </c>
      <c r="I2013" t="s">
        <v>83</v>
      </c>
      <c r="J2013">
        <v>1</v>
      </c>
      <c r="K2013">
        <v>1450000</v>
      </c>
      <c r="L2013" s="2" t="s">
        <v>3147</v>
      </c>
      <c r="M2013" t="s">
        <v>23</v>
      </c>
      <c r="N2013">
        <v>1303000</v>
      </c>
      <c r="O2013">
        <v>3.5</v>
      </c>
      <c r="P2013" t="b">
        <v>0</v>
      </c>
    </row>
    <row r="2014" spans="1:16" x14ac:dyDescent="0.2">
      <c r="A2014" t="s">
        <v>3148</v>
      </c>
      <c r="B2014" s="1">
        <v>44918</v>
      </c>
      <c r="C2014" s="1">
        <v>44979</v>
      </c>
      <c r="D2014" t="s">
        <v>3149</v>
      </c>
      <c r="E2014" t="s">
        <v>45</v>
      </c>
      <c r="F2014" t="s">
        <v>34</v>
      </c>
      <c r="G2014" t="s">
        <v>20</v>
      </c>
      <c r="H2014" t="s">
        <v>21</v>
      </c>
      <c r="I2014" t="s">
        <v>52</v>
      </c>
      <c r="J2014">
        <v>2</v>
      </c>
      <c r="K2014">
        <v>3388000</v>
      </c>
      <c r="L2014" s="2" t="s">
        <v>3150</v>
      </c>
      <c r="M2014" t="s">
        <v>23</v>
      </c>
      <c r="N2014">
        <v>6431000</v>
      </c>
      <c r="O2014">
        <v>4</v>
      </c>
      <c r="P2014" t="b">
        <v>0</v>
      </c>
    </row>
    <row r="2015" spans="1:16" x14ac:dyDescent="0.2">
      <c r="A2015" t="s">
        <v>3151</v>
      </c>
      <c r="B2015" s="1">
        <v>44918</v>
      </c>
      <c r="C2015" s="1">
        <v>44970</v>
      </c>
      <c r="D2015" t="s">
        <v>2439</v>
      </c>
      <c r="E2015" t="s">
        <v>45</v>
      </c>
      <c r="F2015" t="s">
        <v>25</v>
      </c>
      <c r="G2015" t="s">
        <v>35</v>
      </c>
      <c r="H2015" t="s">
        <v>47</v>
      </c>
      <c r="I2015" t="s">
        <v>30</v>
      </c>
      <c r="J2015">
        <v>4</v>
      </c>
      <c r="K2015">
        <v>5600000</v>
      </c>
      <c r="L2015" s="2" t="s">
        <v>3152</v>
      </c>
      <c r="M2015" t="s">
        <v>23</v>
      </c>
      <c r="N2015">
        <v>21542000</v>
      </c>
      <c r="O2015">
        <v>4.0999999999999996</v>
      </c>
      <c r="P2015" t="b">
        <v>1</v>
      </c>
    </row>
    <row r="2016" spans="1:16" x14ac:dyDescent="0.2">
      <c r="A2016" t="s">
        <v>3153</v>
      </c>
      <c r="B2016" s="1">
        <v>44918</v>
      </c>
      <c r="C2016" s="1">
        <v>44970</v>
      </c>
      <c r="D2016" t="s">
        <v>3154</v>
      </c>
      <c r="E2016" t="s">
        <v>45</v>
      </c>
      <c r="F2016" t="s">
        <v>19</v>
      </c>
      <c r="G2016" t="s">
        <v>35</v>
      </c>
      <c r="H2016" t="s">
        <v>21</v>
      </c>
      <c r="I2016" t="s">
        <v>52</v>
      </c>
      <c r="J2016">
        <v>1</v>
      </c>
      <c r="K2016">
        <v>2684000</v>
      </c>
      <c r="L2016" s="3">
        <v>0.14299999999999999</v>
      </c>
      <c r="M2016" t="s">
        <v>23</v>
      </c>
      <c r="N2016">
        <v>2301000</v>
      </c>
      <c r="O2016">
        <v>3.8</v>
      </c>
      <c r="P2016" t="b">
        <v>0</v>
      </c>
    </row>
    <row r="2017" spans="1:16" x14ac:dyDescent="0.2">
      <c r="A2017" t="s">
        <v>3155</v>
      </c>
      <c r="B2017" s="1">
        <v>44918</v>
      </c>
      <c r="C2017" s="1">
        <v>44983</v>
      </c>
      <c r="D2017" t="s">
        <v>2744</v>
      </c>
      <c r="F2017" t="s">
        <v>19</v>
      </c>
      <c r="G2017" t="s">
        <v>20</v>
      </c>
      <c r="H2017" t="s">
        <v>51</v>
      </c>
      <c r="I2017" t="s">
        <v>30</v>
      </c>
      <c r="J2017">
        <v>2</v>
      </c>
      <c r="K2017">
        <v>2544000</v>
      </c>
      <c r="L2017" s="2" t="s">
        <v>3156</v>
      </c>
      <c r="M2017" t="s">
        <v>65</v>
      </c>
      <c r="N2017">
        <v>0</v>
      </c>
      <c r="P2017" t="b">
        <v>1</v>
      </c>
    </row>
    <row r="2018" spans="1:16" x14ac:dyDescent="0.2">
      <c r="A2018" t="s">
        <v>3157</v>
      </c>
      <c r="B2018" s="1">
        <v>44919</v>
      </c>
      <c r="C2018" s="1">
        <v>44975</v>
      </c>
      <c r="D2018" t="s">
        <v>2157</v>
      </c>
      <c r="E2018" t="s">
        <v>29</v>
      </c>
      <c r="F2018" t="s">
        <v>45</v>
      </c>
      <c r="G2018" t="s">
        <v>20</v>
      </c>
      <c r="H2018" t="s">
        <v>40</v>
      </c>
      <c r="I2018" t="s">
        <v>57</v>
      </c>
      <c r="J2018">
        <v>1</v>
      </c>
      <c r="K2018">
        <v>3860000</v>
      </c>
      <c r="L2018">
        <v>8.3436355636251E-2</v>
      </c>
      <c r="M2018" t="s">
        <v>23</v>
      </c>
      <c r="N2018">
        <v>3538000</v>
      </c>
      <c r="O2018">
        <v>3.8</v>
      </c>
      <c r="P2018" t="b">
        <v>1</v>
      </c>
    </row>
    <row r="2019" spans="1:16" x14ac:dyDescent="0.2">
      <c r="A2019" t="s">
        <v>3158</v>
      </c>
      <c r="B2019" s="1">
        <v>44919</v>
      </c>
      <c r="C2019" s="1">
        <v>44949</v>
      </c>
      <c r="D2019" t="s">
        <v>321</v>
      </c>
      <c r="E2019" t="s">
        <v>45</v>
      </c>
      <c r="F2019" t="s">
        <v>45</v>
      </c>
      <c r="G2019" t="s">
        <v>20</v>
      </c>
      <c r="H2019" t="s">
        <v>47</v>
      </c>
      <c r="I2019" t="s">
        <v>22</v>
      </c>
      <c r="J2019">
        <v>1</v>
      </c>
      <c r="K2019">
        <v>3103000</v>
      </c>
      <c r="L2019">
        <v>9.0896411044354503E-2</v>
      </c>
      <c r="M2019" t="s">
        <v>23</v>
      </c>
      <c r="N2019">
        <v>2821000</v>
      </c>
      <c r="O2019">
        <v>4.7</v>
      </c>
      <c r="P2019" t="b">
        <v>1</v>
      </c>
    </row>
    <row r="2020" spans="1:16" x14ac:dyDescent="0.2">
      <c r="A2020" t="s">
        <v>3159</v>
      </c>
      <c r="B2020" s="1">
        <v>44919</v>
      </c>
      <c r="C2020" s="1">
        <v>45000</v>
      </c>
      <c r="D2020" t="s">
        <v>3160</v>
      </c>
      <c r="E2020" t="s">
        <v>33</v>
      </c>
      <c r="F2020" t="s">
        <v>19</v>
      </c>
      <c r="G2020" t="s">
        <v>35</v>
      </c>
      <c r="H2020" t="s">
        <v>21</v>
      </c>
      <c r="I2020" t="s">
        <v>94</v>
      </c>
      <c r="J2020">
        <v>1</v>
      </c>
      <c r="K2020">
        <v>2613000</v>
      </c>
      <c r="L2020" s="2" t="s">
        <v>3161</v>
      </c>
      <c r="M2020" t="s">
        <v>23</v>
      </c>
      <c r="N2020">
        <v>2328000</v>
      </c>
      <c r="O2020">
        <v>4.5</v>
      </c>
      <c r="P2020" t="b">
        <v>0</v>
      </c>
    </row>
    <row r="2021" spans="1:16" x14ac:dyDescent="0.2">
      <c r="A2021" t="s">
        <v>3162</v>
      </c>
      <c r="B2021" s="1">
        <v>44919</v>
      </c>
      <c r="C2021" s="1">
        <v>44998</v>
      </c>
      <c r="D2021" t="s">
        <v>3163</v>
      </c>
      <c r="E2021" t="s">
        <v>45</v>
      </c>
      <c r="F2021" t="s">
        <v>39</v>
      </c>
      <c r="G2021" t="s">
        <v>50</v>
      </c>
      <c r="H2021" t="s">
        <v>21</v>
      </c>
      <c r="I2021" t="s">
        <v>22</v>
      </c>
      <c r="J2021">
        <v>2</v>
      </c>
      <c r="K2021">
        <v>2137000</v>
      </c>
      <c r="L2021">
        <v>6.07074274478107E-2</v>
      </c>
      <c r="M2021" t="s">
        <v>23</v>
      </c>
      <c r="N2021">
        <v>4015000</v>
      </c>
      <c r="O2021">
        <v>3.7</v>
      </c>
      <c r="P2021" t="b">
        <v>0</v>
      </c>
    </row>
    <row r="2022" spans="1:16" x14ac:dyDescent="0.2">
      <c r="A2022" t="s">
        <v>3164</v>
      </c>
      <c r="B2022" s="1">
        <v>44919</v>
      </c>
      <c r="C2022" s="1">
        <v>44951</v>
      </c>
      <c r="D2022" t="s">
        <v>985</v>
      </c>
      <c r="E2022" t="s">
        <v>18</v>
      </c>
      <c r="F2022" t="s">
        <v>45</v>
      </c>
      <c r="G2022" t="s">
        <v>20</v>
      </c>
      <c r="H2022" t="s">
        <v>21</v>
      </c>
      <c r="I2022" t="s">
        <v>26</v>
      </c>
      <c r="J2022">
        <v>3</v>
      </c>
      <c r="K2022">
        <v>3395000</v>
      </c>
      <c r="L2022">
        <v>8.5212893542904802E-2</v>
      </c>
      <c r="M2022" t="s">
        <v>23</v>
      </c>
      <c r="N2022">
        <v>9317000</v>
      </c>
      <c r="O2022">
        <v>3.8</v>
      </c>
      <c r="P2022" t="b">
        <v>1</v>
      </c>
    </row>
    <row r="2023" spans="1:16" x14ac:dyDescent="0.2">
      <c r="A2023" t="s">
        <v>3165</v>
      </c>
      <c r="B2023" s="1">
        <v>44919</v>
      </c>
      <c r="C2023" s="1">
        <v>44961</v>
      </c>
      <c r="D2023" t="s">
        <v>708</v>
      </c>
      <c r="E2023" t="s">
        <v>18</v>
      </c>
      <c r="F2023" t="s">
        <v>45</v>
      </c>
      <c r="G2023" t="s">
        <v>20</v>
      </c>
      <c r="H2023" t="s">
        <v>21</v>
      </c>
      <c r="I2023" t="s">
        <v>30</v>
      </c>
      <c r="J2023">
        <v>4</v>
      </c>
      <c r="K2023">
        <v>3436000</v>
      </c>
      <c r="L2023" s="2" t="s">
        <v>3166</v>
      </c>
      <c r="M2023" t="s">
        <v>23</v>
      </c>
      <c r="N2023">
        <v>12142000</v>
      </c>
      <c r="O2023">
        <v>5</v>
      </c>
      <c r="P2023" t="b">
        <v>1</v>
      </c>
    </row>
    <row r="2024" spans="1:16" x14ac:dyDescent="0.2">
      <c r="A2024" t="s">
        <v>3167</v>
      </c>
      <c r="B2024" s="1">
        <v>44920</v>
      </c>
      <c r="C2024" s="1">
        <v>44992</v>
      </c>
      <c r="D2024" t="s">
        <v>3168</v>
      </c>
      <c r="E2024" t="s">
        <v>18</v>
      </c>
      <c r="F2024" t="s">
        <v>45</v>
      </c>
      <c r="G2024" t="s">
        <v>20</v>
      </c>
      <c r="H2024" t="s">
        <v>21</v>
      </c>
      <c r="I2024" t="s">
        <v>77</v>
      </c>
      <c r="J2024">
        <v>2</v>
      </c>
      <c r="K2024">
        <v>3247000</v>
      </c>
      <c r="L2024" s="2" t="s">
        <v>3169</v>
      </c>
      <c r="M2024" t="s">
        <v>23</v>
      </c>
      <c r="N2024">
        <v>5808000</v>
      </c>
      <c r="O2024">
        <v>3</v>
      </c>
      <c r="P2024" t="b">
        <v>0</v>
      </c>
    </row>
    <row r="2025" spans="1:16" x14ac:dyDescent="0.2">
      <c r="A2025" t="s">
        <v>3170</v>
      </c>
      <c r="B2025" s="1">
        <v>44921</v>
      </c>
      <c r="C2025" s="1">
        <v>44977</v>
      </c>
      <c r="D2025" t="s">
        <v>155</v>
      </c>
      <c r="E2025" t="s">
        <v>18</v>
      </c>
      <c r="F2025" t="s">
        <v>34</v>
      </c>
      <c r="G2025" t="s">
        <v>20</v>
      </c>
      <c r="H2025" t="s">
        <v>21</v>
      </c>
      <c r="I2025" t="s">
        <v>60</v>
      </c>
      <c r="J2025">
        <v>3</v>
      </c>
      <c r="K2025">
        <v>4664000</v>
      </c>
      <c r="L2025">
        <v>6.7697411236956398E-2</v>
      </c>
      <c r="M2025" t="s">
        <v>23</v>
      </c>
      <c r="N2025">
        <v>13045000</v>
      </c>
      <c r="O2025">
        <v>4.7</v>
      </c>
      <c r="P2025" t="b">
        <v>1</v>
      </c>
    </row>
    <row r="2026" spans="1:16" x14ac:dyDescent="0.2">
      <c r="A2026" t="s">
        <v>3171</v>
      </c>
      <c r="B2026" s="1">
        <v>44921</v>
      </c>
      <c r="C2026" s="1">
        <v>44948</v>
      </c>
      <c r="D2026" t="s">
        <v>3172</v>
      </c>
      <c r="E2026" t="s">
        <v>18</v>
      </c>
      <c r="F2026" t="s">
        <v>34</v>
      </c>
      <c r="G2026" t="s">
        <v>35</v>
      </c>
      <c r="H2026" t="s">
        <v>21</v>
      </c>
      <c r="I2026" t="s">
        <v>99</v>
      </c>
      <c r="J2026">
        <v>3</v>
      </c>
      <c r="K2026">
        <v>3747000</v>
      </c>
      <c r="L2026" s="2" t="s">
        <v>3173</v>
      </c>
      <c r="M2026" t="s">
        <v>23</v>
      </c>
      <c r="N2026">
        <v>9286000</v>
      </c>
      <c r="O2026">
        <v>5</v>
      </c>
      <c r="P2026" t="b">
        <v>0</v>
      </c>
    </row>
    <row r="2027" spans="1:16" x14ac:dyDescent="0.2">
      <c r="A2027" t="s">
        <v>3174</v>
      </c>
      <c r="B2027" s="1">
        <v>44921</v>
      </c>
      <c r="C2027" s="1">
        <v>44986</v>
      </c>
      <c r="D2027" t="s">
        <v>662</v>
      </c>
      <c r="E2027" t="s">
        <v>18</v>
      </c>
      <c r="F2027" t="s">
        <v>19</v>
      </c>
      <c r="G2027" t="s">
        <v>20</v>
      </c>
      <c r="H2027" t="s">
        <v>21</v>
      </c>
      <c r="I2027" t="s">
        <v>26</v>
      </c>
      <c r="J2027">
        <v>4</v>
      </c>
      <c r="K2027">
        <v>2538000</v>
      </c>
      <c r="L2027" s="2" t="s">
        <v>3175</v>
      </c>
      <c r="M2027" t="s">
        <v>23</v>
      </c>
      <c r="N2027">
        <v>8891000</v>
      </c>
      <c r="O2027">
        <v>3.8</v>
      </c>
      <c r="P2027" t="b">
        <v>1</v>
      </c>
    </row>
    <row r="2028" spans="1:16" x14ac:dyDescent="0.2">
      <c r="A2028" t="s">
        <v>3176</v>
      </c>
      <c r="B2028" s="1">
        <v>44922</v>
      </c>
      <c r="C2028" s="1">
        <v>44982</v>
      </c>
      <c r="D2028" t="s">
        <v>3177</v>
      </c>
      <c r="E2028" t="s">
        <v>18</v>
      </c>
      <c r="F2028" t="s">
        <v>68</v>
      </c>
      <c r="G2028" t="s">
        <v>20</v>
      </c>
      <c r="H2028" t="s">
        <v>21</v>
      </c>
      <c r="I2028" t="s">
        <v>60</v>
      </c>
      <c r="J2028">
        <v>2</v>
      </c>
      <c r="K2028">
        <v>2862000</v>
      </c>
      <c r="L2028">
        <v>8.8972221003247795E-2</v>
      </c>
      <c r="M2028" t="s">
        <v>65</v>
      </c>
      <c r="N2028">
        <v>0</v>
      </c>
      <c r="P2028" t="b">
        <v>0</v>
      </c>
    </row>
    <row r="2029" spans="1:16" x14ac:dyDescent="0.2">
      <c r="A2029" t="s">
        <v>3178</v>
      </c>
      <c r="B2029" s="1">
        <v>44923</v>
      </c>
      <c r="C2029" s="1">
        <v>44982</v>
      </c>
      <c r="D2029" t="s">
        <v>3179</v>
      </c>
      <c r="E2029" t="s">
        <v>18</v>
      </c>
      <c r="F2029" t="s">
        <v>39</v>
      </c>
      <c r="G2029" t="s">
        <v>35</v>
      </c>
      <c r="H2029" t="s">
        <v>21</v>
      </c>
      <c r="I2029" t="s">
        <v>52</v>
      </c>
      <c r="J2029">
        <v>1</v>
      </c>
      <c r="K2029">
        <v>2377000</v>
      </c>
      <c r="L2029">
        <v>7.7766302135571203E-2</v>
      </c>
      <c r="M2029" t="s">
        <v>23</v>
      </c>
      <c r="N2029">
        <v>2192000</v>
      </c>
      <c r="O2029">
        <v>3.7</v>
      </c>
      <c r="P2029" t="b">
        <v>0</v>
      </c>
    </row>
    <row r="2030" spans="1:16" x14ac:dyDescent="0.2">
      <c r="A2030" t="s">
        <v>3180</v>
      </c>
      <c r="B2030" s="1">
        <v>44923</v>
      </c>
      <c r="C2030" s="1">
        <v>44968</v>
      </c>
      <c r="D2030" t="s">
        <v>2469</v>
      </c>
      <c r="E2030" t="s">
        <v>18</v>
      </c>
      <c r="F2030" t="s">
        <v>19</v>
      </c>
      <c r="G2030" t="s">
        <v>50</v>
      </c>
      <c r="H2030" t="s">
        <v>21</v>
      </c>
      <c r="I2030" t="s">
        <v>77</v>
      </c>
      <c r="J2030">
        <v>1</v>
      </c>
      <c r="K2030">
        <v>2761000</v>
      </c>
      <c r="L2030" s="3">
        <v>5.5E-2</v>
      </c>
      <c r="M2030" t="s">
        <v>23</v>
      </c>
      <c r="N2030">
        <v>2609000</v>
      </c>
      <c r="O2030">
        <v>3.7</v>
      </c>
      <c r="P2030" t="b">
        <v>1</v>
      </c>
    </row>
    <row r="2031" spans="1:16" x14ac:dyDescent="0.2">
      <c r="A2031" t="s">
        <v>3181</v>
      </c>
      <c r="B2031" s="1">
        <v>44923</v>
      </c>
      <c r="C2031" s="1">
        <v>45046</v>
      </c>
      <c r="D2031" t="s">
        <v>949</v>
      </c>
      <c r="E2031" t="s">
        <v>45</v>
      </c>
      <c r="F2031" t="s">
        <v>19</v>
      </c>
      <c r="G2031" t="s">
        <v>20</v>
      </c>
      <c r="I2031" t="s">
        <v>26</v>
      </c>
      <c r="J2031">
        <v>3</v>
      </c>
      <c r="K2031">
        <v>2612000</v>
      </c>
      <c r="L2031">
        <v>5.2359440839432198E-2</v>
      </c>
      <c r="M2031" t="s">
        <v>23</v>
      </c>
      <c r="N2031">
        <v>7426000</v>
      </c>
      <c r="O2031">
        <v>4.5999999999999996</v>
      </c>
      <c r="P2031" t="b">
        <v>1</v>
      </c>
    </row>
    <row r="2032" spans="1:16" x14ac:dyDescent="0.2">
      <c r="A2032" t="s">
        <v>3182</v>
      </c>
      <c r="B2032" s="1">
        <v>44924</v>
      </c>
      <c r="C2032" s="1">
        <v>44942</v>
      </c>
      <c r="D2032" t="s">
        <v>2733</v>
      </c>
      <c r="E2032" t="s">
        <v>18</v>
      </c>
      <c r="F2032" t="s">
        <v>45</v>
      </c>
      <c r="G2032" t="s">
        <v>50</v>
      </c>
      <c r="H2032" t="s">
        <v>21</v>
      </c>
      <c r="I2032" t="s">
        <v>94</v>
      </c>
      <c r="J2032">
        <v>1</v>
      </c>
      <c r="K2032">
        <v>3162000</v>
      </c>
      <c r="L2032" s="3">
        <v>0.125</v>
      </c>
      <c r="M2032" t="s">
        <v>23</v>
      </c>
      <c r="N2032">
        <v>2767000</v>
      </c>
      <c r="O2032">
        <v>4.5999999999999996</v>
      </c>
      <c r="P2032" t="b">
        <v>1</v>
      </c>
    </row>
    <row r="2033" spans="1:16" x14ac:dyDescent="0.2">
      <c r="A2033" t="s">
        <v>3183</v>
      </c>
      <c r="B2033" s="1">
        <v>44924</v>
      </c>
      <c r="C2033" s="1">
        <v>44973</v>
      </c>
      <c r="D2033" t="s">
        <v>42</v>
      </c>
      <c r="F2033" t="s">
        <v>19</v>
      </c>
      <c r="G2033" t="s">
        <v>50</v>
      </c>
      <c r="H2033" t="s">
        <v>47</v>
      </c>
      <c r="I2033" t="s">
        <v>57</v>
      </c>
      <c r="J2033">
        <v>3</v>
      </c>
      <c r="K2033">
        <v>3597000</v>
      </c>
      <c r="L2033">
        <v>4.59710304412978E-2</v>
      </c>
      <c r="M2033" t="s">
        <v>23</v>
      </c>
      <c r="N2033">
        <v>10295000</v>
      </c>
      <c r="O2033">
        <v>5</v>
      </c>
      <c r="P2033" t="b">
        <v>1</v>
      </c>
    </row>
    <row r="2034" spans="1:16" x14ac:dyDescent="0.2">
      <c r="A2034" t="s">
        <v>3184</v>
      </c>
      <c r="B2034" s="1">
        <v>44925</v>
      </c>
      <c r="C2034" s="1">
        <v>45022</v>
      </c>
      <c r="D2034" t="s">
        <v>1925</v>
      </c>
      <c r="E2034" t="s">
        <v>18</v>
      </c>
      <c r="F2034" t="s">
        <v>45</v>
      </c>
      <c r="G2034" t="s">
        <v>35</v>
      </c>
      <c r="H2034" t="s">
        <v>21</v>
      </c>
      <c r="I2034" t="s">
        <v>52</v>
      </c>
      <c r="J2034">
        <v>4</v>
      </c>
      <c r="K2034">
        <v>3263000</v>
      </c>
      <c r="L2034">
        <v>8.9186976590982195E-2</v>
      </c>
      <c r="M2034" t="s">
        <v>23</v>
      </c>
      <c r="N2034">
        <v>11888000</v>
      </c>
      <c r="O2034">
        <v>4.4000000000000004</v>
      </c>
      <c r="P2034" t="b">
        <v>1</v>
      </c>
    </row>
    <row r="2035" spans="1:16" x14ac:dyDescent="0.2">
      <c r="A2035" t="s">
        <v>3185</v>
      </c>
      <c r="B2035" s="1">
        <v>44925</v>
      </c>
      <c r="C2035" s="1">
        <v>44968</v>
      </c>
      <c r="D2035" t="s">
        <v>1173</v>
      </c>
      <c r="E2035" t="s">
        <v>18</v>
      </c>
      <c r="F2035" t="s">
        <v>45</v>
      </c>
      <c r="G2035" t="s">
        <v>50</v>
      </c>
      <c r="H2035" t="s">
        <v>21</v>
      </c>
      <c r="I2035" t="s">
        <v>57</v>
      </c>
      <c r="J2035">
        <v>2</v>
      </c>
      <c r="K2035">
        <v>3872000</v>
      </c>
      <c r="L2035" s="2" t="s">
        <v>3186</v>
      </c>
      <c r="M2035" t="s">
        <v>23</v>
      </c>
      <c r="N2035">
        <v>6885000</v>
      </c>
      <c r="O2035">
        <v>4.4000000000000004</v>
      </c>
      <c r="P2035" t="b">
        <v>1</v>
      </c>
    </row>
    <row r="2036" spans="1:16" x14ac:dyDescent="0.2">
      <c r="A2036" t="s">
        <v>3187</v>
      </c>
      <c r="B2036" s="1">
        <v>44925</v>
      </c>
      <c r="C2036" s="1">
        <v>45017</v>
      </c>
      <c r="D2036" t="s">
        <v>294</v>
      </c>
      <c r="E2036" t="s">
        <v>33</v>
      </c>
      <c r="F2036" t="s">
        <v>19</v>
      </c>
      <c r="G2036" t="s">
        <v>20</v>
      </c>
      <c r="H2036" t="s">
        <v>47</v>
      </c>
      <c r="I2036" t="s">
        <v>22</v>
      </c>
      <c r="J2036">
        <v>2</v>
      </c>
      <c r="K2036">
        <v>2230000</v>
      </c>
      <c r="L2036" s="2" t="s">
        <v>3188</v>
      </c>
      <c r="M2036" t="s">
        <v>23</v>
      </c>
      <c r="N2036">
        <v>3895000</v>
      </c>
      <c r="O2036">
        <v>4.2</v>
      </c>
      <c r="P2036" t="b">
        <v>1</v>
      </c>
    </row>
    <row r="2037" spans="1:16" x14ac:dyDescent="0.2">
      <c r="A2037" t="s">
        <v>3189</v>
      </c>
      <c r="B2037" s="1">
        <v>44925</v>
      </c>
      <c r="C2037" s="1">
        <v>44990</v>
      </c>
      <c r="D2037" t="s">
        <v>3190</v>
      </c>
      <c r="E2037" t="s">
        <v>45</v>
      </c>
      <c r="F2037" t="s">
        <v>45</v>
      </c>
      <c r="G2037" t="s">
        <v>20</v>
      </c>
      <c r="H2037" t="s">
        <v>21</v>
      </c>
      <c r="I2037" t="s">
        <v>83</v>
      </c>
      <c r="J2037">
        <v>2</v>
      </c>
      <c r="K2037">
        <v>2614000</v>
      </c>
      <c r="L2037" s="2" t="s">
        <v>3191</v>
      </c>
      <c r="M2037" t="s">
        <v>23</v>
      </c>
      <c r="N2037">
        <v>4945000</v>
      </c>
      <c r="O2037">
        <v>3.6</v>
      </c>
      <c r="P2037" t="b">
        <v>0</v>
      </c>
    </row>
    <row r="2038" spans="1:16" x14ac:dyDescent="0.2">
      <c r="A2038" t="s">
        <v>3192</v>
      </c>
      <c r="B2038" s="1">
        <v>44926</v>
      </c>
      <c r="C2038" s="1">
        <v>44977</v>
      </c>
      <c r="D2038" t="s">
        <v>216</v>
      </c>
      <c r="E2038" t="s">
        <v>45</v>
      </c>
      <c r="F2038" t="s">
        <v>68</v>
      </c>
      <c r="G2038" t="s">
        <v>35</v>
      </c>
      <c r="H2038" t="s">
        <v>21</v>
      </c>
      <c r="I2038" t="s">
        <v>99</v>
      </c>
      <c r="J2038">
        <v>3</v>
      </c>
      <c r="K2038">
        <v>2870000</v>
      </c>
      <c r="L2038" s="2" t="s">
        <v>3193</v>
      </c>
      <c r="M2038" t="s">
        <v>23</v>
      </c>
      <c r="N2038">
        <v>7433000</v>
      </c>
      <c r="O2038">
        <v>4.3</v>
      </c>
      <c r="P2038" t="b">
        <v>1</v>
      </c>
    </row>
    <row r="2039" spans="1:16" x14ac:dyDescent="0.2">
      <c r="A2039" t="s">
        <v>3194</v>
      </c>
      <c r="B2039" s="1">
        <v>44927</v>
      </c>
      <c r="C2039" s="1">
        <v>44997</v>
      </c>
      <c r="D2039" t="s">
        <v>3195</v>
      </c>
      <c r="E2039" t="s">
        <v>29</v>
      </c>
      <c r="F2039" t="s">
        <v>25</v>
      </c>
      <c r="G2039" t="s">
        <v>20</v>
      </c>
      <c r="H2039" t="s">
        <v>47</v>
      </c>
      <c r="I2039" t="s">
        <v>83</v>
      </c>
      <c r="J2039">
        <v>3</v>
      </c>
      <c r="K2039">
        <v>4485000</v>
      </c>
      <c r="L2039" s="2" t="s">
        <v>3196</v>
      </c>
      <c r="M2039" t="s">
        <v>23</v>
      </c>
      <c r="N2039">
        <v>11867000</v>
      </c>
      <c r="O2039">
        <v>4.2</v>
      </c>
      <c r="P2039" t="b">
        <v>0</v>
      </c>
    </row>
    <row r="2040" spans="1:16" x14ac:dyDescent="0.2">
      <c r="A2040" t="s">
        <v>3197</v>
      </c>
      <c r="B2040" s="1">
        <v>44927</v>
      </c>
      <c r="C2040" s="1">
        <v>44962</v>
      </c>
      <c r="D2040" t="s">
        <v>149</v>
      </c>
      <c r="E2040" t="s">
        <v>45</v>
      </c>
      <c r="F2040" t="s">
        <v>19</v>
      </c>
      <c r="G2040" t="s">
        <v>20</v>
      </c>
      <c r="H2040" t="s">
        <v>21</v>
      </c>
      <c r="I2040" t="s">
        <v>52</v>
      </c>
      <c r="J2040">
        <v>4</v>
      </c>
      <c r="K2040">
        <v>2757000</v>
      </c>
      <c r="L2040" s="2" t="s">
        <v>3198</v>
      </c>
      <c r="M2040" t="s">
        <v>23</v>
      </c>
      <c r="N2040">
        <v>9854000</v>
      </c>
      <c r="O2040">
        <v>4.0999999999999996</v>
      </c>
      <c r="P2040" t="b">
        <v>1</v>
      </c>
    </row>
    <row r="2041" spans="1:16" x14ac:dyDescent="0.2">
      <c r="A2041" t="s">
        <v>3199</v>
      </c>
      <c r="B2041" s="1">
        <v>44928</v>
      </c>
      <c r="C2041" s="1">
        <v>45018</v>
      </c>
      <c r="D2041" t="s">
        <v>2550</v>
      </c>
      <c r="E2041" t="s">
        <v>18</v>
      </c>
      <c r="F2041" t="s">
        <v>34</v>
      </c>
      <c r="G2041" t="s">
        <v>20</v>
      </c>
      <c r="H2041" t="s">
        <v>21</v>
      </c>
      <c r="I2041" t="s">
        <v>52</v>
      </c>
      <c r="J2041">
        <v>1</v>
      </c>
      <c r="K2041">
        <v>3211000</v>
      </c>
      <c r="L2041">
        <v>4.5031291923686198E-2</v>
      </c>
      <c r="M2041" t="s">
        <v>23</v>
      </c>
      <c r="N2041">
        <v>3066000</v>
      </c>
      <c r="O2041">
        <v>4.3</v>
      </c>
      <c r="P2041" t="b">
        <v>1</v>
      </c>
    </row>
    <row r="2042" spans="1:16" x14ac:dyDescent="0.2">
      <c r="A2042" t="s">
        <v>3200</v>
      </c>
      <c r="B2042" s="1">
        <v>44929</v>
      </c>
      <c r="C2042" s="1">
        <v>44949</v>
      </c>
      <c r="D2042" t="s">
        <v>3201</v>
      </c>
      <c r="E2042" t="s">
        <v>29</v>
      </c>
      <c r="F2042" t="s">
        <v>34</v>
      </c>
      <c r="G2042" t="s">
        <v>35</v>
      </c>
      <c r="H2042" t="s">
        <v>21</v>
      </c>
      <c r="I2042" t="s">
        <v>83</v>
      </c>
      <c r="J2042">
        <v>1</v>
      </c>
      <c r="K2042">
        <v>3809000</v>
      </c>
      <c r="L2042" s="2" t="s">
        <v>3202</v>
      </c>
      <c r="M2042" t="s">
        <v>23</v>
      </c>
      <c r="N2042">
        <v>3291000</v>
      </c>
      <c r="O2042">
        <v>4.8</v>
      </c>
      <c r="P2042" t="b">
        <v>0</v>
      </c>
    </row>
    <row r="2043" spans="1:16" x14ac:dyDescent="0.2">
      <c r="A2043" t="s">
        <v>3203</v>
      </c>
      <c r="B2043" s="1">
        <v>44929</v>
      </c>
      <c r="C2043" s="1">
        <v>44969</v>
      </c>
      <c r="D2043" t="s">
        <v>2177</v>
      </c>
      <c r="E2043" t="s">
        <v>18</v>
      </c>
      <c r="F2043" t="s">
        <v>68</v>
      </c>
      <c r="G2043" t="s">
        <v>35</v>
      </c>
      <c r="H2043" t="s">
        <v>21</v>
      </c>
      <c r="I2043" t="s">
        <v>22</v>
      </c>
      <c r="J2043">
        <v>1</v>
      </c>
      <c r="K2043">
        <v>2847000</v>
      </c>
      <c r="L2043" s="2" t="s">
        <v>3204</v>
      </c>
      <c r="M2043" t="s">
        <v>23</v>
      </c>
      <c r="N2043">
        <v>2518000</v>
      </c>
      <c r="O2043">
        <v>3.3</v>
      </c>
      <c r="P2043" t="b">
        <v>1</v>
      </c>
    </row>
    <row r="2044" spans="1:16" x14ac:dyDescent="0.2">
      <c r="A2044" t="s">
        <v>3205</v>
      </c>
      <c r="B2044" s="1">
        <v>44929</v>
      </c>
      <c r="C2044" s="1">
        <v>44938</v>
      </c>
      <c r="D2044" t="s">
        <v>1087</v>
      </c>
      <c r="E2044" t="s">
        <v>45</v>
      </c>
      <c r="F2044" t="s">
        <v>19</v>
      </c>
      <c r="G2044" t="s">
        <v>20</v>
      </c>
      <c r="H2044" t="s">
        <v>21</v>
      </c>
      <c r="J2044">
        <v>5</v>
      </c>
      <c r="K2044">
        <v>2591000</v>
      </c>
      <c r="L2044">
        <v>6.6898485525669599E-2</v>
      </c>
      <c r="M2044" t="s">
        <v>23</v>
      </c>
      <c r="N2044">
        <v>12088000</v>
      </c>
      <c r="O2044">
        <v>4.2</v>
      </c>
      <c r="P2044" t="b">
        <v>1</v>
      </c>
    </row>
    <row r="2045" spans="1:16" x14ac:dyDescent="0.2">
      <c r="A2045" t="s">
        <v>3206</v>
      </c>
      <c r="B2045" s="1">
        <v>44930</v>
      </c>
      <c r="C2045" s="1">
        <v>45002</v>
      </c>
      <c r="D2045" t="s">
        <v>3207</v>
      </c>
      <c r="E2045" t="s">
        <v>18</v>
      </c>
      <c r="F2045" t="s">
        <v>25</v>
      </c>
      <c r="G2045" t="s">
        <v>35</v>
      </c>
      <c r="H2045" t="s">
        <v>47</v>
      </c>
      <c r="I2045" t="s">
        <v>57</v>
      </c>
      <c r="J2045">
        <v>1</v>
      </c>
      <c r="K2045">
        <v>4321000</v>
      </c>
      <c r="L2045" s="2" t="s">
        <v>3208</v>
      </c>
      <c r="M2045" t="s">
        <v>23</v>
      </c>
      <c r="N2045">
        <v>3551000</v>
      </c>
      <c r="O2045">
        <v>3.9</v>
      </c>
      <c r="P2045" t="b">
        <v>0</v>
      </c>
    </row>
    <row r="2046" spans="1:16" x14ac:dyDescent="0.2">
      <c r="A2046" t="s">
        <v>3209</v>
      </c>
      <c r="B2046" s="1">
        <v>44930</v>
      </c>
      <c r="C2046" s="1">
        <v>44984</v>
      </c>
      <c r="D2046" t="s">
        <v>343</v>
      </c>
      <c r="E2046" t="s">
        <v>29</v>
      </c>
      <c r="F2046" t="s">
        <v>25</v>
      </c>
      <c r="G2046" t="s">
        <v>46</v>
      </c>
      <c r="H2046" t="s">
        <v>47</v>
      </c>
      <c r="I2046" t="s">
        <v>26</v>
      </c>
      <c r="J2046">
        <v>3</v>
      </c>
      <c r="K2046">
        <v>5893000</v>
      </c>
      <c r="L2046" s="2" t="s">
        <v>3210</v>
      </c>
      <c r="M2046" t="s">
        <v>23</v>
      </c>
      <c r="N2046">
        <v>15246000</v>
      </c>
      <c r="O2046">
        <v>3.9</v>
      </c>
      <c r="P2046" t="b">
        <v>1</v>
      </c>
    </row>
    <row r="2047" spans="1:16" x14ac:dyDescent="0.2">
      <c r="A2047" t="s">
        <v>3211</v>
      </c>
      <c r="B2047" s="1">
        <v>44930</v>
      </c>
      <c r="C2047" s="1">
        <v>44980</v>
      </c>
      <c r="D2047" t="s">
        <v>91</v>
      </c>
      <c r="E2047" t="s">
        <v>18</v>
      </c>
      <c r="F2047" t="s">
        <v>34</v>
      </c>
      <c r="G2047" t="s">
        <v>20</v>
      </c>
      <c r="H2047" t="s">
        <v>51</v>
      </c>
      <c r="I2047" t="s">
        <v>94</v>
      </c>
      <c r="J2047">
        <v>3</v>
      </c>
      <c r="K2047">
        <v>4691000</v>
      </c>
      <c r="L2047" s="2" t="s">
        <v>3212</v>
      </c>
      <c r="M2047" t="s">
        <v>23</v>
      </c>
      <c r="N2047">
        <v>13416000</v>
      </c>
      <c r="O2047">
        <v>3.9</v>
      </c>
      <c r="P2047" t="b">
        <v>1</v>
      </c>
    </row>
    <row r="2048" spans="1:16" x14ac:dyDescent="0.2">
      <c r="A2048" t="s">
        <v>3213</v>
      </c>
      <c r="B2048" s="1">
        <v>45047</v>
      </c>
      <c r="C2048" s="1">
        <v>44947</v>
      </c>
      <c r="D2048" t="s">
        <v>3214</v>
      </c>
      <c r="E2048" t="s">
        <v>18</v>
      </c>
      <c r="F2048" t="s">
        <v>19</v>
      </c>
      <c r="G2048" t="s">
        <v>20</v>
      </c>
      <c r="H2048" t="s">
        <v>21</v>
      </c>
      <c r="I2048" t="s">
        <v>99</v>
      </c>
      <c r="J2048">
        <v>2</v>
      </c>
      <c r="K2048">
        <v>2332000</v>
      </c>
      <c r="L2048" s="2" t="s">
        <v>3215</v>
      </c>
      <c r="M2048" t="s">
        <v>65</v>
      </c>
      <c r="N2048">
        <v>0</v>
      </c>
      <c r="P2048" t="b">
        <v>0</v>
      </c>
    </row>
    <row r="2049" spans="1:16" x14ac:dyDescent="0.2">
      <c r="A2049" t="s">
        <v>3216</v>
      </c>
      <c r="B2049" s="1">
        <v>44931</v>
      </c>
      <c r="C2049" s="1">
        <v>44936</v>
      </c>
      <c r="D2049" t="s">
        <v>2219</v>
      </c>
      <c r="E2049" t="s">
        <v>18</v>
      </c>
      <c r="F2049" t="s">
        <v>34</v>
      </c>
      <c r="G2049" t="s">
        <v>35</v>
      </c>
      <c r="H2049" t="s">
        <v>21</v>
      </c>
      <c r="I2049" t="s">
        <v>60</v>
      </c>
      <c r="J2049">
        <v>1</v>
      </c>
      <c r="K2049">
        <v>4361000</v>
      </c>
      <c r="L2049" s="2" t="s">
        <v>3217</v>
      </c>
      <c r="M2049" t="s">
        <v>23</v>
      </c>
      <c r="N2049">
        <v>3904000</v>
      </c>
      <c r="O2049">
        <v>3.9</v>
      </c>
      <c r="P2049" t="b">
        <v>1</v>
      </c>
    </row>
    <row r="2050" spans="1:16" x14ac:dyDescent="0.2">
      <c r="A2050" t="s">
        <v>3218</v>
      </c>
      <c r="B2050" s="1">
        <v>44931</v>
      </c>
      <c r="C2050" s="1">
        <v>44962</v>
      </c>
      <c r="D2050" t="s">
        <v>3219</v>
      </c>
      <c r="E2050" t="s">
        <v>45</v>
      </c>
      <c r="F2050" t="s">
        <v>68</v>
      </c>
      <c r="G2050" t="s">
        <v>50</v>
      </c>
      <c r="H2050" t="s">
        <v>47</v>
      </c>
      <c r="I2050" t="s">
        <v>83</v>
      </c>
      <c r="J2050">
        <v>2</v>
      </c>
      <c r="K2050">
        <v>2003000</v>
      </c>
      <c r="L2050" s="3">
        <v>0.104</v>
      </c>
      <c r="M2050" t="s">
        <v>23</v>
      </c>
      <c r="N2050">
        <v>3589000</v>
      </c>
      <c r="O2050">
        <v>3.6</v>
      </c>
      <c r="P2050" t="b">
        <v>0</v>
      </c>
    </row>
    <row r="2051" spans="1:16" x14ac:dyDescent="0.2">
      <c r="A2051" t="s">
        <v>3220</v>
      </c>
      <c r="B2051" s="1">
        <v>44931</v>
      </c>
      <c r="C2051" s="1">
        <v>44956</v>
      </c>
      <c r="D2051" t="s">
        <v>54</v>
      </c>
      <c r="E2051" t="s">
        <v>45</v>
      </c>
      <c r="F2051" t="s">
        <v>45</v>
      </c>
      <c r="G2051" t="s">
        <v>20</v>
      </c>
      <c r="H2051" t="s">
        <v>21</v>
      </c>
      <c r="I2051" t="s">
        <v>94</v>
      </c>
      <c r="J2051">
        <v>2</v>
      </c>
      <c r="K2051">
        <v>3156000</v>
      </c>
      <c r="L2051" s="2" t="s">
        <v>3221</v>
      </c>
      <c r="M2051" t="s">
        <v>1673</v>
      </c>
      <c r="N2051">
        <v>5447000</v>
      </c>
      <c r="O2051">
        <v>3.9</v>
      </c>
      <c r="P2051" t="b">
        <v>1</v>
      </c>
    </row>
    <row r="2052" spans="1:16" x14ac:dyDescent="0.2">
      <c r="A2052" t="s">
        <v>3222</v>
      </c>
      <c r="B2052" s="1">
        <v>44932</v>
      </c>
      <c r="C2052" s="1">
        <v>44979</v>
      </c>
      <c r="D2052" t="s">
        <v>3223</v>
      </c>
      <c r="E2052" t="s">
        <v>33</v>
      </c>
      <c r="F2052" t="s">
        <v>45</v>
      </c>
      <c r="G2052" t="s">
        <v>20</v>
      </c>
      <c r="H2052" t="s">
        <v>21</v>
      </c>
      <c r="I2052" t="s">
        <v>60</v>
      </c>
      <c r="J2052">
        <v>4</v>
      </c>
      <c r="K2052">
        <v>3737000</v>
      </c>
      <c r="L2052">
        <v>6.2891029113189598E-2</v>
      </c>
      <c r="M2052" t="s">
        <v>23</v>
      </c>
      <c r="N2052">
        <v>14008000</v>
      </c>
      <c r="O2052">
        <v>4.0999999999999996</v>
      </c>
      <c r="P2052" t="b">
        <v>0</v>
      </c>
    </row>
    <row r="2053" spans="1:16" x14ac:dyDescent="0.2">
      <c r="A2053" t="s">
        <v>3224</v>
      </c>
      <c r="B2053" s="1">
        <v>44932</v>
      </c>
      <c r="C2053" s="1">
        <v>44967</v>
      </c>
      <c r="D2053" t="s">
        <v>70</v>
      </c>
      <c r="E2053" t="s">
        <v>18</v>
      </c>
      <c r="F2053" t="s">
        <v>68</v>
      </c>
      <c r="G2053" t="s">
        <v>50</v>
      </c>
      <c r="H2053" t="s">
        <v>21</v>
      </c>
      <c r="I2053" t="s">
        <v>77</v>
      </c>
      <c r="J2053">
        <v>5</v>
      </c>
      <c r="K2053">
        <v>2708000</v>
      </c>
      <c r="L2053">
        <v>8.2421259552631701E-2</v>
      </c>
      <c r="M2053" t="s">
        <v>23</v>
      </c>
      <c r="N2053">
        <v>12424000</v>
      </c>
      <c r="O2053">
        <v>4.2</v>
      </c>
      <c r="P2053" t="b">
        <v>1</v>
      </c>
    </row>
    <row r="2054" spans="1:16" x14ac:dyDescent="0.2">
      <c r="A2054" t="s">
        <v>3225</v>
      </c>
      <c r="B2054" s="1">
        <v>44932</v>
      </c>
      <c r="C2054" s="1">
        <v>44964</v>
      </c>
      <c r="D2054" t="s">
        <v>3226</v>
      </c>
      <c r="F2054" t="s">
        <v>68</v>
      </c>
      <c r="G2054" t="s">
        <v>20</v>
      </c>
      <c r="H2054" t="s">
        <v>21</v>
      </c>
      <c r="I2054" t="s">
        <v>57</v>
      </c>
      <c r="J2054">
        <v>3</v>
      </c>
      <c r="K2054">
        <v>2952000</v>
      </c>
      <c r="L2054" s="2" t="s">
        <v>3227</v>
      </c>
      <c r="M2054" t="s">
        <v>23</v>
      </c>
      <c r="N2054">
        <v>7914000</v>
      </c>
      <c r="O2054">
        <v>4.0999999999999996</v>
      </c>
      <c r="P2054" t="b">
        <v>0</v>
      </c>
    </row>
    <row r="2055" spans="1:16" x14ac:dyDescent="0.2">
      <c r="A2055" t="s">
        <v>3228</v>
      </c>
      <c r="B2055" s="1">
        <v>44932</v>
      </c>
      <c r="C2055" s="1">
        <v>44949</v>
      </c>
      <c r="D2055" t="s">
        <v>862</v>
      </c>
      <c r="E2055" t="s">
        <v>45</v>
      </c>
      <c r="F2055" t="s">
        <v>45</v>
      </c>
      <c r="G2055" t="s">
        <v>20</v>
      </c>
      <c r="H2055" t="s">
        <v>21</v>
      </c>
      <c r="I2055" t="s">
        <v>22</v>
      </c>
      <c r="J2055">
        <v>1</v>
      </c>
      <c r="K2055">
        <v>2975000</v>
      </c>
      <c r="L2055" s="2" t="s">
        <v>3229</v>
      </c>
      <c r="M2055" t="s">
        <v>23</v>
      </c>
      <c r="N2055">
        <v>2569000</v>
      </c>
      <c r="O2055">
        <v>3.7</v>
      </c>
      <c r="P2055" t="b">
        <v>1</v>
      </c>
    </row>
    <row r="2056" spans="1:16" x14ac:dyDescent="0.2">
      <c r="A2056" t="s">
        <v>3230</v>
      </c>
      <c r="B2056" s="1">
        <v>44932</v>
      </c>
      <c r="C2056" s="1">
        <v>44941</v>
      </c>
      <c r="D2056" t="s">
        <v>1346</v>
      </c>
      <c r="E2056" t="s">
        <v>29</v>
      </c>
      <c r="F2056" t="s">
        <v>19</v>
      </c>
      <c r="G2056" t="s">
        <v>20</v>
      </c>
      <c r="H2056" t="s">
        <v>40</v>
      </c>
      <c r="I2056" t="s">
        <v>52</v>
      </c>
      <c r="J2056">
        <v>2</v>
      </c>
      <c r="K2056">
        <v>2458000</v>
      </c>
      <c r="L2056" s="2" t="s">
        <v>3231</v>
      </c>
      <c r="M2056" t="s">
        <v>23</v>
      </c>
      <c r="N2056">
        <v>4243000</v>
      </c>
      <c r="O2056">
        <v>4.4000000000000004</v>
      </c>
      <c r="P2056" t="b">
        <v>1</v>
      </c>
    </row>
    <row r="2057" spans="1:16" x14ac:dyDescent="0.2">
      <c r="A2057" t="s">
        <v>3232</v>
      </c>
      <c r="B2057" s="1">
        <v>44933</v>
      </c>
      <c r="C2057" s="1">
        <v>44995</v>
      </c>
      <c r="D2057" t="s">
        <v>3233</v>
      </c>
      <c r="E2057" t="s">
        <v>45</v>
      </c>
      <c r="F2057" t="s">
        <v>19</v>
      </c>
      <c r="G2057" t="s">
        <v>50</v>
      </c>
      <c r="I2057" t="s">
        <v>60</v>
      </c>
      <c r="J2057">
        <v>4</v>
      </c>
      <c r="K2057">
        <v>2526000</v>
      </c>
      <c r="L2057">
        <v>7.7206323140794897E-2</v>
      </c>
      <c r="M2057" t="s">
        <v>23</v>
      </c>
      <c r="N2057">
        <v>9324000</v>
      </c>
      <c r="O2057">
        <v>4.5</v>
      </c>
      <c r="P2057" t="b">
        <v>0</v>
      </c>
    </row>
    <row r="2058" spans="1:16" x14ac:dyDescent="0.2">
      <c r="A2058" t="s">
        <v>3234</v>
      </c>
      <c r="B2058" s="1">
        <v>44934</v>
      </c>
      <c r="C2058" s="1">
        <v>45011</v>
      </c>
      <c r="D2058" t="s">
        <v>3235</v>
      </c>
      <c r="E2058" t="s">
        <v>45</v>
      </c>
      <c r="F2058" t="s">
        <v>34</v>
      </c>
      <c r="G2058" t="s">
        <v>20</v>
      </c>
      <c r="H2058" t="s">
        <v>21</v>
      </c>
      <c r="I2058" t="s">
        <v>52</v>
      </c>
      <c r="J2058">
        <v>3</v>
      </c>
      <c r="K2058">
        <v>3274000</v>
      </c>
      <c r="L2058">
        <v>0</v>
      </c>
      <c r="M2058" t="s">
        <v>23</v>
      </c>
      <c r="N2058">
        <v>9822000</v>
      </c>
      <c r="O2058">
        <v>4.3</v>
      </c>
      <c r="P2058" t="b">
        <v>0</v>
      </c>
    </row>
    <row r="2059" spans="1:16" x14ac:dyDescent="0.2">
      <c r="A2059" t="s">
        <v>3236</v>
      </c>
      <c r="B2059" s="1">
        <v>44934</v>
      </c>
      <c r="C2059" s="1">
        <v>44969</v>
      </c>
      <c r="D2059" t="s">
        <v>404</v>
      </c>
      <c r="E2059" t="s">
        <v>29</v>
      </c>
      <c r="F2059" t="s">
        <v>19</v>
      </c>
      <c r="G2059" t="s">
        <v>20</v>
      </c>
      <c r="H2059" t="s">
        <v>47</v>
      </c>
      <c r="I2059" t="s">
        <v>26</v>
      </c>
      <c r="J2059">
        <v>4</v>
      </c>
      <c r="K2059">
        <v>2743000</v>
      </c>
      <c r="L2059">
        <v>6.1929750867765802E-2</v>
      </c>
      <c r="M2059" t="s">
        <v>23</v>
      </c>
      <c r="N2059">
        <v>10293000</v>
      </c>
      <c r="O2059">
        <v>4.3</v>
      </c>
      <c r="P2059" t="b">
        <v>1</v>
      </c>
    </row>
    <row r="2060" spans="1:16" x14ac:dyDescent="0.2">
      <c r="A2060" t="s">
        <v>3237</v>
      </c>
      <c r="B2060" s="1">
        <v>44935</v>
      </c>
      <c r="C2060" s="1">
        <v>45019</v>
      </c>
      <c r="D2060" t="s">
        <v>3238</v>
      </c>
      <c r="E2060" t="s">
        <v>18</v>
      </c>
      <c r="F2060" t="s">
        <v>45</v>
      </c>
      <c r="G2060" t="s">
        <v>50</v>
      </c>
      <c r="H2060" t="s">
        <v>21</v>
      </c>
      <c r="I2060" t="s">
        <v>83</v>
      </c>
      <c r="J2060">
        <v>5</v>
      </c>
      <c r="K2060">
        <v>2665000</v>
      </c>
      <c r="L2060" s="2" t="s">
        <v>3239</v>
      </c>
      <c r="M2060" t="s">
        <v>23</v>
      </c>
      <c r="N2060">
        <v>11319000</v>
      </c>
      <c r="O2060">
        <v>4.5</v>
      </c>
      <c r="P2060" t="b">
        <v>0</v>
      </c>
    </row>
    <row r="2061" spans="1:16" x14ac:dyDescent="0.2">
      <c r="A2061" t="s">
        <v>3240</v>
      </c>
      <c r="B2061" s="1">
        <v>44935</v>
      </c>
      <c r="C2061" s="1">
        <v>44935</v>
      </c>
      <c r="D2061" t="s">
        <v>880</v>
      </c>
      <c r="E2061" t="s">
        <v>33</v>
      </c>
      <c r="F2061" t="s">
        <v>39</v>
      </c>
      <c r="G2061" t="s">
        <v>35</v>
      </c>
      <c r="H2061" t="s">
        <v>21</v>
      </c>
      <c r="I2061" t="s">
        <v>1654</v>
      </c>
      <c r="J2061">
        <v>1</v>
      </c>
      <c r="K2061">
        <v>2104000</v>
      </c>
      <c r="L2061">
        <v>4.3932925590490599E-2</v>
      </c>
      <c r="M2061" t="s">
        <v>23</v>
      </c>
      <c r="N2061">
        <v>2012000</v>
      </c>
      <c r="O2061">
        <v>5</v>
      </c>
      <c r="P2061" t="b">
        <v>1</v>
      </c>
    </row>
    <row r="2062" spans="1:16" x14ac:dyDescent="0.2">
      <c r="A2062" t="s">
        <v>3241</v>
      </c>
      <c r="B2062" s="1">
        <v>44936</v>
      </c>
      <c r="C2062" s="1">
        <v>44962</v>
      </c>
      <c r="D2062" t="s">
        <v>3242</v>
      </c>
      <c r="E2062" t="s">
        <v>29</v>
      </c>
      <c r="F2062" t="s">
        <v>34</v>
      </c>
      <c r="G2062" t="s">
        <v>20</v>
      </c>
      <c r="H2062" t="s">
        <v>47</v>
      </c>
      <c r="I2062" t="s">
        <v>83</v>
      </c>
      <c r="J2062">
        <v>1</v>
      </c>
      <c r="K2062">
        <v>4142000</v>
      </c>
      <c r="L2062">
        <v>9.7637759056094897E-2</v>
      </c>
      <c r="M2062" t="s">
        <v>23</v>
      </c>
      <c r="N2062">
        <v>3738000</v>
      </c>
      <c r="O2062">
        <v>3.5</v>
      </c>
      <c r="P2062" t="b">
        <v>0</v>
      </c>
    </row>
    <row r="2063" spans="1:16" x14ac:dyDescent="0.2">
      <c r="A2063" t="s">
        <v>3243</v>
      </c>
      <c r="B2063" s="1">
        <v>44936</v>
      </c>
      <c r="C2063" s="1">
        <v>45004</v>
      </c>
      <c r="D2063" t="s">
        <v>382</v>
      </c>
      <c r="E2063" t="s">
        <v>18</v>
      </c>
      <c r="F2063" t="s">
        <v>19</v>
      </c>
      <c r="G2063" t="s">
        <v>20</v>
      </c>
      <c r="H2063" t="s">
        <v>51</v>
      </c>
      <c r="I2063" t="s">
        <v>57</v>
      </c>
      <c r="J2063">
        <v>2</v>
      </c>
      <c r="K2063">
        <v>3156000</v>
      </c>
      <c r="L2063" s="2" t="s">
        <v>3244</v>
      </c>
      <c r="M2063" t="s">
        <v>23</v>
      </c>
      <c r="N2063">
        <v>5544000</v>
      </c>
      <c r="O2063">
        <v>3.8</v>
      </c>
      <c r="P2063" t="b">
        <v>1</v>
      </c>
    </row>
    <row r="2064" spans="1:16" x14ac:dyDescent="0.2">
      <c r="A2064" t="s">
        <v>3245</v>
      </c>
      <c r="B2064" s="1">
        <v>44939</v>
      </c>
      <c r="C2064" s="1">
        <v>44982</v>
      </c>
      <c r="D2064" t="s">
        <v>3246</v>
      </c>
      <c r="E2064" t="s">
        <v>45</v>
      </c>
      <c r="F2064" t="s">
        <v>19</v>
      </c>
      <c r="G2064" t="s">
        <v>20</v>
      </c>
      <c r="H2064" t="s">
        <v>51</v>
      </c>
      <c r="I2064" t="s">
        <v>94</v>
      </c>
      <c r="J2064">
        <v>5</v>
      </c>
      <c r="K2064">
        <v>2781000</v>
      </c>
      <c r="L2064" s="2" t="s">
        <v>3247</v>
      </c>
      <c r="M2064" t="s">
        <v>23</v>
      </c>
      <c r="N2064">
        <v>12448000</v>
      </c>
      <c r="O2064">
        <v>5</v>
      </c>
      <c r="P2064" t="b">
        <v>0</v>
      </c>
    </row>
    <row r="2065" spans="1:16" x14ac:dyDescent="0.2">
      <c r="A2065" t="s">
        <v>3248</v>
      </c>
      <c r="B2065" s="1">
        <v>44939</v>
      </c>
      <c r="C2065" s="1">
        <v>44991</v>
      </c>
      <c r="D2065" t="s">
        <v>3249</v>
      </c>
      <c r="E2065" t="s">
        <v>45</v>
      </c>
      <c r="F2065" t="s">
        <v>34</v>
      </c>
      <c r="G2065" t="s">
        <v>20</v>
      </c>
      <c r="H2065" t="s">
        <v>40</v>
      </c>
      <c r="I2065" t="s">
        <v>1654</v>
      </c>
      <c r="J2065">
        <v>2</v>
      </c>
      <c r="K2065">
        <v>3382000</v>
      </c>
      <c r="L2065" s="2" t="s">
        <v>3250</v>
      </c>
      <c r="M2065" t="s">
        <v>65</v>
      </c>
      <c r="N2065">
        <v>0</v>
      </c>
      <c r="P2065" t="b">
        <v>0</v>
      </c>
    </row>
    <row r="2066" spans="1:16" x14ac:dyDescent="0.2">
      <c r="A2066" t="s">
        <v>3251</v>
      </c>
      <c r="B2066" s="1">
        <v>44939</v>
      </c>
      <c r="C2066" s="1">
        <v>45011</v>
      </c>
      <c r="D2066" t="s">
        <v>873</v>
      </c>
      <c r="E2066" t="s">
        <v>18</v>
      </c>
      <c r="F2066" t="s">
        <v>34</v>
      </c>
      <c r="G2066" t="s">
        <v>50</v>
      </c>
      <c r="H2066" t="s">
        <v>21</v>
      </c>
      <c r="I2066" t="s">
        <v>52</v>
      </c>
      <c r="J2066">
        <v>1</v>
      </c>
      <c r="K2066">
        <v>3162000</v>
      </c>
      <c r="L2066" s="2" t="s">
        <v>3252</v>
      </c>
      <c r="M2066" t="s">
        <v>65</v>
      </c>
      <c r="N2066">
        <v>0</v>
      </c>
      <c r="P2066" t="b">
        <v>1</v>
      </c>
    </row>
    <row r="2067" spans="1:16" x14ac:dyDescent="0.2">
      <c r="A2067" t="s">
        <v>3253</v>
      </c>
      <c r="B2067" s="1">
        <v>44940</v>
      </c>
      <c r="C2067" s="1">
        <v>44995</v>
      </c>
      <c r="D2067" t="s">
        <v>3254</v>
      </c>
      <c r="E2067" t="s">
        <v>29</v>
      </c>
      <c r="F2067" t="s">
        <v>39</v>
      </c>
      <c r="H2067" t="s">
        <v>21</v>
      </c>
      <c r="I2067" t="s">
        <v>57</v>
      </c>
      <c r="J2067">
        <v>2</v>
      </c>
      <c r="K2067">
        <v>2549000</v>
      </c>
      <c r="L2067">
        <v>9.4354997109397695E-2</v>
      </c>
      <c r="M2067" t="s">
        <v>23</v>
      </c>
      <c r="N2067">
        <v>4617000</v>
      </c>
      <c r="O2067">
        <v>3.8</v>
      </c>
      <c r="P2067" t="b">
        <v>0</v>
      </c>
    </row>
    <row r="2068" spans="1:16" x14ac:dyDescent="0.2">
      <c r="A2068" t="s">
        <v>3255</v>
      </c>
      <c r="B2068" s="1">
        <v>44940</v>
      </c>
      <c r="C2068" s="1">
        <v>44984</v>
      </c>
      <c r="D2068" t="s">
        <v>2187</v>
      </c>
      <c r="E2068" t="s">
        <v>45</v>
      </c>
      <c r="F2068" t="s">
        <v>34</v>
      </c>
      <c r="G2068" t="s">
        <v>20</v>
      </c>
      <c r="H2068" t="s">
        <v>40</v>
      </c>
      <c r="I2068" t="s">
        <v>99</v>
      </c>
      <c r="J2068">
        <v>1</v>
      </c>
      <c r="K2068">
        <v>4078000</v>
      </c>
      <c r="L2068">
        <v>5.0026995018711599E-2</v>
      </c>
      <c r="M2068" t="s">
        <v>23</v>
      </c>
      <c r="N2068">
        <v>3874000</v>
      </c>
      <c r="O2068">
        <v>4.0999999999999996</v>
      </c>
      <c r="P2068" t="b">
        <v>1</v>
      </c>
    </row>
    <row r="2069" spans="1:16" x14ac:dyDescent="0.2">
      <c r="A2069" t="s">
        <v>3256</v>
      </c>
      <c r="B2069" s="1">
        <v>44941</v>
      </c>
      <c r="C2069" s="1">
        <v>45002</v>
      </c>
      <c r="D2069" t="s">
        <v>2337</v>
      </c>
      <c r="E2069" t="s">
        <v>18</v>
      </c>
      <c r="F2069" t="s">
        <v>68</v>
      </c>
      <c r="G2069" t="s">
        <v>20</v>
      </c>
      <c r="H2069" t="s">
        <v>47</v>
      </c>
      <c r="I2069" t="s">
        <v>99</v>
      </c>
      <c r="J2069">
        <v>1</v>
      </c>
      <c r="K2069">
        <v>2530000</v>
      </c>
      <c r="L2069" s="2" t="s">
        <v>3257</v>
      </c>
      <c r="M2069" t="s">
        <v>23</v>
      </c>
      <c r="N2069">
        <v>2064000</v>
      </c>
      <c r="O2069">
        <v>3.8</v>
      </c>
      <c r="P2069" t="b">
        <v>1</v>
      </c>
    </row>
    <row r="2070" spans="1:16" x14ac:dyDescent="0.2">
      <c r="A2070" t="s">
        <v>3258</v>
      </c>
      <c r="B2070" s="1">
        <v>44941</v>
      </c>
      <c r="C2070" s="1">
        <v>45004</v>
      </c>
      <c r="D2070" t="s">
        <v>1275</v>
      </c>
      <c r="E2070" t="s">
        <v>33</v>
      </c>
      <c r="F2070" t="s">
        <v>45</v>
      </c>
      <c r="G2070" t="s">
        <v>20</v>
      </c>
      <c r="H2070" t="s">
        <v>47</v>
      </c>
      <c r="I2070" t="s">
        <v>26</v>
      </c>
      <c r="J2070">
        <v>1</v>
      </c>
      <c r="K2070">
        <v>3611000</v>
      </c>
      <c r="L2070" s="2" t="s">
        <v>3259</v>
      </c>
      <c r="M2070" t="s">
        <v>23</v>
      </c>
      <c r="N2070">
        <v>3101000</v>
      </c>
      <c r="O2070">
        <v>3.7</v>
      </c>
      <c r="P2070" t="b">
        <v>1</v>
      </c>
    </row>
    <row r="2071" spans="1:16" x14ac:dyDescent="0.2">
      <c r="A2071" t="s">
        <v>3260</v>
      </c>
      <c r="B2071" s="1">
        <v>44942</v>
      </c>
      <c r="C2071" s="1">
        <v>44956</v>
      </c>
      <c r="D2071" t="s">
        <v>3057</v>
      </c>
      <c r="E2071" t="s">
        <v>33</v>
      </c>
      <c r="F2071" t="s">
        <v>39</v>
      </c>
      <c r="G2071" t="s">
        <v>20</v>
      </c>
      <c r="H2071" t="s">
        <v>21</v>
      </c>
      <c r="I2071" t="s">
        <v>52</v>
      </c>
      <c r="J2071">
        <v>1</v>
      </c>
      <c r="K2071">
        <v>2203000</v>
      </c>
      <c r="L2071" s="2" t="s">
        <v>3261</v>
      </c>
      <c r="M2071" t="s">
        <v>23</v>
      </c>
      <c r="N2071">
        <v>1954000</v>
      </c>
      <c r="O2071">
        <v>3</v>
      </c>
      <c r="P2071" t="b">
        <v>1</v>
      </c>
    </row>
    <row r="2072" spans="1:16" x14ac:dyDescent="0.2">
      <c r="A2072" t="s">
        <v>3262</v>
      </c>
      <c r="B2072" s="1">
        <v>44942</v>
      </c>
      <c r="C2072" s="1">
        <v>44977</v>
      </c>
      <c r="D2072" t="s">
        <v>459</v>
      </c>
      <c r="E2072" t="s">
        <v>45</v>
      </c>
      <c r="F2072" t="s">
        <v>39</v>
      </c>
      <c r="G2072" t="s">
        <v>20</v>
      </c>
      <c r="H2072" t="s">
        <v>47</v>
      </c>
      <c r="I2072" t="s">
        <v>57</v>
      </c>
      <c r="J2072">
        <v>2</v>
      </c>
      <c r="K2072">
        <v>2643000</v>
      </c>
      <c r="L2072">
        <v>6.7783689600943497E-2</v>
      </c>
      <c r="M2072" t="s">
        <v>23</v>
      </c>
      <c r="N2072">
        <v>4928000</v>
      </c>
      <c r="O2072">
        <v>3.9</v>
      </c>
      <c r="P2072" t="b">
        <v>1</v>
      </c>
    </row>
    <row r="2073" spans="1:16" x14ac:dyDescent="0.2">
      <c r="A2073" t="s">
        <v>3263</v>
      </c>
      <c r="B2073" s="1">
        <v>44942</v>
      </c>
      <c r="C2073" s="1">
        <v>44994</v>
      </c>
      <c r="D2073" t="s">
        <v>3264</v>
      </c>
      <c r="F2073" t="s">
        <v>25</v>
      </c>
      <c r="H2073" t="s">
        <v>51</v>
      </c>
      <c r="I2073" t="s">
        <v>99</v>
      </c>
      <c r="J2073">
        <v>1</v>
      </c>
      <c r="K2073">
        <v>4445000</v>
      </c>
      <c r="L2073" s="2" t="s">
        <v>3265</v>
      </c>
      <c r="M2073" t="s">
        <v>65</v>
      </c>
      <c r="N2073">
        <v>0</v>
      </c>
      <c r="P2073" t="b">
        <v>0</v>
      </c>
    </row>
    <row r="2074" spans="1:16" x14ac:dyDescent="0.2">
      <c r="A2074" t="s">
        <v>3266</v>
      </c>
      <c r="B2074" s="1">
        <v>44943</v>
      </c>
      <c r="C2074" s="1">
        <v>44992</v>
      </c>
      <c r="D2074" t="s">
        <v>3267</v>
      </c>
      <c r="E2074" t="s">
        <v>29</v>
      </c>
      <c r="F2074" t="s">
        <v>34</v>
      </c>
      <c r="G2074" t="s">
        <v>35</v>
      </c>
      <c r="H2074" t="s">
        <v>47</v>
      </c>
      <c r="I2074" t="s">
        <v>52</v>
      </c>
      <c r="J2074">
        <v>4</v>
      </c>
      <c r="K2074">
        <v>3295000</v>
      </c>
      <c r="L2074">
        <v>8.8749037950846599E-2</v>
      </c>
      <c r="M2074" t="s">
        <v>65</v>
      </c>
      <c r="N2074">
        <v>0</v>
      </c>
      <c r="P2074" t="b">
        <v>0</v>
      </c>
    </row>
    <row r="2075" spans="1:16" x14ac:dyDescent="0.2">
      <c r="A2075" t="s">
        <v>3268</v>
      </c>
      <c r="B2075" s="1">
        <v>44943</v>
      </c>
      <c r="C2075" s="1">
        <v>44977</v>
      </c>
      <c r="D2075" t="s">
        <v>3269</v>
      </c>
      <c r="E2075" t="s">
        <v>45</v>
      </c>
      <c r="F2075" t="s">
        <v>19</v>
      </c>
      <c r="G2075" t="s">
        <v>20</v>
      </c>
      <c r="H2075" t="s">
        <v>47</v>
      </c>
      <c r="I2075" t="s">
        <v>83</v>
      </c>
      <c r="J2075">
        <v>3</v>
      </c>
      <c r="K2075">
        <v>2777000</v>
      </c>
      <c r="L2075">
        <v>9.6670901086522404E-2</v>
      </c>
      <c r="M2075" t="s">
        <v>23</v>
      </c>
      <c r="N2075">
        <v>7526000</v>
      </c>
      <c r="O2075">
        <v>3.7</v>
      </c>
      <c r="P2075" t="b">
        <v>0</v>
      </c>
    </row>
    <row r="2076" spans="1:16" x14ac:dyDescent="0.2">
      <c r="A2076" t="s">
        <v>3270</v>
      </c>
      <c r="B2076" s="1">
        <v>44945</v>
      </c>
      <c r="C2076" s="1">
        <v>44963</v>
      </c>
      <c r="D2076" t="s">
        <v>122</v>
      </c>
      <c r="E2076" t="s">
        <v>33</v>
      </c>
      <c r="F2076" t="s">
        <v>25</v>
      </c>
      <c r="G2076" t="s">
        <v>35</v>
      </c>
      <c r="H2076" t="s">
        <v>47</v>
      </c>
      <c r="I2076" t="s">
        <v>77</v>
      </c>
      <c r="J2076">
        <v>1</v>
      </c>
      <c r="K2076">
        <v>6050000</v>
      </c>
      <c r="L2076" s="2" t="s">
        <v>3271</v>
      </c>
      <c r="M2076" t="s">
        <v>23</v>
      </c>
      <c r="N2076">
        <v>5341000</v>
      </c>
      <c r="O2076">
        <v>3.7</v>
      </c>
      <c r="P2076" t="b">
        <v>1</v>
      </c>
    </row>
    <row r="2077" spans="1:16" x14ac:dyDescent="0.2">
      <c r="A2077" t="s">
        <v>3272</v>
      </c>
      <c r="B2077" s="1">
        <v>44947</v>
      </c>
      <c r="C2077" s="1">
        <v>44968</v>
      </c>
      <c r="D2077" t="s">
        <v>2709</v>
      </c>
      <c r="E2077" t="s">
        <v>33</v>
      </c>
      <c r="F2077" t="s">
        <v>39</v>
      </c>
      <c r="G2077" t="s">
        <v>35</v>
      </c>
      <c r="H2077" t="s">
        <v>51</v>
      </c>
      <c r="I2077" t="s">
        <v>57</v>
      </c>
      <c r="J2077">
        <v>2</v>
      </c>
      <c r="K2077">
        <v>2865000</v>
      </c>
      <c r="L2077">
        <v>9.3062543176462398E-2</v>
      </c>
      <c r="M2077" t="s">
        <v>23</v>
      </c>
      <c r="N2077">
        <v>5197000</v>
      </c>
      <c r="O2077">
        <v>4</v>
      </c>
      <c r="P2077" t="b">
        <v>1</v>
      </c>
    </row>
    <row r="2078" spans="1:16" x14ac:dyDescent="0.2">
      <c r="A2078" t="s">
        <v>3273</v>
      </c>
      <c r="B2078" s="1">
        <v>44947</v>
      </c>
      <c r="C2078" s="1">
        <v>45030</v>
      </c>
      <c r="D2078" t="s">
        <v>3274</v>
      </c>
      <c r="E2078" t="s">
        <v>33</v>
      </c>
      <c r="F2078" t="s">
        <v>34</v>
      </c>
      <c r="G2078" t="s">
        <v>35</v>
      </c>
      <c r="H2078" t="s">
        <v>21</v>
      </c>
      <c r="I2078" t="s">
        <v>22</v>
      </c>
      <c r="J2078">
        <v>1</v>
      </c>
      <c r="K2078">
        <v>3622000</v>
      </c>
      <c r="L2078" s="2" t="s">
        <v>3275</v>
      </c>
      <c r="M2078" t="s">
        <v>23</v>
      </c>
      <c r="N2078">
        <v>3200000</v>
      </c>
      <c r="O2078">
        <v>4.4000000000000004</v>
      </c>
      <c r="P2078" t="b">
        <v>0</v>
      </c>
    </row>
    <row r="2079" spans="1:16" x14ac:dyDescent="0.2">
      <c r="A2079" t="s">
        <v>3276</v>
      </c>
      <c r="B2079" s="1">
        <v>44947</v>
      </c>
      <c r="C2079" s="1">
        <v>44988</v>
      </c>
      <c r="D2079" t="s">
        <v>3277</v>
      </c>
      <c r="E2079" t="s">
        <v>18</v>
      </c>
      <c r="F2079" t="s">
        <v>34</v>
      </c>
      <c r="G2079" t="s">
        <v>20</v>
      </c>
      <c r="H2079" t="s">
        <v>21</v>
      </c>
      <c r="I2079" t="s">
        <v>77</v>
      </c>
      <c r="J2079">
        <v>2</v>
      </c>
      <c r="K2079">
        <v>3993000</v>
      </c>
      <c r="L2079">
        <v>8.5799811539092996E-2</v>
      </c>
      <c r="M2079" t="s">
        <v>23</v>
      </c>
      <c r="N2079">
        <v>7301000</v>
      </c>
      <c r="O2079">
        <v>4</v>
      </c>
      <c r="P2079" t="b">
        <v>0</v>
      </c>
    </row>
    <row r="2080" spans="1:16" x14ac:dyDescent="0.2">
      <c r="A2080" t="s">
        <v>3278</v>
      </c>
      <c r="B2080" s="1">
        <v>44948</v>
      </c>
      <c r="C2080" s="1">
        <v>45012</v>
      </c>
      <c r="D2080" t="s">
        <v>1722</v>
      </c>
      <c r="E2080" t="s">
        <v>18</v>
      </c>
      <c r="F2080" t="s">
        <v>34</v>
      </c>
      <c r="G2080" t="s">
        <v>20</v>
      </c>
      <c r="H2080" t="s">
        <v>40</v>
      </c>
      <c r="I2080" t="s">
        <v>94</v>
      </c>
      <c r="J2080">
        <v>1</v>
      </c>
      <c r="K2080">
        <v>4045000</v>
      </c>
      <c r="L2080">
        <v>3.3910663786152297E-2</v>
      </c>
      <c r="M2080" t="s">
        <v>23</v>
      </c>
      <c r="N2080">
        <v>3908000</v>
      </c>
      <c r="O2080">
        <v>4.2</v>
      </c>
      <c r="P2080" t="b">
        <v>1</v>
      </c>
    </row>
    <row r="2081" spans="1:16" x14ac:dyDescent="0.2">
      <c r="A2081" t="s">
        <v>3279</v>
      </c>
      <c r="B2081" s="1">
        <v>44948</v>
      </c>
      <c r="C2081" s="1">
        <v>45040</v>
      </c>
      <c r="D2081" t="s">
        <v>3280</v>
      </c>
      <c r="E2081" t="s">
        <v>33</v>
      </c>
      <c r="F2081" t="s">
        <v>45</v>
      </c>
      <c r="G2081" t="s">
        <v>20</v>
      </c>
      <c r="H2081" t="s">
        <v>21</v>
      </c>
      <c r="I2081" t="s">
        <v>26</v>
      </c>
      <c r="J2081">
        <v>4</v>
      </c>
      <c r="K2081">
        <v>3395000</v>
      </c>
      <c r="L2081">
        <v>8.3077096627625302E-2</v>
      </c>
      <c r="M2081" t="s">
        <v>23</v>
      </c>
      <c r="N2081">
        <v>12452000</v>
      </c>
      <c r="O2081">
        <v>3.1</v>
      </c>
      <c r="P2081" t="b">
        <v>0</v>
      </c>
    </row>
    <row r="2082" spans="1:16" x14ac:dyDescent="0.2">
      <c r="A2082" t="s">
        <v>3281</v>
      </c>
      <c r="B2082" s="1">
        <v>44948</v>
      </c>
      <c r="C2082" s="1">
        <v>44973</v>
      </c>
      <c r="D2082" t="s">
        <v>1646</v>
      </c>
      <c r="E2082" t="s">
        <v>45</v>
      </c>
      <c r="F2082" t="s">
        <v>34</v>
      </c>
      <c r="G2082" t="s">
        <v>20</v>
      </c>
      <c r="H2082" t="s">
        <v>51</v>
      </c>
      <c r="I2082" t="s">
        <v>30</v>
      </c>
      <c r="J2082">
        <v>2</v>
      </c>
      <c r="K2082">
        <v>4100000</v>
      </c>
      <c r="L2082" s="2" t="s">
        <v>3282</v>
      </c>
      <c r="M2082" t="s">
        <v>23</v>
      </c>
      <c r="N2082">
        <v>7342000</v>
      </c>
      <c r="O2082">
        <v>4.3</v>
      </c>
      <c r="P2082" t="b">
        <v>1</v>
      </c>
    </row>
    <row r="2083" spans="1:16" x14ac:dyDescent="0.2">
      <c r="A2083" t="s">
        <v>3283</v>
      </c>
      <c r="B2083" s="1">
        <v>44949</v>
      </c>
      <c r="C2083" s="1">
        <v>44986</v>
      </c>
      <c r="D2083" t="s">
        <v>1857</v>
      </c>
      <c r="E2083" t="s">
        <v>33</v>
      </c>
      <c r="F2083" t="s">
        <v>34</v>
      </c>
      <c r="H2083" t="s">
        <v>21</v>
      </c>
      <c r="I2083" t="s">
        <v>30</v>
      </c>
      <c r="J2083">
        <v>3</v>
      </c>
      <c r="K2083">
        <v>3649000</v>
      </c>
      <c r="L2083">
        <v>5.1640033374143003E-2</v>
      </c>
      <c r="M2083" t="s">
        <v>23</v>
      </c>
      <c r="N2083">
        <v>10382000</v>
      </c>
      <c r="O2083">
        <v>4.4000000000000004</v>
      </c>
      <c r="P2083" t="b">
        <v>1</v>
      </c>
    </row>
    <row r="2084" spans="1:16" x14ac:dyDescent="0.2">
      <c r="A2084" t="s">
        <v>3284</v>
      </c>
      <c r="B2084" s="1">
        <v>44949</v>
      </c>
      <c r="C2084" s="1">
        <v>44996</v>
      </c>
      <c r="D2084" t="s">
        <v>1802</v>
      </c>
      <c r="E2084" t="s">
        <v>33</v>
      </c>
      <c r="F2084" t="s">
        <v>19</v>
      </c>
      <c r="G2084" t="s">
        <v>20</v>
      </c>
      <c r="H2084" t="s">
        <v>21</v>
      </c>
      <c r="I2084" t="s">
        <v>77</v>
      </c>
      <c r="J2084">
        <v>1</v>
      </c>
      <c r="K2084">
        <v>2552000</v>
      </c>
      <c r="L2084" s="2" t="s">
        <v>3285</v>
      </c>
      <c r="M2084" t="s">
        <v>23</v>
      </c>
      <c r="N2084">
        <v>2281000</v>
      </c>
      <c r="O2084">
        <v>3.5</v>
      </c>
      <c r="P2084" t="b">
        <v>1</v>
      </c>
    </row>
    <row r="2085" spans="1:16" x14ac:dyDescent="0.2">
      <c r="A2085" t="s">
        <v>3286</v>
      </c>
      <c r="B2085" s="1">
        <v>44949</v>
      </c>
      <c r="C2085" s="1">
        <v>44979</v>
      </c>
      <c r="D2085" t="s">
        <v>838</v>
      </c>
      <c r="E2085" t="s">
        <v>29</v>
      </c>
      <c r="F2085" t="s">
        <v>68</v>
      </c>
      <c r="G2085" t="s">
        <v>35</v>
      </c>
      <c r="H2085" t="s">
        <v>21</v>
      </c>
      <c r="I2085" t="s">
        <v>57</v>
      </c>
      <c r="J2085">
        <v>2</v>
      </c>
      <c r="K2085">
        <v>2821000</v>
      </c>
      <c r="L2085" s="2" t="s">
        <v>3287</v>
      </c>
      <c r="M2085" t="s">
        <v>23</v>
      </c>
      <c r="N2085">
        <v>5024000</v>
      </c>
      <c r="O2085">
        <v>3.4</v>
      </c>
      <c r="P2085" t="b">
        <v>1</v>
      </c>
    </row>
    <row r="2086" spans="1:16" x14ac:dyDescent="0.2">
      <c r="A2086" t="s">
        <v>3288</v>
      </c>
      <c r="B2086" s="1">
        <v>44949</v>
      </c>
      <c r="C2086" s="1">
        <v>45000</v>
      </c>
      <c r="D2086" t="s">
        <v>1806</v>
      </c>
      <c r="E2086" t="s">
        <v>29</v>
      </c>
      <c r="F2086" t="s">
        <v>68</v>
      </c>
      <c r="G2086" t="s">
        <v>20</v>
      </c>
      <c r="H2086" t="s">
        <v>21</v>
      </c>
      <c r="I2086" t="s">
        <v>83</v>
      </c>
      <c r="J2086">
        <v>1</v>
      </c>
      <c r="K2086">
        <v>2025000</v>
      </c>
      <c r="L2086" s="2" t="s">
        <v>3289</v>
      </c>
      <c r="M2086" t="s">
        <v>23</v>
      </c>
      <c r="N2086">
        <v>1702000</v>
      </c>
      <c r="O2086">
        <v>4.7</v>
      </c>
      <c r="P2086" t="b">
        <v>1</v>
      </c>
    </row>
    <row r="2087" spans="1:16" x14ac:dyDescent="0.2">
      <c r="A2087" t="s">
        <v>3290</v>
      </c>
      <c r="B2087" s="1">
        <v>44950</v>
      </c>
      <c r="C2087" s="1">
        <v>45000</v>
      </c>
      <c r="D2087" t="s">
        <v>880</v>
      </c>
      <c r="E2087" t="s">
        <v>33</v>
      </c>
      <c r="F2087" t="s">
        <v>19</v>
      </c>
      <c r="G2087" t="s">
        <v>20</v>
      </c>
      <c r="H2087" t="s">
        <v>47</v>
      </c>
      <c r="I2087" t="s">
        <v>99</v>
      </c>
      <c r="J2087">
        <v>3</v>
      </c>
      <c r="K2087">
        <v>2250000</v>
      </c>
      <c r="L2087" s="2" t="s">
        <v>3291</v>
      </c>
      <c r="M2087" t="s">
        <v>23</v>
      </c>
      <c r="N2087">
        <v>5949000</v>
      </c>
      <c r="O2087">
        <v>4.2</v>
      </c>
      <c r="P2087" t="b">
        <v>1</v>
      </c>
    </row>
    <row r="2088" spans="1:16" x14ac:dyDescent="0.2">
      <c r="A2088" t="s">
        <v>3292</v>
      </c>
      <c r="B2088" s="1">
        <v>44950</v>
      </c>
      <c r="C2088" s="1">
        <v>44974</v>
      </c>
      <c r="D2088" t="s">
        <v>1287</v>
      </c>
      <c r="E2088" t="s">
        <v>18</v>
      </c>
      <c r="F2088" t="s">
        <v>39</v>
      </c>
      <c r="G2088" t="s">
        <v>20</v>
      </c>
      <c r="H2088" t="s">
        <v>47</v>
      </c>
      <c r="I2088" t="s">
        <v>77</v>
      </c>
      <c r="J2088">
        <v>4</v>
      </c>
      <c r="K2088">
        <v>2630000</v>
      </c>
      <c r="L2088" s="2" t="s">
        <v>3293</v>
      </c>
      <c r="M2088" t="s">
        <v>23</v>
      </c>
      <c r="N2088">
        <v>8982000</v>
      </c>
      <c r="O2088">
        <v>4.5999999999999996</v>
      </c>
      <c r="P2088" t="b">
        <v>1</v>
      </c>
    </row>
    <row r="2089" spans="1:16" x14ac:dyDescent="0.2">
      <c r="A2089" t="s">
        <v>3294</v>
      </c>
      <c r="B2089" s="1">
        <v>44950</v>
      </c>
      <c r="C2089" s="1">
        <v>45010</v>
      </c>
      <c r="D2089" t="s">
        <v>2322</v>
      </c>
      <c r="E2089" t="s">
        <v>18</v>
      </c>
      <c r="F2089" t="s">
        <v>34</v>
      </c>
      <c r="G2089" t="s">
        <v>35</v>
      </c>
      <c r="H2089" t="s">
        <v>40</v>
      </c>
      <c r="I2089" t="s">
        <v>60</v>
      </c>
      <c r="J2089">
        <v>3</v>
      </c>
      <c r="K2089">
        <v>4521000</v>
      </c>
      <c r="L2089" s="2" t="s">
        <v>3295</v>
      </c>
      <c r="M2089" t="s">
        <v>23</v>
      </c>
      <c r="N2089">
        <v>12070000</v>
      </c>
      <c r="O2089">
        <v>4.4000000000000004</v>
      </c>
      <c r="P2089" t="b">
        <v>1</v>
      </c>
    </row>
    <row r="2090" spans="1:16" x14ac:dyDescent="0.2">
      <c r="A2090" t="s">
        <v>3296</v>
      </c>
      <c r="B2090" s="1">
        <v>44950</v>
      </c>
      <c r="C2090" s="1">
        <v>45001</v>
      </c>
      <c r="D2090" t="s">
        <v>601</v>
      </c>
      <c r="E2090" t="s">
        <v>45</v>
      </c>
      <c r="F2090" t="s">
        <v>34</v>
      </c>
      <c r="G2090" t="s">
        <v>20</v>
      </c>
      <c r="H2090" t="s">
        <v>21</v>
      </c>
      <c r="I2090" t="s">
        <v>52</v>
      </c>
      <c r="J2090">
        <v>4</v>
      </c>
      <c r="K2090">
        <v>3326000</v>
      </c>
      <c r="L2090">
        <v>3.8913067192049497E-2</v>
      </c>
      <c r="M2090" t="s">
        <v>23</v>
      </c>
      <c r="N2090">
        <v>12786000</v>
      </c>
      <c r="O2090">
        <v>4.0999999999999996</v>
      </c>
      <c r="P2090" t="b">
        <v>1</v>
      </c>
    </row>
    <row r="2091" spans="1:16" x14ac:dyDescent="0.2">
      <c r="A2091" t="s">
        <v>3297</v>
      </c>
      <c r="B2091" s="1">
        <v>44950</v>
      </c>
      <c r="C2091" s="1">
        <v>45022</v>
      </c>
      <c r="D2091" t="s">
        <v>3214</v>
      </c>
      <c r="E2091" t="s">
        <v>18</v>
      </c>
      <c r="F2091" t="s">
        <v>34</v>
      </c>
      <c r="G2091" t="s">
        <v>50</v>
      </c>
      <c r="H2091" t="s">
        <v>21</v>
      </c>
      <c r="I2091" t="s">
        <v>30</v>
      </c>
      <c r="J2091">
        <v>1</v>
      </c>
      <c r="K2091">
        <v>3781000</v>
      </c>
      <c r="L2091">
        <v>9.3212760085229995E-2</v>
      </c>
      <c r="M2091" t="s">
        <v>23</v>
      </c>
      <c r="N2091">
        <v>3429000</v>
      </c>
      <c r="O2091">
        <v>3</v>
      </c>
      <c r="P2091" t="b">
        <v>1</v>
      </c>
    </row>
    <row r="2092" spans="1:16" x14ac:dyDescent="0.2">
      <c r="A2092" t="s">
        <v>3298</v>
      </c>
      <c r="B2092" s="1">
        <v>44951</v>
      </c>
      <c r="C2092" s="1">
        <v>44999</v>
      </c>
      <c r="D2092" t="s">
        <v>2783</v>
      </c>
      <c r="E2092" t="s">
        <v>29</v>
      </c>
      <c r="F2092" t="s">
        <v>34</v>
      </c>
      <c r="G2092" t="s">
        <v>46</v>
      </c>
      <c r="H2092" t="s">
        <v>21</v>
      </c>
      <c r="I2092" t="s">
        <v>52</v>
      </c>
      <c r="J2092">
        <v>3</v>
      </c>
      <c r="K2092">
        <v>3005000</v>
      </c>
      <c r="L2092">
        <v>8.45109120469206E-2</v>
      </c>
      <c r="M2092" t="s">
        <v>23</v>
      </c>
      <c r="N2092">
        <v>8253000</v>
      </c>
      <c r="O2092">
        <v>5</v>
      </c>
      <c r="P2092" t="b">
        <v>1</v>
      </c>
    </row>
    <row r="2093" spans="1:16" x14ac:dyDescent="0.2">
      <c r="A2093" t="s">
        <v>3299</v>
      </c>
      <c r="B2093" s="1">
        <v>44951</v>
      </c>
      <c r="C2093" s="1">
        <v>44979</v>
      </c>
      <c r="D2093" t="s">
        <v>3179</v>
      </c>
      <c r="E2093" t="s">
        <v>33</v>
      </c>
      <c r="F2093" t="s">
        <v>45</v>
      </c>
      <c r="G2093" t="s">
        <v>35</v>
      </c>
      <c r="H2093" t="s">
        <v>21</v>
      </c>
      <c r="I2093" t="s">
        <v>60</v>
      </c>
      <c r="J2093">
        <v>5</v>
      </c>
      <c r="K2093">
        <v>3507000</v>
      </c>
      <c r="L2093">
        <v>5.7372522337373902E-2</v>
      </c>
      <c r="M2093" t="s">
        <v>23</v>
      </c>
      <c r="N2093">
        <v>16529000</v>
      </c>
      <c r="O2093">
        <v>4.3</v>
      </c>
      <c r="P2093" t="b">
        <v>1</v>
      </c>
    </row>
    <row r="2094" spans="1:16" x14ac:dyDescent="0.2">
      <c r="A2094" t="s">
        <v>3300</v>
      </c>
      <c r="B2094" s="1">
        <v>44952</v>
      </c>
      <c r="C2094" s="1">
        <v>45008</v>
      </c>
      <c r="D2094" t="s">
        <v>3301</v>
      </c>
      <c r="E2094" t="s">
        <v>18</v>
      </c>
      <c r="F2094" t="s">
        <v>25</v>
      </c>
      <c r="G2094" t="s">
        <v>20</v>
      </c>
      <c r="H2094" t="s">
        <v>21</v>
      </c>
      <c r="I2094" t="s">
        <v>22</v>
      </c>
      <c r="J2094">
        <v>2</v>
      </c>
      <c r="K2094">
        <v>4369000</v>
      </c>
      <c r="L2094" s="2" t="s">
        <v>3302</v>
      </c>
      <c r="M2094" t="s">
        <v>23</v>
      </c>
      <c r="N2094">
        <v>7845000</v>
      </c>
      <c r="O2094">
        <v>3.6</v>
      </c>
      <c r="P2094" t="b">
        <v>0</v>
      </c>
    </row>
    <row r="2095" spans="1:16" x14ac:dyDescent="0.2">
      <c r="A2095" t="s">
        <v>3303</v>
      </c>
      <c r="B2095" s="1">
        <v>44952</v>
      </c>
      <c r="C2095" s="1">
        <v>45007</v>
      </c>
      <c r="D2095" t="s">
        <v>3304</v>
      </c>
      <c r="E2095" t="s">
        <v>18</v>
      </c>
      <c r="F2095" t="s">
        <v>45</v>
      </c>
      <c r="G2095" t="s">
        <v>50</v>
      </c>
      <c r="H2095" t="s">
        <v>21</v>
      </c>
      <c r="I2095" t="s">
        <v>83</v>
      </c>
      <c r="J2095">
        <v>3</v>
      </c>
      <c r="K2095">
        <v>2522000</v>
      </c>
      <c r="L2095">
        <v>6.6696273728937897E-2</v>
      </c>
      <c r="M2095" t="s">
        <v>23</v>
      </c>
      <c r="N2095">
        <v>7061000</v>
      </c>
      <c r="O2095">
        <v>3.5</v>
      </c>
      <c r="P2095" t="b">
        <v>0</v>
      </c>
    </row>
    <row r="2096" spans="1:16" x14ac:dyDescent="0.2">
      <c r="A2096" t="s">
        <v>3305</v>
      </c>
      <c r="B2096" s="1">
        <v>44952</v>
      </c>
      <c r="C2096" s="1">
        <v>45007</v>
      </c>
      <c r="D2096" t="s">
        <v>2091</v>
      </c>
      <c r="E2096" t="s">
        <v>45</v>
      </c>
      <c r="F2096" t="s">
        <v>34</v>
      </c>
      <c r="G2096" t="s">
        <v>50</v>
      </c>
      <c r="H2096" t="s">
        <v>47</v>
      </c>
      <c r="I2096" t="s">
        <v>83</v>
      </c>
      <c r="J2096">
        <v>2</v>
      </c>
      <c r="K2096">
        <v>4138000</v>
      </c>
      <c r="L2096">
        <v>9.1237656336234194E-2</v>
      </c>
      <c r="M2096" t="s">
        <v>23</v>
      </c>
      <c r="N2096">
        <v>7521000</v>
      </c>
      <c r="O2096">
        <v>3.9</v>
      </c>
      <c r="P2096" t="b">
        <v>1</v>
      </c>
    </row>
    <row r="2097" spans="1:16" x14ac:dyDescent="0.2">
      <c r="A2097" t="s">
        <v>3306</v>
      </c>
      <c r="B2097" s="1">
        <v>44952</v>
      </c>
      <c r="C2097" s="1">
        <v>45036</v>
      </c>
      <c r="D2097" t="s">
        <v>3127</v>
      </c>
      <c r="E2097" t="s">
        <v>29</v>
      </c>
      <c r="F2097" t="s">
        <v>39</v>
      </c>
      <c r="G2097" t="s">
        <v>50</v>
      </c>
      <c r="H2097" t="s">
        <v>47</v>
      </c>
      <c r="I2097" t="s">
        <v>83</v>
      </c>
      <c r="J2097">
        <v>4</v>
      </c>
      <c r="K2097">
        <v>1563000</v>
      </c>
      <c r="L2097" s="2" t="s">
        <v>3307</v>
      </c>
      <c r="M2097" t="s">
        <v>23</v>
      </c>
      <c r="N2097">
        <v>5572000</v>
      </c>
      <c r="O2097">
        <v>4.0999999999999996</v>
      </c>
      <c r="P2097" t="b">
        <v>1</v>
      </c>
    </row>
    <row r="2098" spans="1:16" x14ac:dyDescent="0.2">
      <c r="A2098" t="s">
        <v>3308</v>
      </c>
      <c r="B2098" s="1">
        <v>44952</v>
      </c>
      <c r="C2098" s="1">
        <v>44999</v>
      </c>
      <c r="D2098" t="s">
        <v>3309</v>
      </c>
      <c r="E2098" t="s">
        <v>33</v>
      </c>
      <c r="F2098" t="s">
        <v>34</v>
      </c>
      <c r="G2098" t="s">
        <v>20</v>
      </c>
      <c r="I2098" t="s">
        <v>57</v>
      </c>
      <c r="J2098">
        <v>1</v>
      </c>
      <c r="K2098">
        <v>4299000</v>
      </c>
      <c r="L2098">
        <v>7.0885789616403294E-2</v>
      </c>
      <c r="M2098" t="s">
        <v>23</v>
      </c>
      <c r="N2098">
        <v>3994000</v>
      </c>
      <c r="O2098">
        <v>3.7</v>
      </c>
      <c r="P2098" t="b">
        <v>0</v>
      </c>
    </row>
    <row r="2099" spans="1:16" x14ac:dyDescent="0.2">
      <c r="A2099" t="s">
        <v>3310</v>
      </c>
      <c r="B2099" s="1">
        <v>44953</v>
      </c>
      <c r="C2099" s="1">
        <v>44973</v>
      </c>
      <c r="D2099" t="s">
        <v>2007</v>
      </c>
      <c r="E2099" t="s">
        <v>18</v>
      </c>
      <c r="F2099" t="s">
        <v>39</v>
      </c>
      <c r="G2099" t="s">
        <v>20</v>
      </c>
      <c r="H2099" t="s">
        <v>40</v>
      </c>
      <c r="I2099" t="s">
        <v>60</v>
      </c>
      <c r="J2099">
        <v>5</v>
      </c>
      <c r="K2099">
        <v>2862000</v>
      </c>
      <c r="L2099" s="2" t="s">
        <v>3311</v>
      </c>
      <c r="M2099" t="s">
        <v>23</v>
      </c>
      <c r="N2099">
        <v>12531000</v>
      </c>
      <c r="O2099">
        <v>3.9</v>
      </c>
      <c r="P2099" t="b">
        <v>1</v>
      </c>
    </row>
    <row r="2100" spans="1:16" x14ac:dyDescent="0.2">
      <c r="A2100" t="s">
        <v>3312</v>
      </c>
      <c r="B2100" s="1">
        <v>44953</v>
      </c>
      <c r="C2100" s="1">
        <v>45054</v>
      </c>
      <c r="D2100" t="s">
        <v>3313</v>
      </c>
      <c r="E2100" t="s">
        <v>33</v>
      </c>
      <c r="F2100" t="s">
        <v>25</v>
      </c>
      <c r="G2100" t="s">
        <v>50</v>
      </c>
      <c r="H2100" t="s">
        <v>51</v>
      </c>
      <c r="I2100" t="s">
        <v>26</v>
      </c>
      <c r="J2100">
        <v>4</v>
      </c>
      <c r="K2100">
        <v>5178000</v>
      </c>
      <c r="L2100" s="3">
        <v>6.6000000000000003E-2</v>
      </c>
      <c r="M2100" t="s">
        <v>23</v>
      </c>
      <c r="N2100">
        <v>19352000</v>
      </c>
      <c r="O2100">
        <v>3.2</v>
      </c>
      <c r="P2100" t="b">
        <v>0</v>
      </c>
    </row>
    <row r="2101" spans="1:16" x14ac:dyDescent="0.2">
      <c r="A2101" t="s">
        <v>3314</v>
      </c>
      <c r="B2101" s="1">
        <v>44953</v>
      </c>
      <c r="C2101" s="1">
        <v>44994</v>
      </c>
      <c r="D2101" t="s">
        <v>3315</v>
      </c>
      <c r="E2101" t="s">
        <v>33</v>
      </c>
      <c r="F2101" t="s">
        <v>25</v>
      </c>
      <c r="G2101" t="s">
        <v>50</v>
      </c>
      <c r="H2101" t="s">
        <v>21</v>
      </c>
      <c r="I2101" t="s">
        <v>94</v>
      </c>
      <c r="J2101">
        <v>1</v>
      </c>
      <c r="K2101">
        <v>4677000</v>
      </c>
      <c r="L2101">
        <v>3.9107572424788503E-2</v>
      </c>
      <c r="M2101" t="s">
        <v>23</v>
      </c>
      <c r="N2101">
        <v>4494000</v>
      </c>
      <c r="O2101">
        <v>3.7</v>
      </c>
      <c r="P2101" t="b">
        <v>0</v>
      </c>
    </row>
    <row r="2102" spans="1:16" x14ac:dyDescent="0.2">
      <c r="A2102" t="s">
        <v>3316</v>
      </c>
      <c r="B2102" s="1">
        <v>44954</v>
      </c>
      <c r="C2102" s="1">
        <v>45002</v>
      </c>
      <c r="D2102" t="s">
        <v>380</v>
      </c>
      <c r="E2102" t="s">
        <v>45</v>
      </c>
      <c r="F2102" t="s">
        <v>34</v>
      </c>
      <c r="G2102" t="s">
        <v>20</v>
      </c>
      <c r="H2102" t="s">
        <v>47</v>
      </c>
      <c r="I2102" t="s">
        <v>60</v>
      </c>
      <c r="J2102">
        <v>4</v>
      </c>
      <c r="K2102">
        <v>4086000</v>
      </c>
      <c r="L2102" s="2" t="s">
        <v>3317</v>
      </c>
      <c r="M2102" t="s">
        <v>23</v>
      </c>
      <c r="N2102">
        <v>14132000</v>
      </c>
      <c r="O2102">
        <v>3.7</v>
      </c>
      <c r="P2102" t="b">
        <v>1</v>
      </c>
    </row>
    <row r="2103" spans="1:16" x14ac:dyDescent="0.2">
      <c r="A2103" t="s">
        <v>3318</v>
      </c>
      <c r="B2103" s="1">
        <v>44954</v>
      </c>
      <c r="C2103" s="1">
        <v>45037</v>
      </c>
      <c r="D2103" t="s">
        <v>1156</v>
      </c>
      <c r="E2103" t="s">
        <v>45</v>
      </c>
      <c r="F2103" t="s">
        <v>68</v>
      </c>
      <c r="G2103" t="s">
        <v>20</v>
      </c>
      <c r="H2103" t="s">
        <v>21</v>
      </c>
      <c r="I2103" t="s">
        <v>77</v>
      </c>
      <c r="J2103">
        <v>1</v>
      </c>
      <c r="K2103">
        <v>2732000</v>
      </c>
      <c r="L2103" s="2" t="s">
        <v>3319</v>
      </c>
      <c r="M2103" t="s">
        <v>23</v>
      </c>
      <c r="N2103">
        <v>2326000</v>
      </c>
      <c r="O2103">
        <v>3.7</v>
      </c>
      <c r="P2103" t="b">
        <v>1</v>
      </c>
    </row>
    <row r="2104" spans="1:16" x14ac:dyDescent="0.2">
      <c r="A2104" t="s">
        <v>3320</v>
      </c>
      <c r="B2104" s="1">
        <v>44954</v>
      </c>
      <c r="C2104" s="1">
        <v>45018</v>
      </c>
      <c r="D2104" t="s">
        <v>1791</v>
      </c>
      <c r="E2104" t="s">
        <v>33</v>
      </c>
      <c r="F2104" t="s">
        <v>19</v>
      </c>
      <c r="G2104" t="s">
        <v>20</v>
      </c>
      <c r="H2104" t="s">
        <v>21</v>
      </c>
      <c r="I2104" t="s">
        <v>99</v>
      </c>
      <c r="J2104">
        <v>1</v>
      </c>
      <c r="K2104">
        <v>2519000</v>
      </c>
      <c r="L2104">
        <v>6.9970989308442005E-2</v>
      </c>
      <c r="M2104" t="s">
        <v>23</v>
      </c>
      <c r="N2104">
        <v>2343000</v>
      </c>
      <c r="O2104">
        <v>4.0999999999999996</v>
      </c>
      <c r="P2104" t="b">
        <v>1</v>
      </c>
    </row>
    <row r="2105" spans="1:16" x14ac:dyDescent="0.2">
      <c r="A2105" t="s">
        <v>3321</v>
      </c>
      <c r="B2105" s="1">
        <v>44955</v>
      </c>
      <c r="C2105" s="1">
        <v>44995</v>
      </c>
      <c r="D2105" t="s">
        <v>1359</v>
      </c>
      <c r="E2105" t="s">
        <v>29</v>
      </c>
      <c r="F2105" t="s">
        <v>19</v>
      </c>
      <c r="G2105" t="s">
        <v>50</v>
      </c>
      <c r="H2105" t="s">
        <v>47</v>
      </c>
      <c r="I2105" t="s">
        <v>57</v>
      </c>
      <c r="J2105">
        <v>2</v>
      </c>
      <c r="K2105">
        <v>3018000</v>
      </c>
      <c r="L2105" s="2" t="s">
        <v>3322</v>
      </c>
      <c r="M2105" t="s">
        <v>23</v>
      </c>
      <c r="N2105">
        <v>5822000</v>
      </c>
      <c r="O2105">
        <v>5</v>
      </c>
      <c r="P2105" t="b">
        <v>1</v>
      </c>
    </row>
    <row r="2106" spans="1:16" x14ac:dyDescent="0.2">
      <c r="A2106" t="s">
        <v>3323</v>
      </c>
      <c r="B2106" s="1">
        <v>44956</v>
      </c>
      <c r="C2106" s="1">
        <v>45011</v>
      </c>
      <c r="D2106" t="s">
        <v>732</v>
      </c>
      <c r="E2106" t="s">
        <v>18</v>
      </c>
      <c r="F2106" t="s">
        <v>19</v>
      </c>
      <c r="G2106" t="s">
        <v>20</v>
      </c>
      <c r="H2106" t="s">
        <v>21</v>
      </c>
      <c r="I2106" t="s">
        <v>26</v>
      </c>
      <c r="J2106">
        <v>3</v>
      </c>
      <c r="K2106">
        <v>2552000</v>
      </c>
      <c r="L2106">
        <v>0</v>
      </c>
      <c r="M2106" t="s">
        <v>23</v>
      </c>
      <c r="N2106">
        <v>7656000</v>
      </c>
      <c r="O2106">
        <v>4.4000000000000004</v>
      </c>
      <c r="P2106" t="b">
        <v>1</v>
      </c>
    </row>
    <row r="2107" spans="1:16" x14ac:dyDescent="0.2">
      <c r="A2107" t="s">
        <v>3324</v>
      </c>
      <c r="B2107" s="1">
        <v>44956</v>
      </c>
      <c r="C2107" s="1">
        <v>45009</v>
      </c>
      <c r="D2107" t="s">
        <v>206</v>
      </c>
      <c r="E2107" t="s">
        <v>29</v>
      </c>
      <c r="F2107" t="s">
        <v>19</v>
      </c>
      <c r="G2107" t="s">
        <v>50</v>
      </c>
      <c r="H2107" t="s">
        <v>47</v>
      </c>
      <c r="I2107" t="s">
        <v>30</v>
      </c>
      <c r="J2107">
        <v>2</v>
      </c>
      <c r="K2107">
        <v>2137000</v>
      </c>
      <c r="L2107" s="2" t="s">
        <v>3325</v>
      </c>
      <c r="M2107" t="s">
        <v>23</v>
      </c>
      <c r="N2107">
        <v>3623000</v>
      </c>
      <c r="O2107">
        <v>4.0999999999999996</v>
      </c>
      <c r="P2107" t="b">
        <v>1</v>
      </c>
    </row>
    <row r="2108" spans="1:16" x14ac:dyDescent="0.2">
      <c r="A2108" t="s">
        <v>3326</v>
      </c>
      <c r="B2108" s="1">
        <v>44956</v>
      </c>
      <c r="C2108" s="1">
        <v>45012</v>
      </c>
      <c r="D2108" t="s">
        <v>126</v>
      </c>
      <c r="E2108" t="s">
        <v>33</v>
      </c>
      <c r="F2108" t="s">
        <v>45</v>
      </c>
      <c r="G2108" t="s">
        <v>50</v>
      </c>
      <c r="H2108" t="s">
        <v>21</v>
      </c>
      <c r="I2108" t="s">
        <v>77</v>
      </c>
      <c r="J2108">
        <v>2</v>
      </c>
      <c r="K2108">
        <v>3718000</v>
      </c>
      <c r="L2108" s="2" t="s">
        <v>3327</v>
      </c>
      <c r="M2108" t="s">
        <v>23</v>
      </c>
      <c r="N2108">
        <v>7349000</v>
      </c>
      <c r="O2108">
        <v>4.2</v>
      </c>
      <c r="P2108" t="b">
        <v>1</v>
      </c>
    </row>
    <row r="2109" spans="1:16" x14ac:dyDescent="0.2">
      <c r="A2109" t="s">
        <v>3328</v>
      </c>
      <c r="B2109" s="1">
        <v>44957</v>
      </c>
      <c r="C2109" s="1">
        <v>44996</v>
      </c>
      <c r="D2109" t="s">
        <v>3329</v>
      </c>
      <c r="E2109" t="s">
        <v>18</v>
      </c>
      <c r="F2109" t="s">
        <v>25</v>
      </c>
      <c r="G2109" t="s">
        <v>20</v>
      </c>
      <c r="H2109" t="s">
        <v>21</v>
      </c>
      <c r="J2109">
        <v>3</v>
      </c>
      <c r="K2109">
        <v>4519000</v>
      </c>
      <c r="L2109">
        <v>9.1600412820751806E-2</v>
      </c>
      <c r="M2109" t="s">
        <v>23</v>
      </c>
      <c r="N2109">
        <v>12315000</v>
      </c>
      <c r="O2109">
        <v>4.4000000000000004</v>
      </c>
      <c r="P2109" t="b">
        <v>0</v>
      </c>
    </row>
    <row r="2110" spans="1:16" x14ac:dyDescent="0.2">
      <c r="A2110" t="s">
        <v>3330</v>
      </c>
      <c r="B2110" s="1">
        <v>44957</v>
      </c>
      <c r="C2110" s="1">
        <v>45026</v>
      </c>
      <c r="D2110" t="s">
        <v>3331</v>
      </c>
      <c r="E2110" t="s">
        <v>45</v>
      </c>
      <c r="F2110" t="s">
        <v>25</v>
      </c>
      <c r="G2110" t="s">
        <v>20</v>
      </c>
      <c r="H2110" t="s">
        <v>40</v>
      </c>
      <c r="I2110" t="s">
        <v>99</v>
      </c>
      <c r="J2110">
        <v>3</v>
      </c>
      <c r="K2110">
        <v>4877000</v>
      </c>
      <c r="L2110" s="2" t="s">
        <v>3332</v>
      </c>
      <c r="M2110" t="s">
        <v>23</v>
      </c>
      <c r="N2110">
        <v>14204000</v>
      </c>
      <c r="O2110">
        <v>3.7</v>
      </c>
      <c r="P2110" t="b">
        <v>0</v>
      </c>
    </row>
    <row r="2111" spans="1:16" x14ac:dyDescent="0.2">
      <c r="A2111" t="s">
        <v>3333</v>
      </c>
      <c r="B2111" s="1">
        <v>44957</v>
      </c>
      <c r="C2111" s="1">
        <v>44995</v>
      </c>
      <c r="D2111" t="s">
        <v>3223</v>
      </c>
      <c r="E2111" t="s">
        <v>33</v>
      </c>
      <c r="F2111" t="s">
        <v>45</v>
      </c>
      <c r="G2111" t="s">
        <v>20</v>
      </c>
      <c r="H2111" t="s">
        <v>21</v>
      </c>
      <c r="I2111" t="s">
        <v>60</v>
      </c>
      <c r="J2111">
        <v>3</v>
      </c>
      <c r="K2111">
        <v>3232000</v>
      </c>
      <c r="L2111" s="2" t="s">
        <v>3334</v>
      </c>
      <c r="M2111" t="s">
        <v>23</v>
      </c>
      <c r="N2111">
        <v>9239000</v>
      </c>
      <c r="O2111">
        <v>3.9</v>
      </c>
      <c r="P2111" t="b">
        <v>1</v>
      </c>
    </row>
    <row r="2112" spans="1:16" x14ac:dyDescent="0.2">
      <c r="A2112" t="s">
        <v>3335</v>
      </c>
      <c r="B2112" s="1">
        <v>44958</v>
      </c>
      <c r="C2112" s="1">
        <v>45014</v>
      </c>
      <c r="D2112" t="s">
        <v>549</v>
      </c>
      <c r="E2112" t="s">
        <v>29</v>
      </c>
      <c r="F2112" t="s">
        <v>45</v>
      </c>
      <c r="G2112" t="s">
        <v>20</v>
      </c>
      <c r="H2112" t="s">
        <v>21</v>
      </c>
      <c r="I2112" t="s">
        <v>22</v>
      </c>
      <c r="J2112">
        <v>4</v>
      </c>
      <c r="K2112">
        <v>2838000</v>
      </c>
      <c r="L2112">
        <v>4.7758784003426702E-2</v>
      </c>
      <c r="M2112" t="s">
        <v>23</v>
      </c>
      <c r="N2112">
        <v>10810000</v>
      </c>
      <c r="O2112">
        <v>4.0999999999999996</v>
      </c>
      <c r="P2112" t="b">
        <v>1</v>
      </c>
    </row>
    <row r="2113" spans="1:16" x14ac:dyDescent="0.2">
      <c r="A2113" t="s">
        <v>3336</v>
      </c>
      <c r="B2113" s="1">
        <v>44958</v>
      </c>
      <c r="C2113" s="1">
        <v>45021</v>
      </c>
      <c r="D2113" t="s">
        <v>3337</v>
      </c>
      <c r="E2113" t="s">
        <v>29</v>
      </c>
      <c r="F2113" t="s">
        <v>34</v>
      </c>
      <c r="G2113" t="s">
        <v>20</v>
      </c>
      <c r="H2113" t="s">
        <v>21</v>
      </c>
      <c r="I2113" t="s">
        <v>52</v>
      </c>
      <c r="J2113">
        <v>4</v>
      </c>
      <c r="K2113">
        <v>3277000</v>
      </c>
      <c r="L2113" s="2" t="s">
        <v>3338</v>
      </c>
      <c r="M2113" t="s">
        <v>23</v>
      </c>
      <c r="N2113">
        <v>11441000</v>
      </c>
      <c r="O2113">
        <v>4.5999999999999996</v>
      </c>
      <c r="P2113" t="b">
        <v>0</v>
      </c>
    </row>
    <row r="2114" spans="1:16" x14ac:dyDescent="0.2">
      <c r="A2114" t="s">
        <v>3339</v>
      </c>
      <c r="B2114" s="1">
        <v>44958</v>
      </c>
      <c r="C2114" s="1">
        <v>44993</v>
      </c>
      <c r="D2114" t="s">
        <v>3340</v>
      </c>
      <c r="E2114" t="s">
        <v>29</v>
      </c>
      <c r="F2114" t="s">
        <v>68</v>
      </c>
      <c r="G2114" t="s">
        <v>20</v>
      </c>
      <c r="H2114" t="s">
        <v>51</v>
      </c>
      <c r="I2114" t="s">
        <v>26</v>
      </c>
      <c r="J2114">
        <v>2</v>
      </c>
      <c r="K2114">
        <v>2862000</v>
      </c>
      <c r="L2114" s="2" t="s">
        <v>3341</v>
      </c>
      <c r="M2114" t="s">
        <v>23</v>
      </c>
      <c r="N2114">
        <v>5574000</v>
      </c>
      <c r="O2114">
        <v>4.0999999999999996</v>
      </c>
      <c r="P2114" t="b">
        <v>0</v>
      </c>
    </row>
    <row r="2115" spans="1:16" x14ac:dyDescent="0.2">
      <c r="A2115" t="s">
        <v>3342</v>
      </c>
      <c r="B2115" s="1">
        <v>44958</v>
      </c>
      <c r="C2115" s="1">
        <v>45002</v>
      </c>
      <c r="D2115" t="s">
        <v>318</v>
      </c>
      <c r="E2115" t="s">
        <v>45</v>
      </c>
      <c r="F2115" t="s">
        <v>19</v>
      </c>
      <c r="G2115" t="s">
        <v>20</v>
      </c>
      <c r="H2115" t="s">
        <v>21</v>
      </c>
      <c r="I2115" t="s">
        <v>99</v>
      </c>
      <c r="J2115">
        <v>1</v>
      </c>
      <c r="K2115">
        <v>2264000</v>
      </c>
      <c r="L2115">
        <v>7.6410923940603198E-2</v>
      </c>
      <c r="M2115" t="s">
        <v>23</v>
      </c>
      <c r="N2115">
        <v>2091000</v>
      </c>
      <c r="O2115">
        <v>4.2</v>
      </c>
      <c r="P2115" t="b">
        <v>1</v>
      </c>
    </row>
    <row r="2116" spans="1:16" x14ac:dyDescent="0.2">
      <c r="A2116" t="s">
        <v>3343</v>
      </c>
      <c r="B2116" s="1">
        <v>44958</v>
      </c>
      <c r="C2116" s="1">
        <v>44980</v>
      </c>
      <c r="D2116" t="s">
        <v>462</v>
      </c>
      <c r="E2116" t="s">
        <v>18</v>
      </c>
      <c r="F2116" t="s">
        <v>19</v>
      </c>
      <c r="H2116" t="s">
        <v>47</v>
      </c>
      <c r="I2116" t="s">
        <v>77</v>
      </c>
      <c r="J2116">
        <v>1</v>
      </c>
      <c r="K2116">
        <v>2828000</v>
      </c>
      <c r="L2116" s="2" t="s">
        <v>3344</v>
      </c>
      <c r="M2116" t="s">
        <v>23</v>
      </c>
      <c r="N2116">
        <v>2533000</v>
      </c>
      <c r="O2116">
        <v>4.5999999999999996</v>
      </c>
      <c r="P2116" t="b">
        <v>1</v>
      </c>
    </row>
    <row r="2117" spans="1:16" x14ac:dyDescent="0.2">
      <c r="A2117" t="s">
        <v>3345</v>
      </c>
      <c r="B2117" s="1">
        <v>44959</v>
      </c>
      <c r="C2117" s="1">
        <v>45046</v>
      </c>
      <c r="D2117" t="s">
        <v>179</v>
      </c>
      <c r="F2117" t="s">
        <v>68</v>
      </c>
      <c r="G2117" t="s">
        <v>50</v>
      </c>
      <c r="H2117" t="s">
        <v>47</v>
      </c>
      <c r="I2117" t="s">
        <v>57</v>
      </c>
      <c r="J2117">
        <v>4</v>
      </c>
      <c r="K2117">
        <v>2906000</v>
      </c>
      <c r="L2117" s="2" t="s">
        <v>3346</v>
      </c>
      <c r="M2117" t="s">
        <v>23</v>
      </c>
      <c r="N2117">
        <v>10322000</v>
      </c>
      <c r="O2117">
        <v>4.5</v>
      </c>
      <c r="P2117" t="b">
        <v>1</v>
      </c>
    </row>
    <row r="2118" spans="1:16" x14ac:dyDescent="0.2">
      <c r="A2118" t="s">
        <v>3347</v>
      </c>
      <c r="B2118" s="1">
        <v>44960</v>
      </c>
      <c r="C2118" s="1">
        <v>44992</v>
      </c>
      <c r="D2118" t="s">
        <v>3160</v>
      </c>
      <c r="E2118" t="s">
        <v>18</v>
      </c>
      <c r="F2118" t="s">
        <v>45</v>
      </c>
      <c r="G2118" t="s">
        <v>50</v>
      </c>
      <c r="H2118" t="s">
        <v>21</v>
      </c>
      <c r="I2118" t="s">
        <v>22</v>
      </c>
      <c r="J2118">
        <v>3</v>
      </c>
      <c r="K2118">
        <v>3068000</v>
      </c>
      <c r="L2118" s="2" t="s">
        <v>3348</v>
      </c>
      <c r="M2118" t="s">
        <v>23</v>
      </c>
      <c r="N2118">
        <v>7983000</v>
      </c>
      <c r="O2118">
        <v>4.5999999999999996</v>
      </c>
      <c r="P2118" t="b">
        <v>1</v>
      </c>
    </row>
    <row r="2119" spans="1:16" x14ac:dyDescent="0.2">
      <c r="A2119" t="s">
        <v>3349</v>
      </c>
      <c r="B2119" s="1">
        <v>44960</v>
      </c>
      <c r="C2119" s="1">
        <v>45049</v>
      </c>
      <c r="D2119" t="s">
        <v>3350</v>
      </c>
      <c r="E2119" t="s">
        <v>45</v>
      </c>
      <c r="F2119" t="s">
        <v>45</v>
      </c>
      <c r="G2119" t="s">
        <v>35</v>
      </c>
      <c r="H2119" t="s">
        <v>47</v>
      </c>
      <c r="I2119" t="s">
        <v>52</v>
      </c>
      <c r="J2119">
        <v>2</v>
      </c>
      <c r="K2119">
        <v>2862000</v>
      </c>
      <c r="L2119" s="2" t="s">
        <v>3351</v>
      </c>
      <c r="M2119" t="s">
        <v>23</v>
      </c>
      <c r="N2119">
        <v>5115000</v>
      </c>
      <c r="O2119">
        <v>3</v>
      </c>
      <c r="P2119" t="b">
        <v>0</v>
      </c>
    </row>
    <row r="2120" spans="1:16" x14ac:dyDescent="0.2">
      <c r="A2120" t="s">
        <v>3352</v>
      </c>
      <c r="B2120" s="1">
        <v>44960</v>
      </c>
      <c r="C2120" s="1">
        <v>45013</v>
      </c>
      <c r="D2120" t="s">
        <v>3031</v>
      </c>
      <c r="E2120" t="s">
        <v>18</v>
      </c>
      <c r="F2120" t="s">
        <v>68</v>
      </c>
      <c r="G2120" t="s">
        <v>20</v>
      </c>
      <c r="H2120" t="s">
        <v>40</v>
      </c>
      <c r="I2120" t="s">
        <v>30</v>
      </c>
      <c r="J2120">
        <v>2</v>
      </c>
      <c r="K2120">
        <v>2312000</v>
      </c>
      <c r="L2120" s="2" t="s">
        <v>3353</v>
      </c>
      <c r="M2120" t="s">
        <v>23</v>
      </c>
      <c r="N2120">
        <v>4046000</v>
      </c>
      <c r="O2120">
        <v>4.2</v>
      </c>
      <c r="P2120" t="b">
        <v>1</v>
      </c>
    </row>
    <row r="2121" spans="1:16" x14ac:dyDescent="0.2">
      <c r="A2121" t="s">
        <v>3354</v>
      </c>
      <c r="B2121" s="1">
        <v>45018</v>
      </c>
      <c r="C2121" s="1">
        <v>44984</v>
      </c>
      <c r="D2121" t="s">
        <v>267</v>
      </c>
      <c r="E2121" t="s">
        <v>18</v>
      </c>
      <c r="F2121" t="s">
        <v>45</v>
      </c>
      <c r="G2121" t="s">
        <v>35</v>
      </c>
      <c r="I2121" t="s">
        <v>52</v>
      </c>
      <c r="J2121">
        <v>1</v>
      </c>
      <c r="K2121">
        <v>3105000</v>
      </c>
      <c r="L2121" s="2" t="s">
        <v>3355</v>
      </c>
      <c r="M2121" t="s">
        <v>23</v>
      </c>
      <c r="N2121">
        <v>2920000</v>
      </c>
      <c r="O2121">
        <v>3.9</v>
      </c>
      <c r="P2121" t="b">
        <v>1</v>
      </c>
    </row>
    <row r="2122" spans="1:16" x14ac:dyDescent="0.2">
      <c r="A2122" t="s">
        <v>3356</v>
      </c>
      <c r="B2122" s="1">
        <v>44961</v>
      </c>
      <c r="C2122" s="1">
        <v>45041</v>
      </c>
      <c r="D2122" t="s">
        <v>3357</v>
      </c>
      <c r="E2122" t="s">
        <v>29</v>
      </c>
      <c r="F2122" t="s">
        <v>45</v>
      </c>
      <c r="G2122" t="s">
        <v>50</v>
      </c>
      <c r="H2122" t="s">
        <v>47</v>
      </c>
      <c r="I2122" t="s">
        <v>26</v>
      </c>
      <c r="J2122">
        <v>1</v>
      </c>
      <c r="K2122">
        <v>3703000</v>
      </c>
      <c r="L2122">
        <v>9.1922891497319706E-2</v>
      </c>
      <c r="M2122" t="s">
        <v>23</v>
      </c>
      <c r="N2122">
        <v>3363000</v>
      </c>
      <c r="O2122">
        <v>4.9000000000000004</v>
      </c>
      <c r="P2122" t="b">
        <v>0</v>
      </c>
    </row>
    <row r="2123" spans="1:16" x14ac:dyDescent="0.2">
      <c r="A2123" t="s">
        <v>3358</v>
      </c>
      <c r="B2123" s="1">
        <v>44961</v>
      </c>
      <c r="C2123" s="1">
        <v>45007</v>
      </c>
      <c r="D2123" t="s">
        <v>358</v>
      </c>
      <c r="E2123" t="s">
        <v>29</v>
      </c>
      <c r="F2123" t="s">
        <v>34</v>
      </c>
      <c r="H2123" t="s">
        <v>40</v>
      </c>
      <c r="I2123" t="s">
        <v>52</v>
      </c>
      <c r="J2123">
        <v>1</v>
      </c>
      <c r="K2123">
        <v>3162000</v>
      </c>
      <c r="L2123">
        <v>7.7212386156081794E-2</v>
      </c>
      <c r="M2123" t="s">
        <v>23</v>
      </c>
      <c r="N2123">
        <v>2918000</v>
      </c>
      <c r="O2123">
        <v>3.3</v>
      </c>
      <c r="P2123" t="b">
        <v>1</v>
      </c>
    </row>
    <row r="2124" spans="1:16" x14ac:dyDescent="0.2">
      <c r="A2124" t="s">
        <v>3359</v>
      </c>
      <c r="B2124" s="1">
        <v>44961</v>
      </c>
      <c r="C2124" s="1">
        <v>45025</v>
      </c>
      <c r="D2124" t="s">
        <v>3360</v>
      </c>
      <c r="E2124" t="s">
        <v>18</v>
      </c>
      <c r="F2124" t="s">
        <v>19</v>
      </c>
      <c r="G2124" t="s">
        <v>20</v>
      </c>
      <c r="H2124" t="s">
        <v>21</v>
      </c>
      <c r="I2124" t="s">
        <v>60</v>
      </c>
      <c r="J2124">
        <v>2</v>
      </c>
      <c r="K2124">
        <v>3013000</v>
      </c>
      <c r="L2124" s="2" t="s">
        <v>3361</v>
      </c>
      <c r="M2124" t="s">
        <v>65</v>
      </c>
      <c r="N2124">
        <v>0</v>
      </c>
      <c r="P2124" t="b">
        <v>0</v>
      </c>
    </row>
    <row r="2125" spans="1:16" x14ac:dyDescent="0.2">
      <c r="A2125" t="s">
        <v>3362</v>
      </c>
      <c r="B2125" s="1">
        <v>44961</v>
      </c>
      <c r="C2125" s="1">
        <v>45005</v>
      </c>
      <c r="D2125" t="s">
        <v>3363</v>
      </c>
      <c r="E2125" t="s">
        <v>18</v>
      </c>
      <c r="F2125" t="s">
        <v>34</v>
      </c>
      <c r="G2125" t="s">
        <v>50</v>
      </c>
      <c r="H2125" t="s">
        <v>21</v>
      </c>
      <c r="I2125" t="s">
        <v>77</v>
      </c>
      <c r="J2125">
        <v>2</v>
      </c>
      <c r="K2125">
        <v>3837000</v>
      </c>
      <c r="L2125" s="2" t="s">
        <v>3364</v>
      </c>
      <c r="M2125" t="s">
        <v>23</v>
      </c>
      <c r="N2125">
        <v>6843000</v>
      </c>
      <c r="O2125">
        <v>3.8</v>
      </c>
      <c r="P2125" t="b">
        <v>0</v>
      </c>
    </row>
    <row r="2126" spans="1:16" x14ac:dyDescent="0.2">
      <c r="A2126" t="s">
        <v>3365</v>
      </c>
      <c r="B2126" s="1">
        <v>44961</v>
      </c>
      <c r="C2126" s="1">
        <v>45035</v>
      </c>
      <c r="D2126" t="s">
        <v>3366</v>
      </c>
      <c r="E2126" t="s">
        <v>18</v>
      </c>
      <c r="F2126" t="s">
        <v>34</v>
      </c>
      <c r="G2126" t="s">
        <v>20</v>
      </c>
      <c r="H2126" t="s">
        <v>40</v>
      </c>
      <c r="I2126" t="s">
        <v>77</v>
      </c>
      <c r="J2126">
        <v>2</v>
      </c>
      <c r="K2126">
        <v>4565000</v>
      </c>
      <c r="L2126">
        <v>8.1391116742356995E-2</v>
      </c>
      <c r="M2126" t="s">
        <v>65</v>
      </c>
      <c r="N2126">
        <v>0</v>
      </c>
      <c r="P2126" t="b">
        <v>0</v>
      </c>
    </row>
    <row r="2127" spans="1:16" x14ac:dyDescent="0.2">
      <c r="A2127" t="s">
        <v>3367</v>
      </c>
      <c r="B2127" s="1">
        <v>44962</v>
      </c>
      <c r="C2127" s="1">
        <v>45028</v>
      </c>
      <c r="D2127" t="s">
        <v>708</v>
      </c>
      <c r="E2127" t="s">
        <v>18</v>
      </c>
      <c r="F2127" t="s">
        <v>19</v>
      </c>
      <c r="G2127" t="s">
        <v>50</v>
      </c>
      <c r="H2127" t="s">
        <v>21</v>
      </c>
      <c r="I2127" t="s">
        <v>60</v>
      </c>
      <c r="J2127">
        <v>5</v>
      </c>
      <c r="K2127">
        <v>2857000</v>
      </c>
      <c r="L2127">
        <v>6.5796808274251495E-2</v>
      </c>
      <c r="M2127" t="s">
        <v>23</v>
      </c>
      <c r="N2127">
        <v>13345000</v>
      </c>
      <c r="O2127">
        <v>4.3</v>
      </c>
      <c r="P2127" t="b">
        <v>1</v>
      </c>
    </row>
    <row r="2128" spans="1:16" x14ac:dyDescent="0.2">
      <c r="A2128" t="s">
        <v>3368</v>
      </c>
      <c r="B2128" s="1">
        <v>44962</v>
      </c>
      <c r="C2128" s="1">
        <v>45029</v>
      </c>
      <c r="D2128" t="s">
        <v>694</v>
      </c>
      <c r="E2128" t="s">
        <v>18</v>
      </c>
      <c r="F2128" t="s">
        <v>34</v>
      </c>
      <c r="G2128" t="s">
        <v>46</v>
      </c>
      <c r="H2128" t="s">
        <v>21</v>
      </c>
      <c r="I2128" t="s">
        <v>30</v>
      </c>
      <c r="J2128">
        <v>3</v>
      </c>
      <c r="K2128">
        <v>3683000</v>
      </c>
      <c r="L2128" s="2" t="s">
        <v>3369</v>
      </c>
      <c r="M2128" t="s">
        <v>23</v>
      </c>
      <c r="N2128">
        <v>9442000</v>
      </c>
      <c r="O2128">
        <v>4.8</v>
      </c>
      <c r="P2128" t="b">
        <v>1</v>
      </c>
    </row>
    <row r="2129" spans="1:16" x14ac:dyDescent="0.2">
      <c r="A2129" t="s">
        <v>3370</v>
      </c>
      <c r="B2129" s="1">
        <v>44962</v>
      </c>
      <c r="C2129" s="1">
        <v>44991</v>
      </c>
      <c r="D2129" t="s">
        <v>3022</v>
      </c>
      <c r="E2129" t="s">
        <v>33</v>
      </c>
      <c r="F2129" t="s">
        <v>45</v>
      </c>
      <c r="G2129" t="s">
        <v>50</v>
      </c>
      <c r="H2129" t="s">
        <v>21</v>
      </c>
      <c r="I2129" t="s">
        <v>26</v>
      </c>
      <c r="J2129">
        <v>3</v>
      </c>
      <c r="K2129">
        <v>3379000</v>
      </c>
      <c r="L2129" s="2" t="s">
        <v>3371</v>
      </c>
      <c r="M2129" t="s">
        <v>65</v>
      </c>
      <c r="N2129">
        <v>0</v>
      </c>
      <c r="P2129" t="b">
        <v>1</v>
      </c>
    </row>
    <row r="2130" spans="1:16" x14ac:dyDescent="0.2">
      <c r="A2130" t="s">
        <v>3372</v>
      </c>
      <c r="B2130" s="1">
        <v>44962</v>
      </c>
      <c r="C2130" s="1">
        <v>44983</v>
      </c>
      <c r="D2130" t="s">
        <v>1117</v>
      </c>
      <c r="E2130" t="s">
        <v>33</v>
      </c>
      <c r="F2130" t="s">
        <v>19</v>
      </c>
      <c r="G2130" t="s">
        <v>20</v>
      </c>
      <c r="H2130" t="s">
        <v>21</v>
      </c>
      <c r="I2130" t="s">
        <v>26</v>
      </c>
      <c r="J2130">
        <v>1</v>
      </c>
      <c r="K2130">
        <v>2700000</v>
      </c>
      <c r="L2130" s="2" t="s">
        <v>3373</v>
      </c>
      <c r="M2130" t="s">
        <v>23</v>
      </c>
      <c r="N2130">
        <v>2342000</v>
      </c>
      <c r="O2130">
        <v>4.2</v>
      </c>
      <c r="P2130" t="b">
        <v>1</v>
      </c>
    </row>
    <row r="2131" spans="1:16" x14ac:dyDescent="0.2">
      <c r="A2131" t="s">
        <v>3374</v>
      </c>
      <c r="B2131" s="1">
        <v>44962</v>
      </c>
      <c r="C2131" s="1">
        <v>44978</v>
      </c>
      <c r="D2131" t="s">
        <v>454</v>
      </c>
      <c r="E2131" t="s">
        <v>33</v>
      </c>
      <c r="F2131" t="s">
        <v>25</v>
      </c>
      <c r="G2131" t="s">
        <v>20</v>
      </c>
      <c r="H2131" t="s">
        <v>21</v>
      </c>
      <c r="I2131" t="s">
        <v>83</v>
      </c>
      <c r="J2131">
        <v>4</v>
      </c>
      <c r="K2131">
        <v>4594000</v>
      </c>
      <c r="L2131" s="2" t="s">
        <v>3375</v>
      </c>
      <c r="M2131" t="s">
        <v>23</v>
      </c>
      <c r="N2131">
        <v>16050000</v>
      </c>
      <c r="O2131">
        <v>3.5</v>
      </c>
      <c r="P2131" t="b">
        <v>1</v>
      </c>
    </row>
    <row r="2132" spans="1:16" x14ac:dyDescent="0.2">
      <c r="A2132" t="s">
        <v>3376</v>
      </c>
      <c r="B2132" s="1">
        <v>44962</v>
      </c>
      <c r="C2132" s="1">
        <v>45011</v>
      </c>
      <c r="D2132" t="s">
        <v>3377</v>
      </c>
      <c r="E2132" t="s">
        <v>18</v>
      </c>
      <c r="F2132" t="s">
        <v>45</v>
      </c>
      <c r="G2132" t="s">
        <v>50</v>
      </c>
      <c r="I2132" t="s">
        <v>94</v>
      </c>
      <c r="J2132">
        <v>1</v>
      </c>
      <c r="K2132">
        <v>3045000</v>
      </c>
      <c r="L2132" s="2" t="s">
        <v>3378</v>
      </c>
      <c r="M2132" t="s">
        <v>23</v>
      </c>
      <c r="N2132">
        <v>2711000</v>
      </c>
      <c r="O2132">
        <v>4.8</v>
      </c>
      <c r="P2132" t="b">
        <v>0</v>
      </c>
    </row>
    <row r="2133" spans="1:16" x14ac:dyDescent="0.2">
      <c r="A2133" t="s">
        <v>3379</v>
      </c>
      <c r="B2133" s="1">
        <v>44963</v>
      </c>
      <c r="C2133" s="1">
        <v>45041</v>
      </c>
      <c r="D2133" t="s">
        <v>588</v>
      </c>
      <c r="E2133" t="s">
        <v>18</v>
      </c>
      <c r="F2133" t="s">
        <v>68</v>
      </c>
      <c r="G2133" t="s">
        <v>20</v>
      </c>
      <c r="H2133" t="s">
        <v>21</v>
      </c>
      <c r="I2133" t="s">
        <v>22</v>
      </c>
      <c r="J2133">
        <v>1</v>
      </c>
      <c r="K2133">
        <v>2865000</v>
      </c>
      <c r="L2133" s="2" t="s">
        <v>3380</v>
      </c>
      <c r="M2133" t="s">
        <v>23</v>
      </c>
      <c r="N2133">
        <v>2362000</v>
      </c>
      <c r="O2133">
        <v>5</v>
      </c>
      <c r="P2133" t="b">
        <v>1</v>
      </c>
    </row>
    <row r="2134" spans="1:16" x14ac:dyDescent="0.2">
      <c r="A2134" t="s">
        <v>3381</v>
      </c>
      <c r="B2134" s="1">
        <v>44963</v>
      </c>
      <c r="C2134" s="1">
        <v>44979</v>
      </c>
      <c r="D2134" t="s">
        <v>116</v>
      </c>
      <c r="E2134" t="s">
        <v>29</v>
      </c>
      <c r="F2134" t="s">
        <v>68</v>
      </c>
      <c r="G2134" t="s">
        <v>20</v>
      </c>
      <c r="H2134" t="s">
        <v>21</v>
      </c>
      <c r="I2134" t="s">
        <v>26</v>
      </c>
      <c r="J2134">
        <v>4</v>
      </c>
      <c r="K2134">
        <v>2822000</v>
      </c>
      <c r="L2134">
        <v>8.9789808157360596E-2</v>
      </c>
      <c r="M2134" t="s">
        <v>23</v>
      </c>
      <c r="N2134">
        <v>10274000</v>
      </c>
      <c r="O2134">
        <v>3.7</v>
      </c>
      <c r="P2134" t="b">
        <v>1</v>
      </c>
    </row>
    <row r="2135" spans="1:16" x14ac:dyDescent="0.2">
      <c r="A2135" t="s">
        <v>3382</v>
      </c>
      <c r="B2135" s="1">
        <v>44963</v>
      </c>
      <c r="C2135" s="1">
        <v>45039</v>
      </c>
      <c r="D2135" t="s">
        <v>393</v>
      </c>
      <c r="E2135" t="s">
        <v>29</v>
      </c>
      <c r="F2135" t="s">
        <v>25</v>
      </c>
      <c r="G2135" t="s">
        <v>35</v>
      </c>
      <c r="H2135" t="s">
        <v>47</v>
      </c>
      <c r="I2135" t="s">
        <v>60</v>
      </c>
      <c r="J2135">
        <v>2</v>
      </c>
      <c r="K2135">
        <v>6160000</v>
      </c>
      <c r="L2135" s="2" t="s">
        <v>3383</v>
      </c>
      <c r="M2135" t="s">
        <v>23</v>
      </c>
      <c r="N2135">
        <v>10873000</v>
      </c>
      <c r="O2135">
        <v>4.3</v>
      </c>
      <c r="P2135" t="b">
        <v>1</v>
      </c>
    </row>
    <row r="2136" spans="1:16" x14ac:dyDescent="0.2">
      <c r="A2136" t="s">
        <v>3384</v>
      </c>
      <c r="B2136" s="1">
        <v>44963</v>
      </c>
      <c r="C2136" s="1">
        <v>45027</v>
      </c>
      <c r="D2136" t="s">
        <v>3385</v>
      </c>
      <c r="E2136" t="s">
        <v>45</v>
      </c>
      <c r="F2136" t="s">
        <v>19</v>
      </c>
      <c r="H2136" t="s">
        <v>21</v>
      </c>
      <c r="I2136" t="s">
        <v>77</v>
      </c>
      <c r="J2136">
        <v>2</v>
      </c>
      <c r="K2136">
        <v>2955000</v>
      </c>
      <c r="L2136">
        <v>7.4890012393021094E-2</v>
      </c>
      <c r="M2136" t="s">
        <v>23</v>
      </c>
      <c r="N2136">
        <v>5467000</v>
      </c>
      <c r="O2136">
        <v>4.2</v>
      </c>
      <c r="P2136" t="b">
        <v>0</v>
      </c>
    </row>
    <row r="2137" spans="1:16" x14ac:dyDescent="0.2">
      <c r="A2137" t="s">
        <v>3386</v>
      </c>
      <c r="B2137" s="1">
        <v>44965</v>
      </c>
      <c r="C2137" s="1">
        <v>45061</v>
      </c>
      <c r="D2137" t="s">
        <v>3387</v>
      </c>
      <c r="E2137" t="s">
        <v>33</v>
      </c>
      <c r="F2137" t="s">
        <v>34</v>
      </c>
      <c r="G2137" t="s">
        <v>20</v>
      </c>
      <c r="H2137" t="s">
        <v>21</v>
      </c>
      <c r="I2137" t="s">
        <v>60</v>
      </c>
      <c r="J2137">
        <v>1</v>
      </c>
      <c r="K2137">
        <v>4387000</v>
      </c>
      <c r="L2137">
        <v>6.7061688845947501E-2</v>
      </c>
      <c r="M2137" t="s">
        <v>23</v>
      </c>
      <c r="N2137">
        <v>4093000</v>
      </c>
      <c r="O2137">
        <v>4.2</v>
      </c>
      <c r="P2137" t="b">
        <v>0</v>
      </c>
    </row>
    <row r="2138" spans="1:16" x14ac:dyDescent="0.2">
      <c r="A2138" t="s">
        <v>3388</v>
      </c>
      <c r="B2138" s="1">
        <v>44965</v>
      </c>
      <c r="C2138" s="1">
        <v>45016</v>
      </c>
      <c r="D2138" t="s">
        <v>234</v>
      </c>
      <c r="E2138" t="s">
        <v>45</v>
      </c>
      <c r="F2138" t="s">
        <v>39</v>
      </c>
      <c r="G2138" t="s">
        <v>50</v>
      </c>
      <c r="H2138" t="s">
        <v>21</v>
      </c>
      <c r="I2138" t="s">
        <v>30</v>
      </c>
      <c r="J2138">
        <v>4</v>
      </c>
      <c r="K2138">
        <v>2584000</v>
      </c>
      <c r="L2138" s="2" t="s">
        <v>3389</v>
      </c>
      <c r="M2138" t="s">
        <v>23</v>
      </c>
      <c r="N2138">
        <v>8656000</v>
      </c>
      <c r="O2138">
        <v>3.8</v>
      </c>
      <c r="P2138" t="b">
        <v>1</v>
      </c>
    </row>
    <row r="2139" spans="1:16" x14ac:dyDescent="0.2">
      <c r="A2139" t="s">
        <v>3390</v>
      </c>
      <c r="B2139" s="1">
        <v>44966</v>
      </c>
      <c r="C2139" s="1">
        <v>45062</v>
      </c>
      <c r="D2139" t="s">
        <v>44</v>
      </c>
      <c r="E2139" t="s">
        <v>18</v>
      </c>
      <c r="F2139" t="s">
        <v>34</v>
      </c>
      <c r="G2139" t="s">
        <v>20</v>
      </c>
      <c r="H2139" t="s">
        <v>47</v>
      </c>
      <c r="I2139" t="s">
        <v>99</v>
      </c>
      <c r="J2139">
        <v>3</v>
      </c>
      <c r="K2139">
        <v>4105000</v>
      </c>
      <c r="L2139" s="2" t="s">
        <v>3391</v>
      </c>
      <c r="M2139" t="s">
        <v>65</v>
      </c>
      <c r="N2139">
        <v>0</v>
      </c>
      <c r="P2139" t="b">
        <v>1</v>
      </c>
    </row>
    <row r="2140" spans="1:16" x14ac:dyDescent="0.2">
      <c r="A2140" t="s">
        <v>3392</v>
      </c>
      <c r="B2140" s="1">
        <v>44967</v>
      </c>
      <c r="C2140" s="1">
        <v>45009</v>
      </c>
      <c r="D2140" t="s">
        <v>2489</v>
      </c>
      <c r="E2140" t="s">
        <v>45</v>
      </c>
      <c r="F2140" t="s">
        <v>19</v>
      </c>
      <c r="G2140" t="s">
        <v>20</v>
      </c>
      <c r="H2140" t="s">
        <v>40</v>
      </c>
      <c r="I2140" t="s">
        <v>3393</v>
      </c>
      <c r="J2140">
        <v>1</v>
      </c>
      <c r="K2140">
        <v>2606000</v>
      </c>
      <c r="L2140" s="2" t="s">
        <v>3394</v>
      </c>
      <c r="M2140" t="s">
        <v>23</v>
      </c>
      <c r="N2140">
        <v>2468000</v>
      </c>
      <c r="O2140">
        <v>3.8</v>
      </c>
      <c r="P2140" t="b">
        <v>1</v>
      </c>
    </row>
    <row r="2141" spans="1:16" x14ac:dyDescent="0.2">
      <c r="A2141" t="s">
        <v>3395</v>
      </c>
      <c r="B2141" s="1">
        <v>44967</v>
      </c>
      <c r="C2141" s="1">
        <v>45005</v>
      </c>
      <c r="D2141" t="s">
        <v>2628</v>
      </c>
      <c r="E2141" t="s">
        <v>45</v>
      </c>
      <c r="F2141" t="s">
        <v>25</v>
      </c>
      <c r="G2141" t="s">
        <v>20</v>
      </c>
      <c r="H2141" t="s">
        <v>21</v>
      </c>
      <c r="I2141" t="s">
        <v>60</v>
      </c>
      <c r="J2141">
        <v>2</v>
      </c>
      <c r="K2141">
        <v>5241000</v>
      </c>
      <c r="L2141">
        <v>8.9311599764136204E-2</v>
      </c>
      <c r="M2141" t="s">
        <v>65</v>
      </c>
      <c r="N2141">
        <v>0</v>
      </c>
      <c r="P2141" t="b">
        <v>1</v>
      </c>
    </row>
    <row r="2142" spans="1:16" x14ac:dyDescent="0.2">
      <c r="A2142" t="s">
        <v>3396</v>
      </c>
      <c r="B2142" s="1">
        <v>44967</v>
      </c>
      <c r="C2142" s="1">
        <v>45009</v>
      </c>
      <c r="D2142" t="s">
        <v>805</v>
      </c>
      <c r="E2142" t="s">
        <v>45</v>
      </c>
      <c r="F2142" t="s">
        <v>34</v>
      </c>
      <c r="G2142" t="s">
        <v>35</v>
      </c>
      <c r="H2142" t="s">
        <v>47</v>
      </c>
      <c r="I2142" t="s">
        <v>60</v>
      </c>
      <c r="J2142">
        <v>4</v>
      </c>
      <c r="K2142">
        <v>4087000</v>
      </c>
      <c r="L2142" s="2" t="s">
        <v>3397</v>
      </c>
      <c r="M2142" t="s">
        <v>23</v>
      </c>
      <c r="N2142">
        <v>13081000</v>
      </c>
      <c r="O2142">
        <v>4</v>
      </c>
      <c r="P2142" t="b">
        <v>1</v>
      </c>
    </row>
    <row r="2143" spans="1:16" x14ac:dyDescent="0.2">
      <c r="A2143" t="s">
        <v>3398</v>
      </c>
      <c r="B2143" s="1">
        <v>44967</v>
      </c>
      <c r="C2143" s="1">
        <v>45009</v>
      </c>
      <c r="D2143" t="s">
        <v>2709</v>
      </c>
      <c r="E2143" t="s">
        <v>29</v>
      </c>
      <c r="F2143" t="s">
        <v>25</v>
      </c>
      <c r="G2143" t="s">
        <v>20</v>
      </c>
      <c r="H2143" t="s">
        <v>21</v>
      </c>
      <c r="J2143">
        <v>1</v>
      </c>
      <c r="K2143">
        <v>5799000</v>
      </c>
      <c r="L2143" s="2" t="s">
        <v>3399</v>
      </c>
      <c r="M2143" t="s">
        <v>23</v>
      </c>
      <c r="N2143">
        <v>4828000</v>
      </c>
      <c r="O2143">
        <v>4.2</v>
      </c>
      <c r="P2143" t="b">
        <v>1</v>
      </c>
    </row>
    <row r="2144" spans="1:16" x14ac:dyDescent="0.2">
      <c r="A2144" t="s">
        <v>3400</v>
      </c>
      <c r="B2144" s="1">
        <v>44967</v>
      </c>
      <c r="C2144" s="1">
        <v>45001</v>
      </c>
      <c r="D2144" t="s">
        <v>1219</v>
      </c>
      <c r="E2144" t="s">
        <v>45</v>
      </c>
      <c r="F2144" t="s">
        <v>45</v>
      </c>
      <c r="G2144" t="s">
        <v>50</v>
      </c>
      <c r="H2144" t="s">
        <v>47</v>
      </c>
      <c r="I2144" t="s">
        <v>2054</v>
      </c>
      <c r="J2144">
        <v>1</v>
      </c>
      <c r="K2144">
        <v>3393000</v>
      </c>
      <c r="L2144" s="2" t="s">
        <v>3401</v>
      </c>
      <c r="M2144" t="s">
        <v>65</v>
      </c>
      <c r="N2144">
        <v>0</v>
      </c>
      <c r="P2144" t="b">
        <v>1</v>
      </c>
    </row>
    <row r="2145" spans="1:16" x14ac:dyDescent="0.2">
      <c r="A2145" t="s">
        <v>3402</v>
      </c>
      <c r="B2145" s="1">
        <v>45201</v>
      </c>
      <c r="C2145" s="1">
        <v>45020</v>
      </c>
      <c r="D2145" t="s">
        <v>1441</v>
      </c>
      <c r="E2145" t="s">
        <v>45</v>
      </c>
      <c r="F2145" t="s">
        <v>19</v>
      </c>
      <c r="G2145" t="s">
        <v>20</v>
      </c>
      <c r="H2145" t="s">
        <v>40</v>
      </c>
      <c r="I2145" t="s">
        <v>57</v>
      </c>
      <c r="J2145">
        <v>2</v>
      </c>
      <c r="K2145">
        <v>3470000</v>
      </c>
      <c r="L2145">
        <v>5.8792666689216802E-2</v>
      </c>
      <c r="M2145" t="s">
        <v>23</v>
      </c>
      <c r="N2145">
        <v>6532000</v>
      </c>
      <c r="O2145">
        <v>4.7</v>
      </c>
      <c r="P2145" t="b">
        <v>1</v>
      </c>
    </row>
    <row r="2146" spans="1:16" x14ac:dyDescent="0.2">
      <c r="A2146" t="s">
        <v>3403</v>
      </c>
      <c r="B2146" s="1">
        <v>44968</v>
      </c>
      <c r="C2146" s="1">
        <v>45036</v>
      </c>
      <c r="D2146" t="s">
        <v>2048</v>
      </c>
      <c r="E2146" t="s">
        <v>18</v>
      </c>
      <c r="F2146" t="s">
        <v>25</v>
      </c>
      <c r="G2146" t="s">
        <v>50</v>
      </c>
      <c r="H2146" t="s">
        <v>21</v>
      </c>
      <c r="I2146" t="s">
        <v>83</v>
      </c>
      <c r="J2146">
        <v>4</v>
      </c>
      <c r="K2146">
        <v>5105000</v>
      </c>
      <c r="L2146" s="2" t="s">
        <v>3404</v>
      </c>
      <c r="M2146" t="s">
        <v>23</v>
      </c>
      <c r="N2146">
        <v>18089000</v>
      </c>
      <c r="O2146">
        <v>4.0999999999999996</v>
      </c>
      <c r="P2146" t="b">
        <v>1</v>
      </c>
    </row>
    <row r="2147" spans="1:16" x14ac:dyDescent="0.2">
      <c r="A2147" t="s">
        <v>3405</v>
      </c>
      <c r="B2147" s="1">
        <v>44968</v>
      </c>
      <c r="C2147" s="1">
        <v>45009</v>
      </c>
      <c r="D2147" t="s">
        <v>294</v>
      </c>
      <c r="E2147" t="s">
        <v>33</v>
      </c>
      <c r="F2147" t="s">
        <v>45</v>
      </c>
      <c r="G2147" t="s">
        <v>35</v>
      </c>
      <c r="H2147" t="s">
        <v>51</v>
      </c>
      <c r="I2147" t="s">
        <v>30</v>
      </c>
      <c r="J2147">
        <v>2</v>
      </c>
      <c r="K2147">
        <v>3158000</v>
      </c>
      <c r="L2147">
        <v>8.0102590428657E-2</v>
      </c>
      <c r="M2147" t="s">
        <v>23</v>
      </c>
      <c r="N2147">
        <v>5810000</v>
      </c>
      <c r="O2147">
        <v>3.7</v>
      </c>
      <c r="P2147" t="b">
        <v>1</v>
      </c>
    </row>
    <row r="2148" spans="1:16" x14ac:dyDescent="0.2">
      <c r="A2148" t="s">
        <v>3406</v>
      </c>
      <c r="B2148" s="1">
        <v>44968</v>
      </c>
      <c r="C2148" s="1">
        <v>45038</v>
      </c>
      <c r="D2148" t="s">
        <v>334</v>
      </c>
      <c r="E2148" t="s">
        <v>18</v>
      </c>
      <c r="F2148" t="s">
        <v>34</v>
      </c>
      <c r="H2148" t="s">
        <v>47</v>
      </c>
      <c r="I2148" t="s">
        <v>77</v>
      </c>
      <c r="J2148">
        <v>1</v>
      </c>
      <c r="K2148">
        <v>4191000</v>
      </c>
      <c r="L2148" s="2" t="s">
        <v>3407</v>
      </c>
      <c r="M2148" t="s">
        <v>23</v>
      </c>
      <c r="N2148">
        <v>3743000</v>
      </c>
      <c r="O2148">
        <v>4</v>
      </c>
      <c r="P2148" t="b">
        <v>1</v>
      </c>
    </row>
    <row r="2149" spans="1:16" x14ac:dyDescent="0.2">
      <c r="A2149" t="s">
        <v>3408</v>
      </c>
      <c r="B2149" s="1">
        <v>44968</v>
      </c>
      <c r="C2149" s="1">
        <v>45039</v>
      </c>
      <c r="D2149" t="s">
        <v>547</v>
      </c>
      <c r="E2149" t="s">
        <v>33</v>
      </c>
      <c r="F2149" t="s">
        <v>39</v>
      </c>
      <c r="G2149" t="s">
        <v>20</v>
      </c>
      <c r="H2149" t="s">
        <v>40</v>
      </c>
      <c r="I2149" t="s">
        <v>52</v>
      </c>
      <c r="J2149">
        <v>1</v>
      </c>
      <c r="K2149">
        <v>2531000</v>
      </c>
      <c r="L2149" s="2" t="s">
        <v>3409</v>
      </c>
      <c r="M2149" t="s">
        <v>23</v>
      </c>
      <c r="N2149">
        <v>2184000</v>
      </c>
      <c r="O2149">
        <v>3.7</v>
      </c>
      <c r="P2149" t="b">
        <v>1</v>
      </c>
    </row>
    <row r="2150" spans="1:16" x14ac:dyDescent="0.2">
      <c r="A2150" t="s">
        <v>3410</v>
      </c>
      <c r="B2150" s="1">
        <v>44969</v>
      </c>
      <c r="C2150" s="1">
        <v>45058</v>
      </c>
      <c r="D2150" t="s">
        <v>3411</v>
      </c>
      <c r="E2150" t="s">
        <v>18</v>
      </c>
      <c r="F2150" t="s">
        <v>34</v>
      </c>
      <c r="G2150" t="s">
        <v>20</v>
      </c>
      <c r="H2150" t="s">
        <v>21</v>
      </c>
      <c r="I2150" t="s">
        <v>22</v>
      </c>
      <c r="J2150">
        <v>2</v>
      </c>
      <c r="K2150">
        <v>3534000</v>
      </c>
      <c r="L2150">
        <v>5.4309553105563402E-2</v>
      </c>
      <c r="M2150" t="s">
        <v>23</v>
      </c>
      <c r="N2150">
        <v>6684000</v>
      </c>
      <c r="O2150">
        <v>4.5999999999999996</v>
      </c>
      <c r="P2150" t="b">
        <v>0</v>
      </c>
    </row>
    <row r="2151" spans="1:16" x14ac:dyDescent="0.2">
      <c r="A2151" t="s">
        <v>3412</v>
      </c>
      <c r="B2151" s="1">
        <v>44969</v>
      </c>
      <c r="C2151" s="1">
        <v>45013</v>
      </c>
      <c r="D2151" t="s">
        <v>56</v>
      </c>
      <c r="E2151" t="s">
        <v>45</v>
      </c>
      <c r="F2151" t="s">
        <v>34</v>
      </c>
      <c r="G2151" t="s">
        <v>50</v>
      </c>
      <c r="H2151" t="s">
        <v>40</v>
      </c>
      <c r="I2151" t="s">
        <v>22</v>
      </c>
      <c r="J2151">
        <v>1</v>
      </c>
      <c r="K2151">
        <v>3715000</v>
      </c>
      <c r="L2151">
        <v>6.1528339290009601E-2</v>
      </c>
      <c r="M2151" t="s">
        <v>23</v>
      </c>
      <c r="N2151">
        <v>3486000</v>
      </c>
      <c r="O2151">
        <v>4.7</v>
      </c>
      <c r="P2151" t="b">
        <v>1</v>
      </c>
    </row>
    <row r="2152" spans="1:16" x14ac:dyDescent="0.2">
      <c r="A2152" t="s">
        <v>3413</v>
      </c>
      <c r="B2152" s="1">
        <v>44970</v>
      </c>
      <c r="C2152" s="1">
        <v>44974</v>
      </c>
      <c r="D2152" t="s">
        <v>3414</v>
      </c>
      <c r="E2152" t="s">
        <v>29</v>
      </c>
      <c r="F2152" t="s">
        <v>45</v>
      </c>
      <c r="G2152" t="s">
        <v>20</v>
      </c>
      <c r="H2152" t="s">
        <v>21</v>
      </c>
      <c r="I2152" t="s">
        <v>94</v>
      </c>
      <c r="J2152">
        <v>2</v>
      </c>
      <c r="K2152">
        <v>3268000</v>
      </c>
      <c r="L2152">
        <v>4.3554525600029599E-2</v>
      </c>
      <c r="M2152" t="s">
        <v>23</v>
      </c>
      <c r="N2152">
        <v>6251000</v>
      </c>
      <c r="O2152">
        <v>3.9</v>
      </c>
      <c r="P2152" t="b">
        <v>0</v>
      </c>
    </row>
    <row r="2153" spans="1:16" x14ac:dyDescent="0.2">
      <c r="A2153" t="s">
        <v>3415</v>
      </c>
      <c r="B2153" s="1">
        <v>44971</v>
      </c>
      <c r="C2153" s="1">
        <v>45001</v>
      </c>
      <c r="D2153" t="s">
        <v>3416</v>
      </c>
      <c r="E2153" t="s">
        <v>45</v>
      </c>
      <c r="F2153" t="s">
        <v>45</v>
      </c>
      <c r="G2153" t="s">
        <v>20</v>
      </c>
      <c r="H2153" t="s">
        <v>51</v>
      </c>
      <c r="I2153" t="s">
        <v>52</v>
      </c>
      <c r="J2153">
        <v>2</v>
      </c>
      <c r="K2153">
        <v>3000000</v>
      </c>
      <c r="L2153" s="2" t="s">
        <v>3417</v>
      </c>
      <c r="M2153" t="s">
        <v>23</v>
      </c>
      <c r="N2153">
        <v>4985000</v>
      </c>
      <c r="O2153">
        <v>5</v>
      </c>
      <c r="P2153" t="b">
        <v>0</v>
      </c>
    </row>
    <row r="2154" spans="1:16" x14ac:dyDescent="0.2">
      <c r="A2154" t="s">
        <v>3418</v>
      </c>
      <c r="B2154" s="1">
        <v>44971</v>
      </c>
      <c r="C2154" s="1">
        <v>45006</v>
      </c>
      <c r="D2154" t="s">
        <v>2187</v>
      </c>
      <c r="E2154" t="s">
        <v>29</v>
      </c>
      <c r="F2154" t="s">
        <v>34</v>
      </c>
      <c r="H2154" t="s">
        <v>21</v>
      </c>
      <c r="J2154">
        <v>1</v>
      </c>
      <c r="K2154">
        <v>3666000</v>
      </c>
      <c r="L2154">
        <v>9.4155905098299394E-2</v>
      </c>
      <c r="M2154" t="s">
        <v>23</v>
      </c>
      <c r="N2154">
        <v>3321000</v>
      </c>
      <c r="O2154">
        <v>3.7</v>
      </c>
      <c r="P2154" t="b">
        <v>1</v>
      </c>
    </row>
    <row r="2155" spans="1:16" x14ac:dyDescent="0.2">
      <c r="A2155" t="s">
        <v>3419</v>
      </c>
      <c r="B2155" s="1">
        <v>44971</v>
      </c>
      <c r="C2155" s="1">
        <v>45005</v>
      </c>
      <c r="D2155" t="s">
        <v>534</v>
      </c>
      <c r="E2155" t="s">
        <v>29</v>
      </c>
      <c r="F2155" t="s">
        <v>25</v>
      </c>
      <c r="H2155" t="s">
        <v>21</v>
      </c>
      <c r="I2155" t="s">
        <v>26</v>
      </c>
      <c r="J2155">
        <v>1</v>
      </c>
      <c r="K2155">
        <v>5015000</v>
      </c>
      <c r="L2155" s="2" t="s">
        <v>3420</v>
      </c>
      <c r="M2155" t="s">
        <v>23</v>
      </c>
      <c r="N2155">
        <v>4159000</v>
      </c>
      <c r="O2155">
        <v>3</v>
      </c>
      <c r="P2155" t="b">
        <v>1</v>
      </c>
    </row>
    <row r="2156" spans="1:16" x14ac:dyDescent="0.2">
      <c r="A2156" t="s">
        <v>3421</v>
      </c>
      <c r="B2156" s="1">
        <v>44972</v>
      </c>
      <c r="C2156" s="1">
        <v>45018</v>
      </c>
      <c r="D2156" t="s">
        <v>3022</v>
      </c>
      <c r="E2156" t="s">
        <v>18</v>
      </c>
      <c r="F2156" t="s">
        <v>19</v>
      </c>
      <c r="G2156" t="s">
        <v>35</v>
      </c>
      <c r="H2156" t="s">
        <v>21</v>
      </c>
      <c r="I2156" t="s">
        <v>30</v>
      </c>
      <c r="J2156">
        <v>4</v>
      </c>
      <c r="K2156">
        <v>2447000</v>
      </c>
      <c r="L2156" s="2" t="s">
        <v>3422</v>
      </c>
      <c r="M2156" t="s">
        <v>23</v>
      </c>
      <c r="N2156">
        <v>8731000</v>
      </c>
      <c r="O2156">
        <v>4.5</v>
      </c>
      <c r="P2156" t="b">
        <v>1</v>
      </c>
    </row>
    <row r="2157" spans="1:16" x14ac:dyDescent="0.2">
      <c r="A2157" t="s">
        <v>3423</v>
      </c>
      <c r="B2157" s="1">
        <v>44972</v>
      </c>
      <c r="C2157" s="1">
        <v>45002</v>
      </c>
      <c r="D2157" t="s">
        <v>2007</v>
      </c>
      <c r="E2157" t="s">
        <v>45</v>
      </c>
      <c r="F2157" t="s">
        <v>19</v>
      </c>
      <c r="G2157" t="s">
        <v>50</v>
      </c>
      <c r="H2157" t="s">
        <v>21</v>
      </c>
      <c r="I2157" t="s">
        <v>3424</v>
      </c>
      <c r="J2157">
        <v>1</v>
      </c>
      <c r="K2157">
        <v>2623000</v>
      </c>
      <c r="L2157">
        <v>9.9498170021088003E-2</v>
      </c>
      <c r="M2157" t="s">
        <v>23</v>
      </c>
      <c r="N2157">
        <v>2362000</v>
      </c>
      <c r="O2157">
        <v>4.7</v>
      </c>
      <c r="P2157" t="b">
        <v>1</v>
      </c>
    </row>
    <row r="2158" spans="1:16" x14ac:dyDescent="0.2">
      <c r="A2158" t="s">
        <v>3425</v>
      </c>
      <c r="B2158" s="1">
        <v>44973</v>
      </c>
      <c r="C2158" s="1">
        <v>45040</v>
      </c>
      <c r="D2158" t="s">
        <v>3207</v>
      </c>
      <c r="E2158" t="s">
        <v>45</v>
      </c>
      <c r="F2158" t="s">
        <v>25</v>
      </c>
      <c r="G2158" t="s">
        <v>20</v>
      </c>
      <c r="H2158" t="s">
        <v>21</v>
      </c>
      <c r="I2158" t="s">
        <v>52</v>
      </c>
      <c r="J2158">
        <v>2</v>
      </c>
      <c r="K2158">
        <v>4707000</v>
      </c>
      <c r="L2158" s="2" t="s">
        <v>3426</v>
      </c>
      <c r="M2158" t="s">
        <v>65</v>
      </c>
      <c r="N2158">
        <v>0</v>
      </c>
      <c r="P2158" t="b">
        <v>1</v>
      </c>
    </row>
    <row r="2159" spans="1:16" x14ac:dyDescent="0.2">
      <c r="A2159" t="s">
        <v>3427</v>
      </c>
      <c r="B2159" s="1">
        <v>44973</v>
      </c>
      <c r="C2159" s="1">
        <v>45055</v>
      </c>
      <c r="D2159" t="s">
        <v>3315</v>
      </c>
      <c r="E2159" t="s">
        <v>33</v>
      </c>
      <c r="F2159" t="s">
        <v>19</v>
      </c>
      <c r="G2159" t="s">
        <v>50</v>
      </c>
      <c r="H2159" t="s">
        <v>21</v>
      </c>
      <c r="I2159" t="s">
        <v>26</v>
      </c>
      <c r="J2159">
        <v>2</v>
      </c>
      <c r="K2159">
        <v>2462000</v>
      </c>
      <c r="L2159">
        <v>9.9635190062569601E-2</v>
      </c>
      <c r="M2159" t="s">
        <v>23</v>
      </c>
      <c r="N2159">
        <v>4433000</v>
      </c>
      <c r="O2159">
        <v>4.0999999999999996</v>
      </c>
      <c r="P2159" t="b">
        <v>1</v>
      </c>
    </row>
    <row r="2160" spans="1:16" x14ac:dyDescent="0.2">
      <c r="A2160" t="s">
        <v>3428</v>
      </c>
      <c r="B2160" s="1">
        <v>44973</v>
      </c>
      <c r="C2160" s="1">
        <v>45024</v>
      </c>
      <c r="D2160" t="s">
        <v>657</v>
      </c>
      <c r="E2160" t="s">
        <v>18</v>
      </c>
      <c r="F2160" t="s">
        <v>19</v>
      </c>
      <c r="G2160" t="s">
        <v>20</v>
      </c>
      <c r="H2160" t="s">
        <v>21</v>
      </c>
      <c r="I2160" t="s">
        <v>22</v>
      </c>
      <c r="J2160">
        <v>1</v>
      </c>
      <c r="K2160">
        <v>2411000</v>
      </c>
      <c r="L2160" s="2" t="s">
        <v>3429</v>
      </c>
      <c r="M2160" t="s">
        <v>23</v>
      </c>
      <c r="N2160">
        <v>2096000</v>
      </c>
      <c r="O2160">
        <v>4.2</v>
      </c>
      <c r="P2160" t="b">
        <v>1</v>
      </c>
    </row>
    <row r="2161" spans="1:16" x14ac:dyDescent="0.2">
      <c r="A2161" t="s">
        <v>3430</v>
      </c>
      <c r="B2161" s="1">
        <v>44973</v>
      </c>
      <c r="C2161" s="1">
        <v>45020</v>
      </c>
      <c r="D2161" t="s">
        <v>3431</v>
      </c>
      <c r="E2161" t="s">
        <v>33</v>
      </c>
      <c r="F2161" t="s">
        <v>34</v>
      </c>
      <c r="G2161" t="s">
        <v>50</v>
      </c>
      <c r="H2161" t="s">
        <v>40</v>
      </c>
      <c r="I2161" t="s">
        <v>83</v>
      </c>
      <c r="J2161">
        <v>1</v>
      </c>
      <c r="K2161">
        <v>4236000</v>
      </c>
      <c r="L2161" s="2" t="s">
        <v>3432</v>
      </c>
      <c r="M2161" t="s">
        <v>23</v>
      </c>
      <c r="N2161">
        <v>3769000</v>
      </c>
      <c r="O2161">
        <v>4.5999999999999996</v>
      </c>
      <c r="P2161" t="b">
        <v>0</v>
      </c>
    </row>
    <row r="2162" spans="1:16" x14ac:dyDescent="0.2">
      <c r="A2162" t="s">
        <v>3433</v>
      </c>
      <c r="B2162" s="1">
        <v>44973</v>
      </c>
      <c r="C2162" s="1">
        <v>45048</v>
      </c>
      <c r="D2162" t="s">
        <v>149</v>
      </c>
      <c r="E2162" t="s">
        <v>29</v>
      </c>
      <c r="F2162" t="s">
        <v>19</v>
      </c>
      <c r="G2162" t="s">
        <v>20</v>
      </c>
      <c r="H2162" t="s">
        <v>47</v>
      </c>
      <c r="I2162" t="s">
        <v>94</v>
      </c>
      <c r="J2162">
        <v>3</v>
      </c>
      <c r="K2162">
        <v>2792000</v>
      </c>
      <c r="L2162" s="2" t="s">
        <v>3434</v>
      </c>
      <c r="M2162" t="s">
        <v>23</v>
      </c>
      <c r="N2162">
        <v>7858000</v>
      </c>
      <c r="O2162">
        <v>4.5</v>
      </c>
      <c r="P2162" t="b">
        <v>1</v>
      </c>
    </row>
    <row r="2163" spans="1:16" x14ac:dyDescent="0.2">
      <c r="A2163" t="s">
        <v>3435</v>
      </c>
      <c r="B2163" s="1">
        <v>44973</v>
      </c>
      <c r="C2163" s="1">
        <v>45094</v>
      </c>
      <c r="D2163" t="s">
        <v>2091</v>
      </c>
      <c r="E2163" t="s">
        <v>18</v>
      </c>
      <c r="F2163" t="s">
        <v>34</v>
      </c>
      <c r="G2163" t="s">
        <v>35</v>
      </c>
      <c r="H2163" t="s">
        <v>21</v>
      </c>
      <c r="I2163" t="s">
        <v>30</v>
      </c>
      <c r="J2163">
        <v>5</v>
      </c>
      <c r="K2163">
        <v>3950000</v>
      </c>
      <c r="L2163">
        <v>7.7884279826236205E-2</v>
      </c>
      <c r="M2163" t="s">
        <v>65</v>
      </c>
      <c r="N2163">
        <v>0</v>
      </c>
      <c r="P2163" t="b">
        <v>1</v>
      </c>
    </row>
    <row r="2164" spans="1:16" x14ac:dyDescent="0.2">
      <c r="A2164" t="s">
        <v>3436</v>
      </c>
      <c r="B2164" s="1">
        <v>44974</v>
      </c>
      <c r="C2164" s="1">
        <v>45019</v>
      </c>
      <c r="D2164" t="s">
        <v>464</v>
      </c>
      <c r="E2164" t="s">
        <v>33</v>
      </c>
      <c r="F2164" t="s">
        <v>34</v>
      </c>
      <c r="G2164" t="s">
        <v>50</v>
      </c>
      <c r="H2164" t="s">
        <v>21</v>
      </c>
      <c r="J2164">
        <v>1</v>
      </c>
      <c r="K2164">
        <v>3806000</v>
      </c>
      <c r="L2164" s="2" t="s">
        <v>3437</v>
      </c>
      <c r="M2164" t="s">
        <v>23</v>
      </c>
      <c r="N2164">
        <v>3270000</v>
      </c>
      <c r="O2164">
        <v>3.7</v>
      </c>
      <c r="P2164" t="b">
        <v>1</v>
      </c>
    </row>
    <row r="2165" spans="1:16" x14ac:dyDescent="0.2">
      <c r="A2165" t="s">
        <v>3438</v>
      </c>
      <c r="B2165" s="1">
        <v>44974</v>
      </c>
      <c r="C2165" s="1">
        <v>45044</v>
      </c>
      <c r="D2165" t="s">
        <v>2507</v>
      </c>
      <c r="E2165" t="s">
        <v>45</v>
      </c>
      <c r="F2165" t="s">
        <v>45</v>
      </c>
      <c r="G2165" t="s">
        <v>35</v>
      </c>
      <c r="H2165" t="s">
        <v>40</v>
      </c>
      <c r="I2165" t="s">
        <v>60</v>
      </c>
      <c r="J2165">
        <v>3</v>
      </c>
      <c r="K2165">
        <v>3731000</v>
      </c>
      <c r="L2165" s="2" t="s">
        <v>3439</v>
      </c>
      <c r="M2165" t="s">
        <v>23</v>
      </c>
      <c r="N2165">
        <v>9857000</v>
      </c>
      <c r="O2165">
        <v>4.0999999999999996</v>
      </c>
      <c r="P2165" t="b">
        <v>1</v>
      </c>
    </row>
    <row r="2166" spans="1:16" x14ac:dyDescent="0.2">
      <c r="A2166" t="s">
        <v>3440</v>
      </c>
      <c r="B2166" s="1">
        <v>44974</v>
      </c>
      <c r="C2166" s="1">
        <v>45048</v>
      </c>
      <c r="D2166" t="s">
        <v>1860</v>
      </c>
      <c r="E2166" t="s">
        <v>45</v>
      </c>
      <c r="F2166" t="s">
        <v>68</v>
      </c>
      <c r="G2166" t="s">
        <v>35</v>
      </c>
      <c r="H2166" t="s">
        <v>21</v>
      </c>
      <c r="I2166" t="s">
        <v>77</v>
      </c>
      <c r="J2166">
        <v>4</v>
      </c>
      <c r="K2166">
        <v>2471000</v>
      </c>
      <c r="L2166" s="2" t="s">
        <v>3441</v>
      </c>
      <c r="M2166" t="s">
        <v>23</v>
      </c>
      <c r="N2166">
        <v>8665000</v>
      </c>
      <c r="O2166">
        <v>3.8</v>
      </c>
      <c r="P2166" t="b">
        <v>1</v>
      </c>
    </row>
    <row r="2167" spans="1:16" x14ac:dyDescent="0.2">
      <c r="A2167" t="s">
        <v>3442</v>
      </c>
      <c r="B2167" s="1">
        <v>44975</v>
      </c>
      <c r="C2167" s="1">
        <v>45025</v>
      </c>
      <c r="D2167" t="s">
        <v>1040</v>
      </c>
      <c r="E2167" t="s">
        <v>45</v>
      </c>
      <c r="F2167" t="s">
        <v>34</v>
      </c>
      <c r="G2167" t="s">
        <v>20</v>
      </c>
      <c r="H2167" t="s">
        <v>21</v>
      </c>
      <c r="J2167">
        <v>1</v>
      </c>
      <c r="K2167">
        <v>3975000</v>
      </c>
      <c r="L2167">
        <v>9.2925360181898703E-2</v>
      </c>
      <c r="M2167" t="s">
        <v>23</v>
      </c>
      <c r="N2167">
        <v>3606000</v>
      </c>
      <c r="O2167">
        <v>3.6</v>
      </c>
      <c r="P2167" t="b">
        <v>1</v>
      </c>
    </row>
    <row r="2168" spans="1:16" x14ac:dyDescent="0.2">
      <c r="A2168" t="s">
        <v>3443</v>
      </c>
      <c r="B2168" s="1">
        <v>44975</v>
      </c>
      <c r="C2168" s="1">
        <v>45028</v>
      </c>
      <c r="D2168" t="s">
        <v>2350</v>
      </c>
      <c r="E2168" t="s">
        <v>18</v>
      </c>
      <c r="F2168" t="s">
        <v>68</v>
      </c>
      <c r="G2168" t="s">
        <v>35</v>
      </c>
      <c r="H2168" t="s">
        <v>51</v>
      </c>
      <c r="I2168" t="s">
        <v>52</v>
      </c>
      <c r="J2168">
        <v>1</v>
      </c>
      <c r="K2168">
        <v>2616000</v>
      </c>
      <c r="L2168">
        <v>6.4785933082423294E-2</v>
      </c>
      <c r="M2168" t="s">
        <v>23</v>
      </c>
      <c r="N2168">
        <v>2447000</v>
      </c>
      <c r="O2168">
        <v>5</v>
      </c>
      <c r="P2168" t="b">
        <v>1</v>
      </c>
    </row>
    <row r="2169" spans="1:16" x14ac:dyDescent="0.2">
      <c r="A2169" t="s">
        <v>3444</v>
      </c>
      <c r="B2169" s="1">
        <v>44976</v>
      </c>
      <c r="C2169" s="1">
        <v>45043</v>
      </c>
      <c r="D2169" t="s">
        <v>1493</v>
      </c>
      <c r="E2169" t="s">
        <v>29</v>
      </c>
      <c r="F2169" t="s">
        <v>45</v>
      </c>
      <c r="G2169" t="s">
        <v>50</v>
      </c>
      <c r="H2169" t="s">
        <v>21</v>
      </c>
      <c r="I2169" t="s">
        <v>26</v>
      </c>
      <c r="J2169">
        <v>1</v>
      </c>
      <c r="K2169">
        <v>3491000</v>
      </c>
      <c r="L2169">
        <v>0.143946990137305</v>
      </c>
      <c r="M2169" t="s">
        <v>23</v>
      </c>
      <c r="N2169">
        <v>2988000</v>
      </c>
      <c r="O2169">
        <v>4.4000000000000004</v>
      </c>
      <c r="P2169" t="b">
        <v>1</v>
      </c>
    </row>
    <row r="2170" spans="1:16" x14ac:dyDescent="0.2">
      <c r="A2170" t="s">
        <v>3445</v>
      </c>
      <c r="B2170" s="1">
        <v>44976</v>
      </c>
      <c r="C2170" s="1">
        <v>45044</v>
      </c>
      <c r="D2170" t="s">
        <v>1700</v>
      </c>
      <c r="E2170" t="s">
        <v>45</v>
      </c>
      <c r="F2170" t="s">
        <v>34</v>
      </c>
      <c r="G2170" t="s">
        <v>20</v>
      </c>
      <c r="H2170" t="s">
        <v>21</v>
      </c>
      <c r="I2170" t="s">
        <v>57</v>
      </c>
      <c r="J2170">
        <v>2</v>
      </c>
      <c r="K2170">
        <v>4855000</v>
      </c>
      <c r="L2170">
        <v>3.8057474422866701E-2</v>
      </c>
      <c r="M2170" t="s">
        <v>23</v>
      </c>
      <c r="N2170">
        <v>9340000</v>
      </c>
      <c r="O2170">
        <v>4.3</v>
      </c>
      <c r="P2170" t="b">
        <v>1</v>
      </c>
    </row>
    <row r="2171" spans="1:16" x14ac:dyDescent="0.2">
      <c r="A2171" t="s">
        <v>3446</v>
      </c>
      <c r="B2171" s="1">
        <v>44976</v>
      </c>
      <c r="C2171" s="1">
        <v>44976</v>
      </c>
      <c r="D2171" t="s">
        <v>2944</v>
      </c>
      <c r="E2171" t="s">
        <v>18</v>
      </c>
      <c r="F2171" t="s">
        <v>39</v>
      </c>
      <c r="G2171" t="s">
        <v>50</v>
      </c>
      <c r="H2171" t="s">
        <v>21</v>
      </c>
      <c r="I2171" t="s">
        <v>83</v>
      </c>
      <c r="J2171">
        <v>1</v>
      </c>
      <c r="K2171">
        <v>1433000</v>
      </c>
      <c r="L2171">
        <v>8.4571649315757197E-2</v>
      </c>
      <c r="M2171" t="s">
        <v>23</v>
      </c>
      <c r="N2171">
        <v>1312000</v>
      </c>
      <c r="O2171">
        <v>4.2</v>
      </c>
      <c r="P2171" t="b">
        <v>1</v>
      </c>
    </row>
    <row r="2172" spans="1:16" x14ac:dyDescent="0.2">
      <c r="A2172" t="s">
        <v>3447</v>
      </c>
      <c r="B2172" s="1">
        <v>44977</v>
      </c>
      <c r="C2172" s="1">
        <v>45037</v>
      </c>
      <c r="D2172" t="s">
        <v>2826</v>
      </c>
      <c r="E2172" t="s">
        <v>18</v>
      </c>
      <c r="F2172" t="s">
        <v>34</v>
      </c>
      <c r="G2172" t="s">
        <v>50</v>
      </c>
      <c r="H2172" t="s">
        <v>21</v>
      </c>
      <c r="I2172" t="s">
        <v>52</v>
      </c>
      <c r="J2172">
        <v>1</v>
      </c>
      <c r="K2172">
        <v>3441000</v>
      </c>
      <c r="L2172" s="2" t="s">
        <v>3448</v>
      </c>
      <c r="M2172" t="s">
        <v>23</v>
      </c>
      <c r="N2172">
        <v>2948000</v>
      </c>
      <c r="O2172">
        <v>3.4</v>
      </c>
      <c r="P2172" t="b">
        <v>1</v>
      </c>
    </row>
    <row r="2173" spans="1:16" x14ac:dyDescent="0.2">
      <c r="A2173" t="s">
        <v>3449</v>
      </c>
      <c r="B2173" s="1">
        <v>44978</v>
      </c>
      <c r="C2173" s="1">
        <v>45006</v>
      </c>
      <c r="D2173" t="s">
        <v>2000</v>
      </c>
      <c r="E2173" t="s">
        <v>45</v>
      </c>
      <c r="F2173" t="s">
        <v>25</v>
      </c>
      <c r="G2173" t="s">
        <v>35</v>
      </c>
      <c r="H2173" t="s">
        <v>21</v>
      </c>
      <c r="I2173" t="s">
        <v>77</v>
      </c>
      <c r="J2173">
        <v>1</v>
      </c>
      <c r="K2173">
        <v>5771000</v>
      </c>
      <c r="L2173" s="2" t="s">
        <v>3450</v>
      </c>
      <c r="M2173" t="s">
        <v>23</v>
      </c>
      <c r="N2173">
        <v>5168000</v>
      </c>
      <c r="O2173">
        <v>3.7</v>
      </c>
      <c r="P2173" t="b">
        <v>1</v>
      </c>
    </row>
    <row r="2174" spans="1:16" x14ac:dyDescent="0.2">
      <c r="A2174" t="s">
        <v>3451</v>
      </c>
      <c r="B2174" s="1">
        <v>44978</v>
      </c>
      <c r="C2174" s="1">
        <v>45012</v>
      </c>
      <c r="D2174" t="s">
        <v>361</v>
      </c>
      <c r="E2174" t="s">
        <v>18</v>
      </c>
      <c r="F2174" t="s">
        <v>19</v>
      </c>
      <c r="G2174" t="s">
        <v>35</v>
      </c>
      <c r="H2174" t="s">
        <v>21</v>
      </c>
      <c r="I2174" t="s">
        <v>99</v>
      </c>
      <c r="J2174">
        <v>3</v>
      </c>
      <c r="K2174">
        <v>2403000</v>
      </c>
      <c r="L2174" s="2" t="s">
        <v>3452</v>
      </c>
      <c r="M2174" t="s">
        <v>23</v>
      </c>
      <c r="N2174">
        <v>6025000</v>
      </c>
      <c r="O2174">
        <v>4.5</v>
      </c>
      <c r="P2174" t="b">
        <v>1</v>
      </c>
    </row>
    <row r="2175" spans="1:16" x14ac:dyDescent="0.2">
      <c r="A2175" t="s">
        <v>3453</v>
      </c>
      <c r="B2175" s="1">
        <v>44979</v>
      </c>
      <c r="C2175" s="1">
        <v>44979</v>
      </c>
      <c r="D2175" t="s">
        <v>376</v>
      </c>
      <c r="E2175" t="s">
        <v>29</v>
      </c>
      <c r="F2175" t="s">
        <v>39</v>
      </c>
      <c r="G2175" t="s">
        <v>50</v>
      </c>
      <c r="H2175" t="s">
        <v>21</v>
      </c>
      <c r="I2175" t="s">
        <v>52</v>
      </c>
      <c r="J2175">
        <v>1</v>
      </c>
      <c r="K2175">
        <v>2448000</v>
      </c>
      <c r="L2175" s="2" t="s">
        <v>3454</v>
      </c>
      <c r="M2175" t="s">
        <v>23</v>
      </c>
      <c r="N2175">
        <v>2181000</v>
      </c>
      <c r="O2175">
        <v>4</v>
      </c>
      <c r="P2175" t="b">
        <v>1</v>
      </c>
    </row>
    <row r="2176" spans="1:16" x14ac:dyDescent="0.2">
      <c r="A2176" t="s">
        <v>3455</v>
      </c>
      <c r="B2176" s="1">
        <v>44979</v>
      </c>
      <c r="C2176" s="1">
        <v>45029</v>
      </c>
      <c r="D2176" t="s">
        <v>384</v>
      </c>
      <c r="E2176" t="s">
        <v>45</v>
      </c>
      <c r="F2176" t="s">
        <v>25</v>
      </c>
      <c r="G2176" t="s">
        <v>35</v>
      </c>
      <c r="H2176" t="s">
        <v>47</v>
      </c>
      <c r="I2176" t="s">
        <v>30</v>
      </c>
      <c r="J2176">
        <v>3</v>
      </c>
      <c r="K2176">
        <v>5467000</v>
      </c>
      <c r="L2176" s="2" t="s">
        <v>3456</v>
      </c>
      <c r="M2176" t="s">
        <v>23</v>
      </c>
      <c r="N2176">
        <v>14286000</v>
      </c>
      <c r="O2176">
        <v>4.5</v>
      </c>
      <c r="P2176" t="b">
        <v>1</v>
      </c>
    </row>
    <row r="2177" spans="1:16" x14ac:dyDescent="0.2">
      <c r="A2177" t="s">
        <v>3457</v>
      </c>
      <c r="B2177" s="1">
        <v>44979</v>
      </c>
      <c r="C2177" s="1">
        <v>45016</v>
      </c>
      <c r="D2177" t="s">
        <v>528</v>
      </c>
      <c r="E2177" t="s">
        <v>18</v>
      </c>
      <c r="F2177" t="s">
        <v>34</v>
      </c>
      <c r="G2177" t="s">
        <v>20</v>
      </c>
      <c r="H2177" t="s">
        <v>21</v>
      </c>
      <c r="I2177" t="s">
        <v>60</v>
      </c>
      <c r="J2177">
        <v>1</v>
      </c>
      <c r="K2177">
        <v>4453000</v>
      </c>
      <c r="L2177" s="2" t="s">
        <v>3458</v>
      </c>
      <c r="M2177" t="s">
        <v>23</v>
      </c>
      <c r="N2177">
        <v>3830000</v>
      </c>
      <c r="O2177">
        <v>4.0999999999999996</v>
      </c>
      <c r="P2177" t="b">
        <v>1</v>
      </c>
    </row>
    <row r="2178" spans="1:16" x14ac:dyDescent="0.2">
      <c r="A2178" t="s">
        <v>3459</v>
      </c>
      <c r="B2178" s="1">
        <v>44979</v>
      </c>
      <c r="C2178" s="1">
        <v>45039</v>
      </c>
      <c r="D2178" t="s">
        <v>3460</v>
      </c>
      <c r="E2178" t="s">
        <v>45</v>
      </c>
      <c r="F2178" t="s">
        <v>45</v>
      </c>
      <c r="G2178" t="s">
        <v>50</v>
      </c>
      <c r="H2178" t="s">
        <v>40</v>
      </c>
      <c r="I2178" t="s">
        <v>83</v>
      </c>
      <c r="J2178">
        <v>3</v>
      </c>
      <c r="K2178">
        <v>2621000</v>
      </c>
      <c r="L2178" s="2" t="s">
        <v>3461</v>
      </c>
      <c r="M2178" t="s">
        <v>23</v>
      </c>
      <c r="N2178">
        <v>6340000</v>
      </c>
      <c r="O2178">
        <v>3.8</v>
      </c>
      <c r="P2178" t="b">
        <v>0</v>
      </c>
    </row>
    <row r="2179" spans="1:16" x14ac:dyDescent="0.2">
      <c r="A2179" t="s">
        <v>3462</v>
      </c>
      <c r="B2179" s="1">
        <v>44979</v>
      </c>
      <c r="C2179" s="1">
        <v>45021</v>
      </c>
      <c r="D2179" t="s">
        <v>2301</v>
      </c>
      <c r="E2179" t="s">
        <v>45</v>
      </c>
      <c r="F2179" t="s">
        <v>45</v>
      </c>
      <c r="G2179" t="s">
        <v>20</v>
      </c>
      <c r="H2179" t="s">
        <v>40</v>
      </c>
      <c r="I2179" t="s">
        <v>22</v>
      </c>
      <c r="J2179">
        <v>2</v>
      </c>
      <c r="K2179">
        <v>3169000</v>
      </c>
      <c r="L2179">
        <v>7.0860391902660205E-2</v>
      </c>
      <c r="M2179" t="s">
        <v>23</v>
      </c>
      <c r="N2179">
        <v>5889000</v>
      </c>
      <c r="O2179">
        <v>5</v>
      </c>
      <c r="P2179" t="b">
        <v>1</v>
      </c>
    </row>
    <row r="2180" spans="1:16" x14ac:dyDescent="0.2">
      <c r="A2180" t="s">
        <v>3463</v>
      </c>
      <c r="B2180" s="1">
        <v>44980</v>
      </c>
      <c r="C2180" s="1">
        <v>44991</v>
      </c>
      <c r="D2180" t="s">
        <v>2783</v>
      </c>
      <c r="E2180" t="s">
        <v>18</v>
      </c>
      <c r="F2180" t="s">
        <v>68</v>
      </c>
      <c r="G2180" t="s">
        <v>20</v>
      </c>
      <c r="H2180" t="s">
        <v>21</v>
      </c>
      <c r="I2180" t="s">
        <v>57</v>
      </c>
      <c r="J2180">
        <v>2</v>
      </c>
      <c r="K2180">
        <v>2419000</v>
      </c>
      <c r="L2180">
        <v>4.3096943446688102E-2</v>
      </c>
      <c r="M2180" t="s">
        <v>23</v>
      </c>
      <c r="N2180">
        <v>4629000</v>
      </c>
      <c r="O2180">
        <v>4.0999999999999996</v>
      </c>
      <c r="P2180" t="b">
        <v>1</v>
      </c>
    </row>
    <row r="2181" spans="1:16" x14ac:dyDescent="0.2">
      <c r="A2181" t="s">
        <v>3464</v>
      </c>
      <c r="B2181" s="1">
        <v>44981</v>
      </c>
      <c r="C2181" s="1">
        <v>45008</v>
      </c>
      <c r="D2181" t="s">
        <v>1585</v>
      </c>
      <c r="E2181" t="s">
        <v>33</v>
      </c>
      <c r="F2181" t="s">
        <v>34</v>
      </c>
      <c r="G2181" t="s">
        <v>35</v>
      </c>
      <c r="H2181" t="s">
        <v>51</v>
      </c>
      <c r="I2181" t="s">
        <v>83</v>
      </c>
      <c r="J2181">
        <v>1</v>
      </c>
      <c r="K2181">
        <v>4156000</v>
      </c>
      <c r="L2181" s="2" t="s">
        <v>3465</v>
      </c>
      <c r="M2181" t="s">
        <v>23</v>
      </c>
      <c r="N2181">
        <v>3647000</v>
      </c>
      <c r="O2181">
        <v>3.2</v>
      </c>
      <c r="P2181" t="b">
        <v>1</v>
      </c>
    </row>
    <row r="2182" spans="1:16" x14ac:dyDescent="0.2">
      <c r="A2182" t="s">
        <v>3466</v>
      </c>
      <c r="B2182" s="1">
        <v>44981</v>
      </c>
      <c r="C2182" s="1">
        <v>45020</v>
      </c>
      <c r="D2182" t="s">
        <v>2496</v>
      </c>
      <c r="E2182" t="s">
        <v>18</v>
      </c>
      <c r="F2182" t="s">
        <v>25</v>
      </c>
      <c r="G2182" t="s">
        <v>20</v>
      </c>
      <c r="H2182" t="s">
        <v>51</v>
      </c>
      <c r="I2182" t="s">
        <v>60</v>
      </c>
      <c r="J2182">
        <v>1</v>
      </c>
      <c r="K2182">
        <v>6098000</v>
      </c>
      <c r="L2182">
        <v>9.3015020451471198E-2</v>
      </c>
      <c r="M2182" t="s">
        <v>23</v>
      </c>
      <c r="N2182">
        <v>5531000</v>
      </c>
      <c r="O2182">
        <v>4.7</v>
      </c>
      <c r="P2182" t="b">
        <v>1</v>
      </c>
    </row>
    <row r="2183" spans="1:16" x14ac:dyDescent="0.2">
      <c r="A2183" t="s">
        <v>3467</v>
      </c>
      <c r="B2183" s="1">
        <v>44982</v>
      </c>
      <c r="C2183" s="1">
        <v>45036</v>
      </c>
      <c r="D2183" t="s">
        <v>2917</v>
      </c>
      <c r="E2183" t="s">
        <v>33</v>
      </c>
      <c r="F2183" t="s">
        <v>45</v>
      </c>
      <c r="G2183" t="s">
        <v>50</v>
      </c>
      <c r="H2183" t="s">
        <v>21</v>
      </c>
      <c r="I2183" t="s">
        <v>26</v>
      </c>
      <c r="J2183">
        <v>1</v>
      </c>
      <c r="K2183">
        <v>3595000</v>
      </c>
      <c r="L2183" s="2" t="s">
        <v>3468</v>
      </c>
      <c r="M2183" t="s">
        <v>23</v>
      </c>
      <c r="N2183">
        <v>3112000</v>
      </c>
      <c r="O2183">
        <v>4.3</v>
      </c>
      <c r="P2183" t="b">
        <v>1</v>
      </c>
    </row>
    <row r="2184" spans="1:16" x14ac:dyDescent="0.2">
      <c r="A2184" t="s">
        <v>3469</v>
      </c>
      <c r="B2184" s="1">
        <v>44983</v>
      </c>
      <c r="C2184" s="1">
        <v>45019</v>
      </c>
      <c r="D2184" t="s">
        <v>3340</v>
      </c>
      <c r="E2184" t="s">
        <v>45</v>
      </c>
      <c r="F2184" t="s">
        <v>34</v>
      </c>
      <c r="G2184" t="s">
        <v>20</v>
      </c>
      <c r="H2184" t="s">
        <v>40</v>
      </c>
      <c r="I2184" t="s">
        <v>83</v>
      </c>
      <c r="J2184">
        <v>1</v>
      </c>
      <c r="K2184">
        <v>4047000</v>
      </c>
      <c r="L2184" s="2" t="s">
        <v>3470</v>
      </c>
      <c r="M2184" t="s">
        <v>23</v>
      </c>
      <c r="N2184">
        <v>3614000</v>
      </c>
      <c r="O2184">
        <v>3.6</v>
      </c>
      <c r="P2184" t="b">
        <v>1</v>
      </c>
    </row>
    <row r="2185" spans="1:16" x14ac:dyDescent="0.2">
      <c r="A2185" t="s">
        <v>3471</v>
      </c>
      <c r="B2185" s="1">
        <v>44984</v>
      </c>
      <c r="C2185" s="1">
        <v>45037</v>
      </c>
      <c r="D2185" t="s">
        <v>719</v>
      </c>
      <c r="E2185" t="s">
        <v>45</v>
      </c>
      <c r="F2185" t="s">
        <v>34</v>
      </c>
      <c r="G2185" t="s">
        <v>50</v>
      </c>
      <c r="H2185" t="s">
        <v>47</v>
      </c>
      <c r="I2185" t="s">
        <v>83</v>
      </c>
      <c r="J2185">
        <v>3</v>
      </c>
      <c r="K2185">
        <v>4412000</v>
      </c>
      <c r="L2185" s="2" t="s">
        <v>3472</v>
      </c>
      <c r="M2185" t="s">
        <v>1882</v>
      </c>
      <c r="N2185">
        <v>12752000</v>
      </c>
      <c r="O2185">
        <v>3.8</v>
      </c>
      <c r="P2185" t="b">
        <v>1</v>
      </c>
    </row>
    <row r="2186" spans="1:16" x14ac:dyDescent="0.2">
      <c r="A2186" t="s">
        <v>3473</v>
      </c>
      <c r="B2186" s="1">
        <v>44984</v>
      </c>
      <c r="C2186" s="1">
        <v>45030</v>
      </c>
      <c r="D2186" t="s">
        <v>263</v>
      </c>
      <c r="E2186" t="s">
        <v>29</v>
      </c>
      <c r="F2186" t="s">
        <v>68</v>
      </c>
      <c r="G2186" t="s">
        <v>20</v>
      </c>
      <c r="I2186" t="s">
        <v>60</v>
      </c>
      <c r="J2186">
        <v>5</v>
      </c>
      <c r="K2186">
        <v>2727000</v>
      </c>
      <c r="L2186" s="2" t="s">
        <v>3474</v>
      </c>
      <c r="M2186" t="s">
        <v>65</v>
      </c>
      <c r="N2186">
        <v>0</v>
      </c>
      <c r="P2186" t="b">
        <v>1</v>
      </c>
    </row>
    <row r="2187" spans="1:16" x14ac:dyDescent="0.2">
      <c r="A2187" t="s">
        <v>3475</v>
      </c>
      <c r="B2187" s="1">
        <v>44984</v>
      </c>
      <c r="C2187" s="1">
        <v>45081</v>
      </c>
      <c r="D2187" t="s">
        <v>2104</v>
      </c>
      <c r="E2187" t="s">
        <v>45</v>
      </c>
      <c r="F2187" t="s">
        <v>34</v>
      </c>
      <c r="G2187" t="s">
        <v>20</v>
      </c>
      <c r="H2187" t="s">
        <v>21</v>
      </c>
      <c r="I2187" t="s">
        <v>26</v>
      </c>
      <c r="J2187">
        <v>3</v>
      </c>
      <c r="K2187">
        <v>4483000</v>
      </c>
      <c r="L2187" s="3">
        <v>0.13200000000000001</v>
      </c>
      <c r="M2187" t="s">
        <v>65</v>
      </c>
      <c r="N2187">
        <v>0</v>
      </c>
      <c r="P2187" t="b">
        <v>1</v>
      </c>
    </row>
    <row r="2188" spans="1:16" x14ac:dyDescent="0.2">
      <c r="A2188" t="s">
        <v>3476</v>
      </c>
      <c r="B2188" s="1">
        <v>44984</v>
      </c>
      <c r="C2188" s="1">
        <v>45008</v>
      </c>
      <c r="D2188" t="s">
        <v>44</v>
      </c>
      <c r="E2188" t="s">
        <v>29</v>
      </c>
      <c r="F2188" t="s">
        <v>34</v>
      </c>
      <c r="G2188" t="s">
        <v>20</v>
      </c>
      <c r="H2188" t="s">
        <v>21</v>
      </c>
      <c r="I2188" t="s">
        <v>30</v>
      </c>
      <c r="J2188">
        <v>1</v>
      </c>
      <c r="K2188">
        <v>3823000</v>
      </c>
      <c r="L2188" s="2" t="s">
        <v>3477</v>
      </c>
      <c r="M2188" t="s">
        <v>23</v>
      </c>
      <c r="N2188">
        <v>3309000</v>
      </c>
      <c r="O2188">
        <v>4.3</v>
      </c>
      <c r="P2188" t="b">
        <v>1</v>
      </c>
    </row>
    <row r="2189" spans="1:16" x14ac:dyDescent="0.2">
      <c r="A2189" t="s">
        <v>3478</v>
      </c>
      <c r="B2189" s="1">
        <v>44985</v>
      </c>
      <c r="C2189" s="1">
        <v>45034</v>
      </c>
      <c r="D2189" t="s">
        <v>1993</v>
      </c>
      <c r="E2189" t="s">
        <v>45</v>
      </c>
      <c r="F2189" t="s">
        <v>25</v>
      </c>
      <c r="G2189" t="s">
        <v>20</v>
      </c>
      <c r="H2189" t="s">
        <v>21</v>
      </c>
      <c r="I2189" t="s">
        <v>60</v>
      </c>
      <c r="J2189">
        <v>3</v>
      </c>
      <c r="K2189">
        <v>5748000</v>
      </c>
      <c r="L2189" s="2" t="s">
        <v>3479</v>
      </c>
      <c r="M2189" t="s">
        <v>23</v>
      </c>
      <c r="N2189">
        <v>14663000</v>
      </c>
      <c r="O2189">
        <v>4.3</v>
      </c>
      <c r="P2189" t="b">
        <v>1</v>
      </c>
    </row>
    <row r="2190" spans="1:16" x14ac:dyDescent="0.2">
      <c r="A2190" t="s">
        <v>3480</v>
      </c>
      <c r="B2190" s="1">
        <v>44985</v>
      </c>
      <c r="C2190" s="1">
        <v>45034</v>
      </c>
      <c r="D2190" t="s">
        <v>1814</v>
      </c>
      <c r="E2190" t="s">
        <v>45</v>
      </c>
      <c r="F2190" t="s">
        <v>34</v>
      </c>
      <c r="G2190" t="s">
        <v>20</v>
      </c>
      <c r="H2190" t="s">
        <v>21</v>
      </c>
      <c r="I2190" t="s">
        <v>57</v>
      </c>
      <c r="J2190">
        <v>1</v>
      </c>
      <c r="K2190">
        <v>4398000</v>
      </c>
      <c r="L2190" s="2" t="s">
        <v>3481</v>
      </c>
      <c r="M2190" t="s">
        <v>23</v>
      </c>
      <c r="N2190">
        <v>3824000</v>
      </c>
      <c r="O2190">
        <v>4.4000000000000004</v>
      </c>
      <c r="P2190" t="b">
        <v>1</v>
      </c>
    </row>
    <row r="2191" spans="1:16" x14ac:dyDescent="0.2">
      <c r="A2191" t="s">
        <v>3482</v>
      </c>
      <c r="B2191" s="1">
        <v>44985</v>
      </c>
      <c r="C2191" s="1">
        <v>45052</v>
      </c>
      <c r="D2191" t="s">
        <v>2091</v>
      </c>
      <c r="E2191" t="s">
        <v>33</v>
      </c>
      <c r="F2191" t="s">
        <v>25</v>
      </c>
      <c r="G2191" t="s">
        <v>50</v>
      </c>
      <c r="H2191" t="s">
        <v>47</v>
      </c>
      <c r="I2191" t="s">
        <v>94</v>
      </c>
      <c r="J2191">
        <v>2</v>
      </c>
      <c r="K2191">
        <v>4185000</v>
      </c>
      <c r="L2191">
        <v>8.35304390015984E-2</v>
      </c>
      <c r="M2191" t="s">
        <v>65</v>
      </c>
      <c r="N2191">
        <v>0</v>
      </c>
      <c r="P2191" t="b">
        <v>1</v>
      </c>
    </row>
    <row r="2192" spans="1:16" x14ac:dyDescent="0.2">
      <c r="A2192" t="s">
        <v>3483</v>
      </c>
      <c r="B2192" s="1">
        <v>44986</v>
      </c>
      <c r="C2192" s="1">
        <v>45063</v>
      </c>
      <c r="D2192" t="s">
        <v>2486</v>
      </c>
      <c r="F2192" t="s">
        <v>68</v>
      </c>
      <c r="G2192" t="s">
        <v>20</v>
      </c>
      <c r="H2192" t="s">
        <v>47</v>
      </c>
      <c r="I2192" t="s">
        <v>94</v>
      </c>
      <c r="J2192">
        <v>3</v>
      </c>
      <c r="K2192">
        <v>2054000</v>
      </c>
      <c r="L2192">
        <v>7.1768693613265697E-2</v>
      </c>
      <c r="M2192" t="s">
        <v>23</v>
      </c>
      <c r="N2192">
        <v>5720000</v>
      </c>
      <c r="O2192">
        <v>4.5999999999999996</v>
      </c>
      <c r="P2192" t="b">
        <v>1</v>
      </c>
    </row>
    <row r="2193" spans="1:16" x14ac:dyDescent="0.2">
      <c r="A2193" t="s">
        <v>3484</v>
      </c>
      <c r="B2193" s="1">
        <v>44987</v>
      </c>
      <c r="C2193" s="1">
        <v>45058</v>
      </c>
      <c r="D2193" t="s">
        <v>2048</v>
      </c>
      <c r="E2193" t="s">
        <v>45</v>
      </c>
      <c r="F2193" t="s">
        <v>34</v>
      </c>
      <c r="G2193" t="s">
        <v>20</v>
      </c>
      <c r="H2193" t="s">
        <v>21</v>
      </c>
      <c r="I2193" t="s">
        <v>30</v>
      </c>
      <c r="J2193">
        <v>1</v>
      </c>
      <c r="K2193">
        <v>3718000</v>
      </c>
      <c r="L2193" s="2" t="s">
        <v>3485</v>
      </c>
      <c r="M2193" t="s">
        <v>23</v>
      </c>
      <c r="N2193">
        <v>3301000</v>
      </c>
      <c r="O2193">
        <v>4.2</v>
      </c>
      <c r="P2193" t="b">
        <v>1</v>
      </c>
    </row>
    <row r="2194" spans="1:16" x14ac:dyDescent="0.2">
      <c r="A2194" t="s">
        <v>3486</v>
      </c>
      <c r="B2194" s="1">
        <v>44987</v>
      </c>
      <c r="C2194" s="1">
        <v>45064</v>
      </c>
      <c r="D2194" t="s">
        <v>2944</v>
      </c>
      <c r="E2194" t="s">
        <v>29</v>
      </c>
      <c r="F2194" t="s">
        <v>45</v>
      </c>
      <c r="G2194" t="s">
        <v>46</v>
      </c>
      <c r="H2194" t="s">
        <v>21</v>
      </c>
      <c r="I2194" t="s">
        <v>57</v>
      </c>
      <c r="J2194">
        <v>1</v>
      </c>
      <c r="K2194">
        <v>3339000</v>
      </c>
      <c r="L2194">
        <v>7.0514044636945605E-2</v>
      </c>
      <c r="M2194" t="s">
        <v>65</v>
      </c>
      <c r="N2194">
        <v>0</v>
      </c>
      <c r="P2194" t="b">
        <v>1</v>
      </c>
    </row>
    <row r="2195" spans="1:16" x14ac:dyDescent="0.2">
      <c r="A2195" t="s">
        <v>3487</v>
      </c>
      <c r="B2195" s="1">
        <v>44988</v>
      </c>
      <c r="C2195" s="1">
        <v>45066</v>
      </c>
      <c r="D2195" t="s">
        <v>3168</v>
      </c>
      <c r="E2195" t="s">
        <v>45</v>
      </c>
      <c r="F2195" t="s">
        <v>34</v>
      </c>
      <c r="G2195" t="s">
        <v>20</v>
      </c>
      <c r="H2195" t="s">
        <v>51</v>
      </c>
      <c r="I2195" t="s">
        <v>57</v>
      </c>
      <c r="J2195">
        <v>2</v>
      </c>
      <c r="K2195">
        <v>3980000</v>
      </c>
      <c r="L2195" s="2" t="s">
        <v>3488</v>
      </c>
      <c r="M2195" t="s">
        <v>23</v>
      </c>
      <c r="N2195">
        <v>7516000</v>
      </c>
      <c r="O2195">
        <v>4.0999999999999996</v>
      </c>
      <c r="P2195" t="b">
        <v>1</v>
      </c>
    </row>
    <row r="2196" spans="1:16" x14ac:dyDescent="0.2">
      <c r="A2196" t="s">
        <v>3489</v>
      </c>
      <c r="B2196" s="1">
        <v>44989</v>
      </c>
      <c r="C2196" s="1">
        <v>45072</v>
      </c>
      <c r="D2196" t="s">
        <v>479</v>
      </c>
      <c r="E2196" t="s">
        <v>45</v>
      </c>
      <c r="F2196" t="s">
        <v>34</v>
      </c>
      <c r="G2196" t="s">
        <v>20</v>
      </c>
      <c r="H2196" t="s">
        <v>21</v>
      </c>
      <c r="I2196" t="s">
        <v>94</v>
      </c>
      <c r="J2196">
        <v>2</v>
      </c>
      <c r="K2196">
        <v>3987000</v>
      </c>
      <c r="L2196">
        <v>8.4901305837547E-2</v>
      </c>
      <c r="M2196" t="s">
        <v>65</v>
      </c>
      <c r="N2196">
        <v>0</v>
      </c>
      <c r="P2196" t="b">
        <v>1</v>
      </c>
    </row>
    <row r="2197" spans="1:16" x14ac:dyDescent="0.2">
      <c r="A2197" t="s">
        <v>3490</v>
      </c>
      <c r="B2197" s="1">
        <v>44991</v>
      </c>
      <c r="C2197" s="1">
        <v>45059</v>
      </c>
      <c r="D2197" t="s">
        <v>3491</v>
      </c>
      <c r="E2197" t="s">
        <v>29</v>
      </c>
      <c r="F2197" t="s">
        <v>34</v>
      </c>
      <c r="G2197" t="s">
        <v>20</v>
      </c>
      <c r="H2197" t="s">
        <v>40</v>
      </c>
      <c r="I2197" t="s">
        <v>60</v>
      </c>
      <c r="J2197">
        <v>3</v>
      </c>
      <c r="K2197">
        <v>4264000</v>
      </c>
      <c r="L2197">
        <v>9.1985166755835804E-2</v>
      </c>
      <c r="M2197" t="s">
        <v>23</v>
      </c>
      <c r="N2197">
        <v>11615000</v>
      </c>
      <c r="O2197">
        <v>5</v>
      </c>
      <c r="P2197" t="b">
        <v>0</v>
      </c>
    </row>
    <row r="2198" spans="1:16" x14ac:dyDescent="0.2">
      <c r="A2198" t="s">
        <v>3492</v>
      </c>
      <c r="B2198" s="1">
        <v>44991</v>
      </c>
      <c r="C2198" s="1">
        <v>45048</v>
      </c>
      <c r="D2198" t="s">
        <v>3493</v>
      </c>
      <c r="E2198" t="s">
        <v>45</v>
      </c>
      <c r="F2198" t="s">
        <v>34</v>
      </c>
      <c r="G2198" t="s">
        <v>50</v>
      </c>
      <c r="H2198" t="s">
        <v>21</v>
      </c>
      <c r="I2198" t="s">
        <v>52</v>
      </c>
      <c r="J2198">
        <v>1</v>
      </c>
      <c r="K2198">
        <v>3312000</v>
      </c>
      <c r="L2198" s="2" t="s">
        <v>3494</v>
      </c>
      <c r="M2198" t="s">
        <v>23</v>
      </c>
      <c r="N2198">
        <v>2881000</v>
      </c>
      <c r="O2198">
        <v>3.9</v>
      </c>
      <c r="P2198" t="b">
        <v>0</v>
      </c>
    </row>
    <row r="2199" spans="1:16" x14ac:dyDescent="0.2">
      <c r="A2199" t="s">
        <v>3495</v>
      </c>
      <c r="B2199" s="1">
        <v>44992</v>
      </c>
      <c r="C2199" s="1">
        <v>45067</v>
      </c>
      <c r="D2199" t="s">
        <v>3496</v>
      </c>
      <c r="E2199" t="s">
        <v>29</v>
      </c>
      <c r="F2199" t="s">
        <v>45</v>
      </c>
      <c r="G2199" t="s">
        <v>20</v>
      </c>
      <c r="H2199" t="s">
        <v>21</v>
      </c>
      <c r="I2199" t="s">
        <v>94</v>
      </c>
      <c r="J2199">
        <v>1</v>
      </c>
      <c r="K2199">
        <v>3127000</v>
      </c>
      <c r="L2199" s="2" t="s">
        <v>3497</v>
      </c>
      <c r="M2199" t="s">
        <v>23</v>
      </c>
      <c r="N2199">
        <v>2634000</v>
      </c>
      <c r="O2199">
        <v>4.4000000000000004</v>
      </c>
      <c r="P2199" t="b">
        <v>0</v>
      </c>
    </row>
    <row r="2200" spans="1:16" x14ac:dyDescent="0.2">
      <c r="A2200" t="s">
        <v>3498</v>
      </c>
      <c r="B2200" s="1">
        <v>44992</v>
      </c>
      <c r="C2200" s="1">
        <v>45025</v>
      </c>
      <c r="D2200" t="s">
        <v>2327</v>
      </c>
      <c r="E2200" t="s">
        <v>29</v>
      </c>
      <c r="F2200" t="s">
        <v>45</v>
      </c>
      <c r="G2200" t="s">
        <v>50</v>
      </c>
      <c r="H2200" t="s">
        <v>47</v>
      </c>
      <c r="I2200" t="s">
        <v>94</v>
      </c>
      <c r="J2200">
        <v>2</v>
      </c>
      <c r="K2200">
        <v>3088000</v>
      </c>
      <c r="L2200" s="2" t="s">
        <v>3499</v>
      </c>
      <c r="M2200" t="s">
        <v>23</v>
      </c>
      <c r="N2200">
        <v>5393000</v>
      </c>
      <c r="O2200">
        <v>4.9000000000000004</v>
      </c>
      <c r="P2200" t="b">
        <v>1</v>
      </c>
    </row>
    <row r="2201" spans="1:16" x14ac:dyDescent="0.2">
      <c r="A2201" t="s">
        <v>3500</v>
      </c>
      <c r="B2201" s="1">
        <v>44992</v>
      </c>
      <c r="C2201" s="1">
        <v>45047</v>
      </c>
      <c r="D2201" t="s">
        <v>3501</v>
      </c>
      <c r="E2201" t="s">
        <v>18</v>
      </c>
      <c r="F2201" t="s">
        <v>45</v>
      </c>
      <c r="G2201" t="s">
        <v>50</v>
      </c>
      <c r="H2201" t="s">
        <v>40</v>
      </c>
      <c r="I2201" t="s">
        <v>26</v>
      </c>
      <c r="J2201">
        <v>1</v>
      </c>
      <c r="K2201">
        <v>3385000</v>
      </c>
      <c r="L2201" s="2" t="s">
        <v>3502</v>
      </c>
      <c r="M2201" t="s">
        <v>23</v>
      </c>
      <c r="N2201">
        <v>3188000</v>
      </c>
      <c r="O2201">
        <v>4.0999999999999996</v>
      </c>
      <c r="P2201" t="b">
        <v>0</v>
      </c>
    </row>
    <row r="2202" spans="1:16" x14ac:dyDescent="0.2">
      <c r="A2202" t="s">
        <v>3503</v>
      </c>
      <c r="B2202" s="1">
        <v>44993</v>
      </c>
      <c r="C2202" s="1">
        <v>45019</v>
      </c>
      <c r="D2202" t="s">
        <v>1938</v>
      </c>
      <c r="E2202" t="s">
        <v>33</v>
      </c>
      <c r="F2202" t="s">
        <v>34</v>
      </c>
      <c r="G2202" t="s">
        <v>50</v>
      </c>
      <c r="H2202" t="s">
        <v>47</v>
      </c>
      <c r="I2202" t="s">
        <v>52</v>
      </c>
      <c r="J2202">
        <v>4</v>
      </c>
      <c r="K2202">
        <v>3762000</v>
      </c>
      <c r="L2202" s="2" t="s">
        <v>3504</v>
      </c>
      <c r="M2202" t="s">
        <v>23</v>
      </c>
      <c r="N2202">
        <v>13437000</v>
      </c>
      <c r="O2202">
        <v>4.5</v>
      </c>
      <c r="P2202" t="b">
        <v>1</v>
      </c>
    </row>
    <row r="2203" spans="1:16" x14ac:dyDescent="0.2">
      <c r="A2203" t="s">
        <v>3505</v>
      </c>
      <c r="B2203" s="1">
        <v>44994</v>
      </c>
      <c r="C2203" s="1">
        <v>45071</v>
      </c>
      <c r="D2203" t="s">
        <v>862</v>
      </c>
      <c r="F2203" t="s">
        <v>45</v>
      </c>
      <c r="G2203" t="s">
        <v>20</v>
      </c>
      <c r="H2203" t="s">
        <v>21</v>
      </c>
      <c r="I2203" t="s">
        <v>22</v>
      </c>
      <c r="J2203">
        <v>1</v>
      </c>
      <c r="K2203">
        <v>3008000</v>
      </c>
      <c r="L2203">
        <v>4.21886048220061E-2</v>
      </c>
      <c r="M2203" t="s">
        <v>23</v>
      </c>
      <c r="N2203">
        <v>2881000</v>
      </c>
      <c r="O2203">
        <v>4.4000000000000004</v>
      </c>
      <c r="P2203" t="b">
        <v>1</v>
      </c>
    </row>
    <row r="2204" spans="1:16" x14ac:dyDescent="0.2">
      <c r="A2204" t="s">
        <v>3506</v>
      </c>
      <c r="B2204" s="1">
        <v>44995</v>
      </c>
      <c r="C2204" s="1">
        <v>45035</v>
      </c>
      <c r="D2204" t="s">
        <v>134</v>
      </c>
      <c r="E2204" t="s">
        <v>18</v>
      </c>
      <c r="F2204" t="s">
        <v>45</v>
      </c>
      <c r="G2204" t="s">
        <v>50</v>
      </c>
      <c r="H2204" t="s">
        <v>21</v>
      </c>
      <c r="I2204" t="s">
        <v>26</v>
      </c>
      <c r="J2204">
        <v>1</v>
      </c>
      <c r="K2204">
        <v>3523000</v>
      </c>
      <c r="L2204" s="3">
        <v>9.8000000000000004E-2</v>
      </c>
      <c r="M2204" t="s">
        <v>65</v>
      </c>
      <c r="N2204">
        <v>0</v>
      </c>
      <c r="P2204" t="b">
        <v>1</v>
      </c>
    </row>
    <row r="2205" spans="1:16" x14ac:dyDescent="0.2">
      <c r="A2205" t="s">
        <v>3507</v>
      </c>
      <c r="B2205" s="1">
        <v>44996</v>
      </c>
      <c r="C2205" s="1">
        <v>45070</v>
      </c>
      <c r="D2205" t="s">
        <v>397</v>
      </c>
      <c r="E2205" t="s">
        <v>33</v>
      </c>
      <c r="F2205" t="s">
        <v>19</v>
      </c>
      <c r="G2205" t="s">
        <v>50</v>
      </c>
      <c r="H2205" t="s">
        <v>47</v>
      </c>
      <c r="I2205" t="s">
        <v>94</v>
      </c>
      <c r="J2205">
        <v>1</v>
      </c>
      <c r="K2205">
        <v>2755000</v>
      </c>
      <c r="L2205" s="2" t="s">
        <v>3508</v>
      </c>
      <c r="M2205" t="s">
        <v>23</v>
      </c>
      <c r="N2205">
        <v>2406000</v>
      </c>
      <c r="O2205">
        <v>5</v>
      </c>
      <c r="P2205" t="b">
        <v>1</v>
      </c>
    </row>
    <row r="2206" spans="1:16" x14ac:dyDescent="0.2">
      <c r="A2206" t="s">
        <v>3509</v>
      </c>
      <c r="B2206" s="1">
        <v>44996</v>
      </c>
      <c r="C2206" s="1">
        <v>45057</v>
      </c>
      <c r="D2206" t="s">
        <v>2972</v>
      </c>
      <c r="E2206" t="s">
        <v>33</v>
      </c>
      <c r="F2206" t="s">
        <v>34</v>
      </c>
      <c r="G2206" t="s">
        <v>35</v>
      </c>
      <c r="H2206" t="s">
        <v>21</v>
      </c>
      <c r="J2206">
        <v>4</v>
      </c>
      <c r="K2206">
        <v>3409000</v>
      </c>
      <c r="L2206" s="2" t="s">
        <v>3510</v>
      </c>
      <c r="M2206" t="s">
        <v>23</v>
      </c>
      <c r="N2206">
        <v>12121000</v>
      </c>
      <c r="O2206">
        <v>4</v>
      </c>
      <c r="P2206" t="b">
        <v>1</v>
      </c>
    </row>
    <row r="2207" spans="1:16" x14ac:dyDescent="0.2">
      <c r="A2207" t="s">
        <v>3511</v>
      </c>
      <c r="B2207" s="1">
        <v>44996</v>
      </c>
      <c r="C2207" s="1">
        <v>45073</v>
      </c>
      <c r="D2207" t="s">
        <v>1313</v>
      </c>
      <c r="E2207" t="s">
        <v>45</v>
      </c>
      <c r="F2207" t="s">
        <v>25</v>
      </c>
      <c r="G2207" t="s">
        <v>46</v>
      </c>
      <c r="H2207" t="s">
        <v>47</v>
      </c>
      <c r="I2207" t="s">
        <v>26</v>
      </c>
      <c r="J2207">
        <v>2</v>
      </c>
      <c r="K2207">
        <v>5120000</v>
      </c>
      <c r="L2207">
        <v>9.6598965456200905E-2</v>
      </c>
      <c r="M2207" t="s">
        <v>23</v>
      </c>
      <c r="N2207">
        <v>9251000</v>
      </c>
      <c r="O2207">
        <v>3.8</v>
      </c>
      <c r="P2207" t="b">
        <v>1</v>
      </c>
    </row>
    <row r="2208" spans="1:16" x14ac:dyDescent="0.2">
      <c r="A2208" t="s">
        <v>3512</v>
      </c>
      <c r="B2208" s="1">
        <v>44997</v>
      </c>
      <c r="C2208" s="1">
        <v>45006</v>
      </c>
      <c r="D2208" t="s">
        <v>3513</v>
      </c>
      <c r="E2208" t="s">
        <v>45</v>
      </c>
      <c r="F2208" t="s">
        <v>19</v>
      </c>
      <c r="G2208" t="s">
        <v>20</v>
      </c>
      <c r="H2208" t="s">
        <v>21</v>
      </c>
      <c r="I2208" t="s">
        <v>94</v>
      </c>
      <c r="J2208">
        <v>2</v>
      </c>
      <c r="K2208">
        <v>2420000</v>
      </c>
      <c r="L2208">
        <v>8.4013401141625602E-2</v>
      </c>
      <c r="M2208" t="s">
        <v>23</v>
      </c>
      <c r="N2208">
        <v>4433000</v>
      </c>
      <c r="O2208">
        <v>4.9000000000000004</v>
      </c>
      <c r="P2208" t="b">
        <v>0</v>
      </c>
    </row>
    <row r="2209" spans="1:16" x14ac:dyDescent="0.2">
      <c r="A2209" t="s">
        <v>3514</v>
      </c>
      <c r="B2209" s="1">
        <v>44997</v>
      </c>
      <c r="C2209" s="1">
        <v>45054</v>
      </c>
      <c r="D2209" t="s">
        <v>3515</v>
      </c>
      <c r="E2209" t="s">
        <v>18</v>
      </c>
      <c r="F2209" t="s">
        <v>34</v>
      </c>
      <c r="H2209" t="s">
        <v>21</v>
      </c>
      <c r="I2209" t="s">
        <v>60</v>
      </c>
      <c r="J2209">
        <v>1</v>
      </c>
      <c r="K2209">
        <v>4655000</v>
      </c>
      <c r="L2209">
        <v>2.6754401583002602E-2</v>
      </c>
      <c r="M2209" t="s">
        <v>23</v>
      </c>
      <c r="N2209">
        <v>4530000</v>
      </c>
      <c r="O2209">
        <v>3.9</v>
      </c>
      <c r="P2209" t="b">
        <v>0</v>
      </c>
    </row>
    <row r="2210" spans="1:16" x14ac:dyDescent="0.2">
      <c r="A2210" t="s">
        <v>3516</v>
      </c>
      <c r="B2210" s="1">
        <v>44999</v>
      </c>
      <c r="C2210" s="1">
        <v>45062</v>
      </c>
      <c r="D2210" t="s">
        <v>276</v>
      </c>
      <c r="E2210" t="s">
        <v>33</v>
      </c>
      <c r="F2210" t="s">
        <v>45</v>
      </c>
      <c r="G2210" t="s">
        <v>20</v>
      </c>
      <c r="H2210" t="s">
        <v>21</v>
      </c>
      <c r="I2210" t="s">
        <v>60</v>
      </c>
      <c r="J2210">
        <v>2</v>
      </c>
      <c r="K2210">
        <v>3613000</v>
      </c>
      <c r="L2210" s="3">
        <v>6.5000000000000002E-2</v>
      </c>
      <c r="M2210" t="s">
        <v>23</v>
      </c>
      <c r="N2210">
        <v>6755000</v>
      </c>
      <c r="O2210">
        <v>3.3</v>
      </c>
      <c r="P2210" t="b">
        <v>1</v>
      </c>
    </row>
    <row r="2211" spans="1:16" x14ac:dyDescent="0.2">
      <c r="A2211" t="s">
        <v>3517</v>
      </c>
      <c r="B2211" s="1">
        <v>45000</v>
      </c>
      <c r="C2211" s="1">
        <v>45075</v>
      </c>
      <c r="D2211" t="s">
        <v>3011</v>
      </c>
      <c r="F2211" t="s">
        <v>19</v>
      </c>
      <c r="G2211" t="s">
        <v>20</v>
      </c>
      <c r="H2211" t="s">
        <v>40</v>
      </c>
      <c r="I2211" t="s">
        <v>57</v>
      </c>
      <c r="J2211">
        <v>2</v>
      </c>
      <c r="K2211">
        <v>3098000</v>
      </c>
      <c r="L2211" s="2" t="s">
        <v>3518</v>
      </c>
      <c r="M2211" t="s">
        <v>23</v>
      </c>
      <c r="N2211">
        <v>5386000</v>
      </c>
      <c r="O2211">
        <v>4.0999999999999996</v>
      </c>
      <c r="P2211" t="b">
        <v>1</v>
      </c>
    </row>
    <row r="2212" spans="1:16" x14ac:dyDescent="0.2">
      <c r="A2212" t="s">
        <v>3519</v>
      </c>
      <c r="B2212" s="1">
        <v>45000</v>
      </c>
      <c r="C2212" s="1">
        <v>45075</v>
      </c>
      <c r="D2212" t="s">
        <v>3520</v>
      </c>
      <c r="E2212" t="s">
        <v>45</v>
      </c>
      <c r="F2212" t="s">
        <v>25</v>
      </c>
      <c r="H2212" t="s">
        <v>21</v>
      </c>
      <c r="I2212" t="s">
        <v>83</v>
      </c>
      <c r="J2212">
        <v>2</v>
      </c>
      <c r="K2212">
        <v>4594000</v>
      </c>
      <c r="L2212">
        <v>7.8691863792689998E-2</v>
      </c>
      <c r="M2212" t="s">
        <v>23</v>
      </c>
      <c r="N2212">
        <v>8465000</v>
      </c>
      <c r="O2212">
        <v>4</v>
      </c>
      <c r="P2212" t="b">
        <v>0</v>
      </c>
    </row>
    <row r="2213" spans="1:16" x14ac:dyDescent="0.2">
      <c r="A2213" t="s">
        <v>3521</v>
      </c>
      <c r="B2213" s="1">
        <v>45001</v>
      </c>
      <c r="C2213" s="1">
        <v>45042</v>
      </c>
      <c r="D2213" t="s">
        <v>3522</v>
      </c>
      <c r="E2213" t="s">
        <v>45</v>
      </c>
      <c r="F2213" t="s">
        <v>45</v>
      </c>
      <c r="G2213" t="s">
        <v>20</v>
      </c>
      <c r="H2213" t="s">
        <v>47</v>
      </c>
      <c r="I2213" t="s">
        <v>60</v>
      </c>
      <c r="J2213">
        <v>3</v>
      </c>
      <c r="K2213">
        <v>3810000</v>
      </c>
      <c r="L2213">
        <v>6.1783349151387799E-2</v>
      </c>
      <c r="M2213" t="s">
        <v>23</v>
      </c>
      <c r="N2213">
        <v>10724000</v>
      </c>
      <c r="O2213">
        <v>4.5</v>
      </c>
      <c r="P2213" t="b">
        <v>0</v>
      </c>
    </row>
    <row r="2214" spans="1:16" x14ac:dyDescent="0.2">
      <c r="A2214" t="s">
        <v>3523</v>
      </c>
      <c r="B2214" s="1">
        <v>45002</v>
      </c>
      <c r="C2214" s="1">
        <v>45025</v>
      </c>
      <c r="D2214" t="s">
        <v>285</v>
      </c>
      <c r="E2214" t="s">
        <v>33</v>
      </c>
      <c r="F2214" t="s">
        <v>34</v>
      </c>
      <c r="G2214" t="s">
        <v>50</v>
      </c>
      <c r="H2214" t="s">
        <v>21</v>
      </c>
      <c r="I2214" t="s">
        <v>26</v>
      </c>
      <c r="J2214">
        <v>2</v>
      </c>
      <c r="K2214">
        <v>3910000</v>
      </c>
      <c r="L2214" s="2" t="s">
        <v>3524</v>
      </c>
      <c r="M2214" t="s">
        <v>23</v>
      </c>
      <c r="N2214">
        <v>6966000</v>
      </c>
      <c r="O2214">
        <v>4.7</v>
      </c>
      <c r="P2214" t="b">
        <v>1</v>
      </c>
    </row>
    <row r="2215" spans="1:16" x14ac:dyDescent="0.2">
      <c r="A2215" t="s">
        <v>3525</v>
      </c>
      <c r="B2215" s="1">
        <v>45002</v>
      </c>
      <c r="C2215" s="1">
        <v>45043</v>
      </c>
      <c r="D2215" t="s">
        <v>1167</v>
      </c>
      <c r="E2215" t="s">
        <v>29</v>
      </c>
      <c r="F2215" t="s">
        <v>34</v>
      </c>
      <c r="G2215" t="s">
        <v>35</v>
      </c>
      <c r="H2215" t="s">
        <v>21</v>
      </c>
      <c r="I2215" t="s">
        <v>26</v>
      </c>
      <c r="J2215">
        <v>1</v>
      </c>
      <c r="K2215">
        <v>3800000</v>
      </c>
      <c r="L2215" s="2" t="s">
        <v>3526</v>
      </c>
      <c r="M2215" t="s">
        <v>65</v>
      </c>
      <c r="N2215">
        <v>0</v>
      </c>
      <c r="P2215" t="b">
        <v>1</v>
      </c>
    </row>
    <row r="2216" spans="1:16" x14ac:dyDescent="0.2">
      <c r="A2216" t="s">
        <v>3527</v>
      </c>
      <c r="B2216" s="1">
        <v>45002</v>
      </c>
      <c r="C2216" s="1">
        <v>45044</v>
      </c>
      <c r="D2216" t="s">
        <v>183</v>
      </c>
      <c r="E2216" t="s">
        <v>18</v>
      </c>
      <c r="F2216" t="s">
        <v>19</v>
      </c>
      <c r="G2216" t="s">
        <v>35</v>
      </c>
      <c r="H2216" t="s">
        <v>21</v>
      </c>
      <c r="I2216" t="s">
        <v>77</v>
      </c>
      <c r="J2216">
        <v>1</v>
      </c>
      <c r="K2216">
        <v>2713000</v>
      </c>
      <c r="L2216" s="3">
        <v>0.16900000000000001</v>
      </c>
      <c r="M2216" t="s">
        <v>23</v>
      </c>
      <c r="N2216">
        <v>2255000</v>
      </c>
      <c r="O2216">
        <v>3.2</v>
      </c>
      <c r="P2216" t="b">
        <v>1</v>
      </c>
    </row>
    <row r="2217" spans="1:16" x14ac:dyDescent="0.2">
      <c r="A2217" t="s">
        <v>3528</v>
      </c>
      <c r="B2217" s="1">
        <v>45002</v>
      </c>
      <c r="C2217" s="1">
        <v>45057</v>
      </c>
      <c r="D2217" t="s">
        <v>2537</v>
      </c>
      <c r="E2217" t="s">
        <v>45</v>
      </c>
      <c r="F2217" t="s">
        <v>34</v>
      </c>
      <c r="G2217" t="s">
        <v>50</v>
      </c>
      <c r="H2217" t="s">
        <v>21</v>
      </c>
      <c r="I2217" t="s">
        <v>83</v>
      </c>
      <c r="J2217">
        <v>1</v>
      </c>
      <c r="K2217">
        <v>4020000</v>
      </c>
      <c r="L2217">
        <v>3.08384493125404E-2</v>
      </c>
      <c r="M2217" t="s">
        <v>23</v>
      </c>
      <c r="N2217">
        <v>3896000</v>
      </c>
      <c r="O2217">
        <v>3.6</v>
      </c>
      <c r="P2217" t="b">
        <v>1</v>
      </c>
    </row>
    <row r="2218" spans="1:16" x14ac:dyDescent="0.2">
      <c r="A2218" t="s">
        <v>3529</v>
      </c>
      <c r="B2218" s="1">
        <v>45003</v>
      </c>
      <c r="C2218" s="1">
        <v>45052</v>
      </c>
      <c r="D2218" t="s">
        <v>2042</v>
      </c>
      <c r="E2218" t="s">
        <v>29</v>
      </c>
      <c r="F2218" t="s">
        <v>45</v>
      </c>
      <c r="G2218" t="s">
        <v>35</v>
      </c>
      <c r="H2218" t="s">
        <v>40</v>
      </c>
      <c r="I2218" t="s">
        <v>83</v>
      </c>
      <c r="J2218">
        <v>1</v>
      </c>
      <c r="K2218">
        <v>2691000</v>
      </c>
      <c r="L2218">
        <v>7.1593771640811807E-2</v>
      </c>
      <c r="M2218" t="s">
        <v>23</v>
      </c>
      <c r="N2218">
        <v>2498000</v>
      </c>
      <c r="O2218">
        <v>4</v>
      </c>
      <c r="P2218" t="b">
        <v>1</v>
      </c>
    </row>
    <row r="2219" spans="1:16" x14ac:dyDescent="0.2">
      <c r="A2219" t="s">
        <v>3530</v>
      </c>
      <c r="B2219" s="1">
        <v>45003</v>
      </c>
      <c r="C2219" s="1">
        <v>45091</v>
      </c>
      <c r="D2219" t="s">
        <v>2416</v>
      </c>
      <c r="F2219" t="s">
        <v>34</v>
      </c>
      <c r="G2219" t="s">
        <v>20</v>
      </c>
      <c r="H2219" t="s">
        <v>21</v>
      </c>
      <c r="I2219" t="s">
        <v>26</v>
      </c>
      <c r="J2219">
        <v>2</v>
      </c>
      <c r="K2219">
        <v>4445000</v>
      </c>
      <c r="L2219" s="2" t="s">
        <v>3531</v>
      </c>
      <c r="M2219" t="s">
        <v>23</v>
      </c>
      <c r="N2219">
        <v>8589000</v>
      </c>
      <c r="O2219">
        <v>4.5</v>
      </c>
      <c r="P2219" t="b">
        <v>1</v>
      </c>
    </row>
    <row r="2220" spans="1:16" x14ac:dyDescent="0.2">
      <c r="A2220" t="s">
        <v>3532</v>
      </c>
      <c r="B2220" s="1">
        <v>45005</v>
      </c>
      <c r="C2220" s="1">
        <v>45055</v>
      </c>
      <c r="D2220" t="s">
        <v>3223</v>
      </c>
      <c r="E2220" t="s">
        <v>18</v>
      </c>
      <c r="F2220" t="s">
        <v>68</v>
      </c>
      <c r="G2220" t="s">
        <v>20</v>
      </c>
      <c r="H2220" t="s">
        <v>47</v>
      </c>
      <c r="I2220" t="s">
        <v>99</v>
      </c>
      <c r="J2220">
        <v>5</v>
      </c>
      <c r="K2220">
        <v>2408000</v>
      </c>
      <c r="L2220">
        <v>4.2312078116331503E-2</v>
      </c>
      <c r="M2220" t="s">
        <v>65</v>
      </c>
      <c r="N2220">
        <v>0</v>
      </c>
      <c r="P2220" t="b">
        <v>1</v>
      </c>
    </row>
    <row r="2221" spans="1:16" x14ac:dyDescent="0.2">
      <c r="A2221" t="s">
        <v>3533</v>
      </c>
      <c r="B2221" s="1">
        <v>45005</v>
      </c>
      <c r="C2221" s="1">
        <v>45046</v>
      </c>
      <c r="D2221" t="s">
        <v>1117</v>
      </c>
      <c r="E2221" t="s">
        <v>18</v>
      </c>
      <c r="F2221" t="s">
        <v>19</v>
      </c>
      <c r="G2221" t="s">
        <v>50</v>
      </c>
      <c r="H2221" t="s">
        <v>47</v>
      </c>
      <c r="I2221" t="s">
        <v>83</v>
      </c>
      <c r="J2221">
        <v>1</v>
      </c>
      <c r="K2221">
        <v>2808000</v>
      </c>
      <c r="L2221" s="2" t="s">
        <v>3534</v>
      </c>
      <c r="M2221" t="s">
        <v>23</v>
      </c>
      <c r="N2221">
        <v>2412000</v>
      </c>
      <c r="O2221">
        <v>4</v>
      </c>
      <c r="P2221" t="b">
        <v>1</v>
      </c>
    </row>
    <row r="2222" spans="1:16" x14ac:dyDescent="0.2">
      <c r="A2222" t="s">
        <v>3535</v>
      </c>
      <c r="B2222" s="1">
        <v>45006</v>
      </c>
      <c r="C2222" s="1">
        <v>45013</v>
      </c>
      <c r="D2222" t="s">
        <v>1441</v>
      </c>
      <c r="E2222" t="s">
        <v>45</v>
      </c>
      <c r="F2222" t="s">
        <v>34</v>
      </c>
      <c r="G2222" t="s">
        <v>50</v>
      </c>
      <c r="H2222" t="s">
        <v>21</v>
      </c>
      <c r="J2222">
        <v>4</v>
      </c>
      <c r="K2222">
        <v>3880000</v>
      </c>
      <c r="L2222">
        <v>7.4176258852792304E-2</v>
      </c>
      <c r="M2222" t="s">
        <v>23</v>
      </c>
      <c r="N2222">
        <v>14369000</v>
      </c>
      <c r="O2222">
        <v>3.9</v>
      </c>
      <c r="P2222" t="b">
        <v>1</v>
      </c>
    </row>
    <row r="2223" spans="1:16" x14ac:dyDescent="0.2">
      <c r="A2223" t="s">
        <v>3536</v>
      </c>
      <c r="B2223" s="1">
        <v>45007</v>
      </c>
      <c r="C2223" s="1">
        <v>45097</v>
      </c>
      <c r="D2223" t="s">
        <v>2832</v>
      </c>
      <c r="E2223" t="s">
        <v>18</v>
      </c>
      <c r="F2223" t="s">
        <v>25</v>
      </c>
      <c r="G2223" t="s">
        <v>35</v>
      </c>
      <c r="H2223" t="s">
        <v>47</v>
      </c>
      <c r="I2223" t="s">
        <v>99</v>
      </c>
      <c r="J2223">
        <v>4</v>
      </c>
      <c r="K2223">
        <v>4885000</v>
      </c>
      <c r="L2223">
        <v>8.1519223215848799E-2</v>
      </c>
      <c r="M2223" t="s">
        <v>23</v>
      </c>
      <c r="N2223">
        <v>17947000</v>
      </c>
      <c r="O2223">
        <v>4.5</v>
      </c>
      <c r="P2223" t="b">
        <v>1</v>
      </c>
    </row>
    <row r="2224" spans="1:16" x14ac:dyDescent="0.2">
      <c r="A2224" t="s">
        <v>3537</v>
      </c>
      <c r="B2224" s="1">
        <v>45007</v>
      </c>
      <c r="C2224" s="1">
        <v>45056</v>
      </c>
      <c r="D2224" t="s">
        <v>414</v>
      </c>
      <c r="E2224" t="s">
        <v>33</v>
      </c>
      <c r="F2224" t="s">
        <v>45</v>
      </c>
      <c r="G2224" t="s">
        <v>35</v>
      </c>
      <c r="H2224" t="s">
        <v>47</v>
      </c>
      <c r="I2224" t="s">
        <v>83</v>
      </c>
      <c r="J2224">
        <v>1</v>
      </c>
      <c r="K2224">
        <v>2481000</v>
      </c>
      <c r="L2224">
        <v>6.6278594725758894E-2</v>
      </c>
      <c r="M2224" t="s">
        <v>23</v>
      </c>
      <c r="N2224">
        <v>2317000</v>
      </c>
      <c r="O2224">
        <v>3.7</v>
      </c>
      <c r="P2224" t="b">
        <v>1</v>
      </c>
    </row>
    <row r="2225" spans="1:16" x14ac:dyDescent="0.2">
      <c r="A2225" t="s">
        <v>3538</v>
      </c>
      <c r="B2225" s="1">
        <v>45008</v>
      </c>
      <c r="C2225" s="1">
        <v>45050</v>
      </c>
      <c r="D2225" t="s">
        <v>143</v>
      </c>
      <c r="E2225" t="s">
        <v>18</v>
      </c>
      <c r="F2225" t="s">
        <v>34</v>
      </c>
      <c r="G2225" t="s">
        <v>35</v>
      </c>
      <c r="H2225" t="s">
        <v>21</v>
      </c>
      <c r="I2225" t="s">
        <v>99</v>
      </c>
      <c r="J2225">
        <v>3</v>
      </c>
      <c r="K2225">
        <v>3900000</v>
      </c>
      <c r="L2225" s="2" t="s">
        <v>3539</v>
      </c>
      <c r="M2225" t="s">
        <v>23</v>
      </c>
      <c r="N2225">
        <v>10442000</v>
      </c>
      <c r="O2225">
        <v>4.5999999999999996</v>
      </c>
      <c r="P2225" t="b">
        <v>1</v>
      </c>
    </row>
    <row r="2226" spans="1:16" x14ac:dyDescent="0.2">
      <c r="A2226" t="s">
        <v>3540</v>
      </c>
      <c r="B2226" s="1">
        <v>45008</v>
      </c>
      <c r="C2226" s="1">
        <v>45023</v>
      </c>
      <c r="D2226" t="s">
        <v>3329</v>
      </c>
      <c r="E2226" t="s">
        <v>33</v>
      </c>
      <c r="F2226" t="s">
        <v>68</v>
      </c>
      <c r="G2226" t="s">
        <v>20</v>
      </c>
      <c r="H2226" t="s">
        <v>40</v>
      </c>
      <c r="I2226" t="s">
        <v>1654</v>
      </c>
      <c r="J2226">
        <v>2</v>
      </c>
      <c r="K2226">
        <v>3148000</v>
      </c>
      <c r="L2226" s="2" t="s">
        <v>3541</v>
      </c>
      <c r="M2226" t="s">
        <v>65</v>
      </c>
      <c r="N2226">
        <v>0</v>
      </c>
      <c r="P2226" t="b">
        <v>1</v>
      </c>
    </row>
    <row r="2227" spans="1:16" x14ac:dyDescent="0.2">
      <c r="A2227" t="s">
        <v>3542</v>
      </c>
      <c r="B2227" s="1">
        <v>45008</v>
      </c>
      <c r="C2227" s="1">
        <v>45077</v>
      </c>
      <c r="D2227" t="s">
        <v>126</v>
      </c>
      <c r="E2227" t="s">
        <v>45</v>
      </c>
      <c r="F2227" t="s">
        <v>19</v>
      </c>
      <c r="G2227" t="s">
        <v>20</v>
      </c>
      <c r="H2227" t="s">
        <v>21</v>
      </c>
      <c r="I2227" t="s">
        <v>22</v>
      </c>
      <c r="J2227">
        <v>2</v>
      </c>
      <c r="K2227">
        <v>2433000</v>
      </c>
      <c r="L2227" s="2" t="s">
        <v>3543</v>
      </c>
      <c r="M2227" t="s">
        <v>1656</v>
      </c>
      <c r="N2227">
        <v>0</v>
      </c>
      <c r="P2227" t="b">
        <v>1</v>
      </c>
    </row>
    <row r="2228" spans="1:16" x14ac:dyDescent="0.2">
      <c r="A2228" t="s">
        <v>3544</v>
      </c>
      <c r="B2228" s="1">
        <v>45010</v>
      </c>
      <c r="C2228" s="1">
        <v>45045</v>
      </c>
      <c r="D2228" t="s">
        <v>625</v>
      </c>
      <c r="E2228" t="s">
        <v>45</v>
      </c>
      <c r="F2228" t="s">
        <v>25</v>
      </c>
      <c r="G2228" t="s">
        <v>20</v>
      </c>
      <c r="H2228" t="s">
        <v>21</v>
      </c>
      <c r="I2228" t="s">
        <v>77</v>
      </c>
      <c r="J2228">
        <v>1</v>
      </c>
      <c r="K2228">
        <v>5940000</v>
      </c>
      <c r="L2228">
        <v>6.3873845260292397E-2</v>
      </c>
      <c r="M2228" t="s">
        <v>1656</v>
      </c>
      <c r="N2228">
        <v>5561000</v>
      </c>
      <c r="O2228">
        <v>4.0999999999999996</v>
      </c>
      <c r="P2228" t="b">
        <v>1</v>
      </c>
    </row>
    <row r="2229" spans="1:16" x14ac:dyDescent="0.2">
      <c r="A2229" t="s">
        <v>3545</v>
      </c>
      <c r="B2229" s="1">
        <v>45010</v>
      </c>
      <c r="C2229" s="1">
        <v>45079</v>
      </c>
      <c r="D2229" t="s">
        <v>2783</v>
      </c>
      <c r="E2229" t="s">
        <v>18</v>
      </c>
      <c r="F2229" t="s">
        <v>68</v>
      </c>
      <c r="G2229" t="s">
        <v>20</v>
      </c>
      <c r="I2229" t="s">
        <v>26</v>
      </c>
      <c r="J2229">
        <v>2</v>
      </c>
      <c r="K2229">
        <v>2894000</v>
      </c>
      <c r="L2229" s="2" t="s">
        <v>3546</v>
      </c>
      <c r="M2229" t="s">
        <v>23</v>
      </c>
      <c r="N2229">
        <v>4901000</v>
      </c>
      <c r="O2229">
        <v>4.4000000000000004</v>
      </c>
      <c r="P2229" t="b">
        <v>1</v>
      </c>
    </row>
    <row r="2230" spans="1:16" x14ac:dyDescent="0.2">
      <c r="A2230" t="s">
        <v>3547</v>
      </c>
      <c r="B2230" s="1">
        <v>45010</v>
      </c>
      <c r="C2230" s="1">
        <v>45078</v>
      </c>
      <c r="D2230" t="s">
        <v>2569</v>
      </c>
      <c r="E2230" t="s">
        <v>18</v>
      </c>
      <c r="F2230" t="s">
        <v>25</v>
      </c>
      <c r="G2230" t="s">
        <v>20</v>
      </c>
      <c r="H2230" t="s">
        <v>40</v>
      </c>
      <c r="I2230" t="s">
        <v>99</v>
      </c>
      <c r="J2230">
        <v>2</v>
      </c>
      <c r="K2230">
        <v>4740000</v>
      </c>
      <c r="L2230">
        <v>5.2867409790005697E-2</v>
      </c>
      <c r="M2230" t="s">
        <v>23</v>
      </c>
      <c r="N2230">
        <v>8979000</v>
      </c>
      <c r="O2230">
        <v>3.9</v>
      </c>
      <c r="P2230" t="b">
        <v>1</v>
      </c>
    </row>
    <row r="2231" spans="1:16" x14ac:dyDescent="0.2">
      <c r="A2231" t="s">
        <v>3548</v>
      </c>
      <c r="B2231" s="1">
        <v>45010</v>
      </c>
      <c r="C2231" s="1">
        <v>45054</v>
      </c>
      <c r="D2231" t="s">
        <v>805</v>
      </c>
      <c r="E2231" t="s">
        <v>33</v>
      </c>
      <c r="F2231" t="s">
        <v>25</v>
      </c>
      <c r="G2231" t="s">
        <v>35</v>
      </c>
      <c r="H2231" t="s">
        <v>21</v>
      </c>
      <c r="I2231" t="s">
        <v>22</v>
      </c>
      <c r="J2231">
        <v>1</v>
      </c>
      <c r="K2231">
        <v>4799000</v>
      </c>
      <c r="L2231">
        <v>4.64312847906748E-2</v>
      </c>
      <c r="M2231" t="s">
        <v>23</v>
      </c>
      <c r="N2231">
        <v>4576000</v>
      </c>
      <c r="O2231">
        <v>4.3</v>
      </c>
      <c r="P2231" t="b">
        <v>1</v>
      </c>
    </row>
    <row r="2232" spans="1:16" x14ac:dyDescent="0.2">
      <c r="A2232" t="s">
        <v>3549</v>
      </c>
      <c r="B2232" s="1">
        <v>45010</v>
      </c>
      <c r="C2232" s="1">
        <v>45094</v>
      </c>
      <c r="D2232" t="s">
        <v>556</v>
      </c>
      <c r="E2232" t="s">
        <v>18</v>
      </c>
      <c r="F2232" t="s">
        <v>45</v>
      </c>
      <c r="G2232" t="s">
        <v>20</v>
      </c>
      <c r="H2232" t="s">
        <v>40</v>
      </c>
      <c r="I2232" t="s">
        <v>30</v>
      </c>
      <c r="J2232">
        <v>2</v>
      </c>
      <c r="K2232">
        <v>3376000</v>
      </c>
      <c r="L2232">
        <v>8.3439482565833306E-2</v>
      </c>
      <c r="M2232" t="s">
        <v>23</v>
      </c>
      <c r="N2232">
        <v>6189000</v>
      </c>
      <c r="O2232">
        <v>4.3</v>
      </c>
      <c r="P2232" t="b">
        <v>1</v>
      </c>
    </row>
    <row r="2233" spans="1:16" x14ac:dyDescent="0.2">
      <c r="A2233" t="s">
        <v>3550</v>
      </c>
      <c r="B2233" s="1">
        <v>45011</v>
      </c>
      <c r="C2233" s="1">
        <v>45053</v>
      </c>
      <c r="D2233" t="s">
        <v>273</v>
      </c>
      <c r="E2233" t="s">
        <v>33</v>
      </c>
      <c r="F2233" t="s">
        <v>45</v>
      </c>
      <c r="G2233" t="s">
        <v>20</v>
      </c>
      <c r="I2233" t="s">
        <v>77</v>
      </c>
      <c r="J2233">
        <v>5</v>
      </c>
      <c r="K2233">
        <v>3587000</v>
      </c>
      <c r="L2233">
        <v>8.2079618053690906E-2</v>
      </c>
      <c r="M2233" t="s">
        <v>23</v>
      </c>
      <c r="N2233">
        <v>16463000</v>
      </c>
      <c r="O2233">
        <v>4.7</v>
      </c>
      <c r="P2233" t="b">
        <v>1</v>
      </c>
    </row>
    <row r="2234" spans="1:16" x14ac:dyDescent="0.2">
      <c r="A2234" t="s">
        <v>3551</v>
      </c>
      <c r="B2234" s="1">
        <v>45013</v>
      </c>
      <c r="C2234" s="1">
        <v>45071</v>
      </c>
      <c r="D2234" t="s">
        <v>3552</v>
      </c>
      <c r="E2234" t="s">
        <v>45</v>
      </c>
      <c r="F2234" t="s">
        <v>45</v>
      </c>
      <c r="G2234" t="s">
        <v>50</v>
      </c>
      <c r="H2234" t="s">
        <v>51</v>
      </c>
      <c r="I2234" t="s">
        <v>30</v>
      </c>
      <c r="J2234">
        <v>3</v>
      </c>
      <c r="K2234">
        <v>3136000</v>
      </c>
      <c r="L2234" s="3">
        <v>0.121</v>
      </c>
      <c r="M2234" t="s">
        <v>23</v>
      </c>
      <c r="N2234">
        <v>8270000</v>
      </c>
      <c r="O2234">
        <v>4.8</v>
      </c>
      <c r="P2234" t="b">
        <v>0</v>
      </c>
    </row>
    <row r="2235" spans="1:16" x14ac:dyDescent="0.2">
      <c r="A2235" t="s">
        <v>3553</v>
      </c>
      <c r="B2235" s="1">
        <v>45014</v>
      </c>
      <c r="C2235" s="1">
        <v>45078</v>
      </c>
      <c r="D2235" t="s">
        <v>227</v>
      </c>
      <c r="E2235" t="s">
        <v>18</v>
      </c>
      <c r="F2235" t="s">
        <v>68</v>
      </c>
      <c r="G2235" t="s">
        <v>35</v>
      </c>
      <c r="H2235" t="s">
        <v>21</v>
      </c>
      <c r="I2235" t="s">
        <v>57</v>
      </c>
      <c r="J2235">
        <v>1</v>
      </c>
      <c r="K2235">
        <v>2848000</v>
      </c>
      <c r="L2235">
        <v>9.7809739220794403E-2</v>
      </c>
      <c r="M2235" t="s">
        <v>23</v>
      </c>
      <c r="N2235">
        <v>2569000</v>
      </c>
      <c r="O2235">
        <v>3.8</v>
      </c>
      <c r="P2235" t="b">
        <v>1</v>
      </c>
    </row>
    <row r="2236" spans="1:16" x14ac:dyDescent="0.2">
      <c r="A2236" t="s">
        <v>3554</v>
      </c>
      <c r="B2236" s="1">
        <v>45014</v>
      </c>
      <c r="C2236" s="1">
        <v>45102</v>
      </c>
      <c r="D2236" t="s">
        <v>3555</v>
      </c>
      <c r="E2236" t="s">
        <v>45</v>
      </c>
      <c r="F2236" t="s">
        <v>34</v>
      </c>
      <c r="G2236" t="s">
        <v>20</v>
      </c>
      <c r="H2236" t="s">
        <v>21</v>
      </c>
      <c r="I2236" t="s">
        <v>83</v>
      </c>
      <c r="J2236">
        <v>2</v>
      </c>
      <c r="K2236">
        <v>4352000</v>
      </c>
      <c r="L2236" s="2" t="s">
        <v>3556</v>
      </c>
      <c r="M2236" t="s">
        <v>23</v>
      </c>
      <c r="N2236">
        <v>7751000</v>
      </c>
      <c r="O2236">
        <v>5</v>
      </c>
      <c r="P2236" t="b">
        <v>0</v>
      </c>
    </row>
    <row r="2237" spans="1:16" x14ac:dyDescent="0.2">
      <c r="A2237" t="s">
        <v>3557</v>
      </c>
      <c r="B2237" s="1">
        <v>45015</v>
      </c>
      <c r="C2237" s="1">
        <v>45072</v>
      </c>
      <c r="D2237" t="s">
        <v>334</v>
      </c>
      <c r="E2237" t="s">
        <v>33</v>
      </c>
      <c r="F2237" t="s">
        <v>19</v>
      </c>
      <c r="G2237" t="s">
        <v>20</v>
      </c>
      <c r="H2237" t="s">
        <v>21</v>
      </c>
      <c r="I2237" t="s">
        <v>30</v>
      </c>
      <c r="J2237">
        <v>1</v>
      </c>
      <c r="K2237">
        <v>2191000</v>
      </c>
      <c r="L2237">
        <v>9.4016386029431798E-2</v>
      </c>
      <c r="M2237" t="s">
        <v>23</v>
      </c>
      <c r="N2237">
        <v>1985000</v>
      </c>
      <c r="O2237">
        <v>3.4</v>
      </c>
      <c r="P2237" t="b">
        <v>1</v>
      </c>
    </row>
    <row r="2238" spans="1:16" x14ac:dyDescent="0.2">
      <c r="A2238" t="s">
        <v>3558</v>
      </c>
      <c r="B2238" s="1">
        <v>45015</v>
      </c>
      <c r="C2238" s="1">
        <v>45070</v>
      </c>
      <c r="D2238" t="s">
        <v>2441</v>
      </c>
      <c r="E2238" t="s">
        <v>33</v>
      </c>
      <c r="F2238" t="s">
        <v>68</v>
      </c>
      <c r="G2238" t="s">
        <v>20</v>
      </c>
      <c r="H2238" t="s">
        <v>51</v>
      </c>
      <c r="I2238" t="s">
        <v>99</v>
      </c>
      <c r="J2238">
        <v>3</v>
      </c>
      <c r="K2238">
        <v>2561000</v>
      </c>
      <c r="L2238">
        <v>8.5087839498580106E-2</v>
      </c>
      <c r="M2238" t="s">
        <v>23</v>
      </c>
      <c r="N2238">
        <v>7029000</v>
      </c>
      <c r="O2238">
        <v>4.0999999999999996</v>
      </c>
      <c r="P2238" t="b">
        <v>1</v>
      </c>
    </row>
    <row r="2239" spans="1:16" x14ac:dyDescent="0.2">
      <c r="A2239" t="s">
        <v>3559</v>
      </c>
      <c r="B2239" s="1">
        <v>45016</v>
      </c>
      <c r="C2239" s="1">
        <v>45066</v>
      </c>
      <c r="D2239" t="s">
        <v>2781</v>
      </c>
      <c r="E2239" t="s">
        <v>18</v>
      </c>
      <c r="F2239" t="s">
        <v>45</v>
      </c>
      <c r="G2239" t="s">
        <v>50</v>
      </c>
      <c r="H2239" t="s">
        <v>21</v>
      </c>
      <c r="I2239" t="s">
        <v>26</v>
      </c>
      <c r="J2239">
        <v>3</v>
      </c>
      <c r="K2239">
        <v>3396000</v>
      </c>
      <c r="L2239" s="2" t="s">
        <v>3560</v>
      </c>
      <c r="M2239" t="s">
        <v>23</v>
      </c>
      <c r="N2239">
        <v>8907000</v>
      </c>
      <c r="O2239">
        <v>4.4000000000000004</v>
      </c>
      <c r="P2239" t="b">
        <v>1</v>
      </c>
    </row>
    <row r="2240" spans="1:16" x14ac:dyDescent="0.2">
      <c r="A2240" t="s">
        <v>3561</v>
      </c>
      <c r="B2240" s="1">
        <v>45016</v>
      </c>
      <c r="C2240" s="1">
        <v>45067</v>
      </c>
      <c r="D2240" t="s">
        <v>805</v>
      </c>
      <c r="E2240" t="s">
        <v>18</v>
      </c>
      <c r="F2240" t="s">
        <v>34</v>
      </c>
      <c r="G2240" t="s">
        <v>35</v>
      </c>
      <c r="H2240" t="s">
        <v>47</v>
      </c>
      <c r="I2240" t="s">
        <v>30</v>
      </c>
      <c r="J2240">
        <v>4</v>
      </c>
      <c r="K2240">
        <v>3698000</v>
      </c>
      <c r="L2240">
        <v>4.7003791392393399E-2</v>
      </c>
      <c r="M2240" t="s">
        <v>23</v>
      </c>
      <c r="N2240">
        <v>14097000</v>
      </c>
      <c r="O2240">
        <v>3.6</v>
      </c>
      <c r="P2240" t="b">
        <v>1</v>
      </c>
    </row>
    <row r="2241" spans="1:16" x14ac:dyDescent="0.2">
      <c r="A2241" t="s">
        <v>3562</v>
      </c>
      <c r="B2241" s="1">
        <v>45016</v>
      </c>
      <c r="C2241" s="1">
        <v>45062</v>
      </c>
      <c r="D2241" t="s">
        <v>896</v>
      </c>
      <c r="E2241" t="s">
        <v>45</v>
      </c>
      <c r="F2241" t="s">
        <v>39</v>
      </c>
      <c r="G2241" t="s">
        <v>35</v>
      </c>
      <c r="H2241" t="s">
        <v>21</v>
      </c>
      <c r="I2241" t="s">
        <v>26</v>
      </c>
      <c r="J2241">
        <v>1</v>
      </c>
      <c r="K2241">
        <v>2172000</v>
      </c>
      <c r="L2241">
        <v>8.4847648063396702E-2</v>
      </c>
      <c r="M2241" t="s">
        <v>23</v>
      </c>
      <c r="N2241">
        <v>1988000</v>
      </c>
      <c r="O2241">
        <v>4.4000000000000004</v>
      </c>
      <c r="P2241" t="b">
        <v>1</v>
      </c>
    </row>
    <row r="2242" spans="1:16" x14ac:dyDescent="0.2">
      <c r="A2242" t="s">
        <v>3563</v>
      </c>
      <c r="B2242" s="1">
        <v>45017</v>
      </c>
      <c r="C2242" s="1">
        <v>45044</v>
      </c>
      <c r="D2242" t="s">
        <v>1373</v>
      </c>
      <c r="E2242" t="s">
        <v>29</v>
      </c>
      <c r="F2242" t="s">
        <v>39</v>
      </c>
      <c r="G2242" t="s">
        <v>35</v>
      </c>
      <c r="H2242" t="s">
        <v>40</v>
      </c>
      <c r="I2242" t="s">
        <v>60</v>
      </c>
      <c r="J2242">
        <v>2</v>
      </c>
      <c r="K2242">
        <v>2453000</v>
      </c>
      <c r="L2242" s="2" t="s">
        <v>3564</v>
      </c>
      <c r="M2242" t="s">
        <v>23</v>
      </c>
      <c r="N2242">
        <v>4409000</v>
      </c>
      <c r="O2242">
        <v>4.2</v>
      </c>
      <c r="P2242" t="b">
        <v>1</v>
      </c>
    </row>
    <row r="2243" spans="1:16" x14ac:dyDescent="0.2">
      <c r="A2243" t="s">
        <v>3565</v>
      </c>
      <c r="B2243" s="1">
        <v>45018</v>
      </c>
      <c r="C2243" s="1">
        <v>45050</v>
      </c>
      <c r="D2243" t="s">
        <v>3566</v>
      </c>
      <c r="E2243" t="s">
        <v>29</v>
      </c>
      <c r="F2243" t="s">
        <v>34</v>
      </c>
      <c r="G2243" t="s">
        <v>50</v>
      </c>
      <c r="H2243" t="s">
        <v>21</v>
      </c>
      <c r="I2243" t="s">
        <v>94</v>
      </c>
      <c r="J2243">
        <v>1</v>
      </c>
      <c r="K2243">
        <v>4280000</v>
      </c>
      <c r="L2243">
        <v>8.4524759129356697E-2</v>
      </c>
      <c r="M2243" t="s">
        <v>23</v>
      </c>
      <c r="N2243">
        <v>3918000</v>
      </c>
      <c r="O2243">
        <v>4.2</v>
      </c>
      <c r="P2243" t="b">
        <v>0</v>
      </c>
    </row>
    <row r="2244" spans="1:16" x14ac:dyDescent="0.2">
      <c r="A2244" t="s">
        <v>3567</v>
      </c>
      <c r="B2244" s="1">
        <v>45018</v>
      </c>
      <c r="C2244" s="1">
        <v>45068</v>
      </c>
      <c r="D2244" t="s">
        <v>3385</v>
      </c>
      <c r="E2244" t="s">
        <v>18</v>
      </c>
      <c r="F2244" t="s">
        <v>25</v>
      </c>
      <c r="G2244" t="s">
        <v>50</v>
      </c>
      <c r="H2244" t="s">
        <v>21</v>
      </c>
      <c r="I2244" t="s">
        <v>77</v>
      </c>
      <c r="J2244">
        <v>2</v>
      </c>
      <c r="K2244">
        <v>5899000</v>
      </c>
      <c r="L2244">
        <v>7.3110405280568905E-2</v>
      </c>
      <c r="M2244" t="s">
        <v>23</v>
      </c>
      <c r="N2244">
        <v>10935000</v>
      </c>
      <c r="O2244">
        <v>4.3</v>
      </c>
      <c r="P2244" t="b">
        <v>1</v>
      </c>
    </row>
    <row r="2245" spans="1:16" x14ac:dyDescent="0.2">
      <c r="A2245" t="s">
        <v>3568</v>
      </c>
      <c r="B2245" s="1">
        <v>45018</v>
      </c>
      <c r="C2245" s="1">
        <v>45090</v>
      </c>
      <c r="D2245" t="s">
        <v>1334</v>
      </c>
      <c r="E2245" t="s">
        <v>33</v>
      </c>
      <c r="F2245" t="s">
        <v>19</v>
      </c>
      <c r="G2245" t="s">
        <v>20</v>
      </c>
      <c r="H2245" t="s">
        <v>21</v>
      </c>
      <c r="I2245" t="s">
        <v>83</v>
      </c>
      <c r="J2245">
        <v>4</v>
      </c>
      <c r="K2245">
        <v>3100000</v>
      </c>
      <c r="L2245" s="2" t="s">
        <v>3569</v>
      </c>
      <c r="M2245" t="s">
        <v>23</v>
      </c>
      <c r="N2245">
        <v>10628000</v>
      </c>
      <c r="O2245">
        <v>4.8</v>
      </c>
      <c r="P2245" t="b">
        <v>1</v>
      </c>
    </row>
    <row r="2246" spans="1:16" x14ac:dyDescent="0.2">
      <c r="A2246" t="s">
        <v>3570</v>
      </c>
      <c r="B2246" s="1">
        <v>45019</v>
      </c>
      <c r="C2246" s="1">
        <v>45042</v>
      </c>
      <c r="D2246" t="s">
        <v>2944</v>
      </c>
      <c r="E2246" t="s">
        <v>18</v>
      </c>
      <c r="F2246" t="s">
        <v>25</v>
      </c>
      <c r="G2246" t="s">
        <v>50</v>
      </c>
      <c r="H2246" t="s">
        <v>21</v>
      </c>
      <c r="I2246" t="s">
        <v>60</v>
      </c>
      <c r="J2246">
        <v>2</v>
      </c>
      <c r="K2246">
        <v>5995000</v>
      </c>
      <c r="L2246" s="2" t="s">
        <v>3571</v>
      </c>
      <c r="M2246" t="s">
        <v>65</v>
      </c>
      <c r="N2246">
        <v>0</v>
      </c>
      <c r="P2246" t="b">
        <v>1</v>
      </c>
    </row>
    <row r="2247" spans="1:16" x14ac:dyDescent="0.2">
      <c r="A2247" t="s">
        <v>3572</v>
      </c>
      <c r="B2247" s="1">
        <v>45019</v>
      </c>
      <c r="C2247" s="1">
        <v>45060</v>
      </c>
      <c r="D2247" t="s">
        <v>853</v>
      </c>
      <c r="E2247" t="s">
        <v>45</v>
      </c>
      <c r="F2247" t="s">
        <v>19</v>
      </c>
      <c r="G2247" t="s">
        <v>20</v>
      </c>
      <c r="H2247" t="s">
        <v>40</v>
      </c>
      <c r="I2247" t="s">
        <v>99</v>
      </c>
      <c r="J2247">
        <v>2</v>
      </c>
      <c r="K2247">
        <v>2233000</v>
      </c>
      <c r="L2247">
        <v>7.5009395135385196E-2</v>
      </c>
      <c r="M2247" t="s">
        <v>1882</v>
      </c>
      <c r="N2247">
        <v>4131000</v>
      </c>
      <c r="O2247">
        <v>3.7</v>
      </c>
      <c r="P2247" t="b">
        <v>1</v>
      </c>
    </row>
    <row r="2248" spans="1:16" x14ac:dyDescent="0.2">
      <c r="A2248" t="s">
        <v>3573</v>
      </c>
      <c r="B2248" s="1">
        <v>45020</v>
      </c>
      <c r="C2248" s="1">
        <v>45063</v>
      </c>
      <c r="D2248" t="s">
        <v>2104</v>
      </c>
      <c r="E2248" t="s">
        <v>18</v>
      </c>
      <c r="F2248" t="s">
        <v>34</v>
      </c>
      <c r="G2248" t="s">
        <v>35</v>
      </c>
      <c r="H2248" t="s">
        <v>21</v>
      </c>
      <c r="I2248" t="s">
        <v>22</v>
      </c>
      <c r="J2248">
        <v>2</v>
      </c>
      <c r="K2248">
        <v>3294000</v>
      </c>
      <c r="L2248" s="2" t="s">
        <v>3574</v>
      </c>
      <c r="M2248" t="s">
        <v>23</v>
      </c>
      <c r="N2248">
        <v>5656000</v>
      </c>
      <c r="O2248">
        <v>4.3</v>
      </c>
      <c r="P2248" t="b">
        <v>1</v>
      </c>
    </row>
    <row r="2249" spans="1:16" x14ac:dyDescent="0.2">
      <c r="A2249" t="s">
        <v>3575</v>
      </c>
      <c r="B2249" s="1">
        <v>45021</v>
      </c>
      <c r="C2249" s="1">
        <v>45045</v>
      </c>
      <c r="D2249" t="s">
        <v>2496</v>
      </c>
      <c r="E2249" t="s">
        <v>33</v>
      </c>
      <c r="F2249" t="s">
        <v>19</v>
      </c>
      <c r="G2249" t="s">
        <v>20</v>
      </c>
      <c r="I2249" t="s">
        <v>60</v>
      </c>
      <c r="J2249">
        <v>2</v>
      </c>
      <c r="K2249">
        <v>2962000</v>
      </c>
      <c r="L2249" s="2" t="s">
        <v>3576</v>
      </c>
      <c r="M2249" t="s">
        <v>23</v>
      </c>
      <c r="N2249">
        <v>5687000</v>
      </c>
      <c r="O2249">
        <v>5</v>
      </c>
      <c r="P2249" t="b">
        <v>1</v>
      </c>
    </row>
    <row r="2250" spans="1:16" x14ac:dyDescent="0.2">
      <c r="A2250" t="s">
        <v>3577</v>
      </c>
      <c r="B2250" s="1">
        <v>45021</v>
      </c>
      <c r="C2250" s="1">
        <v>45088</v>
      </c>
      <c r="D2250" t="s">
        <v>3578</v>
      </c>
      <c r="E2250" t="s">
        <v>33</v>
      </c>
      <c r="F2250" t="s">
        <v>39</v>
      </c>
      <c r="G2250" t="s">
        <v>35</v>
      </c>
      <c r="H2250" t="s">
        <v>21</v>
      </c>
      <c r="I2250" t="s">
        <v>30</v>
      </c>
      <c r="J2250">
        <v>2</v>
      </c>
      <c r="K2250">
        <v>2634000</v>
      </c>
      <c r="L2250" s="2" t="s">
        <v>3579</v>
      </c>
      <c r="M2250" t="s">
        <v>23</v>
      </c>
      <c r="N2250">
        <v>4610000</v>
      </c>
      <c r="O2250">
        <v>4.3</v>
      </c>
      <c r="P2250" t="b">
        <v>0</v>
      </c>
    </row>
    <row r="2251" spans="1:16" x14ac:dyDescent="0.2">
      <c r="A2251" t="s">
        <v>3580</v>
      </c>
      <c r="B2251" s="1">
        <v>45021</v>
      </c>
      <c r="C2251" s="1">
        <v>45063</v>
      </c>
      <c r="D2251" t="s">
        <v>3581</v>
      </c>
      <c r="E2251" t="s">
        <v>18</v>
      </c>
      <c r="F2251" t="s">
        <v>68</v>
      </c>
      <c r="G2251" t="s">
        <v>20</v>
      </c>
      <c r="H2251" t="s">
        <v>40</v>
      </c>
      <c r="I2251" t="s">
        <v>52</v>
      </c>
      <c r="J2251">
        <v>1</v>
      </c>
      <c r="K2251">
        <v>2468000</v>
      </c>
      <c r="L2251">
        <v>9.6142923055295301E-2</v>
      </c>
      <c r="M2251" t="s">
        <v>23</v>
      </c>
      <c r="N2251">
        <v>2231000</v>
      </c>
      <c r="O2251">
        <v>4</v>
      </c>
      <c r="P2251" t="b">
        <v>0</v>
      </c>
    </row>
    <row r="2252" spans="1:16" x14ac:dyDescent="0.2">
      <c r="A2252" t="s">
        <v>3582</v>
      </c>
      <c r="B2252" s="1">
        <v>45021</v>
      </c>
      <c r="C2252" s="1">
        <v>45039</v>
      </c>
      <c r="D2252" t="s">
        <v>2504</v>
      </c>
      <c r="E2252" t="s">
        <v>18</v>
      </c>
      <c r="F2252" t="s">
        <v>45</v>
      </c>
      <c r="G2252" t="s">
        <v>35</v>
      </c>
      <c r="H2252" t="s">
        <v>21</v>
      </c>
      <c r="I2252" t="s">
        <v>99</v>
      </c>
      <c r="J2252">
        <v>1</v>
      </c>
      <c r="K2252">
        <v>3276000</v>
      </c>
      <c r="L2252" s="2" t="s">
        <v>3583</v>
      </c>
      <c r="M2252" t="s">
        <v>23</v>
      </c>
      <c r="N2252">
        <v>2879000</v>
      </c>
      <c r="O2252">
        <v>4</v>
      </c>
      <c r="P2252" t="b">
        <v>1</v>
      </c>
    </row>
    <row r="2253" spans="1:16" x14ac:dyDescent="0.2">
      <c r="A2253" t="s">
        <v>3584</v>
      </c>
      <c r="B2253" s="1">
        <v>45021</v>
      </c>
      <c r="C2253" s="1">
        <v>45104</v>
      </c>
      <c r="D2253" t="s">
        <v>2181</v>
      </c>
      <c r="E2253" t="s">
        <v>18</v>
      </c>
      <c r="F2253" t="s">
        <v>34</v>
      </c>
      <c r="G2253" t="s">
        <v>50</v>
      </c>
      <c r="H2253" t="s">
        <v>51</v>
      </c>
      <c r="I2253" t="s">
        <v>22</v>
      </c>
      <c r="J2253">
        <v>1</v>
      </c>
      <c r="K2253">
        <v>3853000</v>
      </c>
      <c r="L2253">
        <v>3.8089045736568003E-2</v>
      </c>
      <c r="M2253" t="s">
        <v>23</v>
      </c>
      <c r="N2253">
        <v>3706000</v>
      </c>
      <c r="O2253">
        <v>4.3</v>
      </c>
      <c r="P2253" t="b">
        <v>1</v>
      </c>
    </row>
    <row r="2254" spans="1:16" x14ac:dyDescent="0.2">
      <c r="A2254" t="s">
        <v>3585</v>
      </c>
      <c r="B2254" s="1">
        <v>45021</v>
      </c>
      <c r="C2254" s="1">
        <v>45085</v>
      </c>
      <c r="D2254" t="s">
        <v>3377</v>
      </c>
      <c r="E2254" t="s">
        <v>45</v>
      </c>
      <c r="F2254" t="s">
        <v>34</v>
      </c>
      <c r="G2254" t="s">
        <v>20</v>
      </c>
      <c r="H2254" t="s">
        <v>21</v>
      </c>
      <c r="I2254" t="s">
        <v>77</v>
      </c>
      <c r="J2254">
        <v>1</v>
      </c>
      <c r="K2254">
        <v>4544000</v>
      </c>
      <c r="L2254" s="2" t="s">
        <v>3586</v>
      </c>
      <c r="M2254" t="s">
        <v>23</v>
      </c>
      <c r="N2254">
        <v>3902000</v>
      </c>
      <c r="O2254">
        <v>4.5999999999999996</v>
      </c>
      <c r="P2254" t="b">
        <v>1</v>
      </c>
    </row>
    <row r="2255" spans="1:16" x14ac:dyDescent="0.2">
      <c r="A2255" t="s">
        <v>3587</v>
      </c>
      <c r="B2255" s="1">
        <v>45022</v>
      </c>
      <c r="C2255" s="1">
        <v>45089</v>
      </c>
      <c r="D2255" t="s">
        <v>3588</v>
      </c>
      <c r="E2255" t="s">
        <v>33</v>
      </c>
      <c r="F2255" t="s">
        <v>25</v>
      </c>
      <c r="G2255" t="s">
        <v>20</v>
      </c>
      <c r="H2255" t="s">
        <v>51</v>
      </c>
      <c r="I2255" t="s">
        <v>26</v>
      </c>
      <c r="J2255">
        <v>3</v>
      </c>
      <c r="K2255">
        <v>5648000</v>
      </c>
      <c r="L2255">
        <v>7.2530088015574104E-2</v>
      </c>
      <c r="M2255" t="s">
        <v>23</v>
      </c>
      <c r="N2255">
        <v>15715000</v>
      </c>
      <c r="O2255">
        <v>5</v>
      </c>
      <c r="P2255" t="b">
        <v>0</v>
      </c>
    </row>
    <row r="2256" spans="1:16" x14ac:dyDescent="0.2">
      <c r="A2256" t="s">
        <v>3589</v>
      </c>
      <c r="B2256" s="1">
        <v>45022</v>
      </c>
      <c r="C2256" s="1">
        <v>45056</v>
      </c>
      <c r="D2256" t="s">
        <v>3590</v>
      </c>
      <c r="E2256" t="s">
        <v>45</v>
      </c>
      <c r="F2256" t="s">
        <v>19</v>
      </c>
      <c r="G2256" t="s">
        <v>50</v>
      </c>
      <c r="H2256" t="s">
        <v>21</v>
      </c>
      <c r="I2256" t="s">
        <v>60</v>
      </c>
      <c r="J2256">
        <v>1</v>
      </c>
      <c r="K2256">
        <v>2877000</v>
      </c>
      <c r="L2256">
        <v>5.8634516116387501E-2</v>
      </c>
      <c r="M2256" t="s">
        <v>23</v>
      </c>
      <c r="N2256">
        <v>2708000</v>
      </c>
      <c r="O2256">
        <v>4.5</v>
      </c>
      <c r="P2256" t="b">
        <v>0</v>
      </c>
    </row>
    <row r="2257" spans="1:16" x14ac:dyDescent="0.2">
      <c r="A2257" t="s">
        <v>3591</v>
      </c>
      <c r="B2257" s="1">
        <v>45022</v>
      </c>
      <c r="C2257" s="1">
        <v>45070</v>
      </c>
      <c r="D2257" t="s">
        <v>3223</v>
      </c>
      <c r="E2257" t="s">
        <v>29</v>
      </c>
      <c r="F2257" t="s">
        <v>34</v>
      </c>
      <c r="G2257" t="s">
        <v>20</v>
      </c>
      <c r="H2257" t="s">
        <v>21</v>
      </c>
      <c r="I2257" t="s">
        <v>83</v>
      </c>
      <c r="J2257">
        <v>2</v>
      </c>
      <c r="K2257">
        <v>3862000</v>
      </c>
      <c r="L2257">
        <v>6.8686636662449702E-2</v>
      </c>
      <c r="M2257" t="s">
        <v>23</v>
      </c>
      <c r="N2257">
        <v>7193000</v>
      </c>
      <c r="O2257">
        <v>5</v>
      </c>
      <c r="P2257" t="b">
        <v>1</v>
      </c>
    </row>
    <row r="2258" spans="1:16" x14ac:dyDescent="0.2">
      <c r="A2258" t="s">
        <v>3592</v>
      </c>
      <c r="B2258" s="1">
        <v>45023</v>
      </c>
      <c r="C2258" s="1">
        <v>45071</v>
      </c>
      <c r="D2258" t="s">
        <v>167</v>
      </c>
      <c r="E2258" t="s">
        <v>33</v>
      </c>
      <c r="F2258" t="s">
        <v>68</v>
      </c>
      <c r="G2258" t="s">
        <v>20</v>
      </c>
      <c r="H2258" t="s">
        <v>47</v>
      </c>
      <c r="I2258" t="s">
        <v>30</v>
      </c>
      <c r="J2258">
        <v>4</v>
      </c>
      <c r="K2258">
        <v>2443000</v>
      </c>
      <c r="L2258">
        <v>8.3314142240809505E-2</v>
      </c>
      <c r="M2258" t="s">
        <v>23</v>
      </c>
      <c r="N2258">
        <v>8958000</v>
      </c>
      <c r="O2258">
        <v>4.5999999999999996</v>
      </c>
      <c r="P2258" t="b">
        <v>1</v>
      </c>
    </row>
    <row r="2259" spans="1:16" x14ac:dyDescent="0.2">
      <c r="A2259" t="s">
        <v>3593</v>
      </c>
      <c r="B2259" s="1">
        <v>45023</v>
      </c>
      <c r="C2259" s="1">
        <v>45104</v>
      </c>
      <c r="D2259" t="s">
        <v>3594</v>
      </c>
      <c r="E2259" t="s">
        <v>29</v>
      </c>
      <c r="F2259" t="s">
        <v>25</v>
      </c>
      <c r="G2259" t="s">
        <v>35</v>
      </c>
      <c r="H2259" t="s">
        <v>21</v>
      </c>
      <c r="I2259" t="s">
        <v>83</v>
      </c>
      <c r="J2259">
        <v>1</v>
      </c>
      <c r="K2259">
        <v>5555000</v>
      </c>
      <c r="L2259">
        <v>6.0823960268477299E-2</v>
      </c>
      <c r="M2259" t="s">
        <v>23</v>
      </c>
      <c r="N2259">
        <v>5217000</v>
      </c>
      <c r="O2259">
        <v>4.0999999999999996</v>
      </c>
      <c r="P2259" t="b">
        <v>0</v>
      </c>
    </row>
    <row r="2260" spans="1:16" x14ac:dyDescent="0.2">
      <c r="A2260" t="s">
        <v>3595</v>
      </c>
      <c r="B2260" s="1">
        <v>45023</v>
      </c>
      <c r="C2260" s="1">
        <v>45052</v>
      </c>
      <c r="D2260" t="s">
        <v>387</v>
      </c>
      <c r="E2260" t="s">
        <v>45</v>
      </c>
      <c r="F2260" t="s">
        <v>34</v>
      </c>
      <c r="G2260" t="s">
        <v>20</v>
      </c>
      <c r="H2260" t="s">
        <v>21</v>
      </c>
      <c r="I2260" t="s">
        <v>52</v>
      </c>
      <c r="J2260">
        <v>3</v>
      </c>
      <c r="K2260">
        <v>3107000</v>
      </c>
      <c r="L2260">
        <v>8.2460287570931198E-2</v>
      </c>
      <c r="M2260" t="s">
        <v>23</v>
      </c>
      <c r="N2260">
        <v>8552000</v>
      </c>
      <c r="O2260">
        <v>4.9000000000000004</v>
      </c>
      <c r="P2260" t="b">
        <v>1</v>
      </c>
    </row>
    <row r="2261" spans="1:16" x14ac:dyDescent="0.2">
      <c r="A2261" t="s">
        <v>3596</v>
      </c>
      <c r="B2261" s="1">
        <v>45023</v>
      </c>
      <c r="C2261" s="1">
        <v>45077</v>
      </c>
      <c r="D2261" t="s">
        <v>3597</v>
      </c>
      <c r="F2261" t="s">
        <v>45</v>
      </c>
      <c r="G2261" t="s">
        <v>20</v>
      </c>
      <c r="H2261" t="s">
        <v>21</v>
      </c>
      <c r="I2261" t="s">
        <v>99</v>
      </c>
      <c r="J2261">
        <v>1</v>
      </c>
      <c r="K2261">
        <v>3237000</v>
      </c>
      <c r="L2261" s="2" t="s">
        <v>3598</v>
      </c>
      <c r="M2261" t="s">
        <v>23</v>
      </c>
      <c r="N2261">
        <v>2856000</v>
      </c>
      <c r="O2261">
        <v>4.5</v>
      </c>
      <c r="P2261" t="b">
        <v>0</v>
      </c>
    </row>
    <row r="2262" spans="1:16" x14ac:dyDescent="0.2">
      <c r="A2262" t="s">
        <v>3599</v>
      </c>
      <c r="B2262" s="1">
        <v>45025</v>
      </c>
      <c r="C2262" s="1">
        <v>45093</v>
      </c>
      <c r="D2262" t="s">
        <v>727</v>
      </c>
      <c r="E2262" t="s">
        <v>33</v>
      </c>
      <c r="F2262" t="s">
        <v>34</v>
      </c>
      <c r="G2262" t="s">
        <v>20</v>
      </c>
      <c r="H2262" t="s">
        <v>21</v>
      </c>
      <c r="I2262" t="s">
        <v>77</v>
      </c>
      <c r="J2262">
        <v>4</v>
      </c>
      <c r="K2262">
        <v>4336000</v>
      </c>
      <c r="L2262" s="2" t="s">
        <v>3600</v>
      </c>
      <c r="M2262" t="s">
        <v>23</v>
      </c>
      <c r="N2262">
        <v>15200000</v>
      </c>
      <c r="O2262">
        <v>3.8</v>
      </c>
      <c r="P2262" t="b">
        <v>1</v>
      </c>
    </row>
    <row r="2263" spans="1:16" x14ac:dyDescent="0.2">
      <c r="A2263" t="s">
        <v>3601</v>
      </c>
      <c r="B2263" s="1">
        <v>45025</v>
      </c>
      <c r="C2263" s="1">
        <v>45072</v>
      </c>
      <c r="D2263" t="s">
        <v>725</v>
      </c>
      <c r="E2263" t="s">
        <v>33</v>
      </c>
      <c r="F2263" t="s">
        <v>68</v>
      </c>
      <c r="G2263" t="s">
        <v>46</v>
      </c>
      <c r="H2263" t="s">
        <v>21</v>
      </c>
      <c r="I2263" t="s">
        <v>99</v>
      </c>
      <c r="J2263">
        <v>1</v>
      </c>
      <c r="K2263">
        <v>2429000</v>
      </c>
      <c r="L2263" s="2" t="s">
        <v>3602</v>
      </c>
      <c r="M2263" t="s">
        <v>23</v>
      </c>
      <c r="N2263">
        <v>2094000</v>
      </c>
      <c r="O2263">
        <v>4.4000000000000004</v>
      </c>
      <c r="P2263" t="b">
        <v>1</v>
      </c>
    </row>
    <row r="2264" spans="1:16" x14ac:dyDescent="0.2">
      <c r="A2264" t="s">
        <v>3603</v>
      </c>
      <c r="B2264" s="1">
        <v>45025</v>
      </c>
      <c r="C2264" s="1">
        <v>45114</v>
      </c>
      <c r="D2264" t="s">
        <v>3604</v>
      </c>
      <c r="E2264" t="s">
        <v>33</v>
      </c>
      <c r="F2264" t="s">
        <v>34</v>
      </c>
      <c r="G2264" t="s">
        <v>20</v>
      </c>
      <c r="H2264" t="s">
        <v>40</v>
      </c>
      <c r="I2264" t="s">
        <v>83</v>
      </c>
      <c r="J2264">
        <v>2</v>
      </c>
      <c r="K2264">
        <v>4240000</v>
      </c>
      <c r="L2264" s="2" t="s">
        <v>3605</v>
      </c>
      <c r="M2264" t="s">
        <v>23</v>
      </c>
      <c r="N2264">
        <v>7160000</v>
      </c>
      <c r="O2264">
        <v>4.5</v>
      </c>
      <c r="P2264" t="b">
        <v>0</v>
      </c>
    </row>
    <row r="2265" spans="1:16" x14ac:dyDescent="0.2">
      <c r="A2265" t="s">
        <v>3606</v>
      </c>
      <c r="B2265" s="1">
        <v>45026</v>
      </c>
      <c r="C2265" s="1">
        <v>45078</v>
      </c>
      <c r="D2265" t="s">
        <v>64</v>
      </c>
      <c r="E2265" t="s">
        <v>45</v>
      </c>
      <c r="F2265" t="s">
        <v>45</v>
      </c>
      <c r="G2265" t="s">
        <v>50</v>
      </c>
      <c r="I2265" t="s">
        <v>77</v>
      </c>
      <c r="J2265">
        <v>1</v>
      </c>
      <c r="K2265">
        <v>4061000</v>
      </c>
      <c r="L2265" s="2" t="s">
        <v>3607</v>
      </c>
      <c r="M2265" t="s">
        <v>23</v>
      </c>
      <c r="N2265">
        <v>3399000</v>
      </c>
      <c r="O2265">
        <v>4</v>
      </c>
      <c r="P2265" t="b">
        <v>1</v>
      </c>
    </row>
    <row r="2266" spans="1:16" x14ac:dyDescent="0.2">
      <c r="A2266" t="s">
        <v>3608</v>
      </c>
      <c r="B2266" s="1">
        <v>45026</v>
      </c>
      <c r="C2266" s="1">
        <v>45097</v>
      </c>
      <c r="D2266" t="s">
        <v>1084</v>
      </c>
      <c r="E2266" t="s">
        <v>29</v>
      </c>
      <c r="F2266" t="s">
        <v>25</v>
      </c>
      <c r="G2266" t="s">
        <v>20</v>
      </c>
      <c r="H2266" t="s">
        <v>21</v>
      </c>
      <c r="I2266" t="s">
        <v>57</v>
      </c>
      <c r="J2266">
        <v>1</v>
      </c>
      <c r="K2266">
        <v>5416000</v>
      </c>
      <c r="L2266">
        <v>9.5060217796307606E-2</v>
      </c>
      <c r="M2266" t="s">
        <v>65</v>
      </c>
      <c r="N2266">
        <v>0</v>
      </c>
      <c r="P2266" t="b">
        <v>1</v>
      </c>
    </row>
    <row r="2267" spans="1:16" x14ac:dyDescent="0.2">
      <c r="A2267" t="s">
        <v>3609</v>
      </c>
      <c r="B2267" s="1">
        <v>45027</v>
      </c>
      <c r="C2267" s="1">
        <v>45058</v>
      </c>
      <c r="D2267" t="s">
        <v>487</v>
      </c>
      <c r="E2267" t="s">
        <v>18</v>
      </c>
      <c r="F2267" t="s">
        <v>19</v>
      </c>
      <c r="G2267" t="s">
        <v>20</v>
      </c>
      <c r="H2267" t="s">
        <v>40</v>
      </c>
      <c r="I2267" t="s">
        <v>83</v>
      </c>
      <c r="J2267">
        <v>1</v>
      </c>
      <c r="K2267">
        <v>2620000</v>
      </c>
      <c r="L2267">
        <v>9.0062503944730907E-2</v>
      </c>
      <c r="M2267" t="s">
        <v>23</v>
      </c>
      <c r="N2267">
        <v>2384000</v>
      </c>
      <c r="O2267">
        <v>5</v>
      </c>
      <c r="P2267" t="b">
        <v>1</v>
      </c>
    </row>
    <row r="2268" spans="1:16" x14ac:dyDescent="0.2">
      <c r="A2268" t="s">
        <v>3610</v>
      </c>
      <c r="B2268" s="1">
        <v>45028</v>
      </c>
      <c r="C2268" s="1">
        <v>45083</v>
      </c>
      <c r="D2268" t="s">
        <v>3611</v>
      </c>
      <c r="E2268" t="s">
        <v>18</v>
      </c>
      <c r="F2268" t="s">
        <v>19</v>
      </c>
      <c r="G2268" t="s">
        <v>20</v>
      </c>
      <c r="H2268" t="s">
        <v>21</v>
      </c>
      <c r="I2268" t="s">
        <v>99</v>
      </c>
      <c r="J2268">
        <v>1</v>
      </c>
      <c r="K2268">
        <v>2495000</v>
      </c>
      <c r="L2268" s="2" t="s">
        <v>3612</v>
      </c>
      <c r="M2268" t="s">
        <v>23</v>
      </c>
      <c r="N2268">
        <v>2244000</v>
      </c>
      <c r="O2268">
        <v>4.7</v>
      </c>
      <c r="P2268" t="b">
        <v>0</v>
      </c>
    </row>
    <row r="2269" spans="1:16" x14ac:dyDescent="0.2">
      <c r="A2269" t="s">
        <v>3613</v>
      </c>
      <c r="B2269" s="1">
        <v>45028</v>
      </c>
      <c r="C2269" s="1">
        <v>45074</v>
      </c>
      <c r="D2269" t="s">
        <v>699</v>
      </c>
      <c r="E2269" t="s">
        <v>45</v>
      </c>
      <c r="F2269" t="s">
        <v>45</v>
      </c>
      <c r="G2269" t="s">
        <v>20</v>
      </c>
      <c r="H2269" t="s">
        <v>21</v>
      </c>
      <c r="I2269" t="s">
        <v>83</v>
      </c>
      <c r="J2269">
        <v>2</v>
      </c>
      <c r="K2269">
        <v>2451000</v>
      </c>
      <c r="L2269" s="2" t="s">
        <v>3614</v>
      </c>
      <c r="M2269" t="s">
        <v>23</v>
      </c>
      <c r="N2269">
        <v>4832000</v>
      </c>
      <c r="O2269">
        <v>4.3</v>
      </c>
      <c r="P2269" t="b">
        <v>1</v>
      </c>
    </row>
    <row r="2270" spans="1:16" x14ac:dyDescent="0.2">
      <c r="A2270" t="s">
        <v>3615</v>
      </c>
      <c r="B2270" s="1">
        <v>45028</v>
      </c>
      <c r="C2270" s="1">
        <v>45112</v>
      </c>
      <c r="D2270" t="s">
        <v>3616</v>
      </c>
      <c r="E2270" t="s">
        <v>18</v>
      </c>
      <c r="F2270" t="s">
        <v>34</v>
      </c>
      <c r="G2270" t="s">
        <v>35</v>
      </c>
      <c r="H2270" t="s">
        <v>40</v>
      </c>
      <c r="I2270" t="s">
        <v>26</v>
      </c>
      <c r="J2270">
        <v>4</v>
      </c>
      <c r="K2270">
        <v>4260000</v>
      </c>
      <c r="L2270">
        <v>0.123419545298525</v>
      </c>
      <c r="M2270" t="s">
        <v>65</v>
      </c>
      <c r="N2270">
        <v>0</v>
      </c>
      <c r="P2270" t="b">
        <v>0</v>
      </c>
    </row>
    <row r="2271" spans="1:16" x14ac:dyDescent="0.2">
      <c r="A2271" t="s">
        <v>3617</v>
      </c>
      <c r="B2271" s="1">
        <v>45028</v>
      </c>
      <c r="C2271" s="1">
        <v>45086</v>
      </c>
      <c r="D2271" t="s">
        <v>3618</v>
      </c>
      <c r="E2271" t="s">
        <v>45</v>
      </c>
      <c r="F2271" t="s">
        <v>34</v>
      </c>
      <c r="G2271" t="s">
        <v>20</v>
      </c>
      <c r="H2271" t="s">
        <v>21</v>
      </c>
      <c r="J2271">
        <v>3</v>
      </c>
      <c r="K2271">
        <v>4604000</v>
      </c>
      <c r="L2271">
        <v>9.3656750832715893E-2</v>
      </c>
      <c r="M2271" t="s">
        <v>23</v>
      </c>
      <c r="N2271">
        <v>12518000</v>
      </c>
      <c r="O2271">
        <v>4.4000000000000004</v>
      </c>
      <c r="P2271" t="b">
        <v>0</v>
      </c>
    </row>
    <row r="2272" spans="1:16" x14ac:dyDescent="0.2">
      <c r="A2272" t="s">
        <v>3619</v>
      </c>
      <c r="B2272" s="1">
        <v>45029</v>
      </c>
      <c r="C2272" s="1">
        <v>45064</v>
      </c>
      <c r="D2272" t="s">
        <v>3620</v>
      </c>
      <c r="E2272" t="s">
        <v>29</v>
      </c>
      <c r="F2272" t="s">
        <v>34</v>
      </c>
      <c r="G2272" t="s">
        <v>20</v>
      </c>
      <c r="H2272" t="s">
        <v>21</v>
      </c>
      <c r="I2272" t="s">
        <v>60</v>
      </c>
      <c r="J2272">
        <v>1</v>
      </c>
      <c r="K2272">
        <v>4251000</v>
      </c>
      <c r="L2272">
        <v>3.5954786249297203E-2</v>
      </c>
      <c r="M2272" t="s">
        <v>65</v>
      </c>
      <c r="N2272">
        <v>0</v>
      </c>
      <c r="P2272" t="b">
        <v>0</v>
      </c>
    </row>
    <row r="2273" spans="1:16" x14ac:dyDescent="0.2">
      <c r="A2273" t="s">
        <v>3621</v>
      </c>
      <c r="B2273" s="1">
        <v>45029</v>
      </c>
      <c r="C2273" s="1">
        <v>45091</v>
      </c>
      <c r="D2273" t="s">
        <v>969</v>
      </c>
      <c r="F2273" t="s">
        <v>68</v>
      </c>
      <c r="G2273" t="s">
        <v>35</v>
      </c>
      <c r="H2273" t="s">
        <v>47</v>
      </c>
      <c r="I2273" t="s">
        <v>83</v>
      </c>
      <c r="J2273">
        <v>2</v>
      </c>
      <c r="K2273">
        <v>2146000</v>
      </c>
      <c r="L2273" s="2" t="s">
        <v>3622</v>
      </c>
      <c r="M2273" t="s">
        <v>23</v>
      </c>
      <c r="N2273">
        <v>3711000</v>
      </c>
      <c r="O2273">
        <v>4.3</v>
      </c>
      <c r="P2273" t="b">
        <v>1</v>
      </c>
    </row>
    <row r="2274" spans="1:16" x14ac:dyDescent="0.2">
      <c r="A2274" t="s">
        <v>3623</v>
      </c>
      <c r="B2274" s="1">
        <v>45029</v>
      </c>
      <c r="C2274" s="1">
        <v>45050</v>
      </c>
      <c r="D2274" t="s">
        <v>2183</v>
      </c>
      <c r="E2274" t="s">
        <v>45</v>
      </c>
      <c r="F2274" t="s">
        <v>19</v>
      </c>
      <c r="G2274" t="s">
        <v>50</v>
      </c>
      <c r="H2274" t="s">
        <v>21</v>
      </c>
      <c r="I2274" t="s">
        <v>30</v>
      </c>
      <c r="J2274">
        <v>2</v>
      </c>
      <c r="K2274">
        <v>2239000</v>
      </c>
      <c r="L2274" s="2" t="s">
        <v>3624</v>
      </c>
      <c r="M2274" t="s">
        <v>23</v>
      </c>
      <c r="N2274">
        <v>3767000</v>
      </c>
      <c r="O2274">
        <v>3.5</v>
      </c>
      <c r="P2274" t="b">
        <v>1</v>
      </c>
    </row>
    <row r="2275" spans="1:16" x14ac:dyDescent="0.2">
      <c r="A2275" t="s">
        <v>3625</v>
      </c>
      <c r="B2275" s="1">
        <v>45030</v>
      </c>
      <c r="C2275" s="1">
        <v>45109</v>
      </c>
      <c r="D2275" t="s">
        <v>734</v>
      </c>
      <c r="E2275" t="s">
        <v>33</v>
      </c>
      <c r="F2275" t="s">
        <v>25</v>
      </c>
      <c r="G2275" t="s">
        <v>50</v>
      </c>
      <c r="H2275" t="s">
        <v>40</v>
      </c>
      <c r="I2275" t="s">
        <v>30</v>
      </c>
      <c r="J2275">
        <v>1</v>
      </c>
      <c r="K2275">
        <v>5315000</v>
      </c>
      <c r="L2275" s="2" t="s">
        <v>3626</v>
      </c>
      <c r="M2275" t="s">
        <v>23</v>
      </c>
      <c r="N2275">
        <v>4526000</v>
      </c>
      <c r="O2275">
        <v>3.8</v>
      </c>
      <c r="P2275" t="b">
        <v>1</v>
      </c>
    </row>
    <row r="2276" spans="1:16" x14ac:dyDescent="0.2">
      <c r="A2276" t="s">
        <v>3627</v>
      </c>
      <c r="B2276" s="1">
        <v>45030</v>
      </c>
      <c r="C2276" s="1">
        <v>45098</v>
      </c>
      <c r="D2276" t="s">
        <v>2596</v>
      </c>
      <c r="E2276" t="s">
        <v>18</v>
      </c>
      <c r="F2276" t="s">
        <v>19</v>
      </c>
      <c r="G2276" t="s">
        <v>20</v>
      </c>
      <c r="H2276" t="s">
        <v>40</v>
      </c>
      <c r="I2276" t="s">
        <v>77</v>
      </c>
      <c r="J2276">
        <v>4</v>
      </c>
      <c r="K2276">
        <v>2945000</v>
      </c>
      <c r="L2276">
        <v>7.6268226925179705E-2</v>
      </c>
      <c r="M2276" t="s">
        <v>23</v>
      </c>
      <c r="N2276">
        <v>10882000</v>
      </c>
      <c r="O2276">
        <v>3.5</v>
      </c>
      <c r="P2276" t="b">
        <v>1</v>
      </c>
    </row>
    <row r="2277" spans="1:16" x14ac:dyDescent="0.2">
      <c r="A2277" t="s">
        <v>3628</v>
      </c>
      <c r="B2277" s="1">
        <v>45030</v>
      </c>
      <c r="C2277" s="1">
        <v>45061</v>
      </c>
      <c r="D2277" t="s">
        <v>462</v>
      </c>
      <c r="E2277" t="s">
        <v>18</v>
      </c>
      <c r="F2277" t="s">
        <v>68</v>
      </c>
      <c r="G2277" t="s">
        <v>20</v>
      </c>
      <c r="H2277" t="s">
        <v>21</v>
      </c>
      <c r="I2277" t="s">
        <v>77</v>
      </c>
      <c r="J2277">
        <v>1</v>
      </c>
      <c r="K2277">
        <v>2486000</v>
      </c>
      <c r="L2277" s="3">
        <v>0.13700000000000001</v>
      </c>
      <c r="M2277" t="s">
        <v>23</v>
      </c>
      <c r="N2277">
        <v>2145000</v>
      </c>
      <c r="O2277">
        <v>4.7</v>
      </c>
      <c r="P2277" t="b">
        <v>1</v>
      </c>
    </row>
    <row r="2278" spans="1:16" x14ac:dyDescent="0.2">
      <c r="A2278" t="s">
        <v>3629</v>
      </c>
      <c r="B2278" s="1">
        <v>45030</v>
      </c>
      <c r="C2278" s="1">
        <v>45088</v>
      </c>
      <c r="D2278" t="s">
        <v>3630</v>
      </c>
      <c r="E2278" t="s">
        <v>29</v>
      </c>
      <c r="F2278" t="s">
        <v>25</v>
      </c>
      <c r="G2278" t="s">
        <v>20</v>
      </c>
      <c r="H2278" t="s">
        <v>21</v>
      </c>
      <c r="I2278" t="s">
        <v>22</v>
      </c>
      <c r="J2278">
        <v>1</v>
      </c>
      <c r="K2278">
        <v>5360000</v>
      </c>
      <c r="L2278">
        <v>9.5184283069525796E-2</v>
      </c>
      <c r="M2278" t="s">
        <v>23</v>
      </c>
      <c r="N2278">
        <v>4850000</v>
      </c>
      <c r="O2278">
        <v>4.3</v>
      </c>
      <c r="P2278" t="b">
        <v>0</v>
      </c>
    </row>
    <row r="2279" spans="1:16" x14ac:dyDescent="0.2">
      <c r="A2279" t="s">
        <v>3631</v>
      </c>
      <c r="B2279" s="1">
        <v>45030</v>
      </c>
      <c r="C2279" s="1">
        <v>45068</v>
      </c>
      <c r="D2279" t="s">
        <v>1161</v>
      </c>
      <c r="E2279" t="s">
        <v>33</v>
      </c>
      <c r="F2279" t="s">
        <v>39</v>
      </c>
      <c r="G2279" t="s">
        <v>50</v>
      </c>
      <c r="H2279" t="s">
        <v>21</v>
      </c>
      <c r="I2279" t="s">
        <v>94</v>
      </c>
      <c r="J2279">
        <v>2</v>
      </c>
      <c r="K2279">
        <v>2614000</v>
      </c>
      <c r="L2279">
        <v>9.5876461437419402E-2</v>
      </c>
      <c r="M2279" t="s">
        <v>23</v>
      </c>
      <c r="N2279">
        <v>4727000</v>
      </c>
      <c r="O2279">
        <v>4.0999999999999996</v>
      </c>
      <c r="P2279" t="b">
        <v>1</v>
      </c>
    </row>
    <row r="2280" spans="1:16" x14ac:dyDescent="0.2">
      <c r="A2280" t="s">
        <v>3632</v>
      </c>
      <c r="B2280" s="1">
        <v>45030</v>
      </c>
      <c r="C2280" s="1">
        <v>45089</v>
      </c>
      <c r="D2280" t="s">
        <v>316</v>
      </c>
      <c r="E2280" t="s">
        <v>18</v>
      </c>
      <c r="F2280" t="s">
        <v>25</v>
      </c>
      <c r="G2280" t="s">
        <v>20</v>
      </c>
      <c r="H2280" t="s">
        <v>21</v>
      </c>
      <c r="I2280" t="s">
        <v>26</v>
      </c>
      <c r="J2280">
        <v>1</v>
      </c>
      <c r="K2280">
        <v>5090000</v>
      </c>
      <c r="L2280" s="2" t="s">
        <v>3633</v>
      </c>
      <c r="M2280" t="s">
        <v>23</v>
      </c>
      <c r="N2280">
        <v>4494000</v>
      </c>
      <c r="O2280">
        <v>3.5</v>
      </c>
      <c r="P2280" t="b">
        <v>1</v>
      </c>
    </row>
    <row r="2281" spans="1:16" x14ac:dyDescent="0.2">
      <c r="A2281" t="s">
        <v>3634</v>
      </c>
      <c r="B2281" s="1">
        <v>45031</v>
      </c>
      <c r="C2281" s="1">
        <v>45091</v>
      </c>
      <c r="D2281" t="s">
        <v>2370</v>
      </c>
      <c r="E2281" t="s">
        <v>18</v>
      </c>
      <c r="F2281" t="s">
        <v>45</v>
      </c>
      <c r="G2281" t="s">
        <v>50</v>
      </c>
      <c r="H2281" t="s">
        <v>21</v>
      </c>
      <c r="I2281" t="s">
        <v>83</v>
      </c>
      <c r="J2281">
        <v>1</v>
      </c>
      <c r="K2281">
        <v>2603000</v>
      </c>
      <c r="L2281">
        <v>8.04863185770988E-2</v>
      </c>
      <c r="M2281" t="s">
        <v>23</v>
      </c>
      <c r="N2281">
        <v>2393000</v>
      </c>
      <c r="O2281">
        <v>4.4000000000000004</v>
      </c>
      <c r="P2281" t="b">
        <v>1</v>
      </c>
    </row>
    <row r="2282" spans="1:16" x14ac:dyDescent="0.2">
      <c r="A2282" t="s">
        <v>3635</v>
      </c>
      <c r="B2282" s="1">
        <v>45031</v>
      </c>
      <c r="C2282" s="1">
        <v>45091</v>
      </c>
      <c r="D2282" t="s">
        <v>3636</v>
      </c>
      <c r="E2282" t="s">
        <v>18</v>
      </c>
      <c r="F2282" t="s">
        <v>34</v>
      </c>
      <c r="G2282" t="s">
        <v>20</v>
      </c>
      <c r="H2282" t="s">
        <v>21</v>
      </c>
      <c r="I2282" t="s">
        <v>26</v>
      </c>
      <c r="J2282">
        <v>1</v>
      </c>
      <c r="K2282">
        <v>4458000</v>
      </c>
      <c r="L2282">
        <v>6.5080202388808406E-2</v>
      </c>
      <c r="M2282" t="s">
        <v>65</v>
      </c>
      <c r="N2282">
        <v>0</v>
      </c>
      <c r="P2282" t="b">
        <v>0</v>
      </c>
    </row>
    <row r="2283" spans="1:16" x14ac:dyDescent="0.2">
      <c r="A2283" t="s">
        <v>3637</v>
      </c>
      <c r="B2283" s="1">
        <v>45031</v>
      </c>
      <c r="C2283" s="1">
        <v>45078</v>
      </c>
      <c r="D2283" t="s">
        <v>859</v>
      </c>
      <c r="E2283" t="s">
        <v>45</v>
      </c>
      <c r="F2283" t="s">
        <v>45</v>
      </c>
      <c r="G2283" t="s">
        <v>20</v>
      </c>
      <c r="H2283" t="s">
        <v>21</v>
      </c>
      <c r="J2283">
        <v>1</v>
      </c>
      <c r="K2283">
        <v>3142000</v>
      </c>
      <c r="L2283" s="2" t="s">
        <v>3638</v>
      </c>
      <c r="M2283" t="s">
        <v>23</v>
      </c>
      <c r="N2283">
        <v>2593000</v>
      </c>
      <c r="O2283">
        <v>4.0999999999999996</v>
      </c>
      <c r="P2283" t="b">
        <v>1</v>
      </c>
    </row>
    <row r="2284" spans="1:16" x14ac:dyDescent="0.2">
      <c r="A2284" t="s">
        <v>3639</v>
      </c>
      <c r="B2284" s="1">
        <v>45032</v>
      </c>
      <c r="C2284" s="1">
        <v>45058</v>
      </c>
      <c r="D2284" t="s">
        <v>265</v>
      </c>
      <c r="E2284" t="s">
        <v>45</v>
      </c>
      <c r="F2284" t="s">
        <v>34</v>
      </c>
      <c r="G2284" t="s">
        <v>50</v>
      </c>
      <c r="H2284" t="s">
        <v>21</v>
      </c>
      <c r="I2284" t="s">
        <v>57</v>
      </c>
      <c r="J2284">
        <v>3</v>
      </c>
      <c r="K2284">
        <v>4209000</v>
      </c>
      <c r="L2284">
        <v>6.5906497484724505E-2</v>
      </c>
      <c r="M2284" t="s">
        <v>23</v>
      </c>
      <c r="N2284">
        <v>11795000</v>
      </c>
      <c r="O2284">
        <v>4.5999999999999996</v>
      </c>
      <c r="P2284" t="b">
        <v>1</v>
      </c>
    </row>
    <row r="2285" spans="1:16" x14ac:dyDescent="0.2">
      <c r="A2285" t="s">
        <v>3640</v>
      </c>
      <c r="B2285" s="1">
        <v>45032</v>
      </c>
      <c r="C2285" s="1">
        <v>45059</v>
      </c>
      <c r="D2285" t="s">
        <v>1943</v>
      </c>
      <c r="E2285" t="s">
        <v>18</v>
      </c>
      <c r="F2285" t="s">
        <v>34</v>
      </c>
      <c r="G2285" t="s">
        <v>35</v>
      </c>
      <c r="H2285" t="s">
        <v>47</v>
      </c>
      <c r="I2285" t="s">
        <v>99</v>
      </c>
      <c r="J2285">
        <v>4</v>
      </c>
      <c r="K2285">
        <v>3820000</v>
      </c>
      <c r="L2285" s="2" t="s">
        <v>3641</v>
      </c>
      <c r="M2285" t="s">
        <v>23</v>
      </c>
      <c r="N2285">
        <v>13537000</v>
      </c>
      <c r="O2285">
        <v>3.9</v>
      </c>
      <c r="P2285" t="b">
        <v>1</v>
      </c>
    </row>
    <row r="2286" spans="1:16" x14ac:dyDescent="0.2">
      <c r="A2286" t="s">
        <v>3642</v>
      </c>
      <c r="B2286" s="1">
        <v>45032</v>
      </c>
      <c r="C2286" s="1">
        <v>45099</v>
      </c>
      <c r="D2286" t="s">
        <v>3643</v>
      </c>
      <c r="E2286" t="s">
        <v>33</v>
      </c>
      <c r="F2286" t="s">
        <v>19</v>
      </c>
      <c r="G2286" t="s">
        <v>20</v>
      </c>
      <c r="H2286" t="s">
        <v>21</v>
      </c>
      <c r="I2286" t="s">
        <v>77</v>
      </c>
      <c r="J2286">
        <v>4</v>
      </c>
      <c r="K2286">
        <v>3043000</v>
      </c>
      <c r="L2286" s="3">
        <v>8.7999999999999995E-2</v>
      </c>
      <c r="M2286" t="s">
        <v>23</v>
      </c>
      <c r="N2286">
        <v>11102000</v>
      </c>
      <c r="O2286">
        <v>3.5</v>
      </c>
      <c r="P2286" t="b">
        <v>0</v>
      </c>
    </row>
    <row r="2287" spans="1:16" x14ac:dyDescent="0.2">
      <c r="A2287" t="s">
        <v>3644</v>
      </c>
      <c r="B2287" s="1">
        <v>45032</v>
      </c>
      <c r="C2287" s="1">
        <v>45086</v>
      </c>
      <c r="D2287" t="s">
        <v>3645</v>
      </c>
      <c r="E2287" t="s">
        <v>18</v>
      </c>
      <c r="F2287" t="s">
        <v>34</v>
      </c>
      <c r="G2287" t="s">
        <v>20</v>
      </c>
      <c r="H2287" t="s">
        <v>21</v>
      </c>
      <c r="I2287" t="s">
        <v>57</v>
      </c>
      <c r="J2287">
        <v>3</v>
      </c>
      <c r="K2287">
        <v>4533000</v>
      </c>
      <c r="L2287">
        <v>5.2772286328735499E-2</v>
      </c>
      <c r="M2287" t="s">
        <v>23</v>
      </c>
      <c r="N2287">
        <v>12881000</v>
      </c>
      <c r="O2287">
        <v>3.7</v>
      </c>
      <c r="P2287" t="b">
        <v>0</v>
      </c>
    </row>
    <row r="2288" spans="1:16" x14ac:dyDescent="0.2">
      <c r="A2288" t="s">
        <v>3646</v>
      </c>
      <c r="B2288" s="1">
        <v>45033</v>
      </c>
      <c r="C2288" s="1">
        <v>45089</v>
      </c>
      <c r="D2288" t="s">
        <v>1925</v>
      </c>
      <c r="E2288" t="s">
        <v>33</v>
      </c>
      <c r="F2288" t="s">
        <v>39</v>
      </c>
      <c r="G2288" t="s">
        <v>20</v>
      </c>
      <c r="H2288" t="s">
        <v>21</v>
      </c>
      <c r="I2288" t="s">
        <v>99</v>
      </c>
      <c r="J2288">
        <v>2</v>
      </c>
      <c r="K2288">
        <v>2211000</v>
      </c>
      <c r="L2288" s="2" t="s">
        <v>3647</v>
      </c>
      <c r="M2288" t="s">
        <v>23</v>
      </c>
      <c r="N2288">
        <v>3653000</v>
      </c>
      <c r="O2288">
        <v>4.3</v>
      </c>
      <c r="P2288" t="b">
        <v>1</v>
      </c>
    </row>
    <row r="2289" spans="1:16" x14ac:dyDescent="0.2">
      <c r="A2289" t="s">
        <v>3648</v>
      </c>
      <c r="B2289" s="1">
        <v>45033</v>
      </c>
      <c r="C2289" s="1">
        <v>45096</v>
      </c>
      <c r="D2289" t="s">
        <v>3649</v>
      </c>
      <c r="E2289" t="s">
        <v>33</v>
      </c>
      <c r="F2289" t="s">
        <v>45</v>
      </c>
      <c r="G2289" t="s">
        <v>20</v>
      </c>
      <c r="I2289" t="s">
        <v>60</v>
      </c>
      <c r="J2289">
        <v>1</v>
      </c>
      <c r="K2289">
        <v>3661000</v>
      </c>
      <c r="L2289">
        <v>5.1201765777634203E-2</v>
      </c>
      <c r="M2289" t="s">
        <v>23</v>
      </c>
      <c r="N2289">
        <v>3474000</v>
      </c>
      <c r="O2289">
        <v>4.3</v>
      </c>
      <c r="P2289" t="b">
        <v>0</v>
      </c>
    </row>
    <row r="2290" spans="1:16" x14ac:dyDescent="0.2">
      <c r="A2290" t="s">
        <v>3650</v>
      </c>
      <c r="B2290" s="1">
        <v>45034</v>
      </c>
      <c r="C2290" s="1">
        <v>45107</v>
      </c>
      <c r="D2290" t="s">
        <v>805</v>
      </c>
      <c r="E2290" t="s">
        <v>33</v>
      </c>
      <c r="F2290" t="s">
        <v>19</v>
      </c>
      <c r="G2290" t="s">
        <v>20</v>
      </c>
      <c r="H2290" t="s">
        <v>21</v>
      </c>
      <c r="I2290" t="s">
        <v>94</v>
      </c>
      <c r="J2290">
        <v>4</v>
      </c>
      <c r="K2290">
        <v>2770000</v>
      </c>
      <c r="L2290">
        <v>8.7700106945843195E-2</v>
      </c>
      <c r="M2290" t="s">
        <v>23</v>
      </c>
      <c r="N2290">
        <v>10108000</v>
      </c>
      <c r="O2290">
        <v>3.6</v>
      </c>
      <c r="P2290" t="b">
        <v>1</v>
      </c>
    </row>
    <row r="2291" spans="1:16" x14ac:dyDescent="0.2">
      <c r="A2291" t="s">
        <v>3651</v>
      </c>
      <c r="B2291" s="1">
        <v>45034</v>
      </c>
      <c r="C2291" s="1">
        <v>45074</v>
      </c>
      <c r="D2291" t="s">
        <v>755</v>
      </c>
      <c r="E2291" t="s">
        <v>29</v>
      </c>
      <c r="F2291" t="s">
        <v>45</v>
      </c>
      <c r="G2291" t="s">
        <v>20</v>
      </c>
      <c r="H2291" t="s">
        <v>47</v>
      </c>
      <c r="I2291" t="s">
        <v>83</v>
      </c>
      <c r="J2291">
        <v>1</v>
      </c>
      <c r="K2291">
        <v>2681000</v>
      </c>
      <c r="L2291">
        <v>7.6072898822352894E-2</v>
      </c>
      <c r="M2291" t="s">
        <v>23</v>
      </c>
      <c r="N2291">
        <v>2477000</v>
      </c>
      <c r="O2291">
        <v>4.8</v>
      </c>
      <c r="P2291" t="b">
        <v>1</v>
      </c>
    </row>
    <row r="2292" spans="1:16" x14ac:dyDescent="0.2">
      <c r="A2292" t="s">
        <v>3652</v>
      </c>
      <c r="B2292" s="1">
        <v>45034</v>
      </c>
      <c r="C2292" s="1">
        <v>45067</v>
      </c>
      <c r="D2292" t="s">
        <v>3653</v>
      </c>
      <c r="E2292" t="s">
        <v>45</v>
      </c>
      <c r="F2292" t="s">
        <v>34</v>
      </c>
      <c r="G2292" t="s">
        <v>50</v>
      </c>
      <c r="H2292" t="s">
        <v>21</v>
      </c>
      <c r="I2292" t="s">
        <v>99</v>
      </c>
      <c r="J2292">
        <v>2</v>
      </c>
      <c r="K2292">
        <v>3895000</v>
      </c>
      <c r="L2292">
        <v>8.5529143829896195E-2</v>
      </c>
      <c r="M2292" t="s">
        <v>23</v>
      </c>
      <c r="N2292">
        <v>7124000</v>
      </c>
      <c r="O2292">
        <v>3.4</v>
      </c>
      <c r="P2292" t="b">
        <v>0</v>
      </c>
    </row>
    <row r="2293" spans="1:16" x14ac:dyDescent="0.2">
      <c r="A2293" t="s">
        <v>3654</v>
      </c>
      <c r="B2293" s="1">
        <v>45034</v>
      </c>
      <c r="C2293" s="1">
        <v>45094</v>
      </c>
      <c r="D2293" t="s">
        <v>3655</v>
      </c>
      <c r="E2293" t="s">
        <v>18</v>
      </c>
      <c r="F2293" t="s">
        <v>34</v>
      </c>
      <c r="G2293" t="s">
        <v>50</v>
      </c>
      <c r="H2293" t="s">
        <v>21</v>
      </c>
      <c r="I2293" t="s">
        <v>77</v>
      </c>
      <c r="J2293">
        <v>2</v>
      </c>
      <c r="K2293">
        <v>4589000</v>
      </c>
      <c r="L2293" s="2" t="s">
        <v>3656</v>
      </c>
      <c r="M2293" t="s">
        <v>65</v>
      </c>
      <c r="N2293">
        <v>0</v>
      </c>
      <c r="P2293" t="b">
        <v>0</v>
      </c>
    </row>
    <row r="2294" spans="1:16" x14ac:dyDescent="0.2">
      <c r="A2294" t="s">
        <v>3657</v>
      </c>
      <c r="B2294" s="1">
        <v>45034</v>
      </c>
      <c r="C2294" s="1">
        <v>45035</v>
      </c>
      <c r="D2294" t="s">
        <v>1826</v>
      </c>
      <c r="E2294" t="s">
        <v>33</v>
      </c>
      <c r="F2294" t="s">
        <v>34</v>
      </c>
      <c r="G2294" t="s">
        <v>20</v>
      </c>
      <c r="H2294" t="s">
        <v>51</v>
      </c>
      <c r="I2294" t="s">
        <v>60</v>
      </c>
      <c r="J2294">
        <v>4</v>
      </c>
      <c r="K2294">
        <v>4966000</v>
      </c>
      <c r="L2294" s="2" t="s">
        <v>3658</v>
      </c>
      <c r="M2294" t="s">
        <v>23</v>
      </c>
      <c r="N2294">
        <v>16938000</v>
      </c>
      <c r="O2294">
        <v>4.4000000000000004</v>
      </c>
      <c r="P2294" t="b">
        <v>1</v>
      </c>
    </row>
    <row r="2295" spans="1:16" x14ac:dyDescent="0.2">
      <c r="A2295" t="s">
        <v>3659</v>
      </c>
      <c r="B2295" s="1">
        <v>45036</v>
      </c>
      <c r="C2295" s="1">
        <v>45111</v>
      </c>
      <c r="D2295" t="s">
        <v>3649</v>
      </c>
      <c r="E2295" t="s">
        <v>33</v>
      </c>
      <c r="F2295" t="s">
        <v>19</v>
      </c>
      <c r="G2295" t="s">
        <v>20</v>
      </c>
      <c r="H2295" t="s">
        <v>21</v>
      </c>
      <c r="I2295" t="s">
        <v>57</v>
      </c>
      <c r="J2295">
        <v>1</v>
      </c>
      <c r="K2295">
        <v>3101000</v>
      </c>
      <c r="L2295">
        <v>6.0057452898307502E-2</v>
      </c>
      <c r="M2295" t="s">
        <v>23</v>
      </c>
      <c r="N2295">
        <v>2915000</v>
      </c>
      <c r="O2295">
        <v>4.4000000000000004</v>
      </c>
      <c r="P2295" t="b">
        <v>1</v>
      </c>
    </row>
    <row r="2296" spans="1:16" x14ac:dyDescent="0.2">
      <c r="A2296" t="s">
        <v>3660</v>
      </c>
      <c r="B2296" s="1">
        <v>45036</v>
      </c>
      <c r="C2296" s="1">
        <v>45099</v>
      </c>
      <c r="D2296" t="s">
        <v>3190</v>
      </c>
      <c r="E2296" t="s">
        <v>18</v>
      </c>
      <c r="F2296" t="s">
        <v>39</v>
      </c>
      <c r="G2296" t="s">
        <v>35</v>
      </c>
      <c r="H2296" t="s">
        <v>21</v>
      </c>
      <c r="I2296" t="s">
        <v>52</v>
      </c>
      <c r="J2296">
        <v>2</v>
      </c>
      <c r="K2296">
        <v>2523000</v>
      </c>
      <c r="L2296">
        <v>6.9207894524166397E-2</v>
      </c>
      <c r="M2296" t="s">
        <v>23</v>
      </c>
      <c r="N2296">
        <v>4697000</v>
      </c>
      <c r="O2296">
        <v>3.9</v>
      </c>
      <c r="P2296" t="b">
        <v>1</v>
      </c>
    </row>
    <row r="2297" spans="1:16" x14ac:dyDescent="0.2">
      <c r="A2297" t="s">
        <v>3661</v>
      </c>
      <c r="B2297" s="1">
        <v>45036</v>
      </c>
      <c r="C2297" s="1">
        <v>45094</v>
      </c>
      <c r="D2297" t="s">
        <v>3662</v>
      </c>
      <c r="E2297" t="s">
        <v>45</v>
      </c>
      <c r="F2297" t="s">
        <v>25</v>
      </c>
      <c r="G2297" t="s">
        <v>20</v>
      </c>
      <c r="H2297" t="s">
        <v>47</v>
      </c>
      <c r="I2297" t="s">
        <v>94</v>
      </c>
      <c r="J2297">
        <v>1</v>
      </c>
      <c r="K2297">
        <v>4966000</v>
      </c>
      <c r="L2297" s="2" t="s">
        <v>3663</v>
      </c>
      <c r="M2297" t="s">
        <v>23</v>
      </c>
      <c r="N2297">
        <v>4469000</v>
      </c>
      <c r="O2297">
        <v>4.2</v>
      </c>
      <c r="P2297" t="b">
        <v>0</v>
      </c>
    </row>
    <row r="2298" spans="1:16" x14ac:dyDescent="0.2">
      <c r="A2298" t="s">
        <v>3664</v>
      </c>
      <c r="B2298" s="1">
        <v>45036</v>
      </c>
      <c r="C2298" s="1">
        <v>45105</v>
      </c>
      <c r="D2298" t="s">
        <v>82</v>
      </c>
      <c r="E2298" t="s">
        <v>45</v>
      </c>
      <c r="F2298" t="s">
        <v>34</v>
      </c>
      <c r="G2298" t="s">
        <v>20</v>
      </c>
      <c r="H2298" t="s">
        <v>21</v>
      </c>
      <c r="I2298" t="s">
        <v>60</v>
      </c>
      <c r="J2298">
        <v>5</v>
      </c>
      <c r="K2298">
        <v>4850000</v>
      </c>
      <c r="L2298">
        <v>6.5830638833835997E-2</v>
      </c>
      <c r="M2298" t="s">
        <v>23</v>
      </c>
      <c r="N2298">
        <v>22654000</v>
      </c>
      <c r="O2298">
        <v>4.0999999999999996</v>
      </c>
      <c r="P2298" t="b">
        <v>1</v>
      </c>
    </row>
    <row r="2299" spans="1:16" x14ac:dyDescent="0.2">
      <c r="A2299" t="s">
        <v>3665</v>
      </c>
      <c r="B2299" s="1">
        <v>45036</v>
      </c>
      <c r="C2299" s="1">
        <v>45119</v>
      </c>
      <c r="D2299" t="s">
        <v>2141</v>
      </c>
      <c r="E2299" t="s">
        <v>18</v>
      </c>
      <c r="F2299" t="s">
        <v>39</v>
      </c>
      <c r="G2299" t="s">
        <v>50</v>
      </c>
      <c r="H2299" t="s">
        <v>40</v>
      </c>
      <c r="I2299" t="s">
        <v>77</v>
      </c>
      <c r="J2299">
        <v>2</v>
      </c>
      <c r="K2299">
        <v>2855000</v>
      </c>
      <c r="L2299">
        <v>8.2231304231431102E-2</v>
      </c>
      <c r="M2299" t="s">
        <v>23</v>
      </c>
      <c r="N2299">
        <v>5240000</v>
      </c>
      <c r="O2299">
        <v>4</v>
      </c>
      <c r="P2299" t="b">
        <v>1</v>
      </c>
    </row>
    <row r="2300" spans="1:16" x14ac:dyDescent="0.2">
      <c r="A2300" t="s">
        <v>3666</v>
      </c>
      <c r="B2300" s="1">
        <v>45037</v>
      </c>
      <c r="C2300" s="1">
        <v>45075</v>
      </c>
      <c r="D2300" t="s">
        <v>300</v>
      </c>
      <c r="E2300" t="s">
        <v>18</v>
      </c>
      <c r="F2300" t="s">
        <v>45</v>
      </c>
      <c r="G2300" t="s">
        <v>46</v>
      </c>
      <c r="H2300" t="s">
        <v>40</v>
      </c>
      <c r="I2300" t="s">
        <v>52</v>
      </c>
      <c r="J2300">
        <v>3</v>
      </c>
      <c r="K2300">
        <v>2590000</v>
      </c>
      <c r="L2300" s="2" t="s">
        <v>3667</v>
      </c>
      <c r="M2300" t="s">
        <v>23</v>
      </c>
      <c r="N2300">
        <v>6921000</v>
      </c>
      <c r="O2300">
        <v>4.5999999999999996</v>
      </c>
      <c r="P2300" t="b">
        <v>1</v>
      </c>
    </row>
    <row r="2301" spans="1:16" x14ac:dyDescent="0.2">
      <c r="A2301" t="s">
        <v>3668</v>
      </c>
      <c r="B2301" s="1">
        <v>45037</v>
      </c>
      <c r="C2301" s="1">
        <v>45074</v>
      </c>
      <c r="D2301" t="s">
        <v>2075</v>
      </c>
      <c r="E2301" t="s">
        <v>45</v>
      </c>
      <c r="F2301" t="s">
        <v>34</v>
      </c>
      <c r="G2301" t="s">
        <v>50</v>
      </c>
      <c r="H2301" t="s">
        <v>21</v>
      </c>
      <c r="I2301" t="s">
        <v>99</v>
      </c>
      <c r="J2301">
        <v>1</v>
      </c>
      <c r="K2301">
        <v>3745000</v>
      </c>
      <c r="L2301">
        <v>8.4612025048886305E-2</v>
      </c>
      <c r="M2301" t="s">
        <v>23</v>
      </c>
      <c r="N2301">
        <v>3428000</v>
      </c>
      <c r="O2301">
        <v>4</v>
      </c>
      <c r="P2301" t="b">
        <v>1</v>
      </c>
    </row>
    <row r="2302" spans="1:16" x14ac:dyDescent="0.2">
      <c r="A2302" t="s">
        <v>3669</v>
      </c>
      <c r="B2302" s="1">
        <v>45037</v>
      </c>
      <c r="C2302" s="1">
        <v>45045</v>
      </c>
      <c r="D2302" t="s">
        <v>3670</v>
      </c>
      <c r="E2302" t="s">
        <v>18</v>
      </c>
      <c r="F2302" t="s">
        <v>25</v>
      </c>
      <c r="G2302" t="s">
        <v>50</v>
      </c>
      <c r="H2302" t="s">
        <v>51</v>
      </c>
      <c r="I2302" t="s">
        <v>94</v>
      </c>
      <c r="J2302">
        <v>1</v>
      </c>
      <c r="K2302">
        <v>4995000</v>
      </c>
      <c r="L2302" s="2" t="s">
        <v>3671</v>
      </c>
      <c r="M2302" t="s">
        <v>1882</v>
      </c>
      <c r="N2302">
        <v>4416000</v>
      </c>
      <c r="O2302">
        <v>3.8</v>
      </c>
      <c r="P2302" t="b">
        <v>0</v>
      </c>
    </row>
    <row r="2303" spans="1:16" x14ac:dyDescent="0.2">
      <c r="A2303" t="s">
        <v>3672</v>
      </c>
      <c r="B2303" s="1">
        <v>45037</v>
      </c>
      <c r="C2303" s="1">
        <v>45091</v>
      </c>
      <c r="D2303" t="s">
        <v>3673</v>
      </c>
      <c r="E2303" t="s">
        <v>18</v>
      </c>
      <c r="F2303" t="s">
        <v>34</v>
      </c>
      <c r="G2303" t="s">
        <v>20</v>
      </c>
      <c r="H2303" t="s">
        <v>21</v>
      </c>
      <c r="I2303" t="s">
        <v>60</v>
      </c>
      <c r="J2303">
        <v>4</v>
      </c>
      <c r="K2303">
        <v>4463000</v>
      </c>
      <c r="L2303" s="2" t="s">
        <v>3674</v>
      </c>
      <c r="M2303" t="s">
        <v>23</v>
      </c>
      <c r="N2303">
        <v>17017000</v>
      </c>
      <c r="O2303">
        <v>4.5</v>
      </c>
      <c r="P2303" t="b">
        <v>0</v>
      </c>
    </row>
    <row r="2304" spans="1:16" x14ac:dyDescent="0.2">
      <c r="A2304" t="s">
        <v>3675</v>
      </c>
      <c r="B2304" s="1">
        <v>45038</v>
      </c>
      <c r="C2304" s="1">
        <v>45038</v>
      </c>
      <c r="D2304" t="s">
        <v>138</v>
      </c>
      <c r="E2304" t="s">
        <v>45</v>
      </c>
      <c r="F2304" t="s">
        <v>25</v>
      </c>
      <c r="G2304" t="s">
        <v>50</v>
      </c>
      <c r="H2304" t="s">
        <v>21</v>
      </c>
      <c r="I2304" t="s">
        <v>26</v>
      </c>
      <c r="J2304">
        <v>3</v>
      </c>
      <c r="K2304">
        <v>5930000</v>
      </c>
      <c r="L2304" s="2" t="s">
        <v>3676</v>
      </c>
      <c r="M2304" t="s">
        <v>23</v>
      </c>
      <c r="N2304">
        <v>15432000</v>
      </c>
      <c r="O2304">
        <v>4.2</v>
      </c>
      <c r="P2304" t="b">
        <v>1</v>
      </c>
    </row>
    <row r="2305" spans="1:16" x14ac:dyDescent="0.2">
      <c r="A2305" t="s">
        <v>3677</v>
      </c>
      <c r="B2305" s="1">
        <v>45039</v>
      </c>
      <c r="C2305" s="1">
        <v>45094</v>
      </c>
      <c r="D2305" t="s">
        <v>3678</v>
      </c>
      <c r="E2305" t="s">
        <v>45</v>
      </c>
      <c r="F2305" t="s">
        <v>45</v>
      </c>
      <c r="G2305" t="s">
        <v>20</v>
      </c>
      <c r="H2305" t="s">
        <v>21</v>
      </c>
      <c r="I2305" t="s">
        <v>83</v>
      </c>
      <c r="J2305">
        <v>5</v>
      </c>
      <c r="K2305">
        <v>2738000</v>
      </c>
      <c r="L2305">
        <v>4.4271809988218502E-2</v>
      </c>
      <c r="M2305" t="s">
        <v>23</v>
      </c>
      <c r="N2305">
        <v>13084000</v>
      </c>
      <c r="O2305">
        <v>3.8</v>
      </c>
      <c r="P2305" t="b">
        <v>0</v>
      </c>
    </row>
    <row r="2306" spans="1:16" x14ac:dyDescent="0.2">
      <c r="A2306" t="s">
        <v>3679</v>
      </c>
      <c r="B2306" s="1">
        <v>45040</v>
      </c>
      <c r="C2306" s="1">
        <v>45040</v>
      </c>
      <c r="D2306" t="s">
        <v>3680</v>
      </c>
      <c r="E2306" t="s">
        <v>18</v>
      </c>
      <c r="F2306" t="s">
        <v>34</v>
      </c>
      <c r="G2306" t="s">
        <v>35</v>
      </c>
      <c r="H2306" t="s">
        <v>21</v>
      </c>
      <c r="I2306" t="s">
        <v>52</v>
      </c>
      <c r="J2306">
        <v>3</v>
      </c>
      <c r="K2306">
        <v>3308000</v>
      </c>
      <c r="L2306">
        <v>5.5464424919359399E-2</v>
      </c>
      <c r="M2306" t="s">
        <v>23</v>
      </c>
      <c r="N2306">
        <v>9374000</v>
      </c>
      <c r="O2306">
        <v>4.4000000000000004</v>
      </c>
      <c r="P2306" t="b">
        <v>0</v>
      </c>
    </row>
    <row r="2307" spans="1:16" x14ac:dyDescent="0.2">
      <c r="A2307" t="s">
        <v>3681</v>
      </c>
      <c r="B2307" s="1">
        <v>45040</v>
      </c>
      <c r="C2307" s="1">
        <v>45092</v>
      </c>
      <c r="D2307" t="s">
        <v>3133</v>
      </c>
      <c r="E2307" t="s">
        <v>45</v>
      </c>
      <c r="F2307" t="s">
        <v>19</v>
      </c>
      <c r="G2307" t="s">
        <v>20</v>
      </c>
      <c r="H2307" t="s">
        <v>51</v>
      </c>
      <c r="I2307" t="s">
        <v>26</v>
      </c>
      <c r="J2307">
        <v>3</v>
      </c>
      <c r="K2307">
        <v>2736000</v>
      </c>
      <c r="L2307">
        <v>6.9570705855789602E-2</v>
      </c>
      <c r="M2307" t="s">
        <v>23</v>
      </c>
      <c r="N2307">
        <v>7637000</v>
      </c>
      <c r="O2307">
        <v>4.5</v>
      </c>
      <c r="P2307" t="b">
        <v>1</v>
      </c>
    </row>
    <row r="2308" spans="1:16" x14ac:dyDescent="0.2">
      <c r="A2308" t="s">
        <v>3682</v>
      </c>
      <c r="B2308" s="1">
        <v>45040</v>
      </c>
      <c r="C2308" s="1">
        <v>45079</v>
      </c>
      <c r="D2308" t="s">
        <v>3683</v>
      </c>
      <c r="E2308" t="s">
        <v>18</v>
      </c>
      <c r="F2308" t="s">
        <v>39</v>
      </c>
      <c r="G2308" t="s">
        <v>35</v>
      </c>
      <c r="H2308" t="s">
        <v>21</v>
      </c>
      <c r="I2308" t="s">
        <v>22</v>
      </c>
      <c r="J2308">
        <v>1</v>
      </c>
      <c r="K2308">
        <v>2106000</v>
      </c>
      <c r="L2308" s="2" t="s">
        <v>3684</v>
      </c>
      <c r="M2308" t="s">
        <v>23</v>
      </c>
      <c r="N2308">
        <v>1824000</v>
      </c>
      <c r="O2308">
        <v>4.2</v>
      </c>
      <c r="P2308" t="b">
        <v>0</v>
      </c>
    </row>
    <row r="2309" spans="1:16" x14ac:dyDescent="0.2">
      <c r="A2309" t="s">
        <v>3685</v>
      </c>
      <c r="B2309" s="1">
        <v>45041</v>
      </c>
      <c r="C2309" s="1">
        <v>45105</v>
      </c>
      <c r="D2309" t="s">
        <v>907</v>
      </c>
      <c r="E2309" t="s">
        <v>33</v>
      </c>
      <c r="F2309" t="s">
        <v>45</v>
      </c>
      <c r="G2309" t="s">
        <v>35</v>
      </c>
      <c r="H2309" t="s">
        <v>47</v>
      </c>
      <c r="I2309" t="s">
        <v>26</v>
      </c>
      <c r="J2309">
        <v>2</v>
      </c>
      <c r="K2309">
        <v>3532000</v>
      </c>
      <c r="L2309" s="2" t="s">
        <v>3686</v>
      </c>
      <c r="M2309" t="s">
        <v>23</v>
      </c>
      <c r="N2309">
        <v>6131000</v>
      </c>
      <c r="O2309">
        <v>4.2</v>
      </c>
      <c r="P2309" t="b">
        <v>1</v>
      </c>
    </row>
    <row r="2310" spans="1:16" x14ac:dyDescent="0.2">
      <c r="A2310" t="s">
        <v>3687</v>
      </c>
      <c r="B2310" s="1">
        <v>45041</v>
      </c>
      <c r="C2310" s="1">
        <v>45087</v>
      </c>
      <c r="D2310" t="s">
        <v>251</v>
      </c>
      <c r="E2310" t="s">
        <v>18</v>
      </c>
      <c r="F2310" t="s">
        <v>25</v>
      </c>
      <c r="G2310" t="s">
        <v>50</v>
      </c>
      <c r="H2310" t="s">
        <v>21</v>
      </c>
      <c r="I2310" t="s">
        <v>60</v>
      </c>
      <c r="J2310">
        <v>1</v>
      </c>
      <c r="K2310">
        <v>5107000</v>
      </c>
      <c r="L2310">
        <v>5.4022069185235798E-2</v>
      </c>
      <c r="M2310" t="s">
        <v>23</v>
      </c>
      <c r="N2310">
        <v>4831000</v>
      </c>
      <c r="O2310">
        <v>4.5</v>
      </c>
      <c r="P2310" t="b">
        <v>1</v>
      </c>
    </row>
    <row r="2311" spans="1:16" x14ac:dyDescent="0.2">
      <c r="A2311" t="s">
        <v>3688</v>
      </c>
      <c r="B2311" s="1">
        <v>45041</v>
      </c>
      <c r="C2311" s="1">
        <v>45100</v>
      </c>
      <c r="D2311" t="s">
        <v>343</v>
      </c>
      <c r="E2311" t="s">
        <v>18</v>
      </c>
      <c r="F2311" t="s">
        <v>19</v>
      </c>
      <c r="G2311" t="s">
        <v>20</v>
      </c>
      <c r="H2311" t="s">
        <v>40</v>
      </c>
      <c r="I2311" t="s">
        <v>77</v>
      </c>
      <c r="J2311">
        <v>2</v>
      </c>
      <c r="K2311">
        <v>2886000</v>
      </c>
      <c r="L2311">
        <v>7.6728013095688094E-2</v>
      </c>
      <c r="M2311" t="s">
        <v>23</v>
      </c>
      <c r="N2311">
        <v>5329000</v>
      </c>
      <c r="O2311">
        <v>4.8</v>
      </c>
      <c r="P2311" t="b">
        <v>1</v>
      </c>
    </row>
    <row r="2312" spans="1:16" x14ac:dyDescent="0.2">
      <c r="A2312" t="s">
        <v>3689</v>
      </c>
      <c r="B2312" s="1">
        <v>45043</v>
      </c>
      <c r="C2312" s="1">
        <v>45093</v>
      </c>
      <c r="D2312" t="s">
        <v>3690</v>
      </c>
      <c r="E2312" t="s">
        <v>33</v>
      </c>
      <c r="F2312" t="s">
        <v>19</v>
      </c>
      <c r="G2312" t="s">
        <v>20</v>
      </c>
      <c r="H2312" t="s">
        <v>40</v>
      </c>
      <c r="I2312" t="s">
        <v>26</v>
      </c>
      <c r="J2312">
        <v>2</v>
      </c>
      <c r="K2312">
        <v>2884000</v>
      </c>
      <c r="L2312">
        <v>9.3122535346764401E-2</v>
      </c>
      <c r="M2312" t="s">
        <v>23</v>
      </c>
      <c r="N2312">
        <v>5231000</v>
      </c>
      <c r="O2312">
        <v>4</v>
      </c>
      <c r="P2312" t="b">
        <v>0</v>
      </c>
    </row>
    <row r="2313" spans="1:16" x14ac:dyDescent="0.2">
      <c r="A2313" t="s">
        <v>3691</v>
      </c>
      <c r="B2313" s="1">
        <v>45043</v>
      </c>
      <c r="C2313" s="1">
        <v>45082</v>
      </c>
      <c r="D2313" t="s">
        <v>3692</v>
      </c>
      <c r="E2313" t="s">
        <v>33</v>
      </c>
      <c r="F2313" t="s">
        <v>68</v>
      </c>
      <c r="G2313" t="s">
        <v>50</v>
      </c>
      <c r="I2313" t="s">
        <v>1654</v>
      </c>
      <c r="J2313">
        <v>2</v>
      </c>
      <c r="K2313">
        <v>3292000</v>
      </c>
      <c r="L2313" s="2" t="s">
        <v>3693</v>
      </c>
      <c r="M2313" t="s">
        <v>23</v>
      </c>
      <c r="N2313">
        <v>5386000</v>
      </c>
      <c r="O2313">
        <v>4.2</v>
      </c>
      <c r="P2313" t="b">
        <v>0</v>
      </c>
    </row>
    <row r="2314" spans="1:16" x14ac:dyDescent="0.2">
      <c r="A2314" t="s">
        <v>3694</v>
      </c>
      <c r="B2314" s="1">
        <v>45043</v>
      </c>
      <c r="C2314" s="1">
        <v>45109</v>
      </c>
      <c r="D2314" t="s">
        <v>3695</v>
      </c>
      <c r="E2314" t="s">
        <v>33</v>
      </c>
      <c r="F2314" t="s">
        <v>45</v>
      </c>
      <c r="G2314" t="s">
        <v>50</v>
      </c>
      <c r="H2314" t="s">
        <v>21</v>
      </c>
      <c r="I2314" t="s">
        <v>22</v>
      </c>
      <c r="J2314">
        <v>2</v>
      </c>
      <c r="K2314">
        <v>3092000</v>
      </c>
      <c r="L2314" s="2" t="s">
        <v>3696</v>
      </c>
      <c r="M2314" t="s">
        <v>23</v>
      </c>
      <c r="N2314">
        <v>5477000</v>
      </c>
      <c r="O2314">
        <v>4.8</v>
      </c>
      <c r="P2314" t="b">
        <v>0</v>
      </c>
    </row>
    <row r="2315" spans="1:16" x14ac:dyDescent="0.2">
      <c r="A2315" t="s">
        <v>3697</v>
      </c>
      <c r="B2315" s="1">
        <v>45044</v>
      </c>
      <c r="C2315" s="1">
        <v>45082</v>
      </c>
      <c r="D2315" t="s">
        <v>2240</v>
      </c>
      <c r="E2315" t="s">
        <v>45</v>
      </c>
      <c r="F2315" t="s">
        <v>39</v>
      </c>
      <c r="G2315" t="s">
        <v>35</v>
      </c>
      <c r="H2315" t="s">
        <v>40</v>
      </c>
      <c r="I2315" t="s">
        <v>22</v>
      </c>
      <c r="J2315">
        <v>1</v>
      </c>
      <c r="K2315">
        <v>2117000</v>
      </c>
      <c r="L2315" s="2" t="s">
        <v>3698</v>
      </c>
      <c r="M2315" t="s">
        <v>23</v>
      </c>
      <c r="N2315">
        <v>1830000</v>
      </c>
      <c r="O2315">
        <v>4.3</v>
      </c>
      <c r="P2315" t="b">
        <v>1</v>
      </c>
    </row>
    <row r="2316" spans="1:16" x14ac:dyDescent="0.2">
      <c r="A2316" t="s">
        <v>3699</v>
      </c>
      <c r="B2316" s="1">
        <v>45044</v>
      </c>
      <c r="C2316" s="1">
        <v>45080</v>
      </c>
      <c r="D2316" t="s">
        <v>2029</v>
      </c>
      <c r="E2316" t="s">
        <v>45</v>
      </c>
      <c r="F2316" t="s">
        <v>25</v>
      </c>
      <c r="G2316" t="s">
        <v>35</v>
      </c>
      <c r="H2316" t="s">
        <v>21</v>
      </c>
      <c r="I2316" t="s">
        <v>99</v>
      </c>
      <c r="J2316">
        <v>1</v>
      </c>
      <c r="K2316">
        <v>5211000</v>
      </c>
      <c r="L2316" s="2" t="s">
        <v>3700</v>
      </c>
      <c r="M2316" t="s">
        <v>23</v>
      </c>
      <c r="N2316">
        <v>5022000</v>
      </c>
      <c r="O2316">
        <v>4.0999999999999996</v>
      </c>
      <c r="P2316" t="b">
        <v>1</v>
      </c>
    </row>
    <row r="2317" spans="1:16" x14ac:dyDescent="0.2">
      <c r="A2317" t="s">
        <v>3701</v>
      </c>
      <c r="B2317" s="1">
        <v>45046</v>
      </c>
      <c r="C2317" s="1">
        <v>45110</v>
      </c>
      <c r="D2317" t="s">
        <v>3702</v>
      </c>
      <c r="E2317" t="s">
        <v>29</v>
      </c>
      <c r="F2317" t="s">
        <v>25</v>
      </c>
      <c r="G2317" t="s">
        <v>20</v>
      </c>
      <c r="H2317" t="s">
        <v>40</v>
      </c>
      <c r="I2317" t="s">
        <v>52</v>
      </c>
      <c r="J2317">
        <v>4</v>
      </c>
      <c r="K2317">
        <v>4608000</v>
      </c>
      <c r="L2317" s="2" t="s">
        <v>3703</v>
      </c>
      <c r="M2317" t="s">
        <v>23</v>
      </c>
      <c r="N2317">
        <v>16139000</v>
      </c>
      <c r="O2317">
        <v>4</v>
      </c>
      <c r="P2317" t="b">
        <v>0</v>
      </c>
    </row>
    <row r="2318" spans="1:16" x14ac:dyDescent="0.2">
      <c r="A2318" t="s">
        <v>3704</v>
      </c>
      <c r="B2318" s="1">
        <v>45046</v>
      </c>
      <c r="C2318" s="1">
        <v>45066</v>
      </c>
      <c r="D2318" t="s">
        <v>3705</v>
      </c>
      <c r="E2318" t="s">
        <v>18</v>
      </c>
      <c r="F2318" t="s">
        <v>19</v>
      </c>
      <c r="G2318" t="s">
        <v>35</v>
      </c>
      <c r="H2318" t="s">
        <v>21</v>
      </c>
      <c r="I2318" t="s">
        <v>57</v>
      </c>
      <c r="J2318">
        <v>1</v>
      </c>
      <c r="K2318">
        <v>3188000</v>
      </c>
      <c r="L2318">
        <v>8.0204112387389906E-2</v>
      </c>
      <c r="M2318" t="s">
        <v>23</v>
      </c>
      <c r="N2318">
        <v>2932000</v>
      </c>
      <c r="O2318">
        <v>4.2</v>
      </c>
      <c r="P2318" t="b">
        <v>0</v>
      </c>
    </row>
    <row r="2319" spans="1:16" x14ac:dyDescent="0.2">
      <c r="A2319" t="s">
        <v>3706</v>
      </c>
      <c r="B2319" s="1">
        <v>45046</v>
      </c>
      <c r="C2319" s="1">
        <v>45113</v>
      </c>
      <c r="D2319" t="s">
        <v>3707</v>
      </c>
      <c r="E2319" t="s">
        <v>45</v>
      </c>
      <c r="F2319" t="s">
        <v>25</v>
      </c>
      <c r="G2319" t="s">
        <v>20</v>
      </c>
      <c r="H2319" t="s">
        <v>40</v>
      </c>
      <c r="I2319" t="s">
        <v>99</v>
      </c>
      <c r="J2319">
        <v>1</v>
      </c>
      <c r="K2319">
        <v>5020000</v>
      </c>
      <c r="L2319" s="2" t="s">
        <v>3708</v>
      </c>
      <c r="M2319" t="s">
        <v>23</v>
      </c>
      <c r="N2319">
        <v>4508000</v>
      </c>
      <c r="O2319">
        <v>4</v>
      </c>
      <c r="P2319" t="b">
        <v>0</v>
      </c>
    </row>
    <row r="2320" spans="1:16" x14ac:dyDescent="0.2">
      <c r="A2320" t="s">
        <v>3709</v>
      </c>
      <c r="B2320" s="1">
        <v>45046</v>
      </c>
      <c r="C2320" s="1">
        <v>45109</v>
      </c>
      <c r="D2320" t="s">
        <v>831</v>
      </c>
      <c r="E2320" t="s">
        <v>33</v>
      </c>
      <c r="F2320" t="s">
        <v>25</v>
      </c>
      <c r="G2320" t="s">
        <v>20</v>
      </c>
      <c r="H2320" t="s">
        <v>21</v>
      </c>
      <c r="I2320" t="s">
        <v>30</v>
      </c>
      <c r="J2320">
        <v>2</v>
      </c>
      <c r="K2320">
        <v>5967000</v>
      </c>
      <c r="L2320">
        <v>6.83162566154107E-2</v>
      </c>
      <c r="M2320" t="s">
        <v>23</v>
      </c>
      <c r="N2320">
        <v>11119000</v>
      </c>
      <c r="O2320">
        <v>4.7</v>
      </c>
      <c r="P2320" t="b">
        <v>1</v>
      </c>
    </row>
    <row r="2321" spans="1:16" x14ac:dyDescent="0.2">
      <c r="A2321" t="s">
        <v>3710</v>
      </c>
      <c r="B2321" s="1">
        <v>45046</v>
      </c>
      <c r="C2321" s="1">
        <v>45105</v>
      </c>
      <c r="D2321" t="s">
        <v>351</v>
      </c>
      <c r="E2321" t="s">
        <v>18</v>
      </c>
      <c r="F2321" t="s">
        <v>34</v>
      </c>
      <c r="G2321" t="s">
        <v>35</v>
      </c>
      <c r="H2321" t="s">
        <v>40</v>
      </c>
      <c r="I2321" t="s">
        <v>83</v>
      </c>
      <c r="J2321">
        <v>2</v>
      </c>
      <c r="K2321">
        <v>4389000</v>
      </c>
      <c r="L2321">
        <v>6.5676197611079498E-2</v>
      </c>
      <c r="M2321" t="s">
        <v>23</v>
      </c>
      <c r="N2321">
        <v>8201000</v>
      </c>
      <c r="O2321">
        <v>4.3</v>
      </c>
      <c r="P2321" t="b">
        <v>1</v>
      </c>
    </row>
    <row r="2322" spans="1:16" x14ac:dyDescent="0.2">
      <c r="A2322" t="s">
        <v>3711</v>
      </c>
      <c r="B2322" s="1">
        <v>45046</v>
      </c>
      <c r="C2322" s="1">
        <v>45121</v>
      </c>
      <c r="D2322" t="s">
        <v>2185</v>
      </c>
      <c r="E2322" t="s">
        <v>45</v>
      </c>
      <c r="F2322" t="s">
        <v>19</v>
      </c>
      <c r="G2322" t="s">
        <v>20</v>
      </c>
      <c r="H2322" t="s">
        <v>21</v>
      </c>
      <c r="J2322">
        <v>2</v>
      </c>
      <c r="K2322">
        <v>2828000</v>
      </c>
      <c r="L2322">
        <v>8.3226599917736399E-2</v>
      </c>
      <c r="M2322" t="s">
        <v>23</v>
      </c>
      <c r="N2322">
        <v>5185000</v>
      </c>
      <c r="O2322">
        <v>3.8</v>
      </c>
      <c r="P2322" t="b">
        <v>1</v>
      </c>
    </row>
    <row r="2323" spans="1:16" x14ac:dyDescent="0.2">
      <c r="A2323" t="s">
        <v>3712</v>
      </c>
      <c r="B2323" s="1">
        <v>45047</v>
      </c>
      <c r="C2323" s="1">
        <v>45110</v>
      </c>
      <c r="D2323" t="s">
        <v>3713</v>
      </c>
      <c r="E2323" t="s">
        <v>33</v>
      </c>
      <c r="F2323" t="s">
        <v>45</v>
      </c>
      <c r="G2323" t="s">
        <v>20</v>
      </c>
      <c r="H2323" t="s">
        <v>21</v>
      </c>
      <c r="I2323" t="s">
        <v>77</v>
      </c>
      <c r="J2323">
        <v>2</v>
      </c>
      <c r="K2323">
        <v>3956000</v>
      </c>
      <c r="L2323" s="2" t="s">
        <v>3714</v>
      </c>
      <c r="M2323" t="s">
        <v>23</v>
      </c>
      <c r="N2323">
        <v>6301000</v>
      </c>
      <c r="O2323">
        <v>5</v>
      </c>
      <c r="P2323" t="b">
        <v>0</v>
      </c>
    </row>
    <row r="2324" spans="1:16" x14ac:dyDescent="0.2">
      <c r="A2324" t="s">
        <v>3715</v>
      </c>
      <c r="B2324" s="1">
        <v>44931</v>
      </c>
      <c r="C2324" s="1">
        <v>45113</v>
      </c>
      <c r="D2324" t="s">
        <v>3716</v>
      </c>
      <c r="E2324" t="s">
        <v>29</v>
      </c>
      <c r="F2324" t="s">
        <v>34</v>
      </c>
      <c r="G2324" t="s">
        <v>20</v>
      </c>
      <c r="H2324" t="s">
        <v>21</v>
      </c>
      <c r="I2324" t="s">
        <v>57</v>
      </c>
      <c r="J2324">
        <v>1</v>
      </c>
      <c r="K2324">
        <v>4949000</v>
      </c>
      <c r="L2324" s="2" t="s">
        <v>3717</v>
      </c>
      <c r="M2324" t="s">
        <v>23</v>
      </c>
      <c r="N2324">
        <v>4398000</v>
      </c>
      <c r="O2324">
        <v>4.4000000000000004</v>
      </c>
      <c r="P2324" t="b">
        <v>0</v>
      </c>
    </row>
    <row r="2325" spans="1:16" x14ac:dyDescent="0.2">
      <c r="A2325" t="s">
        <v>3718</v>
      </c>
      <c r="B2325" s="1">
        <v>45047</v>
      </c>
      <c r="C2325" s="1">
        <v>45069</v>
      </c>
      <c r="D2325" t="s">
        <v>662</v>
      </c>
      <c r="E2325" t="s">
        <v>29</v>
      </c>
      <c r="F2325" t="s">
        <v>34</v>
      </c>
      <c r="G2325" t="s">
        <v>35</v>
      </c>
      <c r="H2325" t="s">
        <v>21</v>
      </c>
      <c r="I2325" t="s">
        <v>52</v>
      </c>
      <c r="J2325">
        <v>1</v>
      </c>
      <c r="K2325">
        <v>3016000</v>
      </c>
      <c r="L2325">
        <v>0</v>
      </c>
      <c r="M2325" t="s">
        <v>1882</v>
      </c>
      <c r="N2325">
        <v>3016000</v>
      </c>
      <c r="O2325">
        <v>4.3</v>
      </c>
      <c r="P2325" t="b">
        <v>1</v>
      </c>
    </row>
    <row r="2326" spans="1:16" x14ac:dyDescent="0.2">
      <c r="A2326" t="s">
        <v>3719</v>
      </c>
      <c r="B2326" s="1">
        <v>45048</v>
      </c>
      <c r="C2326" s="1">
        <v>45117</v>
      </c>
      <c r="D2326" t="s">
        <v>623</v>
      </c>
      <c r="E2326" t="s">
        <v>18</v>
      </c>
      <c r="F2326" t="s">
        <v>25</v>
      </c>
      <c r="G2326" t="s">
        <v>35</v>
      </c>
      <c r="H2326" t="s">
        <v>47</v>
      </c>
      <c r="I2326" t="s">
        <v>52</v>
      </c>
      <c r="J2326">
        <v>1</v>
      </c>
      <c r="K2326">
        <v>4616000</v>
      </c>
      <c r="L2326" s="2" t="s">
        <v>3720</v>
      </c>
      <c r="M2326" t="s">
        <v>65</v>
      </c>
      <c r="N2326">
        <v>0</v>
      </c>
      <c r="P2326" t="b">
        <v>1</v>
      </c>
    </row>
    <row r="2327" spans="1:16" x14ac:dyDescent="0.2">
      <c r="A2327" t="s">
        <v>3721</v>
      </c>
      <c r="B2327" s="1">
        <v>45051</v>
      </c>
      <c r="C2327" s="1">
        <v>45066</v>
      </c>
      <c r="D2327" t="s">
        <v>2042</v>
      </c>
      <c r="E2327" t="s">
        <v>45</v>
      </c>
      <c r="F2327" t="s">
        <v>19</v>
      </c>
      <c r="G2327" t="s">
        <v>20</v>
      </c>
      <c r="H2327" t="s">
        <v>47</v>
      </c>
      <c r="I2327" t="s">
        <v>83</v>
      </c>
      <c r="J2327">
        <v>4</v>
      </c>
      <c r="K2327">
        <v>2622000</v>
      </c>
      <c r="L2327" s="2" t="s">
        <v>3722</v>
      </c>
      <c r="M2327" t="s">
        <v>23</v>
      </c>
      <c r="N2327">
        <v>8578000</v>
      </c>
      <c r="O2327">
        <v>4.4000000000000004</v>
      </c>
      <c r="P2327" t="b">
        <v>1</v>
      </c>
    </row>
    <row r="2328" spans="1:16" x14ac:dyDescent="0.2">
      <c r="A2328" t="s">
        <v>3723</v>
      </c>
      <c r="B2328" s="1">
        <v>45051</v>
      </c>
      <c r="C2328" s="1">
        <v>45116</v>
      </c>
      <c r="D2328" t="s">
        <v>3724</v>
      </c>
      <c r="E2328" t="s">
        <v>29</v>
      </c>
      <c r="F2328" t="s">
        <v>34</v>
      </c>
      <c r="H2328" t="s">
        <v>21</v>
      </c>
      <c r="I2328" t="s">
        <v>77</v>
      </c>
      <c r="J2328">
        <v>1</v>
      </c>
      <c r="K2328">
        <v>4334000</v>
      </c>
      <c r="L2328" s="2" t="s">
        <v>3725</v>
      </c>
      <c r="M2328" t="s">
        <v>23</v>
      </c>
      <c r="N2328">
        <v>3820000</v>
      </c>
      <c r="O2328">
        <v>4.9000000000000004</v>
      </c>
      <c r="P2328" t="b">
        <v>0</v>
      </c>
    </row>
    <row r="2329" spans="1:16" x14ac:dyDescent="0.2">
      <c r="A2329" t="s">
        <v>3726</v>
      </c>
      <c r="B2329" s="1">
        <v>45051</v>
      </c>
      <c r="C2329" s="1">
        <v>45143</v>
      </c>
      <c r="D2329" t="s">
        <v>3727</v>
      </c>
      <c r="E2329" t="s">
        <v>45</v>
      </c>
      <c r="F2329" t="s">
        <v>34</v>
      </c>
      <c r="G2329" t="s">
        <v>20</v>
      </c>
      <c r="H2329" t="s">
        <v>21</v>
      </c>
      <c r="I2329" t="s">
        <v>77</v>
      </c>
      <c r="J2329">
        <v>3</v>
      </c>
      <c r="K2329">
        <v>4398000</v>
      </c>
      <c r="L2329">
        <v>5.8850590261343601E-2</v>
      </c>
      <c r="M2329" t="s">
        <v>65</v>
      </c>
      <c r="N2329">
        <v>0</v>
      </c>
      <c r="P2329" t="b">
        <v>0</v>
      </c>
    </row>
    <row r="2330" spans="1:16" x14ac:dyDescent="0.2">
      <c r="A2330" t="s">
        <v>3728</v>
      </c>
      <c r="B2330" s="1">
        <v>45051</v>
      </c>
      <c r="C2330" s="1">
        <v>45051</v>
      </c>
      <c r="D2330" t="s">
        <v>3729</v>
      </c>
      <c r="E2330" t="s">
        <v>29</v>
      </c>
      <c r="F2330" t="s">
        <v>45</v>
      </c>
      <c r="G2330" t="s">
        <v>20</v>
      </c>
      <c r="H2330" t="s">
        <v>21</v>
      </c>
      <c r="I2330" t="s">
        <v>60</v>
      </c>
      <c r="J2330">
        <v>3</v>
      </c>
      <c r="K2330">
        <v>3543000</v>
      </c>
      <c r="L2330" s="2" t="s">
        <v>3730</v>
      </c>
      <c r="M2330" t="s">
        <v>23</v>
      </c>
      <c r="N2330">
        <v>9280000</v>
      </c>
      <c r="O2330">
        <v>4.4000000000000004</v>
      </c>
      <c r="P2330" t="b">
        <v>0</v>
      </c>
    </row>
    <row r="2331" spans="1:16" x14ac:dyDescent="0.2">
      <c r="A2331" t="s">
        <v>3731</v>
      </c>
      <c r="B2331" s="1">
        <v>45051</v>
      </c>
      <c r="C2331" s="1">
        <v>45082</v>
      </c>
      <c r="D2331" t="s">
        <v>3280</v>
      </c>
      <c r="E2331" t="s">
        <v>33</v>
      </c>
      <c r="F2331" t="s">
        <v>34</v>
      </c>
      <c r="G2331" t="s">
        <v>20</v>
      </c>
      <c r="H2331" t="s">
        <v>47</v>
      </c>
      <c r="J2331">
        <v>4</v>
      </c>
      <c r="K2331">
        <v>3503000</v>
      </c>
      <c r="L2331" s="2" t="s">
        <v>3732</v>
      </c>
      <c r="M2331" t="s">
        <v>23</v>
      </c>
      <c r="N2331">
        <v>12232000</v>
      </c>
      <c r="O2331">
        <v>4.0999999999999996</v>
      </c>
      <c r="P2331" t="b">
        <v>1</v>
      </c>
    </row>
    <row r="2332" spans="1:16" x14ac:dyDescent="0.2">
      <c r="A2332" t="s">
        <v>3733</v>
      </c>
      <c r="B2332" s="1">
        <v>45051</v>
      </c>
      <c r="C2332" s="1">
        <v>45119</v>
      </c>
      <c r="D2332" t="s">
        <v>3734</v>
      </c>
      <c r="E2332" t="s">
        <v>45</v>
      </c>
      <c r="F2332" t="s">
        <v>34</v>
      </c>
      <c r="G2332" t="s">
        <v>20</v>
      </c>
      <c r="H2332" t="s">
        <v>21</v>
      </c>
      <c r="I2332" t="s">
        <v>26</v>
      </c>
      <c r="J2332">
        <v>3</v>
      </c>
      <c r="K2332">
        <v>4546000</v>
      </c>
      <c r="L2332">
        <v>9.0452102092185502E-2</v>
      </c>
      <c r="M2332" t="s">
        <v>23</v>
      </c>
      <c r="N2332">
        <v>12404000</v>
      </c>
      <c r="O2332">
        <v>4</v>
      </c>
      <c r="P2332" t="b">
        <v>0</v>
      </c>
    </row>
    <row r="2333" spans="1:16" x14ac:dyDescent="0.2">
      <c r="A2333" t="s">
        <v>3735</v>
      </c>
      <c r="B2333" s="1">
        <v>45051</v>
      </c>
      <c r="C2333" s="1">
        <v>45055</v>
      </c>
      <c r="D2333" t="s">
        <v>3736</v>
      </c>
      <c r="E2333" t="s">
        <v>33</v>
      </c>
      <c r="F2333" t="s">
        <v>45</v>
      </c>
      <c r="G2333" t="s">
        <v>50</v>
      </c>
      <c r="H2333" t="s">
        <v>21</v>
      </c>
      <c r="I2333" t="s">
        <v>94</v>
      </c>
      <c r="J2333">
        <v>2</v>
      </c>
      <c r="K2333">
        <v>3071000</v>
      </c>
      <c r="L2333">
        <v>9.3688745839379403E-2</v>
      </c>
      <c r="M2333" t="s">
        <v>23</v>
      </c>
      <c r="N2333">
        <v>5567000</v>
      </c>
      <c r="O2333">
        <v>4</v>
      </c>
      <c r="P2333" t="b">
        <v>0</v>
      </c>
    </row>
    <row r="2334" spans="1:16" x14ac:dyDescent="0.2">
      <c r="A2334" t="s">
        <v>3737</v>
      </c>
      <c r="B2334" s="1">
        <v>45052</v>
      </c>
      <c r="C2334" s="1">
        <v>45130</v>
      </c>
      <c r="D2334" t="s">
        <v>3738</v>
      </c>
      <c r="E2334" t="s">
        <v>45</v>
      </c>
      <c r="F2334" t="s">
        <v>68</v>
      </c>
      <c r="H2334" t="s">
        <v>21</v>
      </c>
      <c r="I2334" t="s">
        <v>83</v>
      </c>
      <c r="J2334">
        <v>2</v>
      </c>
      <c r="K2334">
        <v>1938000</v>
      </c>
      <c r="L2334">
        <v>9.7301129403916997E-2</v>
      </c>
      <c r="M2334" t="s">
        <v>65</v>
      </c>
      <c r="N2334">
        <v>0</v>
      </c>
      <c r="P2334" t="b">
        <v>0</v>
      </c>
    </row>
    <row r="2335" spans="1:16" x14ac:dyDescent="0.2">
      <c r="A2335" t="s">
        <v>3739</v>
      </c>
      <c r="B2335" s="1">
        <v>45053</v>
      </c>
      <c r="C2335" s="1">
        <v>45062</v>
      </c>
      <c r="D2335" t="s">
        <v>1962</v>
      </c>
      <c r="E2335" t="s">
        <v>33</v>
      </c>
      <c r="F2335" t="s">
        <v>34</v>
      </c>
      <c r="G2335" t="s">
        <v>20</v>
      </c>
      <c r="H2335" t="s">
        <v>21</v>
      </c>
      <c r="I2335" t="s">
        <v>22</v>
      </c>
      <c r="J2335">
        <v>1</v>
      </c>
      <c r="K2335">
        <v>3408000</v>
      </c>
      <c r="L2335" s="2" t="s">
        <v>3740</v>
      </c>
      <c r="M2335" t="s">
        <v>23</v>
      </c>
      <c r="N2335">
        <v>2821000</v>
      </c>
      <c r="O2335">
        <v>3.8</v>
      </c>
      <c r="P2335" t="b">
        <v>1</v>
      </c>
    </row>
    <row r="2336" spans="1:16" x14ac:dyDescent="0.2">
      <c r="A2336" t="s">
        <v>3741</v>
      </c>
      <c r="B2336" s="1">
        <v>45053</v>
      </c>
      <c r="C2336" s="1">
        <v>45079</v>
      </c>
      <c r="D2336" t="s">
        <v>3742</v>
      </c>
      <c r="F2336" t="s">
        <v>34</v>
      </c>
      <c r="G2336" t="s">
        <v>50</v>
      </c>
      <c r="H2336" t="s">
        <v>51</v>
      </c>
      <c r="I2336" t="s">
        <v>99</v>
      </c>
      <c r="J2336">
        <v>3</v>
      </c>
      <c r="K2336">
        <v>4053000</v>
      </c>
      <c r="L2336">
        <v>8.5472901493691106E-2</v>
      </c>
      <c r="M2336" t="s">
        <v>23</v>
      </c>
      <c r="N2336">
        <v>11120000</v>
      </c>
      <c r="O2336">
        <v>4.4000000000000004</v>
      </c>
      <c r="P2336" t="b">
        <v>0</v>
      </c>
    </row>
    <row r="2337" spans="1:16" x14ac:dyDescent="0.2">
      <c r="A2337" t="s">
        <v>3743</v>
      </c>
      <c r="B2337" s="1">
        <v>45055</v>
      </c>
      <c r="C2337" s="1">
        <v>45088</v>
      </c>
      <c r="D2337" t="s">
        <v>3744</v>
      </c>
      <c r="E2337" t="s">
        <v>45</v>
      </c>
      <c r="F2337" t="s">
        <v>19</v>
      </c>
      <c r="G2337" t="s">
        <v>50</v>
      </c>
      <c r="H2337" t="s">
        <v>47</v>
      </c>
      <c r="I2337" t="s">
        <v>60</v>
      </c>
      <c r="J2337">
        <v>1</v>
      </c>
      <c r="K2337">
        <v>2879000</v>
      </c>
      <c r="L2337" s="2" t="s">
        <v>3745</v>
      </c>
      <c r="M2337" t="s">
        <v>23</v>
      </c>
      <c r="N2337">
        <v>2456000</v>
      </c>
      <c r="O2337">
        <v>4.3</v>
      </c>
      <c r="P2337" t="b">
        <v>0</v>
      </c>
    </row>
    <row r="2338" spans="1:16" x14ac:dyDescent="0.2">
      <c r="A2338" t="s">
        <v>3746</v>
      </c>
      <c r="B2338" s="1">
        <v>45055</v>
      </c>
      <c r="C2338" s="1">
        <v>45076</v>
      </c>
      <c r="D2338" t="s">
        <v>3747</v>
      </c>
      <c r="E2338" t="s">
        <v>18</v>
      </c>
      <c r="F2338" t="s">
        <v>45</v>
      </c>
      <c r="G2338" t="s">
        <v>20</v>
      </c>
      <c r="H2338" t="s">
        <v>21</v>
      </c>
      <c r="I2338" t="s">
        <v>57</v>
      </c>
      <c r="J2338">
        <v>1</v>
      </c>
      <c r="K2338">
        <v>3340000</v>
      </c>
      <c r="L2338" s="3">
        <v>5.0999999999999997E-2</v>
      </c>
      <c r="M2338" t="s">
        <v>23</v>
      </c>
      <c r="N2338">
        <v>3169000</v>
      </c>
      <c r="O2338">
        <v>3.4</v>
      </c>
      <c r="P2338" t="b">
        <v>0</v>
      </c>
    </row>
    <row r="2339" spans="1:16" x14ac:dyDescent="0.2">
      <c r="A2339" t="s">
        <v>3748</v>
      </c>
      <c r="B2339" s="1">
        <v>45055</v>
      </c>
      <c r="C2339" s="1">
        <v>45142</v>
      </c>
      <c r="D2339" t="s">
        <v>853</v>
      </c>
      <c r="E2339" t="s">
        <v>29</v>
      </c>
      <c r="F2339" t="s">
        <v>68</v>
      </c>
      <c r="I2339" t="s">
        <v>52</v>
      </c>
      <c r="J2339">
        <v>3</v>
      </c>
      <c r="K2339">
        <v>2577000</v>
      </c>
      <c r="L2339">
        <v>0.11524478930448299</v>
      </c>
      <c r="M2339" t="s">
        <v>23</v>
      </c>
      <c r="N2339">
        <v>6840000</v>
      </c>
      <c r="O2339">
        <v>4.2</v>
      </c>
      <c r="P2339" t="b">
        <v>1</v>
      </c>
    </row>
    <row r="2340" spans="1:16" x14ac:dyDescent="0.2">
      <c r="A2340" t="s">
        <v>3749</v>
      </c>
      <c r="B2340" s="1">
        <v>45055</v>
      </c>
      <c r="C2340" s="1">
        <v>45096</v>
      </c>
      <c r="D2340" t="s">
        <v>2407</v>
      </c>
      <c r="E2340" t="s">
        <v>45</v>
      </c>
      <c r="F2340" t="s">
        <v>39</v>
      </c>
      <c r="G2340" t="s">
        <v>20</v>
      </c>
      <c r="H2340" t="s">
        <v>21</v>
      </c>
      <c r="I2340" t="s">
        <v>60</v>
      </c>
      <c r="J2340">
        <v>2</v>
      </c>
      <c r="K2340">
        <v>2771000</v>
      </c>
      <c r="L2340">
        <v>7.4677017402467197E-2</v>
      </c>
      <c r="M2340" t="s">
        <v>23</v>
      </c>
      <c r="N2340">
        <v>5128000</v>
      </c>
      <c r="O2340">
        <v>3.6</v>
      </c>
      <c r="P2340" t="b">
        <v>1</v>
      </c>
    </row>
    <row r="2341" spans="1:16" x14ac:dyDescent="0.2">
      <c r="A2341" t="s">
        <v>3750</v>
      </c>
      <c r="B2341" s="1">
        <v>45055</v>
      </c>
      <c r="C2341" s="1">
        <v>45088</v>
      </c>
      <c r="D2341" t="s">
        <v>2705</v>
      </c>
      <c r="E2341" t="s">
        <v>18</v>
      </c>
      <c r="F2341" t="s">
        <v>19</v>
      </c>
      <c r="G2341" t="s">
        <v>50</v>
      </c>
      <c r="H2341" t="s">
        <v>21</v>
      </c>
      <c r="I2341" t="s">
        <v>94</v>
      </c>
      <c r="J2341">
        <v>2</v>
      </c>
      <c r="K2341">
        <v>2854000</v>
      </c>
      <c r="L2341" s="2" t="s">
        <v>3751</v>
      </c>
      <c r="M2341" t="s">
        <v>23</v>
      </c>
      <c r="N2341">
        <v>4853000</v>
      </c>
      <c r="O2341">
        <v>4.5999999999999996</v>
      </c>
      <c r="P2341" t="b">
        <v>1</v>
      </c>
    </row>
    <row r="2342" spans="1:16" x14ac:dyDescent="0.2">
      <c r="A2342" t="s">
        <v>3752</v>
      </c>
      <c r="B2342" s="1">
        <v>45056</v>
      </c>
      <c r="C2342" s="1">
        <v>45091</v>
      </c>
      <c r="D2342" t="s">
        <v>3753</v>
      </c>
      <c r="E2342" t="s">
        <v>29</v>
      </c>
      <c r="F2342" t="s">
        <v>45</v>
      </c>
      <c r="G2342" t="s">
        <v>50</v>
      </c>
      <c r="J2342">
        <v>1</v>
      </c>
      <c r="K2342">
        <v>3677000</v>
      </c>
      <c r="L2342" s="2" t="s">
        <v>3754</v>
      </c>
      <c r="M2342" t="s">
        <v>1656</v>
      </c>
      <c r="N2342">
        <v>3287000</v>
      </c>
      <c r="O2342">
        <v>4.7</v>
      </c>
      <c r="P2342" t="b">
        <v>0</v>
      </c>
    </row>
    <row r="2343" spans="1:16" x14ac:dyDescent="0.2">
      <c r="A2343" t="s">
        <v>3755</v>
      </c>
      <c r="B2343" s="1">
        <v>45056</v>
      </c>
      <c r="C2343" s="1">
        <v>45096</v>
      </c>
      <c r="D2343" t="s">
        <v>2285</v>
      </c>
      <c r="E2343" t="s">
        <v>18</v>
      </c>
      <c r="F2343" t="s">
        <v>34</v>
      </c>
      <c r="G2343" t="s">
        <v>50</v>
      </c>
      <c r="H2343" t="s">
        <v>21</v>
      </c>
      <c r="I2343" t="s">
        <v>77</v>
      </c>
      <c r="J2343">
        <v>1</v>
      </c>
      <c r="K2343">
        <v>4234000</v>
      </c>
      <c r="L2343" s="2" t="s">
        <v>3756</v>
      </c>
      <c r="M2343" t="s">
        <v>23</v>
      </c>
      <c r="N2343">
        <v>3655000</v>
      </c>
      <c r="O2343">
        <v>3.3</v>
      </c>
      <c r="P2343" t="b">
        <v>1</v>
      </c>
    </row>
    <row r="2344" spans="1:16" x14ac:dyDescent="0.2">
      <c r="A2344" t="s">
        <v>3757</v>
      </c>
      <c r="B2344" s="1">
        <v>45056</v>
      </c>
      <c r="C2344" s="1">
        <v>45094</v>
      </c>
      <c r="D2344" t="s">
        <v>209</v>
      </c>
      <c r="E2344" t="s">
        <v>18</v>
      </c>
      <c r="F2344" t="s">
        <v>45</v>
      </c>
      <c r="G2344" t="s">
        <v>50</v>
      </c>
      <c r="H2344" t="s">
        <v>21</v>
      </c>
      <c r="I2344" t="s">
        <v>22</v>
      </c>
      <c r="J2344">
        <v>5</v>
      </c>
      <c r="K2344">
        <v>3321000</v>
      </c>
      <c r="L2344">
        <v>8.3011321401332105E-2</v>
      </c>
      <c r="M2344" t="s">
        <v>65</v>
      </c>
      <c r="N2344">
        <v>0</v>
      </c>
      <c r="P2344" t="b">
        <v>1</v>
      </c>
    </row>
    <row r="2345" spans="1:16" x14ac:dyDescent="0.2">
      <c r="A2345" t="s">
        <v>3758</v>
      </c>
      <c r="B2345" s="1">
        <v>45056</v>
      </c>
      <c r="C2345" s="1">
        <v>45110</v>
      </c>
      <c r="D2345" t="s">
        <v>3759</v>
      </c>
      <c r="E2345" t="s">
        <v>29</v>
      </c>
      <c r="F2345" t="s">
        <v>68</v>
      </c>
      <c r="G2345" t="s">
        <v>50</v>
      </c>
      <c r="H2345" t="s">
        <v>21</v>
      </c>
      <c r="I2345" t="s">
        <v>22</v>
      </c>
      <c r="J2345">
        <v>3</v>
      </c>
      <c r="K2345">
        <v>2640000</v>
      </c>
      <c r="L2345">
        <v>5.2874960392156001E-2</v>
      </c>
      <c r="M2345" t="s">
        <v>23</v>
      </c>
      <c r="N2345">
        <v>7501000</v>
      </c>
      <c r="O2345">
        <v>4.3</v>
      </c>
      <c r="P2345" t="b">
        <v>0</v>
      </c>
    </row>
    <row r="2346" spans="1:16" x14ac:dyDescent="0.2">
      <c r="A2346" t="s">
        <v>3760</v>
      </c>
      <c r="B2346" s="1">
        <v>45057</v>
      </c>
      <c r="C2346" s="1">
        <v>45113</v>
      </c>
      <c r="D2346" t="s">
        <v>913</v>
      </c>
      <c r="E2346" t="s">
        <v>29</v>
      </c>
      <c r="F2346" t="s">
        <v>19</v>
      </c>
      <c r="G2346" t="s">
        <v>35</v>
      </c>
      <c r="H2346" t="s">
        <v>51</v>
      </c>
      <c r="I2346" t="s">
        <v>77</v>
      </c>
      <c r="J2346">
        <v>2</v>
      </c>
      <c r="K2346">
        <v>2867000</v>
      </c>
      <c r="L2346" s="2" t="s">
        <v>3761</v>
      </c>
      <c r="M2346" t="s">
        <v>1673</v>
      </c>
      <c r="N2346">
        <v>5428000</v>
      </c>
      <c r="O2346">
        <v>4.7</v>
      </c>
      <c r="P2346" t="b">
        <v>1</v>
      </c>
    </row>
    <row r="2347" spans="1:16" x14ac:dyDescent="0.2">
      <c r="A2347" t="s">
        <v>3762</v>
      </c>
      <c r="B2347" s="1">
        <v>45057</v>
      </c>
      <c r="C2347" s="1">
        <v>45129</v>
      </c>
      <c r="D2347" t="s">
        <v>3763</v>
      </c>
      <c r="E2347" t="s">
        <v>18</v>
      </c>
      <c r="F2347" t="s">
        <v>25</v>
      </c>
      <c r="G2347" t="s">
        <v>50</v>
      </c>
      <c r="H2347" t="s">
        <v>47</v>
      </c>
      <c r="I2347" t="s">
        <v>77</v>
      </c>
      <c r="J2347">
        <v>1</v>
      </c>
      <c r="K2347">
        <v>6113000</v>
      </c>
      <c r="L2347">
        <v>8.2682930637395693E-2</v>
      </c>
      <c r="M2347" t="s">
        <v>23</v>
      </c>
      <c r="N2347">
        <v>5608000</v>
      </c>
      <c r="O2347">
        <v>4.2</v>
      </c>
      <c r="P2347" t="b">
        <v>0</v>
      </c>
    </row>
    <row r="2348" spans="1:16" x14ac:dyDescent="0.2">
      <c r="A2348" t="s">
        <v>3764</v>
      </c>
      <c r="B2348" s="1">
        <v>45057</v>
      </c>
      <c r="C2348" s="1">
        <v>45132</v>
      </c>
      <c r="D2348" t="s">
        <v>3765</v>
      </c>
      <c r="E2348" t="s">
        <v>33</v>
      </c>
      <c r="F2348" t="s">
        <v>68</v>
      </c>
      <c r="H2348" t="s">
        <v>40</v>
      </c>
      <c r="I2348" t="s">
        <v>52</v>
      </c>
      <c r="J2348">
        <v>4</v>
      </c>
      <c r="K2348">
        <v>2700000</v>
      </c>
      <c r="L2348">
        <v>7.6729460098988497E-2</v>
      </c>
      <c r="M2348" t="s">
        <v>23</v>
      </c>
      <c r="N2348">
        <v>9971000</v>
      </c>
      <c r="O2348">
        <v>4.9000000000000004</v>
      </c>
      <c r="P2348" t="b">
        <v>0</v>
      </c>
    </row>
    <row r="2349" spans="1:16" x14ac:dyDescent="0.2">
      <c r="A2349" t="s">
        <v>3766</v>
      </c>
      <c r="B2349" s="1">
        <v>45059</v>
      </c>
      <c r="C2349" s="1">
        <v>45098</v>
      </c>
      <c r="D2349" t="s">
        <v>3767</v>
      </c>
      <c r="E2349" t="s">
        <v>33</v>
      </c>
      <c r="F2349" t="s">
        <v>25</v>
      </c>
      <c r="G2349" t="s">
        <v>20</v>
      </c>
      <c r="H2349" t="s">
        <v>21</v>
      </c>
      <c r="I2349" t="s">
        <v>57</v>
      </c>
      <c r="J2349">
        <v>2</v>
      </c>
      <c r="K2349">
        <v>5453000</v>
      </c>
      <c r="L2349" s="2" t="s">
        <v>3768</v>
      </c>
      <c r="M2349" t="s">
        <v>23</v>
      </c>
      <c r="N2349">
        <v>9699000</v>
      </c>
      <c r="O2349">
        <v>4.7</v>
      </c>
      <c r="P2349" t="b">
        <v>0</v>
      </c>
    </row>
    <row r="2350" spans="1:16" x14ac:dyDescent="0.2">
      <c r="A2350" t="s">
        <v>3769</v>
      </c>
      <c r="B2350" s="1">
        <v>45059</v>
      </c>
      <c r="C2350" s="1">
        <v>45119</v>
      </c>
      <c r="D2350" t="s">
        <v>2259</v>
      </c>
      <c r="E2350" t="s">
        <v>29</v>
      </c>
      <c r="F2350" t="s">
        <v>25</v>
      </c>
      <c r="G2350" t="s">
        <v>20</v>
      </c>
      <c r="H2350" t="s">
        <v>47</v>
      </c>
      <c r="I2350" t="s">
        <v>83</v>
      </c>
      <c r="J2350">
        <v>1</v>
      </c>
      <c r="K2350">
        <v>4881000</v>
      </c>
      <c r="L2350" s="2" t="s">
        <v>3770</v>
      </c>
      <c r="M2350" t="s">
        <v>23</v>
      </c>
      <c r="N2350">
        <v>4224000</v>
      </c>
      <c r="O2350">
        <v>3.9</v>
      </c>
      <c r="P2350" t="b">
        <v>1</v>
      </c>
    </row>
    <row r="2351" spans="1:16" x14ac:dyDescent="0.2">
      <c r="A2351" t="s">
        <v>3771</v>
      </c>
      <c r="B2351" s="1">
        <v>45061</v>
      </c>
      <c r="C2351" s="1">
        <v>45121</v>
      </c>
      <c r="D2351" t="s">
        <v>42</v>
      </c>
      <c r="E2351" t="s">
        <v>33</v>
      </c>
      <c r="F2351" t="s">
        <v>39</v>
      </c>
      <c r="G2351" t="s">
        <v>35</v>
      </c>
      <c r="H2351" t="s">
        <v>21</v>
      </c>
      <c r="I2351" t="s">
        <v>77</v>
      </c>
      <c r="J2351">
        <v>2</v>
      </c>
      <c r="K2351">
        <v>2832000</v>
      </c>
      <c r="L2351" s="2" t="s">
        <v>3772</v>
      </c>
      <c r="M2351" t="s">
        <v>65</v>
      </c>
      <c r="N2351">
        <v>0</v>
      </c>
      <c r="P2351" t="b">
        <v>1</v>
      </c>
    </row>
    <row r="2352" spans="1:16" x14ac:dyDescent="0.2">
      <c r="A2352" t="s">
        <v>3773</v>
      </c>
      <c r="B2352" s="1">
        <v>45061</v>
      </c>
      <c r="C2352" s="1">
        <v>45127</v>
      </c>
      <c r="D2352" t="s">
        <v>3774</v>
      </c>
      <c r="E2352" t="s">
        <v>29</v>
      </c>
      <c r="F2352" t="s">
        <v>68</v>
      </c>
      <c r="G2352" t="s">
        <v>35</v>
      </c>
      <c r="H2352" t="s">
        <v>47</v>
      </c>
      <c r="I2352" t="s">
        <v>1654</v>
      </c>
      <c r="J2352">
        <v>4</v>
      </c>
      <c r="K2352">
        <v>3159000</v>
      </c>
      <c r="L2352">
        <v>0.145784779944653</v>
      </c>
      <c r="M2352" t="s">
        <v>65</v>
      </c>
      <c r="N2352">
        <v>0</v>
      </c>
      <c r="P2352" t="b">
        <v>0</v>
      </c>
    </row>
    <row r="2353" spans="1:16" x14ac:dyDescent="0.2">
      <c r="A2353" t="s">
        <v>3775</v>
      </c>
      <c r="B2353" s="1">
        <v>45062</v>
      </c>
      <c r="C2353" s="1">
        <v>45114</v>
      </c>
      <c r="D2353" t="s">
        <v>1817</v>
      </c>
      <c r="E2353" t="s">
        <v>18</v>
      </c>
      <c r="F2353" t="s">
        <v>39</v>
      </c>
      <c r="G2353" t="s">
        <v>20</v>
      </c>
      <c r="H2353" t="s">
        <v>51</v>
      </c>
      <c r="I2353" t="s">
        <v>52</v>
      </c>
      <c r="J2353">
        <v>2</v>
      </c>
      <c r="K2353">
        <v>2394000</v>
      </c>
      <c r="L2353">
        <v>8.9340682649048403E-2</v>
      </c>
      <c r="M2353" t="s">
        <v>23</v>
      </c>
      <c r="N2353">
        <v>4360000</v>
      </c>
      <c r="O2353">
        <v>4.9000000000000004</v>
      </c>
      <c r="P2353" t="b">
        <v>1</v>
      </c>
    </row>
    <row r="2354" spans="1:16" x14ac:dyDescent="0.2">
      <c r="A2354" t="s">
        <v>3776</v>
      </c>
      <c r="B2354" s="1">
        <v>45062</v>
      </c>
      <c r="C2354" s="1">
        <v>45111</v>
      </c>
      <c r="D2354" t="s">
        <v>159</v>
      </c>
      <c r="E2354" t="s">
        <v>45</v>
      </c>
      <c r="F2354" t="s">
        <v>39</v>
      </c>
      <c r="G2354" t="s">
        <v>20</v>
      </c>
      <c r="H2354" t="s">
        <v>21</v>
      </c>
      <c r="I2354" t="s">
        <v>99</v>
      </c>
      <c r="J2354">
        <v>3</v>
      </c>
      <c r="K2354">
        <v>2227000</v>
      </c>
      <c r="L2354" s="2" t="s">
        <v>3777</v>
      </c>
      <c r="M2354" t="s">
        <v>65</v>
      </c>
      <c r="N2354">
        <v>0</v>
      </c>
      <c r="P2354" t="b">
        <v>1</v>
      </c>
    </row>
    <row r="2355" spans="1:16" x14ac:dyDescent="0.2">
      <c r="A2355" t="s">
        <v>3778</v>
      </c>
      <c r="B2355" s="1">
        <v>45063</v>
      </c>
      <c r="C2355" s="1">
        <v>45125</v>
      </c>
      <c r="D2355" t="s">
        <v>1962</v>
      </c>
      <c r="E2355" t="s">
        <v>45</v>
      </c>
      <c r="F2355" t="s">
        <v>19</v>
      </c>
      <c r="G2355" t="s">
        <v>35</v>
      </c>
      <c r="H2355" t="s">
        <v>40</v>
      </c>
      <c r="I2355" t="s">
        <v>57</v>
      </c>
      <c r="J2355">
        <v>2</v>
      </c>
      <c r="K2355">
        <v>3488000</v>
      </c>
      <c r="L2355" s="2" t="s">
        <v>3779</v>
      </c>
      <c r="M2355" t="s">
        <v>23</v>
      </c>
      <c r="N2355">
        <v>5656000</v>
      </c>
      <c r="O2355">
        <v>4.5999999999999996</v>
      </c>
      <c r="P2355" t="b">
        <v>1</v>
      </c>
    </row>
    <row r="2356" spans="1:16" x14ac:dyDescent="0.2">
      <c r="A2356" t="s">
        <v>3780</v>
      </c>
      <c r="B2356" s="1">
        <v>45063</v>
      </c>
      <c r="C2356" s="1">
        <v>45150</v>
      </c>
      <c r="D2356" t="s">
        <v>103</v>
      </c>
      <c r="E2356" t="s">
        <v>33</v>
      </c>
      <c r="F2356" t="s">
        <v>45</v>
      </c>
      <c r="G2356" t="s">
        <v>35</v>
      </c>
      <c r="H2356" t="s">
        <v>40</v>
      </c>
      <c r="I2356" t="s">
        <v>60</v>
      </c>
      <c r="J2356">
        <v>4</v>
      </c>
      <c r="K2356">
        <v>3532000</v>
      </c>
      <c r="L2356">
        <v>0.102576649808289</v>
      </c>
      <c r="M2356" t="s">
        <v>65</v>
      </c>
      <c r="N2356">
        <v>0</v>
      </c>
      <c r="P2356" t="b">
        <v>1</v>
      </c>
    </row>
    <row r="2357" spans="1:16" x14ac:dyDescent="0.2">
      <c r="A2357" t="s">
        <v>3781</v>
      </c>
      <c r="B2357" s="1">
        <v>45066</v>
      </c>
      <c r="C2357" s="1">
        <v>45105</v>
      </c>
      <c r="D2357" t="s">
        <v>3782</v>
      </c>
      <c r="E2357" t="s">
        <v>33</v>
      </c>
      <c r="F2357" t="s">
        <v>34</v>
      </c>
      <c r="G2357" t="s">
        <v>50</v>
      </c>
      <c r="H2357" t="s">
        <v>21</v>
      </c>
      <c r="I2357" t="s">
        <v>94</v>
      </c>
      <c r="J2357">
        <v>2</v>
      </c>
      <c r="K2357">
        <v>4543000</v>
      </c>
      <c r="L2357" s="2" t="s">
        <v>3783</v>
      </c>
      <c r="M2357" t="s">
        <v>23</v>
      </c>
      <c r="N2357">
        <v>8021000</v>
      </c>
      <c r="O2357">
        <v>4.2</v>
      </c>
      <c r="P2357" t="b">
        <v>0</v>
      </c>
    </row>
    <row r="2358" spans="1:16" x14ac:dyDescent="0.2">
      <c r="A2358" t="s">
        <v>3784</v>
      </c>
      <c r="B2358" s="1">
        <v>45066</v>
      </c>
      <c r="C2358" s="1">
        <v>45100</v>
      </c>
      <c r="D2358" t="s">
        <v>1169</v>
      </c>
      <c r="E2358" t="s">
        <v>18</v>
      </c>
      <c r="F2358" t="s">
        <v>45</v>
      </c>
      <c r="G2358" t="s">
        <v>35</v>
      </c>
      <c r="H2358" t="s">
        <v>40</v>
      </c>
      <c r="I2358" t="s">
        <v>83</v>
      </c>
      <c r="J2358">
        <v>4</v>
      </c>
      <c r="K2358">
        <v>2640000</v>
      </c>
      <c r="L2358">
        <v>9.7299802373935207E-2</v>
      </c>
      <c r="M2358" t="s">
        <v>65</v>
      </c>
      <c r="N2358">
        <v>0</v>
      </c>
      <c r="P2358" t="b">
        <v>1</v>
      </c>
    </row>
    <row r="2359" spans="1:16" x14ac:dyDescent="0.2">
      <c r="A2359" t="s">
        <v>3785</v>
      </c>
      <c r="B2359" s="1">
        <v>45067</v>
      </c>
      <c r="C2359" s="1">
        <v>45099</v>
      </c>
      <c r="D2359" t="s">
        <v>3786</v>
      </c>
      <c r="E2359" t="s">
        <v>18</v>
      </c>
      <c r="F2359" t="s">
        <v>25</v>
      </c>
      <c r="G2359" t="s">
        <v>50</v>
      </c>
      <c r="H2359" t="s">
        <v>21</v>
      </c>
      <c r="J2359">
        <v>3</v>
      </c>
      <c r="K2359">
        <v>6202000</v>
      </c>
      <c r="L2359" s="2" t="s">
        <v>3787</v>
      </c>
      <c r="M2359" t="s">
        <v>23</v>
      </c>
      <c r="N2359">
        <v>16226000</v>
      </c>
      <c r="O2359">
        <v>4.5999999999999996</v>
      </c>
      <c r="P2359" t="b">
        <v>0</v>
      </c>
    </row>
    <row r="2360" spans="1:16" x14ac:dyDescent="0.2">
      <c r="A2360" t="s">
        <v>3788</v>
      </c>
      <c r="B2360" s="1">
        <v>45067</v>
      </c>
      <c r="C2360" s="1">
        <v>45147</v>
      </c>
      <c r="D2360" t="s">
        <v>3578</v>
      </c>
      <c r="E2360" t="s">
        <v>45</v>
      </c>
      <c r="F2360" t="s">
        <v>19</v>
      </c>
      <c r="G2360" t="s">
        <v>20</v>
      </c>
      <c r="H2360" t="s">
        <v>21</v>
      </c>
      <c r="I2360" t="s">
        <v>99</v>
      </c>
      <c r="J2360">
        <v>1</v>
      </c>
      <c r="K2360">
        <v>2395000</v>
      </c>
      <c r="L2360" s="2" t="s">
        <v>3789</v>
      </c>
      <c r="M2360" t="s">
        <v>23</v>
      </c>
      <c r="N2360">
        <v>2035000</v>
      </c>
      <c r="O2360">
        <v>3.6</v>
      </c>
      <c r="P2360" t="b">
        <v>1</v>
      </c>
    </row>
    <row r="2361" spans="1:16" x14ac:dyDescent="0.2">
      <c r="A2361" t="s">
        <v>3790</v>
      </c>
      <c r="B2361" s="1">
        <v>45067</v>
      </c>
      <c r="C2361" s="1">
        <v>45160</v>
      </c>
      <c r="D2361" t="s">
        <v>2181</v>
      </c>
      <c r="E2361" t="s">
        <v>45</v>
      </c>
      <c r="F2361" t="s">
        <v>34</v>
      </c>
      <c r="G2361" t="s">
        <v>20</v>
      </c>
      <c r="I2361" t="s">
        <v>99</v>
      </c>
      <c r="J2361">
        <v>1</v>
      </c>
      <c r="K2361">
        <v>3963000</v>
      </c>
      <c r="L2361" s="2" t="s">
        <v>3791</v>
      </c>
      <c r="M2361" t="s">
        <v>23</v>
      </c>
      <c r="N2361">
        <v>3173000</v>
      </c>
      <c r="O2361">
        <v>4.0999999999999996</v>
      </c>
      <c r="P2361" t="b">
        <v>1</v>
      </c>
    </row>
    <row r="2362" spans="1:16" x14ac:dyDescent="0.2">
      <c r="A2362" t="s">
        <v>3792</v>
      </c>
      <c r="B2362" s="1">
        <v>45068</v>
      </c>
      <c r="C2362" s="1">
        <v>45120</v>
      </c>
      <c r="D2362" t="s">
        <v>3793</v>
      </c>
      <c r="E2362" t="s">
        <v>18</v>
      </c>
      <c r="F2362" t="s">
        <v>34</v>
      </c>
      <c r="G2362" t="s">
        <v>20</v>
      </c>
      <c r="H2362" t="s">
        <v>47</v>
      </c>
      <c r="I2362" t="s">
        <v>30</v>
      </c>
      <c r="J2362">
        <v>2</v>
      </c>
      <c r="K2362">
        <v>3981000</v>
      </c>
      <c r="L2362">
        <v>7.0855396078077199E-2</v>
      </c>
      <c r="M2362" t="s">
        <v>23</v>
      </c>
      <c r="N2362">
        <v>7398000</v>
      </c>
      <c r="O2362">
        <v>3.2</v>
      </c>
      <c r="P2362" t="b">
        <v>0</v>
      </c>
    </row>
    <row r="2363" spans="1:16" x14ac:dyDescent="0.2">
      <c r="A2363" t="s">
        <v>3794</v>
      </c>
      <c r="B2363" s="1">
        <v>45068</v>
      </c>
      <c r="C2363" s="1">
        <v>45120</v>
      </c>
      <c r="D2363" t="s">
        <v>1087</v>
      </c>
      <c r="E2363" t="s">
        <v>45</v>
      </c>
      <c r="F2363" t="s">
        <v>34</v>
      </c>
      <c r="G2363" t="s">
        <v>35</v>
      </c>
      <c r="H2363" t="s">
        <v>21</v>
      </c>
      <c r="I2363" t="s">
        <v>52</v>
      </c>
      <c r="J2363">
        <v>2</v>
      </c>
      <c r="K2363">
        <v>3415000</v>
      </c>
      <c r="L2363" s="2" t="s">
        <v>3795</v>
      </c>
      <c r="M2363" t="s">
        <v>23</v>
      </c>
      <c r="N2363">
        <v>5866000</v>
      </c>
      <c r="O2363">
        <v>3.6</v>
      </c>
      <c r="P2363" t="b">
        <v>1</v>
      </c>
    </row>
    <row r="2364" spans="1:16" x14ac:dyDescent="0.2">
      <c r="A2364" t="s">
        <v>3796</v>
      </c>
      <c r="B2364" s="1">
        <v>45069</v>
      </c>
      <c r="C2364" s="1">
        <v>45163</v>
      </c>
      <c r="D2364" t="s">
        <v>3797</v>
      </c>
      <c r="E2364" t="s">
        <v>29</v>
      </c>
      <c r="F2364" t="s">
        <v>39</v>
      </c>
      <c r="G2364" t="s">
        <v>35</v>
      </c>
      <c r="I2364" t="s">
        <v>26</v>
      </c>
      <c r="J2364">
        <v>1</v>
      </c>
      <c r="K2364">
        <v>2186000</v>
      </c>
      <c r="L2364" s="2" t="s">
        <v>3798</v>
      </c>
      <c r="M2364" t="s">
        <v>23</v>
      </c>
      <c r="N2364">
        <v>1956000</v>
      </c>
      <c r="O2364">
        <v>4.5999999999999996</v>
      </c>
      <c r="P2364" t="b">
        <v>0</v>
      </c>
    </row>
    <row r="2365" spans="1:16" x14ac:dyDescent="0.2">
      <c r="A2365" t="s">
        <v>3799</v>
      </c>
      <c r="B2365" s="1">
        <v>45069</v>
      </c>
      <c r="C2365" s="1">
        <v>45133</v>
      </c>
      <c r="D2365" t="s">
        <v>3636</v>
      </c>
      <c r="E2365" t="s">
        <v>29</v>
      </c>
      <c r="F2365" t="s">
        <v>68</v>
      </c>
      <c r="G2365" t="s">
        <v>35</v>
      </c>
      <c r="H2365" t="s">
        <v>21</v>
      </c>
      <c r="I2365" t="s">
        <v>22</v>
      </c>
      <c r="J2365">
        <v>2</v>
      </c>
      <c r="K2365">
        <v>2697000</v>
      </c>
      <c r="L2365" s="2" t="s">
        <v>3800</v>
      </c>
      <c r="M2365" t="s">
        <v>23</v>
      </c>
      <c r="N2365">
        <v>4829000</v>
      </c>
      <c r="O2365">
        <v>4.9000000000000004</v>
      </c>
      <c r="P2365" t="b">
        <v>1</v>
      </c>
    </row>
    <row r="2366" spans="1:16" x14ac:dyDescent="0.2">
      <c r="A2366" t="s">
        <v>3801</v>
      </c>
      <c r="B2366" s="1">
        <v>45069</v>
      </c>
      <c r="C2366" s="1">
        <v>45127</v>
      </c>
      <c r="D2366" t="s">
        <v>3360</v>
      </c>
      <c r="E2366" t="s">
        <v>45</v>
      </c>
      <c r="F2366" t="s">
        <v>34</v>
      </c>
      <c r="G2366" t="s">
        <v>50</v>
      </c>
      <c r="H2366" t="s">
        <v>21</v>
      </c>
      <c r="I2366" t="s">
        <v>83</v>
      </c>
      <c r="J2366">
        <v>1</v>
      </c>
      <c r="K2366">
        <v>4400000</v>
      </c>
      <c r="L2366" s="2" t="s">
        <v>3802</v>
      </c>
      <c r="M2366" t="s">
        <v>23</v>
      </c>
      <c r="N2366">
        <v>3787000</v>
      </c>
      <c r="O2366">
        <v>4.3</v>
      </c>
      <c r="P2366" t="b">
        <v>1</v>
      </c>
    </row>
    <row r="2367" spans="1:16" x14ac:dyDescent="0.2">
      <c r="A2367" t="s">
        <v>3803</v>
      </c>
      <c r="B2367" s="1">
        <v>45070</v>
      </c>
      <c r="C2367" s="1">
        <v>45150</v>
      </c>
      <c r="D2367" t="s">
        <v>54</v>
      </c>
      <c r="E2367" t="s">
        <v>45</v>
      </c>
      <c r="F2367" t="s">
        <v>68</v>
      </c>
      <c r="G2367" t="s">
        <v>20</v>
      </c>
      <c r="H2367" t="s">
        <v>21</v>
      </c>
      <c r="I2367" t="s">
        <v>26</v>
      </c>
      <c r="J2367">
        <v>2</v>
      </c>
      <c r="K2367">
        <v>2942000</v>
      </c>
      <c r="L2367" s="2" t="s">
        <v>3804</v>
      </c>
      <c r="M2367" t="s">
        <v>23</v>
      </c>
      <c r="N2367">
        <v>4939000</v>
      </c>
      <c r="O2367">
        <v>4.4000000000000004</v>
      </c>
      <c r="P2367" t="b">
        <v>1</v>
      </c>
    </row>
    <row r="2368" spans="1:16" x14ac:dyDescent="0.2">
      <c r="A2368" t="s">
        <v>3805</v>
      </c>
      <c r="B2368" s="1">
        <v>45071</v>
      </c>
      <c r="C2368" s="1">
        <v>45122</v>
      </c>
      <c r="D2368" t="s">
        <v>3806</v>
      </c>
      <c r="E2368" t="s">
        <v>33</v>
      </c>
      <c r="F2368" t="s">
        <v>45</v>
      </c>
      <c r="G2368" t="s">
        <v>20</v>
      </c>
      <c r="H2368" t="s">
        <v>21</v>
      </c>
      <c r="I2368" t="s">
        <v>57</v>
      </c>
      <c r="J2368">
        <v>2</v>
      </c>
      <c r="K2368">
        <v>3931000</v>
      </c>
      <c r="L2368" s="2" t="s">
        <v>3807</v>
      </c>
      <c r="M2368" t="s">
        <v>23</v>
      </c>
      <c r="N2368">
        <v>6800000</v>
      </c>
      <c r="O2368">
        <v>4.5</v>
      </c>
      <c r="P2368" t="b">
        <v>0</v>
      </c>
    </row>
    <row r="2369" spans="1:16" x14ac:dyDescent="0.2">
      <c r="A2369" t="s">
        <v>3808</v>
      </c>
      <c r="B2369" s="1">
        <v>45071</v>
      </c>
      <c r="C2369" s="1">
        <v>45160</v>
      </c>
      <c r="D2369" t="s">
        <v>291</v>
      </c>
      <c r="E2369" t="s">
        <v>33</v>
      </c>
      <c r="F2369" t="s">
        <v>34</v>
      </c>
      <c r="G2369" t="s">
        <v>20</v>
      </c>
      <c r="H2369" t="s">
        <v>40</v>
      </c>
      <c r="I2369" t="s">
        <v>60</v>
      </c>
      <c r="J2369">
        <v>1</v>
      </c>
      <c r="K2369">
        <v>4892000</v>
      </c>
      <c r="L2369">
        <v>5.1399345319872003E-2</v>
      </c>
      <c r="M2369" t="s">
        <v>23</v>
      </c>
      <c r="N2369">
        <v>4641000</v>
      </c>
      <c r="O2369">
        <v>4.8</v>
      </c>
      <c r="P2369" t="b">
        <v>1</v>
      </c>
    </row>
    <row r="2370" spans="1:16" x14ac:dyDescent="0.2">
      <c r="A2370" t="s">
        <v>3809</v>
      </c>
      <c r="B2370" s="1">
        <v>45073</v>
      </c>
      <c r="C2370" s="1">
        <v>45133</v>
      </c>
      <c r="D2370" t="s">
        <v>3810</v>
      </c>
      <c r="E2370" t="s">
        <v>18</v>
      </c>
      <c r="F2370" t="s">
        <v>19</v>
      </c>
      <c r="G2370" t="s">
        <v>35</v>
      </c>
      <c r="H2370" t="s">
        <v>21</v>
      </c>
      <c r="I2370" t="s">
        <v>83</v>
      </c>
      <c r="J2370">
        <v>2</v>
      </c>
      <c r="K2370">
        <v>2846000</v>
      </c>
      <c r="L2370" s="2" t="s">
        <v>3811</v>
      </c>
      <c r="M2370" t="s">
        <v>23</v>
      </c>
      <c r="N2370">
        <v>4778000</v>
      </c>
      <c r="O2370">
        <v>4.2</v>
      </c>
      <c r="P2370" t="b">
        <v>0</v>
      </c>
    </row>
    <row r="2371" spans="1:16" x14ac:dyDescent="0.2">
      <c r="A2371" t="s">
        <v>3812</v>
      </c>
      <c r="B2371" s="1">
        <v>45073</v>
      </c>
      <c r="C2371" s="1">
        <v>45140</v>
      </c>
      <c r="D2371" t="s">
        <v>3813</v>
      </c>
      <c r="E2371" t="s">
        <v>45</v>
      </c>
      <c r="F2371" t="s">
        <v>45</v>
      </c>
      <c r="G2371" t="s">
        <v>20</v>
      </c>
      <c r="H2371" t="s">
        <v>51</v>
      </c>
      <c r="I2371" t="s">
        <v>83</v>
      </c>
      <c r="J2371">
        <v>2</v>
      </c>
      <c r="K2371">
        <v>2631000</v>
      </c>
      <c r="L2371">
        <v>8.7944090286153007E-2</v>
      </c>
      <c r="M2371" t="s">
        <v>65</v>
      </c>
      <c r="N2371">
        <v>0</v>
      </c>
      <c r="P2371" t="b">
        <v>0</v>
      </c>
    </row>
    <row r="2372" spans="1:16" x14ac:dyDescent="0.2">
      <c r="A2372" t="s">
        <v>3814</v>
      </c>
      <c r="B2372" s="1">
        <v>45073</v>
      </c>
      <c r="C2372" s="1">
        <v>45114</v>
      </c>
      <c r="D2372" t="s">
        <v>332</v>
      </c>
      <c r="E2372" t="s">
        <v>29</v>
      </c>
      <c r="F2372" t="s">
        <v>25</v>
      </c>
      <c r="G2372" t="s">
        <v>20</v>
      </c>
      <c r="H2372" t="s">
        <v>21</v>
      </c>
      <c r="I2372" t="s">
        <v>57</v>
      </c>
      <c r="J2372">
        <v>2</v>
      </c>
      <c r="K2372">
        <v>5670000</v>
      </c>
      <c r="L2372" s="2" t="s">
        <v>3815</v>
      </c>
      <c r="M2372" t="s">
        <v>23</v>
      </c>
      <c r="N2372">
        <v>9948000</v>
      </c>
      <c r="O2372">
        <v>4.2</v>
      </c>
      <c r="P2372" t="b">
        <v>1</v>
      </c>
    </row>
    <row r="2373" spans="1:16" x14ac:dyDescent="0.2">
      <c r="A2373" t="s">
        <v>3816</v>
      </c>
      <c r="B2373" s="1">
        <v>45073</v>
      </c>
      <c r="C2373" s="1">
        <v>45124</v>
      </c>
      <c r="D2373" t="s">
        <v>870</v>
      </c>
      <c r="E2373" t="s">
        <v>33</v>
      </c>
      <c r="F2373" t="s">
        <v>34</v>
      </c>
      <c r="G2373" t="s">
        <v>50</v>
      </c>
      <c r="H2373" t="s">
        <v>21</v>
      </c>
      <c r="I2373" t="s">
        <v>22</v>
      </c>
      <c r="J2373">
        <v>2</v>
      </c>
      <c r="K2373">
        <v>3706000</v>
      </c>
      <c r="L2373" s="2" t="s">
        <v>3817</v>
      </c>
      <c r="M2373" t="s">
        <v>23</v>
      </c>
      <c r="N2373">
        <v>6238000</v>
      </c>
      <c r="O2373">
        <v>3.8</v>
      </c>
      <c r="P2373" t="b">
        <v>1</v>
      </c>
    </row>
    <row r="2374" spans="1:16" x14ac:dyDescent="0.2">
      <c r="A2374" t="s">
        <v>3818</v>
      </c>
      <c r="B2374" s="1">
        <v>45073</v>
      </c>
      <c r="C2374" s="1">
        <v>45140</v>
      </c>
      <c r="D2374" t="s">
        <v>3819</v>
      </c>
      <c r="E2374" t="s">
        <v>33</v>
      </c>
      <c r="F2374" t="s">
        <v>19</v>
      </c>
      <c r="G2374" t="s">
        <v>20</v>
      </c>
      <c r="H2374" t="s">
        <v>21</v>
      </c>
      <c r="I2374" t="s">
        <v>83</v>
      </c>
      <c r="J2374">
        <v>1</v>
      </c>
      <c r="K2374">
        <v>2794000</v>
      </c>
      <c r="L2374">
        <v>8.0021199513723301E-2</v>
      </c>
      <c r="M2374" t="s">
        <v>23</v>
      </c>
      <c r="N2374">
        <v>2570000</v>
      </c>
      <c r="O2374">
        <v>3.7</v>
      </c>
      <c r="P2374" t="b">
        <v>0</v>
      </c>
    </row>
    <row r="2375" spans="1:16" x14ac:dyDescent="0.2">
      <c r="A2375" t="s">
        <v>3820</v>
      </c>
      <c r="B2375" s="1">
        <v>45074</v>
      </c>
      <c r="C2375" s="1">
        <v>45144</v>
      </c>
      <c r="D2375" t="s">
        <v>3821</v>
      </c>
      <c r="E2375" t="s">
        <v>18</v>
      </c>
      <c r="F2375" t="s">
        <v>45</v>
      </c>
      <c r="G2375" t="s">
        <v>35</v>
      </c>
      <c r="I2375" t="s">
        <v>77</v>
      </c>
      <c r="J2375">
        <v>2</v>
      </c>
      <c r="K2375">
        <v>3726000</v>
      </c>
      <c r="L2375">
        <v>3.7948429734742502E-2</v>
      </c>
      <c r="M2375" t="s">
        <v>23</v>
      </c>
      <c r="N2375">
        <v>7169000</v>
      </c>
      <c r="O2375">
        <v>4.3</v>
      </c>
      <c r="P2375" t="b">
        <v>0</v>
      </c>
    </row>
    <row r="2376" spans="1:16" x14ac:dyDescent="0.2">
      <c r="A2376" t="s">
        <v>3822</v>
      </c>
      <c r="B2376" s="1">
        <v>45075</v>
      </c>
      <c r="C2376" s="1">
        <v>45091</v>
      </c>
      <c r="D2376" t="s">
        <v>3823</v>
      </c>
      <c r="E2376" t="s">
        <v>33</v>
      </c>
      <c r="F2376" t="s">
        <v>25</v>
      </c>
      <c r="G2376" t="s">
        <v>46</v>
      </c>
      <c r="H2376" t="s">
        <v>21</v>
      </c>
      <c r="I2376" t="s">
        <v>77</v>
      </c>
      <c r="J2376">
        <v>3</v>
      </c>
      <c r="K2376">
        <v>6298000</v>
      </c>
      <c r="L2376">
        <v>9.0273313902922897E-2</v>
      </c>
      <c r="M2376" t="s">
        <v>23</v>
      </c>
      <c r="N2376">
        <v>17188000</v>
      </c>
      <c r="O2376">
        <v>4.5999999999999996</v>
      </c>
      <c r="P2376" t="b">
        <v>0</v>
      </c>
    </row>
    <row r="2377" spans="1:16" x14ac:dyDescent="0.2">
      <c r="A2377" t="s">
        <v>3824</v>
      </c>
      <c r="B2377" s="1">
        <v>45076</v>
      </c>
      <c r="C2377" s="1">
        <v>45129</v>
      </c>
      <c r="D2377" t="s">
        <v>103</v>
      </c>
      <c r="E2377" t="s">
        <v>45</v>
      </c>
      <c r="F2377" t="s">
        <v>19</v>
      </c>
      <c r="G2377" t="s">
        <v>35</v>
      </c>
      <c r="H2377" t="s">
        <v>40</v>
      </c>
      <c r="I2377" t="s">
        <v>94</v>
      </c>
      <c r="J2377">
        <v>2</v>
      </c>
      <c r="K2377">
        <v>2700000</v>
      </c>
      <c r="L2377">
        <v>6.2724028109945304E-2</v>
      </c>
      <c r="M2377" t="s">
        <v>23</v>
      </c>
      <c r="N2377">
        <v>5061000</v>
      </c>
      <c r="O2377">
        <v>3.5</v>
      </c>
      <c r="P2377" t="b">
        <v>1</v>
      </c>
    </row>
    <row r="2378" spans="1:16" x14ac:dyDescent="0.2">
      <c r="A2378" t="s">
        <v>3825</v>
      </c>
      <c r="B2378" s="1">
        <v>45076</v>
      </c>
      <c r="C2378" s="1">
        <v>45076</v>
      </c>
      <c r="D2378" t="s">
        <v>408</v>
      </c>
      <c r="E2378" t="s">
        <v>45</v>
      </c>
      <c r="F2378" t="s">
        <v>34</v>
      </c>
      <c r="G2378" t="s">
        <v>50</v>
      </c>
      <c r="H2378" t="s">
        <v>47</v>
      </c>
      <c r="I2378" t="s">
        <v>52</v>
      </c>
      <c r="J2378">
        <v>2</v>
      </c>
      <c r="K2378">
        <v>2987000</v>
      </c>
      <c r="L2378">
        <v>6.6015126901289106E-2</v>
      </c>
      <c r="M2378" t="s">
        <v>23</v>
      </c>
      <c r="N2378">
        <v>5580000</v>
      </c>
      <c r="O2378">
        <v>3.8</v>
      </c>
      <c r="P2378" t="b">
        <v>1</v>
      </c>
    </row>
    <row r="2379" spans="1:16" x14ac:dyDescent="0.2">
      <c r="A2379" t="s">
        <v>3826</v>
      </c>
      <c r="B2379" s="1">
        <v>45076</v>
      </c>
      <c r="C2379" s="1">
        <v>45120</v>
      </c>
      <c r="D2379" t="s">
        <v>3827</v>
      </c>
      <c r="E2379" t="s">
        <v>18</v>
      </c>
      <c r="F2379" t="s">
        <v>25</v>
      </c>
      <c r="G2379" t="s">
        <v>20</v>
      </c>
      <c r="H2379" t="s">
        <v>21</v>
      </c>
      <c r="I2379" t="s">
        <v>57</v>
      </c>
      <c r="J2379">
        <v>4</v>
      </c>
      <c r="K2379">
        <v>5547000</v>
      </c>
      <c r="L2379">
        <v>7.65727516792859E-2</v>
      </c>
      <c r="M2379" t="s">
        <v>23</v>
      </c>
      <c r="N2379">
        <v>20489000</v>
      </c>
      <c r="O2379">
        <v>4.4000000000000004</v>
      </c>
      <c r="P2379" t="b">
        <v>0</v>
      </c>
    </row>
    <row r="2380" spans="1:16" x14ac:dyDescent="0.2">
      <c r="A2380" t="s">
        <v>3828</v>
      </c>
      <c r="B2380" s="1">
        <v>45077</v>
      </c>
      <c r="C2380" s="1">
        <v>45143</v>
      </c>
      <c r="D2380" t="s">
        <v>737</v>
      </c>
      <c r="E2380" t="s">
        <v>45</v>
      </c>
      <c r="F2380" t="s">
        <v>25</v>
      </c>
      <c r="G2380" t="s">
        <v>20</v>
      </c>
      <c r="H2380" t="s">
        <v>47</v>
      </c>
      <c r="I2380" t="s">
        <v>57</v>
      </c>
      <c r="J2380">
        <v>2</v>
      </c>
      <c r="K2380">
        <v>5254000</v>
      </c>
      <c r="L2380">
        <v>5.3931708082166997E-2</v>
      </c>
      <c r="M2380" t="s">
        <v>23</v>
      </c>
      <c r="N2380">
        <v>9941000</v>
      </c>
      <c r="O2380">
        <v>4.8</v>
      </c>
      <c r="P2380" t="b">
        <v>1</v>
      </c>
    </row>
    <row r="2381" spans="1:16" x14ac:dyDescent="0.2">
      <c r="A2381" t="s">
        <v>3829</v>
      </c>
      <c r="B2381" s="1">
        <v>45078</v>
      </c>
      <c r="C2381" s="1">
        <v>45125</v>
      </c>
      <c r="D2381" t="s">
        <v>387</v>
      </c>
      <c r="E2381" t="s">
        <v>18</v>
      </c>
      <c r="F2381" t="s">
        <v>45</v>
      </c>
      <c r="G2381" t="s">
        <v>20</v>
      </c>
      <c r="H2381" t="s">
        <v>21</v>
      </c>
      <c r="I2381" t="s">
        <v>57</v>
      </c>
      <c r="J2381">
        <v>2</v>
      </c>
      <c r="K2381">
        <v>3614000</v>
      </c>
      <c r="L2381" s="2" t="s">
        <v>3830</v>
      </c>
      <c r="M2381" t="s">
        <v>23</v>
      </c>
      <c r="N2381">
        <v>6037000</v>
      </c>
      <c r="O2381">
        <v>4.3</v>
      </c>
      <c r="P2381" t="b">
        <v>1</v>
      </c>
    </row>
    <row r="2382" spans="1:16" x14ac:dyDescent="0.2">
      <c r="A2382" t="s">
        <v>3831</v>
      </c>
      <c r="B2382" s="1">
        <v>45079</v>
      </c>
      <c r="C2382" s="1">
        <v>45096</v>
      </c>
      <c r="D2382" t="s">
        <v>393</v>
      </c>
      <c r="E2382" t="s">
        <v>29</v>
      </c>
      <c r="F2382" t="s">
        <v>19</v>
      </c>
      <c r="G2382" t="s">
        <v>20</v>
      </c>
      <c r="H2382" t="s">
        <v>51</v>
      </c>
      <c r="I2382" t="s">
        <v>57</v>
      </c>
      <c r="J2382">
        <v>2</v>
      </c>
      <c r="K2382">
        <v>3232000</v>
      </c>
      <c r="L2382">
        <v>8.4456605465062395E-2</v>
      </c>
      <c r="M2382" t="s">
        <v>23</v>
      </c>
      <c r="N2382">
        <v>5918000</v>
      </c>
      <c r="O2382">
        <v>3.8</v>
      </c>
      <c r="P2382" t="b">
        <v>1</v>
      </c>
    </row>
    <row r="2383" spans="1:16" x14ac:dyDescent="0.2">
      <c r="A2383" t="s">
        <v>3832</v>
      </c>
      <c r="B2383" s="1">
        <v>45079</v>
      </c>
      <c r="C2383" s="1">
        <v>45133</v>
      </c>
      <c r="D2383" t="s">
        <v>2187</v>
      </c>
      <c r="E2383" t="s">
        <v>18</v>
      </c>
      <c r="F2383" t="s">
        <v>34</v>
      </c>
      <c r="G2383" t="s">
        <v>20</v>
      </c>
      <c r="H2383" t="s">
        <v>21</v>
      </c>
      <c r="J2383">
        <v>1</v>
      </c>
      <c r="K2383">
        <v>4622000</v>
      </c>
      <c r="L2383">
        <v>7.0759850159135204E-2</v>
      </c>
      <c r="M2383" t="s">
        <v>1882</v>
      </c>
      <c r="N2383">
        <v>4295000</v>
      </c>
      <c r="O2383">
        <v>4.5999999999999996</v>
      </c>
      <c r="P2383" t="b">
        <v>1</v>
      </c>
    </row>
    <row r="2384" spans="1:16" x14ac:dyDescent="0.2">
      <c r="A2384" t="s">
        <v>3833</v>
      </c>
      <c r="B2384" s="1">
        <v>45079</v>
      </c>
      <c r="C2384" s="1">
        <v>45154</v>
      </c>
      <c r="D2384" t="s">
        <v>1773</v>
      </c>
      <c r="E2384" t="s">
        <v>33</v>
      </c>
      <c r="F2384" t="s">
        <v>19</v>
      </c>
      <c r="G2384" t="s">
        <v>35</v>
      </c>
      <c r="H2384" t="s">
        <v>21</v>
      </c>
      <c r="I2384" t="s">
        <v>60</v>
      </c>
      <c r="J2384">
        <v>2</v>
      </c>
      <c r="K2384">
        <v>3162000</v>
      </c>
      <c r="L2384">
        <v>0.115940797433796</v>
      </c>
      <c r="M2384" t="s">
        <v>23</v>
      </c>
      <c r="N2384">
        <v>5591000</v>
      </c>
      <c r="O2384">
        <v>4.5999999999999996</v>
      </c>
      <c r="P2384" t="b">
        <v>1</v>
      </c>
    </row>
    <row r="2385" spans="1:16" x14ac:dyDescent="0.2">
      <c r="A2385" t="s">
        <v>3834</v>
      </c>
      <c r="B2385" s="1">
        <v>45080</v>
      </c>
      <c r="C2385" s="1">
        <v>45109</v>
      </c>
      <c r="D2385" t="s">
        <v>2099</v>
      </c>
      <c r="E2385" t="s">
        <v>29</v>
      </c>
      <c r="F2385" t="s">
        <v>34</v>
      </c>
      <c r="G2385" t="s">
        <v>20</v>
      </c>
      <c r="H2385" t="s">
        <v>40</v>
      </c>
      <c r="I2385" t="s">
        <v>26</v>
      </c>
      <c r="J2385">
        <v>1</v>
      </c>
      <c r="K2385">
        <v>4209000</v>
      </c>
      <c r="L2385">
        <v>8.5594685055893002E-2</v>
      </c>
      <c r="M2385" t="s">
        <v>23</v>
      </c>
      <c r="N2385">
        <v>3849000</v>
      </c>
      <c r="O2385">
        <v>4.0999999999999996</v>
      </c>
      <c r="P2385" t="b">
        <v>1</v>
      </c>
    </row>
    <row r="2386" spans="1:16" x14ac:dyDescent="0.2">
      <c r="A2386" t="s">
        <v>3835</v>
      </c>
      <c r="B2386" s="1">
        <v>45080</v>
      </c>
      <c r="C2386" s="1">
        <v>45132</v>
      </c>
      <c r="D2386" t="s">
        <v>524</v>
      </c>
      <c r="F2386" t="s">
        <v>19</v>
      </c>
      <c r="G2386" t="s">
        <v>35</v>
      </c>
      <c r="H2386" t="s">
        <v>40</v>
      </c>
      <c r="I2386" t="s">
        <v>60</v>
      </c>
      <c r="J2386">
        <v>1</v>
      </c>
      <c r="K2386">
        <v>3132000</v>
      </c>
      <c r="L2386" s="2" t="s">
        <v>3836</v>
      </c>
      <c r="M2386" t="s">
        <v>23</v>
      </c>
      <c r="N2386">
        <v>2805000</v>
      </c>
      <c r="O2386">
        <v>3.3</v>
      </c>
      <c r="P2386" t="b">
        <v>1</v>
      </c>
    </row>
    <row r="2387" spans="1:16" x14ac:dyDescent="0.2">
      <c r="A2387" t="s">
        <v>3837</v>
      </c>
      <c r="B2387" s="1">
        <v>45081</v>
      </c>
      <c r="C2387" s="1">
        <v>45134</v>
      </c>
      <c r="D2387" t="s">
        <v>3838</v>
      </c>
      <c r="E2387" t="s">
        <v>45</v>
      </c>
      <c r="F2387" t="s">
        <v>34</v>
      </c>
      <c r="G2387" t="s">
        <v>20</v>
      </c>
      <c r="H2387" t="s">
        <v>21</v>
      </c>
      <c r="I2387" t="s">
        <v>94</v>
      </c>
      <c r="J2387">
        <v>3</v>
      </c>
      <c r="K2387">
        <v>4604000</v>
      </c>
      <c r="L2387">
        <v>9.4037720706173597E-2</v>
      </c>
      <c r="M2387" t="s">
        <v>23</v>
      </c>
      <c r="N2387">
        <v>12513000</v>
      </c>
      <c r="O2387">
        <v>4.2</v>
      </c>
      <c r="P2387" t="b">
        <v>0</v>
      </c>
    </row>
    <row r="2388" spans="1:16" x14ac:dyDescent="0.2">
      <c r="A2388" t="s">
        <v>3839</v>
      </c>
      <c r="B2388" s="1">
        <v>45081</v>
      </c>
      <c r="C2388" s="1">
        <v>45099</v>
      </c>
      <c r="D2388" t="s">
        <v>3840</v>
      </c>
      <c r="E2388" t="s">
        <v>29</v>
      </c>
      <c r="F2388" t="s">
        <v>25</v>
      </c>
      <c r="G2388" t="s">
        <v>35</v>
      </c>
      <c r="H2388" t="s">
        <v>21</v>
      </c>
      <c r="I2388" t="s">
        <v>77</v>
      </c>
      <c r="J2388">
        <v>1</v>
      </c>
      <c r="K2388">
        <v>6034000</v>
      </c>
      <c r="L2388" s="2" t="s">
        <v>3841</v>
      </c>
      <c r="M2388" t="s">
        <v>23</v>
      </c>
      <c r="N2388">
        <v>4984000</v>
      </c>
      <c r="O2388">
        <v>3.9</v>
      </c>
      <c r="P2388" t="b">
        <v>0</v>
      </c>
    </row>
    <row r="2389" spans="1:16" x14ac:dyDescent="0.2">
      <c r="A2389" t="s">
        <v>3842</v>
      </c>
      <c r="B2389" s="1">
        <v>45081</v>
      </c>
      <c r="C2389" s="1">
        <v>45136</v>
      </c>
      <c r="D2389" t="s">
        <v>3843</v>
      </c>
      <c r="E2389" t="s">
        <v>33</v>
      </c>
      <c r="F2389" t="s">
        <v>34</v>
      </c>
      <c r="G2389" t="s">
        <v>20</v>
      </c>
      <c r="I2389" t="s">
        <v>60</v>
      </c>
      <c r="J2389">
        <v>1</v>
      </c>
      <c r="K2389">
        <v>4383000</v>
      </c>
      <c r="L2389">
        <v>2.29030885423833E-2</v>
      </c>
      <c r="M2389" t="s">
        <v>23</v>
      </c>
      <c r="N2389">
        <v>4283000</v>
      </c>
      <c r="O2389">
        <v>3.8</v>
      </c>
      <c r="P2389" t="b">
        <v>0</v>
      </c>
    </row>
    <row r="2390" spans="1:16" x14ac:dyDescent="0.2">
      <c r="A2390" t="s">
        <v>3844</v>
      </c>
      <c r="B2390" s="1">
        <v>45082</v>
      </c>
      <c r="C2390" s="1">
        <v>45131</v>
      </c>
      <c r="D2390" t="s">
        <v>410</v>
      </c>
      <c r="E2390" t="s">
        <v>45</v>
      </c>
      <c r="F2390" t="s">
        <v>34</v>
      </c>
      <c r="G2390" t="s">
        <v>50</v>
      </c>
      <c r="H2390" t="s">
        <v>47</v>
      </c>
      <c r="I2390" t="s">
        <v>22</v>
      </c>
      <c r="J2390">
        <v>2</v>
      </c>
      <c r="K2390">
        <v>3939000</v>
      </c>
      <c r="L2390" s="2" t="s">
        <v>3845</v>
      </c>
      <c r="M2390" t="s">
        <v>23</v>
      </c>
      <c r="N2390">
        <v>6769000</v>
      </c>
      <c r="O2390">
        <v>4.5</v>
      </c>
      <c r="P2390" t="b">
        <v>1</v>
      </c>
    </row>
    <row r="2391" spans="1:16" x14ac:dyDescent="0.2">
      <c r="A2391" t="s">
        <v>3846</v>
      </c>
      <c r="B2391" s="1">
        <v>45082</v>
      </c>
      <c r="C2391" s="1">
        <v>45086</v>
      </c>
      <c r="D2391" t="s">
        <v>1681</v>
      </c>
      <c r="E2391" t="s">
        <v>33</v>
      </c>
      <c r="F2391" t="s">
        <v>34</v>
      </c>
      <c r="G2391" t="s">
        <v>50</v>
      </c>
      <c r="H2391" t="s">
        <v>21</v>
      </c>
      <c r="I2391" t="s">
        <v>52</v>
      </c>
      <c r="J2391">
        <v>2</v>
      </c>
      <c r="K2391">
        <v>3728000</v>
      </c>
      <c r="L2391">
        <v>7.6713568308371699E-2</v>
      </c>
      <c r="M2391" t="s">
        <v>23</v>
      </c>
      <c r="N2391">
        <v>6884000</v>
      </c>
      <c r="O2391">
        <v>3.9</v>
      </c>
      <c r="P2391" t="b">
        <v>1</v>
      </c>
    </row>
    <row r="2392" spans="1:16" x14ac:dyDescent="0.2">
      <c r="A2392" t="s">
        <v>3847</v>
      </c>
      <c r="B2392" s="1">
        <v>45082</v>
      </c>
      <c r="C2392" s="1">
        <v>45138</v>
      </c>
      <c r="D2392" t="s">
        <v>689</v>
      </c>
      <c r="E2392" t="s">
        <v>45</v>
      </c>
      <c r="F2392" t="s">
        <v>19</v>
      </c>
      <c r="G2392" t="s">
        <v>20</v>
      </c>
      <c r="H2392" t="s">
        <v>40</v>
      </c>
      <c r="I2392" t="s">
        <v>77</v>
      </c>
      <c r="J2392">
        <v>3</v>
      </c>
      <c r="K2392">
        <v>3034000</v>
      </c>
      <c r="L2392" s="2" t="s">
        <v>3848</v>
      </c>
      <c r="M2392" t="s">
        <v>23</v>
      </c>
      <c r="N2392">
        <v>8085000</v>
      </c>
      <c r="O2392">
        <v>3.8</v>
      </c>
      <c r="P2392" t="b">
        <v>1</v>
      </c>
    </row>
    <row r="2393" spans="1:16" x14ac:dyDescent="0.2">
      <c r="A2393" t="s">
        <v>3849</v>
      </c>
      <c r="B2393" s="1">
        <v>45083</v>
      </c>
      <c r="C2393" s="1">
        <v>45131</v>
      </c>
      <c r="D2393" t="s">
        <v>138</v>
      </c>
      <c r="E2393" t="s">
        <v>33</v>
      </c>
      <c r="F2393" t="s">
        <v>34</v>
      </c>
      <c r="G2393" t="s">
        <v>20</v>
      </c>
      <c r="H2393" t="s">
        <v>21</v>
      </c>
      <c r="I2393" t="s">
        <v>57</v>
      </c>
      <c r="J2393">
        <v>4</v>
      </c>
      <c r="K2393">
        <v>4960000</v>
      </c>
      <c r="L2393" s="2" t="s">
        <v>3850</v>
      </c>
      <c r="M2393" t="s">
        <v>23</v>
      </c>
      <c r="N2393">
        <v>17593000</v>
      </c>
      <c r="O2393">
        <v>4.7</v>
      </c>
      <c r="P2393" t="b">
        <v>1</v>
      </c>
    </row>
    <row r="2394" spans="1:16" x14ac:dyDescent="0.2">
      <c r="A2394" t="s">
        <v>3851</v>
      </c>
      <c r="B2394" s="1">
        <v>45084</v>
      </c>
      <c r="C2394" s="1">
        <v>45119</v>
      </c>
      <c r="D2394" t="s">
        <v>752</v>
      </c>
      <c r="E2394" t="s">
        <v>29</v>
      </c>
      <c r="F2394" t="s">
        <v>25</v>
      </c>
      <c r="G2394" t="s">
        <v>50</v>
      </c>
      <c r="H2394" t="s">
        <v>40</v>
      </c>
      <c r="I2394" t="s">
        <v>22</v>
      </c>
      <c r="J2394">
        <v>1</v>
      </c>
      <c r="K2394">
        <v>4708000</v>
      </c>
      <c r="L2394">
        <v>8.5173922728173604E-2</v>
      </c>
      <c r="M2394" t="s">
        <v>65</v>
      </c>
      <c r="N2394">
        <v>0</v>
      </c>
      <c r="P2394" t="b">
        <v>1</v>
      </c>
    </row>
    <row r="2395" spans="1:16" x14ac:dyDescent="0.2">
      <c r="A2395" t="s">
        <v>3852</v>
      </c>
      <c r="B2395" s="1">
        <v>45085</v>
      </c>
      <c r="C2395" s="1">
        <v>45098</v>
      </c>
      <c r="D2395" t="s">
        <v>2617</v>
      </c>
      <c r="E2395" t="s">
        <v>45</v>
      </c>
      <c r="F2395" t="s">
        <v>19</v>
      </c>
      <c r="G2395" t="s">
        <v>20</v>
      </c>
      <c r="H2395" t="s">
        <v>21</v>
      </c>
      <c r="I2395" t="s">
        <v>1654</v>
      </c>
      <c r="J2395">
        <v>2</v>
      </c>
      <c r="K2395">
        <v>2981000</v>
      </c>
      <c r="L2395">
        <v>3.0953279541140601E-2</v>
      </c>
      <c r="M2395" t="s">
        <v>23</v>
      </c>
      <c r="N2395">
        <v>5777000</v>
      </c>
      <c r="O2395">
        <v>4</v>
      </c>
      <c r="P2395" t="b">
        <v>1</v>
      </c>
    </row>
    <row r="2396" spans="1:16" x14ac:dyDescent="0.2">
      <c r="A2396" t="s">
        <v>3853</v>
      </c>
      <c r="B2396" s="1">
        <v>45086</v>
      </c>
      <c r="C2396" s="1">
        <v>45145</v>
      </c>
      <c r="D2396" t="s">
        <v>3854</v>
      </c>
      <c r="E2396" t="s">
        <v>33</v>
      </c>
      <c r="F2396" t="s">
        <v>19</v>
      </c>
      <c r="G2396" t="s">
        <v>20</v>
      </c>
      <c r="H2396" t="s">
        <v>21</v>
      </c>
      <c r="I2396" t="s">
        <v>30</v>
      </c>
      <c r="J2396">
        <v>2</v>
      </c>
      <c r="K2396">
        <v>2311000</v>
      </c>
      <c r="L2396" s="2" t="s">
        <v>3855</v>
      </c>
      <c r="M2396" t="s">
        <v>23</v>
      </c>
      <c r="N2396">
        <v>4113000</v>
      </c>
      <c r="O2396">
        <v>3.8</v>
      </c>
      <c r="P2396" t="b">
        <v>0</v>
      </c>
    </row>
    <row r="2397" spans="1:16" x14ac:dyDescent="0.2">
      <c r="A2397" t="s">
        <v>3856</v>
      </c>
      <c r="B2397" s="1">
        <v>45087</v>
      </c>
      <c r="C2397" s="1">
        <v>45097</v>
      </c>
      <c r="D2397" t="s">
        <v>1100</v>
      </c>
      <c r="E2397" t="s">
        <v>45</v>
      </c>
      <c r="F2397" t="s">
        <v>19</v>
      </c>
      <c r="G2397" t="s">
        <v>20</v>
      </c>
      <c r="H2397" t="s">
        <v>51</v>
      </c>
      <c r="I2397" t="s">
        <v>99</v>
      </c>
      <c r="J2397">
        <v>2</v>
      </c>
      <c r="K2397">
        <v>2513000</v>
      </c>
      <c r="L2397" s="2" t="s">
        <v>3857</v>
      </c>
      <c r="M2397" t="s">
        <v>23</v>
      </c>
      <c r="N2397">
        <v>4518000</v>
      </c>
      <c r="O2397">
        <v>5</v>
      </c>
      <c r="P2397" t="b">
        <v>1</v>
      </c>
    </row>
    <row r="2398" spans="1:16" x14ac:dyDescent="0.2">
      <c r="A2398" t="s">
        <v>3858</v>
      </c>
      <c r="B2398" s="1">
        <v>45087</v>
      </c>
      <c r="C2398" s="1">
        <v>45118</v>
      </c>
      <c r="D2398" t="s">
        <v>3859</v>
      </c>
      <c r="E2398" t="s">
        <v>33</v>
      </c>
      <c r="F2398" t="s">
        <v>34</v>
      </c>
      <c r="G2398" t="s">
        <v>20</v>
      </c>
      <c r="I2398" t="s">
        <v>30</v>
      </c>
      <c r="J2398">
        <v>2</v>
      </c>
      <c r="K2398">
        <v>3748000</v>
      </c>
      <c r="L2398">
        <v>6.6433000762457395E-2</v>
      </c>
      <c r="M2398" t="s">
        <v>23</v>
      </c>
      <c r="N2398">
        <v>6998000</v>
      </c>
      <c r="O2398">
        <v>4.2</v>
      </c>
      <c r="P2398" t="b">
        <v>0</v>
      </c>
    </row>
    <row r="2399" spans="1:16" x14ac:dyDescent="0.2">
      <c r="A2399" t="s">
        <v>3860</v>
      </c>
      <c r="B2399" s="1">
        <v>45088</v>
      </c>
      <c r="C2399" s="1">
        <v>45123</v>
      </c>
      <c r="D2399" t="s">
        <v>3861</v>
      </c>
      <c r="E2399" t="s">
        <v>18</v>
      </c>
      <c r="F2399" t="s">
        <v>25</v>
      </c>
      <c r="G2399" t="s">
        <v>20</v>
      </c>
      <c r="H2399" t="s">
        <v>21</v>
      </c>
      <c r="I2399" t="s">
        <v>30</v>
      </c>
      <c r="J2399">
        <v>2</v>
      </c>
      <c r="K2399">
        <v>5461000</v>
      </c>
      <c r="L2399">
        <v>4.7087188282491699E-2</v>
      </c>
      <c r="M2399" t="s">
        <v>23</v>
      </c>
      <c r="N2399">
        <v>10408000</v>
      </c>
      <c r="O2399">
        <v>4</v>
      </c>
      <c r="P2399" t="b">
        <v>0</v>
      </c>
    </row>
    <row r="2400" spans="1:16" x14ac:dyDescent="0.2">
      <c r="A2400" t="s">
        <v>3862</v>
      </c>
      <c r="B2400" s="1">
        <v>45088</v>
      </c>
      <c r="C2400" s="1">
        <v>45163</v>
      </c>
      <c r="D2400" t="s">
        <v>971</v>
      </c>
      <c r="E2400" t="s">
        <v>45</v>
      </c>
      <c r="F2400" t="s">
        <v>68</v>
      </c>
      <c r="G2400" t="s">
        <v>35</v>
      </c>
      <c r="H2400" t="s">
        <v>51</v>
      </c>
      <c r="I2400" t="s">
        <v>99</v>
      </c>
      <c r="J2400">
        <v>2</v>
      </c>
      <c r="K2400">
        <v>2569000</v>
      </c>
      <c r="L2400" s="2" t="s">
        <v>3863</v>
      </c>
      <c r="M2400" t="s">
        <v>23</v>
      </c>
      <c r="N2400">
        <v>4561000</v>
      </c>
      <c r="O2400">
        <v>4.3</v>
      </c>
      <c r="P2400" t="b">
        <v>1</v>
      </c>
    </row>
    <row r="2401" spans="1:16" x14ac:dyDescent="0.2">
      <c r="A2401" t="s">
        <v>3864</v>
      </c>
      <c r="B2401" s="1">
        <v>45088</v>
      </c>
      <c r="C2401" s="1">
        <v>45153</v>
      </c>
      <c r="D2401" t="s">
        <v>2340</v>
      </c>
      <c r="E2401" t="s">
        <v>33</v>
      </c>
      <c r="F2401" t="s">
        <v>34</v>
      </c>
      <c r="G2401" t="s">
        <v>20</v>
      </c>
      <c r="H2401" t="s">
        <v>47</v>
      </c>
      <c r="I2401" t="s">
        <v>30</v>
      </c>
      <c r="J2401">
        <v>4</v>
      </c>
      <c r="K2401">
        <v>3883000</v>
      </c>
      <c r="L2401">
        <v>3.5655826079984201E-2</v>
      </c>
      <c r="M2401" t="s">
        <v>65</v>
      </c>
      <c r="N2401">
        <v>0</v>
      </c>
      <c r="P2401" t="b">
        <v>1</v>
      </c>
    </row>
    <row r="2402" spans="1:16" x14ac:dyDescent="0.2">
      <c r="A2402" t="s">
        <v>3865</v>
      </c>
      <c r="B2402" s="1">
        <v>45088</v>
      </c>
      <c r="C2402" s="1">
        <v>45088</v>
      </c>
      <c r="D2402" t="s">
        <v>3866</v>
      </c>
      <c r="E2402" t="s">
        <v>29</v>
      </c>
      <c r="F2402" t="s">
        <v>19</v>
      </c>
      <c r="G2402" t="s">
        <v>50</v>
      </c>
      <c r="H2402" t="s">
        <v>21</v>
      </c>
      <c r="I2402" t="s">
        <v>26</v>
      </c>
      <c r="J2402">
        <v>1</v>
      </c>
      <c r="K2402">
        <v>2731000</v>
      </c>
      <c r="L2402" s="2" t="s">
        <v>3867</v>
      </c>
      <c r="M2402" t="s">
        <v>23</v>
      </c>
      <c r="N2402">
        <v>2256000</v>
      </c>
      <c r="O2402">
        <v>3.4</v>
      </c>
      <c r="P2402" t="b">
        <v>0</v>
      </c>
    </row>
    <row r="2403" spans="1:16" x14ac:dyDescent="0.2">
      <c r="A2403" t="s">
        <v>3868</v>
      </c>
      <c r="B2403" s="1">
        <v>45088</v>
      </c>
      <c r="C2403" s="1">
        <v>45110</v>
      </c>
      <c r="D2403" t="s">
        <v>3869</v>
      </c>
      <c r="E2403" t="s">
        <v>18</v>
      </c>
      <c r="F2403" t="s">
        <v>34</v>
      </c>
      <c r="G2403" t="s">
        <v>20</v>
      </c>
      <c r="H2403" t="s">
        <v>21</v>
      </c>
      <c r="I2403" t="s">
        <v>22</v>
      </c>
      <c r="J2403">
        <v>2</v>
      </c>
      <c r="K2403">
        <v>3976000</v>
      </c>
      <c r="L2403" s="2" t="s">
        <v>3870</v>
      </c>
      <c r="M2403" t="s">
        <v>23</v>
      </c>
      <c r="N2403">
        <v>6957000</v>
      </c>
      <c r="O2403">
        <v>4.4000000000000004</v>
      </c>
      <c r="P2403" t="b">
        <v>0</v>
      </c>
    </row>
    <row r="2404" spans="1:16" x14ac:dyDescent="0.2">
      <c r="A2404" t="s">
        <v>3871</v>
      </c>
      <c r="B2404" s="1">
        <v>45089</v>
      </c>
      <c r="C2404" s="1">
        <v>45148</v>
      </c>
      <c r="D2404" t="s">
        <v>3267</v>
      </c>
      <c r="E2404" t="s">
        <v>18</v>
      </c>
      <c r="F2404" t="s">
        <v>45</v>
      </c>
      <c r="G2404" t="s">
        <v>50</v>
      </c>
      <c r="H2404" t="s">
        <v>40</v>
      </c>
      <c r="I2404" t="s">
        <v>60</v>
      </c>
      <c r="J2404">
        <v>1</v>
      </c>
      <c r="K2404">
        <v>3807000</v>
      </c>
      <c r="L2404" s="2" t="s">
        <v>3872</v>
      </c>
      <c r="M2404" t="s">
        <v>23</v>
      </c>
      <c r="N2404">
        <v>3224000</v>
      </c>
      <c r="O2404">
        <v>4.4000000000000004</v>
      </c>
      <c r="P2404" t="b">
        <v>1</v>
      </c>
    </row>
    <row r="2405" spans="1:16" x14ac:dyDescent="0.2">
      <c r="A2405" t="s">
        <v>3873</v>
      </c>
      <c r="B2405" s="1">
        <v>45089</v>
      </c>
      <c r="C2405" s="1">
        <v>45130</v>
      </c>
      <c r="D2405" t="s">
        <v>3874</v>
      </c>
      <c r="E2405" t="s">
        <v>33</v>
      </c>
      <c r="F2405" t="s">
        <v>34</v>
      </c>
      <c r="G2405" t="s">
        <v>20</v>
      </c>
      <c r="H2405" t="s">
        <v>21</v>
      </c>
      <c r="I2405" t="s">
        <v>1654</v>
      </c>
      <c r="J2405">
        <v>1</v>
      </c>
      <c r="K2405">
        <v>3302000</v>
      </c>
      <c r="L2405" s="2" t="s">
        <v>3875</v>
      </c>
      <c r="M2405" t="s">
        <v>23</v>
      </c>
      <c r="N2405">
        <v>2816000</v>
      </c>
      <c r="O2405">
        <v>4.5</v>
      </c>
      <c r="P2405" t="b">
        <v>0</v>
      </c>
    </row>
    <row r="2406" spans="1:16" x14ac:dyDescent="0.2">
      <c r="A2406" t="s">
        <v>3876</v>
      </c>
      <c r="B2406" s="1">
        <v>45090</v>
      </c>
      <c r="C2406" s="1">
        <v>45174</v>
      </c>
      <c r="D2406" t="s">
        <v>3877</v>
      </c>
      <c r="E2406" t="s">
        <v>33</v>
      </c>
      <c r="F2406" t="s">
        <v>34</v>
      </c>
      <c r="G2406" t="s">
        <v>20</v>
      </c>
      <c r="H2406" t="s">
        <v>40</v>
      </c>
      <c r="I2406" t="s">
        <v>26</v>
      </c>
      <c r="J2406">
        <v>3</v>
      </c>
      <c r="K2406">
        <v>4127000</v>
      </c>
      <c r="L2406" s="2" t="s">
        <v>3878</v>
      </c>
      <c r="M2406" t="s">
        <v>23</v>
      </c>
      <c r="N2406">
        <v>10626000</v>
      </c>
      <c r="O2406">
        <v>4.2</v>
      </c>
      <c r="P2406" t="b">
        <v>0</v>
      </c>
    </row>
    <row r="2407" spans="1:16" x14ac:dyDescent="0.2">
      <c r="A2407" t="s">
        <v>3879</v>
      </c>
      <c r="B2407" s="1">
        <v>45090</v>
      </c>
      <c r="C2407" s="1">
        <v>45115</v>
      </c>
      <c r="D2407" t="s">
        <v>3880</v>
      </c>
      <c r="E2407" t="s">
        <v>18</v>
      </c>
      <c r="F2407" t="s">
        <v>25</v>
      </c>
      <c r="G2407" t="s">
        <v>50</v>
      </c>
      <c r="H2407" t="s">
        <v>21</v>
      </c>
      <c r="I2407" t="s">
        <v>57</v>
      </c>
      <c r="J2407">
        <v>1</v>
      </c>
      <c r="K2407">
        <v>5098000</v>
      </c>
      <c r="L2407" s="2" t="s">
        <v>3881</v>
      </c>
      <c r="M2407" t="s">
        <v>23</v>
      </c>
      <c r="N2407">
        <v>4308000</v>
      </c>
      <c r="O2407">
        <v>4.5</v>
      </c>
      <c r="P2407" t="b">
        <v>0</v>
      </c>
    </row>
    <row r="2408" spans="1:16" x14ac:dyDescent="0.2">
      <c r="A2408" t="s">
        <v>3882</v>
      </c>
      <c r="B2408" s="1">
        <v>45090</v>
      </c>
      <c r="C2408" s="1">
        <v>45105</v>
      </c>
      <c r="D2408" t="s">
        <v>2877</v>
      </c>
      <c r="E2408" t="s">
        <v>18</v>
      </c>
      <c r="F2408" t="s">
        <v>19</v>
      </c>
      <c r="G2408" t="s">
        <v>35</v>
      </c>
      <c r="H2408" t="s">
        <v>40</v>
      </c>
      <c r="I2408" t="s">
        <v>77</v>
      </c>
      <c r="J2408">
        <v>2</v>
      </c>
      <c r="K2408">
        <v>2798000</v>
      </c>
      <c r="L2408" s="2" t="s">
        <v>3883</v>
      </c>
      <c r="M2408" t="s">
        <v>23</v>
      </c>
      <c r="N2408">
        <v>4710000</v>
      </c>
      <c r="O2408">
        <v>4.3</v>
      </c>
      <c r="P2408" t="b">
        <v>1</v>
      </c>
    </row>
    <row r="2409" spans="1:16" x14ac:dyDescent="0.2">
      <c r="A2409" t="s">
        <v>3884</v>
      </c>
      <c r="B2409" s="1">
        <v>45091</v>
      </c>
      <c r="C2409" s="1">
        <v>45151</v>
      </c>
      <c r="D2409" t="s">
        <v>2099</v>
      </c>
      <c r="E2409" t="s">
        <v>18</v>
      </c>
      <c r="F2409" t="s">
        <v>45</v>
      </c>
      <c r="G2409" t="s">
        <v>20</v>
      </c>
      <c r="H2409" t="s">
        <v>21</v>
      </c>
      <c r="J2409">
        <v>1</v>
      </c>
      <c r="K2409">
        <v>3217000</v>
      </c>
      <c r="L2409" s="2" t="s">
        <v>3885</v>
      </c>
      <c r="M2409" t="s">
        <v>23</v>
      </c>
      <c r="N2409">
        <v>2804000</v>
      </c>
      <c r="O2409">
        <v>4.0999999999999996</v>
      </c>
      <c r="P2409" t="b">
        <v>1</v>
      </c>
    </row>
    <row r="2410" spans="1:16" x14ac:dyDescent="0.2">
      <c r="A2410" t="s">
        <v>3886</v>
      </c>
      <c r="B2410" s="1">
        <v>45092</v>
      </c>
      <c r="C2410" s="1">
        <v>45101</v>
      </c>
      <c r="D2410" t="s">
        <v>3887</v>
      </c>
      <c r="E2410" t="s">
        <v>33</v>
      </c>
      <c r="F2410" t="s">
        <v>25</v>
      </c>
      <c r="G2410" t="s">
        <v>50</v>
      </c>
      <c r="H2410" t="s">
        <v>21</v>
      </c>
      <c r="I2410" t="s">
        <v>22</v>
      </c>
      <c r="J2410">
        <v>2</v>
      </c>
      <c r="K2410">
        <v>5382000</v>
      </c>
      <c r="L2410" s="2" t="s">
        <v>3888</v>
      </c>
      <c r="M2410" t="s">
        <v>23</v>
      </c>
      <c r="N2410">
        <v>9337000</v>
      </c>
      <c r="O2410">
        <v>4.0999999999999996</v>
      </c>
      <c r="P2410" t="b">
        <v>0</v>
      </c>
    </row>
    <row r="2411" spans="1:16" x14ac:dyDescent="0.2">
      <c r="A2411" t="s">
        <v>3889</v>
      </c>
      <c r="B2411" s="1">
        <v>45093</v>
      </c>
      <c r="C2411" s="1">
        <v>45114</v>
      </c>
      <c r="D2411" t="s">
        <v>3264</v>
      </c>
      <c r="E2411" t="s">
        <v>45</v>
      </c>
      <c r="F2411" t="s">
        <v>39</v>
      </c>
      <c r="G2411" t="s">
        <v>20</v>
      </c>
      <c r="H2411" t="s">
        <v>21</v>
      </c>
      <c r="I2411" t="s">
        <v>83</v>
      </c>
      <c r="J2411">
        <v>3</v>
      </c>
      <c r="K2411">
        <v>1585000</v>
      </c>
      <c r="L2411" s="2" t="s">
        <v>3890</v>
      </c>
      <c r="M2411" t="s">
        <v>23</v>
      </c>
      <c r="N2411">
        <v>4262000</v>
      </c>
      <c r="O2411">
        <v>4.2</v>
      </c>
      <c r="P2411" t="b">
        <v>1</v>
      </c>
    </row>
    <row r="2412" spans="1:16" x14ac:dyDescent="0.2">
      <c r="A2412" t="s">
        <v>3891</v>
      </c>
      <c r="B2412" s="1">
        <v>45093</v>
      </c>
      <c r="C2412" s="1">
        <v>45156</v>
      </c>
      <c r="D2412" t="s">
        <v>1918</v>
      </c>
      <c r="E2412" t="s">
        <v>33</v>
      </c>
      <c r="F2412" t="s">
        <v>34</v>
      </c>
      <c r="G2412" t="s">
        <v>20</v>
      </c>
      <c r="H2412" t="s">
        <v>40</v>
      </c>
      <c r="J2412">
        <v>2</v>
      </c>
      <c r="K2412">
        <v>3743000</v>
      </c>
      <c r="L2412">
        <v>8.0010246108465299E-2</v>
      </c>
      <c r="M2412" t="s">
        <v>23</v>
      </c>
      <c r="N2412">
        <v>6887000</v>
      </c>
      <c r="O2412">
        <v>4.5</v>
      </c>
      <c r="P2412" t="b">
        <v>1</v>
      </c>
    </row>
    <row r="2413" spans="1:16" x14ac:dyDescent="0.2">
      <c r="A2413" t="s">
        <v>3892</v>
      </c>
      <c r="B2413" s="1">
        <v>45093</v>
      </c>
      <c r="C2413" s="1">
        <v>45146</v>
      </c>
      <c r="D2413" t="s">
        <v>3893</v>
      </c>
      <c r="E2413" t="s">
        <v>18</v>
      </c>
      <c r="F2413" t="s">
        <v>39</v>
      </c>
      <c r="G2413" t="s">
        <v>35</v>
      </c>
      <c r="H2413" t="s">
        <v>21</v>
      </c>
      <c r="I2413" t="s">
        <v>60</v>
      </c>
      <c r="J2413">
        <v>1</v>
      </c>
      <c r="K2413">
        <v>2726000</v>
      </c>
      <c r="L2413" s="2" t="s">
        <v>3894</v>
      </c>
      <c r="M2413" t="s">
        <v>23</v>
      </c>
      <c r="N2413">
        <v>2377000</v>
      </c>
      <c r="O2413">
        <v>4.9000000000000004</v>
      </c>
      <c r="P2413" t="b">
        <v>0</v>
      </c>
    </row>
    <row r="2414" spans="1:16" x14ac:dyDescent="0.2">
      <c r="A2414" t="s">
        <v>3895</v>
      </c>
      <c r="B2414" s="1">
        <v>45093</v>
      </c>
      <c r="C2414" s="1">
        <v>45163</v>
      </c>
      <c r="D2414" t="s">
        <v>2679</v>
      </c>
      <c r="E2414" t="s">
        <v>18</v>
      </c>
      <c r="F2414" t="s">
        <v>25</v>
      </c>
      <c r="G2414" t="s">
        <v>20</v>
      </c>
      <c r="H2414" t="s">
        <v>21</v>
      </c>
      <c r="I2414" t="s">
        <v>30</v>
      </c>
      <c r="J2414">
        <v>1</v>
      </c>
      <c r="K2414">
        <v>5383000</v>
      </c>
      <c r="L2414">
        <v>7.0484972579844596E-2</v>
      </c>
      <c r="M2414" t="s">
        <v>23</v>
      </c>
      <c r="N2414">
        <v>5004000</v>
      </c>
      <c r="O2414">
        <v>4.8</v>
      </c>
      <c r="P2414" t="b">
        <v>1</v>
      </c>
    </row>
    <row r="2415" spans="1:16" x14ac:dyDescent="0.2">
      <c r="A2415" t="s">
        <v>3896</v>
      </c>
      <c r="B2415" s="1">
        <v>45093</v>
      </c>
      <c r="C2415" s="1">
        <v>45167</v>
      </c>
      <c r="D2415" t="s">
        <v>2582</v>
      </c>
      <c r="E2415" t="s">
        <v>29</v>
      </c>
      <c r="F2415" t="s">
        <v>45</v>
      </c>
      <c r="G2415" t="s">
        <v>50</v>
      </c>
      <c r="H2415" t="s">
        <v>21</v>
      </c>
      <c r="I2415" t="s">
        <v>30</v>
      </c>
      <c r="J2415">
        <v>3</v>
      </c>
      <c r="K2415">
        <v>3394000</v>
      </c>
      <c r="L2415">
        <v>9.0321756839252601E-2</v>
      </c>
      <c r="M2415" t="s">
        <v>23</v>
      </c>
      <c r="N2415">
        <v>9262000</v>
      </c>
      <c r="O2415">
        <v>4.4000000000000004</v>
      </c>
      <c r="P2415" t="b">
        <v>1</v>
      </c>
    </row>
    <row r="2416" spans="1:16" x14ac:dyDescent="0.2">
      <c r="A2416" t="s">
        <v>3897</v>
      </c>
      <c r="B2416" s="1">
        <v>45094</v>
      </c>
      <c r="C2416" s="1">
        <v>45105</v>
      </c>
      <c r="D2416" t="s">
        <v>161</v>
      </c>
      <c r="E2416" t="s">
        <v>33</v>
      </c>
      <c r="F2416" t="s">
        <v>19</v>
      </c>
      <c r="G2416" t="s">
        <v>20</v>
      </c>
      <c r="H2416" t="s">
        <v>21</v>
      </c>
      <c r="I2416" t="s">
        <v>57</v>
      </c>
      <c r="J2416">
        <v>2</v>
      </c>
      <c r="K2416">
        <v>3735000</v>
      </c>
      <c r="L2416">
        <v>2.28815481009292E-3</v>
      </c>
      <c r="M2416" t="s">
        <v>23</v>
      </c>
      <c r="N2416">
        <v>7453000</v>
      </c>
      <c r="O2416">
        <v>4.4000000000000004</v>
      </c>
      <c r="P2416" t="b">
        <v>1</v>
      </c>
    </row>
    <row r="2417" spans="1:16" x14ac:dyDescent="0.2">
      <c r="A2417" t="s">
        <v>3898</v>
      </c>
      <c r="B2417" s="1">
        <v>45095</v>
      </c>
      <c r="C2417" s="1">
        <v>45166</v>
      </c>
      <c r="D2417" t="s">
        <v>3304</v>
      </c>
      <c r="E2417" t="s">
        <v>18</v>
      </c>
      <c r="F2417" t="s">
        <v>45</v>
      </c>
      <c r="G2417" t="s">
        <v>20</v>
      </c>
      <c r="H2417" t="s">
        <v>21</v>
      </c>
      <c r="I2417" t="s">
        <v>83</v>
      </c>
      <c r="J2417">
        <v>2</v>
      </c>
      <c r="K2417">
        <v>2622000</v>
      </c>
      <c r="L2417" s="2" t="s">
        <v>3899</v>
      </c>
      <c r="M2417" t="s">
        <v>23</v>
      </c>
      <c r="N2417">
        <v>4475000</v>
      </c>
      <c r="O2417">
        <v>3.1</v>
      </c>
      <c r="P2417" t="b">
        <v>1</v>
      </c>
    </row>
    <row r="2418" spans="1:16" x14ac:dyDescent="0.2">
      <c r="A2418" t="s">
        <v>3900</v>
      </c>
      <c r="B2418" s="1">
        <v>45095</v>
      </c>
      <c r="C2418" s="1">
        <v>45158</v>
      </c>
      <c r="D2418" t="s">
        <v>911</v>
      </c>
      <c r="E2418" t="s">
        <v>29</v>
      </c>
      <c r="F2418" t="s">
        <v>34</v>
      </c>
      <c r="G2418" t="s">
        <v>20</v>
      </c>
      <c r="H2418" t="s">
        <v>47</v>
      </c>
      <c r="I2418" t="s">
        <v>99</v>
      </c>
      <c r="J2418">
        <v>4</v>
      </c>
      <c r="K2418">
        <v>3964000</v>
      </c>
      <c r="L2418" s="2" t="s">
        <v>3901</v>
      </c>
      <c r="M2418" t="s">
        <v>23</v>
      </c>
      <c r="N2418">
        <v>13316000</v>
      </c>
      <c r="O2418">
        <v>3.8</v>
      </c>
      <c r="P2418" t="b">
        <v>1</v>
      </c>
    </row>
    <row r="2419" spans="1:16" x14ac:dyDescent="0.2">
      <c r="A2419" t="s">
        <v>3902</v>
      </c>
      <c r="B2419" s="1">
        <v>45095</v>
      </c>
      <c r="C2419" s="1">
        <v>45160</v>
      </c>
      <c r="D2419" t="s">
        <v>3903</v>
      </c>
      <c r="E2419" t="s">
        <v>33</v>
      </c>
      <c r="F2419" t="s">
        <v>34</v>
      </c>
      <c r="G2419" t="s">
        <v>35</v>
      </c>
      <c r="H2419" t="s">
        <v>21</v>
      </c>
      <c r="I2419" t="s">
        <v>52</v>
      </c>
      <c r="J2419">
        <v>1</v>
      </c>
      <c r="K2419">
        <v>3519000</v>
      </c>
      <c r="L2419">
        <v>7.3529934749281406E-2</v>
      </c>
      <c r="M2419" t="s">
        <v>23</v>
      </c>
      <c r="N2419">
        <v>3260000</v>
      </c>
      <c r="O2419">
        <v>4</v>
      </c>
      <c r="P2419" t="b">
        <v>0</v>
      </c>
    </row>
    <row r="2420" spans="1:16" x14ac:dyDescent="0.2">
      <c r="A2420" t="s">
        <v>3904</v>
      </c>
      <c r="B2420" s="1">
        <v>45095</v>
      </c>
      <c r="C2420" s="1">
        <v>45161</v>
      </c>
      <c r="D2420" t="s">
        <v>3905</v>
      </c>
      <c r="E2420" t="s">
        <v>45</v>
      </c>
      <c r="F2420" t="s">
        <v>68</v>
      </c>
      <c r="G2420" t="s">
        <v>50</v>
      </c>
      <c r="H2420" t="s">
        <v>47</v>
      </c>
      <c r="I2420" t="s">
        <v>77</v>
      </c>
      <c r="J2420">
        <v>1</v>
      </c>
      <c r="K2420">
        <v>2838000</v>
      </c>
      <c r="L2420">
        <v>8.3192848295271696E-2</v>
      </c>
      <c r="M2420" t="s">
        <v>23</v>
      </c>
      <c r="N2420">
        <v>2602000</v>
      </c>
      <c r="O2420">
        <v>3.5</v>
      </c>
      <c r="P2420" t="b">
        <v>0</v>
      </c>
    </row>
    <row r="2421" spans="1:16" x14ac:dyDescent="0.2">
      <c r="A2421" t="s">
        <v>3906</v>
      </c>
      <c r="B2421" s="1">
        <v>45095</v>
      </c>
      <c r="C2421" s="1">
        <v>45141</v>
      </c>
      <c r="D2421" t="s">
        <v>3907</v>
      </c>
      <c r="E2421" t="s">
        <v>29</v>
      </c>
      <c r="F2421" t="s">
        <v>19</v>
      </c>
      <c r="G2421" t="s">
        <v>20</v>
      </c>
      <c r="I2421" t="s">
        <v>94</v>
      </c>
      <c r="J2421">
        <v>3</v>
      </c>
      <c r="K2421">
        <v>3086000</v>
      </c>
      <c r="L2421" s="2" t="s">
        <v>3908</v>
      </c>
      <c r="M2421" t="s">
        <v>23</v>
      </c>
      <c r="N2421">
        <v>8017000</v>
      </c>
      <c r="O2421">
        <v>4.2</v>
      </c>
      <c r="P2421" t="b">
        <v>0</v>
      </c>
    </row>
    <row r="2422" spans="1:16" x14ac:dyDescent="0.2">
      <c r="A2422" t="s">
        <v>3909</v>
      </c>
      <c r="B2422" s="1">
        <v>45096</v>
      </c>
      <c r="C2422" s="1">
        <v>45142</v>
      </c>
      <c r="D2422" t="s">
        <v>3910</v>
      </c>
      <c r="E2422" t="s">
        <v>29</v>
      </c>
      <c r="F2422" t="s">
        <v>39</v>
      </c>
      <c r="G2422" t="s">
        <v>20</v>
      </c>
      <c r="H2422" t="s">
        <v>21</v>
      </c>
      <c r="I2422" t="s">
        <v>94</v>
      </c>
      <c r="J2422">
        <v>1</v>
      </c>
      <c r="K2422">
        <v>2825000</v>
      </c>
      <c r="L2422" s="2" t="s">
        <v>3911</v>
      </c>
      <c r="M2422" t="s">
        <v>23</v>
      </c>
      <c r="N2422">
        <v>2538000</v>
      </c>
      <c r="O2422">
        <v>4.7</v>
      </c>
      <c r="P2422" t="b">
        <v>0</v>
      </c>
    </row>
    <row r="2423" spans="1:16" x14ac:dyDescent="0.2">
      <c r="A2423" t="s">
        <v>3912</v>
      </c>
      <c r="B2423" s="1">
        <v>45096</v>
      </c>
      <c r="C2423" s="1">
        <v>45146</v>
      </c>
      <c r="D2423" t="s">
        <v>1925</v>
      </c>
      <c r="E2423" t="s">
        <v>18</v>
      </c>
      <c r="F2423" t="s">
        <v>45</v>
      </c>
      <c r="G2423" t="s">
        <v>20</v>
      </c>
      <c r="H2423" t="s">
        <v>21</v>
      </c>
      <c r="I2423" t="s">
        <v>22</v>
      </c>
      <c r="J2423">
        <v>1</v>
      </c>
      <c r="K2423">
        <v>3449000</v>
      </c>
      <c r="L2423" s="3">
        <v>0.1</v>
      </c>
      <c r="M2423" t="s">
        <v>23</v>
      </c>
      <c r="N2423">
        <v>3103000</v>
      </c>
      <c r="O2423">
        <v>3.4</v>
      </c>
      <c r="P2423" t="b">
        <v>1</v>
      </c>
    </row>
    <row r="2424" spans="1:16" x14ac:dyDescent="0.2">
      <c r="A2424" t="s">
        <v>3913</v>
      </c>
      <c r="B2424" s="1">
        <v>45096</v>
      </c>
      <c r="C2424" s="1">
        <v>45177</v>
      </c>
      <c r="D2424" t="s">
        <v>251</v>
      </c>
      <c r="E2424" t="s">
        <v>18</v>
      </c>
      <c r="F2424" t="s">
        <v>34</v>
      </c>
      <c r="G2424" t="s">
        <v>20</v>
      </c>
      <c r="H2424" t="s">
        <v>21</v>
      </c>
      <c r="I2424" t="s">
        <v>77</v>
      </c>
      <c r="J2424">
        <v>2</v>
      </c>
      <c r="K2424">
        <v>3837000</v>
      </c>
      <c r="L2424" s="2" t="s">
        <v>3914</v>
      </c>
      <c r="M2424" t="s">
        <v>23</v>
      </c>
      <c r="N2424">
        <v>6886000</v>
      </c>
      <c r="O2424">
        <v>4.2</v>
      </c>
      <c r="P2424" t="b">
        <v>1</v>
      </c>
    </row>
    <row r="2425" spans="1:16" x14ac:dyDescent="0.2">
      <c r="A2425" t="s">
        <v>3915</v>
      </c>
      <c r="B2425" s="1">
        <v>45096</v>
      </c>
      <c r="C2425" s="1">
        <v>45114</v>
      </c>
      <c r="D2425" t="s">
        <v>3916</v>
      </c>
      <c r="E2425" t="s">
        <v>45</v>
      </c>
      <c r="F2425" t="s">
        <v>45</v>
      </c>
      <c r="G2425" t="s">
        <v>50</v>
      </c>
      <c r="H2425" t="s">
        <v>40</v>
      </c>
      <c r="I2425" t="s">
        <v>57</v>
      </c>
      <c r="J2425">
        <v>2</v>
      </c>
      <c r="K2425">
        <v>4003000</v>
      </c>
      <c r="L2425">
        <v>4.5471538213515197E-2</v>
      </c>
      <c r="M2425" t="s">
        <v>23</v>
      </c>
      <c r="N2425">
        <v>7642000</v>
      </c>
      <c r="O2425">
        <v>4.2</v>
      </c>
      <c r="P2425" t="b">
        <v>0</v>
      </c>
    </row>
    <row r="2426" spans="1:16" x14ac:dyDescent="0.2">
      <c r="A2426" t="s">
        <v>3917</v>
      </c>
      <c r="B2426" s="1">
        <v>45097</v>
      </c>
      <c r="C2426" s="1">
        <v>45162</v>
      </c>
      <c r="D2426" t="s">
        <v>3918</v>
      </c>
      <c r="E2426" t="s">
        <v>29</v>
      </c>
      <c r="F2426" t="s">
        <v>34</v>
      </c>
      <c r="G2426" t="s">
        <v>20</v>
      </c>
      <c r="H2426" t="s">
        <v>21</v>
      </c>
      <c r="I2426" t="s">
        <v>77</v>
      </c>
      <c r="J2426">
        <v>2</v>
      </c>
      <c r="K2426">
        <v>4035000</v>
      </c>
      <c r="L2426" s="2" t="s">
        <v>3919</v>
      </c>
      <c r="M2426" t="s">
        <v>23</v>
      </c>
      <c r="N2426">
        <v>7060000</v>
      </c>
      <c r="O2426">
        <v>4.4000000000000004</v>
      </c>
      <c r="P2426" t="b">
        <v>0</v>
      </c>
    </row>
    <row r="2427" spans="1:16" x14ac:dyDescent="0.2">
      <c r="A2427" t="s">
        <v>3920</v>
      </c>
      <c r="B2427" s="1">
        <v>45097</v>
      </c>
      <c r="C2427" s="1">
        <v>45182</v>
      </c>
      <c r="D2427" t="s">
        <v>873</v>
      </c>
      <c r="E2427" t="s">
        <v>33</v>
      </c>
      <c r="F2427" t="s">
        <v>34</v>
      </c>
      <c r="G2427" t="s">
        <v>20</v>
      </c>
      <c r="H2427" t="s">
        <v>40</v>
      </c>
      <c r="I2427" t="s">
        <v>77</v>
      </c>
      <c r="J2427">
        <v>1</v>
      </c>
      <c r="K2427">
        <v>4411000</v>
      </c>
      <c r="L2427">
        <v>7.5586015471592105E-2</v>
      </c>
      <c r="M2427" t="s">
        <v>23</v>
      </c>
      <c r="N2427">
        <v>4078000</v>
      </c>
      <c r="O2427">
        <v>3</v>
      </c>
      <c r="P2427" t="b">
        <v>1</v>
      </c>
    </row>
    <row r="2428" spans="1:16" x14ac:dyDescent="0.2">
      <c r="A2428" t="s">
        <v>3921</v>
      </c>
      <c r="B2428" s="1">
        <v>45097</v>
      </c>
      <c r="C2428" s="1">
        <v>45165</v>
      </c>
      <c r="D2428" t="s">
        <v>3922</v>
      </c>
      <c r="E2428" t="s">
        <v>29</v>
      </c>
      <c r="F2428" t="s">
        <v>39</v>
      </c>
      <c r="G2428" t="s">
        <v>46</v>
      </c>
      <c r="H2428" t="s">
        <v>21</v>
      </c>
      <c r="I2428" t="s">
        <v>83</v>
      </c>
      <c r="J2428">
        <v>1</v>
      </c>
      <c r="K2428">
        <v>1556000</v>
      </c>
      <c r="L2428" s="2" t="s">
        <v>3923</v>
      </c>
      <c r="M2428" t="s">
        <v>23</v>
      </c>
      <c r="N2428">
        <v>1343000</v>
      </c>
      <c r="O2428">
        <v>3.4</v>
      </c>
      <c r="P2428" t="b">
        <v>0</v>
      </c>
    </row>
    <row r="2429" spans="1:16" x14ac:dyDescent="0.2">
      <c r="A2429" t="s">
        <v>3924</v>
      </c>
      <c r="B2429" s="1">
        <v>45097</v>
      </c>
      <c r="C2429" s="1">
        <v>45136</v>
      </c>
      <c r="D2429" t="s">
        <v>3925</v>
      </c>
      <c r="E2429" t="s">
        <v>18</v>
      </c>
      <c r="F2429" t="s">
        <v>39</v>
      </c>
      <c r="G2429" t="s">
        <v>35</v>
      </c>
      <c r="I2429" t="s">
        <v>60</v>
      </c>
      <c r="J2429">
        <v>2</v>
      </c>
      <c r="K2429">
        <v>2765000</v>
      </c>
      <c r="L2429">
        <v>7.8397065440028002E-2</v>
      </c>
      <c r="M2429" t="s">
        <v>23</v>
      </c>
      <c r="N2429">
        <v>5096000</v>
      </c>
      <c r="O2429">
        <v>4.8</v>
      </c>
      <c r="P2429" t="b">
        <v>0</v>
      </c>
    </row>
    <row r="2430" spans="1:16" x14ac:dyDescent="0.2">
      <c r="A2430" t="s">
        <v>3926</v>
      </c>
      <c r="B2430" s="1">
        <v>45098</v>
      </c>
      <c r="C2430" s="1">
        <v>45155</v>
      </c>
      <c r="D2430" t="s">
        <v>3246</v>
      </c>
      <c r="F2430" t="s">
        <v>34</v>
      </c>
      <c r="G2430" t="s">
        <v>20</v>
      </c>
      <c r="H2430" t="s">
        <v>21</v>
      </c>
      <c r="I2430" t="s">
        <v>77</v>
      </c>
      <c r="J2430">
        <v>1</v>
      </c>
      <c r="K2430">
        <v>4351000</v>
      </c>
      <c r="L2430" s="2" t="s">
        <v>3927</v>
      </c>
      <c r="M2430" t="s">
        <v>23</v>
      </c>
      <c r="N2430">
        <v>3886000</v>
      </c>
      <c r="O2430">
        <v>4.8</v>
      </c>
      <c r="P2430" t="b">
        <v>1</v>
      </c>
    </row>
    <row r="2431" spans="1:16" x14ac:dyDescent="0.2">
      <c r="A2431" t="s">
        <v>3928</v>
      </c>
      <c r="B2431" s="1">
        <v>45098</v>
      </c>
      <c r="C2431" s="1">
        <v>45129</v>
      </c>
      <c r="D2431" t="s">
        <v>116</v>
      </c>
      <c r="F2431" t="s">
        <v>25</v>
      </c>
      <c r="G2431" t="s">
        <v>20</v>
      </c>
      <c r="H2431" t="s">
        <v>21</v>
      </c>
      <c r="I2431" t="s">
        <v>30</v>
      </c>
      <c r="J2431">
        <v>2</v>
      </c>
      <c r="K2431">
        <v>5541000</v>
      </c>
      <c r="L2431" s="2" t="s">
        <v>3929</v>
      </c>
      <c r="M2431" t="s">
        <v>23</v>
      </c>
      <c r="N2431">
        <v>9784000</v>
      </c>
      <c r="O2431">
        <v>4.2</v>
      </c>
      <c r="P2431" t="b">
        <v>1</v>
      </c>
    </row>
    <row r="2432" spans="1:16" x14ac:dyDescent="0.2">
      <c r="A2432" t="s">
        <v>3930</v>
      </c>
      <c r="B2432" s="1">
        <v>45098</v>
      </c>
      <c r="C2432" s="1">
        <v>45146</v>
      </c>
      <c r="D2432" t="s">
        <v>3331</v>
      </c>
      <c r="E2432" t="s">
        <v>18</v>
      </c>
      <c r="F2432" t="s">
        <v>45</v>
      </c>
      <c r="G2432" t="s">
        <v>50</v>
      </c>
      <c r="H2432" t="s">
        <v>51</v>
      </c>
      <c r="I2432" t="s">
        <v>57</v>
      </c>
      <c r="J2432">
        <v>1</v>
      </c>
      <c r="K2432">
        <v>3741000</v>
      </c>
      <c r="L2432">
        <v>4.3647443433565303E-2</v>
      </c>
      <c r="M2432" t="s">
        <v>23</v>
      </c>
      <c r="N2432">
        <v>3578000</v>
      </c>
      <c r="O2432">
        <v>4.7</v>
      </c>
      <c r="P2432" t="b">
        <v>1</v>
      </c>
    </row>
    <row r="2433" spans="1:16" x14ac:dyDescent="0.2">
      <c r="A2433" t="s">
        <v>3931</v>
      </c>
      <c r="B2433" s="1">
        <v>45099</v>
      </c>
      <c r="C2433" s="1">
        <v>45148</v>
      </c>
      <c r="D2433" t="s">
        <v>2550</v>
      </c>
      <c r="E2433" t="s">
        <v>18</v>
      </c>
      <c r="F2433" t="s">
        <v>34</v>
      </c>
      <c r="G2433" t="s">
        <v>20</v>
      </c>
      <c r="H2433" t="s">
        <v>21</v>
      </c>
      <c r="I2433" t="s">
        <v>99</v>
      </c>
      <c r="J2433">
        <v>1</v>
      </c>
      <c r="K2433">
        <v>3796000</v>
      </c>
      <c r="L2433" s="2" t="s">
        <v>3932</v>
      </c>
      <c r="M2433" t="s">
        <v>23</v>
      </c>
      <c r="N2433">
        <v>3249000</v>
      </c>
      <c r="O2433">
        <v>4.5999999999999996</v>
      </c>
      <c r="P2433" t="b">
        <v>1</v>
      </c>
    </row>
    <row r="2434" spans="1:16" x14ac:dyDescent="0.2">
      <c r="A2434" t="s">
        <v>3933</v>
      </c>
      <c r="B2434" s="1">
        <v>45099</v>
      </c>
      <c r="C2434" s="1">
        <v>45139</v>
      </c>
      <c r="D2434" t="s">
        <v>259</v>
      </c>
      <c r="E2434" t="s">
        <v>33</v>
      </c>
      <c r="F2434" t="s">
        <v>34</v>
      </c>
      <c r="G2434" t="s">
        <v>50</v>
      </c>
      <c r="H2434" t="s">
        <v>21</v>
      </c>
      <c r="I2434" t="s">
        <v>99</v>
      </c>
      <c r="J2434">
        <v>1</v>
      </c>
      <c r="K2434">
        <v>4320000</v>
      </c>
      <c r="L2434">
        <v>7.9390252649871304E-2</v>
      </c>
      <c r="M2434" t="s">
        <v>23</v>
      </c>
      <c r="N2434">
        <v>3977000</v>
      </c>
      <c r="O2434">
        <v>4.4000000000000004</v>
      </c>
      <c r="P2434" t="b">
        <v>1</v>
      </c>
    </row>
    <row r="2435" spans="1:16" x14ac:dyDescent="0.2">
      <c r="A2435" t="s">
        <v>3934</v>
      </c>
      <c r="B2435" s="1">
        <v>45099</v>
      </c>
      <c r="C2435" s="1">
        <v>45125</v>
      </c>
      <c r="D2435" t="s">
        <v>3935</v>
      </c>
      <c r="E2435" t="s">
        <v>18</v>
      </c>
      <c r="F2435" t="s">
        <v>45</v>
      </c>
      <c r="G2435" t="s">
        <v>20</v>
      </c>
      <c r="H2435" t="s">
        <v>21</v>
      </c>
      <c r="I2435" t="s">
        <v>26</v>
      </c>
      <c r="J2435">
        <v>1</v>
      </c>
      <c r="K2435">
        <v>3663000</v>
      </c>
      <c r="L2435">
        <v>7.8954814313162494E-2</v>
      </c>
      <c r="M2435" t="s">
        <v>23</v>
      </c>
      <c r="N2435">
        <v>3374000</v>
      </c>
      <c r="O2435">
        <v>4.2</v>
      </c>
      <c r="P2435" t="b">
        <v>0</v>
      </c>
    </row>
    <row r="2436" spans="1:16" x14ac:dyDescent="0.2">
      <c r="A2436" t="s">
        <v>3936</v>
      </c>
      <c r="B2436" s="1">
        <v>45099</v>
      </c>
      <c r="C2436" s="1">
        <v>45126</v>
      </c>
      <c r="D2436" t="s">
        <v>2832</v>
      </c>
      <c r="E2436" t="s">
        <v>33</v>
      </c>
      <c r="F2436" t="s">
        <v>19</v>
      </c>
      <c r="G2436" t="s">
        <v>20</v>
      </c>
      <c r="H2436" t="s">
        <v>51</v>
      </c>
      <c r="I2436" t="s">
        <v>26</v>
      </c>
      <c r="J2436">
        <v>1</v>
      </c>
      <c r="K2436">
        <v>2990000</v>
      </c>
      <c r="L2436" s="2" t="s">
        <v>3937</v>
      </c>
      <c r="M2436" t="s">
        <v>23</v>
      </c>
      <c r="N2436">
        <v>2617000</v>
      </c>
      <c r="O2436">
        <v>5</v>
      </c>
      <c r="P2436" t="b">
        <v>1</v>
      </c>
    </row>
    <row r="2437" spans="1:16" x14ac:dyDescent="0.2">
      <c r="A2437" t="s">
        <v>3938</v>
      </c>
      <c r="B2437" s="1">
        <v>45100</v>
      </c>
      <c r="C2437" s="1">
        <v>45155</v>
      </c>
      <c r="D2437" t="s">
        <v>1072</v>
      </c>
      <c r="E2437" t="s">
        <v>18</v>
      </c>
      <c r="F2437" t="s">
        <v>34</v>
      </c>
      <c r="G2437" t="s">
        <v>35</v>
      </c>
      <c r="H2437" t="s">
        <v>21</v>
      </c>
      <c r="I2437" t="s">
        <v>52</v>
      </c>
      <c r="J2437">
        <v>5</v>
      </c>
      <c r="K2437">
        <v>3212000</v>
      </c>
      <c r="L2437" s="2" t="s">
        <v>3939</v>
      </c>
      <c r="M2437" t="s">
        <v>23</v>
      </c>
      <c r="N2437">
        <v>14121000</v>
      </c>
      <c r="O2437">
        <v>4.9000000000000004</v>
      </c>
      <c r="P2437" t="b">
        <v>1</v>
      </c>
    </row>
    <row r="2438" spans="1:16" x14ac:dyDescent="0.2">
      <c r="A2438" t="s">
        <v>3940</v>
      </c>
      <c r="B2438" s="1">
        <v>45100</v>
      </c>
      <c r="C2438" s="1">
        <v>45148</v>
      </c>
      <c r="D2438" t="s">
        <v>777</v>
      </c>
      <c r="E2438" t="s">
        <v>45</v>
      </c>
      <c r="F2438" t="s">
        <v>25</v>
      </c>
      <c r="G2438" t="s">
        <v>50</v>
      </c>
      <c r="H2438" t="s">
        <v>21</v>
      </c>
      <c r="I2438" t="s">
        <v>94</v>
      </c>
      <c r="J2438">
        <v>4</v>
      </c>
      <c r="K2438">
        <v>4955000</v>
      </c>
      <c r="L2438">
        <v>4.9266847332627997E-2</v>
      </c>
      <c r="M2438" t="s">
        <v>23</v>
      </c>
      <c r="N2438">
        <v>18844000</v>
      </c>
      <c r="O2438">
        <v>4.7</v>
      </c>
      <c r="P2438" t="b">
        <v>1</v>
      </c>
    </row>
    <row r="2439" spans="1:16" x14ac:dyDescent="0.2">
      <c r="A2439" t="s">
        <v>3941</v>
      </c>
      <c r="B2439" s="1">
        <v>45100</v>
      </c>
      <c r="C2439" s="1">
        <v>45173</v>
      </c>
      <c r="D2439" t="s">
        <v>3942</v>
      </c>
      <c r="E2439" t="s">
        <v>29</v>
      </c>
      <c r="F2439" t="s">
        <v>34</v>
      </c>
      <c r="G2439" t="s">
        <v>20</v>
      </c>
      <c r="H2439" t="s">
        <v>40</v>
      </c>
      <c r="I2439" t="s">
        <v>77</v>
      </c>
      <c r="J2439">
        <v>2</v>
      </c>
      <c r="K2439">
        <v>4003000</v>
      </c>
      <c r="L2439" s="2" t="s">
        <v>3943</v>
      </c>
      <c r="M2439" t="s">
        <v>23</v>
      </c>
      <c r="N2439">
        <v>7187000</v>
      </c>
      <c r="O2439">
        <v>4.2</v>
      </c>
      <c r="P2439" t="b">
        <v>0</v>
      </c>
    </row>
    <row r="2440" spans="1:16" x14ac:dyDescent="0.2">
      <c r="A2440" t="s">
        <v>3944</v>
      </c>
      <c r="B2440" s="1">
        <v>45100</v>
      </c>
      <c r="C2440" s="1">
        <v>45158</v>
      </c>
      <c r="D2440" t="s">
        <v>3945</v>
      </c>
      <c r="E2440" t="s">
        <v>18</v>
      </c>
      <c r="F2440" t="s">
        <v>45</v>
      </c>
      <c r="G2440" t="s">
        <v>20</v>
      </c>
      <c r="H2440" t="s">
        <v>21</v>
      </c>
      <c r="I2440" t="s">
        <v>57</v>
      </c>
      <c r="J2440">
        <v>3</v>
      </c>
      <c r="K2440">
        <v>3807000</v>
      </c>
      <c r="L2440" s="2" t="s">
        <v>3946</v>
      </c>
      <c r="M2440" t="s">
        <v>23</v>
      </c>
      <c r="N2440">
        <v>9595000</v>
      </c>
      <c r="O2440">
        <v>4</v>
      </c>
      <c r="P2440" t="b">
        <v>0</v>
      </c>
    </row>
    <row r="2441" spans="1:16" x14ac:dyDescent="0.2">
      <c r="A2441" t="s">
        <v>3947</v>
      </c>
      <c r="B2441" s="1">
        <v>45100</v>
      </c>
      <c r="C2441" s="1">
        <v>45141</v>
      </c>
      <c r="D2441" t="s">
        <v>3948</v>
      </c>
      <c r="E2441" t="s">
        <v>45</v>
      </c>
      <c r="F2441" t="s">
        <v>34</v>
      </c>
      <c r="G2441" t="s">
        <v>20</v>
      </c>
      <c r="H2441" t="s">
        <v>21</v>
      </c>
      <c r="I2441" t="s">
        <v>60</v>
      </c>
      <c r="J2441">
        <v>3</v>
      </c>
      <c r="K2441">
        <v>4647000</v>
      </c>
      <c r="L2441" s="2" t="s">
        <v>3949</v>
      </c>
      <c r="M2441" t="s">
        <v>23</v>
      </c>
      <c r="N2441">
        <v>11966000</v>
      </c>
      <c r="O2441">
        <v>4</v>
      </c>
      <c r="P2441" t="b">
        <v>0</v>
      </c>
    </row>
    <row r="2442" spans="1:16" x14ac:dyDescent="0.2">
      <c r="A2442" t="s">
        <v>3950</v>
      </c>
      <c r="B2442" s="1">
        <v>45101</v>
      </c>
      <c r="C2442" s="1">
        <v>45155</v>
      </c>
      <c r="D2442" t="s">
        <v>3951</v>
      </c>
      <c r="E2442" t="s">
        <v>33</v>
      </c>
      <c r="F2442" t="s">
        <v>39</v>
      </c>
      <c r="G2442" t="s">
        <v>35</v>
      </c>
      <c r="H2442" t="s">
        <v>21</v>
      </c>
      <c r="I2442" t="s">
        <v>22</v>
      </c>
      <c r="J2442">
        <v>3</v>
      </c>
      <c r="K2442">
        <v>2034000</v>
      </c>
      <c r="L2442" s="2" t="s">
        <v>3952</v>
      </c>
      <c r="M2442" t="s">
        <v>23</v>
      </c>
      <c r="N2442">
        <v>5039000</v>
      </c>
      <c r="O2442">
        <v>4.8</v>
      </c>
      <c r="P2442" t="b">
        <v>0</v>
      </c>
    </row>
    <row r="2443" spans="1:16" x14ac:dyDescent="0.2">
      <c r="A2443" t="s">
        <v>3953</v>
      </c>
      <c r="B2443" s="1">
        <v>45101</v>
      </c>
      <c r="C2443" s="1">
        <v>45138</v>
      </c>
      <c r="D2443" t="s">
        <v>870</v>
      </c>
      <c r="E2443" t="s">
        <v>29</v>
      </c>
      <c r="F2443" t="s">
        <v>45</v>
      </c>
      <c r="G2443" t="s">
        <v>20</v>
      </c>
      <c r="H2443" t="s">
        <v>51</v>
      </c>
      <c r="I2443" t="s">
        <v>83</v>
      </c>
      <c r="J2443">
        <v>1</v>
      </c>
      <c r="K2443">
        <v>2850000</v>
      </c>
      <c r="L2443" s="2" t="s">
        <v>3954</v>
      </c>
      <c r="M2443" t="s">
        <v>23</v>
      </c>
      <c r="N2443">
        <v>2502000</v>
      </c>
      <c r="O2443">
        <v>4.2</v>
      </c>
      <c r="P2443" t="b">
        <v>1</v>
      </c>
    </row>
    <row r="2444" spans="1:16" x14ac:dyDescent="0.2">
      <c r="A2444" t="s">
        <v>3955</v>
      </c>
      <c r="B2444" s="1">
        <v>45102</v>
      </c>
      <c r="C2444" s="1">
        <v>45114</v>
      </c>
      <c r="D2444" t="s">
        <v>3956</v>
      </c>
      <c r="E2444" t="s">
        <v>33</v>
      </c>
      <c r="F2444" t="s">
        <v>39</v>
      </c>
      <c r="G2444" t="s">
        <v>20</v>
      </c>
      <c r="H2444" t="s">
        <v>21</v>
      </c>
      <c r="I2444" t="s">
        <v>57</v>
      </c>
      <c r="J2444">
        <v>1</v>
      </c>
      <c r="K2444">
        <v>2644000</v>
      </c>
      <c r="L2444">
        <v>9.1402509818639899E-2</v>
      </c>
      <c r="M2444" t="s">
        <v>23</v>
      </c>
      <c r="N2444">
        <v>2402000</v>
      </c>
      <c r="O2444">
        <v>3.9</v>
      </c>
      <c r="P2444" t="b">
        <v>0</v>
      </c>
    </row>
    <row r="2445" spans="1:16" x14ac:dyDescent="0.2">
      <c r="A2445" t="s">
        <v>3957</v>
      </c>
      <c r="B2445" s="1">
        <v>45103</v>
      </c>
      <c r="C2445" s="1">
        <v>45117</v>
      </c>
      <c r="D2445" t="s">
        <v>1921</v>
      </c>
      <c r="E2445" t="s">
        <v>18</v>
      </c>
      <c r="F2445" t="s">
        <v>34</v>
      </c>
      <c r="G2445" t="s">
        <v>20</v>
      </c>
      <c r="H2445" t="s">
        <v>47</v>
      </c>
      <c r="I2445" t="s">
        <v>77</v>
      </c>
      <c r="J2445">
        <v>2</v>
      </c>
      <c r="K2445">
        <v>4294000</v>
      </c>
      <c r="L2445" s="2" t="s">
        <v>3958</v>
      </c>
      <c r="M2445" t="s">
        <v>23</v>
      </c>
      <c r="N2445">
        <v>7176000</v>
      </c>
      <c r="O2445">
        <v>5</v>
      </c>
      <c r="P2445" t="b">
        <v>1</v>
      </c>
    </row>
    <row r="2446" spans="1:16" x14ac:dyDescent="0.2">
      <c r="A2446" t="s">
        <v>3959</v>
      </c>
      <c r="B2446" s="1">
        <v>45104</v>
      </c>
      <c r="C2446" s="1">
        <v>45131</v>
      </c>
      <c r="D2446" t="s">
        <v>3960</v>
      </c>
      <c r="E2446" t="s">
        <v>18</v>
      </c>
      <c r="F2446" t="s">
        <v>19</v>
      </c>
      <c r="G2446" t="s">
        <v>20</v>
      </c>
      <c r="H2446" t="s">
        <v>21</v>
      </c>
      <c r="I2446" t="s">
        <v>52</v>
      </c>
      <c r="J2446">
        <v>4</v>
      </c>
      <c r="K2446">
        <v>2553000</v>
      </c>
      <c r="L2446" s="2" t="s">
        <v>3961</v>
      </c>
      <c r="M2446" t="s">
        <v>65</v>
      </c>
      <c r="N2446">
        <v>0</v>
      </c>
      <c r="P2446" t="b">
        <v>0</v>
      </c>
    </row>
    <row r="2447" spans="1:16" x14ac:dyDescent="0.2">
      <c r="A2447" t="s">
        <v>3962</v>
      </c>
      <c r="B2447" s="1">
        <v>45104</v>
      </c>
      <c r="C2447" s="1">
        <v>45148</v>
      </c>
      <c r="D2447" t="s">
        <v>2172</v>
      </c>
      <c r="E2447" t="s">
        <v>18</v>
      </c>
      <c r="F2447" t="s">
        <v>19</v>
      </c>
      <c r="H2447" t="s">
        <v>21</v>
      </c>
      <c r="I2447" t="s">
        <v>94</v>
      </c>
      <c r="J2447">
        <v>2</v>
      </c>
      <c r="K2447">
        <v>2788000</v>
      </c>
      <c r="L2447">
        <v>7.2187424533436101E-2</v>
      </c>
      <c r="M2447" t="s">
        <v>23</v>
      </c>
      <c r="N2447">
        <v>5173000</v>
      </c>
      <c r="O2447">
        <v>4.4000000000000004</v>
      </c>
      <c r="P2447" t="b">
        <v>1</v>
      </c>
    </row>
    <row r="2448" spans="1:16" x14ac:dyDescent="0.2">
      <c r="A2448" t="s">
        <v>3963</v>
      </c>
      <c r="B2448" s="1">
        <v>45105</v>
      </c>
      <c r="C2448" s="1">
        <v>45168</v>
      </c>
      <c r="D2448" t="s">
        <v>3964</v>
      </c>
      <c r="E2448" t="s">
        <v>45</v>
      </c>
      <c r="F2448" t="s">
        <v>68</v>
      </c>
      <c r="G2448" t="s">
        <v>35</v>
      </c>
      <c r="I2448" t="s">
        <v>22</v>
      </c>
      <c r="J2448">
        <v>3</v>
      </c>
      <c r="K2448">
        <v>2712000</v>
      </c>
      <c r="L2448" s="2" t="s">
        <v>3965</v>
      </c>
      <c r="M2448" t="s">
        <v>23</v>
      </c>
      <c r="N2448">
        <v>6901000</v>
      </c>
      <c r="O2448">
        <v>4.7</v>
      </c>
      <c r="P2448" t="b">
        <v>0</v>
      </c>
    </row>
    <row r="2449" spans="1:16" x14ac:dyDescent="0.2">
      <c r="A2449" t="s">
        <v>3966</v>
      </c>
      <c r="B2449" s="1">
        <v>45105</v>
      </c>
      <c r="C2449" s="1">
        <v>45138</v>
      </c>
      <c r="D2449" t="s">
        <v>3223</v>
      </c>
      <c r="E2449" t="s">
        <v>18</v>
      </c>
      <c r="F2449" t="s">
        <v>45</v>
      </c>
      <c r="G2449" t="s">
        <v>20</v>
      </c>
      <c r="H2449" t="s">
        <v>47</v>
      </c>
      <c r="I2449" t="s">
        <v>60</v>
      </c>
      <c r="J2449">
        <v>3</v>
      </c>
      <c r="K2449">
        <v>3819000</v>
      </c>
      <c r="L2449" s="2" t="s">
        <v>3967</v>
      </c>
      <c r="M2449" t="s">
        <v>23</v>
      </c>
      <c r="N2449">
        <v>9753000</v>
      </c>
      <c r="O2449">
        <v>3.3</v>
      </c>
      <c r="P2449" t="b">
        <v>1</v>
      </c>
    </row>
    <row r="2450" spans="1:16" x14ac:dyDescent="0.2">
      <c r="A2450" t="s">
        <v>3968</v>
      </c>
      <c r="B2450" s="1">
        <v>45105</v>
      </c>
      <c r="C2450" s="1">
        <v>45191</v>
      </c>
      <c r="D2450" t="s">
        <v>2651</v>
      </c>
      <c r="E2450" t="s">
        <v>18</v>
      </c>
      <c r="F2450" t="s">
        <v>19</v>
      </c>
      <c r="G2450" t="s">
        <v>20</v>
      </c>
      <c r="H2450" t="s">
        <v>21</v>
      </c>
      <c r="I2450" t="s">
        <v>77</v>
      </c>
      <c r="J2450">
        <v>4</v>
      </c>
      <c r="K2450">
        <v>2626000</v>
      </c>
      <c r="L2450" s="2" t="s">
        <v>3969</v>
      </c>
      <c r="M2450" t="s">
        <v>23</v>
      </c>
      <c r="N2450">
        <v>8976000</v>
      </c>
      <c r="O2450">
        <v>4.0999999999999996</v>
      </c>
      <c r="P2450" t="b">
        <v>1</v>
      </c>
    </row>
    <row r="2451" spans="1:16" x14ac:dyDescent="0.2">
      <c r="A2451" t="s">
        <v>3970</v>
      </c>
      <c r="B2451" s="1">
        <v>45105</v>
      </c>
      <c r="C2451" s="1">
        <v>45117</v>
      </c>
      <c r="D2451" t="s">
        <v>2633</v>
      </c>
      <c r="E2451" t="s">
        <v>45</v>
      </c>
      <c r="F2451" t="s">
        <v>25</v>
      </c>
      <c r="H2451" t="s">
        <v>40</v>
      </c>
      <c r="I2451" t="s">
        <v>60</v>
      </c>
      <c r="J2451">
        <v>1</v>
      </c>
      <c r="K2451">
        <v>6012000</v>
      </c>
      <c r="L2451" s="2" t="s">
        <v>3971</v>
      </c>
      <c r="M2451" t="s">
        <v>23</v>
      </c>
      <c r="N2451">
        <v>5214000</v>
      </c>
      <c r="O2451">
        <v>4.4000000000000004</v>
      </c>
      <c r="P2451" t="b">
        <v>1</v>
      </c>
    </row>
    <row r="2452" spans="1:16" x14ac:dyDescent="0.2">
      <c r="A2452" t="s">
        <v>3972</v>
      </c>
      <c r="B2452" s="1">
        <v>45106</v>
      </c>
      <c r="C2452" s="1">
        <v>45154</v>
      </c>
      <c r="D2452" t="s">
        <v>3973</v>
      </c>
      <c r="E2452" t="s">
        <v>45</v>
      </c>
      <c r="F2452" t="s">
        <v>39</v>
      </c>
      <c r="G2452" t="s">
        <v>20</v>
      </c>
      <c r="H2452" t="s">
        <v>47</v>
      </c>
      <c r="I2452" t="s">
        <v>26</v>
      </c>
      <c r="J2452">
        <v>4</v>
      </c>
      <c r="K2452">
        <v>2246000</v>
      </c>
      <c r="L2452" s="2" t="s">
        <v>3974</v>
      </c>
      <c r="M2452" t="s">
        <v>23</v>
      </c>
      <c r="N2452">
        <v>8075000</v>
      </c>
      <c r="O2452">
        <v>4.2</v>
      </c>
      <c r="P2452" t="b">
        <v>0</v>
      </c>
    </row>
    <row r="2453" spans="1:16" x14ac:dyDescent="0.2">
      <c r="A2453" t="s">
        <v>3975</v>
      </c>
      <c r="B2453" s="1">
        <v>45106</v>
      </c>
      <c r="C2453" s="1">
        <v>45179</v>
      </c>
      <c r="D2453" t="s">
        <v>3976</v>
      </c>
      <c r="E2453" t="s">
        <v>33</v>
      </c>
      <c r="F2453" t="s">
        <v>34</v>
      </c>
      <c r="G2453" t="s">
        <v>20</v>
      </c>
      <c r="H2453" t="s">
        <v>21</v>
      </c>
      <c r="I2453" t="s">
        <v>57</v>
      </c>
      <c r="J2453">
        <v>2</v>
      </c>
      <c r="K2453">
        <v>4328000</v>
      </c>
      <c r="L2453">
        <v>5.3987505509118502E-2</v>
      </c>
      <c r="M2453" t="s">
        <v>23</v>
      </c>
      <c r="N2453">
        <v>8189000</v>
      </c>
      <c r="O2453">
        <v>4.3</v>
      </c>
      <c r="P2453" t="b">
        <v>0</v>
      </c>
    </row>
    <row r="2454" spans="1:16" x14ac:dyDescent="0.2">
      <c r="A2454" t="s">
        <v>3977</v>
      </c>
      <c r="B2454" s="1">
        <v>45107</v>
      </c>
      <c r="C2454" s="1">
        <v>45125</v>
      </c>
      <c r="D2454" t="s">
        <v>3978</v>
      </c>
      <c r="E2454" t="s">
        <v>18</v>
      </c>
      <c r="F2454" t="s">
        <v>25</v>
      </c>
      <c r="H2454" t="s">
        <v>21</v>
      </c>
      <c r="I2454" t="s">
        <v>77</v>
      </c>
      <c r="J2454">
        <v>1</v>
      </c>
      <c r="K2454">
        <v>5810000</v>
      </c>
      <c r="L2454" s="2" t="s">
        <v>3979</v>
      </c>
      <c r="M2454" t="s">
        <v>23</v>
      </c>
      <c r="N2454">
        <v>4985000</v>
      </c>
      <c r="O2454">
        <v>4</v>
      </c>
      <c r="P2454" t="b">
        <v>0</v>
      </c>
    </row>
    <row r="2455" spans="1:16" x14ac:dyDescent="0.2">
      <c r="A2455" t="s">
        <v>3980</v>
      </c>
      <c r="B2455" s="1">
        <v>45108</v>
      </c>
      <c r="C2455" s="1">
        <v>45134</v>
      </c>
      <c r="D2455" t="s">
        <v>1233</v>
      </c>
      <c r="E2455" t="s">
        <v>45</v>
      </c>
      <c r="F2455" t="s">
        <v>34</v>
      </c>
      <c r="G2455" t="s">
        <v>20</v>
      </c>
      <c r="H2455" t="s">
        <v>21</v>
      </c>
      <c r="I2455" t="s">
        <v>83</v>
      </c>
      <c r="J2455">
        <v>1</v>
      </c>
      <c r="K2455">
        <v>4559000</v>
      </c>
      <c r="L2455" s="2" t="s">
        <v>3981</v>
      </c>
      <c r="M2455" t="s">
        <v>23</v>
      </c>
      <c r="N2455">
        <v>4028000</v>
      </c>
      <c r="O2455">
        <v>4.0999999999999996</v>
      </c>
      <c r="P2455" t="b">
        <v>1</v>
      </c>
    </row>
    <row r="2456" spans="1:16" x14ac:dyDescent="0.2">
      <c r="A2456" t="s">
        <v>3982</v>
      </c>
      <c r="B2456" s="1">
        <v>45108</v>
      </c>
      <c r="C2456" s="1">
        <v>45149</v>
      </c>
      <c r="D2456" t="s">
        <v>3983</v>
      </c>
      <c r="E2456" t="s">
        <v>18</v>
      </c>
      <c r="F2456" t="s">
        <v>19</v>
      </c>
      <c r="G2456" t="s">
        <v>20</v>
      </c>
      <c r="H2456" t="s">
        <v>47</v>
      </c>
      <c r="I2456" t="s">
        <v>60</v>
      </c>
      <c r="J2456">
        <v>1</v>
      </c>
      <c r="K2456">
        <v>2721000</v>
      </c>
      <c r="L2456" s="2" t="s">
        <v>3984</v>
      </c>
      <c r="M2456" t="s">
        <v>23</v>
      </c>
      <c r="N2456">
        <v>2433000</v>
      </c>
      <c r="O2456">
        <v>4.5999999999999996</v>
      </c>
      <c r="P2456" t="b">
        <v>0</v>
      </c>
    </row>
    <row r="2457" spans="1:16" x14ac:dyDescent="0.2">
      <c r="A2457" t="s">
        <v>3985</v>
      </c>
      <c r="B2457" s="1">
        <v>45108</v>
      </c>
      <c r="C2457" s="1">
        <v>45161</v>
      </c>
      <c r="D2457" t="s">
        <v>1072</v>
      </c>
      <c r="E2457" t="s">
        <v>18</v>
      </c>
      <c r="F2457" t="s">
        <v>45</v>
      </c>
      <c r="G2457" t="s">
        <v>35</v>
      </c>
      <c r="H2457" t="s">
        <v>40</v>
      </c>
      <c r="I2457" t="s">
        <v>57</v>
      </c>
      <c r="J2457">
        <v>1</v>
      </c>
      <c r="K2457">
        <v>3685000</v>
      </c>
      <c r="L2457" s="2" t="s">
        <v>3986</v>
      </c>
      <c r="M2457" t="s">
        <v>23</v>
      </c>
      <c r="N2457">
        <v>3113000</v>
      </c>
      <c r="O2457">
        <v>4.0999999999999996</v>
      </c>
      <c r="P2457" t="b">
        <v>1</v>
      </c>
    </row>
    <row r="2458" spans="1:16" x14ac:dyDescent="0.2">
      <c r="A2458" t="s">
        <v>3987</v>
      </c>
      <c r="B2458" s="1">
        <v>44933</v>
      </c>
      <c r="C2458" s="1">
        <v>45163</v>
      </c>
      <c r="D2458" t="s">
        <v>1618</v>
      </c>
      <c r="E2458" t="s">
        <v>45</v>
      </c>
      <c r="F2458" t="s">
        <v>45</v>
      </c>
      <c r="G2458" t="s">
        <v>20</v>
      </c>
      <c r="H2458" t="s">
        <v>21</v>
      </c>
      <c r="I2458" t="s">
        <v>60</v>
      </c>
      <c r="J2458">
        <v>2</v>
      </c>
      <c r="K2458">
        <v>3703000</v>
      </c>
      <c r="L2458" s="2" t="s">
        <v>3988</v>
      </c>
      <c r="M2458" t="s">
        <v>23</v>
      </c>
      <c r="N2458">
        <v>6394000</v>
      </c>
      <c r="O2458">
        <v>4.0999999999999996</v>
      </c>
      <c r="P2458" t="b">
        <v>1</v>
      </c>
    </row>
    <row r="2459" spans="1:16" x14ac:dyDescent="0.2">
      <c r="A2459" t="s">
        <v>3989</v>
      </c>
      <c r="B2459" s="1">
        <v>45109</v>
      </c>
      <c r="C2459" s="1">
        <v>45139</v>
      </c>
      <c r="D2459" t="s">
        <v>3990</v>
      </c>
      <c r="F2459" t="s">
        <v>39</v>
      </c>
      <c r="G2459" t="s">
        <v>35</v>
      </c>
      <c r="H2459" t="s">
        <v>21</v>
      </c>
      <c r="I2459" t="s">
        <v>60</v>
      </c>
      <c r="J2459">
        <v>4</v>
      </c>
      <c r="K2459">
        <v>2602000</v>
      </c>
      <c r="L2459">
        <v>6.6546663694323605E-2</v>
      </c>
      <c r="M2459" t="s">
        <v>23</v>
      </c>
      <c r="N2459">
        <v>9715000</v>
      </c>
      <c r="O2459">
        <v>4</v>
      </c>
      <c r="P2459" t="b">
        <v>0</v>
      </c>
    </row>
    <row r="2460" spans="1:16" x14ac:dyDescent="0.2">
      <c r="A2460" t="s">
        <v>3991</v>
      </c>
      <c r="B2460" s="1">
        <v>45109</v>
      </c>
      <c r="C2460" s="1">
        <v>45166</v>
      </c>
      <c r="D2460" t="s">
        <v>3992</v>
      </c>
      <c r="E2460" t="s">
        <v>18</v>
      </c>
      <c r="F2460" t="s">
        <v>19</v>
      </c>
      <c r="G2460" t="s">
        <v>20</v>
      </c>
      <c r="H2460" t="s">
        <v>21</v>
      </c>
      <c r="I2460" t="s">
        <v>1654</v>
      </c>
      <c r="J2460">
        <v>1</v>
      </c>
      <c r="K2460">
        <v>2969000</v>
      </c>
      <c r="L2460">
        <v>8.2961873012239395E-2</v>
      </c>
      <c r="M2460" t="s">
        <v>23</v>
      </c>
      <c r="N2460">
        <v>2723000</v>
      </c>
      <c r="O2460">
        <v>4.7</v>
      </c>
      <c r="P2460" t="b">
        <v>0</v>
      </c>
    </row>
    <row r="2461" spans="1:16" x14ac:dyDescent="0.2">
      <c r="A2461" t="s">
        <v>3993</v>
      </c>
      <c r="B2461" s="1">
        <v>45109</v>
      </c>
      <c r="C2461" s="1">
        <v>45143</v>
      </c>
      <c r="D2461" t="s">
        <v>3994</v>
      </c>
      <c r="E2461" t="s">
        <v>18</v>
      </c>
      <c r="F2461" t="s">
        <v>45</v>
      </c>
      <c r="G2461" t="s">
        <v>50</v>
      </c>
      <c r="H2461" t="s">
        <v>47</v>
      </c>
      <c r="I2461" t="s">
        <v>77</v>
      </c>
      <c r="J2461">
        <v>3</v>
      </c>
      <c r="K2461">
        <v>3850000</v>
      </c>
      <c r="L2461" s="2" t="s">
        <v>3995</v>
      </c>
      <c r="M2461" t="s">
        <v>23</v>
      </c>
      <c r="N2461">
        <v>10000000</v>
      </c>
      <c r="O2461">
        <v>4.5</v>
      </c>
      <c r="P2461" t="b">
        <v>0</v>
      </c>
    </row>
    <row r="2462" spans="1:16" x14ac:dyDescent="0.2">
      <c r="A2462" t="s">
        <v>3996</v>
      </c>
      <c r="B2462" s="1">
        <v>45109</v>
      </c>
      <c r="C2462" s="1">
        <v>45194</v>
      </c>
      <c r="D2462" t="s">
        <v>2501</v>
      </c>
      <c r="E2462" t="s">
        <v>45</v>
      </c>
      <c r="F2462" t="s">
        <v>45</v>
      </c>
      <c r="I2462" t="s">
        <v>94</v>
      </c>
      <c r="J2462">
        <v>4</v>
      </c>
      <c r="K2462">
        <v>3022000</v>
      </c>
      <c r="L2462">
        <v>8.8637827696862903E-2</v>
      </c>
      <c r="M2462" t="s">
        <v>23</v>
      </c>
      <c r="N2462">
        <v>11017000</v>
      </c>
      <c r="O2462">
        <v>4.5999999999999996</v>
      </c>
      <c r="P2462" t="b">
        <v>1</v>
      </c>
    </row>
    <row r="2463" spans="1:16" x14ac:dyDescent="0.2">
      <c r="A2463" t="s">
        <v>3997</v>
      </c>
      <c r="B2463" s="1">
        <v>45109</v>
      </c>
      <c r="C2463" s="1">
        <v>45136</v>
      </c>
      <c r="D2463" t="s">
        <v>408</v>
      </c>
      <c r="E2463" t="s">
        <v>33</v>
      </c>
      <c r="F2463" t="s">
        <v>45</v>
      </c>
      <c r="G2463" t="s">
        <v>35</v>
      </c>
      <c r="H2463" t="s">
        <v>51</v>
      </c>
      <c r="I2463" t="s">
        <v>52</v>
      </c>
      <c r="J2463">
        <v>2</v>
      </c>
      <c r="K2463">
        <v>2955000</v>
      </c>
      <c r="L2463">
        <v>9.3287011363696395E-2</v>
      </c>
      <c r="M2463" t="s">
        <v>1673</v>
      </c>
      <c r="N2463">
        <v>5359000</v>
      </c>
      <c r="O2463">
        <v>4.5</v>
      </c>
      <c r="P2463" t="b">
        <v>1</v>
      </c>
    </row>
    <row r="2464" spans="1:16" x14ac:dyDescent="0.2">
      <c r="A2464" t="s">
        <v>3998</v>
      </c>
      <c r="B2464" s="1">
        <v>45111</v>
      </c>
      <c r="C2464" s="1">
        <v>45167</v>
      </c>
      <c r="D2464" t="s">
        <v>1169</v>
      </c>
      <c r="E2464" t="s">
        <v>45</v>
      </c>
      <c r="F2464" t="s">
        <v>34</v>
      </c>
      <c r="G2464" t="s">
        <v>50</v>
      </c>
      <c r="H2464" t="s">
        <v>47</v>
      </c>
      <c r="I2464" t="s">
        <v>83</v>
      </c>
      <c r="J2464">
        <v>1</v>
      </c>
      <c r="K2464">
        <v>4169000</v>
      </c>
      <c r="L2464" s="2" t="s">
        <v>3999</v>
      </c>
      <c r="M2464" t="s">
        <v>23</v>
      </c>
      <c r="N2464">
        <v>3454000</v>
      </c>
      <c r="O2464">
        <v>3.9</v>
      </c>
      <c r="P2464" t="b">
        <v>1</v>
      </c>
    </row>
    <row r="2465" spans="1:16" x14ac:dyDescent="0.2">
      <c r="A2465" t="s">
        <v>4000</v>
      </c>
      <c r="B2465" s="1">
        <v>45111</v>
      </c>
      <c r="C2465" s="1">
        <v>45184</v>
      </c>
      <c r="D2465" t="s">
        <v>2746</v>
      </c>
      <c r="E2465" t="s">
        <v>45</v>
      </c>
      <c r="F2465" t="s">
        <v>19</v>
      </c>
      <c r="G2465" t="s">
        <v>50</v>
      </c>
      <c r="H2465" t="s">
        <v>21</v>
      </c>
      <c r="I2465" t="s">
        <v>52</v>
      </c>
      <c r="J2465">
        <v>1</v>
      </c>
      <c r="K2465">
        <v>2375000</v>
      </c>
      <c r="L2465" s="3">
        <v>0.128</v>
      </c>
      <c r="M2465" t="s">
        <v>23</v>
      </c>
      <c r="N2465">
        <v>2071000</v>
      </c>
      <c r="O2465">
        <v>4.3</v>
      </c>
      <c r="P2465" t="b">
        <v>1</v>
      </c>
    </row>
    <row r="2466" spans="1:16" x14ac:dyDescent="0.2">
      <c r="A2466" t="s">
        <v>4001</v>
      </c>
      <c r="B2466" s="1">
        <v>45111</v>
      </c>
      <c r="C2466" s="1">
        <v>45172</v>
      </c>
      <c r="D2466" t="s">
        <v>4002</v>
      </c>
      <c r="E2466" t="s">
        <v>29</v>
      </c>
      <c r="F2466" t="s">
        <v>19</v>
      </c>
      <c r="G2466" t="s">
        <v>20</v>
      </c>
      <c r="H2466" t="s">
        <v>47</v>
      </c>
      <c r="I2466" t="s">
        <v>60</v>
      </c>
      <c r="J2466">
        <v>2</v>
      </c>
      <c r="K2466">
        <v>2676000</v>
      </c>
      <c r="L2466" s="2" t="s">
        <v>4003</v>
      </c>
      <c r="M2466" t="s">
        <v>23</v>
      </c>
      <c r="N2466">
        <v>4432000</v>
      </c>
      <c r="O2466">
        <v>5</v>
      </c>
      <c r="P2466" t="b">
        <v>0</v>
      </c>
    </row>
    <row r="2467" spans="1:16" x14ac:dyDescent="0.2">
      <c r="A2467" t="s">
        <v>4004</v>
      </c>
      <c r="B2467" s="1">
        <v>45111</v>
      </c>
      <c r="C2467" s="1">
        <v>45140</v>
      </c>
      <c r="D2467" t="s">
        <v>4005</v>
      </c>
      <c r="E2467" t="s">
        <v>45</v>
      </c>
      <c r="F2467" t="s">
        <v>39</v>
      </c>
      <c r="G2467" t="s">
        <v>20</v>
      </c>
      <c r="H2467" t="s">
        <v>40</v>
      </c>
      <c r="I2467" t="s">
        <v>99</v>
      </c>
      <c r="J2467">
        <v>2</v>
      </c>
      <c r="K2467">
        <v>2276000</v>
      </c>
      <c r="L2467">
        <v>6.5256016514168194E-2</v>
      </c>
      <c r="M2467" t="s">
        <v>23</v>
      </c>
      <c r="N2467">
        <v>4255000</v>
      </c>
      <c r="O2467">
        <v>3.7</v>
      </c>
      <c r="P2467" t="b">
        <v>0</v>
      </c>
    </row>
    <row r="2468" spans="1:16" x14ac:dyDescent="0.2">
      <c r="A2468" t="s">
        <v>4006</v>
      </c>
      <c r="B2468" s="1">
        <v>45112</v>
      </c>
      <c r="C2468" s="1">
        <v>45150</v>
      </c>
      <c r="D2468" t="s">
        <v>1100</v>
      </c>
      <c r="E2468" t="s">
        <v>45</v>
      </c>
      <c r="F2468" t="s">
        <v>19</v>
      </c>
      <c r="G2468" t="s">
        <v>20</v>
      </c>
      <c r="H2468" t="s">
        <v>21</v>
      </c>
      <c r="I2468" t="s">
        <v>60</v>
      </c>
      <c r="J2468">
        <v>1</v>
      </c>
      <c r="K2468">
        <v>2904000</v>
      </c>
      <c r="L2468">
        <v>9.0665092583160495E-2</v>
      </c>
      <c r="M2468" t="s">
        <v>23</v>
      </c>
      <c r="N2468">
        <v>2641000</v>
      </c>
      <c r="O2468">
        <v>5</v>
      </c>
      <c r="P2468" t="b">
        <v>1</v>
      </c>
    </row>
    <row r="2469" spans="1:16" x14ac:dyDescent="0.2">
      <c r="A2469" t="s">
        <v>4007</v>
      </c>
      <c r="B2469" s="1">
        <v>45113</v>
      </c>
      <c r="C2469" s="1">
        <v>45225</v>
      </c>
      <c r="D2469" t="s">
        <v>3604</v>
      </c>
      <c r="E2469" t="s">
        <v>33</v>
      </c>
      <c r="F2469" t="s">
        <v>34</v>
      </c>
      <c r="G2469" t="s">
        <v>35</v>
      </c>
      <c r="H2469" t="s">
        <v>21</v>
      </c>
      <c r="I2469" t="s">
        <v>26</v>
      </c>
      <c r="J2469">
        <v>3</v>
      </c>
      <c r="K2469">
        <v>3803000</v>
      </c>
      <c r="L2469" s="3">
        <v>0.10100000000000001</v>
      </c>
      <c r="M2469" t="s">
        <v>23</v>
      </c>
      <c r="N2469">
        <v>10252000</v>
      </c>
      <c r="O2469">
        <v>4.5999999999999996</v>
      </c>
      <c r="P2469" t="b">
        <v>1</v>
      </c>
    </row>
    <row r="2470" spans="1:16" x14ac:dyDescent="0.2">
      <c r="A2470" t="s">
        <v>4008</v>
      </c>
      <c r="B2470" s="1">
        <v>45113</v>
      </c>
      <c r="C2470" s="1">
        <v>45214</v>
      </c>
      <c r="D2470" t="s">
        <v>4009</v>
      </c>
      <c r="E2470" t="s">
        <v>45</v>
      </c>
      <c r="F2470" t="s">
        <v>45</v>
      </c>
      <c r="G2470" t="s">
        <v>20</v>
      </c>
      <c r="H2470" t="s">
        <v>21</v>
      </c>
      <c r="I2470" t="s">
        <v>57</v>
      </c>
      <c r="J2470">
        <v>3</v>
      </c>
      <c r="K2470">
        <v>3579000</v>
      </c>
      <c r="L2470" s="2" t="s">
        <v>4010</v>
      </c>
      <c r="M2470" t="s">
        <v>23</v>
      </c>
      <c r="N2470">
        <v>8648000</v>
      </c>
      <c r="O2470">
        <v>4.5</v>
      </c>
      <c r="P2470" t="b">
        <v>0</v>
      </c>
    </row>
    <row r="2471" spans="1:16" x14ac:dyDescent="0.2">
      <c r="A2471" t="s">
        <v>4011</v>
      </c>
      <c r="B2471" s="1">
        <v>45113</v>
      </c>
      <c r="C2471" s="1">
        <v>45157</v>
      </c>
      <c r="D2471" t="s">
        <v>4012</v>
      </c>
      <c r="E2471" t="s">
        <v>45</v>
      </c>
      <c r="F2471" t="s">
        <v>45</v>
      </c>
      <c r="G2471" t="s">
        <v>50</v>
      </c>
      <c r="H2471" t="s">
        <v>21</v>
      </c>
      <c r="I2471" t="s">
        <v>57</v>
      </c>
      <c r="J2471">
        <v>1</v>
      </c>
      <c r="K2471">
        <v>3718000</v>
      </c>
      <c r="L2471">
        <v>9.1096984835510902E-2</v>
      </c>
      <c r="M2471" t="s">
        <v>23</v>
      </c>
      <c r="N2471">
        <v>3379000</v>
      </c>
      <c r="O2471">
        <v>4</v>
      </c>
      <c r="P2471" t="b">
        <v>0</v>
      </c>
    </row>
    <row r="2472" spans="1:16" x14ac:dyDescent="0.2">
      <c r="A2472" t="s">
        <v>4013</v>
      </c>
      <c r="B2472" s="1">
        <v>45114</v>
      </c>
      <c r="C2472" s="1">
        <v>45158</v>
      </c>
      <c r="D2472" t="s">
        <v>743</v>
      </c>
      <c r="E2472" t="s">
        <v>18</v>
      </c>
      <c r="F2472" t="s">
        <v>25</v>
      </c>
      <c r="G2472" t="s">
        <v>20</v>
      </c>
      <c r="H2472" t="s">
        <v>51</v>
      </c>
      <c r="I2472" t="s">
        <v>94</v>
      </c>
      <c r="J2472">
        <v>1</v>
      </c>
      <c r="K2472">
        <v>5031000</v>
      </c>
      <c r="L2472">
        <v>9.1034383593199597E-2</v>
      </c>
      <c r="M2472" t="s">
        <v>23</v>
      </c>
      <c r="N2472">
        <v>4573000</v>
      </c>
      <c r="O2472">
        <v>4.0999999999999996</v>
      </c>
      <c r="P2472" t="b">
        <v>1</v>
      </c>
    </row>
    <row r="2473" spans="1:16" x14ac:dyDescent="0.2">
      <c r="A2473" t="s">
        <v>4014</v>
      </c>
      <c r="B2473" s="1">
        <v>45115</v>
      </c>
      <c r="C2473" s="1">
        <v>45155</v>
      </c>
      <c r="D2473" t="s">
        <v>4015</v>
      </c>
      <c r="F2473" t="s">
        <v>45</v>
      </c>
      <c r="G2473" t="s">
        <v>50</v>
      </c>
      <c r="H2473" t="s">
        <v>47</v>
      </c>
      <c r="I2473" t="s">
        <v>30</v>
      </c>
      <c r="J2473">
        <v>2</v>
      </c>
      <c r="K2473">
        <v>3613000</v>
      </c>
      <c r="L2473" s="2" t="s">
        <v>4016</v>
      </c>
      <c r="M2473" t="s">
        <v>23</v>
      </c>
      <c r="N2473">
        <v>6298000</v>
      </c>
      <c r="O2473">
        <v>4.5999999999999996</v>
      </c>
      <c r="P2473" t="b">
        <v>0</v>
      </c>
    </row>
    <row r="2474" spans="1:16" x14ac:dyDescent="0.2">
      <c r="A2474" t="s">
        <v>4017</v>
      </c>
      <c r="B2474" s="1">
        <v>45115</v>
      </c>
      <c r="C2474" s="1">
        <v>45153</v>
      </c>
      <c r="D2474" t="s">
        <v>4018</v>
      </c>
      <c r="E2474" t="s">
        <v>18</v>
      </c>
      <c r="F2474" t="s">
        <v>25</v>
      </c>
      <c r="G2474" t="s">
        <v>20</v>
      </c>
      <c r="H2474" t="s">
        <v>21</v>
      </c>
      <c r="I2474" t="s">
        <v>60</v>
      </c>
      <c r="J2474">
        <v>2</v>
      </c>
      <c r="K2474">
        <v>5838000</v>
      </c>
      <c r="L2474" s="2" t="s">
        <v>4019</v>
      </c>
      <c r="M2474" t="s">
        <v>23</v>
      </c>
      <c r="N2474">
        <v>10011000</v>
      </c>
      <c r="O2474">
        <v>4.3</v>
      </c>
      <c r="P2474" t="b">
        <v>0</v>
      </c>
    </row>
    <row r="2475" spans="1:16" x14ac:dyDescent="0.2">
      <c r="A2475" t="s">
        <v>4020</v>
      </c>
      <c r="B2475" s="1">
        <v>45116</v>
      </c>
      <c r="C2475" s="1">
        <v>45158</v>
      </c>
      <c r="D2475" t="s">
        <v>3578</v>
      </c>
      <c r="E2475" t="s">
        <v>33</v>
      </c>
      <c r="F2475" t="s">
        <v>34</v>
      </c>
      <c r="G2475" t="s">
        <v>50</v>
      </c>
      <c r="H2475" t="s">
        <v>40</v>
      </c>
      <c r="I2475" t="s">
        <v>22</v>
      </c>
      <c r="J2475">
        <v>1</v>
      </c>
      <c r="K2475">
        <v>3801000</v>
      </c>
      <c r="L2475">
        <v>7.4694283567098396E-2</v>
      </c>
      <c r="M2475" t="s">
        <v>23</v>
      </c>
      <c r="N2475">
        <v>3517000</v>
      </c>
      <c r="O2475">
        <v>4.9000000000000004</v>
      </c>
      <c r="P2475" t="b">
        <v>1</v>
      </c>
    </row>
    <row r="2476" spans="1:16" x14ac:dyDescent="0.2">
      <c r="A2476" t="s">
        <v>4021</v>
      </c>
      <c r="B2476" s="1">
        <v>45117</v>
      </c>
      <c r="C2476" s="1">
        <v>45127</v>
      </c>
      <c r="D2476" t="s">
        <v>2812</v>
      </c>
      <c r="E2476" t="s">
        <v>45</v>
      </c>
      <c r="F2476" t="s">
        <v>19</v>
      </c>
      <c r="G2476" t="s">
        <v>35</v>
      </c>
      <c r="H2476" t="s">
        <v>21</v>
      </c>
      <c r="I2476" t="s">
        <v>60</v>
      </c>
      <c r="J2476">
        <v>1</v>
      </c>
      <c r="K2476">
        <v>2618000</v>
      </c>
      <c r="L2476" s="2" t="s">
        <v>4022</v>
      </c>
      <c r="M2476" t="s">
        <v>65</v>
      </c>
      <c r="N2476">
        <v>0</v>
      </c>
      <c r="P2476" t="b">
        <v>1</v>
      </c>
    </row>
    <row r="2477" spans="1:16" x14ac:dyDescent="0.2">
      <c r="A2477" t="s">
        <v>4023</v>
      </c>
      <c r="B2477" s="1">
        <v>45118</v>
      </c>
      <c r="C2477" s="1">
        <v>45174</v>
      </c>
      <c r="D2477" t="s">
        <v>2430</v>
      </c>
      <c r="E2477" t="s">
        <v>45</v>
      </c>
      <c r="F2477" t="s">
        <v>34</v>
      </c>
      <c r="G2477" t="s">
        <v>20</v>
      </c>
      <c r="H2477" t="s">
        <v>21</v>
      </c>
      <c r="I2477" t="s">
        <v>26</v>
      </c>
      <c r="J2477">
        <v>2</v>
      </c>
      <c r="K2477">
        <v>3994000</v>
      </c>
      <c r="L2477">
        <v>7.7160049455889695E-2</v>
      </c>
      <c r="M2477" t="s">
        <v>23</v>
      </c>
      <c r="N2477">
        <v>7372000</v>
      </c>
      <c r="O2477">
        <v>4.0999999999999996</v>
      </c>
      <c r="P2477" t="b">
        <v>1</v>
      </c>
    </row>
    <row r="2478" spans="1:16" x14ac:dyDescent="0.2">
      <c r="A2478" t="s">
        <v>4024</v>
      </c>
      <c r="B2478" s="1">
        <v>45118</v>
      </c>
      <c r="C2478" s="1">
        <v>45200</v>
      </c>
      <c r="D2478" t="s">
        <v>4025</v>
      </c>
      <c r="E2478" t="s">
        <v>33</v>
      </c>
      <c r="F2478" t="s">
        <v>68</v>
      </c>
      <c r="G2478" t="s">
        <v>20</v>
      </c>
      <c r="H2478" t="s">
        <v>21</v>
      </c>
      <c r="I2478" t="s">
        <v>26</v>
      </c>
      <c r="J2478">
        <v>1</v>
      </c>
      <c r="K2478">
        <v>2593000</v>
      </c>
      <c r="L2478" s="2" t="s">
        <v>4026</v>
      </c>
      <c r="M2478" t="s">
        <v>23</v>
      </c>
      <c r="N2478">
        <v>2320000</v>
      </c>
      <c r="O2478">
        <v>3.1</v>
      </c>
      <c r="P2478" t="b">
        <v>0</v>
      </c>
    </row>
    <row r="2479" spans="1:16" x14ac:dyDescent="0.2">
      <c r="A2479" t="s">
        <v>4027</v>
      </c>
      <c r="B2479" s="1">
        <v>45119</v>
      </c>
      <c r="C2479" s="1">
        <v>45125</v>
      </c>
      <c r="D2479" t="s">
        <v>880</v>
      </c>
      <c r="E2479" t="s">
        <v>45</v>
      </c>
      <c r="F2479" t="s">
        <v>25</v>
      </c>
      <c r="G2479" t="s">
        <v>35</v>
      </c>
      <c r="H2479" t="s">
        <v>21</v>
      </c>
      <c r="I2479" t="s">
        <v>52</v>
      </c>
      <c r="J2479">
        <v>1</v>
      </c>
      <c r="K2479">
        <v>4990000</v>
      </c>
      <c r="L2479" s="2" t="s">
        <v>4028</v>
      </c>
      <c r="M2479" t="s">
        <v>23</v>
      </c>
      <c r="N2479">
        <v>4358000</v>
      </c>
      <c r="O2479">
        <v>4.7</v>
      </c>
      <c r="P2479" t="b">
        <v>1</v>
      </c>
    </row>
    <row r="2480" spans="1:16" x14ac:dyDescent="0.2">
      <c r="A2480" t="s">
        <v>4029</v>
      </c>
      <c r="B2480" s="1">
        <v>45119</v>
      </c>
      <c r="C2480" s="1">
        <v>45148</v>
      </c>
      <c r="D2480" t="s">
        <v>2434</v>
      </c>
      <c r="E2480" t="s">
        <v>33</v>
      </c>
      <c r="F2480" t="s">
        <v>19</v>
      </c>
      <c r="H2480" t="s">
        <v>51</v>
      </c>
      <c r="I2480" t="s">
        <v>94</v>
      </c>
      <c r="J2480">
        <v>3</v>
      </c>
      <c r="K2480">
        <v>2915000</v>
      </c>
      <c r="L2480">
        <v>6.7957925649545406E-2</v>
      </c>
      <c r="M2480" t="s">
        <v>65</v>
      </c>
      <c r="N2480">
        <v>0</v>
      </c>
      <c r="P2480" t="b">
        <v>1</v>
      </c>
    </row>
    <row r="2481" spans="1:16" x14ac:dyDescent="0.2">
      <c r="A2481" t="s">
        <v>4030</v>
      </c>
      <c r="B2481" s="1">
        <v>45119</v>
      </c>
      <c r="C2481" s="1">
        <v>45168</v>
      </c>
      <c r="D2481" t="s">
        <v>4031</v>
      </c>
      <c r="E2481" t="s">
        <v>29</v>
      </c>
      <c r="F2481" t="s">
        <v>68</v>
      </c>
      <c r="G2481" t="s">
        <v>20</v>
      </c>
      <c r="H2481" t="s">
        <v>21</v>
      </c>
      <c r="I2481" t="s">
        <v>83</v>
      </c>
      <c r="J2481">
        <v>1</v>
      </c>
      <c r="K2481">
        <v>2236000</v>
      </c>
      <c r="L2481" s="2" t="s">
        <v>4032</v>
      </c>
      <c r="M2481" t="s">
        <v>23</v>
      </c>
      <c r="N2481">
        <v>1950000</v>
      </c>
      <c r="O2481">
        <v>4.2</v>
      </c>
      <c r="P2481" t="b">
        <v>0</v>
      </c>
    </row>
    <row r="2482" spans="1:16" x14ac:dyDescent="0.2">
      <c r="A2482" t="s">
        <v>4033</v>
      </c>
      <c r="B2482" s="1">
        <v>45120</v>
      </c>
      <c r="C2482" s="1">
        <v>45185</v>
      </c>
      <c r="D2482" t="s">
        <v>351</v>
      </c>
      <c r="E2482" t="s">
        <v>29</v>
      </c>
      <c r="F2482" t="s">
        <v>45</v>
      </c>
      <c r="G2482" t="s">
        <v>35</v>
      </c>
      <c r="H2482" t="s">
        <v>40</v>
      </c>
      <c r="I2482" t="s">
        <v>99</v>
      </c>
      <c r="J2482">
        <v>2</v>
      </c>
      <c r="K2482">
        <v>3017000</v>
      </c>
      <c r="L2482" s="2" t="s">
        <v>4034</v>
      </c>
      <c r="M2482" t="s">
        <v>65</v>
      </c>
      <c r="N2482">
        <v>0</v>
      </c>
      <c r="P2482" t="b">
        <v>1</v>
      </c>
    </row>
    <row r="2483" spans="1:16" x14ac:dyDescent="0.2">
      <c r="A2483" t="s">
        <v>4035</v>
      </c>
      <c r="B2483" s="1">
        <v>45122</v>
      </c>
      <c r="C2483" s="1">
        <v>45171</v>
      </c>
      <c r="D2483" t="s">
        <v>4036</v>
      </c>
      <c r="E2483" t="s">
        <v>18</v>
      </c>
      <c r="F2483" t="s">
        <v>19</v>
      </c>
      <c r="G2483" t="s">
        <v>35</v>
      </c>
      <c r="H2483" t="s">
        <v>40</v>
      </c>
      <c r="I2483" t="s">
        <v>57</v>
      </c>
      <c r="J2483">
        <v>3</v>
      </c>
      <c r="K2483">
        <v>3440000</v>
      </c>
      <c r="L2483">
        <v>6.0050407140215797E-2</v>
      </c>
      <c r="M2483" t="s">
        <v>23</v>
      </c>
      <c r="N2483">
        <v>9700000</v>
      </c>
      <c r="O2483">
        <v>5</v>
      </c>
      <c r="P2483" t="b">
        <v>0</v>
      </c>
    </row>
    <row r="2484" spans="1:16" x14ac:dyDescent="0.2">
      <c r="A2484" t="s">
        <v>4037</v>
      </c>
      <c r="B2484" s="1">
        <v>45122</v>
      </c>
      <c r="C2484" s="1">
        <v>45193</v>
      </c>
      <c r="D2484" t="s">
        <v>1775</v>
      </c>
      <c r="E2484" t="s">
        <v>45</v>
      </c>
      <c r="F2484" t="s">
        <v>39</v>
      </c>
      <c r="G2484" t="s">
        <v>50</v>
      </c>
      <c r="H2484" t="s">
        <v>21</v>
      </c>
      <c r="I2484" t="s">
        <v>52</v>
      </c>
      <c r="J2484">
        <v>3</v>
      </c>
      <c r="K2484">
        <v>2135000</v>
      </c>
      <c r="L2484" s="2" t="s">
        <v>4038</v>
      </c>
      <c r="M2484" t="s">
        <v>23</v>
      </c>
      <c r="N2484">
        <v>5519000</v>
      </c>
      <c r="O2484">
        <v>4.7</v>
      </c>
      <c r="P2484" t="b">
        <v>1</v>
      </c>
    </row>
    <row r="2485" spans="1:16" x14ac:dyDescent="0.2">
      <c r="A2485" t="s">
        <v>4039</v>
      </c>
      <c r="B2485" s="1">
        <v>45123</v>
      </c>
      <c r="C2485" s="1">
        <v>45153</v>
      </c>
      <c r="D2485" t="s">
        <v>4015</v>
      </c>
      <c r="E2485" t="s">
        <v>33</v>
      </c>
      <c r="F2485" t="s">
        <v>34</v>
      </c>
      <c r="G2485" t="s">
        <v>50</v>
      </c>
      <c r="H2485" t="s">
        <v>21</v>
      </c>
      <c r="J2485">
        <v>1</v>
      </c>
      <c r="K2485">
        <v>3556000</v>
      </c>
      <c r="L2485" s="2" t="s">
        <v>4040</v>
      </c>
      <c r="M2485" t="s">
        <v>23</v>
      </c>
      <c r="N2485">
        <v>3111000</v>
      </c>
      <c r="O2485">
        <v>3.6</v>
      </c>
      <c r="P2485" t="b">
        <v>1</v>
      </c>
    </row>
    <row r="2486" spans="1:16" x14ac:dyDescent="0.2">
      <c r="A2486" t="s">
        <v>4041</v>
      </c>
      <c r="B2486" s="1">
        <v>45124</v>
      </c>
      <c r="C2486" s="1">
        <v>45162</v>
      </c>
      <c r="D2486" t="s">
        <v>1024</v>
      </c>
      <c r="E2486" t="s">
        <v>45</v>
      </c>
      <c r="F2486" t="s">
        <v>45</v>
      </c>
      <c r="G2486" t="s">
        <v>35</v>
      </c>
      <c r="H2486" t="s">
        <v>40</v>
      </c>
      <c r="I2486" t="s">
        <v>94</v>
      </c>
      <c r="J2486">
        <v>2</v>
      </c>
      <c r="K2486">
        <v>3419000</v>
      </c>
      <c r="L2486">
        <v>7.9924187908225502E-2</v>
      </c>
      <c r="M2486" t="s">
        <v>23</v>
      </c>
      <c r="N2486">
        <v>6291000</v>
      </c>
      <c r="O2486">
        <v>3.4</v>
      </c>
      <c r="P2486" t="b">
        <v>1</v>
      </c>
    </row>
    <row r="2487" spans="1:16" x14ac:dyDescent="0.2">
      <c r="A2487" t="s">
        <v>4042</v>
      </c>
      <c r="B2487" s="1">
        <v>45124</v>
      </c>
      <c r="C2487" s="1">
        <v>45162</v>
      </c>
      <c r="D2487" t="s">
        <v>4043</v>
      </c>
      <c r="E2487" t="s">
        <v>18</v>
      </c>
      <c r="F2487" t="s">
        <v>39</v>
      </c>
      <c r="G2487" t="s">
        <v>20</v>
      </c>
      <c r="H2487" t="s">
        <v>51</v>
      </c>
      <c r="I2487" t="s">
        <v>60</v>
      </c>
      <c r="J2487">
        <v>1</v>
      </c>
      <c r="K2487">
        <v>2769000</v>
      </c>
      <c r="L2487">
        <v>8.8790273541166101E-2</v>
      </c>
      <c r="M2487" t="s">
        <v>23</v>
      </c>
      <c r="N2487">
        <v>2523000</v>
      </c>
      <c r="O2487">
        <v>3.9</v>
      </c>
      <c r="P2487" t="b">
        <v>0</v>
      </c>
    </row>
    <row r="2488" spans="1:16" x14ac:dyDescent="0.2">
      <c r="A2488" t="s">
        <v>4044</v>
      </c>
      <c r="B2488" s="1">
        <v>45124</v>
      </c>
      <c r="C2488" s="1">
        <v>45130</v>
      </c>
      <c r="D2488" t="s">
        <v>3264</v>
      </c>
      <c r="E2488" t="s">
        <v>33</v>
      </c>
      <c r="F2488" t="s">
        <v>34</v>
      </c>
      <c r="G2488" t="s">
        <v>20</v>
      </c>
      <c r="H2488" t="s">
        <v>47</v>
      </c>
      <c r="I2488" t="s">
        <v>57</v>
      </c>
      <c r="J2488">
        <v>3</v>
      </c>
      <c r="K2488">
        <v>4391000</v>
      </c>
      <c r="L2488" s="2" t="s">
        <v>4045</v>
      </c>
      <c r="M2488" t="s">
        <v>65</v>
      </c>
      <c r="N2488">
        <v>0</v>
      </c>
      <c r="P2488" t="b">
        <v>1</v>
      </c>
    </row>
    <row r="2489" spans="1:16" x14ac:dyDescent="0.2">
      <c r="A2489" t="s">
        <v>4046</v>
      </c>
      <c r="B2489" s="1">
        <v>45124</v>
      </c>
      <c r="C2489" s="1">
        <v>45172</v>
      </c>
      <c r="D2489" t="s">
        <v>3983</v>
      </c>
      <c r="E2489" t="s">
        <v>45</v>
      </c>
      <c r="F2489" t="s">
        <v>39</v>
      </c>
      <c r="G2489" t="s">
        <v>20</v>
      </c>
      <c r="H2489" t="s">
        <v>40</v>
      </c>
      <c r="I2489" t="s">
        <v>57</v>
      </c>
      <c r="J2489">
        <v>1</v>
      </c>
      <c r="K2489">
        <v>2559000</v>
      </c>
      <c r="L2489">
        <v>0.109792390793668</v>
      </c>
      <c r="M2489" t="s">
        <v>23</v>
      </c>
      <c r="N2489">
        <v>2278000</v>
      </c>
      <c r="O2489">
        <v>4.5</v>
      </c>
      <c r="P2489" t="b">
        <v>1</v>
      </c>
    </row>
    <row r="2490" spans="1:16" x14ac:dyDescent="0.2">
      <c r="A2490" t="s">
        <v>4047</v>
      </c>
      <c r="B2490" s="1">
        <v>45125</v>
      </c>
      <c r="C2490" s="1">
        <v>45205</v>
      </c>
      <c r="D2490" t="s">
        <v>534</v>
      </c>
      <c r="E2490" t="s">
        <v>45</v>
      </c>
      <c r="F2490" t="s">
        <v>19</v>
      </c>
      <c r="G2490" t="s">
        <v>20</v>
      </c>
      <c r="H2490" t="s">
        <v>47</v>
      </c>
      <c r="I2490" t="s">
        <v>77</v>
      </c>
      <c r="J2490">
        <v>3</v>
      </c>
      <c r="K2490">
        <v>2705000</v>
      </c>
      <c r="L2490" s="2" t="s">
        <v>4048</v>
      </c>
      <c r="M2490" t="s">
        <v>23</v>
      </c>
      <c r="N2490">
        <v>7216000</v>
      </c>
      <c r="O2490">
        <v>3.5</v>
      </c>
      <c r="P2490" t="b">
        <v>1</v>
      </c>
    </row>
    <row r="2491" spans="1:16" x14ac:dyDescent="0.2">
      <c r="A2491" t="s">
        <v>4049</v>
      </c>
      <c r="B2491" s="1">
        <v>45126</v>
      </c>
      <c r="C2491" s="1">
        <v>45198</v>
      </c>
      <c r="D2491" t="s">
        <v>4050</v>
      </c>
      <c r="E2491" t="s">
        <v>18</v>
      </c>
      <c r="F2491" t="s">
        <v>19</v>
      </c>
      <c r="G2491" t="s">
        <v>50</v>
      </c>
      <c r="H2491" t="s">
        <v>21</v>
      </c>
      <c r="I2491" t="s">
        <v>99</v>
      </c>
      <c r="J2491">
        <v>1</v>
      </c>
      <c r="K2491">
        <v>2513000</v>
      </c>
      <c r="L2491">
        <v>7.2669967248700701E-2</v>
      </c>
      <c r="M2491" t="s">
        <v>23</v>
      </c>
      <c r="N2491">
        <v>2330000</v>
      </c>
      <c r="O2491">
        <v>4.4000000000000004</v>
      </c>
      <c r="P2491" t="b">
        <v>0</v>
      </c>
    </row>
    <row r="2492" spans="1:16" x14ac:dyDescent="0.2">
      <c r="A2492" t="s">
        <v>4051</v>
      </c>
      <c r="B2492" s="1">
        <v>45126</v>
      </c>
      <c r="C2492" s="1">
        <v>45164</v>
      </c>
      <c r="D2492" t="s">
        <v>2477</v>
      </c>
      <c r="E2492" t="s">
        <v>45</v>
      </c>
      <c r="F2492" t="s">
        <v>34</v>
      </c>
      <c r="G2492" t="s">
        <v>35</v>
      </c>
      <c r="H2492" t="s">
        <v>21</v>
      </c>
      <c r="I2492" t="s">
        <v>26</v>
      </c>
      <c r="J2492">
        <v>4</v>
      </c>
      <c r="K2492">
        <v>4148000</v>
      </c>
      <c r="L2492" s="2" t="s">
        <v>4052</v>
      </c>
      <c r="M2492" t="s">
        <v>65</v>
      </c>
      <c r="N2492">
        <v>0</v>
      </c>
      <c r="P2492" t="b">
        <v>1</v>
      </c>
    </row>
    <row r="2493" spans="1:16" x14ac:dyDescent="0.2">
      <c r="A2493" t="s">
        <v>4053</v>
      </c>
      <c r="B2493" s="1">
        <v>45127</v>
      </c>
      <c r="C2493" s="1">
        <v>45212</v>
      </c>
      <c r="D2493" t="s">
        <v>4054</v>
      </c>
      <c r="E2493" t="s">
        <v>29</v>
      </c>
      <c r="F2493" t="s">
        <v>34</v>
      </c>
      <c r="G2493" t="s">
        <v>20</v>
      </c>
      <c r="H2493" t="s">
        <v>21</v>
      </c>
      <c r="I2493" t="s">
        <v>77</v>
      </c>
      <c r="J2493">
        <v>1</v>
      </c>
      <c r="K2493">
        <v>4016000</v>
      </c>
      <c r="L2493" s="2" t="s">
        <v>4055</v>
      </c>
      <c r="M2493" t="s">
        <v>23</v>
      </c>
      <c r="N2493">
        <v>3338000</v>
      </c>
      <c r="O2493">
        <v>3.8</v>
      </c>
      <c r="P2493" t="b">
        <v>0</v>
      </c>
    </row>
    <row r="2494" spans="1:16" x14ac:dyDescent="0.2">
      <c r="A2494" t="s">
        <v>4056</v>
      </c>
      <c r="B2494" s="1">
        <v>45127</v>
      </c>
      <c r="C2494" s="1">
        <v>45173</v>
      </c>
      <c r="D2494" t="s">
        <v>3918</v>
      </c>
      <c r="E2494" t="s">
        <v>29</v>
      </c>
      <c r="F2494" t="s">
        <v>25</v>
      </c>
      <c r="G2494" t="s">
        <v>20</v>
      </c>
      <c r="H2494" t="s">
        <v>47</v>
      </c>
      <c r="I2494" t="s">
        <v>83</v>
      </c>
      <c r="J2494">
        <v>2</v>
      </c>
      <c r="K2494">
        <v>4828000</v>
      </c>
      <c r="L2494">
        <v>8.77630914835483E-2</v>
      </c>
      <c r="M2494" t="s">
        <v>23</v>
      </c>
      <c r="N2494">
        <v>8809000</v>
      </c>
      <c r="O2494">
        <v>4.5</v>
      </c>
      <c r="P2494" t="b">
        <v>1</v>
      </c>
    </row>
    <row r="2495" spans="1:16" x14ac:dyDescent="0.2">
      <c r="A2495" t="s">
        <v>4057</v>
      </c>
      <c r="B2495" s="1">
        <v>45128</v>
      </c>
      <c r="C2495" s="1">
        <v>45170</v>
      </c>
      <c r="D2495" t="s">
        <v>969</v>
      </c>
      <c r="E2495" t="s">
        <v>45</v>
      </c>
      <c r="F2495" t="s">
        <v>25</v>
      </c>
      <c r="G2495" t="s">
        <v>50</v>
      </c>
      <c r="H2495" t="s">
        <v>21</v>
      </c>
      <c r="I2495" t="s">
        <v>60</v>
      </c>
      <c r="J2495">
        <v>4</v>
      </c>
      <c r="K2495">
        <v>5338000</v>
      </c>
      <c r="L2495">
        <v>6.6441126213695703E-2</v>
      </c>
      <c r="M2495" t="s">
        <v>23</v>
      </c>
      <c r="N2495">
        <v>19933000</v>
      </c>
      <c r="O2495">
        <v>4.7</v>
      </c>
      <c r="P2495" t="b">
        <v>1</v>
      </c>
    </row>
    <row r="2496" spans="1:16" x14ac:dyDescent="0.2">
      <c r="A2496" t="s">
        <v>4058</v>
      </c>
      <c r="B2496" s="1">
        <v>45129</v>
      </c>
      <c r="C2496" s="1">
        <v>45214</v>
      </c>
      <c r="D2496" t="s">
        <v>1965</v>
      </c>
      <c r="E2496" t="s">
        <v>18</v>
      </c>
      <c r="F2496" t="s">
        <v>68</v>
      </c>
      <c r="G2496" t="s">
        <v>50</v>
      </c>
      <c r="H2496" t="s">
        <v>47</v>
      </c>
      <c r="I2496" t="s">
        <v>1654</v>
      </c>
      <c r="J2496">
        <v>2</v>
      </c>
      <c r="K2496">
        <v>3076000</v>
      </c>
      <c r="L2496">
        <v>5.9627778233163002E-2</v>
      </c>
      <c r="M2496" t="s">
        <v>23</v>
      </c>
      <c r="N2496">
        <v>5785000</v>
      </c>
      <c r="O2496">
        <v>4.0999999999999996</v>
      </c>
      <c r="P2496" t="b">
        <v>1</v>
      </c>
    </row>
    <row r="2497" spans="1:16" x14ac:dyDescent="0.2">
      <c r="A2497" t="s">
        <v>4059</v>
      </c>
      <c r="B2497" s="1">
        <v>45129</v>
      </c>
      <c r="C2497" s="1">
        <v>45135</v>
      </c>
      <c r="D2497" t="s">
        <v>4060</v>
      </c>
      <c r="E2497" t="s">
        <v>45</v>
      </c>
      <c r="F2497" t="s">
        <v>25</v>
      </c>
      <c r="G2497" t="s">
        <v>35</v>
      </c>
      <c r="H2497" t="s">
        <v>21</v>
      </c>
      <c r="I2497" t="s">
        <v>57</v>
      </c>
      <c r="J2497">
        <v>1</v>
      </c>
      <c r="K2497">
        <v>5081000</v>
      </c>
      <c r="L2497" s="2" t="s">
        <v>4061</v>
      </c>
      <c r="M2497" t="s">
        <v>23</v>
      </c>
      <c r="N2497">
        <v>4508000</v>
      </c>
      <c r="O2497">
        <v>4.2</v>
      </c>
      <c r="P2497" t="b">
        <v>0</v>
      </c>
    </row>
    <row r="2498" spans="1:16" x14ac:dyDescent="0.2">
      <c r="A2498" t="s">
        <v>4062</v>
      </c>
      <c r="B2498" s="1">
        <v>45130</v>
      </c>
      <c r="C2498" s="1">
        <v>45195</v>
      </c>
      <c r="D2498" t="s">
        <v>2772</v>
      </c>
      <c r="E2498" t="s">
        <v>45</v>
      </c>
      <c r="F2498" t="s">
        <v>39</v>
      </c>
      <c r="G2498" t="s">
        <v>20</v>
      </c>
      <c r="H2498" t="s">
        <v>21</v>
      </c>
      <c r="I2498" t="s">
        <v>57</v>
      </c>
      <c r="J2498">
        <v>2</v>
      </c>
      <c r="K2498">
        <v>2592000</v>
      </c>
      <c r="L2498">
        <v>0.14847324441277299</v>
      </c>
      <c r="M2498" t="s">
        <v>23</v>
      </c>
      <c r="N2498">
        <v>4414000</v>
      </c>
      <c r="O2498">
        <v>3.9</v>
      </c>
      <c r="P2498" t="b">
        <v>1</v>
      </c>
    </row>
    <row r="2499" spans="1:16" x14ac:dyDescent="0.2">
      <c r="A2499" t="s">
        <v>4063</v>
      </c>
      <c r="B2499" s="1">
        <v>45131</v>
      </c>
      <c r="C2499" s="1">
        <v>45194</v>
      </c>
      <c r="D2499" t="s">
        <v>1925</v>
      </c>
      <c r="E2499" t="s">
        <v>45</v>
      </c>
      <c r="F2499" t="s">
        <v>25</v>
      </c>
      <c r="G2499" t="s">
        <v>20</v>
      </c>
      <c r="H2499" t="s">
        <v>21</v>
      </c>
      <c r="I2499" t="s">
        <v>57</v>
      </c>
      <c r="J2499">
        <v>3</v>
      </c>
      <c r="K2499">
        <v>5081000</v>
      </c>
      <c r="L2499" s="2" t="s">
        <v>4064</v>
      </c>
      <c r="M2499" t="s">
        <v>23</v>
      </c>
      <c r="N2499">
        <v>13635000</v>
      </c>
      <c r="O2499">
        <v>4.0999999999999996</v>
      </c>
      <c r="P2499" t="b">
        <v>1</v>
      </c>
    </row>
    <row r="2500" spans="1:16" x14ac:dyDescent="0.2">
      <c r="A2500" t="s">
        <v>4065</v>
      </c>
      <c r="B2500" s="1">
        <v>45132</v>
      </c>
      <c r="C2500" s="1">
        <v>45183</v>
      </c>
      <c r="D2500" t="s">
        <v>1357</v>
      </c>
      <c r="E2500" t="s">
        <v>33</v>
      </c>
      <c r="F2500" t="s">
        <v>45</v>
      </c>
      <c r="G2500" t="s">
        <v>20</v>
      </c>
      <c r="H2500" t="s">
        <v>21</v>
      </c>
      <c r="I2500" t="s">
        <v>26</v>
      </c>
      <c r="J2500">
        <v>1</v>
      </c>
      <c r="K2500">
        <v>3154000</v>
      </c>
      <c r="L2500" s="3">
        <v>8.6999999999999994E-2</v>
      </c>
      <c r="M2500" t="s">
        <v>23</v>
      </c>
      <c r="N2500">
        <v>2880000</v>
      </c>
      <c r="O2500">
        <v>4.2</v>
      </c>
      <c r="P2500" t="b">
        <v>1</v>
      </c>
    </row>
    <row r="2501" spans="1:16" x14ac:dyDescent="0.2">
      <c r="A2501" t="s">
        <v>4066</v>
      </c>
      <c r="B2501" s="1">
        <v>45133</v>
      </c>
      <c r="C2501" s="1">
        <v>45150</v>
      </c>
      <c r="D2501" t="s">
        <v>943</v>
      </c>
      <c r="E2501" t="s">
        <v>18</v>
      </c>
      <c r="F2501" t="s">
        <v>25</v>
      </c>
      <c r="G2501" t="s">
        <v>35</v>
      </c>
      <c r="H2501" t="s">
        <v>21</v>
      </c>
      <c r="I2501" t="s">
        <v>30</v>
      </c>
      <c r="J2501">
        <v>1</v>
      </c>
      <c r="K2501">
        <v>5506000</v>
      </c>
      <c r="L2501">
        <v>8.3323797268078204E-2</v>
      </c>
      <c r="M2501" t="s">
        <v>23</v>
      </c>
      <c r="N2501">
        <v>5047000</v>
      </c>
      <c r="O2501">
        <v>4.8</v>
      </c>
      <c r="P2501" t="b">
        <v>1</v>
      </c>
    </row>
    <row r="2502" spans="1:16" x14ac:dyDescent="0.2">
      <c r="A2502" t="s">
        <v>4067</v>
      </c>
      <c r="B2502" s="1">
        <v>45133</v>
      </c>
      <c r="C2502" s="1">
        <v>45193</v>
      </c>
      <c r="D2502" t="s">
        <v>2407</v>
      </c>
      <c r="E2502" t="s">
        <v>33</v>
      </c>
      <c r="F2502" t="s">
        <v>45</v>
      </c>
      <c r="G2502" t="s">
        <v>50</v>
      </c>
      <c r="H2502" t="s">
        <v>21</v>
      </c>
      <c r="I2502" t="s">
        <v>83</v>
      </c>
      <c r="J2502">
        <v>3</v>
      </c>
      <c r="K2502">
        <v>2631000</v>
      </c>
      <c r="L2502">
        <v>8.5628178138091898E-2</v>
      </c>
      <c r="M2502" t="s">
        <v>65</v>
      </c>
      <c r="N2502">
        <v>0</v>
      </c>
      <c r="P2502" t="b">
        <v>1</v>
      </c>
    </row>
    <row r="2503" spans="1:16" x14ac:dyDescent="0.2">
      <c r="A2503" t="s">
        <v>4068</v>
      </c>
      <c r="B2503" s="1">
        <v>45134</v>
      </c>
      <c r="C2503" s="1">
        <v>45195</v>
      </c>
      <c r="D2503" t="s">
        <v>4069</v>
      </c>
      <c r="E2503" t="s">
        <v>33</v>
      </c>
      <c r="F2503" t="s">
        <v>45</v>
      </c>
      <c r="G2503" t="s">
        <v>35</v>
      </c>
      <c r="H2503" t="s">
        <v>40</v>
      </c>
      <c r="I2503" t="s">
        <v>30</v>
      </c>
      <c r="J2503">
        <v>1</v>
      </c>
      <c r="K2503">
        <v>3285000</v>
      </c>
      <c r="L2503">
        <v>7.0969385175677802E-2</v>
      </c>
      <c r="M2503" t="s">
        <v>23</v>
      </c>
      <c r="N2503">
        <v>3052000</v>
      </c>
      <c r="O2503">
        <v>3.8</v>
      </c>
      <c r="P2503" t="b">
        <v>0</v>
      </c>
    </row>
    <row r="2504" spans="1:16" x14ac:dyDescent="0.2">
      <c r="A2504" t="s">
        <v>4070</v>
      </c>
      <c r="B2504" s="1">
        <v>45134</v>
      </c>
      <c r="C2504" s="1">
        <v>45194</v>
      </c>
      <c r="D2504" t="s">
        <v>4071</v>
      </c>
      <c r="E2504" t="s">
        <v>33</v>
      </c>
      <c r="F2504" t="s">
        <v>19</v>
      </c>
      <c r="G2504" t="s">
        <v>46</v>
      </c>
      <c r="H2504" t="s">
        <v>40</v>
      </c>
      <c r="I2504" t="s">
        <v>60</v>
      </c>
      <c r="J2504">
        <v>1</v>
      </c>
      <c r="K2504">
        <v>2654000</v>
      </c>
      <c r="L2504">
        <v>7.8530209310246707E-2</v>
      </c>
      <c r="M2504" t="s">
        <v>23</v>
      </c>
      <c r="N2504">
        <v>2446000</v>
      </c>
      <c r="O2504">
        <v>3.9</v>
      </c>
      <c r="P2504" t="b">
        <v>0</v>
      </c>
    </row>
    <row r="2505" spans="1:16" x14ac:dyDescent="0.2">
      <c r="A2505" t="s">
        <v>4072</v>
      </c>
      <c r="B2505" s="1">
        <v>45134</v>
      </c>
      <c r="C2505" s="1">
        <v>45207</v>
      </c>
      <c r="D2505" t="s">
        <v>2957</v>
      </c>
      <c r="E2505" t="s">
        <v>33</v>
      </c>
      <c r="F2505" t="s">
        <v>45</v>
      </c>
      <c r="G2505" t="s">
        <v>20</v>
      </c>
      <c r="H2505" t="s">
        <v>21</v>
      </c>
      <c r="I2505" t="s">
        <v>83</v>
      </c>
      <c r="J2505">
        <v>5</v>
      </c>
      <c r="K2505">
        <v>2713000</v>
      </c>
      <c r="L2505">
        <v>7.2911674394815204E-2</v>
      </c>
      <c r="M2505" t="s">
        <v>23</v>
      </c>
      <c r="N2505">
        <v>12576000</v>
      </c>
      <c r="O2505">
        <v>3.5</v>
      </c>
      <c r="P2505" t="b">
        <v>1</v>
      </c>
    </row>
    <row r="2506" spans="1:16" x14ac:dyDescent="0.2">
      <c r="A2506" t="s">
        <v>4073</v>
      </c>
      <c r="B2506" s="1">
        <v>45134</v>
      </c>
      <c r="C2506" s="1">
        <v>45157</v>
      </c>
      <c r="D2506" t="s">
        <v>4074</v>
      </c>
      <c r="E2506" t="s">
        <v>45</v>
      </c>
      <c r="F2506" t="s">
        <v>19</v>
      </c>
      <c r="G2506" t="s">
        <v>20</v>
      </c>
      <c r="H2506" t="s">
        <v>40</v>
      </c>
      <c r="I2506" t="s">
        <v>26</v>
      </c>
      <c r="J2506">
        <v>3</v>
      </c>
      <c r="K2506">
        <v>2851000</v>
      </c>
      <c r="L2506" s="2" t="s">
        <v>4075</v>
      </c>
      <c r="M2506" t="s">
        <v>23</v>
      </c>
      <c r="N2506">
        <v>7671000</v>
      </c>
      <c r="O2506">
        <v>4.3</v>
      </c>
      <c r="P2506" t="b">
        <v>0</v>
      </c>
    </row>
    <row r="2507" spans="1:16" x14ac:dyDescent="0.2">
      <c r="A2507" t="s">
        <v>4076</v>
      </c>
      <c r="B2507" s="1">
        <v>45134</v>
      </c>
      <c r="C2507" s="1">
        <v>45173</v>
      </c>
      <c r="D2507" t="s">
        <v>3922</v>
      </c>
      <c r="E2507" t="s">
        <v>45</v>
      </c>
      <c r="F2507" t="s">
        <v>34</v>
      </c>
      <c r="G2507" t="s">
        <v>20</v>
      </c>
      <c r="H2507" t="s">
        <v>40</v>
      </c>
      <c r="I2507" t="s">
        <v>26</v>
      </c>
      <c r="J2507">
        <v>1</v>
      </c>
      <c r="K2507">
        <v>3620000</v>
      </c>
      <c r="L2507" s="2" t="s">
        <v>4077</v>
      </c>
      <c r="M2507" t="s">
        <v>23</v>
      </c>
      <c r="N2507">
        <v>3241000</v>
      </c>
      <c r="O2507">
        <v>3.6</v>
      </c>
      <c r="P2507" t="b">
        <v>1</v>
      </c>
    </row>
    <row r="2508" spans="1:16" x14ac:dyDescent="0.2">
      <c r="A2508" t="s">
        <v>4078</v>
      </c>
      <c r="B2508" s="1">
        <v>45135</v>
      </c>
      <c r="C2508" s="1">
        <v>45162</v>
      </c>
      <c r="D2508" t="s">
        <v>4079</v>
      </c>
      <c r="E2508" t="s">
        <v>33</v>
      </c>
      <c r="F2508" t="s">
        <v>39</v>
      </c>
      <c r="G2508" t="s">
        <v>20</v>
      </c>
      <c r="H2508" t="s">
        <v>51</v>
      </c>
      <c r="I2508" t="s">
        <v>52</v>
      </c>
      <c r="J2508">
        <v>1</v>
      </c>
      <c r="K2508">
        <v>2457000</v>
      </c>
      <c r="L2508" s="2" t="s">
        <v>4080</v>
      </c>
      <c r="M2508" t="s">
        <v>23</v>
      </c>
      <c r="N2508">
        <v>2086000</v>
      </c>
      <c r="O2508">
        <v>5</v>
      </c>
      <c r="P2508" t="b">
        <v>0</v>
      </c>
    </row>
    <row r="2509" spans="1:16" x14ac:dyDescent="0.2">
      <c r="A2509" t="s">
        <v>4081</v>
      </c>
      <c r="B2509" s="1">
        <v>45135</v>
      </c>
      <c r="C2509" s="1">
        <v>45189</v>
      </c>
      <c r="D2509" t="s">
        <v>4082</v>
      </c>
      <c r="F2509" t="s">
        <v>25</v>
      </c>
      <c r="G2509" t="s">
        <v>20</v>
      </c>
      <c r="H2509" t="s">
        <v>21</v>
      </c>
      <c r="I2509" t="s">
        <v>57</v>
      </c>
      <c r="J2509">
        <v>3</v>
      </c>
      <c r="K2509">
        <v>4976000</v>
      </c>
      <c r="L2509">
        <v>9.9256873154685801E-2</v>
      </c>
      <c r="M2509" t="s">
        <v>23</v>
      </c>
      <c r="N2509">
        <v>13446000</v>
      </c>
      <c r="O2509">
        <v>4.0999999999999996</v>
      </c>
      <c r="P2509" t="b">
        <v>0</v>
      </c>
    </row>
    <row r="2510" spans="1:16" x14ac:dyDescent="0.2">
      <c r="A2510" t="s">
        <v>4083</v>
      </c>
      <c r="B2510" s="1">
        <v>45135</v>
      </c>
      <c r="C2510" s="1">
        <v>45184</v>
      </c>
      <c r="D2510" t="s">
        <v>1681</v>
      </c>
      <c r="E2510" t="s">
        <v>45</v>
      </c>
      <c r="F2510" t="s">
        <v>45</v>
      </c>
      <c r="G2510" t="s">
        <v>35</v>
      </c>
      <c r="H2510" t="s">
        <v>21</v>
      </c>
      <c r="J2510">
        <v>2</v>
      </c>
      <c r="K2510">
        <v>3075000</v>
      </c>
      <c r="L2510">
        <v>6.6451738347926295E-2</v>
      </c>
      <c r="M2510" t="s">
        <v>1656</v>
      </c>
      <c r="N2510">
        <v>5741000</v>
      </c>
      <c r="O2510">
        <v>4.3</v>
      </c>
      <c r="P2510" t="b">
        <v>1</v>
      </c>
    </row>
    <row r="2511" spans="1:16" x14ac:dyDescent="0.2">
      <c r="A2511" t="s">
        <v>4084</v>
      </c>
      <c r="B2511" s="1">
        <v>45135</v>
      </c>
      <c r="C2511" s="1">
        <v>45168</v>
      </c>
      <c r="D2511" t="s">
        <v>4085</v>
      </c>
      <c r="E2511" t="s">
        <v>18</v>
      </c>
      <c r="F2511" t="s">
        <v>25</v>
      </c>
      <c r="G2511" t="s">
        <v>35</v>
      </c>
      <c r="H2511" t="s">
        <v>40</v>
      </c>
      <c r="I2511" t="s">
        <v>77</v>
      </c>
      <c r="J2511">
        <v>2</v>
      </c>
      <c r="K2511">
        <v>6193000</v>
      </c>
      <c r="L2511" s="2" t="s">
        <v>4086</v>
      </c>
      <c r="M2511" t="s">
        <v>23</v>
      </c>
      <c r="N2511">
        <v>11033000</v>
      </c>
      <c r="O2511">
        <v>3.4</v>
      </c>
      <c r="P2511" t="b">
        <v>0</v>
      </c>
    </row>
    <row r="2512" spans="1:16" x14ac:dyDescent="0.2">
      <c r="A2512" t="s">
        <v>4087</v>
      </c>
      <c r="B2512" s="1">
        <v>45136</v>
      </c>
      <c r="C2512" s="1">
        <v>45192</v>
      </c>
      <c r="D2512" t="s">
        <v>3146</v>
      </c>
      <c r="E2512" t="s">
        <v>45</v>
      </c>
      <c r="F2512" t="s">
        <v>19</v>
      </c>
      <c r="G2512" t="s">
        <v>50</v>
      </c>
      <c r="H2512" t="s">
        <v>21</v>
      </c>
      <c r="I2512" t="s">
        <v>94</v>
      </c>
      <c r="J2512">
        <v>2</v>
      </c>
      <c r="K2512">
        <v>2623000</v>
      </c>
      <c r="L2512">
        <v>9.9429637883838004E-2</v>
      </c>
      <c r="M2512" t="s">
        <v>1673</v>
      </c>
      <c r="N2512">
        <v>4724000</v>
      </c>
      <c r="O2512">
        <v>4.0999999999999996</v>
      </c>
      <c r="P2512" t="b">
        <v>1</v>
      </c>
    </row>
    <row r="2513" spans="1:16" x14ac:dyDescent="0.2">
      <c r="A2513" t="s">
        <v>4088</v>
      </c>
      <c r="B2513" s="1">
        <v>45136</v>
      </c>
      <c r="C2513" s="1">
        <v>45187</v>
      </c>
      <c r="D2513" t="s">
        <v>4089</v>
      </c>
      <c r="E2513" t="s">
        <v>18</v>
      </c>
      <c r="F2513" t="s">
        <v>19</v>
      </c>
      <c r="G2513" t="s">
        <v>20</v>
      </c>
      <c r="H2513" t="s">
        <v>47</v>
      </c>
      <c r="I2513" t="s">
        <v>26</v>
      </c>
      <c r="J2513">
        <v>2</v>
      </c>
      <c r="K2513">
        <v>2571000</v>
      </c>
      <c r="L2513" s="2" t="s">
        <v>4090</v>
      </c>
      <c r="M2513" t="s">
        <v>23</v>
      </c>
      <c r="N2513">
        <v>4597000</v>
      </c>
      <c r="O2513">
        <v>3.3</v>
      </c>
      <c r="P2513" t="b">
        <v>0</v>
      </c>
    </row>
    <row r="2514" spans="1:16" x14ac:dyDescent="0.2">
      <c r="A2514" t="s">
        <v>4091</v>
      </c>
      <c r="B2514" s="1">
        <v>45136</v>
      </c>
      <c r="C2514" s="1">
        <v>45176</v>
      </c>
      <c r="D2514" t="s">
        <v>4092</v>
      </c>
      <c r="E2514" t="s">
        <v>33</v>
      </c>
      <c r="F2514" t="s">
        <v>45</v>
      </c>
      <c r="G2514" t="s">
        <v>35</v>
      </c>
      <c r="H2514" t="s">
        <v>21</v>
      </c>
      <c r="I2514" t="s">
        <v>83</v>
      </c>
      <c r="J2514">
        <v>1</v>
      </c>
      <c r="K2514">
        <v>2721000</v>
      </c>
      <c r="L2514" s="2" t="s">
        <v>4093</v>
      </c>
      <c r="M2514" t="s">
        <v>23</v>
      </c>
      <c r="N2514">
        <v>2581000</v>
      </c>
      <c r="O2514">
        <v>4.5999999999999996</v>
      </c>
      <c r="P2514" t="b">
        <v>0</v>
      </c>
    </row>
    <row r="2515" spans="1:16" x14ac:dyDescent="0.2">
      <c r="A2515" t="s">
        <v>4094</v>
      </c>
      <c r="B2515" s="1">
        <v>45136</v>
      </c>
      <c r="C2515" s="1">
        <v>45164</v>
      </c>
      <c r="D2515" t="s">
        <v>4095</v>
      </c>
      <c r="E2515" t="s">
        <v>45</v>
      </c>
      <c r="F2515" t="s">
        <v>25</v>
      </c>
      <c r="H2515" t="s">
        <v>21</v>
      </c>
      <c r="I2515" t="s">
        <v>94</v>
      </c>
      <c r="J2515">
        <v>1</v>
      </c>
      <c r="K2515">
        <v>4896000</v>
      </c>
      <c r="L2515" s="3">
        <v>0.16300000000000001</v>
      </c>
      <c r="M2515" t="s">
        <v>23</v>
      </c>
      <c r="N2515">
        <v>4099000</v>
      </c>
      <c r="O2515">
        <v>3.4</v>
      </c>
      <c r="P2515" t="b">
        <v>0</v>
      </c>
    </row>
    <row r="2516" spans="1:16" x14ac:dyDescent="0.2">
      <c r="A2516" t="s">
        <v>4096</v>
      </c>
      <c r="B2516" s="1">
        <v>45136</v>
      </c>
      <c r="C2516" s="1">
        <v>45203</v>
      </c>
      <c r="D2516" t="s">
        <v>3922</v>
      </c>
      <c r="E2516" t="s">
        <v>45</v>
      </c>
      <c r="F2516" t="s">
        <v>25</v>
      </c>
      <c r="G2516" t="s">
        <v>46</v>
      </c>
      <c r="H2516" t="s">
        <v>47</v>
      </c>
      <c r="I2516" t="s">
        <v>57</v>
      </c>
      <c r="J2516">
        <v>3</v>
      </c>
      <c r="K2516">
        <v>4729000</v>
      </c>
      <c r="L2516" s="2" t="s">
        <v>4097</v>
      </c>
      <c r="M2516" t="s">
        <v>23</v>
      </c>
      <c r="N2516">
        <v>12133000</v>
      </c>
      <c r="O2516">
        <v>4.3</v>
      </c>
      <c r="P2516" t="b">
        <v>1</v>
      </c>
    </row>
    <row r="2517" spans="1:16" x14ac:dyDescent="0.2">
      <c r="A2517" t="s">
        <v>4098</v>
      </c>
      <c r="B2517" s="1">
        <v>45137</v>
      </c>
      <c r="C2517" s="1">
        <v>45185</v>
      </c>
      <c r="D2517" t="s">
        <v>38</v>
      </c>
      <c r="E2517" t="s">
        <v>33</v>
      </c>
      <c r="F2517" t="s">
        <v>39</v>
      </c>
      <c r="G2517" t="s">
        <v>35</v>
      </c>
      <c r="H2517" t="s">
        <v>47</v>
      </c>
      <c r="I2517" t="s">
        <v>52</v>
      </c>
      <c r="J2517">
        <v>2</v>
      </c>
      <c r="K2517">
        <v>2383000</v>
      </c>
      <c r="L2517">
        <v>5.6641178424408301E-2</v>
      </c>
      <c r="M2517" t="s">
        <v>23</v>
      </c>
      <c r="N2517">
        <v>4496000</v>
      </c>
      <c r="O2517">
        <v>3.7</v>
      </c>
      <c r="P2517" t="b">
        <v>1</v>
      </c>
    </row>
    <row r="2518" spans="1:16" x14ac:dyDescent="0.2">
      <c r="A2518" t="s">
        <v>4099</v>
      </c>
      <c r="B2518" s="1">
        <v>45137</v>
      </c>
      <c r="C2518" s="1">
        <v>45183</v>
      </c>
      <c r="D2518" t="s">
        <v>3616</v>
      </c>
      <c r="E2518" t="s">
        <v>18</v>
      </c>
      <c r="F2518" t="s">
        <v>45</v>
      </c>
      <c r="G2518" t="s">
        <v>20</v>
      </c>
      <c r="H2518" t="s">
        <v>47</v>
      </c>
      <c r="I2518" t="s">
        <v>94</v>
      </c>
      <c r="J2518">
        <v>2</v>
      </c>
      <c r="K2518">
        <v>3071000</v>
      </c>
      <c r="L2518">
        <v>6.3314410038078001E-2</v>
      </c>
      <c r="M2518" t="s">
        <v>23</v>
      </c>
      <c r="N2518">
        <v>5753000</v>
      </c>
      <c r="O2518">
        <v>3.8</v>
      </c>
      <c r="P2518" t="b">
        <v>1</v>
      </c>
    </row>
    <row r="2519" spans="1:16" x14ac:dyDescent="0.2">
      <c r="A2519" t="s">
        <v>4100</v>
      </c>
      <c r="B2519" s="1">
        <v>45137</v>
      </c>
      <c r="C2519" s="1">
        <v>45195</v>
      </c>
      <c r="D2519" t="s">
        <v>1910</v>
      </c>
      <c r="E2519" t="s">
        <v>33</v>
      </c>
      <c r="F2519" t="s">
        <v>19</v>
      </c>
      <c r="G2519" t="s">
        <v>20</v>
      </c>
      <c r="H2519" t="s">
        <v>21</v>
      </c>
      <c r="I2519" t="s">
        <v>26</v>
      </c>
      <c r="J2519">
        <v>2</v>
      </c>
      <c r="K2519">
        <v>2543000</v>
      </c>
      <c r="L2519" s="2" t="s">
        <v>4101</v>
      </c>
      <c r="M2519" t="s">
        <v>23</v>
      </c>
      <c r="N2519">
        <v>4783000</v>
      </c>
      <c r="O2519">
        <v>3.8</v>
      </c>
      <c r="P2519" t="b">
        <v>1</v>
      </c>
    </row>
    <row r="2520" spans="1:16" x14ac:dyDescent="0.2">
      <c r="A2520" t="s">
        <v>4102</v>
      </c>
      <c r="B2520" s="1">
        <v>45137</v>
      </c>
      <c r="C2520" s="1">
        <v>45170</v>
      </c>
      <c r="D2520" t="s">
        <v>198</v>
      </c>
      <c r="E2520" t="s">
        <v>45</v>
      </c>
      <c r="F2520" t="s">
        <v>45</v>
      </c>
      <c r="G2520" t="s">
        <v>35</v>
      </c>
      <c r="H2520" t="s">
        <v>40</v>
      </c>
      <c r="J2520">
        <v>2</v>
      </c>
      <c r="K2520">
        <v>3150000</v>
      </c>
      <c r="L2520">
        <v>4.9715894033436202E-2</v>
      </c>
      <c r="M2520" t="s">
        <v>23</v>
      </c>
      <c r="N2520">
        <v>5987000</v>
      </c>
      <c r="O2520">
        <v>4.4000000000000004</v>
      </c>
      <c r="P2520" t="b">
        <v>1</v>
      </c>
    </row>
    <row r="2521" spans="1:16" x14ac:dyDescent="0.2">
      <c r="A2521" t="s">
        <v>4103</v>
      </c>
      <c r="B2521" s="1">
        <v>45138</v>
      </c>
      <c r="C2521" s="1">
        <v>45188</v>
      </c>
      <c r="D2521" t="s">
        <v>3177</v>
      </c>
      <c r="E2521" t="s">
        <v>29</v>
      </c>
      <c r="F2521" t="s">
        <v>68</v>
      </c>
      <c r="G2521" t="s">
        <v>20</v>
      </c>
      <c r="H2521" t="s">
        <v>21</v>
      </c>
      <c r="I2521" t="s">
        <v>26</v>
      </c>
      <c r="J2521">
        <v>1</v>
      </c>
      <c r="K2521">
        <v>2552000</v>
      </c>
      <c r="L2521" s="2" t="s">
        <v>4104</v>
      </c>
      <c r="M2521" t="s">
        <v>23</v>
      </c>
      <c r="N2521">
        <v>2460000</v>
      </c>
      <c r="O2521">
        <v>3.9</v>
      </c>
      <c r="P2521" t="b">
        <v>1</v>
      </c>
    </row>
    <row r="2522" spans="1:16" x14ac:dyDescent="0.2">
      <c r="A2522" t="s">
        <v>4105</v>
      </c>
      <c r="B2522" s="1">
        <v>45138</v>
      </c>
      <c r="C2522" s="1">
        <v>45185</v>
      </c>
      <c r="D2522" t="s">
        <v>2029</v>
      </c>
      <c r="E2522" t="s">
        <v>33</v>
      </c>
      <c r="F2522" t="s">
        <v>45</v>
      </c>
      <c r="G2522" t="s">
        <v>20</v>
      </c>
      <c r="H2522" t="s">
        <v>21</v>
      </c>
      <c r="I2522" t="s">
        <v>52</v>
      </c>
      <c r="J2522">
        <v>1</v>
      </c>
      <c r="K2522">
        <v>2729000</v>
      </c>
      <c r="L2522">
        <v>7.0961213399315104E-2</v>
      </c>
      <c r="M2522" t="s">
        <v>23</v>
      </c>
      <c r="N2522">
        <v>2535000</v>
      </c>
      <c r="O2522">
        <v>3.6</v>
      </c>
      <c r="P2522" t="b">
        <v>1</v>
      </c>
    </row>
    <row r="2523" spans="1:16" x14ac:dyDescent="0.2">
      <c r="A2523" t="s">
        <v>4106</v>
      </c>
      <c r="B2523" s="1">
        <v>45138</v>
      </c>
      <c r="C2523" s="1">
        <v>45212</v>
      </c>
      <c r="D2523" t="s">
        <v>4107</v>
      </c>
      <c r="E2523" t="s">
        <v>33</v>
      </c>
      <c r="F2523" t="s">
        <v>39</v>
      </c>
      <c r="G2523" t="s">
        <v>35</v>
      </c>
      <c r="H2523" t="s">
        <v>21</v>
      </c>
      <c r="I2523" t="s">
        <v>22</v>
      </c>
      <c r="J2523">
        <v>1</v>
      </c>
      <c r="K2523">
        <v>1906000</v>
      </c>
      <c r="L2523" s="2" t="s">
        <v>4108</v>
      </c>
      <c r="M2523" t="s">
        <v>23</v>
      </c>
      <c r="N2523">
        <v>1670000</v>
      </c>
      <c r="O2523">
        <v>4.2</v>
      </c>
      <c r="P2523" t="b">
        <v>0</v>
      </c>
    </row>
    <row r="2524" spans="1:16" x14ac:dyDescent="0.2">
      <c r="A2524" t="s">
        <v>4109</v>
      </c>
      <c r="B2524" s="1">
        <v>45139</v>
      </c>
      <c r="C2524" s="1">
        <v>45166</v>
      </c>
      <c r="D2524" t="s">
        <v>4110</v>
      </c>
      <c r="E2524" t="s">
        <v>45</v>
      </c>
      <c r="F2524" t="s">
        <v>45</v>
      </c>
      <c r="G2524" t="s">
        <v>20</v>
      </c>
      <c r="H2524" t="s">
        <v>21</v>
      </c>
      <c r="I2524" t="s">
        <v>52</v>
      </c>
      <c r="J2524">
        <v>1</v>
      </c>
      <c r="K2524">
        <v>3377000</v>
      </c>
      <c r="L2524">
        <v>4.5747405385142999E-2</v>
      </c>
      <c r="M2524" t="s">
        <v>23</v>
      </c>
      <c r="N2524">
        <v>3223000</v>
      </c>
      <c r="O2524">
        <v>3.9</v>
      </c>
      <c r="P2524" t="b">
        <v>0</v>
      </c>
    </row>
    <row r="2525" spans="1:16" x14ac:dyDescent="0.2">
      <c r="A2525" t="s">
        <v>4111</v>
      </c>
      <c r="B2525" s="1">
        <v>45141</v>
      </c>
      <c r="C2525" s="1">
        <v>45220</v>
      </c>
      <c r="D2525" t="s">
        <v>134</v>
      </c>
      <c r="E2525" t="s">
        <v>18</v>
      </c>
      <c r="F2525" t="s">
        <v>34</v>
      </c>
      <c r="G2525" t="s">
        <v>20</v>
      </c>
      <c r="H2525" t="s">
        <v>21</v>
      </c>
      <c r="I2525" t="s">
        <v>57</v>
      </c>
      <c r="J2525">
        <v>1</v>
      </c>
      <c r="K2525">
        <v>4101000</v>
      </c>
      <c r="L2525">
        <v>7.6724762107631295E-2</v>
      </c>
      <c r="M2525" t="s">
        <v>23</v>
      </c>
      <c r="N2525">
        <v>3786000</v>
      </c>
      <c r="O2525">
        <v>4.4000000000000004</v>
      </c>
      <c r="P2525" t="b">
        <v>1</v>
      </c>
    </row>
    <row r="2526" spans="1:16" x14ac:dyDescent="0.2">
      <c r="A2526" t="s">
        <v>4112</v>
      </c>
      <c r="B2526" s="1">
        <v>45141</v>
      </c>
      <c r="C2526" s="1">
        <v>45180</v>
      </c>
      <c r="D2526" t="s">
        <v>865</v>
      </c>
      <c r="E2526" t="s">
        <v>18</v>
      </c>
      <c r="F2526" t="s">
        <v>25</v>
      </c>
      <c r="G2526" t="s">
        <v>35</v>
      </c>
      <c r="H2526" t="s">
        <v>21</v>
      </c>
      <c r="I2526" t="s">
        <v>83</v>
      </c>
      <c r="J2526">
        <v>1</v>
      </c>
      <c r="K2526">
        <v>4834000</v>
      </c>
      <c r="L2526" s="2" t="s">
        <v>4113</v>
      </c>
      <c r="M2526" t="s">
        <v>23</v>
      </c>
      <c r="N2526">
        <v>4274000</v>
      </c>
      <c r="O2526">
        <v>4.5999999999999996</v>
      </c>
      <c r="P2526" t="b">
        <v>1</v>
      </c>
    </row>
    <row r="2527" spans="1:16" x14ac:dyDescent="0.2">
      <c r="A2527" t="s">
        <v>4114</v>
      </c>
      <c r="B2527" s="1">
        <v>45143</v>
      </c>
      <c r="C2527" s="1">
        <v>45204</v>
      </c>
      <c r="D2527" t="s">
        <v>1618</v>
      </c>
      <c r="E2527" t="s">
        <v>29</v>
      </c>
      <c r="F2527" t="s">
        <v>34</v>
      </c>
      <c r="G2527" t="s">
        <v>50</v>
      </c>
      <c r="H2527" t="s">
        <v>21</v>
      </c>
      <c r="I2527" t="s">
        <v>57</v>
      </c>
      <c r="J2527">
        <v>1</v>
      </c>
      <c r="K2527">
        <v>4222000</v>
      </c>
      <c r="L2527" s="2" t="s">
        <v>4115</v>
      </c>
      <c r="M2527" t="s">
        <v>23</v>
      </c>
      <c r="N2527">
        <v>3577000</v>
      </c>
      <c r="O2527">
        <v>4.2</v>
      </c>
      <c r="P2527" t="b">
        <v>1</v>
      </c>
    </row>
    <row r="2528" spans="1:16" x14ac:dyDescent="0.2">
      <c r="A2528" t="s">
        <v>4116</v>
      </c>
      <c r="B2528" s="1">
        <v>45144</v>
      </c>
      <c r="C2528" s="1">
        <v>45208</v>
      </c>
      <c r="D2528" t="s">
        <v>2392</v>
      </c>
      <c r="E2528" t="s">
        <v>29</v>
      </c>
      <c r="F2528" t="s">
        <v>19</v>
      </c>
      <c r="G2528" t="s">
        <v>50</v>
      </c>
      <c r="H2528" t="s">
        <v>21</v>
      </c>
      <c r="J2528">
        <v>1</v>
      </c>
      <c r="K2528">
        <v>2449000</v>
      </c>
      <c r="L2528">
        <v>2.8760942812680199E-2</v>
      </c>
      <c r="M2528" t="s">
        <v>23</v>
      </c>
      <c r="N2528">
        <v>2379000</v>
      </c>
      <c r="O2528">
        <v>4.5999999999999996</v>
      </c>
      <c r="P2528" t="b">
        <v>1</v>
      </c>
    </row>
    <row r="2529" spans="1:16" x14ac:dyDescent="0.2">
      <c r="A2529" t="s">
        <v>4117</v>
      </c>
      <c r="B2529" s="1">
        <v>45144</v>
      </c>
      <c r="C2529" s="1">
        <v>45144</v>
      </c>
      <c r="D2529" t="s">
        <v>4118</v>
      </c>
      <c r="E2529" t="s">
        <v>18</v>
      </c>
      <c r="F2529" t="s">
        <v>45</v>
      </c>
      <c r="G2529" t="s">
        <v>35</v>
      </c>
      <c r="H2529" t="s">
        <v>47</v>
      </c>
      <c r="I2529" t="s">
        <v>22</v>
      </c>
      <c r="J2529">
        <v>1</v>
      </c>
      <c r="K2529">
        <v>3460000</v>
      </c>
      <c r="L2529" s="2" t="s">
        <v>4119</v>
      </c>
      <c r="M2529" t="s">
        <v>23</v>
      </c>
      <c r="N2529">
        <v>3319000</v>
      </c>
      <c r="O2529">
        <v>4.0999999999999996</v>
      </c>
      <c r="P2529" t="b">
        <v>0</v>
      </c>
    </row>
    <row r="2530" spans="1:16" x14ac:dyDescent="0.2">
      <c r="A2530" t="s">
        <v>4120</v>
      </c>
      <c r="B2530" s="1">
        <v>45144</v>
      </c>
      <c r="C2530" s="1">
        <v>45201</v>
      </c>
      <c r="D2530" t="s">
        <v>4121</v>
      </c>
      <c r="E2530" t="s">
        <v>33</v>
      </c>
      <c r="F2530" t="s">
        <v>68</v>
      </c>
      <c r="G2530" t="s">
        <v>20</v>
      </c>
      <c r="H2530" t="s">
        <v>21</v>
      </c>
      <c r="I2530" t="s">
        <v>26</v>
      </c>
      <c r="J2530">
        <v>3</v>
      </c>
      <c r="K2530">
        <v>2599000</v>
      </c>
      <c r="L2530" s="2" t="s">
        <v>4122</v>
      </c>
      <c r="M2530" t="s">
        <v>65</v>
      </c>
      <c r="N2530">
        <v>0</v>
      </c>
      <c r="P2530" t="b">
        <v>0</v>
      </c>
    </row>
    <row r="2531" spans="1:16" x14ac:dyDescent="0.2">
      <c r="A2531" t="s">
        <v>4123</v>
      </c>
      <c r="B2531" s="1">
        <v>45144</v>
      </c>
      <c r="C2531" s="1">
        <v>45226</v>
      </c>
      <c r="D2531" t="s">
        <v>4124</v>
      </c>
      <c r="E2531" t="s">
        <v>45</v>
      </c>
      <c r="F2531" t="s">
        <v>45</v>
      </c>
      <c r="H2531" t="s">
        <v>47</v>
      </c>
      <c r="I2531" t="s">
        <v>1654</v>
      </c>
      <c r="J2531">
        <v>4</v>
      </c>
      <c r="K2531">
        <v>2853000</v>
      </c>
      <c r="L2531" s="2" t="s">
        <v>4125</v>
      </c>
      <c r="M2531" t="s">
        <v>23</v>
      </c>
      <c r="N2531">
        <v>10011000</v>
      </c>
      <c r="O2531">
        <v>4.9000000000000004</v>
      </c>
      <c r="P2531" t="b">
        <v>0</v>
      </c>
    </row>
    <row r="2532" spans="1:16" x14ac:dyDescent="0.2">
      <c r="A2532" t="s">
        <v>4126</v>
      </c>
      <c r="B2532" s="1">
        <v>45145</v>
      </c>
      <c r="C2532" s="1">
        <v>45230</v>
      </c>
      <c r="D2532" t="s">
        <v>4127</v>
      </c>
      <c r="E2532" t="s">
        <v>33</v>
      </c>
      <c r="F2532" t="s">
        <v>39</v>
      </c>
      <c r="G2532" t="s">
        <v>35</v>
      </c>
      <c r="H2532" t="s">
        <v>47</v>
      </c>
      <c r="I2532" t="s">
        <v>57</v>
      </c>
      <c r="J2532">
        <v>2</v>
      </c>
      <c r="K2532">
        <v>2345000</v>
      </c>
      <c r="L2532">
        <v>7.81813383485227E-2</v>
      </c>
      <c r="M2532" t="s">
        <v>23</v>
      </c>
      <c r="N2532">
        <v>4323000</v>
      </c>
      <c r="O2532">
        <v>3.2</v>
      </c>
      <c r="P2532" t="b">
        <v>0</v>
      </c>
    </row>
    <row r="2533" spans="1:16" x14ac:dyDescent="0.2">
      <c r="A2533" t="s">
        <v>4128</v>
      </c>
      <c r="B2533" s="1">
        <v>45146</v>
      </c>
      <c r="C2533" s="1">
        <v>45185</v>
      </c>
      <c r="D2533" t="s">
        <v>1561</v>
      </c>
      <c r="E2533" t="s">
        <v>29</v>
      </c>
      <c r="F2533" t="s">
        <v>34</v>
      </c>
      <c r="G2533" t="s">
        <v>20</v>
      </c>
      <c r="H2533" t="s">
        <v>21</v>
      </c>
      <c r="I2533" t="s">
        <v>83</v>
      </c>
      <c r="J2533">
        <v>1</v>
      </c>
      <c r="K2533">
        <v>4112000</v>
      </c>
      <c r="L2533">
        <v>1.6756647879440499E-2</v>
      </c>
      <c r="M2533" t="s">
        <v>23</v>
      </c>
      <c r="N2533">
        <v>4043000</v>
      </c>
      <c r="O2533">
        <v>4.2</v>
      </c>
      <c r="P2533" t="b">
        <v>1</v>
      </c>
    </row>
    <row r="2534" spans="1:16" x14ac:dyDescent="0.2">
      <c r="A2534" t="s">
        <v>4129</v>
      </c>
      <c r="B2534" s="1">
        <v>45148</v>
      </c>
      <c r="C2534" s="1">
        <v>45187</v>
      </c>
      <c r="D2534" t="s">
        <v>116</v>
      </c>
      <c r="E2534" t="s">
        <v>29</v>
      </c>
      <c r="F2534" t="s">
        <v>39</v>
      </c>
      <c r="G2534" t="s">
        <v>20</v>
      </c>
      <c r="H2534" t="s">
        <v>40</v>
      </c>
      <c r="I2534" t="s">
        <v>26</v>
      </c>
      <c r="J2534">
        <v>1</v>
      </c>
      <c r="K2534">
        <v>2215000</v>
      </c>
      <c r="L2534" s="2" t="s">
        <v>4130</v>
      </c>
      <c r="M2534" t="s">
        <v>65</v>
      </c>
      <c r="N2534">
        <v>0</v>
      </c>
      <c r="P2534" t="b">
        <v>1</v>
      </c>
    </row>
    <row r="2535" spans="1:16" x14ac:dyDescent="0.2">
      <c r="A2535" t="s">
        <v>4131</v>
      </c>
      <c r="B2535" s="1">
        <v>45148</v>
      </c>
      <c r="C2535" s="1">
        <v>45175</v>
      </c>
      <c r="D2535" t="s">
        <v>4132</v>
      </c>
      <c r="E2535" t="s">
        <v>45</v>
      </c>
      <c r="F2535" t="s">
        <v>19</v>
      </c>
      <c r="G2535" t="s">
        <v>20</v>
      </c>
      <c r="H2535" t="s">
        <v>21</v>
      </c>
      <c r="I2535" t="s">
        <v>83</v>
      </c>
      <c r="J2535">
        <v>3</v>
      </c>
      <c r="K2535">
        <v>2611000</v>
      </c>
      <c r="L2535" s="2" t="s">
        <v>4133</v>
      </c>
      <c r="M2535" t="s">
        <v>65</v>
      </c>
      <c r="N2535">
        <v>0</v>
      </c>
      <c r="P2535" t="b">
        <v>0</v>
      </c>
    </row>
    <row r="2536" spans="1:16" x14ac:dyDescent="0.2">
      <c r="A2536" t="s">
        <v>4134</v>
      </c>
      <c r="B2536" s="1">
        <v>45149</v>
      </c>
      <c r="C2536" s="1">
        <v>45198</v>
      </c>
      <c r="D2536" t="s">
        <v>1817</v>
      </c>
      <c r="E2536" t="s">
        <v>45</v>
      </c>
      <c r="F2536" t="s">
        <v>34</v>
      </c>
      <c r="G2536" t="s">
        <v>20</v>
      </c>
      <c r="H2536" t="s">
        <v>51</v>
      </c>
      <c r="I2536" t="s">
        <v>60</v>
      </c>
      <c r="J2536">
        <v>2</v>
      </c>
      <c r="K2536">
        <v>4100000</v>
      </c>
      <c r="L2536">
        <v>4.9418473620112001E-2</v>
      </c>
      <c r="M2536" t="s">
        <v>23</v>
      </c>
      <c r="N2536">
        <v>7795000</v>
      </c>
      <c r="O2536">
        <v>4.5999999999999996</v>
      </c>
      <c r="P2536" t="b">
        <v>1</v>
      </c>
    </row>
    <row r="2537" spans="1:16" x14ac:dyDescent="0.2">
      <c r="A2537" t="s">
        <v>4135</v>
      </c>
      <c r="B2537" s="1">
        <v>45149</v>
      </c>
      <c r="C2537" s="1">
        <v>45182</v>
      </c>
      <c r="D2537" t="s">
        <v>4136</v>
      </c>
      <c r="F2537" t="s">
        <v>34</v>
      </c>
      <c r="G2537" t="s">
        <v>20</v>
      </c>
      <c r="H2537" t="s">
        <v>21</v>
      </c>
      <c r="I2537" t="s">
        <v>83</v>
      </c>
      <c r="J2537">
        <v>1</v>
      </c>
      <c r="K2537">
        <v>3980000</v>
      </c>
      <c r="L2537" s="2" t="s">
        <v>4137</v>
      </c>
      <c r="M2537" t="s">
        <v>23</v>
      </c>
      <c r="N2537">
        <v>3388000</v>
      </c>
      <c r="O2537">
        <v>4.4000000000000004</v>
      </c>
      <c r="P2537" t="b">
        <v>0</v>
      </c>
    </row>
    <row r="2538" spans="1:16" x14ac:dyDescent="0.2">
      <c r="A2538" t="s">
        <v>4138</v>
      </c>
      <c r="B2538" s="1">
        <v>45149</v>
      </c>
      <c r="C2538" s="1">
        <v>45191</v>
      </c>
      <c r="D2538" t="s">
        <v>4139</v>
      </c>
      <c r="E2538" t="s">
        <v>29</v>
      </c>
      <c r="F2538" t="s">
        <v>39</v>
      </c>
      <c r="G2538" t="s">
        <v>50</v>
      </c>
      <c r="H2538" t="s">
        <v>40</v>
      </c>
      <c r="I2538" t="s">
        <v>94</v>
      </c>
      <c r="J2538">
        <v>1</v>
      </c>
      <c r="K2538">
        <v>2359000</v>
      </c>
      <c r="L2538">
        <v>9.3018053280497906E-2</v>
      </c>
      <c r="M2538" t="s">
        <v>23</v>
      </c>
      <c r="N2538">
        <v>2140000</v>
      </c>
      <c r="O2538">
        <v>4.5</v>
      </c>
      <c r="P2538" t="b">
        <v>0</v>
      </c>
    </row>
    <row r="2539" spans="1:16" x14ac:dyDescent="0.2">
      <c r="A2539" t="s">
        <v>4140</v>
      </c>
      <c r="B2539" s="1">
        <v>45149</v>
      </c>
      <c r="C2539" s="1">
        <v>45189</v>
      </c>
      <c r="D2539" t="s">
        <v>4141</v>
      </c>
      <c r="E2539" t="s">
        <v>29</v>
      </c>
      <c r="F2539" t="s">
        <v>25</v>
      </c>
      <c r="G2539" t="s">
        <v>20</v>
      </c>
      <c r="H2539" t="s">
        <v>21</v>
      </c>
      <c r="I2539" t="s">
        <v>83</v>
      </c>
      <c r="J2539">
        <v>2</v>
      </c>
      <c r="K2539">
        <v>4731000</v>
      </c>
      <c r="L2539" s="2" t="s">
        <v>4142</v>
      </c>
      <c r="M2539" t="s">
        <v>23</v>
      </c>
      <c r="N2539">
        <v>8436000</v>
      </c>
      <c r="O2539">
        <v>4.9000000000000004</v>
      </c>
      <c r="P2539" t="b">
        <v>0</v>
      </c>
    </row>
    <row r="2540" spans="1:16" x14ac:dyDescent="0.2">
      <c r="A2540" t="s">
        <v>4143</v>
      </c>
      <c r="B2540" s="1">
        <v>45150</v>
      </c>
      <c r="C2540" s="1">
        <v>45237</v>
      </c>
      <c r="D2540" t="s">
        <v>3331</v>
      </c>
      <c r="E2540" t="s">
        <v>33</v>
      </c>
      <c r="F2540" t="s">
        <v>45</v>
      </c>
      <c r="G2540" t="s">
        <v>20</v>
      </c>
      <c r="H2540" t="s">
        <v>47</v>
      </c>
      <c r="I2540" t="s">
        <v>94</v>
      </c>
      <c r="J2540">
        <v>1</v>
      </c>
      <c r="K2540">
        <v>3124000</v>
      </c>
      <c r="L2540">
        <v>9.5519209973466995E-2</v>
      </c>
      <c r="M2540" t="s">
        <v>23</v>
      </c>
      <c r="N2540">
        <v>2826000</v>
      </c>
      <c r="O2540">
        <v>3.9</v>
      </c>
      <c r="P2540" t="b">
        <v>1</v>
      </c>
    </row>
    <row r="2541" spans="1:16" x14ac:dyDescent="0.2">
      <c r="A2541" t="s">
        <v>4144</v>
      </c>
      <c r="B2541" s="1">
        <v>45151</v>
      </c>
      <c r="C2541" s="1">
        <v>45195</v>
      </c>
      <c r="D2541" t="s">
        <v>4145</v>
      </c>
      <c r="E2541" t="s">
        <v>18</v>
      </c>
      <c r="F2541" t="s">
        <v>45</v>
      </c>
      <c r="G2541" t="s">
        <v>20</v>
      </c>
      <c r="H2541" t="s">
        <v>47</v>
      </c>
      <c r="I2541" t="s">
        <v>77</v>
      </c>
      <c r="J2541">
        <v>2</v>
      </c>
      <c r="K2541">
        <v>3544000</v>
      </c>
      <c r="L2541" s="2" t="s">
        <v>4146</v>
      </c>
      <c r="M2541" t="s">
        <v>23</v>
      </c>
      <c r="N2541">
        <v>6258000</v>
      </c>
      <c r="O2541">
        <v>4.0999999999999996</v>
      </c>
      <c r="P2541" t="b">
        <v>0</v>
      </c>
    </row>
    <row r="2542" spans="1:16" x14ac:dyDescent="0.2">
      <c r="A2542" t="s">
        <v>4147</v>
      </c>
      <c r="B2542" s="1">
        <v>45151</v>
      </c>
      <c r="C2542" s="1">
        <v>45202</v>
      </c>
      <c r="D2542" t="s">
        <v>505</v>
      </c>
      <c r="E2542" t="s">
        <v>45</v>
      </c>
      <c r="F2542" t="s">
        <v>19</v>
      </c>
      <c r="G2542" t="s">
        <v>35</v>
      </c>
      <c r="H2542" t="s">
        <v>47</v>
      </c>
      <c r="I2542" t="s">
        <v>26</v>
      </c>
      <c r="J2542">
        <v>2</v>
      </c>
      <c r="K2542">
        <v>2491000</v>
      </c>
      <c r="L2542">
        <v>6.5413331697152202E-2</v>
      </c>
      <c r="M2542" t="s">
        <v>23</v>
      </c>
      <c r="N2542">
        <v>4656000</v>
      </c>
      <c r="O2542">
        <v>5</v>
      </c>
      <c r="P2542" t="b">
        <v>1</v>
      </c>
    </row>
    <row r="2543" spans="1:16" x14ac:dyDescent="0.2">
      <c r="A2543" t="s">
        <v>4148</v>
      </c>
      <c r="B2543" s="1">
        <v>45151</v>
      </c>
      <c r="C2543" s="1">
        <v>45227</v>
      </c>
      <c r="D2543" t="s">
        <v>289</v>
      </c>
      <c r="E2543" t="s">
        <v>45</v>
      </c>
      <c r="F2543" t="s">
        <v>34</v>
      </c>
      <c r="G2543" t="s">
        <v>20</v>
      </c>
      <c r="H2543" t="s">
        <v>21</v>
      </c>
      <c r="I2543" t="s">
        <v>60</v>
      </c>
      <c r="J2543">
        <v>3</v>
      </c>
      <c r="K2543">
        <v>4365000</v>
      </c>
      <c r="L2543" s="2" t="s">
        <v>4149</v>
      </c>
      <c r="M2543" t="s">
        <v>23</v>
      </c>
      <c r="N2543">
        <v>11089000</v>
      </c>
      <c r="O2543">
        <v>4.3</v>
      </c>
      <c r="P2543" t="b">
        <v>1</v>
      </c>
    </row>
    <row r="2544" spans="1:16" x14ac:dyDescent="0.2">
      <c r="A2544" t="s">
        <v>4150</v>
      </c>
      <c r="B2544" s="1">
        <v>45152</v>
      </c>
      <c r="C2544" s="1">
        <v>45259</v>
      </c>
      <c r="D2544" t="s">
        <v>4151</v>
      </c>
      <c r="E2544" t="s">
        <v>29</v>
      </c>
      <c r="F2544" t="s">
        <v>34</v>
      </c>
      <c r="G2544" t="s">
        <v>20</v>
      </c>
      <c r="H2544" t="s">
        <v>51</v>
      </c>
      <c r="I2544" t="s">
        <v>99</v>
      </c>
      <c r="J2544">
        <v>1</v>
      </c>
      <c r="K2544">
        <v>3769000</v>
      </c>
      <c r="L2544" s="2" t="s">
        <v>4152</v>
      </c>
      <c r="M2544" t="s">
        <v>23</v>
      </c>
      <c r="N2544">
        <v>3194000</v>
      </c>
      <c r="O2544">
        <v>4.2</v>
      </c>
      <c r="P2544" t="b">
        <v>0</v>
      </c>
    </row>
    <row r="2545" spans="1:16" x14ac:dyDescent="0.2">
      <c r="A2545" t="s">
        <v>4153</v>
      </c>
      <c r="B2545" s="1">
        <v>45153</v>
      </c>
      <c r="C2545" s="1">
        <v>45168</v>
      </c>
      <c r="D2545" t="s">
        <v>4154</v>
      </c>
      <c r="E2545" t="s">
        <v>18</v>
      </c>
      <c r="F2545" t="s">
        <v>39</v>
      </c>
      <c r="G2545" t="s">
        <v>50</v>
      </c>
      <c r="H2545" t="s">
        <v>21</v>
      </c>
      <c r="I2545" t="s">
        <v>52</v>
      </c>
      <c r="J2545">
        <v>1</v>
      </c>
      <c r="K2545">
        <v>2424000</v>
      </c>
      <c r="L2545">
        <v>8.4035587129985406E-2</v>
      </c>
      <c r="M2545" t="s">
        <v>65</v>
      </c>
      <c r="N2545">
        <v>0</v>
      </c>
      <c r="P2545" t="b">
        <v>0</v>
      </c>
    </row>
    <row r="2546" spans="1:16" x14ac:dyDescent="0.2">
      <c r="A2546" t="s">
        <v>4155</v>
      </c>
      <c r="B2546" s="1">
        <v>45153</v>
      </c>
      <c r="C2546" s="1">
        <v>45203</v>
      </c>
      <c r="D2546" t="s">
        <v>3670</v>
      </c>
      <c r="E2546" t="s">
        <v>18</v>
      </c>
      <c r="F2546" t="s">
        <v>25</v>
      </c>
      <c r="G2546" t="s">
        <v>50</v>
      </c>
      <c r="H2546" t="s">
        <v>21</v>
      </c>
      <c r="I2546" t="s">
        <v>77</v>
      </c>
      <c r="J2546">
        <v>4</v>
      </c>
      <c r="K2546">
        <v>5355000</v>
      </c>
      <c r="L2546">
        <v>5.3947709769190097E-2</v>
      </c>
      <c r="M2546" t="s">
        <v>23</v>
      </c>
      <c r="N2546">
        <v>20264000</v>
      </c>
      <c r="O2546">
        <v>4.3</v>
      </c>
      <c r="P2546" t="b">
        <v>1</v>
      </c>
    </row>
    <row r="2547" spans="1:16" x14ac:dyDescent="0.2">
      <c r="A2547" t="s">
        <v>4156</v>
      </c>
      <c r="B2547" s="1">
        <v>45154</v>
      </c>
      <c r="C2547" s="1">
        <v>45228</v>
      </c>
      <c r="D2547" t="s">
        <v>3793</v>
      </c>
      <c r="E2547" t="s">
        <v>45</v>
      </c>
      <c r="F2547" t="s">
        <v>19</v>
      </c>
      <c r="G2547" t="s">
        <v>20</v>
      </c>
      <c r="H2547" t="s">
        <v>47</v>
      </c>
      <c r="I2547" t="s">
        <v>94</v>
      </c>
      <c r="J2547">
        <v>1</v>
      </c>
      <c r="K2547">
        <v>2856000</v>
      </c>
      <c r="L2547" s="2" t="s">
        <v>4157</v>
      </c>
      <c r="M2547" t="s">
        <v>23</v>
      </c>
      <c r="N2547">
        <v>2418000</v>
      </c>
      <c r="O2547">
        <v>4.2</v>
      </c>
      <c r="P2547" t="b">
        <v>1</v>
      </c>
    </row>
    <row r="2548" spans="1:16" x14ac:dyDescent="0.2">
      <c r="A2548" t="s">
        <v>4158</v>
      </c>
      <c r="B2548" s="1">
        <v>45154</v>
      </c>
      <c r="C2548" s="1">
        <v>45211</v>
      </c>
      <c r="D2548" t="s">
        <v>1921</v>
      </c>
      <c r="E2548" t="s">
        <v>29</v>
      </c>
      <c r="F2548" t="s">
        <v>19</v>
      </c>
      <c r="G2548" t="s">
        <v>35</v>
      </c>
      <c r="H2548" t="s">
        <v>21</v>
      </c>
      <c r="I2548" t="s">
        <v>26</v>
      </c>
      <c r="J2548">
        <v>1</v>
      </c>
      <c r="K2548">
        <v>2521000</v>
      </c>
      <c r="L2548">
        <v>5.4922712174741803E-2</v>
      </c>
      <c r="M2548" t="s">
        <v>23</v>
      </c>
      <c r="N2548">
        <v>2383000</v>
      </c>
      <c r="O2548">
        <v>3.4</v>
      </c>
      <c r="P2548" t="b">
        <v>1</v>
      </c>
    </row>
    <row r="2549" spans="1:16" x14ac:dyDescent="0.2">
      <c r="A2549" t="s">
        <v>4159</v>
      </c>
      <c r="B2549" s="1">
        <v>45155</v>
      </c>
      <c r="C2549" s="1">
        <v>45214</v>
      </c>
      <c r="D2549" t="s">
        <v>3578</v>
      </c>
      <c r="E2549" t="s">
        <v>45</v>
      </c>
      <c r="F2549" t="s">
        <v>19</v>
      </c>
      <c r="G2549" t="s">
        <v>20</v>
      </c>
      <c r="H2549" t="s">
        <v>47</v>
      </c>
      <c r="I2549" t="s">
        <v>60</v>
      </c>
      <c r="J2549">
        <v>2</v>
      </c>
      <c r="K2549">
        <v>2652000</v>
      </c>
      <c r="L2549" s="2" t="s">
        <v>4160</v>
      </c>
      <c r="M2549" t="s">
        <v>23</v>
      </c>
      <c r="N2549">
        <v>4736000</v>
      </c>
      <c r="O2549">
        <v>4.9000000000000004</v>
      </c>
      <c r="P2549" t="b">
        <v>1</v>
      </c>
    </row>
    <row r="2550" spans="1:16" x14ac:dyDescent="0.2">
      <c r="A2550" t="s">
        <v>4161</v>
      </c>
      <c r="B2550" s="1">
        <v>45155</v>
      </c>
      <c r="C2550" s="1">
        <v>45181</v>
      </c>
      <c r="D2550" t="s">
        <v>4162</v>
      </c>
      <c r="E2550" t="s">
        <v>29</v>
      </c>
      <c r="F2550" t="s">
        <v>34</v>
      </c>
      <c r="G2550" t="s">
        <v>20</v>
      </c>
      <c r="H2550" t="s">
        <v>21</v>
      </c>
      <c r="I2550" t="s">
        <v>94</v>
      </c>
      <c r="J2550">
        <v>1</v>
      </c>
      <c r="K2550">
        <v>4189000</v>
      </c>
      <c r="L2550" s="2" t="s">
        <v>4163</v>
      </c>
      <c r="M2550" t="s">
        <v>23</v>
      </c>
      <c r="N2550">
        <v>3569000</v>
      </c>
      <c r="O2550">
        <v>4.0999999999999996</v>
      </c>
      <c r="P2550" t="b">
        <v>0</v>
      </c>
    </row>
    <row r="2551" spans="1:16" x14ac:dyDescent="0.2">
      <c r="A2551" t="s">
        <v>4164</v>
      </c>
      <c r="B2551" s="1">
        <v>45155</v>
      </c>
      <c r="C2551" s="1">
        <v>45211</v>
      </c>
      <c r="D2551" t="s">
        <v>4165</v>
      </c>
      <c r="E2551" t="s">
        <v>29</v>
      </c>
      <c r="F2551" t="s">
        <v>19</v>
      </c>
      <c r="G2551" t="s">
        <v>20</v>
      </c>
      <c r="H2551" t="s">
        <v>21</v>
      </c>
      <c r="I2551" t="s">
        <v>52</v>
      </c>
      <c r="J2551">
        <v>2</v>
      </c>
      <c r="K2551">
        <v>2490000</v>
      </c>
      <c r="L2551" s="2" t="s">
        <v>4166</v>
      </c>
      <c r="M2551" t="s">
        <v>23</v>
      </c>
      <c r="N2551">
        <v>4430000</v>
      </c>
      <c r="O2551">
        <v>3.6</v>
      </c>
      <c r="P2551" t="b">
        <v>0</v>
      </c>
    </row>
    <row r="2552" spans="1:16" x14ac:dyDescent="0.2">
      <c r="A2552" t="s">
        <v>4167</v>
      </c>
      <c r="B2552" s="1">
        <v>45155</v>
      </c>
      <c r="C2552" s="1">
        <v>45219</v>
      </c>
      <c r="D2552" t="s">
        <v>4168</v>
      </c>
      <c r="E2552" t="s">
        <v>45</v>
      </c>
      <c r="F2552" t="s">
        <v>34</v>
      </c>
      <c r="G2552" t="s">
        <v>35</v>
      </c>
      <c r="H2552" t="s">
        <v>40</v>
      </c>
      <c r="I2552" t="s">
        <v>77</v>
      </c>
      <c r="J2552">
        <v>1</v>
      </c>
      <c r="K2552">
        <v>4105000</v>
      </c>
      <c r="L2552">
        <v>9.7553758420279007E-3</v>
      </c>
      <c r="M2552" t="s">
        <v>23</v>
      </c>
      <c r="N2552">
        <v>4065000</v>
      </c>
      <c r="O2552">
        <v>4.2</v>
      </c>
      <c r="P2552" t="b">
        <v>0</v>
      </c>
    </row>
    <row r="2553" spans="1:16" x14ac:dyDescent="0.2">
      <c r="A2553" t="s">
        <v>4169</v>
      </c>
      <c r="B2553" s="1">
        <v>45155</v>
      </c>
      <c r="C2553" s="1">
        <v>45197</v>
      </c>
      <c r="D2553" t="s">
        <v>4170</v>
      </c>
      <c r="E2553" t="s">
        <v>18</v>
      </c>
      <c r="F2553" t="s">
        <v>25</v>
      </c>
      <c r="G2553" t="s">
        <v>20</v>
      </c>
      <c r="I2553" t="s">
        <v>94</v>
      </c>
      <c r="J2553">
        <v>2</v>
      </c>
      <c r="K2553">
        <v>4643000</v>
      </c>
      <c r="L2553">
        <v>5.16290727946426E-2</v>
      </c>
      <c r="M2553" t="s">
        <v>23</v>
      </c>
      <c r="N2553">
        <v>8807000</v>
      </c>
      <c r="O2553">
        <v>3.9</v>
      </c>
      <c r="P2553" t="b">
        <v>0</v>
      </c>
    </row>
    <row r="2554" spans="1:16" x14ac:dyDescent="0.2">
      <c r="A2554" t="s">
        <v>4171</v>
      </c>
      <c r="B2554" s="1">
        <v>45155</v>
      </c>
      <c r="C2554" s="1">
        <v>45196</v>
      </c>
      <c r="D2554" t="s">
        <v>3964</v>
      </c>
      <c r="E2554" t="s">
        <v>29</v>
      </c>
      <c r="F2554" t="s">
        <v>34</v>
      </c>
      <c r="G2554" t="s">
        <v>35</v>
      </c>
      <c r="H2554" t="s">
        <v>21</v>
      </c>
      <c r="I2554" t="s">
        <v>83</v>
      </c>
      <c r="J2554">
        <v>1</v>
      </c>
      <c r="K2554">
        <v>4038000</v>
      </c>
      <c r="L2554" s="2" t="s">
        <v>4172</v>
      </c>
      <c r="M2554" t="s">
        <v>23</v>
      </c>
      <c r="N2554">
        <v>3627000</v>
      </c>
      <c r="O2554">
        <v>4.7</v>
      </c>
      <c r="P2554" t="b">
        <v>1</v>
      </c>
    </row>
    <row r="2555" spans="1:16" x14ac:dyDescent="0.2">
      <c r="A2555" t="s">
        <v>4173</v>
      </c>
      <c r="B2555" s="1">
        <v>45155</v>
      </c>
      <c r="C2555" s="1">
        <v>45210</v>
      </c>
      <c r="D2555" t="s">
        <v>4174</v>
      </c>
      <c r="E2555" t="s">
        <v>33</v>
      </c>
      <c r="F2555" t="s">
        <v>39</v>
      </c>
      <c r="G2555" t="s">
        <v>50</v>
      </c>
      <c r="H2555" t="s">
        <v>47</v>
      </c>
      <c r="I2555" t="s">
        <v>60</v>
      </c>
      <c r="J2555">
        <v>1</v>
      </c>
      <c r="K2555">
        <v>2396000</v>
      </c>
      <c r="L2555">
        <v>7.4072315344032497E-2</v>
      </c>
      <c r="M2555" t="s">
        <v>23</v>
      </c>
      <c r="N2555">
        <v>2219000</v>
      </c>
      <c r="O2555">
        <v>3.9</v>
      </c>
      <c r="P2555" t="b">
        <v>0</v>
      </c>
    </row>
    <row r="2556" spans="1:16" x14ac:dyDescent="0.2">
      <c r="A2556" t="s">
        <v>4175</v>
      </c>
      <c r="B2556" s="1">
        <v>45156</v>
      </c>
      <c r="C2556" s="1">
        <v>45215</v>
      </c>
      <c r="D2556" t="s">
        <v>3313</v>
      </c>
      <c r="E2556" t="s">
        <v>18</v>
      </c>
      <c r="F2556" t="s">
        <v>45</v>
      </c>
      <c r="G2556" t="s">
        <v>35</v>
      </c>
      <c r="H2556" t="s">
        <v>21</v>
      </c>
      <c r="I2556" t="s">
        <v>57</v>
      </c>
      <c r="J2556">
        <v>3</v>
      </c>
      <c r="K2556">
        <v>3670000</v>
      </c>
      <c r="L2556" s="2" t="s">
        <v>4176</v>
      </c>
      <c r="M2556" t="s">
        <v>23</v>
      </c>
      <c r="N2556">
        <v>9132000</v>
      </c>
      <c r="O2556">
        <v>5</v>
      </c>
      <c r="P2556" t="b">
        <v>1</v>
      </c>
    </row>
    <row r="2557" spans="1:16" x14ac:dyDescent="0.2">
      <c r="A2557" t="s">
        <v>4177</v>
      </c>
      <c r="B2557" s="1">
        <v>45156</v>
      </c>
      <c r="C2557" s="1">
        <v>45203</v>
      </c>
      <c r="D2557" t="s">
        <v>477</v>
      </c>
      <c r="E2557" t="s">
        <v>29</v>
      </c>
      <c r="F2557" t="s">
        <v>34</v>
      </c>
      <c r="G2557" t="s">
        <v>50</v>
      </c>
      <c r="H2557" t="s">
        <v>47</v>
      </c>
      <c r="I2557" t="s">
        <v>26</v>
      </c>
      <c r="J2557">
        <v>1</v>
      </c>
      <c r="K2557">
        <v>4048000</v>
      </c>
      <c r="L2557" s="2" t="s">
        <v>4178</v>
      </c>
      <c r="M2557" t="s">
        <v>23</v>
      </c>
      <c r="N2557">
        <v>3527000</v>
      </c>
      <c r="O2557">
        <v>4.0999999999999996</v>
      </c>
      <c r="P2557" t="b">
        <v>1</v>
      </c>
    </row>
    <row r="2558" spans="1:16" x14ac:dyDescent="0.2">
      <c r="A2558" t="s">
        <v>4179</v>
      </c>
      <c r="B2558" s="1">
        <v>45156</v>
      </c>
      <c r="C2558" s="1">
        <v>45203</v>
      </c>
      <c r="D2558" t="s">
        <v>4180</v>
      </c>
      <c r="E2558" t="s">
        <v>33</v>
      </c>
      <c r="F2558" t="s">
        <v>34</v>
      </c>
      <c r="G2558" t="s">
        <v>20</v>
      </c>
      <c r="H2558" t="s">
        <v>47</v>
      </c>
      <c r="I2558" t="s">
        <v>77</v>
      </c>
      <c r="J2558">
        <v>1</v>
      </c>
      <c r="K2558">
        <v>4013000</v>
      </c>
      <c r="L2558" s="2" t="s">
        <v>4181</v>
      </c>
      <c r="M2558" t="s">
        <v>23</v>
      </c>
      <c r="N2558">
        <v>3590000</v>
      </c>
      <c r="O2558">
        <v>3.5</v>
      </c>
      <c r="P2558" t="b">
        <v>0</v>
      </c>
    </row>
    <row r="2559" spans="1:16" x14ac:dyDescent="0.2">
      <c r="A2559" t="s">
        <v>4182</v>
      </c>
      <c r="B2559" s="1">
        <v>45156</v>
      </c>
      <c r="C2559" s="1">
        <v>45213</v>
      </c>
      <c r="D2559" t="s">
        <v>3022</v>
      </c>
      <c r="E2559" t="s">
        <v>29</v>
      </c>
      <c r="F2559" t="s">
        <v>34</v>
      </c>
      <c r="G2559" t="s">
        <v>20</v>
      </c>
      <c r="H2559" t="s">
        <v>21</v>
      </c>
      <c r="I2559" t="s">
        <v>52</v>
      </c>
      <c r="J2559">
        <v>2</v>
      </c>
      <c r="K2559">
        <v>3015000</v>
      </c>
      <c r="L2559" s="2" t="s">
        <v>4183</v>
      </c>
      <c r="M2559" t="s">
        <v>23</v>
      </c>
      <c r="N2559">
        <v>5200000</v>
      </c>
      <c r="O2559">
        <v>4</v>
      </c>
      <c r="P2559" t="b">
        <v>1</v>
      </c>
    </row>
    <row r="2560" spans="1:16" x14ac:dyDescent="0.2">
      <c r="A2560" t="s">
        <v>4184</v>
      </c>
      <c r="B2560" s="1">
        <v>45157</v>
      </c>
      <c r="C2560" s="1">
        <v>45199</v>
      </c>
      <c r="D2560" t="s">
        <v>3146</v>
      </c>
      <c r="E2560" t="s">
        <v>18</v>
      </c>
      <c r="F2560" t="s">
        <v>39</v>
      </c>
      <c r="G2560" t="s">
        <v>20</v>
      </c>
      <c r="H2560" t="s">
        <v>21</v>
      </c>
      <c r="I2560" t="s">
        <v>57</v>
      </c>
      <c r="J2560">
        <v>3</v>
      </c>
      <c r="K2560">
        <v>2486000</v>
      </c>
      <c r="L2560">
        <v>6.0694164943602497E-2</v>
      </c>
      <c r="M2560" t="s">
        <v>23</v>
      </c>
      <c r="N2560">
        <v>7005000</v>
      </c>
      <c r="O2560">
        <v>4.0999999999999996</v>
      </c>
      <c r="P2560" t="b">
        <v>1</v>
      </c>
    </row>
    <row r="2561" spans="1:16" x14ac:dyDescent="0.2">
      <c r="A2561" t="s">
        <v>4185</v>
      </c>
      <c r="B2561" s="1">
        <v>45157</v>
      </c>
      <c r="C2561" s="1">
        <v>45189</v>
      </c>
      <c r="D2561" t="s">
        <v>2119</v>
      </c>
      <c r="E2561" t="s">
        <v>18</v>
      </c>
      <c r="F2561" t="s">
        <v>19</v>
      </c>
      <c r="G2561" t="s">
        <v>35</v>
      </c>
      <c r="H2561" t="s">
        <v>51</v>
      </c>
      <c r="I2561" t="s">
        <v>30</v>
      </c>
      <c r="J2561">
        <v>1</v>
      </c>
      <c r="K2561">
        <v>2359000</v>
      </c>
      <c r="L2561">
        <v>6.49066611241777E-2</v>
      </c>
      <c r="M2561" t="s">
        <v>23</v>
      </c>
      <c r="N2561">
        <v>2206000</v>
      </c>
      <c r="O2561">
        <v>5</v>
      </c>
      <c r="P2561" t="b">
        <v>1</v>
      </c>
    </row>
    <row r="2562" spans="1:16" x14ac:dyDescent="0.2">
      <c r="A2562" t="s">
        <v>4186</v>
      </c>
      <c r="B2562" s="1">
        <v>45158</v>
      </c>
      <c r="C2562" s="1">
        <v>45220</v>
      </c>
      <c r="D2562" t="s">
        <v>4187</v>
      </c>
      <c r="E2562" t="s">
        <v>45</v>
      </c>
      <c r="F2562" t="s">
        <v>25</v>
      </c>
      <c r="G2562" t="s">
        <v>35</v>
      </c>
      <c r="H2562" t="s">
        <v>21</v>
      </c>
      <c r="I2562" t="s">
        <v>60</v>
      </c>
      <c r="J2562">
        <v>3</v>
      </c>
      <c r="K2562">
        <v>5485000</v>
      </c>
      <c r="L2562" s="2" t="s">
        <v>4188</v>
      </c>
      <c r="M2562" t="s">
        <v>23</v>
      </c>
      <c r="N2562">
        <v>14415000</v>
      </c>
      <c r="O2562">
        <v>4.5999999999999996</v>
      </c>
      <c r="P2562" t="b">
        <v>0</v>
      </c>
    </row>
    <row r="2563" spans="1:16" x14ac:dyDescent="0.2">
      <c r="A2563" t="s">
        <v>4189</v>
      </c>
      <c r="B2563" s="1">
        <v>45158</v>
      </c>
      <c r="C2563" s="1">
        <v>45238</v>
      </c>
      <c r="D2563" t="s">
        <v>4190</v>
      </c>
      <c r="E2563" t="s">
        <v>18</v>
      </c>
      <c r="F2563" t="s">
        <v>34</v>
      </c>
      <c r="G2563" t="s">
        <v>20</v>
      </c>
      <c r="H2563" t="s">
        <v>21</v>
      </c>
      <c r="I2563" t="s">
        <v>60</v>
      </c>
      <c r="J2563">
        <v>3</v>
      </c>
      <c r="K2563">
        <v>4570000</v>
      </c>
      <c r="L2563" s="2" t="s">
        <v>4191</v>
      </c>
      <c r="M2563" t="s">
        <v>23</v>
      </c>
      <c r="N2563">
        <v>11553000</v>
      </c>
      <c r="O2563">
        <v>4.0999999999999996</v>
      </c>
      <c r="P2563" t="b">
        <v>0</v>
      </c>
    </row>
    <row r="2564" spans="1:16" x14ac:dyDescent="0.2">
      <c r="A2564" t="s">
        <v>4192</v>
      </c>
      <c r="B2564" s="1">
        <v>45158</v>
      </c>
      <c r="C2564" s="1">
        <v>45250</v>
      </c>
      <c r="D2564" t="s">
        <v>4193</v>
      </c>
      <c r="F2564" t="s">
        <v>45</v>
      </c>
      <c r="G2564" t="s">
        <v>35</v>
      </c>
      <c r="H2564" t="s">
        <v>21</v>
      </c>
      <c r="J2564">
        <v>3</v>
      </c>
      <c r="K2564">
        <v>2953000</v>
      </c>
      <c r="L2564" s="2" t="s">
        <v>4194</v>
      </c>
      <c r="M2564" t="s">
        <v>65</v>
      </c>
      <c r="N2564">
        <v>0</v>
      </c>
      <c r="P2564" t="b">
        <v>0</v>
      </c>
    </row>
    <row r="2565" spans="1:16" x14ac:dyDescent="0.2">
      <c r="A2565" t="s">
        <v>4195</v>
      </c>
      <c r="B2565" s="1">
        <v>45158</v>
      </c>
      <c r="C2565" s="1">
        <v>45197</v>
      </c>
      <c r="D2565" t="s">
        <v>896</v>
      </c>
      <c r="E2565" t="s">
        <v>18</v>
      </c>
      <c r="F2565" t="s">
        <v>19</v>
      </c>
      <c r="G2565" t="s">
        <v>20</v>
      </c>
      <c r="H2565" t="s">
        <v>40</v>
      </c>
      <c r="I2565" t="s">
        <v>99</v>
      </c>
      <c r="J2565">
        <v>1</v>
      </c>
      <c r="K2565">
        <v>2265000</v>
      </c>
      <c r="L2565" s="2" t="s">
        <v>4196</v>
      </c>
      <c r="M2565" t="s">
        <v>23</v>
      </c>
      <c r="N2565">
        <v>1912000</v>
      </c>
      <c r="O2565">
        <v>4.5999999999999996</v>
      </c>
      <c r="P2565" t="b">
        <v>1</v>
      </c>
    </row>
    <row r="2566" spans="1:16" x14ac:dyDescent="0.2">
      <c r="A2566" t="s">
        <v>4197</v>
      </c>
      <c r="B2566" s="1">
        <v>45158</v>
      </c>
      <c r="C2566" s="1">
        <v>45193</v>
      </c>
      <c r="D2566" t="s">
        <v>752</v>
      </c>
      <c r="E2566" t="s">
        <v>33</v>
      </c>
      <c r="F2566" t="s">
        <v>45</v>
      </c>
      <c r="G2566" t="s">
        <v>20</v>
      </c>
      <c r="H2566" t="s">
        <v>40</v>
      </c>
      <c r="I2566" t="s">
        <v>52</v>
      </c>
      <c r="J2566">
        <v>1</v>
      </c>
      <c r="K2566">
        <v>3093000</v>
      </c>
      <c r="L2566" s="2" t="s">
        <v>4198</v>
      </c>
      <c r="M2566" t="s">
        <v>23</v>
      </c>
      <c r="N2566">
        <v>2688000</v>
      </c>
      <c r="O2566">
        <v>4</v>
      </c>
      <c r="P2566" t="b">
        <v>1</v>
      </c>
    </row>
    <row r="2567" spans="1:16" x14ac:dyDescent="0.2">
      <c r="A2567" t="s">
        <v>4199</v>
      </c>
      <c r="B2567" s="1">
        <v>45158</v>
      </c>
      <c r="C2567" s="1">
        <v>45218</v>
      </c>
      <c r="D2567" t="s">
        <v>365</v>
      </c>
      <c r="E2567" t="s">
        <v>18</v>
      </c>
      <c r="F2567" t="s">
        <v>68</v>
      </c>
      <c r="G2567" t="s">
        <v>20</v>
      </c>
      <c r="H2567" t="s">
        <v>47</v>
      </c>
      <c r="I2567" t="s">
        <v>4200</v>
      </c>
      <c r="J2567">
        <v>2</v>
      </c>
      <c r="K2567">
        <v>2396000</v>
      </c>
      <c r="L2567" s="2" t="s">
        <v>4201</v>
      </c>
      <c r="M2567" t="s">
        <v>23</v>
      </c>
      <c r="N2567">
        <v>4272000</v>
      </c>
      <c r="O2567">
        <v>4</v>
      </c>
      <c r="P2567" t="b">
        <v>1</v>
      </c>
    </row>
    <row r="2568" spans="1:16" x14ac:dyDescent="0.2">
      <c r="A2568" t="s">
        <v>4202</v>
      </c>
      <c r="B2568" s="1">
        <v>45159</v>
      </c>
      <c r="C2568" s="1">
        <v>45208</v>
      </c>
      <c r="D2568" t="s">
        <v>1962</v>
      </c>
      <c r="F2568" t="s">
        <v>39</v>
      </c>
      <c r="G2568" t="s">
        <v>20</v>
      </c>
      <c r="H2568" t="s">
        <v>47</v>
      </c>
      <c r="I2568" t="s">
        <v>30</v>
      </c>
      <c r="J2568">
        <v>1</v>
      </c>
      <c r="K2568">
        <v>2616000</v>
      </c>
      <c r="L2568">
        <v>9.3386240612584895E-2</v>
      </c>
      <c r="M2568" t="s">
        <v>65</v>
      </c>
      <c r="N2568">
        <v>0</v>
      </c>
      <c r="P2568" t="b">
        <v>1</v>
      </c>
    </row>
    <row r="2569" spans="1:16" x14ac:dyDescent="0.2">
      <c r="A2569" t="s">
        <v>4203</v>
      </c>
      <c r="B2569" s="1">
        <v>45159</v>
      </c>
      <c r="C2569" s="1">
        <v>45226</v>
      </c>
      <c r="D2569" t="s">
        <v>2181</v>
      </c>
      <c r="E2569" t="s">
        <v>33</v>
      </c>
      <c r="F2569" t="s">
        <v>34</v>
      </c>
      <c r="H2569" t="s">
        <v>21</v>
      </c>
      <c r="J2569">
        <v>1</v>
      </c>
      <c r="K2569">
        <v>4541000</v>
      </c>
      <c r="L2569">
        <v>6.2669982771096699E-2</v>
      </c>
      <c r="M2569" t="s">
        <v>23</v>
      </c>
      <c r="N2569">
        <v>4256000</v>
      </c>
      <c r="O2569">
        <v>4.5</v>
      </c>
      <c r="P2569" t="b">
        <v>1</v>
      </c>
    </row>
    <row r="2570" spans="1:16" x14ac:dyDescent="0.2">
      <c r="A2570" t="s">
        <v>4204</v>
      </c>
      <c r="B2570" s="1">
        <v>45160</v>
      </c>
      <c r="C2570" s="1">
        <v>45214</v>
      </c>
      <c r="D2570" t="s">
        <v>296</v>
      </c>
      <c r="E2570" t="s">
        <v>18</v>
      </c>
      <c r="F2570" t="s">
        <v>68</v>
      </c>
      <c r="G2570" t="s">
        <v>35</v>
      </c>
      <c r="H2570" t="s">
        <v>40</v>
      </c>
      <c r="I2570" t="s">
        <v>22</v>
      </c>
      <c r="J2570">
        <v>1</v>
      </c>
      <c r="K2570">
        <v>2475000</v>
      </c>
      <c r="L2570">
        <v>8.4373583852302605E-2</v>
      </c>
      <c r="M2570" t="s">
        <v>65</v>
      </c>
      <c r="N2570">
        <v>0</v>
      </c>
      <c r="P2570" t="b">
        <v>1</v>
      </c>
    </row>
    <row r="2571" spans="1:16" x14ac:dyDescent="0.2">
      <c r="A2571" t="s">
        <v>4205</v>
      </c>
      <c r="B2571" s="1">
        <v>45160</v>
      </c>
      <c r="C2571" s="1">
        <v>45229</v>
      </c>
      <c r="D2571" t="s">
        <v>4206</v>
      </c>
      <c r="E2571" t="s">
        <v>45</v>
      </c>
      <c r="F2571" t="s">
        <v>34</v>
      </c>
      <c r="G2571" t="s">
        <v>20</v>
      </c>
      <c r="H2571" t="s">
        <v>51</v>
      </c>
      <c r="I2571" t="s">
        <v>26</v>
      </c>
      <c r="J2571">
        <v>2</v>
      </c>
      <c r="K2571">
        <v>4130000</v>
      </c>
      <c r="L2571">
        <v>7.9495958611926501E-2</v>
      </c>
      <c r="M2571" t="s">
        <v>23</v>
      </c>
      <c r="N2571">
        <v>7603000</v>
      </c>
      <c r="O2571">
        <v>4.4000000000000004</v>
      </c>
      <c r="P2571" t="b">
        <v>0</v>
      </c>
    </row>
    <row r="2572" spans="1:16" x14ac:dyDescent="0.2">
      <c r="A2572" t="s">
        <v>4207</v>
      </c>
      <c r="B2572" s="1">
        <v>45160</v>
      </c>
      <c r="C2572" s="1">
        <v>45230</v>
      </c>
      <c r="D2572" t="s">
        <v>468</v>
      </c>
      <c r="E2572" t="s">
        <v>45</v>
      </c>
      <c r="F2572" t="s">
        <v>34</v>
      </c>
      <c r="G2572" t="s">
        <v>35</v>
      </c>
      <c r="H2572" t="s">
        <v>47</v>
      </c>
      <c r="I2572" t="s">
        <v>22</v>
      </c>
      <c r="J2572">
        <v>1</v>
      </c>
      <c r="K2572">
        <v>3340000</v>
      </c>
      <c r="L2572">
        <v>3.9196094181905103E-2</v>
      </c>
      <c r="M2572" t="s">
        <v>23</v>
      </c>
      <c r="N2572">
        <v>3209000</v>
      </c>
      <c r="O2572">
        <v>4.5999999999999996</v>
      </c>
      <c r="P2572" t="b">
        <v>1</v>
      </c>
    </row>
    <row r="2573" spans="1:16" x14ac:dyDescent="0.2">
      <c r="A2573" t="s">
        <v>4208</v>
      </c>
      <c r="B2573" s="1">
        <v>45160</v>
      </c>
      <c r="C2573" s="1">
        <v>45251</v>
      </c>
      <c r="D2573" t="s">
        <v>4209</v>
      </c>
      <c r="E2573" t="s">
        <v>45</v>
      </c>
      <c r="F2573" t="s">
        <v>19</v>
      </c>
      <c r="G2573" t="s">
        <v>50</v>
      </c>
      <c r="H2573" t="s">
        <v>51</v>
      </c>
      <c r="I2573" t="s">
        <v>99</v>
      </c>
      <c r="J2573">
        <v>1</v>
      </c>
      <c r="K2573">
        <v>2260000</v>
      </c>
      <c r="L2573" s="2" t="s">
        <v>4210</v>
      </c>
      <c r="M2573" t="s">
        <v>23</v>
      </c>
      <c r="N2573">
        <v>2017000</v>
      </c>
      <c r="O2573">
        <v>4.2</v>
      </c>
      <c r="P2573" t="b">
        <v>0</v>
      </c>
    </row>
    <row r="2574" spans="1:16" x14ac:dyDescent="0.2">
      <c r="A2574" t="s">
        <v>4211</v>
      </c>
      <c r="B2574" s="1">
        <v>45161</v>
      </c>
      <c r="C2574" s="1">
        <v>45183</v>
      </c>
      <c r="D2574" t="s">
        <v>4212</v>
      </c>
      <c r="E2574" t="s">
        <v>18</v>
      </c>
      <c r="F2574" t="s">
        <v>19</v>
      </c>
      <c r="G2574" t="s">
        <v>50</v>
      </c>
      <c r="H2574" t="s">
        <v>21</v>
      </c>
      <c r="I2574" t="s">
        <v>1654</v>
      </c>
      <c r="J2574">
        <v>1</v>
      </c>
      <c r="K2574">
        <v>2721000</v>
      </c>
      <c r="L2574">
        <v>9.3779896464215598E-2</v>
      </c>
      <c r="M2574" t="s">
        <v>23</v>
      </c>
      <c r="N2574">
        <v>2466000</v>
      </c>
      <c r="O2574">
        <v>4.5</v>
      </c>
      <c r="P2574" t="b">
        <v>0</v>
      </c>
    </row>
    <row r="2575" spans="1:16" x14ac:dyDescent="0.2">
      <c r="A2575" t="s">
        <v>4213</v>
      </c>
      <c r="B2575" s="1">
        <v>45161</v>
      </c>
      <c r="C2575" s="1">
        <v>45230</v>
      </c>
      <c r="D2575" t="s">
        <v>4214</v>
      </c>
      <c r="E2575" t="s">
        <v>45</v>
      </c>
      <c r="F2575" t="s">
        <v>45</v>
      </c>
      <c r="G2575" t="s">
        <v>50</v>
      </c>
      <c r="H2575" t="s">
        <v>21</v>
      </c>
      <c r="I2575" t="s">
        <v>60</v>
      </c>
      <c r="J2575">
        <v>3</v>
      </c>
      <c r="K2575">
        <v>3496000</v>
      </c>
      <c r="L2575" s="2" t="s">
        <v>4215</v>
      </c>
      <c r="M2575" t="s">
        <v>23</v>
      </c>
      <c r="N2575">
        <v>9395000</v>
      </c>
      <c r="O2575">
        <v>3.8</v>
      </c>
      <c r="P2575" t="b">
        <v>0</v>
      </c>
    </row>
    <row r="2576" spans="1:16" x14ac:dyDescent="0.2">
      <c r="A2576" t="s">
        <v>4216</v>
      </c>
      <c r="B2576" s="1">
        <v>45161</v>
      </c>
      <c r="C2576" s="1">
        <v>45229</v>
      </c>
      <c r="D2576" t="s">
        <v>294</v>
      </c>
      <c r="E2576" t="s">
        <v>45</v>
      </c>
      <c r="F2576" t="s">
        <v>39</v>
      </c>
      <c r="G2576" t="s">
        <v>20</v>
      </c>
      <c r="H2576" t="s">
        <v>47</v>
      </c>
      <c r="I2576" t="s">
        <v>77</v>
      </c>
      <c r="J2576">
        <v>4</v>
      </c>
      <c r="K2576">
        <v>2627000</v>
      </c>
      <c r="L2576" s="2" t="s">
        <v>4217</v>
      </c>
      <c r="M2576" t="s">
        <v>23</v>
      </c>
      <c r="N2576">
        <v>8986000</v>
      </c>
      <c r="O2576">
        <v>4.2</v>
      </c>
      <c r="P2576" t="b">
        <v>1</v>
      </c>
    </row>
    <row r="2577" spans="1:16" x14ac:dyDescent="0.2">
      <c r="A2577" t="s">
        <v>4218</v>
      </c>
      <c r="B2577" s="1">
        <v>45162</v>
      </c>
      <c r="C2577" s="1">
        <v>45200</v>
      </c>
      <c r="D2577" t="s">
        <v>206</v>
      </c>
      <c r="E2577" t="s">
        <v>18</v>
      </c>
      <c r="F2577" t="s">
        <v>68</v>
      </c>
      <c r="G2577" t="s">
        <v>20</v>
      </c>
      <c r="H2577" t="s">
        <v>47</v>
      </c>
      <c r="I2577" t="s">
        <v>26</v>
      </c>
      <c r="J2577">
        <v>4</v>
      </c>
      <c r="K2577">
        <v>2647000</v>
      </c>
      <c r="L2577" s="2" t="s">
        <v>4219</v>
      </c>
      <c r="M2577" t="s">
        <v>23</v>
      </c>
      <c r="N2577">
        <v>8748000</v>
      </c>
      <c r="O2577">
        <v>4.3</v>
      </c>
      <c r="P2577" t="b">
        <v>1</v>
      </c>
    </row>
    <row r="2578" spans="1:16" x14ac:dyDescent="0.2">
      <c r="A2578" t="s">
        <v>4220</v>
      </c>
      <c r="B2578" s="1">
        <v>45163</v>
      </c>
      <c r="C2578" s="1">
        <v>45194</v>
      </c>
      <c r="D2578" t="s">
        <v>620</v>
      </c>
      <c r="E2578" t="s">
        <v>45</v>
      </c>
      <c r="F2578" t="s">
        <v>19</v>
      </c>
      <c r="G2578" t="s">
        <v>46</v>
      </c>
      <c r="H2578" t="s">
        <v>21</v>
      </c>
      <c r="I2578" t="s">
        <v>83</v>
      </c>
      <c r="J2578">
        <v>3</v>
      </c>
      <c r="K2578">
        <v>2715000</v>
      </c>
      <c r="L2578">
        <v>3.8346679975200602E-2</v>
      </c>
      <c r="M2578" t="s">
        <v>23</v>
      </c>
      <c r="N2578">
        <v>7833000</v>
      </c>
      <c r="O2578">
        <v>4.2</v>
      </c>
      <c r="P2578" t="b">
        <v>1</v>
      </c>
    </row>
    <row r="2579" spans="1:16" x14ac:dyDescent="0.2">
      <c r="A2579" t="s">
        <v>4221</v>
      </c>
      <c r="B2579" s="1">
        <v>45163</v>
      </c>
      <c r="C2579" s="1">
        <v>45221</v>
      </c>
      <c r="D2579" t="s">
        <v>1370</v>
      </c>
      <c r="E2579" t="s">
        <v>29</v>
      </c>
      <c r="F2579" t="s">
        <v>19</v>
      </c>
      <c r="G2579" t="s">
        <v>35</v>
      </c>
      <c r="H2579" t="s">
        <v>21</v>
      </c>
      <c r="I2579" t="s">
        <v>57</v>
      </c>
      <c r="J2579">
        <v>2</v>
      </c>
      <c r="K2579">
        <v>3259000</v>
      </c>
      <c r="L2579" s="2" t="s">
        <v>4222</v>
      </c>
      <c r="M2579" t="s">
        <v>23</v>
      </c>
      <c r="N2579">
        <v>5862000</v>
      </c>
      <c r="O2579">
        <v>4.2</v>
      </c>
      <c r="P2579" t="b">
        <v>1</v>
      </c>
    </row>
    <row r="2580" spans="1:16" x14ac:dyDescent="0.2">
      <c r="A2580" t="s">
        <v>4223</v>
      </c>
      <c r="B2580" s="1">
        <v>45163</v>
      </c>
      <c r="C2580" s="1">
        <v>45263</v>
      </c>
      <c r="D2580" t="s">
        <v>4224</v>
      </c>
      <c r="E2580" t="s">
        <v>18</v>
      </c>
      <c r="F2580" t="s">
        <v>39</v>
      </c>
      <c r="H2580" t="s">
        <v>47</v>
      </c>
      <c r="I2580" t="s">
        <v>77</v>
      </c>
      <c r="J2580">
        <v>3</v>
      </c>
      <c r="K2580">
        <v>2457000</v>
      </c>
      <c r="L2580" s="2" t="s">
        <v>4225</v>
      </c>
      <c r="M2580" t="s">
        <v>23</v>
      </c>
      <c r="N2580">
        <v>6414000</v>
      </c>
      <c r="O2580">
        <v>4</v>
      </c>
      <c r="P2580" t="b">
        <v>0</v>
      </c>
    </row>
    <row r="2581" spans="1:16" x14ac:dyDescent="0.2">
      <c r="A2581" t="s">
        <v>4226</v>
      </c>
      <c r="B2581" s="1">
        <v>45164</v>
      </c>
      <c r="C2581" s="1">
        <v>45205</v>
      </c>
      <c r="D2581" t="s">
        <v>530</v>
      </c>
      <c r="E2581" t="s">
        <v>45</v>
      </c>
      <c r="F2581" t="s">
        <v>25</v>
      </c>
      <c r="G2581" t="s">
        <v>50</v>
      </c>
      <c r="H2581" t="s">
        <v>21</v>
      </c>
      <c r="I2581" t="s">
        <v>57</v>
      </c>
      <c r="J2581">
        <v>3</v>
      </c>
      <c r="K2581">
        <v>4708000</v>
      </c>
      <c r="L2581">
        <v>9.0905437327957306E-2</v>
      </c>
      <c r="M2581" t="s">
        <v>23</v>
      </c>
      <c r="N2581">
        <v>12840000</v>
      </c>
      <c r="O2581">
        <v>4.2</v>
      </c>
      <c r="P2581" t="b">
        <v>1</v>
      </c>
    </row>
    <row r="2582" spans="1:16" x14ac:dyDescent="0.2">
      <c r="A2582" t="s">
        <v>4227</v>
      </c>
      <c r="B2582" s="1">
        <v>45164</v>
      </c>
      <c r="C2582" s="1">
        <v>45249</v>
      </c>
      <c r="D2582" t="s">
        <v>4228</v>
      </c>
      <c r="E2582" t="s">
        <v>18</v>
      </c>
      <c r="F2582" t="s">
        <v>45</v>
      </c>
      <c r="G2582" t="s">
        <v>20</v>
      </c>
      <c r="H2582" t="s">
        <v>21</v>
      </c>
      <c r="I2582" t="s">
        <v>52</v>
      </c>
      <c r="J2582">
        <v>3</v>
      </c>
      <c r="K2582">
        <v>2863000</v>
      </c>
      <c r="L2582">
        <v>9.7313038186523704E-2</v>
      </c>
      <c r="M2582" t="s">
        <v>23</v>
      </c>
      <c r="N2582">
        <v>7753000</v>
      </c>
      <c r="O2582">
        <v>3.8</v>
      </c>
      <c r="P2582" t="b">
        <v>0</v>
      </c>
    </row>
    <row r="2583" spans="1:16" x14ac:dyDescent="0.2">
      <c r="A2583" t="s">
        <v>4229</v>
      </c>
      <c r="B2583" s="1">
        <v>45164</v>
      </c>
      <c r="C2583" s="1">
        <v>45241</v>
      </c>
      <c r="D2583" t="s">
        <v>4230</v>
      </c>
      <c r="F2583" t="s">
        <v>25</v>
      </c>
      <c r="G2583" t="s">
        <v>35</v>
      </c>
      <c r="H2583" t="s">
        <v>47</v>
      </c>
      <c r="I2583" t="s">
        <v>60</v>
      </c>
      <c r="J2583">
        <v>1</v>
      </c>
      <c r="K2583">
        <v>5463000</v>
      </c>
      <c r="L2583" s="3">
        <v>0.115</v>
      </c>
      <c r="M2583" t="s">
        <v>23</v>
      </c>
      <c r="N2583">
        <v>4835000</v>
      </c>
      <c r="O2583">
        <v>3.3</v>
      </c>
      <c r="P2583" t="b">
        <v>0</v>
      </c>
    </row>
    <row r="2584" spans="1:16" x14ac:dyDescent="0.2">
      <c r="A2584" t="s">
        <v>4231</v>
      </c>
      <c r="B2584" s="1">
        <v>45164</v>
      </c>
      <c r="C2584" s="1">
        <v>45229</v>
      </c>
      <c r="D2584" t="s">
        <v>4232</v>
      </c>
      <c r="E2584" t="s">
        <v>18</v>
      </c>
      <c r="F2584" t="s">
        <v>19</v>
      </c>
      <c r="G2584" t="s">
        <v>20</v>
      </c>
      <c r="H2584" t="s">
        <v>21</v>
      </c>
      <c r="I2584" t="s">
        <v>77</v>
      </c>
      <c r="J2584">
        <v>2</v>
      </c>
      <c r="K2584">
        <v>2402000</v>
      </c>
      <c r="L2584" s="2" t="s">
        <v>4233</v>
      </c>
      <c r="M2584" t="s">
        <v>23</v>
      </c>
      <c r="N2584">
        <v>4639000</v>
      </c>
      <c r="O2584">
        <v>4.5</v>
      </c>
      <c r="P2584" t="b">
        <v>0</v>
      </c>
    </row>
    <row r="2585" spans="1:16" x14ac:dyDescent="0.2">
      <c r="A2585" t="s">
        <v>4234</v>
      </c>
      <c r="B2585" s="1">
        <v>45165</v>
      </c>
      <c r="C2585" s="1">
        <v>45214</v>
      </c>
      <c r="D2585" t="s">
        <v>4235</v>
      </c>
      <c r="E2585" t="s">
        <v>33</v>
      </c>
      <c r="F2585" t="s">
        <v>19</v>
      </c>
      <c r="G2585" t="s">
        <v>50</v>
      </c>
      <c r="H2585" t="s">
        <v>40</v>
      </c>
      <c r="I2585" t="s">
        <v>57</v>
      </c>
      <c r="J2585">
        <v>4</v>
      </c>
      <c r="K2585">
        <v>2973000</v>
      </c>
      <c r="L2585" s="2" t="s">
        <v>4236</v>
      </c>
      <c r="M2585" t="s">
        <v>23</v>
      </c>
      <c r="N2585">
        <v>10518000</v>
      </c>
      <c r="O2585">
        <v>4.3</v>
      </c>
      <c r="P2585" t="b">
        <v>0</v>
      </c>
    </row>
    <row r="2586" spans="1:16" x14ac:dyDescent="0.2">
      <c r="A2586" t="s">
        <v>4237</v>
      </c>
      <c r="B2586" s="1">
        <v>45165</v>
      </c>
      <c r="C2586" s="1">
        <v>45199</v>
      </c>
      <c r="D2586" t="s">
        <v>719</v>
      </c>
      <c r="E2586" t="s">
        <v>18</v>
      </c>
      <c r="F2586" t="s">
        <v>19</v>
      </c>
      <c r="G2586" t="s">
        <v>50</v>
      </c>
      <c r="H2586" t="s">
        <v>40</v>
      </c>
      <c r="I2586" t="s">
        <v>52</v>
      </c>
      <c r="J2586">
        <v>3</v>
      </c>
      <c r="K2586">
        <v>2584000</v>
      </c>
      <c r="L2586" s="3">
        <v>5.5E-2</v>
      </c>
      <c r="M2586" t="s">
        <v>23</v>
      </c>
      <c r="N2586">
        <v>7329000</v>
      </c>
      <c r="O2586">
        <v>3.8</v>
      </c>
      <c r="P2586" t="b">
        <v>1</v>
      </c>
    </row>
    <row r="2587" spans="1:16" x14ac:dyDescent="0.2">
      <c r="A2587" t="s">
        <v>4238</v>
      </c>
      <c r="B2587" s="1">
        <v>45165</v>
      </c>
      <c r="C2587" s="1">
        <v>45221</v>
      </c>
      <c r="D2587" t="s">
        <v>4239</v>
      </c>
      <c r="E2587" t="s">
        <v>18</v>
      </c>
      <c r="F2587" t="s">
        <v>68</v>
      </c>
      <c r="G2587" t="s">
        <v>50</v>
      </c>
      <c r="H2587" t="s">
        <v>21</v>
      </c>
      <c r="I2587" t="s">
        <v>99</v>
      </c>
      <c r="J2587">
        <v>2</v>
      </c>
      <c r="K2587">
        <v>2551000</v>
      </c>
      <c r="L2587">
        <v>6.7327227899829895E-2</v>
      </c>
      <c r="M2587" t="s">
        <v>65</v>
      </c>
      <c r="N2587">
        <v>0</v>
      </c>
      <c r="P2587" t="b">
        <v>0</v>
      </c>
    </row>
    <row r="2588" spans="1:16" x14ac:dyDescent="0.2">
      <c r="A2588" t="s">
        <v>4240</v>
      </c>
      <c r="B2588" s="1">
        <v>45166</v>
      </c>
      <c r="C2588" s="1">
        <v>45188</v>
      </c>
      <c r="D2588" t="s">
        <v>4241</v>
      </c>
      <c r="E2588" t="s">
        <v>18</v>
      </c>
      <c r="F2588" t="s">
        <v>34</v>
      </c>
      <c r="G2588" t="s">
        <v>20</v>
      </c>
      <c r="H2588" t="s">
        <v>21</v>
      </c>
      <c r="I2588" t="s">
        <v>30</v>
      </c>
      <c r="J2588">
        <v>1</v>
      </c>
      <c r="K2588">
        <v>3393000</v>
      </c>
      <c r="L2588" s="2" t="s">
        <v>4242</v>
      </c>
      <c r="M2588" t="s">
        <v>23</v>
      </c>
      <c r="N2588">
        <v>2900000</v>
      </c>
      <c r="O2588">
        <v>3.5</v>
      </c>
      <c r="P2588" t="b">
        <v>0</v>
      </c>
    </row>
    <row r="2589" spans="1:16" x14ac:dyDescent="0.2">
      <c r="A2589" t="s">
        <v>4243</v>
      </c>
      <c r="B2589" s="1">
        <v>45166</v>
      </c>
      <c r="C2589" s="1">
        <v>45184</v>
      </c>
      <c r="D2589" t="s">
        <v>4244</v>
      </c>
      <c r="E2589" t="s">
        <v>45</v>
      </c>
      <c r="F2589" t="s">
        <v>25</v>
      </c>
      <c r="G2589" t="s">
        <v>50</v>
      </c>
      <c r="H2589" t="s">
        <v>51</v>
      </c>
      <c r="I2589" t="s">
        <v>99</v>
      </c>
      <c r="J2589">
        <v>1</v>
      </c>
      <c r="K2589">
        <v>4907000</v>
      </c>
      <c r="L2589" s="2" t="s">
        <v>4245</v>
      </c>
      <c r="M2589" t="s">
        <v>23</v>
      </c>
      <c r="N2589">
        <v>4238000</v>
      </c>
      <c r="O2589">
        <v>3.4</v>
      </c>
      <c r="P2589" t="b">
        <v>0</v>
      </c>
    </row>
    <row r="2590" spans="1:16" x14ac:dyDescent="0.2">
      <c r="A2590" t="s">
        <v>4246</v>
      </c>
      <c r="B2590" s="1">
        <v>45166</v>
      </c>
      <c r="C2590" s="1">
        <v>45203</v>
      </c>
      <c r="D2590" t="s">
        <v>408</v>
      </c>
      <c r="E2590" t="s">
        <v>45</v>
      </c>
      <c r="F2590" t="s">
        <v>19</v>
      </c>
      <c r="G2590" t="s">
        <v>50</v>
      </c>
      <c r="H2590" t="s">
        <v>47</v>
      </c>
      <c r="I2590" t="s">
        <v>57</v>
      </c>
      <c r="J2590">
        <v>4</v>
      </c>
      <c r="K2590">
        <v>3335000</v>
      </c>
      <c r="L2590" s="2" t="s">
        <v>4247</v>
      </c>
      <c r="M2590" t="s">
        <v>23</v>
      </c>
      <c r="N2590">
        <v>11543000</v>
      </c>
      <c r="O2590">
        <v>3.7</v>
      </c>
      <c r="P2590" t="b">
        <v>1</v>
      </c>
    </row>
    <row r="2591" spans="1:16" x14ac:dyDescent="0.2">
      <c r="A2591" t="s">
        <v>4248</v>
      </c>
      <c r="B2591" s="1">
        <v>45166</v>
      </c>
      <c r="C2591" s="1">
        <v>45178</v>
      </c>
      <c r="D2591" t="s">
        <v>4082</v>
      </c>
      <c r="E2591" t="s">
        <v>33</v>
      </c>
      <c r="F2591" t="s">
        <v>68</v>
      </c>
      <c r="G2591" t="s">
        <v>20</v>
      </c>
      <c r="H2591" t="s">
        <v>21</v>
      </c>
      <c r="I2591" t="s">
        <v>26</v>
      </c>
      <c r="J2591">
        <v>2</v>
      </c>
      <c r="K2591">
        <v>2626000</v>
      </c>
      <c r="L2591" s="2" t="s">
        <v>4249</v>
      </c>
      <c r="M2591" t="s">
        <v>23</v>
      </c>
      <c r="N2591">
        <v>4663000</v>
      </c>
      <c r="O2591">
        <v>4</v>
      </c>
      <c r="P2591" t="b">
        <v>1</v>
      </c>
    </row>
    <row r="2592" spans="1:16" x14ac:dyDescent="0.2">
      <c r="A2592" t="s">
        <v>4250</v>
      </c>
      <c r="B2592" s="1">
        <v>45167</v>
      </c>
      <c r="C2592" s="1">
        <v>45215</v>
      </c>
      <c r="D2592" t="s">
        <v>705</v>
      </c>
      <c r="E2592" t="s">
        <v>33</v>
      </c>
      <c r="F2592" t="s">
        <v>45</v>
      </c>
      <c r="G2592" t="s">
        <v>20</v>
      </c>
      <c r="H2592" t="s">
        <v>47</v>
      </c>
      <c r="I2592" t="s">
        <v>60</v>
      </c>
      <c r="J2592">
        <v>1</v>
      </c>
      <c r="K2592">
        <v>3535000</v>
      </c>
      <c r="L2592" s="2" t="s">
        <v>4251</v>
      </c>
      <c r="M2592" t="s">
        <v>23</v>
      </c>
      <c r="N2592">
        <v>2889000</v>
      </c>
      <c r="O2592">
        <v>3.6</v>
      </c>
      <c r="P2592" t="b">
        <v>1</v>
      </c>
    </row>
    <row r="2593" spans="1:16" x14ac:dyDescent="0.2">
      <c r="A2593" t="s">
        <v>4252</v>
      </c>
      <c r="B2593" s="1">
        <v>45167</v>
      </c>
      <c r="C2593" s="1">
        <v>45193</v>
      </c>
      <c r="D2593" t="s">
        <v>2871</v>
      </c>
      <c r="E2593" t="s">
        <v>33</v>
      </c>
      <c r="F2593" t="s">
        <v>45</v>
      </c>
      <c r="G2593" t="s">
        <v>35</v>
      </c>
      <c r="H2593" t="s">
        <v>21</v>
      </c>
      <c r="I2593" t="s">
        <v>52</v>
      </c>
      <c r="J2593">
        <v>1</v>
      </c>
      <c r="K2593">
        <v>3042000</v>
      </c>
      <c r="L2593" s="2" t="s">
        <v>4253</v>
      </c>
      <c r="M2593" t="s">
        <v>23</v>
      </c>
      <c r="N2593">
        <v>2611000</v>
      </c>
      <c r="O2593">
        <v>4.5</v>
      </c>
      <c r="P2593" t="b">
        <v>1</v>
      </c>
    </row>
    <row r="2594" spans="1:16" x14ac:dyDescent="0.2">
      <c r="A2594" t="s">
        <v>4254</v>
      </c>
      <c r="B2594" s="1">
        <v>45168</v>
      </c>
      <c r="C2594" s="1">
        <v>45218</v>
      </c>
      <c r="D2594" t="s">
        <v>1283</v>
      </c>
      <c r="F2594" t="s">
        <v>39</v>
      </c>
      <c r="G2594" t="s">
        <v>50</v>
      </c>
      <c r="H2594" t="s">
        <v>21</v>
      </c>
      <c r="I2594" t="s">
        <v>1654</v>
      </c>
      <c r="J2594">
        <v>4</v>
      </c>
      <c r="K2594">
        <v>2229000</v>
      </c>
      <c r="L2594">
        <v>7.3485509476229102E-2</v>
      </c>
      <c r="M2594" t="s">
        <v>23</v>
      </c>
      <c r="N2594">
        <v>8261000</v>
      </c>
      <c r="O2594">
        <v>4.3</v>
      </c>
      <c r="P2594" t="b">
        <v>1</v>
      </c>
    </row>
    <row r="2595" spans="1:16" x14ac:dyDescent="0.2">
      <c r="A2595" t="s">
        <v>4255</v>
      </c>
      <c r="B2595" s="1">
        <v>45168</v>
      </c>
      <c r="C2595" s="1">
        <v>45194</v>
      </c>
      <c r="D2595" t="s">
        <v>4015</v>
      </c>
      <c r="E2595" t="s">
        <v>29</v>
      </c>
      <c r="F2595" t="s">
        <v>39</v>
      </c>
      <c r="G2595" t="s">
        <v>20</v>
      </c>
      <c r="H2595" t="s">
        <v>21</v>
      </c>
      <c r="I2595" t="s">
        <v>60</v>
      </c>
      <c r="J2595">
        <v>4</v>
      </c>
      <c r="K2595">
        <v>2393000</v>
      </c>
      <c r="L2595" s="2" t="s">
        <v>4256</v>
      </c>
      <c r="M2595" t="s">
        <v>23</v>
      </c>
      <c r="N2595">
        <v>8429000</v>
      </c>
      <c r="O2595">
        <v>4.2</v>
      </c>
      <c r="P2595" t="b">
        <v>1</v>
      </c>
    </row>
    <row r="2596" spans="1:16" x14ac:dyDescent="0.2">
      <c r="A2596" t="s">
        <v>4257</v>
      </c>
      <c r="B2596" s="1">
        <v>45168</v>
      </c>
      <c r="C2596" s="1">
        <v>45198</v>
      </c>
      <c r="D2596" t="s">
        <v>1194</v>
      </c>
      <c r="E2596" t="s">
        <v>45</v>
      </c>
      <c r="F2596" t="s">
        <v>39</v>
      </c>
      <c r="G2596" t="s">
        <v>50</v>
      </c>
      <c r="H2596" t="s">
        <v>47</v>
      </c>
      <c r="I2596" t="s">
        <v>60</v>
      </c>
      <c r="J2596">
        <v>2</v>
      </c>
      <c r="K2596">
        <v>2495000</v>
      </c>
      <c r="L2596" s="2" t="s">
        <v>4258</v>
      </c>
      <c r="M2596" t="s">
        <v>23</v>
      </c>
      <c r="N2596">
        <v>4252000</v>
      </c>
      <c r="O2596">
        <v>4</v>
      </c>
      <c r="P2596" t="b">
        <v>1</v>
      </c>
    </row>
    <row r="2597" spans="1:16" x14ac:dyDescent="0.2">
      <c r="A2597" t="s">
        <v>4259</v>
      </c>
      <c r="B2597" s="1">
        <v>45168</v>
      </c>
      <c r="C2597" s="1">
        <v>45235</v>
      </c>
      <c r="D2597" t="s">
        <v>401</v>
      </c>
      <c r="E2597" t="s">
        <v>18</v>
      </c>
      <c r="F2597" t="s">
        <v>34</v>
      </c>
      <c r="G2597" t="s">
        <v>20</v>
      </c>
      <c r="H2597" t="s">
        <v>21</v>
      </c>
      <c r="I2597" t="s">
        <v>30</v>
      </c>
      <c r="J2597">
        <v>2</v>
      </c>
      <c r="K2597">
        <v>3482000</v>
      </c>
      <c r="L2597">
        <v>7.4813613104725896E-2</v>
      </c>
      <c r="M2597" t="s">
        <v>23</v>
      </c>
      <c r="N2597">
        <v>6443000</v>
      </c>
      <c r="O2597">
        <v>4.4000000000000004</v>
      </c>
      <c r="P2597" t="b">
        <v>1</v>
      </c>
    </row>
    <row r="2598" spans="1:16" x14ac:dyDescent="0.2">
      <c r="A2598" t="s">
        <v>4260</v>
      </c>
      <c r="B2598" s="1">
        <v>45169</v>
      </c>
      <c r="C2598" s="1">
        <v>45213</v>
      </c>
      <c r="D2598" t="s">
        <v>3331</v>
      </c>
      <c r="E2598" t="s">
        <v>18</v>
      </c>
      <c r="F2598" t="s">
        <v>25</v>
      </c>
      <c r="G2598" t="s">
        <v>20</v>
      </c>
      <c r="H2598" t="s">
        <v>51</v>
      </c>
      <c r="I2598" t="s">
        <v>94</v>
      </c>
      <c r="J2598">
        <v>4</v>
      </c>
      <c r="K2598">
        <v>4334000</v>
      </c>
      <c r="L2598" s="2" t="s">
        <v>4261</v>
      </c>
      <c r="M2598" t="s">
        <v>23</v>
      </c>
      <c r="N2598">
        <v>15354000</v>
      </c>
      <c r="O2598">
        <v>4.2</v>
      </c>
      <c r="P2598" t="b">
        <v>1</v>
      </c>
    </row>
    <row r="2599" spans="1:16" x14ac:dyDescent="0.2">
      <c r="A2599" t="s">
        <v>4262</v>
      </c>
      <c r="B2599" s="1">
        <v>45171</v>
      </c>
      <c r="C2599" s="1">
        <v>45211</v>
      </c>
      <c r="D2599" t="s">
        <v>4263</v>
      </c>
      <c r="E2599" t="s">
        <v>18</v>
      </c>
      <c r="F2599" t="s">
        <v>25</v>
      </c>
      <c r="G2599" t="s">
        <v>50</v>
      </c>
      <c r="H2599" t="s">
        <v>21</v>
      </c>
      <c r="I2599" t="s">
        <v>22</v>
      </c>
      <c r="J2599">
        <v>1</v>
      </c>
      <c r="K2599">
        <v>4736000</v>
      </c>
      <c r="L2599" s="2" t="s">
        <v>4264</v>
      </c>
      <c r="M2599" t="s">
        <v>23</v>
      </c>
      <c r="N2599">
        <v>4259000</v>
      </c>
      <c r="O2599">
        <v>3</v>
      </c>
      <c r="P2599" t="b">
        <v>0</v>
      </c>
    </row>
    <row r="2600" spans="1:16" x14ac:dyDescent="0.2">
      <c r="A2600" t="s">
        <v>4265</v>
      </c>
      <c r="B2600" s="1">
        <v>45172</v>
      </c>
      <c r="C2600" s="1">
        <v>45195</v>
      </c>
      <c r="D2600" t="s">
        <v>4266</v>
      </c>
      <c r="E2600" t="s">
        <v>45</v>
      </c>
      <c r="F2600" t="s">
        <v>19</v>
      </c>
      <c r="G2600" t="s">
        <v>20</v>
      </c>
      <c r="H2600" t="s">
        <v>40</v>
      </c>
      <c r="I2600" t="s">
        <v>57</v>
      </c>
      <c r="J2600">
        <v>1</v>
      </c>
      <c r="K2600">
        <v>2806000</v>
      </c>
      <c r="L2600" s="2" t="s">
        <v>4267</v>
      </c>
      <c r="M2600" t="s">
        <v>23</v>
      </c>
      <c r="N2600">
        <v>2402000</v>
      </c>
      <c r="O2600">
        <v>3.3</v>
      </c>
      <c r="P2600" t="b">
        <v>0</v>
      </c>
    </row>
    <row r="2601" spans="1:16" x14ac:dyDescent="0.2">
      <c r="A2601" t="s">
        <v>4268</v>
      </c>
      <c r="B2601" s="1">
        <v>45172</v>
      </c>
      <c r="C2601" s="1">
        <v>45216</v>
      </c>
      <c r="D2601" t="s">
        <v>4269</v>
      </c>
      <c r="E2601" t="s">
        <v>18</v>
      </c>
      <c r="F2601" t="s">
        <v>34</v>
      </c>
      <c r="G2601" t="s">
        <v>20</v>
      </c>
      <c r="H2601" t="s">
        <v>40</v>
      </c>
      <c r="I2601" t="s">
        <v>26</v>
      </c>
      <c r="J2601">
        <v>1</v>
      </c>
      <c r="K2601">
        <v>3723000</v>
      </c>
      <c r="L2601" s="2" t="s">
        <v>4270</v>
      </c>
      <c r="M2601" t="s">
        <v>23</v>
      </c>
      <c r="N2601">
        <v>3297000</v>
      </c>
      <c r="O2601">
        <v>4.4000000000000004</v>
      </c>
      <c r="P2601" t="b">
        <v>0</v>
      </c>
    </row>
    <row r="2602" spans="1:16" x14ac:dyDescent="0.2">
      <c r="A2602" t="s">
        <v>4271</v>
      </c>
      <c r="B2602" s="1">
        <v>45172</v>
      </c>
      <c r="C2602" s="1">
        <v>45240</v>
      </c>
      <c r="D2602" t="s">
        <v>4272</v>
      </c>
      <c r="E2602" t="s">
        <v>33</v>
      </c>
      <c r="F2602" t="s">
        <v>68</v>
      </c>
      <c r="G2602" t="s">
        <v>35</v>
      </c>
      <c r="H2602" t="s">
        <v>21</v>
      </c>
      <c r="I2602" t="s">
        <v>83</v>
      </c>
      <c r="J2602">
        <v>1</v>
      </c>
      <c r="K2602">
        <v>1990000</v>
      </c>
      <c r="L2602">
        <v>5.3346621176091E-2</v>
      </c>
      <c r="M2602" t="s">
        <v>23</v>
      </c>
      <c r="N2602">
        <v>1884000</v>
      </c>
      <c r="O2602">
        <v>4</v>
      </c>
      <c r="P2602" t="b">
        <v>0</v>
      </c>
    </row>
    <row r="2603" spans="1:16" x14ac:dyDescent="0.2">
      <c r="A2603" t="s">
        <v>4273</v>
      </c>
      <c r="B2603" s="1">
        <v>45173</v>
      </c>
      <c r="C2603" s="1">
        <v>45223</v>
      </c>
      <c r="D2603" t="s">
        <v>2416</v>
      </c>
      <c r="E2603" t="s">
        <v>18</v>
      </c>
      <c r="F2603" t="s">
        <v>19</v>
      </c>
      <c r="G2603" t="s">
        <v>20</v>
      </c>
      <c r="H2603" t="s">
        <v>21</v>
      </c>
      <c r="I2603" t="s">
        <v>57</v>
      </c>
      <c r="J2603">
        <v>3</v>
      </c>
      <c r="K2603">
        <v>3443000</v>
      </c>
      <c r="L2603" s="2" t="s">
        <v>4274</v>
      </c>
      <c r="M2603" t="s">
        <v>23</v>
      </c>
      <c r="N2603">
        <v>8433000</v>
      </c>
      <c r="O2603">
        <v>3.6</v>
      </c>
      <c r="P2603" t="b">
        <v>1</v>
      </c>
    </row>
    <row r="2604" spans="1:16" x14ac:dyDescent="0.2">
      <c r="A2604" t="s">
        <v>4275</v>
      </c>
      <c r="B2604" s="1">
        <v>45173</v>
      </c>
      <c r="C2604" s="1">
        <v>45224</v>
      </c>
      <c r="D2604" t="s">
        <v>341</v>
      </c>
      <c r="E2604" t="s">
        <v>45</v>
      </c>
      <c r="F2604" t="s">
        <v>39</v>
      </c>
      <c r="H2604" t="s">
        <v>21</v>
      </c>
      <c r="I2604" t="s">
        <v>60</v>
      </c>
      <c r="J2604">
        <v>3</v>
      </c>
      <c r="K2604">
        <v>2589000</v>
      </c>
      <c r="L2604">
        <v>8.2871435023286602E-2</v>
      </c>
      <c r="M2604" t="s">
        <v>23</v>
      </c>
      <c r="N2604">
        <v>7123000</v>
      </c>
      <c r="O2604">
        <v>5</v>
      </c>
      <c r="P2604" t="b">
        <v>1</v>
      </c>
    </row>
    <row r="2605" spans="1:16" x14ac:dyDescent="0.2">
      <c r="A2605" t="s">
        <v>4276</v>
      </c>
      <c r="B2605" s="1">
        <v>45174</v>
      </c>
      <c r="C2605" s="1">
        <v>45243</v>
      </c>
      <c r="D2605" t="s">
        <v>510</v>
      </c>
      <c r="E2605" t="s">
        <v>29</v>
      </c>
      <c r="F2605" t="s">
        <v>45</v>
      </c>
      <c r="G2605" t="s">
        <v>50</v>
      </c>
      <c r="H2605" t="s">
        <v>21</v>
      </c>
      <c r="I2605" t="s">
        <v>83</v>
      </c>
      <c r="J2605">
        <v>4</v>
      </c>
      <c r="K2605">
        <v>2529000</v>
      </c>
      <c r="L2605" s="2" t="s">
        <v>4277</v>
      </c>
      <c r="M2605" t="s">
        <v>1882</v>
      </c>
      <c r="N2605">
        <v>8883000</v>
      </c>
      <c r="O2605">
        <v>5</v>
      </c>
      <c r="P2605" t="b">
        <v>1</v>
      </c>
    </row>
    <row r="2606" spans="1:16" x14ac:dyDescent="0.2">
      <c r="A2606" t="s">
        <v>4278</v>
      </c>
      <c r="B2606" s="1">
        <v>45175</v>
      </c>
      <c r="C2606" s="1">
        <v>45212</v>
      </c>
      <c r="D2606" t="s">
        <v>3133</v>
      </c>
      <c r="E2606" t="s">
        <v>45</v>
      </c>
      <c r="F2606" t="s">
        <v>19</v>
      </c>
      <c r="G2606" t="s">
        <v>50</v>
      </c>
      <c r="H2606" t="s">
        <v>21</v>
      </c>
      <c r="I2606" t="s">
        <v>94</v>
      </c>
      <c r="J2606">
        <v>1</v>
      </c>
      <c r="K2606">
        <v>2499000</v>
      </c>
      <c r="L2606" s="2" t="s">
        <v>4279</v>
      </c>
      <c r="M2606" t="s">
        <v>23</v>
      </c>
      <c r="N2606">
        <v>2236000</v>
      </c>
      <c r="O2606">
        <v>4.5</v>
      </c>
      <c r="P2606" t="b">
        <v>1</v>
      </c>
    </row>
    <row r="2607" spans="1:16" x14ac:dyDescent="0.2">
      <c r="A2607" t="s">
        <v>4280</v>
      </c>
      <c r="B2607" s="1">
        <v>45177</v>
      </c>
      <c r="C2607" s="1">
        <v>45232</v>
      </c>
      <c r="D2607" t="s">
        <v>827</v>
      </c>
      <c r="E2607" t="s">
        <v>33</v>
      </c>
      <c r="F2607" t="s">
        <v>45</v>
      </c>
      <c r="G2607" t="s">
        <v>50</v>
      </c>
      <c r="H2607" t="s">
        <v>40</v>
      </c>
      <c r="I2607" t="s">
        <v>30</v>
      </c>
      <c r="J2607">
        <v>1</v>
      </c>
      <c r="K2607">
        <v>3250000</v>
      </c>
      <c r="L2607" s="2" t="s">
        <v>4281</v>
      </c>
      <c r="M2607" t="s">
        <v>23</v>
      </c>
      <c r="N2607">
        <v>2765000</v>
      </c>
      <c r="O2607">
        <v>3.7</v>
      </c>
      <c r="P2607" t="b">
        <v>1</v>
      </c>
    </row>
    <row r="2608" spans="1:16" x14ac:dyDescent="0.2">
      <c r="A2608" t="s">
        <v>4282</v>
      </c>
      <c r="B2608" s="1">
        <v>45177</v>
      </c>
      <c r="C2608" s="1">
        <v>45250</v>
      </c>
      <c r="D2608" t="s">
        <v>2259</v>
      </c>
      <c r="E2608" t="s">
        <v>18</v>
      </c>
      <c r="F2608" t="s">
        <v>34</v>
      </c>
      <c r="G2608" t="s">
        <v>35</v>
      </c>
      <c r="H2608" t="s">
        <v>21</v>
      </c>
      <c r="I2608" t="s">
        <v>99</v>
      </c>
      <c r="J2608">
        <v>1</v>
      </c>
      <c r="K2608">
        <v>3833000</v>
      </c>
      <c r="L2608" s="3">
        <v>5.8000000000000003E-2</v>
      </c>
      <c r="M2608" t="s">
        <v>23</v>
      </c>
      <c r="N2608">
        <v>3610000</v>
      </c>
      <c r="O2608">
        <v>4.0999999999999996</v>
      </c>
      <c r="P2608" t="b">
        <v>1</v>
      </c>
    </row>
    <row r="2609" spans="1:16" x14ac:dyDescent="0.2">
      <c r="A2609" t="s">
        <v>4283</v>
      </c>
      <c r="B2609" s="1">
        <v>45177</v>
      </c>
      <c r="C2609" s="1">
        <v>45231</v>
      </c>
      <c r="D2609" t="s">
        <v>4284</v>
      </c>
      <c r="E2609" t="s">
        <v>45</v>
      </c>
      <c r="F2609" t="s">
        <v>45</v>
      </c>
      <c r="G2609" t="s">
        <v>35</v>
      </c>
      <c r="H2609" t="s">
        <v>21</v>
      </c>
      <c r="I2609" t="s">
        <v>57</v>
      </c>
      <c r="J2609">
        <v>2</v>
      </c>
      <c r="K2609">
        <v>3533000</v>
      </c>
      <c r="L2609" s="2" t="s">
        <v>4285</v>
      </c>
      <c r="M2609" t="s">
        <v>23</v>
      </c>
      <c r="N2609">
        <v>6274000</v>
      </c>
      <c r="O2609">
        <v>3.8</v>
      </c>
      <c r="P2609" t="b">
        <v>0</v>
      </c>
    </row>
    <row r="2610" spans="1:16" x14ac:dyDescent="0.2">
      <c r="A2610" t="s">
        <v>4286</v>
      </c>
      <c r="B2610" s="1">
        <v>45177</v>
      </c>
      <c r="C2610" s="1">
        <v>45202</v>
      </c>
      <c r="D2610" t="s">
        <v>2546</v>
      </c>
      <c r="F2610" t="s">
        <v>25</v>
      </c>
      <c r="G2610" t="s">
        <v>50</v>
      </c>
      <c r="H2610" t="s">
        <v>40</v>
      </c>
      <c r="I2610" t="s">
        <v>52</v>
      </c>
      <c r="J2610">
        <v>1</v>
      </c>
      <c r="K2610">
        <v>4566000</v>
      </c>
      <c r="L2610" s="2" t="s">
        <v>4287</v>
      </c>
      <c r="M2610" t="s">
        <v>23</v>
      </c>
      <c r="N2610">
        <v>4047000</v>
      </c>
      <c r="O2610">
        <v>4.4000000000000004</v>
      </c>
      <c r="P2610" t="b">
        <v>1</v>
      </c>
    </row>
    <row r="2611" spans="1:16" x14ac:dyDescent="0.2">
      <c r="A2611" t="s">
        <v>4288</v>
      </c>
      <c r="B2611" s="1">
        <v>45177</v>
      </c>
      <c r="C2611" s="1">
        <v>45225</v>
      </c>
      <c r="D2611" t="s">
        <v>519</v>
      </c>
      <c r="E2611" t="s">
        <v>45</v>
      </c>
      <c r="F2611" t="s">
        <v>34</v>
      </c>
      <c r="G2611" t="s">
        <v>20</v>
      </c>
      <c r="H2611" t="s">
        <v>40</v>
      </c>
      <c r="I2611" t="s">
        <v>83</v>
      </c>
      <c r="J2611">
        <v>1</v>
      </c>
      <c r="K2611">
        <v>4112000</v>
      </c>
      <c r="L2611" s="2" t="s">
        <v>4289</v>
      </c>
      <c r="M2611" t="s">
        <v>23</v>
      </c>
      <c r="N2611">
        <v>3670000</v>
      </c>
      <c r="O2611">
        <v>4.0999999999999996</v>
      </c>
      <c r="P2611" t="b">
        <v>1</v>
      </c>
    </row>
    <row r="2612" spans="1:16" x14ac:dyDescent="0.2">
      <c r="A2612" t="s">
        <v>4290</v>
      </c>
      <c r="B2612" s="1">
        <v>45179</v>
      </c>
      <c r="C2612" s="1">
        <v>45187</v>
      </c>
      <c r="D2612" t="s">
        <v>556</v>
      </c>
      <c r="E2612" t="s">
        <v>18</v>
      </c>
      <c r="F2612" t="s">
        <v>34</v>
      </c>
      <c r="G2612" t="s">
        <v>20</v>
      </c>
      <c r="H2612" t="s">
        <v>21</v>
      </c>
      <c r="I2612" t="s">
        <v>83</v>
      </c>
      <c r="J2612">
        <v>3</v>
      </c>
      <c r="K2612">
        <v>4472000</v>
      </c>
      <c r="L2612">
        <v>8.9676796332738104E-2</v>
      </c>
      <c r="M2612" t="s">
        <v>65</v>
      </c>
      <c r="N2612">
        <v>0</v>
      </c>
      <c r="P2612" t="b">
        <v>1</v>
      </c>
    </row>
    <row r="2613" spans="1:16" x14ac:dyDescent="0.2">
      <c r="A2613" t="s">
        <v>4291</v>
      </c>
      <c r="B2613" s="1">
        <v>45179</v>
      </c>
      <c r="C2613" s="1">
        <v>45236</v>
      </c>
      <c r="D2613" t="s">
        <v>4292</v>
      </c>
      <c r="E2613" t="s">
        <v>18</v>
      </c>
      <c r="F2613" t="s">
        <v>19</v>
      </c>
      <c r="G2613" t="s">
        <v>50</v>
      </c>
      <c r="H2613" t="s">
        <v>21</v>
      </c>
      <c r="I2613" t="s">
        <v>30</v>
      </c>
      <c r="J2613">
        <v>2</v>
      </c>
      <c r="K2613">
        <v>2211000</v>
      </c>
      <c r="L2613" s="2" t="s">
        <v>4293</v>
      </c>
      <c r="M2613" t="s">
        <v>23</v>
      </c>
      <c r="N2613">
        <v>3848000</v>
      </c>
      <c r="O2613">
        <v>3.5</v>
      </c>
      <c r="P2613" t="b">
        <v>0</v>
      </c>
    </row>
    <row r="2614" spans="1:16" x14ac:dyDescent="0.2">
      <c r="A2614" t="s">
        <v>4294</v>
      </c>
      <c r="B2614" s="1">
        <v>45179</v>
      </c>
      <c r="C2614" s="1">
        <v>45233</v>
      </c>
      <c r="D2614" t="s">
        <v>4295</v>
      </c>
      <c r="E2614" t="s">
        <v>33</v>
      </c>
      <c r="F2614" t="s">
        <v>68</v>
      </c>
      <c r="G2614" t="s">
        <v>35</v>
      </c>
      <c r="H2614" t="s">
        <v>40</v>
      </c>
      <c r="I2614" t="s">
        <v>26</v>
      </c>
      <c r="J2614">
        <v>2</v>
      </c>
      <c r="K2614">
        <v>2399000</v>
      </c>
      <c r="L2614">
        <v>8.5978321122212903E-2</v>
      </c>
      <c r="M2614" t="s">
        <v>23</v>
      </c>
      <c r="N2614">
        <v>4385000</v>
      </c>
      <c r="O2614">
        <v>4.5999999999999996</v>
      </c>
      <c r="P2614" t="b">
        <v>0</v>
      </c>
    </row>
    <row r="2615" spans="1:16" x14ac:dyDescent="0.2">
      <c r="A2615" t="s">
        <v>4296</v>
      </c>
      <c r="B2615" s="1">
        <v>45180</v>
      </c>
      <c r="C2615" s="1">
        <v>45214</v>
      </c>
      <c r="D2615" t="s">
        <v>645</v>
      </c>
      <c r="E2615" t="s">
        <v>33</v>
      </c>
      <c r="F2615" t="s">
        <v>45</v>
      </c>
      <c r="G2615" t="s">
        <v>35</v>
      </c>
      <c r="H2615" t="s">
        <v>47</v>
      </c>
      <c r="I2615" t="s">
        <v>83</v>
      </c>
      <c r="J2615">
        <v>3</v>
      </c>
      <c r="K2615">
        <v>2521000</v>
      </c>
      <c r="L2615">
        <v>7.7272937778130199E-2</v>
      </c>
      <c r="M2615" t="s">
        <v>23</v>
      </c>
      <c r="N2615">
        <v>6979000</v>
      </c>
      <c r="O2615">
        <v>5</v>
      </c>
      <c r="P2615" t="b">
        <v>1</v>
      </c>
    </row>
    <row r="2616" spans="1:16" x14ac:dyDescent="0.2">
      <c r="A2616" t="s">
        <v>4297</v>
      </c>
      <c r="B2616" s="1">
        <v>45181</v>
      </c>
      <c r="C2616" s="1">
        <v>45217</v>
      </c>
      <c r="D2616" t="s">
        <v>4298</v>
      </c>
      <c r="E2616" t="s">
        <v>45</v>
      </c>
      <c r="F2616" t="s">
        <v>25</v>
      </c>
      <c r="G2616" t="s">
        <v>46</v>
      </c>
      <c r="H2616" t="s">
        <v>47</v>
      </c>
      <c r="I2616" t="s">
        <v>94</v>
      </c>
      <c r="J2616">
        <v>1</v>
      </c>
      <c r="K2616">
        <v>4708000</v>
      </c>
      <c r="L2616">
        <v>9.5132674148269702E-2</v>
      </c>
      <c r="M2616" t="s">
        <v>23</v>
      </c>
      <c r="N2616">
        <v>4260000</v>
      </c>
      <c r="O2616">
        <v>4.4000000000000004</v>
      </c>
      <c r="P2616" t="b">
        <v>0</v>
      </c>
    </row>
    <row r="2617" spans="1:16" x14ac:dyDescent="0.2">
      <c r="A2617" t="s">
        <v>4299</v>
      </c>
      <c r="B2617" s="1">
        <v>45181</v>
      </c>
      <c r="C2617" s="1">
        <v>45274</v>
      </c>
      <c r="D2617" t="s">
        <v>890</v>
      </c>
      <c r="E2617" t="s">
        <v>18</v>
      </c>
      <c r="F2617" t="s">
        <v>19</v>
      </c>
      <c r="G2617" t="s">
        <v>35</v>
      </c>
      <c r="H2617" t="s">
        <v>40</v>
      </c>
      <c r="I2617" t="s">
        <v>60</v>
      </c>
      <c r="J2617">
        <v>1</v>
      </c>
      <c r="K2617">
        <v>2858000</v>
      </c>
      <c r="L2617">
        <v>9.1261301924776106E-2</v>
      </c>
      <c r="M2617" t="s">
        <v>23</v>
      </c>
      <c r="N2617">
        <v>2597000</v>
      </c>
      <c r="O2617">
        <v>3.2</v>
      </c>
      <c r="P2617" t="b">
        <v>1</v>
      </c>
    </row>
    <row r="2618" spans="1:16" x14ac:dyDescent="0.2">
      <c r="A2618" t="s">
        <v>4300</v>
      </c>
      <c r="B2618" s="1">
        <v>45182</v>
      </c>
      <c r="C2618" s="1">
        <v>45237</v>
      </c>
      <c r="D2618" t="s">
        <v>165</v>
      </c>
      <c r="E2618" t="s">
        <v>18</v>
      </c>
      <c r="F2618" t="s">
        <v>34</v>
      </c>
      <c r="G2618" t="s">
        <v>20</v>
      </c>
      <c r="H2618" t="s">
        <v>47</v>
      </c>
      <c r="I2618" t="s">
        <v>52</v>
      </c>
      <c r="J2618">
        <v>1</v>
      </c>
      <c r="K2618">
        <v>3177000</v>
      </c>
      <c r="L2618" s="2" t="s">
        <v>4301</v>
      </c>
      <c r="M2618" t="s">
        <v>23</v>
      </c>
      <c r="N2618">
        <v>2837000</v>
      </c>
      <c r="O2618">
        <v>3.6</v>
      </c>
      <c r="P2618" t="b">
        <v>1</v>
      </c>
    </row>
    <row r="2619" spans="1:16" x14ac:dyDescent="0.2">
      <c r="A2619" t="s">
        <v>4302</v>
      </c>
      <c r="B2619" s="1">
        <v>45182</v>
      </c>
      <c r="C2619" s="1">
        <v>45234</v>
      </c>
      <c r="D2619" t="s">
        <v>3055</v>
      </c>
      <c r="E2619" t="s">
        <v>29</v>
      </c>
      <c r="F2619" t="s">
        <v>39</v>
      </c>
      <c r="G2619" t="s">
        <v>20</v>
      </c>
      <c r="H2619" t="s">
        <v>21</v>
      </c>
      <c r="I2619" t="s">
        <v>26</v>
      </c>
      <c r="J2619">
        <v>4</v>
      </c>
      <c r="K2619">
        <v>2133000</v>
      </c>
      <c r="L2619">
        <v>3.2954102677427197E-2</v>
      </c>
      <c r="M2619" t="s">
        <v>23</v>
      </c>
      <c r="N2619">
        <v>8251000</v>
      </c>
      <c r="O2619">
        <v>4.2</v>
      </c>
      <c r="P2619" t="b">
        <v>1</v>
      </c>
    </row>
    <row r="2620" spans="1:16" x14ac:dyDescent="0.2">
      <c r="A2620" t="s">
        <v>4303</v>
      </c>
      <c r="B2620" s="1">
        <v>45182</v>
      </c>
      <c r="C2620" s="1">
        <v>45217</v>
      </c>
      <c r="D2620" t="s">
        <v>541</v>
      </c>
      <c r="E2620" t="s">
        <v>45</v>
      </c>
      <c r="F2620" t="s">
        <v>45</v>
      </c>
      <c r="G2620" t="s">
        <v>50</v>
      </c>
      <c r="I2620" t="s">
        <v>99</v>
      </c>
      <c r="J2620">
        <v>4</v>
      </c>
      <c r="K2620">
        <v>2990000</v>
      </c>
      <c r="L2620" s="2" t="s">
        <v>4304</v>
      </c>
      <c r="M2620" t="s">
        <v>23</v>
      </c>
      <c r="N2620">
        <v>11827000</v>
      </c>
      <c r="O2620">
        <v>5</v>
      </c>
      <c r="P2620" t="b">
        <v>1</v>
      </c>
    </row>
    <row r="2621" spans="1:16" x14ac:dyDescent="0.2">
      <c r="A2621" t="s">
        <v>4305</v>
      </c>
      <c r="B2621" s="1">
        <v>45183</v>
      </c>
      <c r="C2621" s="1">
        <v>45247</v>
      </c>
      <c r="D2621" t="s">
        <v>3893</v>
      </c>
      <c r="E2621" t="s">
        <v>45</v>
      </c>
      <c r="F2621" t="s">
        <v>19</v>
      </c>
      <c r="G2621" t="s">
        <v>50</v>
      </c>
      <c r="H2621" t="s">
        <v>47</v>
      </c>
      <c r="I2621" t="s">
        <v>57</v>
      </c>
      <c r="J2621">
        <v>1</v>
      </c>
      <c r="K2621">
        <v>3248000</v>
      </c>
      <c r="L2621" s="2" t="s">
        <v>4306</v>
      </c>
      <c r="M2621" t="s">
        <v>23</v>
      </c>
      <c r="N2621">
        <v>2678000</v>
      </c>
      <c r="O2621">
        <v>4.3</v>
      </c>
      <c r="P2621" t="b">
        <v>1</v>
      </c>
    </row>
    <row r="2622" spans="1:16" x14ac:dyDescent="0.2">
      <c r="A2622" t="s">
        <v>4307</v>
      </c>
      <c r="B2622" s="1">
        <v>45183</v>
      </c>
      <c r="C2622" s="1">
        <v>45227</v>
      </c>
      <c r="D2622" t="s">
        <v>505</v>
      </c>
      <c r="F2622" t="s">
        <v>34</v>
      </c>
      <c r="G2622" t="s">
        <v>20</v>
      </c>
      <c r="H2622" t="s">
        <v>47</v>
      </c>
      <c r="I2622" t="s">
        <v>52</v>
      </c>
      <c r="J2622">
        <v>3</v>
      </c>
      <c r="K2622">
        <v>3172000</v>
      </c>
      <c r="L2622" s="3">
        <v>0.17100000000000001</v>
      </c>
      <c r="M2622" t="s">
        <v>23</v>
      </c>
      <c r="N2622">
        <v>7892000</v>
      </c>
      <c r="O2622">
        <v>4.2</v>
      </c>
      <c r="P2622" t="b">
        <v>1</v>
      </c>
    </row>
    <row r="2623" spans="1:16" x14ac:dyDescent="0.2">
      <c r="A2623" t="s">
        <v>4308</v>
      </c>
      <c r="B2623" s="1">
        <v>45184</v>
      </c>
      <c r="C2623" s="1">
        <v>45230</v>
      </c>
      <c r="D2623" t="s">
        <v>3774</v>
      </c>
      <c r="E2623" t="s">
        <v>45</v>
      </c>
      <c r="F2623" t="s">
        <v>68</v>
      </c>
      <c r="G2623" t="s">
        <v>20</v>
      </c>
      <c r="H2623" t="s">
        <v>47</v>
      </c>
      <c r="I2623" t="s">
        <v>52</v>
      </c>
      <c r="J2623">
        <v>4</v>
      </c>
      <c r="K2623">
        <v>2390000</v>
      </c>
      <c r="L2623">
        <v>2.0854890390379901E-3</v>
      </c>
      <c r="M2623" t="s">
        <v>23</v>
      </c>
      <c r="N2623">
        <v>9540000</v>
      </c>
      <c r="O2623">
        <v>4.3</v>
      </c>
      <c r="P2623" t="b">
        <v>1</v>
      </c>
    </row>
    <row r="2624" spans="1:16" x14ac:dyDescent="0.2">
      <c r="A2624" t="s">
        <v>4309</v>
      </c>
      <c r="B2624" s="1">
        <v>45184</v>
      </c>
      <c r="C2624" s="1">
        <v>45232</v>
      </c>
      <c r="D2624" t="s">
        <v>245</v>
      </c>
      <c r="E2624" t="s">
        <v>33</v>
      </c>
      <c r="F2624" t="s">
        <v>34</v>
      </c>
      <c r="G2624" t="s">
        <v>20</v>
      </c>
      <c r="H2624" t="s">
        <v>47</v>
      </c>
      <c r="I2624" t="s">
        <v>57</v>
      </c>
      <c r="J2624">
        <v>3</v>
      </c>
      <c r="K2624">
        <v>4174000</v>
      </c>
      <c r="L2624" s="3">
        <v>0.16400000000000001</v>
      </c>
      <c r="M2624" t="s">
        <v>23</v>
      </c>
      <c r="N2624">
        <v>10469000</v>
      </c>
      <c r="O2624">
        <v>5</v>
      </c>
      <c r="P2624" t="b">
        <v>1</v>
      </c>
    </row>
    <row r="2625" spans="1:16" x14ac:dyDescent="0.2">
      <c r="A2625" t="s">
        <v>4310</v>
      </c>
      <c r="B2625" s="1">
        <v>45184</v>
      </c>
      <c r="C2625" s="1">
        <v>45243</v>
      </c>
      <c r="D2625" t="s">
        <v>3786</v>
      </c>
      <c r="E2625" t="s">
        <v>29</v>
      </c>
      <c r="F2625" t="s">
        <v>19</v>
      </c>
      <c r="G2625" t="s">
        <v>35</v>
      </c>
      <c r="H2625" t="s">
        <v>47</v>
      </c>
      <c r="I2625" t="s">
        <v>83</v>
      </c>
      <c r="J2625">
        <v>3</v>
      </c>
      <c r="K2625">
        <v>2629000</v>
      </c>
      <c r="L2625">
        <v>6.6503663681898903E-2</v>
      </c>
      <c r="M2625" t="s">
        <v>23</v>
      </c>
      <c r="N2625">
        <v>7362000</v>
      </c>
      <c r="O2625">
        <v>3.9</v>
      </c>
      <c r="P2625" t="b">
        <v>1</v>
      </c>
    </row>
    <row r="2626" spans="1:16" x14ac:dyDescent="0.2">
      <c r="A2626" t="s">
        <v>4311</v>
      </c>
      <c r="B2626" s="1">
        <v>45184</v>
      </c>
      <c r="C2626" s="1">
        <v>45210</v>
      </c>
      <c r="D2626" t="s">
        <v>2104</v>
      </c>
      <c r="E2626" t="s">
        <v>33</v>
      </c>
      <c r="F2626" t="s">
        <v>34</v>
      </c>
      <c r="G2626" t="s">
        <v>35</v>
      </c>
      <c r="H2626" t="s">
        <v>47</v>
      </c>
      <c r="I2626" t="s">
        <v>60</v>
      </c>
      <c r="J2626">
        <v>1</v>
      </c>
      <c r="K2626">
        <v>4320000</v>
      </c>
      <c r="L2626">
        <v>3.2529042302431699E-2</v>
      </c>
      <c r="M2626" t="s">
        <v>23</v>
      </c>
      <c r="N2626">
        <v>4179000</v>
      </c>
      <c r="O2626">
        <v>4.4000000000000004</v>
      </c>
      <c r="P2626" t="b">
        <v>1</v>
      </c>
    </row>
    <row r="2627" spans="1:16" x14ac:dyDescent="0.2">
      <c r="A2627" t="s">
        <v>4312</v>
      </c>
      <c r="B2627" s="1">
        <v>45185</v>
      </c>
      <c r="C2627" s="1">
        <v>45257</v>
      </c>
      <c r="D2627" t="s">
        <v>3366</v>
      </c>
      <c r="E2627" t="s">
        <v>29</v>
      </c>
      <c r="F2627" t="s">
        <v>45</v>
      </c>
      <c r="G2627" t="s">
        <v>50</v>
      </c>
      <c r="H2627" t="s">
        <v>51</v>
      </c>
      <c r="I2627" t="s">
        <v>30</v>
      </c>
      <c r="J2627">
        <v>2</v>
      </c>
      <c r="K2627">
        <v>3112000</v>
      </c>
      <c r="L2627">
        <v>8.6236953251099396E-2</v>
      </c>
      <c r="M2627" t="s">
        <v>23</v>
      </c>
      <c r="N2627">
        <v>5687000</v>
      </c>
      <c r="O2627">
        <v>4.5</v>
      </c>
      <c r="P2627" t="b">
        <v>1</v>
      </c>
    </row>
    <row r="2628" spans="1:16" x14ac:dyDescent="0.2">
      <c r="A2628" t="s">
        <v>4313</v>
      </c>
      <c r="B2628" s="1">
        <v>45185</v>
      </c>
      <c r="C2628" s="1">
        <v>45238</v>
      </c>
      <c r="D2628" t="s">
        <v>4009</v>
      </c>
      <c r="E2628" t="s">
        <v>18</v>
      </c>
      <c r="F2628" t="s">
        <v>45</v>
      </c>
      <c r="G2628" t="s">
        <v>35</v>
      </c>
      <c r="H2628" t="s">
        <v>21</v>
      </c>
      <c r="I2628" t="s">
        <v>60</v>
      </c>
      <c r="J2628">
        <v>4</v>
      </c>
      <c r="K2628">
        <v>3413000</v>
      </c>
      <c r="L2628">
        <v>7.4585270732234102E-2</v>
      </c>
      <c r="M2628" t="s">
        <v>23</v>
      </c>
      <c r="N2628">
        <v>12634000</v>
      </c>
      <c r="O2628">
        <v>4.2</v>
      </c>
      <c r="P2628" t="b">
        <v>1</v>
      </c>
    </row>
    <row r="2629" spans="1:16" x14ac:dyDescent="0.2">
      <c r="A2629" t="s">
        <v>4314</v>
      </c>
      <c r="B2629" s="1">
        <v>45185</v>
      </c>
      <c r="C2629" s="1">
        <v>45269</v>
      </c>
      <c r="D2629" t="s">
        <v>2234</v>
      </c>
      <c r="E2629" t="s">
        <v>45</v>
      </c>
      <c r="F2629" t="s">
        <v>39</v>
      </c>
      <c r="G2629" t="s">
        <v>20</v>
      </c>
      <c r="H2629" t="s">
        <v>40</v>
      </c>
      <c r="I2629" t="s">
        <v>99</v>
      </c>
      <c r="J2629">
        <v>2</v>
      </c>
      <c r="K2629">
        <v>2362000</v>
      </c>
      <c r="L2629" s="2" t="s">
        <v>4315</v>
      </c>
      <c r="M2629" t="s">
        <v>23</v>
      </c>
      <c r="N2629">
        <v>4116000</v>
      </c>
      <c r="O2629">
        <v>4.5999999999999996</v>
      </c>
      <c r="P2629" t="b">
        <v>1</v>
      </c>
    </row>
    <row r="2630" spans="1:16" x14ac:dyDescent="0.2">
      <c r="A2630" t="s">
        <v>4316</v>
      </c>
      <c r="B2630" s="1">
        <v>45185</v>
      </c>
      <c r="C2630" s="1">
        <v>45244</v>
      </c>
      <c r="D2630" t="s">
        <v>146</v>
      </c>
      <c r="E2630" t="s">
        <v>33</v>
      </c>
      <c r="F2630" t="s">
        <v>19</v>
      </c>
      <c r="G2630" t="s">
        <v>50</v>
      </c>
      <c r="H2630" t="s">
        <v>47</v>
      </c>
      <c r="I2630" t="s">
        <v>60</v>
      </c>
      <c r="J2630">
        <v>1</v>
      </c>
      <c r="K2630">
        <v>2722000</v>
      </c>
      <c r="L2630">
        <v>0</v>
      </c>
      <c r="M2630" t="s">
        <v>23</v>
      </c>
      <c r="N2630">
        <v>2722000</v>
      </c>
      <c r="O2630">
        <v>4.5999999999999996</v>
      </c>
      <c r="P2630" t="b">
        <v>1</v>
      </c>
    </row>
    <row r="2631" spans="1:16" x14ac:dyDescent="0.2">
      <c r="A2631" t="s">
        <v>4317</v>
      </c>
      <c r="B2631" s="1">
        <v>45186</v>
      </c>
      <c r="C2631" s="1">
        <v>45239</v>
      </c>
      <c r="D2631" t="s">
        <v>489</v>
      </c>
      <c r="E2631" t="s">
        <v>45</v>
      </c>
      <c r="F2631" t="s">
        <v>39</v>
      </c>
      <c r="G2631" t="s">
        <v>50</v>
      </c>
      <c r="H2631" t="s">
        <v>21</v>
      </c>
      <c r="I2631" t="s">
        <v>60</v>
      </c>
      <c r="J2631">
        <v>1</v>
      </c>
      <c r="K2631">
        <v>2546000</v>
      </c>
      <c r="L2631" s="2" t="s">
        <v>4318</v>
      </c>
      <c r="M2631" t="s">
        <v>23</v>
      </c>
      <c r="N2631">
        <v>2108000</v>
      </c>
      <c r="O2631">
        <v>3.9</v>
      </c>
      <c r="P2631" t="b">
        <v>1</v>
      </c>
    </row>
    <row r="2632" spans="1:16" x14ac:dyDescent="0.2">
      <c r="A2632" t="s">
        <v>4319</v>
      </c>
      <c r="B2632" s="1">
        <v>45187</v>
      </c>
      <c r="C2632" s="1">
        <v>45251</v>
      </c>
      <c r="D2632" t="s">
        <v>4320</v>
      </c>
      <c r="E2632" t="s">
        <v>29</v>
      </c>
      <c r="F2632" t="s">
        <v>39</v>
      </c>
      <c r="G2632" t="s">
        <v>35</v>
      </c>
      <c r="H2632" t="s">
        <v>40</v>
      </c>
      <c r="I2632" t="s">
        <v>22</v>
      </c>
      <c r="J2632">
        <v>2</v>
      </c>
      <c r="K2632">
        <v>1956000</v>
      </c>
      <c r="L2632">
        <v>6.6544938277325605E-2</v>
      </c>
      <c r="M2632" t="s">
        <v>65</v>
      </c>
      <c r="N2632">
        <v>0</v>
      </c>
      <c r="P2632" t="b">
        <v>0</v>
      </c>
    </row>
    <row r="2633" spans="1:16" x14ac:dyDescent="0.2">
      <c r="A2633" t="s">
        <v>4321</v>
      </c>
      <c r="B2633" s="1">
        <v>45187</v>
      </c>
      <c r="C2633" s="1">
        <v>45235</v>
      </c>
      <c r="D2633" t="s">
        <v>3238</v>
      </c>
      <c r="E2633" t="s">
        <v>33</v>
      </c>
      <c r="F2633" t="s">
        <v>34</v>
      </c>
      <c r="G2633" t="s">
        <v>20</v>
      </c>
      <c r="H2633" t="s">
        <v>47</v>
      </c>
      <c r="I2633" t="s">
        <v>99</v>
      </c>
      <c r="J2633">
        <v>2</v>
      </c>
      <c r="K2633">
        <v>3847000</v>
      </c>
      <c r="L2633" s="2" t="s">
        <v>4322</v>
      </c>
      <c r="M2633" t="s">
        <v>23</v>
      </c>
      <c r="N2633">
        <v>6759000</v>
      </c>
      <c r="O2633">
        <v>4.2</v>
      </c>
      <c r="P2633" t="b">
        <v>1</v>
      </c>
    </row>
    <row r="2634" spans="1:16" x14ac:dyDescent="0.2">
      <c r="A2634" t="s">
        <v>4323</v>
      </c>
      <c r="B2634" s="1">
        <v>45187</v>
      </c>
      <c r="C2634" s="1">
        <v>45250</v>
      </c>
      <c r="D2634" t="s">
        <v>3088</v>
      </c>
      <c r="E2634" t="s">
        <v>45</v>
      </c>
      <c r="F2634" t="s">
        <v>19</v>
      </c>
      <c r="G2634" t="s">
        <v>20</v>
      </c>
      <c r="H2634" t="s">
        <v>21</v>
      </c>
      <c r="I2634" t="s">
        <v>77</v>
      </c>
      <c r="J2634">
        <v>4</v>
      </c>
      <c r="K2634">
        <v>2576000</v>
      </c>
      <c r="L2634">
        <v>9.61495397975132E-2</v>
      </c>
      <c r="M2634" t="s">
        <v>23</v>
      </c>
      <c r="N2634">
        <v>9313000</v>
      </c>
      <c r="O2634">
        <v>5</v>
      </c>
      <c r="P2634" t="b">
        <v>1</v>
      </c>
    </row>
    <row r="2635" spans="1:16" x14ac:dyDescent="0.2">
      <c r="A2635" t="s">
        <v>4324</v>
      </c>
      <c r="B2635" s="1">
        <v>45188</v>
      </c>
      <c r="C2635" s="1">
        <v>45255</v>
      </c>
      <c r="D2635" t="s">
        <v>4325</v>
      </c>
      <c r="E2635" t="s">
        <v>29</v>
      </c>
      <c r="F2635" t="s">
        <v>19</v>
      </c>
      <c r="G2635" t="s">
        <v>50</v>
      </c>
      <c r="H2635" t="s">
        <v>47</v>
      </c>
      <c r="I2635" t="s">
        <v>30</v>
      </c>
      <c r="J2635">
        <v>3</v>
      </c>
      <c r="K2635">
        <v>2165000</v>
      </c>
      <c r="L2635" s="2" t="s">
        <v>4326</v>
      </c>
      <c r="M2635" t="s">
        <v>65</v>
      </c>
      <c r="N2635">
        <v>0</v>
      </c>
      <c r="P2635" t="b">
        <v>0</v>
      </c>
    </row>
    <row r="2636" spans="1:16" x14ac:dyDescent="0.2">
      <c r="A2636" t="s">
        <v>4327</v>
      </c>
      <c r="B2636" s="1">
        <v>45188</v>
      </c>
      <c r="C2636" s="1">
        <v>45282</v>
      </c>
      <c r="D2636" t="s">
        <v>4328</v>
      </c>
      <c r="E2636" t="s">
        <v>29</v>
      </c>
      <c r="F2636" t="s">
        <v>25</v>
      </c>
      <c r="G2636" t="s">
        <v>20</v>
      </c>
      <c r="H2636" t="s">
        <v>21</v>
      </c>
      <c r="I2636" t="s">
        <v>26</v>
      </c>
      <c r="J2636">
        <v>3</v>
      </c>
      <c r="K2636">
        <v>5676000</v>
      </c>
      <c r="L2636">
        <v>6.0101353458235703E-2</v>
      </c>
      <c r="M2636" t="s">
        <v>23</v>
      </c>
      <c r="N2636">
        <v>16005000</v>
      </c>
      <c r="O2636">
        <v>4</v>
      </c>
      <c r="P2636" t="b">
        <v>0</v>
      </c>
    </row>
    <row r="2637" spans="1:16" x14ac:dyDescent="0.2">
      <c r="A2637" t="s">
        <v>4329</v>
      </c>
      <c r="B2637" s="1">
        <v>45188</v>
      </c>
      <c r="C2637" s="1">
        <v>45234</v>
      </c>
      <c r="D2637" t="s">
        <v>1925</v>
      </c>
      <c r="E2637" t="s">
        <v>29</v>
      </c>
      <c r="F2637" t="s">
        <v>25</v>
      </c>
      <c r="G2637" t="s">
        <v>20</v>
      </c>
      <c r="H2637" t="s">
        <v>21</v>
      </c>
      <c r="I2637" t="s">
        <v>77</v>
      </c>
      <c r="J2637">
        <v>4</v>
      </c>
      <c r="K2637">
        <v>5601000</v>
      </c>
      <c r="L2637" s="2" t="s">
        <v>4330</v>
      </c>
      <c r="M2637" t="s">
        <v>23</v>
      </c>
      <c r="N2637">
        <v>20159000</v>
      </c>
      <c r="O2637">
        <v>3.9</v>
      </c>
      <c r="P2637" t="b">
        <v>1</v>
      </c>
    </row>
    <row r="2638" spans="1:16" x14ac:dyDescent="0.2">
      <c r="A2638" t="s">
        <v>4331</v>
      </c>
      <c r="B2638" s="1">
        <v>45188</v>
      </c>
      <c r="C2638" s="1">
        <v>45227</v>
      </c>
      <c r="D2638" t="s">
        <v>2972</v>
      </c>
      <c r="E2638" t="s">
        <v>29</v>
      </c>
      <c r="F2638" t="s">
        <v>34</v>
      </c>
      <c r="G2638" t="s">
        <v>20</v>
      </c>
      <c r="H2638" t="s">
        <v>21</v>
      </c>
      <c r="I2638" t="s">
        <v>26</v>
      </c>
      <c r="J2638">
        <v>2</v>
      </c>
      <c r="K2638">
        <v>4097000</v>
      </c>
      <c r="L2638">
        <v>5.4357648432563299E-2</v>
      </c>
      <c r="M2638" t="s">
        <v>23</v>
      </c>
      <c r="N2638">
        <v>7749000</v>
      </c>
      <c r="O2638">
        <v>4.0999999999999996</v>
      </c>
      <c r="P2638" t="b">
        <v>1</v>
      </c>
    </row>
    <row r="2639" spans="1:16" x14ac:dyDescent="0.2">
      <c r="A2639" t="s">
        <v>4332</v>
      </c>
      <c r="B2639" s="1">
        <v>45188</v>
      </c>
      <c r="C2639" s="1">
        <v>45273</v>
      </c>
      <c r="D2639" t="s">
        <v>2914</v>
      </c>
      <c r="E2639" t="s">
        <v>18</v>
      </c>
      <c r="F2639" t="s">
        <v>25</v>
      </c>
      <c r="G2639" t="s">
        <v>35</v>
      </c>
      <c r="H2639" t="s">
        <v>40</v>
      </c>
      <c r="I2639" t="s">
        <v>99</v>
      </c>
      <c r="J2639">
        <v>1</v>
      </c>
      <c r="K2639">
        <v>5249000</v>
      </c>
      <c r="L2639" s="2" t="s">
        <v>4333</v>
      </c>
      <c r="M2639" t="s">
        <v>65</v>
      </c>
      <c r="N2639">
        <v>0</v>
      </c>
      <c r="P2639" t="b">
        <v>1</v>
      </c>
    </row>
    <row r="2640" spans="1:16" x14ac:dyDescent="0.2">
      <c r="A2640" t="s">
        <v>4334</v>
      </c>
      <c r="B2640" s="1">
        <v>45188</v>
      </c>
      <c r="C2640" s="1">
        <v>45213</v>
      </c>
      <c r="D2640" t="s">
        <v>4335</v>
      </c>
      <c r="E2640" t="s">
        <v>33</v>
      </c>
      <c r="F2640" t="s">
        <v>68</v>
      </c>
      <c r="G2640" t="s">
        <v>20</v>
      </c>
      <c r="H2640" t="s">
        <v>47</v>
      </c>
      <c r="I2640" t="s">
        <v>22</v>
      </c>
      <c r="J2640">
        <v>2</v>
      </c>
      <c r="K2640">
        <v>2511000</v>
      </c>
      <c r="L2640" s="2" t="s">
        <v>4336</v>
      </c>
      <c r="M2640" t="s">
        <v>23</v>
      </c>
      <c r="N2640">
        <v>4421000</v>
      </c>
      <c r="O2640">
        <v>4.0999999999999996</v>
      </c>
      <c r="P2640" t="b">
        <v>0</v>
      </c>
    </row>
    <row r="2641" spans="1:16" x14ac:dyDescent="0.2">
      <c r="A2641" t="s">
        <v>4337</v>
      </c>
      <c r="B2641" s="1">
        <v>45189</v>
      </c>
      <c r="C2641" s="1">
        <v>45197</v>
      </c>
      <c r="D2641" t="s">
        <v>2515</v>
      </c>
      <c r="E2641" t="s">
        <v>45</v>
      </c>
      <c r="F2641" t="s">
        <v>34</v>
      </c>
      <c r="G2641" t="s">
        <v>50</v>
      </c>
      <c r="H2641" t="s">
        <v>21</v>
      </c>
      <c r="I2641" t="s">
        <v>83</v>
      </c>
      <c r="J2641">
        <v>3</v>
      </c>
      <c r="K2641">
        <v>3937000</v>
      </c>
      <c r="L2641">
        <v>4.8323573873910598E-2</v>
      </c>
      <c r="M2641" t="s">
        <v>23</v>
      </c>
      <c r="N2641">
        <v>11240000</v>
      </c>
      <c r="O2641">
        <v>4.0999999999999996</v>
      </c>
      <c r="P2641" t="b">
        <v>1</v>
      </c>
    </row>
    <row r="2642" spans="1:16" x14ac:dyDescent="0.2">
      <c r="A2642" t="s">
        <v>4338</v>
      </c>
      <c r="B2642" s="1">
        <v>45189</v>
      </c>
      <c r="C2642" s="1">
        <v>45207</v>
      </c>
      <c r="D2642" t="s">
        <v>2868</v>
      </c>
      <c r="E2642" t="s">
        <v>18</v>
      </c>
      <c r="F2642" t="s">
        <v>45</v>
      </c>
      <c r="G2642" t="s">
        <v>35</v>
      </c>
      <c r="H2642" t="s">
        <v>21</v>
      </c>
      <c r="I2642" t="s">
        <v>26</v>
      </c>
      <c r="J2642">
        <v>1</v>
      </c>
      <c r="K2642">
        <v>3368000</v>
      </c>
      <c r="L2642" s="2" t="s">
        <v>4339</v>
      </c>
      <c r="M2642" t="s">
        <v>65</v>
      </c>
      <c r="N2642">
        <v>0</v>
      </c>
      <c r="P2642" t="b">
        <v>1</v>
      </c>
    </row>
    <row r="2643" spans="1:16" x14ac:dyDescent="0.2">
      <c r="A2643" t="s">
        <v>4340</v>
      </c>
      <c r="B2643" s="1">
        <v>45189</v>
      </c>
      <c r="C2643" s="1">
        <v>45257</v>
      </c>
      <c r="D2643" t="s">
        <v>1373</v>
      </c>
      <c r="E2643" t="s">
        <v>18</v>
      </c>
      <c r="F2643" t="s">
        <v>19</v>
      </c>
      <c r="G2643" t="s">
        <v>20</v>
      </c>
      <c r="H2643" t="s">
        <v>51</v>
      </c>
      <c r="I2643" t="s">
        <v>83</v>
      </c>
      <c r="J2643">
        <v>2</v>
      </c>
      <c r="K2643">
        <v>2709000</v>
      </c>
      <c r="L2643" s="2" t="s">
        <v>4341</v>
      </c>
      <c r="M2643" t="s">
        <v>23</v>
      </c>
      <c r="N2643">
        <v>4615000</v>
      </c>
      <c r="O2643">
        <v>3.9</v>
      </c>
      <c r="P2643" t="b">
        <v>1</v>
      </c>
    </row>
    <row r="2644" spans="1:16" x14ac:dyDescent="0.2">
      <c r="A2644" t="s">
        <v>4342</v>
      </c>
      <c r="B2644" s="1">
        <v>45190</v>
      </c>
      <c r="C2644" s="1">
        <v>45241</v>
      </c>
      <c r="D2644" t="s">
        <v>2434</v>
      </c>
      <c r="E2644" t="s">
        <v>33</v>
      </c>
      <c r="F2644" t="s">
        <v>34</v>
      </c>
      <c r="G2644" t="s">
        <v>35</v>
      </c>
      <c r="H2644" t="s">
        <v>40</v>
      </c>
      <c r="I2644" t="s">
        <v>99</v>
      </c>
      <c r="J2644">
        <v>3</v>
      </c>
      <c r="K2644">
        <v>3736000</v>
      </c>
      <c r="L2644">
        <v>9.2302720562217805E-2</v>
      </c>
      <c r="M2644" t="s">
        <v>23</v>
      </c>
      <c r="N2644">
        <v>10173000</v>
      </c>
      <c r="O2644">
        <v>4</v>
      </c>
      <c r="P2644" t="b">
        <v>1</v>
      </c>
    </row>
    <row r="2645" spans="1:16" x14ac:dyDescent="0.2">
      <c r="A2645" t="s">
        <v>4343</v>
      </c>
      <c r="B2645" s="1">
        <v>45190</v>
      </c>
      <c r="C2645" s="1">
        <v>45254</v>
      </c>
      <c r="D2645" t="s">
        <v>2846</v>
      </c>
      <c r="E2645" t="s">
        <v>45</v>
      </c>
      <c r="F2645" t="s">
        <v>34</v>
      </c>
      <c r="G2645" t="s">
        <v>20</v>
      </c>
      <c r="H2645" t="s">
        <v>21</v>
      </c>
      <c r="I2645" t="s">
        <v>22</v>
      </c>
      <c r="J2645">
        <v>1</v>
      </c>
      <c r="K2645">
        <v>3586000</v>
      </c>
      <c r="L2645" s="2" t="s">
        <v>4344</v>
      </c>
      <c r="M2645" t="s">
        <v>23</v>
      </c>
      <c r="N2645">
        <v>3188000</v>
      </c>
      <c r="O2645">
        <v>4</v>
      </c>
      <c r="P2645" t="b">
        <v>1</v>
      </c>
    </row>
    <row r="2646" spans="1:16" x14ac:dyDescent="0.2">
      <c r="A2646" t="s">
        <v>4345</v>
      </c>
      <c r="B2646" s="1">
        <v>45191</v>
      </c>
      <c r="C2646" s="1">
        <v>45242</v>
      </c>
      <c r="D2646" t="s">
        <v>3903</v>
      </c>
      <c r="E2646" t="s">
        <v>45</v>
      </c>
      <c r="F2646" t="s">
        <v>68</v>
      </c>
      <c r="G2646" t="s">
        <v>50</v>
      </c>
      <c r="H2646" t="s">
        <v>51</v>
      </c>
      <c r="I2646" t="s">
        <v>30</v>
      </c>
      <c r="J2646">
        <v>1</v>
      </c>
      <c r="K2646">
        <v>2385000</v>
      </c>
      <c r="L2646">
        <v>7.0785833435562995E-2</v>
      </c>
      <c r="M2646" t="s">
        <v>23</v>
      </c>
      <c r="N2646">
        <v>2216000</v>
      </c>
      <c r="O2646">
        <v>4.7</v>
      </c>
      <c r="P2646" t="b">
        <v>1</v>
      </c>
    </row>
    <row r="2647" spans="1:16" x14ac:dyDescent="0.2">
      <c r="A2647" t="s">
        <v>4346</v>
      </c>
      <c r="B2647" s="1">
        <v>45191</v>
      </c>
      <c r="C2647" s="1">
        <v>45229</v>
      </c>
      <c r="D2647" t="s">
        <v>4347</v>
      </c>
      <c r="E2647" t="s">
        <v>33</v>
      </c>
      <c r="F2647" t="s">
        <v>25</v>
      </c>
      <c r="G2647" t="s">
        <v>35</v>
      </c>
      <c r="H2647" t="s">
        <v>40</v>
      </c>
      <c r="I2647" t="s">
        <v>1654</v>
      </c>
      <c r="J2647">
        <v>1</v>
      </c>
      <c r="K2647">
        <v>3455000</v>
      </c>
      <c r="L2647" s="2" t="s">
        <v>4348</v>
      </c>
      <c r="M2647" t="s">
        <v>23</v>
      </c>
      <c r="N2647">
        <v>3001000</v>
      </c>
      <c r="O2647">
        <v>3.9</v>
      </c>
      <c r="P2647" t="b">
        <v>0</v>
      </c>
    </row>
    <row r="2648" spans="1:16" x14ac:dyDescent="0.2">
      <c r="A2648" t="s">
        <v>4349</v>
      </c>
      <c r="B2648" s="1">
        <v>45192</v>
      </c>
      <c r="C2648" s="1">
        <v>45241</v>
      </c>
      <c r="D2648" t="s">
        <v>2011</v>
      </c>
      <c r="E2648" t="s">
        <v>33</v>
      </c>
      <c r="F2648" t="s">
        <v>34</v>
      </c>
      <c r="G2648" t="s">
        <v>50</v>
      </c>
      <c r="H2648" t="s">
        <v>51</v>
      </c>
      <c r="I2648" t="s">
        <v>60</v>
      </c>
      <c r="J2648">
        <v>1</v>
      </c>
      <c r="K2648">
        <v>3963000</v>
      </c>
      <c r="L2648" s="2" t="s">
        <v>4350</v>
      </c>
      <c r="M2648" t="s">
        <v>23</v>
      </c>
      <c r="N2648">
        <v>3503000</v>
      </c>
      <c r="O2648">
        <v>4.4000000000000004</v>
      </c>
      <c r="P2648" t="b">
        <v>1</v>
      </c>
    </row>
    <row r="2649" spans="1:16" x14ac:dyDescent="0.2">
      <c r="A2649" t="s">
        <v>4351</v>
      </c>
      <c r="B2649" s="1">
        <v>45192</v>
      </c>
      <c r="C2649" s="1">
        <v>45206</v>
      </c>
      <c r="D2649" t="s">
        <v>1173</v>
      </c>
      <c r="E2649" t="s">
        <v>45</v>
      </c>
      <c r="F2649" t="s">
        <v>25</v>
      </c>
      <c r="G2649" t="s">
        <v>35</v>
      </c>
      <c r="H2649" t="s">
        <v>47</v>
      </c>
      <c r="I2649" t="s">
        <v>52</v>
      </c>
      <c r="J2649">
        <v>1</v>
      </c>
      <c r="K2649">
        <v>4406000</v>
      </c>
      <c r="L2649" s="2" t="s">
        <v>4352</v>
      </c>
      <c r="M2649" t="s">
        <v>65</v>
      </c>
      <c r="N2649">
        <v>0</v>
      </c>
      <c r="P2649" t="b">
        <v>1</v>
      </c>
    </row>
    <row r="2650" spans="1:16" x14ac:dyDescent="0.2">
      <c r="A2650" t="s">
        <v>4353</v>
      </c>
      <c r="B2650" s="1">
        <v>45192</v>
      </c>
      <c r="C2650" s="1">
        <v>45236</v>
      </c>
      <c r="D2650" t="s">
        <v>3827</v>
      </c>
      <c r="E2650" t="s">
        <v>45</v>
      </c>
      <c r="F2650" t="s">
        <v>34</v>
      </c>
      <c r="G2650" t="s">
        <v>20</v>
      </c>
      <c r="H2650" t="s">
        <v>47</v>
      </c>
      <c r="I2650" t="s">
        <v>22</v>
      </c>
      <c r="J2650">
        <v>1</v>
      </c>
      <c r="K2650">
        <v>3337000</v>
      </c>
      <c r="L2650">
        <v>7.5315729186966399E-2</v>
      </c>
      <c r="M2650" t="s">
        <v>23</v>
      </c>
      <c r="N2650">
        <v>3086000</v>
      </c>
      <c r="O2650">
        <v>4.2</v>
      </c>
      <c r="P2650" t="b">
        <v>1</v>
      </c>
    </row>
    <row r="2651" spans="1:16" x14ac:dyDescent="0.2">
      <c r="A2651" t="s">
        <v>4354</v>
      </c>
      <c r="B2651" s="1">
        <v>45192</v>
      </c>
      <c r="C2651" s="1">
        <v>45272</v>
      </c>
      <c r="D2651" t="s">
        <v>4355</v>
      </c>
      <c r="E2651" t="s">
        <v>18</v>
      </c>
      <c r="F2651" t="s">
        <v>39</v>
      </c>
      <c r="G2651" t="s">
        <v>20</v>
      </c>
      <c r="H2651" t="s">
        <v>40</v>
      </c>
      <c r="I2651" t="s">
        <v>60</v>
      </c>
      <c r="J2651">
        <v>2</v>
      </c>
      <c r="K2651">
        <v>2644000</v>
      </c>
      <c r="L2651" s="2" t="s">
        <v>4356</v>
      </c>
      <c r="M2651" t="s">
        <v>23</v>
      </c>
      <c r="N2651">
        <v>4654000</v>
      </c>
      <c r="O2651">
        <v>4.8</v>
      </c>
      <c r="P2651" t="b">
        <v>0</v>
      </c>
    </row>
    <row r="2652" spans="1:16" x14ac:dyDescent="0.2">
      <c r="A2652" t="s">
        <v>4357</v>
      </c>
      <c r="B2652" s="1">
        <v>45193</v>
      </c>
      <c r="C2652" s="1">
        <v>45256</v>
      </c>
      <c r="D2652" t="s">
        <v>2273</v>
      </c>
      <c r="E2652" t="s">
        <v>45</v>
      </c>
      <c r="F2652" t="s">
        <v>68</v>
      </c>
      <c r="G2652" t="s">
        <v>20</v>
      </c>
      <c r="H2652" t="s">
        <v>21</v>
      </c>
      <c r="I2652" t="s">
        <v>83</v>
      </c>
      <c r="J2652">
        <v>1</v>
      </c>
      <c r="K2652">
        <v>1931000</v>
      </c>
      <c r="L2652" s="2" t="s">
        <v>4358</v>
      </c>
      <c r="M2652" t="s">
        <v>23</v>
      </c>
      <c r="N2652">
        <v>1717000</v>
      </c>
      <c r="O2652">
        <v>3.9</v>
      </c>
      <c r="P2652" t="b">
        <v>1</v>
      </c>
    </row>
    <row r="2653" spans="1:16" x14ac:dyDescent="0.2">
      <c r="A2653" t="s">
        <v>4359</v>
      </c>
      <c r="B2653" s="1">
        <v>45194</v>
      </c>
      <c r="C2653" s="1">
        <v>45194</v>
      </c>
      <c r="D2653" t="s">
        <v>1042</v>
      </c>
      <c r="E2653" t="s">
        <v>45</v>
      </c>
      <c r="F2653" t="s">
        <v>45</v>
      </c>
      <c r="G2653" t="s">
        <v>20</v>
      </c>
      <c r="H2653" t="s">
        <v>21</v>
      </c>
      <c r="I2653" t="s">
        <v>94</v>
      </c>
      <c r="J2653">
        <v>1</v>
      </c>
      <c r="K2653">
        <v>3279000</v>
      </c>
      <c r="L2653" s="2" t="s">
        <v>4360</v>
      </c>
      <c r="M2653" t="s">
        <v>23</v>
      </c>
      <c r="N2653">
        <v>3216000</v>
      </c>
      <c r="O2653">
        <v>3.9</v>
      </c>
      <c r="P2653" t="b">
        <v>1</v>
      </c>
    </row>
    <row r="2654" spans="1:16" x14ac:dyDescent="0.2">
      <c r="A2654" t="s">
        <v>4361</v>
      </c>
      <c r="B2654" s="1">
        <v>45194</v>
      </c>
      <c r="C2654" s="1">
        <v>45242</v>
      </c>
      <c r="D2654" t="s">
        <v>4362</v>
      </c>
      <c r="E2654" t="s">
        <v>18</v>
      </c>
      <c r="F2654" t="s">
        <v>34</v>
      </c>
      <c r="G2654" t="s">
        <v>20</v>
      </c>
      <c r="H2654" t="s">
        <v>21</v>
      </c>
      <c r="I2654" t="s">
        <v>83</v>
      </c>
      <c r="J2654">
        <v>1</v>
      </c>
      <c r="K2654">
        <v>3950000</v>
      </c>
      <c r="L2654" s="2" t="s">
        <v>4363</v>
      </c>
      <c r="M2654" t="s">
        <v>65</v>
      </c>
      <c r="N2654">
        <v>0</v>
      </c>
      <c r="P2654" t="b">
        <v>0</v>
      </c>
    </row>
    <row r="2655" spans="1:16" x14ac:dyDescent="0.2">
      <c r="A2655" t="s">
        <v>4364</v>
      </c>
      <c r="B2655" s="1">
        <v>45197</v>
      </c>
      <c r="C2655" s="1">
        <v>45257</v>
      </c>
      <c r="D2655" t="s">
        <v>59</v>
      </c>
      <c r="E2655" t="s">
        <v>18</v>
      </c>
      <c r="F2655" t="s">
        <v>45</v>
      </c>
      <c r="G2655" t="s">
        <v>35</v>
      </c>
      <c r="H2655" t="s">
        <v>21</v>
      </c>
      <c r="J2655">
        <v>2</v>
      </c>
      <c r="K2655">
        <v>3383000</v>
      </c>
      <c r="L2655">
        <v>8.39135674042088E-2</v>
      </c>
      <c r="M2655" t="s">
        <v>23</v>
      </c>
      <c r="N2655">
        <v>6198000</v>
      </c>
      <c r="O2655">
        <v>4.5</v>
      </c>
      <c r="P2655" t="b">
        <v>1</v>
      </c>
    </row>
    <row r="2656" spans="1:16" x14ac:dyDescent="0.2">
      <c r="A2656" t="s">
        <v>4365</v>
      </c>
      <c r="B2656" s="1">
        <v>45197</v>
      </c>
      <c r="C2656" s="1">
        <v>45199</v>
      </c>
      <c r="D2656" t="s">
        <v>4366</v>
      </c>
      <c r="E2656" t="s">
        <v>18</v>
      </c>
      <c r="F2656" t="s">
        <v>34</v>
      </c>
      <c r="G2656" t="s">
        <v>35</v>
      </c>
      <c r="I2656" t="s">
        <v>26</v>
      </c>
      <c r="J2656">
        <v>2</v>
      </c>
      <c r="K2656">
        <v>3893000</v>
      </c>
      <c r="L2656">
        <v>9.1728158448028799E-2</v>
      </c>
      <c r="M2656" t="s">
        <v>23</v>
      </c>
      <c r="N2656">
        <v>7072000</v>
      </c>
      <c r="O2656">
        <v>4</v>
      </c>
      <c r="P2656" t="b">
        <v>0</v>
      </c>
    </row>
    <row r="2657" spans="1:16" x14ac:dyDescent="0.2">
      <c r="A2657" t="s">
        <v>4367</v>
      </c>
      <c r="B2657" s="1">
        <v>45197</v>
      </c>
      <c r="C2657" s="1">
        <v>45258</v>
      </c>
      <c r="D2657" t="s">
        <v>4368</v>
      </c>
      <c r="E2657" t="s">
        <v>45</v>
      </c>
      <c r="F2657" t="s">
        <v>34</v>
      </c>
      <c r="G2657" t="s">
        <v>20</v>
      </c>
      <c r="H2657" t="s">
        <v>21</v>
      </c>
      <c r="I2657" t="s">
        <v>83</v>
      </c>
      <c r="J2657">
        <v>2</v>
      </c>
      <c r="K2657">
        <v>3848000</v>
      </c>
      <c r="L2657">
        <v>6.4265674981560106E-2</v>
      </c>
      <c r="M2657" t="s">
        <v>23</v>
      </c>
      <c r="N2657">
        <v>7201000</v>
      </c>
      <c r="O2657">
        <v>3.8</v>
      </c>
      <c r="P2657" t="b">
        <v>0</v>
      </c>
    </row>
    <row r="2658" spans="1:16" x14ac:dyDescent="0.2">
      <c r="A2658" t="s">
        <v>4369</v>
      </c>
      <c r="B2658" s="1">
        <v>45198</v>
      </c>
      <c r="C2658" s="1">
        <v>45261</v>
      </c>
      <c r="D2658" t="s">
        <v>4370</v>
      </c>
      <c r="E2658" t="s">
        <v>33</v>
      </c>
      <c r="F2658" t="s">
        <v>19</v>
      </c>
      <c r="G2658" t="s">
        <v>50</v>
      </c>
      <c r="H2658" t="s">
        <v>21</v>
      </c>
      <c r="I2658" t="s">
        <v>94</v>
      </c>
      <c r="J2658">
        <v>1</v>
      </c>
      <c r="K2658">
        <v>2980000</v>
      </c>
      <c r="L2658" s="2" t="s">
        <v>4371</v>
      </c>
      <c r="M2658" t="s">
        <v>23</v>
      </c>
      <c r="N2658">
        <v>2614000</v>
      </c>
      <c r="O2658">
        <v>4.3</v>
      </c>
      <c r="P2658" t="b">
        <v>0</v>
      </c>
    </row>
    <row r="2659" spans="1:16" x14ac:dyDescent="0.2">
      <c r="A2659" t="s">
        <v>4372</v>
      </c>
      <c r="B2659" s="1">
        <v>45199</v>
      </c>
      <c r="C2659" s="1">
        <v>45254</v>
      </c>
      <c r="D2659" t="s">
        <v>4373</v>
      </c>
      <c r="E2659" t="s">
        <v>18</v>
      </c>
      <c r="F2659" t="s">
        <v>19</v>
      </c>
      <c r="G2659" t="s">
        <v>20</v>
      </c>
      <c r="H2659" t="s">
        <v>21</v>
      </c>
      <c r="J2659">
        <v>3</v>
      </c>
      <c r="K2659">
        <v>2727000</v>
      </c>
      <c r="L2659" s="2" t="s">
        <v>4374</v>
      </c>
      <c r="M2659" t="s">
        <v>23</v>
      </c>
      <c r="N2659">
        <v>7270000</v>
      </c>
      <c r="O2659">
        <v>4.5999999999999996</v>
      </c>
      <c r="P2659" t="b">
        <v>0</v>
      </c>
    </row>
    <row r="2660" spans="1:16" x14ac:dyDescent="0.2">
      <c r="A2660" t="s">
        <v>4375</v>
      </c>
      <c r="B2660" s="1">
        <v>45199</v>
      </c>
      <c r="C2660" s="1">
        <v>45249</v>
      </c>
      <c r="D2660" t="s">
        <v>632</v>
      </c>
      <c r="E2660" t="s">
        <v>18</v>
      </c>
      <c r="F2660" t="s">
        <v>34</v>
      </c>
      <c r="G2660" t="s">
        <v>20</v>
      </c>
      <c r="H2660" t="s">
        <v>47</v>
      </c>
      <c r="I2660" t="s">
        <v>30</v>
      </c>
      <c r="J2660">
        <v>4</v>
      </c>
      <c r="K2660">
        <v>3588000</v>
      </c>
      <c r="L2660" s="2" t="s">
        <v>4376</v>
      </c>
      <c r="M2660" t="s">
        <v>23</v>
      </c>
      <c r="N2660">
        <v>12812000</v>
      </c>
      <c r="O2660">
        <v>4.5</v>
      </c>
      <c r="P2660" t="b">
        <v>1</v>
      </c>
    </row>
    <row r="2661" spans="1:16" x14ac:dyDescent="0.2">
      <c r="A2661" t="s">
        <v>4377</v>
      </c>
      <c r="B2661" s="1">
        <v>45200</v>
      </c>
      <c r="C2661" s="1">
        <v>45291</v>
      </c>
      <c r="D2661" t="s">
        <v>913</v>
      </c>
      <c r="F2661" t="s">
        <v>34</v>
      </c>
      <c r="G2661" t="s">
        <v>20</v>
      </c>
      <c r="H2661" t="s">
        <v>21</v>
      </c>
      <c r="I2661" t="s">
        <v>99</v>
      </c>
      <c r="J2661">
        <v>2</v>
      </c>
      <c r="K2661">
        <v>4013000</v>
      </c>
      <c r="L2661" s="2" t="s">
        <v>4378</v>
      </c>
      <c r="M2661" t="s">
        <v>23</v>
      </c>
      <c r="N2661">
        <v>6800000</v>
      </c>
      <c r="O2661">
        <v>4.8</v>
      </c>
      <c r="P2661" t="b">
        <v>1</v>
      </c>
    </row>
    <row r="2662" spans="1:16" x14ac:dyDescent="0.2">
      <c r="A2662" t="s">
        <v>4379</v>
      </c>
      <c r="B2662" s="1">
        <v>45200</v>
      </c>
      <c r="C2662" s="1">
        <v>45249</v>
      </c>
      <c r="D2662" t="s">
        <v>4380</v>
      </c>
      <c r="E2662" t="s">
        <v>45</v>
      </c>
      <c r="F2662" t="s">
        <v>34</v>
      </c>
      <c r="G2662" t="s">
        <v>35</v>
      </c>
      <c r="I2662" t="s">
        <v>26</v>
      </c>
      <c r="J2662">
        <v>1</v>
      </c>
      <c r="K2662">
        <v>4400000</v>
      </c>
      <c r="L2662">
        <v>6.8111124066404793E-2</v>
      </c>
      <c r="M2662" t="s">
        <v>23</v>
      </c>
      <c r="N2662">
        <v>4100000</v>
      </c>
      <c r="O2662">
        <v>4</v>
      </c>
      <c r="P2662" t="b">
        <v>0</v>
      </c>
    </row>
    <row r="2663" spans="1:16" x14ac:dyDescent="0.2">
      <c r="A2663" t="s">
        <v>4381</v>
      </c>
      <c r="B2663" s="1">
        <v>45201</v>
      </c>
      <c r="C2663" s="1">
        <v>45286</v>
      </c>
      <c r="D2663" t="s">
        <v>3116</v>
      </c>
      <c r="E2663" t="s">
        <v>29</v>
      </c>
      <c r="F2663" t="s">
        <v>34</v>
      </c>
      <c r="G2663" t="s">
        <v>20</v>
      </c>
      <c r="H2663" t="s">
        <v>21</v>
      </c>
      <c r="I2663" t="s">
        <v>26</v>
      </c>
      <c r="J2663">
        <v>3</v>
      </c>
      <c r="K2663">
        <v>4310000</v>
      </c>
      <c r="L2663" s="2" t="s">
        <v>4382</v>
      </c>
      <c r="M2663" t="s">
        <v>1882</v>
      </c>
      <c r="N2663">
        <v>11071000</v>
      </c>
      <c r="O2663">
        <v>4.3</v>
      </c>
      <c r="P2663" t="b">
        <v>1</v>
      </c>
    </row>
    <row r="2664" spans="1:16" x14ac:dyDescent="0.2">
      <c r="A2664" t="s">
        <v>4383</v>
      </c>
      <c r="B2664" s="1">
        <v>45201</v>
      </c>
      <c r="C2664" s="1">
        <v>45254</v>
      </c>
      <c r="D2664" t="s">
        <v>4384</v>
      </c>
      <c r="E2664" t="s">
        <v>18</v>
      </c>
      <c r="F2664" t="s">
        <v>34</v>
      </c>
      <c r="G2664" t="s">
        <v>20</v>
      </c>
      <c r="H2664" t="s">
        <v>21</v>
      </c>
      <c r="I2664" t="s">
        <v>52</v>
      </c>
      <c r="J2664">
        <v>3</v>
      </c>
      <c r="K2664">
        <v>3305000</v>
      </c>
      <c r="L2664" s="2" t="s">
        <v>4385</v>
      </c>
      <c r="M2664" t="s">
        <v>23</v>
      </c>
      <c r="N2664">
        <v>8437000</v>
      </c>
      <c r="O2664">
        <v>5</v>
      </c>
      <c r="P2664" t="b">
        <v>0</v>
      </c>
    </row>
    <row r="2665" spans="1:16" x14ac:dyDescent="0.2">
      <c r="A2665" t="s">
        <v>4386</v>
      </c>
      <c r="B2665" s="1">
        <v>45202</v>
      </c>
      <c r="C2665" s="1">
        <v>45250</v>
      </c>
      <c r="D2665" t="s">
        <v>276</v>
      </c>
      <c r="E2665" t="s">
        <v>45</v>
      </c>
      <c r="F2665" t="s">
        <v>19</v>
      </c>
      <c r="G2665" t="s">
        <v>35</v>
      </c>
      <c r="H2665" t="s">
        <v>47</v>
      </c>
      <c r="I2665" t="s">
        <v>26</v>
      </c>
      <c r="J2665">
        <v>1</v>
      </c>
      <c r="K2665">
        <v>2412000</v>
      </c>
      <c r="L2665" s="2" t="s">
        <v>4387</v>
      </c>
      <c r="M2665" t="s">
        <v>23</v>
      </c>
      <c r="N2665">
        <v>2144000</v>
      </c>
      <c r="O2665">
        <v>4.3</v>
      </c>
      <c r="P2665" t="b">
        <v>1</v>
      </c>
    </row>
    <row r="2666" spans="1:16" x14ac:dyDescent="0.2">
      <c r="A2666" t="s">
        <v>4388</v>
      </c>
      <c r="B2666" s="1">
        <v>45202</v>
      </c>
      <c r="C2666" s="1">
        <v>45241</v>
      </c>
      <c r="D2666" t="s">
        <v>2342</v>
      </c>
      <c r="E2666" t="s">
        <v>33</v>
      </c>
      <c r="F2666" t="s">
        <v>25</v>
      </c>
      <c r="G2666" t="s">
        <v>35</v>
      </c>
      <c r="H2666" t="s">
        <v>21</v>
      </c>
      <c r="I2666" t="s">
        <v>60</v>
      </c>
      <c r="J2666">
        <v>1</v>
      </c>
      <c r="K2666">
        <v>5117000</v>
      </c>
      <c r="L2666" s="2" t="s">
        <v>4389</v>
      </c>
      <c r="M2666" t="s">
        <v>23</v>
      </c>
      <c r="N2666">
        <v>4351000</v>
      </c>
      <c r="O2666">
        <v>3.3</v>
      </c>
      <c r="P2666" t="b">
        <v>1</v>
      </c>
    </row>
    <row r="2667" spans="1:16" x14ac:dyDescent="0.2">
      <c r="A2667" t="s">
        <v>4390</v>
      </c>
      <c r="B2667" s="1">
        <v>45202</v>
      </c>
      <c r="C2667" s="1">
        <v>45239</v>
      </c>
      <c r="D2667" t="s">
        <v>1112</v>
      </c>
      <c r="E2667" t="s">
        <v>33</v>
      </c>
      <c r="F2667" t="s">
        <v>25</v>
      </c>
      <c r="G2667" t="s">
        <v>50</v>
      </c>
      <c r="H2667" t="s">
        <v>40</v>
      </c>
      <c r="I2667" t="s">
        <v>60</v>
      </c>
      <c r="J2667">
        <v>2</v>
      </c>
      <c r="K2667">
        <v>5081000</v>
      </c>
      <c r="L2667" s="2" t="s">
        <v>4391</v>
      </c>
      <c r="M2667" t="s">
        <v>23</v>
      </c>
      <c r="N2667">
        <v>9061000</v>
      </c>
      <c r="O2667">
        <v>3.4</v>
      </c>
      <c r="P2667" t="b">
        <v>1</v>
      </c>
    </row>
    <row r="2668" spans="1:16" x14ac:dyDescent="0.2">
      <c r="A2668" t="s">
        <v>4392</v>
      </c>
      <c r="B2668" s="1">
        <v>45203</v>
      </c>
      <c r="C2668" s="1">
        <v>45247</v>
      </c>
      <c r="D2668" t="s">
        <v>2458</v>
      </c>
      <c r="E2668" t="s">
        <v>18</v>
      </c>
      <c r="F2668" t="s">
        <v>34</v>
      </c>
      <c r="G2668" t="s">
        <v>20</v>
      </c>
      <c r="H2668" t="s">
        <v>21</v>
      </c>
      <c r="I2668" t="s">
        <v>83</v>
      </c>
      <c r="J2668">
        <v>3</v>
      </c>
      <c r="K2668">
        <v>3780000</v>
      </c>
      <c r="L2668">
        <v>9.4651124688166596E-2</v>
      </c>
      <c r="M2668" t="s">
        <v>23</v>
      </c>
      <c r="N2668">
        <v>10267000</v>
      </c>
      <c r="O2668">
        <v>3.8</v>
      </c>
      <c r="P2668" t="b">
        <v>1</v>
      </c>
    </row>
    <row r="2669" spans="1:16" x14ac:dyDescent="0.2">
      <c r="A2669" t="s">
        <v>4393</v>
      </c>
      <c r="B2669" s="1">
        <v>45203</v>
      </c>
      <c r="C2669" s="1">
        <v>45235</v>
      </c>
      <c r="D2669" t="s">
        <v>4394</v>
      </c>
      <c r="E2669" t="s">
        <v>18</v>
      </c>
      <c r="F2669" t="s">
        <v>34</v>
      </c>
      <c r="G2669" t="s">
        <v>35</v>
      </c>
      <c r="H2669" t="s">
        <v>21</v>
      </c>
      <c r="I2669" t="s">
        <v>57</v>
      </c>
      <c r="J2669">
        <v>1</v>
      </c>
      <c r="K2669">
        <v>4544000</v>
      </c>
      <c r="L2669" s="2" t="s">
        <v>4395</v>
      </c>
      <c r="M2669" t="s">
        <v>23</v>
      </c>
      <c r="N2669">
        <v>4077000</v>
      </c>
      <c r="O2669">
        <v>4.4000000000000004</v>
      </c>
      <c r="P2669" t="b">
        <v>0</v>
      </c>
    </row>
    <row r="2670" spans="1:16" x14ac:dyDescent="0.2">
      <c r="A2670" t="s">
        <v>4396</v>
      </c>
      <c r="B2670" s="1">
        <v>45203</v>
      </c>
      <c r="C2670" s="1">
        <v>45249</v>
      </c>
      <c r="D2670" t="s">
        <v>4397</v>
      </c>
      <c r="E2670" t="s">
        <v>29</v>
      </c>
      <c r="F2670" t="s">
        <v>19</v>
      </c>
      <c r="G2670" t="s">
        <v>50</v>
      </c>
      <c r="H2670" t="s">
        <v>21</v>
      </c>
      <c r="I2670" t="s">
        <v>52</v>
      </c>
      <c r="J2670">
        <v>1</v>
      </c>
      <c r="K2670">
        <v>2381000</v>
      </c>
      <c r="L2670">
        <v>3.3378544396675598E-2</v>
      </c>
      <c r="M2670" t="s">
        <v>23</v>
      </c>
      <c r="N2670">
        <v>2302000</v>
      </c>
      <c r="O2670">
        <v>4.5999999999999996</v>
      </c>
      <c r="P2670" t="b">
        <v>0</v>
      </c>
    </row>
    <row r="2671" spans="1:16" x14ac:dyDescent="0.2">
      <c r="A2671" t="s">
        <v>4398</v>
      </c>
      <c r="B2671" s="1">
        <v>45204</v>
      </c>
      <c r="C2671" s="1">
        <v>45291</v>
      </c>
      <c r="D2671" t="s">
        <v>406</v>
      </c>
      <c r="E2671" t="s">
        <v>45</v>
      </c>
      <c r="F2671" t="s">
        <v>45</v>
      </c>
      <c r="G2671" t="s">
        <v>20</v>
      </c>
      <c r="H2671" t="s">
        <v>21</v>
      </c>
      <c r="I2671" t="s">
        <v>30</v>
      </c>
      <c r="J2671">
        <v>2</v>
      </c>
      <c r="K2671">
        <v>3620000</v>
      </c>
      <c r="L2671" s="2" t="s">
        <v>4399</v>
      </c>
      <c r="M2671" t="s">
        <v>23</v>
      </c>
      <c r="N2671">
        <v>6329000</v>
      </c>
      <c r="O2671">
        <v>4.9000000000000004</v>
      </c>
      <c r="P2671" t="b">
        <v>1</v>
      </c>
    </row>
    <row r="2672" spans="1:16" x14ac:dyDescent="0.2">
      <c r="A2672" t="s">
        <v>4400</v>
      </c>
      <c r="B2672" s="1">
        <v>45204</v>
      </c>
      <c r="C2672" s="1">
        <v>45245</v>
      </c>
      <c r="D2672" t="s">
        <v>988</v>
      </c>
      <c r="E2672" t="s">
        <v>18</v>
      </c>
      <c r="F2672" t="s">
        <v>45</v>
      </c>
      <c r="G2672" t="s">
        <v>20</v>
      </c>
      <c r="H2672" t="s">
        <v>47</v>
      </c>
      <c r="I2672" t="s">
        <v>30</v>
      </c>
      <c r="J2672">
        <v>1</v>
      </c>
      <c r="K2672">
        <v>3261000</v>
      </c>
      <c r="L2672">
        <v>8.86843788426456E-2</v>
      </c>
      <c r="M2672" t="s">
        <v>23</v>
      </c>
      <c r="N2672">
        <v>2972000</v>
      </c>
      <c r="O2672">
        <v>3.6</v>
      </c>
      <c r="P2672" t="b">
        <v>1</v>
      </c>
    </row>
    <row r="2673" spans="1:16" x14ac:dyDescent="0.2">
      <c r="A2673" t="s">
        <v>4401</v>
      </c>
      <c r="B2673" s="1">
        <v>45204</v>
      </c>
      <c r="C2673" s="1">
        <v>45256</v>
      </c>
      <c r="D2673" t="s">
        <v>2832</v>
      </c>
      <c r="E2673" t="s">
        <v>33</v>
      </c>
      <c r="F2673" t="s">
        <v>34</v>
      </c>
      <c r="G2673" t="s">
        <v>20</v>
      </c>
      <c r="H2673" t="s">
        <v>21</v>
      </c>
      <c r="I2673" t="s">
        <v>94</v>
      </c>
      <c r="J2673">
        <v>1</v>
      </c>
      <c r="K2673">
        <v>4327000</v>
      </c>
      <c r="L2673" s="2" t="s">
        <v>4402</v>
      </c>
      <c r="M2673" t="s">
        <v>23</v>
      </c>
      <c r="N2673">
        <v>3650000</v>
      </c>
      <c r="O2673">
        <v>3.6</v>
      </c>
      <c r="P2673" t="b">
        <v>1</v>
      </c>
    </row>
    <row r="2674" spans="1:16" x14ac:dyDescent="0.2">
      <c r="A2674" t="s">
        <v>4403</v>
      </c>
      <c r="B2674" s="1">
        <v>45205</v>
      </c>
      <c r="C2674" s="1">
        <v>45255</v>
      </c>
      <c r="D2674" t="s">
        <v>4404</v>
      </c>
      <c r="E2674" t="s">
        <v>33</v>
      </c>
      <c r="F2674" t="s">
        <v>19</v>
      </c>
      <c r="G2674" t="s">
        <v>50</v>
      </c>
      <c r="H2674" t="s">
        <v>21</v>
      </c>
      <c r="I2674" t="s">
        <v>99</v>
      </c>
      <c r="J2674">
        <v>3</v>
      </c>
      <c r="K2674">
        <v>2352000</v>
      </c>
      <c r="L2674" s="2" t="s">
        <v>4405</v>
      </c>
      <c r="M2674" t="s">
        <v>23</v>
      </c>
      <c r="N2674">
        <v>5881000</v>
      </c>
      <c r="O2674">
        <v>4.3</v>
      </c>
      <c r="P2674" t="b">
        <v>0</v>
      </c>
    </row>
    <row r="2675" spans="1:16" x14ac:dyDescent="0.2">
      <c r="A2675" t="s">
        <v>4406</v>
      </c>
      <c r="B2675" s="1">
        <v>45205</v>
      </c>
      <c r="C2675" s="1">
        <v>45253</v>
      </c>
      <c r="D2675" t="s">
        <v>4407</v>
      </c>
      <c r="E2675" t="s">
        <v>18</v>
      </c>
      <c r="F2675" t="s">
        <v>39</v>
      </c>
      <c r="G2675" t="s">
        <v>35</v>
      </c>
      <c r="H2675" t="s">
        <v>21</v>
      </c>
      <c r="I2675" t="s">
        <v>99</v>
      </c>
      <c r="J2675">
        <v>3</v>
      </c>
      <c r="K2675">
        <v>2095000</v>
      </c>
      <c r="L2675" s="2" t="s">
        <v>4408</v>
      </c>
      <c r="M2675" t="s">
        <v>23</v>
      </c>
      <c r="N2675">
        <v>5563000</v>
      </c>
      <c r="O2675">
        <v>3.8</v>
      </c>
      <c r="P2675" t="b">
        <v>0</v>
      </c>
    </row>
    <row r="2676" spans="1:16" x14ac:dyDescent="0.2">
      <c r="A2676" t="s">
        <v>4409</v>
      </c>
      <c r="B2676" s="1">
        <v>45205</v>
      </c>
      <c r="C2676" s="1">
        <v>45227</v>
      </c>
      <c r="D2676" t="s">
        <v>38</v>
      </c>
      <c r="E2676" t="s">
        <v>29</v>
      </c>
      <c r="F2676" t="s">
        <v>19</v>
      </c>
      <c r="G2676" t="s">
        <v>20</v>
      </c>
      <c r="H2676" t="s">
        <v>40</v>
      </c>
      <c r="I2676" t="s">
        <v>22</v>
      </c>
      <c r="J2676">
        <v>2</v>
      </c>
      <c r="K2676">
        <v>2240000</v>
      </c>
      <c r="L2676" s="2" t="s">
        <v>4410</v>
      </c>
      <c r="M2676" t="s">
        <v>23</v>
      </c>
      <c r="N2676">
        <v>3855000</v>
      </c>
      <c r="O2676">
        <v>4.2</v>
      </c>
      <c r="P2676" t="b">
        <v>1</v>
      </c>
    </row>
    <row r="2677" spans="1:16" x14ac:dyDescent="0.2">
      <c r="A2677" t="s">
        <v>4411</v>
      </c>
      <c r="B2677" s="1">
        <v>45205</v>
      </c>
      <c r="C2677" s="1">
        <v>45288</v>
      </c>
      <c r="D2677" t="s">
        <v>159</v>
      </c>
      <c r="E2677" t="s">
        <v>45</v>
      </c>
      <c r="F2677" t="s">
        <v>34</v>
      </c>
      <c r="G2677" t="s">
        <v>50</v>
      </c>
      <c r="H2677" t="s">
        <v>21</v>
      </c>
      <c r="I2677" t="s">
        <v>57</v>
      </c>
      <c r="J2677">
        <v>3</v>
      </c>
      <c r="K2677">
        <v>4606000</v>
      </c>
      <c r="L2677" s="2" t="s">
        <v>4412</v>
      </c>
      <c r="M2677" t="s">
        <v>23</v>
      </c>
      <c r="N2677">
        <v>12382000</v>
      </c>
      <c r="O2677">
        <v>5</v>
      </c>
      <c r="P2677" t="b">
        <v>1</v>
      </c>
    </row>
    <row r="2678" spans="1:16" x14ac:dyDescent="0.2">
      <c r="A2678" t="s">
        <v>4413</v>
      </c>
      <c r="B2678" s="1">
        <v>45206</v>
      </c>
      <c r="C2678" s="1">
        <v>45262</v>
      </c>
      <c r="D2678" t="s">
        <v>4362</v>
      </c>
      <c r="E2678" t="s">
        <v>45</v>
      </c>
      <c r="F2678" t="s">
        <v>34</v>
      </c>
      <c r="G2678" t="s">
        <v>20</v>
      </c>
      <c r="H2678" t="s">
        <v>47</v>
      </c>
      <c r="I2678" t="s">
        <v>77</v>
      </c>
      <c r="J2678">
        <v>3</v>
      </c>
      <c r="K2678">
        <v>4172000</v>
      </c>
      <c r="L2678" s="2" t="s">
        <v>4414</v>
      </c>
      <c r="M2678" t="s">
        <v>23</v>
      </c>
      <c r="N2678">
        <v>11019000</v>
      </c>
      <c r="O2678">
        <v>4.5</v>
      </c>
      <c r="P2678" t="b">
        <v>1</v>
      </c>
    </row>
    <row r="2679" spans="1:16" x14ac:dyDescent="0.2">
      <c r="A2679" t="s">
        <v>4415</v>
      </c>
      <c r="B2679" s="1">
        <v>45206</v>
      </c>
      <c r="C2679" s="1">
        <v>45278</v>
      </c>
      <c r="D2679" t="s">
        <v>3031</v>
      </c>
      <c r="E2679" t="s">
        <v>18</v>
      </c>
      <c r="F2679" t="s">
        <v>19</v>
      </c>
      <c r="G2679" t="s">
        <v>20</v>
      </c>
      <c r="H2679" t="s">
        <v>21</v>
      </c>
      <c r="I2679" t="s">
        <v>77</v>
      </c>
      <c r="J2679">
        <v>1</v>
      </c>
      <c r="K2679">
        <v>2955000</v>
      </c>
      <c r="L2679" s="2" t="s">
        <v>4416</v>
      </c>
      <c r="M2679" t="s">
        <v>23</v>
      </c>
      <c r="N2679">
        <v>2609000</v>
      </c>
      <c r="O2679">
        <v>4.2</v>
      </c>
      <c r="P2679" t="b">
        <v>1</v>
      </c>
    </row>
    <row r="2680" spans="1:16" x14ac:dyDescent="0.2">
      <c r="A2680" t="s">
        <v>4417</v>
      </c>
      <c r="B2680" s="1">
        <v>45207</v>
      </c>
      <c r="C2680" s="1">
        <v>45247</v>
      </c>
      <c r="D2680" t="s">
        <v>4418</v>
      </c>
      <c r="E2680" t="s">
        <v>33</v>
      </c>
      <c r="F2680" t="s">
        <v>34</v>
      </c>
      <c r="G2680" t="s">
        <v>20</v>
      </c>
      <c r="H2680" t="s">
        <v>47</v>
      </c>
      <c r="J2680">
        <v>5</v>
      </c>
      <c r="K2680">
        <v>2994000</v>
      </c>
      <c r="L2680" s="2" t="s">
        <v>4419</v>
      </c>
      <c r="M2680" t="s">
        <v>23</v>
      </c>
      <c r="N2680">
        <v>12566000</v>
      </c>
      <c r="O2680">
        <v>4.0999999999999996</v>
      </c>
      <c r="P2680" t="b">
        <v>0</v>
      </c>
    </row>
    <row r="2681" spans="1:16" x14ac:dyDescent="0.2">
      <c r="A2681" t="s">
        <v>4420</v>
      </c>
      <c r="B2681" s="1">
        <v>45207</v>
      </c>
      <c r="C2681" s="1">
        <v>45229</v>
      </c>
      <c r="D2681" t="s">
        <v>4421</v>
      </c>
      <c r="F2681" t="s">
        <v>68</v>
      </c>
      <c r="G2681" t="s">
        <v>35</v>
      </c>
      <c r="H2681" t="s">
        <v>21</v>
      </c>
      <c r="I2681" t="s">
        <v>26</v>
      </c>
      <c r="J2681">
        <v>1</v>
      </c>
      <c r="K2681">
        <v>2703000</v>
      </c>
      <c r="L2681">
        <v>3.9180333137494701E-2</v>
      </c>
      <c r="M2681" t="s">
        <v>23</v>
      </c>
      <c r="N2681">
        <v>2597000</v>
      </c>
      <c r="O2681">
        <v>4.9000000000000004</v>
      </c>
      <c r="P2681" t="b">
        <v>0</v>
      </c>
    </row>
    <row r="2682" spans="1:16" x14ac:dyDescent="0.2">
      <c r="A2682" t="s">
        <v>4422</v>
      </c>
      <c r="B2682" s="1">
        <v>45207</v>
      </c>
      <c r="C2682" s="1">
        <v>45258</v>
      </c>
      <c r="D2682" t="s">
        <v>1876</v>
      </c>
      <c r="E2682" t="s">
        <v>45</v>
      </c>
      <c r="F2682" t="s">
        <v>68</v>
      </c>
      <c r="G2682" t="s">
        <v>50</v>
      </c>
      <c r="H2682" t="s">
        <v>21</v>
      </c>
      <c r="I2682" t="s">
        <v>1654</v>
      </c>
      <c r="J2682">
        <v>2</v>
      </c>
      <c r="K2682">
        <v>3058000</v>
      </c>
      <c r="L2682" s="3">
        <v>0.11</v>
      </c>
      <c r="M2682" t="s">
        <v>23</v>
      </c>
      <c r="N2682">
        <v>5446000</v>
      </c>
      <c r="O2682">
        <v>4.5</v>
      </c>
      <c r="P2682" t="b">
        <v>1</v>
      </c>
    </row>
    <row r="2683" spans="1:16" x14ac:dyDescent="0.2">
      <c r="A2683" t="s">
        <v>4423</v>
      </c>
      <c r="B2683" s="1">
        <v>45209</v>
      </c>
      <c r="C2683" s="1">
        <v>45293</v>
      </c>
      <c r="D2683" t="s">
        <v>4424</v>
      </c>
      <c r="E2683" t="s">
        <v>33</v>
      </c>
      <c r="F2683" t="s">
        <v>25</v>
      </c>
      <c r="G2683" t="s">
        <v>50</v>
      </c>
      <c r="H2683" t="s">
        <v>51</v>
      </c>
      <c r="I2683" t="s">
        <v>99</v>
      </c>
      <c r="J2683">
        <v>3</v>
      </c>
      <c r="K2683">
        <v>4702000</v>
      </c>
      <c r="L2683" s="2" t="s">
        <v>4425</v>
      </c>
      <c r="M2683" t="s">
        <v>23</v>
      </c>
      <c r="N2683">
        <v>12338000</v>
      </c>
      <c r="O2683">
        <v>4</v>
      </c>
      <c r="P2683" t="b">
        <v>0</v>
      </c>
    </row>
    <row r="2684" spans="1:16" x14ac:dyDescent="0.2">
      <c r="A2684" t="s">
        <v>4426</v>
      </c>
      <c r="B2684" s="1">
        <v>45209</v>
      </c>
      <c r="C2684" s="1">
        <v>45272</v>
      </c>
      <c r="D2684" t="s">
        <v>4427</v>
      </c>
      <c r="E2684" t="s">
        <v>45</v>
      </c>
      <c r="F2684" t="s">
        <v>25</v>
      </c>
      <c r="G2684" t="s">
        <v>20</v>
      </c>
      <c r="H2684" t="s">
        <v>40</v>
      </c>
      <c r="I2684" t="s">
        <v>26</v>
      </c>
      <c r="J2684">
        <v>2</v>
      </c>
      <c r="K2684">
        <v>5635000</v>
      </c>
      <c r="L2684">
        <v>7.20244801693459E-2</v>
      </c>
      <c r="M2684" t="s">
        <v>23</v>
      </c>
      <c r="N2684">
        <v>10458000</v>
      </c>
      <c r="O2684">
        <v>3.7</v>
      </c>
      <c r="P2684" t="b">
        <v>0</v>
      </c>
    </row>
    <row r="2685" spans="1:16" x14ac:dyDescent="0.2">
      <c r="A2685" t="s">
        <v>4428</v>
      </c>
      <c r="B2685" s="1">
        <v>45209</v>
      </c>
      <c r="C2685" s="1">
        <v>45282</v>
      </c>
      <c r="D2685" t="s">
        <v>4429</v>
      </c>
      <c r="E2685" t="s">
        <v>18</v>
      </c>
      <c r="F2685" t="s">
        <v>19</v>
      </c>
      <c r="G2685" t="s">
        <v>20</v>
      </c>
      <c r="H2685" t="s">
        <v>40</v>
      </c>
      <c r="I2685" t="s">
        <v>26</v>
      </c>
      <c r="J2685">
        <v>3</v>
      </c>
      <c r="K2685">
        <v>2778000</v>
      </c>
      <c r="L2685" s="2" t="s">
        <v>4430</v>
      </c>
      <c r="M2685" t="s">
        <v>23</v>
      </c>
      <c r="N2685">
        <v>7044000</v>
      </c>
      <c r="O2685">
        <v>4</v>
      </c>
      <c r="P2685" t="b">
        <v>0</v>
      </c>
    </row>
    <row r="2686" spans="1:16" x14ac:dyDescent="0.2">
      <c r="A2686" t="s">
        <v>4431</v>
      </c>
      <c r="B2686" s="1">
        <v>45209</v>
      </c>
      <c r="C2686" s="1">
        <v>45241</v>
      </c>
      <c r="D2686" t="s">
        <v>890</v>
      </c>
      <c r="E2686" t="s">
        <v>33</v>
      </c>
      <c r="F2686" t="s">
        <v>39</v>
      </c>
      <c r="H2686" t="s">
        <v>40</v>
      </c>
      <c r="I2686" t="s">
        <v>22</v>
      </c>
      <c r="J2686">
        <v>2</v>
      </c>
      <c r="K2686">
        <v>1973000</v>
      </c>
      <c r="L2686" s="3">
        <v>2.4E-2</v>
      </c>
      <c r="M2686" t="s">
        <v>23</v>
      </c>
      <c r="N2686">
        <v>3853000</v>
      </c>
      <c r="O2686">
        <v>4.3</v>
      </c>
      <c r="P2686" t="b">
        <v>1</v>
      </c>
    </row>
    <row r="2687" spans="1:16" x14ac:dyDescent="0.2">
      <c r="A2687" t="s">
        <v>4432</v>
      </c>
      <c r="B2687" s="1">
        <v>45270</v>
      </c>
      <c r="C2687" s="1">
        <v>45246</v>
      </c>
      <c r="D2687" t="s">
        <v>4433</v>
      </c>
      <c r="E2687" t="s">
        <v>18</v>
      </c>
      <c r="F2687" t="s">
        <v>25</v>
      </c>
      <c r="G2687" t="s">
        <v>50</v>
      </c>
      <c r="H2687" t="s">
        <v>51</v>
      </c>
      <c r="I2687" t="s">
        <v>99</v>
      </c>
      <c r="J2687">
        <v>2</v>
      </c>
      <c r="K2687">
        <v>4511000</v>
      </c>
      <c r="L2687">
        <v>9.4185234010262894E-2</v>
      </c>
      <c r="M2687" t="s">
        <v>23</v>
      </c>
      <c r="N2687">
        <v>8172000</v>
      </c>
      <c r="O2687">
        <v>4.2</v>
      </c>
      <c r="P2687" t="b">
        <v>0</v>
      </c>
    </row>
    <row r="2688" spans="1:16" x14ac:dyDescent="0.2">
      <c r="A2688" t="s">
        <v>4434</v>
      </c>
      <c r="B2688" s="1">
        <v>45211</v>
      </c>
      <c r="C2688" s="1">
        <v>45214</v>
      </c>
      <c r="D2688" t="s">
        <v>2234</v>
      </c>
      <c r="E2688" t="s">
        <v>45</v>
      </c>
      <c r="F2688" t="s">
        <v>19</v>
      </c>
      <c r="G2688" t="s">
        <v>46</v>
      </c>
      <c r="H2688" t="s">
        <v>21</v>
      </c>
      <c r="I2688" t="s">
        <v>99</v>
      </c>
      <c r="J2688">
        <v>4</v>
      </c>
      <c r="K2688">
        <v>2309000</v>
      </c>
      <c r="L2688" s="2" t="s">
        <v>4435</v>
      </c>
      <c r="M2688" t="s">
        <v>65</v>
      </c>
      <c r="N2688">
        <v>0</v>
      </c>
      <c r="P2688" t="b">
        <v>1</v>
      </c>
    </row>
    <row r="2689" spans="1:16" x14ac:dyDescent="0.2">
      <c r="A2689" t="s">
        <v>4436</v>
      </c>
      <c r="B2689" s="1">
        <v>45211</v>
      </c>
      <c r="C2689" s="1">
        <v>45237</v>
      </c>
      <c r="D2689" t="s">
        <v>332</v>
      </c>
      <c r="E2689" t="s">
        <v>18</v>
      </c>
      <c r="F2689" t="s">
        <v>19</v>
      </c>
      <c r="H2689" t="s">
        <v>21</v>
      </c>
      <c r="I2689" t="s">
        <v>60</v>
      </c>
      <c r="J2689">
        <v>4</v>
      </c>
      <c r="K2689">
        <v>2573000</v>
      </c>
      <c r="L2689" s="3">
        <v>0.112</v>
      </c>
      <c r="M2689" t="s">
        <v>23</v>
      </c>
      <c r="N2689">
        <v>9140000</v>
      </c>
      <c r="O2689">
        <v>3.7</v>
      </c>
      <c r="P2689" t="b">
        <v>1</v>
      </c>
    </row>
    <row r="2690" spans="1:16" x14ac:dyDescent="0.2">
      <c r="A2690" t="s">
        <v>4437</v>
      </c>
      <c r="B2690" s="1">
        <v>45212</v>
      </c>
      <c r="C2690" s="1">
        <v>45266</v>
      </c>
      <c r="D2690" t="s">
        <v>70</v>
      </c>
      <c r="E2690" t="s">
        <v>29</v>
      </c>
      <c r="F2690" t="s">
        <v>19</v>
      </c>
      <c r="G2690" t="s">
        <v>50</v>
      </c>
      <c r="I2690" t="s">
        <v>30</v>
      </c>
      <c r="J2690">
        <v>1</v>
      </c>
      <c r="K2690">
        <v>2364000</v>
      </c>
      <c r="L2690">
        <v>6.0414113979192503E-2</v>
      </c>
      <c r="M2690" t="s">
        <v>23</v>
      </c>
      <c r="N2690">
        <v>2221000</v>
      </c>
      <c r="O2690">
        <v>3.9</v>
      </c>
      <c r="P2690" t="b">
        <v>1</v>
      </c>
    </row>
    <row r="2691" spans="1:16" x14ac:dyDescent="0.2">
      <c r="A2691" t="s">
        <v>4438</v>
      </c>
      <c r="B2691" s="1">
        <v>45212</v>
      </c>
      <c r="C2691" s="1">
        <v>45262</v>
      </c>
      <c r="D2691" t="s">
        <v>4439</v>
      </c>
      <c r="E2691" t="s">
        <v>29</v>
      </c>
      <c r="F2691" t="s">
        <v>34</v>
      </c>
      <c r="G2691" t="s">
        <v>20</v>
      </c>
      <c r="H2691" t="s">
        <v>21</v>
      </c>
      <c r="I2691" t="s">
        <v>94</v>
      </c>
      <c r="J2691">
        <v>3</v>
      </c>
      <c r="K2691">
        <v>4483000</v>
      </c>
      <c r="L2691">
        <v>6.7507771286466497E-2</v>
      </c>
      <c r="M2691" t="s">
        <v>23</v>
      </c>
      <c r="N2691">
        <v>12541000</v>
      </c>
      <c r="O2691">
        <v>3.8</v>
      </c>
      <c r="P2691" t="b">
        <v>0</v>
      </c>
    </row>
    <row r="2692" spans="1:16" x14ac:dyDescent="0.2">
      <c r="A2692" t="s">
        <v>4440</v>
      </c>
      <c r="B2692" s="1">
        <v>45212</v>
      </c>
      <c r="C2692" s="1">
        <v>45287</v>
      </c>
      <c r="D2692" t="s">
        <v>4441</v>
      </c>
      <c r="E2692" t="s">
        <v>18</v>
      </c>
      <c r="F2692" t="s">
        <v>39</v>
      </c>
      <c r="G2692" t="s">
        <v>35</v>
      </c>
      <c r="H2692" t="s">
        <v>21</v>
      </c>
      <c r="I2692" t="s">
        <v>83</v>
      </c>
      <c r="J2692">
        <v>3</v>
      </c>
      <c r="K2692">
        <v>1503000</v>
      </c>
      <c r="L2692">
        <v>8.32843225244322E-2</v>
      </c>
      <c r="M2692" t="s">
        <v>23</v>
      </c>
      <c r="N2692">
        <v>4133000</v>
      </c>
      <c r="O2692">
        <v>3.7</v>
      </c>
      <c r="P2692" t="b">
        <v>0</v>
      </c>
    </row>
    <row r="2693" spans="1:16" x14ac:dyDescent="0.2">
      <c r="A2693" t="s">
        <v>4442</v>
      </c>
      <c r="B2693" s="1">
        <v>45212</v>
      </c>
      <c r="C2693" s="1">
        <v>45249</v>
      </c>
      <c r="D2693" t="s">
        <v>3022</v>
      </c>
      <c r="E2693" t="s">
        <v>18</v>
      </c>
      <c r="F2693" t="s">
        <v>19</v>
      </c>
      <c r="H2693" t="s">
        <v>47</v>
      </c>
      <c r="I2693" t="s">
        <v>26</v>
      </c>
      <c r="J2693">
        <v>4</v>
      </c>
      <c r="K2693">
        <v>2504000</v>
      </c>
      <c r="L2693">
        <v>7.0400556171078904E-2</v>
      </c>
      <c r="M2693" t="s">
        <v>23</v>
      </c>
      <c r="N2693">
        <v>9311000</v>
      </c>
      <c r="O2693">
        <v>4.0999999999999996</v>
      </c>
      <c r="P2693" t="b">
        <v>1</v>
      </c>
    </row>
    <row r="2694" spans="1:16" x14ac:dyDescent="0.2">
      <c r="A2694" t="s">
        <v>4443</v>
      </c>
      <c r="B2694" s="1">
        <v>45212</v>
      </c>
      <c r="C2694" s="1">
        <v>45252</v>
      </c>
      <c r="D2694" t="s">
        <v>1753</v>
      </c>
      <c r="E2694" t="s">
        <v>29</v>
      </c>
      <c r="F2694" t="s">
        <v>34</v>
      </c>
      <c r="G2694" t="s">
        <v>50</v>
      </c>
      <c r="H2694" t="s">
        <v>21</v>
      </c>
      <c r="I2694" t="s">
        <v>83</v>
      </c>
      <c r="J2694">
        <v>1</v>
      </c>
      <c r="K2694">
        <v>4202000</v>
      </c>
      <c r="L2694" s="2" t="s">
        <v>4444</v>
      </c>
      <c r="M2694" t="s">
        <v>23</v>
      </c>
      <c r="N2694">
        <v>3709000</v>
      </c>
      <c r="O2694">
        <v>4.0999999999999996</v>
      </c>
      <c r="P2694" t="b">
        <v>1</v>
      </c>
    </row>
    <row r="2695" spans="1:16" x14ac:dyDescent="0.2">
      <c r="A2695" t="s">
        <v>4445</v>
      </c>
      <c r="B2695" s="1">
        <v>45212</v>
      </c>
      <c r="C2695" s="1">
        <v>45212</v>
      </c>
      <c r="D2695" t="s">
        <v>4446</v>
      </c>
      <c r="F2695" t="s">
        <v>39</v>
      </c>
      <c r="G2695" t="s">
        <v>35</v>
      </c>
      <c r="H2695" t="s">
        <v>21</v>
      </c>
      <c r="I2695" t="s">
        <v>60</v>
      </c>
      <c r="J2695">
        <v>3</v>
      </c>
      <c r="K2695">
        <v>2435000</v>
      </c>
      <c r="L2695">
        <v>4.9910507179040803E-2</v>
      </c>
      <c r="M2695" t="s">
        <v>1656</v>
      </c>
      <c r="N2695">
        <v>6940000</v>
      </c>
      <c r="O2695">
        <v>4.3</v>
      </c>
      <c r="P2695" t="b">
        <v>0</v>
      </c>
    </row>
    <row r="2696" spans="1:16" x14ac:dyDescent="0.2">
      <c r="A2696" t="s">
        <v>4447</v>
      </c>
      <c r="B2696" s="1">
        <v>45213</v>
      </c>
      <c r="C2696" s="1">
        <v>45253</v>
      </c>
      <c r="D2696" t="s">
        <v>4448</v>
      </c>
      <c r="E2696" t="s">
        <v>33</v>
      </c>
      <c r="F2696" t="s">
        <v>19</v>
      </c>
      <c r="G2696" t="s">
        <v>20</v>
      </c>
      <c r="H2696" t="s">
        <v>21</v>
      </c>
      <c r="I2696" t="s">
        <v>77</v>
      </c>
      <c r="J2696">
        <v>1</v>
      </c>
      <c r="K2696">
        <v>2760000</v>
      </c>
      <c r="L2696">
        <v>7.3439102347649193E-2</v>
      </c>
      <c r="M2696" t="s">
        <v>23</v>
      </c>
      <c r="N2696">
        <v>2557000</v>
      </c>
      <c r="O2696">
        <v>3.9</v>
      </c>
      <c r="P2696" t="b">
        <v>0</v>
      </c>
    </row>
    <row r="2697" spans="1:16" x14ac:dyDescent="0.2">
      <c r="A2697" t="s">
        <v>4449</v>
      </c>
      <c r="B2697" s="1">
        <v>45213</v>
      </c>
      <c r="C2697" s="1">
        <v>45266</v>
      </c>
      <c r="D2697" t="s">
        <v>38</v>
      </c>
      <c r="E2697" t="s">
        <v>18</v>
      </c>
      <c r="F2697" t="s">
        <v>19</v>
      </c>
      <c r="G2697" t="s">
        <v>20</v>
      </c>
      <c r="H2697" t="s">
        <v>47</v>
      </c>
      <c r="I2697" t="s">
        <v>52</v>
      </c>
      <c r="J2697">
        <v>4</v>
      </c>
      <c r="K2697">
        <v>2571000</v>
      </c>
      <c r="L2697" s="2" t="s">
        <v>4450</v>
      </c>
      <c r="M2697" t="s">
        <v>23</v>
      </c>
      <c r="N2697">
        <v>9188000</v>
      </c>
      <c r="O2697">
        <v>4.4000000000000004</v>
      </c>
      <c r="P2697" t="b">
        <v>1</v>
      </c>
    </row>
    <row r="2698" spans="1:16" x14ac:dyDescent="0.2">
      <c r="A2698" t="s">
        <v>4451</v>
      </c>
      <c r="B2698" s="1">
        <v>45213</v>
      </c>
      <c r="C2698" s="1">
        <v>45273</v>
      </c>
      <c r="D2698" t="s">
        <v>1137</v>
      </c>
      <c r="E2698" t="s">
        <v>33</v>
      </c>
      <c r="F2698" t="s">
        <v>19</v>
      </c>
      <c r="G2698" t="s">
        <v>20</v>
      </c>
      <c r="H2698" t="s">
        <v>21</v>
      </c>
      <c r="I2698" t="s">
        <v>94</v>
      </c>
      <c r="J2698">
        <v>2</v>
      </c>
      <c r="K2698">
        <v>2835000</v>
      </c>
      <c r="L2698" s="2" t="s">
        <v>4452</v>
      </c>
      <c r="M2698" t="s">
        <v>23</v>
      </c>
      <c r="N2698">
        <v>4937000</v>
      </c>
      <c r="O2698">
        <v>4.5</v>
      </c>
      <c r="P2698" t="b">
        <v>1</v>
      </c>
    </row>
    <row r="2699" spans="1:16" x14ac:dyDescent="0.2">
      <c r="A2699" t="s">
        <v>4453</v>
      </c>
      <c r="B2699" s="1">
        <v>45213</v>
      </c>
      <c r="C2699" s="1">
        <v>45249</v>
      </c>
      <c r="D2699" t="s">
        <v>1326</v>
      </c>
      <c r="E2699" t="s">
        <v>18</v>
      </c>
      <c r="F2699" t="s">
        <v>45</v>
      </c>
      <c r="G2699" t="s">
        <v>35</v>
      </c>
      <c r="H2699" t="s">
        <v>21</v>
      </c>
      <c r="I2699" t="s">
        <v>26</v>
      </c>
      <c r="J2699">
        <v>1</v>
      </c>
      <c r="K2699">
        <v>3311000</v>
      </c>
      <c r="L2699" s="2" t="s">
        <v>4454</v>
      </c>
      <c r="M2699" t="s">
        <v>23</v>
      </c>
      <c r="N2699">
        <v>2831000</v>
      </c>
      <c r="O2699">
        <v>5</v>
      </c>
      <c r="P2699" t="b">
        <v>1</v>
      </c>
    </row>
    <row r="2700" spans="1:16" x14ac:dyDescent="0.2">
      <c r="A2700" t="s">
        <v>4455</v>
      </c>
      <c r="B2700" s="1">
        <v>45214</v>
      </c>
      <c r="C2700" s="1">
        <v>45255</v>
      </c>
      <c r="D2700" t="s">
        <v>4456</v>
      </c>
      <c r="E2700" t="s">
        <v>29</v>
      </c>
      <c r="F2700" t="s">
        <v>25</v>
      </c>
      <c r="G2700" t="s">
        <v>20</v>
      </c>
      <c r="H2700" t="s">
        <v>40</v>
      </c>
      <c r="I2700" t="s">
        <v>57</v>
      </c>
      <c r="J2700">
        <v>4</v>
      </c>
      <c r="K2700">
        <v>5057000</v>
      </c>
      <c r="L2700" s="2" t="s">
        <v>4457</v>
      </c>
      <c r="M2700" t="s">
        <v>23</v>
      </c>
      <c r="N2700">
        <v>17200000</v>
      </c>
      <c r="O2700">
        <v>4.4000000000000004</v>
      </c>
      <c r="P2700" t="b">
        <v>0</v>
      </c>
    </row>
    <row r="2701" spans="1:16" x14ac:dyDescent="0.2">
      <c r="A2701" t="s">
        <v>4458</v>
      </c>
      <c r="B2701" s="1">
        <v>45214</v>
      </c>
      <c r="C2701" s="1">
        <v>45297</v>
      </c>
      <c r="D2701" t="s">
        <v>323</v>
      </c>
      <c r="E2701" t="s">
        <v>33</v>
      </c>
      <c r="F2701" t="s">
        <v>45</v>
      </c>
      <c r="G2701" t="s">
        <v>20</v>
      </c>
      <c r="H2701" t="s">
        <v>21</v>
      </c>
      <c r="I2701" t="s">
        <v>52</v>
      </c>
      <c r="J2701">
        <v>1</v>
      </c>
      <c r="K2701">
        <v>2950000</v>
      </c>
      <c r="L2701">
        <v>9.7724439371842498E-2</v>
      </c>
      <c r="M2701" t="s">
        <v>23</v>
      </c>
      <c r="N2701">
        <v>2662000</v>
      </c>
      <c r="O2701">
        <v>3.9</v>
      </c>
      <c r="P2701" t="b">
        <v>1</v>
      </c>
    </row>
    <row r="2702" spans="1:16" x14ac:dyDescent="0.2">
      <c r="A2702" t="s">
        <v>4459</v>
      </c>
      <c r="B2702" s="1">
        <v>45215</v>
      </c>
      <c r="C2702" s="1">
        <v>45305</v>
      </c>
      <c r="D2702" t="s">
        <v>4460</v>
      </c>
      <c r="E2702" t="s">
        <v>45</v>
      </c>
      <c r="F2702" t="s">
        <v>68</v>
      </c>
      <c r="G2702" t="s">
        <v>20</v>
      </c>
      <c r="H2702" t="s">
        <v>51</v>
      </c>
      <c r="I2702" t="s">
        <v>22</v>
      </c>
      <c r="J2702">
        <v>1</v>
      </c>
      <c r="K2702">
        <v>2404000</v>
      </c>
      <c r="L2702" s="2" t="s">
        <v>4461</v>
      </c>
      <c r="M2702" t="s">
        <v>23</v>
      </c>
      <c r="N2702">
        <v>2014000</v>
      </c>
      <c r="O2702">
        <v>4.5</v>
      </c>
      <c r="P2702" t="b">
        <v>0</v>
      </c>
    </row>
    <row r="2703" spans="1:16" x14ac:dyDescent="0.2">
      <c r="A2703" t="s">
        <v>4462</v>
      </c>
      <c r="B2703" s="1">
        <v>45216</v>
      </c>
      <c r="C2703" s="1">
        <v>45291</v>
      </c>
      <c r="D2703" t="s">
        <v>1357</v>
      </c>
      <c r="F2703" t="s">
        <v>68</v>
      </c>
      <c r="G2703" t="s">
        <v>35</v>
      </c>
      <c r="H2703" t="s">
        <v>47</v>
      </c>
      <c r="I2703" t="s">
        <v>52</v>
      </c>
      <c r="J2703">
        <v>1</v>
      </c>
      <c r="K2703">
        <v>2672000</v>
      </c>
      <c r="L2703" s="2" t="s">
        <v>4463</v>
      </c>
      <c r="M2703" t="s">
        <v>23</v>
      </c>
      <c r="N2703">
        <v>2387000</v>
      </c>
      <c r="O2703">
        <v>3.6</v>
      </c>
      <c r="P2703" t="b">
        <v>1</v>
      </c>
    </row>
    <row r="2704" spans="1:16" x14ac:dyDescent="0.2">
      <c r="A2704" t="s">
        <v>4464</v>
      </c>
      <c r="B2704" s="1">
        <v>45216</v>
      </c>
      <c r="C2704" s="1">
        <v>45274</v>
      </c>
      <c r="D2704" t="s">
        <v>1334</v>
      </c>
      <c r="E2704" t="s">
        <v>18</v>
      </c>
      <c r="F2704" t="s">
        <v>34</v>
      </c>
      <c r="G2704" t="s">
        <v>20</v>
      </c>
      <c r="H2704" t="s">
        <v>21</v>
      </c>
      <c r="I2704" t="s">
        <v>30</v>
      </c>
      <c r="J2704">
        <v>2</v>
      </c>
      <c r="K2704">
        <v>3700000</v>
      </c>
      <c r="L2704">
        <v>9.5880981187167702E-2</v>
      </c>
      <c r="M2704" t="s">
        <v>23</v>
      </c>
      <c r="N2704">
        <v>6690000</v>
      </c>
      <c r="O2704">
        <v>4.4000000000000004</v>
      </c>
      <c r="P2704" t="b">
        <v>1</v>
      </c>
    </row>
    <row r="2705" spans="1:16" x14ac:dyDescent="0.2">
      <c r="A2705" t="s">
        <v>4465</v>
      </c>
      <c r="B2705" s="1">
        <v>45217</v>
      </c>
      <c r="C2705" s="1">
        <v>45302</v>
      </c>
      <c r="D2705" t="s">
        <v>3496</v>
      </c>
      <c r="E2705" t="s">
        <v>45</v>
      </c>
      <c r="F2705" t="s">
        <v>25</v>
      </c>
      <c r="G2705" t="s">
        <v>50</v>
      </c>
      <c r="H2705" t="s">
        <v>21</v>
      </c>
      <c r="I2705" t="s">
        <v>57</v>
      </c>
      <c r="J2705">
        <v>3</v>
      </c>
      <c r="K2705">
        <v>4846000</v>
      </c>
      <c r="L2705" s="2" t="s">
        <v>4466</v>
      </c>
      <c r="M2705" t="s">
        <v>23</v>
      </c>
      <c r="N2705">
        <v>12965000</v>
      </c>
      <c r="O2705">
        <v>4.8</v>
      </c>
      <c r="P2705" t="b">
        <v>1</v>
      </c>
    </row>
    <row r="2706" spans="1:16" x14ac:dyDescent="0.2">
      <c r="A2706" t="s">
        <v>4467</v>
      </c>
      <c r="B2706" s="1">
        <v>45217</v>
      </c>
      <c r="C2706" s="1">
        <v>45270</v>
      </c>
      <c r="D2706" t="s">
        <v>2048</v>
      </c>
      <c r="E2706" t="s">
        <v>18</v>
      </c>
      <c r="F2706" t="s">
        <v>25</v>
      </c>
      <c r="G2706" t="s">
        <v>20</v>
      </c>
      <c r="I2706" t="s">
        <v>77</v>
      </c>
      <c r="J2706">
        <v>1</v>
      </c>
      <c r="K2706">
        <v>5787000</v>
      </c>
      <c r="L2706">
        <v>8.3565090906712297E-2</v>
      </c>
      <c r="M2706" t="s">
        <v>23</v>
      </c>
      <c r="N2706">
        <v>5303000</v>
      </c>
      <c r="O2706">
        <v>4.5</v>
      </c>
      <c r="P2706" t="b">
        <v>1</v>
      </c>
    </row>
    <row r="2707" spans="1:16" x14ac:dyDescent="0.2">
      <c r="A2707" t="s">
        <v>4468</v>
      </c>
      <c r="B2707" s="1">
        <v>45217</v>
      </c>
      <c r="C2707" s="1">
        <v>45289</v>
      </c>
      <c r="D2707" t="s">
        <v>4469</v>
      </c>
      <c r="E2707" t="s">
        <v>33</v>
      </c>
      <c r="F2707" t="s">
        <v>68</v>
      </c>
      <c r="G2707" t="s">
        <v>35</v>
      </c>
      <c r="H2707" t="s">
        <v>21</v>
      </c>
      <c r="I2707" t="s">
        <v>77</v>
      </c>
      <c r="J2707">
        <v>1</v>
      </c>
      <c r="K2707">
        <v>2556000</v>
      </c>
      <c r="L2707" s="2" t="s">
        <v>4470</v>
      </c>
      <c r="M2707" t="s">
        <v>23</v>
      </c>
      <c r="N2707">
        <v>2413000</v>
      </c>
      <c r="O2707">
        <v>4.5</v>
      </c>
      <c r="P2707" t="b">
        <v>0</v>
      </c>
    </row>
    <row r="2708" spans="1:16" x14ac:dyDescent="0.2">
      <c r="A2708" t="s">
        <v>4471</v>
      </c>
      <c r="B2708" s="1">
        <v>45217</v>
      </c>
      <c r="C2708" s="1">
        <v>45277</v>
      </c>
      <c r="D2708" t="s">
        <v>4472</v>
      </c>
      <c r="E2708" t="s">
        <v>33</v>
      </c>
      <c r="F2708" t="s">
        <v>25</v>
      </c>
      <c r="G2708" t="s">
        <v>20</v>
      </c>
      <c r="H2708" t="s">
        <v>47</v>
      </c>
      <c r="I2708" t="s">
        <v>52</v>
      </c>
      <c r="J2708">
        <v>1</v>
      </c>
      <c r="K2708">
        <v>4930000</v>
      </c>
      <c r="L2708" s="2" t="s">
        <v>4473</v>
      </c>
      <c r="M2708" t="s">
        <v>23</v>
      </c>
      <c r="N2708">
        <v>4332000</v>
      </c>
      <c r="O2708">
        <v>4.2</v>
      </c>
      <c r="P2708" t="b">
        <v>0</v>
      </c>
    </row>
    <row r="2709" spans="1:16" x14ac:dyDescent="0.2">
      <c r="A2709" t="s">
        <v>4474</v>
      </c>
      <c r="B2709" s="1">
        <v>45217</v>
      </c>
      <c r="C2709" s="1">
        <v>45249</v>
      </c>
      <c r="D2709" t="s">
        <v>3910</v>
      </c>
      <c r="E2709" t="s">
        <v>18</v>
      </c>
      <c r="F2709" t="s">
        <v>25</v>
      </c>
      <c r="G2709" t="s">
        <v>50</v>
      </c>
      <c r="H2709" t="s">
        <v>47</v>
      </c>
      <c r="I2709" t="s">
        <v>26</v>
      </c>
      <c r="J2709">
        <v>1</v>
      </c>
      <c r="K2709">
        <v>5112000</v>
      </c>
      <c r="L2709" s="2" t="s">
        <v>4475</v>
      </c>
      <c r="M2709" t="s">
        <v>23</v>
      </c>
      <c r="N2709">
        <v>4543000</v>
      </c>
      <c r="O2709">
        <v>4.7</v>
      </c>
      <c r="P2709" t="b">
        <v>1</v>
      </c>
    </row>
    <row r="2710" spans="1:16" x14ac:dyDescent="0.2">
      <c r="A2710" t="s">
        <v>4476</v>
      </c>
      <c r="B2710" s="1">
        <v>45218</v>
      </c>
      <c r="C2710" s="1">
        <v>45245</v>
      </c>
      <c r="D2710" t="s">
        <v>4477</v>
      </c>
      <c r="E2710" t="s">
        <v>29</v>
      </c>
      <c r="F2710" t="s">
        <v>45</v>
      </c>
      <c r="G2710" t="s">
        <v>20</v>
      </c>
      <c r="H2710" t="s">
        <v>40</v>
      </c>
      <c r="I2710" t="s">
        <v>60</v>
      </c>
      <c r="J2710">
        <v>1</v>
      </c>
      <c r="K2710">
        <v>3325000</v>
      </c>
      <c r="L2710">
        <v>7.8238291045460095E-2</v>
      </c>
      <c r="M2710" t="s">
        <v>23</v>
      </c>
      <c r="N2710">
        <v>3065000</v>
      </c>
      <c r="O2710">
        <v>4.3</v>
      </c>
      <c r="P2710" t="b">
        <v>0</v>
      </c>
    </row>
    <row r="2711" spans="1:16" x14ac:dyDescent="0.2">
      <c r="A2711" t="s">
        <v>4478</v>
      </c>
      <c r="B2711" s="1">
        <v>45218</v>
      </c>
      <c r="C2711" s="1">
        <v>45287</v>
      </c>
      <c r="D2711" t="s">
        <v>4479</v>
      </c>
      <c r="E2711" t="s">
        <v>45</v>
      </c>
      <c r="F2711" t="s">
        <v>68</v>
      </c>
      <c r="G2711" t="s">
        <v>20</v>
      </c>
      <c r="H2711" t="s">
        <v>40</v>
      </c>
      <c r="I2711" t="s">
        <v>83</v>
      </c>
      <c r="J2711">
        <v>3</v>
      </c>
      <c r="K2711">
        <v>2218000</v>
      </c>
      <c r="L2711" s="2" t="s">
        <v>4480</v>
      </c>
      <c r="M2711" t="s">
        <v>23</v>
      </c>
      <c r="N2711">
        <v>5561000</v>
      </c>
      <c r="O2711">
        <v>4.4000000000000004</v>
      </c>
      <c r="P2711" t="b">
        <v>0</v>
      </c>
    </row>
    <row r="2712" spans="1:16" x14ac:dyDescent="0.2">
      <c r="A2712" t="s">
        <v>4481</v>
      </c>
      <c r="B2712" s="1">
        <v>45219</v>
      </c>
      <c r="C2712" s="1">
        <v>45253</v>
      </c>
      <c r="D2712" t="s">
        <v>4482</v>
      </c>
      <c r="E2712" t="s">
        <v>18</v>
      </c>
      <c r="F2712" t="s">
        <v>45</v>
      </c>
      <c r="G2712" t="s">
        <v>35</v>
      </c>
      <c r="H2712" t="s">
        <v>47</v>
      </c>
      <c r="I2712" t="s">
        <v>26</v>
      </c>
      <c r="J2712">
        <v>1</v>
      </c>
      <c r="K2712">
        <v>3295000</v>
      </c>
      <c r="L2712" s="2" t="s">
        <v>4483</v>
      </c>
      <c r="M2712" t="s">
        <v>23</v>
      </c>
      <c r="N2712">
        <v>2918000</v>
      </c>
      <c r="O2712">
        <v>3.8</v>
      </c>
      <c r="P2712" t="b">
        <v>0</v>
      </c>
    </row>
    <row r="2713" spans="1:16" x14ac:dyDescent="0.2">
      <c r="A2713" t="s">
        <v>4484</v>
      </c>
      <c r="B2713" s="1">
        <v>45219</v>
      </c>
      <c r="C2713" s="1">
        <v>45284</v>
      </c>
      <c r="D2713" t="s">
        <v>2989</v>
      </c>
      <c r="F2713" t="s">
        <v>25</v>
      </c>
      <c r="G2713" t="s">
        <v>50</v>
      </c>
      <c r="H2713" t="s">
        <v>21</v>
      </c>
      <c r="I2713" t="s">
        <v>30</v>
      </c>
      <c r="J2713">
        <v>1</v>
      </c>
      <c r="K2713">
        <v>5652000</v>
      </c>
      <c r="L2713" s="2" t="s">
        <v>4485</v>
      </c>
      <c r="M2713" t="s">
        <v>23</v>
      </c>
      <c r="N2713">
        <v>4968000</v>
      </c>
      <c r="O2713">
        <v>3.7</v>
      </c>
      <c r="P2713" t="b">
        <v>1</v>
      </c>
    </row>
    <row r="2714" spans="1:16" x14ac:dyDescent="0.2">
      <c r="A2714" t="s">
        <v>4486</v>
      </c>
      <c r="B2714" s="1">
        <v>45220</v>
      </c>
      <c r="C2714" s="1">
        <v>45220</v>
      </c>
      <c r="D2714" t="s">
        <v>2546</v>
      </c>
      <c r="E2714" t="s">
        <v>45</v>
      </c>
      <c r="F2714" t="s">
        <v>45</v>
      </c>
      <c r="G2714" t="s">
        <v>50</v>
      </c>
      <c r="H2714" t="s">
        <v>21</v>
      </c>
      <c r="I2714" t="s">
        <v>57</v>
      </c>
      <c r="J2714">
        <v>1</v>
      </c>
      <c r="K2714">
        <v>3803000</v>
      </c>
      <c r="L2714">
        <v>7.7165126508507903E-2</v>
      </c>
      <c r="M2714" t="s">
        <v>23</v>
      </c>
      <c r="N2714">
        <v>3510000</v>
      </c>
      <c r="O2714">
        <v>3.8</v>
      </c>
      <c r="P2714" t="b">
        <v>1</v>
      </c>
    </row>
    <row r="2715" spans="1:16" x14ac:dyDescent="0.2">
      <c r="A2715" t="s">
        <v>4487</v>
      </c>
      <c r="B2715" s="1">
        <v>45220</v>
      </c>
      <c r="C2715" s="1">
        <v>45286</v>
      </c>
      <c r="D2715" t="s">
        <v>4488</v>
      </c>
      <c r="E2715" t="s">
        <v>33</v>
      </c>
      <c r="F2715" t="s">
        <v>19</v>
      </c>
      <c r="G2715" t="s">
        <v>35</v>
      </c>
      <c r="H2715" t="s">
        <v>47</v>
      </c>
      <c r="I2715" t="s">
        <v>52</v>
      </c>
      <c r="J2715">
        <v>3</v>
      </c>
      <c r="K2715">
        <v>2775000</v>
      </c>
      <c r="L2715" s="2" t="s">
        <v>4489</v>
      </c>
      <c r="M2715" t="s">
        <v>23</v>
      </c>
      <c r="N2715">
        <v>7110000</v>
      </c>
      <c r="O2715">
        <v>4.3</v>
      </c>
      <c r="P2715" t="b">
        <v>0</v>
      </c>
    </row>
    <row r="2716" spans="1:16" x14ac:dyDescent="0.2">
      <c r="A2716" t="s">
        <v>4490</v>
      </c>
      <c r="B2716" s="1">
        <v>45221</v>
      </c>
      <c r="C2716" s="1">
        <v>45249</v>
      </c>
      <c r="D2716" t="s">
        <v>1459</v>
      </c>
      <c r="E2716" t="s">
        <v>29</v>
      </c>
      <c r="F2716" t="s">
        <v>34</v>
      </c>
      <c r="G2716" t="s">
        <v>20</v>
      </c>
      <c r="H2716" t="s">
        <v>21</v>
      </c>
      <c r="I2716" t="s">
        <v>77</v>
      </c>
      <c r="J2716">
        <v>2</v>
      </c>
      <c r="K2716">
        <v>3948000</v>
      </c>
      <c r="L2716" s="2" t="s">
        <v>4491</v>
      </c>
      <c r="M2716" t="s">
        <v>23</v>
      </c>
      <c r="N2716">
        <v>6894000</v>
      </c>
      <c r="O2716">
        <v>3.5</v>
      </c>
      <c r="P2716" t="b">
        <v>1</v>
      </c>
    </row>
    <row r="2717" spans="1:16" x14ac:dyDescent="0.2">
      <c r="A2717" t="s">
        <v>4492</v>
      </c>
      <c r="B2717" s="1">
        <v>45221</v>
      </c>
      <c r="C2717" s="1">
        <v>45258</v>
      </c>
      <c r="D2717" t="s">
        <v>3774</v>
      </c>
      <c r="E2717" t="s">
        <v>33</v>
      </c>
      <c r="F2717" t="s">
        <v>68</v>
      </c>
      <c r="G2717" t="s">
        <v>35</v>
      </c>
      <c r="H2717" t="s">
        <v>47</v>
      </c>
      <c r="I2717" t="s">
        <v>94</v>
      </c>
      <c r="J2717">
        <v>2</v>
      </c>
      <c r="K2717">
        <v>2053000</v>
      </c>
      <c r="L2717" s="2" t="s">
        <v>4493</v>
      </c>
      <c r="M2717" t="s">
        <v>23</v>
      </c>
      <c r="N2717">
        <v>3870000</v>
      </c>
      <c r="O2717">
        <v>4.2</v>
      </c>
      <c r="P2717" t="b">
        <v>1</v>
      </c>
    </row>
    <row r="2718" spans="1:16" x14ac:dyDescent="0.2">
      <c r="A2718" t="s">
        <v>4494</v>
      </c>
      <c r="B2718" s="1">
        <v>45222</v>
      </c>
      <c r="C2718" s="1">
        <v>45267</v>
      </c>
      <c r="D2718" t="s">
        <v>4495</v>
      </c>
      <c r="E2718" t="s">
        <v>29</v>
      </c>
      <c r="F2718" t="s">
        <v>45</v>
      </c>
      <c r="G2718" t="s">
        <v>20</v>
      </c>
      <c r="H2718" t="s">
        <v>21</v>
      </c>
      <c r="I2718" t="s">
        <v>57</v>
      </c>
      <c r="J2718">
        <v>2</v>
      </c>
      <c r="K2718">
        <v>3884000</v>
      </c>
      <c r="L2718">
        <v>7.2825579400417798E-2</v>
      </c>
      <c r="M2718" t="s">
        <v>23</v>
      </c>
      <c r="N2718">
        <v>7202000</v>
      </c>
      <c r="O2718">
        <v>3.9</v>
      </c>
      <c r="P2718" t="b">
        <v>0</v>
      </c>
    </row>
    <row r="2719" spans="1:16" x14ac:dyDescent="0.2">
      <c r="A2719" t="s">
        <v>4496</v>
      </c>
      <c r="B2719" s="1">
        <v>45222</v>
      </c>
      <c r="C2719" s="1">
        <v>45251</v>
      </c>
      <c r="D2719" t="s">
        <v>3692</v>
      </c>
      <c r="E2719" t="s">
        <v>29</v>
      </c>
      <c r="F2719" t="s">
        <v>34</v>
      </c>
      <c r="G2719" t="s">
        <v>20</v>
      </c>
      <c r="H2719" t="s">
        <v>21</v>
      </c>
      <c r="I2719" t="s">
        <v>77</v>
      </c>
      <c r="J2719">
        <v>1</v>
      </c>
      <c r="K2719">
        <v>3702000</v>
      </c>
      <c r="L2719">
        <v>8.8258550714436904E-2</v>
      </c>
      <c r="M2719" t="s">
        <v>23</v>
      </c>
      <c r="N2719">
        <v>3375000</v>
      </c>
      <c r="O2719">
        <v>4.4000000000000004</v>
      </c>
      <c r="P2719" t="b">
        <v>1</v>
      </c>
    </row>
    <row r="2720" spans="1:16" x14ac:dyDescent="0.2">
      <c r="A2720" t="s">
        <v>4497</v>
      </c>
      <c r="B2720" s="1">
        <v>45223</v>
      </c>
      <c r="C2720" s="1">
        <v>45247</v>
      </c>
      <c r="D2720" t="s">
        <v>729</v>
      </c>
      <c r="E2720" t="s">
        <v>45</v>
      </c>
      <c r="F2720" t="s">
        <v>19</v>
      </c>
      <c r="G2720" t="s">
        <v>20</v>
      </c>
      <c r="H2720" t="s">
        <v>47</v>
      </c>
      <c r="I2720" t="s">
        <v>94</v>
      </c>
      <c r="J2720">
        <v>3</v>
      </c>
      <c r="K2720">
        <v>2526000</v>
      </c>
      <c r="L2720" s="2" t="s">
        <v>4498</v>
      </c>
      <c r="M2720" t="s">
        <v>23</v>
      </c>
      <c r="N2720">
        <v>6586000</v>
      </c>
      <c r="O2720">
        <v>4.2</v>
      </c>
      <c r="P2720" t="b">
        <v>1</v>
      </c>
    </row>
    <row r="2721" spans="1:16" x14ac:dyDescent="0.2">
      <c r="A2721" t="s">
        <v>4499</v>
      </c>
      <c r="B2721" s="1">
        <v>45224</v>
      </c>
      <c r="C2721" s="1">
        <v>45277</v>
      </c>
      <c r="D2721" t="s">
        <v>677</v>
      </c>
      <c r="F2721" t="s">
        <v>34</v>
      </c>
      <c r="G2721" t="s">
        <v>50</v>
      </c>
      <c r="H2721" t="s">
        <v>51</v>
      </c>
      <c r="J2721">
        <v>2</v>
      </c>
      <c r="K2721">
        <v>3687000</v>
      </c>
      <c r="L2721" s="2" t="s">
        <v>4500</v>
      </c>
      <c r="M2721" t="s">
        <v>23</v>
      </c>
      <c r="N2721">
        <v>6592000</v>
      </c>
      <c r="O2721">
        <v>4</v>
      </c>
      <c r="P2721" t="b">
        <v>1</v>
      </c>
    </row>
    <row r="2722" spans="1:16" x14ac:dyDescent="0.2">
      <c r="A2722" t="s">
        <v>4501</v>
      </c>
      <c r="B2722" s="1">
        <v>45225</v>
      </c>
      <c r="C2722" s="1">
        <v>45281</v>
      </c>
      <c r="D2722" t="s">
        <v>2868</v>
      </c>
      <c r="E2722" t="s">
        <v>29</v>
      </c>
      <c r="F2722" t="s">
        <v>19</v>
      </c>
      <c r="G2722" t="s">
        <v>20</v>
      </c>
      <c r="H2722" t="s">
        <v>21</v>
      </c>
      <c r="I2722" t="s">
        <v>57</v>
      </c>
      <c r="J2722">
        <v>3</v>
      </c>
      <c r="K2722">
        <v>3075000</v>
      </c>
      <c r="L2722" s="2" t="s">
        <v>4502</v>
      </c>
      <c r="M2722" t="s">
        <v>23</v>
      </c>
      <c r="N2722">
        <v>8052000</v>
      </c>
      <c r="O2722">
        <v>4.5</v>
      </c>
      <c r="P2722" t="b">
        <v>1</v>
      </c>
    </row>
    <row r="2723" spans="1:16" x14ac:dyDescent="0.2">
      <c r="A2723" t="s">
        <v>4503</v>
      </c>
      <c r="B2723" s="1">
        <v>45225</v>
      </c>
      <c r="C2723" s="1">
        <v>45261</v>
      </c>
      <c r="D2723" t="s">
        <v>4504</v>
      </c>
      <c r="E2723" t="s">
        <v>18</v>
      </c>
      <c r="F2723" t="s">
        <v>45</v>
      </c>
      <c r="G2723" t="s">
        <v>20</v>
      </c>
      <c r="H2723" t="s">
        <v>21</v>
      </c>
      <c r="I2723" t="s">
        <v>83</v>
      </c>
      <c r="J2723">
        <v>2</v>
      </c>
      <c r="K2723">
        <v>2941000</v>
      </c>
      <c r="L2723">
        <v>7.8014681834912294E-2</v>
      </c>
      <c r="M2723" t="s">
        <v>23</v>
      </c>
      <c r="N2723">
        <v>5423000</v>
      </c>
      <c r="O2723">
        <v>3.8</v>
      </c>
      <c r="P2723" t="b">
        <v>0</v>
      </c>
    </row>
    <row r="2724" spans="1:16" x14ac:dyDescent="0.2">
      <c r="A2724" t="s">
        <v>4505</v>
      </c>
      <c r="B2724" s="1">
        <v>45225</v>
      </c>
      <c r="C2724" s="1">
        <v>45268</v>
      </c>
      <c r="D2724" t="s">
        <v>4136</v>
      </c>
      <c r="E2724" t="s">
        <v>33</v>
      </c>
      <c r="F2724" t="s">
        <v>25</v>
      </c>
      <c r="G2724" t="s">
        <v>20</v>
      </c>
      <c r="H2724" t="s">
        <v>21</v>
      </c>
      <c r="I2724" t="s">
        <v>94</v>
      </c>
      <c r="J2724">
        <v>1</v>
      </c>
      <c r="K2724">
        <v>4829000</v>
      </c>
      <c r="L2724" s="3">
        <v>0</v>
      </c>
      <c r="M2724" t="s">
        <v>23</v>
      </c>
      <c r="N2724">
        <v>4829000</v>
      </c>
      <c r="O2724">
        <v>4.5</v>
      </c>
      <c r="P2724" t="b">
        <v>1</v>
      </c>
    </row>
    <row r="2725" spans="1:16" x14ac:dyDescent="0.2">
      <c r="A2725" t="s">
        <v>4506</v>
      </c>
      <c r="B2725" s="1">
        <v>45227</v>
      </c>
      <c r="C2725" s="1">
        <v>45286</v>
      </c>
      <c r="D2725" t="s">
        <v>4384</v>
      </c>
      <c r="E2725" t="s">
        <v>45</v>
      </c>
      <c r="F2725" t="s">
        <v>25</v>
      </c>
      <c r="G2725" t="s">
        <v>20</v>
      </c>
      <c r="H2725" t="s">
        <v>21</v>
      </c>
      <c r="I2725" t="s">
        <v>60</v>
      </c>
      <c r="J2725">
        <v>3</v>
      </c>
      <c r="K2725">
        <v>5994000</v>
      </c>
      <c r="L2725" s="2" t="s">
        <v>4507</v>
      </c>
      <c r="M2725" t="s">
        <v>23</v>
      </c>
      <c r="N2725">
        <v>15989000</v>
      </c>
      <c r="O2725">
        <v>4.4000000000000004</v>
      </c>
      <c r="P2725" t="b">
        <v>1</v>
      </c>
    </row>
    <row r="2726" spans="1:16" x14ac:dyDescent="0.2">
      <c r="A2726" t="s">
        <v>4508</v>
      </c>
      <c r="B2726" s="1">
        <v>45227</v>
      </c>
      <c r="C2726" s="1">
        <v>45249</v>
      </c>
      <c r="D2726" t="s">
        <v>2865</v>
      </c>
      <c r="E2726" t="s">
        <v>18</v>
      </c>
      <c r="F2726" t="s">
        <v>34</v>
      </c>
      <c r="G2726" t="s">
        <v>35</v>
      </c>
      <c r="H2726" t="s">
        <v>47</v>
      </c>
      <c r="I2726" t="s">
        <v>57</v>
      </c>
      <c r="J2726">
        <v>2</v>
      </c>
      <c r="K2726">
        <v>4103000</v>
      </c>
      <c r="L2726" s="2" t="s">
        <v>4509</v>
      </c>
      <c r="M2726" t="s">
        <v>23</v>
      </c>
      <c r="N2726">
        <v>7204000</v>
      </c>
      <c r="O2726">
        <v>4</v>
      </c>
      <c r="P2726" t="b">
        <v>1</v>
      </c>
    </row>
    <row r="2727" spans="1:16" x14ac:dyDescent="0.2">
      <c r="A2727" t="s">
        <v>4510</v>
      </c>
      <c r="B2727" s="1">
        <v>45227</v>
      </c>
      <c r="C2727" s="1">
        <v>45300</v>
      </c>
      <c r="D2727" t="s">
        <v>4511</v>
      </c>
      <c r="E2727" t="s">
        <v>33</v>
      </c>
      <c r="F2727" t="s">
        <v>34</v>
      </c>
      <c r="G2727" t="s">
        <v>20</v>
      </c>
      <c r="H2727" t="s">
        <v>47</v>
      </c>
      <c r="I2727" t="s">
        <v>52</v>
      </c>
      <c r="J2727">
        <v>2</v>
      </c>
      <c r="K2727">
        <v>3185000</v>
      </c>
      <c r="L2727" s="2" t="s">
        <v>4512</v>
      </c>
      <c r="M2727" t="s">
        <v>65</v>
      </c>
      <c r="N2727">
        <v>0</v>
      </c>
      <c r="P2727" t="b">
        <v>0</v>
      </c>
    </row>
    <row r="2728" spans="1:16" x14ac:dyDescent="0.2">
      <c r="A2728" t="s">
        <v>4513</v>
      </c>
      <c r="B2728" s="1">
        <v>45227</v>
      </c>
      <c r="C2728" s="1">
        <v>45286</v>
      </c>
      <c r="D2728" t="s">
        <v>4514</v>
      </c>
      <c r="E2728" t="s">
        <v>18</v>
      </c>
      <c r="F2728" t="s">
        <v>34</v>
      </c>
      <c r="G2728" t="s">
        <v>50</v>
      </c>
      <c r="H2728" t="s">
        <v>21</v>
      </c>
      <c r="I2728" t="s">
        <v>83</v>
      </c>
      <c r="J2728">
        <v>3</v>
      </c>
      <c r="K2728">
        <v>4631000</v>
      </c>
      <c r="L2728" s="2" t="s">
        <v>4515</v>
      </c>
      <c r="M2728" t="s">
        <v>23</v>
      </c>
      <c r="N2728">
        <v>12424000</v>
      </c>
      <c r="O2728">
        <v>4.3</v>
      </c>
      <c r="P2728" t="b">
        <v>0</v>
      </c>
    </row>
    <row r="2729" spans="1:16" x14ac:dyDescent="0.2">
      <c r="A2729" t="s">
        <v>4516</v>
      </c>
      <c r="B2729" s="1">
        <v>45228</v>
      </c>
      <c r="C2729" s="1">
        <v>45264</v>
      </c>
      <c r="D2729" t="s">
        <v>4517</v>
      </c>
      <c r="E2729" t="s">
        <v>45</v>
      </c>
      <c r="F2729" t="s">
        <v>34</v>
      </c>
      <c r="G2729" t="s">
        <v>35</v>
      </c>
      <c r="I2729" t="s">
        <v>99</v>
      </c>
      <c r="J2729">
        <v>1</v>
      </c>
      <c r="K2729">
        <v>4013000</v>
      </c>
      <c r="L2729">
        <v>0.11702670510662901</v>
      </c>
      <c r="M2729" t="s">
        <v>65</v>
      </c>
      <c r="N2729">
        <v>0</v>
      </c>
      <c r="P2729" t="b">
        <v>0</v>
      </c>
    </row>
    <row r="2730" spans="1:16" x14ac:dyDescent="0.2">
      <c r="A2730" t="s">
        <v>4518</v>
      </c>
      <c r="B2730" s="1">
        <v>45228</v>
      </c>
      <c r="C2730" s="1">
        <v>45285</v>
      </c>
      <c r="D2730" t="s">
        <v>4519</v>
      </c>
      <c r="E2730" t="s">
        <v>18</v>
      </c>
      <c r="F2730" t="s">
        <v>19</v>
      </c>
      <c r="H2730" t="s">
        <v>40</v>
      </c>
      <c r="I2730" t="s">
        <v>30</v>
      </c>
      <c r="J2730">
        <v>3</v>
      </c>
      <c r="K2730">
        <v>2170000</v>
      </c>
      <c r="L2730" s="2" t="s">
        <v>4520</v>
      </c>
      <c r="M2730" t="s">
        <v>23</v>
      </c>
      <c r="N2730">
        <v>5628000</v>
      </c>
      <c r="O2730">
        <v>4.3</v>
      </c>
      <c r="P2730" t="b">
        <v>0</v>
      </c>
    </row>
    <row r="2731" spans="1:16" x14ac:dyDescent="0.2">
      <c r="A2731" t="s">
        <v>4521</v>
      </c>
      <c r="B2731" s="1">
        <v>45229</v>
      </c>
      <c r="C2731" s="1">
        <v>45270</v>
      </c>
      <c r="D2731" t="s">
        <v>4522</v>
      </c>
      <c r="E2731" t="s">
        <v>18</v>
      </c>
      <c r="F2731" t="s">
        <v>45</v>
      </c>
      <c r="G2731" t="s">
        <v>20</v>
      </c>
      <c r="H2731" t="s">
        <v>47</v>
      </c>
      <c r="I2731" t="s">
        <v>26</v>
      </c>
      <c r="J2731">
        <v>3</v>
      </c>
      <c r="K2731">
        <v>3587000</v>
      </c>
      <c r="L2731" s="2" t="s">
        <v>4523</v>
      </c>
      <c r="M2731" t="s">
        <v>23</v>
      </c>
      <c r="N2731">
        <v>9508000</v>
      </c>
      <c r="O2731">
        <v>4.4000000000000004</v>
      </c>
      <c r="P2731" t="b">
        <v>0</v>
      </c>
    </row>
    <row r="2732" spans="1:16" x14ac:dyDescent="0.2">
      <c r="A2732" t="s">
        <v>4524</v>
      </c>
      <c r="B2732" s="1">
        <v>45229</v>
      </c>
      <c r="C2732" s="1">
        <v>45302</v>
      </c>
      <c r="D2732" t="s">
        <v>2651</v>
      </c>
      <c r="E2732" t="s">
        <v>45</v>
      </c>
      <c r="F2732" t="s">
        <v>19</v>
      </c>
      <c r="G2732" t="s">
        <v>35</v>
      </c>
      <c r="H2732" t="s">
        <v>51</v>
      </c>
      <c r="I2732" t="s">
        <v>83</v>
      </c>
      <c r="J2732">
        <v>2</v>
      </c>
      <c r="K2732">
        <v>2719000</v>
      </c>
      <c r="L2732">
        <v>6.4462436719038896E-2</v>
      </c>
      <c r="M2732" t="s">
        <v>23</v>
      </c>
      <c r="N2732">
        <v>5087000</v>
      </c>
      <c r="O2732">
        <v>3.4</v>
      </c>
      <c r="P2732" t="b">
        <v>1</v>
      </c>
    </row>
    <row r="2733" spans="1:16" x14ac:dyDescent="0.2">
      <c r="A2733" t="s">
        <v>4525</v>
      </c>
      <c r="B2733" s="1">
        <v>45229</v>
      </c>
      <c r="C2733" s="1">
        <v>45273</v>
      </c>
      <c r="D2733" t="s">
        <v>4526</v>
      </c>
      <c r="E2733" t="s">
        <v>18</v>
      </c>
      <c r="F2733" t="s">
        <v>19</v>
      </c>
      <c r="H2733" t="s">
        <v>21</v>
      </c>
      <c r="I2733" t="s">
        <v>57</v>
      </c>
      <c r="J2733">
        <v>3</v>
      </c>
      <c r="K2733">
        <v>3160000</v>
      </c>
      <c r="L2733" s="2" t="s">
        <v>4527</v>
      </c>
      <c r="M2733" t="s">
        <v>23</v>
      </c>
      <c r="N2733">
        <v>7477000</v>
      </c>
      <c r="O2733">
        <v>4</v>
      </c>
      <c r="P2733" t="b">
        <v>0</v>
      </c>
    </row>
    <row r="2734" spans="1:16" x14ac:dyDescent="0.2">
      <c r="A2734" t="s">
        <v>4528</v>
      </c>
      <c r="B2734" s="1">
        <v>45230</v>
      </c>
      <c r="C2734" s="1">
        <v>45279</v>
      </c>
      <c r="D2734" t="s">
        <v>3387</v>
      </c>
      <c r="E2734" t="s">
        <v>45</v>
      </c>
      <c r="F2734" t="s">
        <v>34</v>
      </c>
      <c r="G2734" t="s">
        <v>20</v>
      </c>
      <c r="H2734" t="s">
        <v>47</v>
      </c>
      <c r="I2734" t="s">
        <v>99</v>
      </c>
      <c r="J2734">
        <v>2</v>
      </c>
      <c r="K2734">
        <v>4278000</v>
      </c>
      <c r="L2734" s="2" t="s">
        <v>4529</v>
      </c>
      <c r="M2734" t="s">
        <v>23</v>
      </c>
      <c r="N2734">
        <v>7388000</v>
      </c>
      <c r="O2734">
        <v>4.2</v>
      </c>
      <c r="P2734" t="b">
        <v>1</v>
      </c>
    </row>
    <row r="2735" spans="1:16" x14ac:dyDescent="0.2">
      <c r="A2735" t="s">
        <v>4530</v>
      </c>
      <c r="B2735" s="1">
        <v>45230</v>
      </c>
      <c r="C2735" s="1">
        <v>45300</v>
      </c>
      <c r="D2735" t="s">
        <v>2248</v>
      </c>
      <c r="E2735" t="s">
        <v>33</v>
      </c>
      <c r="F2735" t="s">
        <v>19</v>
      </c>
      <c r="G2735" t="s">
        <v>35</v>
      </c>
      <c r="H2735" t="s">
        <v>21</v>
      </c>
      <c r="I2735" t="s">
        <v>22</v>
      </c>
      <c r="J2735">
        <v>1</v>
      </c>
      <c r="K2735">
        <v>2228000</v>
      </c>
      <c r="L2735">
        <v>6.7529409275526905E-2</v>
      </c>
      <c r="M2735" t="s">
        <v>23</v>
      </c>
      <c r="N2735">
        <v>2078000</v>
      </c>
      <c r="O2735">
        <v>4</v>
      </c>
      <c r="P2735" t="b">
        <v>1</v>
      </c>
    </row>
    <row r="2736" spans="1:16" x14ac:dyDescent="0.2">
      <c r="A2736" t="s">
        <v>4531</v>
      </c>
      <c r="B2736" s="1">
        <v>45230</v>
      </c>
      <c r="C2736" s="1">
        <v>45284</v>
      </c>
      <c r="D2736" t="s">
        <v>4532</v>
      </c>
      <c r="E2736" t="s">
        <v>18</v>
      </c>
      <c r="F2736" t="s">
        <v>19</v>
      </c>
      <c r="G2736" t="s">
        <v>20</v>
      </c>
      <c r="H2736" t="s">
        <v>40</v>
      </c>
      <c r="I2736" t="s">
        <v>60</v>
      </c>
      <c r="J2736">
        <v>2</v>
      </c>
      <c r="K2736">
        <v>2734000</v>
      </c>
      <c r="L2736" s="2" t="s">
        <v>4533</v>
      </c>
      <c r="M2736" t="s">
        <v>65</v>
      </c>
      <c r="N2736">
        <v>0</v>
      </c>
      <c r="P2736" t="b">
        <v>0</v>
      </c>
    </row>
    <row r="2737" spans="1:16" x14ac:dyDescent="0.2">
      <c r="A2737" t="s">
        <v>4534</v>
      </c>
      <c r="B2737" s="1">
        <v>45231</v>
      </c>
      <c r="C2737" s="1">
        <v>45284</v>
      </c>
      <c r="D2737" t="s">
        <v>2342</v>
      </c>
      <c r="E2737" t="s">
        <v>18</v>
      </c>
      <c r="F2737" t="s">
        <v>45</v>
      </c>
      <c r="G2737" t="s">
        <v>35</v>
      </c>
      <c r="H2737" t="s">
        <v>51</v>
      </c>
      <c r="I2737" t="s">
        <v>26</v>
      </c>
      <c r="J2737">
        <v>1</v>
      </c>
      <c r="K2737">
        <v>3709000</v>
      </c>
      <c r="L2737" s="2" t="s">
        <v>4535</v>
      </c>
      <c r="M2737" t="s">
        <v>23</v>
      </c>
      <c r="N2737">
        <v>3198000</v>
      </c>
      <c r="O2737">
        <v>5</v>
      </c>
      <c r="P2737" t="b">
        <v>1</v>
      </c>
    </row>
    <row r="2738" spans="1:16" x14ac:dyDescent="0.2">
      <c r="A2738" t="s">
        <v>4536</v>
      </c>
      <c r="B2738" s="1">
        <v>45232</v>
      </c>
      <c r="C2738" s="1">
        <v>45266</v>
      </c>
      <c r="D2738" t="s">
        <v>4370</v>
      </c>
      <c r="E2738" t="s">
        <v>33</v>
      </c>
      <c r="F2738" t="s">
        <v>45</v>
      </c>
      <c r="G2738" t="s">
        <v>20</v>
      </c>
      <c r="H2738" t="s">
        <v>51</v>
      </c>
      <c r="I2738" t="s">
        <v>30</v>
      </c>
      <c r="J2738">
        <v>2</v>
      </c>
      <c r="K2738">
        <v>3448000</v>
      </c>
      <c r="L2738" s="2" t="s">
        <v>4537</v>
      </c>
      <c r="M2738" t="s">
        <v>23</v>
      </c>
      <c r="N2738">
        <v>6096000</v>
      </c>
      <c r="O2738">
        <v>5</v>
      </c>
      <c r="P2738" t="b">
        <v>1</v>
      </c>
    </row>
    <row r="2739" spans="1:16" x14ac:dyDescent="0.2">
      <c r="A2739" t="s">
        <v>4538</v>
      </c>
      <c r="B2739" s="1">
        <v>45232</v>
      </c>
      <c r="C2739" s="1">
        <v>45272</v>
      </c>
      <c r="D2739" t="s">
        <v>3015</v>
      </c>
      <c r="E2739" t="s">
        <v>45</v>
      </c>
      <c r="F2739" t="s">
        <v>45</v>
      </c>
      <c r="G2739" t="s">
        <v>50</v>
      </c>
      <c r="H2739" t="s">
        <v>47</v>
      </c>
      <c r="I2739" t="s">
        <v>77</v>
      </c>
      <c r="J2739">
        <v>3</v>
      </c>
      <c r="K2739">
        <v>3765000</v>
      </c>
      <c r="L2739" s="2" t="s">
        <v>4539</v>
      </c>
      <c r="M2739" t="s">
        <v>23</v>
      </c>
      <c r="N2739">
        <v>10042000</v>
      </c>
      <c r="O2739">
        <v>4.3</v>
      </c>
      <c r="P2739" t="b">
        <v>1</v>
      </c>
    </row>
    <row r="2740" spans="1:16" x14ac:dyDescent="0.2">
      <c r="A2740" t="s">
        <v>4540</v>
      </c>
      <c r="B2740" s="1">
        <v>45232</v>
      </c>
      <c r="C2740" s="1">
        <v>45262</v>
      </c>
      <c r="D2740" t="s">
        <v>1167</v>
      </c>
      <c r="E2740" t="s">
        <v>45</v>
      </c>
      <c r="F2740" t="s">
        <v>45</v>
      </c>
      <c r="G2740" t="s">
        <v>20</v>
      </c>
      <c r="H2740" t="s">
        <v>40</v>
      </c>
      <c r="I2740" t="s">
        <v>26</v>
      </c>
      <c r="J2740">
        <v>1</v>
      </c>
      <c r="K2740">
        <v>3700000</v>
      </c>
      <c r="L2740" s="2" t="s">
        <v>4541</v>
      </c>
      <c r="M2740" t="s">
        <v>23</v>
      </c>
      <c r="N2740">
        <v>3277000</v>
      </c>
      <c r="O2740">
        <v>4.8</v>
      </c>
      <c r="P2740" t="b">
        <v>1</v>
      </c>
    </row>
    <row r="2741" spans="1:16" x14ac:dyDescent="0.2">
      <c r="A2741" t="s">
        <v>4542</v>
      </c>
      <c r="B2741" s="1">
        <v>45233</v>
      </c>
      <c r="C2741" s="1">
        <v>45319</v>
      </c>
      <c r="D2741" t="s">
        <v>4543</v>
      </c>
      <c r="E2741" t="s">
        <v>45</v>
      </c>
      <c r="F2741" t="s">
        <v>34</v>
      </c>
      <c r="G2741" t="s">
        <v>50</v>
      </c>
      <c r="H2741" t="s">
        <v>40</v>
      </c>
      <c r="I2741" t="s">
        <v>99</v>
      </c>
      <c r="J2741">
        <v>2</v>
      </c>
      <c r="K2741">
        <v>3786000</v>
      </c>
      <c r="L2741">
        <v>0</v>
      </c>
      <c r="M2741" t="s">
        <v>23</v>
      </c>
      <c r="N2741">
        <v>7572000</v>
      </c>
      <c r="O2741">
        <v>4.2</v>
      </c>
      <c r="P2741" t="b">
        <v>0</v>
      </c>
    </row>
    <row r="2742" spans="1:16" x14ac:dyDescent="0.2">
      <c r="A2742" t="s">
        <v>4544</v>
      </c>
      <c r="B2742" s="1">
        <v>45233</v>
      </c>
      <c r="C2742" s="1">
        <v>45279</v>
      </c>
      <c r="D2742" t="s">
        <v>3000</v>
      </c>
      <c r="E2742" t="s">
        <v>29</v>
      </c>
      <c r="F2742" t="s">
        <v>25</v>
      </c>
      <c r="G2742" t="s">
        <v>35</v>
      </c>
      <c r="H2742" t="s">
        <v>51</v>
      </c>
      <c r="I2742" t="s">
        <v>26</v>
      </c>
      <c r="J2742">
        <v>1</v>
      </c>
      <c r="K2742">
        <v>5947000</v>
      </c>
      <c r="L2742" s="2" t="s">
        <v>4545</v>
      </c>
      <c r="M2742" t="s">
        <v>23</v>
      </c>
      <c r="N2742">
        <v>5141000</v>
      </c>
      <c r="O2742">
        <v>4.7</v>
      </c>
      <c r="P2742" t="b">
        <v>1</v>
      </c>
    </row>
    <row r="2743" spans="1:16" x14ac:dyDescent="0.2">
      <c r="A2743" t="s">
        <v>4546</v>
      </c>
      <c r="B2743" s="1">
        <v>45234</v>
      </c>
      <c r="C2743" s="1">
        <v>45305</v>
      </c>
      <c r="D2743" t="s">
        <v>3683</v>
      </c>
      <c r="E2743" t="s">
        <v>29</v>
      </c>
      <c r="F2743" t="s">
        <v>34</v>
      </c>
      <c r="G2743" t="s">
        <v>50</v>
      </c>
      <c r="H2743" t="s">
        <v>21</v>
      </c>
      <c r="I2743" t="s">
        <v>22</v>
      </c>
      <c r="J2743">
        <v>1</v>
      </c>
      <c r="K2743">
        <v>3600000</v>
      </c>
      <c r="L2743" s="2" t="s">
        <v>4547</v>
      </c>
      <c r="M2743" t="s">
        <v>23</v>
      </c>
      <c r="N2743">
        <v>3503000</v>
      </c>
      <c r="O2743">
        <v>4</v>
      </c>
      <c r="P2743" t="b">
        <v>1</v>
      </c>
    </row>
    <row r="2744" spans="1:16" x14ac:dyDescent="0.2">
      <c r="A2744" t="s">
        <v>4548</v>
      </c>
      <c r="B2744" s="1">
        <v>45234</v>
      </c>
      <c r="C2744" s="1">
        <v>45297</v>
      </c>
      <c r="D2744" t="s">
        <v>265</v>
      </c>
      <c r="E2744" t="s">
        <v>33</v>
      </c>
      <c r="F2744" t="s">
        <v>34</v>
      </c>
      <c r="G2744" t="s">
        <v>50</v>
      </c>
      <c r="H2744" t="s">
        <v>21</v>
      </c>
      <c r="I2744" t="s">
        <v>77</v>
      </c>
      <c r="J2744">
        <v>2</v>
      </c>
      <c r="K2744">
        <v>4251000</v>
      </c>
      <c r="L2744" s="2" t="s">
        <v>4549</v>
      </c>
      <c r="M2744" t="s">
        <v>23</v>
      </c>
      <c r="N2744">
        <v>7573000</v>
      </c>
      <c r="O2744">
        <v>3.4</v>
      </c>
      <c r="P2744" t="b">
        <v>1</v>
      </c>
    </row>
    <row r="2745" spans="1:16" x14ac:dyDescent="0.2">
      <c r="A2745" t="s">
        <v>4550</v>
      </c>
      <c r="B2745" s="1">
        <v>45234</v>
      </c>
      <c r="C2745" s="1">
        <v>45247</v>
      </c>
      <c r="D2745" t="s">
        <v>2783</v>
      </c>
      <c r="E2745" t="s">
        <v>45</v>
      </c>
      <c r="F2745" t="s">
        <v>39</v>
      </c>
      <c r="G2745" t="s">
        <v>20</v>
      </c>
      <c r="H2745" t="s">
        <v>47</v>
      </c>
      <c r="I2745" t="s">
        <v>26</v>
      </c>
      <c r="J2745">
        <v>2</v>
      </c>
      <c r="K2745">
        <v>2105000</v>
      </c>
      <c r="L2745" s="2" t="s">
        <v>4551</v>
      </c>
      <c r="M2745" t="s">
        <v>23</v>
      </c>
      <c r="N2745">
        <v>3613000</v>
      </c>
      <c r="O2745">
        <v>3.6</v>
      </c>
      <c r="P2745" t="b">
        <v>1</v>
      </c>
    </row>
    <row r="2746" spans="1:16" x14ac:dyDescent="0.2">
      <c r="A2746" t="s">
        <v>4552</v>
      </c>
      <c r="B2746" s="1">
        <v>45234</v>
      </c>
      <c r="C2746" s="1">
        <v>45290</v>
      </c>
      <c r="D2746" t="s">
        <v>4553</v>
      </c>
      <c r="E2746" t="s">
        <v>45</v>
      </c>
      <c r="F2746" t="s">
        <v>45</v>
      </c>
      <c r="G2746" t="s">
        <v>35</v>
      </c>
      <c r="H2746" t="s">
        <v>51</v>
      </c>
      <c r="I2746" t="s">
        <v>30</v>
      </c>
      <c r="J2746">
        <v>2</v>
      </c>
      <c r="K2746">
        <v>3196000</v>
      </c>
      <c r="L2746" s="2" t="s">
        <v>4554</v>
      </c>
      <c r="M2746" t="s">
        <v>23</v>
      </c>
      <c r="N2746">
        <v>5683000</v>
      </c>
      <c r="O2746">
        <v>3.9</v>
      </c>
      <c r="P2746" t="b">
        <v>0</v>
      </c>
    </row>
    <row r="2747" spans="1:16" x14ac:dyDescent="0.2">
      <c r="A2747" t="s">
        <v>4555</v>
      </c>
      <c r="B2747" s="1">
        <v>45234</v>
      </c>
      <c r="C2747" s="1">
        <v>45300</v>
      </c>
      <c r="D2747" t="s">
        <v>2906</v>
      </c>
      <c r="E2747" t="s">
        <v>45</v>
      </c>
      <c r="F2747" t="s">
        <v>34</v>
      </c>
      <c r="G2747" t="s">
        <v>50</v>
      </c>
      <c r="H2747" t="s">
        <v>21</v>
      </c>
      <c r="I2747" t="s">
        <v>60</v>
      </c>
      <c r="J2747">
        <v>3</v>
      </c>
      <c r="K2747">
        <v>4365000</v>
      </c>
      <c r="L2747" s="2" t="s">
        <v>4556</v>
      </c>
      <c r="M2747" t="s">
        <v>23</v>
      </c>
      <c r="N2747">
        <v>12914000</v>
      </c>
      <c r="O2747">
        <v>4.3</v>
      </c>
      <c r="P2747" t="b">
        <v>1</v>
      </c>
    </row>
    <row r="2748" spans="1:16" x14ac:dyDescent="0.2">
      <c r="A2748" t="s">
        <v>4557</v>
      </c>
      <c r="B2748" s="1">
        <v>45236</v>
      </c>
      <c r="C2748" s="1">
        <v>45273</v>
      </c>
      <c r="D2748" t="s">
        <v>4295</v>
      </c>
      <c r="E2748" t="s">
        <v>18</v>
      </c>
      <c r="F2748" t="s">
        <v>34</v>
      </c>
      <c r="G2748" t="s">
        <v>35</v>
      </c>
      <c r="I2748" t="s">
        <v>99</v>
      </c>
      <c r="J2748">
        <v>2</v>
      </c>
      <c r="K2748">
        <v>4051000</v>
      </c>
      <c r="L2748">
        <v>7.7383075424935305E-2</v>
      </c>
      <c r="M2748" t="s">
        <v>23</v>
      </c>
      <c r="N2748">
        <v>7475000</v>
      </c>
      <c r="O2748">
        <v>4</v>
      </c>
      <c r="P2748" t="b">
        <v>1</v>
      </c>
    </row>
    <row r="2749" spans="1:16" x14ac:dyDescent="0.2">
      <c r="A2749" t="s">
        <v>4558</v>
      </c>
      <c r="B2749" s="1">
        <v>45236</v>
      </c>
      <c r="C2749" s="1">
        <v>45292</v>
      </c>
      <c r="D2749" t="s">
        <v>4559</v>
      </c>
      <c r="E2749" t="s">
        <v>45</v>
      </c>
      <c r="F2749" t="s">
        <v>39</v>
      </c>
      <c r="G2749" t="s">
        <v>20</v>
      </c>
      <c r="H2749" t="s">
        <v>21</v>
      </c>
      <c r="I2749" t="s">
        <v>83</v>
      </c>
      <c r="J2749">
        <v>2</v>
      </c>
      <c r="K2749">
        <v>1300000</v>
      </c>
      <c r="L2749">
        <v>8.0043061636593693E-2</v>
      </c>
      <c r="M2749" t="s">
        <v>23</v>
      </c>
      <c r="N2749">
        <v>2392000</v>
      </c>
      <c r="O2749">
        <v>4.8</v>
      </c>
      <c r="P2749" t="b">
        <v>0</v>
      </c>
    </row>
    <row r="2750" spans="1:16" x14ac:dyDescent="0.2">
      <c r="A2750" t="s">
        <v>4560</v>
      </c>
      <c r="B2750" s="1">
        <v>45236</v>
      </c>
      <c r="C2750" s="1">
        <v>45292</v>
      </c>
      <c r="D2750" t="s">
        <v>4141</v>
      </c>
      <c r="E2750" t="s">
        <v>45</v>
      </c>
      <c r="F2750" t="s">
        <v>34</v>
      </c>
      <c r="G2750" t="s">
        <v>50</v>
      </c>
      <c r="H2750" t="s">
        <v>21</v>
      </c>
      <c r="I2750" t="s">
        <v>94</v>
      </c>
      <c r="J2750">
        <v>4</v>
      </c>
      <c r="K2750">
        <v>4015000</v>
      </c>
      <c r="L2750" s="3">
        <v>0.105</v>
      </c>
      <c r="M2750" t="s">
        <v>23</v>
      </c>
      <c r="N2750">
        <v>14374000</v>
      </c>
      <c r="O2750">
        <v>3.9</v>
      </c>
      <c r="P2750" t="b">
        <v>1</v>
      </c>
    </row>
    <row r="2751" spans="1:16" x14ac:dyDescent="0.2">
      <c r="A2751" t="s">
        <v>4561</v>
      </c>
      <c r="B2751" s="1">
        <v>45237</v>
      </c>
      <c r="C2751" s="1">
        <v>45281</v>
      </c>
      <c r="D2751" t="s">
        <v>4562</v>
      </c>
      <c r="E2751" t="s">
        <v>18</v>
      </c>
      <c r="F2751" t="s">
        <v>19</v>
      </c>
      <c r="G2751" t="s">
        <v>50</v>
      </c>
      <c r="H2751" t="s">
        <v>40</v>
      </c>
      <c r="I2751" t="s">
        <v>26</v>
      </c>
      <c r="J2751">
        <v>4</v>
      </c>
      <c r="K2751">
        <v>2898000</v>
      </c>
      <c r="L2751" s="3">
        <v>0.129</v>
      </c>
      <c r="M2751" t="s">
        <v>23</v>
      </c>
      <c r="N2751">
        <v>10102000</v>
      </c>
      <c r="O2751">
        <v>4.0999999999999996</v>
      </c>
      <c r="P2751" t="b">
        <v>0</v>
      </c>
    </row>
    <row r="2752" spans="1:16" x14ac:dyDescent="0.2">
      <c r="A2752" t="s">
        <v>4563</v>
      </c>
      <c r="B2752" s="1">
        <v>45237</v>
      </c>
      <c r="C2752" s="1">
        <v>45283</v>
      </c>
      <c r="D2752" t="s">
        <v>365</v>
      </c>
      <c r="E2752" t="s">
        <v>45</v>
      </c>
      <c r="F2752" t="s">
        <v>68</v>
      </c>
      <c r="G2752" t="s">
        <v>20</v>
      </c>
      <c r="H2752" t="s">
        <v>47</v>
      </c>
      <c r="I2752" t="s">
        <v>60</v>
      </c>
      <c r="J2752">
        <v>2</v>
      </c>
      <c r="K2752">
        <v>2715000</v>
      </c>
      <c r="L2752" s="2" t="s">
        <v>4564</v>
      </c>
      <c r="M2752" t="s">
        <v>65</v>
      </c>
      <c r="N2752">
        <v>0</v>
      </c>
      <c r="P2752" t="b">
        <v>1</v>
      </c>
    </row>
    <row r="2753" spans="1:16" x14ac:dyDescent="0.2">
      <c r="A2753" t="s">
        <v>4565</v>
      </c>
      <c r="B2753" s="1">
        <v>45237</v>
      </c>
      <c r="C2753" s="1">
        <v>45270</v>
      </c>
      <c r="D2753" t="s">
        <v>4566</v>
      </c>
      <c r="E2753" t="s">
        <v>45</v>
      </c>
      <c r="F2753" t="s">
        <v>34</v>
      </c>
      <c r="G2753" t="s">
        <v>20</v>
      </c>
      <c r="H2753" t="s">
        <v>21</v>
      </c>
      <c r="I2753" t="s">
        <v>60</v>
      </c>
      <c r="J2753">
        <v>4</v>
      </c>
      <c r="K2753">
        <v>4572000</v>
      </c>
      <c r="L2753" s="2" t="s">
        <v>4567</v>
      </c>
      <c r="M2753" t="s">
        <v>23</v>
      </c>
      <c r="N2753">
        <v>17733000</v>
      </c>
      <c r="O2753">
        <v>4.9000000000000004</v>
      </c>
      <c r="P2753" t="b">
        <v>0</v>
      </c>
    </row>
    <row r="2754" spans="1:16" x14ac:dyDescent="0.2">
      <c r="A2754" t="s">
        <v>4568</v>
      </c>
      <c r="B2754" s="1">
        <v>45237</v>
      </c>
      <c r="C2754" s="1">
        <v>45271</v>
      </c>
      <c r="D2754" t="s">
        <v>1334</v>
      </c>
      <c r="E2754" t="s">
        <v>45</v>
      </c>
      <c r="F2754" t="s">
        <v>34</v>
      </c>
      <c r="G2754" t="s">
        <v>20</v>
      </c>
      <c r="H2754" t="s">
        <v>21</v>
      </c>
      <c r="I2754" t="s">
        <v>22</v>
      </c>
      <c r="J2754">
        <v>1</v>
      </c>
      <c r="K2754">
        <v>3795000</v>
      </c>
      <c r="L2754" s="2" t="s">
        <v>4569</v>
      </c>
      <c r="M2754" t="s">
        <v>65</v>
      </c>
      <c r="N2754">
        <v>0</v>
      </c>
      <c r="P2754" t="b">
        <v>1</v>
      </c>
    </row>
    <row r="2755" spans="1:16" x14ac:dyDescent="0.2">
      <c r="A2755" t="s">
        <v>4570</v>
      </c>
      <c r="B2755" s="1">
        <v>45238</v>
      </c>
      <c r="C2755" s="1">
        <v>45303</v>
      </c>
      <c r="D2755" t="s">
        <v>3620</v>
      </c>
      <c r="E2755" t="s">
        <v>33</v>
      </c>
      <c r="F2755" t="s">
        <v>25</v>
      </c>
      <c r="G2755" t="s">
        <v>20</v>
      </c>
      <c r="H2755" t="s">
        <v>21</v>
      </c>
      <c r="J2755">
        <v>1</v>
      </c>
      <c r="K2755">
        <v>5730000</v>
      </c>
      <c r="L2755" s="2" t="s">
        <v>4571</v>
      </c>
      <c r="M2755" t="s">
        <v>23</v>
      </c>
      <c r="N2755">
        <v>5036000</v>
      </c>
      <c r="O2755">
        <v>4.7</v>
      </c>
      <c r="P2755" t="b">
        <v>1</v>
      </c>
    </row>
    <row r="2756" spans="1:16" x14ac:dyDescent="0.2">
      <c r="A2756" t="s">
        <v>4572</v>
      </c>
      <c r="B2756" s="1">
        <v>45238</v>
      </c>
      <c r="C2756" s="1">
        <v>45296</v>
      </c>
      <c r="D2756" t="s">
        <v>4424</v>
      </c>
      <c r="E2756" t="s">
        <v>45</v>
      </c>
      <c r="F2756" t="s">
        <v>19</v>
      </c>
      <c r="G2756" t="s">
        <v>46</v>
      </c>
      <c r="H2756" t="s">
        <v>21</v>
      </c>
      <c r="I2756" t="s">
        <v>52</v>
      </c>
      <c r="J2756">
        <v>2</v>
      </c>
      <c r="K2756">
        <v>2422000</v>
      </c>
      <c r="L2756" s="2" t="s">
        <v>4573</v>
      </c>
      <c r="M2756" t="s">
        <v>23</v>
      </c>
      <c r="N2756">
        <v>4185000</v>
      </c>
      <c r="O2756">
        <v>3.4</v>
      </c>
      <c r="P2756" t="b">
        <v>1</v>
      </c>
    </row>
    <row r="2757" spans="1:16" x14ac:dyDescent="0.2">
      <c r="A2757" t="s">
        <v>4574</v>
      </c>
      <c r="B2757" s="1">
        <v>45239</v>
      </c>
      <c r="C2757" s="1">
        <v>45269</v>
      </c>
      <c r="D2757" t="s">
        <v>2313</v>
      </c>
      <c r="E2757" t="s">
        <v>18</v>
      </c>
      <c r="F2757" t="s">
        <v>45</v>
      </c>
      <c r="G2757" t="s">
        <v>20</v>
      </c>
      <c r="H2757" t="s">
        <v>51</v>
      </c>
      <c r="I2757" t="s">
        <v>60</v>
      </c>
      <c r="J2757">
        <v>3</v>
      </c>
      <c r="K2757">
        <v>3550000</v>
      </c>
      <c r="L2757" s="2" t="s">
        <v>4575</v>
      </c>
      <c r="M2757" t="s">
        <v>23</v>
      </c>
      <c r="N2757">
        <v>9082000</v>
      </c>
      <c r="O2757">
        <v>4.4000000000000004</v>
      </c>
      <c r="P2757" t="b">
        <v>1</v>
      </c>
    </row>
    <row r="2758" spans="1:16" x14ac:dyDescent="0.2">
      <c r="A2758" t="s">
        <v>4576</v>
      </c>
      <c r="B2758" s="1">
        <v>45240</v>
      </c>
      <c r="C2758" s="1">
        <v>45317</v>
      </c>
      <c r="D2758" t="s">
        <v>4577</v>
      </c>
      <c r="E2758" t="s">
        <v>33</v>
      </c>
      <c r="F2758" t="s">
        <v>34</v>
      </c>
      <c r="G2758" t="s">
        <v>35</v>
      </c>
      <c r="H2758" t="s">
        <v>21</v>
      </c>
      <c r="I2758" t="s">
        <v>26</v>
      </c>
      <c r="J2758">
        <v>3</v>
      </c>
      <c r="K2758">
        <v>3979000</v>
      </c>
      <c r="L2758" s="2" t="s">
        <v>4578</v>
      </c>
      <c r="M2758" t="s">
        <v>23</v>
      </c>
      <c r="N2758">
        <v>10296000</v>
      </c>
      <c r="O2758">
        <v>4.8</v>
      </c>
      <c r="P2758" t="b">
        <v>0</v>
      </c>
    </row>
    <row r="2759" spans="1:16" x14ac:dyDescent="0.2">
      <c r="A2759" t="s">
        <v>4579</v>
      </c>
      <c r="B2759" s="1">
        <v>45241</v>
      </c>
      <c r="C2759" s="1">
        <v>45283</v>
      </c>
      <c r="D2759" t="s">
        <v>1957</v>
      </c>
      <c r="E2759" t="s">
        <v>33</v>
      </c>
      <c r="F2759" t="s">
        <v>39</v>
      </c>
      <c r="G2759" t="s">
        <v>50</v>
      </c>
      <c r="H2759" t="s">
        <v>51</v>
      </c>
      <c r="I2759" t="s">
        <v>83</v>
      </c>
      <c r="J2759">
        <v>2</v>
      </c>
      <c r="K2759">
        <v>1535000</v>
      </c>
      <c r="L2759">
        <v>0.125618897315183</v>
      </c>
      <c r="M2759" t="s">
        <v>23</v>
      </c>
      <c r="N2759">
        <v>2684000</v>
      </c>
      <c r="O2759">
        <v>4</v>
      </c>
      <c r="P2759" t="b">
        <v>1</v>
      </c>
    </row>
    <row r="2760" spans="1:16" x14ac:dyDescent="0.2">
      <c r="A2760" t="s">
        <v>4580</v>
      </c>
      <c r="B2760" s="1">
        <v>45271</v>
      </c>
      <c r="C2760" s="1">
        <v>45312</v>
      </c>
      <c r="D2760" t="s">
        <v>4581</v>
      </c>
      <c r="E2760" t="s">
        <v>45</v>
      </c>
      <c r="F2760" t="s">
        <v>19</v>
      </c>
      <c r="G2760" t="s">
        <v>20</v>
      </c>
      <c r="H2760" t="s">
        <v>40</v>
      </c>
      <c r="I2760" t="s">
        <v>60</v>
      </c>
      <c r="J2760">
        <v>1</v>
      </c>
      <c r="K2760">
        <v>2789000</v>
      </c>
      <c r="L2760" s="2" t="s">
        <v>4582</v>
      </c>
      <c r="M2760" t="s">
        <v>65</v>
      </c>
      <c r="N2760">
        <v>0</v>
      </c>
      <c r="P2760" t="b">
        <v>0</v>
      </c>
    </row>
    <row r="2761" spans="1:16" x14ac:dyDescent="0.2">
      <c r="A2761" t="s">
        <v>4583</v>
      </c>
      <c r="B2761" s="1">
        <v>45243</v>
      </c>
      <c r="C2761" s="1">
        <v>45317</v>
      </c>
      <c r="D2761" t="s">
        <v>4584</v>
      </c>
      <c r="E2761" t="s">
        <v>18</v>
      </c>
      <c r="F2761" t="s">
        <v>19</v>
      </c>
      <c r="G2761" t="s">
        <v>20</v>
      </c>
      <c r="H2761" t="s">
        <v>21</v>
      </c>
      <c r="I2761" t="s">
        <v>60</v>
      </c>
      <c r="J2761">
        <v>1</v>
      </c>
      <c r="K2761">
        <v>2658000</v>
      </c>
      <c r="L2761" s="2" t="s">
        <v>4585</v>
      </c>
      <c r="M2761" t="s">
        <v>23</v>
      </c>
      <c r="N2761">
        <v>2380000</v>
      </c>
      <c r="O2761">
        <v>3.4</v>
      </c>
      <c r="P2761" t="b">
        <v>0</v>
      </c>
    </row>
    <row r="2762" spans="1:16" x14ac:dyDescent="0.2">
      <c r="A2762" t="s">
        <v>4586</v>
      </c>
      <c r="B2762" s="1">
        <v>45243</v>
      </c>
      <c r="C2762" s="1">
        <v>45336</v>
      </c>
      <c r="D2762" t="s">
        <v>3520</v>
      </c>
      <c r="E2762" t="s">
        <v>45</v>
      </c>
      <c r="F2762" t="s">
        <v>34</v>
      </c>
      <c r="G2762" t="s">
        <v>35</v>
      </c>
      <c r="H2762" t="s">
        <v>21</v>
      </c>
      <c r="I2762" t="s">
        <v>26</v>
      </c>
      <c r="J2762">
        <v>3</v>
      </c>
      <c r="K2762">
        <v>4098000</v>
      </c>
      <c r="L2762">
        <v>9.4105346299596895E-2</v>
      </c>
      <c r="M2762" t="s">
        <v>23</v>
      </c>
      <c r="N2762">
        <v>11137000</v>
      </c>
      <c r="O2762">
        <v>3.4</v>
      </c>
      <c r="P2762" t="b">
        <v>1</v>
      </c>
    </row>
    <row r="2763" spans="1:16" x14ac:dyDescent="0.2">
      <c r="A2763" t="s">
        <v>4587</v>
      </c>
      <c r="B2763" s="1">
        <v>45244</v>
      </c>
      <c r="C2763" s="1">
        <v>45302</v>
      </c>
      <c r="D2763" t="s">
        <v>725</v>
      </c>
      <c r="E2763" t="s">
        <v>45</v>
      </c>
      <c r="F2763" t="s">
        <v>39</v>
      </c>
      <c r="G2763" t="s">
        <v>35</v>
      </c>
      <c r="H2763" t="s">
        <v>21</v>
      </c>
      <c r="I2763" t="s">
        <v>57</v>
      </c>
      <c r="J2763">
        <v>1</v>
      </c>
      <c r="K2763">
        <v>2348000</v>
      </c>
      <c r="L2763" s="2" t="s">
        <v>4588</v>
      </c>
      <c r="M2763" t="s">
        <v>23</v>
      </c>
      <c r="N2763">
        <v>1973000</v>
      </c>
      <c r="O2763">
        <v>4.3</v>
      </c>
      <c r="P2763" t="b">
        <v>1</v>
      </c>
    </row>
    <row r="2764" spans="1:16" x14ac:dyDescent="0.2">
      <c r="A2764" t="s">
        <v>4589</v>
      </c>
      <c r="B2764" s="1">
        <v>45244</v>
      </c>
      <c r="C2764" s="1">
        <v>45278</v>
      </c>
      <c r="D2764" t="s">
        <v>4590</v>
      </c>
      <c r="E2764" t="s">
        <v>18</v>
      </c>
      <c r="F2764" t="s">
        <v>34</v>
      </c>
      <c r="G2764" t="s">
        <v>20</v>
      </c>
      <c r="H2764" t="s">
        <v>21</v>
      </c>
      <c r="I2764" t="s">
        <v>99</v>
      </c>
      <c r="J2764">
        <v>1</v>
      </c>
      <c r="K2764">
        <v>4184000</v>
      </c>
      <c r="L2764" s="2" t="s">
        <v>4591</v>
      </c>
      <c r="M2764" t="s">
        <v>65</v>
      </c>
      <c r="N2764">
        <v>0</v>
      </c>
      <c r="P2764" t="b">
        <v>0</v>
      </c>
    </row>
    <row r="2765" spans="1:16" x14ac:dyDescent="0.2">
      <c r="A2765" t="s">
        <v>4592</v>
      </c>
      <c r="B2765" s="1">
        <v>45244</v>
      </c>
      <c r="C2765" s="1">
        <v>45294</v>
      </c>
      <c r="D2765" t="s">
        <v>4593</v>
      </c>
      <c r="E2765" t="s">
        <v>18</v>
      </c>
      <c r="F2765" t="s">
        <v>39</v>
      </c>
      <c r="G2765" t="s">
        <v>20</v>
      </c>
      <c r="H2765" t="s">
        <v>47</v>
      </c>
      <c r="I2765" t="s">
        <v>99</v>
      </c>
      <c r="J2765">
        <v>2</v>
      </c>
      <c r="K2765">
        <v>2083000</v>
      </c>
      <c r="L2765">
        <v>8.4641203210175903E-2</v>
      </c>
      <c r="M2765" t="s">
        <v>23</v>
      </c>
      <c r="N2765">
        <v>3813000</v>
      </c>
      <c r="O2765">
        <v>4.2</v>
      </c>
      <c r="P2765" t="b">
        <v>0</v>
      </c>
    </row>
    <row r="2766" spans="1:16" x14ac:dyDescent="0.2">
      <c r="A2766" t="s">
        <v>4594</v>
      </c>
      <c r="B2766" s="1">
        <v>45244</v>
      </c>
      <c r="C2766" s="1">
        <v>45321</v>
      </c>
      <c r="D2766" t="s">
        <v>4595</v>
      </c>
      <c r="E2766" t="s">
        <v>45</v>
      </c>
      <c r="F2766" t="s">
        <v>19</v>
      </c>
      <c r="G2766" t="s">
        <v>20</v>
      </c>
      <c r="H2766" t="s">
        <v>21</v>
      </c>
      <c r="I2766" t="s">
        <v>99</v>
      </c>
      <c r="J2766">
        <v>1</v>
      </c>
      <c r="K2766">
        <v>2444000</v>
      </c>
      <c r="L2766" s="2" t="s">
        <v>4596</v>
      </c>
      <c r="M2766" t="s">
        <v>23</v>
      </c>
      <c r="N2766">
        <v>2374000</v>
      </c>
      <c r="O2766">
        <v>4.4000000000000004</v>
      </c>
      <c r="P2766" t="b">
        <v>0</v>
      </c>
    </row>
    <row r="2767" spans="1:16" x14ac:dyDescent="0.2">
      <c r="A2767" t="s">
        <v>4597</v>
      </c>
      <c r="B2767" s="1">
        <v>45245</v>
      </c>
      <c r="C2767" s="1">
        <v>45310</v>
      </c>
      <c r="D2767" t="s">
        <v>4598</v>
      </c>
      <c r="E2767" t="s">
        <v>45</v>
      </c>
      <c r="F2767" t="s">
        <v>25</v>
      </c>
      <c r="G2767" t="s">
        <v>50</v>
      </c>
      <c r="H2767" t="s">
        <v>21</v>
      </c>
      <c r="I2767" t="s">
        <v>1654</v>
      </c>
      <c r="J2767">
        <v>2</v>
      </c>
      <c r="K2767">
        <v>3654000</v>
      </c>
      <c r="L2767">
        <v>5.1329620361832799E-2</v>
      </c>
      <c r="M2767" t="s">
        <v>23</v>
      </c>
      <c r="N2767">
        <v>6933000</v>
      </c>
      <c r="O2767">
        <v>4.5999999999999996</v>
      </c>
      <c r="P2767" t="b">
        <v>0</v>
      </c>
    </row>
    <row r="2768" spans="1:16" x14ac:dyDescent="0.2">
      <c r="A2768" t="s">
        <v>4599</v>
      </c>
      <c r="B2768" s="1">
        <v>45246</v>
      </c>
      <c r="C2768" s="1">
        <v>45312</v>
      </c>
      <c r="D2768" t="s">
        <v>4600</v>
      </c>
      <c r="E2768" t="s">
        <v>45</v>
      </c>
      <c r="F2768" t="s">
        <v>68</v>
      </c>
      <c r="G2768" t="s">
        <v>20</v>
      </c>
      <c r="H2768" t="s">
        <v>21</v>
      </c>
      <c r="I2768" t="s">
        <v>26</v>
      </c>
      <c r="J2768">
        <v>5</v>
      </c>
      <c r="K2768">
        <v>2525000</v>
      </c>
      <c r="L2768" s="2" t="s">
        <v>4601</v>
      </c>
      <c r="M2768" t="s">
        <v>23</v>
      </c>
      <c r="N2768">
        <v>11274000</v>
      </c>
      <c r="O2768">
        <v>4.0999999999999996</v>
      </c>
      <c r="P2768" t="b">
        <v>0</v>
      </c>
    </row>
    <row r="2769" spans="1:16" x14ac:dyDescent="0.2">
      <c r="A2769" t="s">
        <v>4602</v>
      </c>
      <c r="B2769" s="1">
        <v>45246</v>
      </c>
      <c r="C2769" s="1">
        <v>45262</v>
      </c>
      <c r="D2769" t="s">
        <v>3309</v>
      </c>
      <c r="F2769" t="s">
        <v>45</v>
      </c>
      <c r="G2769" t="s">
        <v>20</v>
      </c>
      <c r="H2769" t="s">
        <v>21</v>
      </c>
      <c r="I2769" t="s">
        <v>26</v>
      </c>
      <c r="J2769">
        <v>1</v>
      </c>
      <c r="K2769">
        <v>4038000</v>
      </c>
      <c r="L2769">
        <v>6.8806755932525304E-2</v>
      </c>
      <c r="M2769" t="s">
        <v>65</v>
      </c>
      <c r="N2769">
        <v>0</v>
      </c>
      <c r="P2769" t="b">
        <v>1</v>
      </c>
    </row>
    <row r="2770" spans="1:16" x14ac:dyDescent="0.2">
      <c r="A2770" t="s">
        <v>4603</v>
      </c>
      <c r="B2770" s="1">
        <v>45246</v>
      </c>
      <c r="C2770" s="1">
        <v>45276</v>
      </c>
      <c r="D2770" t="s">
        <v>4604</v>
      </c>
      <c r="E2770" t="s">
        <v>18</v>
      </c>
      <c r="F2770" t="s">
        <v>34</v>
      </c>
      <c r="G2770" t="s">
        <v>20</v>
      </c>
      <c r="H2770" t="s">
        <v>21</v>
      </c>
      <c r="I2770" t="s">
        <v>26</v>
      </c>
      <c r="J2770">
        <v>2</v>
      </c>
      <c r="K2770">
        <v>4591000</v>
      </c>
      <c r="L2770" s="2" t="s">
        <v>4605</v>
      </c>
      <c r="M2770" t="s">
        <v>23</v>
      </c>
      <c r="N2770">
        <v>8196000</v>
      </c>
      <c r="O2770">
        <v>4.0999999999999996</v>
      </c>
      <c r="P2770" t="b">
        <v>0</v>
      </c>
    </row>
    <row r="2771" spans="1:16" x14ac:dyDescent="0.2">
      <c r="A2771" t="s">
        <v>4606</v>
      </c>
      <c r="B2771" s="1">
        <v>45247</v>
      </c>
      <c r="C2771" s="1">
        <v>45319</v>
      </c>
      <c r="D2771" t="s">
        <v>227</v>
      </c>
      <c r="E2771" t="s">
        <v>45</v>
      </c>
      <c r="F2771" t="s">
        <v>19</v>
      </c>
      <c r="G2771" t="s">
        <v>35</v>
      </c>
      <c r="H2771" t="s">
        <v>47</v>
      </c>
      <c r="I2771" t="s">
        <v>52</v>
      </c>
      <c r="J2771">
        <v>2</v>
      </c>
      <c r="K2771">
        <v>2281000</v>
      </c>
      <c r="L2771">
        <v>0.13387789512248699</v>
      </c>
      <c r="M2771" t="s">
        <v>23</v>
      </c>
      <c r="N2771">
        <v>3951000</v>
      </c>
      <c r="O2771">
        <v>4.8</v>
      </c>
      <c r="P2771" t="b">
        <v>1</v>
      </c>
    </row>
    <row r="2772" spans="1:16" x14ac:dyDescent="0.2">
      <c r="A2772" t="s">
        <v>4607</v>
      </c>
      <c r="B2772" s="1">
        <v>45247</v>
      </c>
      <c r="C2772" s="1">
        <v>45310</v>
      </c>
      <c r="D2772" t="s">
        <v>791</v>
      </c>
      <c r="E2772" t="s">
        <v>18</v>
      </c>
      <c r="F2772" t="s">
        <v>34</v>
      </c>
      <c r="G2772" t="s">
        <v>20</v>
      </c>
      <c r="H2772" t="s">
        <v>40</v>
      </c>
      <c r="I2772" t="s">
        <v>99</v>
      </c>
      <c r="J2772">
        <v>5</v>
      </c>
      <c r="K2772">
        <v>3648000</v>
      </c>
      <c r="L2772">
        <v>8.62221589140207E-2</v>
      </c>
      <c r="M2772" t="s">
        <v>23</v>
      </c>
      <c r="N2772">
        <v>16667000</v>
      </c>
      <c r="O2772">
        <v>3.9</v>
      </c>
      <c r="P2772" t="b">
        <v>1</v>
      </c>
    </row>
    <row r="2773" spans="1:16" x14ac:dyDescent="0.2">
      <c r="A2773" t="s">
        <v>4608</v>
      </c>
      <c r="B2773" s="1">
        <v>45247</v>
      </c>
      <c r="C2773" s="1">
        <v>45308</v>
      </c>
      <c r="D2773" t="s">
        <v>404</v>
      </c>
      <c r="E2773" t="s">
        <v>18</v>
      </c>
      <c r="F2773" t="s">
        <v>34</v>
      </c>
      <c r="G2773" t="s">
        <v>20</v>
      </c>
      <c r="H2773" t="s">
        <v>21</v>
      </c>
      <c r="I2773" t="s">
        <v>52</v>
      </c>
      <c r="J2773">
        <v>1</v>
      </c>
      <c r="K2773">
        <v>3146000</v>
      </c>
      <c r="L2773" s="2" t="s">
        <v>4609</v>
      </c>
      <c r="M2773" t="s">
        <v>23</v>
      </c>
      <c r="N2773">
        <v>2789000</v>
      </c>
      <c r="O2773">
        <v>5</v>
      </c>
      <c r="P2773" t="b">
        <v>1</v>
      </c>
    </row>
    <row r="2774" spans="1:16" x14ac:dyDescent="0.2">
      <c r="A2774" t="s">
        <v>4610</v>
      </c>
      <c r="B2774" s="1">
        <v>45248</v>
      </c>
      <c r="C2774" s="1">
        <v>45300</v>
      </c>
      <c r="D2774" t="s">
        <v>4611</v>
      </c>
      <c r="E2774" t="s">
        <v>29</v>
      </c>
      <c r="F2774" t="s">
        <v>34</v>
      </c>
      <c r="G2774" t="s">
        <v>35</v>
      </c>
      <c r="H2774" t="s">
        <v>21</v>
      </c>
      <c r="I2774" t="s">
        <v>99</v>
      </c>
      <c r="J2774">
        <v>1</v>
      </c>
      <c r="K2774">
        <v>3838000</v>
      </c>
      <c r="L2774" s="2" t="s">
        <v>4612</v>
      </c>
      <c r="M2774" t="s">
        <v>23</v>
      </c>
      <c r="N2774">
        <v>3403000</v>
      </c>
      <c r="O2774">
        <v>3.6</v>
      </c>
      <c r="P2774" t="b">
        <v>0</v>
      </c>
    </row>
    <row r="2775" spans="1:16" x14ac:dyDescent="0.2">
      <c r="A2775" t="s">
        <v>4613</v>
      </c>
      <c r="B2775" s="1">
        <v>45248</v>
      </c>
      <c r="C2775" s="1">
        <v>45311</v>
      </c>
      <c r="D2775" t="s">
        <v>358</v>
      </c>
      <c r="E2775" t="s">
        <v>45</v>
      </c>
      <c r="F2775" t="s">
        <v>25</v>
      </c>
      <c r="G2775" t="s">
        <v>35</v>
      </c>
      <c r="H2775" t="s">
        <v>21</v>
      </c>
      <c r="I2775" t="s">
        <v>26</v>
      </c>
      <c r="J2775">
        <v>2</v>
      </c>
      <c r="K2775">
        <v>5264000</v>
      </c>
      <c r="L2775">
        <v>9.2609292420520101E-2</v>
      </c>
      <c r="M2775" t="s">
        <v>23</v>
      </c>
      <c r="N2775">
        <v>9553000</v>
      </c>
      <c r="O2775">
        <v>3.8</v>
      </c>
      <c r="P2775" t="b">
        <v>1</v>
      </c>
    </row>
    <row r="2776" spans="1:16" x14ac:dyDescent="0.2">
      <c r="A2776" t="s">
        <v>4614</v>
      </c>
      <c r="B2776" s="1">
        <v>45248</v>
      </c>
      <c r="C2776" s="1">
        <v>45307</v>
      </c>
      <c r="D2776" t="s">
        <v>4543</v>
      </c>
      <c r="E2776" t="s">
        <v>45</v>
      </c>
      <c r="F2776" t="s">
        <v>68</v>
      </c>
      <c r="G2776" t="s">
        <v>35</v>
      </c>
      <c r="H2776" t="s">
        <v>21</v>
      </c>
      <c r="I2776" t="s">
        <v>77</v>
      </c>
      <c r="J2776">
        <v>2</v>
      </c>
      <c r="K2776">
        <v>2528000</v>
      </c>
      <c r="L2776" s="2" t="s">
        <v>4615</v>
      </c>
      <c r="M2776" t="s">
        <v>23</v>
      </c>
      <c r="N2776">
        <v>4445000</v>
      </c>
      <c r="O2776">
        <v>4.5</v>
      </c>
      <c r="P2776" t="b">
        <v>1</v>
      </c>
    </row>
    <row r="2777" spans="1:16" x14ac:dyDescent="0.2">
      <c r="A2777" t="s">
        <v>4616</v>
      </c>
      <c r="B2777" s="1">
        <v>45248</v>
      </c>
      <c r="C2777" s="1">
        <v>45315</v>
      </c>
      <c r="D2777" t="s">
        <v>4617</v>
      </c>
      <c r="E2777" t="s">
        <v>18</v>
      </c>
      <c r="F2777" t="s">
        <v>45</v>
      </c>
      <c r="G2777" t="s">
        <v>20</v>
      </c>
      <c r="H2777" t="s">
        <v>47</v>
      </c>
      <c r="I2777" t="s">
        <v>99</v>
      </c>
      <c r="J2777">
        <v>2</v>
      </c>
      <c r="K2777">
        <v>3148000</v>
      </c>
      <c r="L2777" s="2" t="s">
        <v>4618</v>
      </c>
      <c r="M2777" t="s">
        <v>23</v>
      </c>
      <c r="N2777">
        <v>5318000</v>
      </c>
      <c r="O2777">
        <v>4.5</v>
      </c>
      <c r="P2777" t="b">
        <v>0</v>
      </c>
    </row>
    <row r="2778" spans="1:16" x14ac:dyDescent="0.2">
      <c r="A2778" t="s">
        <v>4619</v>
      </c>
      <c r="B2778" s="1">
        <v>45248</v>
      </c>
      <c r="C2778" s="1">
        <v>45281</v>
      </c>
      <c r="D2778" t="s">
        <v>4620</v>
      </c>
      <c r="E2778" t="s">
        <v>45</v>
      </c>
      <c r="F2778" t="s">
        <v>34</v>
      </c>
      <c r="G2778" t="s">
        <v>20</v>
      </c>
      <c r="H2778" t="s">
        <v>21</v>
      </c>
      <c r="I2778" t="s">
        <v>30</v>
      </c>
      <c r="J2778">
        <v>1</v>
      </c>
      <c r="K2778">
        <v>3897000</v>
      </c>
      <c r="L2778" s="2" t="s">
        <v>4621</v>
      </c>
      <c r="M2778" t="s">
        <v>23</v>
      </c>
      <c r="N2778">
        <v>3246000</v>
      </c>
      <c r="O2778">
        <v>4.0999999999999996</v>
      </c>
      <c r="P2778" t="b">
        <v>0</v>
      </c>
    </row>
    <row r="2779" spans="1:16" x14ac:dyDescent="0.2">
      <c r="A2779" t="s">
        <v>4622</v>
      </c>
      <c r="B2779" s="1">
        <v>45248</v>
      </c>
      <c r="C2779" s="1">
        <v>45301</v>
      </c>
      <c r="D2779" t="s">
        <v>397</v>
      </c>
      <c r="E2779" t="s">
        <v>18</v>
      </c>
      <c r="F2779" t="s">
        <v>19</v>
      </c>
      <c r="G2779" t="s">
        <v>35</v>
      </c>
      <c r="H2779" t="s">
        <v>21</v>
      </c>
      <c r="I2779" t="s">
        <v>26</v>
      </c>
      <c r="J2779">
        <v>1</v>
      </c>
      <c r="K2779">
        <v>2435000</v>
      </c>
      <c r="L2779" s="2" t="s">
        <v>4623</v>
      </c>
      <c r="M2779" t="s">
        <v>23</v>
      </c>
      <c r="N2779">
        <v>2066000</v>
      </c>
      <c r="O2779">
        <v>4.3</v>
      </c>
      <c r="P2779" t="b">
        <v>1</v>
      </c>
    </row>
    <row r="2780" spans="1:16" x14ac:dyDescent="0.2">
      <c r="A2780" t="s">
        <v>4624</v>
      </c>
      <c r="B2780" s="1">
        <v>45248</v>
      </c>
      <c r="C2780" s="1">
        <v>45293</v>
      </c>
      <c r="D2780" t="s">
        <v>224</v>
      </c>
      <c r="E2780" t="s">
        <v>18</v>
      </c>
      <c r="F2780" t="s">
        <v>45</v>
      </c>
      <c r="G2780" t="s">
        <v>20</v>
      </c>
      <c r="H2780" t="s">
        <v>21</v>
      </c>
      <c r="I2780" t="s">
        <v>99</v>
      </c>
      <c r="J2780">
        <v>3</v>
      </c>
      <c r="K2780">
        <v>3165000</v>
      </c>
      <c r="L2780" s="2" t="s">
        <v>4625</v>
      </c>
      <c r="M2780" t="s">
        <v>23</v>
      </c>
      <c r="N2780">
        <v>8455000</v>
      </c>
      <c r="O2780">
        <v>4.4000000000000004</v>
      </c>
      <c r="P2780" t="b">
        <v>1</v>
      </c>
    </row>
    <row r="2781" spans="1:16" x14ac:dyDescent="0.2">
      <c r="A2781" t="s">
        <v>4626</v>
      </c>
      <c r="B2781" s="1">
        <v>45248</v>
      </c>
      <c r="C2781" s="1">
        <v>45343</v>
      </c>
      <c r="D2781" t="s">
        <v>4627</v>
      </c>
      <c r="E2781" t="s">
        <v>18</v>
      </c>
      <c r="F2781" t="s">
        <v>68</v>
      </c>
      <c r="G2781" t="s">
        <v>35</v>
      </c>
      <c r="H2781" t="s">
        <v>47</v>
      </c>
      <c r="I2781" t="s">
        <v>57</v>
      </c>
      <c r="J2781">
        <v>3</v>
      </c>
      <c r="K2781">
        <v>2945000</v>
      </c>
      <c r="L2781">
        <v>3.69435773866994E-2</v>
      </c>
      <c r="M2781" t="s">
        <v>23</v>
      </c>
      <c r="N2781">
        <v>8509000</v>
      </c>
      <c r="O2781">
        <v>4.5</v>
      </c>
      <c r="P2781" t="b">
        <v>0</v>
      </c>
    </row>
    <row r="2782" spans="1:16" x14ac:dyDescent="0.2">
      <c r="A2782" t="s">
        <v>4628</v>
      </c>
      <c r="B2782" s="1">
        <v>45249</v>
      </c>
      <c r="C2782" s="1">
        <v>45300</v>
      </c>
      <c r="D2782" t="s">
        <v>3774</v>
      </c>
      <c r="E2782" t="s">
        <v>18</v>
      </c>
      <c r="F2782" t="s">
        <v>45</v>
      </c>
      <c r="H2782" t="s">
        <v>47</v>
      </c>
      <c r="I2782" t="s">
        <v>77</v>
      </c>
      <c r="J2782">
        <v>3</v>
      </c>
      <c r="K2782">
        <v>3176000</v>
      </c>
      <c r="L2782" s="2" t="s">
        <v>4629</v>
      </c>
      <c r="M2782" t="s">
        <v>23</v>
      </c>
      <c r="N2782">
        <v>8173000</v>
      </c>
      <c r="O2782">
        <v>4.5999999999999996</v>
      </c>
      <c r="P2782" t="b">
        <v>1</v>
      </c>
    </row>
    <row r="2783" spans="1:16" x14ac:dyDescent="0.2">
      <c r="A2783" t="s">
        <v>4630</v>
      </c>
      <c r="B2783" s="1">
        <v>45249</v>
      </c>
      <c r="C2783" s="1">
        <v>45276</v>
      </c>
      <c r="D2783" t="s">
        <v>4631</v>
      </c>
      <c r="E2783" t="s">
        <v>29</v>
      </c>
      <c r="F2783" t="s">
        <v>25</v>
      </c>
      <c r="G2783" t="s">
        <v>20</v>
      </c>
      <c r="H2783" t="s">
        <v>47</v>
      </c>
      <c r="I2783" t="s">
        <v>94</v>
      </c>
      <c r="J2783">
        <v>3</v>
      </c>
      <c r="K2783">
        <v>4922000</v>
      </c>
      <c r="L2783" s="2" t="s">
        <v>4632</v>
      </c>
      <c r="M2783" t="s">
        <v>23</v>
      </c>
      <c r="N2783">
        <v>12831000</v>
      </c>
      <c r="O2783">
        <v>4.5</v>
      </c>
      <c r="P2783" t="b">
        <v>0</v>
      </c>
    </row>
    <row r="2784" spans="1:16" x14ac:dyDescent="0.2">
      <c r="A2784" t="s">
        <v>4633</v>
      </c>
      <c r="B2784" s="1">
        <v>45249</v>
      </c>
      <c r="C2784" s="1">
        <v>45311</v>
      </c>
      <c r="D2784" t="s">
        <v>772</v>
      </c>
      <c r="E2784" t="s">
        <v>33</v>
      </c>
      <c r="F2784" t="s">
        <v>34</v>
      </c>
      <c r="G2784" t="s">
        <v>20</v>
      </c>
      <c r="H2784" t="s">
        <v>21</v>
      </c>
      <c r="I2784" t="s">
        <v>26</v>
      </c>
      <c r="J2784">
        <v>1</v>
      </c>
      <c r="K2784">
        <v>4163000</v>
      </c>
      <c r="L2784">
        <v>7.4160995053664205E-2</v>
      </c>
      <c r="M2784" t="s">
        <v>23</v>
      </c>
      <c r="N2784">
        <v>3854000</v>
      </c>
      <c r="O2784">
        <v>4.4000000000000004</v>
      </c>
      <c r="P2784" t="b">
        <v>1</v>
      </c>
    </row>
    <row r="2785" spans="1:16" x14ac:dyDescent="0.2">
      <c r="A2785" t="s">
        <v>4634</v>
      </c>
      <c r="B2785" s="1">
        <v>45249</v>
      </c>
      <c r="C2785" s="1">
        <v>45253</v>
      </c>
      <c r="D2785" t="s">
        <v>2430</v>
      </c>
      <c r="E2785" t="s">
        <v>33</v>
      </c>
      <c r="F2785" t="s">
        <v>45</v>
      </c>
      <c r="G2785" t="s">
        <v>50</v>
      </c>
      <c r="H2785" t="s">
        <v>21</v>
      </c>
      <c r="I2785" t="s">
        <v>52</v>
      </c>
      <c r="J2785">
        <v>3</v>
      </c>
      <c r="K2785">
        <v>3023000</v>
      </c>
      <c r="L2785">
        <v>9.7639760723741795E-2</v>
      </c>
      <c r="M2785" t="s">
        <v>1673</v>
      </c>
      <c r="N2785">
        <v>8184000</v>
      </c>
      <c r="O2785">
        <v>3.9</v>
      </c>
      <c r="P2785" t="b">
        <v>1</v>
      </c>
    </row>
    <row r="2786" spans="1:16" x14ac:dyDescent="0.2">
      <c r="A2786" t="s">
        <v>4635</v>
      </c>
      <c r="B2786" s="1">
        <v>45249</v>
      </c>
      <c r="C2786" s="1">
        <v>45277</v>
      </c>
      <c r="D2786" t="s">
        <v>399</v>
      </c>
      <c r="E2786" t="s">
        <v>33</v>
      </c>
      <c r="F2786" t="s">
        <v>19</v>
      </c>
      <c r="G2786" t="s">
        <v>20</v>
      </c>
      <c r="H2786" t="s">
        <v>51</v>
      </c>
      <c r="I2786" t="s">
        <v>22</v>
      </c>
      <c r="J2786">
        <v>2</v>
      </c>
      <c r="K2786">
        <v>2169000</v>
      </c>
      <c r="L2786">
        <v>8.5457162075181003E-2</v>
      </c>
      <c r="M2786" t="s">
        <v>23</v>
      </c>
      <c r="N2786">
        <v>3967000</v>
      </c>
      <c r="O2786">
        <v>4.5999999999999996</v>
      </c>
      <c r="P2786" t="b">
        <v>1</v>
      </c>
    </row>
    <row r="2787" spans="1:16" x14ac:dyDescent="0.2">
      <c r="A2787" t="s">
        <v>4636</v>
      </c>
      <c r="B2787" s="1">
        <v>45251</v>
      </c>
      <c r="C2787" s="1">
        <v>45280</v>
      </c>
      <c r="D2787" t="s">
        <v>3810</v>
      </c>
      <c r="E2787" t="s">
        <v>18</v>
      </c>
      <c r="F2787" t="s">
        <v>34</v>
      </c>
      <c r="G2787" t="s">
        <v>46</v>
      </c>
      <c r="H2787" t="s">
        <v>51</v>
      </c>
      <c r="I2787" t="s">
        <v>1654</v>
      </c>
      <c r="J2787">
        <v>1</v>
      </c>
      <c r="K2787">
        <v>3304000</v>
      </c>
      <c r="L2787">
        <v>7.7426954780131202E-2</v>
      </c>
      <c r="M2787" t="s">
        <v>23</v>
      </c>
      <c r="N2787">
        <v>3048000</v>
      </c>
      <c r="O2787">
        <v>4.0999999999999996</v>
      </c>
      <c r="P2787" t="b">
        <v>1</v>
      </c>
    </row>
    <row r="2788" spans="1:16" x14ac:dyDescent="0.2">
      <c r="A2788" t="s">
        <v>4637</v>
      </c>
      <c r="B2788" s="1">
        <v>45252</v>
      </c>
      <c r="C2788" s="1">
        <v>45301</v>
      </c>
      <c r="D2788" t="s">
        <v>2859</v>
      </c>
      <c r="E2788" t="s">
        <v>33</v>
      </c>
      <c r="F2788" t="s">
        <v>25</v>
      </c>
      <c r="G2788" t="s">
        <v>35</v>
      </c>
      <c r="I2788" t="s">
        <v>52</v>
      </c>
      <c r="J2788">
        <v>1</v>
      </c>
      <c r="K2788">
        <v>4488000</v>
      </c>
      <c r="L2788" s="2" t="s">
        <v>4638</v>
      </c>
      <c r="M2788" t="s">
        <v>23</v>
      </c>
      <c r="N2788">
        <v>3905000</v>
      </c>
      <c r="O2788">
        <v>4.4000000000000004</v>
      </c>
      <c r="P2788" t="b">
        <v>1</v>
      </c>
    </row>
    <row r="2789" spans="1:16" x14ac:dyDescent="0.2">
      <c r="A2789" t="s">
        <v>4639</v>
      </c>
      <c r="B2789" s="1">
        <v>45252</v>
      </c>
      <c r="C2789" s="1">
        <v>45305</v>
      </c>
      <c r="D2789" t="s">
        <v>4095</v>
      </c>
      <c r="E2789" t="s">
        <v>45</v>
      </c>
      <c r="F2789" t="s">
        <v>68</v>
      </c>
      <c r="G2789" t="s">
        <v>20</v>
      </c>
      <c r="H2789" t="s">
        <v>47</v>
      </c>
      <c r="I2789" t="s">
        <v>26</v>
      </c>
      <c r="J2789">
        <v>1</v>
      </c>
      <c r="K2789">
        <v>2939000</v>
      </c>
      <c r="L2789">
        <v>9.73661197190204E-2</v>
      </c>
      <c r="M2789" t="s">
        <v>23</v>
      </c>
      <c r="N2789">
        <v>2653000</v>
      </c>
      <c r="O2789">
        <v>4.3</v>
      </c>
      <c r="P2789" t="b">
        <v>1</v>
      </c>
    </row>
    <row r="2790" spans="1:16" x14ac:dyDescent="0.2">
      <c r="A2790" t="s">
        <v>4640</v>
      </c>
      <c r="B2790" s="1">
        <v>45253</v>
      </c>
      <c r="C2790" s="1">
        <v>45310</v>
      </c>
      <c r="D2790" t="s">
        <v>1987</v>
      </c>
      <c r="E2790" t="s">
        <v>33</v>
      </c>
      <c r="F2790" t="s">
        <v>34</v>
      </c>
      <c r="G2790" t="s">
        <v>35</v>
      </c>
      <c r="H2790" t="s">
        <v>21</v>
      </c>
      <c r="I2790" t="s">
        <v>60</v>
      </c>
      <c r="J2790">
        <v>1</v>
      </c>
      <c r="K2790">
        <v>4337000</v>
      </c>
      <c r="L2790" s="2" t="s">
        <v>4641</v>
      </c>
      <c r="M2790" t="s">
        <v>23</v>
      </c>
      <c r="N2790">
        <v>3805000</v>
      </c>
      <c r="O2790">
        <v>3.8</v>
      </c>
      <c r="P2790" t="b">
        <v>1</v>
      </c>
    </row>
    <row r="2791" spans="1:16" x14ac:dyDescent="0.2">
      <c r="A2791" t="s">
        <v>4642</v>
      </c>
      <c r="B2791" s="1">
        <v>45253</v>
      </c>
      <c r="C2791" s="1">
        <v>45277</v>
      </c>
      <c r="D2791" t="s">
        <v>4239</v>
      </c>
      <c r="E2791" t="s">
        <v>18</v>
      </c>
      <c r="F2791" t="s">
        <v>34</v>
      </c>
      <c r="G2791" t="s">
        <v>20</v>
      </c>
      <c r="H2791" t="s">
        <v>51</v>
      </c>
      <c r="I2791" t="s">
        <v>26</v>
      </c>
      <c r="J2791">
        <v>1</v>
      </c>
      <c r="K2791">
        <v>4136000</v>
      </c>
      <c r="L2791">
        <v>7.5252079682578604E-2</v>
      </c>
      <c r="M2791" t="s">
        <v>65</v>
      </c>
      <c r="N2791">
        <v>0</v>
      </c>
      <c r="P2791" t="b">
        <v>1</v>
      </c>
    </row>
    <row r="2792" spans="1:16" x14ac:dyDescent="0.2">
      <c r="A2792" t="s">
        <v>4643</v>
      </c>
      <c r="B2792" s="1">
        <v>45253</v>
      </c>
      <c r="C2792" s="1">
        <v>45295</v>
      </c>
      <c r="D2792" t="s">
        <v>4644</v>
      </c>
      <c r="E2792" t="s">
        <v>45</v>
      </c>
      <c r="F2792" t="s">
        <v>68</v>
      </c>
      <c r="G2792" t="s">
        <v>20</v>
      </c>
      <c r="H2792" t="s">
        <v>40</v>
      </c>
      <c r="I2792" t="s">
        <v>94</v>
      </c>
      <c r="J2792">
        <v>2</v>
      </c>
      <c r="K2792">
        <v>2036000</v>
      </c>
      <c r="L2792">
        <v>0</v>
      </c>
      <c r="M2792" t="s">
        <v>23</v>
      </c>
      <c r="N2792">
        <v>4072000</v>
      </c>
      <c r="O2792">
        <v>3.5</v>
      </c>
      <c r="P2792" t="b">
        <v>0</v>
      </c>
    </row>
    <row r="2793" spans="1:16" x14ac:dyDescent="0.2">
      <c r="A2793" t="s">
        <v>4645</v>
      </c>
      <c r="B2793" s="1">
        <v>45254</v>
      </c>
      <c r="C2793" s="1">
        <v>45319</v>
      </c>
      <c r="D2793" t="s">
        <v>4646</v>
      </c>
      <c r="E2793" t="s">
        <v>18</v>
      </c>
      <c r="F2793" t="s">
        <v>68</v>
      </c>
      <c r="H2793" t="s">
        <v>21</v>
      </c>
      <c r="I2793" t="s">
        <v>26</v>
      </c>
      <c r="J2793">
        <v>2</v>
      </c>
      <c r="K2793">
        <v>2794000</v>
      </c>
      <c r="L2793">
        <v>6.33990568124813E-2</v>
      </c>
      <c r="M2793" t="s">
        <v>23</v>
      </c>
      <c r="N2793">
        <v>5234000</v>
      </c>
      <c r="O2793">
        <v>5</v>
      </c>
      <c r="P2793" t="b">
        <v>0</v>
      </c>
    </row>
    <row r="2794" spans="1:16" x14ac:dyDescent="0.2">
      <c r="A2794" t="s">
        <v>4647</v>
      </c>
      <c r="B2794" s="1">
        <v>45254</v>
      </c>
      <c r="C2794" s="1">
        <v>45285</v>
      </c>
      <c r="D2794" t="s">
        <v>3692</v>
      </c>
      <c r="E2794" t="s">
        <v>45</v>
      </c>
      <c r="F2794" t="s">
        <v>19</v>
      </c>
      <c r="G2794" t="s">
        <v>50</v>
      </c>
      <c r="H2794" t="s">
        <v>47</v>
      </c>
      <c r="I2794" t="s">
        <v>99</v>
      </c>
      <c r="J2794">
        <v>2</v>
      </c>
      <c r="K2794">
        <v>2615000</v>
      </c>
      <c r="L2794" s="2" t="s">
        <v>4648</v>
      </c>
      <c r="M2794" t="s">
        <v>23</v>
      </c>
      <c r="N2794">
        <v>4310000</v>
      </c>
      <c r="O2794">
        <v>4.0999999999999996</v>
      </c>
      <c r="P2794" t="b">
        <v>1</v>
      </c>
    </row>
    <row r="2795" spans="1:16" x14ac:dyDescent="0.2">
      <c r="A2795" t="s">
        <v>4649</v>
      </c>
      <c r="B2795" s="1">
        <v>45254</v>
      </c>
      <c r="C2795" s="1">
        <v>45316</v>
      </c>
      <c r="D2795" t="s">
        <v>4650</v>
      </c>
      <c r="E2795" t="s">
        <v>18</v>
      </c>
      <c r="F2795" t="s">
        <v>19</v>
      </c>
      <c r="G2795" t="s">
        <v>20</v>
      </c>
      <c r="H2795" t="s">
        <v>21</v>
      </c>
      <c r="I2795" t="s">
        <v>22</v>
      </c>
      <c r="J2795">
        <v>1</v>
      </c>
      <c r="K2795">
        <v>2263000</v>
      </c>
      <c r="L2795">
        <v>3.7761821715740197E-2</v>
      </c>
      <c r="M2795" t="s">
        <v>23</v>
      </c>
      <c r="N2795">
        <v>2178000</v>
      </c>
      <c r="O2795">
        <v>5</v>
      </c>
      <c r="P2795" t="b">
        <v>0</v>
      </c>
    </row>
    <row r="2796" spans="1:16" x14ac:dyDescent="0.2">
      <c r="A2796" t="s">
        <v>4651</v>
      </c>
      <c r="B2796" s="1">
        <v>45254</v>
      </c>
      <c r="C2796" s="1">
        <v>45305</v>
      </c>
      <c r="D2796" t="s">
        <v>1585</v>
      </c>
      <c r="E2796" t="s">
        <v>18</v>
      </c>
      <c r="F2796" t="s">
        <v>19</v>
      </c>
      <c r="G2796" t="s">
        <v>50</v>
      </c>
      <c r="H2796" t="s">
        <v>21</v>
      </c>
      <c r="I2796" t="s">
        <v>77</v>
      </c>
      <c r="J2796">
        <v>3</v>
      </c>
      <c r="K2796">
        <v>2677000</v>
      </c>
      <c r="L2796">
        <v>7.9316246237708901E-2</v>
      </c>
      <c r="M2796" t="s">
        <v>23</v>
      </c>
      <c r="N2796">
        <v>7394000</v>
      </c>
      <c r="O2796">
        <v>4.0999999999999996</v>
      </c>
      <c r="P2796" t="b">
        <v>1</v>
      </c>
    </row>
    <row r="2797" spans="1:16" x14ac:dyDescent="0.2">
      <c r="A2797" t="s">
        <v>4652</v>
      </c>
      <c r="B2797" s="1">
        <v>45254</v>
      </c>
      <c r="C2797" s="1">
        <v>45295</v>
      </c>
      <c r="D2797" t="s">
        <v>3922</v>
      </c>
      <c r="E2797" t="s">
        <v>18</v>
      </c>
      <c r="F2797" t="s">
        <v>45</v>
      </c>
      <c r="G2797" t="s">
        <v>20</v>
      </c>
      <c r="H2797" t="s">
        <v>21</v>
      </c>
      <c r="I2797" t="s">
        <v>1654</v>
      </c>
      <c r="J2797">
        <v>1</v>
      </c>
      <c r="K2797">
        <v>2995000</v>
      </c>
      <c r="L2797">
        <v>9.7258002050251299E-2</v>
      </c>
      <c r="M2797" t="s">
        <v>23</v>
      </c>
      <c r="N2797">
        <v>2704000</v>
      </c>
      <c r="O2797">
        <v>4.7</v>
      </c>
      <c r="P2797" t="b">
        <v>1</v>
      </c>
    </row>
    <row r="2798" spans="1:16" x14ac:dyDescent="0.2">
      <c r="A2798" t="s">
        <v>4653</v>
      </c>
      <c r="B2798" s="1">
        <v>45255</v>
      </c>
      <c r="C2798" s="1">
        <v>45300</v>
      </c>
      <c r="D2798" t="s">
        <v>4654</v>
      </c>
      <c r="E2798" t="s">
        <v>45</v>
      </c>
      <c r="F2798" t="s">
        <v>34</v>
      </c>
      <c r="G2798" t="s">
        <v>20</v>
      </c>
      <c r="J2798">
        <v>2</v>
      </c>
      <c r="K2798">
        <v>3706000</v>
      </c>
      <c r="L2798">
        <v>3.1998709141297398E-2</v>
      </c>
      <c r="M2798" t="s">
        <v>23</v>
      </c>
      <c r="N2798">
        <v>7175000</v>
      </c>
      <c r="O2798">
        <v>4.3</v>
      </c>
      <c r="P2798" t="b">
        <v>0</v>
      </c>
    </row>
    <row r="2799" spans="1:16" x14ac:dyDescent="0.2">
      <c r="A2799" t="s">
        <v>4655</v>
      </c>
      <c r="B2799" s="1">
        <v>45255</v>
      </c>
      <c r="C2799" s="1">
        <v>45313</v>
      </c>
      <c r="D2799" t="s">
        <v>399</v>
      </c>
      <c r="E2799" t="s">
        <v>45</v>
      </c>
      <c r="F2799" t="s">
        <v>34</v>
      </c>
      <c r="G2799" t="s">
        <v>50</v>
      </c>
      <c r="H2799" t="s">
        <v>21</v>
      </c>
      <c r="I2799" t="s">
        <v>26</v>
      </c>
      <c r="J2799">
        <v>2</v>
      </c>
      <c r="K2799">
        <v>4068000</v>
      </c>
      <c r="L2799">
        <v>8.0501295238973106E-2</v>
      </c>
      <c r="M2799" t="s">
        <v>23</v>
      </c>
      <c r="N2799">
        <v>7481000</v>
      </c>
      <c r="O2799">
        <v>4.4000000000000004</v>
      </c>
      <c r="P2799" t="b">
        <v>1</v>
      </c>
    </row>
    <row r="2800" spans="1:16" x14ac:dyDescent="0.2">
      <c r="A2800" t="s">
        <v>4656</v>
      </c>
      <c r="B2800" s="1">
        <v>45255</v>
      </c>
      <c r="C2800" s="1">
        <v>45305</v>
      </c>
      <c r="D2800" t="s">
        <v>3411</v>
      </c>
      <c r="E2800" t="s">
        <v>18</v>
      </c>
      <c r="F2800" t="s">
        <v>34</v>
      </c>
      <c r="G2800" t="s">
        <v>50</v>
      </c>
      <c r="H2800" t="s">
        <v>47</v>
      </c>
      <c r="I2800" t="s">
        <v>52</v>
      </c>
      <c r="J2800">
        <v>2</v>
      </c>
      <c r="K2800">
        <v>3179000</v>
      </c>
      <c r="L2800">
        <v>0.105017556364806</v>
      </c>
      <c r="M2800" t="s">
        <v>23</v>
      </c>
      <c r="N2800">
        <v>5690000</v>
      </c>
      <c r="O2800">
        <v>5</v>
      </c>
      <c r="P2800" t="b">
        <v>1</v>
      </c>
    </row>
    <row r="2801" spans="1:16" x14ac:dyDescent="0.2">
      <c r="A2801" t="s">
        <v>4657</v>
      </c>
      <c r="B2801" s="1">
        <v>45255</v>
      </c>
      <c r="C2801" s="1">
        <v>45304</v>
      </c>
      <c r="D2801" t="s">
        <v>4658</v>
      </c>
      <c r="E2801" t="s">
        <v>45</v>
      </c>
      <c r="F2801" t="s">
        <v>34</v>
      </c>
      <c r="G2801" t="s">
        <v>20</v>
      </c>
      <c r="H2801" t="s">
        <v>21</v>
      </c>
      <c r="I2801" t="s">
        <v>83</v>
      </c>
      <c r="J2801">
        <v>1</v>
      </c>
      <c r="K2801">
        <v>3885000</v>
      </c>
      <c r="L2801" s="2" t="s">
        <v>4659</v>
      </c>
      <c r="M2801" t="s">
        <v>65</v>
      </c>
      <c r="N2801">
        <v>0</v>
      </c>
      <c r="P2801" t="b">
        <v>0</v>
      </c>
    </row>
    <row r="2802" spans="1:16" x14ac:dyDescent="0.2">
      <c r="A2802" t="s">
        <v>4660</v>
      </c>
      <c r="B2802" s="1">
        <v>45255</v>
      </c>
      <c r="C2802" s="1">
        <v>45297</v>
      </c>
      <c r="D2802" t="s">
        <v>1933</v>
      </c>
      <c r="E2802" t="s">
        <v>29</v>
      </c>
      <c r="F2802" t="s">
        <v>45</v>
      </c>
      <c r="G2802" t="s">
        <v>50</v>
      </c>
      <c r="H2802" t="s">
        <v>21</v>
      </c>
      <c r="I2802" t="s">
        <v>30</v>
      </c>
      <c r="J2802">
        <v>4</v>
      </c>
      <c r="K2802">
        <v>3075000</v>
      </c>
      <c r="L2802" s="2" t="s">
        <v>4661</v>
      </c>
      <c r="M2802" t="s">
        <v>23</v>
      </c>
      <c r="N2802">
        <v>10814000</v>
      </c>
      <c r="O2802">
        <v>4.4000000000000004</v>
      </c>
      <c r="P2802" t="b">
        <v>1</v>
      </c>
    </row>
    <row r="2803" spans="1:16" x14ac:dyDescent="0.2">
      <c r="A2803" t="s">
        <v>4662</v>
      </c>
      <c r="B2803" s="1">
        <v>45256</v>
      </c>
      <c r="C2803" s="1">
        <v>45305</v>
      </c>
      <c r="D2803" t="s">
        <v>76</v>
      </c>
      <c r="E2803" t="s">
        <v>29</v>
      </c>
      <c r="F2803" t="s">
        <v>45</v>
      </c>
      <c r="G2803" t="s">
        <v>35</v>
      </c>
      <c r="H2803" t="s">
        <v>21</v>
      </c>
      <c r="I2803" t="s">
        <v>99</v>
      </c>
      <c r="J2803">
        <v>1</v>
      </c>
      <c r="K2803">
        <v>3205000</v>
      </c>
      <c r="L2803" s="2" t="s">
        <v>4663</v>
      </c>
      <c r="M2803" t="s">
        <v>23</v>
      </c>
      <c r="N2803">
        <v>2747000</v>
      </c>
      <c r="O2803">
        <v>3</v>
      </c>
      <c r="P2803" t="b">
        <v>1</v>
      </c>
    </row>
    <row r="2804" spans="1:16" x14ac:dyDescent="0.2">
      <c r="A2804" t="s">
        <v>4664</v>
      </c>
      <c r="B2804" s="1">
        <v>45256</v>
      </c>
      <c r="C2804" s="1">
        <v>45311</v>
      </c>
      <c r="D2804" t="s">
        <v>705</v>
      </c>
      <c r="E2804" t="s">
        <v>45</v>
      </c>
      <c r="F2804" t="s">
        <v>19</v>
      </c>
      <c r="G2804" t="s">
        <v>35</v>
      </c>
      <c r="I2804" t="s">
        <v>30</v>
      </c>
      <c r="J2804">
        <v>2</v>
      </c>
      <c r="K2804">
        <v>2261000</v>
      </c>
      <c r="L2804">
        <v>7.7195989091578696E-2</v>
      </c>
      <c r="M2804" t="s">
        <v>23</v>
      </c>
      <c r="N2804">
        <v>4173000</v>
      </c>
      <c r="O2804">
        <v>4.0999999999999996</v>
      </c>
      <c r="P2804" t="b">
        <v>1</v>
      </c>
    </row>
    <row r="2805" spans="1:16" x14ac:dyDescent="0.2">
      <c r="A2805" t="s">
        <v>4665</v>
      </c>
      <c r="B2805" s="1">
        <v>45257</v>
      </c>
      <c r="C2805" s="1">
        <v>45313</v>
      </c>
      <c r="D2805" t="s">
        <v>1053</v>
      </c>
      <c r="E2805" t="s">
        <v>18</v>
      </c>
      <c r="F2805" t="s">
        <v>45</v>
      </c>
      <c r="G2805" t="s">
        <v>20</v>
      </c>
      <c r="H2805" t="s">
        <v>51</v>
      </c>
      <c r="J2805">
        <v>3</v>
      </c>
      <c r="K2805">
        <v>3272000</v>
      </c>
      <c r="L2805">
        <v>5.4853244837173999E-2</v>
      </c>
      <c r="M2805" t="s">
        <v>23</v>
      </c>
      <c r="N2805">
        <v>9278000</v>
      </c>
      <c r="O2805">
        <v>3.8</v>
      </c>
      <c r="P2805" t="b">
        <v>1</v>
      </c>
    </row>
    <row r="2806" spans="1:16" x14ac:dyDescent="0.2">
      <c r="A2806" t="s">
        <v>4666</v>
      </c>
      <c r="B2806" s="1">
        <v>45257</v>
      </c>
      <c r="C2806" s="1">
        <v>45337</v>
      </c>
      <c r="D2806" t="s">
        <v>349</v>
      </c>
      <c r="E2806" t="s">
        <v>18</v>
      </c>
      <c r="F2806" t="s">
        <v>34</v>
      </c>
      <c r="G2806" t="s">
        <v>20</v>
      </c>
      <c r="H2806" t="s">
        <v>51</v>
      </c>
      <c r="I2806" t="s">
        <v>83</v>
      </c>
      <c r="J2806">
        <v>4</v>
      </c>
      <c r="K2806">
        <v>4505000</v>
      </c>
      <c r="L2806">
        <v>9.3992671922329199E-2</v>
      </c>
      <c r="M2806" t="s">
        <v>23</v>
      </c>
      <c r="N2806">
        <v>16326000</v>
      </c>
      <c r="O2806">
        <v>4</v>
      </c>
      <c r="P2806" t="b">
        <v>1</v>
      </c>
    </row>
    <row r="2807" spans="1:16" x14ac:dyDescent="0.2">
      <c r="A2807" t="s">
        <v>4667</v>
      </c>
      <c r="B2807" s="1">
        <v>45257</v>
      </c>
      <c r="C2807" s="1">
        <v>45332</v>
      </c>
      <c r="D2807" t="s">
        <v>4418</v>
      </c>
      <c r="E2807" t="s">
        <v>33</v>
      </c>
      <c r="F2807" t="s">
        <v>19</v>
      </c>
      <c r="G2807" t="s">
        <v>50</v>
      </c>
      <c r="H2807" t="s">
        <v>51</v>
      </c>
      <c r="I2807" t="s">
        <v>1654</v>
      </c>
      <c r="J2807">
        <v>2</v>
      </c>
      <c r="K2807">
        <v>3030000</v>
      </c>
      <c r="L2807">
        <v>9.5695913821087594E-2</v>
      </c>
      <c r="M2807" t="s">
        <v>23</v>
      </c>
      <c r="N2807">
        <v>5480000</v>
      </c>
      <c r="O2807">
        <v>3.9</v>
      </c>
      <c r="P2807" t="b">
        <v>1</v>
      </c>
    </row>
    <row r="2808" spans="1:16" x14ac:dyDescent="0.2">
      <c r="A2808" t="s">
        <v>4668</v>
      </c>
      <c r="B2808" s="1">
        <v>45258</v>
      </c>
      <c r="C2808" s="1">
        <v>45258</v>
      </c>
      <c r="D2808" t="s">
        <v>2792</v>
      </c>
      <c r="E2808" t="s">
        <v>33</v>
      </c>
      <c r="F2808" t="s">
        <v>25</v>
      </c>
      <c r="G2808" t="s">
        <v>20</v>
      </c>
      <c r="H2808" t="s">
        <v>21</v>
      </c>
      <c r="I2808" t="s">
        <v>60</v>
      </c>
      <c r="J2808">
        <v>2</v>
      </c>
      <c r="K2808">
        <v>5345000</v>
      </c>
      <c r="L2808" s="2" t="s">
        <v>4669</v>
      </c>
      <c r="M2808" t="s">
        <v>23</v>
      </c>
      <c r="N2808">
        <v>9510000</v>
      </c>
      <c r="O2808">
        <v>4.4000000000000004</v>
      </c>
      <c r="P2808" t="b">
        <v>1</v>
      </c>
    </row>
    <row r="2809" spans="1:16" x14ac:dyDescent="0.2">
      <c r="A2809" t="s">
        <v>4670</v>
      </c>
      <c r="B2809" s="1">
        <v>45259</v>
      </c>
      <c r="C2809" s="1">
        <v>45310</v>
      </c>
      <c r="D2809" t="s">
        <v>253</v>
      </c>
      <c r="E2809" t="s">
        <v>18</v>
      </c>
      <c r="F2809" t="s">
        <v>25</v>
      </c>
      <c r="G2809" t="s">
        <v>20</v>
      </c>
      <c r="H2809" t="s">
        <v>40</v>
      </c>
      <c r="I2809" t="s">
        <v>77</v>
      </c>
      <c r="J2809">
        <v>2</v>
      </c>
      <c r="K2809">
        <v>5502000</v>
      </c>
      <c r="L2809">
        <v>7.7201457000554502E-2</v>
      </c>
      <c r="M2809" t="s">
        <v>65</v>
      </c>
      <c r="N2809">
        <v>0</v>
      </c>
      <c r="P2809" t="b">
        <v>1</v>
      </c>
    </row>
    <row r="2810" spans="1:16" x14ac:dyDescent="0.2">
      <c r="A2810" t="s">
        <v>4671</v>
      </c>
      <c r="B2810" s="1">
        <v>45259</v>
      </c>
      <c r="C2810" s="1">
        <v>45307</v>
      </c>
      <c r="D2810" t="s">
        <v>985</v>
      </c>
      <c r="E2810" t="s">
        <v>33</v>
      </c>
      <c r="F2810" t="s">
        <v>34</v>
      </c>
      <c r="G2810" t="s">
        <v>20</v>
      </c>
      <c r="H2810" t="s">
        <v>47</v>
      </c>
      <c r="I2810" t="s">
        <v>99</v>
      </c>
      <c r="J2810">
        <v>2</v>
      </c>
      <c r="K2810">
        <v>3912000</v>
      </c>
      <c r="L2810" s="2" t="s">
        <v>4672</v>
      </c>
      <c r="M2810" t="s">
        <v>1882</v>
      </c>
      <c r="N2810">
        <v>0</v>
      </c>
      <c r="P2810" t="b">
        <v>1</v>
      </c>
    </row>
    <row r="2811" spans="1:16" x14ac:dyDescent="0.2">
      <c r="A2811" t="s">
        <v>4673</v>
      </c>
      <c r="B2811" s="1">
        <v>45260</v>
      </c>
      <c r="C2811" s="1">
        <v>45318</v>
      </c>
      <c r="D2811" t="s">
        <v>200</v>
      </c>
      <c r="E2811" t="s">
        <v>33</v>
      </c>
      <c r="F2811" t="s">
        <v>68</v>
      </c>
      <c r="G2811" t="s">
        <v>20</v>
      </c>
      <c r="H2811" t="s">
        <v>21</v>
      </c>
      <c r="I2811" t="s">
        <v>30</v>
      </c>
      <c r="J2811">
        <v>2</v>
      </c>
      <c r="K2811">
        <v>2360000</v>
      </c>
      <c r="L2811">
        <v>9.2128223914213395E-2</v>
      </c>
      <c r="M2811" t="s">
        <v>23</v>
      </c>
      <c r="N2811">
        <v>4285000</v>
      </c>
      <c r="O2811">
        <v>4.5</v>
      </c>
      <c r="P2811" t="b">
        <v>1</v>
      </c>
    </row>
    <row r="2812" spans="1:16" x14ac:dyDescent="0.2">
      <c r="A2812" t="s">
        <v>4674</v>
      </c>
      <c r="B2812" s="1">
        <v>45260</v>
      </c>
      <c r="C2812" s="1">
        <v>45329</v>
      </c>
      <c r="D2812" t="s">
        <v>318</v>
      </c>
      <c r="E2812" t="s">
        <v>18</v>
      </c>
      <c r="F2812" t="s">
        <v>39</v>
      </c>
      <c r="H2812" t="s">
        <v>47</v>
      </c>
      <c r="I2812" t="s">
        <v>94</v>
      </c>
      <c r="J2812">
        <v>1</v>
      </c>
      <c r="K2812">
        <v>2778000</v>
      </c>
      <c r="L2812">
        <v>9.41905289776475E-2</v>
      </c>
      <c r="M2812" t="s">
        <v>23</v>
      </c>
      <c r="N2812">
        <v>2516000</v>
      </c>
      <c r="O2812">
        <v>4.4000000000000004</v>
      </c>
      <c r="P2812" t="b">
        <v>1</v>
      </c>
    </row>
    <row r="2813" spans="1:16" x14ac:dyDescent="0.2">
      <c r="A2813" t="s">
        <v>4675</v>
      </c>
      <c r="B2813" s="1">
        <v>45260</v>
      </c>
      <c r="C2813" s="1">
        <v>45301</v>
      </c>
      <c r="D2813" t="s">
        <v>3843</v>
      </c>
      <c r="E2813" t="s">
        <v>33</v>
      </c>
      <c r="F2813" t="s">
        <v>25</v>
      </c>
      <c r="G2813" t="s">
        <v>35</v>
      </c>
      <c r="H2813" t="s">
        <v>21</v>
      </c>
      <c r="I2813" t="s">
        <v>26</v>
      </c>
      <c r="J2813">
        <v>3</v>
      </c>
      <c r="K2813">
        <v>5172000</v>
      </c>
      <c r="L2813" s="2" t="s">
        <v>4676</v>
      </c>
      <c r="M2813" t="s">
        <v>23</v>
      </c>
      <c r="N2813">
        <v>14708000</v>
      </c>
      <c r="O2813">
        <v>3.7</v>
      </c>
      <c r="P2813" t="b">
        <v>1</v>
      </c>
    </row>
    <row r="2814" spans="1:16" x14ac:dyDescent="0.2">
      <c r="A2814" t="s">
        <v>4677</v>
      </c>
      <c r="B2814" s="1">
        <v>45260</v>
      </c>
      <c r="C2814" s="1">
        <v>45300</v>
      </c>
      <c r="D2814" t="s">
        <v>4141</v>
      </c>
      <c r="E2814" t="s">
        <v>33</v>
      </c>
      <c r="F2814" t="s">
        <v>39</v>
      </c>
      <c r="G2814" t="s">
        <v>50</v>
      </c>
      <c r="H2814" t="s">
        <v>21</v>
      </c>
      <c r="I2814" t="s">
        <v>30</v>
      </c>
      <c r="J2814">
        <v>3</v>
      </c>
      <c r="K2814">
        <v>2519000</v>
      </c>
      <c r="L2814" s="2" t="s">
        <v>4678</v>
      </c>
      <c r="M2814" t="s">
        <v>23</v>
      </c>
      <c r="N2814">
        <v>6738000</v>
      </c>
      <c r="O2814">
        <v>4</v>
      </c>
      <c r="P2814" t="b">
        <v>1</v>
      </c>
    </row>
    <row r="2815" spans="1:16" x14ac:dyDescent="0.2">
      <c r="A2815" t="s">
        <v>4679</v>
      </c>
      <c r="B2815" s="1">
        <v>45261</v>
      </c>
      <c r="C2815" s="1">
        <v>45313</v>
      </c>
      <c r="D2815" t="s">
        <v>4680</v>
      </c>
      <c r="E2815" t="s">
        <v>45</v>
      </c>
      <c r="F2815" t="s">
        <v>25</v>
      </c>
      <c r="H2815" t="s">
        <v>47</v>
      </c>
      <c r="I2815" t="s">
        <v>83</v>
      </c>
      <c r="J2815">
        <v>2</v>
      </c>
      <c r="K2815">
        <v>4596000</v>
      </c>
      <c r="L2815" s="2" t="s">
        <v>4681</v>
      </c>
      <c r="M2815" t="s">
        <v>23</v>
      </c>
      <c r="N2815">
        <v>8183000</v>
      </c>
      <c r="O2815">
        <v>4.0999999999999996</v>
      </c>
      <c r="P2815" t="b">
        <v>0</v>
      </c>
    </row>
    <row r="2816" spans="1:16" x14ac:dyDescent="0.2">
      <c r="A2816" t="s">
        <v>4682</v>
      </c>
      <c r="B2816" s="1">
        <v>45261</v>
      </c>
      <c r="C2816" s="1">
        <v>45313</v>
      </c>
      <c r="D2816" t="s">
        <v>4239</v>
      </c>
      <c r="E2816" t="s">
        <v>45</v>
      </c>
      <c r="F2816" t="s">
        <v>39</v>
      </c>
      <c r="G2816" t="s">
        <v>20</v>
      </c>
      <c r="H2816" t="s">
        <v>21</v>
      </c>
      <c r="I2816" t="s">
        <v>1654</v>
      </c>
      <c r="J2816">
        <v>2</v>
      </c>
      <c r="K2816">
        <v>2155000</v>
      </c>
      <c r="L2816" s="2" t="s">
        <v>4683</v>
      </c>
      <c r="M2816" t="s">
        <v>23</v>
      </c>
      <c r="N2816">
        <v>3681000</v>
      </c>
      <c r="O2816">
        <v>4.4000000000000004</v>
      </c>
      <c r="P2816" t="b">
        <v>1</v>
      </c>
    </row>
    <row r="2817" spans="1:16" x14ac:dyDescent="0.2">
      <c r="A2817" t="s">
        <v>4684</v>
      </c>
      <c r="B2817" s="1">
        <v>44938</v>
      </c>
      <c r="C2817" s="1">
        <v>45313</v>
      </c>
      <c r="D2817" t="s">
        <v>4685</v>
      </c>
      <c r="E2817" t="s">
        <v>29</v>
      </c>
      <c r="F2817" t="s">
        <v>39</v>
      </c>
      <c r="G2817" t="s">
        <v>50</v>
      </c>
      <c r="H2817" t="s">
        <v>21</v>
      </c>
      <c r="J2817">
        <v>2</v>
      </c>
      <c r="K2817">
        <v>2562000</v>
      </c>
      <c r="L2817" s="2" t="s">
        <v>4686</v>
      </c>
      <c r="M2817" t="s">
        <v>23</v>
      </c>
      <c r="N2817">
        <v>4299000</v>
      </c>
      <c r="O2817">
        <v>4.9000000000000004</v>
      </c>
      <c r="P2817" t="b">
        <v>0</v>
      </c>
    </row>
    <row r="2818" spans="1:16" x14ac:dyDescent="0.2">
      <c r="A2818" t="s">
        <v>4687</v>
      </c>
      <c r="B2818" s="1">
        <v>45261</v>
      </c>
      <c r="C2818" s="1">
        <v>45270</v>
      </c>
      <c r="D2818" t="s">
        <v>4688</v>
      </c>
      <c r="E2818" t="s">
        <v>45</v>
      </c>
      <c r="F2818" t="s">
        <v>19</v>
      </c>
      <c r="G2818" t="s">
        <v>50</v>
      </c>
      <c r="H2818" t="s">
        <v>21</v>
      </c>
      <c r="I2818" t="s">
        <v>83</v>
      </c>
      <c r="J2818">
        <v>1</v>
      </c>
      <c r="K2818">
        <v>2752000</v>
      </c>
      <c r="L2818" s="2" t="s">
        <v>4689</v>
      </c>
      <c r="M2818" t="s">
        <v>23</v>
      </c>
      <c r="N2818">
        <v>2645000</v>
      </c>
      <c r="O2818">
        <v>4</v>
      </c>
      <c r="P2818" t="b">
        <v>0</v>
      </c>
    </row>
    <row r="2819" spans="1:16" x14ac:dyDescent="0.2">
      <c r="A2819" t="s">
        <v>4690</v>
      </c>
      <c r="B2819" s="1">
        <v>45261</v>
      </c>
      <c r="C2819" s="1">
        <v>45318</v>
      </c>
      <c r="D2819" t="s">
        <v>433</v>
      </c>
      <c r="E2819" t="s">
        <v>33</v>
      </c>
      <c r="F2819" t="s">
        <v>45</v>
      </c>
      <c r="G2819" t="s">
        <v>20</v>
      </c>
      <c r="H2819" t="s">
        <v>51</v>
      </c>
      <c r="I2819" t="s">
        <v>60</v>
      </c>
      <c r="J2819">
        <v>2</v>
      </c>
      <c r="K2819">
        <v>3335000</v>
      </c>
      <c r="L2819">
        <v>7.2510505317591095E-2</v>
      </c>
      <c r="M2819" t="s">
        <v>23</v>
      </c>
      <c r="N2819">
        <v>6186000</v>
      </c>
      <c r="O2819">
        <v>4.4000000000000004</v>
      </c>
      <c r="P2819" t="b">
        <v>1</v>
      </c>
    </row>
    <row r="2820" spans="1:16" x14ac:dyDescent="0.2">
      <c r="A2820" t="s">
        <v>4691</v>
      </c>
      <c r="B2820" s="1">
        <v>45261</v>
      </c>
      <c r="C2820" s="1">
        <v>45325</v>
      </c>
      <c r="D2820" t="s">
        <v>4692</v>
      </c>
      <c r="E2820" t="s">
        <v>45</v>
      </c>
      <c r="F2820" t="s">
        <v>45</v>
      </c>
      <c r="G2820" t="s">
        <v>35</v>
      </c>
      <c r="H2820" t="s">
        <v>21</v>
      </c>
      <c r="I2820" t="s">
        <v>22</v>
      </c>
      <c r="J2820">
        <v>1</v>
      </c>
      <c r="K2820">
        <v>3397000</v>
      </c>
      <c r="L2820" s="2" t="s">
        <v>4693</v>
      </c>
      <c r="M2820" t="s">
        <v>23</v>
      </c>
      <c r="N2820">
        <v>3026000</v>
      </c>
      <c r="O2820">
        <v>4</v>
      </c>
      <c r="P2820" t="b">
        <v>0</v>
      </c>
    </row>
    <row r="2821" spans="1:16" x14ac:dyDescent="0.2">
      <c r="A2821" t="s">
        <v>4694</v>
      </c>
      <c r="B2821" s="1">
        <v>45262</v>
      </c>
      <c r="C2821" s="1">
        <v>45298</v>
      </c>
      <c r="D2821" t="s">
        <v>2301</v>
      </c>
      <c r="E2821" t="s">
        <v>18</v>
      </c>
      <c r="F2821" t="s">
        <v>25</v>
      </c>
      <c r="G2821" t="s">
        <v>46</v>
      </c>
      <c r="H2821" t="s">
        <v>21</v>
      </c>
      <c r="I2821" t="s">
        <v>60</v>
      </c>
      <c r="J2821">
        <v>1</v>
      </c>
      <c r="K2821">
        <v>5498000</v>
      </c>
      <c r="L2821">
        <v>9.4105097570978194E-2</v>
      </c>
      <c r="M2821" t="s">
        <v>23</v>
      </c>
      <c r="N2821">
        <v>4981000</v>
      </c>
      <c r="O2821">
        <v>5</v>
      </c>
      <c r="P2821" t="b">
        <v>1</v>
      </c>
    </row>
    <row r="2822" spans="1:16" x14ac:dyDescent="0.2">
      <c r="A2822" t="s">
        <v>4695</v>
      </c>
      <c r="B2822" s="1">
        <v>45262</v>
      </c>
      <c r="C2822" s="1">
        <v>45278</v>
      </c>
      <c r="D2822" t="s">
        <v>2788</v>
      </c>
      <c r="E2822" t="s">
        <v>29</v>
      </c>
      <c r="F2822" t="s">
        <v>34</v>
      </c>
      <c r="G2822" t="s">
        <v>50</v>
      </c>
      <c r="H2822" t="s">
        <v>40</v>
      </c>
      <c r="I2822" t="s">
        <v>77</v>
      </c>
      <c r="J2822">
        <v>1</v>
      </c>
      <c r="K2822">
        <v>4347000</v>
      </c>
      <c r="L2822" s="2" t="s">
        <v>4696</v>
      </c>
      <c r="M2822" t="s">
        <v>23</v>
      </c>
      <c r="N2822">
        <v>3806000</v>
      </c>
      <c r="O2822">
        <v>4.7</v>
      </c>
      <c r="P2822" t="b">
        <v>1</v>
      </c>
    </row>
    <row r="2823" spans="1:16" x14ac:dyDescent="0.2">
      <c r="A2823" t="s">
        <v>4697</v>
      </c>
      <c r="B2823" s="1">
        <v>45263</v>
      </c>
      <c r="C2823" s="1">
        <v>45290</v>
      </c>
      <c r="D2823" t="s">
        <v>4698</v>
      </c>
      <c r="E2823" t="s">
        <v>33</v>
      </c>
      <c r="F2823" t="s">
        <v>68</v>
      </c>
      <c r="G2823" t="s">
        <v>20</v>
      </c>
      <c r="H2823" t="s">
        <v>21</v>
      </c>
      <c r="I2823" t="s">
        <v>30</v>
      </c>
      <c r="J2823">
        <v>2</v>
      </c>
      <c r="K2823">
        <v>2553000</v>
      </c>
      <c r="L2823">
        <v>6.2212090905980899E-2</v>
      </c>
      <c r="M2823" t="s">
        <v>23</v>
      </c>
      <c r="N2823">
        <v>4788000</v>
      </c>
      <c r="O2823">
        <v>4.7</v>
      </c>
      <c r="P2823" t="b">
        <v>0</v>
      </c>
    </row>
    <row r="2824" spans="1:16" x14ac:dyDescent="0.2">
      <c r="A2824" t="s">
        <v>4699</v>
      </c>
      <c r="B2824" s="1">
        <v>45263</v>
      </c>
      <c r="C2824" s="1">
        <v>45305</v>
      </c>
      <c r="D2824" t="s">
        <v>3893</v>
      </c>
      <c r="E2824" t="s">
        <v>18</v>
      </c>
      <c r="F2824" t="s">
        <v>25</v>
      </c>
      <c r="G2824" t="s">
        <v>20</v>
      </c>
      <c r="H2824" t="s">
        <v>21</v>
      </c>
      <c r="I2824" t="s">
        <v>77</v>
      </c>
      <c r="J2824">
        <v>1</v>
      </c>
      <c r="K2824">
        <v>6064000</v>
      </c>
      <c r="L2824" s="2" t="s">
        <v>4700</v>
      </c>
      <c r="M2824" t="s">
        <v>23</v>
      </c>
      <c r="N2824">
        <v>5231000</v>
      </c>
      <c r="O2824">
        <v>4.5</v>
      </c>
      <c r="P2824" t="b">
        <v>1</v>
      </c>
    </row>
    <row r="2825" spans="1:16" x14ac:dyDescent="0.2">
      <c r="A2825" t="s">
        <v>4701</v>
      </c>
      <c r="B2825" s="1">
        <v>45263</v>
      </c>
      <c r="C2825" s="1">
        <v>45329</v>
      </c>
      <c r="D2825" t="s">
        <v>3350</v>
      </c>
      <c r="E2825" t="s">
        <v>33</v>
      </c>
      <c r="F2825" t="s">
        <v>34</v>
      </c>
      <c r="G2825" t="s">
        <v>50</v>
      </c>
      <c r="H2825" t="s">
        <v>21</v>
      </c>
      <c r="I2825" t="s">
        <v>57</v>
      </c>
      <c r="J2825">
        <v>2</v>
      </c>
      <c r="K2825">
        <v>4317000</v>
      </c>
      <c r="L2825">
        <v>7.7518403339497804E-2</v>
      </c>
      <c r="M2825" t="s">
        <v>23</v>
      </c>
      <c r="N2825">
        <v>7965000</v>
      </c>
      <c r="O2825">
        <v>5</v>
      </c>
      <c r="P2825" t="b">
        <v>1</v>
      </c>
    </row>
    <row r="2826" spans="1:16" x14ac:dyDescent="0.2">
      <c r="A2826" t="s">
        <v>4702</v>
      </c>
      <c r="B2826" s="1">
        <v>45263</v>
      </c>
      <c r="C2826" s="1">
        <v>45338</v>
      </c>
      <c r="D2826" t="s">
        <v>273</v>
      </c>
      <c r="E2826" t="s">
        <v>18</v>
      </c>
      <c r="F2826" t="s">
        <v>19</v>
      </c>
      <c r="G2826" t="s">
        <v>35</v>
      </c>
      <c r="H2826" t="s">
        <v>21</v>
      </c>
      <c r="I2826" t="s">
        <v>77</v>
      </c>
      <c r="J2826">
        <v>2</v>
      </c>
      <c r="K2826">
        <v>2806000</v>
      </c>
      <c r="L2826" s="2" t="s">
        <v>4703</v>
      </c>
      <c r="M2826" t="s">
        <v>23</v>
      </c>
      <c r="N2826">
        <v>4804000</v>
      </c>
      <c r="O2826">
        <v>4.5</v>
      </c>
      <c r="P2826" t="b">
        <v>1</v>
      </c>
    </row>
    <row r="2827" spans="1:16" x14ac:dyDescent="0.2">
      <c r="A2827" t="s">
        <v>4704</v>
      </c>
      <c r="B2827" s="1">
        <v>45263</v>
      </c>
      <c r="C2827" s="1">
        <v>45307</v>
      </c>
      <c r="D2827" t="s">
        <v>2812</v>
      </c>
      <c r="E2827" t="s">
        <v>18</v>
      </c>
      <c r="F2827" t="s">
        <v>19</v>
      </c>
      <c r="G2827" t="s">
        <v>20</v>
      </c>
      <c r="H2827" t="s">
        <v>47</v>
      </c>
      <c r="I2827" t="s">
        <v>94</v>
      </c>
      <c r="J2827">
        <v>2</v>
      </c>
      <c r="K2827">
        <v>2513000</v>
      </c>
      <c r="L2827" s="2" t="s">
        <v>4705</v>
      </c>
      <c r="M2827" t="s">
        <v>23</v>
      </c>
      <c r="N2827">
        <v>4515000</v>
      </c>
      <c r="O2827">
        <v>4.0999999999999996</v>
      </c>
      <c r="P2827" t="b">
        <v>1</v>
      </c>
    </row>
    <row r="2828" spans="1:16" x14ac:dyDescent="0.2">
      <c r="A2828" t="s">
        <v>4706</v>
      </c>
      <c r="B2828" s="1">
        <v>45263</v>
      </c>
      <c r="C2828" s="1">
        <v>45311</v>
      </c>
      <c r="D2828" t="s">
        <v>4118</v>
      </c>
      <c r="E2828" t="s">
        <v>45</v>
      </c>
      <c r="F2828" t="s">
        <v>34</v>
      </c>
      <c r="G2828" t="s">
        <v>35</v>
      </c>
      <c r="H2828" t="s">
        <v>21</v>
      </c>
      <c r="I2828" t="s">
        <v>99</v>
      </c>
      <c r="J2828">
        <v>2</v>
      </c>
      <c r="K2828">
        <v>3959000</v>
      </c>
      <c r="L2828" s="2" t="s">
        <v>4707</v>
      </c>
      <c r="M2828" t="s">
        <v>23</v>
      </c>
      <c r="N2828">
        <v>7022000</v>
      </c>
      <c r="O2828">
        <v>3.7</v>
      </c>
      <c r="P2828" t="b">
        <v>1</v>
      </c>
    </row>
    <row r="2829" spans="1:16" x14ac:dyDescent="0.2">
      <c r="A2829" t="s">
        <v>4708</v>
      </c>
      <c r="B2829" s="1">
        <v>45265</v>
      </c>
      <c r="C2829" s="1">
        <v>45373</v>
      </c>
      <c r="D2829" t="s">
        <v>4709</v>
      </c>
      <c r="E2829" t="s">
        <v>29</v>
      </c>
      <c r="F2829" t="s">
        <v>39</v>
      </c>
      <c r="G2829" t="s">
        <v>35</v>
      </c>
      <c r="H2829" t="s">
        <v>40</v>
      </c>
      <c r="I2829" t="s">
        <v>83</v>
      </c>
      <c r="J2829">
        <v>3</v>
      </c>
      <c r="K2829">
        <v>1356000</v>
      </c>
      <c r="L2829">
        <v>7.5403192864387597E-2</v>
      </c>
      <c r="M2829" t="s">
        <v>23</v>
      </c>
      <c r="N2829">
        <v>3761000</v>
      </c>
      <c r="O2829">
        <v>4.2</v>
      </c>
      <c r="P2829" t="b">
        <v>0</v>
      </c>
    </row>
    <row r="2830" spans="1:16" x14ac:dyDescent="0.2">
      <c r="A2830" t="s">
        <v>4710</v>
      </c>
      <c r="B2830" s="1">
        <v>45266</v>
      </c>
      <c r="C2830" s="1">
        <v>45335</v>
      </c>
      <c r="D2830" t="s">
        <v>4711</v>
      </c>
      <c r="E2830" t="s">
        <v>45</v>
      </c>
      <c r="F2830" t="s">
        <v>68</v>
      </c>
      <c r="G2830" t="s">
        <v>20</v>
      </c>
      <c r="H2830" t="s">
        <v>47</v>
      </c>
      <c r="I2830" t="s">
        <v>22</v>
      </c>
      <c r="J2830">
        <v>4</v>
      </c>
      <c r="K2830">
        <v>2689000</v>
      </c>
      <c r="L2830" s="2" t="s">
        <v>4712</v>
      </c>
      <c r="M2830" t="s">
        <v>23</v>
      </c>
      <c r="N2830">
        <v>10320000</v>
      </c>
      <c r="O2830">
        <v>3.9</v>
      </c>
      <c r="P2830" t="b">
        <v>0</v>
      </c>
    </row>
    <row r="2831" spans="1:16" x14ac:dyDescent="0.2">
      <c r="A2831" t="s">
        <v>4713</v>
      </c>
      <c r="B2831" s="1">
        <v>45266</v>
      </c>
      <c r="C2831" s="1">
        <v>45280</v>
      </c>
      <c r="D2831" t="s">
        <v>3907</v>
      </c>
      <c r="E2831" t="s">
        <v>18</v>
      </c>
      <c r="F2831" t="s">
        <v>19</v>
      </c>
      <c r="G2831" t="s">
        <v>20</v>
      </c>
      <c r="H2831" t="s">
        <v>21</v>
      </c>
      <c r="J2831">
        <v>2</v>
      </c>
      <c r="K2831">
        <v>2595000</v>
      </c>
      <c r="L2831" s="2" t="s">
        <v>4714</v>
      </c>
      <c r="M2831" t="s">
        <v>23</v>
      </c>
      <c r="N2831">
        <v>4537000</v>
      </c>
      <c r="O2831">
        <v>4.5</v>
      </c>
      <c r="P2831" t="b">
        <v>1</v>
      </c>
    </row>
    <row r="2832" spans="1:16" x14ac:dyDescent="0.2">
      <c r="A2832" t="s">
        <v>4715</v>
      </c>
      <c r="B2832" s="1">
        <v>45267</v>
      </c>
      <c r="C2832" s="1">
        <v>45337</v>
      </c>
      <c r="D2832" t="s">
        <v>4716</v>
      </c>
      <c r="E2832" t="s">
        <v>18</v>
      </c>
      <c r="F2832" t="s">
        <v>19</v>
      </c>
      <c r="G2832" t="s">
        <v>20</v>
      </c>
      <c r="H2832" t="s">
        <v>51</v>
      </c>
      <c r="I2832" t="s">
        <v>77</v>
      </c>
      <c r="J2832">
        <v>2</v>
      </c>
      <c r="K2832">
        <v>2718000</v>
      </c>
      <c r="L2832">
        <v>9.9283309736955594E-2</v>
      </c>
      <c r="M2832" t="s">
        <v>23</v>
      </c>
      <c r="N2832">
        <v>4896000</v>
      </c>
      <c r="O2832">
        <v>4.4000000000000004</v>
      </c>
      <c r="P2832" t="b">
        <v>0</v>
      </c>
    </row>
    <row r="2833" spans="1:16" x14ac:dyDescent="0.2">
      <c r="A2833" t="s">
        <v>4717</v>
      </c>
      <c r="B2833" s="1">
        <v>45267</v>
      </c>
      <c r="C2833" s="1">
        <v>45326</v>
      </c>
      <c r="D2833" t="s">
        <v>2042</v>
      </c>
      <c r="E2833" t="s">
        <v>29</v>
      </c>
      <c r="F2833" t="s">
        <v>25</v>
      </c>
      <c r="G2833" t="s">
        <v>20</v>
      </c>
      <c r="H2833" t="s">
        <v>21</v>
      </c>
      <c r="I2833" t="s">
        <v>60</v>
      </c>
      <c r="J2833">
        <v>1</v>
      </c>
      <c r="K2833">
        <v>5825000</v>
      </c>
      <c r="L2833" s="2" t="s">
        <v>4718</v>
      </c>
      <c r="M2833" t="s">
        <v>23</v>
      </c>
      <c r="N2833">
        <v>4523000</v>
      </c>
      <c r="O2833">
        <v>4</v>
      </c>
      <c r="P2833" t="b">
        <v>1</v>
      </c>
    </row>
    <row r="2834" spans="1:16" x14ac:dyDescent="0.2">
      <c r="A2834" t="s">
        <v>4719</v>
      </c>
      <c r="B2834" s="1">
        <v>45268</v>
      </c>
      <c r="C2834" s="1">
        <v>45288</v>
      </c>
      <c r="D2834" t="s">
        <v>4720</v>
      </c>
      <c r="E2834" t="s">
        <v>18</v>
      </c>
      <c r="F2834" t="s">
        <v>34</v>
      </c>
      <c r="G2834" t="s">
        <v>50</v>
      </c>
      <c r="H2834" t="s">
        <v>21</v>
      </c>
      <c r="I2834" t="s">
        <v>94</v>
      </c>
      <c r="J2834">
        <v>3</v>
      </c>
      <c r="K2834">
        <v>4544000</v>
      </c>
      <c r="L2834">
        <v>9.6234756041671907E-2</v>
      </c>
      <c r="M2834" t="s">
        <v>23</v>
      </c>
      <c r="N2834">
        <v>12320000</v>
      </c>
      <c r="O2834">
        <v>4.2</v>
      </c>
      <c r="P2834" t="b">
        <v>0</v>
      </c>
    </row>
    <row r="2835" spans="1:16" x14ac:dyDescent="0.2">
      <c r="A2835" t="s">
        <v>4721</v>
      </c>
      <c r="B2835" s="1">
        <v>45150</v>
      </c>
      <c r="C2835" s="1">
        <v>45300</v>
      </c>
      <c r="D2835" t="s">
        <v>4722</v>
      </c>
      <c r="E2835" t="s">
        <v>45</v>
      </c>
      <c r="F2835" t="s">
        <v>45</v>
      </c>
      <c r="G2835" t="s">
        <v>35</v>
      </c>
      <c r="H2835" t="s">
        <v>40</v>
      </c>
      <c r="I2835" t="s">
        <v>83</v>
      </c>
      <c r="J2835">
        <v>1</v>
      </c>
      <c r="K2835">
        <v>2657000</v>
      </c>
      <c r="L2835">
        <v>9.6021802297581699E-2</v>
      </c>
      <c r="M2835" t="s">
        <v>23</v>
      </c>
      <c r="N2835">
        <v>2402000</v>
      </c>
      <c r="O2835">
        <v>3.8</v>
      </c>
      <c r="P2835" t="b">
        <v>0</v>
      </c>
    </row>
    <row r="2836" spans="1:16" x14ac:dyDescent="0.2">
      <c r="A2836" t="s">
        <v>4723</v>
      </c>
      <c r="B2836" s="1">
        <v>45269</v>
      </c>
      <c r="C2836" s="1">
        <v>45356</v>
      </c>
      <c r="D2836" t="s">
        <v>508</v>
      </c>
      <c r="E2836" t="s">
        <v>29</v>
      </c>
      <c r="F2836" t="s">
        <v>68</v>
      </c>
      <c r="G2836" t="s">
        <v>50</v>
      </c>
      <c r="H2836" t="s">
        <v>21</v>
      </c>
      <c r="I2836" t="s">
        <v>52</v>
      </c>
      <c r="J2836">
        <v>3</v>
      </c>
      <c r="K2836">
        <v>2392000</v>
      </c>
      <c r="L2836">
        <v>8.3314404116933805E-2</v>
      </c>
      <c r="M2836" t="s">
        <v>23</v>
      </c>
      <c r="N2836">
        <v>6578000</v>
      </c>
      <c r="O2836">
        <v>3.5</v>
      </c>
      <c r="P2836" t="b">
        <v>1</v>
      </c>
    </row>
    <row r="2837" spans="1:16" x14ac:dyDescent="0.2">
      <c r="A2837" t="s">
        <v>4724</v>
      </c>
      <c r="B2837" s="1">
        <v>45269</v>
      </c>
      <c r="C2837" s="1">
        <v>45311</v>
      </c>
      <c r="D2837" t="s">
        <v>3916</v>
      </c>
      <c r="E2837" t="s">
        <v>33</v>
      </c>
      <c r="F2837" t="s">
        <v>45</v>
      </c>
      <c r="G2837" t="s">
        <v>20</v>
      </c>
      <c r="H2837" t="s">
        <v>21</v>
      </c>
      <c r="I2837" t="s">
        <v>60</v>
      </c>
      <c r="J2837">
        <v>1</v>
      </c>
      <c r="K2837">
        <v>3393000</v>
      </c>
      <c r="L2837" s="2" t="s">
        <v>4725</v>
      </c>
      <c r="M2837" t="s">
        <v>23</v>
      </c>
      <c r="N2837">
        <v>3018000</v>
      </c>
      <c r="O2837">
        <v>4</v>
      </c>
      <c r="P2837" t="b">
        <v>1</v>
      </c>
    </row>
    <row r="2838" spans="1:16" x14ac:dyDescent="0.2">
      <c r="A2838" t="s">
        <v>4726</v>
      </c>
      <c r="B2838" s="1">
        <v>45269</v>
      </c>
      <c r="C2838" s="1">
        <v>45335</v>
      </c>
      <c r="D2838" t="s">
        <v>76</v>
      </c>
      <c r="E2838" t="s">
        <v>29</v>
      </c>
      <c r="F2838" t="s">
        <v>45</v>
      </c>
      <c r="G2838" t="s">
        <v>46</v>
      </c>
      <c r="H2838" t="s">
        <v>21</v>
      </c>
      <c r="I2838" t="s">
        <v>22</v>
      </c>
      <c r="J2838">
        <v>4</v>
      </c>
      <c r="K2838">
        <v>3417000</v>
      </c>
      <c r="L2838" s="2" t="s">
        <v>4727</v>
      </c>
      <c r="M2838" t="s">
        <v>23</v>
      </c>
      <c r="N2838">
        <v>11328000</v>
      </c>
      <c r="O2838">
        <v>4</v>
      </c>
      <c r="P2838" t="b">
        <v>1</v>
      </c>
    </row>
    <row r="2839" spans="1:16" x14ac:dyDescent="0.2">
      <c r="A2839" t="s">
        <v>4728</v>
      </c>
      <c r="B2839" s="1">
        <v>45270</v>
      </c>
      <c r="C2839" s="1">
        <v>45310</v>
      </c>
      <c r="D2839" t="s">
        <v>4729</v>
      </c>
      <c r="F2839" t="s">
        <v>68</v>
      </c>
      <c r="G2839" t="s">
        <v>35</v>
      </c>
      <c r="H2839" t="s">
        <v>40</v>
      </c>
      <c r="J2839">
        <v>4</v>
      </c>
      <c r="K2839">
        <v>2470000</v>
      </c>
      <c r="L2839" s="2" t="s">
        <v>4730</v>
      </c>
      <c r="M2839" t="s">
        <v>65</v>
      </c>
      <c r="N2839">
        <v>0</v>
      </c>
      <c r="P2839" t="b">
        <v>0</v>
      </c>
    </row>
    <row r="2840" spans="1:16" x14ac:dyDescent="0.2">
      <c r="A2840" t="s">
        <v>4731</v>
      </c>
      <c r="B2840" s="1">
        <v>45270</v>
      </c>
      <c r="C2840" s="1">
        <v>45361</v>
      </c>
      <c r="D2840" t="s">
        <v>4732</v>
      </c>
      <c r="E2840" t="s">
        <v>33</v>
      </c>
      <c r="F2840" t="s">
        <v>34</v>
      </c>
      <c r="H2840" t="s">
        <v>21</v>
      </c>
      <c r="I2840" t="s">
        <v>99</v>
      </c>
      <c r="J2840">
        <v>2</v>
      </c>
      <c r="K2840">
        <v>3895000</v>
      </c>
      <c r="L2840" s="2" t="s">
        <v>4733</v>
      </c>
      <c r="M2840" t="s">
        <v>23</v>
      </c>
      <c r="N2840">
        <v>6599000</v>
      </c>
      <c r="O2840">
        <v>4.5999999999999996</v>
      </c>
      <c r="P2840" t="b">
        <v>0</v>
      </c>
    </row>
    <row r="2841" spans="1:16" x14ac:dyDescent="0.2">
      <c r="A2841" t="s">
        <v>4734</v>
      </c>
      <c r="B2841" s="1">
        <v>45270</v>
      </c>
      <c r="C2841" s="1">
        <v>45307</v>
      </c>
      <c r="D2841" t="s">
        <v>4735</v>
      </c>
      <c r="E2841" t="s">
        <v>45</v>
      </c>
      <c r="F2841" t="s">
        <v>25</v>
      </c>
      <c r="G2841" t="s">
        <v>20</v>
      </c>
      <c r="H2841" t="s">
        <v>40</v>
      </c>
      <c r="I2841" t="s">
        <v>57</v>
      </c>
      <c r="J2841">
        <v>1</v>
      </c>
      <c r="K2841">
        <v>4974000</v>
      </c>
      <c r="L2841">
        <v>7.8926733355346501E-2</v>
      </c>
      <c r="M2841" t="s">
        <v>23</v>
      </c>
      <c r="N2841">
        <v>4581000</v>
      </c>
      <c r="O2841">
        <v>4.7</v>
      </c>
      <c r="P2841" t="b">
        <v>0</v>
      </c>
    </row>
    <row r="2842" spans="1:16" x14ac:dyDescent="0.2">
      <c r="A2842" t="s">
        <v>4736</v>
      </c>
      <c r="B2842" s="1">
        <v>45270</v>
      </c>
      <c r="C2842" s="1">
        <v>45332</v>
      </c>
      <c r="D2842" t="s">
        <v>4737</v>
      </c>
      <c r="F2842" t="s">
        <v>25</v>
      </c>
      <c r="G2842" t="s">
        <v>20</v>
      </c>
      <c r="H2842" t="s">
        <v>21</v>
      </c>
      <c r="I2842" t="s">
        <v>94</v>
      </c>
      <c r="J2842">
        <v>2</v>
      </c>
      <c r="K2842">
        <v>5486000</v>
      </c>
      <c r="L2842" s="2" t="s">
        <v>4738</v>
      </c>
      <c r="M2842" t="s">
        <v>23</v>
      </c>
      <c r="N2842">
        <v>9016000</v>
      </c>
      <c r="O2842">
        <v>4.5999999999999996</v>
      </c>
      <c r="P2842" t="b">
        <v>0</v>
      </c>
    </row>
    <row r="2843" spans="1:16" x14ac:dyDescent="0.2">
      <c r="A2843" t="s">
        <v>4739</v>
      </c>
      <c r="B2843" s="1">
        <v>45270</v>
      </c>
      <c r="C2843" s="1">
        <v>45306</v>
      </c>
      <c r="D2843" t="s">
        <v>3992</v>
      </c>
      <c r="E2843" t="s">
        <v>33</v>
      </c>
      <c r="F2843" t="s">
        <v>45</v>
      </c>
      <c r="G2843" t="s">
        <v>20</v>
      </c>
      <c r="H2843" t="s">
        <v>47</v>
      </c>
      <c r="I2843" t="s">
        <v>77</v>
      </c>
      <c r="J2843">
        <v>5</v>
      </c>
      <c r="K2843">
        <v>3520000</v>
      </c>
      <c r="L2843">
        <v>8.7811355452514603E-2</v>
      </c>
      <c r="M2843" t="s">
        <v>23</v>
      </c>
      <c r="N2843">
        <v>16055000</v>
      </c>
      <c r="O2843">
        <v>4</v>
      </c>
      <c r="P2843" t="b">
        <v>1</v>
      </c>
    </row>
    <row r="2844" spans="1:16" x14ac:dyDescent="0.2">
      <c r="A2844" t="s">
        <v>4740</v>
      </c>
      <c r="B2844" s="1">
        <v>45271</v>
      </c>
      <c r="C2844" s="1">
        <v>45330</v>
      </c>
      <c r="D2844" t="s">
        <v>4709</v>
      </c>
      <c r="E2844" t="s">
        <v>18</v>
      </c>
      <c r="F2844" t="s">
        <v>45</v>
      </c>
      <c r="G2844" t="s">
        <v>20</v>
      </c>
      <c r="I2844" t="s">
        <v>94</v>
      </c>
      <c r="J2844">
        <v>3</v>
      </c>
      <c r="K2844">
        <v>3319000</v>
      </c>
      <c r="L2844" s="2" t="s">
        <v>4741</v>
      </c>
      <c r="M2844" t="s">
        <v>23</v>
      </c>
      <c r="N2844">
        <v>8705000</v>
      </c>
      <c r="O2844">
        <v>4.3</v>
      </c>
      <c r="P2844" t="b">
        <v>1</v>
      </c>
    </row>
    <row r="2845" spans="1:16" x14ac:dyDescent="0.2">
      <c r="A2845" t="s">
        <v>4742</v>
      </c>
      <c r="B2845" s="1">
        <v>45271</v>
      </c>
      <c r="C2845" s="1">
        <v>45330</v>
      </c>
      <c r="D2845" t="s">
        <v>4743</v>
      </c>
      <c r="E2845" t="s">
        <v>33</v>
      </c>
      <c r="F2845" t="s">
        <v>25</v>
      </c>
      <c r="G2845" t="s">
        <v>50</v>
      </c>
      <c r="H2845" t="s">
        <v>51</v>
      </c>
      <c r="I2845" t="s">
        <v>99</v>
      </c>
      <c r="J2845">
        <v>1</v>
      </c>
      <c r="K2845">
        <v>4861000</v>
      </c>
      <c r="L2845" s="2" t="s">
        <v>4744</v>
      </c>
      <c r="M2845" t="s">
        <v>23</v>
      </c>
      <c r="N2845">
        <v>4671000</v>
      </c>
      <c r="O2845">
        <v>4</v>
      </c>
      <c r="P2845" t="b">
        <v>0</v>
      </c>
    </row>
    <row r="2846" spans="1:16" x14ac:dyDescent="0.2">
      <c r="A2846" t="s">
        <v>4745</v>
      </c>
      <c r="B2846" s="1">
        <v>45272</v>
      </c>
      <c r="C2846" s="1">
        <v>45313</v>
      </c>
      <c r="D2846" t="s">
        <v>4746</v>
      </c>
      <c r="E2846" t="s">
        <v>45</v>
      </c>
      <c r="F2846" t="s">
        <v>25</v>
      </c>
      <c r="G2846" t="s">
        <v>35</v>
      </c>
      <c r="H2846" t="s">
        <v>21</v>
      </c>
      <c r="I2846" t="s">
        <v>60</v>
      </c>
      <c r="J2846">
        <v>1</v>
      </c>
      <c r="K2846">
        <v>5199000</v>
      </c>
      <c r="L2846">
        <v>8.0598727430991099E-2</v>
      </c>
      <c r="M2846" t="s">
        <v>23</v>
      </c>
      <c r="N2846">
        <v>4780000</v>
      </c>
      <c r="O2846">
        <v>3.7</v>
      </c>
      <c r="P2846" t="b">
        <v>0</v>
      </c>
    </row>
    <row r="2847" spans="1:16" x14ac:dyDescent="0.2">
      <c r="A2847" t="s">
        <v>4747</v>
      </c>
      <c r="B2847" s="1">
        <v>45272</v>
      </c>
      <c r="C2847" s="1">
        <v>45355</v>
      </c>
      <c r="D2847" t="s">
        <v>4748</v>
      </c>
      <c r="E2847" t="s">
        <v>29</v>
      </c>
      <c r="F2847" t="s">
        <v>19</v>
      </c>
      <c r="G2847" t="s">
        <v>35</v>
      </c>
      <c r="H2847" t="s">
        <v>21</v>
      </c>
      <c r="I2847" t="s">
        <v>1654</v>
      </c>
      <c r="J2847">
        <v>2</v>
      </c>
      <c r="K2847">
        <v>2744000</v>
      </c>
      <c r="L2847" s="3">
        <v>0.16700000000000001</v>
      </c>
      <c r="M2847" t="s">
        <v>23</v>
      </c>
      <c r="N2847">
        <v>4573000</v>
      </c>
      <c r="O2847">
        <v>3.9</v>
      </c>
      <c r="P2847" t="b">
        <v>0</v>
      </c>
    </row>
    <row r="2848" spans="1:16" x14ac:dyDescent="0.2">
      <c r="A2848" t="s">
        <v>4749</v>
      </c>
      <c r="B2848" s="1">
        <v>45274</v>
      </c>
      <c r="C2848" s="1">
        <v>45331</v>
      </c>
      <c r="D2848" t="s">
        <v>3973</v>
      </c>
      <c r="E2848" t="s">
        <v>45</v>
      </c>
      <c r="F2848" t="s">
        <v>34</v>
      </c>
      <c r="G2848" t="s">
        <v>35</v>
      </c>
      <c r="H2848" t="s">
        <v>47</v>
      </c>
      <c r="I2848" t="s">
        <v>94</v>
      </c>
      <c r="J2848">
        <v>1</v>
      </c>
      <c r="K2848">
        <v>4719000</v>
      </c>
      <c r="L2848">
        <v>7.3526911004187206E-2</v>
      </c>
      <c r="M2848" t="s">
        <v>23</v>
      </c>
      <c r="N2848">
        <v>4372000</v>
      </c>
      <c r="O2848">
        <v>4.5</v>
      </c>
      <c r="P2848" t="b">
        <v>1</v>
      </c>
    </row>
    <row r="2849" spans="1:16" x14ac:dyDescent="0.2">
      <c r="A2849" t="s">
        <v>4750</v>
      </c>
      <c r="B2849" s="1">
        <v>45274</v>
      </c>
      <c r="C2849" s="1">
        <v>45318</v>
      </c>
      <c r="D2849" t="s">
        <v>4751</v>
      </c>
      <c r="E2849" t="s">
        <v>18</v>
      </c>
      <c r="F2849" t="s">
        <v>45</v>
      </c>
      <c r="G2849" t="s">
        <v>50</v>
      </c>
      <c r="H2849" t="s">
        <v>21</v>
      </c>
      <c r="I2849" t="s">
        <v>30</v>
      </c>
      <c r="J2849">
        <v>4</v>
      </c>
      <c r="K2849">
        <v>2985000</v>
      </c>
      <c r="L2849">
        <v>7.9767171660816497E-2</v>
      </c>
      <c r="M2849" t="s">
        <v>23</v>
      </c>
      <c r="N2849">
        <v>10988000</v>
      </c>
      <c r="O2849">
        <v>5</v>
      </c>
      <c r="P2849" t="b">
        <v>0</v>
      </c>
    </row>
    <row r="2850" spans="1:16" x14ac:dyDescent="0.2">
      <c r="A2850" t="s">
        <v>4752</v>
      </c>
      <c r="B2850" s="1">
        <v>45274</v>
      </c>
      <c r="C2850" s="1">
        <v>45313</v>
      </c>
      <c r="D2850" t="s">
        <v>2914</v>
      </c>
      <c r="E2850" t="s">
        <v>18</v>
      </c>
      <c r="F2850" t="s">
        <v>19</v>
      </c>
      <c r="G2850" t="s">
        <v>20</v>
      </c>
      <c r="H2850" t="s">
        <v>47</v>
      </c>
      <c r="I2850" t="s">
        <v>26</v>
      </c>
      <c r="J2850">
        <v>5</v>
      </c>
      <c r="K2850">
        <v>2554000</v>
      </c>
      <c r="L2850" s="2" t="s">
        <v>4753</v>
      </c>
      <c r="M2850" t="s">
        <v>23</v>
      </c>
      <c r="N2850">
        <v>10911000</v>
      </c>
      <c r="O2850">
        <v>5</v>
      </c>
      <c r="P2850" t="b">
        <v>1</v>
      </c>
    </row>
    <row r="2851" spans="1:16" x14ac:dyDescent="0.2">
      <c r="A2851" t="s">
        <v>4754</v>
      </c>
      <c r="B2851" s="1">
        <v>45275</v>
      </c>
      <c r="C2851" s="1">
        <v>45293</v>
      </c>
      <c r="D2851" t="s">
        <v>666</v>
      </c>
      <c r="E2851" t="s">
        <v>29</v>
      </c>
      <c r="F2851" t="s">
        <v>19</v>
      </c>
      <c r="G2851" t="s">
        <v>50</v>
      </c>
      <c r="H2851" t="s">
        <v>21</v>
      </c>
      <c r="I2851" t="s">
        <v>99</v>
      </c>
      <c r="J2851">
        <v>3</v>
      </c>
      <c r="K2851">
        <v>2223000</v>
      </c>
      <c r="L2851">
        <v>9.7481870428447207E-2</v>
      </c>
      <c r="M2851" t="s">
        <v>23</v>
      </c>
      <c r="N2851">
        <v>6019000</v>
      </c>
      <c r="O2851">
        <v>4.0999999999999996</v>
      </c>
      <c r="P2851" t="b">
        <v>1</v>
      </c>
    </row>
    <row r="2852" spans="1:16" x14ac:dyDescent="0.2">
      <c r="A2852" t="s">
        <v>4755</v>
      </c>
      <c r="B2852" s="1">
        <v>45276</v>
      </c>
      <c r="C2852" s="1">
        <v>45347</v>
      </c>
      <c r="D2852" t="s">
        <v>4756</v>
      </c>
      <c r="E2852" t="s">
        <v>33</v>
      </c>
      <c r="F2852" t="s">
        <v>19</v>
      </c>
      <c r="G2852" t="s">
        <v>20</v>
      </c>
      <c r="H2852" t="s">
        <v>51</v>
      </c>
      <c r="I2852" t="s">
        <v>57</v>
      </c>
      <c r="J2852">
        <v>1</v>
      </c>
      <c r="K2852">
        <v>3392000</v>
      </c>
      <c r="L2852" s="2" t="s">
        <v>4757</v>
      </c>
      <c r="M2852" t="s">
        <v>23</v>
      </c>
      <c r="N2852">
        <v>2867000</v>
      </c>
      <c r="O2852">
        <v>3.6</v>
      </c>
      <c r="P2852" t="b">
        <v>0</v>
      </c>
    </row>
    <row r="2853" spans="1:16" x14ac:dyDescent="0.2">
      <c r="A2853" t="s">
        <v>4758</v>
      </c>
      <c r="B2853" s="1">
        <v>45276</v>
      </c>
      <c r="C2853" s="1">
        <v>45338</v>
      </c>
      <c r="D2853" t="s">
        <v>3859</v>
      </c>
      <c r="E2853" t="s">
        <v>45</v>
      </c>
      <c r="F2853" t="s">
        <v>45</v>
      </c>
      <c r="G2853" t="s">
        <v>20</v>
      </c>
      <c r="H2853" t="s">
        <v>21</v>
      </c>
      <c r="I2853" t="s">
        <v>94</v>
      </c>
      <c r="J2853">
        <v>2</v>
      </c>
      <c r="K2853">
        <v>3045000</v>
      </c>
      <c r="L2853" s="2" t="s">
        <v>4759</v>
      </c>
      <c r="M2853" t="s">
        <v>23</v>
      </c>
      <c r="N2853">
        <v>5439000</v>
      </c>
      <c r="O2853">
        <v>4.3</v>
      </c>
      <c r="P2853" t="b">
        <v>1</v>
      </c>
    </row>
    <row r="2854" spans="1:16" x14ac:dyDescent="0.2">
      <c r="A2854" t="s">
        <v>4760</v>
      </c>
      <c r="B2854" s="1">
        <v>45276</v>
      </c>
      <c r="C2854" s="1">
        <v>45330</v>
      </c>
      <c r="D2854" t="s">
        <v>3994</v>
      </c>
      <c r="E2854" t="s">
        <v>45</v>
      </c>
      <c r="F2854" t="s">
        <v>19</v>
      </c>
      <c r="I2854" t="s">
        <v>83</v>
      </c>
      <c r="J2854">
        <v>1</v>
      </c>
      <c r="K2854">
        <v>2983000</v>
      </c>
      <c r="L2854" s="2" t="s">
        <v>4761</v>
      </c>
      <c r="M2854" t="s">
        <v>23</v>
      </c>
      <c r="N2854">
        <v>2582000</v>
      </c>
      <c r="O2854">
        <v>3.6</v>
      </c>
      <c r="P2854" t="b">
        <v>1</v>
      </c>
    </row>
    <row r="2855" spans="1:16" x14ac:dyDescent="0.2">
      <c r="A2855" t="s">
        <v>4762</v>
      </c>
      <c r="B2855" s="1">
        <v>45277</v>
      </c>
      <c r="C2855" s="1">
        <v>45353</v>
      </c>
      <c r="D2855" t="s">
        <v>1161</v>
      </c>
      <c r="F2855" t="s">
        <v>19</v>
      </c>
      <c r="G2855" t="s">
        <v>20</v>
      </c>
      <c r="H2855" t="s">
        <v>21</v>
      </c>
      <c r="I2855" t="s">
        <v>22</v>
      </c>
      <c r="J2855">
        <v>3</v>
      </c>
      <c r="K2855">
        <v>2166000</v>
      </c>
      <c r="L2855" s="2" t="s">
        <v>4763</v>
      </c>
      <c r="M2855" t="s">
        <v>23</v>
      </c>
      <c r="N2855">
        <v>5709000</v>
      </c>
      <c r="O2855">
        <v>4.5</v>
      </c>
      <c r="P2855" t="b">
        <v>1</v>
      </c>
    </row>
    <row r="2856" spans="1:16" x14ac:dyDescent="0.2">
      <c r="A2856" t="s">
        <v>4764</v>
      </c>
      <c r="B2856" s="1">
        <v>45277</v>
      </c>
      <c r="C2856" s="1">
        <v>45333</v>
      </c>
      <c r="D2856" t="s">
        <v>243</v>
      </c>
      <c r="E2856" t="s">
        <v>33</v>
      </c>
      <c r="F2856" t="s">
        <v>25</v>
      </c>
      <c r="G2856" t="s">
        <v>20</v>
      </c>
      <c r="H2856" t="s">
        <v>47</v>
      </c>
      <c r="I2856" t="s">
        <v>77</v>
      </c>
      <c r="J2856">
        <v>1</v>
      </c>
      <c r="K2856">
        <v>6469000</v>
      </c>
      <c r="L2856">
        <v>9.2631166546595201E-2</v>
      </c>
      <c r="M2856" t="s">
        <v>23</v>
      </c>
      <c r="N2856">
        <v>5870000</v>
      </c>
      <c r="O2856">
        <v>4.5</v>
      </c>
      <c r="P2856" t="b">
        <v>1</v>
      </c>
    </row>
    <row r="2857" spans="1:16" x14ac:dyDescent="0.2">
      <c r="A2857" t="s">
        <v>4765</v>
      </c>
      <c r="B2857" s="1">
        <v>45277</v>
      </c>
      <c r="C2857" s="1">
        <v>45327</v>
      </c>
      <c r="D2857" t="s">
        <v>4244</v>
      </c>
      <c r="E2857" t="s">
        <v>29</v>
      </c>
      <c r="F2857" t="s">
        <v>19</v>
      </c>
      <c r="G2857" t="s">
        <v>20</v>
      </c>
      <c r="H2857" t="s">
        <v>21</v>
      </c>
      <c r="I2857" t="s">
        <v>94</v>
      </c>
      <c r="J2857">
        <v>1</v>
      </c>
      <c r="K2857">
        <v>2821000</v>
      </c>
      <c r="L2857" s="2" t="s">
        <v>4766</v>
      </c>
      <c r="M2857" t="s">
        <v>23</v>
      </c>
      <c r="N2857">
        <v>2465000</v>
      </c>
      <c r="O2857">
        <v>4.3</v>
      </c>
      <c r="P2857" t="b">
        <v>1</v>
      </c>
    </row>
    <row r="2858" spans="1:16" x14ac:dyDescent="0.2">
      <c r="A2858" t="s">
        <v>4767</v>
      </c>
      <c r="B2858" s="1">
        <v>45278</v>
      </c>
      <c r="C2858" s="1">
        <v>45319</v>
      </c>
      <c r="D2858" t="s">
        <v>1237</v>
      </c>
      <c r="E2858" t="s">
        <v>45</v>
      </c>
      <c r="F2858" t="s">
        <v>68</v>
      </c>
      <c r="G2858" t="s">
        <v>20</v>
      </c>
      <c r="H2858" t="s">
        <v>21</v>
      </c>
      <c r="I2858" t="s">
        <v>26</v>
      </c>
      <c r="J2858">
        <v>2</v>
      </c>
      <c r="K2858">
        <v>2668000</v>
      </c>
      <c r="L2858">
        <v>8.4980037292791105E-2</v>
      </c>
      <c r="M2858" t="s">
        <v>23</v>
      </c>
      <c r="N2858">
        <v>4883000</v>
      </c>
      <c r="O2858">
        <v>4.2</v>
      </c>
      <c r="P2858" t="b">
        <v>1</v>
      </c>
    </row>
    <row r="2859" spans="1:16" x14ac:dyDescent="0.2">
      <c r="A2859" t="s">
        <v>4768</v>
      </c>
      <c r="B2859" s="1">
        <v>45279</v>
      </c>
      <c r="C2859" s="1">
        <v>45384</v>
      </c>
      <c r="D2859" t="s">
        <v>4685</v>
      </c>
      <c r="E2859" t="s">
        <v>45</v>
      </c>
      <c r="F2859" t="s">
        <v>34</v>
      </c>
      <c r="G2859" t="s">
        <v>35</v>
      </c>
      <c r="H2859" t="s">
        <v>47</v>
      </c>
      <c r="I2859" t="s">
        <v>26</v>
      </c>
      <c r="J2859">
        <v>1</v>
      </c>
      <c r="K2859">
        <v>4290000</v>
      </c>
      <c r="L2859" s="2" t="s">
        <v>4769</v>
      </c>
      <c r="M2859" t="s">
        <v>65</v>
      </c>
      <c r="N2859">
        <v>0</v>
      </c>
      <c r="P2859" t="b">
        <v>1</v>
      </c>
    </row>
    <row r="2860" spans="1:16" x14ac:dyDescent="0.2">
      <c r="A2860" t="s">
        <v>4770</v>
      </c>
      <c r="B2860" s="1">
        <v>45280</v>
      </c>
      <c r="C2860" s="1">
        <v>45343</v>
      </c>
      <c r="D2860" t="s">
        <v>853</v>
      </c>
      <c r="E2860" t="s">
        <v>18</v>
      </c>
      <c r="F2860" t="s">
        <v>34</v>
      </c>
      <c r="G2860" t="s">
        <v>50</v>
      </c>
      <c r="H2860" t="s">
        <v>47</v>
      </c>
      <c r="I2860" t="s">
        <v>60</v>
      </c>
      <c r="J2860">
        <v>2</v>
      </c>
      <c r="K2860">
        <v>5206000</v>
      </c>
      <c r="L2860">
        <v>7.6334901835467997E-2</v>
      </c>
      <c r="M2860" t="s">
        <v>23</v>
      </c>
      <c r="N2860">
        <v>9617000</v>
      </c>
      <c r="O2860">
        <v>4.9000000000000004</v>
      </c>
      <c r="P2860" t="b">
        <v>1</v>
      </c>
    </row>
    <row r="2861" spans="1:16" x14ac:dyDescent="0.2">
      <c r="A2861" t="s">
        <v>4771</v>
      </c>
      <c r="B2861" s="1">
        <v>45281</v>
      </c>
      <c r="C2861" s="1">
        <v>45352</v>
      </c>
      <c r="D2861" t="s">
        <v>269</v>
      </c>
      <c r="E2861" t="s">
        <v>45</v>
      </c>
      <c r="F2861" t="s">
        <v>34</v>
      </c>
      <c r="G2861" t="s">
        <v>35</v>
      </c>
      <c r="H2861" t="s">
        <v>40</v>
      </c>
      <c r="I2861" t="s">
        <v>52</v>
      </c>
      <c r="J2861">
        <v>1</v>
      </c>
      <c r="K2861">
        <v>2998000</v>
      </c>
      <c r="L2861" s="2" t="s">
        <v>4772</v>
      </c>
      <c r="M2861" t="s">
        <v>23</v>
      </c>
      <c r="N2861">
        <v>2692000</v>
      </c>
      <c r="O2861">
        <v>4.7</v>
      </c>
      <c r="P2861" t="b">
        <v>1</v>
      </c>
    </row>
    <row r="2862" spans="1:16" x14ac:dyDescent="0.2">
      <c r="A2862" t="s">
        <v>4773</v>
      </c>
      <c r="B2862" s="1">
        <v>45281</v>
      </c>
      <c r="C2862" s="1">
        <v>45332</v>
      </c>
      <c r="D2862" t="s">
        <v>4355</v>
      </c>
      <c r="E2862" t="s">
        <v>45</v>
      </c>
      <c r="F2862" t="s">
        <v>25</v>
      </c>
      <c r="G2862" t="s">
        <v>50</v>
      </c>
      <c r="H2862" t="s">
        <v>47</v>
      </c>
      <c r="I2862" t="s">
        <v>77</v>
      </c>
      <c r="J2862">
        <v>1</v>
      </c>
      <c r="K2862">
        <v>5778000</v>
      </c>
      <c r="L2862">
        <v>5.8408682040266398E-2</v>
      </c>
      <c r="M2862" t="s">
        <v>23</v>
      </c>
      <c r="N2862">
        <v>5441000</v>
      </c>
      <c r="O2862">
        <v>4.0999999999999996</v>
      </c>
      <c r="P2862" t="b">
        <v>1</v>
      </c>
    </row>
    <row r="2863" spans="1:16" x14ac:dyDescent="0.2">
      <c r="A2863" t="s">
        <v>4774</v>
      </c>
      <c r="B2863" s="1">
        <v>45282</v>
      </c>
      <c r="C2863" s="1">
        <v>45295</v>
      </c>
      <c r="D2863" t="s">
        <v>4469</v>
      </c>
      <c r="E2863" t="s">
        <v>18</v>
      </c>
      <c r="F2863" t="s">
        <v>34</v>
      </c>
      <c r="G2863" t="s">
        <v>20</v>
      </c>
      <c r="H2863" t="s">
        <v>40</v>
      </c>
      <c r="I2863" t="s">
        <v>26</v>
      </c>
      <c r="J2863">
        <v>1</v>
      </c>
      <c r="K2863">
        <v>4066000</v>
      </c>
      <c r="L2863">
        <v>1.7379995208049899E-2</v>
      </c>
      <c r="M2863" t="s">
        <v>23</v>
      </c>
      <c r="N2863">
        <v>3995000</v>
      </c>
      <c r="O2863">
        <v>4.5</v>
      </c>
      <c r="P2863" t="b">
        <v>1</v>
      </c>
    </row>
    <row r="2864" spans="1:16" x14ac:dyDescent="0.2">
      <c r="A2864" t="s">
        <v>4775</v>
      </c>
      <c r="B2864" s="1">
        <v>45282</v>
      </c>
      <c r="C2864" s="1">
        <v>45296</v>
      </c>
      <c r="D2864" t="s">
        <v>4776</v>
      </c>
      <c r="E2864" t="s">
        <v>18</v>
      </c>
      <c r="F2864" t="s">
        <v>19</v>
      </c>
      <c r="G2864" t="s">
        <v>20</v>
      </c>
      <c r="H2864" t="s">
        <v>40</v>
      </c>
      <c r="I2864" t="s">
        <v>77</v>
      </c>
      <c r="J2864">
        <v>1</v>
      </c>
      <c r="K2864">
        <v>2628000</v>
      </c>
      <c r="L2864">
        <v>5.5547490285983797E-2</v>
      </c>
      <c r="M2864" t="s">
        <v>23</v>
      </c>
      <c r="N2864">
        <v>2482000</v>
      </c>
      <c r="O2864">
        <v>3.9</v>
      </c>
      <c r="P2864" t="b">
        <v>0</v>
      </c>
    </row>
    <row r="2865" spans="1:16" x14ac:dyDescent="0.2">
      <c r="A2865" t="s">
        <v>4777</v>
      </c>
      <c r="B2865" s="1">
        <v>45282</v>
      </c>
      <c r="C2865" s="1">
        <v>45319</v>
      </c>
      <c r="D2865" t="s">
        <v>4778</v>
      </c>
      <c r="E2865" t="s">
        <v>33</v>
      </c>
      <c r="F2865" t="s">
        <v>25</v>
      </c>
      <c r="G2865" t="s">
        <v>35</v>
      </c>
      <c r="H2865" t="s">
        <v>47</v>
      </c>
      <c r="I2865" t="s">
        <v>26</v>
      </c>
      <c r="J2865">
        <v>1</v>
      </c>
      <c r="K2865">
        <v>5268000</v>
      </c>
      <c r="L2865">
        <v>0</v>
      </c>
      <c r="M2865" t="s">
        <v>23</v>
      </c>
      <c r="N2865">
        <v>5268000</v>
      </c>
      <c r="O2865">
        <v>4.0999999999999996</v>
      </c>
      <c r="P2865" t="b">
        <v>0</v>
      </c>
    </row>
    <row r="2866" spans="1:16" x14ac:dyDescent="0.2">
      <c r="A2866" t="s">
        <v>4779</v>
      </c>
      <c r="B2866" s="1">
        <v>45282</v>
      </c>
      <c r="C2866" s="1">
        <v>45316</v>
      </c>
      <c r="D2866" t="s">
        <v>4598</v>
      </c>
      <c r="E2866" t="s">
        <v>18</v>
      </c>
      <c r="F2866" t="s">
        <v>25</v>
      </c>
      <c r="G2866" t="s">
        <v>20</v>
      </c>
      <c r="H2866" t="s">
        <v>21</v>
      </c>
      <c r="I2866" t="s">
        <v>52</v>
      </c>
      <c r="J2866">
        <v>3</v>
      </c>
      <c r="K2866">
        <v>4364000</v>
      </c>
      <c r="L2866" s="2" t="s">
        <v>4780</v>
      </c>
      <c r="M2866" t="s">
        <v>23</v>
      </c>
      <c r="N2866">
        <v>11453000</v>
      </c>
      <c r="O2866">
        <v>3.3</v>
      </c>
      <c r="P2866" t="b">
        <v>1</v>
      </c>
    </row>
    <row r="2867" spans="1:16" x14ac:dyDescent="0.2">
      <c r="A2867" t="s">
        <v>4781</v>
      </c>
      <c r="B2867" s="1">
        <v>45283</v>
      </c>
      <c r="C2867" s="1">
        <v>45340</v>
      </c>
      <c r="D2867" t="s">
        <v>4782</v>
      </c>
      <c r="E2867" t="s">
        <v>45</v>
      </c>
      <c r="F2867" t="s">
        <v>25</v>
      </c>
      <c r="G2867" t="s">
        <v>20</v>
      </c>
      <c r="H2867" t="s">
        <v>51</v>
      </c>
      <c r="I2867" t="s">
        <v>26</v>
      </c>
      <c r="J2867">
        <v>1</v>
      </c>
      <c r="K2867">
        <v>5529000</v>
      </c>
      <c r="L2867">
        <v>6.7646559132950701E-2</v>
      </c>
      <c r="M2867" t="s">
        <v>23</v>
      </c>
      <c r="N2867">
        <v>5155000</v>
      </c>
      <c r="O2867">
        <v>3.2</v>
      </c>
      <c r="P2867" t="b">
        <v>0</v>
      </c>
    </row>
    <row r="2868" spans="1:16" x14ac:dyDescent="0.2">
      <c r="A2868" t="s">
        <v>4783</v>
      </c>
      <c r="B2868" s="1">
        <v>45283</v>
      </c>
      <c r="C2868" s="1">
        <v>45336</v>
      </c>
      <c r="D2868" t="s">
        <v>4784</v>
      </c>
      <c r="E2868" t="s">
        <v>33</v>
      </c>
      <c r="F2868" t="s">
        <v>39</v>
      </c>
      <c r="G2868" t="s">
        <v>20</v>
      </c>
      <c r="H2868" t="s">
        <v>21</v>
      </c>
      <c r="I2868" t="s">
        <v>22</v>
      </c>
      <c r="J2868">
        <v>2</v>
      </c>
      <c r="K2868">
        <v>2096000</v>
      </c>
      <c r="L2868" s="2" t="s">
        <v>4785</v>
      </c>
      <c r="M2868" t="s">
        <v>23</v>
      </c>
      <c r="N2868">
        <v>3648000</v>
      </c>
      <c r="O2868">
        <v>3.6</v>
      </c>
      <c r="P2868" t="b">
        <v>0</v>
      </c>
    </row>
    <row r="2869" spans="1:16" x14ac:dyDescent="0.2">
      <c r="A2869" t="s">
        <v>4786</v>
      </c>
      <c r="B2869" s="1">
        <v>45283</v>
      </c>
      <c r="C2869" s="1">
        <v>45310</v>
      </c>
      <c r="D2869" t="s">
        <v>1722</v>
      </c>
      <c r="E2869" t="s">
        <v>45</v>
      </c>
      <c r="F2869" t="s">
        <v>45</v>
      </c>
      <c r="G2869" t="s">
        <v>20</v>
      </c>
      <c r="H2869" t="s">
        <v>21</v>
      </c>
      <c r="J2869">
        <v>1</v>
      </c>
      <c r="K2869">
        <v>3265000</v>
      </c>
      <c r="L2869" s="2" t="s">
        <v>4787</v>
      </c>
      <c r="M2869" t="s">
        <v>23</v>
      </c>
      <c r="N2869">
        <v>2645000</v>
      </c>
      <c r="O2869">
        <v>3.6</v>
      </c>
      <c r="P2869" t="b">
        <v>1</v>
      </c>
    </row>
    <row r="2870" spans="1:16" x14ac:dyDescent="0.2">
      <c r="A2870" t="s">
        <v>4788</v>
      </c>
      <c r="B2870" s="1">
        <v>45284</v>
      </c>
      <c r="C2870" s="1">
        <v>45353</v>
      </c>
      <c r="D2870" t="s">
        <v>1719</v>
      </c>
      <c r="E2870" t="s">
        <v>33</v>
      </c>
      <c r="F2870" t="s">
        <v>34</v>
      </c>
      <c r="G2870" t="s">
        <v>20</v>
      </c>
      <c r="H2870" t="s">
        <v>51</v>
      </c>
      <c r="I2870" t="s">
        <v>99</v>
      </c>
      <c r="J2870">
        <v>1</v>
      </c>
      <c r="K2870">
        <v>3887000</v>
      </c>
      <c r="L2870" s="2" t="s">
        <v>4789</v>
      </c>
      <c r="M2870" t="s">
        <v>23</v>
      </c>
      <c r="N2870">
        <v>3498000</v>
      </c>
      <c r="O2870">
        <v>4.5</v>
      </c>
      <c r="P2870" t="b">
        <v>1</v>
      </c>
    </row>
    <row r="2871" spans="1:16" x14ac:dyDescent="0.2">
      <c r="A2871" t="s">
        <v>4790</v>
      </c>
      <c r="B2871" s="1">
        <v>45284</v>
      </c>
      <c r="C2871" s="1">
        <v>45349</v>
      </c>
      <c r="D2871" t="s">
        <v>4791</v>
      </c>
      <c r="E2871" t="s">
        <v>18</v>
      </c>
      <c r="F2871" t="s">
        <v>34</v>
      </c>
      <c r="G2871" t="s">
        <v>20</v>
      </c>
      <c r="H2871" t="s">
        <v>21</v>
      </c>
      <c r="I2871" t="s">
        <v>52</v>
      </c>
      <c r="J2871">
        <v>3</v>
      </c>
      <c r="K2871">
        <v>3769000</v>
      </c>
      <c r="L2871">
        <v>6.6729005016758394E-2</v>
      </c>
      <c r="M2871" t="s">
        <v>23</v>
      </c>
      <c r="N2871">
        <v>10552000</v>
      </c>
      <c r="O2871">
        <v>3.6</v>
      </c>
      <c r="P2871" t="b">
        <v>0</v>
      </c>
    </row>
    <row r="2872" spans="1:16" x14ac:dyDescent="0.2">
      <c r="A2872" t="s">
        <v>4792</v>
      </c>
      <c r="B2872" s="1">
        <v>45285</v>
      </c>
      <c r="C2872" s="1">
        <v>45340</v>
      </c>
      <c r="D2872" t="s">
        <v>3360</v>
      </c>
      <c r="E2872" t="s">
        <v>33</v>
      </c>
      <c r="F2872" t="s">
        <v>34</v>
      </c>
      <c r="G2872" t="s">
        <v>20</v>
      </c>
      <c r="H2872" t="s">
        <v>40</v>
      </c>
      <c r="I2872" t="s">
        <v>99</v>
      </c>
      <c r="J2872">
        <v>1</v>
      </c>
      <c r="K2872">
        <v>4263000</v>
      </c>
      <c r="L2872">
        <v>9.4915445093986001E-2</v>
      </c>
      <c r="M2872" t="s">
        <v>23</v>
      </c>
      <c r="N2872">
        <v>3858000</v>
      </c>
      <c r="O2872">
        <v>4.2</v>
      </c>
      <c r="P2872" t="b">
        <v>1</v>
      </c>
    </row>
    <row r="2873" spans="1:16" x14ac:dyDescent="0.2">
      <c r="A2873" t="s">
        <v>4793</v>
      </c>
      <c r="B2873" s="1">
        <v>45285</v>
      </c>
      <c r="C2873" s="1">
        <v>45302</v>
      </c>
      <c r="D2873" t="s">
        <v>1885</v>
      </c>
      <c r="E2873" t="s">
        <v>45</v>
      </c>
      <c r="F2873" t="s">
        <v>68</v>
      </c>
      <c r="G2873" t="s">
        <v>50</v>
      </c>
      <c r="H2873" t="s">
        <v>21</v>
      </c>
      <c r="I2873" t="s">
        <v>57</v>
      </c>
      <c r="J2873">
        <v>3</v>
      </c>
      <c r="K2873">
        <v>2726000</v>
      </c>
      <c r="L2873">
        <v>6.4974109912814201E-2</v>
      </c>
      <c r="M2873" t="s">
        <v>23</v>
      </c>
      <c r="N2873">
        <v>7647000</v>
      </c>
      <c r="O2873">
        <v>4.2</v>
      </c>
      <c r="P2873" t="b">
        <v>1</v>
      </c>
    </row>
    <row r="2874" spans="1:16" x14ac:dyDescent="0.2">
      <c r="A2874" t="s">
        <v>4794</v>
      </c>
      <c r="B2874" s="1">
        <v>45285</v>
      </c>
      <c r="C2874" s="1">
        <v>45371</v>
      </c>
      <c r="D2874" t="s">
        <v>421</v>
      </c>
      <c r="E2874" t="s">
        <v>18</v>
      </c>
      <c r="F2874" t="s">
        <v>39</v>
      </c>
      <c r="G2874" t="s">
        <v>20</v>
      </c>
      <c r="H2874" t="s">
        <v>51</v>
      </c>
      <c r="I2874" t="s">
        <v>26</v>
      </c>
      <c r="J2874">
        <v>4</v>
      </c>
      <c r="K2874">
        <v>2023000</v>
      </c>
      <c r="L2874" s="2" t="s">
        <v>4795</v>
      </c>
      <c r="M2874" t="s">
        <v>23</v>
      </c>
      <c r="N2874">
        <v>7019000</v>
      </c>
      <c r="O2874">
        <v>3.9</v>
      </c>
      <c r="P2874" t="b">
        <v>1</v>
      </c>
    </row>
    <row r="2875" spans="1:16" x14ac:dyDescent="0.2">
      <c r="A2875" t="s">
        <v>4796</v>
      </c>
      <c r="B2875" s="1">
        <v>45285</v>
      </c>
      <c r="C2875" s="1">
        <v>45322</v>
      </c>
      <c r="D2875" t="s">
        <v>4797</v>
      </c>
      <c r="E2875" t="s">
        <v>33</v>
      </c>
      <c r="F2875" t="s">
        <v>39</v>
      </c>
      <c r="G2875" t="s">
        <v>20</v>
      </c>
      <c r="H2875" t="s">
        <v>21</v>
      </c>
      <c r="I2875" t="s">
        <v>99</v>
      </c>
      <c r="J2875">
        <v>1</v>
      </c>
      <c r="K2875">
        <v>2012000</v>
      </c>
      <c r="L2875">
        <v>8.0781448457296998E-2</v>
      </c>
      <c r="M2875" t="s">
        <v>23</v>
      </c>
      <c r="N2875">
        <v>1849000</v>
      </c>
      <c r="O2875">
        <v>3.5</v>
      </c>
      <c r="P2875" t="b">
        <v>0</v>
      </c>
    </row>
    <row r="2876" spans="1:16" x14ac:dyDescent="0.2">
      <c r="A2876" t="s">
        <v>4798</v>
      </c>
      <c r="B2876" s="1">
        <v>45285</v>
      </c>
      <c r="C2876" s="1">
        <v>45311</v>
      </c>
      <c r="D2876" t="s">
        <v>4799</v>
      </c>
      <c r="E2876" t="s">
        <v>18</v>
      </c>
      <c r="F2876" t="s">
        <v>45</v>
      </c>
      <c r="G2876" t="s">
        <v>50</v>
      </c>
      <c r="H2876" t="s">
        <v>47</v>
      </c>
      <c r="I2876" t="s">
        <v>26</v>
      </c>
      <c r="J2876">
        <v>1</v>
      </c>
      <c r="K2876">
        <v>3426000</v>
      </c>
      <c r="L2876" s="2" t="s">
        <v>4800</v>
      </c>
      <c r="M2876" t="s">
        <v>23</v>
      </c>
      <c r="N2876">
        <v>2991000</v>
      </c>
      <c r="O2876">
        <v>4</v>
      </c>
      <c r="P2876" t="b">
        <v>0</v>
      </c>
    </row>
    <row r="2877" spans="1:16" x14ac:dyDescent="0.2">
      <c r="A2877" t="s">
        <v>4801</v>
      </c>
      <c r="B2877" s="1">
        <v>45285</v>
      </c>
      <c r="C2877" s="1">
        <v>45295</v>
      </c>
      <c r="D2877" t="s">
        <v>1933</v>
      </c>
      <c r="F2877" t="s">
        <v>45</v>
      </c>
      <c r="G2877" t="s">
        <v>50</v>
      </c>
      <c r="H2877" t="s">
        <v>21</v>
      </c>
      <c r="I2877" t="s">
        <v>52</v>
      </c>
      <c r="J2877">
        <v>1</v>
      </c>
      <c r="K2877">
        <v>2972000</v>
      </c>
      <c r="L2877" s="2" t="s">
        <v>4802</v>
      </c>
      <c r="M2877" t="s">
        <v>23</v>
      </c>
      <c r="N2877">
        <v>2605000</v>
      </c>
      <c r="O2877">
        <v>3.5</v>
      </c>
      <c r="P2877" t="b">
        <v>1</v>
      </c>
    </row>
    <row r="2878" spans="1:16" x14ac:dyDescent="0.2">
      <c r="A2878" t="s">
        <v>4803</v>
      </c>
      <c r="B2878" s="1">
        <v>45286</v>
      </c>
      <c r="C2878" s="1">
        <v>45324</v>
      </c>
      <c r="D2878" t="s">
        <v>4782</v>
      </c>
      <c r="E2878" t="s">
        <v>45</v>
      </c>
      <c r="F2878" t="s">
        <v>68</v>
      </c>
      <c r="G2878" t="s">
        <v>20</v>
      </c>
      <c r="H2878" t="s">
        <v>21</v>
      </c>
      <c r="I2878" t="s">
        <v>94</v>
      </c>
      <c r="J2878">
        <v>2</v>
      </c>
      <c r="K2878">
        <v>2236000</v>
      </c>
      <c r="L2878">
        <v>9.7742457436446301E-2</v>
      </c>
      <c r="M2878" t="s">
        <v>23</v>
      </c>
      <c r="N2878">
        <v>4035000</v>
      </c>
      <c r="O2878">
        <v>3.8</v>
      </c>
      <c r="P2878" t="b">
        <v>1</v>
      </c>
    </row>
    <row r="2879" spans="1:16" x14ac:dyDescent="0.2">
      <c r="A2879" t="s">
        <v>4804</v>
      </c>
      <c r="B2879" s="1">
        <v>45286</v>
      </c>
      <c r="C2879" s="1">
        <v>45405</v>
      </c>
      <c r="D2879" t="s">
        <v>1786</v>
      </c>
      <c r="F2879" t="s">
        <v>19</v>
      </c>
      <c r="G2879" t="s">
        <v>20</v>
      </c>
      <c r="H2879" t="s">
        <v>21</v>
      </c>
      <c r="I2879" t="s">
        <v>57</v>
      </c>
      <c r="J2879">
        <v>1</v>
      </c>
      <c r="K2879">
        <v>3355000</v>
      </c>
      <c r="L2879" s="2" t="s">
        <v>4805</v>
      </c>
      <c r="M2879" t="s">
        <v>23</v>
      </c>
      <c r="N2879">
        <v>3009000</v>
      </c>
      <c r="O2879">
        <v>3.6</v>
      </c>
      <c r="P2879" t="b">
        <v>1</v>
      </c>
    </row>
    <row r="2880" spans="1:16" x14ac:dyDescent="0.2">
      <c r="A2880" t="s">
        <v>4806</v>
      </c>
      <c r="B2880" s="1">
        <v>45286</v>
      </c>
      <c r="C2880" s="1">
        <v>45302</v>
      </c>
      <c r="D2880" t="s">
        <v>4807</v>
      </c>
      <c r="E2880" t="s">
        <v>29</v>
      </c>
      <c r="F2880" t="s">
        <v>34</v>
      </c>
      <c r="G2880" t="s">
        <v>50</v>
      </c>
      <c r="H2880" t="s">
        <v>21</v>
      </c>
      <c r="I2880" t="s">
        <v>26</v>
      </c>
      <c r="J2880">
        <v>1</v>
      </c>
      <c r="K2880">
        <v>4223000</v>
      </c>
      <c r="L2880" s="2" t="s">
        <v>4808</v>
      </c>
      <c r="M2880" t="s">
        <v>23</v>
      </c>
      <c r="N2880">
        <v>3589000</v>
      </c>
      <c r="O2880">
        <v>3.2</v>
      </c>
      <c r="P2880" t="b">
        <v>0</v>
      </c>
    </row>
    <row r="2881" spans="1:16" x14ac:dyDescent="0.2">
      <c r="A2881" t="s">
        <v>4809</v>
      </c>
      <c r="B2881" s="1">
        <v>45286</v>
      </c>
      <c r="C2881" s="1">
        <v>45307</v>
      </c>
      <c r="D2881" t="s">
        <v>3026</v>
      </c>
      <c r="E2881" t="s">
        <v>45</v>
      </c>
      <c r="F2881" t="s">
        <v>25</v>
      </c>
      <c r="G2881" t="s">
        <v>20</v>
      </c>
      <c r="H2881" t="s">
        <v>21</v>
      </c>
      <c r="I2881" t="s">
        <v>52</v>
      </c>
      <c r="J2881">
        <v>1</v>
      </c>
      <c r="K2881">
        <v>4291000</v>
      </c>
      <c r="L2881">
        <v>0</v>
      </c>
      <c r="M2881" t="s">
        <v>23</v>
      </c>
      <c r="N2881">
        <v>4291000</v>
      </c>
      <c r="O2881">
        <v>4.4000000000000004</v>
      </c>
      <c r="P2881" t="b">
        <v>1</v>
      </c>
    </row>
    <row r="2882" spans="1:16" x14ac:dyDescent="0.2">
      <c r="A2882" t="s">
        <v>4810</v>
      </c>
      <c r="B2882" s="1">
        <v>45287</v>
      </c>
      <c r="C2882" s="1">
        <v>45311</v>
      </c>
      <c r="D2882" t="s">
        <v>1441</v>
      </c>
      <c r="E2882" t="s">
        <v>29</v>
      </c>
      <c r="F2882" t="s">
        <v>45</v>
      </c>
      <c r="G2882" t="s">
        <v>20</v>
      </c>
      <c r="H2882" t="s">
        <v>21</v>
      </c>
      <c r="I2882" t="s">
        <v>83</v>
      </c>
      <c r="J2882">
        <v>1</v>
      </c>
      <c r="K2882">
        <v>2682000</v>
      </c>
      <c r="L2882" s="2" t="s">
        <v>4811</v>
      </c>
      <c r="M2882" t="s">
        <v>23</v>
      </c>
      <c r="N2882">
        <v>2360000</v>
      </c>
      <c r="O2882">
        <v>4.2</v>
      </c>
      <c r="P2882" t="b">
        <v>1</v>
      </c>
    </row>
    <row r="2883" spans="1:16" x14ac:dyDescent="0.2">
      <c r="A2883" t="s">
        <v>4812</v>
      </c>
      <c r="B2883" s="1">
        <v>45287</v>
      </c>
      <c r="C2883" s="1">
        <v>45369</v>
      </c>
      <c r="D2883" t="s">
        <v>1910</v>
      </c>
      <c r="E2883" t="s">
        <v>45</v>
      </c>
      <c r="F2883" t="s">
        <v>19</v>
      </c>
      <c r="G2883" t="s">
        <v>20</v>
      </c>
      <c r="H2883" t="s">
        <v>21</v>
      </c>
      <c r="I2883" t="s">
        <v>22</v>
      </c>
      <c r="J2883">
        <v>2</v>
      </c>
      <c r="K2883">
        <v>2140000</v>
      </c>
      <c r="L2883">
        <v>5.9786555194102198E-2</v>
      </c>
      <c r="M2883" t="s">
        <v>23</v>
      </c>
      <c r="N2883">
        <v>4024000</v>
      </c>
      <c r="O2883">
        <v>4</v>
      </c>
      <c r="P2883" t="b">
        <v>1</v>
      </c>
    </row>
    <row r="2884" spans="1:16" x14ac:dyDescent="0.2">
      <c r="A2884" t="s">
        <v>4813</v>
      </c>
      <c r="B2884" s="1">
        <v>45287</v>
      </c>
      <c r="C2884" s="1">
        <v>45359</v>
      </c>
      <c r="D2884" t="s">
        <v>4814</v>
      </c>
      <c r="E2884" t="s">
        <v>18</v>
      </c>
      <c r="F2884" t="s">
        <v>19</v>
      </c>
      <c r="G2884" t="s">
        <v>20</v>
      </c>
      <c r="H2884" t="s">
        <v>47</v>
      </c>
      <c r="I2884" t="s">
        <v>26</v>
      </c>
      <c r="J2884">
        <v>2</v>
      </c>
      <c r="K2884">
        <v>2447000</v>
      </c>
      <c r="L2884" s="2" t="s">
        <v>4815</v>
      </c>
      <c r="M2884" t="s">
        <v>65</v>
      </c>
      <c r="N2884">
        <v>0</v>
      </c>
      <c r="P2884" t="b">
        <v>0</v>
      </c>
    </row>
    <row r="2885" spans="1:16" x14ac:dyDescent="0.2">
      <c r="A2885" t="s">
        <v>4816</v>
      </c>
      <c r="B2885" s="1">
        <v>45287</v>
      </c>
      <c r="C2885" s="1">
        <v>45334</v>
      </c>
      <c r="D2885" t="s">
        <v>4139</v>
      </c>
      <c r="E2885" t="s">
        <v>45</v>
      </c>
      <c r="F2885" t="s">
        <v>19</v>
      </c>
      <c r="G2885" t="s">
        <v>20</v>
      </c>
      <c r="H2885" t="s">
        <v>47</v>
      </c>
      <c r="I2885" t="s">
        <v>99</v>
      </c>
      <c r="J2885">
        <v>1</v>
      </c>
      <c r="K2885">
        <v>2697000</v>
      </c>
      <c r="L2885" s="2" t="s">
        <v>4817</v>
      </c>
      <c r="M2885" t="s">
        <v>23</v>
      </c>
      <c r="N2885">
        <v>2392000</v>
      </c>
      <c r="O2885">
        <v>4.5</v>
      </c>
      <c r="P2885" t="b">
        <v>1</v>
      </c>
    </row>
    <row r="2886" spans="1:16" x14ac:dyDescent="0.2">
      <c r="A2886" t="s">
        <v>4818</v>
      </c>
      <c r="B2886" s="1">
        <v>45289</v>
      </c>
      <c r="C2886" s="1">
        <v>45374</v>
      </c>
      <c r="D2886" t="s">
        <v>273</v>
      </c>
      <c r="E2886" t="s">
        <v>33</v>
      </c>
      <c r="F2886" t="s">
        <v>45</v>
      </c>
      <c r="G2886" t="s">
        <v>20</v>
      </c>
      <c r="H2886" t="s">
        <v>21</v>
      </c>
      <c r="I2886" t="s">
        <v>57</v>
      </c>
      <c r="J2886">
        <v>4</v>
      </c>
      <c r="K2886">
        <v>3784000</v>
      </c>
      <c r="L2886" s="2" t="s">
        <v>4819</v>
      </c>
      <c r="M2886" t="s">
        <v>23</v>
      </c>
      <c r="N2886">
        <v>13414000</v>
      </c>
      <c r="O2886">
        <v>4.2</v>
      </c>
      <c r="P2886" t="b">
        <v>1</v>
      </c>
    </row>
    <row r="2887" spans="1:16" x14ac:dyDescent="0.2">
      <c r="A2887" t="s">
        <v>4820</v>
      </c>
      <c r="B2887" s="1">
        <v>45289</v>
      </c>
      <c r="C2887" s="1">
        <v>45330</v>
      </c>
      <c r="D2887" t="s">
        <v>1786</v>
      </c>
      <c r="E2887" t="s">
        <v>45</v>
      </c>
      <c r="F2887" t="s">
        <v>19</v>
      </c>
      <c r="G2887" t="s">
        <v>20</v>
      </c>
      <c r="H2887" t="s">
        <v>40</v>
      </c>
      <c r="I2887" t="s">
        <v>99</v>
      </c>
      <c r="J2887">
        <v>1</v>
      </c>
      <c r="K2887">
        <v>2517000</v>
      </c>
      <c r="L2887">
        <v>7.0148678785414198E-2</v>
      </c>
      <c r="M2887" t="s">
        <v>65</v>
      </c>
      <c r="N2887">
        <v>0</v>
      </c>
      <c r="P2887" t="b">
        <v>1</v>
      </c>
    </row>
    <row r="2888" spans="1:16" x14ac:dyDescent="0.2">
      <c r="A2888" t="s">
        <v>4821</v>
      </c>
      <c r="B2888" s="1">
        <v>45289</v>
      </c>
      <c r="C2888" s="1">
        <v>45321</v>
      </c>
      <c r="D2888" t="s">
        <v>1175</v>
      </c>
      <c r="E2888" t="s">
        <v>18</v>
      </c>
      <c r="F2888" t="s">
        <v>19</v>
      </c>
      <c r="G2888" t="s">
        <v>50</v>
      </c>
      <c r="H2888" t="s">
        <v>21</v>
      </c>
      <c r="I2888" t="s">
        <v>57</v>
      </c>
      <c r="J2888">
        <v>1</v>
      </c>
      <c r="K2888">
        <v>3188000</v>
      </c>
      <c r="L2888">
        <v>7.20662169403717E-2</v>
      </c>
      <c r="M2888" t="s">
        <v>23</v>
      </c>
      <c r="N2888">
        <v>2958000</v>
      </c>
      <c r="O2888">
        <v>4.5</v>
      </c>
      <c r="P2888" t="b">
        <v>1</v>
      </c>
    </row>
    <row r="2889" spans="1:16" x14ac:dyDescent="0.2">
      <c r="A2889" t="s">
        <v>4822</v>
      </c>
      <c r="B2889" s="1">
        <v>45290</v>
      </c>
      <c r="C2889" s="1">
        <v>45341</v>
      </c>
      <c r="D2889" t="s">
        <v>1719</v>
      </c>
      <c r="E2889" t="s">
        <v>33</v>
      </c>
      <c r="F2889" t="s">
        <v>68</v>
      </c>
      <c r="G2889" t="s">
        <v>20</v>
      </c>
      <c r="H2889" t="s">
        <v>21</v>
      </c>
      <c r="I2889" t="s">
        <v>30</v>
      </c>
      <c r="J2889">
        <v>4</v>
      </c>
      <c r="K2889">
        <v>2589000</v>
      </c>
      <c r="L2889">
        <v>8.6754404724034895E-2</v>
      </c>
      <c r="M2889" t="s">
        <v>23</v>
      </c>
      <c r="N2889">
        <v>9458000</v>
      </c>
      <c r="O2889">
        <v>3.8</v>
      </c>
      <c r="P2889" t="b">
        <v>1</v>
      </c>
    </row>
    <row r="2890" spans="1:16" x14ac:dyDescent="0.2">
      <c r="A2890" t="s">
        <v>4823</v>
      </c>
      <c r="B2890" s="1">
        <v>45290</v>
      </c>
      <c r="C2890" s="1">
        <v>45347</v>
      </c>
      <c r="D2890" t="s">
        <v>2964</v>
      </c>
      <c r="E2890" t="s">
        <v>45</v>
      </c>
      <c r="F2890" t="s">
        <v>34</v>
      </c>
      <c r="G2890" t="s">
        <v>35</v>
      </c>
      <c r="H2890" t="s">
        <v>40</v>
      </c>
      <c r="I2890" t="s">
        <v>77</v>
      </c>
      <c r="J2890">
        <v>1</v>
      </c>
      <c r="K2890">
        <v>4410000</v>
      </c>
      <c r="L2890">
        <v>6.3798840049799799E-2</v>
      </c>
      <c r="M2890" t="s">
        <v>23</v>
      </c>
      <c r="N2890">
        <v>4129000</v>
      </c>
      <c r="O2890">
        <v>4.9000000000000004</v>
      </c>
      <c r="P2890" t="b">
        <v>1</v>
      </c>
    </row>
    <row r="2891" spans="1:16" x14ac:dyDescent="0.2">
      <c r="A2891" t="s">
        <v>4824</v>
      </c>
      <c r="B2891" s="1">
        <v>45290</v>
      </c>
      <c r="C2891" s="1">
        <v>45309</v>
      </c>
      <c r="D2891" t="s">
        <v>4825</v>
      </c>
      <c r="E2891" t="s">
        <v>18</v>
      </c>
      <c r="F2891" t="s">
        <v>34</v>
      </c>
      <c r="G2891" t="s">
        <v>50</v>
      </c>
      <c r="H2891" t="s">
        <v>21</v>
      </c>
      <c r="I2891" t="s">
        <v>60</v>
      </c>
      <c r="J2891">
        <v>4</v>
      </c>
      <c r="K2891">
        <v>4556000</v>
      </c>
      <c r="L2891">
        <v>5.6900922903666599E-2</v>
      </c>
      <c r="M2891" t="s">
        <v>23</v>
      </c>
      <c r="N2891">
        <v>17187000</v>
      </c>
      <c r="O2891">
        <v>3.8</v>
      </c>
      <c r="P2891" t="b">
        <v>0</v>
      </c>
    </row>
    <row r="2892" spans="1:16" x14ac:dyDescent="0.2">
      <c r="A2892" t="s">
        <v>4826</v>
      </c>
      <c r="B2892" s="1">
        <v>45291</v>
      </c>
      <c r="C2892" s="1">
        <v>45329</v>
      </c>
      <c r="D2892" t="s">
        <v>3233</v>
      </c>
      <c r="E2892" t="s">
        <v>45</v>
      </c>
      <c r="F2892" t="s">
        <v>68</v>
      </c>
      <c r="G2892" t="s">
        <v>50</v>
      </c>
      <c r="I2892" t="s">
        <v>22</v>
      </c>
      <c r="J2892">
        <v>1</v>
      </c>
      <c r="K2892">
        <v>2707000</v>
      </c>
      <c r="L2892" s="2" t="s">
        <v>4827</v>
      </c>
      <c r="M2892" t="s">
        <v>23</v>
      </c>
      <c r="N2892">
        <v>2377000</v>
      </c>
      <c r="O2892">
        <v>4.2</v>
      </c>
      <c r="P2892" t="b">
        <v>1</v>
      </c>
    </row>
    <row r="2893" spans="1:16" x14ac:dyDescent="0.2">
      <c r="A2893" t="s">
        <v>4828</v>
      </c>
      <c r="B2893" s="1">
        <v>45292</v>
      </c>
      <c r="C2893" s="1">
        <v>45335</v>
      </c>
      <c r="D2893" t="s">
        <v>4292</v>
      </c>
      <c r="E2893" t="s">
        <v>18</v>
      </c>
      <c r="F2893" t="s">
        <v>19</v>
      </c>
      <c r="G2893" t="s">
        <v>20</v>
      </c>
      <c r="H2893" t="s">
        <v>40</v>
      </c>
      <c r="I2893" t="s">
        <v>99</v>
      </c>
      <c r="J2893">
        <v>2</v>
      </c>
      <c r="K2893">
        <v>2509000</v>
      </c>
      <c r="L2893" s="2" t="s">
        <v>4829</v>
      </c>
      <c r="M2893" t="s">
        <v>23</v>
      </c>
      <c r="N2893">
        <v>4484000</v>
      </c>
      <c r="O2893">
        <v>4.2</v>
      </c>
      <c r="P2893" t="b">
        <v>1</v>
      </c>
    </row>
    <row r="2894" spans="1:16" x14ac:dyDescent="0.2">
      <c r="A2894" t="s">
        <v>4830</v>
      </c>
      <c r="B2894" s="1">
        <v>45292</v>
      </c>
      <c r="C2894" s="1">
        <v>45329</v>
      </c>
      <c r="D2894" t="s">
        <v>2224</v>
      </c>
      <c r="E2894" t="s">
        <v>33</v>
      </c>
      <c r="F2894" t="s">
        <v>25</v>
      </c>
      <c r="G2894" t="s">
        <v>35</v>
      </c>
      <c r="H2894" t="s">
        <v>40</v>
      </c>
      <c r="I2894" t="s">
        <v>77</v>
      </c>
      <c r="J2894">
        <v>1</v>
      </c>
      <c r="K2894">
        <v>6312000</v>
      </c>
      <c r="L2894">
        <v>8.9851559956472704E-2</v>
      </c>
      <c r="M2894" t="s">
        <v>23</v>
      </c>
      <c r="N2894">
        <v>5745000</v>
      </c>
      <c r="O2894">
        <v>4.3</v>
      </c>
      <c r="P2894" t="b">
        <v>1</v>
      </c>
    </row>
    <row r="2895" spans="1:16" x14ac:dyDescent="0.2">
      <c r="A2895" t="s">
        <v>4831</v>
      </c>
      <c r="B2895" s="1">
        <v>45292</v>
      </c>
      <c r="C2895" s="1">
        <v>45335</v>
      </c>
      <c r="D2895" t="s">
        <v>4272</v>
      </c>
      <c r="E2895" t="s">
        <v>45</v>
      </c>
      <c r="F2895" t="s">
        <v>19</v>
      </c>
      <c r="G2895" t="s">
        <v>20</v>
      </c>
      <c r="H2895" t="s">
        <v>47</v>
      </c>
      <c r="I2895" t="s">
        <v>52</v>
      </c>
      <c r="J2895">
        <v>1</v>
      </c>
      <c r="K2895">
        <v>2534000</v>
      </c>
      <c r="L2895" s="2" t="s">
        <v>4832</v>
      </c>
      <c r="M2895" t="s">
        <v>23</v>
      </c>
      <c r="N2895">
        <v>2272000</v>
      </c>
      <c r="O2895">
        <v>3.9</v>
      </c>
      <c r="P2895" t="b">
        <v>1</v>
      </c>
    </row>
    <row r="2896" spans="1:16" x14ac:dyDescent="0.2">
      <c r="A2896" t="s">
        <v>4833</v>
      </c>
      <c r="B2896" s="1">
        <v>45293</v>
      </c>
      <c r="C2896" s="1">
        <v>45293</v>
      </c>
      <c r="D2896" t="s">
        <v>677</v>
      </c>
      <c r="E2896" t="s">
        <v>18</v>
      </c>
      <c r="F2896" t="s">
        <v>68</v>
      </c>
      <c r="G2896" t="s">
        <v>35</v>
      </c>
      <c r="H2896" t="s">
        <v>40</v>
      </c>
      <c r="I2896" t="s">
        <v>94</v>
      </c>
      <c r="J2896">
        <v>2</v>
      </c>
      <c r="K2896">
        <v>2146000</v>
      </c>
      <c r="L2896" s="2" t="s">
        <v>4834</v>
      </c>
      <c r="M2896" t="s">
        <v>23</v>
      </c>
      <c r="N2896">
        <v>4039000</v>
      </c>
      <c r="O2896">
        <v>3.8</v>
      </c>
      <c r="P2896" t="b">
        <v>1</v>
      </c>
    </row>
    <row r="2897" spans="1:16" x14ac:dyDescent="0.2">
      <c r="A2897" t="s">
        <v>4835</v>
      </c>
      <c r="B2897" s="1">
        <v>45294</v>
      </c>
      <c r="C2897" s="1">
        <v>45373</v>
      </c>
      <c r="D2897" t="s">
        <v>1091</v>
      </c>
      <c r="E2897" t="s">
        <v>29</v>
      </c>
      <c r="F2897" t="s">
        <v>25</v>
      </c>
      <c r="G2897" t="s">
        <v>50</v>
      </c>
      <c r="H2897" t="s">
        <v>21</v>
      </c>
      <c r="I2897" t="s">
        <v>30</v>
      </c>
      <c r="J2897">
        <v>1</v>
      </c>
      <c r="K2897">
        <v>5252000</v>
      </c>
      <c r="L2897" s="2" t="s">
        <v>4836</v>
      </c>
      <c r="M2897" t="s">
        <v>23</v>
      </c>
      <c r="N2897">
        <v>4547000</v>
      </c>
      <c r="O2897">
        <v>4.2</v>
      </c>
      <c r="P2897" t="b">
        <v>1</v>
      </c>
    </row>
    <row r="2898" spans="1:16" x14ac:dyDescent="0.2">
      <c r="A2898" t="s">
        <v>4837</v>
      </c>
      <c r="B2898" s="1">
        <v>45294</v>
      </c>
      <c r="C2898" s="1">
        <v>45364</v>
      </c>
      <c r="D2898" t="s">
        <v>4165</v>
      </c>
      <c r="E2898" t="s">
        <v>45</v>
      </c>
      <c r="F2898" t="s">
        <v>34</v>
      </c>
      <c r="G2898" t="s">
        <v>20</v>
      </c>
      <c r="H2898" t="s">
        <v>21</v>
      </c>
      <c r="I2898" t="s">
        <v>57</v>
      </c>
      <c r="J2898">
        <v>3</v>
      </c>
      <c r="K2898">
        <v>4324000</v>
      </c>
      <c r="L2898" s="2" t="s">
        <v>4838</v>
      </c>
      <c r="M2898" t="s">
        <v>23</v>
      </c>
      <c r="N2898">
        <v>11027000</v>
      </c>
      <c r="O2898">
        <v>4.3</v>
      </c>
      <c r="P2898" t="b">
        <v>1</v>
      </c>
    </row>
    <row r="2899" spans="1:16" x14ac:dyDescent="0.2">
      <c r="A2899" t="s">
        <v>4839</v>
      </c>
      <c r="B2899" s="1">
        <v>45295</v>
      </c>
      <c r="C2899" s="1">
        <v>45341</v>
      </c>
      <c r="D2899" t="s">
        <v>4840</v>
      </c>
      <c r="E2899" t="s">
        <v>45</v>
      </c>
      <c r="F2899" t="s">
        <v>68</v>
      </c>
      <c r="G2899" t="s">
        <v>20</v>
      </c>
      <c r="H2899" t="s">
        <v>21</v>
      </c>
      <c r="I2899" t="s">
        <v>22</v>
      </c>
      <c r="J2899">
        <v>1</v>
      </c>
      <c r="K2899">
        <v>2719000</v>
      </c>
      <c r="L2899">
        <v>6.5806288927677606E-2</v>
      </c>
      <c r="M2899" t="s">
        <v>23</v>
      </c>
      <c r="N2899">
        <v>2540000</v>
      </c>
      <c r="O2899">
        <v>4.0999999999999996</v>
      </c>
      <c r="P2899" t="b">
        <v>0</v>
      </c>
    </row>
    <row r="2900" spans="1:16" x14ac:dyDescent="0.2">
      <c r="A2900" t="s">
        <v>4841</v>
      </c>
      <c r="B2900" s="1">
        <v>45296</v>
      </c>
      <c r="C2900" s="1">
        <v>45362</v>
      </c>
      <c r="D2900" t="s">
        <v>4842</v>
      </c>
      <c r="E2900" t="s">
        <v>18</v>
      </c>
      <c r="F2900" t="s">
        <v>34</v>
      </c>
      <c r="G2900" t="s">
        <v>35</v>
      </c>
      <c r="H2900" t="s">
        <v>21</v>
      </c>
      <c r="I2900" t="s">
        <v>22</v>
      </c>
      <c r="J2900">
        <v>5</v>
      </c>
      <c r="K2900">
        <v>3390000</v>
      </c>
      <c r="L2900" s="2" t="s">
        <v>4843</v>
      </c>
      <c r="M2900" t="s">
        <v>23</v>
      </c>
      <c r="N2900">
        <v>14475000</v>
      </c>
      <c r="O2900">
        <v>4.5</v>
      </c>
      <c r="P2900" t="b">
        <v>0</v>
      </c>
    </row>
    <row r="2901" spans="1:16" x14ac:dyDescent="0.2">
      <c r="A2901" t="s">
        <v>4844</v>
      </c>
      <c r="B2901" s="1">
        <v>45296</v>
      </c>
      <c r="C2901" s="1">
        <v>45325</v>
      </c>
      <c r="D2901" t="s">
        <v>2240</v>
      </c>
      <c r="E2901" t="s">
        <v>18</v>
      </c>
      <c r="F2901" t="s">
        <v>19</v>
      </c>
      <c r="G2901" t="s">
        <v>20</v>
      </c>
      <c r="H2901" t="s">
        <v>40</v>
      </c>
      <c r="I2901" t="s">
        <v>22</v>
      </c>
      <c r="J2901">
        <v>4</v>
      </c>
      <c r="K2901">
        <v>2374000</v>
      </c>
      <c r="L2901" s="2" t="s">
        <v>4845</v>
      </c>
      <c r="M2901" t="s">
        <v>23</v>
      </c>
      <c r="N2901">
        <v>7999000</v>
      </c>
      <c r="O2901">
        <v>4.8</v>
      </c>
      <c r="P2901" t="b">
        <v>1</v>
      </c>
    </row>
    <row r="2902" spans="1:16" x14ac:dyDescent="0.2">
      <c r="A2902" t="s">
        <v>4846</v>
      </c>
      <c r="B2902" s="1">
        <v>45296</v>
      </c>
      <c r="C2902" s="1">
        <v>45350</v>
      </c>
      <c r="D2902" t="s">
        <v>4847</v>
      </c>
      <c r="E2902" t="s">
        <v>18</v>
      </c>
      <c r="F2902" t="s">
        <v>19</v>
      </c>
      <c r="G2902" t="s">
        <v>50</v>
      </c>
      <c r="H2902" t="s">
        <v>40</v>
      </c>
      <c r="I2902" t="s">
        <v>83</v>
      </c>
      <c r="J2902">
        <v>1</v>
      </c>
      <c r="K2902">
        <v>2895000</v>
      </c>
      <c r="L2902" s="2" t="s">
        <v>4848</v>
      </c>
      <c r="M2902" t="s">
        <v>23</v>
      </c>
      <c r="N2902">
        <v>2439000</v>
      </c>
      <c r="O2902">
        <v>4.2</v>
      </c>
      <c r="P2902" t="b">
        <v>0</v>
      </c>
    </row>
    <row r="2903" spans="1:16" x14ac:dyDescent="0.2">
      <c r="A2903" t="s">
        <v>4849</v>
      </c>
      <c r="B2903" s="1">
        <v>45296</v>
      </c>
      <c r="C2903" s="1">
        <v>45354</v>
      </c>
      <c r="D2903" t="s">
        <v>4239</v>
      </c>
      <c r="E2903" t="s">
        <v>45</v>
      </c>
      <c r="F2903" t="s">
        <v>25</v>
      </c>
      <c r="G2903" t="s">
        <v>35</v>
      </c>
      <c r="H2903" t="s">
        <v>47</v>
      </c>
      <c r="I2903" t="s">
        <v>99</v>
      </c>
      <c r="J2903">
        <v>1</v>
      </c>
      <c r="K2903">
        <v>4604000</v>
      </c>
      <c r="L2903" s="2" t="s">
        <v>4850</v>
      </c>
      <c r="M2903" t="s">
        <v>23</v>
      </c>
      <c r="N2903">
        <v>3945000</v>
      </c>
      <c r="O2903">
        <v>4.7</v>
      </c>
      <c r="P2903" t="b">
        <v>1</v>
      </c>
    </row>
    <row r="2904" spans="1:16" x14ac:dyDescent="0.2">
      <c r="A2904" t="s">
        <v>4851</v>
      </c>
      <c r="B2904" s="1">
        <v>45297</v>
      </c>
      <c r="C2904" s="1">
        <v>45321</v>
      </c>
      <c r="D2904" t="s">
        <v>341</v>
      </c>
      <c r="F2904" t="s">
        <v>19</v>
      </c>
      <c r="G2904" t="s">
        <v>20</v>
      </c>
      <c r="H2904" t="s">
        <v>40</v>
      </c>
      <c r="I2904" t="s">
        <v>52</v>
      </c>
      <c r="J2904">
        <v>1</v>
      </c>
      <c r="K2904">
        <v>2305000</v>
      </c>
      <c r="L2904">
        <v>9.3419530612245893E-2</v>
      </c>
      <c r="M2904" t="s">
        <v>23</v>
      </c>
      <c r="N2904">
        <v>2090000</v>
      </c>
      <c r="O2904">
        <v>4.5</v>
      </c>
      <c r="P2904" t="b">
        <v>1</v>
      </c>
    </row>
    <row r="2905" spans="1:16" x14ac:dyDescent="0.2">
      <c r="A2905" t="s">
        <v>4852</v>
      </c>
      <c r="B2905" s="1">
        <v>45297</v>
      </c>
      <c r="C2905" s="1">
        <v>45342</v>
      </c>
      <c r="D2905" t="s">
        <v>4853</v>
      </c>
      <c r="E2905" t="s">
        <v>29</v>
      </c>
      <c r="F2905" t="s">
        <v>39</v>
      </c>
      <c r="G2905" t="s">
        <v>20</v>
      </c>
      <c r="H2905" t="s">
        <v>21</v>
      </c>
      <c r="I2905" t="s">
        <v>57</v>
      </c>
      <c r="J2905">
        <v>4</v>
      </c>
      <c r="K2905">
        <v>2691000</v>
      </c>
      <c r="L2905">
        <v>4.2160690430215003E-2</v>
      </c>
      <c r="M2905" t="s">
        <v>23</v>
      </c>
      <c r="N2905">
        <v>10310000</v>
      </c>
      <c r="O2905">
        <v>4.5</v>
      </c>
      <c r="P2905" t="b">
        <v>0</v>
      </c>
    </row>
    <row r="2906" spans="1:16" x14ac:dyDescent="0.2">
      <c r="A2906" t="s">
        <v>4854</v>
      </c>
      <c r="B2906" s="1">
        <v>45297</v>
      </c>
      <c r="C2906" s="1">
        <v>45359</v>
      </c>
      <c r="D2906" t="s">
        <v>249</v>
      </c>
      <c r="E2906" t="s">
        <v>45</v>
      </c>
      <c r="F2906" t="s">
        <v>25</v>
      </c>
      <c r="G2906" t="s">
        <v>20</v>
      </c>
      <c r="H2906" t="s">
        <v>47</v>
      </c>
      <c r="I2906" t="s">
        <v>26</v>
      </c>
      <c r="J2906">
        <v>1</v>
      </c>
      <c r="K2906">
        <v>5611000</v>
      </c>
      <c r="L2906" s="2" t="s">
        <v>4855</v>
      </c>
      <c r="M2906" t="s">
        <v>23</v>
      </c>
      <c r="N2906">
        <v>5334000</v>
      </c>
      <c r="O2906">
        <v>4.4000000000000004</v>
      </c>
      <c r="P2906" t="b">
        <v>1</v>
      </c>
    </row>
    <row r="2907" spans="1:16" x14ac:dyDescent="0.2">
      <c r="A2907" t="s">
        <v>4856</v>
      </c>
      <c r="B2907" s="1">
        <v>45298</v>
      </c>
      <c r="C2907" s="1">
        <v>45332</v>
      </c>
      <c r="D2907" t="s">
        <v>439</v>
      </c>
      <c r="E2907" t="s">
        <v>29</v>
      </c>
      <c r="F2907" t="s">
        <v>19</v>
      </c>
      <c r="G2907" t="s">
        <v>20</v>
      </c>
      <c r="H2907" t="s">
        <v>21</v>
      </c>
      <c r="I2907" t="s">
        <v>22</v>
      </c>
      <c r="J2907">
        <v>1</v>
      </c>
      <c r="K2907">
        <v>2368000</v>
      </c>
      <c r="L2907" s="2" t="s">
        <v>4857</v>
      </c>
      <c r="M2907" t="s">
        <v>23</v>
      </c>
      <c r="N2907">
        <v>2069000</v>
      </c>
      <c r="O2907">
        <v>4.5</v>
      </c>
      <c r="P2907" t="b">
        <v>1</v>
      </c>
    </row>
    <row r="2908" spans="1:16" x14ac:dyDescent="0.2">
      <c r="A2908" t="s">
        <v>4858</v>
      </c>
      <c r="B2908" s="1">
        <v>45298</v>
      </c>
      <c r="C2908" s="1">
        <v>45371</v>
      </c>
      <c r="D2908" t="s">
        <v>4859</v>
      </c>
      <c r="E2908" t="s">
        <v>45</v>
      </c>
      <c r="F2908" t="s">
        <v>19</v>
      </c>
      <c r="G2908" t="s">
        <v>20</v>
      </c>
      <c r="H2908" t="s">
        <v>51</v>
      </c>
      <c r="I2908" t="s">
        <v>77</v>
      </c>
      <c r="J2908">
        <v>1</v>
      </c>
      <c r="K2908">
        <v>2590000</v>
      </c>
      <c r="L2908">
        <v>8.3253494184912999E-2</v>
      </c>
      <c r="M2908" t="s">
        <v>23</v>
      </c>
      <c r="N2908">
        <v>2374000</v>
      </c>
      <c r="O2908">
        <v>4.0999999999999996</v>
      </c>
      <c r="P2908" t="b">
        <v>0</v>
      </c>
    </row>
    <row r="2909" spans="1:16" x14ac:dyDescent="0.2">
      <c r="A2909" t="s">
        <v>4860</v>
      </c>
      <c r="B2909" s="1">
        <v>45298</v>
      </c>
      <c r="C2909" s="1">
        <v>45332</v>
      </c>
      <c r="D2909" t="s">
        <v>4861</v>
      </c>
      <c r="E2909" t="s">
        <v>33</v>
      </c>
      <c r="F2909" t="s">
        <v>19</v>
      </c>
      <c r="G2909" t="s">
        <v>50</v>
      </c>
      <c r="H2909" t="s">
        <v>21</v>
      </c>
      <c r="I2909" t="s">
        <v>99</v>
      </c>
      <c r="J2909">
        <v>1</v>
      </c>
      <c r="K2909">
        <v>2733000</v>
      </c>
      <c r="L2909" s="2" t="s">
        <v>4862</v>
      </c>
      <c r="M2909" t="s">
        <v>23</v>
      </c>
      <c r="N2909">
        <v>2434000</v>
      </c>
      <c r="O2909">
        <v>4.4000000000000004</v>
      </c>
      <c r="P2909" t="b">
        <v>0</v>
      </c>
    </row>
    <row r="2910" spans="1:16" x14ac:dyDescent="0.2">
      <c r="A2910" t="s">
        <v>4863</v>
      </c>
      <c r="B2910" s="1">
        <v>45299</v>
      </c>
      <c r="C2910" s="1">
        <v>45350</v>
      </c>
      <c r="D2910" t="s">
        <v>1024</v>
      </c>
      <c r="E2910" t="s">
        <v>33</v>
      </c>
      <c r="F2910" t="s">
        <v>34</v>
      </c>
      <c r="G2910" t="s">
        <v>35</v>
      </c>
      <c r="H2910" t="s">
        <v>51</v>
      </c>
      <c r="I2910" t="s">
        <v>83</v>
      </c>
      <c r="J2910">
        <v>2</v>
      </c>
      <c r="K2910">
        <v>4400000</v>
      </c>
      <c r="L2910">
        <v>3.5990261213370303E-2</v>
      </c>
      <c r="M2910" t="s">
        <v>23</v>
      </c>
      <c r="N2910">
        <v>8483000</v>
      </c>
      <c r="O2910">
        <v>4.3</v>
      </c>
      <c r="P2910" t="b">
        <v>1</v>
      </c>
    </row>
    <row r="2911" spans="1:16" x14ac:dyDescent="0.2">
      <c r="A2911" t="s">
        <v>4864</v>
      </c>
      <c r="B2911" s="1">
        <v>45299</v>
      </c>
      <c r="C2911" s="1">
        <v>45371</v>
      </c>
      <c r="D2911" t="s">
        <v>4511</v>
      </c>
      <c r="E2911" t="s">
        <v>18</v>
      </c>
      <c r="F2911" t="s">
        <v>39</v>
      </c>
      <c r="G2911" t="s">
        <v>20</v>
      </c>
      <c r="H2911" t="s">
        <v>47</v>
      </c>
      <c r="I2911" t="s">
        <v>60</v>
      </c>
      <c r="J2911">
        <v>1</v>
      </c>
      <c r="K2911">
        <v>2643000</v>
      </c>
      <c r="L2911">
        <v>7.9822627603513496E-2</v>
      </c>
      <c r="M2911" t="s">
        <v>65</v>
      </c>
      <c r="N2911">
        <v>0</v>
      </c>
      <c r="P2911" t="b">
        <v>1</v>
      </c>
    </row>
    <row r="2912" spans="1:16" x14ac:dyDescent="0.2">
      <c r="A2912" t="s">
        <v>4865</v>
      </c>
      <c r="B2912" s="1">
        <v>45299</v>
      </c>
      <c r="C2912" s="1">
        <v>45336</v>
      </c>
      <c r="D2912" t="s">
        <v>3139</v>
      </c>
      <c r="E2912" t="s">
        <v>45</v>
      </c>
      <c r="F2912" t="s">
        <v>45</v>
      </c>
      <c r="G2912" t="s">
        <v>35</v>
      </c>
      <c r="H2912" t="s">
        <v>40</v>
      </c>
      <c r="I2912" t="s">
        <v>30</v>
      </c>
      <c r="J2912">
        <v>2</v>
      </c>
      <c r="K2912">
        <v>3656000</v>
      </c>
      <c r="L2912">
        <v>3.3080842737684399E-2</v>
      </c>
      <c r="M2912" t="s">
        <v>23</v>
      </c>
      <c r="N2912">
        <v>7070000</v>
      </c>
      <c r="O2912">
        <v>4.2</v>
      </c>
      <c r="P2912" t="b">
        <v>1</v>
      </c>
    </row>
    <row r="2913" spans="1:16" x14ac:dyDescent="0.2">
      <c r="A2913" t="s">
        <v>4866</v>
      </c>
      <c r="B2913" s="1">
        <v>45300</v>
      </c>
      <c r="C2913" s="1">
        <v>45360</v>
      </c>
      <c r="D2913" t="s">
        <v>3905</v>
      </c>
      <c r="E2913" t="s">
        <v>18</v>
      </c>
      <c r="F2913" t="s">
        <v>68</v>
      </c>
      <c r="G2913" t="s">
        <v>35</v>
      </c>
      <c r="H2913" t="s">
        <v>21</v>
      </c>
      <c r="I2913" t="s">
        <v>83</v>
      </c>
      <c r="J2913">
        <v>1</v>
      </c>
      <c r="K2913">
        <v>2155000</v>
      </c>
      <c r="L2913" s="2" t="s">
        <v>4867</v>
      </c>
      <c r="M2913" t="s">
        <v>23</v>
      </c>
      <c r="N2913">
        <v>1912000</v>
      </c>
      <c r="O2913">
        <v>4.4000000000000004</v>
      </c>
      <c r="P2913" t="b">
        <v>1</v>
      </c>
    </row>
    <row r="2914" spans="1:16" x14ac:dyDescent="0.2">
      <c r="A2914" t="s">
        <v>4868</v>
      </c>
      <c r="B2914" s="1">
        <v>45301</v>
      </c>
      <c r="C2914" s="1">
        <v>45392</v>
      </c>
      <c r="D2914" t="s">
        <v>3806</v>
      </c>
      <c r="E2914" t="s">
        <v>33</v>
      </c>
      <c r="F2914" t="s">
        <v>45</v>
      </c>
      <c r="G2914" t="s">
        <v>35</v>
      </c>
      <c r="H2914" t="s">
        <v>47</v>
      </c>
      <c r="I2914" t="s">
        <v>30</v>
      </c>
      <c r="J2914">
        <v>3</v>
      </c>
      <c r="K2914">
        <v>3627000</v>
      </c>
      <c r="L2914" s="2" t="s">
        <v>4869</v>
      </c>
      <c r="M2914" t="s">
        <v>23</v>
      </c>
      <c r="N2914">
        <v>9331000</v>
      </c>
      <c r="O2914">
        <v>3.8</v>
      </c>
      <c r="P2914" t="b">
        <v>1</v>
      </c>
    </row>
    <row r="2915" spans="1:16" x14ac:dyDescent="0.2">
      <c r="A2915" t="s">
        <v>4870</v>
      </c>
      <c r="B2915" s="1">
        <v>45301</v>
      </c>
      <c r="C2915" s="1">
        <v>45333</v>
      </c>
      <c r="D2915" t="s">
        <v>4871</v>
      </c>
      <c r="E2915" t="s">
        <v>29</v>
      </c>
      <c r="F2915" t="s">
        <v>19</v>
      </c>
      <c r="G2915" t="s">
        <v>35</v>
      </c>
      <c r="H2915" t="s">
        <v>21</v>
      </c>
      <c r="I2915" t="s">
        <v>52</v>
      </c>
      <c r="J2915">
        <v>1</v>
      </c>
      <c r="K2915">
        <v>2587000</v>
      </c>
      <c r="L2915">
        <v>7.0210936604838597E-2</v>
      </c>
      <c r="M2915" t="s">
        <v>65</v>
      </c>
      <c r="N2915">
        <v>0</v>
      </c>
      <c r="P2915" t="b">
        <v>0</v>
      </c>
    </row>
    <row r="2916" spans="1:16" x14ac:dyDescent="0.2">
      <c r="A2916" t="s">
        <v>4872</v>
      </c>
      <c r="B2916" s="1">
        <v>45301</v>
      </c>
      <c r="C2916" s="1">
        <v>45342</v>
      </c>
      <c r="D2916" t="s">
        <v>4873</v>
      </c>
      <c r="E2916" t="s">
        <v>18</v>
      </c>
      <c r="F2916" t="s">
        <v>34</v>
      </c>
      <c r="G2916" t="s">
        <v>20</v>
      </c>
      <c r="H2916" t="s">
        <v>47</v>
      </c>
      <c r="I2916" t="s">
        <v>30</v>
      </c>
      <c r="J2916">
        <v>1</v>
      </c>
      <c r="K2916">
        <v>4144000</v>
      </c>
      <c r="L2916" s="2" t="s">
        <v>4874</v>
      </c>
      <c r="M2916" t="s">
        <v>23</v>
      </c>
      <c r="N2916">
        <v>3655000</v>
      </c>
      <c r="O2916">
        <v>4.0999999999999996</v>
      </c>
      <c r="P2916" t="b">
        <v>0</v>
      </c>
    </row>
    <row r="2917" spans="1:16" x14ac:dyDescent="0.2">
      <c r="A2917" t="s">
        <v>4875</v>
      </c>
      <c r="B2917" s="1">
        <v>45302</v>
      </c>
      <c r="C2917" s="1">
        <v>45340</v>
      </c>
      <c r="D2917" t="s">
        <v>3618</v>
      </c>
      <c r="E2917" t="s">
        <v>18</v>
      </c>
      <c r="F2917" t="s">
        <v>19</v>
      </c>
      <c r="G2917" t="s">
        <v>20</v>
      </c>
      <c r="H2917" t="s">
        <v>40</v>
      </c>
      <c r="I2917" t="s">
        <v>60</v>
      </c>
      <c r="J2917">
        <v>2</v>
      </c>
      <c r="K2917">
        <v>2931000</v>
      </c>
      <c r="L2917">
        <v>9.45571853912167E-2</v>
      </c>
      <c r="M2917" t="s">
        <v>23</v>
      </c>
      <c r="N2917">
        <v>5308000</v>
      </c>
      <c r="O2917">
        <v>4.5999999999999996</v>
      </c>
      <c r="P2917" t="b">
        <v>1</v>
      </c>
    </row>
    <row r="2918" spans="1:16" x14ac:dyDescent="0.2">
      <c r="A2918" t="s">
        <v>4876</v>
      </c>
      <c r="B2918" s="1">
        <v>45302</v>
      </c>
      <c r="C2918" s="1">
        <v>45355</v>
      </c>
      <c r="D2918" t="s">
        <v>3597</v>
      </c>
      <c r="E2918" t="s">
        <v>18</v>
      </c>
      <c r="F2918" t="s">
        <v>39</v>
      </c>
      <c r="G2918" t="s">
        <v>50</v>
      </c>
      <c r="H2918" t="s">
        <v>21</v>
      </c>
      <c r="I2918" t="s">
        <v>30</v>
      </c>
      <c r="J2918">
        <v>4</v>
      </c>
      <c r="K2918">
        <v>2599000</v>
      </c>
      <c r="L2918" s="2" t="s">
        <v>4877</v>
      </c>
      <c r="M2918" t="s">
        <v>23</v>
      </c>
      <c r="N2918">
        <v>9054000</v>
      </c>
      <c r="O2918">
        <v>4</v>
      </c>
      <c r="P2918" t="b">
        <v>1</v>
      </c>
    </row>
    <row r="2919" spans="1:16" x14ac:dyDescent="0.2">
      <c r="A2919" t="s">
        <v>4878</v>
      </c>
      <c r="B2919" s="1">
        <v>45597</v>
      </c>
      <c r="C2919" s="1">
        <v>45343</v>
      </c>
      <c r="D2919" t="s">
        <v>1912</v>
      </c>
      <c r="E2919" t="s">
        <v>33</v>
      </c>
      <c r="F2919" t="s">
        <v>68</v>
      </c>
      <c r="G2919" t="s">
        <v>20</v>
      </c>
      <c r="H2919" t="s">
        <v>47</v>
      </c>
      <c r="I2919" t="s">
        <v>52</v>
      </c>
      <c r="J2919">
        <v>1</v>
      </c>
      <c r="K2919">
        <v>2649000</v>
      </c>
      <c r="L2919" s="2" t="s">
        <v>4879</v>
      </c>
      <c r="M2919" t="s">
        <v>23</v>
      </c>
      <c r="N2919">
        <v>2507000</v>
      </c>
      <c r="O2919">
        <v>4.3</v>
      </c>
      <c r="P2919" t="b">
        <v>1</v>
      </c>
    </row>
    <row r="2920" spans="1:16" x14ac:dyDescent="0.2">
      <c r="A2920" t="s">
        <v>4880</v>
      </c>
      <c r="B2920" s="1">
        <v>45303</v>
      </c>
      <c r="C2920" s="1">
        <v>45390</v>
      </c>
      <c r="D2920" t="s">
        <v>140</v>
      </c>
      <c r="E2920" t="s">
        <v>45</v>
      </c>
      <c r="F2920" t="s">
        <v>68</v>
      </c>
      <c r="G2920" t="s">
        <v>20</v>
      </c>
      <c r="H2920" t="s">
        <v>21</v>
      </c>
      <c r="I2920" t="s">
        <v>83</v>
      </c>
      <c r="J2920">
        <v>3</v>
      </c>
      <c r="K2920">
        <v>2110000</v>
      </c>
      <c r="L2920" s="2" t="s">
        <v>4881</v>
      </c>
      <c r="M2920" t="s">
        <v>23</v>
      </c>
      <c r="N2920">
        <v>5683000</v>
      </c>
      <c r="O2920">
        <v>4.2</v>
      </c>
      <c r="P2920" t="b">
        <v>1</v>
      </c>
    </row>
    <row r="2921" spans="1:16" x14ac:dyDescent="0.2">
      <c r="A2921" t="s">
        <v>4882</v>
      </c>
      <c r="B2921" s="1">
        <v>45303</v>
      </c>
      <c r="C2921" s="1">
        <v>45388</v>
      </c>
      <c r="D2921" t="s">
        <v>4883</v>
      </c>
      <c r="E2921" t="s">
        <v>18</v>
      </c>
      <c r="F2921" t="s">
        <v>19</v>
      </c>
      <c r="G2921" t="s">
        <v>20</v>
      </c>
      <c r="H2921" t="s">
        <v>47</v>
      </c>
      <c r="I2921" t="s">
        <v>99</v>
      </c>
      <c r="J2921">
        <v>2</v>
      </c>
      <c r="K2921">
        <v>2713000</v>
      </c>
      <c r="L2921">
        <v>6.6952644042970202E-2</v>
      </c>
      <c r="M2921" t="s">
        <v>65</v>
      </c>
      <c r="N2921">
        <v>0</v>
      </c>
      <c r="P2921" t="b">
        <v>0</v>
      </c>
    </row>
    <row r="2922" spans="1:16" x14ac:dyDescent="0.2">
      <c r="A2922" t="s">
        <v>4884</v>
      </c>
      <c r="B2922" s="1">
        <v>45304</v>
      </c>
      <c r="C2922" s="1">
        <v>45304</v>
      </c>
      <c r="D2922" t="s">
        <v>2187</v>
      </c>
      <c r="E2922" t="s">
        <v>45</v>
      </c>
      <c r="F2922" t="s">
        <v>25</v>
      </c>
      <c r="G2922" t="s">
        <v>50</v>
      </c>
      <c r="H2922" t="s">
        <v>21</v>
      </c>
      <c r="I2922" t="s">
        <v>57</v>
      </c>
      <c r="J2922">
        <v>2</v>
      </c>
      <c r="K2922">
        <v>4795000</v>
      </c>
      <c r="L2922">
        <v>9.6774776271232002E-2</v>
      </c>
      <c r="M2922" t="s">
        <v>23</v>
      </c>
      <c r="N2922">
        <v>8662000</v>
      </c>
      <c r="O2922">
        <v>3.7</v>
      </c>
      <c r="P2922" t="b">
        <v>1</v>
      </c>
    </row>
    <row r="2923" spans="1:16" x14ac:dyDescent="0.2">
      <c r="A2923" t="s">
        <v>4885</v>
      </c>
      <c r="B2923" s="1">
        <v>45304</v>
      </c>
      <c r="C2923" s="1">
        <v>45390</v>
      </c>
      <c r="D2923" t="s">
        <v>4886</v>
      </c>
      <c r="E2923" t="s">
        <v>18</v>
      </c>
      <c r="F2923" t="s">
        <v>39</v>
      </c>
      <c r="G2923" t="s">
        <v>20</v>
      </c>
      <c r="H2923" t="s">
        <v>21</v>
      </c>
      <c r="I2923" t="s">
        <v>94</v>
      </c>
      <c r="J2923">
        <v>1</v>
      </c>
      <c r="K2923">
        <v>2622000</v>
      </c>
      <c r="L2923" s="2" t="s">
        <v>4887</v>
      </c>
      <c r="M2923" t="s">
        <v>65</v>
      </c>
      <c r="N2923">
        <v>0</v>
      </c>
      <c r="P2923" t="b">
        <v>0</v>
      </c>
    </row>
    <row r="2924" spans="1:16" x14ac:dyDescent="0.2">
      <c r="A2924" t="s">
        <v>4888</v>
      </c>
      <c r="B2924" s="1">
        <v>45305</v>
      </c>
      <c r="C2924" s="1">
        <v>45344</v>
      </c>
      <c r="D2924" t="s">
        <v>4595</v>
      </c>
      <c r="E2924" t="s">
        <v>45</v>
      </c>
      <c r="F2924" t="s">
        <v>68</v>
      </c>
      <c r="G2924" t="s">
        <v>35</v>
      </c>
      <c r="H2924" t="s">
        <v>51</v>
      </c>
      <c r="I2924" t="s">
        <v>83</v>
      </c>
      <c r="J2924">
        <v>4</v>
      </c>
      <c r="K2924">
        <v>2025000</v>
      </c>
      <c r="L2924">
        <v>8.1686842080494301E-2</v>
      </c>
      <c r="M2924" t="s">
        <v>65</v>
      </c>
      <c r="N2924">
        <v>0</v>
      </c>
      <c r="P2924" t="b">
        <v>1</v>
      </c>
    </row>
    <row r="2925" spans="1:16" x14ac:dyDescent="0.2">
      <c r="A2925" t="s">
        <v>4889</v>
      </c>
      <c r="B2925" s="1">
        <v>45305</v>
      </c>
      <c r="C2925" s="1">
        <v>45336</v>
      </c>
      <c r="D2925" t="s">
        <v>4890</v>
      </c>
      <c r="E2925" t="s">
        <v>33</v>
      </c>
      <c r="F2925" t="s">
        <v>34</v>
      </c>
      <c r="G2925" t="s">
        <v>50</v>
      </c>
      <c r="H2925" t="s">
        <v>21</v>
      </c>
      <c r="I2925" t="s">
        <v>77</v>
      </c>
      <c r="J2925">
        <v>1</v>
      </c>
      <c r="K2925">
        <v>4043000</v>
      </c>
      <c r="L2925" s="2" t="s">
        <v>4891</v>
      </c>
      <c r="M2925" t="s">
        <v>23</v>
      </c>
      <c r="N2925">
        <v>3431000</v>
      </c>
      <c r="O2925">
        <v>4.3</v>
      </c>
      <c r="P2925" t="b">
        <v>0</v>
      </c>
    </row>
    <row r="2926" spans="1:16" x14ac:dyDescent="0.2">
      <c r="A2926" t="s">
        <v>4892</v>
      </c>
      <c r="B2926" s="1">
        <v>45305</v>
      </c>
      <c r="C2926" s="1">
        <v>45336</v>
      </c>
      <c r="D2926" t="s">
        <v>4380</v>
      </c>
      <c r="E2926" t="s">
        <v>33</v>
      </c>
      <c r="F2926" t="s">
        <v>19</v>
      </c>
      <c r="G2926" t="s">
        <v>35</v>
      </c>
      <c r="H2926" t="s">
        <v>47</v>
      </c>
      <c r="J2926">
        <v>2</v>
      </c>
      <c r="K2926">
        <v>2887000</v>
      </c>
      <c r="L2926">
        <v>8.0514616784124401E-2</v>
      </c>
      <c r="M2926" t="s">
        <v>23</v>
      </c>
      <c r="N2926">
        <v>5309000</v>
      </c>
      <c r="O2926">
        <v>4.0999999999999996</v>
      </c>
      <c r="P2926" t="b">
        <v>1</v>
      </c>
    </row>
    <row r="2927" spans="1:16" x14ac:dyDescent="0.2">
      <c r="A2927" t="s">
        <v>4893</v>
      </c>
      <c r="B2927" s="1">
        <v>45306</v>
      </c>
      <c r="C2927" s="1">
        <v>45357</v>
      </c>
      <c r="D2927" t="s">
        <v>72</v>
      </c>
      <c r="E2927" t="s">
        <v>18</v>
      </c>
      <c r="F2927" t="s">
        <v>34</v>
      </c>
      <c r="G2927" t="s">
        <v>20</v>
      </c>
      <c r="H2927" t="s">
        <v>47</v>
      </c>
      <c r="I2927" t="s">
        <v>60</v>
      </c>
      <c r="J2927">
        <v>1</v>
      </c>
      <c r="K2927">
        <v>4488000</v>
      </c>
      <c r="L2927">
        <v>5.6393105408661298E-2</v>
      </c>
      <c r="M2927" t="s">
        <v>23</v>
      </c>
      <c r="N2927">
        <v>4235000</v>
      </c>
      <c r="O2927">
        <v>4.5999999999999996</v>
      </c>
      <c r="P2927" t="b">
        <v>1</v>
      </c>
    </row>
    <row r="2928" spans="1:16" x14ac:dyDescent="0.2">
      <c r="A2928" t="s">
        <v>4894</v>
      </c>
      <c r="B2928" s="1">
        <v>45306</v>
      </c>
      <c r="C2928" s="1">
        <v>45364</v>
      </c>
      <c r="D2928" t="s">
        <v>1112</v>
      </c>
      <c r="E2928" t="s">
        <v>45</v>
      </c>
      <c r="F2928" t="s">
        <v>19</v>
      </c>
      <c r="G2928" t="s">
        <v>20</v>
      </c>
      <c r="H2928" t="s">
        <v>47</v>
      </c>
      <c r="I2928" t="s">
        <v>1654</v>
      </c>
      <c r="J2928">
        <v>1</v>
      </c>
      <c r="K2928">
        <v>2786000</v>
      </c>
      <c r="L2928">
        <v>8.5492585780207395E-2</v>
      </c>
      <c r="M2928" t="s">
        <v>23</v>
      </c>
      <c r="N2928">
        <v>2548000</v>
      </c>
      <c r="O2928">
        <v>4.2</v>
      </c>
      <c r="P2928" t="b">
        <v>1</v>
      </c>
    </row>
    <row r="2929" spans="1:16" x14ac:dyDescent="0.2">
      <c r="A2929" t="s">
        <v>4895</v>
      </c>
      <c r="B2929" s="1">
        <v>45307</v>
      </c>
      <c r="C2929" s="1">
        <v>45401</v>
      </c>
      <c r="D2929" t="s">
        <v>4577</v>
      </c>
      <c r="E2929" t="s">
        <v>29</v>
      </c>
      <c r="F2929" t="s">
        <v>68</v>
      </c>
      <c r="G2929" t="s">
        <v>20</v>
      </c>
      <c r="H2929" t="s">
        <v>21</v>
      </c>
      <c r="I2929" t="s">
        <v>94</v>
      </c>
      <c r="J2929">
        <v>1</v>
      </c>
      <c r="K2929">
        <v>2291000</v>
      </c>
      <c r="L2929" s="2" t="s">
        <v>4896</v>
      </c>
      <c r="M2929" t="s">
        <v>23</v>
      </c>
      <c r="N2929">
        <v>2006000</v>
      </c>
      <c r="O2929">
        <v>4.2</v>
      </c>
      <c r="P2929" t="b">
        <v>1</v>
      </c>
    </row>
    <row r="2930" spans="1:16" x14ac:dyDescent="0.2">
      <c r="A2930" t="s">
        <v>4897</v>
      </c>
      <c r="B2930" s="1">
        <v>45307</v>
      </c>
      <c r="C2930" s="1">
        <v>45381</v>
      </c>
      <c r="D2930" t="s">
        <v>1233</v>
      </c>
      <c r="E2930" t="s">
        <v>45</v>
      </c>
      <c r="F2930" t="s">
        <v>45</v>
      </c>
      <c r="G2930" t="s">
        <v>35</v>
      </c>
      <c r="H2930" t="s">
        <v>47</v>
      </c>
      <c r="I2930" t="s">
        <v>30</v>
      </c>
      <c r="J2930">
        <v>3</v>
      </c>
      <c r="K2930">
        <v>3057000</v>
      </c>
      <c r="L2930" s="2" t="s">
        <v>4898</v>
      </c>
      <c r="M2930" t="s">
        <v>23</v>
      </c>
      <c r="N2930">
        <v>7923000</v>
      </c>
      <c r="O2930">
        <v>4.0999999999999996</v>
      </c>
      <c r="P2930" t="b">
        <v>1</v>
      </c>
    </row>
    <row r="2931" spans="1:16" x14ac:dyDescent="0.2">
      <c r="A2931" t="s">
        <v>4899</v>
      </c>
      <c r="B2931" s="1">
        <v>45310</v>
      </c>
      <c r="C2931" s="1">
        <v>45352</v>
      </c>
      <c r="D2931" t="s">
        <v>4900</v>
      </c>
      <c r="E2931" t="s">
        <v>45</v>
      </c>
      <c r="F2931" t="s">
        <v>19</v>
      </c>
      <c r="G2931" t="s">
        <v>50</v>
      </c>
      <c r="H2931" t="s">
        <v>21</v>
      </c>
      <c r="I2931" t="s">
        <v>83</v>
      </c>
      <c r="J2931">
        <v>3</v>
      </c>
      <c r="K2931">
        <v>2817000</v>
      </c>
      <c r="L2931">
        <v>0</v>
      </c>
      <c r="M2931" t="s">
        <v>23</v>
      </c>
      <c r="N2931">
        <v>8451000</v>
      </c>
      <c r="O2931">
        <v>4.0999999999999996</v>
      </c>
      <c r="P2931" t="b">
        <v>0</v>
      </c>
    </row>
    <row r="2932" spans="1:16" x14ac:dyDescent="0.2">
      <c r="A2932" t="s">
        <v>4901</v>
      </c>
      <c r="B2932" s="1">
        <v>45311</v>
      </c>
      <c r="C2932" s="1">
        <v>45370</v>
      </c>
      <c r="D2932" t="s">
        <v>4873</v>
      </c>
      <c r="E2932" t="s">
        <v>18</v>
      </c>
      <c r="F2932" t="s">
        <v>19</v>
      </c>
      <c r="G2932" t="s">
        <v>20</v>
      </c>
      <c r="H2932" t="s">
        <v>21</v>
      </c>
      <c r="I2932" t="s">
        <v>30</v>
      </c>
      <c r="J2932">
        <v>1</v>
      </c>
      <c r="K2932">
        <v>2212000</v>
      </c>
      <c r="L2932" s="2" t="s">
        <v>4902</v>
      </c>
      <c r="M2932" t="s">
        <v>23</v>
      </c>
      <c r="N2932">
        <v>1983000</v>
      </c>
      <c r="O2932">
        <v>4.3</v>
      </c>
      <c r="P2932" t="b">
        <v>1</v>
      </c>
    </row>
    <row r="2933" spans="1:16" x14ac:dyDescent="0.2">
      <c r="A2933" t="s">
        <v>4903</v>
      </c>
      <c r="B2933" s="1">
        <v>45312</v>
      </c>
      <c r="C2933" s="1">
        <v>45337</v>
      </c>
      <c r="D2933" t="s">
        <v>302</v>
      </c>
      <c r="E2933" t="s">
        <v>45</v>
      </c>
      <c r="F2933" t="s">
        <v>19</v>
      </c>
      <c r="G2933" t="s">
        <v>20</v>
      </c>
      <c r="H2933" t="s">
        <v>21</v>
      </c>
      <c r="I2933" t="s">
        <v>30</v>
      </c>
      <c r="J2933">
        <v>1</v>
      </c>
      <c r="K2933">
        <v>2488000</v>
      </c>
      <c r="L2933" s="2" t="s">
        <v>4904</v>
      </c>
      <c r="M2933" t="s">
        <v>23</v>
      </c>
      <c r="N2933">
        <v>2143000</v>
      </c>
      <c r="O2933">
        <v>4.2</v>
      </c>
      <c r="P2933" t="b">
        <v>1</v>
      </c>
    </row>
    <row r="2934" spans="1:16" x14ac:dyDescent="0.2">
      <c r="A2934" t="s">
        <v>4905</v>
      </c>
      <c r="B2934" s="1">
        <v>45312</v>
      </c>
      <c r="C2934" s="1">
        <v>45399</v>
      </c>
      <c r="D2934" t="s">
        <v>4906</v>
      </c>
      <c r="E2934" t="s">
        <v>29</v>
      </c>
      <c r="F2934" t="s">
        <v>45</v>
      </c>
      <c r="G2934" t="s">
        <v>50</v>
      </c>
      <c r="H2934" t="s">
        <v>47</v>
      </c>
      <c r="I2934" t="s">
        <v>83</v>
      </c>
      <c r="J2934">
        <v>3</v>
      </c>
      <c r="K2934">
        <v>2870000</v>
      </c>
      <c r="L2934" s="3">
        <v>0.18</v>
      </c>
      <c r="M2934" t="s">
        <v>23</v>
      </c>
      <c r="N2934">
        <v>7058000</v>
      </c>
      <c r="O2934">
        <v>4.4000000000000004</v>
      </c>
      <c r="P2934" t="b">
        <v>0</v>
      </c>
    </row>
    <row r="2935" spans="1:16" x14ac:dyDescent="0.2">
      <c r="A2935" t="s">
        <v>4907</v>
      </c>
      <c r="B2935" s="1">
        <v>45314</v>
      </c>
      <c r="C2935" s="1">
        <v>45408</v>
      </c>
      <c r="D2935" t="s">
        <v>4620</v>
      </c>
      <c r="E2935" t="s">
        <v>18</v>
      </c>
      <c r="F2935" t="s">
        <v>39</v>
      </c>
      <c r="G2935" t="s">
        <v>20</v>
      </c>
      <c r="H2935" t="s">
        <v>21</v>
      </c>
      <c r="I2935" t="s">
        <v>57</v>
      </c>
      <c r="J2935">
        <v>2</v>
      </c>
      <c r="K2935">
        <v>2651000</v>
      </c>
      <c r="L2935">
        <v>6.7697092146952603E-2</v>
      </c>
      <c r="M2935" t="s">
        <v>23</v>
      </c>
      <c r="N2935">
        <v>4943000</v>
      </c>
      <c r="O2935">
        <v>4.8</v>
      </c>
      <c r="P2935" t="b">
        <v>1</v>
      </c>
    </row>
    <row r="2936" spans="1:16" x14ac:dyDescent="0.2">
      <c r="A2936" t="s">
        <v>4908</v>
      </c>
      <c r="B2936" s="1">
        <v>45315</v>
      </c>
      <c r="C2936" s="1">
        <v>45353</v>
      </c>
      <c r="D2936" t="s">
        <v>2154</v>
      </c>
      <c r="E2936" t="s">
        <v>45</v>
      </c>
      <c r="F2936" t="s">
        <v>34</v>
      </c>
      <c r="G2936" t="s">
        <v>20</v>
      </c>
      <c r="H2936" t="s">
        <v>21</v>
      </c>
      <c r="I2936" t="s">
        <v>99</v>
      </c>
      <c r="J2936">
        <v>1</v>
      </c>
      <c r="K2936">
        <v>3950000</v>
      </c>
      <c r="L2936">
        <v>8.7134090197996894E-2</v>
      </c>
      <c r="M2936" t="s">
        <v>23</v>
      </c>
      <c r="N2936">
        <v>3606000</v>
      </c>
      <c r="O2936">
        <v>3.9</v>
      </c>
      <c r="P2936" t="b">
        <v>1</v>
      </c>
    </row>
    <row r="2937" spans="1:16" x14ac:dyDescent="0.2">
      <c r="A2937" t="s">
        <v>4909</v>
      </c>
      <c r="B2937" s="1">
        <v>45316</v>
      </c>
      <c r="C2937" s="1">
        <v>45362</v>
      </c>
      <c r="D2937" t="s">
        <v>4910</v>
      </c>
      <c r="E2937" t="s">
        <v>45</v>
      </c>
      <c r="F2937" t="s">
        <v>19</v>
      </c>
      <c r="G2937" t="s">
        <v>50</v>
      </c>
      <c r="H2937" t="s">
        <v>21</v>
      </c>
      <c r="I2937" t="s">
        <v>52</v>
      </c>
      <c r="J2937">
        <v>2</v>
      </c>
      <c r="K2937">
        <v>2534000</v>
      </c>
      <c r="L2937" s="2" t="s">
        <v>4911</v>
      </c>
      <c r="M2937" t="s">
        <v>23</v>
      </c>
      <c r="N2937">
        <v>4422000</v>
      </c>
      <c r="O2937">
        <v>5</v>
      </c>
      <c r="P2937" t="b">
        <v>0</v>
      </c>
    </row>
    <row r="2938" spans="1:16" x14ac:dyDescent="0.2">
      <c r="A2938" t="s">
        <v>4912</v>
      </c>
      <c r="B2938" s="1">
        <v>45316</v>
      </c>
      <c r="C2938" s="1">
        <v>45358</v>
      </c>
      <c r="D2938" t="s">
        <v>4913</v>
      </c>
      <c r="F2938" t="s">
        <v>25</v>
      </c>
      <c r="G2938" t="s">
        <v>20</v>
      </c>
      <c r="H2938" t="s">
        <v>47</v>
      </c>
      <c r="I2938" t="s">
        <v>83</v>
      </c>
      <c r="J2938">
        <v>1</v>
      </c>
      <c r="K2938">
        <v>4555000</v>
      </c>
      <c r="L2938" s="2" t="s">
        <v>4914</v>
      </c>
      <c r="M2938" t="s">
        <v>23</v>
      </c>
      <c r="N2938">
        <v>3933000</v>
      </c>
      <c r="O2938">
        <v>3.8</v>
      </c>
      <c r="P2938" t="b">
        <v>0</v>
      </c>
    </row>
    <row r="2939" spans="1:16" x14ac:dyDescent="0.2">
      <c r="A2939" t="s">
        <v>4915</v>
      </c>
      <c r="B2939" s="1">
        <v>45316</v>
      </c>
      <c r="C2939" s="1">
        <v>45401</v>
      </c>
      <c r="D2939" t="s">
        <v>3695</v>
      </c>
      <c r="E2939" t="s">
        <v>29</v>
      </c>
      <c r="F2939" t="s">
        <v>45</v>
      </c>
      <c r="G2939" t="s">
        <v>50</v>
      </c>
      <c r="H2939" t="s">
        <v>51</v>
      </c>
      <c r="I2939" t="s">
        <v>52</v>
      </c>
      <c r="J2939">
        <v>5</v>
      </c>
      <c r="K2939">
        <v>3264000</v>
      </c>
      <c r="L2939" s="2" t="s">
        <v>4916</v>
      </c>
      <c r="M2939" t="s">
        <v>65</v>
      </c>
      <c r="N2939">
        <v>0</v>
      </c>
      <c r="P2939" t="b">
        <v>1</v>
      </c>
    </row>
    <row r="2940" spans="1:16" x14ac:dyDescent="0.2">
      <c r="A2940" t="s">
        <v>4917</v>
      </c>
      <c r="B2940" s="1">
        <v>45317</v>
      </c>
      <c r="C2940" s="1">
        <v>45371</v>
      </c>
      <c r="D2940" t="s">
        <v>2164</v>
      </c>
      <c r="E2940" t="s">
        <v>18</v>
      </c>
      <c r="F2940" t="s">
        <v>45</v>
      </c>
      <c r="G2940" t="s">
        <v>35</v>
      </c>
      <c r="H2940" t="s">
        <v>40</v>
      </c>
      <c r="I2940" t="s">
        <v>77</v>
      </c>
      <c r="J2940">
        <v>1</v>
      </c>
      <c r="K2940">
        <v>3473000</v>
      </c>
      <c r="L2940">
        <v>7.7916123868611006E-2</v>
      </c>
      <c r="M2940" t="s">
        <v>23</v>
      </c>
      <c r="N2940">
        <v>3202000</v>
      </c>
      <c r="O2940">
        <v>4.0999999999999996</v>
      </c>
      <c r="P2940" t="b">
        <v>1</v>
      </c>
    </row>
    <row r="2941" spans="1:16" x14ac:dyDescent="0.2">
      <c r="A2941" t="s">
        <v>4918</v>
      </c>
      <c r="B2941" s="1">
        <v>45317</v>
      </c>
      <c r="C2941" s="1">
        <v>45320</v>
      </c>
      <c r="D2941" t="s">
        <v>2067</v>
      </c>
      <c r="E2941" t="s">
        <v>18</v>
      </c>
      <c r="F2941" t="s">
        <v>39</v>
      </c>
      <c r="G2941" t="s">
        <v>20</v>
      </c>
      <c r="H2941" t="s">
        <v>21</v>
      </c>
      <c r="I2941" t="s">
        <v>30</v>
      </c>
      <c r="J2941">
        <v>2</v>
      </c>
      <c r="K2941">
        <v>2616000</v>
      </c>
      <c r="L2941" s="2" t="s">
        <v>4919</v>
      </c>
      <c r="M2941" t="s">
        <v>23</v>
      </c>
      <c r="N2941">
        <v>4294000</v>
      </c>
      <c r="O2941">
        <v>4.2</v>
      </c>
      <c r="P2941" t="b">
        <v>1</v>
      </c>
    </row>
    <row r="2942" spans="1:16" x14ac:dyDescent="0.2">
      <c r="A2942" t="s">
        <v>4920</v>
      </c>
      <c r="B2942" s="1">
        <v>45317</v>
      </c>
      <c r="C2942" s="1">
        <v>45362</v>
      </c>
      <c r="D2942" t="s">
        <v>3116</v>
      </c>
      <c r="E2942" t="s">
        <v>33</v>
      </c>
      <c r="F2942" t="s">
        <v>19</v>
      </c>
      <c r="G2942" t="s">
        <v>20</v>
      </c>
      <c r="H2942" t="s">
        <v>21</v>
      </c>
      <c r="I2942" t="s">
        <v>99</v>
      </c>
      <c r="J2942">
        <v>2</v>
      </c>
      <c r="K2942">
        <v>2432000</v>
      </c>
      <c r="L2942">
        <v>6.4219233487671196E-2</v>
      </c>
      <c r="M2942" t="s">
        <v>23</v>
      </c>
      <c r="N2942">
        <v>4552000</v>
      </c>
      <c r="O2942">
        <v>4.7</v>
      </c>
      <c r="P2942" t="b">
        <v>1</v>
      </c>
    </row>
    <row r="2943" spans="1:16" x14ac:dyDescent="0.2">
      <c r="A2943" t="s">
        <v>4921</v>
      </c>
      <c r="B2943" s="1">
        <v>45317</v>
      </c>
      <c r="C2943" s="1">
        <v>45363</v>
      </c>
      <c r="D2943" t="s">
        <v>4922</v>
      </c>
      <c r="E2943" t="s">
        <v>45</v>
      </c>
      <c r="F2943" t="s">
        <v>68</v>
      </c>
      <c r="G2943" t="s">
        <v>20</v>
      </c>
      <c r="H2943" t="s">
        <v>51</v>
      </c>
      <c r="I2943" t="s">
        <v>52</v>
      </c>
      <c r="J2943">
        <v>4</v>
      </c>
      <c r="K2943">
        <v>2419000</v>
      </c>
      <c r="L2943">
        <v>9.4213406554798998E-2</v>
      </c>
      <c r="M2943" t="s">
        <v>23</v>
      </c>
      <c r="N2943">
        <v>8764000</v>
      </c>
      <c r="O2943">
        <v>5</v>
      </c>
      <c r="P2943" t="b">
        <v>0</v>
      </c>
    </row>
    <row r="2944" spans="1:16" x14ac:dyDescent="0.2">
      <c r="A2944" t="s">
        <v>4923</v>
      </c>
      <c r="B2944" s="1">
        <v>45317</v>
      </c>
      <c r="C2944" s="1">
        <v>45333</v>
      </c>
      <c r="D2944" t="s">
        <v>2957</v>
      </c>
      <c r="E2944" t="s">
        <v>18</v>
      </c>
      <c r="F2944" t="s">
        <v>34</v>
      </c>
      <c r="G2944" t="s">
        <v>35</v>
      </c>
      <c r="H2944" t="s">
        <v>21</v>
      </c>
      <c r="I2944" t="s">
        <v>83</v>
      </c>
      <c r="J2944">
        <v>3</v>
      </c>
      <c r="K2944">
        <v>4165000</v>
      </c>
      <c r="L2944">
        <v>8.9255131084895398E-2</v>
      </c>
      <c r="M2944" t="s">
        <v>23</v>
      </c>
      <c r="N2944">
        <v>11380000</v>
      </c>
      <c r="O2944">
        <v>4.5</v>
      </c>
      <c r="P2944" t="b">
        <v>1</v>
      </c>
    </row>
    <row r="2945" spans="1:16" x14ac:dyDescent="0.2">
      <c r="A2945" t="s">
        <v>4924</v>
      </c>
      <c r="B2945" s="1">
        <v>45317</v>
      </c>
      <c r="C2945" s="1">
        <v>45376</v>
      </c>
      <c r="D2945" t="s">
        <v>1826</v>
      </c>
      <c r="E2945" t="s">
        <v>18</v>
      </c>
      <c r="F2945" t="s">
        <v>39</v>
      </c>
      <c r="G2945" t="s">
        <v>20</v>
      </c>
      <c r="H2945" t="s">
        <v>21</v>
      </c>
      <c r="I2945" t="s">
        <v>57</v>
      </c>
      <c r="J2945">
        <v>3</v>
      </c>
      <c r="K2945">
        <v>2575000</v>
      </c>
      <c r="L2945" s="2" t="s">
        <v>4925</v>
      </c>
      <c r="M2945" t="s">
        <v>23</v>
      </c>
      <c r="N2945">
        <v>6680000</v>
      </c>
      <c r="O2945">
        <v>4.2</v>
      </c>
      <c r="P2945" t="b">
        <v>1</v>
      </c>
    </row>
    <row r="2946" spans="1:16" x14ac:dyDescent="0.2">
      <c r="A2946" t="s">
        <v>4926</v>
      </c>
      <c r="B2946" s="1">
        <v>45318</v>
      </c>
      <c r="C2946" s="1">
        <v>45360</v>
      </c>
      <c r="D2946" t="s">
        <v>4922</v>
      </c>
      <c r="E2946" t="s">
        <v>33</v>
      </c>
      <c r="F2946" t="s">
        <v>25</v>
      </c>
      <c r="G2946" t="s">
        <v>20</v>
      </c>
      <c r="H2946" t="s">
        <v>47</v>
      </c>
      <c r="I2946" t="s">
        <v>77</v>
      </c>
      <c r="J2946">
        <v>2</v>
      </c>
      <c r="K2946">
        <v>5935000</v>
      </c>
      <c r="L2946" s="2" t="s">
        <v>4927</v>
      </c>
      <c r="M2946" t="s">
        <v>23</v>
      </c>
      <c r="N2946">
        <v>10334000</v>
      </c>
      <c r="O2946">
        <v>4.3</v>
      </c>
      <c r="P2946" t="b">
        <v>1</v>
      </c>
    </row>
    <row r="2947" spans="1:16" x14ac:dyDescent="0.2">
      <c r="A2947" t="s">
        <v>4928</v>
      </c>
      <c r="B2947" s="1">
        <v>45318</v>
      </c>
      <c r="C2947" s="1">
        <v>45332</v>
      </c>
      <c r="D2947" t="s">
        <v>4929</v>
      </c>
      <c r="E2947" t="s">
        <v>45</v>
      </c>
      <c r="F2947" t="s">
        <v>39</v>
      </c>
      <c r="H2947" t="s">
        <v>47</v>
      </c>
      <c r="J2947">
        <v>1</v>
      </c>
      <c r="K2947">
        <v>2983000</v>
      </c>
      <c r="L2947" s="2" t="s">
        <v>4930</v>
      </c>
      <c r="M2947" t="s">
        <v>23</v>
      </c>
      <c r="N2947">
        <v>2525000</v>
      </c>
      <c r="O2947">
        <v>4</v>
      </c>
      <c r="P2947" t="b">
        <v>0</v>
      </c>
    </row>
    <row r="2948" spans="1:16" x14ac:dyDescent="0.2">
      <c r="A2948" t="s">
        <v>4931</v>
      </c>
      <c r="B2948" s="1">
        <v>45319</v>
      </c>
      <c r="C2948" s="1">
        <v>45388</v>
      </c>
      <c r="D2948" t="s">
        <v>4932</v>
      </c>
      <c r="E2948" t="s">
        <v>18</v>
      </c>
      <c r="F2948" t="s">
        <v>25</v>
      </c>
      <c r="G2948" t="s">
        <v>35</v>
      </c>
      <c r="H2948" t="s">
        <v>21</v>
      </c>
      <c r="I2948" t="s">
        <v>52</v>
      </c>
      <c r="J2948">
        <v>1</v>
      </c>
      <c r="K2948">
        <v>4816000</v>
      </c>
      <c r="L2948">
        <v>0</v>
      </c>
      <c r="M2948" t="s">
        <v>23</v>
      </c>
      <c r="N2948">
        <v>4816000</v>
      </c>
      <c r="O2948">
        <v>4</v>
      </c>
      <c r="P2948" t="b">
        <v>0</v>
      </c>
    </row>
    <row r="2949" spans="1:16" x14ac:dyDescent="0.2">
      <c r="A2949" t="s">
        <v>4933</v>
      </c>
      <c r="B2949" s="1">
        <v>45319</v>
      </c>
      <c r="C2949" s="1">
        <v>45368</v>
      </c>
      <c r="D2949" t="s">
        <v>4934</v>
      </c>
      <c r="E2949" t="s">
        <v>45</v>
      </c>
      <c r="F2949" t="s">
        <v>68</v>
      </c>
      <c r="G2949" t="s">
        <v>20</v>
      </c>
      <c r="H2949" t="s">
        <v>21</v>
      </c>
      <c r="J2949">
        <v>4</v>
      </c>
      <c r="K2949">
        <v>2006000</v>
      </c>
      <c r="L2949" s="2" t="s">
        <v>4935</v>
      </c>
      <c r="M2949" t="s">
        <v>65</v>
      </c>
      <c r="N2949">
        <v>0</v>
      </c>
      <c r="P2949" t="b">
        <v>0</v>
      </c>
    </row>
    <row r="2950" spans="1:16" x14ac:dyDescent="0.2">
      <c r="A2950" t="s">
        <v>4936</v>
      </c>
      <c r="B2950" s="1">
        <v>45319</v>
      </c>
      <c r="C2950" s="1">
        <v>45376</v>
      </c>
      <c r="D2950" t="s">
        <v>4937</v>
      </c>
      <c r="E2950" t="s">
        <v>33</v>
      </c>
      <c r="F2950" t="s">
        <v>45</v>
      </c>
      <c r="G2950" t="s">
        <v>50</v>
      </c>
      <c r="H2950" t="s">
        <v>21</v>
      </c>
      <c r="I2950" t="s">
        <v>57</v>
      </c>
      <c r="J2950">
        <v>2</v>
      </c>
      <c r="K2950">
        <v>3686000</v>
      </c>
      <c r="L2950">
        <v>8.1441922722682802E-2</v>
      </c>
      <c r="M2950" t="s">
        <v>1673</v>
      </c>
      <c r="N2950">
        <v>6772000</v>
      </c>
      <c r="O2950">
        <v>4.5</v>
      </c>
      <c r="P2950" t="b">
        <v>0</v>
      </c>
    </row>
    <row r="2951" spans="1:16" x14ac:dyDescent="0.2">
      <c r="A2951" t="s">
        <v>4938</v>
      </c>
      <c r="B2951" s="1">
        <v>45320</v>
      </c>
      <c r="C2951" s="1">
        <v>45347</v>
      </c>
      <c r="D2951" t="s">
        <v>351</v>
      </c>
      <c r="E2951" t="s">
        <v>18</v>
      </c>
      <c r="F2951" t="s">
        <v>45</v>
      </c>
      <c r="G2951" t="s">
        <v>20</v>
      </c>
      <c r="H2951" t="s">
        <v>47</v>
      </c>
      <c r="I2951" t="s">
        <v>57</v>
      </c>
      <c r="J2951">
        <v>1</v>
      </c>
      <c r="K2951">
        <v>4027000</v>
      </c>
      <c r="L2951">
        <v>7.63189413206386E-2</v>
      </c>
      <c r="M2951" t="s">
        <v>23</v>
      </c>
      <c r="N2951">
        <v>3720000</v>
      </c>
      <c r="O2951">
        <v>4.0999999999999996</v>
      </c>
      <c r="P2951" t="b">
        <v>1</v>
      </c>
    </row>
    <row r="2952" spans="1:16" x14ac:dyDescent="0.2">
      <c r="A2952" t="s">
        <v>4939</v>
      </c>
      <c r="B2952" s="1">
        <v>45320</v>
      </c>
      <c r="C2952" s="1">
        <v>45320</v>
      </c>
      <c r="D2952" t="s">
        <v>4940</v>
      </c>
      <c r="E2952" t="s">
        <v>45</v>
      </c>
      <c r="F2952" t="s">
        <v>34</v>
      </c>
      <c r="G2952" t="s">
        <v>50</v>
      </c>
      <c r="H2952" t="s">
        <v>21</v>
      </c>
      <c r="I2952" t="s">
        <v>57</v>
      </c>
      <c r="J2952">
        <v>2</v>
      </c>
      <c r="K2952">
        <v>4581000</v>
      </c>
      <c r="L2952">
        <v>9.30948557130893E-2</v>
      </c>
      <c r="M2952" t="s">
        <v>23</v>
      </c>
      <c r="N2952">
        <v>8309000</v>
      </c>
      <c r="O2952">
        <v>4.7</v>
      </c>
      <c r="P2952" t="b">
        <v>0</v>
      </c>
    </row>
    <row r="2953" spans="1:16" x14ac:dyDescent="0.2">
      <c r="A2953" t="s">
        <v>4941</v>
      </c>
      <c r="B2953" s="1">
        <v>45320</v>
      </c>
      <c r="C2953" s="1">
        <v>45371</v>
      </c>
      <c r="D2953" t="s">
        <v>654</v>
      </c>
      <c r="E2953" t="s">
        <v>33</v>
      </c>
      <c r="F2953" t="s">
        <v>45</v>
      </c>
      <c r="G2953" t="s">
        <v>20</v>
      </c>
      <c r="H2953" t="s">
        <v>21</v>
      </c>
      <c r="I2953" t="s">
        <v>94</v>
      </c>
      <c r="J2953">
        <v>2</v>
      </c>
      <c r="K2953">
        <v>3222000</v>
      </c>
      <c r="L2953" s="2" t="s">
        <v>4942</v>
      </c>
      <c r="M2953" t="s">
        <v>23</v>
      </c>
      <c r="N2953">
        <v>6044000</v>
      </c>
      <c r="O2953">
        <v>4.4000000000000004</v>
      </c>
      <c r="P2953" t="b">
        <v>1</v>
      </c>
    </row>
    <row r="2954" spans="1:16" x14ac:dyDescent="0.2">
      <c r="A2954" t="s">
        <v>4943</v>
      </c>
      <c r="B2954" s="1">
        <v>45320</v>
      </c>
      <c r="C2954" s="1">
        <v>45431</v>
      </c>
      <c r="D2954" t="s">
        <v>3103</v>
      </c>
      <c r="E2954" t="s">
        <v>18</v>
      </c>
      <c r="F2954" t="s">
        <v>39</v>
      </c>
      <c r="G2954" t="s">
        <v>35</v>
      </c>
      <c r="H2954" t="s">
        <v>21</v>
      </c>
      <c r="I2954" t="s">
        <v>26</v>
      </c>
      <c r="J2954">
        <v>1</v>
      </c>
      <c r="K2954">
        <v>2112000</v>
      </c>
      <c r="L2954" s="2" t="s">
        <v>4944</v>
      </c>
      <c r="M2954" t="s">
        <v>23</v>
      </c>
      <c r="N2954">
        <v>1882000</v>
      </c>
      <c r="O2954">
        <v>3.7</v>
      </c>
      <c r="P2954" t="b">
        <v>1</v>
      </c>
    </row>
    <row r="2955" spans="1:16" x14ac:dyDescent="0.2">
      <c r="A2955" t="s">
        <v>4945</v>
      </c>
      <c r="B2955" s="1">
        <v>45320</v>
      </c>
      <c r="C2955" s="1">
        <v>45380</v>
      </c>
      <c r="D2955" t="s">
        <v>2515</v>
      </c>
      <c r="F2955" t="s">
        <v>39</v>
      </c>
      <c r="G2955" t="s">
        <v>50</v>
      </c>
      <c r="H2955" t="s">
        <v>40</v>
      </c>
      <c r="I2955" t="s">
        <v>22</v>
      </c>
      <c r="J2955">
        <v>3</v>
      </c>
      <c r="K2955">
        <v>1985000</v>
      </c>
      <c r="L2955" s="2" t="s">
        <v>4946</v>
      </c>
      <c r="M2955" t="s">
        <v>23</v>
      </c>
      <c r="N2955">
        <v>5178000</v>
      </c>
      <c r="O2955">
        <v>4</v>
      </c>
      <c r="P2955" t="b">
        <v>1</v>
      </c>
    </row>
    <row r="2956" spans="1:16" x14ac:dyDescent="0.2">
      <c r="A2956" t="s">
        <v>4947</v>
      </c>
      <c r="B2956" s="1">
        <v>45320</v>
      </c>
      <c r="C2956" s="1">
        <v>45446</v>
      </c>
      <c r="D2956" t="s">
        <v>356</v>
      </c>
      <c r="E2956" t="s">
        <v>45</v>
      </c>
      <c r="F2956" t="s">
        <v>25</v>
      </c>
      <c r="G2956" t="s">
        <v>50</v>
      </c>
      <c r="H2956" t="s">
        <v>51</v>
      </c>
      <c r="I2956" t="s">
        <v>26</v>
      </c>
      <c r="J2956">
        <v>4</v>
      </c>
      <c r="K2956">
        <v>5455000</v>
      </c>
      <c r="L2956" s="2" t="s">
        <v>4948</v>
      </c>
      <c r="M2956" t="s">
        <v>23</v>
      </c>
      <c r="N2956">
        <v>19132000</v>
      </c>
      <c r="O2956">
        <v>4.8</v>
      </c>
      <c r="P2956" t="b">
        <v>1</v>
      </c>
    </row>
    <row r="2957" spans="1:16" x14ac:dyDescent="0.2">
      <c r="A2957" t="s">
        <v>4949</v>
      </c>
      <c r="B2957" s="1">
        <v>45321</v>
      </c>
      <c r="C2957" s="1">
        <v>45353</v>
      </c>
      <c r="D2957" t="s">
        <v>1283</v>
      </c>
      <c r="E2957" t="s">
        <v>45</v>
      </c>
      <c r="F2957" t="s">
        <v>34</v>
      </c>
      <c r="G2957" t="s">
        <v>20</v>
      </c>
      <c r="H2957" t="s">
        <v>21</v>
      </c>
      <c r="I2957" t="s">
        <v>94</v>
      </c>
      <c r="J2957">
        <v>1</v>
      </c>
      <c r="K2957">
        <v>4220000</v>
      </c>
      <c r="L2957" s="2" t="s">
        <v>4950</v>
      </c>
      <c r="M2957" t="s">
        <v>23</v>
      </c>
      <c r="N2957">
        <v>3496000</v>
      </c>
      <c r="O2957">
        <v>4.4000000000000004</v>
      </c>
      <c r="P2957" t="b">
        <v>1</v>
      </c>
    </row>
    <row r="2958" spans="1:16" x14ac:dyDescent="0.2">
      <c r="A2958" t="s">
        <v>4951</v>
      </c>
      <c r="B2958" s="1">
        <v>45321</v>
      </c>
      <c r="C2958" s="1">
        <v>45387</v>
      </c>
      <c r="D2958" t="s">
        <v>2569</v>
      </c>
      <c r="F2958" t="s">
        <v>25</v>
      </c>
      <c r="G2958" t="s">
        <v>20</v>
      </c>
      <c r="H2958" t="s">
        <v>21</v>
      </c>
      <c r="I2958" t="s">
        <v>83</v>
      </c>
      <c r="J2958">
        <v>1</v>
      </c>
      <c r="K2958">
        <v>5041000</v>
      </c>
      <c r="L2958" s="2" t="s">
        <v>4952</v>
      </c>
      <c r="M2958" t="s">
        <v>23</v>
      </c>
      <c r="N2958">
        <v>4328000</v>
      </c>
      <c r="O2958">
        <v>4.0999999999999996</v>
      </c>
      <c r="P2958" t="b">
        <v>1</v>
      </c>
    </row>
    <row r="2959" spans="1:16" x14ac:dyDescent="0.2">
      <c r="A2959" t="s">
        <v>4953</v>
      </c>
      <c r="B2959" s="1">
        <v>45321</v>
      </c>
      <c r="C2959" s="1">
        <v>45404</v>
      </c>
      <c r="D2959" t="s">
        <v>4954</v>
      </c>
      <c r="E2959" t="s">
        <v>45</v>
      </c>
      <c r="F2959" t="s">
        <v>45</v>
      </c>
      <c r="G2959" t="s">
        <v>35</v>
      </c>
      <c r="H2959" t="s">
        <v>21</v>
      </c>
      <c r="I2959" t="s">
        <v>60</v>
      </c>
      <c r="J2959">
        <v>4</v>
      </c>
      <c r="K2959">
        <v>3538000</v>
      </c>
      <c r="L2959" s="2" t="s">
        <v>4955</v>
      </c>
      <c r="M2959" t="s">
        <v>23</v>
      </c>
      <c r="N2959">
        <v>11719000</v>
      </c>
      <c r="O2959">
        <v>4.8</v>
      </c>
      <c r="P2959" t="b">
        <v>0</v>
      </c>
    </row>
    <row r="2960" spans="1:16" x14ac:dyDescent="0.2">
      <c r="A2960" t="s">
        <v>4956</v>
      </c>
      <c r="B2960" s="1">
        <v>45322</v>
      </c>
      <c r="C2960" s="1">
        <v>45366</v>
      </c>
      <c r="D2960" t="s">
        <v>4957</v>
      </c>
      <c r="E2960" t="s">
        <v>18</v>
      </c>
      <c r="F2960" t="s">
        <v>25</v>
      </c>
      <c r="G2960" t="s">
        <v>20</v>
      </c>
      <c r="H2960" t="s">
        <v>47</v>
      </c>
      <c r="I2960" t="s">
        <v>83</v>
      </c>
      <c r="J2960">
        <v>1</v>
      </c>
      <c r="K2960">
        <v>4548000</v>
      </c>
      <c r="L2960">
        <v>3.5962031946122297E-2</v>
      </c>
      <c r="M2960" t="s">
        <v>23</v>
      </c>
      <c r="N2960">
        <v>4384000</v>
      </c>
      <c r="O2960">
        <v>3.9</v>
      </c>
      <c r="P2960" t="b">
        <v>0</v>
      </c>
    </row>
    <row r="2961" spans="1:16" x14ac:dyDescent="0.2">
      <c r="A2961" t="s">
        <v>4958</v>
      </c>
      <c r="B2961" s="1">
        <v>45322</v>
      </c>
      <c r="C2961" s="1">
        <v>45410</v>
      </c>
      <c r="D2961" t="s">
        <v>3377</v>
      </c>
      <c r="E2961" t="s">
        <v>45</v>
      </c>
      <c r="F2961" t="s">
        <v>45</v>
      </c>
      <c r="G2961" t="s">
        <v>35</v>
      </c>
      <c r="H2961" t="s">
        <v>40</v>
      </c>
      <c r="I2961" t="s">
        <v>83</v>
      </c>
      <c r="J2961">
        <v>1</v>
      </c>
      <c r="K2961">
        <v>2806000</v>
      </c>
      <c r="L2961">
        <v>9.1718302742280003E-2</v>
      </c>
      <c r="M2961" t="s">
        <v>23</v>
      </c>
      <c r="N2961">
        <v>2549000</v>
      </c>
      <c r="O2961">
        <v>4.3</v>
      </c>
      <c r="P2961" t="b">
        <v>1</v>
      </c>
    </row>
    <row r="2962" spans="1:16" x14ac:dyDescent="0.2">
      <c r="A2962" t="s">
        <v>4959</v>
      </c>
      <c r="B2962" s="1">
        <v>45322</v>
      </c>
      <c r="C2962" s="1">
        <v>45388</v>
      </c>
      <c r="D2962" t="s">
        <v>4960</v>
      </c>
      <c r="E2962" t="s">
        <v>29</v>
      </c>
      <c r="F2962" t="s">
        <v>25</v>
      </c>
      <c r="G2962" t="s">
        <v>20</v>
      </c>
      <c r="H2962" t="s">
        <v>40</v>
      </c>
      <c r="I2962" t="s">
        <v>22</v>
      </c>
      <c r="J2962">
        <v>2</v>
      </c>
      <c r="K2962">
        <v>5113000</v>
      </c>
      <c r="L2962" s="2" t="s">
        <v>4961</v>
      </c>
      <c r="M2962" t="s">
        <v>23</v>
      </c>
      <c r="N2962">
        <v>8207000</v>
      </c>
      <c r="O2962">
        <v>4.9000000000000004</v>
      </c>
      <c r="P2962" t="b">
        <v>0</v>
      </c>
    </row>
    <row r="2963" spans="1:16" x14ac:dyDescent="0.2">
      <c r="A2963" t="s">
        <v>4962</v>
      </c>
      <c r="B2963" s="1">
        <v>45322</v>
      </c>
      <c r="C2963" s="1">
        <v>45409</v>
      </c>
      <c r="D2963" t="s">
        <v>209</v>
      </c>
      <c r="E2963" t="s">
        <v>18</v>
      </c>
      <c r="F2963" t="s">
        <v>34</v>
      </c>
      <c r="G2963" t="s">
        <v>20</v>
      </c>
      <c r="H2963" t="s">
        <v>21</v>
      </c>
      <c r="I2963" t="s">
        <v>52</v>
      </c>
      <c r="J2963">
        <v>2</v>
      </c>
      <c r="K2963">
        <v>3457000</v>
      </c>
      <c r="L2963" s="2" t="s">
        <v>4963</v>
      </c>
      <c r="M2963" t="s">
        <v>23</v>
      </c>
      <c r="N2963">
        <v>6014000</v>
      </c>
      <c r="O2963">
        <v>3.8</v>
      </c>
      <c r="P2963" t="b">
        <v>1</v>
      </c>
    </row>
    <row r="2964" spans="1:16" x14ac:dyDescent="0.2">
      <c r="A2964" t="s">
        <v>4964</v>
      </c>
      <c r="B2964" s="1">
        <v>45322</v>
      </c>
      <c r="C2964" s="1">
        <v>45340</v>
      </c>
      <c r="D2964" t="s">
        <v>4871</v>
      </c>
      <c r="E2964" t="s">
        <v>33</v>
      </c>
      <c r="F2964" t="s">
        <v>25</v>
      </c>
      <c r="G2964" t="s">
        <v>50</v>
      </c>
      <c r="H2964" t="s">
        <v>21</v>
      </c>
      <c r="I2964" t="s">
        <v>60</v>
      </c>
      <c r="J2964">
        <v>1</v>
      </c>
      <c r="K2964">
        <v>5777000</v>
      </c>
      <c r="L2964">
        <v>9.1345249622021299E-2</v>
      </c>
      <c r="M2964" t="s">
        <v>65</v>
      </c>
      <c r="N2964">
        <v>0</v>
      </c>
      <c r="P2964" t="b">
        <v>1</v>
      </c>
    </row>
    <row r="2965" spans="1:16" x14ac:dyDescent="0.2">
      <c r="A2965" t="s">
        <v>4965</v>
      </c>
      <c r="B2965" s="1">
        <v>45323</v>
      </c>
      <c r="C2965" s="1">
        <v>45385</v>
      </c>
      <c r="D2965" t="s">
        <v>1965</v>
      </c>
      <c r="E2965" t="s">
        <v>18</v>
      </c>
      <c r="F2965" t="s">
        <v>34</v>
      </c>
      <c r="G2965" t="s">
        <v>20</v>
      </c>
      <c r="H2965" t="s">
        <v>51</v>
      </c>
      <c r="I2965" t="s">
        <v>99</v>
      </c>
      <c r="J2965">
        <v>1</v>
      </c>
      <c r="K2965">
        <v>4537000</v>
      </c>
      <c r="L2965">
        <v>6.4868509025489601E-2</v>
      </c>
      <c r="M2965" t="s">
        <v>23</v>
      </c>
      <c r="N2965">
        <v>4243000</v>
      </c>
      <c r="O2965">
        <v>3.2</v>
      </c>
      <c r="P2965" t="b">
        <v>1</v>
      </c>
    </row>
    <row r="2966" spans="1:16" x14ac:dyDescent="0.2">
      <c r="A2966" t="s">
        <v>4966</v>
      </c>
      <c r="B2966" s="1">
        <v>45323</v>
      </c>
      <c r="C2966" s="1">
        <v>45370</v>
      </c>
      <c r="D2966" t="s">
        <v>2026</v>
      </c>
      <c r="E2966" t="s">
        <v>33</v>
      </c>
      <c r="F2966" t="s">
        <v>34</v>
      </c>
      <c r="G2966" t="s">
        <v>50</v>
      </c>
      <c r="H2966" t="s">
        <v>21</v>
      </c>
      <c r="I2966" t="s">
        <v>83</v>
      </c>
      <c r="J2966">
        <v>3</v>
      </c>
      <c r="K2966">
        <v>4053000</v>
      </c>
      <c r="L2966" s="2" t="s">
        <v>4967</v>
      </c>
      <c r="M2966" t="s">
        <v>23</v>
      </c>
      <c r="N2966">
        <v>11755000</v>
      </c>
      <c r="O2966">
        <v>4.9000000000000004</v>
      </c>
      <c r="P2966" t="b">
        <v>1</v>
      </c>
    </row>
    <row r="2967" spans="1:16" x14ac:dyDescent="0.2">
      <c r="A2967" t="s">
        <v>4968</v>
      </c>
      <c r="B2967" s="1">
        <v>45324</v>
      </c>
      <c r="C2967" s="1">
        <v>45378</v>
      </c>
      <c r="D2967" t="s">
        <v>762</v>
      </c>
      <c r="E2967" t="s">
        <v>18</v>
      </c>
      <c r="F2967" t="s">
        <v>34</v>
      </c>
      <c r="G2967" t="s">
        <v>20</v>
      </c>
      <c r="H2967" t="s">
        <v>40</v>
      </c>
      <c r="I2967" t="s">
        <v>26</v>
      </c>
      <c r="J2967">
        <v>2</v>
      </c>
      <c r="K2967">
        <v>4063000</v>
      </c>
      <c r="L2967" s="2" t="s">
        <v>4969</v>
      </c>
      <c r="M2967" t="s">
        <v>23</v>
      </c>
      <c r="N2967">
        <v>7295000</v>
      </c>
      <c r="O2967">
        <v>3.8</v>
      </c>
      <c r="P2967" t="b">
        <v>1</v>
      </c>
    </row>
    <row r="2968" spans="1:16" x14ac:dyDescent="0.2">
      <c r="A2968" t="s">
        <v>4970</v>
      </c>
      <c r="B2968" s="1">
        <v>45324</v>
      </c>
      <c r="C2968" s="1">
        <v>45389</v>
      </c>
      <c r="D2968" t="s">
        <v>4009</v>
      </c>
      <c r="E2968" t="s">
        <v>45</v>
      </c>
      <c r="F2968" t="s">
        <v>39</v>
      </c>
      <c r="G2968" t="s">
        <v>20</v>
      </c>
      <c r="H2968" t="s">
        <v>40</v>
      </c>
      <c r="I2968" t="s">
        <v>57</v>
      </c>
      <c r="J2968">
        <v>2</v>
      </c>
      <c r="K2968">
        <v>2647000</v>
      </c>
      <c r="L2968" s="2" t="s">
        <v>4971</v>
      </c>
      <c r="M2968" t="s">
        <v>23</v>
      </c>
      <c r="N2968">
        <v>5057000</v>
      </c>
      <c r="O2968">
        <v>3.5</v>
      </c>
      <c r="P2968" t="b">
        <v>1</v>
      </c>
    </row>
    <row r="2969" spans="1:16" x14ac:dyDescent="0.2">
      <c r="A2969" t="s">
        <v>4972</v>
      </c>
      <c r="B2969" s="1">
        <v>45324</v>
      </c>
      <c r="C2969" s="1">
        <v>45389</v>
      </c>
      <c r="D2969" t="s">
        <v>4973</v>
      </c>
      <c r="E2969" t="s">
        <v>45</v>
      </c>
      <c r="F2969" t="s">
        <v>45</v>
      </c>
      <c r="G2969" t="s">
        <v>20</v>
      </c>
      <c r="H2969" t="s">
        <v>21</v>
      </c>
      <c r="I2969" t="s">
        <v>94</v>
      </c>
      <c r="J2969">
        <v>2</v>
      </c>
      <c r="K2969">
        <v>3263000</v>
      </c>
      <c r="L2969">
        <v>7.7106566008046301E-2</v>
      </c>
      <c r="M2969" t="s">
        <v>23</v>
      </c>
      <c r="N2969">
        <v>6023000</v>
      </c>
      <c r="O2969">
        <v>4.5</v>
      </c>
      <c r="P2969" t="b">
        <v>0</v>
      </c>
    </row>
    <row r="2970" spans="1:16" x14ac:dyDescent="0.2">
      <c r="A2970" t="s">
        <v>4974</v>
      </c>
      <c r="B2970" s="1">
        <v>45324</v>
      </c>
      <c r="C2970" s="1">
        <v>45408</v>
      </c>
      <c r="D2970" t="s">
        <v>323</v>
      </c>
      <c r="E2970" t="s">
        <v>33</v>
      </c>
      <c r="F2970" t="s">
        <v>34</v>
      </c>
      <c r="G2970" t="s">
        <v>35</v>
      </c>
      <c r="H2970" t="s">
        <v>21</v>
      </c>
      <c r="I2970" t="s">
        <v>30</v>
      </c>
      <c r="J2970">
        <v>1</v>
      </c>
      <c r="K2970">
        <v>4109000</v>
      </c>
      <c r="L2970" s="2" t="s">
        <v>4975</v>
      </c>
      <c r="M2970" t="s">
        <v>23</v>
      </c>
      <c r="N2970">
        <v>3626000</v>
      </c>
      <c r="O2970">
        <v>3.3</v>
      </c>
      <c r="P2970" t="b">
        <v>1</v>
      </c>
    </row>
    <row r="2971" spans="1:16" x14ac:dyDescent="0.2">
      <c r="A2971" t="s">
        <v>4976</v>
      </c>
      <c r="B2971" s="1">
        <v>45325</v>
      </c>
      <c r="C2971" s="1">
        <v>45342</v>
      </c>
      <c r="D2971" t="s">
        <v>3040</v>
      </c>
      <c r="E2971" t="s">
        <v>33</v>
      </c>
      <c r="F2971" t="s">
        <v>34</v>
      </c>
      <c r="G2971" t="s">
        <v>20</v>
      </c>
      <c r="H2971" t="s">
        <v>21</v>
      </c>
      <c r="I2971" t="s">
        <v>30</v>
      </c>
      <c r="J2971">
        <v>1</v>
      </c>
      <c r="K2971">
        <v>4146000</v>
      </c>
      <c r="L2971" s="3">
        <v>4.9000000000000002E-2</v>
      </c>
      <c r="M2971" t="s">
        <v>23</v>
      </c>
      <c r="N2971">
        <v>3944000</v>
      </c>
      <c r="O2971">
        <v>4.3</v>
      </c>
      <c r="P2971" t="b">
        <v>1</v>
      </c>
    </row>
    <row r="2972" spans="1:16" x14ac:dyDescent="0.2">
      <c r="A2972" t="s">
        <v>4977</v>
      </c>
      <c r="B2972" s="1">
        <v>45326</v>
      </c>
      <c r="C2972" s="1">
        <v>45370</v>
      </c>
      <c r="D2972" t="s">
        <v>1908</v>
      </c>
      <c r="E2972" t="s">
        <v>18</v>
      </c>
      <c r="F2972" t="s">
        <v>19</v>
      </c>
      <c r="G2972" t="s">
        <v>50</v>
      </c>
      <c r="I2972" t="s">
        <v>26</v>
      </c>
      <c r="J2972">
        <v>4</v>
      </c>
      <c r="K2972">
        <v>2646000</v>
      </c>
      <c r="L2972">
        <v>9.71883459119771E-2</v>
      </c>
      <c r="M2972" t="s">
        <v>23</v>
      </c>
      <c r="N2972">
        <v>9555000</v>
      </c>
      <c r="O2972">
        <v>4.2</v>
      </c>
      <c r="P2972" t="b">
        <v>1</v>
      </c>
    </row>
    <row r="2973" spans="1:16" x14ac:dyDescent="0.2">
      <c r="A2973" t="s">
        <v>4978</v>
      </c>
      <c r="B2973" s="1">
        <v>45326</v>
      </c>
      <c r="C2973" s="1">
        <v>45381</v>
      </c>
      <c r="D2973" t="s">
        <v>4979</v>
      </c>
      <c r="E2973" t="s">
        <v>45</v>
      </c>
      <c r="F2973" t="s">
        <v>25</v>
      </c>
      <c r="G2973" t="s">
        <v>46</v>
      </c>
      <c r="H2973" t="s">
        <v>21</v>
      </c>
      <c r="I2973" t="s">
        <v>30</v>
      </c>
      <c r="J2973">
        <v>2</v>
      </c>
      <c r="K2973">
        <v>5365000</v>
      </c>
      <c r="L2973" s="2" t="s">
        <v>4980</v>
      </c>
      <c r="M2973" t="s">
        <v>23</v>
      </c>
      <c r="N2973">
        <v>9400000</v>
      </c>
      <c r="O2973">
        <v>4.5999999999999996</v>
      </c>
      <c r="P2973" t="b">
        <v>0</v>
      </c>
    </row>
    <row r="2974" spans="1:16" x14ac:dyDescent="0.2">
      <c r="A2974" t="s">
        <v>4981</v>
      </c>
      <c r="B2974" s="1">
        <v>45327</v>
      </c>
      <c r="C2974" s="1">
        <v>45343</v>
      </c>
      <c r="D2974" t="s">
        <v>4982</v>
      </c>
      <c r="E2974" t="s">
        <v>33</v>
      </c>
      <c r="F2974" t="s">
        <v>34</v>
      </c>
      <c r="G2974" t="s">
        <v>20</v>
      </c>
      <c r="H2974" t="s">
        <v>40</v>
      </c>
      <c r="I2974" t="s">
        <v>60</v>
      </c>
      <c r="J2974">
        <v>4</v>
      </c>
      <c r="K2974">
        <v>4515000</v>
      </c>
      <c r="L2974" s="2" t="s">
        <v>4983</v>
      </c>
      <c r="M2974" t="s">
        <v>23</v>
      </c>
      <c r="N2974">
        <v>15768000</v>
      </c>
      <c r="O2974">
        <v>3.2</v>
      </c>
      <c r="P2974" t="b">
        <v>0</v>
      </c>
    </row>
    <row r="2975" spans="1:16" x14ac:dyDescent="0.2">
      <c r="A2975" t="s">
        <v>4984</v>
      </c>
      <c r="B2975" s="1">
        <v>45327</v>
      </c>
      <c r="C2975" s="1">
        <v>45399</v>
      </c>
      <c r="D2975" t="s">
        <v>466</v>
      </c>
      <c r="E2975" t="s">
        <v>18</v>
      </c>
      <c r="F2975" t="s">
        <v>34</v>
      </c>
      <c r="H2975" t="s">
        <v>47</v>
      </c>
      <c r="I2975" t="s">
        <v>1654</v>
      </c>
      <c r="J2975">
        <v>1</v>
      </c>
      <c r="K2975">
        <v>3125000</v>
      </c>
      <c r="L2975" s="2" t="s">
        <v>4985</v>
      </c>
      <c r="M2975" t="s">
        <v>23</v>
      </c>
      <c r="N2975">
        <v>2765000</v>
      </c>
      <c r="O2975">
        <v>4.7</v>
      </c>
      <c r="P2975" t="b">
        <v>1</v>
      </c>
    </row>
    <row r="2976" spans="1:16" x14ac:dyDescent="0.2">
      <c r="A2976" t="s">
        <v>4986</v>
      </c>
      <c r="B2976" s="1">
        <v>45328</v>
      </c>
      <c r="C2976" s="1">
        <v>45381</v>
      </c>
      <c r="D2976" t="s">
        <v>890</v>
      </c>
      <c r="E2976" t="s">
        <v>33</v>
      </c>
      <c r="F2976" t="s">
        <v>68</v>
      </c>
      <c r="G2976" t="s">
        <v>20</v>
      </c>
      <c r="H2976" t="s">
        <v>21</v>
      </c>
      <c r="I2976" t="s">
        <v>83</v>
      </c>
      <c r="J2976">
        <v>2</v>
      </c>
      <c r="K2976">
        <v>1993000</v>
      </c>
      <c r="L2976" s="2" t="s">
        <v>4987</v>
      </c>
      <c r="M2976" t="s">
        <v>65</v>
      </c>
      <c r="N2976">
        <v>0</v>
      </c>
      <c r="P2976" t="b">
        <v>1</v>
      </c>
    </row>
    <row r="2977" spans="1:16" x14ac:dyDescent="0.2">
      <c r="A2977" t="s">
        <v>4988</v>
      </c>
      <c r="B2977" s="1">
        <v>45328</v>
      </c>
      <c r="C2977" s="1">
        <v>45359</v>
      </c>
      <c r="D2977" t="s">
        <v>155</v>
      </c>
      <c r="E2977" t="s">
        <v>45</v>
      </c>
      <c r="F2977" t="s">
        <v>25</v>
      </c>
      <c r="G2977" t="s">
        <v>20</v>
      </c>
      <c r="H2977" t="s">
        <v>21</v>
      </c>
      <c r="I2977" t="s">
        <v>77</v>
      </c>
      <c r="J2977">
        <v>2</v>
      </c>
      <c r="K2977">
        <v>5479000</v>
      </c>
      <c r="L2977">
        <v>6.7276482279982702E-2</v>
      </c>
      <c r="M2977" t="s">
        <v>23</v>
      </c>
      <c r="N2977">
        <v>10221000</v>
      </c>
      <c r="O2977">
        <v>4.9000000000000004</v>
      </c>
      <c r="P2977" t="b">
        <v>1</v>
      </c>
    </row>
    <row r="2978" spans="1:16" x14ac:dyDescent="0.2">
      <c r="A2978" t="s">
        <v>4989</v>
      </c>
      <c r="B2978" s="1">
        <v>45328</v>
      </c>
      <c r="C2978" s="1">
        <v>45376</v>
      </c>
      <c r="D2978" t="s">
        <v>705</v>
      </c>
      <c r="E2978" t="s">
        <v>33</v>
      </c>
      <c r="F2978" t="s">
        <v>34</v>
      </c>
      <c r="G2978" t="s">
        <v>46</v>
      </c>
      <c r="H2978" t="s">
        <v>21</v>
      </c>
      <c r="I2978" t="s">
        <v>77</v>
      </c>
      <c r="J2978">
        <v>1</v>
      </c>
      <c r="K2978">
        <v>3971000</v>
      </c>
      <c r="L2978">
        <v>8.1363677367320503E-2</v>
      </c>
      <c r="M2978" t="s">
        <v>23</v>
      </c>
      <c r="N2978">
        <v>3648000</v>
      </c>
      <c r="O2978">
        <v>3.9</v>
      </c>
      <c r="P2978" t="b">
        <v>1</v>
      </c>
    </row>
    <row r="2979" spans="1:16" x14ac:dyDescent="0.2">
      <c r="A2979" t="s">
        <v>4990</v>
      </c>
      <c r="B2979" s="1">
        <v>45328</v>
      </c>
      <c r="C2979" s="1">
        <v>45382</v>
      </c>
      <c r="D2979" t="s">
        <v>4991</v>
      </c>
      <c r="E2979" t="s">
        <v>18</v>
      </c>
      <c r="F2979" t="s">
        <v>68</v>
      </c>
      <c r="G2979" t="s">
        <v>20</v>
      </c>
      <c r="H2979" t="s">
        <v>47</v>
      </c>
      <c r="I2979" t="s">
        <v>94</v>
      </c>
      <c r="J2979">
        <v>1</v>
      </c>
      <c r="K2979">
        <v>2135000</v>
      </c>
      <c r="L2979" s="2" t="s">
        <v>4992</v>
      </c>
      <c r="M2979" t="s">
        <v>23</v>
      </c>
      <c r="N2979">
        <v>1783000</v>
      </c>
      <c r="O2979">
        <v>3.4</v>
      </c>
      <c r="P2979" t="b">
        <v>0</v>
      </c>
    </row>
    <row r="2980" spans="1:16" x14ac:dyDescent="0.2">
      <c r="A2980" t="s">
        <v>4993</v>
      </c>
      <c r="B2980" s="1">
        <v>45328</v>
      </c>
      <c r="C2980" s="1">
        <v>45403</v>
      </c>
      <c r="D2980" t="s">
        <v>3337</v>
      </c>
      <c r="E2980" t="s">
        <v>45</v>
      </c>
      <c r="F2980" t="s">
        <v>34</v>
      </c>
      <c r="G2980" t="s">
        <v>20</v>
      </c>
      <c r="H2980" t="s">
        <v>21</v>
      </c>
      <c r="I2980" t="s">
        <v>52</v>
      </c>
      <c r="J2980">
        <v>2</v>
      </c>
      <c r="K2980">
        <v>3593000</v>
      </c>
      <c r="L2980" s="2" t="s">
        <v>4994</v>
      </c>
      <c r="M2980" t="s">
        <v>23</v>
      </c>
      <c r="N2980">
        <v>5873000</v>
      </c>
      <c r="O2980">
        <v>4.0999999999999996</v>
      </c>
      <c r="P2980" t="b">
        <v>1</v>
      </c>
    </row>
    <row r="2981" spans="1:16" x14ac:dyDescent="0.2">
      <c r="A2981" t="s">
        <v>4995</v>
      </c>
      <c r="B2981" s="1">
        <v>45329</v>
      </c>
      <c r="C2981" s="1">
        <v>45345</v>
      </c>
      <c r="D2981" t="s">
        <v>4996</v>
      </c>
      <c r="E2981" t="s">
        <v>45</v>
      </c>
      <c r="F2981" t="s">
        <v>25</v>
      </c>
      <c r="G2981" t="s">
        <v>20</v>
      </c>
      <c r="H2981" t="s">
        <v>21</v>
      </c>
      <c r="I2981" t="s">
        <v>26</v>
      </c>
      <c r="J2981">
        <v>1</v>
      </c>
      <c r="K2981">
        <v>5792000</v>
      </c>
      <c r="L2981">
        <v>7.1947307712144706E-2</v>
      </c>
      <c r="M2981" t="s">
        <v>23</v>
      </c>
      <c r="N2981">
        <v>5375000</v>
      </c>
      <c r="O2981">
        <v>4</v>
      </c>
      <c r="P2981" t="b">
        <v>0</v>
      </c>
    </row>
    <row r="2982" spans="1:16" x14ac:dyDescent="0.2">
      <c r="A2982" t="s">
        <v>4997</v>
      </c>
      <c r="B2982" s="1">
        <v>45329</v>
      </c>
      <c r="C2982" s="1">
        <v>45338</v>
      </c>
      <c r="D2982" t="s">
        <v>4998</v>
      </c>
      <c r="F2982" t="s">
        <v>25</v>
      </c>
      <c r="G2982" t="s">
        <v>20</v>
      </c>
      <c r="H2982" t="s">
        <v>40</v>
      </c>
      <c r="I2982" t="s">
        <v>52</v>
      </c>
      <c r="J2982">
        <v>2</v>
      </c>
      <c r="K2982">
        <v>4592000</v>
      </c>
      <c r="L2982">
        <v>8.2109024469208799E-2</v>
      </c>
      <c r="M2982" t="s">
        <v>23</v>
      </c>
      <c r="N2982">
        <v>8430000</v>
      </c>
      <c r="O2982">
        <v>4.7</v>
      </c>
      <c r="P2982" t="b">
        <v>0</v>
      </c>
    </row>
    <row r="2983" spans="1:16" x14ac:dyDescent="0.2">
      <c r="A2983" t="s">
        <v>4999</v>
      </c>
      <c r="B2983" s="1">
        <v>45330</v>
      </c>
      <c r="C2983" s="1">
        <v>45368</v>
      </c>
      <c r="D2983" t="s">
        <v>522</v>
      </c>
      <c r="E2983" t="s">
        <v>33</v>
      </c>
      <c r="F2983" t="s">
        <v>68</v>
      </c>
      <c r="G2983" t="s">
        <v>35</v>
      </c>
      <c r="H2983" t="s">
        <v>21</v>
      </c>
      <c r="I2983" t="s">
        <v>5000</v>
      </c>
      <c r="J2983">
        <v>1</v>
      </c>
      <c r="K2983">
        <v>2399000</v>
      </c>
      <c r="L2983">
        <v>8.1211884561166098E-2</v>
      </c>
      <c r="M2983" t="s">
        <v>23</v>
      </c>
      <c r="N2983">
        <v>2204000</v>
      </c>
      <c r="O2983">
        <v>3.9</v>
      </c>
      <c r="P2983" t="b">
        <v>1</v>
      </c>
    </row>
    <row r="2984" spans="1:16" x14ac:dyDescent="0.2">
      <c r="A2984" t="s">
        <v>5001</v>
      </c>
      <c r="B2984" s="1">
        <v>45330</v>
      </c>
      <c r="C2984" s="1">
        <v>45386</v>
      </c>
      <c r="D2984" t="s">
        <v>5002</v>
      </c>
      <c r="E2984" t="s">
        <v>18</v>
      </c>
      <c r="F2984" t="s">
        <v>25</v>
      </c>
      <c r="G2984" t="s">
        <v>50</v>
      </c>
      <c r="H2984" t="s">
        <v>21</v>
      </c>
      <c r="I2984" t="s">
        <v>1654</v>
      </c>
      <c r="J2984">
        <v>4</v>
      </c>
      <c r="K2984">
        <v>3792000</v>
      </c>
      <c r="L2984">
        <v>9.3130084091797294E-2</v>
      </c>
      <c r="M2984" t="s">
        <v>23</v>
      </c>
      <c r="N2984">
        <v>13755000</v>
      </c>
      <c r="O2984">
        <v>4.7</v>
      </c>
      <c r="P2984" t="b">
        <v>0</v>
      </c>
    </row>
    <row r="2985" spans="1:16" x14ac:dyDescent="0.2">
      <c r="A2985" t="s">
        <v>5003</v>
      </c>
      <c r="B2985" s="1">
        <v>45331</v>
      </c>
      <c r="C2985" s="1">
        <v>45362</v>
      </c>
      <c r="D2985" t="s">
        <v>727</v>
      </c>
      <c r="E2985" t="s">
        <v>45</v>
      </c>
      <c r="F2985" t="s">
        <v>34</v>
      </c>
      <c r="G2985" t="s">
        <v>20</v>
      </c>
      <c r="H2985" t="s">
        <v>40</v>
      </c>
      <c r="I2985" t="s">
        <v>30</v>
      </c>
      <c r="J2985">
        <v>3</v>
      </c>
      <c r="K2985">
        <v>3551000</v>
      </c>
      <c r="L2985">
        <v>9.4730653407038998E-2</v>
      </c>
      <c r="M2985" t="s">
        <v>23</v>
      </c>
      <c r="N2985">
        <v>9644000</v>
      </c>
      <c r="O2985">
        <v>4.4000000000000004</v>
      </c>
      <c r="P2985" t="b">
        <v>1</v>
      </c>
    </row>
    <row r="2986" spans="1:16" x14ac:dyDescent="0.2">
      <c r="A2986" t="s">
        <v>5004</v>
      </c>
      <c r="B2986" s="1">
        <v>45331</v>
      </c>
      <c r="C2986" s="1">
        <v>45379</v>
      </c>
      <c r="D2986" t="s">
        <v>1053</v>
      </c>
      <c r="E2986" t="s">
        <v>45</v>
      </c>
      <c r="F2986" t="s">
        <v>45</v>
      </c>
      <c r="G2986" t="s">
        <v>20</v>
      </c>
      <c r="H2986" t="s">
        <v>21</v>
      </c>
      <c r="I2986" t="s">
        <v>52</v>
      </c>
      <c r="J2986">
        <v>4</v>
      </c>
      <c r="K2986">
        <v>3003000</v>
      </c>
      <c r="L2986" s="2" t="s">
        <v>5005</v>
      </c>
      <c r="M2986" t="s">
        <v>23</v>
      </c>
      <c r="N2986">
        <v>10810000</v>
      </c>
      <c r="O2986">
        <v>4</v>
      </c>
      <c r="P2986" t="b">
        <v>1</v>
      </c>
    </row>
    <row r="2987" spans="1:16" x14ac:dyDescent="0.2">
      <c r="A2987" t="s">
        <v>5006</v>
      </c>
      <c r="B2987" s="1">
        <v>45331</v>
      </c>
      <c r="C2987" s="1">
        <v>45375</v>
      </c>
      <c r="D2987" t="s">
        <v>151</v>
      </c>
      <c r="E2987" t="s">
        <v>45</v>
      </c>
      <c r="F2987" t="s">
        <v>34</v>
      </c>
      <c r="G2987" t="s">
        <v>35</v>
      </c>
      <c r="H2987" t="s">
        <v>21</v>
      </c>
      <c r="I2987" t="s">
        <v>60</v>
      </c>
      <c r="J2987">
        <v>1</v>
      </c>
      <c r="K2987">
        <v>4578000</v>
      </c>
      <c r="L2987">
        <v>8.3716265586271807E-2</v>
      </c>
      <c r="M2987" t="s">
        <v>23</v>
      </c>
      <c r="N2987">
        <v>4195000</v>
      </c>
      <c r="O2987">
        <v>4.0999999999999996</v>
      </c>
      <c r="P2987" t="b">
        <v>1</v>
      </c>
    </row>
    <row r="2988" spans="1:16" x14ac:dyDescent="0.2">
      <c r="A2988" t="s">
        <v>5007</v>
      </c>
      <c r="B2988" s="1">
        <v>45332</v>
      </c>
      <c r="C2988" s="1">
        <v>45346</v>
      </c>
      <c r="D2988" t="s">
        <v>3742</v>
      </c>
      <c r="E2988" t="s">
        <v>29</v>
      </c>
      <c r="F2988" t="s">
        <v>34</v>
      </c>
      <c r="G2988" t="s">
        <v>20</v>
      </c>
      <c r="H2988" t="s">
        <v>21</v>
      </c>
      <c r="I2988" t="s">
        <v>22</v>
      </c>
      <c r="J2988">
        <v>2</v>
      </c>
      <c r="K2988">
        <v>3898000</v>
      </c>
      <c r="L2988">
        <v>3.7799419822872299E-2</v>
      </c>
      <c r="M2988" t="s">
        <v>23</v>
      </c>
      <c r="N2988">
        <v>7501000</v>
      </c>
      <c r="O2988">
        <v>3.5</v>
      </c>
      <c r="P2988" t="b">
        <v>1</v>
      </c>
    </row>
    <row r="2989" spans="1:16" x14ac:dyDescent="0.2">
      <c r="A2989" t="s">
        <v>5008</v>
      </c>
      <c r="B2989" s="1">
        <v>45332</v>
      </c>
      <c r="C2989" s="1">
        <v>45431</v>
      </c>
      <c r="D2989" t="s">
        <v>5009</v>
      </c>
      <c r="E2989" t="s">
        <v>45</v>
      </c>
      <c r="F2989" t="s">
        <v>68</v>
      </c>
      <c r="G2989" t="s">
        <v>20</v>
      </c>
      <c r="H2989" t="s">
        <v>21</v>
      </c>
      <c r="J2989">
        <v>1</v>
      </c>
      <c r="K2989">
        <v>2595000</v>
      </c>
      <c r="L2989">
        <v>9.7523585247156097E-2</v>
      </c>
      <c r="M2989" t="s">
        <v>23</v>
      </c>
      <c r="N2989">
        <v>2342000</v>
      </c>
      <c r="O2989">
        <v>3.6</v>
      </c>
      <c r="P2989" t="b">
        <v>0</v>
      </c>
    </row>
    <row r="2990" spans="1:16" x14ac:dyDescent="0.2">
      <c r="A2990" t="s">
        <v>5010</v>
      </c>
      <c r="B2990" s="1">
        <v>45332</v>
      </c>
      <c r="C2990" s="1">
        <v>45431</v>
      </c>
      <c r="D2990" t="s">
        <v>5011</v>
      </c>
      <c r="E2990" t="s">
        <v>18</v>
      </c>
      <c r="F2990" t="s">
        <v>68</v>
      </c>
      <c r="G2990" t="s">
        <v>50</v>
      </c>
      <c r="H2990" t="s">
        <v>47</v>
      </c>
      <c r="I2990" t="s">
        <v>77</v>
      </c>
      <c r="J2990">
        <v>1</v>
      </c>
      <c r="K2990">
        <v>2355000</v>
      </c>
      <c r="L2990">
        <v>4.1091041719612399E-2</v>
      </c>
      <c r="M2990" t="s">
        <v>23</v>
      </c>
      <c r="N2990">
        <v>2258000</v>
      </c>
      <c r="O2990">
        <v>4.5999999999999996</v>
      </c>
      <c r="P2990" t="b">
        <v>0</v>
      </c>
    </row>
    <row r="2991" spans="1:16" x14ac:dyDescent="0.2">
      <c r="A2991" t="s">
        <v>5012</v>
      </c>
      <c r="B2991" s="1">
        <v>45332</v>
      </c>
      <c r="C2991" s="1">
        <v>45408</v>
      </c>
      <c r="D2991" t="s">
        <v>3416</v>
      </c>
      <c r="E2991" t="s">
        <v>45</v>
      </c>
      <c r="F2991" t="s">
        <v>68</v>
      </c>
      <c r="G2991" t="s">
        <v>50</v>
      </c>
      <c r="H2991" t="s">
        <v>21</v>
      </c>
      <c r="I2991" t="s">
        <v>30</v>
      </c>
      <c r="J2991">
        <v>1</v>
      </c>
      <c r="K2991">
        <v>2526000</v>
      </c>
      <c r="L2991" s="2" t="s">
        <v>5013</v>
      </c>
      <c r="M2991" t="s">
        <v>65</v>
      </c>
      <c r="N2991">
        <v>0</v>
      </c>
      <c r="P2991" t="b">
        <v>1</v>
      </c>
    </row>
    <row r="2992" spans="1:16" x14ac:dyDescent="0.2">
      <c r="A2992" t="s">
        <v>5014</v>
      </c>
      <c r="B2992" s="1">
        <v>45333</v>
      </c>
      <c r="C2992" s="1">
        <v>45346</v>
      </c>
      <c r="D2992" t="s">
        <v>4347</v>
      </c>
      <c r="E2992" t="s">
        <v>18</v>
      </c>
      <c r="F2992" t="s">
        <v>19</v>
      </c>
      <c r="G2992" t="s">
        <v>20</v>
      </c>
      <c r="H2992" t="s">
        <v>47</v>
      </c>
      <c r="I2992" t="s">
        <v>52</v>
      </c>
      <c r="J2992">
        <v>4</v>
      </c>
      <c r="K2992">
        <v>2697000</v>
      </c>
      <c r="L2992" s="2" t="s">
        <v>5015</v>
      </c>
      <c r="M2992" t="s">
        <v>23</v>
      </c>
      <c r="N2992">
        <v>9135000</v>
      </c>
      <c r="O2992">
        <v>5</v>
      </c>
      <c r="P2992" t="b">
        <v>1</v>
      </c>
    </row>
    <row r="2993" spans="1:16" x14ac:dyDescent="0.2">
      <c r="A2993" t="s">
        <v>5016</v>
      </c>
      <c r="B2993" s="1">
        <v>45334</v>
      </c>
      <c r="C2993" s="1">
        <v>45353</v>
      </c>
      <c r="D2993" t="s">
        <v>5017</v>
      </c>
      <c r="F2993" t="s">
        <v>45</v>
      </c>
      <c r="G2993" t="s">
        <v>35</v>
      </c>
      <c r="H2993" t="s">
        <v>21</v>
      </c>
      <c r="I2993" t="s">
        <v>30</v>
      </c>
      <c r="J2993">
        <v>2</v>
      </c>
      <c r="K2993">
        <v>2983000</v>
      </c>
      <c r="L2993" s="2" t="s">
        <v>5018</v>
      </c>
      <c r="M2993" t="s">
        <v>23</v>
      </c>
      <c r="N2993">
        <v>5786000</v>
      </c>
      <c r="O2993">
        <v>3.6</v>
      </c>
      <c r="P2993" t="b">
        <v>0</v>
      </c>
    </row>
    <row r="2994" spans="1:16" x14ac:dyDescent="0.2">
      <c r="A2994" t="s">
        <v>5019</v>
      </c>
      <c r="B2994" s="1">
        <v>45334</v>
      </c>
      <c r="C2994" s="1">
        <v>45432</v>
      </c>
      <c r="D2994" t="s">
        <v>216</v>
      </c>
      <c r="E2994" t="s">
        <v>18</v>
      </c>
      <c r="F2994" t="s">
        <v>19</v>
      </c>
      <c r="G2994" t="s">
        <v>20</v>
      </c>
      <c r="H2994" t="s">
        <v>47</v>
      </c>
      <c r="I2994" t="s">
        <v>57</v>
      </c>
      <c r="J2994">
        <v>2</v>
      </c>
      <c r="K2994">
        <v>3272000</v>
      </c>
      <c r="L2994" s="2" t="s">
        <v>5020</v>
      </c>
      <c r="M2994" t="s">
        <v>23</v>
      </c>
      <c r="N2994">
        <v>5786000</v>
      </c>
      <c r="O2994">
        <v>4.7</v>
      </c>
      <c r="P2994" t="b">
        <v>1</v>
      </c>
    </row>
    <row r="2995" spans="1:16" x14ac:dyDescent="0.2">
      <c r="A2995" t="s">
        <v>5021</v>
      </c>
      <c r="B2995" s="1">
        <v>45334</v>
      </c>
      <c r="C2995" s="1">
        <v>45382</v>
      </c>
      <c r="D2995" t="s">
        <v>3416</v>
      </c>
      <c r="E2995" t="s">
        <v>45</v>
      </c>
      <c r="F2995" t="s">
        <v>68</v>
      </c>
      <c r="G2995" t="s">
        <v>20</v>
      </c>
      <c r="H2995" t="s">
        <v>40</v>
      </c>
      <c r="I2995" t="s">
        <v>52</v>
      </c>
      <c r="J2995">
        <v>1</v>
      </c>
      <c r="K2995">
        <v>2457000</v>
      </c>
      <c r="L2995" s="2" t="s">
        <v>5022</v>
      </c>
      <c r="M2995" t="s">
        <v>23</v>
      </c>
      <c r="N2995">
        <v>2164000</v>
      </c>
      <c r="O2995">
        <v>4</v>
      </c>
      <c r="P2995" t="b">
        <v>1</v>
      </c>
    </row>
    <row r="2996" spans="1:16" x14ac:dyDescent="0.2">
      <c r="A2996" t="s">
        <v>5023</v>
      </c>
      <c r="B2996" s="1">
        <v>45334</v>
      </c>
      <c r="C2996" s="1">
        <v>45360</v>
      </c>
      <c r="D2996" t="s">
        <v>5024</v>
      </c>
      <c r="E2996" t="s">
        <v>45</v>
      </c>
      <c r="F2996" t="s">
        <v>45</v>
      </c>
      <c r="G2996" t="s">
        <v>20</v>
      </c>
      <c r="H2996" t="s">
        <v>21</v>
      </c>
      <c r="I2996" t="s">
        <v>77</v>
      </c>
      <c r="J2996">
        <v>4</v>
      </c>
      <c r="K2996">
        <v>3596000</v>
      </c>
      <c r="L2996">
        <v>8.81216644148268E-3</v>
      </c>
      <c r="M2996" t="s">
        <v>23</v>
      </c>
      <c r="N2996">
        <v>14257000</v>
      </c>
      <c r="O2996">
        <v>4.0999999999999996</v>
      </c>
      <c r="P2996" t="b">
        <v>0</v>
      </c>
    </row>
    <row r="2997" spans="1:16" x14ac:dyDescent="0.2">
      <c r="A2997" t="s">
        <v>5025</v>
      </c>
      <c r="B2997" s="1">
        <v>45335</v>
      </c>
      <c r="C2997" s="1">
        <v>45361</v>
      </c>
      <c r="D2997" t="s">
        <v>598</v>
      </c>
      <c r="E2997" t="s">
        <v>45</v>
      </c>
      <c r="F2997" t="s">
        <v>25</v>
      </c>
      <c r="G2997" t="s">
        <v>20</v>
      </c>
      <c r="H2997" t="s">
        <v>21</v>
      </c>
      <c r="I2997" t="s">
        <v>94</v>
      </c>
      <c r="J2997">
        <v>1</v>
      </c>
      <c r="K2997">
        <v>4353000</v>
      </c>
      <c r="L2997">
        <v>8.2231051494608895E-2</v>
      </c>
      <c r="M2997" t="s">
        <v>23</v>
      </c>
      <c r="N2997">
        <v>3995000</v>
      </c>
      <c r="O2997">
        <v>4.2</v>
      </c>
      <c r="P2997" t="b">
        <v>1</v>
      </c>
    </row>
    <row r="2998" spans="1:16" x14ac:dyDescent="0.2">
      <c r="A2998" t="s">
        <v>5026</v>
      </c>
      <c r="B2998" s="1">
        <v>45336</v>
      </c>
      <c r="C2998" s="1">
        <v>45390</v>
      </c>
      <c r="D2998" t="s">
        <v>3201</v>
      </c>
      <c r="E2998" t="s">
        <v>18</v>
      </c>
      <c r="F2998" t="s">
        <v>34</v>
      </c>
      <c r="G2998" t="s">
        <v>20</v>
      </c>
      <c r="H2998" t="s">
        <v>21</v>
      </c>
      <c r="I2998" t="s">
        <v>57</v>
      </c>
      <c r="J2998">
        <v>1</v>
      </c>
      <c r="K2998">
        <v>4522000</v>
      </c>
      <c r="L2998" s="2" t="s">
        <v>5027</v>
      </c>
      <c r="M2998" t="s">
        <v>23</v>
      </c>
      <c r="N2998">
        <v>4043000</v>
      </c>
      <c r="O2998">
        <v>5</v>
      </c>
      <c r="P2998" t="b">
        <v>1</v>
      </c>
    </row>
    <row r="2999" spans="1:16" x14ac:dyDescent="0.2">
      <c r="A2999" t="s">
        <v>5028</v>
      </c>
      <c r="B2999" s="1">
        <v>45336</v>
      </c>
      <c r="C2999" s="1">
        <v>45375</v>
      </c>
      <c r="D2999" t="s">
        <v>5029</v>
      </c>
      <c r="E2999" t="s">
        <v>33</v>
      </c>
      <c r="F2999" t="s">
        <v>25</v>
      </c>
      <c r="H2999" t="s">
        <v>40</v>
      </c>
      <c r="I2999" t="s">
        <v>83</v>
      </c>
      <c r="J2999">
        <v>2</v>
      </c>
      <c r="K2999">
        <v>4909000</v>
      </c>
      <c r="L2999" s="2" t="s">
        <v>5030</v>
      </c>
      <c r="M2999" t="s">
        <v>23</v>
      </c>
      <c r="N2999">
        <v>8708000</v>
      </c>
      <c r="O2999">
        <v>3.9</v>
      </c>
      <c r="P2999" t="b">
        <v>0</v>
      </c>
    </row>
    <row r="3000" spans="1:16" x14ac:dyDescent="0.2">
      <c r="A3000" t="s">
        <v>5031</v>
      </c>
      <c r="B3000" s="1">
        <v>45337</v>
      </c>
      <c r="C3000" s="1">
        <v>45380</v>
      </c>
      <c r="D3000" t="s">
        <v>5032</v>
      </c>
      <c r="E3000" t="s">
        <v>18</v>
      </c>
      <c r="F3000" t="s">
        <v>39</v>
      </c>
      <c r="G3000" t="s">
        <v>20</v>
      </c>
      <c r="H3000" t="s">
        <v>47</v>
      </c>
      <c r="I3000" t="s">
        <v>94</v>
      </c>
      <c r="J3000">
        <v>1</v>
      </c>
      <c r="K3000">
        <v>2430000</v>
      </c>
      <c r="L3000" s="2" t="s">
        <v>5033</v>
      </c>
      <c r="M3000" t="s">
        <v>23</v>
      </c>
      <c r="N3000">
        <v>2150000</v>
      </c>
      <c r="O3000">
        <v>3.5</v>
      </c>
      <c r="P3000" t="b">
        <v>0</v>
      </c>
    </row>
    <row r="3001" spans="1:16" x14ac:dyDescent="0.2">
      <c r="A3001" t="s">
        <v>5034</v>
      </c>
      <c r="B3001" s="1">
        <v>45337</v>
      </c>
      <c r="C3001" s="1">
        <v>45384</v>
      </c>
      <c r="D3001" t="s">
        <v>5035</v>
      </c>
      <c r="E3001" t="s">
        <v>45</v>
      </c>
      <c r="F3001" t="s">
        <v>25</v>
      </c>
      <c r="G3001" t="s">
        <v>35</v>
      </c>
      <c r="H3001" t="s">
        <v>47</v>
      </c>
      <c r="I3001" t="s">
        <v>77</v>
      </c>
      <c r="J3001">
        <v>1</v>
      </c>
      <c r="K3001">
        <v>6204000</v>
      </c>
      <c r="L3001">
        <v>4.9803776163847902E-2</v>
      </c>
      <c r="M3001" t="s">
        <v>23</v>
      </c>
      <c r="N3001">
        <v>5895000</v>
      </c>
      <c r="O3001">
        <v>4</v>
      </c>
      <c r="P3001" t="b">
        <v>0</v>
      </c>
    </row>
    <row r="3002" spans="1:16" x14ac:dyDescent="0.2">
      <c r="A3002" t="s">
        <v>5036</v>
      </c>
      <c r="B3002" s="1">
        <v>45339</v>
      </c>
      <c r="C3002" s="1">
        <v>45377</v>
      </c>
      <c r="D3002" t="s">
        <v>5037</v>
      </c>
      <c r="E3002" t="s">
        <v>29</v>
      </c>
      <c r="F3002" t="s">
        <v>34</v>
      </c>
      <c r="H3002" t="s">
        <v>47</v>
      </c>
      <c r="I3002" t="s">
        <v>30</v>
      </c>
      <c r="J3002">
        <v>4</v>
      </c>
      <c r="K3002">
        <v>3499000</v>
      </c>
      <c r="L3002" s="2" t="s">
        <v>5038</v>
      </c>
      <c r="M3002" t="s">
        <v>23</v>
      </c>
      <c r="N3002">
        <v>12114000</v>
      </c>
      <c r="O3002">
        <v>4.7</v>
      </c>
      <c r="P3002" t="b">
        <v>0</v>
      </c>
    </row>
    <row r="3003" spans="1:16" x14ac:dyDescent="0.2">
      <c r="A3003" t="s">
        <v>5039</v>
      </c>
      <c r="B3003" s="1">
        <v>45339</v>
      </c>
      <c r="C3003" s="1">
        <v>45393</v>
      </c>
      <c r="D3003" t="s">
        <v>5040</v>
      </c>
      <c r="E3003" t="s">
        <v>45</v>
      </c>
      <c r="F3003" t="s">
        <v>45</v>
      </c>
      <c r="H3003" t="s">
        <v>21</v>
      </c>
      <c r="I3003" t="s">
        <v>26</v>
      </c>
      <c r="J3003">
        <v>1</v>
      </c>
      <c r="K3003">
        <v>3749000</v>
      </c>
      <c r="L3003" s="2" t="s">
        <v>5041</v>
      </c>
      <c r="M3003" t="s">
        <v>23</v>
      </c>
      <c r="N3003">
        <v>3293000</v>
      </c>
      <c r="O3003">
        <v>4.8</v>
      </c>
      <c r="P3003" t="b">
        <v>0</v>
      </c>
    </row>
    <row r="3004" spans="1:16" x14ac:dyDescent="0.2">
      <c r="A3004" t="s">
        <v>5042</v>
      </c>
      <c r="B3004" s="1">
        <v>45339</v>
      </c>
      <c r="C3004" s="1">
        <v>45354</v>
      </c>
      <c r="D3004" t="s">
        <v>5043</v>
      </c>
      <c r="E3004" t="s">
        <v>45</v>
      </c>
      <c r="F3004" t="s">
        <v>39</v>
      </c>
      <c r="G3004" t="s">
        <v>20</v>
      </c>
      <c r="H3004" t="s">
        <v>21</v>
      </c>
      <c r="I3004" t="s">
        <v>52</v>
      </c>
      <c r="J3004">
        <v>3</v>
      </c>
      <c r="K3004">
        <v>2262000</v>
      </c>
      <c r="L3004">
        <v>8.0669713198877405E-2</v>
      </c>
      <c r="M3004" t="s">
        <v>23</v>
      </c>
      <c r="N3004">
        <v>6239000</v>
      </c>
      <c r="O3004">
        <v>3.9</v>
      </c>
      <c r="P3004" t="b">
        <v>0</v>
      </c>
    </row>
    <row r="3005" spans="1:16" x14ac:dyDescent="0.2">
      <c r="A3005" t="s">
        <v>5044</v>
      </c>
      <c r="B3005" s="1">
        <v>45339</v>
      </c>
      <c r="C3005" s="1">
        <v>45385</v>
      </c>
      <c r="D3005" t="s">
        <v>482</v>
      </c>
      <c r="E3005" t="s">
        <v>45</v>
      </c>
      <c r="F3005" t="s">
        <v>45</v>
      </c>
      <c r="G3005" t="s">
        <v>50</v>
      </c>
      <c r="H3005" t="s">
        <v>21</v>
      </c>
      <c r="I3005" t="s">
        <v>99</v>
      </c>
      <c r="J3005">
        <v>2</v>
      </c>
      <c r="K3005">
        <v>3153000</v>
      </c>
      <c r="L3005" s="3">
        <v>0.11600000000000001</v>
      </c>
      <c r="M3005" t="s">
        <v>23</v>
      </c>
      <c r="N3005">
        <v>5577000</v>
      </c>
      <c r="O3005">
        <v>4.5999999999999996</v>
      </c>
      <c r="P3005" t="b">
        <v>1</v>
      </c>
    </row>
    <row r="3006" spans="1:16" x14ac:dyDescent="0.2">
      <c r="A3006" t="s">
        <v>5045</v>
      </c>
      <c r="B3006" s="1">
        <v>45340</v>
      </c>
      <c r="C3006" s="1">
        <v>45428</v>
      </c>
      <c r="D3006" t="s">
        <v>586</v>
      </c>
      <c r="E3006" t="s">
        <v>18</v>
      </c>
      <c r="F3006" t="s">
        <v>25</v>
      </c>
      <c r="G3006" t="s">
        <v>35</v>
      </c>
      <c r="H3006" t="s">
        <v>21</v>
      </c>
      <c r="I3006" t="s">
        <v>77</v>
      </c>
      <c r="J3006">
        <v>3</v>
      </c>
      <c r="K3006">
        <v>5649000</v>
      </c>
      <c r="L3006">
        <v>8.0063831914057901E-2</v>
      </c>
      <c r="M3006" t="s">
        <v>23</v>
      </c>
      <c r="N3006">
        <v>15590000</v>
      </c>
      <c r="O3006">
        <v>4.3</v>
      </c>
      <c r="P3006" t="b">
        <v>1</v>
      </c>
    </row>
    <row r="3007" spans="1:16" x14ac:dyDescent="0.2">
      <c r="A3007" t="s">
        <v>5046</v>
      </c>
      <c r="B3007" s="1">
        <v>45340</v>
      </c>
      <c r="C3007" s="1">
        <v>45359</v>
      </c>
      <c r="D3007" t="s">
        <v>5047</v>
      </c>
      <c r="E3007" t="s">
        <v>33</v>
      </c>
      <c r="F3007" t="s">
        <v>19</v>
      </c>
      <c r="G3007" t="s">
        <v>50</v>
      </c>
      <c r="H3007" t="s">
        <v>21</v>
      </c>
      <c r="I3007" t="s">
        <v>99</v>
      </c>
      <c r="J3007">
        <v>2</v>
      </c>
      <c r="K3007">
        <v>2408000</v>
      </c>
      <c r="L3007">
        <v>8.9426123386700099E-2</v>
      </c>
      <c r="M3007" t="s">
        <v>65</v>
      </c>
      <c r="N3007">
        <v>0</v>
      </c>
      <c r="P3007" t="b">
        <v>0</v>
      </c>
    </row>
    <row r="3008" spans="1:16" x14ac:dyDescent="0.2">
      <c r="A3008" t="s">
        <v>5048</v>
      </c>
      <c r="B3008" s="1">
        <v>45340</v>
      </c>
      <c r="C3008" s="1">
        <v>45405</v>
      </c>
      <c r="D3008" t="s">
        <v>3590</v>
      </c>
      <c r="F3008" t="s">
        <v>34</v>
      </c>
      <c r="G3008" t="s">
        <v>35</v>
      </c>
      <c r="H3008" t="s">
        <v>21</v>
      </c>
      <c r="I3008" t="s">
        <v>52</v>
      </c>
      <c r="J3008">
        <v>4</v>
      </c>
      <c r="K3008">
        <v>3653000</v>
      </c>
      <c r="L3008" s="2" t="s">
        <v>5049</v>
      </c>
      <c r="M3008" t="s">
        <v>23</v>
      </c>
      <c r="N3008">
        <v>12419000</v>
      </c>
      <c r="O3008">
        <v>3.9</v>
      </c>
      <c r="P3008" t="b">
        <v>1</v>
      </c>
    </row>
    <row r="3009" spans="1:16" x14ac:dyDescent="0.2">
      <c r="A3009" t="s">
        <v>5050</v>
      </c>
      <c r="B3009" s="1">
        <v>45340</v>
      </c>
      <c r="C3009" s="1">
        <v>45377</v>
      </c>
      <c r="D3009" t="s">
        <v>3254</v>
      </c>
      <c r="E3009" t="s">
        <v>33</v>
      </c>
      <c r="F3009" t="s">
        <v>45</v>
      </c>
      <c r="G3009" t="s">
        <v>50</v>
      </c>
      <c r="H3009" t="s">
        <v>47</v>
      </c>
      <c r="I3009" t="s">
        <v>1654</v>
      </c>
      <c r="J3009">
        <v>1</v>
      </c>
      <c r="K3009">
        <v>3082000</v>
      </c>
      <c r="L3009">
        <v>7.8323664188263101E-2</v>
      </c>
      <c r="M3009" t="s">
        <v>65</v>
      </c>
      <c r="N3009">
        <v>0</v>
      </c>
      <c r="P3009" t="b">
        <v>1</v>
      </c>
    </row>
    <row r="3010" spans="1:16" x14ac:dyDescent="0.2">
      <c r="A3010" t="s">
        <v>5051</v>
      </c>
      <c r="B3010" s="1">
        <v>45340</v>
      </c>
      <c r="C3010" s="1">
        <v>45411</v>
      </c>
      <c r="D3010" t="s">
        <v>5052</v>
      </c>
      <c r="E3010" t="s">
        <v>33</v>
      </c>
      <c r="F3010" t="s">
        <v>34</v>
      </c>
      <c r="H3010" t="s">
        <v>47</v>
      </c>
      <c r="I3010" t="s">
        <v>94</v>
      </c>
      <c r="J3010">
        <v>3</v>
      </c>
      <c r="K3010">
        <v>5122000</v>
      </c>
      <c r="L3010">
        <v>4.43456241065101E-2</v>
      </c>
      <c r="M3010" t="s">
        <v>23</v>
      </c>
      <c r="N3010">
        <v>14685000</v>
      </c>
      <c r="O3010">
        <v>3.8</v>
      </c>
      <c r="P3010" t="b">
        <v>0</v>
      </c>
    </row>
    <row r="3011" spans="1:16" x14ac:dyDescent="0.2">
      <c r="A3011" t="s">
        <v>5053</v>
      </c>
      <c r="B3011" s="1">
        <v>45341</v>
      </c>
      <c r="C3011" s="1">
        <v>45389</v>
      </c>
      <c r="D3011" t="s">
        <v>2214</v>
      </c>
      <c r="E3011" t="s">
        <v>29</v>
      </c>
      <c r="F3011" t="s">
        <v>19</v>
      </c>
      <c r="G3011" t="s">
        <v>35</v>
      </c>
      <c r="H3011" t="s">
        <v>40</v>
      </c>
      <c r="I3011" t="s">
        <v>52</v>
      </c>
      <c r="J3011">
        <v>2</v>
      </c>
      <c r="K3011">
        <v>2556000</v>
      </c>
      <c r="L3011" s="2" t="s">
        <v>5054</v>
      </c>
      <c r="M3011" t="s">
        <v>23</v>
      </c>
      <c r="N3011">
        <v>4552000</v>
      </c>
      <c r="O3011">
        <v>3.6</v>
      </c>
      <c r="P3011" t="b">
        <v>1</v>
      </c>
    </row>
    <row r="3012" spans="1:16" x14ac:dyDescent="0.2">
      <c r="A3012" t="s">
        <v>5055</v>
      </c>
      <c r="B3012" s="1">
        <v>45342</v>
      </c>
      <c r="C3012" s="1">
        <v>45378</v>
      </c>
      <c r="D3012" t="s">
        <v>750</v>
      </c>
      <c r="E3012" t="s">
        <v>45</v>
      </c>
      <c r="F3012" t="s">
        <v>19</v>
      </c>
      <c r="G3012" t="s">
        <v>35</v>
      </c>
      <c r="H3012" t="s">
        <v>21</v>
      </c>
      <c r="I3012" t="s">
        <v>30</v>
      </c>
      <c r="J3012">
        <v>2</v>
      </c>
      <c r="K3012">
        <v>2272000</v>
      </c>
      <c r="L3012">
        <v>8.9817329364771506E-2</v>
      </c>
      <c r="M3012" t="s">
        <v>23</v>
      </c>
      <c r="N3012">
        <v>4136000</v>
      </c>
      <c r="O3012">
        <v>3.2</v>
      </c>
      <c r="P3012" t="b">
        <v>1</v>
      </c>
    </row>
    <row r="3013" spans="1:16" x14ac:dyDescent="0.2">
      <c r="A3013" t="s">
        <v>5056</v>
      </c>
      <c r="B3013" s="1">
        <v>45342</v>
      </c>
      <c r="C3013" s="1">
        <v>45342</v>
      </c>
      <c r="D3013" t="s">
        <v>4347</v>
      </c>
      <c r="E3013" t="s">
        <v>18</v>
      </c>
      <c r="F3013" t="s">
        <v>19</v>
      </c>
      <c r="G3013" t="s">
        <v>50</v>
      </c>
      <c r="I3013" t="s">
        <v>22</v>
      </c>
      <c r="J3013">
        <v>1</v>
      </c>
      <c r="K3013">
        <v>2477000</v>
      </c>
      <c r="L3013">
        <v>7.5543289637531902E-2</v>
      </c>
      <c r="M3013" t="s">
        <v>23</v>
      </c>
      <c r="N3013">
        <v>2290000</v>
      </c>
      <c r="O3013">
        <v>3.8</v>
      </c>
      <c r="P3013" t="b">
        <v>1</v>
      </c>
    </row>
    <row r="3014" spans="1:16" x14ac:dyDescent="0.2">
      <c r="A3014" t="s">
        <v>5057</v>
      </c>
      <c r="B3014" s="1">
        <v>45342</v>
      </c>
      <c r="C3014" s="1">
        <v>45365</v>
      </c>
      <c r="D3014" t="s">
        <v>5035</v>
      </c>
      <c r="E3014" t="s">
        <v>29</v>
      </c>
      <c r="F3014" t="s">
        <v>34</v>
      </c>
      <c r="G3014" t="s">
        <v>20</v>
      </c>
      <c r="H3014" t="s">
        <v>21</v>
      </c>
      <c r="I3014" t="s">
        <v>2054</v>
      </c>
      <c r="J3014">
        <v>2</v>
      </c>
      <c r="K3014">
        <v>3636000</v>
      </c>
      <c r="L3014">
        <v>9.1451656346008006E-2</v>
      </c>
      <c r="M3014" t="s">
        <v>65</v>
      </c>
      <c r="N3014">
        <v>0</v>
      </c>
      <c r="P3014" t="b">
        <v>1</v>
      </c>
    </row>
    <row r="3015" spans="1:16" x14ac:dyDescent="0.2">
      <c r="A3015" t="s">
        <v>5058</v>
      </c>
      <c r="B3015" s="1">
        <v>45342</v>
      </c>
      <c r="C3015" s="1">
        <v>45391</v>
      </c>
      <c r="D3015" t="s">
        <v>300</v>
      </c>
      <c r="E3015" t="s">
        <v>29</v>
      </c>
      <c r="F3015" t="s">
        <v>45</v>
      </c>
      <c r="H3015" t="s">
        <v>40</v>
      </c>
      <c r="I3015" t="s">
        <v>94</v>
      </c>
      <c r="J3015">
        <v>4</v>
      </c>
      <c r="K3015">
        <v>3166000</v>
      </c>
      <c r="L3015" s="2" t="s">
        <v>5059</v>
      </c>
      <c r="M3015" t="s">
        <v>23</v>
      </c>
      <c r="N3015">
        <v>11273000</v>
      </c>
      <c r="O3015">
        <v>3.9</v>
      </c>
      <c r="P3015" t="b">
        <v>1</v>
      </c>
    </row>
    <row r="3016" spans="1:16" x14ac:dyDescent="0.2">
      <c r="A3016" t="s">
        <v>5060</v>
      </c>
      <c r="B3016" s="1">
        <v>45342</v>
      </c>
      <c r="C3016" s="1">
        <v>45380</v>
      </c>
      <c r="D3016" t="s">
        <v>4009</v>
      </c>
      <c r="E3016" t="s">
        <v>18</v>
      </c>
      <c r="F3016" t="s">
        <v>19</v>
      </c>
      <c r="G3016" t="s">
        <v>35</v>
      </c>
      <c r="H3016" t="s">
        <v>40</v>
      </c>
      <c r="J3016">
        <v>2</v>
      </c>
      <c r="K3016">
        <v>2950000</v>
      </c>
      <c r="L3016" s="2" t="s">
        <v>5061</v>
      </c>
      <c r="M3016" t="s">
        <v>23</v>
      </c>
      <c r="N3016">
        <v>5305000</v>
      </c>
      <c r="O3016">
        <v>4.7</v>
      </c>
      <c r="P3016" t="b">
        <v>1</v>
      </c>
    </row>
    <row r="3017" spans="1:16" x14ac:dyDescent="0.2">
      <c r="A3017" t="s">
        <v>5062</v>
      </c>
      <c r="B3017" s="1">
        <v>45343</v>
      </c>
      <c r="C3017" s="1">
        <v>45365</v>
      </c>
      <c r="D3017" t="s">
        <v>5063</v>
      </c>
      <c r="E3017" t="s">
        <v>45</v>
      </c>
      <c r="F3017" t="s">
        <v>34</v>
      </c>
      <c r="G3017" t="s">
        <v>35</v>
      </c>
      <c r="H3017" t="s">
        <v>51</v>
      </c>
      <c r="I3017" t="s">
        <v>30</v>
      </c>
      <c r="J3017">
        <v>1</v>
      </c>
      <c r="K3017">
        <v>3487000</v>
      </c>
      <c r="L3017" s="2" t="s">
        <v>5064</v>
      </c>
      <c r="M3017" t="s">
        <v>23</v>
      </c>
      <c r="N3017">
        <v>3109000</v>
      </c>
      <c r="O3017">
        <v>4.3</v>
      </c>
      <c r="P3017" t="b">
        <v>0</v>
      </c>
    </row>
    <row r="3018" spans="1:16" x14ac:dyDescent="0.2">
      <c r="A3018" t="s">
        <v>5065</v>
      </c>
      <c r="B3018" s="1">
        <v>45344</v>
      </c>
      <c r="C3018" s="1">
        <v>45364</v>
      </c>
      <c r="D3018" t="s">
        <v>3594</v>
      </c>
      <c r="E3018" t="s">
        <v>33</v>
      </c>
      <c r="F3018" t="s">
        <v>34</v>
      </c>
      <c r="G3018" t="s">
        <v>20</v>
      </c>
      <c r="H3018" t="s">
        <v>51</v>
      </c>
      <c r="I3018" t="s">
        <v>26</v>
      </c>
      <c r="J3018">
        <v>3</v>
      </c>
      <c r="K3018">
        <v>3875000</v>
      </c>
      <c r="L3018" s="2" t="s">
        <v>5066</v>
      </c>
      <c r="M3018" t="s">
        <v>23</v>
      </c>
      <c r="N3018">
        <v>10294000</v>
      </c>
      <c r="O3018">
        <v>4.5</v>
      </c>
      <c r="P3018" t="b">
        <v>1</v>
      </c>
    </row>
    <row r="3019" spans="1:16" x14ac:dyDescent="0.2">
      <c r="A3019" t="s">
        <v>5067</v>
      </c>
      <c r="B3019" s="1">
        <v>45345</v>
      </c>
      <c r="C3019" s="1">
        <v>45436</v>
      </c>
      <c r="D3019" t="s">
        <v>5068</v>
      </c>
      <c r="E3019" t="s">
        <v>33</v>
      </c>
      <c r="F3019" t="s">
        <v>45</v>
      </c>
      <c r="G3019" t="s">
        <v>20</v>
      </c>
      <c r="H3019" t="s">
        <v>21</v>
      </c>
      <c r="I3019" t="s">
        <v>83</v>
      </c>
      <c r="J3019">
        <v>3</v>
      </c>
      <c r="K3019">
        <v>2767000</v>
      </c>
      <c r="L3019" s="2" t="s">
        <v>5069</v>
      </c>
      <c r="M3019" t="s">
        <v>23</v>
      </c>
      <c r="N3019">
        <v>7904000</v>
      </c>
      <c r="O3019">
        <v>4</v>
      </c>
      <c r="P3019" t="b">
        <v>0</v>
      </c>
    </row>
    <row r="3020" spans="1:16" x14ac:dyDescent="0.2">
      <c r="A3020" t="s">
        <v>5070</v>
      </c>
      <c r="B3020" s="1">
        <v>45345</v>
      </c>
      <c r="C3020" s="1">
        <v>45385</v>
      </c>
      <c r="D3020" t="s">
        <v>349</v>
      </c>
      <c r="E3020" t="s">
        <v>29</v>
      </c>
      <c r="F3020" t="s">
        <v>19</v>
      </c>
      <c r="G3020" t="s">
        <v>20</v>
      </c>
      <c r="H3020" t="s">
        <v>21</v>
      </c>
      <c r="I3020" t="s">
        <v>22</v>
      </c>
      <c r="J3020">
        <v>4</v>
      </c>
      <c r="K3020">
        <v>2570000</v>
      </c>
      <c r="L3020" s="2" t="s">
        <v>5071</v>
      </c>
      <c r="M3020" t="s">
        <v>23</v>
      </c>
      <c r="N3020">
        <v>9749000</v>
      </c>
      <c r="O3020">
        <v>4.5</v>
      </c>
      <c r="P3020" t="b">
        <v>1</v>
      </c>
    </row>
    <row r="3021" spans="1:16" x14ac:dyDescent="0.2">
      <c r="A3021" t="s">
        <v>5072</v>
      </c>
      <c r="B3021" s="1">
        <v>45347</v>
      </c>
      <c r="C3021" s="1">
        <v>45367</v>
      </c>
      <c r="D3021" t="s">
        <v>5073</v>
      </c>
      <c r="E3021" t="s">
        <v>29</v>
      </c>
      <c r="F3021" t="s">
        <v>19</v>
      </c>
      <c r="G3021" t="s">
        <v>50</v>
      </c>
      <c r="H3021" t="s">
        <v>47</v>
      </c>
      <c r="I3021" t="s">
        <v>99</v>
      </c>
      <c r="J3021">
        <v>1</v>
      </c>
      <c r="K3021">
        <v>2337000</v>
      </c>
      <c r="L3021">
        <v>3.9562159752465499E-2</v>
      </c>
      <c r="M3021" t="s">
        <v>23</v>
      </c>
      <c r="N3021">
        <v>2245000</v>
      </c>
      <c r="O3021">
        <v>4.2</v>
      </c>
      <c r="P3021" t="b">
        <v>0</v>
      </c>
    </row>
    <row r="3022" spans="1:16" x14ac:dyDescent="0.2">
      <c r="A3022" t="s">
        <v>5074</v>
      </c>
      <c r="B3022" s="1">
        <v>45348</v>
      </c>
      <c r="C3022" s="1">
        <v>45372</v>
      </c>
      <c r="D3022" t="s">
        <v>4910</v>
      </c>
      <c r="E3022" t="s">
        <v>33</v>
      </c>
      <c r="F3022" t="s">
        <v>19</v>
      </c>
      <c r="G3022" t="s">
        <v>50</v>
      </c>
      <c r="I3022" t="s">
        <v>57</v>
      </c>
      <c r="J3022">
        <v>1</v>
      </c>
      <c r="K3022">
        <v>3315000</v>
      </c>
      <c r="L3022" s="3">
        <v>8.5999999999999993E-2</v>
      </c>
      <c r="M3022" t="s">
        <v>23</v>
      </c>
      <c r="N3022">
        <v>3029000</v>
      </c>
      <c r="O3022">
        <v>4.4000000000000004</v>
      </c>
      <c r="P3022" t="b">
        <v>1</v>
      </c>
    </row>
    <row r="3023" spans="1:16" x14ac:dyDescent="0.2">
      <c r="A3023" t="s">
        <v>5075</v>
      </c>
      <c r="B3023" s="1">
        <v>45348</v>
      </c>
      <c r="C3023" s="1">
        <v>45402</v>
      </c>
      <c r="D3023" t="s">
        <v>5076</v>
      </c>
      <c r="E3023" t="s">
        <v>45</v>
      </c>
      <c r="F3023" t="s">
        <v>39</v>
      </c>
      <c r="G3023" t="s">
        <v>20</v>
      </c>
      <c r="H3023" t="s">
        <v>21</v>
      </c>
      <c r="I3023" t="s">
        <v>52</v>
      </c>
      <c r="J3023">
        <v>2</v>
      </c>
      <c r="K3023">
        <v>2359000</v>
      </c>
      <c r="L3023" s="2" t="s">
        <v>5077</v>
      </c>
      <c r="M3023" t="s">
        <v>23</v>
      </c>
      <c r="N3023">
        <v>4129000</v>
      </c>
      <c r="O3023">
        <v>3.8</v>
      </c>
      <c r="P3023" t="b">
        <v>0</v>
      </c>
    </row>
    <row r="3024" spans="1:16" x14ac:dyDescent="0.2">
      <c r="A3024" t="s">
        <v>5078</v>
      </c>
      <c r="B3024" s="1">
        <v>45349</v>
      </c>
      <c r="C3024" s="1">
        <v>45390</v>
      </c>
      <c r="D3024" t="s">
        <v>42</v>
      </c>
      <c r="E3024" t="s">
        <v>45</v>
      </c>
      <c r="F3024" t="s">
        <v>25</v>
      </c>
      <c r="G3024" t="s">
        <v>50</v>
      </c>
      <c r="H3024" t="s">
        <v>47</v>
      </c>
      <c r="I3024" t="s">
        <v>94</v>
      </c>
      <c r="J3024">
        <v>4</v>
      </c>
      <c r="K3024">
        <v>4827000</v>
      </c>
      <c r="L3024" s="2" t="s">
        <v>5079</v>
      </c>
      <c r="M3024" t="s">
        <v>23</v>
      </c>
      <c r="N3024">
        <v>17064000</v>
      </c>
      <c r="O3024">
        <v>4.9000000000000004</v>
      </c>
      <c r="P3024" t="b">
        <v>1</v>
      </c>
    </row>
    <row r="3025" spans="1:16" x14ac:dyDescent="0.2">
      <c r="A3025" t="s">
        <v>5080</v>
      </c>
      <c r="B3025" s="1">
        <v>45349</v>
      </c>
      <c r="C3025" s="1">
        <v>45388</v>
      </c>
      <c r="D3025" t="s">
        <v>5081</v>
      </c>
      <c r="E3025" t="s">
        <v>45</v>
      </c>
      <c r="F3025" t="s">
        <v>25</v>
      </c>
      <c r="G3025" t="s">
        <v>35</v>
      </c>
      <c r="I3025" t="s">
        <v>1654</v>
      </c>
      <c r="J3025">
        <v>2</v>
      </c>
      <c r="K3025">
        <v>4100000</v>
      </c>
      <c r="L3025" s="2" t="s">
        <v>5082</v>
      </c>
      <c r="M3025" t="s">
        <v>23</v>
      </c>
      <c r="N3025">
        <v>7287000</v>
      </c>
      <c r="O3025">
        <v>4.2</v>
      </c>
      <c r="P3025" t="b">
        <v>0</v>
      </c>
    </row>
    <row r="3026" spans="1:16" x14ac:dyDescent="0.2">
      <c r="A3026" t="s">
        <v>5083</v>
      </c>
      <c r="B3026" s="1">
        <v>45349</v>
      </c>
      <c r="C3026" s="1">
        <v>45400</v>
      </c>
      <c r="D3026" t="s">
        <v>645</v>
      </c>
      <c r="E3026" t="s">
        <v>29</v>
      </c>
      <c r="F3026" t="s">
        <v>39</v>
      </c>
      <c r="G3026" t="s">
        <v>35</v>
      </c>
      <c r="H3026" t="s">
        <v>40</v>
      </c>
      <c r="I3026" t="s">
        <v>94</v>
      </c>
      <c r="J3026">
        <v>2</v>
      </c>
      <c r="K3026">
        <v>2719000</v>
      </c>
      <c r="L3026" s="2" t="s">
        <v>5084</v>
      </c>
      <c r="M3026" t="s">
        <v>23</v>
      </c>
      <c r="N3026">
        <v>4644000</v>
      </c>
      <c r="O3026">
        <v>4.0999999999999996</v>
      </c>
      <c r="P3026" t="b">
        <v>1</v>
      </c>
    </row>
    <row r="3027" spans="1:16" x14ac:dyDescent="0.2">
      <c r="A3027" t="s">
        <v>5085</v>
      </c>
      <c r="B3027" s="1">
        <v>45350</v>
      </c>
      <c r="C3027" s="1">
        <v>45372</v>
      </c>
      <c r="D3027" t="s">
        <v>4604</v>
      </c>
      <c r="E3027" t="s">
        <v>18</v>
      </c>
      <c r="F3027" t="s">
        <v>19</v>
      </c>
      <c r="G3027" t="s">
        <v>35</v>
      </c>
      <c r="H3027" t="s">
        <v>21</v>
      </c>
      <c r="I3027" t="s">
        <v>30</v>
      </c>
      <c r="J3027">
        <v>2</v>
      </c>
      <c r="K3027">
        <v>2274000</v>
      </c>
      <c r="L3027" s="2" t="s">
        <v>5086</v>
      </c>
      <c r="M3027" t="s">
        <v>23</v>
      </c>
      <c r="N3027">
        <v>4052000</v>
      </c>
      <c r="O3027">
        <v>4.2</v>
      </c>
      <c r="P3027" t="b">
        <v>1</v>
      </c>
    </row>
    <row r="3028" spans="1:16" x14ac:dyDescent="0.2">
      <c r="A3028" t="s">
        <v>5087</v>
      </c>
      <c r="B3028" s="1">
        <v>45350</v>
      </c>
      <c r="C3028" s="1">
        <v>45380</v>
      </c>
      <c r="D3028" t="s">
        <v>5088</v>
      </c>
      <c r="E3028" t="s">
        <v>18</v>
      </c>
      <c r="F3028" t="s">
        <v>19</v>
      </c>
      <c r="G3028" t="s">
        <v>20</v>
      </c>
      <c r="H3028" t="s">
        <v>21</v>
      </c>
      <c r="I3028" t="s">
        <v>57</v>
      </c>
      <c r="J3028">
        <v>2</v>
      </c>
      <c r="K3028">
        <v>3278000</v>
      </c>
      <c r="L3028">
        <v>7.04691838539553E-2</v>
      </c>
      <c r="M3028" t="s">
        <v>65</v>
      </c>
      <c r="N3028">
        <v>0</v>
      </c>
      <c r="P3028" t="b">
        <v>0</v>
      </c>
    </row>
    <row r="3029" spans="1:16" x14ac:dyDescent="0.2">
      <c r="A3029" t="s">
        <v>5089</v>
      </c>
      <c r="B3029" s="1">
        <v>45350</v>
      </c>
      <c r="C3029" s="1">
        <v>45392</v>
      </c>
      <c r="D3029" t="s">
        <v>5090</v>
      </c>
      <c r="E3029" t="s">
        <v>45</v>
      </c>
      <c r="F3029" t="s">
        <v>68</v>
      </c>
      <c r="G3029" t="s">
        <v>20</v>
      </c>
      <c r="H3029" t="s">
        <v>40</v>
      </c>
      <c r="I3029" t="s">
        <v>26</v>
      </c>
      <c r="J3029">
        <v>1</v>
      </c>
      <c r="K3029">
        <v>3016000</v>
      </c>
      <c r="L3029" s="2" t="s">
        <v>5091</v>
      </c>
      <c r="M3029" t="s">
        <v>23</v>
      </c>
      <c r="N3029">
        <v>2621000</v>
      </c>
      <c r="O3029">
        <v>4.4000000000000004</v>
      </c>
      <c r="P3029" t="b">
        <v>0</v>
      </c>
    </row>
    <row r="3030" spans="1:16" x14ac:dyDescent="0.2">
      <c r="A3030" t="s">
        <v>5092</v>
      </c>
      <c r="B3030" s="1">
        <v>45351</v>
      </c>
      <c r="C3030" s="1">
        <v>45431</v>
      </c>
      <c r="D3030" t="s">
        <v>1231</v>
      </c>
      <c r="E3030" t="s">
        <v>33</v>
      </c>
      <c r="F3030" t="s">
        <v>34</v>
      </c>
      <c r="G3030" t="s">
        <v>20</v>
      </c>
      <c r="H3030" t="s">
        <v>51</v>
      </c>
      <c r="I3030" t="s">
        <v>5000</v>
      </c>
      <c r="J3030">
        <v>3</v>
      </c>
      <c r="K3030">
        <v>3519000</v>
      </c>
      <c r="L3030">
        <v>2.7871718591295801E-2</v>
      </c>
      <c r="M3030" t="s">
        <v>23</v>
      </c>
      <c r="N3030">
        <v>10263000</v>
      </c>
      <c r="O3030">
        <v>3.8</v>
      </c>
      <c r="P3030" t="b">
        <v>1</v>
      </c>
    </row>
    <row r="3031" spans="1:16" x14ac:dyDescent="0.2">
      <c r="A3031" t="s">
        <v>5093</v>
      </c>
      <c r="B3031" s="1">
        <v>45351</v>
      </c>
      <c r="C3031" s="1">
        <v>45366</v>
      </c>
      <c r="D3031" t="s">
        <v>5094</v>
      </c>
      <c r="F3031" t="s">
        <v>19</v>
      </c>
      <c r="G3031" t="s">
        <v>20</v>
      </c>
      <c r="H3031" t="s">
        <v>40</v>
      </c>
      <c r="I3031" t="s">
        <v>60</v>
      </c>
      <c r="J3031">
        <v>3</v>
      </c>
      <c r="K3031">
        <v>2830000</v>
      </c>
      <c r="L3031">
        <v>0.14820464786607801</v>
      </c>
      <c r="M3031" t="s">
        <v>23</v>
      </c>
      <c r="N3031">
        <v>7232000</v>
      </c>
      <c r="O3031">
        <v>4.0999999999999996</v>
      </c>
      <c r="P3031" t="b">
        <v>0</v>
      </c>
    </row>
    <row r="3032" spans="1:16" x14ac:dyDescent="0.2">
      <c r="A3032" t="s">
        <v>5095</v>
      </c>
      <c r="B3032" s="1">
        <v>45351</v>
      </c>
      <c r="C3032" s="1">
        <v>45422</v>
      </c>
      <c r="D3032" t="s">
        <v>5096</v>
      </c>
      <c r="E3032" t="s">
        <v>33</v>
      </c>
      <c r="F3032" t="s">
        <v>39</v>
      </c>
      <c r="G3032" t="s">
        <v>20</v>
      </c>
      <c r="H3032" t="s">
        <v>21</v>
      </c>
      <c r="I3032" t="s">
        <v>83</v>
      </c>
      <c r="J3032">
        <v>1</v>
      </c>
      <c r="K3032">
        <v>1448000</v>
      </c>
      <c r="L3032" s="2" t="s">
        <v>5097</v>
      </c>
      <c r="M3032" t="s">
        <v>23</v>
      </c>
      <c r="N3032">
        <v>1261000</v>
      </c>
      <c r="O3032">
        <v>4.5999999999999996</v>
      </c>
      <c r="P3032" t="b">
        <v>0</v>
      </c>
    </row>
    <row r="3033" spans="1:16" x14ac:dyDescent="0.2">
      <c r="A3033" t="s">
        <v>5098</v>
      </c>
      <c r="B3033" s="1">
        <v>45351</v>
      </c>
      <c r="C3033" s="1">
        <v>45399</v>
      </c>
      <c r="D3033" t="s">
        <v>2893</v>
      </c>
      <c r="E3033" t="s">
        <v>45</v>
      </c>
      <c r="F3033" t="s">
        <v>34</v>
      </c>
      <c r="G3033" t="s">
        <v>35</v>
      </c>
      <c r="H3033" t="s">
        <v>21</v>
      </c>
      <c r="I3033" t="s">
        <v>26</v>
      </c>
      <c r="J3033">
        <v>2</v>
      </c>
      <c r="K3033">
        <v>4501000</v>
      </c>
      <c r="L3033" s="2" t="s">
        <v>5099</v>
      </c>
      <c r="M3033" t="s">
        <v>23</v>
      </c>
      <c r="N3033">
        <v>7932000</v>
      </c>
      <c r="O3033">
        <v>4.8</v>
      </c>
      <c r="P3033" t="b">
        <v>1</v>
      </c>
    </row>
    <row r="3034" spans="1:16" x14ac:dyDescent="0.2">
      <c r="A3034" t="s">
        <v>5100</v>
      </c>
      <c r="B3034" s="1">
        <v>45351</v>
      </c>
      <c r="C3034" s="1">
        <v>45438</v>
      </c>
      <c r="D3034" t="s">
        <v>739</v>
      </c>
      <c r="E3034" t="s">
        <v>33</v>
      </c>
      <c r="F3034" t="s">
        <v>68</v>
      </c>
      <c r="G3034" t="s">
        <v>20</v>
      </c>
      <c r="H3034" t="s">
        <v>21</v>
      </c>
      <c r="I3034" t="s">
        <v>60</v>
      </c>
      <c r="J3034">
        <v>1</v>
      </c>
      <c r="K3034">
        <v>2504000</v>
      </c>
      <c r="L3034" s="2" t="s">
        <v>5101</v>
      </c>
      <c r="M3034" t="s">
        <v>23</v>
      </c>
      <c r="N3034">
        <v>2173000</v>
      </c>
      <c r="O3034">
        <v>5</v>
      </c>
      <c r="P3034" t="b">
        <v>1</v>
      </c>
    </row>
    <row r="3035" spans="1:16" x14ac:dyDescent="0.2">
      <c r="A3035" t="s">
        <v>5102</v>
      </c>
      <c r="B3035" s="1">
        <v>45352</v>
      </c>
      <c r="C3035" s="1">
        <v>45378</v>
      </c>
      <c r="D3035" t="s">
        <v>5103</v>
      </c>
      <c r="E3035" t="s">
        <v>18</v>
      </c>
      <c r="F3035" t="s">
        <v>34</v>
      </c>
      <c r="G3035" t="s">
        <v>20</v>
      </c>
      <c r="I3035" t="s">
        <v>83</v>
      </c>
      <c r="J3035">
        <v>5</v>
      </c>
      <c r="K3035">
        <v>4171000</v>
      </c>
      <c r="L3035" s="3">
        <v>0.113</v>
      </c>
      <c r="M3035" t="s">
        <v>23</v>
      </c>
      <c r="N3035">
        <v>18495000</v>
      </c>
      <c r="O3035">
        <v>3.5</v>
      </c>
      <c r="P3035" t="b">
        <v>0</v>
      </c>
    </row>
    <row r="3036" spans="1:16" x14ac:dyDescent="0.2">
      <c r="A3036" t="s">
        <v>5104</v>
      </c>
      <c r="B3036" s="1">
        <v>45353</v>
      </c>
      <c r="C3036" s="1">
        <v>45416</v>
      </c>
      <c r="D3036" t="s">
        <v>382</v>
      </c>
      <c r="E3036" t="s">
        <v>29</v>
      </c>
      <c r="F3036" t="s">
        <v>34</v>
      </c>
      <c r="G3036" t="s">
        <v>20</v>
      </c>
      <c r="H3036" t="s">
        <v>21</v>
      </c>
      <c r="I3036" t="s">
        <v>77</v>
      </c>
      <c r="J3036">
        <v>1</v>
      </c>
      <c r="K3036">
        <v>4171000</v>
      </c>
      <c r="L3036">
        <v>4.2309180140253699E-2</v>
      </c>
      <c r="M3036" t="s">
        <v>23</v>
      </c>
      <c r="N3036">
        <v>3995000</v>
      </c>
      <c r="O3036">
        <v>4.2</v>
      </c>
      <c r="P3036" t="b">
        <v>1</v>
      </c>
    </row>
    <row r="3037" spans="1:16" x14ac:dyDescent="0.2">
      <c r="A3037" t="s">
        <v>5105</v>
      </c>
      <c r="B3037" s="1">
        <v>45353</v>
      </c>
      <c r="C3037" s="1">
        <v>45408</v>
      </c>
      <c r="D3037" t="s">
        <v>5106</v>
      </c>
      <c r="E3037" t="s">
        <v>33</v>
      </c>
      <c r="F3037" t="s">
        <v>34</v>
      </c>
      <c r="G3037" t="s">
        <v>50</v>
      </c>
      <c r="H3037" t="s">
        <v>21</v>
      </c>
      <c r="I3037" t="s">
        <v>26</v>
      </c>
      <c r="J3037">
        <v>2</v>
      </c>
      <c r="K3037">
        <v>4185000</v>
      </c>
      <c r="L3037" s="2" t="s">
        <v>5107</v>
      </c>
      <c r="M3037" t="s">
        <v>23</v>
      </c>
      <c r="N3037">
        <v>7295000</v>
      </c>
      <c r="O3037">
        <v>4.0999999999999996</v>
      </c>
      <c r="P3037" t="b">
        <v>0</v>
      </c>
    </row>
    <row r="3038" spans="1:16" x14ac:dyDescent="0.2">
      <c r="A3038" t="s">
        <v>5108</v>
      </c>
      <c r="B3038" s="1">
        <v>45354</v>
      </c>
      <c r="C3038" s="1">
        <v>45362</v>
      </c>
      <c r="D3038" t="s">
        <v>3983</v>
      </c>
      <c r="E3038" t="s">
        <v>29</v>
      </c>
      <c r="F3038" t="s">
        <v>39</v>
      </c>
      <c r="G3038" t="s">
        <v>20</v>
      </c>
      <c r="H3038" t="s">
        <v>47</v>
      </c>
      <c r="I3038" t="s">
        <v>60</v>
      </c>
      <c r="J3038">
        <v>4</v>
      </c>
      <c r="K3038">
        <v>2587000</v>
      </c>
      <c r="L3038">
        <v>9.5142605550982001E-2</v>
      </c>
      <c r="M3038" t="s">
        <v>23</v>
      </c>
      <c r="N3038">
        <v>9363000</v>
      </c>
      <c r="O3038">
        <v>4.9000000000000004</v>
      </c>
      <c r="P3038" t="b">
        <v>1</v>
      </c>
    </row>
    <row r="3039" spans="1:16" x14ac:dyDescent="0.2">
      <c r="A3039" t="s">
        <v>5109</v>
      </c>
      <c r="B3039" s="1">
        <v>45354</v>
      </c>
      <c r="C3039" s="1">
        <v>45379</v>
      </c>
      <c r="D3039" t="s">
        <v>3903</v>
      </c>
      <c r="E3039" t="s">
        <v>33</v>
      </c>
      <c r="F3039" t="s">
        <v>34</v>
      </c>
      <c r="G3039" t="s">
        <v>20</v>
      </c>
      <c r="H3039" t="s">
        <v>21</v>
      </c>
      <c r="I3039" t="s">
        <v>60</v>
      </c>
      <c r="J3039">
        <v>1</v>
      </c>
      <c r="K3039">
        <v>4321000</v>
      </c>
      <c r="L3039" s="2" t="s">
        <v>5110</v>
      </c>
      <c r="M3039" t="s">
        <v>23</v>
      </c>
      <c r="N3039">
        <v>3740000</v>
      </c>
      <c r="O3039">
        <v>4.5999999999999996</v>
      </c>
      <c r="P3039" t="b">
        <v>1</v>
      </c>
    </row>
    <row r="3040" spans="1:16" x14ac:dyDescent="0.2">
      <c r="A3040" t="s">
        <v>5111</v>
      </c>
      <c r="B3040" s="1">
        <v>45354</v>
      </c>
      <c r="C3040" s="1">
        <v>45407</v>
      </c>
      <c r="D3040" t="s">
        <v>5112</v>
      </c>
      <c r="E3040" t="s">
        <v>18</v>
      </c>
      <c r="F3040" t="s">
        <v>39</v>
      </c>
      <c r="G3040" t="s">
        <v>20</v>
      </c>
      <c r="H3040" t="s">
        <v>40</v>
      </c>
      <c r="I3040" t="s">
        <v>30</v>
      </c>
      <c r="J3040">
        <v>3</v>
      </c>
      <c r="K3040">
        <v>2964000</v>
      </c>
      <c r="L3040">
        <v>6.1501500935149202E-2</v>
      </c>
      <c r="M3040" t="s">
        <v>23</v>
      </c>
      <c r="N3040">
        <v>8345000</v>
      </c>
      <c r="O3040">
        <v>3.9</v>
      </c>
      <c r="P3040" t="b">
        <v>0</v>
      </c>
    </row>
    <row r="3041" spans="1:16" x14ac:dyDescent="0.2">
      <c r="A3041" t="s">
        <v>5113</v>
      </c>
      <c r="B3041" s="1">
        <v>45354</v>
      </c>
      <c r="C3041" s="1">
        <v>45410</v>
      </c>
      <c r="D3041" t="s">
        <v>5114</v>
      </c>
      <c r="E3041" t="s">
        <v>45</v>
      </c>
      <c r="F3041" t="s">
        <v>39</v>
      </c>
      <c r="G3041" t="s">
        <v>50</v>
      </c>
      <c r="H3041" t="s">
        <v>21</v>
      </c>
      <c r="I3041" t="s">
        <v>99</v>
      </c>
      <c r="J3041">
        <v>3</v>
      </c>
      <c r="K3041">
        <v>2108000</v>
      </c>
      <c r="L3041">
        <v>9.5757302782550693E-2</v>
      </c>
      <c r="M3041" t="s">
        <v>23</v>
      </c>
      <c r="N3041">
        <v>5718000</v>
      </c>
      <c r="O3041">
        <v>4.3</v>
      </c>
      <c r="P3041" t="b">
        <v>0</v>
      </c>
    </row>
    <row r="3042" spans="1:16" x14ac:dyDescent="0.2">
      <c r="A3042" t="s">
        <v>5115</v>
      </c>
      <c r="B3042" s="1">
        <v>45355</v>
      </c>
      <c r="C3042" s="1">
        <v>45452</v>
      </c>
      <c r="D3042" t="s">
        <v>1681</v>
      </c>
      <c r="E3042" t="s">
        <v>18</v>
      </c>
      <c r="F3042" t="s">
        <v>39</v>
      </c>
      <c r="G3042" t="s">
        <v>20</v>
      </c>
      <c r="H3042" t="s">
        <v>47</v>
      </c>
      <c r="I3042" t="s">
        <v>52</v>
      </c>
      <c r="J3042">
        <v>2</v>
      </c>
      <c r="K3042">
        <v>2654000</v>
      </c>
      <c r="L3042" s="3">
        <v>7.4999999999999997E-2</v>
      </c>
      <c r="M3042" t="s">
        <v>23</v>
      </c>
      <c r="N3042">
        <v>4910000</v>
      </c>
      <c r="O3042">
        <v>3.6</v>
      </c>
      <c r="P3042" t="b">
        <v>1</v>
      </c>
    </row>
    <row r="3043" spans="1:16" x14ac:dyDescent="0.2">
      <c r="A3043" t="s">
        <v>5116</v>
      </c>
      <c r="B3043" s="1">
        <v>45385</v>
      </c>
      <c r="C3043" s="1">
        <v>45393</v>
      </c>
      <c r="D3043" t="s">
        <v>3903</v>
      </c>
      <c r="E3043" t="s">
        <v>33</v>
      </c>
      <c r="F3043" t="s">
        <v>39</v>
      </c>
      <c r="G3043" t="s">
        <v>35</v>
      </c>
      <c r="H3043" t="s">
        <v>47</v>
      </c>
      <c r="I3043" t="s">
        <v>1654</v>
      </c>
      <c r="J3043">
        <v>1</v>
      </c>
      <c r="K3043">
        <v>2356000</v>
      </c>
      <c r="L3043" s="2" t="s">
        <v>5117</v>
      </c>
      <c r="M3043" t="s">
        <v>23</v>
      </c>
      <c r="N3043">
        <v>2002000</v>
      </c>
      <c r="O3043">
        <v>5</v>
      </c>
      <c r="P3043" t="b">
        <v>1</v>
      </c>
    </row>
    <row r="3044" spans="1:16" x14ac:dyDescent="0.2">
      <c r="A3044" t="s">
        <v>5118</v>
      </c>
      <c r="B3044" s="1">
        <v>45357</v>
      </c>
      <c r="C3044" s="1">
        <v>45413</v>
      </c>
      <c r="D3044" t="s">
        <v>5119</v>
      </c>
      <c r="E3044" t="s">
        <v>45</v>
      </c>
      <c r="F3044" t="s">
        <v>34</v>
      </c>
      <c r="G3044" t="s">
        <v>46</v>
      </c>
      <c r="H3044" t="s">
        <v>51</v>
      </c>
      <c r="I3044" t="s">
        <v>77</v>
      </c>
      <c r="J3044">
        <v>3</v>
      </c>
      <c r="K3044">
        <v>3711000</v>
      </c>
      <c r="L3044">
        <v>9.4676736212095297E-2</v>
      </c>
      <c r="M3044" t="s">
        <v>23</v>
      </c>
      <c r="N3044">
        <v>10079000</v>
      </c>
      <c r="O3044">
        <v>4.3</v>
      </c>
      <c r="P3044" t="b">
        <v>0</v>
      </c>
    </row>
    <row r="3045" spans="1:16" x14ac:dyDescent="0.2">
      <c r="A3045" t="s">
        <v>5120</v>
      </c>
      <c r="B3045" s="1">
        <v>45358</v>
      </c>
      <c r="C3045" s="1">
        <v>45394</v>
      </c>
      <c r="D3045" t="s">
        <v>5121</v>
      </c>
      <c r="E3045" t="s">
        <v>45</v>
      </c>
      <c r="F3045" t="s">
        <v>39</v>
      </c>
      <c r="G3045" t="s">
        <v>20</v>
      </c>
      <c r="H3045" t="s">
        <v>40</v>
      </c>
      <c r="I3045" t="s">
        <v>30</v>
      </c>
      <c r="J3045">
        <v>1</v>
      </c>
      <c r="K3045">
        <v>2843000</v>
      </c>
      <c r="L3045" s="2" t="s">
        <v>5122</v>
      </c>
      <c r="M3045" t="s">
        <v>23</v>
      </c>
      <c r="N3045">
        <v>2454000</v>
      </c>
      <c r="O3045">
        <v>3</v>
      </c>
      <c r="P3045" t="b">
        <v>0</v>
      </c>
    </row>
    <row r="3046" spans="1:16" x14ac:dyDescent="0.2">
      <c r="A3046" t="s">
        <v>5123</v>
      </c>
      <c r="B3046" s="1">
        <v>45358</v>
      </c>
      <c r="C3046" s="1">
        <v>45416</v>
      </c>
      <c r="D3046" t="s">
        <v>4807</v>
      </c>
      <c r="E3046" t="s">
        <v>18</v>
      </c>
      <c r="F3046" t="s">
        <v>34</v>
      </c>
      <c r="G3046" t="s">
        <v>35</v>
      </c>
      <c r="H3046" t="s">
        <v>47</v>
      </c>
      <c r="I3046" t="s">
        <v>26</v>
      </c>
      <c r="J3046">
        <v>1</v>
      </c>
      <c r="K3046">
        <v>4052000</v>
      </c>
      <c r="L3046">
        <v>6.9005616269602096E-2</v>
      </c>
      <c r="M3046" t="s">
        <v>23</v>
      </c>
      <c r="N3046">
        <v>3772000</v>
      </c>
      <c r="O3046">
        <v>4.4000000000000004</v>
      </c>
      <c r="P3046" t="b">
        <v>1</v>
      </c>
    </row>
    <row r="3047" spans="1:16" x14ac:dyDescent="0.2">
      <c r="A3047" t="s">
        <v>5124</v>
      </c>
      <c r="B3047" s="1">
        <v>45358</v>
      </c>
      <c r="C3047" s="1">
        <v>45419</v>
      </c>
      <c r="D3047" t="s">
        <v>3238</v>
      </c>
      <c r="E3047" t="s">
        <v>45</v>
      </c>
      <c r="F3047" t="s">
        <v>19</v>
      </c>
      <c r="G3047" t="s">
        <v>20</v>
      </c>
      <c r="H3047" t="s">
        <v>21</v>
      </c>
      <c r="I3047" t="s">
        <v>94</v>
      </c>
      <c r="J3047">
        <v>3</v>
      </c>
      <c r="K3047">
        <v>2696000</v>
      </c>
      <c r="L3047" s="2" t="s">
        <v>5125</v>
      </c>
      <c r="M3047" t="s">
        <v>23</v>
      </c>
      <c r="N3047">
        <v>7257000</v>
      </c>
      <c r="O3047">
        <v>3.8</v>
      </c>
      <c r="P3047" t="b">
        <v>1</v>
      </c>
    </row>
    <row r="3048" spans="1:16" x14ac:dyDescent="0.2">
      <c r="A3048" t="s">
        <v>5126</v>
      </c>
      <c r="B3048" s="1">
        <v>45358</v>
      </c>
      <c r="C3048" s="1">
        <v>45380</v>
      </c>
      <c r="D3048" t="s">
        <v>5127</v>
      </c>
      <c r="E3048" t="s">
        <v>29</v>
      </c>
      <c r="F3048" t="s">
        <v>39</v>
      </c>
      <c r="G3048" t="s">
        <v>20</v>
      </c>
      <c r="H3048" t="s">
        <v>21</v>
      </c>
      <c r="I3048" t="s">
        <v>30</v>
      </c>
      <c r="J3048">
        <v>4</v>
      </c>
      <c r="K3048">
        <v>2450000</v>
      </c>
      <c r="L3048" s="2" t="s">
        <v>5128</v>
      </c>
      <c r="M3048" t="s">
        <v>23</v>
      </c>
      <c r="N3048">
        <v>8782000</v>
      </c>
      <c r="O3048">
        <v>5</v>
      </c>
      <c r="P3048" t="b">
        <v>0</v>
      </c>
    </row>
    <row r="3049" spans="1:16" x14ac:dyDescent="0.2">
      <c r="A3049" t="s">
        <v>5129</v>
      </c>
      <c r="B3049" s="1">
        <v>45359</v>
      </c>
      <c r="C3049" s="1">
        <v>45443</v>
      </c>
      <c r="D3049" t="s">
        <v>408</v>
      </c>
      <c r="E3049" t="s">
        <v>33</v>
      </c>
      <c r="F3049" t="s">
        <v>45</v>
      </c>
      <c r="G3049" t="s">
        <v>20</v>
      </c>
      <c r="H3049" t="s">
        <v>21</v>
      </c>
      <c r="I3049" t="s">
        <v>83</v>
      </c>
      <c r="J3049">
        <v>2</v>
      </c>
      <c r="K3049">
        <v>2700000</v>
      </c>
      <c r="L3049" s="2" t="s">
        <v>5130</v>
      </c>
      <c r="M3049" t="s">
        <v>23</v>
      </c>
      <c r="N3049">
        <v>4794000</v>
      </c>
      <c r="O3049">
        <v>4.7</v>
      </c>
      <c r="P3049" t="b">
        <v>1</v>
      </c>
    </row>
    <row r="3050" spans="1:16" x14ac:dyDescent="0.2">
      <c r="A3050" t="s">
        <v>5131</v>
      </c>
      <c r="B3050" s="1">
        <v>45359</v>
      </c>
      <c r="C3050" s="1">
        <v>45374</v>
      </c>
      <c r="D3050" t="s">
        <v>5132</v>
      </c>
      <c r="E3050" t="s">
        <v>33</v>
      </c>
      <c r="F3050" t="s">
        <v>68</v>
      </c>
      <c r="G3050" t="s">
        <v>50</v>
      </c>
      <c r="H3050" t="s">
        <v>21</v>
      </c>
      <c r="J3050">
        <v>2</v>
      </c>
      <c r="K3050">
        <v>2006000</v>
      </c>
      <c r="L3050">
        <v>7.4244940347343205E-2</v>
      </c>
      <c r="M3050" t="s">
        <v>23</v>
      </c>
      <c r="N3050">
        <v>3714000</v>
      </c>
      <c r="O3050">
        <v>4.5999999999999996</v>
      </c>
      <c r="P3050" t="b">
        <v>0</v>
      </c>
    </row>
    <row r="3051" spans="1:16" x14ac:dyDescent="0.2">
      <c r="A3051" t="s">
        <v>5133</v>
      </c>
      <c r="B3051" s="1">
        <v>45360</v>
      </c>
      <c r="C3051" s="1">
        <v>45389</v>
      </c>
      <c r="D3051" t="s">
        <v>5134</v>
      </c>
      <c r="E3051" t="s">
        <v>18</v>
      </c>
      <c r="F3051" t="s">
        <v>68</v>
      </c>
      <c r="G3051" t="s">
        <v>20</v>
      </c>
      <c r="H3051" t="s">
        <v>21</v>
      </c>
      <c r="I3051" t="s">
        <v>99</v>
      </c>
      <c r="J3051">
        <v>1</v>
      </c>
      <c r="K3051">
        <v>2953000</v>
      </c>
      <c r="L3051">
        <v>5.5481501696177701E-2</v>
      </c>
      <c r="M3051" t="s">
        <v>23</v>
      </c>
      <c r="N3051">
        <v>2789000</v>
      </c>
      <c r="O3051">
        <v>4.0999999999999996</v>
      </c>
      <c r="P3051" t="b">
        <v>0</v>
      </c>
    </row>
    <row r="3052" spans="1:16" x14ac:dyDescent="0.2">
      <c r="A3052" t="s">
        <v>5135</v>
      </c>
      <c r="B3052" s="1">
        <v>45360</v>
      </c>
      <c r="C3052" s="1">
        <v>45374</v>
      </c>
      <c r="D3052" t="s">
        <v>5136</v>
      </c>
      <c r="E3052" t="s">
        <v>18</v>
      </c>
      <c r="F3052" t="s">
        <v>34</v>
      </c>
      <c r="G3052" t="s">
        <v>35</v>
      </c>
      <c r="H3052" t="s">
        <v>51</v>
      </c>
      <c r="I3052" t="s">
        <v>52</v>
      </c>
      <c r="J3052">
        <v>1</v>
      </c>
      <c r="K3052">
        <v>3156000</v>
      </c>
      <c r="L3052">
        <v>6.6946444295826205E-2</v>
      </c>
      <c r="M3052" t="s">
        <v>23</v>
      </c>
      <c r="N3052">
        <v>2945000</v>
      </c>
      <c r="O3052">
        <v>5</v>
      </c>
      <c r="P3052" t="b">
        <v>0</v>
      </c>
    </row>
    <row r="3053" spans="1:16" x14ac:dyDescent="0.2">
      <c r="A3053" t="s">
        <v>5137</v>
      </c>
      <c r="B3053" s="1">
        <v>45362</v>
      </c>
      <c r="C3053" s="1">
        <v>45375</v>
      </c>
      <c r="D3053" t="s">
        <v>4559</v>
      </c>
      <c r="E3053" t="s">
        <v>33</v>
      </c>
      <c r="F3053" t="s">
        <v>39</v>
      </c>
      <c r="G3053" t="s">
        <v>35</v>
      </c>
      <c r="H3053" t="s">
        <v>47</v>
      </c>
      <c r="I3053" t="s">
        <v>26</v>
      </c>
      <c r="J3053">
        <v>1</v>
      </c>
      <c r="K3053">
        <v>1996000</v>
      </c>
      <c r="L3053" s="2" t="s">
        <v>5138</v>
      </c>
      <c r="M3053" t="s">
        <v>23</v>
      </c>
      <c r="N3053">
        <v>1723000</v>
      </c>
      <c r="O3053">
        <v>4.0999999999999996</v>
      </c>
      <c r="P3053" t="b">
        <v>1</v>
      </c>
    </row>
    <row r="3054" spans="1:16" x14ac:dyDescent="0.2">
      <c r="A3054" t="s">
        <v>5139</v>
      </c>
      <c r="B3054" s="1">
        <v>45362</v>
      </c>
      <c r="C3054" s="1">
        <v>45403</v>
      </c>
      <c r="D3054" t="s">
        <v>3854</v>
      </c>
      <c r="E3054" t="s">
        <v>18</v>
      </c>
      <c r="F3054" t="s">
        <v>34</v>
      </c>
      <c r="G3054" t="s">
        <v>35</v>
      </c>
      <c r="H3054" t="s">
        <v>21</v>
      </c>
      <c r="I3054" t="s">
        <v>83</v>
      </c>
      <c r="J3054">
        <v>2</v>
      </c>
      <c r="K3054">
        <v>4270000</v>
      </c>
      <c r="L3054" s="2" t="s">
        <v>5140</v>
      </c>
      <c r="M3054" t="s">
        <v>65</v>
      </c>
      <c r="N3054">
        <v>0</v>
      </c>
      <c r="P3054" t="b">
        <v>1</v>
      </c>
    </row>
    <row r="3055" spans="1:16" x14ac:dyDescent="0.2">
      <c r="A3055" t="s">
        <v>5141</v>
      </c>
      <c r="B3055" s="1">
        <v>45364</v>
      </c>
      <c r="C3055" s="1">
        <v>45369</v>
      </c>
      <c r="D3055" t="s">
        <v>1635</v>
      </c>
      <c r="E3055" t="s">
        <v>18</v>
      </c>
      <c r="F3055" t="s">
        <v>68</v>
      </c>
      <c r="G3055" t="s">
        <v>20</v>
      </c>
      <c r="H3055" t="s">
        <v>47</v>
      </c>
      <c r="I3055" t="s">
        <v>83</v>
      </c>
      <c r="J3055">
        <v>1</v>
      </c>
      <c r="K3055">
        <v>2003000</v>
      </c>
      <c r="L3055" s="2" t="s">
        <v>5142</v>
      </c>
      <c r="M3055" t="s">
        <v>23</v>
      </c>
      <c r="N3055">
        <v>1801000</v>
      </c>
      <c r="O3055">
        <v>3.8</v>
      </c>
      <c r="P3055" t="b">
        <v>1</v>
      </c>
    </row>
    <row r="3056" spans="1:16" x14ac:dyDescent="0.2">
      <c r="A3056" t="s">
        <v>5143</v>
      </c>
      <c r="B3056" s="1">
        <v>45365</v>
      </c>
      <c r="C3056" s="1">
        <v>45387</v>
      </c>
      <c r="D3056" t="s">
        <v>5144</v>
      </c>
      <c r="E3056" t="s">
        <v>45</v>
      </c>
      <c r="F3056" t="s">
        <v>45</v>
      </c>
      <c r="G3056" t="s">
        <v>50</v>
      </c>
      <c r="H3056" t="s">
        <v>21</v>
      </c>
      <c r="J3056">
        <v>2</v>
      </c>
      <c r="K3056">
        <v>3816000</v>
      </c>
      <c r="L3056" s="2" t="s">
        <v>5145</v>
      </c>
      <c r="M3056" t="s">
        <v>23</v>
      </c>
      <c r="N3056">
        <v>7515000</v>
      </c>
      <c r="O3056">
        <v>4</v>
      </c>
      <c r="P3056" t="b">
        <v>0</v>
      </c>
    </row>
    <row r="3057" spans="1:16" x14ac:dyDescent="0.2">
      <c r="A3057" t="s">
        <v>5146</v>
      </c>
      <c r="B3057" s="1">
        <v>45366</v>
      </c>
      <c r="C3057" s="1">
        <v>45453</v>
      </c>
      <c r="D3057" t="s">
        <v>5147</v>
      </c>
      <c r="E3057" t="s">
        <v>29</v>
      </c>
      <c r="F3057" t="s">
        <v>34</v>
      </c>
      <c r="G3057" t="s">
        <v>20</v>
      </c>
      <c r="H3057" t="s">
        <v>47</v>
      </c>
      <c r="I3057" t="s">
        <v>99</v>
      </c>
      <c r="J3057">
        <v>3</v>
      </c>
      <c r="K3057">
        <v>4513000</v>
      </c>
      <c r="L3057" s="2" t="s">
        <v>5148</v>
      </c>
      <c r="M3057" t="s">
        <v>23</v>
      </c>
      <c r="N3057">
        <v>11807000</v>
      </c>
      <c r="O3057">
        <v>4.2</v>
      </c>
      <c r="P3057" t="b">
        <v>0</v>
      </c>
    </row>
    <row r="3058" spans="1:16" x14ac:dyDescent="0.2">
      <c r="A3058" t="s">
        <v>5149</v>
      </c>
      <c r="B3058" s="1">
        <v>45367</v>
      </c>
      <c r="C3058" s="1">
        <v>45410</v>
      </c>
      <c r="D3058" t="s">
        <v>1802</v>
      </c>
      <c r="E3058" t="s">
        <v>45</v>
      </c>
      <c r="F3058" t="s">
        <v>34</v>
      </c>
      <c r="G3058" t="s">
        <v>20</v>
      </c>
      <c r="H3058" t="s">
        <v>21</v>
      </c>
      <c r="I3058" t="s">
        <v>22</v>
      </c>
      <c r="J3058">
        <v>5</v>
      </c>
      <c r="K3058">
        <v>3838000</v>
      </c>
      <c r="L3058">
        <v>9.5775921578399301E-2</v>
      </c>
      <c r="M3058" t="s">
        <v>23</v>
      </c>
      <c r="N3058">
        <v>17352000</v>
      </c>
      <c r="O3058">
        <v>5</v>
      </c>
      <c r="P3058" t="b">
        <v>1</v>
      </c>
    </row>
    <row r="3059" spans="1:16" x14ac:dyDescent="0.2">
      <c r="A3059" t="s">
        <v>5150</v>
      </c>
      <c r="B3059" s="1">
        <v>45367</v>
      </c>
      <c r="C3059" s="1">
        <v>45409</v>
      </c>
      <c r="D3059" t="s">
        <v>4584</v>
      </c>
      <c r="E3059" t="s">
        <v>33</v>
      </c>
      <c r="F3059" t="s">
        <v>34</v>
      </c>
      <c r="G3059" t="s">
        <v>20</v>
      </c>
      <c r="H3059" t="s">
        <v>21</v>
      </c>
      <c r="I3059" t="s">
        <v>83</v>
      </c>
      <c r="J3059">
        <v>1</v>
      </c>
      <c r="K3059">
        <v>4618000</v>
      </c>
      <c r="L3059">
        <v>6.6254063362605406E-2</v>
      </c>
      <c r="M3059" t="s">
        <v>23</v>
      </c>
      <c r="N3059">
        <v>4312000</v>
      </c>
      <c r="O3059">
        <v>3.9</v>
      </c>
      <c r="P3059" t="b">
        <v>1</v>
      </c>
    </row>
    <row r="3060" spans="1:16" x14ac:dyDescent="0.2">
      <c r="A3060" t="s">
        <v>5151</v>
      </c>
      <c r="B3060" s="1">
        <v>45367</v>
      </c>
      <c r="C3060" s="1">
        <v>45406</v>
      </c>
      <c r="D3060" t="s">
        <v>5152</v>
      </c>
      <c r="E3060" t="s">
        <v>33</v>
      </c>
      <c r="F3060" t="s">
        <v>34</v>
      </c>
      <c r="G3060" t="s">
        <v>20</v>
      </c>
      <c r="I3060" t="s">
        <v>52</v>
      </c>
      <c r="J3060">
        <v>1</v>
      </c>
      <c r="K3060">
        <v>3478000</v>
      </c>
      <c r="L3060" s="2" t="s">
        <v>5153</v>
      </c>
      <c r="M3060" t="s">
        <v>23</v>
      </c>
      <c r="N3060">
        <v>3124000</v>
      </c>
      <c r="O3060">
        <v>4.5999999999999996</v>
      </c>
      <c r="P3060" t="b">
        <v>0</v>
      </c>
    </row>
    <row r="3061" spans="1:16" x14ac:dyDescent="0.2">
      <c r="A3061" t="s">
        <v>5154</v>
      </c>
      <c r="B3061" s="1">
        <v>45368</v>
      </c>
      <c r="C3061" s="1">
        <v>45374</v>
      </c>
      <c r="D3061" t="s">
        <v>567</v>
      </c>
      <c r="E3061" t="s">
        <v>29</v>
      </c>
      <c r="F3061" t="s">
        <v>45</v>
      </c>
      <c r="G3061" t="s">
        <v>50</v>
      </c>
      <c r="H3061" t="s">
        <v>21</v>
      </c>
      <c r="I3061" t="s">
        <v>94</v>
      </c>
      <c r="J3061">
        <v>2</v>
      </c>
      <c r="K3061">
        <v>3104000</v>
      </c>
      <c r="L3061">
        <v>9.4899641005169302E-2</v>
      </c>
      <c r="M3061" t="s">
        <v>23</v>
      </c>
      <c r="N3061">
        <v>5619000</v>
      </c>
      <c r="O3061">
        <v>4.9000000000000004</v>
      </c>
      <c r="P3061" t="b">
        <v>1</v>
      </c>
    </row>
    <row r="3062" spans="1:16" x14ac:dyDescent="0.2">
      <c r="A3062" t="s">
        <v>5155</v>
      </c>
      <c r="B3062" s="1">
        <v>45368</v>
      </c>
      <c r="C3062" s="1">
        <v>45371</v>
      </c>
      <c r="D3062" t="s">
        <v>5156</v>
      </c>
      <c r="E3062" t="s">
        <v>29</v>
      </c>
      <c r="F3062" t="s">
        <v>34</v>
      </c>
      <c r="G3062" t="s">
        <v>20</v>
      </c>
      <c r="H3062" t="s">
        <v>21</v>
      </c>
      <c r="I3062" t="s">
        <v>94</v>
      </c>
      <c r="J3062">
        <v>1</v>
      </c>
      <c r="K3062">
        <v>4335000</v>
      </c>
      <c r="L3062" s="2" t="s">
        <v>5157</v>
      </c>
      <c r="M3062" t="s">
        <v>23</v>
      </c>
      <c r="N3062">
        <v>3804000</v>
      </c>
      <c r="O3062">
        <v>4.2</v>
      </c>
      <c r="P3062" t="b">
        <v>0</v>
      </c>
    </row>
    <row r="3063" spans="1:16" x14ac:dyDescent="0.2">
      <c r="A3063" t="s">
        <v>5158</v>
      </c>
      <c r="B3063" s="1">
        <v>45370</v>
      </c>
      <c r="C3063" s="1">
        <v>45428</v>
      </c>
      <c r="D3063" t="s">
        <v>5159</v>
      </c>
      <c r="E3063" t="s">
        <v>33</v>
      </c>
      <c r="F3063" t="s">
        <v>25</v>
      </c>
      <c r="G3063" t="s">
        <v>20</v>
      </c>
      <c r="H3063" t="s">
        <v>47</v>
      </c>
      <c r="I3063" t="s">
        <v>99</v>
      </c>
      <c r="J3063">
        <v>1</v>
      </c>
      <c r="K3063">
        <v>4330000</v>
      </c>
      <c r="L3063">
        <v>5.2078538953237899E-2</v>
      </c>
      <c r="M3063" t="s">
        <v>65</v>
      </c>
      <c r="N3063">
        <v>0</v>
      </c>
      <c r="P3063" t="b">
        <v>0</v>
      </c>
    </row>
    <row r="3064" spans="1:16" x14ac:dyDescent="0.2">
      <c r="A3064" t="s">
        <v>5160</v>
      </c>
      <c r="B3064" s="1">
        <v>45371</v>
      </c>
      <c r="C3064" s="1">
        <v>45423</v>
      </c>
      <c r="D3064" t="s">
        <v>2859</v>
      </c>
      <c r="E3064" t="s">
        <v>18</v>
      </c>
      <c r="F3064" t="s">
        <v>34</v>
      </c>
      <c r="G3064" t="s">
        <v>20</v>
      </c>
      <c r="H3064" t="s">
        <v>21</v>
      </c>
      <c r="I3064" t="s">
        <v>83</v>
      </c>
      <c r="J3064">
        <v>2</v>
      </c>
      <c r="K3064">
        <v>4258000</v>
      </c>
      <c r="L3064">
        <v>4.3236001703542602E-2</v>
      </c>
      <c r="M3064" t="s">
        <v>23</v>
      </c>
      <c r="N3064">
        <v>8148000</v>
      </c>
      <c r="O3064">
        <v>4</v>
      </c>
      <c r="P3064" t="b">
        <v>1</v>
      </c>
    </row>
    <row r="3065" spans="1:16" x14ac:dyDescent="0.2">
      <c r="A3065" t="s">
        <v>5161</v>
      </c>
      <c r="B3065" s="1">
        <v>45371</v>
      </c>
      <c r="C3065" s="1">
        <v>45410</v>
      </c>
      <c r="D3065" t="s">
        <v>1700</v>
      </c>
      <c r="E3065" t="s">
        <v>18</v>
      </c>
      <c r="F3065" t="s">
        <v>34</v>
      </c>
      <c r="G3065" t="s">
        <v>20</v>
      </c>
      <c r="H3065" t="s">
        <v>21</v>
      </c>
      <c r="I3065" t="s">
        <v>83</v>
      </c>
      <c r="J3065">
        <v>2</v>
      </c>
      <c r="K3065">
        <v>4497000</v>
      </c>
      <c r="L3065">
        <v>8.0027831437117003E-2</v>
      </c>
      <c r="M3065" t="s">
        <v>23</v>
      </c>
      <c r="N3065">
        <v>8274000</v>
      </c>
      <c r="O3065">
        <v>3.9</v>
      </c>
      <c r="P3065" t="b">
        <v>1</v>
      </c>
    </row>
    <row r="3066" spans="1:16" x14ac:dyDescent="0.2">
      <c r="A3066" t="s">
        <v>5162</v>
      </c>
      <c r="B3066" s="1">
        <v>45372</v>
      </c>
      <c r="C3066" s="1">
        <v>45441</v>
      </c>
      <c r="D3066" t="s">
        <v>712</v>
      </c>
      <c r="E3066" t="s">
        <v>45</v>
      </c>
      <c r="F3066" t="s">
        <v>34</v>
      </c>
      <c r="G3066" t="s">
        <v>20</v>
      </c>
      <c r="H3066" t="s">
        <v>21</v>
      </c>
      <c r="I3066" t="s">
        <v>77</v>
      </c>
      <c r="J3066">
        <v>1</v>
      </c>
      <c r="K3066">
        <v>3933000</v>
      </c>
      <c r="L3066" s="2" t="s">
        <v>5163</v>
      </c>
      <c r="M3066" t="s">
        <v>23</v>
      </c>
      <c r="N3066">
        <v>3704000</v>
      </c>
      <c r="O3066">
        <v>4.4000000000000004</v>
      </c>
      <c r="P3066" t="b">
        <v>1</v>
      </c>
    </row>
    <row r="3067" spans="1:16" x14ac:dyDescent="0.2">
      <c r="A3067" t="s">
        <v>5164</v>
      </c>
      <c r="B3067" s="1">
        <v>45372</v>
      </c>
      <c r="C3067" s="1">
        <v>45403</v>
      </c>
      <c r="D3067" t="s">
        <v>5165</v>
      </c>
      <c r="E3067" t="s">
        <v>18</v>
      </c>
      <c r="F3067" t="s">
        <v>34</v>
      </c>
      <c r="G3067" t="s">
        <v>20</v>
      </c>
      <c r="H3067" t="s">
        <v>51</v>
      </c>
      <c r="I3067" t="s">
        <v>22</v>
      </c>
      <c r="J3067">
        <v>2</v>
      </c>
      <c r="K3067">
        <v>3603000</v>
      </c>
      <c r="L3067" s="2" t="s">
        <v>5166</v>
      </c>
      <c r="M3067" t="s">
        <v>23</v>
      </c>
      <c r="N3067">
        <v>6899000</v>
      </c>
      <c r="O3067">
        <v>4.4000000000000004</v>
      </c>
      <c r="P3067" t="b">
        <v>0</v>
      </c>
    </row>
    <row r="3068" spans="1:16" x14ac:dyDescent="0.2">
      <c r="A3068" t="s">
        <v>5167</v>
      </c>
      <c r="B3068" s="1">
        <v>45372</v>
      </c>
      <c r="C3068" s="1">
        <v>45428</v>
      </c>
      <c r="D3068" t="s">
        <v>3055</v>
      </c>
      <c r="E3068" t="s">
        <v>45</v>
      </c>
      <c r="F3068" t="s">
        <v>68</v>
      </c>
      <c r="G3068" t="s">
        <v>20</v>
      </c>
      <c r="H3068" t="s">
        <v>51</v>
      </c>
      <c r="I3068" t="s">
        <v>77</v>
      </c>
      <c r="J3068">
        <v>1</v>
      </c>
      <c r="K3068">
        <v>2512000</v>
      </c>
      <c r="L3068">
        <v>6.9186551393647197E-2</v>
      </c>
      <c r="M3068" t="s">
        <v>23</v>
      </c>
      <c r="N3068">
        <v>2338000</v>
      </c>
      <c r="O3068">
        <v>3.8</v>
      </c>
      <c r="P3068" t="b">
        <v>1</v>
      </c>
    </row>
    <row r="3069" spans="1:16" x14ac:dyDescent="0.2">
      <c r="A3069" t="s">
        <v>5168</v>
      </c>
      <c r="B3069" s="1">
        <v>45372</v>
      </c>
      <c r="C3069" s="1">
        <v>45444</v>
      </c>
      <c r="D3069" t="s">
        <v>5169</v>
      </c>
      <c r="E3069" t="s">
        <v>33</v>
      </c>
      <c r="F3069" t="s">
        <v>34</v>
      </c>
      <c r="G3069" t="s">
        <v>20</v>
      </c>
      <c r="H3069" t="s">
        <v>47</v>
      </c>
      <c r="I3069" t="s">
        <v>60</v>
      </c>
      <c r="J3069">
        <v>1</v>
      </c>
      <c r="K3069">
        <v>4696000</v>
      </c>
      <c r="L3069" s="2" t="s">
        <v>5170</v>
      </c>
      <c r="M3069" t="s">
        <v>23</v>
      </c>
      <c r="N3069">
        <v>3953000</v>
      </c>
      <c r="O3069">
        <v>4.3</v>
      </c>
      <c r="P3069" t="b">
        <v>0</v>
      </c>
    </row>
    <row r="3070" spans="1:16" x14ac:dyDescent="0.2">
      <c r="A3070" t="s">
        <v>5171</v>
      </c>
      <c r="B3070" s="1">
        <v>45372</v>
      </c>
      <c r="C3070" s="1">
        <v>45426</v>
      </c>
      <c r="D3070" t="s">
        <v>5172</v>
      </c>
      <c r="E3070" t="s">
        <v>45</v>
      </c>
      <c r="F3070" t="s">
        <v>25</v>
      </c>
      <c r="G3070" t="s">
        <v>20</v>
      </c>
      <c r="H3070" t="s">
        <v>21</v>
      </c>
      <c r="I3070" t="s">
        <v>99</v>
      </c>
      <c r="J3070">
        <v>2</v>
      </c>
      <c r="K3070">
        <v>4545000</v>
      </c>
      <c r="L3070" s="2" t="s">
        <v>5173</v>
      </c>
      <c r="M3070" t="s">
        <v>65</v>
      </c>
      <c r="N3070">
        <v>0</v>
      </c>
      <c r="P3070" t="b">
        <v>0</v>
      </c>
    </row>
    <row r="3071" spans="1:16" x14ac:dyDescent="0.2">
      <c r="A3071" t="s">
        <v>5174</v>
      </c>
      <c r="B3071" s="1">
        <v>45373</v>
      </c>
      <c r="C3071" s="1">
        <v>45402</v>
      </c>
      <c r="D3071" t="s">
        <v>5175</v>
      </c>
      <c r="E3071" t="s">
        <v>18</v>
      </c>
      <c r="F3071" t="s">
        <v>19</v>
      </c>
      <c r="G3071" t="s">
        <v>20</v>
      </c>
      <c r="H3071" t="s">
        <v>47</v>
      </c>
      <c r="I3071" t="s">
        <v>99</v>
      </c>
      <c r="J3071">
        <v>1</v>
      </c>
      <c r="K3071">
        <v>2454000</v>
      </c>
      <c r="L3071" s="3">
        <v>9.5000000000000001E-2</v>
      </c>
      <c r="M3071" t="s">
        <v>23</v>
      </c>
      <c r="N3071">
        <v>2221000</v>
      </c>
      <c r="O3071">
        <v>4.4000000000000004</v>
      </c>
      <c r="P3071" t="b">
        <v>0</v>
      </c>
    </row>
    <row r="3072" spans="1:16" x14ac:dyDescent="0.2">
      <c r="A3072" t="s">
        <v>5176</v>
      </c>
      <c r="B3072" s="1">
        <v>45374</v>
      </c>
      <c r="C3072" s="1">
        <v>45446</v>
      </c>
      <c r="D3072" t="s">
        <v>3905</v>
      </c>
      <c r="E3072" t="s">
        <v>33</v>
      </c>
      <c r="F3072" t="s">
        <v>19</v>
      </c>
      <c r="G3072" t="s">
        <v>35</v>
      </c>
      <c r="H3072" t="s">
        <v>40</v>
      </c>
      <c r="I3072" t="s">
        <v>26</v>
      </c>
      <c r="J3072">
        <v>4</v>
      </c>
      <c r="K3072">
        <v>2594000</v>
      </c>
      <c r="L3072" s="2" t="s">
        <v>5177</v>
      </c>
      <c r="M3072" t="s">
        <v>23</v>
      </c>
      <c r="N3072">
        <v>8298000</v>
      </c>
      <c r="O3072">
        <v>4</v>
      </c>
      <c r="P3072" t="b">
        <v>1</v>
      </c>
    </row>
    <row r="3073" spans="1:16" x14ac:dyDescent="0.2">
      <c r="A3073" t="s">
        <v>5178</v>
      </c>
      <c r="B3073" s="1">
        <v>45374</v>
      </c>
      <c r="C3073" s="1">
        <v>45432</v>
      </c>
      <c r="D3073" t="s">
        <v>5179</v>
      </c>
      <c r="E3073" t="s">
        <v>18</v>
      </c>
      <c r="F3073" t="s">
        <v>34</v>
      </c>
      <c r="G3073" t="s">
        <v>20</v>
      </c>
      <c r="H3073" t="s">
        <v>40</v>
      </c>
      <c r="I3073" t="s">
        <v>57</v>
      </c>
      <c r="J3073">
        <v>5</v>
      </c>
      <c r="K3073">
        <v>4150000</v>
      </c>
      <c r="L3073">
        <v>8.0242302674556704E-2</v>
      </c>
      <c r="M3073" t="s">
        <v>23</v>
      </c>
      <c r="N3073">
        <v>19085000</v>
      </c>
      <c r="O3073">
        <v>4.2</v>
      </c>
      <c r="P3073" t="b">
        <v>0</v>
      </c>
    </row>
    <row r="3074" spans="1:16" x14ac:dyDescent="0.2">
      <c r="A3074" t="s">
        <v>5180</v>
      </c>
      <c r="B3074" s="1">
        <v>45374</v>
      </c>
      <c r="C3074" s="1">
        <v>45427</v>
      </c>
      <c r="D3074" t="s">
        <v>5181</v>
      </c>
      <c r="E3074" t="s">
        <v>45</v>
      </c>
      <c r="F3074" t="s">
        <v>45</v>
      </c>
      <c r="G3074" t="s">
        <v>20</v>
      </c>
      <c r="I3074" t="s">
        <v>94</v>
      </c>
      <c r="J3074">
        <v>2</v>
      </c>
      <c r="K3074">
        <v>3262000</v>
      </c>
      <c r="L3074">
        <v>9.5107790409457604E-2</v>
      </c>
      <c r="M3074" t="s">
        <v>23</v>
      </c>
      <c r="N3074">
        <v>5904000</v>
      </c>
      <c r="O3074">
        <v>4</v>
      </c>
      <c r="P3074" t="b">
        <v>0</v>
      </c>
    </row>
    <row r="3075" spans="1:16" x14ac:dyDescent="0.2">
      <c r="A3075" t="s">
        <v>5182</v>
      </c>
      <c r="B3075" s="1">
        <v>45374</v>
      </c>
      <c r="C3075" s="1">
        <v>45387</v>
      </c>
      <c r="D3075" t="s">
        <v>5183</v>
      </c>
      <c r="E3075" t="s">
        <v>18</v>
      </c>
      <c r="F3075" t="s">
        <v>25</v>
      </c>
      <c r="G3075" t="s">
        <v>50</v>
      </c>
      <c r="H3075" t="s">
        <v>47</v>
      </c>
      <c r="J3075">
        <v>5</v>
      </c>
      <c r="K3075">
        <v>5110000</v>
      </c>
      <c r="L3075" s="2" t="s">
        <v>5184</v>
      </c>
      <c r="M3075" t="s">
        <v>23</v>
      </c>
      <c r="N3075">
        <v>21054000</v>
      </c>
      <c r="O3075">
        <v>4.0999999999999996</v>
      </c>
      <c r="P3075" t="b">
        <v>0</v>
      </c>
    </row>
    <row r="3076" spans="1:16" x14ac:dyDescent="0.2">
      <c r="A3076" t="s">
        <v>5185</v>
      </c>
      <c r="B3076" s="1">
        <v>45375</v>
      </c>
      <c r="C3076" s="1">
        <v>45382</v>
      </c>
      <c r="D3076" t="s">
        <v>2788</v>
      </c>
      <c r="E3076" t="s">
        <v>18</v>
      </c>
      <c r="F3076" t="s">
        <v>39</v>
      </c>
      <c r="G3076" t="s">
        <v>50</v>
      </c>
      <c r="H3076" t="s">
        <v>21</v>
      </c>
      <c r="I3076" t="s">
        <v>99</v>
      </c>
      <c r="J3076">
        <v>1</v>
      </c>
      <c r="K3076">
        <v>2116000</v>
      </c>
      <c r="L3076" s="2" t="s">
        <v>5186</v>
      </c>
      <c r="M3076" t="s">
        <v>23</v>
      </c>
      <c r="N3076">
        <v>1882000</v>
      </c>
      <c r="O3076">
        <v>4.8</v>
      </c>
      <c r="P3076" t="b">
        <v>1</v>
      </c>
    </row>
    <row r="3077" spans="1:16" x14ac:dyDescent="0.2">
      <c r="A3077" t="s">
        <v>5187</v>
      </c>
      <c r="B3077" s="1">
        <v>45375</v>
      </c>
      <c r="C3077" s="1">
        <v>45490</v>
      </c>
      <c r="D3077" t="s">
        <v>2914</v>
      </c>
      <c r="E3077" t="s">
        <v>45</v>
      </c>
      <c r="F3077" t="s">
        <v>19</v>
      </c>
      <c r="G3077" t="s">
        <v>35</v>
      </c>
      <c r="H3077" t="s">
        <v>40</v>
      </c>
      <c r="I3077" t="s">
        <v>60</v>
      </c>
      <c r="J3077">
        <v>2</v>
      </c>
      <c r="K3077">
        <v>2999000</v>
      </c>
      <c r="L3077" s="2" t="s">
        <v>5188</v>
      </c>
      <c r="M3077" t="s">
        <v>23</v>
      </c>
      <c r="N3077">
        <v>5189000</v>
      </c>
      <c r="O3077">
        <v>5</v>
      </c>
      <c r="P3077" t="b">
        <v>1</v>
      </c>
    </row>
    <row r="3078" spans="1:16" x14ac:dyDescent="0.2">
      <c r="A3078" t="s">
        <v>5189</v>
      </c>
      <c r="B3078" s="1">
        <v>45375</v>
      </c>
      <c r="C3078" s="1">
        <v>45423</v>
      </c>
      <c r="D3078" t="s">
        <v>4235</v>
      </c>
      <c r="E3078" t="s">
        <v>29</v>
      </c>
      <c r="F3078" t="s">
        <v>19</v>
      </c>
      <c r="G3078" t="s">
        <v>20</v>
      </c>
      <c r="H3078" t="s">
        <v>40</v>
      </c>
      <c r="I3078" t="s">
        <v>83</v>
      </c>
      <c r="J3078">
        <v>3</v>
      </c>
      <c r="K3078">
        <v>2605000</v>
      </c>
      <c r="L3078">
        <v>9.3194536520539398E-2</v>
      </c>
      <c r="M3078" t="s">
        <v>23</v>
      </c>
      <c r="N3078">
        <v>7087000</v>
      </c>
      <c r="O3078">
        <v>3</v>
      </c>
      <c r="P3078" t="b">
        <v>1</v>
      </c>
    </row>
    <row r="3079" spans="1:16" x14ac:dyDescent="0.2">
      <c r="A3079" t="s">
        <v>5190</v>
      </c>
      <c r="B3079" s="1">
        <v>45375</v>
      </c>
      <c r="C3079" s="1">
        <v>45420</v>
      </c>
      <c r="D3079" t="s">
        <v>4595</v>
      </c>
      <c r="E3079" t="s">
        <v>33</v>
      </c>
      <c r="F3079" t="s">
        <v>19</v>
      </c>
      <c r="G3079" t="s">
        <v>35</v>
      </c>
      <c r="H3079" t="s">
        <v>21</v>
      </c>
      <c r="I3079" t="s">
        <v>30</v>
      </c>
      <c r="J3079">
        <v>1</v>
      </c>
      <c r="K3079">
        <v>2374000</v>
      </c>
      <c r="L3079" s="2" t="s">
        <v>5191</v>
      </c>
      <c r="M3079" t="s">
        <v>23</v>
      </c>
      <c r="N3079">
        <v>2057000</v>
      </c>
      <c r="O3079">
        <v>3.3</v>
      </c>
      <c r="P3079" t="b">
        <v>1</v>
      </c>
    </row>
    <row r="3080" spans="1:16" x14ac:dyDescent="0.2">
      <c r="A3080" t="s">
        <v>5192</v>
      </c>
      <c r="B3080" s="1">
        <v>45376</v>
      </c>
      <c r="C3080" s="1">
        <v>45465</v>
      </c>
      <c r="D3080" t="s">
        <v>5193</v>
      </c>
      <c r="E3080" t="s">
        <v>33</v>
      </c>
      <c r="F3080" t="s">
        <v>19</v>
      </c>
      <c r="G3080" t="s">
        <v>20</v>
      </c>
      <c r="H3080" t="s">
        <v>21</v>
      </c>
      <c r="I3080" t="s">
        <v>77</v>
      </c>
      <c r="J3080">
        <v>3</v>
      </c>
      <c r="K3080">
        <v>2739000</v>
      </c>
      <c r="L3080">
        <v>7.5461960509034406E-2</v>
      </c>
      <c r="M3080" t="s">
        <v>23</v>
      </c>
      <c r="N3080">
        <v>7597000</v>
      </c>
      <c r="O3080">
        <v>4</v>
      </c>
      <c r="P3080" t="b">
        <v>0</v>
      </c>
    </row>
    <row r="3081" spans="1:16" x14ac:dyDescent="0.2">
      <c r="A3081" t="s">
        <v>5194</v>
      </c>
      <c r="B3081" s="1">
        <v>45376</v>
      </c>
      <c r="C3081" s="1">
        <v>45429</v>
      </c>
      <c r="D3081" t="s">
        <v>3747</v>
      </c>
      <c r="E3081" t="s">
        <v>18</v>
      </c>
      <c r="F3081" t="s">
        <v>45</v>
      </c>
      <c r="G3081" t="s">
        <v>20</v>
      </c>
      <c r="H3081" t="s">
        <v>40</v>
      </c>
      <c r="I3081" t="s">
        <v>22</v>
      </c>
      <c r="J3081">
        <v>1</v>
      </c>
      <c r="K3081">
        <v>3007000</v>
      </c>
      <c r="L3081" s="2" t="s">
        <v>5195</v>
      </c>
      <c r="M3081" t="s">
        <v>23</v>
      </c>
      <c r="N3081">
        <v>2581000</v>
      </c>
      <c r="O3081">
        <v>4.4000000000000004</v>
      </c>
      <c r="P3081" t="b">
        <v>1</v>
      </c>
    </row>
    <row r="3082" spans="1:16" x14ac:dyDescent="0.2">
      <c r="A3082" t="s">
        <v>5196</v>
      </c>
      <c r="B3082" s="1">
        <v>45376</v>
      </c>
      <c r="C3082" s="1">
        <v>45405</v>
      </c>
      <c r="D3082" t="s">
        <v>5197</v>
      </c>
      <c r="E3082" t="s">
        <v>18</v>
      </c>
      <c r="F3082" t="s">
        <v>45</v>
      </c>
      <c r="G3082" t="s">
        <v>20</v>
      </c>
      <c r="H3082" t="s">
        <v>21</v>
      </c>
      <c r="I3082" t="s">
        <v>30</v>
      </c>
      <c r="J3082">
        <v>2</v>
      </c>
      <c r="K3082">
        <v>3198000</v>
      </c>
      <c r="L3082">
        <v>9.5203606353152698E-2</v>
      </c>
      <c r="M3082" t="s">
        <v>23</v>
      </c>
      <c r="N3082">
        <v>5787000</v>
      </c>
      <c r="O3082">
        <v>4.7</v>
      </c>
      <c r="P3082" t="b">
        <v>0</v>
      </c>
    </row>
    <row r="3083" spans="1:16" x14ac:dyDescent="0.2">
      <c r="A3083" t="s">
        <v>5198</v>
      </c>
      <c r="B3083" s="1">
        <v>45376</v>
      </c>
      <c r="C3083" s="1">
        <v>45402</v>
      </c>
      <c r="D3083" t="s">
        <v>1618</v>
      </c>
      <c r="E3083" t="s">
        <v>29</v>
      </c>
      <c r="F3083" t="s">
        <v>34</v>
      </c>
      <c r="G3083" t="s">
        <v>20</v>
      </c>
      <c r="H3083" t="s">
        <v>40</v>
      </c>
      <c r="I3083" t="s">
        <v>83</v>
      </c>
      <c r="J3083">
        <v>2</v>
      </c>
      <c r="K3083">
        <v>4257000</v>
      </c>
      <c r="L3083" s="2" t="s">
        <v>5199</v>
      </c>
      <c r="M3083" t="s">
        <v>23</v>
      </c>
      <c r="N3083">
        <v>7355000</v>
      </c>
      <c r="O3083">
        <v>4.4000000000000004</v>
      </c>
      <c r="P3083" t="b">
        <v>1</v>
      </c>
    </row>
    <row r="3084" spans="1:16" x14ac:dyDescent="0.2">
      <c r="A3084" t="s">
        <v>5200</v>
      </c>
      <c r="B3084" s="1">
        <v>45377</v>
      </c>
      <c r="C3084" s="1">
        <v>45393</v>
      </c>
      <c r="D3084" t="s">
        <v>5201</v>
      </c>
      <c r="E3084" t="s">
        <v>33</v>
      </c>
      <c r="F3084" t="s">
        <v>25</v>
      </c>
      <c r="G3084" t="s">
        <v>20</v>
      </c>
      <c r="H3084" t="s">
        <v>40</v>
      </c>
      <c r="I3084" t="s">
        <v>83</v>
      </c>
      <c r="J3084">
        <v>2</v>
      </c>
      <c r="K3084">
        <v>5048000</v>
      </c>
      <c r="L3084" s="2" t="s">
        <v>5202</v>
      </c>
      <c r="M3084" t="s">
        <v>23</v>
      </c>
      <c r="N3084">
        <v>9552000</v>
      </c>
      <c r="O3084">
        <v>4.4000000000000004</v>
      </c>
      <c r="P3084" t="b">
        <v>0</v>
      </c>
    </row>
    <row r="3085" spans="1:16" x14ac:dyDescent="0.2">
      <c r="A3085" t="s">
        <v>5203</v>
      </c>
      <c r="B3085" s="1">
        <v>45378</v>
      </c>
      <c r="C3085" s="1">
        <v>45454</v>
      </c>
      <c r="D3085" t="s">
        <v>3566</v>
      </c>
      <c r="E3085" t="s">
        <v>33</v>
      </c>
      <c r="F3085" t="s">
        <v>19</v>
      </c>
      <c r="G3085" t="s">
        <v>35</v>
      </c>
      <c r="H3085" t="s">
        <v>47</v>
      </c>
      <c r="I3085" t="s">
        <v>26</v>
      </c>
      <c r="J3085">
        <v>1</v>
      </c>
      <c r="K3085">
        <v>2959000</v>
      </c>
      <c r="L3085">
        <v>8.1061792376739106E-2</v>
      </c>
      <c r="M3085" t="s">
        <v>23</v>
      </c>
      <c r="N3085">
        <v>2719000</v>
      </c>
      <c r="O3085">
        <v>5</v>
      </c>
      <c r="P3085" t="b">
        <v>1</v>
      </c>
    </row>
    <row r="3086" spans="1:16" x14ac:dyDescent="0.2">
      <c r="A3086" t="s">
        <v>5204</v>
      </c>
      <c r="B3086" s="1">
        <v>45378</v>
      </c>
      <c r="C3086" s="1">
        <v>45452</v>
      </c>
      <c r="D3086" t="s">
        <v>5205</v>
      </c>
      <c r="E3086" t="s">
        <v>45</v>
      </c>
      <c r="F3086" t="s">
        <v>45</v>
      </c>
      <c r="G3086" t="s">
        <v>20</v>
      </c>
      <c r="H3086" t="s">
        <v>40</v>
      </c>
      <c r="I3086" t="s">
        <v>99</v>
      </c>
      <c r="J3086">
        <v>5</v>
      </c>
      <c r="K3086">
        <v>3466000</v>
      </c>
      <c r="L3086" s="2" t="s">
        <v>5206</v>
      </c>
      <c r="M3086" t="s">
        <v>23</v>
      </c>
      <c r="N3086">
        <v>15160000</v>
      </c>
      <c r="O3086">
        <v>4.8</v>
      </c>
      <c r="P3086" t="b">
        <v>0</v>
      </c>
    </row>
    <row r="3087" spans="1:16" x14ac:dyDescent="0.2">
      <c r="A3087" t="s">
        <v>5207</v>
      </c>
      <c r="B3087" s="1">
        <v>45378</v>
      </c>
      <c r="C3087" s="1">
        <v>45433</v>
      </c>
      <c r="D3087" t="s">
        <v>1100</v>
      </c>
      <c r="E3087" t="s">
        <v>29</v>
      </c>
      <c r="F3087" t="s">
        <v>19</v>
      </c>
      <c r="G3087" t="s">
        <v>35</v>
      </c>
      <c r="H3087" t="s">
        <v>21</v>
      </c>
      <c r="I3087" t="s">
        <v>52</v>
      </c>
      <c r="J3087">
        <v>4</v>
      </c>
      <c r="K3087">
        <v>2395000</v>
      </c>
      <c r="L3087">
        <v>6.4120175207870306E-2</v>
      </c>
      <c r="M3087" t="s">
        <v>23</v>
      </c>
      <c r="N3087">
        <v>8966000</v>
      </c>
      <c r="O3087">
        <v>4.8</v>
      </c>
      <c r="P3087" t="b">
        <v>1</v>
      </c>
    </row>
    <row r="3088" spans="1:16" x14ac:dyDescent="0.2">
      <c r="A3088" t="s">
        <v>5208</v>
      </c>
      <c r="B3088" s="1">
        <v>45378</v>
      </c>
      <c r="C3088" s="1">
        <v>45421</v>
      </c>
      <c r="D3088" t="s">
        <v>5209</v>
      </c>
      <c r="E3088" t="s">
        <v>45</v>
      </c>
      <c r="F3088" t="s">
        <v>19</v>
      </c>
      <c r="G3088" t="s">
        <v>20</v>
      </c>
      <c r="H3088" t="s">
        <v>21</v>
      </c>
      <c r="I3088" t="s">
        <v>1654</v>
      </c>
      <c r="J3088">
        <v>1</v>
      </c>
      <c r="K3088">
        <v>2611000</v>
      </c>
      <c r="L3088" s="2" t="s">
        <v>5210</v>
      </c>
      <c r="M3088" t="s">
        <v>23</v>
      </c>
      <c r="N3088">
        <v>2327000</v>
      </c>
      <c r="O3088">
        <v>4.4000000000000004</v>
      </c>
      <c r="P3088" t="b">
        <v>0</v>
      </c>
    </row>
    <row r="3089" spans="1:16" x14ac:dyDescent="0.2">
      <c r="A3089" t="s">
        <v>5211</v>
      </c>
      <c r="B3089" s="1">
        <v>45379</v>
      </c>
      <c r="C3089" s="1">
        <v>45449</v>
      </c>
      <c r="D3089" t="s">
        <v>380</v>
      </c>
      <c r="E3089" t="s">
        <v>33</v>
      </c>
      <c r="F3089" t="s">
        <v>34</v>
      </c>
      <c r="G3089" t="s">
        <v>20</v>
      </c>
      <c r="H3089" t="s">
        <v>40</v>
      </c>
      <c r="J3089">
        <v>1</v>
      </c>
      <c r="K3089">
        <v>4270000</v>
      </c>
      <c r="L3089">
        <v>5.8770688820267002E-2</v>
      </c>
      <c r="M3089" t="s">
        <v>23</v>
      </c>
      <c r="N3089">
        <v>4019000</v>
      </c>
      <c r="O3089">
        <v>4.5999999999999996</v>
      </c>
      <c r="P3089" t="b">
        <v>1</v>
      </c>
    </row>
    <row r="3090" spans="1:16" x14ac:dyDescent="0.2">
      <c r="A3090" t="s">
        <v>5212</v>
      </c>
      <c r="B3090" s="1">
        <v>45380</v>
      </c>
      <c r="C3090" s="1">
        <v>45416</v>
      </c>
      <c r="D3090" t="s">
        <v>3411</v>
      </c>
      <c r="E3090" t="s">
        <v>18</v>
      </c>
      <c r="F3090" t="s">
        <v>34</v>
      </c>
      <c r="G3090" t="s">
        <v>20</v>
      </c>
      <c r="H3090" t="s">
        <v>21</v>
      </c>
      <c r="I3090" t="s">
        <v>2680</v>
      </c>
      <c r="J3090">
        <v>1</v>
      </c>
      <c r="K3090">
        <v>4234000</v>
      </c>
      <c r="L3090" s="2" t="s">
        <v>5213</v>
      </c>
      <c r="M3090" t="s">
        <v>23</v>
      </c>
      <c r="N3090">
        <v>3651000</v>
      </c>
      <c r="O3090">
        <v>3.7</v>
      </c>
      <c r="P3090" t="b">
        <v>1</v>
      </c>
    </row>
    <row r="3091" spans="1:16" x14ac:dyDescent="0.2">
      <c r="A3091" t="s">
        <v>5214</v>
      </c>
      <c r="B3091" s="1">
        <v>45381</v>
      </c>
      <c r="C3091" s="1">
        <v>45433</v>
      </c>
      <c r="D3091" t="s">
        <v>2104</v>
      </c>
      <c r="E3091" t="s">
        <v>45</v>
      </c>
      <c r="F3091" t="s">
        <v>19</v>
      </c>
      <c r="G3091" t="s">
        <v>20</v>
      </c>
      <c r="H3091" t="s">
        <v>47</v>
      </c>
      <c r="I3091" t="s">
        <v>83</v>
      </c>
      <c r="J3091">
        <v>1</v>
      </c>
      <c r="K3091">
        <v>2798000</v>
      </c>
      <c r="L3091" s="2" t="s">
        <v>5215</v>
      </c>
      <c r="M3091" t="s">
        <v>23</v>
      </c>
      <c r="N3091">
        <v>2661000</v>
      </c>
      <c r="O3091">
        <v>3.7</v>
      </c>
      <c r="P3091" t="b">
        <v>1</v>
      </c>
    </row>
    <row r="3092" spans="1:16" x14ac:dyDescent="0.2">
      <c r="A3092" t="s">
        <v>5216</v>
      </c>
      <c r="B3092" s="1">
        <v>45381</v>
      </c>
      <c r="C3092" s="1">
        <v>45426</v>
      </c>
      <c r="D3092" t="s">
        <v>5217</v>
      </c>
      <c r="E3092" t="s">
        <v>45</v>
      </c>
      <c r="F3092" t="s">
        <v>68</v>
      </c>
      <c r="G3092" t="s">
        <v>50</v>
      </c>
      <c r="H3092" t="s">
        <v>47</v>
      </c>
      <c r="I3092" t="s">
        <v>22</v>
      </c>
      <c r="J3092">
        <v>2</v>
      </c>
      <c r="K3092">
        <v>2327000</v>
      </c>
      <c r="L3092" s="2" t="s">
        <v>5218</v>
      </c>
      <c r="M3092" t="s">
        <v>23</v>
      </c>
      <c r="N3092">
        <v>4023000</v>
      </c>
      <c r="O3092">
        <v>4.2</v>
      </c>
      <c r="P3092" t="b">
        <v>0</v>
      </c>
    </row>
    <row r="3093" spans="1:16" x14ac:dyDescent="0.2">
      <c r="A3093" t="s">
        <v>5219</v>
      </c>
      <c r="B3093" s="1">
        <v>45381</v>
      </c>
      <c r="C3093" s="1">
        <v>45424</v>
      </c>
      <c r="D3093" t="s">
        <v>2169</v>
      </c>
      <c r="E3093" t="s">
        <v>45</v>
      </c>
      <c r="F3093" t="s">
        <v>34</v>
      </c>
      <c r="G3093" t="s">
        <v>35</v>
      </c>
      <c r="H3093" t="s">
        <v>21</v>
      </c>
      <c r="I3093" t="s">
        <v>60</v>
      </c>
      <c r="J3093">
        <v>4</v>
      </c>
      <c r="K3093">
        <v>4453000</v>
      </c>
      <c r="L3093" s="2" t="s">
        <v>5220</v>
      </c>
      <c r="M3093" t="s">
        <v>23</v>
      </c>
      <c r="N3093">
        <v>14824000</v>
      </c>
      <c r="O3093">
        <v>3.7</v>
      </c>
      <c r="P3093" t="b">
        <v>1</v>
      </c>
    </row>
    <row r="3094" spans="1:16" x14ac:dyDescent="0.2">
      <c r="A3094" t="s">
        <v>5221</v>
      </c>
      <c r="B3094" s="1">
        <v>45381</v>
      </c>
      <c r="C3094" s="1">
        <v>45484</v>
      </c>
      <c r="D3094" t="s">
        <v>4002</v>
      </c>
      <c r="E3094" t="s">
        <v>45</v>
      </c>
      <c r="F3094" t="s">
        <v>25</v>
      </c>
      <c r="G3094" t="s">
        <v>46</v>
      </c>
      <c r="H3094" t="s">
        <v>21</v>
      </c>
      <c r="I3094" t="s">
        <v>30</v>
      </c>
      <c r="J3094">
        <v>3</v>
      </c>
      <c r="K3094">
        <v>5995000</v>
      </c>
      <c r="L3094">
        <v>7.62276145749681E-2</v>
      </c>
      <c r="M3094" t="s">
        <v>23</v>
      </c>
      <c r="N3094">
        <v>16614000</v>
      </c>
      <c r="O3094">
        <v>4.5</v>
      </c>
      <c r="P3094" t="b">
        <v>1</v>
      </c>
    </row>
    <row r="3095" spans="1:16" x14ac:dyDescent="0.2">
      <c r="A3095" t="s">
        <v>5222</v>
      </c>
      <c r="B3095" s="1">
        <v>45381</v>
      </c>
      <c r="C3095" s="1">
        <v>45425</v>
      </c>
      <c r="D3095" t="s">
        <v>2201</v>
      </c>
      <c r="E3095" t="s">
        <v>18</v>
      </c>
      <c r="F3095" t="s">
        <v>19</v>
      </c>
      <c r="G3095" t="s">
        <v>35</v>
      </c>
      <c r="H3095" t="s">
        <v>21</v>
      </c>
      <c r="I3095" t="s">
        <v>83</v>
      </c>
      <c r="J3095">
        <v>2</v>
      </c>
      <c r="K3095">
        <v>2721000</v>
      </c>
      <c r="L3095" s="2" t="s">
        <v>5223</v>
      </c>
      <c r="M3095" t="s">
        <v>23</v>
      </c>
      <c r="N3095">
        <v>4823000</v>
      </c>
      <c r="O3095">
        <v>4.4000000000000004</v>
      </c>
      <c r="P3095" t="b">
        <v>1</v>
      </c>
    </row>
    <row r="3096" spans="1:16" x14ac:dyDescent="0.2">
      <c r="A3096" t="s">
        <v>5224</v>
      </c>
      <c r="B3096" s="1">
        <v>45381</v>
      </c>
      <c r="C3096" s="1">
        <v>45408</v>
      </c>
      <c r="D3096" t="s">
        <v>588</v>
      </c>
      <c r="E3096" t="s">
        <v>18</v>
      </c>
      <c r="F3096" t="s">
        <v>25</v>
      </c>
      <c r="G3096" t="s">
        <v>50</v>
      </c>
      <c r="H3096" t="s">
        <v>51</v>
      </c>
      <c r="I3096" t="s">
        <v>30</v>
      </c>
      <c r="J3096">
        <v>1</v>
      </c>
      <c r="K3096">
        <v>5943000</v>
      </c>
      <c r="L3096" s="2" t="s">
        <v>5225</v>
      </c>
      <c r="M3096" t="s">
        <v>23</v>
      </c>
      <c r="N3096">
        <v>5337000</v>
      </c>
      <c r="O3096">
        <v>4.5</v>
      </c>
      <c r="P3096" t="b">
        <v>1</v>
      </c>
    </row>
    <row r="3097" spans="1:16" x14ac:dyDescent="0.2">
      <c r="A3097" t="s">
        <v>5226</v>
      </c>
      <c r="B3097" s="1">
        <v>45382</v>
      </c>
      <c r="C3097" s="1">
        <v>45409</v>
      </c>
      <c r="D3097" t="s">
        <v>5227</v>
      </c>
      <c r="E3097" t="s">
        <v>18</v>
      </c>
      <c r="F3097" t="s">
        <v>34</v>
      </c>
      <c r="G3097" t="s">
        <v>20</v>
      </c>
      <c r="H3097" t="s">
        <v>21</v>
      </c>
      <c r="I3097" t="s">
        <v>22</v>
      </c>
      <c r="J3097">
        <v>2</v>
      </c>
      <c r="K3097">
        <v>4070000</v>
      </c>
      <c r="L3097" s="2" t="s">
        <v>5228</v>
      </c>
      <c r="M3097" t="s">
        <v>23</v>
      </c>
      <c r="N3097">
        <v>6614000</v>
      </c>
      <c r="O3097">
        <v>4.0999999999999996</v>
      </c>
      <c r="P3097" t="b">
        <v>0</v>
      </c>
    </row>
    <row r="3098" spans="1:16" x14ac:dyDescent="0.2">
      <c r="A3098" t="s">
        <v>5229</v>
      </c>
      <c r="B3098" s="1">
        <v>45382</v>
      </c>
      <c r="C3098" s="1">
        <v>45460</v>
      </c>
      <c r="D3098" t="s">
        <v>5230</v>
      </c>
      <c r="E3098" t="s">
        <v>45</v>
      </c>
      <c r="F3098" t="s">
        <v>25</v>
      </c>
      <c r="G3098" t="s">
        <v>50</v>
      </c>
      <c r="H3098" t="s">
        <v>47</v>
      </c>
      <c r="I3098" t="s">
        <v>30</v>
      </c>
      <c r="J3098">
        <v>2</v>
      </c>
      <c r="K3098">
        <v>5125000</v>
      </c>
      <c r="L3098" s="3">
        <v>0.109</v>
      </c>
      <c r="M3098" t="s">
        <v>23</v>
      </c>
      <c r="N3098">
        <v>9134000</v>
      </c>
      <c r="O3098">
        <v>4.2</v>
      </c>
      <c r="P3098" t="b">
        <v>0</v>
      </c>
    </row>
    <row r="3099" spans="1:16" x14ac:dyDescent="0.2">
      <c r="A3099" t="s">
        <v>5231</v>
      </c>
      <c r="B3099" s="1">
        <v>45383</v>
      </c>
      <c r="C3099" s="1">
        <v>45437</v>
      </c>
      <c r="D3099" t="s">
        <v>4871</v>
      </c>
      <c r="E3099" t="s">
        <v>33</v>
      </c>
      <c r="F3099" t="s">
        <v>45</v>
      </c>
      <c r="G3099" t="s">
        <v>20</v>
      </c>
      <c r="H3099" t="s">
        <v>40</v>
      </c>
      <c r="I3099" t="s">
        <v>57</v>
      </c>
      <c r="J3099">
        <v>2</v>
      </c>
      <c r="K3099">
        <v>3509000</v>
      </c>
      <c r="L3099">
        <v>9.37313651697292E-2</v>
      </c>
      <c r="M3099" t="s">
        <v>23</v>
      </c>
      <c r="N3099">
        <v>6360000</v>
      </c>
      <c r="O3099">
        <v>3.9</v>
      </c>
      <c r="P3099" t="b">
        <v>1</v>
      </c>
    </row>
    <row r="3100" spans="1:16" x14ac:dyDescent="0.2">
      <c r="A3100" t="s">
        <v>5232</v>
      </c>
      <c r="B3100" s="1">
        <v>45384</v>
      </c>
      <c r="C3100" s="1">
        <v>45436</v>
      </c>
      <c r="D3100" t="s">
        <v>5233</v>
      </c>
      <c r="E3100" t="s">
        <v>29</v>
      </c>
      <c r="F3100" t="s">
        <v>19</v>
      </c>
      <c r="G3100" t="s">
        <v>20</v>
      </c>
      <c r="H3100" t="s">
        <v>51</v>
      </c>
      <c r="I3100" t="s">
        <v>60</v>
      </c>
      <c r="J3100">
        <v>1</v>
      </c>
      <c r="K3100">
        <v>2741000</v>
      </c>
      <c r="L3100">
        <v>7.0933873353878296E-2</v>
      </c>
      <c r="M3100" t="s">
        <v>23</v>
      </c>
      <c r="N3100">
        <v>2547000</v>
      </c>
      <c r="O3100">
        <v>4.2</v>
      </c>
      <c r="P3100" t="b">
        <v>0</v>
      </c>
    </row>
    <row r="3101" spans="1:16" x14ac:dyDescent="0.2">
      <c r="A3101" t="s">
        <v>5234</v>
      </c>
      <c r="B3101" s="1">
        <v>45385</v>
      </c>
      <c r="C3101" s="1">
        <v>45412</v>
      </c>
      <c r="D3101" t="s">
        <v>3555</v>
      </c>
      <c r="E3101" t="s">
        <v>18</v>
      </c>
      <c r="F3101" t="s">
        <v>34</v>
      </c>
      <c r="G3101" t="s">
        <v>20</v>
      </c>
      <c r="H3101" t="s">
        <v>21</v>
      </c>
      <c r="I3101" t="s">
        <v>77</v>
      </c>
      <c r="J3101">
        <v>3</v>
      </c>
      <c r="K3101">
        <v>4219000</v>
      </c>
      <c r="L3101">
        <v>4.4553572905874597E-2</v>
      </c>
      <c r="M3101" t="s">
        <v>23</v>
      </c>
      <c r="N3101">
        <v>12093000</v>
      </c>
      <c r="O3101">
        <v>4.7</v>
      </c>
      <c r="P3101" t="b">
        <v>1</v>
      </c>
    </row>
    <row r="3102" spans="1:16" x14ac:dyDescent="0.2">
      <c r="A3102" t="s">
        <v>5235</v>
      </c>
      <c r="B3102" s="1">
        <v>45385</v>
      </c>
      <c r="C3102" s="1">
        <v>45445</v>
      </c>
      <c r="D3102" t="s">
        <v>5236</v>
      </c>
      <c r="E3102" t="s">
        <v>33</v>
      </c>
      <c r="F3102" t="s">
        <v>34</v>
      </c>
      <c r="G3102" t="s">
        <v>50</v>
      </c>
      <c r="H3102" t="s">
        <v>47</v>
      </c>
      <c r="I3102" t="s">
        <v>52</v>
      </c>
      <c r="J3102">
        <v>3</v>
      </c>
      <c r="K3102">
        <v>3302000</v>
      </c>
      <c r="L3102" s="2" t="s">
        <v>5237</v>
      </c>
      <c r="M3102" t="s">
        <v>23</v>
      </c>
      <c r="N3102">
        <v>8857000</v>
      </c>
      <c r="O3102">
        <v>3.6</v>
      </c>
      <c r="P3102" t="b">
        <v>0</v>
      </c>
    </row>
    <row r="3103" spans="1:16" x14ac:dyDescent="0.2">
      <c r="A3103" t="s">
        <v>5238</v>
      </c>
      <c r="B3103" s="1">
        <v>45386</v>
      </c>
      <c r="C3103" s="1">
        <v>45429</v>
      </c>
      <c r="D3103" t="s">
        <v>5239</v>
      </c>
      <c r="E3103" t="s">
        <v>29</v>
      </c>
      <c r="F3103" t="s">
        <v>34</v>
      </c>
      <c r="G3103" t="s">
        <v>35</v>
      </c>
      <c r="H3103" t="s">
        <v>21</v>
      </c>
      <c r="I3103" t="s">
        <v>22</v>
      </c>
      <c r="J3103">
        <v>1</v>
      </c>
      <c r="K3103">
        <v>3702000</v>
      </c>
      <c r="L3103">
        <v>8.0547801422711604E-2</v>
      </c>
      <c r="M3103" t="s">
        <v>23</v>
      </c>
      <c r="N3103">
        <v>3404000</v>
      </c>
      <c r="O3103">
        <v>5</v>
      </c>
      <c r="P3103" t="b">
        <v>0</v>
      </c>
    </row>
    <row r="3104" spans="1:16" x14ac:dyDescent="0.2">
      <c r="A3104" t="s">
        <v>5240</v>
      </c>
      <c r="B3104" s="1">
        <v>45386</v>
      </c>
      <c r="C3104" s="1">
        <v>45425</v>
      </c>
      <c r="D3104" t="s">
        <v>179</v>
      </c>
      <c r="E3104" t="s">
        <v>33</v>
      </c>
      <c r="F3104" t="s">
        <v>39</v>
      </c>
      <c r="G3104" t="s">
        <v>20</v>
      </c>
      <c r="H3104" t="s">
        <v>21</v>
      </c>
      <c r="I3104" t="s">
        <v>77</v>
      </c>
      <c r="J3104">
        <v>1</v>
      </c>
      <c r="K3104">
        <v>2452000</v>
      </c>
      <c r="L3104" s="3">
        <v>0.14799999999999999</v>
      </c>
      <c r="M3104" t="s">
        <v>23</v>
      </c>
      <c r="N3104">
        <v>2090000</v>
      </c>
      <c r="O3104">
        <v>4.5999999999999996</v>
      </c>
      <c r="P3104" t="b">
        <v>1</v>
      </c>
    </row>
    <row r="3105" spans="1:16" x14ac:dyDescent="0.2">
      <c r="A3105" t="s">
        <v>5241</v>
      </c>
      <c r="B3105" s="1">
        <v>45387</v>
      </c>
      <c r="C3105" s="1">
        <v>45428</v>
      </c>
      <c r="D3105" t="s">
        <v>3190</v>
      </c>
      <c r="E3105" t="s">
        <v>45</v>
      </c>
      <c r="F3105" t="s">
        <v>39</v>
      </c>
      <c r="H3105" t="s">
        <v>51</v>
      </c>
      <c r="I3105" t="s">
        <v>26</v>
      </c>
      <c r="J3105">
        <v>1</v>
      </c>
      <c r="K3105">
        <v>2239000</v>
      </c>
      <c r="L3105" s="2" t="s">
        <v>5242</v>
      </c>
      <c r="M3105" t="s">
        <v>23</v>
      </c>
      <c r="N3105">
        <v>2002000</v>
      </c>
      <c r="O3105">
        <v>4</v>
      </c>
      <c r="P3105" t="b">
        <v>1</v>
      </c>
    </row>
    <row r="3106" spans="1:16" x14ac:dyDescent="0.2">
      <c r="A3106" t="s">
        <v>5243</v>
      </c>
      <c r="B3106" s="1">
        <v>45387</v>
      </c>
      <c r="C3106" s="1">
        <v>45400</v>
      </c>
      <c r="D3106" t="s">
        <v>3092</v>
      </c>
      <c r="E3106" t="s">
        <v>18</v>
      </c>
      <c r="F3106" t="s">
        <v>34</v>
      </c>
      <c r="G3106" t="s">
        <v>20</v>
      </c>
      <c r="H3106" t="s">
        <v>21</v>
      </c>
      <c r="J3106">
        <v>2</v>
      </c>
      <c r="K3106">
        <v>4441000</v>
      </c>
      <c r="L3106" s="2" t="s">
        <v>5244</v>
      </c>
      <c r="M3106" t="s">
        <v>23</v>
      </c>
      <c r="N3106">
        <v>7359000</v>
      </c>
      <c r="O3106">
        <v>4.5</v>
      </c>
      <c r="P3106" t="b">
        <v>1</v>
      </c>
    </row>
    <row r="3107" spans="1:16" x14ac:dyDescent="0.2">
      <c r="A3107" t="s">
        <v>5245</v>
      </c>
      <c r="B3107" s="1">
        <v>45387</v>
      </c>
      <c r="C3107" s="1">
        <v>45396</v>
      </c>
      <c r="D3107" t="s">
        <v>4180</v>
      </c>
      <c r="E3107" t="s">
        <v>18</v>
      </c>
      <c r="F3107" t="s">
        <v>19</v>
      </c>
      <c r="G3107" t="s">
        <v>20</v>
      </c>
      <c r="H3107" t="s">
        <v>51</v>
      </c>
      <c r="I3107" t="s">
        <v>22</v>
      </c>
      <c r="J3107">
        <v>1</v>
      </c>
      <c r="K3107">
        <v>2478000</v>
      </c>
      <c r="L3107">
        <v>9.8688247953564096E-2</v>
      </c>
      <c r="M3107" t="s">
        <v>23</v>
      </c>
      <c r="N3107">
        <v>2233000</v>
      </c>
      <c r="O3107">
        <v>4.9000000000000004</v>
      </c>
      <c r="P3107" t="b">
        <v>1</v>
      </c>
    </row>
    <row r="3108" spans="1:16" x14ac:dyDescent="0.2">
      <c r="A3108" t="s">
        <v>5246</v>
      </c>
      <c r="B3108" s="1">
        <v>45388</v>
      </c>
      <c r="C3108" s="1">
        <v>45424</v>
      </c>
      <c r="D3108" t="s">
        <v>5247</v>
      </c>
      <c r="E3108" t="s">
        <v>18</v>
      </c>
      <c r="F3108" t="s">
        <v>45</v>
      </c>
      <c r="G3108" t="s">
        <v>20</v>
      </c>
      <c r="H3108" t="s">
        <v>21</v>
      </c>
      <c r="I3108" t="s">
        <v>26</v>
      </c>
      <c r="J3108">
        <v>2</v>
      </c>
      <c r="K3108">
        <v>3048000</v>
      </c>
      <c r="L3108" s="2" t="s">
        <v>5248</v>
      </c>
      <c r="M3108" t="s">
        <v>23</v>
      </c>
      <c r="N3108">
        <v>5401000</v>
      </c>
      <c r="O3108">
        <v>4.7</v>
      </c>
      <c r="P3108" t="b">
        <v>0</v>
      </c>
    </row>
    <row r="3109" spans="1:16" x14ac:dyDescent="0.2">
      <c r="A3109" t="s">
        <v>5249</v>
      </c>
      <c r="B3109" s="1">
        <v>45388</v>
      </c>
      <c r="C3109" s="1">
        <v>45446</v>
      </c>
      <c r="D3109" t="s">
        <v>4272</v>
      </c>
      <c r="E3109" t="s">
        <v>45</v>
      </c>
      <c r="F3109" t="s">
        <v>19</v>
      </c>
      <c r="G3109" t="s">
        <v>35</v>
      </c>
      <c r="H3109" t="s">
        <v>47</v>
      </c>
      <c r="I3109" t="s">
        <v>83</v>
      </c>
      <c r="J3109">
        <v>2</v>
      </c>
      <c r="K3109">
        <v>3068000</v>
      </c>
      <c r="L3109" s="2" t="s">
        <v>5250</v>
      </c>
      <c r="M3109" t="s">
        <v>23</v>
      </c>
      <c r="N3109">
        <v>5866000</v>
      </c>
      <c r="O3109">
        <v>3.5</v>
      </c>
      <c r="P3109" t="b">
        <v>1</v>
      </c>
    </row>
    <row r="3110" spans="1:16" x14ac:dyDescent="0.2">
      <c r="A3110" t="s">
        <v>5251</v>
      </c>
      <c r="B3110" s="1">
        <v>45447</v>
      </c>
      <c r="C3110" s="1">
        <v>45460</v>
      </c>
      <c r="D3110" t="s">
        <v>1441</v>
      </c>
      <c r="E3110" t="s">
        <v>29</v>
      </c>
      <c r="F3110" t="s">
        <v>25</v>
      </c>
      <c r="H3110" t="s">
        <v>21</v>
      </c>
      <c r="I3110" t="s">
        <v>26</v>
      </c>
      <c r="J3110">
        <v>3</v>
      </c>
      <c r="K3110">
        <v>5933000</v>
      </c>
      <c r="L3110">
        <v>9.1959966571167701E-2</v>
      </c>
      <c r="M3110" t="s">
        <v>23</v>
      </c>
      <c r="N3110">
        <v>16162000</v>
      </c>
      <c r="O3110">
        <v>3.3</v>
      </c>
      <c r="P3110" t="b">
        <v>1</v>
      </c>
    </row>
    <row r="3111" spans="1:16" x14ac:dyDescent="0.2">
      <c r="A3111" t="s">
        <v>5252</v>
      </c>
      <c r="B3111" s="1">
        <v>45389</v>
      </c>
      <c r="C3111" s="1">
        <v>45429</v>
      </c>
      <c r="D3111" t="s">
        <v>5253</v>
      </c>
      <c r="E3111" t="s">
        <v>29</v>
      </c>
      <c r="F3111" t="s">
        <v>25</v>
      </c>
      <c r="G3111" t="s">
        <v>35</v>
      </c>
      <c r="H3111" t="s">
        <v>21</v>
      </c>
      <c r="I3111" t="s">
        <v>26</v>
      </c>
      <c r="J3111">
        <v>4</v>
      </c>
      <c r="K3111">
        <v>5038000</v>
      </c>
      <c r="L3111">
        <v>7.0290119689966707E-2</v>
      </c>
      <c r="M3111" t="s">
        <v>23</v>
      </c>
      <c r="N3111">
        <v>18736000</v>
      </c>
      <c r="O3111">
        <v>4.4000000000000004</v>
      </c>
      <c r="P3111" t="b">
        <v>0</v>
      </c>
    </row>
    <row r="3112" spans="1:16" x14ac:dyDescent="0.2">
      <c r="A3112" t="s">
        <v>5254</v>
      </c>
      <c r="B3112" s="1">
        <v>45389</v>
      </c>
      <c r="C3112" s="1">
        <v>45442</v>
      </c>
      <c r="D3112" t="s">
        <v>2231</v>
      </c>
      <c r="E3112" t="s">
        <v>45</v>
      </c>
      <c r="F3112" t="s">
        <v>19</v>
      </c>
      <c r="G3112" t="s">
        <v>20</v>
      </c>
      <c r="H3112" t="s">
        <v>21</v>
      </c>
      <c r="I3112" t="s">
        <v>57</v>
      </c>
      <c r="J3112">
        <v>2</v>
      </c>
      <c r="K3112">
        <v>3151000</v>
      </c>
      <c r="L3112" s="2" t="s">
        <v>5255</v>
      </c>
      <c r="M3112" t="s">
        <v>23</v>
      </c>
      <c r="N3112">
        <v>5237000</v>
      </c>
      <c r="O3112">
        <v>4</v>
      </c>
      <c r="P3112" t="b">
        <v>1</v>
      </c>
    </row>
    <row r="3113" spans="1:16" x14ac:dyDescent="0.2">
      <c r="A3113" t="s">
        <v>5256</v>
      </c>
      <c r="B3113" s="1">
        <v>45389</v>
      </c>
      <c r="C3113" s="1">
        <v>45428</v>
      </c>
      <c r="D3113" t="s">
        <v>2372</v>
      </c>
      <c r="E3113" t="s">
        <v>33</v>
      </c>
      <c r="F3113" t="s">
        <v>19</v>
      </c>
      <c r="G3113" t="s">
        <v>50</v>
      </c>
      <c r="H3113" t="s">
        <v>51</v>
      </c>
      <c r="I3113" t="s">
        <v>22</v>
      </c>
      <c r="J3113">
        <v>2</v>
      </c>
      <c r="K3113">
        <v>2204000</v>
      </c>
      <c r="L3113">
        <v>8.0825322288105697E-2</v>
      </c>
      <c r="M3113" t="s">
        <v>23</v>
      </c>
      <c r="N3113">
        <v>4052000</v>
      </c>
      <c r="O3113">
        <v>3.7</v>
      </c>
      <c r="P3113" t="b">
        <v>1</v>
      </c>
    </row>
    <row r="3114" spans="1:16" x14ac:dyDescent="0.2">
      <c r="A3114" t="s">
        <v>5257</v>
      </c>
      <c r="B3114" s="1">
        <v>45508</v>
      </c>
      <c r="C3114" s="1">
        <v>45427</v>
      </c>
      <c r="D3114" t="s">
        <v>5258</v>
      </c>
      <c r="E3114" t="s">
        <v>29</v>
      </c>
      <c r="F3114" t="s">
        <v>34</v>
      </c>
      <c r="G3114" t="s">
        <v>50</v>
      </c>
      <c r="H3114" t="s">
        <v>21</v>
      </c>
      <c r="I3114" t="s">
        <v>52</v>
      </c>
      <c r="J3114">
        <v>1</v>
      </c>
      <c r="K3114">
        <v>3260000</v>
      </c>
      <c r="L3114" s="2" t="s">
        <v>5259</v>
      </c>
      <c r="M3114" t="s">
        <v>23</v>
      </c>
      <c r="N3114">
        <v>2747000</v>
      </c>
      <c r="O3114">
        <v>4.0999999999999996</v>
      </c>
      <c r="P3114" t="b">
        <v>0</v>
      </c>
    </row>
    <row r="3115" spans="1:16" x14ac:dyDescent="0.2">
      <c r="A3115" t="s">
        <v>5260</v>
      </c>
      <c r="B3115" s="1">
        <v>45391</v>
      </c>
      <c r="C3115" s="1">
        <v>45438</v>
      </c>
      <c r="D3115" t="s">
        <v>5261</v>
      </c>
      <c r="E3115" t="s">
        <v>29</v>
      </c>
      <c r="F3115" t="s">
        <v>34</v>
      </c>
      <c r="G3115" t="s">
        <v>20</v>
      </c>
      <c r="H3115" t="s">
        <v>21</v>
      </c>
      <c r="I3115" t="s">
        <v>26</v>
      </c>
      <c r="J3115">
        <v>2</v>
      </c>
      <c r="K3115">
        <v>4153000</v>
      </c>
      <c r="L3115" s="2" t="s">
        <v>5262</v>
      </c>
      <c r="M3115" t="s">
        <v>23</v>
      </c>
      <c r="N3115">
        <v>7403000</v>
      </c>
      <c r="O3115">
        <v>3.2</v>
      </c>
      <c r="P3115" t="b">
        <v>0</v>
      </c>
    </row>
    <row r="3116" spans="1:16" x14ac:dyDescent="0.2">
      <c r="A3116" t="s">
        <v>5263</v>
      </c>
      <c r="B3116" s="1">
        <v>45391</v>
      </c>
      <c r="C3116" s="1">
        <v>45436</v>
      </c>
      <c r="D3116" t="s">
        <v>5264</v>
      </c>
      <c r="E3116" t="s">
        <v>29</v>
      </c>
      <c r="F3116" t="s">
        <v>34</v>
      </c>
      <c r="G3116" t="s">
        <v>20</v>
      </c>
      <c r="H3116" t="s">
        <v>21</v>
      </c>
      <c r="I3116" t="s">
        <v>26</v>
      </c>
      <c r="J3116">
        <v>1</v>
      </c>
      <c r="K3116">
        <v>3908000</v>
      </c>
      <c r="L3116" s="2" t="s">
        <v>5265</v>
      </c>
      <c r="M3116" t="s">
        <v>23</v>
      </c>
      <c r="N3116">
        <v>3470000</v>
      </c>
      <c r="O3116">
        <v>3.9</v>
      </c>
      <c r="P3116" t="b">
        <v>0</v>
      </c>
    </row>
    <row r="3117" spans="1:16" x14ac:dyDescent="0.2">
      <c r="A3117" t="s">
        <v>5266</v>
      </c>
      <c r="B3117" s="1">
        <v>45392</v>
      </c>
      <c r="C3117" s="1">
        <v>45449</v>
      </c>
      <c r="D3117" t="s">
        <v>493</v>
      </c>
      <c r="E3117" t="s">
        <v>45</v>
      </c>
      <c r="F3117" t="s">
        <v>39</v>
      </c>
      <c r="G3117" t="s">
        <v>20</v>
      </c>
      <c r="H3117" t="s">
        <v>21</v>
      </c>
      <c r="I3117" t="s">
        <v>30</v>
      </c>
      <c r="J3117">
        <v>1</v>
      </c>
      <c r="K3117">
        <v>2551000</v>
      </c>
      <c r="L3117">
        <v>7.7826232576594406E-2</v>
      </c>
      <c r="M3117" t="s">
        <v>23</v>
      </c>
      <c r="N3117">
        <v>2352000</v>
      </c>
      <c r="O3117">
        <v>4.7</v>
      </c>
      <c r="P3117" t="b">
        <v>1</v>
      </c>
    </row>
    <row r="3118" spans="1:16" x14ac:dyDescent="0.2">
      <c r="A3118" t="s">
        <v>5267</v>
      </c>
      <c r="B3118" s="1">
        <v>45393</v>
      </c>
      <c r="C3118" s="1">
        <v>45402</v>
      </c>
      <c r="D3118" t="s">
        <v>4729</v>
      </c>
      <c r="E3118" t="s">
        <v>45</v>
      </c>
      <c r="F3118" t="s">
        <v>34</v>
      </c>
      <c r="H3118" t="s">
        <v>40</v>
      </c>
      <c r="I3118" t="s">
        <v>99</v>
      </c>
      <c r="J3118">
        <v>1</v>
      </c>
      <c r="K3118">
        <v>4220000</v>
      </c>
      <c r="L3118">
        <v>7.0997424638088794E-2</v>
      </c>
      <c r="M3118" t="s">
        <v>23</v>
      </c>
      <c r="N3118">
        <v>3920000</v>
      </c>
      <c r="O3118">
        <v>4.2</v>
      </c>
      <c r="P3118" t="b">
        <v>1</v>
      </c>
    </row>
    <row r="3119" spans="1:16" x14ac:dyDescent="0.2">
      <c r="A3119" t="s">
        <v>5268</v>
      </c>
      <c r="B3119" s="1">
        <v>45393</v>
      </c>
      <c r="C3119" s="1">
        <v>45424</v>
      </c>
      <c r="D3119" t="s">
        <v>1646</v>
      </c>
      <c r="E3119" t="s">
        <v>33</v>
      </c>
      <c r="F3119" t="s">
        <v>68</v>
      </c>
      <c r="G3119" t="s">
        <v>35</v>
      </c>
      <c r="H3119" t="s">
        <v>21</v>
      </c>
      <c r="I3119" t="s">
        <v>83</v>
      </c>
      <c r="J3119">
        <v>2</v>
      </c>
      <c r="K3119">
        <v>2037000</v>
      </c>
      <c r="L3119" s="2" t="s">
        <v>5269</v>
      </c>
      <c r="M3119" t="s">
        <v>23</v>
      </c>
      <c r="N3119">
        <v>3617000</v>
      </c>
      <c r="O3119">
        <v>4.8</v>
      </c>
      <c r="P3119" t="b">
        <v>1</v>
      </c>
    </row>
    <row r="3120" spans="1:16" x14ac:dyDescent="0.2">
      <c r="A3120" t="s">
        <v>5270</v>
      </c>
      <c r="B3120" s="1">
        <v>45394</v>
      </c>
      <c r="C3120" s="1">
        <v>45415</v>
      </c>
      <c r="D3120" t="s">
        <v>5271</v>
      </c>
      <c r="E3120" t="s">
        <v>33</v>
      </c>
      <c r="F3120" t="s">
        <v>68</v>
      </c>
      <c r="G3120" t="s">
        <v>20</v>
      </c>
      <c r="H3120" t="s">
        <v>51</v>
      </c>
      <c r="I3120" t="s">
        <v>60</v>
      </c>
      <c r="J3120">
        <v>4</v>
      </c>
      <c r="K3120">
        <v>2498000</v>
      </c>
      <c r="L3120">
        <v>7.0103750699165496E-2</v>
      </c>
      <c r="M3120" t="s">
        <v>23</v>
      </c>
      <c r="N3120">
        <v>9292000</v>
      </c>
      <c r="O3120">
        <v>4.5</v>
      </c>
      <c r="P3120" t="b">
        <v>0</v>
      </c>
    </row>
    <row r="3121" spans="1:16" x14ac:dyDescent="0.2">
      <c r="A3121" t="s">
        <v>5272</v>
      </c>
      <c r="B3121" s="1">
        <v>45395</v>
      </c>
      <c r="C3121" s="1">
        <v>45441</v>
      </c>
      <c r="D3121" t="s">
        <v>821</v>
      </c>
      <c r="E3121" t="s">
        <v>18</v>
      </c>
      <c r="F3121" t="s">
        <v>25</v>
      </c>
      <c r="G3121" t="s">
        <v>35</v>
      </c>
      <c r="H3121" t="s">
        <v>21</v>
      </c>
      <c r="I3121" t="s">
        <v>77</v>
      </c>
      <c r="J3121">
        <v>3</v>
      </c>
      <c r="K3121">
        <v>5875000</v>
      </c>
      <c r="L3121" s="2" t="s">
        <v>5273</v>
      </c>
      <c r="M3121" t="s">
        <v>23</v>
      </c>
      <c r="N3121">
        <v>16815000</v>
      </c>
      <c r="O3121">
        <v>3.6</v>
      </c>
      <c r="P3121" t="b">
        <v>1</v>
      </c>
    </row>
    <row r="3122" spans="1:16" x14ac:dyDescent="0.2">
      <c r="A3122" t="s">
        <v>5274</v>
      </c>
      <c r="B3122" s="1">
        <v>45395</v>
      </c>
      <c r="C3122" s="1">
        <v>45406</v>
      </c>
      <c r="D3122" t="s">
        <v>4074</v>
      </c>
      <c r="E3122" t="s">
        <v>45</v>
      </c>
      <c r="F3122" t="s">
        <v>39</v>
      </c>
      <c r="G3122" t="s">
        <v>20</v>
      </c>
      <c r="H3122" t="s">
        <v>21</v>
      </c>
      <c r="I3122" t="s">
        <v>60</v>
      </c>
      <c r="J3122">
        <v>3</v>
      </c>
      <c r="K3122">
        <v>2707000</v>
      </c>
      <c r="L3122" s="2" t="s">
        <v>5275</v>
      </c>
      <c r="M3122" t="s">
        <v>23</v>
      </c>
      <c r="N3122">
        <v>6932000</v>
      </c>
      <c r="O3122">
        <v>3.9</v>
      </c>
      <c r="P3122" t="b">
        <v>1</v>
      </c>
    </row>
    <row r="3123" spans="1:16" x14ac:dyDescent="0.2">
      <c r="A3123" t="s">
        <v>5276</v>
      </c>
      <c r="B3123" s="1">
        <v>45395</v>
      </c>
      <c r="C3123" s="1">
        <v>45406</v>
      </c>
      <c r="D3123" t="s">
        <v>1585</v>
      </c>
      <c r="E3123" t="s">
        <v>33</v>
      </c>
      <c r="F3123" t="s">
        <v>45</v>
      </c>
      <c r="G3123" t="s">
        <v>20</v>
      </c>
      <c r="H3123" t="s">
        <v>51</v>
      </c>
      <c r="I3123" t="s">
        <v>77</v>
      </c>
      <c r="J3123">
        <v>3</v>
      </c>
      <c r="K3123">
        <v>3742000</v>
      </c>
      <c r="L3123">
        <v>9.0062531607541102E-2</v>
      </c>
      <c r="M3123" t="s">
        <v>23</v>
      </c>
      <c r="N3123">
        <v>10215000</v>
      </c>
      <c r="O3123">
        <v>4.8</v>
      </c>
      <c r="P3123" t="b">
        <v>1</v>
      </c>
    </row>
    <row r="3124" spans="1:16" x14ac:dyDescent="0.2">
      <c r="A3124" t="s">
        <v>5277</v>
      </c>
      <c r="B3124" s="1">
        <v>45395</v>
      </c>
      <c r="C3124" s="1">
        <v>45449</v>
      </c>
      <c r="D3124" t="s">
        <v>5278</v>
      </c>
      <c r="E3124" t="s">
        <v>45</v>
      </c>
      <c r="F3124" t="s">
        <v>19</v>
      </c>
      <c r="H3124" t="s">
        <v>21</v>
      </c>
      <c r="I3124" t="s">
        <v>99</v>
      </c>
      <c r="J3124">
        <v>2</v>
      </c>
      <c r="K3124">
        <v>2602000</v>
      </c>
      <c r="L3124" s="2" t="s">
        <v>5279</v>
      </c>
      <c r="M3124" t="s">
        <v>23</v>
      </c>
      <c r="N3124">
        <v>4549000</v>
      </c>
      <c r="O3124">
        <v>3.6</v>
      </c>
      <c r="P3124" t="b">
        <v>0</v>
      </c>
    </row>
    <row r="3125" spans="1:16" x14ac:dyDescent="0.2">
      <c r="A3125" t="s">
        <v>5280</v>
      </c>
      <c r="B3125" s="1">
        <v>45396</v>
      </c>
      <c r="C3125" s="1">
        <v>45436</v>
      </c>
      <c r="D3125" t="s">
        <v>376</v>
      </c>
      <c r="E3125" t="s">
        <v>33</v>
      </c>
      <c r="F3125" t="s">
        <v>68</v>
      </c>
      <c r="G3125" t="s">
        <v>50</v>
      </c>
      <c r="H3125" t="s">
        <v>40</v>
      </c>
      <c r="I3125" t="s">
        <v>26</v>
      </c>
      <c r="J3125">
        <v>1</v>
      </c>
      <c r="K3125">
        <v>2676000</v>
      </c>
      <c r="L3125">
        <v>7.2025685404997902E-2</v>
      </c>
      <c r="M3125" t="s">
        <v>65</v>
      </c>
      <c r="N3125">
        <v>0</v>
      </c>
      <c r="P3125" t="b">
        <v>1</v>
      </c>
    </row>
    <row r="3126" spans="1:16" x14ac:dyDescent="0.2">
      <c r="A3126" t="s">
        <v>5281</v>
      </c>
      <c r="B3126" s="1">
        <v>45396</v>
      </c>
      <c r="C3126" s="1">
        <v>45419</v>
      </c>
      <c r="D3126" t="s">
        <v>4272</v>
      </c>
      <c r="E3126" t="s">
        <v>45</v>
      </c>
      <c r="F3126" t="s">
        <v>68</v>
      </c>
      <c r="G3126" t="s">
        <v>20</v>
      </c>
      <c r="H3126" t="s">
        <v>21</v>
      </c>
      <c r="I3126" t="s">
        <v>57</v>
      </c>
      <c r="J3126">
        <v>3</v>
      </c>
      <c r="K3126">
        <v>2565000</v>
      </c>
      <c r="L3126">
        <v>9.5036530107967795E-2</v>
      </c>
      <c r="M3126" t="s">
        <v>23</v>
      </c>
      <c r="N3126">
        <v>6964000</v>
      </c>
      <c r="O3126">
        <v>4.3</v>
      </c>
      <c r="P3126" t="b">
        <v>1</v>
      </c>
    </row>
    <row r="3127" spans="1:16" x14ac:dyDescent="0.2">
      <c r="A3127" t="s">
        <v>5282</v>
      </c>
      <c r="B3127" s="1">
        <v>45396</v>
      </c>
      <c r="C3127" s="1">
        <v>45433</v>
      </c>
      <c r="D3127" t="s">
        <v>157</v>
      </c>
      <c r="E3127" t="s">
        <v>29</v>
      </c>
      <c r="F3127" t="s">
        <v>39</v>
      </c>
      <c r="G3127" t="s">
        <v>50</v>
      </c>
      <c r="H3127" t="s">
        <v>47</v>
      </c>
      <c r="I3127" t="s">
        <v>60</v>
      </c>
      <c r="J3127">
        <v>1</v>
      </c>
      <c r="K3127">
        <v>2363000</v>
      </c>
      <c r="L3127" s="2" t="s">
        <v>5283</v>
      </c>
      <c r="M3127" t="s">
        <v>23</v>
      </c>
      <c r="N3127">
        <v>2018000</v>
      </c>
      <c r="O3127">
        <v>4.3</v>
      </c>
      <c r="P3127" t="b">
        <v>1</v>
      </c>
    </row>
    <row r="3128" spans="1:16" x14ac:dyDescent="0.2">
      <c r="A3128" t="s">
        <v>5284</v>
      </c>
      <c r="B3128" s="1">
        <v>45397</v>
      </c>
      <c r="C3128" s="1">
        <v>45405</v>
      </c>
      <c r="D3128" t="s">
        <v>82</v>
      </c>
      <c r="E3128" t="s">
        <v>45</v>
      </c>
      <c r="F3128" t="s">
        <v>34</v>
      </c>
      <c r="H3128" t="s">
        <v>21</v>
      </c>
      <c r="I3128" t="s">
        <v>26</v>
      </c>
      <c r="J3128">
        <v>1</v>
      </c>
      <c r="K3128">
        <v>4650000</v>
      </c>
      <c r="L3128">
        <v>2.77111197199413E-2</v>
      </c>
      <c r="M3128" t="s">
        <v>1882</v>
      </c>
      <c r="N3128">
        <v>4521000</v>
      </c>
      <c r="O3128">
        <v>4.2</v>
      </c>
      <c r="P3128" t="b">
        <v>1</v>
      </c>
    </row>
    <row r="3129" spans="1:16" x14ac:dyDescent="0.2">
      <c r="A3129" t="s">
        <v>5285</v>
      </c>
      <c r="B3129" s="1">
        <v>45397</v>
      </c>
      <c r="C3129" s="1">
        <v>45464</v>
      </c>
      <c r="D3129" t="s">
        <v>72</v>
      </c>
      <c r="E3129" t="s">
        <v>33</v>
      </c>
      <c r="F3129" t="s">
        <v>68</v>
      </c>
      <c r="G3129" t="s">
        <v>20</v>
      </c>
      <c r="H3129" t="s">
        <v>47</v>
      </c>
      <c r="I3129" t="s">
        <v>83</v>
      </c>
      <c r="J3129">
        <v>2</v>
      </c>
      <c r="K3129">
        <v>2239000</v>
      </c>
      <c r="L3129">
        <v>5.4069056616010698E-2</v>
      </c>
      <c r="M3129" t="s">
        <v>23</v>
      </c>
      <c r="N3129">
        <v>4236000</v>
      </c>
      <c r="O3129">
        <v>3.9</v>
      </c>
      <c r="P3129" t="b">
        <v>1</v>
      </c>
    </row>
    <row r="3130" spans="1:16" x14ac:dyDescent="0.2">
      <c r="A3130" t="s">
        <v>5286</v>
      </c>
      <c r="B3130" s="1">
        <v>45398</v>
      </c>
      <c r="C3130" s="1">
        <v>45445</v>
      </c>
      <c r="D3130" t="s">
        <v>859</v>
      </c>
      <c r="E3130" t="s">
        <v>45</v>
      </c>
      <c r="F3130" t="s">
        <v>19</v>
      </c>
      <c r="G3130" t="s">
        <v>35</v>
      </c>
      <c r="H3130" t="s">
        <v>21</v>
      </c>
      <c r="I3130" t="s">
        <v>57</v>
      </c>
      <c r="J3130">
        <v>2</v>
      </c>
      <c r="K3130">
        <v>2999000</v>
      </c>
      <c r="L3130" s="2" t="s">
        <v>5287</v>
      </c>
      <c r="M3130" t="s">
        <v>23</v>
      </c>
      <c r="N3130">
        <v>5033000</v>
      </c>
      <c r="O3130">
        <v>4.5999999999999996</v>
      </c>
      <c r="P3130" t="b">
        <v>1</v>
      </c>
    </row>
    <row r="3131" spans="1:16" x14ac:dyDescent="0.2">
      <c r="A3131" t="s">
        <v>5288</v>
      </c>
      <c r="B3131" s="1">
        <v>45399</v>
      </c>
      <c r="C3131" s="1">
        <v>45439</v>
      </c>
      <c r="D3131" t="s">
        <v>896</v>
      </c>
      <c r="E3131" t="s">
        <v>18</v>
      </c>
      <c r="F3131" t="s">
        <v>34</v>
      </c>
      <c r="G3131" t="s">
        <v>35</v>
      </c>
      <c r="H3131" t="s">
        <v>40</v>
      </c>
      <c r="I3131" t="s">
        <v>1978</v>
      </c>
      <c r="J3131">
        <v>1</v>
      </c>
      <c r="K3131">
        <v>4327000</v>
      </c>
      <c r="L3131">
        <v>8.7335473170907701E-2</v>
      </c>
      <c r="M3131" t="s">
        <v>23</v>
      </c>
      <c r="N3131">
        <v>3949000</v>
      </c>
      <c r="O3131">
        <v>5</v>
      </c>
      <c r="P3131" t="b">
        <v>1</v>
      </c>
    </row>
    <row r="3132" spans="1:16" x14ac:dyDescent="0.2">
      <c r="A3132" t="s">
        <v>5289</v>
      </c>
      <c r="B3132" s="1">
        <v>45399</v>
      </c>
      <c r="C3132" s="1">
        <v>45454</v>
      </c>
      <c r="D3132" t="s">
        <v>4873</v>
      </c>
      <c r="E3132" t="s">
        <v>29</v>
      </c>
      <c r="F3132" t="s">
        <v>34</v>
      </c>
      <c r="G3132" t="s">
        <v>35</v>
      </c>
      <c r="H3132" t="s">
        <v>21</v>
      </c>
      <c r="I3132" t="s">
        <v>52</v>
      </c>
      <c r="J3132">
        <v>5</v>
      </c>
      <c r="K3132">
        <v>3305000</v>
      </c>
      <c r="L3132">
        <v>7.3939438000204902E-2</v>
      </c>
      <c r="M3132" t="s">
        <v>23</v>
      </c>
      <c r="N3132">
        <v>15303000</v>
      </c>
      <c r="O3132">
        <v>3.8</v>
      </c>
      <c r="P3132" t="b">
        <v>1</v>
      </c>
    </row>
    <row r="3133" spans="1:16" x14ac:dyDescent="0.2">
      <c r="A3133" t="s">
        <v>5290</v>
      </c>
      <c r="B3133" s="1">
        <v>45400</v>
      </c>
      <c r="C3133" s="1">
        <v>45498</v>
      </c>
      <c r="D3133" t="s">
        <v>697</v>
      </c>
      <c r="E3133" t="s">
        <v>18</v>
      </c>
      <c r="F3133" t="s">
        <v>34</v>
      </c>
      <c r="G3133" t="s">
        <v>20</v>
      </c>
      <c r="I3133" t="s">
        <v>52</v>
      </c>
      <c r="J3133">
        <v>2</v>
      </c>
      <c r="K3133">
        <v>3404000</v>
      </c>
      <c r="L3133" s="2" t="s">
        <v>5291</v>
      </c>
      <c r="M3133" t="s">
        <v>23</v>
      </c>
      <c r="N3133">
        <v>6030000</v>
      </c>
      <c r="O3133">
        <v>4.5999999999999996</v>
      </c>
      <c r="P3133" t="b">
        <v>1</v>
      </c>
    </row>
    <row r="3134" spans="1:16" x14ac:dyDescent="0.2">
      <c r="A3134" t="s">
        <v>5292</v>
      </c>
      <c r="B3134" s="1">
        <v>45400</v>
      </c>
      <c r="C3134" s="1">
        <v>45479</v>
      </c>
      <c r="D3134" t="s">
        <v>374</v>
      </c>
      <c r="E3134" t="s">
        <v>45</v>
      </c>
      <c r="F3134" t="s">
        <v>45</v>
      </c>
      <c r="G3134" t="s">
        <v>20</v>
      </c>
      <c r="I3134" t="s">
        <v>26</v>
      </c>
      <c r="J3134">
        <v>2</v>
      </c>
      <c r="K3134">
        <v>3855000</v>
      </c>
      <c r="L3134">
        <v>8.2207184915217196E-2</v>
      </c>
      <c r="M3134" t="s">
        <v>23</v>
      </c>
      <c r="N3134">
        <v>7076000</v>
      </c>
      <c r="O3134">
        <v>4</v>
      </c>
      <c r="P3134" t="b">
        <v>1</v>
      </c>
    </row>
    <row r="3135" spans="1:16" x14ac:dyDescent="0.2">
      <c r="A3135" t="s">
        <v>5293</v>
      </c>
      <c r="B3135" s="1">
        <v>45400</v>
      </c>
      <c r="C3135" s="1">
        <v>45438</v>
      </c>
      <c r="D3135" t="s">
        <v>2871</v>
      </c>
      <c r="E3135" t="s">
        <v>18</v>
      </c>
      <c r="F3135" t="s">
        <v>34</v>
      </c>
      <c r="G3135" t="s">
        <v>50</v>
      </c>
      <c r="H3135" t="s">
        <v>21</v>
      </c>
      <c r="I3135" t="s">
        <v>99</v>
      </c>
      <c r="J3135">
        <v>3</v>
      </c>
      <c r="K3135">
        <v>3933000</v>
      </c>
      <c r="L3135" s="2" t="s">
        <v>5294</v>
      </c>
      <c r="M3135" t="s">
        <v>23</v>
      </c>
      <c r="N3135">
        <v>10601000</v>
      </c>
      <c r="O3135">
        <v>4.7</v>
      </c>
      <c r="P3135" t="b">
        <v>1</v>
      </c>
    </row>
    <row r="3136" spans="1:16" x14ac:dyDescent="0.2">
      <c r="A3136" t="s">
        <v>5295</v>
      </c>
      <c r="B3136" s="1">
        <v>45400</v>
      </c>
      <c r="C3136" s="1">
        <v>45469</v>
      </c>
      <c r="D3136" t="s">
        <v>5296</v>
      </c>
      <c r="E3136" t="s">
        <v>45</v>
      </c>
      <c r="F3136" t="s">
        <v>45</v>
      </c>
      <c r="G3136" t="s">
        <v>20</v>
      </c>
      <c r="H3136" t="s">
        <v>47</v>
      </c>
      <c r="I3136" t="s">
        <v>77</v>
      </c>
      <c r="J3136">
        <v>4</v>
      </c>
      <c r="K3136">
        <v>3674000</v>
      </c>
      <c r="L3136" s="2" t="s">
        <v>5297</v>
      </c>
      <c r="M3136" t="s">
        <v>65</v>
      </c>
      <c r="N3136">
        <v>0</v>
      </c>
      <c r="P3136" t="b">
        <v>0</v>
      </c>
    </row>
    <row r="3137" spans="1:16" x14ac:dyDescent="0.2">
      <c r="A3137" t="s">
        <v>5298</v>
      </c>
      <c r="B3137" s="1">
        <v>45401</v>
      </c>
      <c r="C3137" s="1">
        <v>45453</v>
      </c>
      <c r="D3137" t="s">
        <v>198</v>
      </c>
      <c r="E3137" t="s">
        <v>18</v>
      </c>
      <c r="F3137" t="s">
        <v>19</v>
      </c>
      <c r="G3137" t="s">
        <v>35</v>
      </c>
      <c r="H3137" t="s">
        <v>21</v>
      </c>
      <c r="I3137" t="s">
        <v>99</v>
      </c>
      <c r="J3137">
        <v>2</v>
      </c>
      <c r="K3137">
        <v>2806000</v>
      </c>
      <c r="L3137" s="2" t="s">
        <v>5299</v>
      </c>
      <c r="M3137" t="s">
        <v>23</v>
      </c>
      <c r="N3137">
        <v>4854000</v>
      </c>
      <c r="O3137">
        <v>4.0999999999999996</v>
      </c>
      <c r="P3137" t="b">
        <v>1</v>
      </c>
    </row>
    <row r="3138" spans="1:16" x14ac:dyDescent="0.2">
      <c r="A3138" t="s">
        <v>5300</v>
      </c>
      <c r="B3138" s="1">
        <v>45402</v>
      </c>
      <c r="C3138" s="1">
        <v>45495</v>
      </c>
      <c r="D3138" t="s">
        <v>5301</v>
      </c>
      <c r="E3138" t="s">
        <v>18</v>
      </c>
      <c r="F3138" t="s">
        <v>68</v>
      </c>
      <c r="G3138" t="s">
        <v>35</v>
      </c>
      <c r="H3138" t="s">
        <v>40</v>
      </c>
      <c r="I3138" t="s">
        <v>30</v>
      </c>
      <c r="J3138">
        <v>2</v>
      </c>
      <c r="K3138">
        <v>2636000</v>
      </c>
      <c r="L3138" s="2" t="s">
        <v>5302</v>
      </c>
      <c r="M3138" t="s">
        <v>23</v>
      </c>
      <c r="N3138">
        <v>4534000</v>
      </c>
      <c r="O3138">
        <v>4.5999999999999996</v>
      </c>
      <c r="P3138" t="b">
        <v>0</v>
      </c>
    </row>
    <row r="3139" spans="1:16" x14ac:dyDescent="0.2">
      <c r="A3139" t="s">
        <v>5303</v>
      </c>
      <c r="B3139" s="1">
        <v>45402</v>
      </c>
      <c r="C3139" s="1">
        <v>45478</v>
      </c>
      <c r="D3139" t="s">
        <v>120</v>
      </c>
      <c r="E3139" t="s">
        <v>45</v>
      </c>
      <c r="F3139" t="s">
        <v>45</v>
      </c>
      <c r="G3139" t="s">
        <v>20</v>
      </c>
      <c r="H3139" t="s">
        <v>51</v>
      </c>
      <c r="J3139">
        <v>3</v>
      </c>
      <c r="K3139">
        <v>3766000</v>
      </c>
      <c r="L3139">
        <v>9.8665052590278801E-2</v>
      </c>
      <c r="M3139" t="s">
        <v>23</v>
      </c>
      <c r="N3139">
        <v>10183000</v>
      </c>
      <c r="O3139">
        <v>4.4000000000000004</v>
      </c>
      <c r="P3139" t="b">
        <v>1</v>
      </c>
    </row>
    <row r="3140" spans="1:16" x14ac:dyDescent="0.2">
      <c r="A3140" t="s">
        <v>5304</v>
      </c>
      <c r="B3140" s="1">
        <v>45402</v>
      </c>
      <c r="C3140" s="1">
        <v>45441</v>
      </c>
      <c r="D3140" t="s">
        <v>1618</v>
      </c>
      <c r="E3140" t="s">
        <v>33</v>
      </c>
      <c r="F3140" t="s">
        <v>25</v>
      </c>
      <c r="G3140" t="s">
        <v>20</v>
      </c>
      <c r="H3140" t="s">
        <v>47</v>
      </c>
      <c r="I3140" t="s">
        <v>77</v>
      </c>
      <c r="J3140">
        <v>1</v>
      </c>
      <c r="K3140">
        <v>5898000</v>
      </c>
      <c r="L3140" s="3">
        <v>0.11700000000000001</v>
      </c>
      <c r="M3140" t="s">
        <v>23</v>
      </c>
      <c r="N3140">
        <v>5210000</v>
      </c>
      <c r="O3140">
        <v>5</v>
      </c>
      <c r="P3140" t="b">
        <v>1</v>
      </c>
    </row>
    <row r="3141" spans="1:16" x14ac:dyDescent="0.2">
      <c r="A3141" t="s">
        <v>5305</v>
      </c>
      <c r="B3141" s="1">
        <v>45402</v>
      </c>
      <c r="C3141" s="1">
        <v>45435</v>
      </c>
      <c r="D3141" t="s">
        <v>2983</v>
      </c>
      <c r="F3141" t="s">
        <v>34</v>
      </c>
      <c r="G3141" t="s">
        <v>50</v>
      </c>
      <c r="H3141" t="s">
        <v>21</v>
      </c>
      <c r="I3141" t="s">
        <v>52</v>
      </c>
      <c r="J3141">
        <v>2</v>
      </c>
      <c r="K3141">
        <v>2949000</v>
      </c>
      <c r="L3141" s="2" t="s">
        <v>5306</v>
      </c>
      <c r="M3141" t="s">
        <v>23</v>
      </c>
      <c r="N3141">
        <v>5050000</v>
      </c>
      <c r="O3141">
        <v>4.0999999999999996</v>
      </c>
      <c r="P3141" t="b">
        <v>1</v>
      </c>
    </row>
    <row r="3142" spans="1:16" x14ac:dyDescent="0.2">
      <c r="A3142" t="s">
        <v>5307</v>
      </c>
      <c r="B3142" s="1">
        <v>45402</v>
      </c>
      <c r="C3142" s="1">
        <v>45469</v>
      </c>
      <c r="D3142" t="s">
        <v>1753</v>
      </c>
      <c r="E3142" t="s">
        <v>29</v>
      </c>
      <c r="F3142" t="s">
        <v>68</v>
      </c>
      <c r="G3142" t="s">
        <v>20</v>
      </c>
      <c r="H3142" t="s">
        <v>47</v>
      </c>
      <c r="I3142" t="s">
        <v>26</v>
      </c>
      <c r="J3142">
        <v>4</v>
      </c>
      <c r="K3142">
        <v>2703000</v>
      </c>
      <c r="L3142" s="2" t="s">
        <v>5308</v>
      </c>
      <c r="M3142" t="s">
        <v>23</v>
      </c>
      <c r="N3142">
        <v>9148000</v>
      </c>
      <c r="O3142">
        <v>4.0999999999999996</v>
      </c>
      <c r="P3142" t="b">
        <v>1</v>
      </c>
    </row>
    <row r="3143" spans="1:16" x14ac:dyDescent="0.2">
      <c r="A3143" t="s">
        <v>5309</v>
      </c>
      <c r="B3143" s="1">
        <v>45403</v>
      </c>
      <c r="C3143" s="1">
        <v>45459</v>
      </c>
      <c r="D3143" t="s">
        <v>4418</v>
      </c>
      <c r="E3143" t="s">
        <v>33</v>
      </c>
      <c r="F3143" t="s">
        <v>39</v>
      </c>
      <c r="H3143" t="s">
        <v>51</v>
      </c>
      <c r="I3143" t="s">
        <v>1654</v>
      </c>
      <c r="J3143">
        <v>2</v>
      </c>
      <c r="K3143">
        <v>2302000</v>
      </c>
      <c r="L3143" s="2" t="s">
        <v>5310</v>
      </c>
      <c r="M3143" t="s">
        <v>23</v>
      </c>
      <c r="N3143">
        <v>4547000</v>
      </c>
      <c r="O3143">
        <v>3.9</v>
      </c>
      <c r="P3143" t="b">
        <v>1</v>
      </c>
    </row>
    <row r="3144" spans="1:16" x14ac:dyDescent="0.2">
      <c r="A3144" t="s">
        <v>5311</v>
      </c>
      <c r="B3144" s="1">
        <v>45403</v>
      </c>
      <c r="C3144" s="1">
        <v>45465</v>
      </c>
      <c r="D3144" t="s">
        <v>640</v>
      </c>
      <c r="E3144" t="s">
        <v>29</v>
      </c>
      <c r="F3144" t="s">
        <v>25</v>
      </c>
      <c r="G3144" t="s">
        <v>20</v>
      </c>
      <c r="H3144" t="s">
        <v>47</v>
      </c>
      <c r="I3144" t="s">
        <v>99</v>
      </c>
      <c r="J3144">
        <v>3</v>
      </c>
      <c r="K3144">
        <v>4676000</v>
      </c>
      <c r="L3144">
        <v>0.17446855025970201</v>
      </c>
      <c r="M3144" t="s">
        <v>23</v>
      </c>
      <c r="N3144">
        <v>11581000</v>
      </c>
      <c r="O3144">
        <v>3.7</v>
      </c>
      <c r="P3144" t="b">
        <v>1</v>
      </c>
    </row>
    <row r="3145" spans="1:16" x14ac:dyDescent="0.2">
      <c r="A3145" t="s">
        <v>5312</v>
      </c>
      <c r="B3145" s="1">
        <v>45403</v>
      </c>
      <c r="C3145" s="1">
        <v>45445</v>
      </c>
      <c r="D3145" t="s">
        <v>2818</v>
      </c>
      <c r="F3145" t="s">
        <v>19</v>
      </c>
      <c r="G3145" t="s">
        <v>20</v>
      </c>
      <c r="H3145" t="s">
        <v>21</v>
      </c>
      <c r="I3145" t="s">
        <v>30</v>
      </c>
      <c r="J3145">
        <v>3</v>
      </c>
      <c r="K3145">
        <v>2316000</v>
      </c>
      <c r="L3145">
        <v>8.3758273752223E-2</v>
      </c>
      <c r="M3145" t="s">
        <v>23</v>
      </c>
      <c r="N3145">
        <v>6366000</v>
      </c>
      <c r="O3145">
        <v>3.9</v>
      </c>
      <c r="P3145" t="b">
        <v>1</v>
      </c>
    </row>
    <row r="3146" spans="1:16" x14ac:dyDescent="0.2">
      <c r="A3146" t="s">
        <v>5313</v>
      </c>
      <c r="B3146" s="1">
        <v>45403</v>
      </c>
      <c r="C3146" s="1">
        <v>45465</v>
      </c>
      <c r="D3146" t="s">
        <v>1326</v>
      </c>
      <c r="E3146" t="s">
        <v>45</v>
      </c>
      <c r="F3146" t="s">
        <v>34</v>
      </c>
      <c r="G3146" t="s">
        <v>50</v>
      </c>
      <c r="H3146" t="s">
        <v>21</v>
      </c>
      <c r="I3146" t="s">
        <v>77</v>
      </c>
      <c r="J3146">
        <v>2</v>
      </c>
      <c r="K3146">
        <v>4128000</v>
      </c>
      <c r="L3146">
        <v>3.8684148974231898E-2</v>
      </c>
      <c r="M3146" t="s">
        <v>23</v>
      </c>
      <c r="N3146">
        <v>7937000</v>
      </c>
      <c r="O3146">
        <v>4.5</v>
      </c>
      <c r="P3146" t="b">
        <v>1</v>
      </c>
    </row>
    <row r="3147" spans="1:16" x14ac:dyDescent="0.2">
      <c r="A3147" t="s">
        <v>5314</v>
      </c>
      <c r="B3147" s="1">
        <v>45404</v>
      </c>
      <c r="C3147" s="1">
        <v>45447</v>
      </c>
      <c r="D3147" t="s">
        <v>5315</v>
      </c>
      <c r="E3147" t="s">
        <v>18</v>
      </c>
      <c r="F3147" t="s">
        <v>19</v>
      </c>
      <c r="G3147" t="s">
        <v>35</v>
      </c>
      <c r="H3147" t="s">
        <v>21</v>
      </c>
      <c r="I3147" t="s">
        <v>57</v>
      </c>
      <c r="J3147">
        <v>3</v>
      </c>
      <c r="K3147">
        <v>3611000</v>
      </c>
      <c r="L3147">
        <v>5.5680278123558698E-2</v>
      </c>
      <c r="M3147" t="s">
        <v>23</v>
      </c>
      <c r="N3147">
        <v>10230000</v>
      </c>
      <c r="O3147">
        <v>3.5</v>
      </c>
      <c r="P3147" t="b">
        <v>0</v>
      </c>
    </row>
    <row r="3148" spans="1:16" x14ac:dyDescent="0.2">
      <c r="A3148" t="s">
        <v>5316</v>
      </c>
      <c r="B3148" s="1">
        <v>45404</v>
      </c>
      <c r="C3148" s="1">
        <v>45460</v>
      </c>
      <c r="D3148" t="s">
        <v>414</v>
      </c>
      <c r="E3148" t="s">
        <v>45</v>
      </c>
      <c r="F3148" t="s">
        <v>39</v>
      </c>
      <c r="G3148" t="s">
        <v>20</v>
      </c>
      <c r="H3148" t="s">
        <v>21</v>
      </c>
      <c r="I3148" t="s">
        <v>99</v>
      </c>
      <c r="J3148">
        <v>1</v>
      </c>
      <c r="K3148">
        <v>2309000</v>
      </c>
      <c r="L3148" s="2" t="s">
        <v>5317</v>
      </c>
      <c r="M3148" t="s">
        <v>23</v>
      </c>
      <c r="N3148">
        <v>1921000</v>
      </c>
      <c r="O3148">
        <v>3</v>
      </c>
      <c r="P3148" t="b">
        <v>1</v>
      </c>
    </row>
    <row r="3149" spans="1:16" x14ac:dyDescent="0.2">
      <c r="A3149" t="s">
        <v>5318</v>
      </c>
      <c r="B3149" s="1">
        <v>45404</v>
      </c>
      <c r="C3149" s="1">
        <v>45446</v>
      </c>
      <c r="D3149" t="s">
        <v>3411</v>
      </c>
      <c r="E3149" t="s">
        <v>45</v>
      </c>
      <c r="F3149" t="s">
        <v>34</v>
      </c>
      <c r="G3149" t="s">
        <v>50</v>
      </c>
      <c r="H3149" t="s">
        <v>21</v>
      </c>
      <c r="I3149" t="s">
        <v>99</v>
      </c>
      <c r="J3149">
        <v>2</v>
      </c>
      <c r="K3149">
        <v>4124000</v>
      </c>
      <c r="L3149">
        <v>4.1565075333974001E-2</v>
      </c>
      <c r="M3149" t="s">
        <v>23</v>
      </c>
      <c r="N3149">
        <v>7905000</v>
      </c>
      <c r="O3149">
        <v>3.2</v>
      </c>
      <c r="P3149" t="b">
        <v>1</v>
      </c>
    </row>
    <row r="3150" spans="1:16" x14ac:dyDescent="0.2">
      <c r="A3150" t="s">
        <v>5319</v>
      </c>
      <c r="B3150" s="1">
        <v>45405</v>
      </c>
      <c r="C3150" s="1">
        <v>45460</v>
      </c>
      <c r="D3150" t="s">
        <v>5320</v>
      </c>
      <c r="E3150" t="s">
        <v>33</v>
      </c>
      <c r="F3150" t="s">
        <v>25</v>
      </c>
      <c r="G3150" t="s">
        <v>20</v>
      </c>
      <c r="H3150" t="s">
        <v>47</v>
      </c>
      <c r="I3150" t="s">
        <v>26</v>
      </c>
      <c r="J3150">
        <v>1</v>
      </c>
      <c r="K3150">
        <v>5415000</v>
      </c>
      <c r="L3150">
        <v>9.8423901106564696E-2</v>
      </c>
      <c r="M3150" t="s">
        <v>23</v>
      </c>
      <c r="N3150">
        <v>4882000</v>
      </c>
      <c r="O3150">
        <v>4.8</v>
      </c>
      <c r="P3150" t="b">
        <v>0</v>
      </c>
    </row>
    <row r="3151" spans="1:16" x14ac:dyDescent="0.2">
      <c r="A3151" t="s">
        <v>5321</v>
      </c>
      <c r="B3151" s="1">
        <v>45405</v>
      </c>
      <c r="C3151" s="1">
        <v>45504</v>
      </c>
      <c r="D3151" t="s">
        <v>2177</v>
      </c>
      <c r="E3151" t="s">
        <v>45</v>
      </c>
      <c r="F3151" t="s">
        <v>19</v>
      </c>
      <c r="G3151" t="s">
        <v>20</v>
      </c>
      <c r="H3151" t="s">
        <v>21</v>
      </c>
      <c r="I3151" t="s">
        <v>57</v>
      </c>
      <c r="J3151">
        <v>4</v>
      </c>
      <c r="K3151">
        <v>3467000</v>
      </c>
      <c r="L3151" s="2" t="s">
        <v>5322</v>
      </c>
      <c r="M3151" t="s">
        <v>23</v>
      </c>
      <c r="N3151">
        <v>12477000</v>
      </c>
      <c r="O3151">
        <v>4.5</v>
      </c>
      <c r="P3151" t="b">
        <v>1</v>
      </c>
    </row>
    <row r="3152" spans="1:16" x14ac:dyDescent="0.2">
      <c r="A3152" t="s">
        <v>5323</v>
      </c>
      <c r="B3152" s="1">
        <v>45405</v>
      </c>
      <c r="C3152" s="1">
        <v>45448</v>
      </c>
      <c r="D3152" t="s">
        <v>2340</v>
      </c>
      <c r="E3152" t="s">
        <v>33</v>
      </c>
      <c r="F3152" t="s">
        <v>39</v>
      </c>
      <c r="G3152" t="s">
        <v>35</v>
      </c>
      <c r="H3152" t="s">
        <v>21</v>
      </c>
      <c r="I3152" t="s">
        <v>83</v>
      </c>
      <c r="J3152">
        <v>2</v>
      </c>
      <c r="K3152">
        <v>1546000</v>
      </c>
      <c r="L3152">
        <v>8.9656443277120398E-2</v>
      </c>
      <c r="M3152" t="s">
        <v>23</v>
      </c>
      <c r="N3152">
        <v>2815000</v>
      </c>
      <c r="O3152">
        <v>4.8</v>
      </c>
      <c r="P3152" t="b">
        <v>1</v>
      </c>
    </row>
    <row r="3153" spans="1:16" x14ac:dyDescent="0.2">
      <c r="A3153" t="s">
        <v>5324</v>
      </c>
      <c r="B3153" s="1">
        <v>45406</v>
      </c>
      <c r="C3153" s="1">
        <v>45444</v>
      </c>
      <c r="D3153" t="s">
        <v>4840</v>
      </c>
      <c r="E3153" t="s">
        <v>45</v>
      </c>
      <c r="F3153" t="s">
        <v>68</v>
      </c>
      <c r="G3153" t="s">
        <v>20</v>
      </c>
      <c r="H3153" t="s">
        <v>21</v>
      </c>
      <c r="I3153" t="s">
        <v>77</v>
      </c>
      <c r="J3153">
        <v>3</v>
      </c>
      <c r="K3153">
        <v>2644000</v>
      </c>
      <c r="L3153">
        <v>9.1786108932552304E-2</v>
      </c>
      <c r="M3153" t="s">
        <v>65</v>
      </c>
      <c r="N3153">
        <v>0</v>
      </c>
      <c r="P3153" t="b">
        <v>1</v>
      </c>
    </row>
    <row r="3154" spans="1:16" x14ac:dyDescent="0.2">
      <c r="A3154" t="s">
        <v>5325</v>
      </c>
      <c r="B3154" s="1">
        <v>45407</v>
      </c>
      <c r="C3154" s="1">
        <v>45432</v>
      </c>
      <c r="D3154" t="s">
        <v>5326</v>
      </c>
      <c r="E3154" t="s">
        <v>45</v>
      </c>
      <c r="F3154" t="s">
        <v>34</v>
      </c>
      <c r="G3154" t="s">
        <v>20</v>
      </c>
      <c r="H3154" t="s">
        <v>51</v>
      </c>
      <c r="I3154" t="s">
        <v>60</v>
      </c>
      <c r="J3154">
        <v>1</v>
      </c>
      <c r="K3154">
        <v>4799000</v>
      </c>
      <c r="L3154">
        <v>9.0461089296593702E-2</v>
      </c>
      <c r="M3154" t="s">
        <v>23</v>
      </c>
      <c r="N3154">
        <v>4365000</v>
      </c>
      <c r="O3154">
        <v>3.7</v>
      </c>
      <c r="P3154" t="b">
        <v>0</v>
      </c>
    </row>
    <row r="3155" spans="1:16" x14ac:dyDescent="0.2">
      <c r="A3155" t="s">
        <v>5327</v>
      </c>
      <c r="B3155" s="1">
        <v>45408</v>
      </c>
      <c r="C3155" s="1">
        <v>45511</v>
      </c>
      <c r="D3155" t="s">
        <v>5328</v>
      </c>
      <c r="E3155" t="s">
        <v>33</v>
      </c>
      <c r="F3155" t="s">
        <v>25</v>
      </c>
      <c r="G3155" t="s">
        <v>20</v>
      </c>
      <c r="H3155" t="s">
        <v>21</v>
      </c>
      <c r="I3155" t="s">
        <v>57</v>
      </c>
      <c r="J3155">
        <v>2</v>
      </c>
      <c r="K3155">
        <v>4962000</v>
      </c>
      <c r="L3155">
        <v>7.5765679215882994E-2</v>
      </c>
      <c r="M3155" t="s">
        <v>23</v>
      </c>
      <c r="N3155">
        <v>9172000</v>
      </c>
      <c r="O3155">
        <v>4.8</v>
      </c>
      <c r="P3155" t="b">
        <v>0</v>
      </c>
    </row>
    <row r="3156" spans="1:16" x14ac:dyDescent="0.2">
      <c r="A3156" t="s">
        <v>5329</v>
      </c>
      <c r="B3156" s="1">
        <v>45408</v>
      </c>
      <c r="C3156" s="1">
        <v>45429</v>
      </c>
      <c r="D3156" t="s">
        <v>4043</v>
      </c>
      <c r="E3156" t="s">
        <v>45</v>
      </c>
      <c r="F3156" t="s">
        <v>19</v>
      </c>
      <c r="G3156" t="s">
        <v>20</v>
      </c>
      <c r="H3156" t="s">
        <v>21</v>
      </c>
      <c r="I3156" t="s">
        <v>26</v>
      </c>
      <c r="J3156">
        <v>1</v>
      </c>
      <c r="K3156">
        <v>2497000</v>
      </c>
      <c r="L3156" s="2" t="s">
        <v>5330</v>
      </c>
      <c r="M3156" t="s">
        <v>23</v>
      </c>
      <c r="N3156">
        <v>2435000</v>
      </c>
      <c r="O3156">
        <v>4.8</v>
      </c>
      <c r="P3156" t="b">
        <v>1</v>
      </c>
    </row>
    <row r="3157" spans="1:16" x14ac:dyDescent="0.2">
      <c r="A3157" t="s">
        <v>5331</v>
      </c>
      <c r="B3157" s="1">
        <v>45409</v>
      </c>
      <c r="C3157" s="1">
        <v>45433</v>
      </c>
      <c r="D3157" t="s">
        <v>3680</v>
      </c>
      <c r="E3157" t="s">
        <v>18</v>
      </c>
      <c r="F3157" t="s">
        <v>19</v>
      </c>
      <c r="G3157" t="s">
        <v>50</v>
      </c>
      <c r="H3157" t="s">
        <v>21</v>
      </c>
      <c r="I3157" t="s">
        <v>57</v>
      </c>
      <c r="J3157">
        <v>2</v>
      </c>
      <c r="K3157">
        <v>3287000</v>
      </c>
      <c r="L3157" s="2" t="s">
        <v>5332</v>
      </c>
      <c r="M3157" t="s">
        <v>23</v>
      </c>
      <c r="N3157">
        <v>5621000</v>
      </c>
      <c r="O3157">
        <v>3.5</v>
      </c>
      <c r="P3157" t="b">
        <v>1</v>
      </c>
    </row>
    <row r="3158" spans="1:16" x14ac:dyDescent="0.2">
      <c r="A3158" t="s">
        <v>5333</v>
      </c>
      <c r="B3158" s="1">
        <v>45409</v>
      </c>
      <c r="C3158" s="1">
        <v>45465</v>
      </c>
      <c r="D3158" t="s">
        <v>489</v>
      </c>
      <c r="E3158" t="s">
        <v>33</v>
      </c>
      <c r="F3158" t="s">
        <v>34</v>
      </c>
      <c r="G3158" t="s">
        <v>35</v>
      </c>
      <c r="H3158" t="s">
        <v>21</v>
      </c>
      <c r="I3158" t="s">
        <v>99</v>
      </c>
      <c r="J3158">
        <v>3</v>
      </c>
      <c r="K3158">
        <v>4319000</v>
      </c>
      <c r="L3158" s="2" t="s">
        <v>5334</v>
      </c>
      <c r="M3158" t="s">
        <v>23</v>
      </c>
      <c r="N3158">
        <v>11642000</v>
      </c>
      <c r="O3158">
        <v>3.3</v>
      </c>
      <c r="P3158" t="b">
        <v>1</v>
      </c>
    </row>
    <row r="3159" spans="1:16" x14ac:dyDescent="0.2">
      <c r="A3159" t="s">
        <v>5335</v>
      </c>
      <c r="B3159" s="1">
        <v>45410</v>
      </c>
      <c r="C3159" s="1">
        <v>45483</v>
      </c>
      <c r="D3159" t="s">
        <v>2957</v>
      </c>
      <c r="E3159" t="s">
        <v>33</v>
      </c>
      <c r="F3159" t="s">
        <v>25</v>
      </c>
      <c r="G3159" t="s">
        <v>20</v>
      </c>
      <c r="H3159" t="s">
        <v>21</v>
      </c>
      <c r="I3159" t="s">
        <v>83</v>
      </c>
      <c r="J3159">
        <v>1</v>
      </c>
      <c r="K3159">
        <v>4661000</v>
      </c>
      <c r="L3159">
        <v>9.7355746346674293E-2</v>
      </c>
      <c r="M3159" t="s">
        <v>23</v>
      </c>
      <c r="N3159">
        <v>4207000</v>
      </c>
      <c r="O3159">
        <v>3.9</v>
      </c>
      <c r="P3159" t="b">
        <v>1</v>
      </c>
    </row>
    <row r="3160" spans="1:16" x14ac:dyDescent="0.2">
      <c r="A3160" t="s">
        <v>5336</v>
      </c>
      <c r="B3160" s="1">
        <v>45410</v>
      </c>
      <c r="C3160" s="1">
        <v>45455</v>
      </c>
      <c r="D3160" t="s">
        <v>745</v>
      </c>
      <c r="E3160" t="s">
        <v>45</v>
      </c>
      <c r="F3160" t="s">
        <v>39</v>
      </c>
      <c r="G3160" t="s">
        <v>50</v>
      </c>
      <c r="H3160" t="s">
        <v>40</v>
      </c>
      <c r="I3160" t="s">
        <v>22</v>
      </c>
      <c r="J3160">
        <v>2</v>
      </c>
      <c r="K3160">
        <v>2104000</v>
      </c>
      <c r="L3160" s="3">
        <v>8.7999999999999995E-2</v>
      </c>
      <c r="M3160" t="s">
        <v>23</v>
      </c>
      <c r="N3160">
        <v>3839000</v>
      </c>
      <c r="O3160">
        <v>3.8</v>
      </c>
      <c r="P3160" t="b">
        <v>1</v>
      </c>
    </row>
    <row r="3161" spans="1:16" x14ac:dyDescent="0.2">
      <c r="A3161" t="s">
        <v>5337</v>
      </c>
      <c r="B3161" s="1">
        <v>45411</v>
      </c>
      <c r="C3161" s="1">
        <v>45441</v>
      </c>
      <c r="D3161" t="s">
        <v>5338</v>
      </c>
      <c r="E3161" t="s">
        <v>18</v>
      </c>
      <c r="F3161" t="s">
        <v>19</v>
      </c>
      <c r="G3161" t="s">
        <v>35</v>
      </c>
      <c r="H3161" t="s">
        <v>21</v>
      </c>
      <c r="I3161" t="s">
        <v>77</v>
      </c>
      <c r="J3161">
        <v>3</v>
      </c>
      <c r="K3161">
        <v>2608000</v>
      </c>
      <c r="L3161" s="2" t="s">
        <v>5339</v>
      </c>
      <c r="M3161" t="s">
        <v>23</v>
      </c>
      <c r="N3161">
        <v>6891000</v>
      </c>
      <c r="O3161">
        <v>4.2</v>
      </c>
      <c r="P3161" t="b">
        <v>0</v>
      </c>
    </row>
    <row r="3162" spans="1:16" x14ac:dyDescent="0.2">
      <c r="A3162" t="s">
        <v>5340</v>
      </c>
      <c r="B3162" s="1">
        <v>45411</v>
      </c>
      <c r="C3162" s="1">
        <v>45452</v>
      </c>
      <c r="D3162" t="s">
        <v>5341</v>
      </c>
      <c r="E3162" t="s">
        <v>18</v>
      </c>
      <c r="F3162" t="s">
        <v>34</v>
      </c>
      <c r="G3162" t="s">
        <v>35</v>
      </c>
      <c r="H3162" t="s">
        <v>21</v>
      </c>
      <c r="I3162" t="s">
        <v>30</v>
      </c>
      <c r="J3162">
        <v>1</v>
      </c>
      <c r="K3162">
        <v>3974000</v>
      </c>
      <c r="L3162">
        <v>6.3625457903941696E-2</v>
      </c>
      <c r="M3162" t="s">
        <v>23</v>
      </c>
      <c r="N3162">
        <v>3721000</v>
      </c>
      <c r="O3162">
        <v>4.4000000000000004</v>
      </c>
      <c r="P3162" t="b">
        <v>0</v>
      </c>
    </row>
    <row r="3163" spans="1:16" x14ac:dyDescent="0.2">
      <c r="A3163" t="s">
        <v>5342</v>
      </c>
      <c r="B3163" s="1">
        <v>45412</v>
      </c>
      <c r="C3163" s="1">
        <v>45482</v>
      </c>
      <c r="D3163" t="s">
        <v>5343</v>
      </c>
      <c r="E3163" t="s">
        <v>18</v>
      </c>
      <c r="F3163" t="s">
        <v>19</v>
      </c>
      <c r="G3163" t="s">
        <v>46</v>
      </c>
      <c r="H3163" t="s">
        <v>21</v>
      </c>
      <c r="I3163" t="s">
        <v>77</v>
      </c>
      <c r="J3163">
        <v>2</v>
      </c>
      <c r="K3163">
        <v>2784000</v>
      </c>
      <c r="L3163" s="2" t="s">
        <v>5344</v>
      </c>
      <c r="M3163" t="s">
        <v>23</v>
      </c>
      <c r="N3163">
        <v>4879000</v>
      </c>
      <c r="O3163">
        <v>4.5999999999999996</v>
      </c>
      <c r="P3163" t="b">
        <v>0</v>
      </c>
    </row>
    <row r="3164" spans="1:16" x14ac:dyDescent="0.2">
      <c r="A3164" t="s">
        <v>5345</v>
      </c>
      <c r="B3164" s="1">
        <v>45413</v>
      </c>
      <c r="C3164" s="1">
        <v>45487</v>
      </c>
      <c r="D3164" t="s">
        <v>214</v>
      </c>
      <c r="E3164" t="s">
        <v>18</v>
      </c>
      <c r="F3164" t="s">
        <v>34</v>
      </c>
      <c r="G3164" t="s">
        <v>20</v>
      </c>
      <c r="H3164" t="s">
        <v>21</v>
      </c>
      <c r="I3164" t="s">
        <v>83</v>
      </c>
      <c r="J3164">
        <v>1</v>
      </c>
      <c r="K3164">
        <v>4418000</v>
      </c>
      <c r="L3164" s="2" t="s">
        <v>5346</v>
      </c>
      <c r="M3164" t="s">
        <v>23</v>
      </c>
      <c r="N3164">
        <v>4365000</v>
      </c>
      <c r="O3164">
        <v>5</v>
      </c>
      <c r="P3164" t="b">
        <v>1</v>
      </c>
    </row>
    <row r="3165" spans="1:16" x14ac:dyDescent="0.2">
      <c r="A3165" t="s">
        <v>5347</v>
      </c>
      <c r="B3165" s="1">
        <v>45413</v>
      </c>
      <c r="C3165" s="1">
        <v>45466</v>
      </c>
      <c r="D3165" t="s">
        <v>5348</v>
      </c>
      <c r="F3165" t="s">
        <v>25</v>
      </c>
      <c r="G3165" t="s">
        <v>35</v>
      </c>
      <c r="H3165" t="s">
        <v>21</v>
      </c>
      <c r="I3165" t="s">
        <v>60</v>
      </c>
      <c r="J3165">
        <v>1</v>
      </c>
      <c r="K3165">
        <v>5857000</v>
      </c>
      <c r="L3165">
        <v>9.9060372296059407E-2</v>
      </c>
      <c r="M3165" t="s">
        <v>23</v>
      </c>
      <c r="N3165">
        <v>5277000</v>
      </c>
      <c r="O3165">
        <v>4.5</v>
      </c>
      <c r="P3165" t="b">
        <v>0</v>
      </c>
    </row>
    <row r="3166" spans="1:16" x14ac:dyDescent="0.2">
      <c r="A3166" t="s">
        <v>5349</v>
      </c>
      <c r="B3166" s="1">
        <v>45414</v>
      </c>
      <c r="C3166" s="1">
        <v>45506</v>
      </c>
      <c r="D3166" t="s">
        <v>5350</v>
      </c>
      <c r="E3166" t="s">
        <v>45</v>
      </c>
      <c r="F3166" t="s">
        <v>34</v>
      </c>
      <c r="G3166" t="s">
        <v>20</v>
      </c>
      <c r="H3166" t="s">
        <v>47</v>
      </c>
      <c r="I3166" t="s">
        <v>60</v>
      </c>
      <c r="J3166">
        <v>1</v>
      </c>
      <c r="K3166">
        <v>4537000</v>
      </c>
      <c r="L3166">
        <v>0.14648732509742601</v>
      </c>
      <c r="M3166" t="s">
        <v>23</v>
      </c>
      <c r="N3166">
        <v>3872000</v>
      </c>
      <c r="O3166">
        <v>4.2</v>
      </c>
      <c r="P3166" t="b">
        <v>0</v>
      </c>
    </row>
    <row r="3167" spans="1:16" x14ac:dyDescent="0.2">
      <c r="A3167" t="s">
        <v>5351</v>
      </c>
      <c r="B3167" s="1">
        <v>45414</v>
      </c>
      <c r="C3167" s="1">
        <v>45450</v>
      </c>
      <c r="D3167" t="s">
        <v>2342</v>
      </c>
      <c r="E3167" t="s">
        <v>18</v>
      </c>
      <c r="F3167" t="s">
        <v>68</v>
      </c>
      <c r="G3167" t="s">
        <v>20</v>
      </c>
      <c r="H3167" t="s">
        <v>47</v>
      </c>
      <c r="I3167" t="s">
        <v>26</v>
      </c>
      <c r="J3167">
        <v>2</v>
      </c>
      <c r="K3167">
        <v>2844000</v>
      </c>
      <c r="L3167" s="2" t="s">
        <v>5352</v>
      </c>
      <c r="M3167" t="s">
        <v>23</v>
      </c>
      <c r="N3167">
        <v>5089000</v>
      </c>
      <c r="O3167">
        <v>4.0999999999999996</v>
      </c>
      <c r="P3167" t="b">
        <v>1</v>
      </c>
    </row>
    <row r="3168" spans="1:16" x14ac:dyDescent="0.2">
      <c r="A3168" t="s">
        <v>5353</v>
      </c>
      <c r="B3168" s="1">
        <v>45414</v>
      </c>
      <c r="C3168" s="1">
        <v>45463</v>
      </c>
      <c r="D3168" t="s">
        <v>1938</v>
      </c>
      <c r="E3168" t="s">
        <v>18</v>
      </c>
      <c r="F3168" t="s">
        <v>68</v>
      </c>
      <c r="G3168" t="s">
        <v>20</v>
      </c>
      <c r="H3168" t="s">
        <v>21</v>
      </c>
      <c r="I3168" t="s">
        <v>22</v>
      </c>
      <c r="J3168">
        <v>4</v>
      </c>
      <c r="K3168">
        <v>2698000</v>
      </c>
      <c r="L3168" s="2" t="s">
        <v>5354</v>
      </c>
      <c r="M3168" t="s">
        <v>23</v>
      </c>
      <c r="N3168">
        <v>9231000</v>
      </c>
      <c r="O3168">
        <v>4.5</v>
      </c>
      <c r="P3168" t="b">
        <v>1</v>
      </c>
    </row>
    <row r="3169" spans="1:16" x14ac:dyDescent="0.2">
      <c r="A3169" t="s">
        <v>5355</v>
      </c>
      <c r="B3169" s="1">
        <v>45415</v>
      </c>
      <c r="C3169" s="1">
        <v>45453</v>
      </c>
      <c r="D3169" t="s">
        <v>1233</v>
      </c>
      <c r="E3169" t="s">
        <v>18</v>
      </c>
      <c r="F3169" t="s">
        <v>34</v>
      </c>
      <c r="H3169" t="s">
        <v>21</v>
      </c>
      <c r="I3169" t="s">
        <v>94</v>
      </c>
      <c r="J3169">
        <v>1</v>
      </c>
      <c r="K3169">
        <v>4421000</v>
      </c>
      <c r="L3169">
        <v>7.0037180778706298E-2</v>
      </c>
      <c r="M3169" t="s">
        <v>23</v>
      </c>
      <c r="N3169">
        <v>4111000</v>
      </c>
      <c r="O3169">
        <v>4.2</v>
      </c>
      <c r="P3169" t="b">
        <v>1</v>
      </c>
    </row>
    <row r="3170" spans="1:16" x14ac:dyDescent="0.2">
      <c r="A3170" t="s">
        <v>5356</v>
      </c>
      <c r="B3170" s="1">
        <v>45415</v>
      </c>
      <c r="C3170" s="1">
        <v>45478</v>
      </c>
      <c r="D3170" t="s">
        <v>3172</v>
      </c>
      <c r="E3170" t="s">
        <v>33</v>
      </c>
      <c r="F3170" t="s">
        <v>39</v>
      </c>
      <c r="G3170" t="s">
        <v>20</v>
      </c>
      <c r="I3170" t="s">
        <v>52</v>
      </c>
      <c r="J3170">
        <v>2</v>
      </c>
      <c r="K3170">
        <v>2546000</v>
      </c>
      <c r="L3170" s="2" t="s">
        <v>5357</v>
      </c>
      <c r="M3170" t="s">
        <v>23</v>
      </c>
      <c r="N3170">
        <v>4547000</v>
      </c>
      <c r="O3170">
        <v>4.4000000000000004</v>
      </c>
      <c r="P3170" t="b">
        <v>1</v>
      </c>
    </row>
    <row r="3171" spans="1:16" x14ac:dyDescent="0.2">
      <c r="A3171" t="s">
        <v>5358</v>
      </c>
      <c r="B3171" s="1">
        <v>45416</v>
      </c>
      <c r="C3171" s="1">
        <v>45437</v>
      </c>
      <c r="D3171" t="s">
        <v>963</v>
      </c>
      <c r="E3171" t="s">
        <v>45</v>
      </c>
      <c r="F3171" t="s">
        <v>25</v>
      </c>
      <c r="G3171" t="s">
        <v>20</v>
      </c>
      <c r="H3171" t="s">
        <v>21</v>
      </c>
      <c r="I3171" t="s">
        <v>99</v>
      </c>
      <c r="J3171">
        <v>4</v>
      </c>
      <c r="K3171">
        <v>4725000</v>
      </c>
      <c r="L3171" s="2" t="s">
        <v>5359</v>
      </c>
      <c r="M3171" t="s">
        <v>23</v>
      </c>
      <c r="N3171">
        <v>16082000</v>
      </c>
      <c r="O3171">
        <v>4.2</v>
      </c>
      <c r="P3171" t="b">
        <v>1</v>
      </c>
    </row>
    <row r="3172" spans="1:16" x14ac:dyDescent="0.2">
      <c r="A3172" t="s">
        <v>5360</v>
      </c>
      <c r="B3172" s="1">
        <v>45416</v>
      </c>
      <c r="C3172" s="1">
        <v>45458</v>
      </c>
      <c r="D3172" t="s">
        <v>5361</v>
      </c>
      <c r="E3172" t="s">
        <v>45</v>
      </c>
      <c r="F3172" t="s">
        <v>19</v>
      </c>
      <c r="G3172" t="s">
        <v>50</v>
      </c>
      <c r="H3172" t="s">
        <v>47</v>
      </c>
      <c r="I3172" t="s">
        <v>26</v>
      </c>
      <c r="J3172">
        <v>1</v>
      </c>
      <c r="K3172">
        <v>2825000</v>
      </c>
      <c r="L3172">
        <v>9.6904296889992705E-2</v>
      </c>
      <c r="M3172" t="s">
        <v>23</v>
      </c>
      <c r="N3172">
        <v>2551000</v>
      </c>
      <c r="O3172">
        <v>3</v>
      </c>
      <c r="P3172" t="b">
        <v>0</v>
      </c>
    </row>
    <row r="3173" spans="1:16" x14ac:dyDescent="0.2">
      <c r="A3173" t="s">
        <v>5362</v>
      </c>
      <c r="B3173" s="1">
        <v>45416</v>
      </c>
      <c r="C3173" s="1">
        <v>45452</v>
      </c>
      <c r="D3173" t="s">
        <v>943</v>
      </c>
      <c r="E3173" t="s">
        <v>29</v>
      </c>
      <c r="F3173" t="s">
        <v>34</v>
      </c>
      <c r="G3173" t="s">
        <v>20</v>
      </c>
      <c r="H3173" t="s">
        <v>40</v>
      </c>
      <c r="I3173" t="s">
        <v>52</v>
      </c>
      <c r="J3173">
        <v>1</v>
      </c>
      <c r="K3173">
        <v>3189000</v>
      </c>
      <c r="L3173">
        <v>7.8542269659527694E-2</v>
      </c>
      <c r="M3173" t="s">
        <v>23</v>
      </c>
      <c r="N3173">
        <v>2939000</v>
      </c>
      <c r="O3173">
        <v>4.8</v>
      </c>
      <c r="P3173" t="b">
        <v>1</v>
      </c>
    </row>
    <row r="3174" spans="1:16" x14ac:dyDescent="0.2">
      <c r="A3174" t="s">
        <v>5363</v>
      </c>
      <c r="B3174" s="1">
        <v>45416</v>
      </c>
      <c r="C3174" s="1">
        <v>45461</v>
      </c>
      <c r="D3174" t="s">
        <v>556</v>
      </c>
      <c r="F3174" t="s">
        <v>34</v>
      </c>
      <c r="G3174" t="s">
        <v>46</v>
      </c>
      <c r="H3174" t="s">
        <v>40</v>
      </c>
      <c r="I3174" t="s">
        <v>60</v>
      </c>
      <c r="J3174">
        <v>2</v>
      </c>
      <c r="K3174">
        <v>4878000</v>
      </c>
      <c r="L3174" s="2" t="s">
        <v>5364</v>
      </c>
      <c r="M3174" t="s">
        <v>65</v>
      </c>
      <c r="N3174">
        <v>0</v>
      </c>
      <c r="P3174" t="b">
        <v>1</v>
      </c>
    </row>
    <row r="3175" spans="1:16" x14ac:dyDescent="0.2">
      <c r="A3175" t="s">
        <v>5365</v>
      </c>
      <c r="B3175" s="1">
        <v>45416</v>
      </c>
      <c r="C3175" s="1">
        <v>45484</v>
      </c>
      <c r="D3175" t="s">
        <v>4174</v>
      </c>
      <c r="E3175" t="s">
        <v>33</v>
      </c>
      <c r="F3175" t="s">
        <v>45</v>
      </c>
      <c r="G3175" t="s">
        <v>20</v>
      </c>
      <c r="H3175" t="s">
        <v>47</v>
      </c>
      <c r="I3175" t="s">
        <v>30</v>
      </c>
      <c r="J3175">
        <v>1</v>
      </c>
      <c r="K3175">
        <v>3276000</v>
      </c>
      <c r="L3175">
        <v>7.8722131713126198E-2</v>
      </c>
      <c r="M3175" t="s">
        <v>1673</v>
      </c>
      <c r="N3175">
        <v>3018000</v>
      </c>
      <c r="O3175">
        <v>4.3</v>
      </c>
      <c r="P3175" t="b">
        <v>1</v>
      </c>
    </row>
    <row r="3176" spans="1:16" x14ac:dyDescent="0.2">
      <c r="A3176" t="s">
        <v>5366</v>
      </c>
      <c r="B3176" s="1">
        <v>45416</v>
      </c>
      <c r="C3176" s="1">
        <v>45492</v>
      </c>
      <c r="D3176" t="s">
        <v>2582</v>
      </c>
      <c r="E3176" t="s">
        <v>33</v>
      </c>
      <c r="F3176" t="s">
        <v>25</v>
      </c>
      <c r="G3176" t="s">
        <v>20</v>
      </c>
      <c r="H3176" t="s">
        <v>47</v>
      </c>
      <c r="I3176" t="s">
        <v>57</v>
      </c>
      <c r="J3176">
        <v>1</v>
      </c>
      <c r="K3176">
        <v>5273000</v>
      </c>
      <c r="L3176" s="2" t="s">
        <v>5367</v>
      </c>
      <c r="M3176" t="s">
        <v>23</v>
      </c>
      <c r="N3176">
        <v>4500000</v>
      </c>
      <c r="O3176">
        <v>4.5999999999999996</v>
      </c>
      <c r="P3176" t="b">
        <v>1</v>
      </c>
    </row>
    <row r="3177" spans="1:16" x14ac:dyDescent="0.2">
      <c r="A3177" t="s">
        <v>5368</v>
      </c>
      <c r="B3177" s="1">
        <v>45417</v>
      </c>
      <c r="C3177" s="1">
        <v>45423</v>
      </c>
      <c r="D3177" t="s">
        <v>3280</v>
      </c>
      <c r="E3177" t="s">
        <v>18</v>
      </c>
      <c r="F3177" t="s">
        <v>34</v>
      </c>
      <c r="G3177" t="s">
        <v>20</v>
      </c>
      <c r="H3177" t="s">
        <v>51</v>
      </c>
      <c r="I3177" t="s">
        <v>77</v>
      </c>
      <c r="J3177">
        <v>2</v>
      </c>
      <c r="K3177">
        <v>4153000</v>
      </c>
      <c r="L3177">
        <v>6.4366030745854896E-2</v>
      </c>
      <c r="M3177" t="s">
        <v>23</v>
      </c>
      <c r="N3177">
        <v>7771000</v>
      </c>
      <c r="O3177">
        <v>3.5</v>
      </c>
      <c r="P3177" t="b">
        <v>1</v>
      </c>
    </row>
    <row r="3178" spans="1:16" x14ac:dyDescent="0.2">
      <c r="A3178" t="s">
        <v>5369</v>
      </c>
      <c r="B3178" s="1">
        <v>45417</v>
      </c>
      <c r="C3178" s="1">
        <v>45480</v>
      </c>
      <c r="D3178" t="s">
        <v>5370</v>
      </c>
      <c r="E3178" t="s">
        <v>29</v>
      </c>
      <c r="F3178" t="s">
        <v>19</v>
      </c>
      <c r="G3178" t="s">
        <v>35</v>
      </c>
      <c r="H3178" t="s">
        <v>51</v>
      </c>
      <c r="I3178" t="s">
        <v>30</v>
      </c>
      <c r="J3178">
        <v>2</v>
      </c>
      <c r="K3178">
        <v>2641000</v>
      </c>
      <c r="L3178">
        <v>9.4608405696951295E-2</v>
      </c>
      <c r="M3178" t="s">
        <v>1656</v>
      </c>
      <c r="N3178">
        <v>4782000</v>
      </c>
      <c r="O3178">
        <v>4.4000000000000004</v>
      </c>
      <c r="P3178" t="b">
        <v>0</v>
      </c>
    </row>
    <row r="3179" spans="1:16" x14ac:dyDescent="0.2">
      <c r="A3179" t="s">
        <v>5371</v>
      </c>
      <c r="B3179" s="1">
        <v>45418</v>
      </c>
      <c r="C3179" s="1">
        <v>45455</v>
      </c>
      <c r="D3179" t="s">
        <v>5372</v>
      </c>
      <c r="E3179" t="s">
        <v>18</v>
      </c>
      <c r="F3179" t="s">
        <v>19</v>
      </c>
      <c r="G3179" t="s">
        <v>20</v>
      </c>
      <c r="H3179" t="s">
        <v>51</v>
      </c>
      <c r="I3179" t="s">
        <v>22</v>
      </c>
      <c r="J3179">
        <v>3</v>
      </c>
      <c r="K3179">
        <v>2388000</v>
      </c>
      <c r="L3179">
        <v>4.4719731735879099E-2</v>
      </c>
      <c r="M3179" t="s">
        <v>23</v>
      </c>
      <c r="N3179">
        <v>6844000</v>
      </c>
      <c r="O3179">
        <v>4</v>
      </c>
      <c r="P3179" t="b">
        <v>0</v>
      </c>
    </row>
    <row r="3180" spans="1:16" x14ac:dyDescent="0.2">
      <c r="A3180" t="s">
        <v>5373</v>
      </c>
      <c r="B3180" s="1">
        <v>45418</v>
      </c>
      <c r="C3180" s="1">
        <v>45464</v>
      </c>
      <c r="D3180" t="s">
        <v>410</v>
      </c>
      <c r="E3180" t="s">
        <v>18</v>
      </c>
      <c r="F3180" t="s">
        <v>19</v>
      </c>
      <c r="G3180" t="s">
        <v>50</v>
      </c>
      <c r="H3180" t="s">
        <v>21</v>
      </c>
      <c r="I3180" t="s">
        <v>99</v>
      </c>
      <c r="J3180">
        <v>1</v>
      </c>
      <c r="K3180">
        <v>2476000</v>
      </c>
      <c r="L3180" s="3">
        <v>0.09</v>
      </c>
      <c r="M3180" t="s">
        <v>23</v>
      </c>
      <c r="N3180">
        <v>2254000</v>
      </c>
      <c r="O3180">
        <v>4.3</v>
      </c>
      <c r="P3180" t="b">
        <v>1</v>
      </c>
    </row>
    <row r="3181" spans="1:16" x14ac:dyDescent="0.2">
      <c r="A3181" t="s">
        <v>5374</v>
      </c>
      <c r="B3181" s="1">
        <v>45419</v>
      </c>
      <c r="C3181" s="1">
        <v>45498</v>
      </c>
      <c r="D3181" t="s">
        <v>5375</v>
      </c>
      <c r="E3181" t="s">
        <v>18</v>
      </c>
      <c r="F3181" t="s">
        <v>45</v>
      </c>
      <c r="G3181" t="s">
        <v>20</v>
      </c>
      <c r="H3181" t="s">
        <v>40</v>
      </c>
      <c r="I3181" t="s">
        <v>77</v>
      </c>
      <c r="J3181">
        <v>2</v>
      </c>
      <c r="K3181">
        <v>4105000</v>
      </c>
      <c r="L3181" s="2" t="s">
        <v>5376</v>
      </c>
      <c r="M3181" t="s">
        <v>23</v>
      </c>
      <c r="N3181">
        <v>7200000</v>
      </c>
      <c r="O3181">
        <v>4.2</v>
      </c>
      <c r="P3181" t="b">
        <v>0</v>
      </c>
    </row>
    <row r="3182" spans="1:16" x14ac:dyDescent="0.2">
      <c r="A3182" t="s">
        <v>5377</v>
      </c>
      <c r="B3182" s="1">
        <v>45419</v>
      </c>
      <c r="C3182" s="1">
        <v>45419</v>
      </c>
      <c r="D3182" t="s">
        <v>3491</v>
      </c>
      <c r="E3182" t="s">
        <v>18</v>
      </c>
      <c r="F3182" t="s">
        <v>25</v>
      </c>
      <c r="G3182" t="s">
        <v>35</v>
      </c>
      <c r="H3182" t="s">
        <v>21</v>
      </c>
      <c r="I3182" t="s">
        <v>99</v>
      </c>
      <c r="J3182">
        <v>3</v>
      </c>
      <c r="K3182">
        <v>4766000</v>
      </c>
      <c r="L3182" s="2" t="s">
        <v>5378</v>
      </c>
      <c r="M3182" t="s">
        <v>23</v>
      </c>
      <c r="N3182">
        <v>12508000</v>
      </c>
      <c r="O3182">
        <v>3.7</v>
      </c>
      <c r="P3182" t="b">
        <v>1</v>
      </c>
    </row>
    <row r="3183" spans="1:16" x14ac:dyDescent="0.2">
      <c r="A3183" t="s">
        <v>5379</v>
      </c>
      <c r="B3183" s="1">
        <v>45420</v>
      </c>
      <c r="C3183" s="1">
        <v>45491</v>
      </c>
      <c r="D3183" t="s">
        <v>2910</v>
      </c>
      <c r="E3183" t="s">
        <v>18</v>
      </c>
      <c r="F3183" t="s">
        <v>68</v>
      </c>
      <c r="G3183" t="s">
        <v>20</v>
      </c>
      <c r="H3183" t="s">
        <v>40</v>
      </c>
      <c r="I3183" t="s">
        <v>1654</v>
      </c>
      <c r="J3183">
        <v>4</v>
      </c>
      <c r="K3183">
        <v>3501000</v>
      </c>
      <c r="L3183">
        <v>6.5215074325979894E-2</v>
      </c>
      <c r="M3183" t="s">
        <v>1882</v>
      </c>
      <c r="N3183">
        <v>13091000</v>
      </c>
      <c r="O3183">
        <v>4.7</v>
      </c>
      <c r="P3183" t="b">
        <v>1</v>
      </c>
    </row>
    <row r="3184" spans="1:16" x14ac:dyDescent="0.2">
      <c r="A3184" t="s">
        <v>5380</v>
      </c>
      <c r="B3184" s="1">
        <v>45420</v>
      </c>
      <c r="C3184" s="1">
        <v>45442</v>
      </c>
      <c r="D3184" t="s">
        <v>5381</v>
      </c>
      <c r="E3184" t="s">
        <v>18</v>
      </c>
      <c r="F3184" t="s">
        <v>34</v>
      </c>
      <c r="G3184" t="s">
        <v>20</v>
      </c>
      <c r="H3184" t="s">
        <v>21</v>
      </c>
      <c r="I3184" t="s">
        <v>22</v>
      </c>
      <c r="J3184">
        <v>1</v>
      </c>
      <c r="K3184">
        <v>3499000</v>
      </c>
      <c r="L3184">
        <v>6.5914669211327298E-2</v>
      </c>
      <c r="M3184" t="s">
        <v>23</v>
      </c>
      <c r="N3184">
        <v>3268000</v>
      </c>
      <c r="O3184">
        <v>3.7</v>
      </c>
      <c r="P3184" t="b">
        <v>0</v>
      </c>
    </row>
    <row r="3185" spans="1:16" x14ac:dyDescent="0.2">
      <c r="A3185" t="s">
        <v>5382</v>
      </c>
      <c r="B3185" s="1">
        <v>45420</v>
      </c>
      <c r="C3185" s="1">
        <v>45460</v>
      </c>
      <c r="D3185" t="s">
        <v>5383</v>
      </c>
      <c r="E3185" t="s">
        <v>45</v>
      </c>
      <c r="F3185" t="s">
        <v>68</v>
      </c>
      <c r="G3185" t="s">
        <v>20</v>
      </c>
      <c r="H3185" t="s">
        <v>21</v>
      </c>
      <c r="I3185" t="s">
        <v>57</v>
      </c>
      <c r="J3185">
        <v>2</v>
      </c>
      <c r="K3185">
        <v>2606000</v>
      </c>
      <c r="L3185">
        <v>5.3635784899218102E-2</v>
      </c>
      <c r="M3185" t="s">
        <v>23</v>
      </c>
      <c r="N3185">
        <v>4932000</v>
      </c>
      <c r="O3185">
        <v>4.0999999999999996</v>
      </c>
      <c r="P3185" t="b">
        <v>0</v>
      </c>
    </row>
    <row r="3186" spans="1:16" x14ac:dyDescent="0.2">
      <c r="A3186" t="s">
        <v>5384</v>
      </c>
      <c r="B3186" s="1">
        <v>45420</v>
      </c>
      <c r="C3186" s="1">
        <v>45498</v>
      </c>
      <c r="D3186" t="s">
        <v>5385</v>
      </c>
      <c r="E3186" t="s">
        <v>33</v>
      </c>
      <c r="F3186" t="s">
        <v>45</v>
      </c>
      <c r="G3186" t="s">
        <v>50</v>
      </c>
      <c r="H3186" t="s">
        <v>21</v>
      </c>
      <c r="I3186" t="s">
        <v>26</v>
      </c>
      <c r="J3186">
        <v>1</v>
      </c>
      <c r="K3186">
        <v>3697000</v>
      </c>
      <c r="L3186">
        <v>9.5976562438645593E-2</v>
      </c>
      <c r="M3186" t="s">
        <v>23</v>
      </c>
      <c r="N3186">
        <v>3342000</v>
      </c>
      <c r="O3186">
        <v>3.6</v>
      </c>
      <c r="P3186" t="b">
        <v>0</v>
      </c>
    </row>
    <row r="3187" spans="1:16" x14ac:dyDescent="0.2">
      <c r="A3187" t="s">
        <v>5386</v>
      </c>
      <c r="B3187" s="1">
        <v>45421</v>
      </c>
      <c r="C3187" s="1">
        <v>45444</v>
      </c>
      <c r="D3187" t="s">
        <v>5387</v>
      </c>
      <c r="E3187" t="s">
        <v>45</v>
      </c>
      <c r="F3187" t="s">
        <v>25</v>
      </c>
      <c r="G3187" t="s">
        <v>20</v>
      </c>
      <c r="H3187" t="s">
        <v>21</v>
      </c>
      <c r="I3187" t="s">
        <v>60</v>
      </c>
      <c r="J3187">
        <v>1</v>
      </c>
      <c r="K3187">
        <v>5663000</v>
      </c>
      <c r="L3187">
        <v>3.7422081237755002E-3</v>
      </c>
      <c r="M3187" t="s">
        <v>23</v>
      </c>
      <c r="N3187">
        <v>5642000</v>
      </c>
      <c r="O3187">
        <v>3.4</v>
      </c>
      <c r="P3187" t="b">
        <v>0</v>
      </c>
    </row>
    <row r="3188" spans="1:16" x14ac:dyDescent="0.2">
      <c r="A3188" t="s">
        <v>5388</v>
      </c>
      <c r="B3188" s="1">
        <v>45421</v>
      </c>
      <c r="C3188" s="1">
        <v>45448</v>
      </c>
      <c r="D3188" t="s">
        <v>5169</v>
      </c>
      <c r="E3188" t="s">
        <v>45</v>
      </c>
      <c r="F3188" t="s">
        <v>25</v>
      </c>
      <c r="G3188" t="s">
        <v>46</v>
      </c>
      <c r="H3188" t="s">
        <v>21</v>
      </c>
      <c r="I3188" t="s">
        <v>57</v>
      </c>
      <c r="J3188">
        <v>1</v>
      </c>
      <c r="K3188">
        <v>5120000</v>
      </c>
      <c r="L3188">
        <v>5.7686222352916303E-2</v>
      </c>
      <c r="M3188" t="s">
        <v>23</v>
      </c>
      <c r="N3188">
        <v>4825000</v>
      </c>
      <c r="O3188">
        <v>4.0999999999999996</v>
      </c>
      <c r="P3188" t="b">
        <v>1</v>
      </c>
    </row>
    <row r="3189" spans="1:16" x14ac:dyDescent="0.2">
      <c r="A3189" t="s">
        <v>5389</v>
      </c>
      <c r="B3189" s="1">
        <v>45421</v>
      </c>
      <c r="C3189" s="1">
        <v>45475</v>
      </c>
      <c r="D3189" t="s">
        <v>3555</v>
      </c>
      <c r="E3189" t="s">
        <v>18</v>
      </c>
      <c r="F3189" t="s">
        <v>34</v>
      </c>
      <c r="G3189" t="s">
        <v>20</v>
      </c>
      <c r="H3189" t="s">
        <v>40</v>
      </c>
      <c r="I3189" t="s">
        <v>94</v>
      </c>
      <c r="J3189">
        <v>1</v>
      </c>
      <c r="K3189">
        <v>4373000</v>
      </c>
      <c r="L3189" s="2" t="s">
        <v>5390</v>
      </c>
      <c r="M3189" t="s">
        <v>23</v>
      </c>
      <c r="N3189">
        <v>3807000</v>
      </c>
      <c r="O3189">
        <v>4.5</v>
      </c>
      <c r="P3189" t="b">
        <v>1</v>
      </c>
    </row>
    <row r="3190" spans="1:16" x14ac:dyDescent="0.2">
      <c r="A3190" t="s">
        <v>5391</v>
      </c>
      <c r="B3190" s="1">
        <v>45422</v>
      </c>
      <c r="C3190" s="1">
        <v>45477</v>
      </c>
      <c r="D3190" t="s">
        <v>4295</v>
      </c>
      <c r="E3190" t="s">
        <v>18</v>
      </c>
      <c r="F3190" t="s">
        <v>68</v>
      </c>
      <c r="G3190" t="s">
        <v>20</v>
      </c>
      <c r="H3190" t="s">
        <v>51</v>
      </c>
      <c r="I3190" t="s">
        <v>99</v>
      </c>
      <c r="J3190">
        <v>2</v>
      </c>
      <c r="K3190">
        <v>2589000</v>
      </c>
      <c r="L3190" s="2" t="s">
        <v>5392</v>
      </c>
      <c r="M3190" t="s">
        <v>23</v>
      </c>
      <c r="N3190">
        <v>4634000</v>
      </c>
      <c r="O3190">
        <v>3.8</v>
      </c>
      <c r="P3190" t="b">
        <v>1</v>
      </c>
    </row>
    <row r="3191" spans="1:16" x14ac:dyDescent="0.2">
      <c r="A3191" t="s">
        <v>5393</v>
      </c>
      <c r="B3191" s="1">
        <v>45423</v>
      </c>
      <c r="C3191" s="1">
        <v>45452</v>
      </c>
      <c r="D3191" t="s">
        <v>591</v>
      </c>
      <c r="E3191" t="s">
        <v>45</v>
      </c>
      <c r="F3191" t="s">
        <v>19</v>
      </c>
      <c r="G3191" t="s">
        <v>50</v>
      </c>
      <c r="H3191" t="s">
        <v>21</v>
      </c>
      <c r="I3191" t="s">
        <v>94</v>
      </c>
      <c r="J3191">
        <v>2</v>
      </c>
      <c r="K3191">
        <v>2906000</v>
      </c>
      <c r="L3191" s="2" t="s">
        <v>5394</v>
      </c>
      <c r="M3191" t="s">
        <v>23</v>
      </c>
      <c r="N3191">
        <v>5036000</v>
      </c>
      <c r="O3191">
        <v>3.9</v>
      </c>
      <c r="P3191" t="b">
        <v>1</v>
      </c>
    </row>
    <row r="3192" spans="1:16" x14ac:dyDescent="0.2">
      <c r="A3192" t="s">
        <v>5395</v>
      </c>
      <c r="B3192" s="1">
        <v>45423</v>
      </c>
      <c r="C3192" s="1">
        <v>45472</v>
      </c>
      <c r="D3192" t="s">
        <v>4239</v>
      </c>
      <c r="E3192" t="s">
        <v>18</v>
      </c>
      <c r="F3192" t="s">
        <v>19</v>
      </c>
      <c r="G3192" t="s">
        <v>20</v>
      </c>
      <c r="H3192" t="s">
        <v>21</v>
      </c>
      <c r="I3192" t="s">
        <v>60</v>
      </c>
      <c r="J3192">
        <v>2</v>
      </c>
      <c r="K3192">
        <v>2892000</v>
      </c>
      <c r="L3192">
        <v>1.9870657346119602E-2</v>
      </c>
      <c r="M3192" t="s">
        <v>23</v>
      </c>
      <c r="N3192">
        <v>5669000</v>
      </c>
      <c r="O3192">
        <v>4.8</v>
      </c>
      <c r="P3192" t="b">
        <v>1</v>
      </c>
    </row>
    <row r="3193" spans="1:16" x14ac:dyDescent="0.2">
      <c r="A3193" t="s">
        <v>5396</v>
      </c>
      <c r="B3193" s="1">
        <v>45424</v>
      </c>
      <c r="C3193" s="1">
        <v>45487</v>
      </c>
      <c r="D3193" t="s">
        <v>114</v>
      </c>
      <c r="E3193" t="s">
        <v>45</v>
      </c>
      <c r="F3193" t="s">
        <v>19</v>
      </c>
      <c r="G3193" t="s">
        <v>50</v>
      </c>
      <c r="H3193" t="s">
        <v>21</v>
      </c>
      <c r="I3193" t="s">
        <v>77</v>
      </c>
      <c r="J3193">
        <v>2</v>
      </c>
      <c r="K3193">
        <v>2894000</v>
      </c>
      <c r="L3193">
        <v>9.9366562762986999E-2</v>
      </c>
      <c r="M3193" t="s">
        <v>23</v>
      </c>
      <c r="N3193">
        <v>5213000</v>
      </c>
      <c r="O3193">
        <v>4.0999999999999996</v>
      </c>
      <c r="P3193" t="b">
        <v>1</v>
      </c>
    </row>
    <row r="3194" spans="1:16" x14ac:dyDescent="0.2">
      <c r="A3194" t="s">
        <v>5397</v>
      </c>
      <c r="B3194" s="1">
        <v>45424</v>
      </c>
      <c r="C3194" s="1">
        <v>45466</v>
      </c>
      <c r="D3194" t="s">
        <v>4807</v>
      </c>
      <c r="E3194" t="s">
        <v>45</v>
      </c>
      <c r="F3194" t="s">
        <v>45</v>
      </c>
      <c r="G3194" t="s">
        <v>20</v>
      </c>
      <c r="H3194" t="s">
        <v>21</v>
      </c>
      <c r="I3194" t="s">
        <v>83</v>
      </c>
      <c r="J3194">
        <v>1</v>
      </c>
      <c r="K3194">
        <v>2844000</v>
      </c>
      <c r="L3194">
        <v>5.8534813097797102E-2</v>
      </c>
      <c r="M3194" t="s">
        <v>1673</v>
      </c>
      <c r="N3194">
        <v>0</v>
      </c>
      <c r="P3194" t="b">
        <v>1</v>
      </c>
    </row>
    <row r="3195" spans="1:16" x14ac:dyDescent="0.2">
      <c r="A3195" t="s">
        <v>5398</v>
      </c>
      <c r="B3195" s="1">
        <v>45424</v>
      </c>
      <c r="C3195" s="1">
        <v>45456</v>
      </c>
      <c r="D3195" t="s">
        <v>5399</v>
      </c>
      <c r="E3195" t="s">
        <v>33</v>
      </c>
      <c r="F3195" t="s">
        <v>19</v>
      </c>
      <c r="G3195" t="s">
        <v>46</v>
      </c>
      <c r="H3195" t="s">
        <v>47</v>
      </c>
      <c r="I3195" t="s">
        <v>60</v>
      </c>
      <c r="J3195">
        <v>2</v>
      </c>
      <c r="K3195">
        <v>2936000</v>
      </c>
      <c r="L3195">
        <v>9.1353016153051997E-2</v>
      </c>
      <c r="M3195" t="s">
        <v>23</v>
      </c>
      <c r="N3195">
        <v>5336000</v>
      </c>
      <c r="O3195">
        <v>4.2</v>
      </c>
      <c r="P3195" t="b">
        <v>0</v>
      </c>
    </row>
    <row r="3196" spans="1:16" x14ac:dyDescent="0.2">
      <c r="A3196" t="s">
        <v>5400</v>
      </c>
      <c r="B3196" s="1">
        <v>45424</v>
      </c>
      <c r="C3196" s="1">
        <v>45469</v>
      </c>
      <c r="D3196" t="s">
        <v>5401</v>
      </c>
      <c r="E3196" t="s">
        <v>18</v>
      </c>
      <c r="F3196" t="s">
        <v>34</v>
      </c>
      <c r="G3196" t="s">
        <v>20</v>
      </c>
      <c r="H3196" t="s">
        <v>51</v>
      </c>
      <c r="I3196" t="s">
        <v>77</v>
      </c>
      <c r="J3196">
        <v>4</v>
      </c>
      <c r="K3196">
        <v>4591000</v>
      </c>
      <c r="L3196" s="2" t="s">
        <v>5402</v>
      </c>
      <c r="M3196" t="s">
        <v>23</v>
      </c>
      <c r="N3196">
        <v>16118000</v>
      </c>
      <c r="O3196">
        <v>4.3</v>
      </c>
      <c r="P3196" t="b">
        <v>0</v>
      </c>
    </row>
    <row r="3197" spans="1:16" x14ac:dyDescent="0.2">
      <c r="A3197" t="s">
        <v>5403</v>
      </c>
      <c r="B3197" s="1">
        <v>45425</v>
      </c>
      <c r="C3197" s="1">
        <v>45501</v>
      </c>
      <c r="D3197" t="s">
        <v>1093</v>
      </c>
      <c r="E3197" t="s">
        <v>29</v>
      </c>
      <c r="F3197" t="s">
        <v>19</v>
      </c>
      <c r="G3197" t="s">
        <v>20</v>
      </c>
      <c r="H3197" t="s">
        <v>47</v>
      </c>
      <c r="I3197" t="s">
        <v>30</v>
      </c>
      <c r="J3197">
        <v>1</v>
      </c>
      <c r="K3197">
        <v>2362000</v>
      </c>
      <c r="L3197">
        <v>9.4717712424727901E-2</v>
      </c>
      <c r="M3197" t="s">
        <v>65</v>
      </c>
      <c r="N3197">
        <v>0</v>
      </c>
      <c r="P3197" t="b">
        <v>1</v>
      </c>
    </row>
    <row r="3198" spans="1:16" x14ac:dyDescent="0.2">
      <c r="A3198" t="s">
        <v>5404</v>
      </c>
      <c r="B3198" s="1">
        <v>45425</v>
      </c>
      <c r="C3198" s="1">
        <v>45486</v>
      </c>
      <c r="D3198" t="s">
        <v>365</v>
      </c>
      <c r="E3198" t="s">
        <v>29</v>
      </c>
      <c r="F3198" t="s">
        <v>68</v>
      </c>
      <c r="G3198" t="s">
        <v>50</v>
      </c>
      <c r="H3198" t="s">
        <v>40</v>
      </c>
      <c r="I3198" t="s">
        <v>83</v>
      </c>
      <c r="J3198">
        <v>1</v>
      </c>
      <c r="K3198">
        <v>2115000</v>
      </c>
      <c r="L3198">
        <v>6.6888127596075694E-2</v>
      </c>
      <c r="M3198" t="s">
        <v>23</v>
      </c>
      <c r="N3198">
        <v>1974000</v>
      </c>
      <c r="O3198">
        <v>4.2</v>
      </c>
      <c r="P3198" t="b">
        <v>1</v>
      </c>
    </row>
    <row r="3199" spans="1:16" x14ac:dyDescent="0.2">
      <c r="A3199" t="s">
        <v>5405</v>
      </c>
      <c r="B3199" s="1">
        <v>45426</v>
      </c>
      <c r="C3199" s="1">
        <v>45494</v>
      </c>
      <c r="D3199" t="s">
        <v>5406</v>
      </c>
      <c r="E3199" t="s">
        <v>33</v>
      </c>
      <c r="F3199" t="s">
        <v>45</v>
      </c>
      <c r="G3199" t="s">
        <v>50</v>
      </c>
      <c r="H3199" t="s">
        <v>47</v>
      </c>
      <c r="I3199" t="s">
        <v>30</v>
      </c>
      <c r="J3199">
        <v>1</v>
      </c>
      <c r="K3199">
        <v>3353000</v>
      </c>
      <c r="L3199" s="2" t="s">
        <v>5407</v>
      </c>
      <c r="M3199" t="s">
        <v>1656</v>
      </c>
      <c r="N3199">
        <v>0</v>
      </c>
      <c r="P3199" t="b">
        <v>0</v>
      </c>
    </row>
    <row r="3200" spans="1:16" x14ac:dyDescent="0.2">
      <c r="A3200" t="s">
        <v>5408</v>
      </c>
      <c r="B3200" s="1">
        <v>45427</v>
      </c>
      <c r="C3200" s="1">
        <v>45466</v>
      </c>
      <c r="D3200" t="s">
        <v>3048</v>
      </c>
      <c r="E3200" t="s">
        <v>18</v>
      </c>
      <c r="F3200" t="s">
        <v>34</v>
      </c>
      <c r="G3200" t="s">
        <v>20</v>
      </c>
      <c r="H3200" t="s">
        <v>47</v>
      </c>
      <c r="I3200" t="s">
        <v>77</v>
      </c>
      <c r="J3200">
        <v>1</v>
      </c>
      <c r="K3200">
        <v>4332000</v>
      </c>
      <c r="L3200" s="2" t="s">
        <v>5409</v>
      </c>
      <c r="M3200" t="s">
        <v>23</v>
      </c>
      <c r="N3200">
        <v>3886000</v>
      </c>
      <c r="O3200">
        <v>3.9</v>
      </c>
      <c r="P3200" t="b">
        <v>1</v>
      </c>
    </row>
    <row r="3201" spans="1:16" x14ac:dyDescent="0.2">
      <c r="A3201" t="s">
        <v>5410</v>
      </c>
      <c r="B3201" s="1">
        <v>45427</v>
      </c>
      <c r="C3201" s="1">
        <v>45520</v>
      </c>
      <c r="D3201" t="s">
        <v>5411</v>
      </c>
      <c r="E3201" t="s">
        <v>18</v>
      </c>
      <c r="F3201" t="s">
        <v>25</v>
      </c>
      <c r="G3201" t="s">
        <v>20</v>
      </c>
      <c r="H3201" t="s">
        <v>21</v>
      </c>
      <c r="I3201" t="s">
        <v>30</v>
      </c>
      <c r="J3201">
        <v>1</v>
      </c>
      <c r="K3201">
        <v>5167000</v>
      </c>
      <c r="L3201" s="2" t="s">
        <v>5412</v>
      </c>
      <c r="M3201" t="s">
        <v>65</v>
      </c>
      <c r="N3201">
        <v>0</v>
      </c>
      <c r="P3201" t="b">
        <v>0</v>
      </c>
    </row>
    <row r="3202" spans="1:16" x14ac:dyDescent="0.2">
      <c r="A3202" t="s">
        <v>5413</v>
      </c>
      <c r="B3202" s="1">
        <v>45427</v>
      </c>
      <c r="C3202" s="1">
        <v>45492</v>
      </c>
      <c r="D3202" t="s">
        <v>2137</v>
      </c>
      <c r="E3202" t="s">
        <v>33</v>
      </c>
      <c r="F3202" t="s">
        <v>68</v>
      </c>
      <c r="G3202" t="s">
        <v>50</v>
      </c>
      <c r="H3202" t="s">
        <v>40</v>
      </c>
      <c r="I3202" t="s">
        <v>94</v>
      </c>
      <c r="J3202">
        <v>2</v>
      </c>
      <c r="K3202">
        <v>2204000</v>
      </c>
      <c r="L3202">
        <v>9.05050405357819E-2</v>
      </c>
      <c r="M3202" t="s">
        <v>1882</v>
      </c>
      <c r="N3202">
        <v>4009000</v>
      </c>
      <c r="O3202">
        <v>3.8</v>
      </c>
      <c r="P3202" t="b">
        <v>1</v>
      </c>
    </row>
    <row r="3203" spans="1:16" x14ac:dyDescent="0.2">
      <c r="A3203" t="s">
        <v>5414</v>
      </c>
      <c r="B3203" s="1">
        <v>45428</v>
      </c>
      <c r="C3203" s="1">
        <v>45491</v>
      </c>
      <c r="D3203" t="s">
        <v>4456</v>
      </c>
      <c r="E3203" t="s">
        <v>45</v>
      </c>
      <c r="F3203" t="s">
        <v>68</v>
      </c>
      <c r="G3203" t="s">
        <v>35</v>
      </c>
      <c r="H3203" t="s">
        <v>47</v>
      </c>
      <c r="I3203" t="s">
        <v>57</v>
      </c>
      <c r="J3203">
        <v>1</v>
      </c>
      <c r="K3203">
        <v>2765000</v>
      </c>
      <c r="L3203" s="2" t="s">
        <v>5415</v>
      </c>
      <c r="M3203" t="s">
        <v>23</v>
      </c>
      <c r="N3203">
        <v>2416000</v>
      </c>
      <c r="O3203">
        <v>4.0999999999999996</v>
      </c>
      <c r="P3203" t="b">
        <v>1</v>
      </c>
    </row>
    <row r="3204" spans="1:16" x14ac:dyDescent="0.2">
      <c r="A3204" t="s">
        <v>5416</v>
      </c>
      <c r="B3204" s="1">
        <v>45428</v>
      </c>
      <c r="C3204" s="1">
        <v>45486</v>
      </c>
      <c r="D3204" t="s">
        <v>314</v>
      </c>
      <c r="E3204" t="s">
        <v>45</v>
      </c>
      <c r="F3204" t="s">
        <v>19</v>
      </c>
      <c r="G3204" t="s">
        <v>20</v>
      </c>
      <c r="H3204" t="s">
        <v>21</v>
      </c>
      <c r="I3204" t="s">
        <v>30</v>
      </c>
      <c r="J3204">
        <v>3</v>
      </c>
      <c r="K3204">
        <v>2380000</v>
      </c>
      <c r="L3204">
        <v>8.1378414291136E-2</v>
      </c>
      <c r="M3204" t="s">
        <v>23</v>
      </c>
      <c r="N3204">
        <v>6559000</v>
      </c>
      <c r="O3204">
        <v>4.9000000000000004</v>
      </c>
      <c r="P3204" t="b">
        <v>1</v>
      </c>
    </row>
    <row r="3205" spans="1:16" x14ac:dyDescent="0.2">
      <c r="A3205" t="s">
        <v>5417</v>
      </c>
      <c r="B3205" s="1">
        <v>45429</v>
      </c>
      <c r="C3205" s="1">
        <v>45489</v>
      </c>
      <c r="D3205" t="s">
        <v>3116</v>
      </c>
      <c r="E3205" t="s">
        <v>45</v>
      </c>
      <c r="F3205" t="s">
        <v>19</v>
      </c>
      <c r="G3205" t="s">
        <v>20</v>
      </c>
      <c r="H3205" t="s">
        <v>21</v>
      </c>
      <c r="I3205" t="s">
        <v>22</v>
      </c>
      <c r="J3205">
        <v>3</v>
      </c>
      <c r="K3205">
        <v>2479000</v>
      </c>
      <c r="L3205" s="2" t="s">
        <v>5418</v>
      </c>
      <c r="M3205" t="s">
        <v>23</v>
      </c>
      <c r="N3205">
        <v>6561000</v>
      </c>
      <c r="O3205">
        <v>4.0999999999999996</v>
      </c>
      <c r="P3205" t="b">
        <v>1</v>
      </c>
    </row>
    <row r="3206" spans="1:16" x14ac:dyDescent="0.2">
      <c r="A3206" t="s">
        <v>5419</v>
      </c>
      <c r="B3206" s="1">
        <v>45429</v>
      </c>
      <c r="C3206" s="1">
        <v>45459</v>
      </c>
      <c r="D3206" t="s">
        <v>5420</v>
      </c>
      <c r="E3206" t="s">
        <v>45</v>
      </c>
      <c r="F3206" t="s">
        <v>19</v>
      </c>
      <c r="G3206" t="s">
        <v>35</v>
      </c>
      <c r="H3206" t="s">
        <v>21</v>
      </c>
      <c r="I3206" t="s">
        <v>57</v>
      </c>
      <c r="J3206">
        <v>2</v>
      </c>
      <c r="K3206">
        <v>3380000</v>
      </c>
      <c r="L3206">
        <v>8.01363992080069E-2</v>
      </c>
      <c r="M3206" t="s">
        <v>23</v>
      </c>
      <c r="N3206">
        <v>6218000</v>
      </c>
      <c r="O3206">
        <v>4.2</v>
      </c>
      <c r="P3206" t="b">
        <v>0</v>
      </c>
    </row>
    <row r="3207" spans="1:16" x14ac:dyDescent="0.2">
      <c r="A3207" t="s">
        <v>5421</v>
      </c>
      <c r="B3207" s="1">
        <v>45429</v>
      </c>
      <c r="C3207" s="1">
        <v>45454</v>
      </c>
      <c r="D3207" t="s">
        <v>5422</v>
      </c>
      <c r="E3207" t="s">
        <v>33</v>
      </c>
      <c r="F3207" t="s">
        <v>34</v>
      </c>
      <c r="G3207" t="s">
        <v>50</v>
      </c>
      <c r="H3207" t="s">
        <v>21</v>
      </c>
      <c r="J3207">
        <v>5</v>
      </c>
      <c r="K3207">
        <v>5196000</v>
      </c>
      <c r="L3207">
        <v>7.8727972015759096E-2</v>
      </c>
      <c r="M3207" t="s">
        <v>23</v>
      </c>
      <c r="N3207">
        <v>23935000</v>
      </c>
      <c r="O3207">
        <v>3.8</v>
      </c>
      <c r="P3207" t="b">
        <v>0</v>
      </c>
    </row>
    <row r="3208" spans="1:16" x14ac:dyDescent="0.2">
      <c r="A3208" t="s">
        <v>5423</v>
      </c>
      <c r="B3208" s="1">
        <v>45430</v>
      </c>
      <c r="C3208" s="1">
        <v>45456</v>
      </c>
      <c r="D3208" t="s">
        <v>5424</v>
      </c>
      <c r="E3208" t="s">
        <v>33</v>
      </c>
      <c r="F3208" t="s">
        <v>34</v>
      </c>
      <c r="G3208" t="s">
        <v>20</v>
      </c>
      <c r="H3208" t="s">
        <v>21</v>
      </c>
      <c r="I3208" t="s">
        <v>77</v>
      </c>
      <c r="J3208">
        <v>1</v>
      </c>
      <c r="K3208">
        <v>4022000</v>
      </c>
      <c r="L3208" s="2" t="s">
        <v>5425</v>
      </c>
      <c r="M3208" t="s">
        <v>23</v>
      </c>
      <c r="N3208">
        <v>3967000</v>
      </c>
      <c r="O3208">
        <v>4.5999999999999996</v>
      </c>
      <c r="P3208" t="b">
        <v>0</v>
      </c>
    </row>
    <row r="3209" spans="1:16" x14ac:dyDescent="0.2">
      <c r="A3209" t="s">
        <v>5426</v>
      </c>
      <c r="B3209" s="1">
        <v>45430</v>
      </c>
      <c r="C3209" s="1">
        <v>45484</v>
      </c>
      <c r="D3209" t="s">
        <v>5427</v>
      </c>
      <c r="E3209" t="s">
        <v>18</v>
      </c>
      <c r="F3209" t="s">
        <v>45</v>
      </c>
      <c r="G3209" t="s">
        <v>46</v>
      </c>
      <c r="H3209" t="s">
        <v>47</v>
      </c>
      <c r="I3209" t="s">
        <v>22</v>
      </c>
      <c r="J3209">
        <v>1</v>
      </c>
      <c r="K3209">
        <v>3213000</v>
      </c>
      <c r="L3209">
        <v>0.126806642261206</v>
      </c>
      <c r="M3209" t="s">
        <v>23</v>
      </c>
      <c r="N3209">
        <v>2806000</v>
      </c>
      <c r="O3209">
        <v>3.4</v>
      </c>
      <c r="P3209" t="b">
        <v>0</v>
      </c>
    </row>
    <row r="3210" spans="1:16" x14ac:dyDescent="0.2">
      <c r="A3210" t="s">
        <v>5428</v>
      </c>
      <c r="B3210" s="1">
        <v>45430</v>
      </c>
      <c r="C3210" s="1">
        <v>45489</v>
      </c>
      <c r="D3210" t="s">
        <v>743</v>
      </c>
      <c r="E3210" t="s">
        <v>29</v>
      </c>
      <c r="F3210" t="s">
        <v>39</v>
      </c>
      <c r="G3210" t="s">
        <v>20</v>
      </c>
      <c r="H3210" t="s">
        <v>40</v>
      </c>
      <c r="I3210" t="s">
        <v>1654</v>
      </c>
      <c r="J3210">
        <v>5</v>
      </c>
      <c r="K3210">
        <v>2277000</v>
      </c>
      <c r="L3210">
        <v>3.1778527324889998E-2</v>
      </c>
      <c r="M3210" t="s">
        <v>23</v>
      </c>
      <c r="N3210">
        <v>11023000</v>
      </c>
      <c r="O3210">
        <v>4.5</v>
      </c>
      <c r="P3210" t="b">
        <v>1</v>
      </c>
    </row>
    <row r="3211" spans="1:16" x14ac:dyDescent="0.2">
      <c r="A3211" t="s">
        <v>5429</v>
      </c>
      <c r="B3211" s="1">
        <v>45431</v>
      </c>
      <c r="C3211" s="1">
        <v>45495</v>
      </c>
      <c r="D3211" t="s">
        <v>3360</v>
      </c>
      <c r="E3211" t="s">
        <v>18</v>
      </c>
      <c r="F3211" t="s">
        <v>19</v>
      </c>
      <c r="G3211" t="s">
        <v>20</v>
      </c>
      <c r="H3211" t="s">
        <v>21</v>
      </c>
      <c r="I3211" t="s">
        <v>83</v>
      </c>
      <c r="J3211">
        <v>1</v>
      </c>
      <c r="K3211">
        <v>2823000</v>
      </c>
      <c r="L3211" s="2" t="s">
        <v>5430</v>
      </c>
      <c r="M3211" t="s">
        <v>23</v>
      </c>
      <c r="N3211">
        <v>2737000</v>
      </c>
      <c r="O3211">
        <v>4.3</v>
      </c>
      <c r="P3211" t="b">
        <v>1</v>
      </c>
    </row>
    <row r="3212" spans="1:16" x14ac:dyDescent="0.2">
      <c r="A3212" t="s">
        <v>5431</v>
      </c>
      <c r="B3212" s="1">
        <v>45431</v>
      </c>
      <c r="C3212" s="1">
        <v>45459</v>
      </c>
      <c r="D3212" t="s">
        <v>5432</v>
      </c>
      <c r="E3212" t="s">
        <v>45</v>
      </c>
      <c r="F3212" t="s">
        <v>34</v>
      </c>
      <c r="G3212" t="s">
        <v>35</v>
      </c>
      <c r="H3212" t="s">
        <v>47</v>
      </c>
      <c r="I3212" t="s">
        <v>60</v>
      </c>
      <c r="J3212">
        <v>3</v>
      </c>
      <c r="K3212">
        <v>4586000</v>
      </c>
      <c r="L3212" s="2" t="s">
        <v>5433</v>
      </c>
      <c r="M3212" t="s">
        <v>23</v>
      </c>
      <c r="N3212">
        <v>11785000</v>
      </c>
      <c r="O3212">
        <v>4.5</v>
      </c>
      <c r="P3212" t="b">
        <v>0</v>
      </c>
    </row>
    <row r="3213" spans="1:16" x14ac:dyDescent="0.2">
      <c r="A3213" t="s">
        <v>5434</v>
      </c>
      <c r="B3213" s="1">
        <v>45431</v>
      </c>
      <c r="C3213" s="1">
        <v>45483</v>
      </c>
      <c r="D3213" t="s">
        <v>5435</v>
      </c>
      <c r="E3213" t="s">
        <v>45</v>
      </c>
      <c r="F3213" t="s">
        <v>39</v>
      </c>
      <c r="G3213" t="s">
        <v>50</v>
      </c>
      <c r="H3213" t="s">
        <v>21</v>
      </c>
      <c r="I3213" t="s">
        <v>99</v>
      </c>
      <c r="J3213">
        <v>4</v>
      </c>
      <c r="K3213">
        <v>2305000</v>
      </c>
      <c r="L3213">
        <v>7.7726124798847801E-2</v>
      </c>
      <c r="M3213" t="s">
        <v>23</v>
      </c>
      <c r="N3213">
        <v>8503000</v>
      </c>
      <c r="O3213">
        <v>4.9000000000000004</v>
      </c>
      <c r="P3213" t="b">
        <v>0</v>
      </c>
    </row>
    <row r="3214" spans="1:16" x14ac:dyDescent="0.2">
      <c r="A3214" t="s">
        <v>5436</v>
      </c>
      <c r="B3214" s="1">
        <v>45431</v>
      </c>
      <c r="C3214" s="1">
        <v>45454</v>
      </c>
      <c r="D3214" t="s">
        <v>5437</v>
      </c>
      <c r="E3214" t="s">
        <v>33</v>
      </c>
      <c r="F3214" t="s">
        <v>68</v>
      </c>
      <c r="G3214" t="s">
        <v>20</v>
      </c>
      <c r="H3214" t="s">
        <v>21</v>
      </c>
      <c r="I3214" t="s">
        <v>99</v>
      </c>
      <c r="J3214">
        <v>3</v>
      </c>
      <c r="K3214">
        <v>2829000</v>
      </c>
      <c r="L3214" s="2" t="s">
        <v>5438</v>
      </c>
      <c r="M3214" t="s">
        <v>1673</v>
      </c>
      <c r="N3214">
        <v>0</v>
      </c>
      <c r="P3214" t="b">
        <v>0</v>
      </c>
    </row>
    <row r="3215" spans="1:16" x14ac:dyDescent="0.2">
      <c r="A3215" t="s">
        <v>5439</v>
      </c>
      <c r="B3215" s="1">
        <v>45432</v>
      </c>
      <c r="C3215" s="1">
        <v>45547</v>
      </c>
      <c r="D3215" t="s">
        <v>3695</v>
      </c>
      <c r="E3215" t="s">
        <v>45</v>
      </c>
      <c r="F3215" t="s">
        <v>34</v>
      </c>
      <c r="G3215" t="s">
        <v>50</v>
      </c>
      <c r="H3215" t="s">
        <v>21</v>
      </c>
      <c r="I3215" t="s">
        <v>77</v>
      </c>
      <c r="J3215">
        <v>2</v>
      </c>
      <c r="K3215">
        <v>4038000</v>
      </c>
      <c r="L3215" s="2" t="s">
        <v>5440</v>
      </c>
      <c r="M3215" t="s">
        <v>23</v>
      </c>
      <c r="N3215">
        <v>7148000</v>
      </c>
      <c r="O3215">
        <v>4.5</v>
      </c>
      <c r="P3215" t="b">
        <v>1</v>
      </c>
    </row>
    <row r="3216" spans="1:16" x14ac:dyDescent="0.2">
      <c r="A3216" t="s">
        <v>5441</v>
      </c>
      <c r="B3216" s="1">
        <v>45432</v>
      </c>
      <c r="C3216" s="1">
        <v>45519</v>
      </c>
      <c r="D3216" t="s">
        <v>5442</v>
      </c>
      <c r="E3216" t="s">
        <v>18</v>
      </c>
      <c r="F3216" t="s">
        <v>39</v>
      </c>
      <c r="G3216" t="s">
        <v>50</v>
      </c>
      <c r="H3216" t="s">
        <v>21</v>
      </c>
      <c r="I3216" t="s">
        <v>60</v>
      </c>
      <c r="J3216">
        <v>1</v>
      </c>
      <c r="K3216">
        <v>2710000</v>
      </c>
      <c r="L3216">
        <v>5.89560468702722E-2</v>
      </c>
      <c r="M3216" t="s">
        <v>23</v>
      </c>
      <c r="N3216">
        <v>2550000</v>
      </c>
      <c r="O3216">
        <v>4</v>
      </c>
      <c r="P3216" t="b">
        <v>0</v>
      </c>
    </row>
    <row r="3217" spans="1:16" x14ac:dyDescent="0.2">
      <c r="A3217" t="s">
        <v>5443</v>
      </c>
      <c r="B3217" s="1">
        <v>45433</v>
      </c>
      <c r="C3217" s="1">
        <v>45516</v>
      </c>
      <c r="D3217" t="s">
        <v>433</v>
      </c>
      <c r="E3217" t="s">
        <v>18</v>
      </c>
      <c r="F3217" t="s">
        <v>45</v>
      </c>
      <c r="G3217" t="s">
        <v>50</v>
      </c>
      <c r="H3217" t="s">
        <v>40</v>
      </c>
      <c r="I3217" t="s">
        <v>52</v>
      </c>
      <c r="J3217">
        <v>3</v>
      </c>
      <c r="K3217">
        <v>3241000</v>
      </c>
      <c r="L3217">
        <v>8.0430329595509803E-2</v>
      </c>
      <c r="M3217" t="s">
        <v>23</v>
      </c>
      <c r="N3217">
        <v>8941000</v>
      </c>
      <c r="O3217">
        <v>3.6</v>
      </c>
      <c r="P3217" t="b">
        <v>1</v>
      </c>
    </row>
    <row r="3218" spans="1:16" x14ac:dyDescent="0.2">
      <c r="A3218" t="s">
        <v>5444</v>
      </c>
      <c r="B3218" s="1">
        <v>45434</v>
      </c>
      <c r="C3218" s="1">
        <v>45464</v>
      </c>
      <c r="D3218" t="s">
        <v>5134</v>
      </c>
      <c r="E3218" t="s">
        <v>33</v>
      </c>
      <c r="F3218" t="s">
        <v>25</v>
      </c>
      <c r="G3218" t="s">
        <v>20</v>
      </c>
      <c r="H3218" t="s">
        <v>40</v>
      </c>
      <c r="I3218" t="s">
        <v>94</v>
      </c>
      <c r="J3218">
        <v>1</v>
      </c>
      <c r="K3218">
        <v>4977000</v>
      </c>
      <c r="L3218">
        <v>5.1601204709735497E-2</v>
      </c>
      <c r="M3218" t="s">
        <v>23</v>
      </c>
      <c r="N3218">
        <v>4720000</v>
      </c>
      <c r="O3218">
        <v>4.0999999999999996</v>
      </c>
      <c r="P3218" t="b">
        <v>1</v>
      </c>
    </row>
    <row r="3219" spans="1:16" x14ac:dyDescent="0.2">
      <c r="A3219" t="s">
        <v>5445</v>
      </c>
      <c r="B3219" s="1">
        <v>45434</v>
      </c>
      <c r="C3219" s="1">
        <v>45499</v>
      </c>
      <c r="D3219" t="s">
        <v>5446</v>
      </c>
      <c r="E3219" t="s">
        <v>33</v>
      </c>
      <c r="F3219" t="s">
        <v>45</v>
      </c>
      <c r="G3219" t="s">
        <v>50</v>
      </c>
      <c r="H3219" t="s">
        <v>47</v>
      </c>
      <c r="I3219" t="s">
        <v>22</v>
      </c>
      <c r="J3219">
        <v>1</v>
      </c>
      <c r="K3219">
        <v>3294000</v>
      </c>
      <c r="L3219">
        <v>9.0898150561895402E-2</v>
      </c>
      <c r="M3219" t="s">
        <v>23</v>
      </c>
      <c r="N3219">
        <v>2995000</v>
      </c>
      <c r="O3219">
        <v>4.2</v>
      </c>
      <c r="P3219" t="b">
        <v>0</v>
      </c>
    </row>
    <row r="3220" spans="1:16" x14ac:dyDescent="0.2">
      <c r="A3220" t="s">
        <v>5447</v>
      </c>
      <c r="B3220" s="1">
        <v>45434</v>
      </c>
      <c r="C3220" s="1">
        <v>45474</v>
      </c>
      <c r="D3220" t="s">
        <v>2689</v>
      </c>
      <c r="E3220" t="s">
        <v>18</v>
      </c>
      <c r="F3220" t="s">
        <v>34</v>
      </c>
      <c r="G3220" t="s">
        <v>50</v>
      </c>
      <c r="H3220" t="s">
        <v>21</v>
      </c>
      <c r="I3220" t="s">
        <v>52</v>
      </c>
      <c r="J3220">
        <v>4</v>
      </c>
      <c r="K3220">
        <v>3246000</v>
      </c>
      <c r="L3220" s="3">
        <v>0.104</v>
      </c>
      <c r="M3220" t="s">
        <v>23</v>
      </c>
      <c r="N3220">
        <v>11634000</v>
      </c>
      <c r="O3220">
        <v>5</v>
      </c>
      <c r="P3220" t="b">
        <v>1</v>
      </c>
    </row>
    <row r="3221" spans="1:16" x14ac:dyDescent="0.2">
      <c r="A3221" t="s">
        <v>5448</v>
      </c>
      <c r="B3221" s="1">
        <v>45435</v>
      </c>
      <c r="C3221" s="1">
        <v>45498</v>
      </c>
      <c r="D3221" t="s">
        <v>4495</v>
      </c>
      <c r="E3221" t="s">
        <v>45</v>
      </c>
      <c r="F3221" t="s">
        <v>19</v>
      </c>
      <c r="G3221" t="s">
        <v>46</v>
      </c>
      <c r="H3221" t="s">
        <v>21</v>
      </c>
      <c r="I3221" t="s">
        <v>26</v>
      </c>
      <c r="J3221">
        <v>2</v>
      </c>
      <c r="K3221">
        <v>2577000</v>
      </c>
      <c r="L3221" s="2" t="s">
        <v>5449</v>
      </c>
      <c r="M3221" t="s">
        <v>65</v>
      </c>
      <c r="N3221">
        <v>0</v>
      </c>
      <c r="P3221" t="b">
        <v>1</v>
      </c>
    </row>
    <row r="3222" spans="1:16" x14ac:dyDescent="0.2">
      <c r="A3222" t="s">
        <v>5450</v>
      </c>
      <c r="B3222" s="1">
        <v>45436</v>
      </c>
      <c r="C3222" s="1">
        <v>45494</v>
      </c>
      <c r="D3222" t="s">
        <v>2709</v>
      </c>
      <c r="E3222" t="s">
        <v>45</v>
      </c>
      <c r="F3222" t="s">
        <v>34</v>
      </c>
      <c r="G3222" t="s">
        <v>35</v>
      </c>
      <c r="H3222" t="s">
        <v>21</v>
      </c>
      <c r="I3222" t="s">
        <v>60</v>
      </c>
      <c r="J3222">
        <v>2</v>
      </c>
      <c r="K3222">
        <v>4511000</v>
      </c>
      <c r="L3222">
        <v>8.8216481604678307E-2</v>
      </c>
      <c r="M3222" t="s">
        <v>65</v>
      </c>
      <c r="N3222">
        <v>0</v>
      </c>
      <c r="P3222" t="b">
        <v>1</v>
      </c>
    </row>
    <row r="3223" spans="1:16" x14ac:dyDescent="0.2">
      <c r="A3223" t="s">
        <v>5451</v>
      </c>
      <c r="B3223" s="1">
        <v>45436</v>
      </c>
      <c r="C3223" s="1">
        <v>45488</v>
      </c>
      <c r="D3223" t="s">
        <v>5328</v>
      </c>
      <c r="E3223" t="s">
        <v>45</v>
      </c>
      <c r="F3223" t="s">
        <v>25</v>
      </c>
      <c r="G3223" t="s">
        <v>20</v>
      </c>
      <c r="I3223" t="s">
        <v>94</v>
      </c>
      <c r="J3223">
        <v>1</v>
      </c>
      <c r="K3223">
        <v>4576000</v>
      </c>
      <c r="L3223">
        <v>0.159501618198851</v>
      </c>
      <c r="M3223" t="s">
        <v>23</v>
      </c>
      <c r="N3223">
        <v>3846000</v>
      </c>
      <c r="O3223">
        <v>4.4000000000000004</v>
      </c>
      <c r="P3223" t="b">
        <v>1</v>
      </c>
    </row>
    <row r="3224" spans="1:16" x14ac:dyDescent="0.2">
      <c r="A3224" t="s">
        <v>5452</v>
      </c>
      <c r="B3224" s="1">
        <v>45436</v>
      </c>
      <c r="C3224" s="1">
        <v>45494</v>
      </c>
      <c r="D3224" t="s">
        <v>3048</v>
      </c>
      <c r="E3224" t="s">
        <v>33</v>
      </c>
      <c r="F3224" t="s">
        <v>45</v>
      </c>
      <c r="G3224" t="s">
        <v>20</v>
      </c>
      <c r="H3224" t="s">
        <v>47</v>
      </c>
      <c r="I3224" t="s">
        <v>83</v>
      </c>
      <c r="J3224">
        <v>2</v>
      </c>
      <c r="K3224">
        <v>2833000</v>
      </c>
      <c r="L3224">
        <v>5.2128680638389699E-2</v>
      </c>
      <c r="M3224" t="s">
        <v>23</v>
      </c>
      <c r="N3224">
        <v>5371000</v>
      </c>
      <c r="O3224">
        <v>3.8</v>
      </c>
      <c r="P3224" t="b">
        <v>1</v>
      </c>
    </row>
    <row r="3225" spans="1:16" x14ac:dyDescent="0.2">
      <c r="A3225" t="s">
        <v>5453</v>
      </c>
      <c r="B3225" s="1">
        <v>45436</v>
      </c>
      <c r="C3225" s="1">
        <v>45464</v>
      </c>
      <c r="D3225" t="s">
        <v>3387</v>
      </c>
      <c r="E3225" t="s">
        <v>29</v>
      </c>
      <c r="F3225" t="s">
        <v>68</v>
      </c>
      <c r="G3225" t="s">
        <v>20</v>
      </c>
      <c r="H3225" t="s">
        <v>21</v>
      </c>
      <c r="I3225" t="s">
        <v>26</v>
      </c>
      <c r="J3225">
        <v>2</v>
      </c>
      <c r="K3225">
        <v>2855000</v>
      </c>
      <c r="L3225" s="2" t="s">
        <v>5454</v>
      </c>
      <c r="M3225" t="s">
        <v>23</v>
      </c>
      <c r="N3225">
        <v>4859000</v>
      </c>
      <c r="O3225">
        <v>4.0999999999999996</v>
      </c>
      <c r="P3225" t="b">
        <v>1</v>
      </c>
    </row>
    <row r="3226" spans="1:16" x14ac:dyDescent="0.2">
      <c r="A3226" t="s">
        <v>5455</v>
      </c>
      <c r="B3226" s="1">
        <v>45437</v>
      </c>
      <c r="C3226" s="1">
        <v>45440</v>
      </c>
      <c r="D3226" t="s">
        <v>805</v>
      </c>
      <c r="E3226" t="s">
        <v>33</v>
      </c>
      <c r="F3226" t="s">
        <v>68</v>
      </c>
      <c r="H3226" t="s">
        <v>40</v>
      </c>
      <c r="I3226" t="s">
        <v>30</v>
      </c>
      <c r="J3226">
        <v>2</v>
      </c>
      <c r="K3226">
        <v>2401000</v>
      </c>
      <c r="L3226" s="2" t="s">
        <v>5456</v>
      </c>
      <c r="M3226" t="s">
        <v>23</v>
      </c>
      <c r="N3226">
        <v>4110000</v>
      </c>
      <c r="O3226">
        <v>4</v>
      </c>
      <c r="P3226" t="b">
        <v>1</v>
      </c>
    </row>
    <row r="3227" spans="1:16" x14ac:dyDescent="0.2">
      <c r="A3227" t="s">
        <v>5457</v>
      </c>
      <c r="B3227" s="1">
        <v>45440</v>
      </c>
      <c r="C3227" s="1">
        <v>45512</v>
      </c>
      <c r="D3227" t="s">
        <v>1918</v>
      </c>
      <c r="E3227" t="s">
        <v>33</v>
      </c>
      <c r="F3227" t="s">
        <v>19</v>
      </c>
      <c r="G3227" t="s">
        <v>35</v>
      </c>
      <c r="H3227" t="s">
        <v>21</v>
      </c>
      <c r="I3227" t="s">
        <v>77</v>
      </c>
      <c r="J3227">
        <v>2</v>
      </c>
      <c r="K3227">
        <v>3069000</v>
      </c>
      <c r="L3227">
        <v>7.09467645319935E-2</v>
      </c>
      <c r="M3227" t="s">
        <v>23</v>
      </c>
      <c r="N3227">
        <v>5703000</v>
      </c>
      <c r="O3227">
        <v>3.8</v>
      </c>
      <c r="P3227" t="b">
        <v>1</v>
      </c>
    </row>
    <row r="3228" spans="1:16" x14ac:dyDescent="0.2">
      <c r="A3228" t="s">
        <v>5458</v>
      </c>
      <c r="B3228" s="1">
        <v>45440</v>
      </c>
      <c r="C3228" s="1">
        <v>45550</v>
      </c>
      <c r="D3228" t="s">
        <v>2434</v>
      </c>
      <c r="E3228" t="s">
        <v>18</v>
      </c>
      <c r="F3228" t="s">
        <v>19</v>
      </c>
      <c r="G3228" t="s">
        <v>20</v>
      </c>
      <c r="H3228" t="s">
        <v>40</v>
      </c>
      <c r="I3228" t="s">
        <v>52</v>
      </c>
      <c r="J3228">
        <v>3</v>
      </c>
      <c r="K3228">
        <v>2272000</v>
      </c>
      <c r="L3228" s="2" t="s">
        <v>5459</v>
      </c>
      <c r="M3228" t="s">
        <v>23</v>
      </c>
      <c r="N3228">
        <v>5903000</v>
      </c>
      <c r="O3228">
        <v>4.2</v>
      </c>
      <c r="P3228" t="b">
        <v>1</v>
      </c>
    </row>
    <row r="3229" spans="1:16" x14ac:dyDescent="0.2">
      <c r="A3229" t="s">
        <v>5460</v>
      </c>
      <c r="B3229" s="1">
        <v>45441</v>
      </c>
      <c r="C3229" s="1">
        <v>45522</v>
      </c>
      <c r="D3229" t="s">
        <v>5461</v>
      </c>
      <c r="E3229" t="s">
        <v>18</v>
      </c>
      <c r="F3229" t="s">
        <v>34</v>
      </c>
      <c r="G3229" t="s">
        <v>20</v>
      </c>
      <c r="H3229" t="s">
        <v>47</v>
      </c>
      <c r="I3229" t="s">
        <v>57</v>
      </c>
      <c r="J3229">
        <v>2</v>
      </c>
      <c r="K3229">
        <v>4827000</v>
      </c>
      <c r="L3229" s="2" t="s">
        <v>5462</v>
      </c>
      <c r="M3229" t="s">
        <v>23</v>
      </c>
      <c r="N3229">
        <v>8626000</v>
      </c>
      <c r="O3229">
        <v>4</v>
      </c>
      <c r="P3229" t="b">
        <v>0</v>
      </c>
    </row>
    <row r="3230" spans="1:16" x14ac:dyDescent="0.2">
      <c r="A3230" t="s">
        <v>5463</v>
      </c>
      <c r="B3230" s="1">
        <v>45441</v>
      </c>
      <c r="C3230" s="1">
        <v>45441</v>
      </c>
      <c r="D3230" t="s">
        <v>632</v>
      </c>
      <c r="E3230" t="s">
        <v>18</v>
      </c>
      <c r="F3230" t="s">
        <v>19</v>
      </c>
      <c r="G3230" t="s">
        <v>50</v>
      </c>
      <c r="H3230" t="s">
        <v>21</v>
      </c>
      <c r="I3230" t="s">
        <v>52</v>
      </c>
      <c r="J3230">
        <v>1</v>
      </c>
      <c r="K3230">
        <v>2329000</v>
      </c>
      <c r="L3230">
        <v>7.8390597815222895E-2</v>
      </c>
      <c r="M3230" t="s">
        <v>23</v>
      </c>
      <c r="N3230">
        <v>2146000</v>
      </c>
      <c r="O3230">
        <v>4.5999999999999996</v>
      </c>
      <c r="P3230" t="b">
        <v>1</v>
      </c>
    </row>
    <row r="3231" spans="1:16" x14ac:dyDescent="0.2">
      <c r="A3231" t="s">
        <v>5464</v>
      </c>
      <c r="B3231" s="1">
        <v>45441</v>
      </c>
      <c r="C3231" s="1">
        <v>45441</v>
      </c>
      <c r="D3231" t="s">
        <v>390</v>
      </c>
      <c r="E3231" t="s">
        <v>33</v>
      </c>
      <c r="F3231" t="s">
        <v>25</v>
      </c>
      <c r="G3231" t="s">
        <v>35</v>
      </c>
      <c r="H3231" t="s">
        <v>21</v>
      </c>
      <c r="I3231" t="s">
        <v>57</v>
      </c>
      <c r="J3231">
        <v>4</v>
      </c>
      <c r="K3231">
        <v>4879000</v>
      </c>
      <c r="L3231" s="2" t="s">
        <v>5465</v>
      </c>
      <c r="M3231" t="s">
        <v>23</v>
      </c>
      <c r="N3231">
        <v>17491000</v>
      </c>
      <c r="O3231">
        <v>5</v>
      </c>
      <c r="P3231" t="b">
        <v>1</v>
      </c>
    </row>
    <row r="3232" spans="1:16" x14ac:dyDescent="0.2">
      <c r="A3232" t="s">
        <v>5466</v>
      </c>
      <c r="B3232" s="1">
        <v>45442</v>
      </c>
      <c r="C3232" s="1">
        <v>45502</v>
      </c>
      <c r="D3232" t="s">
        <v>4566</v>
      </c>
      <c r="E3232" t="s">
        <v>33</v>
      </c>
      <c r="F3232" t="s">
        <v>25</v>
      </c>
      <c r="G3232" t="s">
        <v>20</v>
      </c>
      <c r="H3232" t="s">
        <v>21</v>
      </c>
      <c r="I3232" t="s">
        <v>83</v>
      </c>
      <c r="J3232">
        <v>1</v>
      </c>
      <c r="K3232">
        <v>5076000</v>
      </c>
      <c r="L3232" s="2" t="s">
        <v>5467</v>
      </c>
      <c r="M3232" t="s">
        <v>23</v>
      </c>
      <c r="N3232">
        <v>4764000</v>
      </c>
      <c r="O3232">
        <v>4.9000000000000004</v>
      </c>
      <c r="P3232" t="b">
        <v>1</v>
      </c>
    </row>
    <row r="3233" spans="1:16" x14ac:dyDescent="0.2">
      <c r="A3233" t="s">
        <v>5468</v>
      </c>
      <c r="B3233" s="1">
        <v>45442</v>
      </c>
      <c r="C3233" s="1">
        <v>45474</v>
      </c>
      <c r="D3233" t="s">
        <v>5469</v>
      </c>
      <c r="E3233" t="s">
        <v>33</v>
      </c>
      <c r="F3233" t="s">
        <v>68</v>
      </c>
      <c r="G3233" t="s">
        <v>35</v>
      </c>
      <c r="H3233" t="s">
        <v>47</v>
      </c>
      <c r="I3233" t="s">
        <v>26</v>
      </c>
      <c r="J3233">
        <v>2</v>
      </c>
      <c r="K3233">
        <v>2897000</v>
      </c>
      <c r="L3233">
        <v>9.0942337796275002E-2</v>
      </c>
      <c r="M3233" t="s">
        <v>23</v>
      </c>
      <c r="N3233">
        <v>5267000</v>
      </c>
      <c r="O3233">
        <v>4.3</v>
      </c>
      <c r="P3233" t="b">
        <v>0</v>
      </c>
    </row>
    <row r="3234" spans="1:16" x14ac:dyDescent="0.2">
      <c r="A3234" t="s">
        <v>5470</v>
      </c>
      <c r="B3234" s="1">
        <v>45443</v>
      </c>
      <c r="C3234" s="1">
        <v>45523</v>
      </c>
      <c r="D3234" t="s">
        <v>5471</v>
      </c>
      <c r="E3234" t="s">
        <v>33</v>
      </c>
      <c r="F3234" t="s">
        <v>68</v>
      </c>
      <c r="G3234" t="s">
        <v>50</v>
      </c>
      <c r="H3234" t="s">
        <v>51</v>
      </c>
      <c r="I3234" t="s">
        <v>26</v>
      </c>
      <c r="J3234">
        <v>1</v>
      </c>
      <c r="K3234">
        <v>2829000</v>
      </c>
      <c r="L3234">
        <v>8.7899944019559403E-2</v>
      </c>
      <c r="M3234" t="s">
        <v>23</v>
      </c>
      <c r="N3234">
        <v>2580000</v>
      </c>
      <c r="O3234">
        <v>3.7</v>
      </c>
      <c r="P3234" t="b">
        <v>0</v>
      </c>
    </row>
    <row r="3235" spans="1:16" x14ac:dyDescent="0.2">
      <c r="A3235" t="s">
        <v>5472</v>
      </c>
      <c r="B3235" s="1">
        <v>45443</v>
      </c>
      <c r="C3235" s="1">
        <v>45487</v>
      </c>
      <c r="D3235" t="s">
        <v>5473</v>
      </c>
      <c r="E3235" t="s">
        <v>18</v>
      </c>
      <c r="F3235" t="s">
        <v>25</v>
      </c>
      <c r="G3235" t="s">
        <v>20</v>
      </c>
      <c r="H3235" t="s">
        <v>51</v>
      </c>
      <c r="I3235" t="s">
        <v>77</v>
      </c>
      <c r="J3235">
        <v>5</v>
      </c>
      <c r="K3235">
        <v>6240000</v>
      </c>
      <c r="L3235">
        <v>5.5405614529418903E-2</v>
      </c>
      <c r="M3235" t="s">
        <v>23</v>
      </c>
      <c r="N3235">
        <v>29471000</v>
      </c>
      <c r="O3235">
        <v>3.7</v>
      </c>
      <c r="P3235" t="b">
        <v>0</v>
      </c>
    </row>
    <row r="3236" spans="1:16" x14ac:dyDescent="0.2">
      <c r="A3236" t="s">
        <v>5474</v>
      </c>
      <c r="B3236" s="1">
        <v>45444</v>
      </c>
      <c r="C3236" s="1">
        <v>45471</v>
      </c>
      <c r="D3236" t="s">
        <v>332</v>
      </c>
      <c r="E3236" t="s">
        <v>45</v>
      </c>
      <c r="F3236" t="s">
        <v>34</v>
      </c>
      <c r="G3236" t="s">
        <v>50</v>
      </c>
      <c r="H3236" t="s">
        <v>21</v>
      </c>
      <c r="I3236" t="s">
        <v>57</v>
      </c>
      <c r="J3236">
        <v>2</v>
      </c>
      <c r="K3236">
        <v>4207000</v>
      </c>
      <c r="L3236">
        <v>8.4984961344815702E-2</v>
      </c>
      <c r="M3236" t="s">
        <v>23</v>
      </c>
      <c r="N3236">
        <v>7699000</v>
      </c>
      <c r="O3236">
        <v>4.4000000000000004</v>
      </c>
      <c r="P3236" t="b">
        <v>1</v>
      </c>
    </row>
    <row r="3237" spans="1:16" x14ac:dyDescent="0.2">
      <c r="A3237" t="s">
        <v>5475</v>
      </c>
      <c r="B3237" s="1">
        <v>45444</v>
      </c>
      <c r="C3237" s="1">
        <v>45478</v>
      </c>
      <c r="D3237" t="s">
        <v>271</v>
      </c>
      <c r="E3237" t="s">
        <v>33</v>
      </c>
      <c r="F3237" t="s">
        <v>19</v>
      </c>
      <c r="G3237" t="s">
        <v>35</v>
      </c>
      <c r="H3237" t="s">
        <v>21</v>
      </c>
      <c r="I3237" t="s">
        <v>94</v>
      </c>
      <c r="J3237">
        <v>1</v>
      </c>
      <c r="K3237">
        <v>2904000</v>
      </c>
      <c r="L3237" s="2" t="s">
        <v>5476</v>
      </c>
      <c r="M3237" t="s">
        <v>23</v>
      </c>
      <c r="N3237">
        <v>2487000</v>
      </c>
      <c r="O3237">
        <v>3.6</v>
      </c>
      <c r="P3237" t="b">
        <v>1</v>
      </c>
    </row>
    <row r="3238" spans="1:16" x14ac:dyDescent="0.2">
      <c r="A3238" t="s">
        <v>5477</v>
      </c>
      <c r="B3238" s="1">
        <v>45444</v>
      </c>
      <c r="C3238" s="1">
        <v>45502</v>
      </c>
      <c r="D3238" t="s">
        <v>5478</v>
      </c>
      <c r="E3238" t="s">
        <v>45</v>
      </c>
      <c r="F3238" t="s">
        <v>68</v>
      </c>
      <c r="G3238" t="s">
        <v>20</v>
      </c>
      <c r="I3238" t="s">
        <v>1978</v>
      </c>
      <c r="J3238">
        <v>2</v>
      </c>
      <c r="K3238">
        <v>2756000</v>
      </c>
      <c r="L3238">
        <v>9.9268066068686503E-2</v>
      </c>
      <c r="M3238" t="s">
        <v>23</v>
      </c>
      <c r="N3238">
        <v>4965000</v>
      </c>
      <c r="O3238">
        <v>3.9</v>
      </c>
      <c r="P3238" t="b">
        <v>0</v>
      </c>
    </row>
    <row r="3239" spans="1:16" x14ac:dyDescent="0.2">
      <c r="A3239" t="s">
        <v>5479</v>
      </c>
      <c r="B3239" s="1">
        <v>45444</v>
      </c>
      <c r="C3239" s="1">
        <v>45490</v>
      </c>
      <c r="D3239" t="s">
        <v>4954</v>
      </c>
      <c r="E3239" t="s">
        <v>45</v>
      </c>
      <c r="F3239" t="s">
        <v>25</v>
      </c>
      <c r="G3239" t="s">
        <v>50</v>
      </c>
      <c r="H3239" t="s">
        <v>21</v>
      </c>
      <c r="I3239" t="s">
        <v>22</v>
      </c>
      <c r="J3239">
        <v>2</v>
      </c>
      <c r="K3239">
        <v>4994000</v>
      </c>
      <c r="L3239" s="3">
        <v>7.9000000000000001E-2</v>
      </c>
      <c r="M3239" t="s">
        <v>65</v>
      </c>
      <c r="N3239">
        <v>0</v>
      </c>
      <c r="P3239" t="b">
        <v>1</v>
      </c>
    </row>
    <row r="3240" spans="1:16" x14ac:dyDescent="0.2">
      <c r="A3240" t="s">
        <v>5480</v>
      </c>
      <c r="B3240" s="1">
        <v>45444</v>
      </c>
      <c r="C3240" s="1">
        <v>45444</v>
      </c>
      <c r="D3240" t="s">
        <v>302</v>
      </c>
      <c r="E3240" t="s">
        <v>45</v>
      </c>
      <c r="F3240" t="s">
        <v>19</v>
      </c>
      <c r="G3240" t="s">
        <v>50</v>
      </c>
      <c r="H3240" t="s">
        <v>47</v>
      </c>
      <c r="I3240" t="s">
        <v>30</v>
      </c>
      <c r="J3240">
        <v>2</v>
      </c>
      <c r="K3240">
        <v>2454000</v>
      </c>
      <c r="L3240">
        <v>7.6133381624196694E-2</v>
      </c>
      <c r="M3240" t="s">
        <v>23</v>
      </c>
      <c r="N3240">
        <v>4534000</v>
      </c>
      <c r="O3240">
        <v>4.7</v>
      </c>
      <c r="P3240" t="b">
        <v>1</v>
      </c>
    </row>
    <row r="3241" spans="1:16" x14ac:dyDescent="0.2">
      <c r="A3241" t="s">
        <v>5481</v>
      </c>
      <c r="B3241" s="1">
        <v>45445</v>
      </c>
      <c r="C3241" s="1">
        <v>45527</v>
      </c>
      <c r="D3241" t="s">
        <v>5482</v>
      </c>
      <c r="E3241" t="s">
        <v>45</v>
      </c>
      <c r="F3241" t="s">
        <v>45</v>
      </c>
      <c r="G3241" t="s">
        <v>50</v>
      </c>
      <c r="H3241" t="s">
        <v>47</v>
      </c>
      <c r="I3241" t="s">
        <v>22</v>
      </c>
      <c r="J3241">
        <v>3</v>
      </c>
      <c r="K3241">
        <v>3166000</v>
      </c>
      <c r="L3241" s="2" t="s">
        <v>5483</v>
      </c>
      <c r="M3241" t="s">
        <v>23</v>
      </c>
      <c r="N3241">
        <v>8984000</v>
      </c>
      <c r="O3241">
        <v>3.6</v>
      </c>
      <c r="P3241" t="b">
        <v>0</v>
      </c>
    </row>
    <row r="3242" spans="1:16" x14ac:dyDescent="0.2">
      <c r="A3242" t="s">
        <v>5484</v>
      </c>
      <c r="B3242" s="1">
        <v>45446</v>
      </c>
      <c r="C3242" s="1">
        <v>45533</v>
      </c>
      <c r="D3242" t="s">
        <v>5485</v>
      </c>
      <c r="E3242" t="s">
        <v>33</v>
      </c>
      <c r="F3242" t="s">
        <v>19</v>
      </c>
      <c r="G3242" t="s">
        <v>20</v>
      </c>
      <c r="H3242" t="s">
        <v>21</v>
      </c>
      <c r="I3242" t="s">
        <v>30</v>
      </c>
      <c r="J3242">
        <v>4</v>
      </c>
      <c r="K3242">
        <v>2538000</v>
      </c>
      <c r="L3242">
        <v>8.0674617780562896E-2</v>
      </c>
      <c r="M3242" t="s">
        <v>23</v>
      </c>
      <c r="N3242">
        <v>9333000</v>
      </c>
      <c r="O3242">
        <v>4.2</v>
      </c>
      <c r="P3242" t="b">
        <v>0</v>
      </c>
    </row>
    <row r="3243" spans="1:16" x14ac:dyDescent="0.2">
      <c r="A3243" t="s">
        <v>5486</v>
      </c>
      <c r="B3243" s="1">
        <v>45446</v>
      </c>
      <c r="C3243" s="1">
        <v>45478</v>
      </c>
      <c r="D3243" t="s">
        <v>3643</v>
      </c>
      <c r="E3243" t="s">
        <v>45</v>
      </c>
      <c r="F3243" t="s">
        <v>39</v>
      </c>
      <c r="G3243" t="s">
        <v>35</v>
      </c>
      <c r="H3243" t="s">
        <v>21</v>
      </c>
      <c r="I3243" t="s">
        <v>60</v>
      </c>
      <c r="J3243">
        <v>2</v>
      </c>
      <c r="K3243">
        <v>2709000</v>
      </c>
      <c r="L3243">
        <v>6.5032906066520998E-2</v>
      </c>
      <c r="M3243" t="s">
        <v>23</v>
      </c>
      <c r="N3243">
        <v>5066000</v>
      </c>
      <c r="O3243">
        <v>4.3</v>
      </c>
      <c r="P3243" t="b">
        <v>1</v>
      </c>
    </row>
    <row r="3244" spans="1:16" x14ac:dyDescent="0.2">
      <c r="A3244" t="s">
        <v>5487</v>
      </c>
      <c r="B3244" s="1">
        <v>45447</v>
      </c>
      <c r="C3244" s="1">
        <v>45556</v>
      </c>
      <c r="D3244" t="s">
        <v>4230</v>
      </c>
      <c r="E3244" t="s">
        <v>45</v>
      </c>
      <c r="F3244" t="s">
        <v>25</v>
      </c>
      <c r="G3244" t="s">
        <v>20</v>
      </c>
      <c r="H3244" t="s">
        <v>21</v>
      </c>
      <c r="I3244" t="s">
        <v>99</v>
      </c>
      <c r="J3244">
        <v>1</v>
      </c>
      <c r="K3244">
        <v>4508000</v>
      </c>
      <c r="L3244" s="3">
        <v>0.106</v>
      </c>
      <c r="M3244" t="s">
        <v>23</v>
      </c>
      <c r="N3244">
        <v>4028000</v>
      </c>
      <c r="O3244">
        <v>4.3</v>
      </c>
      <c r="P3244" t="b">
        <v>1</v>
      </c>
    </row>
    <row r="3245" spans="1:16" x14ac:dyDescent="0.2">
      <c r="A3245" t="s">
        <v>5488</v>
      </c>
      <c r="B3245" s="1">
        <v>45447</v>
      </c>
      <c r="C3245" s="1">
        <v>45506</v>
      </c>
      <c r="D3245" t="s">
        <v>821</v>
      </c>
      <c r="E3245" t="s">
        <v>18</v>
      </c>
      <c r="F3245" t="s">
        <v>19</v>
      </c>
      <c r="G3245" t="s">
        <v>35</v>
      </c>
      <c r="H3245" t="s">
        <v>21</v>
      </c>
      <c r="I3245" t="s">
        <v>22</v>
      </c>
      <c r="J3245">
        <v>1</v>
      </c>
      <c r="K3245">
        <v>2414000</v>
      </c>
      <c r="L3245">
        <v>9.0476757365841501E-2</v>
      </c>
      <c r="M3245" t="s">
        <v>23</v>
      </c>
      <c r="N3245">
        <v>2196000</v>
      </c>
      <c r="O3245">
        <v>4.7</v>
      </c>
      <c r="P3245" t="b">
        <v>1</v>
      </c>
    </row>
    <row r="3246" spans="1:16" x14ac:dyDescent="0.2">
      <c r="A3246" t="s">
        <v>5489</v>
      </c>
      <c r="B3246" s="1">
        <v>45447</v>
      </c>
      <c r="C3246" s="1">
        <v>45467</v>
      </c>
      <c r="D3246" t="s">
        <v>251</v>
      </c>
      <c r="E3246" t="s">
        <v>45</v>
      </c>
      <c r="F3246" t="s">
        <v>45</v>
      </c>
      <c r="G3246" t="s">
        <v>20</v>
      </c>
      <c r="I3246" t="s">
        <v>30</v>
      </c>
      <c r="J3246">
        <v>4</v>
      </c>
      <c r="K3246">
        <v>3645000</v>
      </c>
      <c r="L3246" s="2" t="s">
        <v>5490</v>
      </c>
      <c r="M3246" t="s">
        <v>23</v>
      </c>
      <c r="N3246">
        <v>12743000</v>
      </c>
      <c r="O3246">
        <v>4.5999999999999996</v>
      </c>
      <c r="P3246" t="b">
        <v>1</v>
      </c>
    </row>
    <row r="3247" spans="1:16" x14ac:dyDescent="0.2">
      <c r="A3247" t="s">
        <v>5491</v>
      </c>
      <c r="B3247" s="1">
        <v>45447</v>
      </c>
      <c r="C3247" s="1">
        <v>45456</v>
      </c>
      <c r="D3247" t="s">
        <v>3618</v>
      </c>
      <c r="E3247" t="s">
        <v>29</v>
      </c>
      <c r="F3247" t="s">
        <v>19</v>
      </c>
      <c r="G3247" t="s">
        <v>50</v>
      </c>
      <c r="H3247" t="s">
        <v>21</v>
      </c>
      <c r="I3247" t="s">
        <v>60</v>
      </c>
      <c r="J3247">
        <v>2</v>
      </c>
      <c r="K3247">
        <v>2999000</v>
      </c>
      <c r="L3247" s="2" t="s">
        <v>5492</v>
      </c>
      <c r="M3247" t="s">
        <v>23</v>
      </c>
      <c r="N3247">
        <v>5335000</v>
      </c>
      <c r="O3247">
        <v>4.4000000000000004</v>
      </c>
      <c r="P3247" t="b">
        <v>1</v>
      </c>
    </row>
    <row r="3248" spans="1:16" x14ac:dyDescent="0.2">
      <c r="A3248" t="s">
        <v>5493</v>
      </c>
      <c r="B3248" s="1">
        <v>45447</v>
      </c>
      <c r="C3248" s="1">
        <v>45530</v>
      </c>
      <c r="D3248" t="s">
        <v>5494</v>
      </c>
      <c r="E3248" t="s">
        <v>45</v>
      </c>
      <c r="F3248" t="s">
        <v>34</v>
      </c>
      <c r="G3248" t="s">
        <v>20</v>
      </c>
      <c r="H3248" t="s">
        <v>21</v>
      </c>
      <c r="J3248">
        <v>3</v>
      </c>
      <c r="K3248">
        <v>4285000</v>
      </c>
      <c r="L3248" s="2" t="s">
        <v>5495</v>
      </c>
      <c r="M3248" t="s">
        <v>23</v>
      </c>
      <c r="N3248">
        <v>10555000</v>
      </c>
      <c r="O3248">
        <v>4.5999999999999996</v>
      </c>
      <c r="P3248" t="b">
        <v>0</v>
      </c>
    </row>
    <row r="3249" spans="1:16" x14ac:dyDescent="0.2">
      <c r="A3249" t="s">
        <v>5496</v>
      </c>
      <c r="B3249" s="1">
        <v>45447</v>
      </c>
      <c r="C3249" s="1">
        <v>45507</v>
      </c>
      <c r="D3249" t="s">
        <v>5497</v>
      </c>
      <c r="E3249" t="s">
        <v>45</v>
      </c>
      <c r="F3249" t="s">
        <v>45</v>
      </c>
      <c r="G3249" t="s">
        <v>50</v>
      </c>
      <c r="H3249" t="s">
        <v>21</v>
      </c>
      <c r="I3249" t="s">
        <v>94</v>
      </c>
      <c r="J3249">
        <v>2</v>
      </c>
      <c r="K3249">
        <v>3418000</v>
      </c>
      <c r="L3249" s="2" t="s">
        <v>5498</v>
      </c>
      <c r="M3249" t="s">
        <v>65</v>
      </c>
      <c r="N3249">
        <v>0</v>
      </c>
      <c r="P3249" t="b">
        <v>0</v>
      </c>
    </row>
    <row r="3250" spans="1:16" x14ac:dyDescent="0.2">
      <c r="A3250" t="s">
        <v>5499</v>
      </c>
      <c r="B3250" s="1">
        <v>45448</v>
      </c>
      <c r="C3250" s="1">
        <v>45514</v>
      </c>
      <c r="D3250" t="s">
        <v>1732</v>
      </c>
      <c r="E3250" t="s">
        <v>45</v>
      </c>
      <c r="F3250" t="s">
        <v>25</v>
      </c>
      <c r="G3250" t="s">
        <v>20</v>
      </c>
      <c r="H3250" t="s">
        <v>40</v>
      </c>
      <c r="I3250" t="s">
        <v>83</v>
      </c>
      <c r="J3250">
        <v>2</v>
      </c>
      <c r="K3250">
        <v>5329000</v>
      </c>
      <c r="L3250" s="2" t="s">
        <v>5500</v>
      </c>
      <c r="M3250" t="s">
        <v>23</v>
      </c>
      <c r="N3250">
        <v>9074000</v>
      </c>
      <c r="O3250">
        <v>4</v>
      </c>
      <c r="P3250" t="b">
        <v>1</v>
      </c>
    </row>
    <row r="3251" spans="1:16" x14ac:dyDescent="0.2">
      <c r="A3251" t="s">
        <v>5501</v>
      </c>
      <c r="B3251" s="1">
        <v>45448</v>
      </c>
      <c r="C3251" s="1">
        <v>45496</v>
      </c>
      <c r="D3251" t="s">
        <v>5502</v>
      </c>
      <c r="E3251" t="s">
        <v>18</v>
      </c>
      <c r="F3251" t="s">
        <v>39</v>
      </c>
      <c r="G3251" t="s">
        <v>20</v>
      </c>
      <c r="H3251" t="s">
        <v>40</v>
      </c>
      <c r="I3251" t="s">
        <v>4200</v>
      </c>
      <c r="J3251">
        <v>3</v>
      </c>
      <c r="K3251">
        <v>2752000</v>
      </c>
      <c r="L3251">
        <v>9.5602358269596899E-2</v>
      </c>
      <c r="M3251" t="s">
        <v>23</v>
      </c>
      <c r="N3251">
        <v>7467000</v>
      </c>
      <c r="O3251">
        <v>5</v>
      </c>
      <c r="P3251" t="b">
        <v>0</v>
      </c>
    </row>
    <row r="3252" spans="1:16" x14ac:dyDescent="0.2">
      <c r="A3252" t="s">
        <v>5503</v>
      </c>
      <c r="B3252" s="1">
        <v>45448</v>
      </c>
      <c r="C3252" s="1">
        <v>45519</v>
      </c>
      <c r="D3252" t="s">
        <v>1925</v>
      </c>
      <c r="E3252" t="s">
        <v>33</v>
      </c>
      <c r="F3252" t="s">
        <v>34</v>
      </c>
      <c r="G3252" t="s">
        <v>50</v>
      </c>
      <c r="H3252" t="s">
        <v>21</v>
      </c>
      <c r="I3252" t="s">
        <v>60</v>
      </c>
      <c r="J3252">
        <v>3</v>
      </c>
      <c r="K3252">
        <v>4635000</v>
      </c>
      <c r="L3252" s="2" t="s">
        <v>5504</v>
      </c>
      <c r="M3252" t="s">
        <v>23</v>
      </c>
      <c r="N3252">
        <v>12111000</v>
      </c>
      <c r="O3252">
        <v>4.0999999999999996</v>
      </c>
      <c r="P3252" t="b">
        <v>1</v>
      </c>
    </row>
    <row r="3253" spans="1:16" x14ac:dyDescent="0.2">
      <c r="A3253" t="s">
        <v>5505</v>
      </c>
      <c r="B3253" s="1">
        <v>45449</v>
      </c>
      <c r="C3253" s="1">
        <v>45473</v>
      </c>
      <c r="D3253" t="s">
        <v>5506</v>
      </c>
      <c r="E3253" t="s">
        <v>29</v>
      </c>
      <c r="F3253" t="s">
        <v>34</v>
      </c>
      <c r="H3253" t="s">
        <v>21</v>
      </c>
      <c r="I3253" t="s">
        <v>83</v>
      </c>
      <c r="J3253">
        <v>1</v>
      </c>
      <c r="K3253">
        <v>4023000</v>
      </c>
      <c r="L3253" s="2" t="s">
        <v>5507</v>
      </c>
      <c r="M3253" t="s">
        <v>23</v>
      </c>
      <c r="N3253">
        <v>3536000</v>
      </c>
      <c r="O3253">
        <v>3.7</v>
      </c>
      <c r="P3253" t="b">
        <v>0</v>
      </c>
    </row>
    <row r="3254" spans="1:16" x14ac:dyDescent="0.2">
      <c r="A3254" t="s">
        <v>5508</v>
      </c>
      <c r="B3254" s="1">
        <v>45449</v>
      </c>
      <c r="C3254" s="1">
        <v>45496</v>
      </c>
      <c r="D3254" t="s">
        <v>287</v>
      </c>
      <c r="E3254" t="s">
        <v>33</v>
      </c>
      <c r="F3254" t="s">
        <v>19</v>
      </c>
      <c r="G3254" t="s">
        <v>35</v>
      </c>
      <c r="H3254" t="s">
        <v>40</v>
      </c>
      <c r="I3254" t="s">
        <v>57</v>
      </c>
      <c r="J3254">
        <v>2</v>
      </c>
      <c r="K3254">
        <v>3302000</v>
      </c>
      <c r="L3254">
        <v>8.66321084519735E-2</v>
      </c>
      <c r="M3254" t="s">
        <v>23</v>
      </c>
      <c r="N3254">
        <v>6032000</v>
      </c>
      <c r="O3254">
        <v>4.4000000000000004</v>
      </c>
      <c r="P3254" t="b">
        <v>1</v>
      </c>
    </row>
    <row r="3255" spans="1:16" x14ac:dyDescent="0.2">
      <c r="A3255" t="s">
        <v>5509</v>
      </c>
      <c r="B3255" s="1">
        <v>45450</v>
      </c>
      <c r="C3255" s="1">
        <v>45464</v>
      </c>
      <c r="D3255" t="s">
        <v>410</v>
      </c>
      <c r="E3255" t="s">
        <v>18</v>
      </c>
      <c r="F3255" t="s">
        <v>19</v>
      </c>
      <c r="G3255" t="s">
        <v>50</v>
      </c>
      <c r="H3255" t="s">
        <v>21</v>
      </c>
      <c r="I3255" t="s">
        <v>94</v>
      </c>
      <c r="J3255">
        <v>2</v>
      </c>
      <c r="K3255">
        <v>2903000</v>
      </c>
      <c r="L3255">
        <v>6.7376687997973195E-2</v>
      </c>
      <c r="M3255" t="s">
        <v>23</v>
      </c>
      <c r="N3255">
        <v>5415000</v>
      </c>
      <c r="O3255">
        <v>4.5</v>
      </c>
      <c r="P3255" t="b">
        <v>1</v>
      </c>
    </row>
    <row r="3256" spans="1:16" x14ac:dyDescent="0.2">
      <c r="A3256" t="s">
        <v>5510</v>
      </c>
      <c r="B3256" s="1">
        <v>45450</v>
      </c>
      <c r="C3256" s="1">
        <v>45537</v>
      </c>
      <c r="D3256" t="s">
        <v>4658</v>
      </c>
      <c r="E3256" t="s">
        <v>45</v>
      </c>
      <c r="F3256" t="s">
        <v>34</v>
      </c>
      <c r="G3256" t="s">
        <v>35</v>
      </c>
      <c r="H3256" t="s">
        <v>21</v>
      </c>
      <c r="I3256" t="s">
        <v>30</v>
      </c>
      <c r="J3256">
        <v>1</v>
      </c>
      <c r="K3256">
        <v>3591000</v>
      </c>
      <c r="L3256">
        <v>9.6142955458302606E-2</v>
      </c>
      <c r="M3256" t="s">
        <v>23</v>
      </c>
      <c r="N3256">
        <v>3246000</v>
      </c>
      <c r="O3256">
        <v>3.8</v>
      </c>
      <c r="P3256" t="b">
        <v>1</v>
      </c>
    </row>
    <row r="3257" spans="1:16" x14ac:dyDescent="0.2">
      <c r="A3257" t="s">
        <v>5511</v>
      </c>
      <c r="B3257" s="1">
        <v>45450</v>
      </c>
      <c r="C3257" s="1">
        <v>45479</v>
      </c>
      <c r="D3257" t="s">
        <v>72</v>
      </c>
      <c r="E3257" t="s">
        <v>18</v>
      </c>
      <c r="F3257" t="s">
        <v>19</v>
      </c>
      <c r="G3257" t="s">
        <v>46</v>
      </c>
      <c r="H3257" t="s">
        <v>21</v>
      </c>
      <c r="I3257" t="s">
        <v>52</v>
      </c>
      <c r="J3257">
        <v>5</v>
      </c>
      <c r="K3257">
        <v>2936000</v>
      </c>
      <c r="L3257" s="2" t="s">
        <v>5512</v>
      </c>
      <c r="M3257" t="s">
        <v>23</v>
      </c>
      <c r="N3257">
        <v>14064000</v>
      </c>
      <c r="O3257">
        <v>3.6</v>
      </c>
      <c r="P3257" t="b">
        <v>1</v>
      </c>
    </row>
    <row r="3258" spans="1:16" x14ac:dyDescent="0.2">
      <c r="A3258" t="s">
        <v>5513</v>
      </c>
      <c r="B3258" s="1">
        <v>45450</v>
      </c>
      <c r="C3258" s="1">
        <v>45517</v>
      </c>
      <c r="D3258" t="s">
        <v>419</v>
      </c>
      <c r="E3258" t="s">
        <v>33</v>
      </c>
      <c r="F3258" t="s">
        <v>19</v>
      </c>
      <c r="G3258" t="s">
        <v>20</v>
      </c>
      <c r="I3258" t="s">
        <v>26</v>
      </c>
      <c r="J3258">
        <v>2</v>
      </c>
      <c r="K3258">
        <v>2794000</v>
      </c>
      <c r="L3258">
        <v>8.8812369859807005E-2</v>
      </c>
      <c r="M3258" t="s">
        <v>65</v>
      </c>
      <c r="N3258">
        <v>0</v>
      </c>
      <c r="P3258" t="b">
        <v>1</v>
      </c>
    </row>
    <row r="3259" spans="1:16" x14ac:dyDescent="0.2">
      <c r="A3259" t="s">
        <v>5514</v>
      </c>
      <c r="B3259" s="1">
        <v>45450</v>
      </c>
      <c r="C3259" s="1">
        <v>45510</v>
      </c>
      <c r="D3259" t="s">
        <v>522</v>
      </c>
      <c r="E3259" t="s">
        <v>18</v>
      </c>
      <c r="F3259" t="s">
        <v>34</v>
      </c>
      <c r="G3259" t="s">
        <v>46</v>
      </c>
      <c r="H3259" t="s">
        <v>21</v>
      </c>
      <c r="I3259" t="s">
        <v>22</v>
      </c>
      <c r="J3259">
        <v>4</v>
      </c>
      <c r="K3259">
        <v>3663000</v>
      </c>
      <c r="L3259" s="2" t="s">
        <v>5515</v>
      </c>
      <c r="M3259" t="s">
        <v>23</v>
      </c>
      <c r="N3259">
        <v>12895000</v>
      </c>
      <c r="O3259">
        <v>4.0999999999999996</v>
      </c>
      <c r="P3259" t="b">
        <v>1</v>
      </c>
    </row>
    <row r="3260" spans="1:16" x14ac:dyDescent="0.2">
      <c r="A3260" t="s">
        <v>5516</v>
      </c>
      <c r="B3260" s="1">
        <v>45451</v>
      </c>
      <c r="C3260" s="1">
        <v>45488</v>
      </c>
      <c r="D3260" t="s">
        <v>4384</v>
      </c>
      <c r="E3260" t="s">
        <v>33</v>
      </c>
      <c r="F3260" t="s">
        <v>45</v>
      </c>
      <c r="G3260" t="s">
        <v>20</v>
      </c>
      <c r="H3260" t="s">
        <v>21</v>
      </c>
      <c r="I3260" t="s">
        <v>26</v>
      </c>
      <c r="J3260">
        <v>1</v>
      </c>
      <c r="K3260">
        <v>3689000</v>
      </c>
      <c r="L3260">
        <v>5.39627648385059E-2</v>
      </c>
      <c r="M3260" t="s">
        <v>23</v>
      </c>
      <c r="N3260">
        <v>3490000</v>
      </c>
      <c r="O3260">
        <v>4.2</v>
      </c>
      <c r="P3260" t="b">
        <v>1</v>
      </c>
    </row>
    <row r="3261" spans="1:16" x14ac:dyDescent="0.2">
      <c r="A3261" t="s">
        <v>5517</v>
      </c>
      <c r="B3261" s="1">
        <v>45451</v>
      </c>
      <c r="C3261" s="1">
        <v>45503</v>
      </c>
      <c r="D3261" t="s">
        <v>5518</v>
      </c>
      <c r="E3261" t="s">
        <v>45</v>
      </c>
      <c r="F3261" t="s">
        <v>34</v>
      </c>
      <c r="G3261" t="s">
        <v>20</v>
      </c>
      <c r="H3261" t="s">
        <v>47</v>
      </c>
      <c r="J3261">
        <v>1</v>
      </c>
      <c r="K3261">
        <v>3292000</v>
      </c>
      <c r="L3261" s="2" t="s">
        <v>5519</v>
      </c>
      <c r="M3261" t="s">
        <v>23</v>
      </c>
      <c r="N3261">
        <v>2911000</v>
      </c>
      <c r="O3261">
        <v>4</v>
      </c>
      <c r="P3261" t="b">
        <v>0</v>
      </c>
    </row>
    <row r="3262" spans="1:16" x14ac:dyDescent="0.2">
      <c r="A3262" t="s">
        <v>5520</v>
      </c>
      <c r="B3262" s="1">
        <v>45451</v>
      </c>
      <c r="C3262" s="1">
        <v>45504</v>
      </c>
      <c r="D3262" t="s">
        <v>3026</v>
      </c>
      <c r="E3262" t="s">
        <v>45</v>
      </c>
      <c r="F3262" t="s">
        <v>34</v>
      </c>
      <c r="G3262" t="s">
        <v>35</v>
      </c>
      <c r="H3262" t="s">
        <v>21</v>
      </c>
      <c r="I3262" t="s">
        <v>94</v>
      </c>
      <c r="J3262">
        <v>2</v>
      </c>
      <c r="K3262">
        <v>4267000</v>
      </c>
      <c r="L3262">
        <v>9.0978034192277596E-2</v>
      </c>
      <c r="M3262" t="s">
        <v>23</v>
      </c>
      <c r="N3262">
        <v>7758000</v>
      </c>
      <c r="O3262">
        <v>5</v>
      </c>
      <c r="P3262" t="b">
        <v>1</v>
      </c>
    </row>
    <row r="3263" spans="1:16" x14ac:dyDescent="0.2">
      <c r="A3263" t="s">
        <v>5521</v>
      </c>
      <c r="B3263" s="1">
        <v>45452</v>
      </c>
      <c r="C3263" s="1">
        <v>45485</v>
      </c>
      <c r="D3263" t="s">
        <v>1539</v>
      </c>
      <c r="E3263" t="s">
        <v>45</v>
      </c>
      <c r="F3263" t="s">
        <v>19</v>
      </c>
      <c r="G3263" t="s">
        <v>20</v>
      </c>
      <c r="H3263" t="s">
        <v>47</v>
      </c>
      <c r="I3263" t="s">
        <v>60</v>
      </c>
      <c r="J3263">
        <v>2</v>
      </c>
      <c r="K3263">
        <v>3027000</v>
      </c>
      <c r="L3263" s="2" t="s">
        <v>5522</v>
      </c>
      <c r="M3263" t="s">
        <v>23</v>
      </c>
      <c r="N3263">
        <v>5282000</v>
      </c>
      <c r="O3263">
        <v>3.7</v>
      </c>
      <c r="P3263" t="b">
        <v>1</v>
      </c>
    </row>
    <row r="3264" spans="1:16" x14ac:dyDescent="0.2">
      <c r="A3264" t="s">
        <v>5523</v>
      </c>
      <c r="B3264" s="1">
        <v>45452</v>
      </c>
      <c r="C3264" s="1">
        <v>45515</v>
      </c>
      <c r="D3264" t="s">
        <v>5524</v>
      </c>
      <c r="E3264" t="s">
        <v>18</v>
      </c>
      <c r="F3264" t="s">
        <v>34</v>
      </c>
      <c r="G3264" t="s">
        <v>50</v>
      </c>
      <c r="H3264" t="s">
        <v>21</v>
      </c>
      <c r="I3264" t="s">
        <v>22</v>
      </c>
      <c r="J3264">
        <v>3</v>
      </c>
      <c r="K3264">
        <v>3641000</v>
      </c>
      <c r="L3264" s="2" t="s">
        <v>5525</v>
      </c>
      <c r="M3264" t="s">
        <v>23</v>
      </c>
      <c r="N3264">
        <v>9816000</v>
      </c>
      <c r="O3264">
        <v>4.7</v>
      </c>
      <c r="P3264" t="b">
        <v>0</v>
      </c>
    </row>
    <row r="3265" spans="1:16" x14ac:dyDescent="0.2">
      <c r="A3265" t="s">
        <v>5526</v>
      </c>
      <c r="B3265" s="1">
        <v>45452</v>
      </c>
      <c r="C3265" s="1">
        <v>45458</v>
      </c>
      <c r="D3265" t="s">
        <v>5527</v>
      </c>
      <c r="E3265" t="s">
        <v>45</v>
      </c>
      <c r="F3265" t="s">
        <v>68</v>
      </c>
      <c r="G3265" t="s">
        <v>20</v>
      </c>
      <c r="H3265" t="s">
        <v>21</v>
      </c>
      <c r="I3265" t="s">
        <v>94</v>
      </c>
      <c r="J3265">
        <v>2</v>
      </c>
      <c r="K3265">
        <v>2314000</v>
      </c>
      <c r="L3265" s="2" t="s">
        <v>5528</v>
      </c>
      <c r="M3265" t="s">
        <v>65</v>
      </c>
      <c r="N3265">
        <v>0</v>
      </c>
      <c r="P3265" t="b">
        <v>0</v>
      </c>
    </row>
    <row r="3266" spans="1:16" x14ac:dyDescent="0.2">
      <c r="A3266" t="s">
        <v>5529</v>
      </c>
      <c r="B3266" s="1">
        <v>45571</v>
      </c>
      <c r="C3266" s="1">
        <v>45487</v>
      </c>
      <c r="D3266" t="s">
        <v>5530</v>
      </c>
      <c r="E3266" t="s">
        <v>29</v>
      </c>
      <c r="F3266" t="s">
        <v>19</v>
      </c>
      <c r="G3266" t="s">
        <v>50</v>
      </c>
      <c r="H3266" t="s">
        <v>51</v>
      </c>
      <c r="I3266" t="s">
        <v>57</v>
      </c>
      <c r="J3266">
        <v>1</v>
      </c>
      <c r="K3266">
        <v>3153000</v>
      </c>
      <c r="L3266" s="2" t="s">
        <v>5531</v>
      </c>
      <c r="M3266" t="s">
        <v>23</v>
      </c>
      <c r="N3266">
        <v>2779000</v>
      </c>
      <c r="O3266">
        <v>4</v>
      </c>
      <c r="P3266" t="b">
        <v>0</v>
      </c>
    </row>
    <row r="3267" spans="1:16" x14ac:dyDescent="0.2">
      <c r="A3267" t="s">
        <v>5532</v>
      </c>
      <c r="B3267" s="1">
        <v>45453</v>
      </c>
      <c r="C3267" s="1">
        <v>45453</v>
      </c>
      <c r="D3267" t="s">
        <v>5533</v>
      </c>
      <c r="E3267" t="s">
        <v>33</v>
      </c>
      <c r="F3267" t="s">
        <v>45</v>
      </c>
      <c r="H3267" t="s">
        <v>21</v>
      </c>
      <c r="I3267" t="s">
        <v>26</v>
      </c>
      <c r="J3267">
        <v>2</v>
      </c>
      <c r="K3267">
        <v>3383000</v>
      </c>
      <c r="L3267" s="2" t="s">
        <v>5534</v>
      </c>
      <c r="M3267" t="s">
        <v>23</v>
      </c>
      <c r="N3267">
        <v>6606000</v>
      </c>
      <c r="O3267">
        <v>4</v>
      </c>
      <c r="P3267" t="b">
        <v>0</v>
      </c>
    </row>
    <row r="3268" spans="1:16" x14ac:dyDescent="0.2">
      <c r="A3268" t="s">
        <v>5535</v>
      </c>
      <c r="B3268" s="1">
        <v>45453</v>
      </c>
      <c r="C3268" s="1">
        <v>45514</v>
      </c>
      <c r="D3268" t="s">
        <v>3690</v>
      </c>
      <c r="E3268" t="s">
        <v>18</v>
      </c>
      <c r="F3268" t="s">
        <v>68</v>
      </c>
      <c r="G3268" t="s">
        <v>35</v>
      </c>
      <c r="H3268" t="s">
        <v>40</v>
      </c>
      <c r="I3268" t="s">
        <v>60</v>
      </c>
      <c r="J3268">
        <v>1</v>
      </c>
      <c r="K3268">
        <v>2684000</v>
      </c>
      <c r="L3268" s="2" t="s">
        <v>5536</v>
      </c>
      <c r="M3268" t="s">
        <v>23</v>
      </c>
      <c r="N3268">
        <v>2295000</v>
      </c>
      <c r="O3268">
        <v>4.3</v>
      </c>
      <c r="P3268" t="b">
        <v>1</v>
      </c>
    </row>
    <row r="3269" spans="1:16" x14ac:dyDescent="0.2">
      <c r="A3269" t="s">
        <v>5537</v>
      </c>
      <c r="B3269" s="1">
        <v>45454</v>
      </c>
      <c r="C3269" s="1">
        <v>45509</v>
      </c>
      <c r="D3269" t="s">
        <v>5538</v>
      </c>
      <c r="E3269" t="s">
        <v>29</v>
      </c>
      <c r="F3269" t="s">
        <v>19</v>
      </c>
      <c r="G3269" t="s">
        <v>50</v>
      </c>
      <c r="H3269" t="s">
        <v>40</v>
      </c>
      <c r="I3269" t="s">
        <v>22</v>
      </c>
      <c r="J3269">
        <v>3</v>
      </c>
      <c r="K3269">
        <v>2535000</v>
      </c>
      <c r="L3269" s="2" t="s">
        <v>5539</v>
      </c>
      <c r="M3269" t="s">
        <v>23</v>
      </c>
      <c r="N3269">
        <v>6789000</v>
      </c>
      <c r="O3269">
        <v>4.4000000000000004</v>
      </c>
      <c r="P3269" t="b">
        <v>0</v>
      </c>
    </row>
    <row r="3270" spans="1:16" x14ac:dyDescent="0.2">
      <c r="A3270" t="s">
        <v>5540</v>
      </c>
      <c r="B3270" s="1">
        <v>45454</v>
      </c>
      <c r="C3270" s="1">
        <v>45526</v>
      </c>
      <c r="D3270" t="s">
        <v>384</v>
      </c>
      <c r="E3270" t="s">
        <v>29</v>
      </c>
      <c r="F3270" t="s">
        <v>19</v>
      </c>
      <c r="G3270" t="s">
        <v>20</v>
      </c>
      <c r="H3270" t="s">
        <v>21</v>
      </c>
      <c r="I3270" t="s">
        <v>77</v>
      </c>
      <c r="J3270">
        <v>3</v>
      </c>
      <c r="K3270">
        <v>2727000</v>
      </c>
      <c r="L3270" s="2" t="s">
        <v>5541</v>
      </c>
      <c r="M3270" t="s">
        <v>65</v>
      </c>
      <c r="N3270">
        <v>0</v>
      </c>
      <c r="P3270" t="b">
        <v>1</v>
      </c>
    </row>
    <row r="3271" spans="1:16" x14ac:dyDescent="0.2">
      <c r="A3271" t="s">
        <v>5542</v>
      </c>
      <c r="B3271" s="1">
        <v>45454</v>
      </c>
      <c r="C3271" s="1">
        <v>45489</v>
      </c>
      <c r="D3271" t="s">
        <v>5543</v>
      </c>
      <c r="E3271" t="s">
        <v>33</v>
      </c>
      <c r="F3271" t="s">
        <v>45</v>
      </c>
      <c r="G3271" t="s">
        <v>35</v>
      </c>
      <c r="H3271" t="s">
        <v>40</v>
      </c>
      <c r="I3271" t="s">
        <v>60</v>
      </c>
      <c r="J3271">
        <v>4</v>
      </c>
      <c r="K3271">
        <v>3588000</v>
      </c>
      <c r="L3271">
        <v>5.7946816508321501E-2</v>
      </c>
      <c r="M3271" t="s">
        <v>23</v>
      </c>
      <c r="N3271">
        <v>13520000</v>
      </c>
      <c r="O3271">
        <v>4.4000000000000004</v>
      </c>
      <c r="P3271" t="b">
        <v>0</v>
      </c>
    </row>
    <row r="3272" spans="1:16" x14ac:dyDescent="0.2">
      <c r="A3272" t="s">
        <v>5544</v>
      </c>
      <c r="B3272" s="1">
        <v>45455</v>
      </c>
      <c r="C3272" s="1">
        <v>45539</v>
      </c>
      <c r="D3272" t="s">
        <v>5545</v>
      </c>
      <c r="E3272" t="s">
        <v>18</v>
      </c>
      <c r="F3272" t="s">
        <v>25</v>
      </c>
      <c r="G3272" t="s">
        <v>50</v>
      </c>
      <c r="H3272" t="s">
        <v>51</v>
      </c>
      <c r="I3272" t="s">
        <v>52</v>
      </c>
      <c r="J3272">
        <v>2</v>
      </c>
      <c r="K3272">
        <v>4251000</v>
      </c>
      <c r="L3272" s="2" t="s">
        <v>5546</v>
      </c>
      <c r="M3272" t="s">
        <v>23</v>
      </c>
      <c r="N3272">
        <v>7195000</v>
      </c>
      <c r="O3272">
        <v>4.3</v>
      </c>
      <c r="P3272" t="b">
        <v>0</v>
      </c>
    </row>
    <row r="3273" spans="1:16" x14ac:dyDescent="0.2">
      <c r="A3273" t="s">
        <v>5547</v>
      </c>
      <c r="B3273" s="1">
        <v>45455</v>
      </c>
      <c r="C3273" s="1">
        <v>45496</v>
      </c>
      <c r="D3273" t="s">
        <v>5548</v>
      </c>
      <c r="E3273" t="s">
        <v>29</v>
      </c>
      <c r="F3273" t="s">
        <v>39</v>
      </c>
      <c r="G3273" t="s">
        <v>35</v>
      </c>
      <c r="H3273" t="s">
        <v>21</v>
      </c>
      <c r="I3273" t="s">
        <v>60</v>
      </c>
      <c r="J3273">
        <v>1</v>
      </c>
      <c r="K3273">
        <v>2712000</v>
      </c>
      <c r="L3273">
        <v>7.1997572936348397E-2</v>
      </c>
      <c r="M3273" t="s">
        <v>23</v>
      </c>
      <c r="N3273">
        <v>2517000</v>
      </c>
      <c r="O3273">
        <v>4.9000000000000004</v>
      </c>
      <c r="P3273" t="b">
        <v>0</v>
      </c>
    </row>
    <row r="3274" spans="1:16" x14ac:dyDescent="0.2">
      <c r="A3274" t="s">
        <v>5549</v>
      </c>
      <c r="B3274" s="1">
        <v>45457</v>
      </c>
      <c r="C3274" s="1">
        <v>45489</v>
      </c>
      <c r="D3274" t="s">
        <v>5134</v>
      </c>
      <c r="E3274" t="s">
        <v>33</v>
      </c>
      <c r="F3274" t="s">
        <v>34</v>
      </c>
      <c r="G3274" t="s">
        <v>20</v>
      </c>
      <c r="H3274" t="s">
        <v>21</v>
      </c>
      <c r="I3274" t="s">
        <v>77</v>
      </c>
      <c r="J3274">
        <v>1</v>
      </c>
      <c r="K3274">
        <v>4067000</v>
      </c>
      <c r="L3274" s="2" t="s">
        <v>5550</v>
      </c>
      <c r="M3274" t="s">
        <v>23</v>
      </c>
      <c r="N3274">
        <v>3615000</v>
      </c>
      <c r="O3274">
        <v>4.7</v>
      </c>
      <c r="P3274" t="b">
        <v>1</v>
      </c>
    </row>
    <row r="3275" spans="1:16" x14ac:dyDescent="0.2">
      <c r="A3275" t="s">
        <v>5551</v>
      </c>
      <c r="B3275" s="1">
        <v>45457</v>
      </c>
      <c r="C3275" s="1">
        <v>45504</v>
      </c>
      <c r="D3275" t="s">
        <v>5552</v>
      </c>
      <c r="E3275" t="s">
        <v>29</v>
      </c>
      <c r="F3275" t="s">
        <v>39</v>
      </c>
      <c r="G3275" t="s">
        <v>35</v>
      </c>
      <c r="H3275" t="s">
        <v>21</v>
      </c>
      <c r="I3275" t="s">
        <v>30</v>
      </c>
      <c r="J3275">
        <v>2</v>
      </c>
      <c r="K3275">
        <v>3044000</v>
      </c>
      <c r="L3275" s="2" t="s">
        <v>5553</v>
      </c>
      <c r="M3275" t="s">
        <v>23</v>
      </c>
      <c r="N3275">
        <v>5404000</v>
      </c>
      <c r="O3275">
        <v>3.8</v>
      </c>
      <c r="P3275" t="b">
        <v>0</v>
      </c>
    </row>
    <row r="3276" spans="1:16" x14ac:dyDescent="0.2">
      <c r="A3276" t="s">
        <v>5554</v>
      </c>
      <c r="B3276" s="1">
        <v>45457</v>
      </c>
      <c r="C3276" s="1">
        <v>45492</v>
      </c>
      <c r="D3276" t="s">
        <v>5555</v>
      </c>
      <c r="E3276" t="s">
        <v>18</v>
      </c>
      <c r="F3276" t="s">
        <v>19</v>
      </c>
      <c r="G3276" t="s">
        <v>20</v>
      </c>
      <c r="H3276" t="s">
        <v>21</v>
      </c>
      <c r="I3276" t="s">
        <v>57</v>
      </c>
      <c r="J3276">
        <v>1</v>
      </c>
      <c r="K3276">
        <v>3222000</v>
      </c>
      <c r="L3276">
        <v>8.7936315217333902E-2</v>
      </c>
      <c r="M3276" t="s">
        <v>23</v>
      </c>
      <c r="N3276">
        <v>2939000</v>
      </c>
      <c r="O3276">
        <v>3.9</v>
      </c>
      <c r="P3276" t="b">
        <v>0</v>
      </c>
    </row>
    <row r="3277" spans="1:16" x14ac:dyDescent="0.2">
      <c r="A3277" t="s">
        <v>5556</v>
      </c>
      <c r="B3277" s="1">
        <v>45458</v>
      </c>
      <c r="C3277" s="1">
        <v>45530</v>
      </c>
      <c r="D3277" t="s">
        <v>3649</v>
      </c>
      <c r="E3277" t="s">
        <v>29</v>
      </c>
      <c r="F3277" t="s">
        <v>34</v>
      </c>
      <c r="G3277" t="s">
        <v>20</v>
      </c>
      <c r="H3277" t="s">
        <v>40</v>
      </c>
      <c r="I3277" t="s">
        <v>1654</v>
      </c>
      <c r="J3277">
        <v>1</v>
      </c>
      <c r="K3277">
        <v>3282000</v>
      </c>
      <c r="L3277">
        <v>8.5131033800063594E-2</v>
      </c>
      <c r="M3277" t="s">
        <v>23</v>
      </c>
      <c r="N3277">
        <v>3003000</v>
      </c>
      <c r="O3277">
        <v>4.3</v>
      </c>
      <c r="P3277" t="b">
        <v>1</v>
      </c>
    </row>
    <row r="3278" spans="1:16" x14ac:dyDescent="0.2">
      <c r="A3278" t="s">
        <v>5557</v>
      </c>
      <c r="B3278" s="1">
        <v>45458</v>
      </c>
      <c r="C3278" s="1">
        <v>45513</v>
      </c>
      <c r="D3278" t="s">
        <v>938</v>
      </c>
      <c r="E3278" t="s">
        <v>33</v>
      </c>
      <c r="F3278" t="s">
        <v>25</v>
      </c>
      <c r="G3278" t="s">
        <v>20</v>
      </c>
      <c r="H3278" t="s">
        <v>21</v>
      </c>
      <c r="I3278" t="s">
        <v>26</v>
      </c>
      <c r="J3278">
        <v>1</v>
      </c>
      <c r="K3278">
        <v>5924000</v>
      </c>
      <c r="L3278" s="2" t="s">
        <v>5558</v>
      </c>
      <c r="M3278" t="s">
        <v>23</v>
      </c>
      <c r="N3278">
        <v>4986000</v>
      </c>
      <c r="O3278">
        <v>4.2</v>
      </c>
      <c r="P3278" t="b">
        <v>1</v>
      </c>
    </row>
    <row r="3279" spans="1:16" x14ac:dyDescent="0.2">
      <c r="A3279" t="s">
        <v>5559</v>
      </c>
      <c r="B3279" s="1">
        <v>45458</v>
      </c>
      <c r="C3279" s="1">
        <v>45517</v>
      </c>
      <c r="D3279" t="s">
        <v>4559</v>
      </c>
      <c r="E3279" t="s">
        <v>29</v>
      </c>
      <c r="F3279" t="s">
        <v>34</v>
      </c>
      <c r="G3279" t="s">
        <v>20</v>
      </c>
      <c r="H3279" t="s">
        <v>47</v>
      </c>
      <c r="I3279" t="s">
        <v>77</v>
      </c>
      <c r="J3279">
        <v>1</v>
      </c>
      <c r="K3279">
        <v>4429000</v>
      </c>
      <c r="L3279" s="2" t="s">
        <v>5560</v>
      </c>
      <c r="M3279" t="s">
        <v>23</v>
      </c>
      <c r="N3279">
        <v>3821000</v>
      </c>
      <c r="O3279">
        <v>4.5999999999999996</v>
      </c>
      <c r="P3279" t="b">
        <v>1</v>
      </c>
    </row>
    <row r="3280" spans="1:16" x14ac:dyDescent="0.2">
      <c r="A3280" t="s">
        <v>5561</v>
      </c>
      <c r="B3280" s="1">
        <v>45458</v>
      </c>
      <c r="C3280" s="1">
        <v>45520</v>
      </c>
      <c r="D3280" t="s">
        <v>475</v>
      </c>
      <c r="F3280" t="s">
        <v>34</v>
      </c>
      <c r="G3280" t="s">
        <v>35</v>
      </c>
      <c r="H3280" t="s">
        <v>21</v>
      </c>
      <c r="I3280" t="s">
        <v>83</v>
      </c>
      <c r="J3280">
        <v>4</v>
      </c>
      <c r="K3280">
        <v>4328000</v>
      </c>
      <c r="L3280" s="2" t="s">
        <v>5562</v>
      </c>
      <c r="M3280" t="s">
        <v>23</v>
      </c>
      <c r="N3280">
        <v>15376000</v>
      </c>
      <c r="O3280">
        <v>3.7</v>
      </c>
      <c r="P3280" t="b">
        <v>1</v>
      </c>
    </row>
    <row r="3281" spans="1:16" x14ac:dyDescent="0.2">
      <c r="A3281" t="s">
        <v>5563</v>
      </c>
      <c r="B3281" s="1">
        <v>45458</v>
      </c>
      <c r="C3281" s="1">
        <v>45481</v>
      </c>
      <c r="D3281" t="s">
        <v>5032</v>
      </c>
      <c r="E3281" t="s">
        <v>45</v>
      </c>
      <c r="F3281" t="s">
        <v>34</v>
      </c>
      <c r="G3281" t="s">
        <v>50</v>
      </c>
      <c r="H3281" t="s">
        <v>21</v>
      </c>
      <c r="I3281" t="s">
        <v>83</v>
      </c>
      <c r="J3281">
        <v>3</v>
      </c>
      <c r="K3281">
        <v>4756000</v>
      </c>
      <c r="L3281" s="2" t="s">
        <v>5564</v>
      </c>
      <c r="M3281" t="s">
        <v>23</v>
      </c>
      <c r="N3281">
        <v>12404000</v>
      </c>
      <c r="O3281">
        <v>3</v>
      </c>
      <c r="P3281" t="b">
        <v>1</v>
      </c>
    </row>
    <row r="3282" spans="1:16" x14ac:dyDescent="0.2">
      <c r="A3282" t="s">
        <v>5565</v>
      </c>
      <c r="B3282" s="1">
        <v>45460</v>
      </c>
      <c r="C3282" s="1">
        <v>45515</v>
      </c>
      <c r="D3282" t="s">
        <v>5566</v>
      </c>
      <c r="E3282" t="s">
        <v>18</v>
      </c>
      <c r="F3282" t="s">
        <v>34</v>
      </c>
      <c r="G3282" t="s">
        <v>20</v>
      </c>
      <c r="H3282" t="s">
        <v>21</v>
      </c>
      <c r="I3282" t="s">
        <v>22</v>
      </c>
      <c r="J3282">
        <v>1</v>
      </c>
      <c r="K3282">
        <v>3857000</v>
      </c>
      <c r="L3282">
        <v>8.7993155290041994E-2</v>
      </c>
      <c r="M3282" t="s">
        <v>23</v>
      </c>
      <c r="N3282">
        <v>3518000</v>
      </c>
      <c r="O3282">
        <v>3.8</v>
      </c>
      <c r="P3282" t="b">
        <v>0</v>
      </c>
    </row>
    <row r="3283" spans="1:16" x14ac:dyDescent="0.2">
      <c r="A3283" t="s">
        <v>5567</v>
      </c>
      <c r="B3283" s="1">
        <v>45460</v>
      </c>
      <c r="C3283" s="1">
        <v>45460</v>
      </c>
      <c r="D3283" t="s">
        <v>5568</v>
      </c>
      <c r="E3283" t="s">
        <v>45</v>
      </c>
      <c r="F3283" t="s">
        <v>19</v>
      </c>
      <c r="G3283" t="s">
        <v>20</v>
      </c>
      <c r="H3283" t="s">
        <v>21</v>
      </c>
      <c r="I3283" t="s">
        <v>77</v>
      </c>
      <c r="J3283">
        <v>3</v>
      </c>
      <c r="K3283">
        <v>2898000</v>
      </c>
      <c r="L3283" s="2" t="s">
        <v>5569</v>
      </c>
      <c r="M3283" t="s">
        <v>23</v>
      </c>
      <c r="N3283">
        <v>7323000</v>
      </c>
      <c r="O3283">
        <v>4.8</v>
      </c>
      <c r="P3283" t="b">
        <v>0</v>
      </c>
    </row>
    <row r="3284" spans="1:16" x14ac:dyDescent="0.2">
      <c r="A3284" t="s">
        <v>5570</v>
      </c>
      <c r="B3284" s="1">
        <v>45460</v>
      </c>
      <c r="C3284" s="1">
        <v>45500</v>
      </c>
      <c r="D3284" t="s">
        <v>4404</v>
      </c>
      <c r="E3284" t="s">
        <v>33</v>
      </c>
      <c r="F3284" t="s">
        <v>45</v>
      </c>
      <c r="G3284" t="s">
        <v>20</v>
      </c>
      <c r="H3284" t="s">
        <v>47</v>
      </c>
      <c r="I3284" t="s">
        <v>26</v>
      </c>
      <c r="J3284">
        <v>2</v>
      </c>
      <c r="K3284">
        <v>3718000</v>
      </c>
      <c r="L3284" s="2" t="s">
        <v>5571</v>
      </c>
      <c r="M3284" t="s">
        <v>23</v>
      </c>
      <c r="N3284">
        <v>6538000</v>
      </c>
      <c r="O3284">
        <v>4.0999999999999996</v>
      </c>
      <c r="P3284" t="b">
        <v>1</v>
      </c>
    </row>
    <row r="3285" spans="1:16" x14ac:dyDescent="0.2">
      <c r="A3285" t="s">
        <v>5572</v>
      </c>
      <c r="B3285" s="1">
        <v>45461</v>
      </c>
      <c r="C3285" s="1">
        <v>45480</v>
      </c>
      <c r="D3285" t="s">
        <v>4982</v>
      </c>
      <c r="E3285" t="s">
        <v>45</v>
      </c>
      <c r="F3285" t="s">
        <v>19</v>
      </c>
      <c r="G3285" t="s">
        <v>35</v>
      </c>
      <c r="H3285" t="s">
        <v>21</v>
      </c>
      <c r="I3285" t="s">
        <v>57</v>
      </c>
      <c r="J3285">
        <v>1</v>
      </c>
      <c r="K3285">
        <v>3573000</v>
      </c>
      <c r="L3285" s="2" t="s">
        <v>5573</v>
      </c>
      <c r="M3285" t="s">
        <v>23</v>
      </c>
      <c r="N3285">
        <v>3193000</v>
      </c>
      <c r="O3285">
        <v>4.7</v>
      </c>
      <c r="P3285" t="b">
        <v>1</v>
      </c>
    </row>
    <row r="3286" spans="1:16" x14ac:dyDescent="0.2">
      <c r="A3286" t="s">
        <v>5574</v>
      </c>
      <c r="B3286" s="1">
        <v>45461</v>
      </c>
      <c r="C3286" s="1">
        <v>45510</v>
      </c>
      <c r="D3286" t="s">
        <v>4018</v>
      </c>
      <c r="E3286" t="s">
        <v>18</v>
      </c>
      <c r="F3286" t="s">
        <v>19</v>
      </c>
      <c r="G3286" t="s">
        <v>35</v>
      </c>
      <c r="H3286" t="s">
        <v>21</v>
      </c>
      <c r="I3286" t="s">
        <v>30</v>
      </c>
      <c r="J3286">
        <v>2</v>
      </c>
      <c r="K3286">
        <v>2443000</v>
      </c>
      <c r="L3286">
        <v>7.7053957577813997E-2</v>
      </c>
      <c r="M3286" t="s">
        <v>23</v>
      </c>
      <c r="N3286">
        <v>4510000</v>
      </c>
      <c r="O3286">
        <v>4.0999999999999996</v>
      </c>
      <c r="P3286" t="b">
        <v>1</v>
      </c>
    </row>
    <row r="3287" spans="1:16" x14ac:dyDescent="0.2">
      <c r="A3287" t="s">
        <v>5575</v>
      </c>
      <c r="B3287" s="1">
        <v>45461</v>
      </c>
      <c r="C3287" s="1">
        <v>45469</v>
      </c>
      <c r="D3287" t="s">
        <v>5576</v>
      </c>
      <c r="E3287" t="s">
        <v>29</v>
      </c>
      <c r="F3287" t="s">
        <v>19</v>
      </c>
      <c r="G3287" t="s">
        <v>35</v>
      </c>
      <c r="H3287" t="s">
        <v>21</v>
      </c>
      <c r="I3287" t="s">
        <v>30</v>
      </c>
      <c r="J3287">
        <v>2</v>
      </c>
      <c r="K3287">
        <v>2353000</v>
      </c>
      <c r="L3287">
        <v>3.7171684503215799E-2</v>
      </c>
      <c r="M3287" t="s">
        <v>65</v>
      </c>
      <c r="N3287">
        <v>0</v>
      </c>
      <c r="P3287" t="b">
        <v>0</v>
      </c>
    </row>
    <row r="3288" spans="1:16" x14ac:dyDescent="0.2">
      <c r="A3288" t="s">
        <v>5577</v>
      </c>
      <c r="B3288" s="1">
        <v>45462</v>
      </c>
      <c r="C3288" s="1">
        <v>45532</v>
      </c>
      <c r="D3288" t="s">
        <v>1112</v>
      </c>
      <c r="E3288" t="s">
        <v>45</v>
      </c>
      <c r="F3288" t="s">
        <v>19</v>
      </c>
      <c r="G3288" t="s">
        <v>35</v>
      </c>
      <c r="H3288" t="s">
        <v>51</v>
      </c>
      <c r="I3288" t="s">
        <v>60</v>
      </c>
      <c r="J3288">
        <v>2</v>
      </c>
      <c r="K3288">
        <v>2848000</v>
      </c>
      <c r="L3288" s="2" t="s">
        <v>5578</v>
      </c>
      <c r="M3288" t="s">
        <v>23</v>
      </c>
      <c r="N3288">
        <v>5029000</v>
      </c>
      <c r="O3288">
        <v>4.7</v>
      </c>
      <c r="P3288" t="b">
        <v>1</v>
      </c>
    </row>
    <row r="3289" spans="1:16" x14ac:dyDescent="0.2">
      <c r="A3289" t="s">
        <v>5579</v>
      </c>
      <c r="B3289" s="1">
        <v>45462</v>
      </c>
      <c r="C3289" s="1">
        <v>45531</v>
      </c>
      <c r="D3289" t="s">
        <v>5580</v>
      </c>
      <c r="E3289" t="s">
        <v>18</v>
      </c>
      <c r="F3289" t="s">
        <v>45</v>
      </c>
      <c r="H3289" t="s">
        <v>21</v>
      </c>
      <c r="I3289" t="s">
        <v>1654</v>
      </c>
      <c r="J3289">
        <v>3</v>
      </c>
      <c r="K3289">
        <v>3349000</v>
      </c>
      <c r="L3289" s="2" t="s">
        <v>5581</v>
      </c>
      <c r="M3289" t="s">
        <v>23</v>
      </c>
      <c r="N3289">
        <v>8581000</v>
      </c>
      <c r="O3289">
        <v>4.3</v>
      </c>
      <c r="P3289" t="b">
        <v>0</v>
      </c>
    </row>
    <row r="3290" spans="1:16" x14ac:dyDescent="0.2">
      <c r="A3290" t="s">
        <v>5582</v>
      </c>
      <c r="B3290" s="1">
        <v>45462</v>
      </c>
      <c r="C3290" s="1">
        <v>45558</v>
      </c>
      <c r="D3290" t="s">
        <v>3869</v>
      </c>
      <c r="E3290" t="s">
        <v>18</v>
      </c>
      <c r="F3290" t="s">
        <v>25</v>
      </c>
      <c r="G3290" t="s">
        <v>35</v>
      </c>
      <c r="H3290" t="s">
        <v>21</v>
      </c>
      <c r="I3290" t="s">
        <v>22</v>
      </c>
      <c r="J3290">
        <v>4</v>
      </c>
      <c r="K3290">
        <v>4540000</v>
      </c>
      <c r="L3290" s="2" t="s">
        <v>5583</v>
      </c>
      <c r="M3290" t="s">
        <v>23</v>
      </c>
      <c r="N3290">
        <v>15958000</v>
      </c>
      <c r="O3290">
        <v>4.5999999999999996</v>
      </c>
      <c r="P3290" t="b">
        <v>1</v>
      </c>
    </row>
    <row r="3291" spans="1:16" x14ac:dyDescent="0.2">
      <c r="A3291" t="s">
        <v>5584</v>
      </c>
      <c r="B3291" s="1">
        <v>45462</v>
      </c>
      <c r="C3291" s="1">
        <v>45536</v>
      </c>
      <c r="D3291" t="s">
        <v>3854</v>
      </c>
      <c r="E3291" t="s">
        <v>29</v>
      </c>
      <c r="F3291" t="s">
        <v>39</v>
      </c>
      <c r="G3291" t="s">
        <v>35</v>
      </c>
      <c r="H3291" t="s">
        <v>21</v>
      </c>
      <c r="I3291" t="s">
        <v>52</v>
      </c>
      <c r="J3291">
        <v>3</v>
      </c>
      <c r="K3291">
        <v>2138000</v>
      </c>
      <c r="L3291">
        <v>5.79323527474679E-2</v>
      </c>
      <c r="M3291" t="s">
        <v>23</v>
      </c>
      <c r="N3291">
        <v>6042000</v>
      </c>
      <c r="O3291">
        <v>4.3</v>
      </c>
      <c r="P3291" t="b">
        <v>1</v>
      </c>
    </row>
    <row r="3292" spans="1:16" x14ac:dyDescent="0.2">
      <c r="A3292" t="s">
        <v>5585</v>
      </c>
      <c r="B3292" s="1">
        <v>45462</v>
      </c>
      <c r="C3292" s="1">
        <v>45520</v>
      </c>
      <c r="D3292" t="s">
        <v>287</v>
      </c>
      <c r="E3292" t="s">
        <v>18</v>
      </c>
      <c r="F3292" t="s">
        <v>39</v>
      </c>
      <c r="G3292" t="s">
        <v>20</v>
      </c>
      <c r="I3292" t="s">
        <v>83</v>
      </c>
      <c r="J3292">
        <v>2</v>
      </c>
      <c r="K3292">
        <v>1475000</v>
      </c>
      <c r="L3292">
        <v>4.0861879486044902E-2</v>
      </c>
      <c r="M3292" t="s">
        <v>23</v>
      </c>
      <c r="N3292">
        <v>2829000</v>
      </c>
      <c r="O3292">
        <v>4.0999999999999996</v>
      </c>
      <c r="P3292" t="b">
        <v>1</v>
      </c>
    </row>
    <row r="3293" spans="1:16" x14ac:dyDescent="0.2">
      <c r="A3293" t="s">
        <v>5586</v>
      </c>
      <c r="B3293" s="1">
        <v>45463</v>
      </c>
      <c r="C3293" s="1">
        <v>45507</v>
      </c>
      <c r="D3293" t="s">
        <v>5205</v>
      </c>
      <c r="E3293" t="s">
        <v>18</v>
      </c>
      <c r="F3293" t="s">
        <v>19</v>
      </c>
      <c r="G3293" t="s">
        <v>35</v>
      </c>
      <c r="H3293" t="s">
        <v>51</v>
      </c>
      <c r="I3293" t="s">
        <v>30</v>
      </c>
      <c r="J3293">
        <v>2</v>
      </c>
      <c r="K3293">
        <v>2509000</v>
      </c>
      <c r="L3293">
        <v>4.2678733915286302E-2</v>
      </c>
      <c r="M3293" t="s">
        <v>23</v>
      </c>
      <c r="N3293">
        <v>4804000</v>
      </c>
      <c r="O3293">
        <v>4.9000000000000004</v>
      </c>
      <c r="P3293" t="b">
        <v>1</v>
      </c>
    </row>
    <row r="3294" spans="1:16" x14ac:dyDescent="0.2">
      <c r="A3294" t="s">
        <v>5587</v>
      </c>
      <c r="B3294" s="1">
        <v>45463</v>
      </c>
      <c r="C3294" s="1">
        <v>45475</v>
      </c>
      <c r="D3294" t="s">
        <v>5588</v>
      </c>
      <c r="E3294" t="s">
        <v>29</v>
      </c>
      <c r="F3294" t="s">
        <v>34</v>
      </c>
      <c r="G3294" t="s">
        <v>35</v>
      </c>
      <c r="H3294" t="s">
        <v>21</v>
      </c>
      <c r="I3294" t="s">
        <v>1650</v>
      </c>
      <c r="J3294">
        <v>2</v>
      </c>
      <c r="K3294">
        <v>5081000</v>
      </c>
      <c r="L3294">
        <v>7.8689947310496E-2</v>
      </c>
      <c r="M3294" t="s">
        <v>23</v>
      </c>
      <c r="N3294">
        <v>9362000</v>
      </c>
      <c r="O3294">
        <v>4.4000000000000004</v>
      </c>
      <c r="P3294" t="b">
        <v>0</v>
      </c>
    </row>
    <row r="3295" spans="1:16" x14ac:dyDescent="0.2">
      <c r="A3295" t="s">
        <v>5589</v>
      </c>
      <c r="B3295" s="1">
        <v>45464</v>
      </c>
      <c r="C3295" s="1">
        <v>45482</v>
      </c>
      <c r="D3295" t="s">
        <v>5590</v>
      </c>
      <c r="E3295" t="s">
        <v>45</v>
      </c>
      <c r="F3295" t="s">
        <v>25</v>
      </c>
      <c r="G3295" t="s">
        <v>50</v>
      </c>
      <c r="H3295" t="s">
        <v>47</v>
      </c>
      <c r="I3295" t="s">
        <v>22</v>
      </c>
      <c r="J3295">
        <v>1</v>
      </c>
      <c r="K3295">
        <v>5245000</v>
      </c>
      <c r="L3295" s="2" t="s">
        <v>5591</v>
      </c>
      <c r="M3295" t="s">
        <v>23</v>
      </c>
      <c r="N3295">
        <v>4929000</v>
      </c>
      <c r="O3295">
        <v>3.8</v>
      </c>
      <c r="P3295" t="b">
        <v>0</v>
      </c>
    </row>
    <row r="3296" spans="1:16" x14ac:dyDescent="0.2">
      <c r="A3296" t="s">
        <v>5592</v>
      </c>
      <c r="B3296" s="1">
        <v>45464</v>
      </c>
      <c r="C3296" s="1">
        <v>45514</v>
      </c>
      <c r="D3296" t="s">
        <v>2868</v>
      </c>
      <c r="E3296" t="s">
        <v>33</v>
      </c>
      <c r="F3296" t="s">
        <v>39</v>
      </c>
      <c r="G3296" t="s">
        <v>20</v>
      </c>
      <c r="H3296" t="s">
        <v>47</v>
      </c>
      <c r="I3296" t="s">
        <v>83</v>
      </c>
      <c r="J3296">
        <v>1</v>
      </c>
      <c r="K3296">
        <v>1641000</v>
      </c>
      <c r="L3296">
        <v>8.1339396887187804E-2</v>
      </c>
      <c r="M3296" t="s">
        <v>23</v>
      </c>
      <c r="N3296">
        <v>1508000</v>
      </c>
      <c r="O3296">
        <v>4.0999999999999996</v>
      </c>
      <c r="P3296" t="b">
        <v>1</v>
      </c>
    </row>
    <row r="3297" spans="1:16" x14ac:dyDescent="0.2">
      <c r="A3297" t="s">
        <v>5593</v>
      </c>
      <c r="B3297" s="1">
        <v>45464</v>
      </c>
      <c r="C3297" s="1">
        <v>45490</v>
      </c>
      <c r="D3297" t="s">
        <v>5017</v>
      </c>
      <c r="E3297" t="s">
        <v>18</v>
      </c>
      <c r="F3297" t="s">
        <v>19</v>
      </c>
      <c r="G3297" t="s">
        <v>35</v>
      </c>
      <c r="H3297" t="s">
        <v>21</v>
      </c>
      <c r="I3297" t="s">
        <v>26</v>
      </c>
      <c r="J3297">
        <v>2</v>
      </c>
      <c r="K3297">
        <v>2740000</v>
      </c>
      <c r="L3297">
        <v>9.3470663514040597E-2</v>
      </c>
      <c r="M3297" t="s">
        <v>23</v>
      </c>
      <c r="N3297">
        <v>4968000</v>
      </c>
      <c r="O3297">
        <v>4.0999999999999996</v>
      </c>
      <c r="P3297" t="b">
        <v>1</v>
      </c>
    </row>
    <row r="3298" spans="1:16" x14ac:dyDescent="0.2">
      <c r="A3298" t="s">
        <v>5594</v>
      </c>
      <c r="B3298" s="1">
        <v>45465</v>
      </c>
      <c r="C3298" s="1">
        <v>45504</v>
      </c>
      <c r="D3298" t="s">
        <v>5595</v>
      </c>
      <c r="E3298" t="s">
        <v>45</v>
      </c>
      <c r="F3298" t="s">
        <v>19</v>
      </c>
      <c r="G3298" t="s">
        <v>20</v>
      </c>
      <c r="H3298" t="s">
        <v>40</v>
      </c>
      <c r="I3298" t="s">
        <v>57</v>
      </c>
      <c r="J3298">
        <v>2</v>
      </c>
      <c r="K3298">
        <v>3608000</v>
      </c>
      <c r="L3298">
        <v>7.9978679431307903E-2</v>
      </c>
      <c r="M3298" t="s">
        <v>23</v>
      </c>
      <c r="N3298">
        <v>6639000</v>
      </c>
      <c r="O3298">
        <v>4.4000000000000004</v>
      </c>
      <c r="P3298" t="b">
        <v>0</v>
      </c>
    </row>
    <row r="3299" spans="1:16" x14ac:dyDescent="0.2">
      <c r="A3299" t="s">
        <v>5596</v>
      </c>
      <c r="B3299" s="1">
        <v>45465</v>
      </c>
      <c r="C3299" s="1">
        <v>45540</v>
      </c>
      <c r="D3299" t="s">
        <v>3630</v>
      </c>
      <c r="E3299" t="s">
        <v>18</v>
      </c>
      <c r="F3299" t="s">
        <v>34</v>
      </c>
      <c r="G3299" t="s">
        <v>20</v>
      </c>
      <c r="H3299" t="s">
        <v>21</v>
      </c>
      <c r="I3299" t="s">
        <v>30</v>
      </c>
      <c r="J3299">
        <v>2</v>
      </c>
      <c r="K3299">
        <v>3630000</v>
      </c>
      <c r="L3299" s="2" t="s">
        <v>5597</v>
      </c>
      <c r="M3299" t="s">
        <v>65</v>
      </c>
      <c r="N3299">
        <v>0</v>
      </c>
      <c r="P3299" t="b">
        <v>1</v>
      </c>
    </row>
    <row r="3300" spans="1:16" x14ac:dyDescent="0.2">
      <c r="A3300" t="s">
        <v>5598</v>
      </c>
      <c r="B3300" s="1">
        <v>45465</v>
      </c>
      <c r="C3300" s="1">
        <v>45529</v>
      </c>
      <c r="D3300" t="s">
        <v>5599</v>
      </c>
      <c r="E3300" t="s">
        <v>18</v>
      </c>
      <c r="F3300" t="s">
        <v>45</v>
      </c>
      <c r="G3300" t="s">
        <v>50</v>
      </c>
      <c r="H3300" t="s">
        <v>21</v>
      </c>
      <c r="I3300" t="s">
        <v>22</v>
      </c>
      <c r="J3300">
        <v>5</v>
      </c>
      <c r="K3300">
        <v>3365000</v>
      </c>
      <c r="L3300">
        <v>9.20161034586649E-2</v>
      </c>
      <c r="M3300" t="s">
        <v>23</v>
      </c>
      <c r="N3300">
        <v>15277000</v>
      </c>
      <c r="O3300">
        <v>4.2</v>
      </c>
      <c r="P3300" t="b">
        <v>0</v>
      </c>
    </row>
    <row r="3301" spans="1:16" x14ac:dyDescent="0.2">
      <c r="A3301" t="s">
        <v>5600</v>
      </c>
      <c r="B3301" s="1">
        <v>45465</v>
      </c>
      <c r="C3301" s="1">
        <v>45524</v>
      </c>
      <c r="D3301" t="s">
        <v>5601</v>
      </c>
      <c r="E3301" t="s">
        <v>29</v>
      </c>
      <c r="F3301" t="s">
        <v>34</v>
      </c>
      <c r="G3301" t="s">
        <v>50</v>
      </c>
      <c r="H3301" t="s">
        <v>21</v>
      </c>
      <c r="I3301" t="s">
        <v>26</v>
      </c>
      <c r="J3301">
        <v>3</v>
      </c>
      <c r="K3301">
        <v>4191000</v>
      </c>
      <c r="L3301" s="2" t="s">
        <v>5602</v>
      </c>
      <c r="M3301" t="s">
        <v>65</v>
      </c>
      <c r="N3301">
        <v>0</v>
      </c>
      <c r="P3301" t="b">
        <v>0</v>
      </c>
    </row>
    <row r="3302" spans="1:16" x14ac:dyDescent="0.2">
      <c r="A3302" t="s">
        <v>5603</v>
      </c>
      <c r="B3302" s="1">
        <v>45467</v>
      </c>
      <c r="C3302" s="1">
        <v>45546</v>
      </c>
      <c r="D3302" t="s">
        <v>5239</v>
      </c>
      <c r="F3302" t="s">
        <v>19</v>
      </c>
      <c r="G3302" t="s">
        <v>50</v>
      </c>
      <c r="H3302" t="s">
        <v>21</v>
      </c>
      <c r="I3302" t="s">
        <v>52</v>
      </c>
      <c r="J3302">
        <v>4</v>
      </c>
      <c r="K3302">
        <v>2483000</v>
      </c>
      <c r="L3302" s="3">
        <v>0.12</v>
      </c>
      <c r="M3302" t="s">
        <v>23</v>
      </c>
      <c r="N3302">
        <v>8741000</v>
      </c>
      <c r="O3302">
        <v>4.2</v>
      </c>
      <c r="P3302" t="b">
        <v>1</v>
      </c>
    </row>
    <row r="3303" spans="1:16" x14ac:dyDescent="0.2">
      <c r="A3303" t="s">
        <v>5604</v>
      </c>
      <c r="B3303" s="1">
        <v>45467</v>
      </c>
      <c r="C3303" s="1">
        <v>45501</v>
      </c>
      <c r="D3303" t="s">
        <v>54</v>
      </c>
      <c r="E3303" t="s">
        <v>33</v>
      </c>
      <c r="F3303" t="s">
        <v>34</v>
      </c>
      <c r="G3303" t="s">
        <v>20</v>
      </c>
      <c r="H3303" t="s">
        <v>47</v>
      </c>
      <c r="I3303" t="s">
        <v>26</v>
      </c>
      <c r="J3303">
        <v>4</v>
      </c>
      <c r="K3303">
        <v>4180000</v>
      </c>
      <c r="L3303">
        <v>8.27406741922561E-2</v>
      </c>
      <c r="M3303" t="s">
        <v>1882</v>
      </c>
      <c r="N3303">
        <v>15337000</v>
      </c>
      <c r="O3303">
        <v>4.0999999999999996</v>
      </c>
      <c r="P3303" t="b">
        <v>1</v>
      </c>
    </row>
    <row r="3304" spans="1:16" x14ac:dyDescent="0.2">
      <c r="A3304" t="s">
        <v>5605</v>
      </c>
      <c r="B3304" s="1">
        <v>45467</v>
      </c>
      <c r="C3304" s="1">
        <v>45552</v>
      </c>
      <c r="D3304" t="s">
        <v>3092</v>
      </c>
      <c r="E3304" t="s">
        <v>45</v>
      </c>
      <c r="F3304" t="s">
        <v>45</v>
      </c>
      <c r="G3304" t="s">
        <v>50</v>
      </c>
      <c r="H3304" t="s">
        <v>47</v>
      </c>
      <c r="I3304" t="s">
        <v>60</v>
      </c>
      <c r="J3304">
        <v>2</v>
      </c>
      <c r="K3304">
        <v>3214000</v>
      </c>
      <c r="L3304">
        <v>6.9652104320968702E-2</v>
      </c>
      <c r="M3304" t="s">
        <v>23</v>
      </c>
      <c r="N3304">
        <v>5980000</v>
      </c>
      <c r="O3304">
        <v>3.5</v>
      </c>
      <c r="P3304" t="b">
        <v>1</v>
      </c>
    </row>
    <row r="3305" spans="1:16" x14ac:dyDescent="0.2">
      <c r="A3305" t="s">
        <v>5606</v>
      </c>
      <c r="B3305" s="1">
        <v>45468</v>
      </c>
      <c r="C3305" s="1">
        <v>45518</v>
      </c>
      <c r="D3305" t="s">
        <v>3690</v>
      </c>
      <c r="E3305" t="s">
        <v>45</v>
      </c>
      <c r="F3305" t="s">
        <v>34</v>
      </c>
      <c r="G3305" t="s">
        <v>35</v>
      </c>
      <c r="H3305" t="s">
        <v>47</v>
      </c>
      <c r="I3305" t="s">
        <v>83</v>
      </c>
      <c r="J3305">
        <v>1</v>
      </c>
      <c r="K3305">
        <v>4491000</v>
      </c>
      <c r="L3305">
        <v>4.5558141707428897E-2</v>
      </c>
      <c r="M3305" t="s">
        <v>65</v>
      </c>
      <c r="N3305">
        <v>0</v>
      </c>
      <c r="P3305" t="b">
        <v>1</v>
      </c>
    </row>
    <row r="3306" spans="1:16" x14ac:dyDescent="0.2">
      <c r="A3306" t="s">
        <v>5607</v>
      </c>
      <c r="B3306" s="1">
        <v>45468</v>
      </c>
      <c r="C3306" s="1">
        <v>45540</v>
      </c>
      <c r="D3306" t="s">
        <v>2675</v>
      </c>
      <c r="E3306" t="s">
        <v>33</v>
      </c>
      <c r="F3306" t="s">
        <v>68</v>
      </c>
      <c r="G3306" t="s">
        <v>50</v>
      </c>
      <c r="H3306" t="s">
        <v>21</v>
      </c>
      <c r="I3306" t="s">
        <v>60</v>
      </c>
      <c r="J3306">
        <v>2</v>
      </c>
      <c r="K3306">
        <v>2563000</v>
      </c>
      <c r="L3306" s="2" t="s">
        <v>5608</v>
      </c>
      <c r="M3306" t="s">
        <v>23</v>
      </c>
      <c r="N3306">
        <v>4471000</v>
      </c>
      <c r="O3306">
        <v>3.9</v>
      </c>
      <c r="P3306" t="b">
        <v>1</v>
      </c>
    </row>
    <row r="3307" spans="1:16" x14ac:dyDescent="0.2">
      <c r="A3307" t="s">
        <v>5609</v>
      </c>
      <c r="B3307" s="1">
        <v>45469</v>
      </c>
      <c r="C3307" s="1">
        <v>45501</v>
      </c>
      <c r="D3307" t="s">
        <v>2689</v>
      </c>
      <c r="E3307" t="s">
        <v>45</v>
      </c>
      <c r="F3307" t="s">
        <v>25</v>
      </c>
      <c r="G3307" t="s">
        <v>50</v>
      </c>
      <c r="H3307" t="s">
        <v>47</v>
      </c>
      <c r="I3307" t="s">
        <v>57</v>
      </c>
      <c r="J3307">
        <v>2</v>
      </c>
      <c r="K3307">
        <v>5517000</v>
      </c>
      <c r="L3307" s="2" t="s">
        <v>5610</v>
      </c>
      <c r="M3307" t="s">
        <v>23</v>
      </c>
      <c r="N3307">
        <v>9566000</v>
      </c>
      <c r="O3307">
        <v>3.5</v>
      </c>
      <c r="P3307" t="b">
        <v>1</v>
      </c>
    </row>
    <row r="3308" spans="1:16" x14ac:dyDescent="0.2">
      <c r="A3308" t="s">
        <v>5611</v>
      </c>
      <c r="B3308" s="1">
        <v>45470</v>
      </c>
      <c r="C3308" s="1">
        <v>45535</v>
      </c>
      <c r="D3308" t="s">
        <v>4620</v>
      </c>
      <c r="E3308" t="s">
        <v>29</v>
      </c>
      <c r="F3308" t="s">
        <v>34</v>
      </c>
      <c r="G3308" t="s">
        <v>46</v>
      </c>
      <c r="H3308" t="s">
        <v>21</v>
      </c>
      <c r="I3308" t="s">
        <v>94</v>
      </c>
      <c r="J3308">
        <v>2</v>
      </c>
      <c r="K3308">
        <v>4347000</v>
      </c>
      <c r="L3308" s="2" t="s">
        <v>5612</v>
      </c>
      <c r="M3308" t="s">
        <v>23</v>
      </c>
      <c r="N3308">
        <v>7517000</v>
      </c>
      <c r="O3308">
        <v>4.2</v>
      </c>
      <c r="P3308" t="b">
        <v>1</v>
      </c>
    </row>
    <row r="3309" spans="1:16" x14ac:dyDescent="0.2">
      <c r="A3309" t="s">
        <v>5613</v>
      </c>
      <c r="B3309" s="1">
        <v>45470</v>
      </c>
      <c r="C3309" s="1">
        <v>45495</v>
      </c>
      <c r="D3309" t="s">
        <v>5614</v>
      </c>
      <c r="E3309" t="s">
        <v>18</v>
      </c>
      <c r="F3309" t="s">
        <v>25</v>
      </c>
      <c r="G3309" t="s">
        <v>35</v>
      </c>
      <c r="H3309" t="s">
        <v>21</v>
      </c>
      <c r="I3309" t="s">
        <v>26</v>
      </c>
      <c r="J3309">
        <v>1</v>
      </c>
      <c r="K3309">
        <v>5490000</v>
      </c>
      <c r="L3309">
        <v>8.7887684642651606E-2</v>
      </c>
      <c r="M3309" t="s">
        <v>23</v>
      </c>
      <c r="N3309">
        <v>5007000</v>
      </c>
      <c r="O3309">
        <v>4.3</v>
      </c>
      <c r="P3309" t="b">
        <v>0</v>
      </c>
    </row>
    <row r="3310" spans="1:16" x14ac:dyDescent="0.2">
      <c r="A3310" t="s">
        <v>5615</v>
      </c>
      <c r="B3310" s="1">
        <v>45471</v>
      </c>
      <c r="C3310" s="1">
        <v>45537</v>
      </c>
      <c r="D3310" t="s">
        <v>620</v>
      </c>
      <c r="E3310" t="s">
        <v>33</v>
      </c>
      <c r="F3310" t="s">
        <v>45</v>
      </c>
      <c r="G3310" t="s">
        <v>35</v>
      </c>
      <c r="H3310" t="s">
        <v>47</v>
      </c>
      <c r="I3310" t="s">
        <v>83</v>
      </c>
      <c r="J3310">
        <v>1</v>
      </c>
      <c r="K3310">
        <v>2626000</v>
      </c>
      <c r="L3310" s="2" t="s">
        <v>5616</v>
      </c>
      <c r="M3310" t="s">
        <v>23</v>
      </c>
      <c r="N3310">
        <v>2246000</v>
      </c>
      <c r="O3310">
        <v>3.7</v>
      </c>
      <c r="P3310" t="b">
        <v>1</v>
      </c>
    </row>
    <row r="3311" spans="1:16" x14ac:dyDescent="0.2">
      <c r="A3311" t="s">
        <v>5617</v>
      </c>
      <c r="B3311" s="1">
        <v>45471</v>
      </c>
      <c r="C3311" s="1">
        <v>45530</v>
      </c>
      <c r="D3311" t="s">
        <v>5094</v>
      </c>
      <c r="E3311" t="s">
        <v>45</v>
      </c>
      <c r="F3311" t="s">
        <v>34</v>
      </c>
      <c r="G3311" t="s">
        <v>20</v>
      </c>
      <c r="H3311" t="s">
        <v>21</v>
      </c>
      <c r="I3311" t="s">
        <v>57</v>
      </c>
      <c r="J3311">
        <v>3</v>
      </c>
      <c r="K3311">
        <v>4372000</v>
      </c>
      <c r="L3311" s="2" t="s">
        <v>5618</v>
      </c>
      <c r="M3311" t="s">
        <v>23</v>
      </c>
      <c r="N3311">
        <v>11481000</v>
      </c>
      <c r="O3311">
        <v>4.2</v>
      </c>
      <c r="P3311" t="b">
        <v>1</v>
      </c>
    </row>
    <row r="3312" spans="1:16" x14ac:dyDescent="0.2">
      <c r="A3312" t="s">
        <v>5619</v>
      </c>
      <c r="B3312" s="1">
        <v>45472</v>
      </c>
      <c r="C3312" s="1">
        <v>45506</v>
      </c>
      <c r="D3312" t="s">
        <v>5620</v>
      </c>
      <c r="E3312" t="s">
        <v>29</v>
      </c>
      <c r="F3312" t="s">
        <v>68</v>
      </c>
      <c r="G3312" t="s">
        <v>20</v>
      </c>
      <c r="I3312" t="s">
        <v>22</v>
      </c>
      <c r="J3312">
        <v>3</v>
      </c>
      <c r="K3312">
        <v>2905000</v>
      </c>
      <c r="L3312" s="2" t="s">
        <v>5621</v>
      </c>
      <c r="M3312" t="s">
        <v>65</v>
      </c>
      <c r="N3312">
        <v>0</v>
      </c>
      <c r="P3312" t="b">
        <v>0</v>
      </c>
    </row>
    <row r="3313" spans="1:16" x14ac:dyDescent="0.2">
      <c r="A3313" t="s">
        <v>5622</v>
      </c>
      <c r="B3313" s="1">
        <v>45473</v>
      </c>
      <c r="C3313" s="1">
        <v>45536</v>
      </c>
      <c r="D3313" t="s">
        <v>4600</v>
      </c>
      <c r="E3313" t="s">
        <v>18</v>
      </c>
      <c r="F3313" t="s">
        <v>25</v>
      </c>
      <c r="G3313" t="s">
        <v>20</v>
      </c>
      <c r="H3313" t="s">
        <v>51</v>
      </c>
      <c r="I3313" t="s">
        <v>94</v>
      </c>
      <c r="J3313">
        <v>2</v>
      </c>
      <c r="K3313">
        <v>4477000</v>
      </c>
      <c r="L3313">
        <v>5.8216346481021801E-2</v>
      </c>
      <c r="M3313" t="s">
        <v>23</v>
      </c>
      <c r="N3313">
        <v>8433000</v>
      </c>
      <c r="O3313">
        <v>3.9</v>
      </c>
      <c r="P3313" t="b">
        <v>1</v>
      </c>
    </row>
    <row r="3314" spans="1:16" x14ac:dyDescent="0.2">
      <c r="A3314" t="s">
        <v>5623</v>
      </c>
      <c r="B3314" s="1">
        <v>45474</v>
      </c>
      <c r="C3314" s="1">
        <v>45537</v>
      </c>
      <c r="D3314" t="s">
        <v>2322</v>
      </c>
      <c r="E3314" t="s">
        <v>45</v>
      </c>
      <c r="F3314" t="s">
        <v>19</v>
      </c>
      <c r="G3314" t="s">
        <v>35</v>
      </c>
      <c r="H3314" t="s">
        <v>21</v>
      </c>
      <c r="I3314" t="s">
        <v>57</v>
      </c>
      <c r="J3314">
        <v>1</v>
      </c>
      <c r="K3314">
        <v>3205000</v>
      </c>
      <c r="L3314">
        <v>9.0671024493567204E-2</v>
      </c>
      <c r="M3314" t="s">
        <v>65</v>
      </c>
      <c r="N3314">
        <v>0</v>
      </c>
      <c r="P3314" t="b">
        <v>1</v>
      </c>
    </row>
    <row r="3315" spans="1:16" x14ac:dyDescent="0.2">
      <c r="A3315" t="s">
        <v>5624</v>
      </c>
      <c r="B3315" s="1">
        <v>45474</v>
      </c>
      <c r="C3315" s="1">
        <v>45528</v>
      </c>
      <c r="D3315" t="s">
        <v>2486</v>
      </c>
      <c r="E3315" t="s">
        <v>33</v>
      </c>
      <c r="F3315" t="s">
        <v>39</v>
      </c>
      <c r="G3315" t="s">
        <v>20</v>
      </c>
      <c r="H3315" t="s">
        <v>21</v>
      </c>
      <c r="I3315" t="s">
        <v>99</v>
      </c>
      <c r="J3315">
        <v>1</v>
      </c>
      <c r="K3315">
        <v>2232000</v>
      </c>
      <c r="L3315" s="2" t="s">
        <v>5625</v>
      </c>
      <c r="M3315" t="s">
        <v>23</v>
      </c>
      <c r="N3315">
        <v>1949000</v>
      </c>
      <c r="O3315">
        <v>4.3</v>
      </c>
      <c r="P3315" t="b">
        <v>1</v>
      </c>
    </row>
    <row r="3316" spans="1:16" x14ac:dyDescent="0.2">
      <c r="A3316" t="s">
        <v>5626</v>
      </c>
      <c r="B3316" s="1">
        <v>45475</v>
      </c>
      <c r="C3316" s="1">
        <v>45505</v>
      </c>
      <c r="D3316" t="s">
        <v>2957</v>
      </c>
      <c r="E3316" t="s">
        <v>33</v>
      </c>
      <c r="F3316" t="s">
        <v>34</v>
      </c>
      <c r="H3316" t="s">
        <v>40</v>
      </c>
      <c r="I3316" t="s">
        <v>60</v>
      </c>
      <c r="J3316">
        <v>4</v>
      </c>
      <c r="K3316">
        <v>4677000</v>
      </c>
      <c r="L3316" s="2" t="s">
        <v>5627</v>
      </c>
      <c r="M3316" t="s">
        <v>23</v>
      </c>
      <c r="N3316">
        <v>15981000</v>
      </c>
      <c r="O3316">
        <v>3.7</v>
      </c>
      <c r="P3316" t="b">
        <v>1</v>
      </c>
    </row>
    <row r="3317" spans="1:16" x14ac:dyDescent="0.2">
      <c r="A3317" t="s">
        <v>5628</v>
      </c>
      <c r="B3317" s="1">
        <v>45475</v>
      </c>
      <c r="C3317" s="1">
        <v>45527</v>
      </c>
      <c r="D3317" t="s">
        <v>433</v>
      </c>
      <c r="E3317" t="s">
        <v>45</v>
      </c>
      <c r="F3317" t="s">
        <v>34</v>
      </c>
      <c r="G3317" t="s">
        <v>20</v>
      </c>
      <c r="H3317" t="s">
        <v>21</v>
      </c>
      <c r="I3317" t="s">
        <v>57</v>
      </c>
      <c r="J3317">
        <v>2</v>
      </c>
      <c r="K3317">
        <v>4281000</v>
      </c>
      <c r="L3317" s="2" t="s">
        <v>5629</v>
      </c>
      <c r="M3317" t="s">
        <v>23</v>
      </c>
      <c r="N3317">
        <v>8429000</v>
      </c>
      <c r="O3317">
        <v>3.7</v>
      </c>
      <c r="P3317" t="b">
        <v>1</v>
      </c>
    </row>
    <row r="3318" spans="1:16" x14ac:dyDescent="0.2">
      <c r="A3318" t="s">
        <v>5630</v>
      </c>
      <c r="B3318" s="1">
        <v>45476</v>
      </c>
      <c r="C3318" s="1">
        <v>45533</v>
      </c>
      <c r="D3318" t="s">
        <v>5631</v>
      </c>
      <c r="E3318" t="s">
        <v>45</v>
      </c>
      <c r="F3318" t="s">
        <v>39</v>
      </c>
      <c r="G3318" t="s">
        <v>50</v>
      </c>
      <c r="H3318" t="s">
        <v>47</v>
      </c>
      <c r="I3318" t="s">
        <v>94</v>
      </c>
      <c r="J3318">
        <v>1</v>
      </c>
      <c r="K3318">
        <v>2756000</v>
      </c>
      <c r="L3318" s="2" t="s">
        <v>5632</v>
      </c>
      <c r="M3318" t="s">
        <v>23</v>
      </c>
      <c r="N3318">
        <v>2266000</v>
      </c>
      <c r="O3318">
        <v>4.9000000000000004</v>
      </c>
      <c r="P3318" t="b">
        <v>0</v>
      </c>
    </row>
    <row r="3319" spans="1:16" x14ac:dyDescent="0.2">
      <c r="A3319" t="s">
        <v>5633</v>
      </c>
      <c r="B3319" s="1">
        <v>45476</v>
      </c>
      <c r="C3319" s="1">
        <v>45552</v>
      </c>
      <c r="D3319" t="s">
        <v>5446</v>
      </c>
      <c r="E3319" t="s">
        <v>45</v>
      </c>
      <c r="F3319" t="s">
        <v>25</v>
      </c>
      <c r="G3319" t="s">
        <v>20</v>
      </c>
      <c r="H3319" t="s">
        <v>21</v>
      </c>
      <c r="I3319" t="s">
        <v>99</v>
      </c>
      <c r="J3319">
        <v>1</v>
      </c>
      <c r="K3319">
        <v>4889000</v>
      </c>
      <c r="L3319" s="2" t="s">
        <v>5634</v>
      </c>
      <c r="M3319" t="s">
        <v>23</v>
      </c>
      <c r="N3319">
        <v>4360000</v>
      </c>
      <c r="O3319">
        <v>4.2</v>
      </c>
      <c r="P3319" t="b">
        <v>1</v>
      </c>
    </row>
    <row r="3320" spans="1:16" x14ac:dyDescent="0.2">
      <c r="A3320" t="s">
        <v>5635</v>
      </c>
      <c r="B3320" s="1">
        <v>45476</v>
      </c>
      <c r="C3320" s="1">
        <v>45509</v>
      </c>
      <c r="D3320" t="s">
        <v>5636</v>
      </c>
      <c r="E3320" t="s">
        <v>45</v>
      </c>
      <c r="F3320" t="s">
        <v>19</v>
      </c>
      <c r="G3320" t="s">
        <v>50</v>
      </c>
      <c r="H3320" t="s">
        <v>21</v>
      </c>
      <c r="I3320" t="s">
        <v>60</v>
      </c>
      <c r="J3320">
        <v>3</v>
      </c>
      <c r="K3320">
        <v>2771000</v>
      </c>
      <c r="L3320" s="2" t="s">
        <v>5637</v>
      </c>
      <c r="M3320" t="s">
        <v>23</v>
      </c>
      <c r="N3320">
        <v>8100000</v>
      </c>
      <c r="O3320">
        <v>4.5999999999999996</v>
      </c>
      <c r="P3320" t="b">
        <v>0</v>
      </c>
    </row>
    <row r="3321" spans="1:16" x14ac:dyDescent="0.2">
      <c r="A3321" t="s">
        <v>5638</v>
      </c>
      <c r="B3321" s="1">
        <v>45476</v>
      </c>
      <c r="C3321" s="1">
        <v>45549</v>
      </c>
      <c r="D3321" t="s">
        <v>2207</v>
      </c>
      <c r="E3321" t="s">
        <v>45</v>
      </c>
      <c r="F3321" t="s">
        <v>45</v>
      </c>
      <c r="G3321" t="s">
        <v>50</v>
      </c>
      <c r="H3321" t="s">
        <v>21</v>
      </c>
      <c r="I3321" t="s">
        <v>22</v>
      </c>
      <c r="J3321">
        <v>1</v>
      </c>
      <c r="K3321">
        <v>3059000</v>
      </c>
      <c r="L3321">
        <v>8.8394667300256594E-2</v>
      </c>
      <c r="M3321" t="s">
        <v>23</v>
      </c>
      <c r="N3321">
        <v>2789000</v>
      </c>
      <c r="O3321">
        <v>3.8</v>
      </c>
      <c r="P3321" t="b">
        <v>1</v>
      </c>
    </row>
    <row r="3322" spans="1:16" x14ac:dyDescent="0.2">
      <c r="A3322" t="s">
        <v>5639</v>
      </c>
      <c r="B3322" s="1">
        <v>45477</v>
      </c>
      <c r="C3322" s="1">
        <v>45552</v>
      </c>
      <c r="D3322" t="s">
        <v>5181</v>
      </c>
      <c r="E3322" t="s">
        <v>18</v>
      </c>
      <c r="F3322" t="s">
        <v>34</v>
      </c>
      <c r="G3322" t="s">
        <v>20</v>
      </c>
      <c r="H3322" t="s">
        <v>21</v>
      </c>
      <c r="I3322" t="s">
        <v>30</v>
      </c>
      <c r="J3322">
        <v>3</v>
      </c>
      <c r="K3322">
        <v>3533000</v>
      </c>
      <c r="L3322" s="2" t="s">
        <v>5640</v>
      </c>
      <c r="M3322" t="s">
        <v>23</v>
      </c>
      <c r="N3322">
        <v>9025000</v>
      </c>
      <c r="O3322">
        <v>3.8</v>
      </c>
      <c r="P3322" t="b">
        <v>1</v>
      </c>
    </row>
    <row r="3323" spans="1:16" x14ac:dyDescent="0.2">
      <c r="A3323" t="s">
        <v>5641</v>
      </c>
      <c r="B3323" s="1">
        <v>45478</v>
      </c>
      <c r="C3323" s="1">
        <v>45535</v>
      </c>
      <c r="D3323" t="s">
        <v>719</v>
      </c>
      <c r="E3323" t="s">
        <v>45</v>
      </c>
      <c r="F3323" t="s">
        <v>25</v>
      </c>
      <c r="G3323" t="s">
        <v>20</v>
      </c>
      <c r="H3323" t="s">
        <v>21</v>
      </c>
      <c r="I3323" t="s">
        <v>26</v>
      </c>
      <c r="J3323">
        <v>4</v>
      </c>
      <c r="K3323">
        <v>5546000</v>
      </c>
      <c r="L3323" s="2" t="s">
        <v>5642</v>
      </c>
      <c r="M3323" t="s">
        <v>23</v>
      </c>
      <c r="N3323">
        <v>19512000</v>
      </c>
      <c r="O3323">
        <v>4.4000000000000004</v>
      </c>
      <c r="P3323" t="b">
        <v>1</v>
      </c>
    </row>
    <row r="3324" spans="1:16" x14ac:dyDescent="0.2">
      <c r="A3324" t="s">
        <v>5643</v>
      </c>
      <c r="B3324" s="1">
        <v>45478</v>
      </c>
      <c r="C3324" s="1">
        <v>45520</v>
      </c>
      <c r="D3324" t="s">
        <v>5644</v>
      </c>
      <c r="E3324" t="s">
        <v>29</v>
      </c>
      <c r="F3324" t="s">
        <v>19</v>
      </c>
      <c r="G3324" t="s">
        <v>20</v>
      </c>
      <c r="H3324" t="s">
        <v>21</v>
      </c>
      <c r="I3324" t="s">
        <v>99</v>
      </c>
      <c r="J3324">
        <v>3</v>
      </c>
      <c r="K3324">
        <v>2582000</v>
      </c>
      <c r="L3324" s="2" t="s">
        <v>5645</v>
      </c>
      <c r="M3324" t="s">
        <v>23</v>
      </c>
      <c r="N3324">
        <v>6882000</v>
      </c>
      <c r="O3324">
        <v>4.2</v>
      </c>
      <c r="P3324" t="b">
        <v>0</v>
      </c>
    </row>
    <row r="3325" spans="1:16" x14ac:dyDescent="0.2">
      <c r="A3325" t="s">
        <v>5646</v>
      </c>
      <c r="B3325" s="1">
        <v>45478</v>
      </c>
      <c r="C3325" s="1">
        <v>45571</v>
      </c>
      <c r="D3325" t="s">
        <v>5647</v>
      </c>
      <c r="E3325" t="s">
        <v>18</v>
      </c>
      <c r="F3325" t="s">
        <v>34</v>
      </c>
      <c r="G3325" t="s">
        <v>20</v>
      </c>
      <c r="H3325" t="s">
        <v>21</v>
      </c>
      <c r="I3325" t="s">
        <v>57</v>
      </c>
      <c r="J3325">
        <v>1</v>
      </c>
      <c r="K3325">
        <v>4485000</v>
      </c>
      <c r="L3325" s="2" t="s">
        <v>5648</v>
      </c>
      <c r="M3325" t="s">
        <v>23</v>
      </c>
      <c r="N3325">
        <v>3917000</v>
      </c>
      <c r="O3325">
        <v>4.2</v>
      </c>
      <c r="P3325" t="b">
        <v>0</v>
      </c>
    </row>
    <row r="3326" spans="1:16" x14ac:dyDescent="0.2">
      <c r="A3326" t="s">
        <v>5649</v>
      </c>
      <c r="B3326" s="1">
        <v>45479</v>
      </c>
      <c r="C3326" s="1">
        <v>45569</v>
      </c>
      <c r="D3326" t="s">
        <v>1824</v>
      </c>
      <c r="E3326" t="s">
        <v>45</v>
      </c>
      <c r="F3326" t="s">
        <v>34</v>
      </c>
      <c r="G3326" t="s">
        <v>35</v>
      </c>
      <c r="H3326" t="s">
        <v>40</v>
      </c>
      <c r="I3326" t="s">
        <v>26</v>
      </c>
      <c r="J3326">
        <v>3</v>
      </c>
      <c r="K3326">
        <v>3606000</v>
      </c>
      <c r="L3326" s="2" t="s">
        <v>5650</v>
      </c>
      <c r="M3326" t="s">
        <v>23</v>
      </c>
      <c r="N3326">
        <v>9074000</v>
      </c>
      <c r="O3326">
        <v>4.3</v>
      </c>
      <c r="P3326" t="b">
        <v>1</v>
      </c>
    </row>
    <row r="3327" spans="1:16" x14ac:dyDescent="0.2">
      <c r="A3327" t="s">
        <v>5651</v>
      </c>
      <c r="B3327" s="1">
        <v>45479</v>
      </c>
      <c r="C3327" s="1">
        <v>45535</v>
      </c>
      <c r="D3327" t="s">
        <v>5652</v>
      </c>
      <c r="E3327" t="s">
        <v>29</v>
      </c>
      <c r="F3327" t="s">
        <v>19</v>
      </c>
      <c r="G3327" t="s">
        <v>20</v>
      </c>
      <c r="H3327" t="s">
        <v>51</v>
      </c>
      <c r="I3327" t="s">
        <v>57</v>
      </c>
      <c r="J3327">
        <v>4</v>
      </c>
      <c r="K3327">
        <v>3289000</v>
      </c>
      <c r="L3327">
        <v>6.8728150844721003E-2</v>
      </c>
      <c r="M3327" t="s">
        <v>23</v>
      </c>
      <c r="N3327">
        <v>12252000</v>
      </c>
      <c r="O3327">
        <v>4.2</v>
      </c>
      <c r="P3327" t="b">
        <v>0</v>
      </c>
    </row>
    <row r="3328" spans="1:16" x14ac:dyDescent="0.2">
      <c r="A3328" t="s">
        <v>5653</v>
      </c>
      <c r="B3328" s="1">
        <v>45480</v>
      </c>
      <c r="C3328" s="1">
        <v>45502</v>
      </c>
      <c r="D3328" t="s">
        <v>943</v>
      </c>
      <c r="E3328" t="s">
        <v>18</v>
      </c>
      <c r="F3328" t="s">
        <v>25</v>
      </c>
      <c r="G3328" t="s">
        <v>20</v>
      </c>
      <c r="H3328" t="s">
        <v>21</v>
      </c>
      <c r="I3328" t="s">
        <v>77</v>
      </c>
      <c r="J3328">
        <v>3</v>
      </c>
      <c r="K3328">
        <v>5705000</v>
      </c>
      <c r="L3328">
        <v>9.2199271061596796E-2</v>
      </c>
      <c r="M3328" t="s">
        <v>1656</v>
      </c>
      <c r="N3328">
        <v>15537000</v>
      </c>
      <c r="O3328">
        <v>3.7</v>
      </c>
      <c r="P3328" t="b">
        <v>1</v>
      </c>
    </row>
    <row r="3329" spans="1:16" x14ac:dyDescent="0.2">
      <c r="A3329" t="s">
        <v>5654</v>
      </c>
      <c r="B3329" s="1">
        <v>45481</v>
      </c>
      <c r="C3329" s="1">
        <v>45551</v>
      </c>
      <c r="D3329" t="s">
        <v>1841</v>
      </c>
      <c r="E3329" t="s">
        <v>18</v>
      </c>
      <c r="F3329" t="s">
        <v>45</v>
      </c>
      <c r="G3329" t="s">
        <v>20</v>
      </c>
      <c r="H3329" t="s">
        <v>21</v>
      </c>
      <c r="I3329" t="s">
        <v>26</v>
      </c>
      <c r="J3329">
        <v>4</v>
      </c>
      <c r="K3329">
        <v>3280000</v>
      </c>
      <c r="L3329" s="2" t="s">
        <v>5655</v>
      </c>
      <c r="M3329" t="s">
        <v>23</v>
      </c>
      <c r="N3329">
        <v>11363000</v>
      </c>
      <c r="O3329">
        <v>4.2</v>
      </c>
      <c r="P3329" t="b">
        <v>1</v>
      </c>
    </row>
    <row r="3330" spans="1:16" x14ac:dyDescent="0.2">
      <c r="A3330" t="s">
        <v>5656</v>
      </c>
      <c r="B3330" s="1">
        <v>45481</v>
      </c>
      <c r="C3330" s="1">
        <v>45521</v>
      </c>
      <c r="D3330" t="s">
        <v>5657</v>
      </c>
      <c r="E3330" t="s">
        <v>33</v>
      </c>
      <c r="F3330" t="s">
        <v>68</v>
      </c>
      <c r="G3330" t="s">
        <v>20</v>
      </c>
      <c r="H3330" t="s">
        <v>21</v>
      </c>
      <c r="I3330" t="s">
        <v>57</v>
      </c>
      <c r="J3330">
        <v>2</v>
      </c>
      <c r="K3330">
        <v>2645000</v>
      </c>
      <c r="L3330">
        <v>3.7951233703649502E-3</v>
      </c>
      <c r="M3330" t="s">
        <v>23</v>
      </c>
      <c r="N3330">
        <v>5270000</v>
      </c>
      <c r="O3330">
        <v>4.4000000000000004</v>
      </c>
      <c r="P3330" t="b">
        <v>0</v>
      </c>
    </row>
    <row r="3331" spans="1:16" x14ac:dyDescent="0.2">
      <c r="A3331" t="s">
        <v>5658</v>
      </c>
      <c r="B3331" s="1">
        <v>45482</v>
      </c>
      <c r="C3331" s="1">
        <v>45534</v>
      </c>
      <c r="D3331" t="s">
        <v>4394</v>
      </c>
      <c r="E3331" t="s">
        <v>33</v>
      </c>
      <c r="F3331" t="s">
        <v>25</v>
      </c>
      <c r="G3331" t="s">
        <v>50</v>
      </c>
      <c r="H3331" t="s">
        <v>21</v>
      </c>
      <c r="I3331" t="s">
        <v>52</v>
      </c>
      <c r="J3331">
        <v>2</v>
      </c>
      <c r="K3331">
        <v>4728000</v>
      </c>
      <c r="L3331">
        <v>7.9416798998231702E-2</v>
      </c>
      <c r="M3331" t="s">
        <v>23</v>
      </c>
      <c r="N3331">
        <v>8705000</v>
      </c>
      <c r="O3331">
        <v>3.9</v>
      </c>
      <c r="P3331" t="b">
        <v>1</v>
      </c>
    </row>
    <row r="3332" spans="1:16" x14ac:dyDescent="0.2">
      <c r="A3332" t="s">
        <v>5659</v>
      </c>
      <c r="B3332" s="1">
        <v>45483</v>
      </c>
      <c r="C3332" s="1">
        <v>45573</v>
      </c>
      <c r="D3332" t="s">
        <v>5660</v>
      </c>
      <c r="E3332" t="s">
        <v>18</v>
      </c>
      <c r="F3332" t="s">
        <v>45</v>
      </c>
      <c r="G3332" t="s">
        <v>20</v>
      </c>
      <c r="H3332" t="s">
        <v>40</v>
      </c>
      <c r="I3332" t="s">
        <v>94</v>
      </c>
      <c r="J3332">
        <v>3</v>
      </c>
      <c r="K3332">
        <v>2979000</v>
      </c>
      <c r="L3332">
        <v>7.3710223961468299E-2</v>
      </c>
      <c r="M3332" t="s">
        <v>23</v>
      </c>
      <c r="N3332">
        <v>8278000</v>
      </c>
      <c r="O3332">
        <v>3.8</v>
      </c>
      <c r="P3332" t="b">
        <v>0</v>
      </c>
    </row>
    <row r="3333" spans="1:16" x14ac:dyDescent="0.2">
      <c r="A3333" t="s">
        <v>5661</v>
      </c>
      <c r="B3333" s="1">
        <v>45483</v>
      </c>
      <c r="C3333" s="1">
        <v>45567</v>
      </c>
      <c r="D3333" t="s">
        <v>2201</v>
      </c>
      <c r="F3333" t="s">
        <v>45</v>
      </c>
      <c r="G3333" t="s">
        <v>20</v>
      </c>
      <c r="H3333" t="s">
        <v>21</v>
      </c>
      <c r="I3333" t="s">
        <v>26</v>
      </c>
      <c r="J3333">
        <v>2</v>
      </c>
      <c r="K3333">
        <v>3306000</v>
      </c>
      <c r="L3333" s="2" t="s">
        <v>5662</v>
      </c>
      <c r="M3333" t="s">
        <v>23</v>
      </c>
      <c r="N3333">
        <v>5671000</v>
      </c>
      <c r="O3333">
        <v>4</v>
      </c>
      <c r="P3333" t="b">
        <v>1</v>
      </c>
    </row>
    <row r="3334" spans="1:16" x14ac:dyDescent="0.2">
      <c r="A3334" t="s">
        <v>5663</v>
      </c>
      <c r="B3334" s="1">
        <v>45483</v>
      </c>
      <c r="C3334" s="1">
        <v>45528</v>
      </c>
      <c r="D3334" t="s">
        <v>5664</v>
      </c>
      <c r="E3334" t="s">
        <v>45</v>
      </c>
      <c r="F3334" t="s">
        <v>34</v>
      </c>
      <c r="H3334" t="s">
        <v>47</v>
      </c>
      <c r="I3334" t="s">
        <v>57</v>
      </c>
      <c r="J3334">
        <v>1</v>
      </c>
      <c r="K3334">
        <v>4143000</v>
      </c>
      <c r="L3334" s="2" t="s">
        <v>5665</v>
      </c>
      <c r="M3334" t="s">
        <v>23</v>
      </c>
      <c r="N3334">
        <v>3547000</v>
      </c>
      <c r="O3334">
        <v>4</v>
      </c>
      <c r="P3334" t="b">
        <v>0</v>
      </c>
    </row>
    <row r="3335" spans="1:16" x14ac:dyDescent="0.2">
      <c r="A3335" t="s">
        <v>5666</v>
      </c>
      <c r="B3335" s="1">
        <v>45603</v>
      </c>
      <c r="C3335" s="1">
        <v>45531</v>
      </c>
      <c r="D3335" t="s">
        <v>1403</v>
      </c>
      <c r="E3335" t="s">
        <v>29</v>
      </c>
      <c r="F3335" t="s">
        <v>34</v>
      </c>
      <c r="H3335" t="s">
        <v>21</v>
      </c>
      <c r="I3335" t="s">
        <v>26</v>
      </c>
      <c r="J3335">
        <v>3</v>
      </c>
      <c r="K3335">
        <v>4270000</v>
      </c>
      <c r="L3335" s="2" t="s">
        <v>5667</v>
      </c>
      <c r="M3335" t="s">
        <v>23</v>
      </c>
      <c r="N3335">
        <v>12206000</v>
      </c>
      <c r="O3335">
        <v>4.8</v>
      </c>
      <c r="P3335" t="b">
        <v>1</v>
      </c>
    </row>
    <row r="3336" spans="1:16" x14ac:dyDescent="0.2">
      <c r="A3336" t="s">
        <v>5668</v>
      </c>
      <c r="B3336" s="1">
        <v>45484</v>
      </c>
      <c r="C3336" s="1">
        <v>45536</v>
      </c>
      <c r="D3336" t="s">
        <v>2631</v>
      </c>
      <c r="E3336" t="s">
        <v>18</v>
      </c>
      <c r="F3336" t="s">
        <v>25</v>
      </c>
      <c r="G3336" t="s">
        <v>20</v>
      </c>
      <c r="H3336" t="s">
        <v>47</v>
      </c>
      <c r="I3336" t="s">
        <v>57</v>
      </c>
      <c r="J3336">
        <v>1</v>
      </c>
      <c r="K3336">
        <v>4765000</v>
      </c>
      <c r="L3336">
        <v>7.8831399003334607E-2</v>
      </c>
      <c r="M3336" t="s">
        <v>23</v>
      </c>
      <c r="N3336">
        <v>4389000</v>
      </c>
      <c r="O3336">
        <v>4.5</v>
      </c>
      <c r="P3336" t="b">
        <v>1</v>
      </c>
    </row>
    <row r="3337" spans="1:16" x14ac:dyDescent="0.2">
      <c r="A3337" t="s">
        <v>5669</v>
      </c>
      <c r="B3337" s="1">
        <v>45484</v>
      </c>
      <c r="C3337" s="1">
        <v>45519</v>
      </c>
      <c r="D3337" t="s">
        <v>4825</v>
      </c>
      <c r="E3337" t="s">
        <v>29</v>
      </c>
      <c r="F3337" t="s">
        <v>45</v>
      </c>
      <c r="G3337" t="s">
        <v>35</v>
      </c>
      <c r="H3337" t="s">
        <v>40</v>
      </c>
      <c r="I3337" t="s">
        <v>52</v>
      </c>
      <c r="J3337">
        <v>1</v>
      </c>
      <c r="K3337">
        <v>3162000</v>
      </c>
      <c r="L3337" s="2" t="s">
        <v>5670</v>
      </c>
      <c r="M3337" t="s">
        <v>23</v>
      </c>
      <c r="N3337">
        <v>2844000</v>
      </c>
      <c r="O3337">
        <v>4.9000000000000004</v>
      </c>
      <c r="P3337" t="b">
        <v>1</v>
      </c>
    </row>
    <row r="3338" spans="1:16" x14ac:dyDescent="0.2">
      <c r="A3338" t="s">
        <v>5671</v>
      </c>
      <c r="B3338" s="1">
        <v>45485</v>
      </c>
      <c r="C3338" s="1">
        <v>45552</v>
      </c>
      <c r="D3338" t="s">
        <v>4110</v>
      </c>
      <c r="E3338" t="s">
        <v>45</v>
      </c>
      <c r="F3338" t="s">
        <v>45</v>
      </c>
      <c r="G3338" t="s">
        <v>20</v>
      </c>
      <c r="H3338" t="s">
        <v>47</v>
      </c>
      <c r="I3338" t="s">
        <v>77</v>
      </c>
      <c r="J3338">
        <v>2</v>
      </c>
      <c r="K3338">
        <v>3494000</v>
      </c>
      <c r="L3338">
        <v>8.2925538538221294E-2</v>
      </c>
      <c r="M3338" t="s">
        <v>23</v>
      </c>
      <c r="N3338">
        <v>6409000</v>
      </c>
      <c r="O3338">
        <v>3.7</v>
      </c>
      <c r="P3338" t="b">
        <v>1</v>
      </c>
    </row>
    <row r="3339" spans="1:16" x14ac:dyDescent="0.2">
      <c r="A3339" t="s">
        <v>5672</v>
      </c>
      <c r="B3339" s="1">
        <v>45485</v>
      </c>
      <c r="C3339" s="1">
        <v>45526</v>
      </c>
      <c r="D3339" t="s">
        <v>5096</v>
      </c>
      <c r="E3339" t="s">
        <v>18</v>
      </c>
      <c r="F3339" t="s">
        <v>19</v>
      </c>
      <c r="H3339" t="s">
        <v>21</v>
      </c>
      <c r="I3339" t="s">
        <v>52</v>
      </c>
      <c r="J3339">
        <v>2</v>
      </c>
      <c r="K3339">
        <v>2638000</v>
      </c>
      <c r="L3339">
        <v>2.5960223510168998E-2</v>
      </c>
      <c r="M3339" t="s">
        <v>23</v>
      </c>
      <c r="N3339">
        <v>5139000</v>
      </c>
      <c r="O3339">
        <v>4.7</v>
      </c>
      <c r="P3339" t="b">
        <v>1</v>
      </c>
    </row>
    <row r="3340" spans="1:16" x14ac:dyDescent="0.2">
      <c r="A3340" t="s">
        <v>5673</v>
      </c>
      <c r="B3340" s="1">
        <v>45485</v>
      </c>
      <c r="C3340" s="1">
        <v>45550</v>
      </c>
      <c r="D3340" t="s">
        <v>5674</v>
      </c>
      <c r="E3340" t="s">
        <v>45</v>
      </c>
      <c r="F3340" t="s">
        <v>34</v>
      </c>
      <c r="G3340" t="s">
        <v>20</v>
      </c>
      <c r="H3340" t="s">
        <v>21</v>
      </c>
      <c r="I3340" t="s">
        <v>94</v>
      </c>
      <c r="J3340">
        <v>2</v>
      </c>
      <c r="K3340">
        <v>4429000</v>
      </c>
      <c r="L3340" s="2" t="s">
        <v>5675</v>
      </c>
      <c r="M3340" t="s">
        <v>23</v>
      </c>
      <c r="N3340">
        <v>7502000</v>
      </c>
      <c r="O3340">
        <v>4</v>
      </c>
      <c r="P3340" t="b">
        <v>0</v>
      </c>
    </row>
    <row r="3341" spans="1:16" x14ac:dyDescent="0.2">
      <c r="A3341" t="s">
        <v>5676</v>
      </c>
      <c r="B3341" s="1">
        <v>45485</v>
      </c>
      <c r="C3341" s="1">
        <v>45564</v>
      </c>
      <c r="D3341" t="s">
        <v>3724</v>
      </c>
      <c r="E3341" t="s">
        <v>45</v>
      </c>
      <c r="F3341" t="s">
        <v>25</v>
      </c>
      <c r="G3341" t="s">
        <v>50</v>
      </c>
      <c r="H3341" t="s">
        <v>40</v>
      </c>
      <c r="I3341" t="s">
        <v>99</v>
      </c>
      <c r="J3341">
        <v>3</v>
      </c>
      <c r="K3341">
        <v>4535000</v>
      </c>
      <c r="L3341">
        <v>8.7790675063537701E-2</v>
      </c>
      <c r="M3341" t="s">
        <v>23</v>
      </c>
      <c r="N3341">
        <v>12411000</v>
      </c>
      <c r="O3341">
        <v>3.7</v>
      </c>
      <c r="P3341" t="b">
        <v>1</v>
      </c>
    </row>
    <row r="3342" spans="1:16" x14ac:dyDescent="0.2">
      <c r="A3342" t="s">
        <v>5677</v>
      </c>
      <c r="B3342" s="1">
        <v>45486</v>
      </c>
      <c r="C3342" s="1">
        <v>45544</v>
      </c>
      <c r="D3342" t="s">
        <v>298</v>
      </c>
      <c r="E3342" t="s">
        <v>45</v>
      </c>
      <c r="F3342" t="s">
        <v>19</v>
      </c>
      <c r="G3342" t="s">
        <v>35</v>
      </c>
      <c r="I3342" t="s">
        <v>77</v>
      </c>
      <c r="J3342">
        <v>3</v>
      </c>
      <c r="K3342">
        <v>2752000</v>
      </c>
      <c r="L3342" s="2" t="s">
        <v>5678</v>
      </c>
      <c r="M3342" t="s">
        <v>23</v>
      </c>
      <c r="N3342">
        <v>6945000</v>
      </c>
      <c r="O3342">
        <v>3.8</v>
      </c>
      <c r="P3342" t="b">
        <v>1</v>
      </c>
    </row>
    <row r="3343" spans="1:16" x14ac:dyDescent="0.2">
      <c r="A3343" t="s">
        <v>5679</v>
      </c>
      <c r="B3343" s="1">
        <v>45486</v>
      </c>
      <c r="C3343" s="1">
        <v>45543</v>
      </c>
      <c r="D3343" t="s">
        <v>5680</v>
      </c>
      <c r="E3343" t="s">
        <v>45</v>
      </c>
      <c r="F3343" t="s">
        <v>19</v>
      </c>
      <c r="G3343" t="s">
        <v>35</v>
      </c>
      <c r="H3343" t="s">
        <v>21</v>
      </c>
      <c r="I3343" t="s">
        <v>60</v>
      </c>
      <c r="J3343">
        <v>2</v>
      </c>
      <c r="K3343">
        <v>2574000</v>
      </c>
      <c r="L3343">
        <v>8.17531814790525E-2</v>
      </c>
      <c r="M3343" t="s">
        <v>23</v>
      </c>
      <c r="N3343">
        <v>4727000</v>
      </c>
      <c r="O3343">
        <v>3.5</v>
      </c>
      <c r="P3343" t="b">
        <v>0</v>
      </c>
    </row>
    <row r="3344" spans="1:16" x14ac:dyDescent="0.2">
      <c r="A3344" t="s">
        <v>5681</v>
      </c>
      <c r="B3344" s="1">
        <v>45486</v>
      </c>
      <c r="C3344" s="1">
        <v>45535</v>
      </c>
      <c r="D3344" t="s">
        <v>5682</v>
      </c>
      <c r="E3344" t="s">
        <v>18</v>
      </c>
      <c r="F3344" t="s">
        <v>45</v>
      </c>
      <c r="H3344" t="s">
        <v>21</v>
      </c>
      <c r="I3344" t="s">
        <v>30</v>
      </c>
      <c r="J3344">
        <v>1</v>
      </c>
      <c r="K3344">
        <v>3127000</v>
      </c>
      <c r="L3344" s="2" t="s">
        <v>5683</v>
      </c>
      <c r="M3344" t="s">
        <v>65</v>
      </c>
      <c r="N3344">
        <v>0</v>
      </c>
      <c r="P3344" t="b">
        <v>0</v>
      </c>
    </row>
    <row r="3345" spans="1:16" x14ac:dyDescent="0.2">
      <c r="A3345" t="s">
        <v>5684</v>
      </c>
      <c r="B3345" s="1">
        <v>45486</v>
      </c>
      <c r="C3345" s="1">
        <v>45513</v>
      </c>
      <c r="D3345" t="s">
        <v>1522</v>
      </c>
      <c r="E3345" t="s">
        <v>33</v>
      </c>
      <c r="F3345" t="s">
        <v>39</v>
      </c>
      <c r="G3345" t="s">
        <v>50</v>
      </c>
      <c r="H3345" t="s">
        <v>21</v>
      </c>
      <c r="I3345" t="s">
        <v>60</v>
      </c>
      <c r="J3345">
        <v>3</v>
      </c>
      <c r="K3345">
        <v>2732000</v>
      </c>
      <c r="L3345" s="2" t="s">
        <v>5685</v>
      </c>
      <c r="M3345" t="s">
        <v>23</v>
      </c>
      <c r="N3345">
        <v>7350000</v>
      </c>
      <c r="O3345">
        <v>3.3</v>
      </c>
      <c r="P3345" t="b">
        <v>1</v>
      </c>
    </row>
    <row r="3346" spans="1:16" x14ac:dyDescent="0.2">
      <c r="A3346" t="s">
        <v>5686</v>
      </c>
      <c r="B3346" s="1">
        <v>45486</v>
      </c>
      <c r="C3346" s="1">
        <v>45538</v>
      </c>
      <c r="D3346" t="s">
        <v>3154</v>
      </c>
      <c r="E3346" t="s">
        <v>18</v>
      </c>
      <c r="F3346" t="s">
        <v>45</v>
      </c>
      <c r="G3346" t="s">
        <v>50</v>
      </c>
      <c r="I3346" t="s">
        <v>60</v>
      </c>
      <c r="J3346">
        <v>2</v>
      </c>
      <c r="K3346">
        <v>3625000</v>
      </c>
      <c r="L3346" s="2" t="s">
        <v>5687</v>
      </c>
      <c r="M3346" t="s">
        <v>23</v>
      </c>
      <c r="N3346">
        <v>6099000</v>
      </c>
      <c r="O3346">
        <v>4.5999999999999996</v>
      </c>
      <c r="P3346" t="b">
        <v>1</v>
      </c>
    </row>
    <row r="3347" spans="1:16" x14ac:dyDescent="0.2">
      <c r="A3347" t="s">
        <v>5688</v>
      </c>
      <c r="B3347" s="1">
        <v>45486</v>
      </c>
      <c r="C3347" s="1">
        <v>45523</v>
      </c>
      <c r="D3347" t="s">
        <v>5689</v>
      </c>
      <c r="E3347" t="s">
        <v>45</v>
      </c>
      <c r="F3347" t="s">
        <v>68</v>
      </c>
      <c r="G3347" t="s">
        <v>20</v>
      </c>
      <c r="H3347" t="s">
        <v>51</v>
      </c>
      <c r="I3347" t="s">
        <v>77</v>
      </c>
      <c r="J3347">
        <v>1</v>
      </c>
      <c r="K3347">
        <v>2689000</v>
      </c>
      <c r="L3347" s="2" t="s">
        <v>5690</v>
      </c>
      <c r="M3347" t="s">
        <v>65</v>
      </c>
      <c r="N3347">
        <v>0</v>
      </c>
      <c r="P3347" t="b">
        <v>0</v>
      </c>
    </row>
    <row r="3348" spans="1:16" x14ac:dyDescent="0.2">
      <c r="A3348" t="s">
        <v>5691</v>
      </c>
      <c r="B3348" s="1">
        <v>45486</v>
      </c>
      <c r="C3348" s="1">
        <v>45528</v>
      </c>
      <c r="D3348" t="s">
        <v>5692</v>
      </c>
      <c r="E3348" t="s">
        <v>45</v>
      </c>
      <c r="F3348" t="s">
        <v>34</v>
      </c>
      <c r="G3348" t="s">
        <v>20</v>
      </c>
      <c r="H3348" t="s">
        <v>51</v>
      </c>
      <c r="I3348" t="s">
        <v>26</v>
      </c>
      <c r="J3348">
        <v>2</v>
      </c>
      <c r="K3348">
        <v>4483000</v>
      </c>
      <c r="L3348" s="2" t="s">
        <v>5693</v>
      </c>
      <c r="M3348" t="s">
        <v>23</v>
      </c>
      <c r="N3348">
        <v>7777000</v>
      </c>
      <c r="O3348">
        <v>3.8</v>
      </c>
      <c r="P3348" t="b">
        <v>0</v>
      </c>
    </row>
    <row r="3349" spans="1:16" x14ac:dyDescent="0.2">
      <c r="A3349" t="s">
        <v>5694</v>
      </c>
      <c r="B3349" s="1">
        <v>45487</v>
      </c>
      <c r="C3349" s="1">
        <v>45549</v>
      </c>
      <c r="D3349" t="s">
        <v>5695</v>
      </c>
      <c r="E3349" t="s">
        <v>33</v>
      </c>
      <c r="F3349" t="s">
        <v>34</v>
      </c>
      <c r="G3349" t="s">
        <v>20</v>
      </c>
      <c r="H3349" t="s">
        <v>21</v>
      </c>
      <c r="I3349" t="s">
        <v>83</v>
      </c>
      <c r="J3349">
        <v>1</v>
      </c>
      <c r="K3349">
        <v>4300000</v>
      </c>
      <c r="L3349">
        <v>7.3150944429043505E-2</v>
      </c>
      <c r="M3349" t="s">
        <v>23</v>
      </c>
      <c r="N3349">
        <v>3985000</v>
      </c>
      <c r="O3349">
        <v>4.4000000000000004</v>
      </c>
      <c r="P3349" t="b">
        <v>0</v>
      </c>
    </row>
    <row r="3350" spans="1:16" x14ac:dyDescent="0.2">
      <c r="A3350" t="s">
        <v>5696</v>
      </c>
      <c r="B3350" s="1">
        <v>45487</v>
      </c>
      <c r="C3350" s="1">
        <v>45571</v>
      </c>
      <c r="D3350" t="s">
        <v>3636</v>
      </c>
      <c r="E3350" t="s">
        <v>18</v>
      </c>
      <c r="F3350" t="s">
        <v>45</v>
      </c>
      <c r="G3350" t="s">
        <v>20</v>
      </c>
      <c r="H3350" t="s">
        <v>21</v>
      </c>
      <c r="I3350" t="s">
        <v>57</v>
      </c>
      <c r="J3350">
        <v>2</v>
      </c>
      <c r="K3350">
        <v>3491000</v>
      </c>
      <c r="L3350">
        <v>9.5366188403714497E-2</v>
      </c>
      <c r="M3350" t="s">
        <v>23</v>
      </c>
      <c r="N3350">
        <v>6316000</v>
      </c>
      <c r="O3350">
        <v>4.7</v>
      </c>
      <c r="P3350" t="b">
        <v>1</v>
      </c>
    </row>
    <row r="3351" spans="1:16" x14ac:dyDescent="0.2">
      <c r="A3351" t="s">
        <v>5697</v>
      </c>
      <c r="B3351" s="1">
        <v>45487</v>
      </c>
      <c r="C3351" s="1">
        <v>45536</v>
      </c>
      <c r="D3351" t="s">
        <v>3385</v>
      </c>
      <c r="E3351" t="s">
        <v>45</v>
      </c>
      <c r="F3351" t="s">
        <v>34</v>
      </c>
      <c r="G3351" t="s">
        <v>20</v>
      </c>
      <c r="H3351" t="s">
        <v>47</v>
      </c>
      <c r="I3351" t="s">
        <v>60</v>
      </c>
      <c r="J3351">
        <v>1</v>
      </c>
      <c r="K3351">
        <v>4312000</v>
      </c>
      <c r="L3351">
        <v>5.4520920004947099E-2</v>
      </c>
      <c r="M3351" t="s">
        <v>65</v>
      </c>
      <c r="N3351">
        <v>0</v>
      </c>
      <c r="P3351" t="b">
        <v>1</v>
      </c>
    </row>
    <row r="3352" spans="1:16" x14ac:dyDescent="0.2">
      <c r="A3352" t="s">
        <v>5698</v>
      </c>
      <c r="B3352" s="1">
        <v>45488</v>
      </c>
      <c r="C3352" s="1">
        <v>45563</v>
      </c>
      <c r="D3352" t="s">
        <v>5699</v>
      </c>
      <c r="E3352" t="s">
        <v>18</v>
      </c>
      <c r="F3352" t="s">
        <v>25</v>
      </c>
      <c r="G3352" t="s">
        <v>20</v>
      </c>
      <c r="H3352" t="s">
        <v>51</v>
      </c>
      <c r="I3352" t="s">
        <v>57</v>
      </c>
      <c r="J3352">
        <v>1</v>
      </c>
      <c r="K3352">
        <v>4781000</v>
      </c>
      <c r="L3352" s="2" t="s">
        <v>5700</v>
      </c>
      <c r="M3352" t="s">
        <v>23</v>
      </c>
      <c r="N3352">
        <v>4017000</v>
      </c>
      <c r="O3352">
        <v>4.5999999999999996</v>
      </c>
      <c r="P3352" t="b">
        <v>0</v>
      </c>
    </row>
    <row r="3353" spans="1:16" x14ac:dyDescent="0.2">
      <c r="A3353" t="s">
        <v>5701</v>
      </c>
      <c r="B3353" s="1">
        <v>45488</v>
      </c>
      <c r="C3353" s="1">
        <v>45542</v>
      </c>
      <c r="D3353" t="s">
        <v>2736</v>
      </c>
      <c r="E3353" t="s">
        <v>45</v>
      </c>
      <c r="F3353" t="s">
        <v>19</v>
      </c>
      <c r="G3353" t="s">
        <v>20</v>
      </c>
      <c r="H3353" t="s">
        <v>40</v>
      </c>
      <c r="I3353" t="s">
        <v>83</v>
      </c>
      <c r="J3353">
        <v>2</v>
      </c>
      <c r="K3353">
        <v>2519000</v>
      </c>
      <c r="L3353">
        <v>9.1976335907012693E-2</v>
      </c>
      <c r="M3353" t="s">
        <v>23</v>
      </c>
      <c r="N3353">
        <v>4575000</v>
      </c>
      <c r="O3353">
        <v>4.2</v>
      </c>
      <c r="P3353" t="b">
        <v>1</v>
      </c>
    </row>
    <row r="3354" spans="1:16" x14ac:dyDescent="0.2">
      <c r="A3354" t="s">
        <v>5702</v>
      </c>
      <c r="B3354" s="1">
        <v>45488</v>
      </c>
      <c r="C3354" s="1">
        <v>45513</v>
      </c>
      <c r="D3354" t="s">
        <v>2733</v>
      </c>
      <c r="E3354" t="s">
        <v>45</v>
      </c>
      <c r="F3354" t="s">
        <v>39</v>
      </c>
      <c r="G3354" t="s">
        <v>50</v>
      </c>
      <c r="H3354" t="s">
        <v>47</v>
      </c>
      <c r="J3354">
        <v>2</v>
      </c>
      <c r="K3354">
        <v>2755000</v>
      </c>
      <c r="L3354">
        <v>4.6647114517574202E-2</v>
      </c>
      <c r="M3354" t="s">
        <v>23</v>
      </c>
      <c r="N3354">
        <v>5253000</v>
      </c>
      <c r="O3354">
        <v>4.4000000000000004</v>
      </c>
      <c r="P3354" t="b">
        <v>1</v>
      </c>
    </row>
    <row r="3355" spans="1:16" x14ac:dyDescent="0.2">
      <c r="A3355" t="s">
        <v>5703</v>
      </c>
      <c r="B3355" s="1">
        <v>45488</v>
      </c>
      <c r="C3355" s="1">
        <v>45559</v>
      </c>
      <c r="D3355" t="s">
        <v>4165</v>
      </c>
      <c r="E3355" t="s">
        <v>18</v>
      </c>
      <c r="F3355" t="s">
        <v>45</v>
      </c>
      <c r="G3355" t="s">
        <v>35</v>
      </c>
      <c r="H3355" t="s">
        <v>40</v>
      </c>
      <c r="I3355" t="s">
        <v>60</v>
      </c>
      <c r="J3355">
        <v>1</v>
      </c>
      <c r="K3355">
        <v>3438000</v>
      </c>
      <c r="L3355" s="3">
        <v>8.8999999999999996E-2</v>
      </c>
      <c r="M3355" t="s">
        <v>23</v>
      </c>
      <c r="N3355">
        <v>3133000</v>
      </c>
      <c r="O3355">
        <v>4.9000000000000004</v>
      </c>
      <c r="P3355" t="b">
        <v>1</v>
      </c>
    </row>
    <row r="3356" spans="1:16" x14ac:dyDescent="0.2">
      <c r="A3356" t="s">
        <v>5704</v>
      </c>
      <c r="B3356" s="1">
        <v>45489</v>
      </c>
      <c r="C3356" s="1">
        <v>45509</v>
      </c>
      <c r="D3356" t="s">
        <v>907</v>
      </c>
      <c r="E3356" t="s">
        <v>18</v>
      </c>
      <c r="F3356" t="s">
        <v>39</v>
      </c>
      <c r="G3356" t="s">
        <v>35</v>
      </c>
      <c r="H3356" t="s">
        <v>40</v>
      </c>
      <c r="I3356" t="s">
        <v>94</v>
      </c>
      <c r="J3356">
        <v>3</v>
      </c>
      <c r="K3356">
        <v>3000000</v>
      </c>
      <c r="L3356" s="2" t="s">
        <v>5705</v>
      </c>
      <c r="M3356" t="s">
        <v>1656</v>
      </c>
      <c r="N3356">
        <v>7878000</v>
      </c>
      <c r="O3356">
        <v>4.9000000000000004</v>
      </c>
      <c r="P3356" t="b">
        <v>1</v>
      </c>
    </row>
    <row r="3357" spans="1:16" x14ac:dyDescent="0.2">
      <c r="A3357" t="s">
        <v>5706</v>
      </c>
      <c r="B3357" s="1">
        <v>45490</v>
      </c>
      <c r="C3357" s="1">
        <v>45573</v>
      </c>
      <c r="D3357" t="s">
        <v>2550</v>
      </c>
      <c r="E3357" t="s">
        <v>33</v>
      </c>
      <c r="F3357" t="s">
        <v>19</v>
      </c>
      <c r="G3357" t="s">
        <v>20</v>
      </c>
      <c r="H3357" t="s">
        <v>40</v>
      </c>
      <c r="I3357" t="s">
        <v>99</v>
      </c>
      <c r="J3357">
        <v>2</v>
      </c>
      <c r="K3357">
        <v>2392000</v>
      </c>
      <c r="L3357" s="2" t="s">
        <v>5707</v>
      </c>
      <c r="M3357" t="s">
        <v>23</v>
      </c>
      <c r="N3357">
        <v>4667000</v>
      </c>
      <c r="O3357">
        <v>4.2</v>
      </c>
      <c r="P3357" t="b">
        <v>1</v>
      </c>
    </row>
    <row r="3358" spans="1:16" x14ac:dyDescent="0.2">
      <c r="A3358" t="s">
        <v>5708</v>
      </c>
      <c r="B3358" s="1">
        <v>45490</v>
      </c>
      <c r="C3358" s="1">
        <v>45573</v>
      </c>
      <c r="D3358" t="s">
        <v>2933</v>
      </c>
      <c r="E3358" t="s">
        <v>33</v>
      </c>
      <c r="F3358" t="s">
        <v>34</v>
      </c>
      <c r="G3358" t="s">
        <v>20</v>
      </c>
      <c r="H3358" t="s">
        <v>47</v>
      </c>
      <c r="I3358" t="s">
        <v>83</v>
      </c>
      <c r="J3358">
        <v>5</v>
      </c>
      <c r="K3358">
        <v>4112000</v>
      </c>
      <c r="L3358">
        <v>7.3682409182824898E-2</v>
      </c>
      <c r="M3358" t="s">
        <v>65</v>
      </c>
      <c r="N3358">
        <v>0</v>
      </c>
      <c r="P3358" t="b">
        <v>1</v>
      </c>
    </row>
    <row r="3359" spans="1:16" x14ac:dyDescent="0.2">
      <c r="A3359" t="s">
        <v>5709</v>
      </c>
      <c r="B3359" s="1">
        <v>45490</v>
      </c>
      <c r="C3359" s="1">
        <v>45528</v>
      </c>
      <c r="D3359" t="s">
        <v>5264</v>
      </c>
      <c r="E3359" t="s">
        <v>45</v>
      </c>
      <c r="F3359" t="s">
        <v>39</v>
      </c>
      <c r="G3359" t="s">
        <v>35</v>
      </c>
      <c r="H3359" t="s">
        <v>21</v>
      </c>
      <c r="I3359" t="s">
        <v>22</v>
      </c>
      <c r="J3359">
        <v>4</v>
      </c>
      <c r="K3359">
        <v>2074000</v>
      </c>
      <c r="L3359" s="2" t="s">
        <v>5710</v>
      </c>
      <c r="M3359" t="s">
        <v>23</v>
      </c>
      <c r="N3359">
        <v>7963000</v>
      </c>
      <c r="O3359">
        <v>4.5</v>
      </c>
      <c r="P3359" t="b">
        <v>1</v>
      </c>
    </row>
    <row r="3360" spans="1:16" x14ac:dyDescent="0.2">
      <c r="A3360" t="s">
        <v>5711</v>
      </c>
      <c r="B3360" s="1">
        <v>45490</v>
      </c>
      <c r="C3360" s="1">
        <v>45542</v>
      </c>
      <c r="D3360" t="s">
        <v>5712</v>
      </c>
      <c r="E3360" t="s">
        <v>45</v>
      </c>
      <c r="F3360" t="s">
        <v>39</v>
      </c>
      <c r="G3360" t="s">
        <v>20</v>
      </c>
      <c r="H3360" t="s">
        <v>21</v>
      </c>
      <c r="I3360" t="s">
        <v>83</v>
      </c>
      <c r="J3360">
        <v>1</v>
      </c>
      <c r="K3360">
        <v>1306000</v>
      </c>
      <c r="L3360" s="2" t="s">
        <v>5713</v>
      </c>
      <c r="M3360" t="s">
        <v>23</v>
      </c>
      <c r="N3360">
        <v>1116000</v>
      </c>
      <c r="O3360">
        <v>4.4000000000000004</v>
      </c>
      <c r="P3360" t="b">
        <v>0</v>
      </c>
    </row>
    <row r="3361" spans="1:16" x14ac:dyDescent="0.2">
      <c r="A3361" t="s">
        <v>5714</v>
      </c>
      <c r="B3361" s="1">
        <v>45490</v>
      </c>
      <c r="C3361" s="1">
        <v>45558</v>
      </c>
      <c r="D3361" t="s">
        <v>5715</v>
      </c>
      <c r="E3361" t="s">
        <v>18</v>
      </c>
      <c r="F3361" t="s">
        <v>19</v>
      </c>
      <c r="G3361" t="s">
        <v>35</v>
      </c>
      <c r="H3361" t="s">
        <v>21</v>
      </c>
      <c r="I3361" t="s">
        <v>94</v>
      </c>
      <c r="J3361">
        <v>3</v>
      </c>
      <c r="K3361">
        <v>2507000</v>
      </c>
      <c r="L3361" s="2" t="s">
        <v>5716</v>
      </c>
      <c r="M3361" t="s">
        <v>23</v>
      </c>
      <c r="N3361">
        <v>6702000</v>
      </c>
      <c r="O3361">
        <v>3.9</v>
      </c>
      <c r="P3361" t="b">
        <v>0</v>
      </c>
    </row>
    <row r="3362" spans="1:16" x14ac:dyDescent="0.2">
      <c r="A3362" t="s">
        <v>5717</v>
      </c>
      <c r="B3362" s="1">
        <v>45491</v>
      </c>
      <c r="C3362" s="1">
        <v>45564</v>
      </c>
      <c r="D3362" t="s">
        <v>5718</v>
      </c>
      <c r="E3362" t="s">
        <v>18</v>
      </c>
      <c r="F3362" t="s">
        <v>68</v>
      </c>
      <c r="G3362" t="s">
        <v>35</v>
      </c>
      <c r="H3362" t="s">
        <v>21</v>
      </c>
      <c r="J3362">
        <v>1</v>
      </c>
      <c r="K3362">
        <v>2611000</v>
      </c>
      <c r="L3362">
        <v>8.8346898708478297E-2</v>
      </c>
      <c r="M3362" t="s">
        <v>23</v>
      </c>
      <c r="N3362">
        <v>2380000</v>
      </c>
      <c r="O3362">
        <v>4.2</v>
      </c>
      <c r="P3362" t="b">
        <v>0</v>
      </c>
    </row>
    <row r="3363" spans="1:16" x14ac:dyDescent="0.2">
      <c r="A3363" t="s">
        <v>5719</v>
      </c>
      <c r="B3363" s="1">
        <v>45491</v>
      </c>
      <c r="C3363" s="1">
        <v>45526</v>
      </c>
      <c r="D3363" t="s">
        <v>1359</v>
      </c>
      <c r="E3363" t="s">
        <v>45</v>
      </c>
      <c r="F3363" t="s">
        <v>25</v>
      </c>
      <c r="G3363" t="s">
        <v>20</v>
      </c>
      <c r="H3363" t="s">
        <v>40</v>
      </c>
      <c r="I3363" t="s">
        <v>83</v>
      </c>
      <c r="J3363">
        <v>2</v>
      </c>
      <c r="K3363">
        <v>4417000</v>
      </c>
      <c r="L3363">
        <v>8.3589590786195697E-2</v>
      </c>
      <c r="M3363" t="s">
        <v>23</v>
      </c>
      <c r="N3363">
        <v>8096000</v>
      </c>
      <c r="O3363">
        <v>4.3</v>
      </c>
      <c r="P3363" t="b">
        <v>1</v>
      </c>
    </row>
    <row r="3364" spans="1:16" x14ac:dyDescent="0.2">
      <c r="A3364" t="s">
        <v>5720</v>
      </c>
      <c r="B3364" s="1">
        <v>45491</v>
      </c>
      <c r="C3364" s="1">
        <v>45547</v>
      </c>
      <c r="D3364" t="s">
        <v>5721</v>
      </c>
      <c r="E3364" t="s">
        <v>33</v>
      </c>
      <c r="F3364" t="s">
        <v>34</v>
      </c>
      <c r="G3364" t="s">
        <v>46</v>
      </c>
      <c r="H3364" t="s">
        <v>21</v>
      </c>
      <c r="I3364" t="s">
        <v>1654</v>
      </c>
      <c r="J3364">
        <v>2</v>
      </c>
      <c r="K3364">
        <v>3019000</v>
      </c>
      <c r="L3364" s="2" t="s">
        <v>5722</v>
      </c>
      <c r="M3364" t="s">
        <v>23</v>
      </c>
      <c r="N3364">
        <v>5225000</v>
      </c>
      <c r="O3364">
        <v>4</v>
      </c>
      <c r="P3364" t="b">
        <v>0</v>
      </c>
    </row>
    <row r="3365" spans="1:16" x14ac:dyDescent="0.2">
      <c r="A3365" t="s">
        <v>5723</v>
      </c>
      <c r="B3365" s="1">
        <v>45491</v>
      </c>
      <c r="C3365" s="1">
        <v>45558</v>
      </c>
      <c r="D3365" t="s">
        <v>5724</v>
      </c>
      <c r="E3365" t="s">
        <v>45</v>
      </c>
      <c r="F3365" t="s">
        <v>68</v>
      </c>
      <c r="G3365" t="s">
        <v>50</v>
      </c>
      <c r="H3365" t="s">
        <v>21</v>
      </c>
      <c r="I3365" t="s">
        <v>83</v>
      </c>
      <c r="J3365">
        <v>1</v>
      </c>
      <c r="K3365">
        <v>2081000</v>
      </c>
      <c r="L3365">
        <v>9.69724134837541E-2</v>
      </c>
      <c r="M3365" t="s">
        <v>23</v>
      </c>
      <c r="N3365">
        <v>1879000</v>
      </c>
      <c r="O3365">
        <v>4.4000000000000004</v>
      </c>
      <c r="P3365" t="b">
        <v>0</v>
      </c>
    </row>
    <row r="3366" spans="1:16" x14ac:dyDescent="0.2">
      <c r="A3366" t="s">
        <v>5725</v>
      </c>
      <c r="B3366" s="1">
        <v>45491</v>
      </c>
      <c r="C3366" s="1">
        <v>45540</v>
      </c>
      <c r="D3366" t="s">
        <v>339</v>
      </c>
      <c r="E3366" t="s">
        <v>45</v>
      </c>
      <c r="F3366" t="s">
        <v>34</v>
      </c>
      <c r="G3366" t="s">
        <v>50</v>
      </c>
      <c r="H3366" t="s">
        <v>21</v>
      </c>
      <c r="I3366" t="s">
        <v>83</v>
      </c>
      <c r="J3366">
        <v>1</v>
      </c>
      <c r="K3366">
        <v>3987000</v>
      </c>
      <c r="L3366" s="2" t="s">
        <v>5726</v>
      </c>
      <c r="M3366" t="s">
        <v>23</v>
      </c>
      <c r="N3366">
        <v>3464000</v>
      </c>
      <c r="O3366">
        <v>3.5</v>
      </c>
      <c r="P3366" t="b">
        <v>1</v>
      </c>
    </row>
    <row r="3367" spans="1:16" x14ac:dyDescent="0.2">
      <c r="A3367" t="s">
        <v>5727</v>
      </c>
      <c r="B3367" s="1">
        <v>45492</v>
      </c>
      <c r="C3367" s="1">
        <v>45529</v>
      </c>
      <c r="D3367" t="s">
        <v>4373</v>
      </c>
      <c r="E3367" t="s">
        <v>18</v>
      </c>
      <c r="F3367" t="s">
        <v>19</v>
      </c>
      <c r="G3367" t="s">
        <v>20</v>
      </c>
      <c r="H3367" t="s">
        <v>47</v>
      </c>
      <c r="I3367" t="s">
        <v>83</v>
      </c>
      <c r="J3367">
        <v>3</v>
      </c>
      <c r="K3367">
        <v>2860000</v>
      </c>
      <c r="L3367">
        <v>9.0976515046983605E-2</v>
      </c>
      <c r="M3367" t="s">
        <v>65</v>
      </c>
      <c r="N3367">
        <v>0</v>
      </c>
      <c r="P3367" t="b">
        <v>1</v>
      </c>
    </row>
    <row r="3368" spans="1:16" x14ac:dyDescent="0.2">
      <c r="A3368" t="s">
        <v>5728</v>
      </c>
      <c r="B3368" s="1">
        <v>45492</v>
      </c>
      <c r="C3368" s="1">
        <v>45537</v>
      </c>
      <c r="D3368" t="s">
        <v>5576</v>
      </c>
      <c r="E3368" t="s">
        <v>33</v>
      </c>
      <c r="F3368" t="s">
        <v>19</v>
      </c>
      <c r="G3368" t="s">
        <v>20</v>
      </c>
      <c r="H3368" t="s">
        <v>21</v>
      </c>
      <c r="I3368" t="s">
        <v>57</v>
      </c>
      <c r="J3368">
        <v>1</v>
      </c>
      <c r="K3368">
        <v>3243000</v>
      </c>
      <c r="L3368" s="2" t="s">
        <v>5729</v>
      </c>
      <c r="M3368" t="s">
        <v>23</v>
      </c>
      <c r="N3368">
        <v>2859000</v>
      </c>
      <c r="O3368">
        <v>4.5999999999999996</v>
      </c>
      <c r="P3368" t="b">
        <v>1</v>
      </c>
    </row>
    <row r="3369" spans="1:16" x14ac:dyDescent="0.2">
      <c r="A3369" t="s">
        <v>5730</v>
      </c>
      <c r="B3369" s="1">
        <v>45492</v>
      </c>
      <c r="C3369" s="1">
        <v>45526</v>
      </c>
      <c r="D3369" t="s">
        <v>5731</v>
      </c>
      <c r="E3369" t="s">
        <v>29</v>
      </c>
      <c r="F3369" t="s">
        <v>19</v>
      </c>
      <c r="G3369" t="s">
        <v>20</v>
      </c>
      <c r="H3369" t="s">
        <v>47</v>
      </c>
      <c r="I3369" t="s">
        <v>83</v>
      </c>
      <c r="J3369">
        <v>1</v>
      </c>
      <c r="K3369">
        <v>2913000</v>
      </c>
      <c r="L3369" s="2" t="s">
        <v>5732</v>
      </c>
      <c r="M3369" t="s">
        <v>23</v>
      </c>
      <c r="N3369">
        <v>2620000</v>
      </c>
      <c r="O3369">
        <v>3.9</v>
      </c>
      <c r="P3369" t="b">
        <v>0</v>
      </c>
    </row>
    <row r="3370" spans="1:16" x14ac:dyDescent="0.2">
      <c r="A3370" t="s">
        <v>5733</v>
      </c>
      <c r="B3370" s="1">
        <v>45492</v>
      </c>
      <c r="C3370" s="1">
        <v>45516</v>
      </c>
      <c r="D3370" t="s">
        <v>3678</v>
      </c>
      <c r="E3370" t="s">
        <v>33</v>
      </c>
      <c r="F3370" t="s">
        <v>34</v>
      </c>
      <c r="G3370" t="s">
        <v>35</v>
      </c>
      <c r="H3370" t="s">
        <v>51</v>
      </c>
      <c r="I3370" t="s">
        <v>22</v>
      </c>
      <c r="J3370">
        <v>2</v>
      </c>
      <c r="K3370">
        <v>3614000</v>
      </c>
      <c r="L3370" s="2" t="s">
        <v>5734</v>
      </c>
      <c r="M3370" t="s">
        <v>23</v>
      </c>
      <c r="N3370">
        <v>6239000</v>
      </c>
      <c r="O3370">
        <v>3.2</v>
      </c>
      <c r="P3370" t="b">
        <v>1</v>
      </c>
    </row>
    <row r="3371" spans="1:16" x14ac:dyDescent="0.2">
      <c r="A3371" t="s">
        <v>5735</v>
      </c>
      <c r="B3371" s="1">
        <v>45492</v>
      </c>
      <c r="C3371" s="1">
        <v>45568</v>
      </c>
      <c r="D3371" t="s">
        <v>831</v>
      </c>
      <c r="E3371" t="s">
        <v>29</v>
      </c>
      <c r="F3371" t="s">
        <v>25</v>
      </c>
      <c r="H3371" t="s">
        <v>21</v>
      </c>
      <c r="I3371" t="s">
        <v>94</v>
      </c>
      <c r="J3371">
        <v>2</v>
      </c>
      <c r="K3371">
        <v>4644000</v>
      </c>
      <c r="L3371" s="2" t="s">
        <v>5736</v>
      </c>
      <c r="M3371" t="s">
        <v>23</v>
      </c>
      <c r="N3371">
        <v>8028000</v>
      </c>
      <c r="O3371">
        <v>4.0999999999999996</v>
      </c>
      <c r="P3371" t="b">
        <v>1</v>
      </c>
    </row>
    <row r="3372" spans="1:16" x14ac:dyDescent="0.2">
      <c r="A3372" t="s">
        <v>5737</v>
      </c>
      <c r="B3372" s="1">
        <v>45494</v>
      </c>
      <c r="C3372" s="1">
        <v>45553</v>
      </c>
      <c r="D3372" t="s">
        <v>128</v>
      </c>
      <c r="E3372" t="s">
        <v>45</v>
      </c>
      <c r="F3372" t="s">
        <v>19</v>
      </c>
      <c r="H3372" t="s">
        <v>21</v>
      </c>
      <c r="I3372" t="s">
        <v>83</v>
      </c>
      <c r="J3372">
        <v>1</v>
      </c>
      <c r="K3372">
        <v>2815000</v>
      </c>
      <c r="L3372">
        <v>9.1738264903241495E-2</v>
      </c>
      <c r="M3372" t="s">
        <v>23</v>
      </c>
      <c r="N3372">
        <v>2557000</v>
      </c>
      <c r="O3372">
        <v>4.9000000000000004</v>
      </c>
      <c r="P3372" t="b">
        <v>1</v>
      </c>
    </row>
    <row r="3373" spans="1:16" x14ac:dyDescent="0.2">
      <c r="A3373" t="s">
        <v>5738</v>
      </c>
      <c r="B3373" s="1">
        <v>45494</v>
      </c>
      <c r="C3373" s="1">
        <v>45544</v>
      </c>
      <c r="D3373" t="s">
        <v>2148</v>
      </c>
      <c r="E3373" t="s">
        <v>45</v>
      </c>
      <c r="F3373" t="s">
        <v>19</v>
      </c>
      <c r="G3373" t="s">
        <v>20</v>
      </c>
      <c r="H3373" t="s">
        <v>47</v>
      </c>
      <c r="I3373" t="s">
        <v>99</v>
      </c>
      <c r="J3373">
        <v>1</v>
      </c>
      <c r="K3373">
        <v>2320000</v>
      </c>
      <c r="L3373">
        <v>0.134853498204101</v>
      </c>
      <c r="M3373" t="s">
        <v>23</v>
      </c>
      <c r="N3373">
        <v>2007000</v>
      </c>
      <c r="O3373">
        <v>3.8</v>
      </c>
      <c r="P3373" t="b">
        <v>1</v>
      </c>
    </row>
    <row r="3374" spans="1:16" x14ac:dyDescent="0.2">
      <c r="A3374" t="s">
        <v>5739</v>
      </c>
      <c r="B3374" s="1">
        <v>45494</v>
      </c>
      <c r="C3374" s="1">
        <v>45534</v>
      </c>
      <c r="D3374" t="s">
        <v>5740</v>
      </c>
      <c r="E3374" t="s">
        <v>33</v>
      </c>
      <c r="F3374" t="s">
        <v>68</v>
      </c>
      <c r="G3374" t="s">
        <v>50</v>
      </c>
      <c r="H3374" t="s">
        <v>40</v>
      </c>
      <c r="I3374" t="s">
        <v>99</v>
      </c>
      <c r="J3374">
        <v>1</v>
      </c>
      <c r="K3374">
        <v>2599000</v>
      </c>
      <c r="L3374" s="2" t="s">
        <v>5741</v>
      </c>
      <c r="M3374" t="s">
        <v>23</v>
      </c>
      <c r="N3374">
        <v>2269000</v>
      </c>
      <c r="O3374">
        <v>3.3</v>
      </c>
      <c r="P3374" t="b">
        <v>0</v>
      </c>
    </row>
    <row r="3375" spans="1:16" x14ac:dyDescent="0.2">
      <c r="A3375" t="s">
        <v>5742</v>
      </c>
      <c r="B3375" s="1">
        <v>45494</v>
      </c>
      <c r="C3375" s="1">
        <v>45556</v>
      </c>
      <c r="D3375" t="s">
        <v>167</v>
      </c>
      <c r="E3375" t="s">
        <v>45</v>
      </c>
      <c r="F3375" t="s">
        <v>19</v>
      </c>
      <c r="G3375" t="s">
        <v>20</v>
      </c>
      <c r="H3375" t="s">
        <v>21</v>
      </c>
      <c r="I3375" t="s">
        <v>99</v>
      </c>
      <c r="J3375">
        <v>1</v>
      </c>
      <c r="K3375">
        <v>2416000</v>
      </c>
      <c r="L3375" s="2" t="s">
        <v>5743</v>
      </c>
      <c r="M3375" t="s">
        <v>65</v>
      </c>
      <c r="N3375">
        <v>0</v>
      </c>
      <c r="P3375" t="b">
        <v>1</v>
      </c>
    </row>
    <row r="3376" spans="1:16" x14ac:dyDescent="0.2">
      <c r="A3376" t="s">
        <v>5744</v>
      </c>
      <c r="B3376" s="1">
        <v>45495</v>
      </c>
      <c r="C3376" s="1">
        <v>45528</v>
      </c>
      <c r="D3376" t="s">
        <v>3797</v>
      </c>
      <c r="E3376" t="s">
        <v>18</v>
      </c>
      <c r="F3376" t="s">
        <v>45</v>
      </c>
      <c r="G3376" t="s">
        <v>20</v>
      </c>
      <c r="H3376" t="s">
        <v>47</v>
      </c>
      <c r="I3376" t="s">
        <v>1654</v>
      </c>
      <c r="J3376">
        <v>4</v>
      </c>
      <c r="K3376">
        <v>3285000</v>
      </c>
      <c r="L3376" s="2" t="s">
        <v>5745</v>
      </c>
      <c r="M3376" t="s">
        <v>23</v>
      </c>
      <c r="N3376">
        <v>11803000</v>
      </c>
      <c r="O3376">
        <v>4</v>
      </c>
      <c r="P3376" t="b">
        <v>1</v>
      </c>
    </row>
    <row r="3377" spans="1:16" x14ac:dyDescent="0.2">
      <c r="A3377" t="s">
        <v>5746</v>
      </c>
      <c r="B3377" s="1">
        <v>45495</v>
      </c>
      <c r="C3377" s="1">
        <v>45578</v>
      </c>
      <c r="D3377" t="s">
        <v>3653</v>
      </c>
      <c r="E3377" t="s">
        <v>33</v>
      </c>
      <c r="F3377" t="s">
        <v>45</v>
      </c>
      <c r="G3377" t="s">
        <v>50</v>
      </c>
      <c r="H3377" t="s">
        <v>47</v>
      </c>
      <c r="I3377" t="s">
        <v>60</v>
      </c>
      <c r="J3377">
        <v>3</v>
      </c>
      <c r="K3377">
        <v>3642000</v>
      </c>
      <c r="L3377">
        <v>9.9830996213451095E-2</v>
      </c>
      <c r="M3377" t="s">
        <v>23</v>
      </c>
      <c r="N3377">
        <v>9835000</v>
      </c>
      <c r="O3377">
        <v>3.7</v>
      </c>
      <c r="P3377" t="b">
        <v>1</v>
      </c>
    </row>
    <row r="3378" spans="1:16" x14ac:dyDescent="0.2">
      <c r="A3378" t="s">
        <v>5747</v>
      </c>
      <c r="B3378" s="1">
        <v>45495</v>
      </c>
      <c r="C3378" s="1">
        <v>45574</v>
      </c>
      <c r="D3378" t="s">
        <v>5748</v>
      </c>
      <c r="E3378" t="s">
        <v>45</v>
      </c>
      <c r="F3378" t="s">
        <v>45</v>
      </c>
      <c r="G3378" t="s">
        <v>20</v>
      </c>
      <c r="H3378" t="s">
        <v>21</v>
      </c>
      <c r="I3378" t="s">
        <v>77</v>
      </c>
      <c r="J3378">
        <v>2</v>
      </c>
      <c r="K3378">
        <v>3445000</v>
      </c>
      <c r="L3378">
        <v>5.73414700160126E-2</v>
      </c>
      <c r="M3378" t="s">
        <v>23</v>
      </c>
      <c r="N3378">
        <v>6495000</v>
      </c>
      <c r="O3378">
        <v>4.7</v>
      </c>
      <c r="P3378" t="b">
        <v>0</v>
      </c>
    </row>
    <row r="3379" spans="1:16" x14ac:dyDescent="0.2">
      <c r="A3379" t="s">
        <v>5749</v>
      </c>
      <c r="B3379" s="1">
        <v>45496</v>
      </c>
      <c r="C3379" s="1">
        <v>45524</v>
      </c>
      <c r="D3379" t="s">
        <v>5750</v>
      </c>
      <c r="E3379" t="s">
        <v>29</v>
      </c>
      <c r="F3379" t="s">
        <v>25</v>
      </c>
      <c r="G3379" t="s">
        <v>20</v>
      </c>
      <c r="H3379" t="s">
        <v>47</v>
      </c>
      <c r="I3379" t="s">
        <v>57</v>
      </c>
      <c r="J3379">
        <v>1</v>
      </c>
      <c r="K3379">
        <v>4866000</v>
      </c>
      <c r="L3379" s="2" t="s">
        <v>5751</v>
      </c>
      <c r="M3379" t="s">
        <v>23</v>
      </c>
      <c r="N3379">
        <v>4299000</v>
      </c>
      <c r="O3379">
        <v>4</v>
      </c>
      <c r="P3379" t="b">
        <v>0</v>
      </c>
    </row>
    <row r="3380" spans="1:16" x14ac:dyDescent="0.2">
      <c r="A3380" t="s">
        <v>5752</v>
      </c>
      <c r="B3380" s="1">
        <v>45496</v>
      </c>
      <c r="C3380" s="1">
        <v>45550</v>
      </c>
      <c r="D3380" t="s">
        <v>3874</v>
      </c>
      <c r="E3380" t="s">
        <v>45</v>
      </c>
      <c r="F3380" t="s">
        <v>25</v>
      </c>
      <c r="I3380" t="s">
        <v>60</v>
      </c>
      <c r="J3380">
        <v>2</v>
      </c>
      <c r="K3380">
        <v>5198000</v>
      </c>
      <c r="L3380">
        <v>4.8177970672613001E-2</v>
      </c>
      <c r="M3380" t="s">
        <v>65</v>
      </c>
      <c r="N3380">
        <v>0</v>
      </c>
      <c r="P3380" t="b">
        <v>1</v>
      </c>
    </row>
    <row r="3381" spans="1:16" x14ac:dyDescent="0.2">
      <c r="A3381" t="s">
        <v>5753</v>
      </c>
      <c r="B3381" s="1">
        <v>45496</v>
      </c>
      <c r="C3381" s="1">
        <v>45551</v>
      </c>
      <c r="D3381" t="s">
        <v>5032</v>
      </c>
      <c r="E3381" t="s">
        <v>18</v>
      </c>
      <c r="F3381" t="s">
        <v>19</v>
      </c>
      <c r="G3381" t="s">
        <v>20</v>
      </c>
      <c r="H3381" t="s">
        <v>51</v>
      </c>
      <c r="I3381" t="s">
        <v>77</v>
      </c>
      <c r="J3381">
        <v>1</v>
      </c>
      <c r="K3381">
        <v>2638000</v>
      </c>
      <c r="L3381">
        <v>8.8946619096360105E-2</v>
      </c>
      <c r="M3381" t="s">
        <v>23</v>
      </c>
      <c r="N3381">
        <v>2403000</v>
      </c>
      <c r="O3381">
        <v>3.8</v>
      </c>
      <c r="P3381" t="b">
        <v>1</v>
      </c>
    </row>
    <row r="3382" spans="1:16" x14ac:dyDescent="0.2">
      <c r="A3382" t="s">
        <v>5754</v>
      </c>
      <c r="B3382" s="1">
        <v>45496</v>
      </c>
      <c r="C3382" s="1">
        <v>45564</v>
      </c>
      <c r="D3382" t="s">
        <v>5755</v>
      </c>
      <c r="E3382" t="s">
        <v>18</v>
      </c>
      <c r="F3382" t="s">
        <v>34</v>
      </c>
      <c r="G3382" t="s">
        <v>20</v>
      </c>
      <c r="H3382" t="s">
        <v>40</v>
      </c>
      <c r="I3382" t="s">
        <v>26</v>
      </c>
      <c r="J3382">
        <v>2</v>
      </c>
      <c r="K3382">
        <v>3905000</v>
      </c>
      <c r="L3382" s="2" t="s">
        <v>5756</v>
      </c>
      <c r="M3382" t="s">
        <v>23</v>
      </c>
      <c r="N3382">
        <v>6823000</v>
      </c>
      <c r="O3382">
        <v>4.5</v>
      </c>
      <c r="P3382" t="b">
        <v>0</v>
      </c>
    </row>
    <row r="3383" spans="1:16" x14ac:dyDescent="0.2">
      <c r="A3383" t="s">
        <v>5757</v>
      </c>
      <c r="B3383" s="1">
        <v>45497</v>
      </c>
      <c r="C3383" s="1">
        <v>45566</v>
      </c>
      <c r="D3383" t="s">
        <v>5758</v>
      </c>
      <c r="E3383" t="s">
        <v>18</v>
      </c>
      <c r="F3383" t="s">
        <v>25</v>
      </c>
      <c r="G3383" t="s">
        <v>35</v>
      </c>
      <c r="H3383" t="s">
        <v>47</v>
      </c>
      <c r="I3383" t="s">
        <v>83</v>
      </c>
      <c r="J3383">
        <v>2</v>
      </c>
      <c r="K3383">
        <v>4562000</v>
      </c>
      <c r="L3383" s="2" t="s">
        <v>5759</v>
      </c>
      <c r="M3383" t="s">
        <v>23</v>
      </c>
      <c r="N3383">
        <v>7872000</v>
      </c>
      <c r="O3383">
        <v>4.3</v>
      </c>
      <c r="P3383" t="b">
        <v>0</v>
      </c>
    </row>
    <row r="3384" spans="1:16" x14ac:dyDescent="0.2">
      <c r="A3384" t="s">
        <v>5760</v>
      </c>
      <c r="B3384" s="1">
        <v>45497</v>
      </c>
      <c r="C3384" s="1">
        <v>45566</v>
      </c>
      <c r="D3384" t="s">
        <v>5761</v>
      </c>
      <c r="E3384" t="s">
        <v>18</v>
      </c>
      <c r="F3384" t="s">
        <v>25</v>
      </c>
      <c r="G3384" t="s">
        <v>35</v>
      </c>
      <c r="H3384" t="s">
        <v>51</v>
      </c>
      <c r="I3384" t="s">
        <v>57</v>
      </c>
      <c r="J3384">
        <v>4</v>
      </c>
      <c r="K3384">
        <v>4897000</v>
      </c>
      <c r="L3384">
        <v>8.9275815473192896E-2</v>
      </c>
      <c r="M3384" t="s">
        <v>23</v>
      </c>
      <c r="N3384">
        <v>17839000</v>
      </c>
      <c r="O3384">
        <v>4.3</v>
      </c>
      <c r="P3384" t="b">
        <v>0</v>
      </c>
    </row>
    <row r="3385" spans="1:16" x14ac:dyDescent="0.2">
      <c r="A3385" t="s">
        <v>5762</v>
      </c>
      <c r="B3385" s="1">
        <v>45498</v>
      </c>
      <c r="C3385" s="1">
        <v>45560</v>
      </c>
      <c r="D3385" t="s">
        <v>5763</v>
      </c>
      <c r="E3385" t="s">
        <v>18</v>
      </c>
      <c r="F3385" t="s">
        <v>25</v>
      </c>
      <c r="G3385" t="s">
        <v>50</v>
      </c>
      <c r="H3385" t="s">
        <v>21</v>
      </c>
      <c r="I3385" t="s">
        <v>77</v>
      </c>
      <c r="J3385">
        <v>2</v>
      </c>
      <c r="K3385">
        <v>5712000</v>
      </c>
      <c r="L3385" s="2" t="s">
        <v>5764</v>
      </c>
      <c r="M3385" t="s">
        <v>23</v>
      </c>
      <c r="N3385">
        <v>10110000</v>
      </c>
      <c r="O3385">
        <v>4.4000000000000004</v>
      </c>
      <c r="P3385" t="b">
        <v>0</v>
      </c>
    </row>
    <row r="3386" spans="1:16" x14ac:dyDescent="0.2">
      <c r="A3386" t="s">
        <v>5765</v>
      </c>
      <c r="B3386" s="1">
        <v>45499</v>
      </c>
      <c r="C3386" s="1">
        <v>45509</v>
      </c>
      <c r="D3386" t="s">
        <v>3246</v>
      </c>
      <c r="E3386" t="s">
        <v>45</v>
      </c>
      <c r="F3386" t="s">
        <v>25</v>
      </c>
      <c r="G3386" t="s">
        <v>20</v>
      </c>
      <c r="H3386" t="s">
        <v>21</v>
      </c>
      <c r="I3386" t="s">
        <v>52</v>
      </c>
      <c r="J3386">
        <v>1</v>
      </c>
      <c r="K3386">
        <v>4695000</v>
      </c>
      <c r="L3386">
        <v>9.1002017062507407E-2</v>
      </c>
      <c r="M3386" t="s">
        <v>23</v>
      </c>
      <c r="N3386">
        <v>4268000</v>
      </c>
      <c r="O3386">
        <v>4</v>
      </c>
      <c r="P3386" t="b">
        <v>1</v>
      </c>
    </row>
    <row r="3387" spans="1:16" x14ac:dyDescent="0.2">
      <c r="A3387" t="s">
        <v>5766</v>
      </c>
      <c r="B3387" s="1">
        <v>45499</v>
      </c>
      <c r="C3387" s="1">
        <v>45543</v>
      </c>
      <c r="D3387" t="s">
        <v>5096</v>
      </c>
      <c r="E3387" t="s">
        <v>18</v>
      </c>
      <c r="F3387" t="s">
        <v>34</v>
      </c>
      <c r="G3387" t="s">
        <v>50</v>
      </c>
      <c r="H3387" t="s">
        <v>21</v>
      </c>
      <c r="I3387" t="s">
        <v>94</v>
      </c>
      <c r="J3387">
        <v>2</v>
      </c>
      <c r="K3387">
        <v>4013000</v>
      </c>
      <c r="L3387">
        <v>8.6264879702084504E-2</v>
      </c>
      <c r="M3387" t="s">
        <v>23</v>
      </c>
      <c r="N3387">
        <v>7334000</v>
      </c>
      <c r="O3387">
        <v>3.8</v>
      </c>
      <c r="P3387" t="b">
        <v>1</v>
      </c>
    </row>
    <row r="3388" spans="1:16" x14ac:dyDescent="0.2">
      <c r="A3388" t="s">
        <v>5767</v>
      </c>
      <c r="B3388" s="1">
        <v>45499</v>
      </c>
      <c r="C3388" s="1">
        <v>45541</v>
      </c>
      <c r="D3388" t="s">
        <v>3670</v>
      </c>
      <c r="E3388" t="s">
        <v>45</v>
      </c>
      <c r="F3388" t="s">
        <v>45</v>
      </c>
      <c r="G3388" t="s">
        <v>46</v>
      </c>
      <c r="H3388" t="s">
        <v>51</v>
      </c>
      <c r="I3388" t="s">
        <v>60</v>
      </c>
      <c r="J3388">
        <v>2</v>
      </c>
      <c r="K3388">
        <v>3322000</v>
      </c>
      <c r="L3388" s="2" t="s">
        <v>5768</v>
      </c>
      <c r="M3388" t="s">
        <v>23</v>
      </c>
      <c r="N3388">
        <v>5715000</v>
      </c>
      <c r="O3388">
        <v>4.3</v>
      </c>
      <c r="P3388" t="b">
        <v>1</v>
      </c>
    </row>
    <row r="3389" spans="1:16" x14ac:dyDescent="0.2">
      <c r="A3389" t="s">
        <v>5769</v>
      </c>
      <c r="B3389" s="1">
        <v>45500</v>
      </c>
      <c r="C3389" s="1">
        <v>45547</v>
      </c>
      <c r="D3389" t="s">
        <v>5770</v>
      </c>
      <c r="E3389" t="s">
        <v>33</v>
      </c>
      <c r="F3389" t="s">
        <v>25</v>
      </c>
      <c r="G3389" t="s">
        <v>35</v>
      </c>
      <c r="H3389" t="s">
        <v>51</v>
      </c>
      <c r="I3389" t="s">
        <v>26</v>
      </c>
      <c r="J3389">
        <v>2</v>
      </c>
      <c r="K3389">
        <v>5436000</v>
      </c>
      <c r="L3389" s="2" t="s">
        <v>5771</v>
      </c>
      <c r="M3389" t="s">
        <v>23</v>
      </c>
      <c r="N3389">
        <v>9550000</v>
      </c>
      <c r="O3389">
        <v>4.5</v>
      </c>
      <c r="P3389" t="b">
        <v>0</v>
      </c>
    </row>
    <row r="3390" spans="1:16" x14ac:dyDescent="0.2">
      <c r="A3390" t="s">
        <v>5772</v>
      </c>
      <c r="B3390" s="1">
        <v>45500</v>
      </c>
      <c r="C3390" s="1">
        <v>45527</v>
      </c>
      <c r="D3390" t="s">
        <v>4193</v>
      </c>
      <c r="E3390" t="s">
        <v>33</v>
      </c>
      <c r="F3390" t="s">
        <v>39</v>
      </c>
      <c r="G3390" t="s">
        <v>20</v>
      </c>
      <c r="H3390" t="s">
        <v>47</v>
      </c>
      <c r="I3390" t="s">
        <v>52</v>
      </c>
      <c r="J3390">
        <v>1</v>
      </c>
      <c r="K3390">
        <v>2342000</v>
      </c>
      <c r="L3390" s="2" t="s">
        <v>5773</v>
      </c>
      <c r="M3390" t="s">
        <v>23</v>
      </c>
      <c r="N3390">
        <v>2072000</v>
      </c>
      <c r="O3390">
        <v>3.4</v>
      </c>
      <c r="P3390" t="b">
        <v>1</v>
      </c>
    </row>
    <row r="3391" spans="1:16" x14ac:dyDescent="0.2">
      <c r="A3391" t="s">
        <v>5774</v>
      </c>
      <c r="B3391" s="1">
        <v>45501</v>
      </c>
      <c r="C3391" s="1">
        <v>45539</v>
      </c>
      <c r="D3391" t="s">
        <v>5775</v>
      </c>
      <c r="E3391" t="s">
        <v>18</v>
      </c>
      <c r="F3391" t="s">
        <v>34</v>
      </c>
      <c r="G3391" t="s">
        <v>35</v>
      </c>
      <c r="H3391" t="s">
        <v>21</v>
      </c>
      <c r="I3391" t="s">
        <v>99</v>
      </c>
      <c r="J3391">
        <v>2</v>
      </c>
      <c r="K3391">
        <v>3632000</v>
      </c>
      <c r="L3391" s="2" t="s">
        <v>5776</v>
      </c>
      <c r="M3391" t="s">
        <v>23</v>
      </c>
      <c r="N3391">
        <v>6148000</v>
      </c>
      <c r="O3391">
        <v>4</v>
      </c>
      <c r="P3391" t="b">
        <v>0</v>
      </c>
    </row>
    <row r="3392" spans="1:16" x14ac:dyDescent="0.2">
      <c r="A3392" t="s">
        <v>5777</v>
      </c>
      <c r="B3392" s="1">
        <v>45501</v>
      </c>
      <c r="C3392" s="1">
        <v>45555</v>
      </c>
      <c r="D3392" t="s">
        <v>5485</v>
      </c>
      <c r="E3392" t="s">
        <v>33</v>
      </c>
      <c r="F3392" t="s">
        <v>19</v>
      </c>
      <c r="G3392" t="s">
        <v>20</v>
      </c>
      <c r="H3392" t="s">
        <v>21</v>
      </c>
      <c r="I3392" t="s">
        <v>60</v>
      </c>
      <c r="J3392">
        <v>3</v>
      </c>
      <c r="K3392">
        <v>2709000</v>
      </c>
      <c r="L3392" s="3">
        <v>0.10199999999999999</v>
      </c>
      <c r="M3392" t="s">
        <v>65</v>
      </c>
      <c r="N3392">
        <v>0</v>
      </c>
      <c r="P3392" t="b">
        <v>1</v>
      </c>
    </row>
    <row r="3393" spans="1:16" x14ac:dyDescent="0.2">
      <c r="A3393" t="s">
        <v>5778</v>
      </c>
      <c r="B3393" s="1">
        <v>45503</v>
      </c>
      <c r="C3393" s="1">
        <v>45532</v>
      </c>
      <c r="D3393" t="s">
        <v>5779</v>
      </c>
      <c r="E3393" t="s">
        <v>45</v>
      </c>
      <c r="F3393" t="s">
        <v>34</v>
      </c>
      <c r="G3393" t="s">
        <v>20</v>
      </c>
      <c r="H3393" t="s">
        <v>40</v>
      </c>
      <c r="J3393">
        <v>4</v>
      </c>
      <c r="K3393">
        <v>4140000</v>
      </c>
      <c r="L3393" s="3">
        <v>9.8000000000000004E-2</v>
      </c>
      <c r="M3393" t="s">
        <v>23</v>
      </c>
      <c r="N3393">
        <v>14934000</v>
      </c>
      <c r="O3393">
        <v>4.0999999999999996</v>
      </c>
      <c r="P3393" t="b">
        <v>0</v>
      </c>
    </row>
    <row r="3394" spans="1:16" x14ac:dyDescent="0.2">
      <c r="A3394" t="s">
        <v>5780</v>
      </c>
      <c r="B3394" s="1">
        <v>45503</v>
      </c>
      <c r="C3394" s="1">
        <v>45594</v>
      </c>
      <c r="D3394" t="s">
        <v>1821</v>
      </c>
      <c r="E3394" t="s">
        <v>18</v>
      </c>
      <c r="F3394" t="s">
        <v>68</v>
      </c>
      <c r="G3394" t="s">
        <v>46</v>
      </c>
      <c r="H3394" t="s">
        <v>40</v>
      </c>
      <c r="I3394" t="s">
        <v>77</v>
      </c>
      <c r="J3394">
        <v>4</v>
      </c>
      <c r="K3394">
        <v>2452000</v>
      </c>
      <c r="L3394">
        <v>5.9821747350467198E-2</v>
      </c>
      <c r="M3394" t="s">
        <v>23</v>
      </c>
      <c r="N3394">
        <v>9221000</v>
      </c>
      <c r="O3394">
        <v>4</v>
      </c>
      <c r="P3394" t="b">
        <v>1</v>
      </c>
    </row>
    <row r="3395" spans="1:16" x14ac:dyDescent="0.2">
      <c r="A3395" t="s">
        <v>5781</v>
      </c>
      <c r="B3395" s="1">
        <v>45503</v>
      </c>
      <c r="C3395" s="1">
        <v>45557</v>
      </c>
      <c r="D3395" t="s">
        <v>4009</v>
      </c>
      <c r="E3395" t="s">
        <v>45</v>
      </c>
      <c r="F3395" t="s">
        <v>68</v>
      </c>
      <c r="H3395" t="s">
        <v>47</v>
      </c>
      <c r="I3395" t="s">
        <v>52</v>
      </c>
      <c r="J3395">
        <v>4</v>
      </c>
      <c r="K3395">
        <v>2349000</v>
      </c>
      <c r="L3395" s="2" t="s">
        <v>5782</v>
      </c>
      <c r="M3395" t="s">
        <v>23</v>
      </c>
      <c r="N3395">
        <v>8257000</v>
      </c>
      <c r="O3395">
        <v>3.9</v>
      </c>
      <c r="P3395" t="b">
        <v>1</v>
      </c>
    </row>
    <row r="3396" spans="1:16" x14ac:dyDescent="0.2">
      <c r="A3396" t="s">
        <v>5783</v>
      </c>
      <c r="B3396" s="1">
        <v>45503</v>
      </c>
      <c r="C3396" s="1">
        <v>45556</v>
      </c>
      <c r="D3396" t="s">
        <v>5784</v>
      </c>
      <c r="E3396" t="s">
        <v>29</v>
      </c>
      <c r="F3396" t="s">
        <v>19</v>
      </c>
      <c r="G3396" t="s">
        <v>35</v>
      </c>
      <c r="I3396" t="s">
        <v>77</v>
      </c>
      <c r="J3396">
        <v>2</v>
      </c>
      <c r="K3396">
        <v>2588000</v>
      </c>
      <c r="L3396" s="2" t="s">
        <v>5785</v>
      </c>
      <c r="M3396" t="s">
        <v>23</v>
      </c>
      <c r="N3396">
        <v>4344000</v>
      </c>
      <c r="O3396">
        <v>4.8</v>
      </c>
      <c r="P3396" t="b">
        <v>0</v>
      </c>
    </row>
    <row r="3397" spans="1:16" x14ac:dyDescent="0.2">
      <c r="A3397" t="s">
        <v>5786</v>
      </c>
      <c r="B3397" s="1">
        <v>45504</v>
      </c>
      <c r="C3397" s="1">
        <v>45586</v>
      </c>
      <c r="D3397" t="s">
        <v>5442</v>
      </c>
      <c r="E3397" t="s">
        <v>45</v>
      </c>
      <c r="F3397" t="s">
        <v>45</v>
      </c>
      <c r="G3397" t="s">
        <v>50</v>
      </c>
      <c r="H3397" t="s">
        <v>21</v>
      </c>
      <c r="I3397" t="s">
        <v>52</v>
      </c>
      <c r="J3397">
        <v>1</v>
      </c>
      <c r="K3397">
        <v>3040000</v>
      </c>
      <c r="L3397" s="2" t="s">
        <v>5787</v>
      </c>
      <c r="M3397" t="s">
        <v>23</v>
      </c>
      <c r="N3397">
        <v>2692000</v>
      </c>
      <c r="O3397">
        <v>3.7</v>
      </c>
      <c r="P3397" t="b">
        <v>1</v>
      </c>
    </row>
    <row r="3398" spans="1:16" x14ac:dyDescent="0.2">
      <c r="A3398" t="s">
        <v>5788</v>
      </c>
      <c r="B3398" s="1">
        <v>45504</v>
      </c>
      <c r="C3398" s="1">
        <v>45549</v>
      </c>
      <c r="D3398" t="s">
        <v>5789</v>
      </c>
      <c r="E3398" t="s">
        <v>45</v>
      </c>
      <c r="F3398" t="s">
        <v>45</v>
      </c>
      <c r="G3398" t="s">
        <v>35</v>
      </c>
      <c r="H3398" t="s">
        <v>47</v>
      </c>
      <c r="I3398" t="s">
        <v>30</v>
      </c>
      <c r="J3398">
        <v>1</v>
      </c>
      <c r="K3398">
        <v>3571000</v>
      </c>
      <c r="L3398">
        <v>2.08369380310022E-2</v>
      </c>
      <c r="M3398" t="s">
        <v>23</v>
      </c>
      <c r="N3398">
        <v>3497000</v>
      </c>
      <c r="O3398">
        <v>4.8</v>
      </c>
      <c r="P3398" t="b">
        <v>0</v>
      </c>
    </row>
    <row r="3399" spans="1:16" x14ac:dyDescent="0.2">
      <c r="A3399" t="s">
        <v>5790</v>
      </c>
      <c r="B3399" s="1">
        <v>45504</v>
      </c>
      <c r="C3399" s="1">
        <v>45605</v>
      </c>
      <c r="D3399" t="s">
        <v>5791</v>
      </c>
      <c r="E3399" t="s">
        <v>33</v>
      </c>
      <c r="F3399" t="s">
        <v>34</v>
      </c>
      <c r="G3399" t="s">
        <v>50</v>
      </c>
      <c r="H3399" t="s">
        <v>40</v>
      </c>
      <c r="I3399" t="s">
        <v>30</v>
      </c>
      <c r="J3399">
        <v>2</v>
      </c>
      <c r="K3399">
        <v>3829000</v>
      </c>
      <c r="L3399">
        <v>9.1179137291347398E-2</v>
      </c>
      <c r="M3399" t="s">
        <v>23</v>
      </c>
      <c r="N3399">
        <v>6960000</v>
      </c>
      <c r="O3399">
        <v>5</v>
      </c>
      <c r="P3399" t="b">
        <v>0</v>
      </c>
    </row>
    <row r="3400" spans="1:16" x14ac:dyDescent="0.2">
      <c r="A3400" t="s">
        <v>5792</v>
      </c>
      <c r="B3400" s="1">
        <v>45504</v>
      </c>
      <c r="C3400" s="1">
        <v>45560</v>
      </c>
      <c r="D3400" t="s">
        <v>4266</v>
      </c>
      <c r="E3400" t="s">
        <v>33</v>
      </c>
      <c r="F3400" t="s">
        <v>68</v>
      </c>
      <c r="G3400" t="s">
        <v>35</v>
      </c>
      <c r="H3400" t="s">
        <v>40</v>
      </c>
      <c r="I3400" t="s">
        <v>57</v>
      </c>
      <c r="J3400">
        <v>1</v>
      </c>
      <c r="K3400">
        <v>2539000</v>
      </c>
      <c r="L3400">
        <v>5.5468067466904199E-2</v>
      </c>
      <c r="M3400" t="s">
        <v>23</v>
      </c>
      <c r="N3400">
        <v>2398000</v>
      </c>
      <c r="O3400">
        <v>4.8</v>
      </c>
      <c r="P3400" t="b">
        <v>1</v>
      </c>
    </row>
    <row r="3401" spans="1:16" x14ac:dyDescent="0.2">
      <c r="A3401" t="s">
        <v>5793</v>
      </c>
      <c r="B3401" s="1">
        <v>45504</v>
      </c>
      <c r="C3401" s="1">
        <v>45534</v>
      </c>
      <c r="D3401" t="s">
        <v>5152</v>
      </c>
      <c r="E3401" t="s">
        <v>29</v>
      </c>
      <c r="F3401" t="s">
        <v>25</v>
      </c>
      <c r="G3401" t="s">
        <v>35</v>
      </c>
      <c r="H3401" t="s">
        <v>21</v>
      </c>
      <c r="I3401" t="s">
        <v>60</v>
      </c>
      <c r="J3401">
        <v>1</v>
      </c>
      <c r="K3401">
        <v>5672000</v>
      </c>
      <c r="L3401" s="2" t="s">
        <v>5794</v>
      </c>
      <c r="M3401" t="s">
        <v>23</v>
      </c>
      <c r="N3401">
        <v>4925000</v>
      </c>
      <c r="O3401">
        <v>4.0999999999999996</v>
      </c>
      <c r="P3401" t="b">
        <v>1</v>
      </c>
    </row>
    <row r="3402" spans="1:16" x14ac:dyDescent="0.2">
      <c r="A3402" t="s">
        <v>5795</v>
      </c>
      <c r="B3402" s="1">
        <v>45504</v>
      </c>
      <c r="C3402" s="1">
        <v>45579</v>
      </c>
      <c r="D3402" t="s">
        <v>5258</v>
      </c>
      <c r="E3402" t="s">
        <v>45</v>
      </c>
      <c r="F3402" t="s">
        <v>39</v>
      </c>
      <c r="G3402" t="s">
        <v>20</v>
      </c>
      <c r="H3402" t="s">
        <v>21</v>
      </c>
      <c r="I3402" t="s">
        <v>60</v>
      </c>
      <c r="J3402">
        <v>2</v>
      </c>
      <c r="K3402">
        <v>2448000</v>
      </c>
      <c r="L3402" s="2" t="s">
        <v>5796</v>
      </c>
      <c r="M3402" t="s">
        <v>23</v>
      </c>
      <c r="N3402">
        <v>4287000</v>
      </c>
      <c r="O3402">
        <v>3.9</v>
      </c>
      <c r="P3402" t="b">
        <v>1</v>
      </c>
    </row>
    <row r="3403" spans="1:16" x14ac:dyDescent="0.2">
      <c r="A3403" t="s">
        <v>5797</v>
      </c>
      <c r="B3403" s="1">
        <v>45505</v>
      </c>
      <c r="C3403" s="1">
        <v>45562</v>
      </c>
      <c r="D3403" t="s">
        <v>3887</v>
      </c>
      <c r="E3403" t="s">
        <v>45</v>
      </c>
      <c r="F3403" t="s">
        <v>25</v>
      </c>
      <c r="G3403" t="s">
        <v>20</v>
      </c>
      <c r="H3403" t="s">
        <v>21</v>
      </c>
      <c r="I3403" t="s">
        <v>30</v>
      </c>
      <c r="J3403">
        <v>1</v>
      </c>
      <c r="K3403">
        <v>4943000</v>
      </c>
      <c r="L3403" s="2" t="s">
        <v>5798</v>
      </c>
      <c r="M3403" t="s">
        <v>23</v>
      </c>
      <c r="N3403">
        <v>4381000</v>
      </c>
      <c r="O3403">
        <v>3.6</v>
      </c>
      <c r="P3403" t="b">
        <v>1</v>
      </c>
    </row>
    <row r="3404" spans="1:16" x14ac:dyDescent="0.2">
      <c r="A3404" t="s">
        <v>5799</v>
      </c>
      <c r="B3404" s="1">
        <v>45299</v>
      </c>
      <c r="C3404" s="1">
        <v>45595</v>
      </c>
      <c r="D3404" t="s">
        <v>3630</v>
      </c>
      <c r="E3404" t="s">
        <v>33</v>
      </c>
      <c r="F3404" t="s">
        <v>34</v>
      </c>
      <c r="G3404" t="s">
        <v>20</v>
      </c>
      <c r="H3404" t="s">
        <v>21</v>
      </c>
      <c r="J3404">
        <v>2</v>
      </c>
      <c r="K3404">
        <v>4124000</v>
      </c>
      <c r="L3404">
        <v>7.6277426897781095E-2</v>
      </c>
      <c r="M3404" t="s">
        <v>23</v>
      </c>
      <c r="N3404">
        <v>7619000</v>
      </c>
      <c r="O3404">
        <v>4</v>
      </c>
      <c r="P3404" t="b">
        <v>1</v>
      </c>
    </row>
    <row r="3405" spans="1:16" x14ac:dyDescent="0.2">
      <c r="A3405" t="s">
        <v>5800</v>
      </c>
      <c r="B3405" s="1">
        <v>45506</v>
      </c>
      <c r="C3405" s="1">
        <v>45587</v>
      </c>
      <c r="D3405" t="s">
        <v>5801</v>
      </c>
      <c r="E3405" t="s">
        <v>45</v>
      </c>
      <c r="F3405" t="s">
        <v>25</v>
      </c>
      <c r="G3405" t="s">
        <v>20</v>
      </c>
      <c r="H3405" t="s">
        <v>21</v>
      </c>
      <c r="I3405" t="s">
        <v>26</v>
      </c>
      <c r="J3405">
        <v>1</v>
      </c>
      <c r="K3405">
        <v>5185000</v>
      </c>
      <c r="L3405" s="3">
        <v>0.10199999999999999</v>
      </c>
      <c r="M3405" t="s">
        <v>23</v>
      </c>
      <c r="N3405">
        <v>4656000</v>
      </c>
      <c r="O3405">
        <v>4.8</v>
      </c>
      <c r="P3405" t="b">
        <v>0</v>
      </c>
    </row>
    <row r="3406" spans="1:16" x14ac:dyDescent="0.2">
      <c r="A3406" t="s">
        <v>5802</v>
      </c>
      <c r="B3406" s="1">
        <v>45506</v>
      </c>
      <c r="C3406" s="1">
        <v>45550</v>
      </c>
      <c r="D3406" t="s">
        <v>5370</v>
      </c>
      <c r="E3406" t="s">
        <v>45</v>
      </c>
      <c r="F3406" t="s">
        <v>19</v>
      </c>
      <c r="G3406" t="s">
        <v>20</v>
      </c>
      <c r="H3406" t="s">
        <v>21</v>
      </c>
      <c r="I3406" t="s">
        <v>57</v>
      </c>
      <c r="J3406">
        <v>1</v>
      </c>
      <c r="K3406">
        <v>3148000</v>
      </c>
      <c r="L3406">
        <v>8.4176615954347597E-2</v>
      </c>
      <c r="M3406" t="s">
        <v>65</v>
      </c>
      <c r="N3406">
        <v>0</v>
      </c>
      <c r="P3406" t="b">
        <v>1</v>
      </c>
    </row>
    <row r="3407" spans="1:16" x14ac:dyDescent="0.2">
      <c r="A3407" t="s">
        <v>5803</v>
      </c>
      <c r="B3407" s="1">
        <v>45506</v>
      </c>
      <c r="C3407" s="1">
        <v>45592</v>
      </c>
      <c r="D3407" t="s">
        <v>3581</v>
      </c>
      <c r="E3407" t="s">
        <v>29</v>
      </c>
      <c r="F3407" t="s">
        <v>25</v>
      </c>
      <c r="G3407" t="s">
        <v>20</v>
      </c>
      <c r="H3407" t="s">
        <v>21</v>
      </c>
      <c r="I3407" t="s">
        <v>52</v>
      </c>
      <c r="J3407">
        <v>2</v>
      </c>
      <c r="K3407">
        <v>4385000</v>
      </c>
      <c r="L3407" s="2" t="s">
        <v>5804</v>
      </c>
      <c r="M3407" t="s">
        <v>23</v>
      </c>
      <c r="N3407">
        <v>7374000</v>
      </c>
      <c r="O3407">
        <v>3.9</v>
      </c>
      <c r="P3407" t="b">
        <v>1</v>
      </c>
    </row>
    <row r="3408" spans="1:16" x14ac:dyDescent="0.2">
      <c r="A3408" t="s">
        <v>5805</v>
      </c>
      <c r="B3408" s="1">
        <v>45506</v>
      </c>
      <c r="C3408" s="1">
        <v>45569</v>
      </c>
      <c r="D3408" t="s">
        <v>3960</v>
      </c>
      <c r="E3408" t="s">
        <v>33</v>
      </c>
      <c r="F3408" t="s">
        <v>68</v>
      </c>
      <c r="G3408" t="s">
        <v>50</v>
      </c>
      <c r="H3408" t="s">
        <v>21</v>
      </c>
      <c r="I3408" t="s">
        <v>99</v>
      </c>
      <c r="J3408">
        <v>1</v>
      </c>
      <c r="K3408">
        <v>2696000</v>
      </c>
      <c r="L3408">
        <v>5.06552477009036E-2</v>
      </c>
      <c r="M3408" t="s">
        <v>23</v>
      </c>
      <c r="N3408">
        <v>2559000</v>
      </c>
      <c r="O3408">
        <v>4</v>
      </c>
      <c r="P3408" t="b">
        <v>1</v>
      </c>
    </row>
    <row r="3409" spans="1:16" x14ac:dyDescent="0.2">
      <c r="A3409" t="s">
        <v>5806</v>
      </c>
      <c r="B3409" s="1">
        <v>45506</v>
      </c>
      <c r="C3409" s="1">
        <v>45566</v>
      </c>
      <c r="D3409" t="s">
        <v>4124</v>
      </c>
      <c r="E3409" t="s">
        <v>29</v>
      </c>
      <c r="F3409" t="s">
        <v>19</v>
      </c>
      <c r="G3409" t="s">
        <v>20</v>
      </c>
      <c r="H3409" t="s">
        <v>21</v>
      </c>
      <c r="I3409" t="s">
        <v>60</v>
      </c>
      <c r="J3409">
        <v>2</v>
      </c>
      <c r="K3409">
        <v>2699000</v>
      </c>
      <c r="L3409">
        <v>8.7515420467176197E-2</v>
      </c>
      <c r="M3409" t="s">
        <v>1882</v>
      </c>
      <c r="N3409">
        <v>4926000</v>
      </c>
      <c r="O3409">
        <v>4.5</v>
      </c>
      <c r="P3409" t="b">
        <v>1</v>
      </c>
    </row>
    <row r="3410" spans="1:16" x14ac:dyDescent="0.2">
      <c r="A3410" t="s">
        <v>5807</v>
      </c>
      <c r="B3410" s="1">
        <v>45506</v>
      </c>
      <c r="C3410" s="1">
        <v>45563</v>
      </c>
      <c r="D3410" t="s">
        <v>5808</v>
      </c>
      <c r="F3410" t="s">
        <v>19</v>
      </c>
      <c r="G3410" t="s">
        <v>46</v>
      </c>
      <c r="H3410" t="s">
        <v>21</v>
      </c>
      <c r="I3410" t="s">
        <v>77</v>
      </c>
      <c r="J3410">
        <v>3</v>
      </c>
      <c r="K3410">
        <v>2585000</v>
      </c>
      <c r="L3410" s="2" t="s">
        <v>5809</v>
      </c>
      <c r="M3410" t="s">
        <v>65</v>
      </c>
      <c r="N3410">
        <v>0</v>
      </c>
      <c r="P3410" t="b">
        <v>0</v>
      </c>
    </row>
    <row r="3411" spans="1:16" x14ac:dyDescent="0.2">
      <c r="A3411" t="s">
        <v>5810</v>
      </c>
      <c r="B3411" s="1">
        <v>45507</v>
      </c>
      <c r="C3411" s="1">
        <v>45550</v>
      </c>
      <c r="D3411" t="s">
        <v>2553</v>
      </c>
      <c r="E3411" t="s">
        <v>18</v>
      </c>
      <c r="F3411" t="s">
        <v>68</v>
      </c>
      <c r="G3411" t="s">
        <v>20</v>
      </c>
      <c r="H3411" t="s">
        <v>21</v>
      </c>
      <c r="I3411" t="s">
        <v>77</v>
      </c>
      <c r="J3411">
        <v>3</v>
      </c>
      <c r="K3411">
        <v>2473000</v>
      </c>
      <c r="L3411">
        <v>3.78994149839572E-2</v>
      </c>
      <c r="M3411" t="s">
        <v>23</v>
      </c>
      <c r="N3411">
        <v>7138000</v>
      </c>
      <c r="O3411">
        <v>4</v>
      </c>
      <c r="P3411" t="b">
        <v>1</v>
      </c>
    </row>
    <row r="3412" spans="1:16" x14ac:dyDescent="0.2">
      <c r="A3412" t="s">
        <v>5811</v>
      </c>
      <c r="B3412" s="1">
        <v>45507</v>
      </c>
      <c r="C3412" s="1">
        <v>45581</v>
      </c>
      <c r="D3412" t="s">
        <v>5812</v>
      </c>
      <c r="E3412" t="s">
        <v>33</v>
      </c>
      <c r="F3412" t="s">
        <v>68</v>
      </c>
      <c r="G3412" t="s">
        <v>35</v>
      </c>
      <c r="H3412" t="s">
        <v>21</v>
      </c>
      <c r="I3412" t="s">
        <v>99</v>
      </c>
      <c r="J3412">
        <v>2</v>
      </c>
      <c r="K3412">
        <v>2760000</v>
      </c>
      <c r="L3412">
        <v>4.8047955238635399E-2</v>
      </c>
      <c r="M3412" t="s">
        <v>23</v>
      </c>
      <c r="N3412">
        <v>5255000</v>
      </c>
      <c r="O3412">
        <v>4.2</v>
      </c>
      <c r="P3412" t="b">
        <v>0</v>
      </c>
    </row>
    <row r="3413" spans="1:16" x14ac:dyDescent="0.2">
      <c r="A3413" t="s">
        <v>5813</v>
      </c>
      <c r="B3413" s="1">
        <v>45508</v>
      </c>
      <c r="C3413" s="1">
        <v>45586</v>
      </c>
      <c r="D3413" t="s">
        <v>4593</v>
      </c>
      <c r="E3413" t="s">
        <v>18</v>
      </c>
      <c r="F3413" t="s">
        <v>19</v>
      </c>
      <c r="G3413" t="s">
        <v>20</v>
      </c>
      <c r="H3413" t="s">
        <v>47</v>
      </c>
      <c r="I3413" t="s">
        <v>1654</v>
      </c>
      <c r="J3413">
        <v>1</v>
      </c>
      <c r="K3413">
        <v>2973000</v>
      </c>
      <c r="L3413">
        <v>6.6206779918666997E-2</v>
      </c>
      <c r="M3413" t="s">
        <v>23</v>
      </c>
      <c r="N3413">
        <v>2776000</v>
      </c>
      <c r="O3413">
        <v>4.5</v>
      </c>
      <c r="P3413" t="b">
        <v>1</v>
      </c>
    </row>
    <row r="3414" spans="1:16" x14ac:dyDescent="0.2">
      <c r="A3414" t="s">
        <v>5814</v>
      </c>
      <c r="B3414" s="1">
        <v>45508</v>
      </c>
      <c r="C3414" s="1">
        <v>45539</v>
      </c>
      <c r="D3414" t="s">
        <v>5815</v>
      </c>
      <c r="E3414" t="s">
        <v>45</v>
      </c>
      <c r="F3414" t="s">
        <v>68</v>
      </c>
      <c r="G3414" t="s">
        <v>20</v>
      </c>
      <c r="H3414" t="s">
        <v>21</v>
      </c>
      <c r="I3414" t="s">
        <v>30</v>
      </c>
      <c r="J3414">
        <v>1</v>
      </c>
      <c r="K3414">
        <v>2485000</v>
      </c>
      <c r="L3414">
        <v>7.9382709843305602E-2</v>
      </c>
      <c r="M3414" t="s">
        <v>23</v>
      </c>
      <c r="N3414">
        <v>2288000</v>
      </c>
      <c r="O3414">
        <v>3.7</v>
      </c>
      <c r="P3414" t="b">
        <v>0</v>
      </c>
    </row>
    <row r="3415" spans="1:16" x14ac:dyDescent="0.2">
      <c r="A3415" t="s">
        <v>5816</v>
      </c>
      <c r="B3415" s="1">
        <v>45508</v>
      </c>
      <c r="C3415" s="1">
        <v>45535</v>
      </c>
      <c r="D3415" t="s">
        <v>2835</v>
      </c>
      <c r="E3415" t="s">
        <v>33</v>
      </c>
      <c r="F3415" t="s">
        <v>45</v>
      </c>
      <c r="G3415" t="s">
        <v>20</v>
      </c>
      <c r="H3415" t="s">
        <v>21</v>
      </c>
      <c r="I3415" t="s">
        <v>30</v>
      </c>
      <c r="J3415">
        <v>2</v>
      </c>
      <c r="K3415">
        <v>3349000</v>
      </c>
      <c r="L3415" s="2" t="s">
        <v>5817</v>
      </c>
      <c r="M3415" t="s">
        <v>23</v>
      </c>
      <c r="N3415">
        <v>5832000</v>
      </c>
      <c r="O3415">
        <v>4.0999999999999996</v>
      </c>
      <c r="P3415" t="b">
        <v>1</v>
      </c>
    </row>
    <row r="3416" spans="1:16" x14ac:dyDescent="0.2">
      <c r="A3416" t="s">
        <v>5818</v>
      </c>
      <c r="B3416" s="1">
        <v>45508</v>
      </c>
      <c r="C3416" s="1">
        <v>45581</v>
      </c>
      <c r="D3416" t="s">
        <v>5819</v>
      </c>
      <c r="F3416" t="s">
        <v>68</v>
      </c>
      <c r="G3416" t="s">
        <v>35</v>
      </c>
      <c r="H3416" t="s">
        <v>21</v>
      </c>
      <c r="I3416" t="s">
        <v>60</v>
      </c>
      <c r="J3416">
        <v>1</v>
      </c>
      <c r="K3416">
        <v>2746000</v>
      </c>
      <c r="L3416" s="2" t="s">
        <v>5820</v>
      </c>
      <c r="M3416" t="s">
        <v>23</v>
      </c>
      <c r="N3416">
        <v>2169000</v>
      </c>
      <c r="O3416">
        <v>4.2</v>
      </c>
      <c r="P3416" t="b">
        <v>0</v>
      </c>
    </row>
    <row r="3417" spans="1:16" x14ac:dyDescent="0.2">
      <c r="A3417" t="s">
        <v>5821</v>
      </c>
      <c r="B3417" s="1">
        <v>45509</v>
      </c>
      <c r="C3417" s="1">
        <v>45574</v>
      </c>
      <c r="D3417" t="s">
        <v>5822</v>
      </c>
      <c r="E3417" t="s">
        <v>33</v>
      </c>
      <c r="F3417" t="s">
        <v>19</v>
      </c>
      <c r="H3417" t="s">
        <v>47</v>
      </c>
      <c r="I3417" t="s">
        <v>99</v>
      </c>
      <c r="J3417">
        <v>1</v>
      </c>
      <c r="K3417">
        <v>2397000</v>
      </c>
      <c r="L3417" s="2" t="s">
        <v>5823</v>
      </c>
      <c r="M3417" t="s">
        <v>23</v>
      </c>
      <c r="N3417">
        <v>2116000</v>
      </c>
      <c r="O3417">
        <v>5</v>
      </c>
      <c r="P3417" t="b">
        <v>0</v>
      </c>
    </row>
    <row r="3418" spans="1:16" x14ac:dyDescent="0.2">
      <c r="A3418" t="s">
        <v>5824</v>
      </c>
      <c r="B3418" s="1">
        <v>45510</v>
      </c>
      <c r="C3418" s="1">
        <v>45581</v>
      </c>
      <c r="D3418" t="s">
        <v>3363</v>
      </c>
      <c r="E3418" t="s">
        <v>18</v>
      </c>
      <c r="F3418" t="s">
        <v>19</v>
      </c>
      <c r="G3418" t="s">
        <v>35</v>
      </c>
      <c r="H3418" t="s">
        <v>47</v>
      </c>
      <c r="I3418" t="s">
        <v>83</v>
      </c>
      <c r="J3418">
        <v>2</v>
      </c>
      <c r="K3418">
        <v>2914000</v>
      </c>
      <c r="L3418" s="2" t="s">
        <v>5825</v>
      </c>
      <c r="M3418" t="s">
        <v>1673</v>
      </c>
      <c r="N3418">
        <v>5117000</v>
      </c>
      <c r="O3418">
        <v>5</v>
      </c>
      <c r="P3418" t="b">
        <v>1</v>
      </c>
    </row>
    <row r="3419" spans="1:16" x14ac:dyDescent="0.2">
      <c r="A3419" t="s">
        <v>5826</v>
      </c>
      <c r="B3419" s="1">
        <v>45510</v>
      </c>
      <c r="C3419" s="1">
        <v>45529</v>
      </c>
      <c r="D3419" t="s">
        <v>5827</v>
      </c>
      <c r="E3419" t="s">
        <v>45</v>
      </c>
      <c r="F3419" t="s">
        <v>34</v>
      </c>
      <c r="G3419" t="s">
        <v>50</v>
      </c>
      <c r="H3419" t="s">
        <v>21</v>
      </c>
      <c r="I3419" t="s">
        <v>26</v>
      </c>
      <c r="J3419">
        <v>3</v>
      </c>
      <c r="K3419">
        <v>4334000</v>
      </c>
      <c r="L3419">
        <v>2.0500754842687902E-2</v>
      </c>
      <c r="M3419" t="s">
        <v>23</v>
      </c>
      <c r="N3419">
        <v>12735000</v>
      </c>
      <c r="O3419">
        <v>4</v>
      </c>
      <c r="P3419" t="b">
        <v>0</v>
      </c>
    </row>
    <row r="3420" spans="1:16" x14ac:dyDescent="0.2">
      <c r="A3420" t="s">
        <v>5828</v>
      </c>
      <c r="B3420" s="1">
        <v>45512</v>
      </c>
      <c r="C3420" s="1">
        <v>45560</v>
      </c>
      <c r="D3420" t="s">
        <v>5320</v>
      </c>
      <c r="E3420" t="s">
        <v>18</v>
      </c>
      <c r="F3420" t="s">
        <v>45</v>
      </c>
      <c r="G3420" t="s">
        <v>20</v>
      </c>
      <c r="H3420" t="s">
        <v>47</v>
      </c>
      <c r="I3420" t="s">
        <v>22</v>
      </c>
      <c r="J3420">
        <v>1</v>
      </c>
      <c r="K3420">
        <v>2938000</v>
      </c>
      <c r="L3420" s="2" t="s">
        <v>5829</v>
      </c>
      <c r="M3420" t="s">
        <v>23</v>
      </c>
      <c r="N3420">
        <v>2405000</v>
      </c>
      <c r="O3420">
        <v>4.2</v>
      </c>
      <c r="P3420" t="b">
        <v>1</v>
      </c>
    </row>
    <row r="3421" spans="1:16" x14ac:dyDescent="0.2">
      <c r="A3421" t="s">
        <v>5830</v>
      </c>
      <c r="B3421" s="1">
        <v>45512</v>
      </c>
      <c r="C3421" s="1">
        <v>45538</v>
      </c>
      <c r="D3421" t="s">
        <v>5831</v>
      </c>
      <c r="E3421" t="s">
        <v>18</v>
      </c>
      <c r="F3421" t="s">
        <v>34</v>
      </c>
      <c r="G3421" t="s">
        <v>20</v>
      </c>
      <c r="I3421" t="s">
        <v>57</v>
      </c>
      <c r="J3421">
        <v>2</v>
      </c>
      <c r="K3421">
        <v>4308000</v>
      </c>
      <c r="L3421">
        <v>9.8919638405673499E-2</v>
      </c>
      <c r="M3421" t="s">
        <v>23</v>
      </c>
      <c r="N3421">
        <v>7764000</v>
      </c>
      <c r="O3421">
        <v>4</v>
      </c>
      <c r="P3421" t="b">
        <v>0</v>
      </c>
    </row>
    <row r="3422" spans="1:16" x14ac:dyDescent="0.2">
      <c r="A3422" t="s">
        <v>5832</v>
      </c>
      <c r="B3422" s="1">
        <v>45514</v>
      </c>
      <c r="C3422" s="1">
        <v>45606</v>
      </c>
      <c r="D3422" t="s">
        <v>1692</v>
      </c>
      <c r="E3422" t="s">
        <v>45</v>
      </c>
      <c r="F3422" t="s">
        <v>19</v>
      </c>
      <c r="G3422" t="s">
        <v>35</v>
      </c>
      <c r="H3422" t="s">
        <v>21</v>
      </c>
      <c r="I3422" t="s">
        <v>99</v>
      </c>
      <c r="J3422">
        <v>4</v>
      </c>
      <c r="K3422">
        <v>2389000</v>
      </c>
      <c r="L3422">
        <v>4.7276548043990299E-2</v>
      </c>
      <c r="M3422" t="s">
        <v>23</v>
      </c>
      <c r="N3422">
        <v>9104000</v>
      </c>
      <c r="O3422">
        <v>4.2</v>
      </c>
      <c r="P3422" t="b">
        <v>1</v>
      </c>
    </row>
    <row r="3423" spans="1:16" x14ac:dyDescent="0.2">
      <c r="A3423" t="s">
        <v>5833</v>
      </c>
      <c r="B3423" s="1">
        <v>45514</v>
      </c>
      <c r="C3423" s="1">
        <v>45563</v>
      </c>
      <c r="D3423" t="s">
        <v>5328</v>
      </c>
      <c r="E3423" t="s">
        <v>18</v>
      </c>
      <c r="F3423" t="s">
        <v>34</v>
      </c>
      <c r="G3423" t="s">
        <v>50</v>
      </c>
      <c r="H3423" t="s">
        <v>21</v>
      </c>
      <c r="I3423" t="s">
        <v>30</v>
      </c>
      <c r="J3423">
        <v>3</v>
      </c>
      <c r="K3423">
        <v>3726000</v>
      </c>
      <c r="L3423">
        <v>9.7222825951828698E-2</v>
      </c>
      <c r="M3423" t="s">
        <v>65</v>
      </c>
      <c r="N3423">
        <v>0</v>
      </c>
      <c r="P3423" t="b">
        <v>1</v>
      </c>
    </row>
    <row r="3424" spans="1:16" x14ac:dyDescent="0.2">
      <c r="A3424" t="s">
        <v>5834</v>
      </c>
      <c r="B3424" s="1">
        <v>45515</v>
      </c>
      <c r="C3424" s="1">
        <v>45591</v>
      </c>
      <c r="D3424" t="s">
        <v>5835</v>
      </c>
      <c r="E3424" t="s">
        <v>29</v>
      </c>
      <c r="F3424" t="s">
        <v>39</v>
      </c>
      <c r="G3424" t="s">
        <v>20</v>
      </c>
      <c r="H3424" t="s">
        <v>21</v>
      </c>
      <c r="I3424" t="s">
        <v>94</v>
      </c>
      <c r="J3424">
        <v>2</v>
      </c>
      <c r="K3424">
        <v>2520000</v>
      </c>
      <c r="L3424">
        <v>8.0740837499363102E-2</v>
      </c>
      <c r="M3424" t="s">
        <v>23</v>
      </c>
      <c r="N3424">
        <v>4633000</v>
      </c>
      <c r="O3424">
        <v>4</v>
      </c>
      <c r="P3424" t="b">
        <v>0</v>
      </c>
    </row>
    <row r="3425" spans="1:16" x14ac:dyDescent="0.2">
      <c r="A3425" t="s">
        <v>5836</v>
      </c>
      <c r="B3425" s="1">
        <v>45515</v>
      </c>
      <c r="C3425" s="1">
        <v>45600</v>
      </c>
      <c r="D3425" t="s">
        <v>5837</v>
      </c>
      <c r="E3425" t="s">
        <v>45</v>
      </c>
      <c r="F3425" t="s">
        <v>34</v>
      </c>
      <c r="G3425" t="s">
        <v>35</v>
      </c>
      <c r="H3425" t="s">
        <v>40</v>
      </c>
      <c r="I3425" t="s">
        <v>94</v>
      </c>
      <c r="J3425">
        <v>1</v>
      </c>
      <c r="K3425">
        <v>3952000</v>
      </c>
      <c r="L3425">
        <v>6.5654758545962005E-2</v>
      </c>
      <c r="M3425" t="s">
        <v>23</v>
      </c>
      <c r="N3425">
        <v>3693000</v>
      </c>
      <c r="O3425">
        <v>4.4000000000000004</v>
      </c>
      <c r="P3425" t="b">
        <v>0</v>
      </c>
    </row>
    <row r="3426" spans="1:16" x14ac:dyDescent="0.2">
      <c r="A3426" t="s">
        <v>5838</v>
      </c>
      <c r="B3426" s="1">
        <v>45515</v>
      </c>
      <c r="C3426" s="1">
        <v>45550</v>
      </c>
      <c r="D3426" t="s">
        <v>809</v>
      </c>
      <c r="E3426" t="s">
        <v>33</v>
      </c>
      <c r="F3426" t="s">
        <v>34</v>
      </c>
      <c r="G3426" t="s">
        <v>50</v>
      </c>
      <c r="H3426" t="s">
        <v>21</v>
      </c>
      <c r="I3426" t="s">
        <v>83</v>
      </c>
      <c r="J3426">
        <v>1</v>
      </c>
      <c r="K3426">
        <v>4103000</v>
      </c>
      <c r="L3426" s="2" t="s">
        <v>5839</v>
      </c>
      <c r="M3426" t="s">
        <v>23</v>
      </c>
      <c r="N3426">
        <v>3640000</v>
      </c>
      <c r="O3426">
        <v>4.5999999999999996</v>
      </c>
      <c r="P3426" t="b">
        <v>1</v>
      </c>
    </row>
    <row r="3427" spans="1:16" x14ac:dyDescent="0.2">
      <c r="A3427" t="s">
        <v>5840</v>
      </c>
      <c r="B3427" s="1">
        <v>45515</v>
      </c>
      <c r="C3427" s="1">
        <v>45562</v>
      </c>
      <c r="D3427" t="s">
        <v>5841</v>
      </c>
      <c r="E3427" t="s">
        <v>18</v>
      </c>
      <c r="F3427" t="s">
        <v>34</v>
      </c>
      <c r="G3427" t="s">
        <v>50</v>
      </c>
      <c r="H3427" t="s">
        <v>21</v>
      </c>
      <c r="I3427" t="s">
        <v>26</v>
      </c>
      <c r="J3427">
        <v>3</v>
      </c>
      <c r="K3427">
        <v>4068000</v>
      </c>
      <c r="L3427" s="2" t="s">
        <v>5842</v>
      </c>
      <c r="M3427" t="s">
        <v>23</v>
      </c>
      <c r="N3427">
        <v>11957000</v>
      </c>
      <c r="O3427">
        <v>3.6</v>
      </c>
      <c r="P3427" t="b">
        <v>0</v>
      </c>
    </row>
    <row r="3428" spans="1:16" x14ac:dyDescent="0.2">
      <c r="A3428" t="s">
        <v>5843</v>
      </c>
      <c r="B3428" s="1">
        <v>45516</v>
      </c>
      <c r="C3428" s="1">
        <v>45572</v>
      </c>
      <c r="D3428" t="s">
        <v>3763</v>
      </c>
      <c r="E3428" t="s">
        <v>29</v>
      </c>
      <c r="F3428" t="s">
        <v>34</v>
      </c>
      <c r="G3428" t="s">
        <v>20</v>
      </c>
      <c r="H3428" t="s">
        <v>21</v>
      </c>
      <c r="I3428" t="s">
        <v>1654</v>
      </c>
      <c r="J3428">
        <v>3</v>
      </c>
      <c r="K3428">
        <v>3437000</v>
      </c>
      <c r="L3428">
        <v>7.6217387218295601E-2</v>
      </c>
      <c r="M3428" t="s">
        <v>23</v>
      </c>
      <c r="N3428">
        <v>9525000</v>
      </c>
      <c r="O3428">
        <v>4.5</v>
      </c>
      <c r="P3428" t="b">
        <v>1</v>
      </c>
    </row>
    <row r="3429" spans="1:16" x14ac:dyDescent="0.2">
      <c r="A3429" t="s">
        <v>5844</v>
      </c>
      <c r="B3429" s="1">
        <v>45516</v>
      </c>
      <c r="C3429" s="1">
        <v>45545</v>
      </c>
      <c r="D3429" t="s">
        <v>4511</v>
      </c>
      <c r="E3429" t="s">
        <v>29</v>
      </c>
      <c r="F3429" t="s">
        <v>34</v>
      </c>
      <c r="G3429" t="s">
        <v>20</v>
      </c>
      <c r="H3429" t="s">
        <v>21</v>
      </c>
      <c r="I3429" t="s">
        <v>26</v>
      </c>
      <c r="J3429">
        <v>1</v>
      </c>
      <c r="K3429">
        <v>4112000</v>
      </c>
      <c r="L3429" s="2" t="s">
        <v>5845</v>
      </c>
      <c r="M3429" t="s">
        <v>23</v>
      </c>
      <c r="N3429">
        <v>3640000</v>
      </c>
      <c r="O3429">
        <v>4.5999999999999996</v>
      </c>
      <c r="P3429" t="b">
        <v>1</v>
      </c>
    </row>
    <row r="3430" spans="1:16" x14ac:dyDescent="0.2">
      <c r="A3430" t="s">
        <v>5846</v>
      </c>
      <c r="B3430" s="1">
        <v>45517</v>
      </c>
      <c r="C3430" s="1">
        <v>45585</v>
      </c>
      <c r="D3430" t="s">
        <v>5847</v>
      </c>
      <c r="E3430" t="s">
        <v>45</v>
      </c>
      <c r="F3430" t="s">
        <v>45</v>
      </c>
      <c r="G3430" t="s">
        <v>35</v>
      </c>
      <c r="H3430" t="s">
        <v>21</v>
      </c>
      <c r="I3430" t="s">
        <v>60</v>
      </c>
      <c r="J3430">
        <v>1</v>
      </c>
      <c r="K3430">
        <v>3547000</v>
      </c>
      <c r="L3430" s="2" t="s">
        <v>5848</v>
      </c>
      <c r="M3430" t="s">
        <v>23</v>
      </c>
      <c r="N3430">
        <v>3092000</v>
      </c>
      <c r="O3430">
        <v>3.8</v>
      </c>
      <c r="P3430" t="b">
        <v>0</v>
      </c>
    </row>
    <row r="3431" spans="1:16" x14ac:dyDescent="0.2">
      <c r="A3431" t="s">
        <v>5849</v>
      </c>
      <c r="B3431" s="1">
        <v>45517</v>
      </c>
      <c r="C3431" s="1">
        <v>45581</v>
      </c>
      <c r="D3431" t="s">
        <v>5850</v>
      </c>
      <c r="E3431" t="s">
        <v>45</v>
      </c>
      <c r="F3431" t="s">
        <v>45</v>
      </c>
      <c r="G3431" t="s">
        <v>35</v>
      </c>
      <c r="H3431" t="s">
        <v>51</v>
      </c>
      <c r="I3431" t="s">
        <v>57</v>
      </c>
      <c r="J3431">
        <v>3</v>
      </c>
      <c r="K3431">
        <v>3389000</v>
      </c>
      <c r="L3431">
        <v>6.2001805667740398E-2</v>
      </c>
      <c r="M3431" t="s">
        <v>23</v>
      </c>
      <c r="N3431">
        <v>9537000</v>
      </c>
      <c r="O3431">
        <v>4.9000000000000004</v>
      </c>
      <c r="P3431" t="b">
        <v>0</v>
      </c>
    </row>
    <row r="3432" spans="1:16" x14ac:dyDescent="0.2">
      <c r="A3432" t="s">
        <v>5851</v>
      </c>
      <c r="B3432" s="1">
        <v>45518</v>
      </c>
      <c r="C3432" s="1">
        <v>45559</v>
      </c>
      <c r="D3432" t="s">
        <v>990</v>
      </c>
      <c r="E3432" t="s">
        <v>18</v>
      </c>
      <c r="F3432" t="s">
        <v>34</v>
      </c>
      <c r="G3432" t="s">
        <v>20</v>
      </c>
      <c r="H3432" t="s">
        <v>40</v>
      </c>
      <c r="J3432">
        <v>3</v>
      </c>
      <c r="K3432">
        <v>4135000</v>
      </c>
      <c r="L3432">
        <v>8.7015079099504899E-2</v>
      </c>
      <c r="M3432" t="s">
        <v>23</v>
      </c>
      <c r="N3432">
        <v>11326000</v>
      </c>
      <c r="O3432">
        <v>4.4000000000000004</v>
      </c>
      <c r="P3432" t="b">
        <v>1</v>
      </c>
    </row>
    <row r="3433" spans="1:16" x14ac:dyDescent="0.2">
      <c r="A3433" t="s">
        <v>5852</v>
      </c>
      <c r="B3433" s="1">
        <v>45518</v>
      </c>
      <c r="C3433" s="1">
        <v>45580</v>
      </c>
      <c r="D3433" t="s">
        <v>118</v>
      </c>
      <c r="E3433" t="s">
        <v>29</v>
      </c>
      <c r="F3433" t="s">
        <v>19</v>
      </c>
      <c r="G3433" t="s">
        <v>20</v>
      </c>
      <c r="H3433" t="s">
        <v>40</v>
      </c>
      <c r="I3433" t="s">
        <v>30</v>
      </c>
      <c r="J3433">
        <v>1</v>
      </c>
      <c r="K3433">
        <v>2326000</v>
      </c>
      <c r="L3433" s="2" t="s">
        <v>5853</v>
      </c>
      <c r="M3433" t="s">
        <v>23</v>
      </c>
      <c r="N3433">
        <v>2004000</v>
      </c>
      <c r="O3433">
        <v>4.7</v>
      </c>
      <c r="P3433" t="b">
        <v>1</v>
      </c>
    </row>
    <row r="3434" spans="1:16" x14ac:dyDescent="0.2">
      <c r="A3434" t="s">
        <v>5854</v>
      </c>
      <c r="B3434" s="1">
        <v>45518</v>
      </c>
      <c r="C3434" s="1">
        <v>45572</v>
      </c>
      <c r="D3434" t="s">
        <v>3149</v>
      </c>
      <c r="E3434" t="s">
        <v>33</v>
      </c>
      <c r="F3434" t="s">
        <v>45</v>
      </c>
      <c r="G3434" t="s">
        <v>35</v>
      </c>
      <c r="H3434" t="s">
        <v>51</v>
      </c>
      <c r="I3434" t="s">
        <v>26</v>
      </c>
      <c r="J3434">
        <v>1</v>
      </c>
      <c r="K3434">
        <v>3291000</v>
      </c>
      <c r="L3434">
        <v>3.4873860952223702E-2</v>
      </c>
      <c r="M3434" t="s">
        <v>23</v>
      </c>
      <c r="N3434">
        <v>3176000</v>
      </c>
      <c r="O3434">
        <v>4.4000000000000004</v>
      </c>
      <c r="P3434" t="b">
        <v>1</v>
      </c>
    </row>
    <row r="3435" spans="1:16" x14ac:dyDescent="0.2">
      <c r="A3435" t="s">
        <v>5855</v>
      </c>
      <c r="B3435" s="1">
        <v>45518</v>
      </c>
      <c r="C3435" s="1">
        <v>45538</v>
      </c>
      <c r="D3435" t="s">
        <v>4373</v>
      </c>
      <c r="E3435" t="s">
        <v>29</v>
      </c>
      <c r="F3435" t="s">
        <v>68</v>
      </c>
      <c r="G3435" t="s">
        <v>35</v>
      </c>
      <c r="H3435" t="s">
        <v>40</v>
      </c>
      <c r="I3435" t="s">
        <v>57</v>
      </c>
      <c r="J3435">
        <v>1</v>
      </c>
      <c r="K3435">
        <v>2497000</v>
      </c>
      <c r="L3435">
        <v>5.5496795014110201E-2</v>
      </c>
      <c r="M3435" t="s">
        <v>23</v>
      </c>
      <c r="N3435">
        <v>2358000</v>
      </c>
      <c r="O3435">
        <v>4.3</v>
      </c>
      <c r="P3435" t="b">
        <v>1</v>
      </c>
    </row>
    <row r="3436" spans="1:16" x14ac:dyDescent="0.2">
      <c r="A3436" t="s">
        <v>5856</v>
      </c>
      <c r="B3436" s="1">
        <v>45519</v>
      </c>
      <c r="C3436" s="1">
        <v>45572</v>
      </c>
      <c r="D3436" t="s">
        <v>5857</v>
      </c>
      <c r="E3436" t="s">
        <v>18</v>
      </c>
      <c r="F3436" t="s">
        <v>25</v>
      </c>
      <c r="G3436" t="s">
        <v>20</v>
      </c>
      <c r="H3436" t="s">
        <v>21</v>
      </c>
      <c r="I3436" t="s">
        <v>26</v>
      </c>
      <c r="J3436">
        <v>4</v>
      </c>
      <c r="K3436">
        <v>5150000</v>
      </c>
      <c r="L3436" s="2" t="s">
        <v>5858</v>
      </c>
      <c r="M3436" t="s">
        <v>23</v>
      </c>
      <c r="N3436">
        <v>18014000</v>
      </c>
      <c r="O3436">
        <v>4</v>
      </c>
      <c r="P3436" t="b">
        <v>0</v>
      </c>
    </row>
    <row r="3437" spans="1:16" x14ac:dyDescent="0.2">
      <c r="A3437" t="s">
        <v>5859</v>
      </c>
      <c r="B3437" s="1">
        <v>45519</v>
      </c>
      <c r="C3437" s="1">
        <v>45592</v>
      </c>
      <c r="D3437" t="s">
        <v>5860</v>
      </c>
      <c r="E3437" t="s">
        <v>33</v>
      </c>
      <c r="F3437" t="s">
        <v>34</v>
      </c>
      <c r="G3437" t="s">
        <v>20</v>
      </c>
      <c r="H3437" t="s">
        <v>21</v>
      </c>
      <c r="I3437" t="s">
        <v>22</v>
      </c>
      <c r="J3437">
        <v>2</v>
      </c>
      <c r="K3437">
        <v>3550000</v>
      </c>
      <c r="L3437" s="2" t="s">
        <v>5861</v>
      </c>
      <c r="M3437" t="s">
        <v>23</v>
      </c>
      <c r="N3437">
        <v>6266000</v>
      </c>
      <c r="O3437">
        <v>3.9</v>
      </c>
      <c r="P3437" t="b">
        <v>0</v>
      </c>
    </row>
    <row r="3438" spans="1:16" x14ac:dyDescent="0.2">
      <c r="A3438" t="s">
        <v>5862</v>
      </c>
      <c r="B3438" s="1">
        <v>45520</v>
      </c>
      <c r="C3438" s="1">
        <v>45605</v>
      </c>
      <c r="D3438" t="s">
        <v>5863</v>
      </c>
      <c r="E3438" t="s">
        <v>45</v>
      </c>
      <c r="F3438" t="s">
        <v>45</v>
      </c>
      <c r="G3438" t="s">
        <v>20</v>
      </c>
      <c r="H3438" t="s">
        <v>21</v>
      </c>
      <c r="I3438" t="s">
        <v>60</v>
      </c>
      <c r="J3438">
        <v>2</v>
      </c>
      <c r="K3438">
        <v>3457000</v>
      </c>
      <c r="L3438" s="2" t="s">
        <v>5864</v>
      </c>
      <c r="M3438" t="s">
        <v>23</v>
      </c>
      <c r="N3438">
        <v>6047000</v>
      </c>
      <c r="O3438">
        <v>3.4</v>
      </c>
      <c r="P3438" t="b">
        <v>0</v>
      </c>
    </row>
    <row r="3439" spans="1:16" x14ac:dyDescent="0.2">
      <c r="A3439" t="s">
        <v>5865</v>
      </c>
      <c r="B3439" s="1">
        <v>45521</v>
      </c>
      <c r="C3439" s="1">
        <v>45542</v>
      </c>
      <c r="D3439" t="s">
        <v>2397</v>
      </c>
      <c r="E3439" t="s">
        <v>33</v>
      </c>
      <c r="F3439" t="s">
        <v>34</v>
      </c>
      <c r="G3439" t="s">
        <v>20</v>
      </c>
      <c r="H3439" t="s">
        <v>40</v>
      </c>
      <c r="I3439" t="s">
        <v>1654</v>
      </c>
      <c r="J3439">
        <v>1</v>
      </c>
      <c r="K3439">
        <v>3166000</v>
      </c>
      <c r="L3439">
        <v>8.6681742780134199E-2</v>
      </c>
      <c r="M3439" t="s">
        <v>23</v>
      </c>
      <c r="N3439">
        <v>2892000</v>
      </c>
      <c r="O3439">
        <v>4.4000000000000004</v>
      </c>
      <c r="P3439" t="b">
        <v>1</v>
      </c>
    </row>
    <row r="3440" spans="1:16" x14ac:dyDescent="0.2">
      <c r="A3440" t="s">
        <v>5866</v>
      </c>
      <c r="B3440" s="1">
        <v>45521</v>
      </c>
      <c r="C3440" s="1">
        <v>45575</v>
      </c>
      <c r="D3440" t="s">
        <v>17</v>
      </c>
      <c r="E3440" t="s">
        <v>18</v>
      </c>
      <c r="F3440" t="s">
        <v>34</v>
      </c>
      <c r="G3440" t="s">
        <v>50</v>
      </c>
      <c r="H3440" t="s">
        <v>47</v>
      </c>
      <c r="I3440" t="s">
        <v>26</v>
      </c>
      <c r="J3440">
        <v>1</v>
      </c>
      <c r="K3440">
        <v>3970000</v>
      </c>
      <c r="L3440">
        <v>8.1362318380941101E-2</v>
      </c>
      <c r="M3440" t="s">
        <v>1673</v>
      </c>
      <c r="N3440">
        <v>3647000</v>
      </c>
      <c r="O3440">
        <v>3.8</v>
      </c>
      <c r="P3440" t="b">
        <v>1</v>
      </c>
    </row>
    <row r="3441" spans="1:16" x14ac:dyDescent="0.2">
      <c r="A3441" t="s">
        <v>5867</v>
      </c>
      <c r="B3441" s="1">
        <v>45522</v>
      </c>
      <c r="C3441" s="1">
        <v>45544</v>
      </c>
      <c r="D3441" t="s">
        <v>2628</v>
      </c>
      <c r="E3441" t="s">
        <v>29</v>
      </c>
      <c r="F3441" t="s">
        <v>34</v>
      </c>
      <c r="G3441" t="s">
        <v>35</v>
      </c>
      <c r="H3441" t="s">
        <v>51</v>
      </c>
      <c r="I3441" t="s">
        <v>57</v>
      </c>
      <c r="J3441">
        <v>2</v>
      </c>
      <c r="K3441">
        <v>4330000</v>
      </c>
      <c r="L3441">
        <v>7.5931946693749405E-2</v>
      </c>
      <c r="M3441" t="s">
        <v>23</v>
      </c>
      <c r="N3441">
        <v>8002000</v>
      </c>
      <c r="O3441">
        <v>4.8</v>
      </c>
      <c r="P3441" t="b">
        <v>1</v>
      </c>
    </row>
    <row r="3442" spans="1:16" x14ac:dyDescent="0.2">
      <c r="A3442" t="s">
        <v>5868</v>
      </c>
      <c r="B3442" s="1">
        <v>45522</v>
      </c>
      <c r="C3442" s="1">
        <v>45577</v>
      </c>
      <c r="D3442" t="s">
        <v>4460</v>
      </c>
      <c r="E3442" t="s">
        <v>29</v>
      </c>
      <c r="F3442" t="s">
        <v>68</v>
      </c>
      <c r="G3442" t="s">
        <v>35</v>
      </c>
      <c r="H3442" t="s">
        <v>47</v>
      </c>
      <c r="I3442" t="s">
        <v>22</v>
      </c>
      <c r="J3442">
        <v>3</v>
      </c>
      <c r="K3442">
        <v>2562000</v>
      </c>
      <c r="L3442">
        <v>4.4676700032957997E-2</v>
      </c>
      <c r="M3442" t="s">
        <v>23</v>
      </c>
      <c r="N3442">
        <v>7343000</v>
      </c>
      <c r="O3442">
        <v>4.2</v>
      </c>
      <c r="P3442" t="b">
        <v>1</v>
      </c>
    </row>
    <row r="3443" spans="1:16" x14ac:dyDescent="0.2">
      <c r="A3443" t="s">
        <v>5869</v>
      </c>
      <c r="B3443" s="1">
        <v>45522</v>
      </c>
      <c r="C3443" s="1">
        <v>45592</v>
      </c>
      <c r="D3443" t="s">
        <v>5132</v>
      </c>
      <c r="E3443" t="s">
        <v>33</v>
      </c>
      <c r="F3443" t="s">
        <v>34</v>
      </c>
      <c r="G3443" t="s">
        <v>35</v>
      </c>
      <c r="H3443" t="s">
        <v>21</v>
      </c>
      <c r="I3443" t="s">
        <v>26</v>
      </c>
      <c r="J3443">
        <v>1</v>
      </c>
      <c r="K3443">
        <v>3904000</v>
      </c>
      <c r="L3443" s="2" t="s">
        <v>5870</v>
      </c>
      <c r="M3443" t="s">
        <v>23</v>
      </c>
      <c r="N3443">
        <v>3481000</v>
      </c>
      <c r="O3443">
        <v>3.9</v>
      </c>
      <c r="P3443" t="b">
        <v>1</v>
      </c>
    </row>
    <row r="3444" spans="1:16" x14ac:dyDescent="0.2">
      <c r="A3444" t="s">
        <v>5871</v>
      </c>
      <c r="B3444" s="1">
        <v>45522</v>
      </c>
      <c r="C3444" s="1">
        <v>45566</v>
      </c>
      <c r="D3444" t="s">
        <v>424</v>
      </c>
      <c r="E3444" t="s">
        <v>18</v>
      </c>
      <c r="F3444" t="s">
        <v>25</v>
      </c>
      <c r="G3444" t="s">
        <v>20</v>
      </c>
      <c r="H3444" t="s">
        <v>21</v>
      </c>
      <c r="I3444" t="s">
        <v>26</v>
      </c>
      <c r="J3444">
        <v>3</v>
      </c>
      <c r="K3444">
        <v>5140000</v>
      </c>
      <c r="L3444" s="2" t="s">
        <v>5872</v>
      </c>
      <c r="M3444" t="s">
        <v>23</v>
      </c>
      <c r="N3444">
        <v>15178000</v>
      </c>
      <c r="O3444">
        <v>4.5</v>
      </c>
      <c r="P3444" t="b">
        <v>1</v>
      </c>
    </row>
    <row r="3445" spans="1:16" x14ac:dyDescent="0.2">
      <c r="A3445" t="s">
        <v>5873</v>
      </c>
      <c r="B3445" s="1">
        <v>45522</v>
      </c>
      <c r="C3445" s="1">
        <v>45575</v>
      </c>
      <c r="D3445" t="s">
        <v>5296</v>
      </c>
      <c r="E3445" t="s">
        <v>18</v>
      </c>
      <c r="F3445" t="s">
        <v>19</v>
      </c>
      <c r="G3445" t="s">
        <v>50</v>
      </c>
      <c r="H3445" t="s">
        <v>40</v>
      </c>
      <c r="I3445" t="s">
        <v>60</v>
      </c>
      <c r="J3445">
        <v>1</v>
      </c>
      <c r="K3445">
        <v>2818000</v>
      </c>
      <c r="L3445" s="2" t="s">
        <v>5874</v>
      </c>
      <c r="M3445" t="s">
        <v>23</v>
      </c>
      <c r="N3445">
        <v>2366000</v>
      </c>
      <c r="O3445">
        <v>4.3</v>
      </c>
      <c r="P3445" t="b">
        <v>1</v>
      </c>
    </row>
    <row r="3446" spans="1:16" x14ac:dyDescent="0.2">
      <c r="A3446" t="s">
        <v>5875</v>
      </c>
      <c r="B3446" s="1">
        <v>45524</v>
      </c>
      <c r="C3446" s="1">
        <v>45571</v>
      </c>
      <c r="D3446" t="s">
        <v>4861</v>
      </c>
      <c r="E3446" t="s">
        <v>29</v>
      </c>
      <c r="F3446" t="s">
        <v>25</v>
      </c>
      <c r="G3446" t="s">
        <v>20</v>
      </c>
      <c r="H3446" t="s">
        <v>40</v>
      </c>
      <c r="I3446" t="s">
        <v>22</v>
      </c>
      <c r="J3446">
        <v>4</v>
      </c>
      <c r="K3446">
        <v>4314000</v>
      </c>
      <c r="L3446">
        <v>6.8724465504848398E-2</v>
      </c>
      <c r="M3446" t="s">
        <v>23</v>
      </c>
      <c r="N3446">
        <v>16070000</v>
      </c>
      <c r="O3446">
        <v>4.9000000000000004</v>
      </c>
      <c r="P3446" t="b">
        <v>1</v>
      </c>
    </row>
    <row r="3447" spans="1:16" x14ac:dyDescent="0.2">
      <c r="A3447" t="s">
        <v>5876</v>
      </c>
      <c r="B3447" s="1">
        <v>45524</v>
      </c>
      <c r="C3447" s="1">
        <v>45548</v>
      </c>
      <c r="D3447" t="s">
        <v>5877</v>
      </c>
      <c r="E3447" t="s">
        <v>18</v>
      </c>
      <c r="F3447" t="s">
        <v>19</v>
      </c>
      <c r="G3447" t="s">
        <v>20</v>
      </c>
      <c r="H3447" t="s">
        <v>21</v>
      </c>
      <c r="I3447" t="s">
        <v>26</v>
      </c>
      <c r="J3447">
        <v>3</v>
      </c>
      <c r="K3447">
        <v>2533000</v>
      </c>
      <c r="L3447" s="2" t="s">
        <v>5878</v>
      </c>
      <c r="M3447" t="s">
        <v>23</v>
      </c>
      <c r="N3447">
        <v>7172000</v>
      </c>
      <c r="O3447">
        <v>3.8</v>
      </c>
      <c r="P3447" t="b">
        <v>0</v>
      </c>
    </row>
    <row r="3448" spans="1:16" x14ac:dyDescent="0.2">
      <c r="A3448" t="s">
        <v>5879</v>
      </c>
      <c r="B3448" s="1">
        <v>45524</v>
      </c>
      <c r="C3448" s="1">
        <v>45608</v>
      </c>
      <c r="D3448" t="s">
        <v>2416</v>
      </c>
      <c r="E3448" t="s">
        <v>18</v>
      </c>
      <c r="F3448" t="s">
        <v>45</v>
      </c>
      <c r="G3448" t="s">
        <v>20</v>
      </c>
      <c r="H3448" t="s">
        <v>47</v>
      </c>
      <c r="I3448" t="s">
        <v>83</v>
      </c>
      <c r="J3448">
        <v>3</v>
      </c>
      <c r="K3448">
        <v>2681000</v>
      </c>
      <c r="L3448">
        <v>5.1133603505506303E-2</v>
      </c>
      <c r="M3448" t="s">
        <v>23</v>
      </c>
      <c r="N3448">
        <v>7632000</v>
      </c>
      <c r="O3448">
        <v>4.3</v>
      </c>
      <c r="P3448" t="b">
        <v>1</v>
      </c>
    </row>
    <row r="3449" spans="1:16" x14ac:dyDescent="0.2">
      <c r="A3449" t="s">
        <v>5880</v>
      </c>
      <c r="B3449" s="1">
        <v>45525</v>
      </c>
      <c r="C3449" s="1">
        <v>45535</v>
      </c>
      <c r="D3449" t="s">
        <v>5881</v>
      </c>
      <c r="E3449" t="s">
        <v>29</v>
      </c>
      <c r="F3449" t="s">
        <v>45</v>
      </c>
      <c r="H3449" t="s">
        <v>21</v>
      </c>
      <c r="I3449" t="s">
        <v>22</v>
      </c>
      <c r="J3449">
        <v>1</v>
      </c>
      <c r="K3449">
        <v>3228000</v>
      </c>
      <c r="L3449" s="2" t="s">
        <v>5882</v>
      </c>
      <c r="M3449" t="s">
        <v>23</v>
      </c>
      <c r="N3449">
        <v>2822000</v>
      </c>
      <c r="O3449">
        <v>4.5999999999999996</v>
      </c>
      <c r="P3449" t="b">
        <v>0</v>
      </c>
    </row>
    <row r="3450" spans="1:16" x14ac:dyDescent="0.2">
      <c r="A3450" t="s">
        <v>5883</v>
      </c>
      <c r="B3450" s="1">
        <v>45525</v>
      </c>
      <c r="C3450" s="1">
        <v>45598</v>
      </c>
      <c r="D3450" t="s">
        <v>1167</v>
      </c>
      <c r="E3450" t="s">
        <v>29</v>
      </c>
      <c r="F3450" t="s">
        <v>19</v>
      </c>
      <c r="G3450" t="s">
        <v>50</v>
      </c>
      <c r="H3450" t="s">
        <v>21</v>
      </c>
      <c r="I3450" t="s">
        <v>77</v>
      </c>
      <c r="J3450">
        <v>1</v>
      </c>
      <c r="K3450">
        <v>2653000</v>
      </c>
      <c r="L3450" s="2" t="s">
        <v>5884</v>
      </c>
      <c r="M3450" t="s">
        <v>23</v>
      </c>
      <c r="N3450">
        <v>2249000</v>
      </c>
      <c r="O3450">
        <v>3.7</v>
      </c>
      <c r="P3450" t="b">
        <v>1</v>
      </c>
    </row>
    <row r="3451" spans="1:16" x14ac:dyDescent="0.2">
      <c r="A3451" t="s">
        <v>5885</v>
      </c>
      <c r="B3451" s="1">
        <v>45526</v>
      </c>
      <c r="C3451" s="1">
        <v>45539</v>
      </c>
      <c r="D3451" t="s">
        <v>5886</v>
      </c>
      <c r="E3451" t="s">
        <v>29</v>
      </c>
      <c r="F3451" t="s">
        <v>45</v>
      </c>
      <c r="G3451" t="s">
        <v>35</v>
      </c>
      <c r="H3451" t="s">
        <v>21</v>
      </c>
      <c r="I3451" t="s">
        <v>77</v>
      </c>
      <c r="J3451">
        <v>4</v>
      </c>
      <c r="K3451">
        <v>3694000</v>
      </c>
      <c r="L3451" s="2" t="s">
        <v>5887</v>
      </c>
      <c r="M3451" t="s">
        <v>23</v>
      </c>
      <c r="N3451">
        <v>13255000</v>
      </c>
      <c r="O3451">
        <v>4.9000000000000004</v>
      </c>
      <c r="P3451" t="b">
        <v>0</v>
      </c>
    </row>
    <row r="3452" spans="1:16" x14ac:dyDescent="0.2">
      <c r="A3452" t="s">
        <v>5888</v>
      </c>
      <c r="B3452" s="1">
        <v>45527</v>
      </c>
      <c r="C3452" s="1">
        <v>45565</v>
      </c>
      <c r="D3452" t="s">
        <v>5889</v>
      </c>
      <c r="E3452" t="s">
        <v>33</v>
      </c>
      <c r="F3452" t="s">
        <v>34</v>
      </c>
      <c r="G3452" t="s">
        <v>35</v>
      </c>
      <c r="H3452" t="s">
        <v>21</v>
      </c>
      <c r="I3452" t="s">
        <v>77</v>
      </c>
      <c r="J3452">
        <v>1</v>
      </c>
      <c r="K3452">
        <v>3759000</v>
      </c>
      <c r="L3452" s="2" t="s">
        <v>5890</v>
      </c>
      <c r="M3452" t="s">
        <v>23</v>
      </c>
      <c r="N3452">
        <v>3081000</v>
      </c>
      <c r="O3452">
        <v>4.5</v>
      </c>
      <c r="P3452" t="b">
        <v>0</v>
      </c>
    </row>
    <row r="3453" spans="1:16" x14ac:dyDescent="0.2">
      <c r="A3453" t="s">
        <v>5891</v>
      </c>
      <c r="B3453" s="1">
        <v>45527</v>
      </c>
      <c r="C3453" s="1">
        <v>45562</v>
      </c>
      <c r="D3453" t="s">
        <v>512</v>
      </c>
      <c r="E3453" t="s">
        <v>33</v>
      </c>
      <c r="F3453" t="s">
        <v>45</v>
      </c>
      <c r="G3453" t="s">
        <v>20</v>
      </c>
      <c r="H3453" t="s">
        <v>21</v>
      </c>
      <c r="I3453" t="s">
        <v>52</v>
      </c>
      <c r="J3453">
        <v>2</v>
      </c>
      <c r="K3453">
        <v>3203000</v>
      </c>
      <c r="L3453">
        <v>8.7437777835955105E-2</v>
      </c>
      <c r="M3453" t="s">
        <v>23</v>
      </c>
      <c r="N3453">
        <v>5846000</v>
      </c>
      <c r="O3453">
        <v>5</v>
      </c>
      <c r="P3453" t="b">
        <v>1</v>
      </c>
    </row>
    <row r="3454" spans="1:16" x14ac:dyDescent="0.2">
      <c r="A3454" t="s">
        <v>5892</v>
      </c>
      <c r="B3454" s="1">
        <v>45527</v>
      </c>
      <c r="C3454" s="1">
        <v>45552</v>
      </c>
      <c r="D3454" t="s">
        <v>126</v>
      </c>
      <c r="E3454" t="s">
        <v>29</v>
      </c>
      <c r="F3454" t="s">
        <v>39</v>
      </c>
      <c r="G3454" t="s">
        <v>50</v>
      </c>
      <c r="H3454" t="s">
        <v>21</v>
      </c>
      <c r="I3454" t="s">
        <v>26</v>
      </c>
      <c r="J3454">
        <v>1</v>
      </c>
      <c r="K3454">
        <v>2158000</v>
      </c>
      <c r="L3454">
        <v>9.9362016075802403E-2</v>
      </c>
      <c r="M3454" t="s">
        <v>23</v>
      </c>
      <c r="N3454">
        <v>1944000</v>
      </c>
      <c r="O3454">
        <v>4.0999999999999996</v>
      </c>
      <c r="P3454" t="b">
        <v>1</v>
      </c>
    </row>
    <row r="3455" spans="1:16" x14ac:dyDescent="0.2">
      <c r="A3455" t="s">
        <v>5893</v>
      </c>
      <c r="B3455" s="1">
        <v>45527</v>
      </c>
      <c r="C3455" s="1">
        <v>45618</v>
      </c>
      <c r="D3455" t="s">
        <v>5894</v>
      </c>
      <c r="E3455" t="s">
        <v>45</v>
      </c>
      <c r="F3455" t="s">
        <v>39</v>
      </c>
      <c r="G3455" t="s">
        <v>20</v>
      </c>
      <c r="H3455" t="s">
        <v>21</v>
      </c>
      <c r="I3455" t="s">
        <v>30</v>
      </c>
      <c r="J3455">
        <v>2</v>
      </c>
      <c r="K3455">
        <v>2444000</v>
      </c>
      <c r="L3455" s="2" t="s">
        <v>5895</v>
      </c>
      <c r="M3455" t="s">
        <v>23</v>
      </c>
      <c r="N3455">
        <v>4282000</v>
      </c>
      <c r="O3455">
        <v>4.5999999999999996</v>
      </c>
      <c r="P3455" t="b">
        <v>0</v>
      </c>
    </row>
    <row r="3456" spans="1:16" x14ac:dyDescent="0.2">
      <c r="A3456" t="s">
        <v>5896</v>
      </c>
      <c r="B3456" s="1">
        <v>45527</v>
      </c>
      <c r="C3456" s="1">
        <v>45564</v>
      </c>
      <c r="D3456" t="s">
        <v>2797</v>
      </c>
      <c r="E3456" t="s">
        <v>29</v>
      </c>
      <c r="F3456" t="s">
        <v>34</v>
      </c>
      <c r="G3456" t="s">
        <v>20</v>
      </c>
      <c r="H3456" t="s">
        <v>51</v>
      </c>
      <c r="I3456" t="s">
        <v>57</v>
      </c>
      <c r="J3456">
        <v>5</v>
      </c>
      <c r="K3456">
        <v>4326000</v>
      </c>
      <c r="L3456">
        <v>3.9127428303167601E-2</v>
      </c>
      <c r="M3456" t="s">
        <v>23</v>
      </c>
      <c r="N3456">
        <v>20784000</v>
      </c>
      <c r="O3456">
        <v>4.5999999999999996</v>
      </c>
      <c r="P3456" t="b">
        <v>1</v>
      </c>
    </row>
    <row r="3457" spans="1:16" x14ac:dyDescent="0.2">
      <c r="A3457" t="s">
        <v>5897</v>
      </c>
      <c r="B3457" s="1">
        <v>45528</v>
      </c>
      <c r="C3457" s="1">
        <v>45594</v>
      </c>
      <c r="D3457" t="s">
        <v>5566</v>
      </c>
      <c r="E3457" t="s">
        <v>33</v>
      </c>
      <c r="F3457" t="s">
        <v>68</v>
      </c>
      <c r="G3457" t="s">
        <v>20</v>
      </c>
      <c r="H3457" t="s">
        <v>21</v>
      </c>
      <c r="I3457" t="s">
        <v>52</v>
      </c>
      <c r="J3457">
        <v>3</v>
      </c>
      <c r="K3457">
        <v>2310000</v>
      </c>
      <c r="L3457" s="2" t="s">
        <v>5898</v>
      </c>
      <c r="M3457" t="s">
        <v>23</v>
      </c>
      <c r="N3457">
        <v>6199000</v>
      </c>
      <c r="O3457">
        <v>4.9000000000000004</v>
      </c>
      <c r="P3457" t="b">
        <v>1</v>
      </c>
    </row>
    <row r="3458" spans="1:16" x14ac:dyDescent="0.2">
      <c r="A3458" t="s">
        <v>5899</v>
      </c>
      <c r="B3458" s="1">
        <v>45529</v>
      </c>
      <c r="C3458" s="1">
        <v>45550</v>
      </c>
      <c r="D3458" t="s">
        <v>4954</v>
      </c>
      <c r="E3458" t="s">
        <v>18</v>
      </c>
      <c r="F3458" t="s">
        <v>39</v>
      </c>
      <c r="G3458" t="s">
        <v>50</v>
      </c>
      <c r="H3458" t="s">
        <v>21</v>
      </c>
      <c r="I3458" t="s">
        <v>60</v>
      </c>
      <c r="J3458">
        <v>2</v>
      </c>
      <c r="K3458">
        <v>2594000</v>
      </c>
      <c r="L3458" s="2" t="s">
        <v>5900</v>
      </c>
      <c r="M3458" t="s">
        <v>23</v>
      </c>
      <c r="N3458">
        <v>4593000</v>
      </c>
      <c r="O3458">
        <v>5</v>
      </c>
      <c r="P3458" t="b">
        <v>1</v>
      </c>
    </row>
    <row r="3459" spans="1:16" x14ac:dyDescent="0.2">
      <c r="A3459" t="s">
        <v>5901</v>
      </c>
      <c r="B3459" s="1">
        <v>45530</v>
      </c>
      <c r="C3459" s="1">
        <v>45554</v>
      </c>
      <c r="D3459" t="s">
        <v>5902</v>
      </c>
      <c r="E3459" t="s">
        <v>18</v>
      </c>
      <c r="F3459" t="s">
        <v>19</v>
      </c>
      <c r="G3459" t="s">
        <v>35</v>
      </c>
      <c r="H3459" t="s">
        <v>21</v>
      </c>
      <c r="I3459" t="s">
        <v>57</v>
      </c>
      <c r="J3459">
        <v>2</v>
      </c>
      <c r="K3459">
        <v>3211000</v>
      </c>
      <c r="L3459" s="2" t="s">
        <v>5903</v>
      </c>
      <c r="M3459" t="s">
        <v>23</v>
      </c>
      <c r="N3459">
        <v>5651000</v>
      </c>
      <c r="O3459">
        <v>3.6</v>
      </c>
      <c r="P3459" t="b">
        <v>0</v>
      </c>
    </row>
    <row r="3460" spans="1:16" x14ac:dyDescent="0.2">
      <c r="A3460" t="s">
        <v>5904</v>
      </c>
      <c r="B3460" s="1">
        <v>45531</v>
      </c>
      <c r="C3460" s="1">
        <v>45599</v>
      </c>
      <c r="D3460" t="s">
        <v>1681</v>
      </c>
      <c r="E3460" t="s">
        <v>45</v>
      </c>
      <c r="F3460" t="s">
        <v>34</v>
      </c>
      <c r="G3460" t="s">
        <v>20</v>
      </c>
      <c r="H3460" t="s">
        <v>21</v>
      </c>
      <c r="I3460" t="s">
        <v>94</v>
      </c>
      <c r="J3460">
        <v>2</v>
      </c>
      <c r="K3460">
        <v>4134000</v>
      </c>
      <c r="L3460">
        <v>6.7690556429670007E-2</v>
      </c>
      <c r="M3460" t="s">
        <v>23</v>
      </c>
      <c r="N3460">
        <v>7708000</v>
      </c>
      <c r="O3460">
        <v>4.2</v>
      </c>
      <c r="P3460" t="b">
        <v>1</v>
      </c>
    </row>
    <row r="3461" spans="1:16" x14ac:dyDescent="0.2">
      <c r="A3461" t="s">
        <v>5905</v>
      </c>
      <c r="B3461" s="1">
        <v>45531</v>
      </c>
      <c r="C3461" s="1">
        <v>45560</v>
      </c>
      <c r="D3461" t="s">
        <v>5906</v>
      </c>
      <c r="E3461" t="s">
        <v>45</v>
      </c>
      <c r="F3461" t="s">
        <v>68</v>
      </c>
      <c r="G3461" t="s">
        <v>50</v>
      </c>
      <c r="H3461" t="s">
        <v>47</v>
      </c>
      <c r="I3461" t="s">
        <v>57</v>
      </c>
      <c r="J3461">
        <v>2</v>
      </c>
      <c r="K3461">
        <v>2498000</v>
      </c>
      <c r="L3461" s="2" t="s">
        <v>5907</v>
      </c>
      <c r="M3461" t="s">
        <v>23</v>
      </c>
      <c r="N3461">
        <v>4403000</v>
      </c>
      <c r="O3461">
        <v>5</v>
      </c>
      <c r="P3461" t="b">
        <v>0</v>
      </c>
    </row>
    <row r="3462" spans="1:16" x14ac:dyDescent="0.2">
      <c r="A3462" t="s">
        <v>5908</v>
      </c>
      <c r="B3462" s="1">
        <v>45531</v>
      </c>
      <c r="C3462" s="1">
        <v>45583</v>
      </c>
      <c r="D3462" t="s">
        <v>5909</v>
      </c>
      <c r="E3462" t="s">
        <v>33</v>
      </c>
      <c r="F3462" t="s">
        <v>39</v>
      </c>
      <c r="G3462" t="s">
        <v>35</v>
      </c>
      <c r="H3462" t="s">
        <v>21</v>
      </c>
      <c r="I3462" t="s">
        <v>26</v>
      </c>
      <c r="J3462">
        <v>3</v>
      </c>
      <c r="K3462">
        <v>2165000</v>
      </c>
      <c r="L3462" s="2" t="s">
        <v>5910</v>
      </c>
      <c r="M3462" t="s">
        <v>23</v>
      </c>
      <c r="N3462">
        <v>5436000</v>
      </c>
      <c r="O3462">
        <v>3.7</v>
      </c>
      <c r="P3462" t="b">
        <v>0</v>
      </c>
    </row>
    <row r="3463" spans="1:16" x14ac:dyDescent="0.2">
      <c r="A3463" t="s">
        <v>5911</v>
      </c>
      <c r="B3463" s="1">
        <v>45532</v>
      </c>
      <c r="C3463" s="1">
        <v>45586</v>
      </c>
      <c r="D3463" t="s">
        <v>4060</v>
      </c>
      <c r="E3463" t="s">
        <v>45</v>
      </c>
      <c r="F3463" t="s">
        <v>34</v>
      </c>
      <c r="G3463" t="s">
        <v>20</v>
      </c>
      <c r="I3463" t="s">
        <v>83</v>
      </c>
      <c r="J3463">
        <v>1</v>
      </c>
      <c r="K3463">
        <v>3774000</v>
      </c>
      <c r="L3463" s="2" t="s">
        <v>5912</v>
      </c>
      <c r="M3463" t="s">
        <v>23</v>
      </c>
      <c r="N3463">
        <v>3269000</v>
      </c>
      <c r="O3463">
        <v>3.9</v>
      </c>
      <c r="P3463" t="b">
        <v>1</v>
      </c>
    </row>
    <row r="3464" spans="1:16" x14ac:dyDescent="0.2">
      <c r="A3464" t="s">
        <v>5913</v>
      </c>
      <c r="B3464" s="1">
        <v>45532</v>
      </c>
      <c r="C3464" s="1">
        <v>45601</v>
      </c>
      <c r="D3464" t="s">
        <v>234</v>
      </c>
      <c r="E3464" t="s">
        <v>45</v>
      </c>
      <c r="F3464" t="s">
        <v>34</v>
      </c>
      <c r="G3464" t="s">
        <v>20</v>
      </c>
      <c r="H3464" t="s">
        <v>21</v>
      </c>
      <c r="I3464" t="s">
        <v>26</v>
      </c>
      <c r="J3464">
        <v>1</v>
      </c>
      <c r="K3464">
        <v>4040000</v>
      </c>
      <c r="L3464">
        <v>9.5625982821752595E-2</v>
      </c>
      <c r="M3464" t="s">
        <v>23</v>
      </c>
      <c r="N3464">
        <v>3654000</v>
      </c>
      <c r="O3464">
        <v>4.8</v>
      </c>
      <c r="P3464" t="b">
        <v>1</v>
      </c>
    </row>
    <row r="3465" spans="1:16" x14ac:dyDescent="0.2">
      <c r="A3465" t="s">
        <v>5914</v>
      </c>
      <c r="B3465" s="1">
        <v>45532</v>
      </c>
      <c r="C3465" s="1">
        <v>45556</v>
      </c>
      <c r="D3465" t="s">
        <v>5590</v>
      </c>
      <c r="E3465" t="s">
        <v>45</v>
      </c>
      <c r="F3465" t="s">
        <v>25</v>
      </c>
      <c r="G3465" t="s">
        <v>20</v>
      </c>
      <c r="H3465" t="s">
        <v>21</v>
      </c>
      <c r="I3465" t="s">
        <v>30</v>
      </c>
      <c r="J3465">
        <v>2</v>
      </c>
      <c r="K3465">
        <v>5295000</v>
      </c>
      <c r="L3465" s="2" t="s">
        <v>5915</v>
      </c>
      <c r="M3465" t="s">
        <v>23</v>
      </c>
      <c r="N3465">
        <v>9460000</v>
      </c>
      <c r="O3465">
        <v>4.0999999999999996</v>
      </c>
      <c r="P3465" t="b">
        <v>1</v>
      </c>
    </row>
    <row r="3466" spans="1:16" x14ac:dyDescent="0.2">
      <c r="A3466" t="s">
        <v>5916</v>
      </c>
      <c r="B3466" s="1">
        <v>45533</v>
      </c>
      <c r="C3466" s="1">
        <v>45563</v>
      </c>
      <c r="D3466" t="s">
        <v>4825</v>
      </c>
      <c r="E3466" t="s">
        <v>29</v>
      </c>
      <c r="F3466" t="s">
        <v>34</v>
      </c>
      <c r="G3466" t="s">
        <v>20</v>
      </c>
      <c r="H3466" t="s">
        <v>51</v>
      </c>
      <c r="I3466" t="s">
        <v>30</v>
      </c>
      <c r="J3466">
        <v>4</v>
      </c>
      <c r="K3466">
        <v>3597000</v>
      </c>
      <c r="L3466">
        <v>7.4788212024849698E-2</v>
      </c>
      <c r="M3466" t="s">
        <v>23</v>
      </c>
      <c r="N3466">
        <v>13312000</v>
      </c>
      <c r="O3466">
        <v>3.8</v>
      </c>
      <c r="P3466" t="b">
        <v>1</v>
      </c>
    </row>
    <row r="3467" spans="1:16" x14ac:dyDescent="0.2">
      <c r="A3467" t="s">
        <v>5917</v>
      </c>
      <c r="B3467" s="1">
        <v>45533</v>
      </c>
      <c r="C3467" s="1">
        <v>45599</v>
      </c>
      <c r="D3467" t="s">
        <v>5918</v>
      </c>
      <c r="E3467" t="s">
        <v>18</v>
      </c>
      <c r="F3467" t="s">
        <v>45</v>
      </c>
      <c r="G3467" t="s">
        <v>50</v>
      </c>
      <c r="H3467" t="s">
        <v>21</v>
      </c>
      <c r="J3467">
        <v>2</v>
      </c>
      <c r="K3467">
        <v>2612000</v>
      </c>
      <c r="L3467" s="2" t="s">
        <v>5919</v>
      </c>
      <c r="M3467" t="s">
        <v>23</v>
      </c>
      <c r="N3467">
        <v>4559000</v>
      </c>
      <c r="O3467">
        <v>4</v>
      </c>
      <c r="P3467" t="b">
        <v>0</v>
      </c>
    </row>
    <row r="3468" spans="1:16" x14ac:dyDescent="0.2">
      <c r="A3468" t="s">
        <v>5920</v>
      </c>
      <c r="B3468" s="1">
        <v>45533</v>
      </c>
      <c r="C3468" s="1">
        <v>45566</v>
      </c>
      <c r="D3468" t="s">
        <v>3655</v>
      </c>
      <c r="E3468" t="s">
        <v>29</v>
      </c>
      <c r="F3468" t="s">
        <v>19</v>
      </c>
      <c r="G3468" t="s">
        <v>35</v>
      </c>
      <c r="H3468" t="s">
        <v>40</v>
      </c>
      <c r="I3468" t="s">
        <v>26</v>
      </c>
      <c r="J3468">
        <v>2</v>
      </c>
      <c r="K3468">
        <v>2538000</v>
      </c>
      <c r="L3468">
        <v>9.0448675706395906E-2</v>
      </c>
      <c r="M3468" t="s">
        <v>23</v>
      </c>
      <c r="N3468">
        <v>4617000</v>
      </c>
      <c r="O3468">
        <v>3</v>
      </c>
      <c r="P3468" t="b">
        <v>1</v>
      </c>
    </row>
    <row r="3469" spans="1:16" x14ac:dyDescent="0.2">
      <c r="A3469" t="s">
        <v>5921</v>
      </c>
      <c r="B3469" s="1">
        <v>45533</v>
      </c>
      <c r="C3469" s="1">
        <v>45580</v>
      </c>
      <c r="D3469" t="s">
        <v>3280</v>
      </c>
      <c r="E3469" t="s">
        <v>18</v>
      </c>
      <c r="F3469" t="s">
        <v>45</v>
      </c>
      <c r="G3469" t="s">
        <v>46</v>
      </c>
      <c r="H3469" t="s">
        <v>40</v>
      </c>
      <c r="I3469" t="s">
        <v>26</v>
      </c>
      <c r="J3469">
        <v>2</v>
      </c>
      <c r="K3469">
        <v>3225000</v>
      </c>
      <c r="L3469" s="2" t="s">
        <v>5922</v>
      </c>
      <c r="M3469" t="s">
        <v>23</v>
      </c>
      <c r="N3469">
        <v>5381000</v>
      </c>
      <c r="O3469">
        <v>4.8</v>
      </c>
      <c r="P3469" t="b">
        <v>1</v>
      </c>
    </row>
    <row r="3470" spans="1:16" x14ac:dyDescent="0.2">
      <c r="A3470" t="s">
        <v>5923</v>
      </c>
      <c r="B3470" s="1">
        <v>45534</v>
      </c>
      <c r="C3470" s="1">
        <v>45597</v>
      </c>
      <c r="D3470" t="s">
        <v>5924</v>
      </c>
      <c r="E3470" t="s">
        <v>29</v>
      </c>
      <c r="F3470" t="s">
        <v>34</v>
      </c>
      <c r="G3470" t="s">
        <v>50</v>
      </c>
      <c r="H3470" t="s">
        <v>21</v>
      </c>
      <c r="I3470" t="s">
        <v>60</v>
      </c>
      <c r="J3470">
        <v>1</v>
      </c>
      <c r="K3470">
        <v>4344000</v>
      </c>
      <c r="L3470" s="2" t="s">
        <v>5925</v>
      </c>
      <c r="M3470" t="s">
        <v>23</v>
      </c>
      <c r="N3470">
        <v>4167000</v>
      </c>
      <c r="O3470">
        <v>4.9000000000000004</v>
      </c>
      <c r="P3470" t="b">
        <v>0</v>
      </c>
    </row>
    <row r="3471" spans="1:16" x14ac:dyDescent="0.2">
      <c r="A3471" t="s">
        <v>5926</v>
      </c>
      <c r="B3471" s="1">
        <v>45534</v>
      </c>
      <c r="C3471" s="1">
        <v>45644</v>
      </c>
      <c r="D3471" t="s">
        <v>5927</v>
      </c>
      <c r="E3471" t="s">
        <v>45</v>
      </c>
      <c r="F3471" t="s">
        <v>45</v>
      </c>
      <c r="G3471" t="s">
        <v>50</v>
      </c>
      <c r="H3471" t="s">
        <v>21</v>
      </c>
      <c r="I3471" t="s">
        <v>26</v>
      </c>
      <c r="J3471">
        <v>1</v>
      </c>
      <c r="K3471">
        <v>3808000</v>
      </c>
      <c r="L3471" s="2" t="s">
        <v>5928</v>
      </c>
      <c r="M3471" t="s">
        <v>65</v>
      </c>
      <c r="N3471">
        <v>0</v>
      </c>
      <c r="P3471" t="b">
        <v>0</v>
      </c>
    </row>
    <row r="3472" spans="1:16" x14ac:dyDescent="0.2">
      <c r="A3472" t="s">
        <v>5929</v>
      </c>
      <c r="B3472" s="1">
        <v>45534</v>
      </c>
      <c r="C3472" s="1">
        <v>45613</v>
      </c>
      <c r="D3472" t="s">
        <v>838</v>
      </c>
      <c r="F3472" t="s">
        <v>34</v>
      </c>
      <c r="G3472" t="s">
        <v>50</v>
      </c>
      <c r="H3472" t="s">
        <v>21</v>
      </c>
      <c r="I3472" t="s">
        <v>57</v>
      </c>
      <c r="J3472">
        <v>4</v>
      </c>
      <c r="K3472">
        <v>4207000</v>
      </c>
      <c r="L3472" s="2" t="s">
        <v>5930</v>
      </c>
      <c r="M3472" t="s">
        <v>23</v>
      </c>
      <c r="N3472">
        <v>15004000</v>
      </c>
      <c r="O3472">
        <v>3.8</v>
      </c>
      <c r="P3472" t="b">
        <v>1</v>
      </c>
    </row>
    <row r="3473" spans="1:16" x14ac:dyDescent="0.2">
      <c r="A3473" t="s">
        <v>5931</v>
      </c>
      <c r="B3473" s="1">
        <v>45535</v>
      </c>
      <c r="C3473" s="1">
        <v>45561</v>
      </c>
      <c r="D3473" t="s">
        <v>4355</v>
      </c>
      <c r="F3473" t="s">
        <v>45</v>
      </c>
      <c r="G3473" t="s">
        <v>35</v>
      </c>
      <c r="H3473" t="s">
        <v>21</v>
      </c>
      <c r="I3473" t="s">
        <v>26</v>
      </c>
      <c r="J3473">
        <v>3</v>
      </c>
      <c r="K3473">
        <v>3300000</v>
      </c>
      <c r="L3473">
        <v>5.24278199387107E-2</v>
      </c>
      <c r="M3473" t="s">
        <v>23</v>
      </c>
      <c r="N3473">
        <v>9381000</v>
      </c>
      <c r="O3473">
        <v>4.0999999999999996</v>
      </c>
      <c r="P3473" t="b">
        <v>1</v>
      </c>
    </row>
    <row r="3474" spans="1:16" x14ac:dyDescent="0.2">
      <c r="A3474" t="s">
        <v>5932</v>
      </c>
      <c r="B3474" s="1">
        <v>45535</v>
      </c>
      <c r="C3474" s="1">
        <v>45548</v>
      </c>
      <c r="D3474" t="s">
        <v>167</v>
      </c>
      <c r="E3474" t="s">
        <v>33</v>
      </c>
      <c r="F3474" t="s">
        <v>45</v>
      </c>
      <c r="G3474" t="s">
        <v>35</v>
      </c>
      <c r="H3474" t="s">
        <v>21</v>
      </c>
      <c r="I3474" t="s">
        <v>57</v>
      </c>
      <c r="J3474">
        <v>3</v>
      </c>
      <c r="K3474">
        <v>3717000</v>
      </c>
      <c r="L3474" s="2" t="s">
        <v>5933</v>
      </c>
      <c r="M3474" t="s">
        <v>23</v>
      </c>
      <c r="N3474">
        <v>9749000</v>
      </c>
      <c r="O3474">
        <v>4.0999999999999996</v>
      </c>
      <c r="P3474" t="b">
        <v>1</v>
      </c>
    </row>
    <row r="3475" spans="1:16" x14ac:dyDescent="0.2">
      <c r="A3475" t="s">
        <v>5934</v>
      </c>
      <c r="B3475" s="1">
        <v>45535</v>
      </c>
      <c r="C3475" s="1">
        <v>45589</v>
      </c>
      <c r="D3475" t="s">
        <v>5502</v>
      </c>
      <c r="E3475" t="s">
        <v>33</v>
      </c>
      <c r="F3475" t="s">
        <v>39</v>
      </c>
      <c r="G3475" t="s">
        <v>20</v>
      </c>
      <c r="H3475" t="s">
        <v>47</v>
      </c>
      <c r="I3475" t="s">
        <v>60</v>
      </c>
      <c r="J3475">
        <v>3</v>
      </c>
      <c r="K3475">
        <v>2585000</v>
      </c>
      <c r="L3475">
        <v>2.6446666721743801E-2</v>
      </c>
      <c r="M3475" t="s">
        <v>23</v>
      </c>
      <c r="N3475">
        <v>7550000</v>
      </c>
      <c r="O3475">
        <v>4.5999999999999996</v>
      </c>
      <c r="P3475" t="b">
        <v>1</v>
      </c>
    </row>
    <row r="3476" spans="1:16" x14ac:dyDescent="0.2">
      <c r="A3476" t="s">
        <v>5935</v>
      </c>
      <c r="B3476" s="1">
        <v>45536</v>
      </c>
      <c r="C3476" s="1">
        <v>45569</v>
      </c>
      <c r="D3476" t="s">
        <v>3840</v>
      </c>
      <c r="E3476" t="s">
        <v>18</v>
      </c>
      <c r="F3476" t="s">
        <v>25</v>
      </c>
      <c r="G3476" t="s">
        <v>20</v>
      </c>
      <c r="H3476" t="s">
        <v>21</v>
      </c>
      <c r="I3476" t="s">
        <v>83</v>
      </c>
      <c r="J3476">
        <v>1</v>
      </c>
      <c r="K3476">
        <v>4437000</v>
      </c>
      <c r="L3476" s="2" t="s">
        <v>5936</v>
      </c>
      <c r="M3476" t="s">
        <v>23</v>
      </c>
      <c r="N3476">
        <v>3743000</v>
      </c>
      <c r="O3476">
        <v>3.4</v>
      </c>
      <c r="P3476" t="b">
        <v>1</v>
      </c>
    </row>
    <row r="3477" spans="1:16" x14ac:dyDescent="0.2">
      <c r="A3477" t="s">
        <v>5937</v>
      </c>
      <c r="B3477" s="1">
        <v>45536</v>
      </c>
      <c r="C3477" s="1">
        <v>45556</v>
      </c>
      <c r="D3477" t="s">
        <v>5938</v>
      </c>
      <c r="E3477" t="s">
        <v>45</v>
      </c>
      <c r="F3477" t="s">
        <v>19</v>
      </c>
      <c r="G3477" t="s">
        <v>20</v>
      </c>
      <c r="H3477" t="s">
        <v>21</v>
      </c>
      <c r="I3477" t="s">
        <v>77</v>
      </c>
      <c r="J3477">
        <v>1</v>
      </c>
      <c r="K3477">
        <v>2661000</v>
      </c>
      <c r="L3477">
        <v>9.7352499088797603E-2</v>
      </c>
      <c r="M3477" t="s">
        <v>23</v>
      </c>
      <c r="N3477">
        <v>2402000</v>
      </c>
      <c r="O3477">
        <v>4.5</v>
      </c>
      <c r="P3477" t="b">
        <v>0</v>
      </c>
    </row>
    <row r="3478" spans="1:16" x14ac:dyDescent="0.2">
      <c r="A3478" t="s">
        <v>5939</v>
      </c>
      <c r="B3478" s="1">
        <v>45537</v>
      </c>
      <c r="C3478" s="1">
        <v>45599</v>
      </c>
      <c r="D3478" t="s">
        <v>4991</v>
      </c>
      <c r="E3478" t="s">
        <v>45</v>
      </c>
      <c r="F3478" t="s">
        <v>45</v>
      </c>
      <c r="G3478" t="s">
        <v>46</v>
      </c>
      <c r="H3478" t="s">
        <v>21</v>
      </c>
      <c r="I3478" t="s">
        <v>30</v>
      </c>
      <c r="J3478">
        <v>3</v>
      </c>
      <c r="K3478">
        <v>3198000</v>
      </c>
      <c r="L3478" s="2" t="s">
        <v>5940</v>
      </c>
      <c r="M3478" t="s">
        <v>23</v>
      </c>
      <c r="N3478">
        <v>9138000</v>
      </c>
      <c r="O3478">
        <v>3.9</v>
      </c>
      <c r="P3478" t="b">
        <v>1</v>
      </c>
    </row>
    <row r="3479" spans="1:16" x14ac:dyDescent="0.2">
      <c r="A3479" t="s">
        <v>5941</v>
      </c>
      <c r="B3479" s="1">
        <v>45537</v>
      </c>
      <c r="C3479" s="1">
        <v>45608</v>
      </c>
      <c r="D3479" t="s">
        <v>5942</v>
      </c>
      <c r="E3479" t="s">
        <v>33</v>
      </c>
      <c r="F3479" t="s">
        <v>34</v>
      </c>
      <c r="G3479" t="s">
        <v>50</v>
      </c>
      <c r="H3479" t="s">
        <v>21</v>
      </c>
      <c r="I3479" t="s">
        <v>26</v>
      </c>
      <c r="J3479">
        <v>1</v>
      </c>
      <c r="K3479">
        <v>3942000</v>
      </c>
      <c r="L3479">
        <v>8.3696199043204106E-2</v>
      </c>
      <c r="M3479" t="s">
        <v>23</v>
      </c>
      <c r="N3479">
        <v>3612000</v>
      </c>
      <c r="O3479">
        <v>4.0999999999999996</v>
      </c>
      <c r="P3479" t="b">
        <v>0</v>
      </c>
    </row>
    <row r="3480" spans="1:16" x14ac:dyDescent="0.2">
      <c r="A3480" t="s">
        <v>5943</v>
      </c>
      <c r="B3480" s="1">
        <v>45537</v>
      </c>
      <c r="C3480" s="1">
        <v>45641</v>
      </c>
      <c r="D3480" t="s">
        <v>5383</v>
      </c>
      <c r="E3480" t="s">
        <v>18</v>
      </c>
      <c r="F3480" t="s">
        <v>19</v>
      </c>
      <c r="G3480" t="s">
        <v>20</v>
      </c>
      <c r="H3480" t="s">
        <v>40</v>
      </c>
      <c r="I3480" t="s">
        <v>30</v>
      </c>
      <c r="J3480">
        <v>3</v>
      </c>
      <c r="K3480">
        <v>2460000</v>
      </c>
      <c r="L3480" s="2" t="s">
        <v>5944</v>
      </c>
      <c r="M3480" t="s">
        <v>23</v>
      </c>
      <c r="N3480">
        <v>6561000</v>
      </c>
      <c r="O3480">
        <v>3.7</v>
      </c>
      <c r="P3480" t="b">
        <v>1</v>
      </c>
    </row>
    <row r="3481" spans="1:16" x14ac:dyDescent="0.2">
      <c r="A3481" t="s">
        <v>5945</v>
      </c>
      <c r="B3481" s="1">
        <v>45538</v>
      </c>
      <c r="C3481" s="1">
        <v>45628</v>
      </c>
      <c r="D3481" t="s">
        <v>5946</v>
      </c>
      <c r="E3481" t="s">
        <v>45</v>
      </c>
      <c r="F3481" t="s">
        <v>19</v>
      </c>
      <c r="G3481" t="s">
        <v>20</v>
      </c>
      <c r="H3481" t="s">
        <v>47</v>
      </c>
      <c r="I3481" t="s">
        <v>26</v>
      </c>
      <c r="J3481">
        <v>1</v>
      </c>
      <c r="K3481">
        <v>2667000</v>
      </c>
      <c r="L3481">
        <v>4.1919404478735899E-2</v>
      </c>
      <c r="M3481" t="s">
        <v>23</v>
      </c>
      <c r="N3481">
        <v>2555000</v>
      </c>
      <c r="O3481">
        <v>3.6</v>
      </c>
      <c r="P3481" t="b">
        <v>0</v>
      </c>
    </row>
    <row r="3482" spans="1:16" x14ac:dyDescent="0.2">
      <c r="A3482" t="s">
        <v>5947</v>
      </c>
      <c r="B3482" s="1">
        <v>45539</v>
      </c>
      <c r="C3482" s="1">
        <v>45576</v>
      </c>
      <c r="D3482" t="s">
        <v>5073</v>
      </c>
      <c r="E3482" t="s">
        <v>33</v>
      </c>
      <c r="F3482" t="s">
        <v>19</v>
      </c>
      <c r="G3482" t="s">
        <v>35</v>
      </c>
      <c r="H3482" t="s">
        <v>40</v>
      </c>
      <c r="I3482" t="s">
        <v>94</v>
      </c>
      <c r="J3482">
        <v>1</v>
      </c>
      <c r="K3482">
        <v>2665000</v>
      </c>
      <c r="L3482" s="2" t="s">
        <v>5948</v>
      </c>
      <c r="M3482" t="s">
        <v>23</v>
      </c>
      <c r="N3482">
        <v>2238000</v>
      </c>
      <c r="O3482">
        <v>4.3</v>
      </c>
      <c r="P3482" t="b">
        <v>1</v>
      </c>
    </row>
    <row r="3483" spans="1:16" x14ac:dyDescent="0.2">
      <c r="A3483" t="s">
        <v>5949</v>
      </c>
      <c r="B3483" s="1">
        <v>45540</v>
      </c>
      <c r="C3483" s="1">
        <v>45602</v>
      </c>
      <c r="D3483" t="s">
        <v>2315</v>
      </c>
      <c r="E3483" t="s">
        <v>18</v>
      </c>
      <c r="F3483" t="s">
        <v>19</v>
      </c>
      <c r="G3483" t="s">
        <v>46</v>
      </c>
      <c r="H3483" t="s">
        <v>47</v>
      </c>
      <c r="I3483" t="s">
        <v>57</v>
      </c>
      <c r="J3483">
        <v>1</v>
      </c>
      <c r="K3483">
        <v>3161000</v>
      </c>
      <c r="L3483">
        <v>6.2714749631208905E-2</v>
      </c>
      <c r="M3483" t="s">
        <v>65</v>
      </c>
      <c r="N3483">
        <v>0</v>
      </c>
      <c r="P3483" t="b">
        <v>1</v>
      </c>
    </row>
    <row r="3484" spans="1:16" x14ac:dyDescent="0.2">
      <c r="A3484" t="s">
        <v>5950</v>
      </c>
      <c r="B3484" s="1">
        <v>45540</v>
      </c>
      <c r="C3484" s="1">
        <v>45628</v>
      </c>
      <c r="D3484" t="s">
        <v>2993</v>
      </c>
      <c r="E3484" t="s">
        <v>18</v>
      </c>
      <c r="F3484" t="s">
        <v>19</v>
      </c>
      <c r="G3484" t="s">
        <v>20</v>
      </c>
      <c r="H3484" t="s">
        <v>21</v>
      </c>
      <c r="I3484" t="s">
        <v>94</v>
      </c>
      <c r="J3484">
        <v>1</v>
      </c>
      <c r="K3484">
        <v>2934000</v>
      </c>
      <c r="L3484" s="2" t="s">
        <v>5951</v>
      </c>
      <c r="M3484" t="s">
        <v>23</v>
      </c>
      <c r="N3484">
        <v>2343000</v>
      </c>
      <c r="O3484">
        <v>3.4</v>
      </c>
      <c r="P3484" t="b">
        <v>1</v>
      </c>
    </row>
    <row r="3485" spans="1:16" x14ac:dyDescent="0.2">
      <c r="A3485" t="s">
        <v>5952</v>
      </c>
      <c r="B3485" s="1">
        <v>45540</v>
      </c>
      <c r="C3485" s="1">
        <v>45600</v>
      </c>
      <c r="D3485" t="s">
        <v>4644</v>
      </c>
      <c r="E3485" t="s">
        <v>18</v>
      </c>
      <c r="F3485" t="s">
        <v>45</v>
      </c>
      <c r="G3485" t="s">
        <v>35</v>
      </c>
      <c r="H3485" t="s">
        <v>47</v>
      </c>
      <c r="I3485" t="s">
        <v>60</v>
      </c>
      <c r="J3485">
        <v>2</v>
      </c>
      <c r="K3485">
        <v>3217000</v>
      </c>
      <c r="L3485">
        <v>7.3491214905956795E-2</v>
      </c>
      <c r="M3485" t="s">
        <v>23</v>
      </c>
      <c r="N3485">
        <v>5961000</v>
      </c>
      <c r="O3485">
        <v>3.9</v>
      </c>
      <c r="P3485" t="b">
        <v>1</v>
      </c>
    </row>
    <row r="3486" spans="1:16" x14ac:dyDescent="0.2">
      <c r="A3486" t="s">
        <v>5953</v>
      </c>
      <c r="B3486" s="1">
        <v>45540</v>
      </c>
      <c r="C3486" s="1">
        <v>45569</v>
      </c>
      <c r="D3486" t="s">
        <v>5954</v>
      </c>
      <c r="E3486" t="s">
        <v>18</v>
      </c>
      <c r="F3486" t="s">
        <v>19</v>
      </c>
      <c r="G3486" t="s">
        <v>20</v>
      </c>
      <c r="H3486" t="s">
        <v>51</v>
      </c>
      <c r="I3486" t="s">
        <v>83</v>
      </c>
      <c r="J3486">
        <v>1</v>
      </c>
      <c r="K3486">
        <v>2493000</v>
      </c>
      <c r="L3486" s="2" t="s">
        <v>5955</v>
      </c>
      <c r="M3486" t="s">
        <v>23</v>
      </c>
      <c r="N3486">
        <v>2225000</v>
      </c>
      <c r="O3486">
        <v>4</v>
      </c>
      <c r="P3486" t="b">
        <v>0</v>
      </c>
    </row>
    <row r="3487" spans="1:16" x14ac:dyDescent="0.2">
      <c r="A3487" t="s">
        <v>5956</v>
      </c>
      <c r="B3487" s="1">
        <v>45540</v>
      </c>
      <c r="C3487" s="1">
        <v>45631</v>
      </c>
      <c r="D3487" t="s">
        <v>3267</v>
      </c>
      <c r="E3487" t="s">
        <v>33</v>
      </c>
      <c r="F3487" t="s">
        <v>19</v>
      </c>
      <c r="G3487" t="s">
        <v>20</v>
      </c>
      <c r="H3487" t="s">
        <v>47</v>
      </c>
      <c r="I3487" t="s">
        <v>26</v>
      </c>
      <c r="J3487">
        <v>2</v>
      </c>
      <c r="K3487">
        <v>2722000</v>
      </c>
      <c r="L3487" s="2" t="s">
        <v>5957</v>
      </c>
      <c r="M3487" t="s">
        <v>65</v>
      </c>
      <c r="N3487">
        <v>0</v>
      </c>
      <c r="P3487" t="b">
        <v>1</v>
      </c>
    </row>
    <row r="3488" spans="1:16" x14ac:dyDescent="0.2">
      <c r="A3488" t="s">
        <v>5958</v>
      </c>
      <c r="B3488" s="1">
        <v>45540</v>
      </c>
      <c r="C3488" s="1">
        <v>45584</v>
      </c>
      <c r="D3488" t="s">
        <v>153</v>
      </c>
      <c r="E3488" t="s">
        <v>29</v>
      </c>
      <c r="F3488" t="s">
        <v>25</v>
      </c>
      <c r="G3488" t="s">
        <v>50</v>
      </c>
      <c r="H3488" t="s">
        <v>21</v>
      </c>
      <c r="I3488" t="s">
        <v>26</v>
      </c>
      <c r="J3488">
        <v>2</v>
      </c>
      <c r="K3488">
        <v>5062000</v>
      </c>
      <c r="L3488">
        <v>7.8570511656702105E-2</v>
      </c>
      <c r="M3488" t="s">
        <v>23</v>
      </c>
      <c r="N3488">
        <v>9329000</v>
      </c>
      <c r="O3488">
        <v>4.8</v>
      </c>
      <c r="P3488" t="b">
        <v>1</v>
      </c>
    </row>
    <row r="3489" spans="1:16" x14ac:dyDescent="0.2">
      <c r="A3489" t="s">
        <v>5959</v>
      </c>
      <c r="B3489" s="1">
        <v>45540</v>
      </c>
      <c r="C3489" s="1">
        <v>45570</v>
      </c>
      <c r="D3489" t="s">
        <v>5960</v>
      </c>
      <c r="E3489" t="s">
        <v>18</v>
      </c>
      <c r="F3489" t="s">
        <v>19</v>
      </c>
      <c r="G3489" t="s">
        <v>20</v>
      </c>
      <c r="I3489" t="s">
        <v>94</v>
      </c>
      <c r="J3489">
        <v>2</v>
      </c>
      <c r="K3489">
        <v>2409000</v>
      </c>
      <c r="L3489" s="2" t="s">
        <v>5961</v>
      </c>
      <c r="M3489" t="s">
        <v>23</v>
      </c>
      <c r="N3489">
        <v>4121000</v>
      </c>
      <c r="O3489">
        <v>4.4000000000000004</v>
      </c>
      <c r="P3489" t="b">
        <v>0</v>
      </c>
    </row>
    <row r="3490" spans="1:16" x14ac:dyDescent="0.2">
      <c r="A3490" t="s">
        <v>5962</v>
      </c>
      <c r="B3490" s="1">
        <v>45541</v>
      </c>
      <c r="C3490" s="1">
        <v>45611</v>
      </c>
      <c r="D3490" t="s">
        <v>5963</v>
      </c>
      <c r="E3490" t="s">
        <v>18</v>
      </c>
      <c r="F3490" t="s">
        <v>25</v>
      </c>
      <c r="G3490" t="s">
        <v>20</v>
      </c>
      <c r="H3490" t="s">
        <v>21</v>
      </c>
      <c r="I3490" t="s">
        <v>57</v>
      </c>
      <c r="J3490">
        <v>2</v>
      </c>
      <c r="K3490">
        <v>4927000</v>
      </c>
      <c r="L3490" s="2" t="s">
        <v>5964</v>
      </c>
      <c r="M3490" t="s">
        <v>65</v>
      </c>
      <c r="N3490">
        <v>0</v>
      </c>
      <c r="P3490" t="b">
        <v>0</v>
      </c>
    </row>
    <row r="3491" spans="1:16" x14ac:dyDescent="0.2">
      <c r="A3491" t="s">
        <v>5965</v>
      </c>
      <c r="B3491" s="1">
        <v>45541</v>
      </c>
      <c r="C3491" s="1">
        <v>45541</v>
      </c>
      <c r="D3491" t="s">
        <v>5966</v>
      </c>
      <c r="E3491" t="s">
        <v>45</v>
      </c>
      <c r="F3491" t="s">
        <v>45</v>
      </c>
      <c r="G3491" t="s">
        <v>20</v>
      </c>
      <c r="H3491" t="s">
        <v>40</v>
      </c>
      <c r="I3491" t="s">
        <v>26</v>
      </c>
      <c r="J3491">
        <v>5</v>
      </c>
      <c r="K3491">
        <v>3368000</v>
      </c>
      <c r="L3491" s="2" t="s">
        <v>5967</v>
      </c>
      <c r="M3491" t="s">
        <v>1673</v>
      </c>
      <c r="N3491">
        <v>14309000</v>
      </c>
      <c r="O3491">
        <v>4.2</v>
      </c>
      <c r="P3491" t="b">
        <v>0</v>
      </c>
    </row>
    <row r="3492" spans="1:16" x14ac:dyDescent="0.2">
      <c r="A3492" t="s">
        <v>5968</v>
      </c>
      <c r="B3492" s="1">
        <v>45541</v>
      </c>
      <c r="C3492" s="1">
        <v>45579</v>
      </c>
      <c r="D3492" t="s">
        <v>5969</v>
      </c>
      <c r="E3492" t="s">
        <v>45</v>
      </c>
      <c r="F3492" t="s">
        <v>39</v>
      </c>
      <c r="G3492" t="s">
        <v>20</v>
      </c>
      <c r="H3492" t="s">
        <v>21</v>
      </c>
      <c r="I3492" t="s">
        <v>22</v>
      </c>
      <c r="J3492">
        <v>3</v>
      </c>
      <c r="K3492">
        <v>1817000</v>
      </c>
      <c r="L3492" s="2" t="s">
        <v>5970</v>
      </c>
      <c r="M3492" t="s">
        <v>23</v>
      </c>
      <c r="N3492">
        <v>4840000</v>
      </c>
      <c r="O3492">
        <v>4.3</v>
      </c>
      <c r="P3492" t="b">
        <v>0</v>
      </c>
    </row>
    <row r="3493" spans="1:16" x14ac:dyDescent="0.2">
      <c r="A3493" t="s">
        <v>5971</v>
      </c>
      <c r="B3493" s="1">
        <v>45482</v>
      </c>
      <c r="C3493" s="1">
        <v>45576</v>
      </c>
      <c r="D3493" t="s">
        <v>3893</v>
      </c>
      <c r="E3493" t="s">
        <v>18</v>
      </c>
      <c r="F3493" t="s">
        <v>34</v>
      </c>
      <c r="G3493" t="s">
        <v>46</v>
      </c>
      <c r="H3493" t="s">
        <v>47</v>
      </c>
      <c r="I3493" t="s">
        <v>99</v>
      </c>
      <c r="J3493">
        <v>1</v>
      </c>
      <c r="K3493">
        <v>3927000</v>
      </c>
      <c r="L3493" s="2" t="s">
        <v>5972</v>
      </c>
      <c r="M3493" t="s">
        <v>23</v>
      </c>
      <c r="N3493">
        <v>3496000</v>
      </c>
      <c r="O3493">
        <v>4.8</v>
      </c>
      <c r="P3493" t="b">
        <v>1</v>
      </c>
    </row>
    <row r="3494" spans="1:16" x14ac:dyDescent="0.2">
      <c r="A3494" t="s">
        <v>5973</v>
      </c>
      <c r="B3494" s="1">
        <v>45542</v>
      </c>
      <c r="C3494" s="1">
        <v>45559</v>
      </c>
      <c r="D3494" t="s">
        <v>3092</v>
      </c>
      <c r="E3494" t="s">
        <v>29</v>
      </c>
      <c r="F3494" t="s">
        <v>25</v>
      </c>
      <c r="G3494" t="s">
        <v>20</v>
      </c>
      <c r="H3494" t="s">
        <v>40</v>
      </c>
      <c r="I3494" t="s">
        <v>22</v>
      </c>
      <c r="J3494">
        <v>1</v>
      </c>
      <c r="K3494">
        <v>4851000</v>
      </c>
      <c r="L3494">
        <v>8.5740711239793502E-2</v>
      </c>
      <c r="M3494" t="s">
        <v>23</v>
      </c>
      <c r="N3494">
        <v>4435000</v>
      </c>
      <c r="O3494">
        <v>4.2</v>
      </c>
      <c r="P3494" t="b">
        <v>1</v>
      </c>
    </row>
    <row r="3495" spans="1:16" x14ac:dyDescent="0.2">
      <c r="A3495" t="s">
        <v>5974</v>
      </c>
      <c r="B3495" s="1">
        <v>45542</v>
      </c>
      <c r="C3495" s="1">
        <v>45596</v>
      </c>
      <c r="D3495" t="s">
        <v>821</v>
      </c>
      <c r="E3495" t="s">
        <v>29</v>
      </c>
      <c r="F3495" t="s">
        <v>34</v>
      </c>
      <c r="G3495" t="s">
        <v>20</v>
      </c>
      <c r="H3495" t="s">
        <v>47</v>
      </c>
      <c r="I3495" t="s">
        <v>83</v>
      </c>
      <c r="J3495">
        <v>1</v>
      </c>
      <c r="K3495">
        <v>4271000</v>
      </c>
      <c r="L3495" s="2" t="s">
        <v>5975</v>
      </c>
      <c r="M3495" t="s">
        <v>23</v>
      </c>
      <c r="N3495">
        <v>3690000</v>
      </c>
      <c r="O3495">
        <v>3.5</v>
      </c>
      <c r="P3495" t="b">
        <v>1</v>
      </c>
    </row>
    <row r="3496" spans="1:16" x14ac:dyDescent="0.2">
      <c r="A3496" t="s">
        <v>5976</v>
      </c>
      <c r="B3496" s="1">
        <v>45543</v>
      </c>
      <c r="C3496" s="1">
        <v>45618</v>
      </c>
      <c r="D3496" t="s">
        <v>1653</v>
      </c>
      <c r="E3496" t="s">
        <v>29</v>
      </c>
      <c r="F3496" t="s">
        <v>25</v>
      </c>
      <c r="G3496" t="s">
        <v>20</v>
      </c>
      <c r="H3496" t="s">
        <v>51</v>
      </c>
      <c r="J3496">
        <v>5</v>
      </c>
      <c r="K3496">
        <v>5348000</v>
      </c>
      <c r="L3496" s="2" t="s">
        <v>5977</v>
      </c>
      <c r="M3496" t="s">
        <v>23</v>
      </c>
      <c r="N3496">
        <v>22803000</v>
      </c>
      <c r="O3496">
        <v>3.7</v>
      </c>
      <c r="P3496" t="b">
        <v>1</v>
      </c>
    </row>
    <row r="3497" spans="1:16" x14ac:dyDescent="0.2">
      <c r="A3497" t="s">
        <v>5978</v>
      </c>
      <c r="B3497" s="1">
        <v>45543</v>
      </c>
      <c r="C3497" s="1">
        <v>45575</v>
      </c>
      <c r="D3497" t="s">
        <v>2350</v>
      </c>
      <c r="E3497" t="s">
        <v>18</v>
      </c>
      <c r="F3497" t="s">
        <v>68</v>
      </c>
      <c r="G3497" t="s">
        <v>35</v>
      </c>
      <c r="H3497" t="s">
        <v>40</v>
      </c>
      <c r="I3497" t="s">
        <v>52</v>
      </c>
      <c r="J3497">
        <v>3</v>
      </c>
      <c r="K3497">
        <v>2199000</v>
      </c>
      <c r="L3497" s="3">
        <v>8.7999999999999995E-2</v>
      </c>
      <c r="M3497" t="s">
        <v>23</v>
      </c>
      <c r="N3497">
        <v>6017000</v>
      </c>
      <c r="O3497">
        <v>4.0999999999999996</v>
      </c>
      <c r="P3497" t="b">
        <v>1</v>
      </c>
    </row>
    <row r="3498" spans="1:16" x14ac:dyDescent="0.2">
      <c r="A3498" t="s">
        <v>5979</v>
      </c>
      <c r="B3498" s="1">
        <v>45544</v>
      </c>
      <c r="C3498" s="1">
        <v>45616</v>
      </c>
      <c r="D3498" t="s">
        <v>5980</v>
      </c>
      <c r="E3498" t="s">
        <v>29</v>
      </c>
      <c r="F3498" t="s">
        <v>68</v>
      </c>
      <c r="G3498" t="s">
        <v>20</v>
      </c>
      <c r="H3498" t="s">
        <v>21</v>
      </c>
      <c r="I3498" t="s">
        <v>60</v>
      </c>
      <c r="J3498">
        <v>2</v>
      </c>
      <c r="K3498">
        <v>2611000</v>
      </c>
      <c r="L3498" s="2" t="s">
        <v>5981</v>
      </c>
      <c r="M3498" t="s">
        <v>23</v>
      </c>
      <c r="N3498">
        <v>4524000</v>
      </c>
      <c r="O3498">
        <v>4.2</v>
      </c>
      <c r="P3498" t="b">
        <v>0</v>
      </c>
    </row>
    <row r="3499" spans="1:16" x14ac:dyDescent="0.2">
      <c r="A3499" t="s">
        <v>5982</v>
      </c>
      <c r="B3499" s="1">
        <v>45544</v>
      </c>
      <c r="C3499" s="1">
        <v>45577</v>
      </c>
      <c r="D3499" t="s">
        <v>1024</v>
      </c>
      <c r="E3499" t="s">
        <v>29</v>
      </c>
      <c r="F3499" t="s">
        <v>45</v>
      </c>
      <c r="G3499" t="s">
        <v>20</v>
      </c>
      <c r="H3499" t="s">
        <v>21</v>
      </c>
      <c r="I3499" t="s">
        <v>26</v>
      </c>
      <c r="J3499">
        <v>1</v>
      </c>
      <c r="K3499">
        <v>3411000</v>
      </c>
      <c r="L3499" s="2" t="s">
        <v>5983</v>
      </c>
      <c r="M3499" t="s">
        <v>23</v>
      </c>
      <c r="N3499">
        <v>2895000</v>
      </c>
      <c r="O3499">
        <v>4.0999999999999996</v>
      </c>
      <c r="P3499" t="b">
        <v>1</v>
      </c>
    </row>
    <row r="3500" spans="1:16" x14ac:dyDescent="0.2">
      <c r="A3500" t="s">
        <v>5984</v>
      </c>
      <c r="B3500" s="1">
        <v>45544</v>
      </c>
      <c r="C3500" s="1">
        <v>45628</v>
      </c>
      <c r="D3500" t="s">
        <v>4214</v>
      </c>
      <c r="E3500" t="s">
        <v>33</v>
      </c>
      <c r="F3500" t="s">
        <v>34</v>
      </c>
      <c r="G3500" t="s">
        <v>35</v>
      </c>
      <c r="H3500" t="s">
        <v>21</v>
      </c>
      <c r="I3500" t="s">
        <v>60</v>
      </c>
      <c r="J3500">
        <v>1</v>
      </c>
      <c r="K3500">
        <v>4843000</v>
      </c>
      <c r="L3500" s="2" t="s">
        <v>5985</v>
      </c>
      <c r="M3500" t="s">
        <v>23</v>
      </c>
      <c r="N3500">
        <v>4144000</v>
      </c>
      <c r="O3500">
        <v>4.2</v>
      </c>
      <c r="P3500" t="b">
        <v>1</v>
      </c>
    </row>
    <row r="3501" spans="1:16" x14ac:dyDescent="0.2">
      <c r="A3501" t="s">
        <v>5986</v>
      </c>
      <c r="B3501" s="1">
        <v>45544</v>
      </c>
      <c r="C3501" s="1">
        <v>45544</v>
      </c>
      <c r="D3501" t="s">
        <v>5047</v>
      </c>
      <c r="E3501" t="s">
        <v>45</v>
      </c>
      <c r="F3501" t="s">
        <v>25</v>
      </c>
      <c r="G3501" t="s">
        <v>50</v>
      </c>
      <c r="H3501" t="s">
        <v>40</v>
      </c>
      <c r="I3501" t="s">
        <v>22</v>
      </c>
      <c r="J3501">
        <v>1</v>
      </c>
      <c r="K3501">
        <v>4679000</v>
      </c>
      <c r="L3501" s="2" t="s">
        <v>5987</v>
      </c>
      <c r="M3501" t="s">
        <v>23</v>
      </c>
      <c r="N3501">
        <v>4069000</v>
      </c>
      <c r="O3501">
        <v>3.5</v>
      </c>
      <c r="P3501" t="b">
        <v>1</v>
      </c>
    </row>
    <row r="3502" spans="1:16" x14ac:dyDescent="0.2">
      <c r="A3502" t="s">
        <v>5988</v>
      </c>
      <c r="B3502" s="1">
        <v>45545</v>
      </c>
      <c r="C3502" s="1">
        <v>45607</v>
      </c>
      <c r="D3502" t="s">
        <v>5989</v>
      </c>
      <c r="E3502" t="s">
        <v>29</v>
      </c>
      <c r="F3502" t="s">
        <v>34</v>
      </c>
      <c r="G3502" t="s">
        <v>35</v>
      </c>
      <c r="H3502" t="s">
        <v>21</v>
      </c>
      <c r="I3502" t="s">
        <v>57</v>
      </c>
      <c r="J3502">
        <v>1</v>
      </c>
      <c r="K3502">
        <v>4353000</v>
      </c>
      <c r="L3502">
        <v>9.8657856898907104E-2</v>
      </c>
      <c r="M3502" t="s">
        <v>23</v>
      </c>
      <c r="N3502">
        <v>3924000</v>
      </c>
      <c r="O3502">
        <v>4</v>
      </c>
      <c r="P3502" t="b">
        <v>0</v>
      </c>
    </row>
    <row r="3503" spans="1:16" x14ac:dyDescent="0.2">
      <c r="A3503" t="s">
        <v>5990</v>
      </c>
      <c r="B3503" s="1">
        <v>45545</v>
      </c>
      <c r="C3503" s="1">
        <v>45598</v>
      </c>
      <c r="D3503" t="s">
        <v>5991</v>
      </c>
      <c r="E3503" t="s">
        <v>18</v>
      </c>
      <c r="F3503" t="s">
        <v>25</v>
      </c>
      <c r="G3503" t="s">
        <v>35</v>
      </c>
      <c r="H3503" t="s">
        <v>21</v>
      </c>
      <c r="I3503" t="s">
        <v>83</v>
      </c>
      <c r="J3503">
        <v>2</v>
      </c>
      <c r="K3503">
        <v>4691000</v>
      </c>
      <c r="L3503">
        <v>0</v>
      </c>
      <c r="M3503" t="s">
        <v>23</v>
      </c>
      <c r="N3503">
        <v>9382000</v>
      </c>
      <c r="O3503">
        <v>4.3</v>
      </c>
      <c r="P3503" t="b">
        <v>0</v>
      </c>
    </row>
    <row r="3504" spans="1:16" x14ac:dyDescent="0.2">
      <c r="A3504" t="s">
        <v>5992</v>
      </c>
      <c r="B3504" s="1">
        <v>45545</v>
      </c>
      <c r="C3504" s="1">
        <v>45596</v>
      </c>
      <c r="D3504" t="s">
        <v>3893</v>
      </c>
      <c r="E3504" t="s">
        <v>45</v>
      </c>
      <c r="F3504" t="s">
        <v>45</v>
      </c>
      <c r="G3504" t="s">
        <v>20</v>
      </c>
      <c r="H3504" t="s">
        <v>21</v>
      </c>
      <c r="I3504" t="s">
        <v>52</v>
      </c>
      <c r="J3504">
        <v>1</v>
      </c>
      <c r="K3504">
        <v>3098000</v>
      </c>
      <c r="L3504" s="3">
        <v>3.5999999999999997E-2</v>
      </c>
      <c r="M3504" t="s">
        <v>23</v>
      </c>
      <c r="N3504">
        <v>2985000</v>
      </c>
      <c r="O3504">
        <v>5</v>
      </c>
      <c r="P3504" t="b">
        <v>1</v>
      </c>
    </row>
    <row r="3505" spans="1:16" x14ac:dyDescent="0.2">
      <c r="A3505" t="s">
        <v>5993</v>
      </c>
      <c r="B3505" s="1">
        <v>45545</v>
      </c>
      <c r="C3505" s="1">
        <v>45626</v>
      </c>
      <c r="D3505" t="s">
        <v>3662</v>
      </c>
      <c r="E3505" t="s">
        <v>33</v>
      </c>
      <c r="F3505" t="s">
        <v>25</v>
      </c>
      <c r="G3505" t="s">
        <v>20</v>
      </c>
      <c r="H3505" t="s">
        <v>21</v>
      </c>
      <c r="I3505" t="s">
        <v>99</v>
      </c>
      <c r="J3505">
        <v>1</v>
      </c>
      <c r="K3505">
        <v>4559000</v>
      </c>
      <c r="L3505">
        <v>9.98995910966472E-2</v>
      </c>
      <c r="M3505" t="s">
        <v>23</v>
      </c>
      <c r="N3505">
        <v>4104000</v>
      </c>
      <c r="O3505">
        <v>4.5</v>
      </c>
      <c r="P3505" t="b">
        <v>1</v>
      </c>
    </row>
    <row r="3506" spans="1:16" x14ac:dyDescent="0.2">
      <c r="A3506" t="s">
        <v>5994</v>
      </c>
      <c r="B3506" s="1">
        <v>45546</v>
      </c>
      <c r="C3506" s="1">
        <v>45609</v>
      </c>
      <c r="D3506" t="s">
        <v>1435</v>
      </c>
      <c r="E3506" t="s">
        <v>18</v>
      </c>
      <c r="F3506" t="s">
        <v>19</v>
      </c>
      <c r="G3506" t="s">
        <v>35</v>
      </c>
      <c r="H3506" t="s">
        <v>21</v>
      </c>
      <c r="I3506" t="s">
        <v>99</v>
      </c>
      <c r="J3506">
        <v>1</v>
      </c>
      <c r="K3506">
        <v>2351000</v>
      </c>
      <c r="L3506" s="2" t="s">
        <v>5995</v>
      </c>
      <c r="M3506" t="s">
        <v>23</v>
      </c>
      <c r="N3506">
        <v>2095000</v>
      </c>
      <c r="O3506">
        <v>3.8</v>
      </c>
      <c r="P3506" t="b">
        <v>1</v>
      </c>
    </row>
    <row r="3507" spans="1:16" x14ac:dyDescent="0.2">
      <c r="A3507" t="s">
        <v>5996</v>
      </c>
      <c r="B3507" s="1">
        <v>45546</v>
      </c>
      <c r="C3507" s="1">
        <v>45601</v>
      </c>
      <c r="D3507" t="s">
        <v>5997</v>
      </c>
      <c r="E3507" t="s">
        <v>45</v>
      </c>
      <c r="F3507" t="s">
        <v>25</v>
      </c>
      <c r="G3507" t="s">
        <v>20</v>
      </c>
      <c r="H3507" t="s">
        <v>21</v>
      </c>
      <c r="I3507" t="s">
        <v>77</v>
      </c>
      <c r="J3507">
        <v>3</v>
      </c>
      <c r="K3507">
        <v>5956000</v>
      </c>
      <c r="L3507" s="2" t="s">
        <v>5998</v>
      </c>
      <c r="M3507" t="s">
        <v>23</v>
      </c>
      <c r="N3507">
        <v>15179000</v>
      </c>
      <c r="O3507">
        <v>4.5</v>
      </c>
      <c r="P3507" t="b">
        <v>0</v>
      </c>
    </row>
    <row r="3508" spans="1:16" x14ac:dyDescent="0.2">
      <c r="A3508" t="s">
        <v>5999</v>
      </c>
      <c r="B3508" s="1">
        <v>45546</v>
      </c>
      <c r="C3508" s="1">
        <v>45594</v>
      </c>
      <c r="D3508" t="s">
        <v>601</v>
      </c>
      <c r="E3508" t="s">
        <v>18</v>
      </c>
      <c r="F3508" t="s">
        <v>19</v>
      </c>
      <c r="G3508" t="s">
        <v>50</v>
      </c>
      <c r="H3508" t="s">
        <v>40</v>
      </c>
      <c r="I3508" t="s">
        <v>77</v>
      </c>
      <c r="J3508">
        <v>2</v>
      </c>
      <c r="K3508">
        <v>2665000</v>
      </c>
      <c r="L3508" s="2" t="s">
        <v>6000</v>
      </c>
      <c r="M3508" t="s">
        <v>23</v>
      </c>
      <c r="N3508">
        <v>4759000</v>
      </c>
      <c r="O3508">
        <v>3.5</v>
      </c>
      <c r="P3508" t="b">
        <v>1</v>
      </c>
    </row>
    <row r="3509" spans="1:16" x14ac:dyDescent="0.2">
      <c r="A3509" t="s">
        <v>6001</v>
      </c>
      <c r="B3509" s="1">
        <v>45546</v>
      </c>
      <c r="C3509" s="1">
        <v>45625</v>
      </c>
      <c r="D3509" t="s">
        <v>489</v>
      </c>
      <c r="E3509" t="s">
        <v>18</v>
      </c>
      <c r="F3509" t="s">
        <v>25</v>
      </c>
      <c r="G3509" t="s">
        <v>20</v>
      </c>
      <c r="H3509" t="s">
        <v>51</v>
      </c>
      <c r="I3509" t="s">
        <v>83</v>
      </c>
      <c r="J3509">
        <v>2</v>
      </c>
      <c r="K3509">
        <v>4981000</v>
      </c>
      <c r="L3509">
        <v>7.1495560396512406E-2</v>
      </c>
      <c r="M3509" t="s">
        <v>23</v>
      </c>
      <c r="N3509">
        <v>9250000</v>
      </c>
      <c r="O3509">
        <v>4.0999999999999996</v>
      </c>
      <c r="P3509" t="b">
        <v>1</v>
      </c>
    </row>
    <row r="3510" spans="1:16" x14ac:dyDescent="0.2">
      <c r="A3510" t="s">
        <v>6002</v>
      </c>
      <c r="B3510" s="1">
        <v>45548</v>
      </c>
      <c r="C3510" s="1">
        <v>45576</v>
      </c>
      <c r="D3510" t="s">
        <v>2325</v>
      </c>
      <c r="F3510" t="s">
        <v>25</v>
      </c>
      <c r="G3510" t="s">
        <v>20</v>
      </c>
      <c r="H3510" t="s">
        <v>47</v>
      </c>
      <c r="I3510" t="s">
        <v>77</v>
      </c>
      <c r="J3510">
        <v>2</v>
      </c>
      <c r="K3510">
        <v>5921000</v>
      </c>
      <c r="L3510">
        <v>4.4850495686173997E-2</v>
      </c>
      <c r="M3510" t="s">
        <v>23</v>
      </c>
      <c r="N3510">
        <v>11311000</v>
      </c>
      <c r="O3510">
        <v>4.5</v>
      </c>
      <c r="P3510" t="b">
        <v>1</v>
      </c>
    </row>
    <row r="3511" spans="1:16" x14ac:dyDescent="0.2">
      <c r="A3511" t="s">
        <v>6003</v>
      </c>
      <c r="B3511" s="1">
        <v>45549</v>
      </c>
      <c r="C3511" s="1">
        <v>45605</v>
      </c>
      <c r="D3511" t="s">
        <v>6004</v>
      </c>
      <c r="E3511" t="s">
        <v>18</v>
      </c>
      <c r="F3511" t="s">
        <v>68</v>
      </c>
      <c r="G3511" t="s">
        <v>20</v>
      </c>
      <c r="H3511" t="s">
        <v>21</v>
      </c>
      <c r="I3511" t="s">
        <v>94</v>
      </c>
      <c r="J3511">
        <v>2</v>
      </c>
      <c r="K3511">
        <v>1915000</v>
      </c>
      <c r="L3511" s="2" t="s">
        <v>6005</v>
      </c>
      <c r="M3511" t="s">
        <v>23</v>
      </c>
      <c r="N3511">
        <v>3351000</v>
      </c>
      <c r="O3511">
        <v>4</v>
      </c>
      <c r="P3511" t="b">
        <v>0</v>
      </c>
    </row>
    <row r="3512" spans="1:16" x14ac:dyDescent="0.2">
      <c r="A3512" t="s">
        <v>6006</v>
      </c>
      <c r="B3512" s="1">
        <v>45549</v>
      </c>
      <c r="C3512" s="1">
        <v>45577</v>
      </c>
      <c r="D3512" t="s">
        <v>3552</v>
      </c>
      <c r="E3512" t="s">
        <v>33</v>
      </c>
      <c r="F3512" t="s">
        <v>45</v>
      </c>
      <c r="H3512" t="s">
        <v>40</v>
      </c>
      <c r="I3512" t="s">
        <v>26</v>
      </c>
      <c r="J3512">
        <v>4</v>
      </c>
      <c r="K3512">
        <v>3370000</v>
      </c>
      <c r="L3512">
        <v>9.3332881791882094E-2</v>
      </c>
      <c r="M3512" t="s">
        <v>23</v>
      </c>
      <c r="N3512">
        <v>12222000</v>
      </c>
      <c r="O3512">
        <v>4.4000000000000004</v>
      </c>
      <c r="P3512" t="b">
        <v>1</v>
      </c>
    </row>
    <row r="3513" spans="1:16" x14ac:dyDescent="0.2">
      <c r="A3513" t="s">
        <v>6007</v>
      </c>
      <c r="B3513" s="1">
        <v>45549</v>
      </c>
      <c r="C3513" s="1">
        <v>45588</v>
      </c>
      <c r="D3513" t="s">
        <v>1833</v>
      </c>
      <c r="E3513" t="s">
        <v>45</v>
      </c>
      <c r="F3513" t="s">
        <v>19</v>
      </c>
      <c r="G3513" t="s">
        <v>20</v>
      </c>
      <c r="H3513" t="s">
        <v>21</v>
      </c>
      <c r="I3513" t="s">
        <v>60</v>
      </c>
      <c r="J3513">
        <v>1</v>
      </c>
      <c r="K3513">
        <v>2702000</v>
      </c>
      <c r="L3513">
        <v>7.2107321391656098E-2</v>
      </c>
      <c r="M3513" t="s">
        <v>23</v>
      </c>
      <c r="N3513">
        <v>2507000</v>
      </c>
      <c r="O3513">
        <v>4.0999999999999996</v>
      </c>
      <c r="P3513" t="b">
        <v>1</v>
      </c>
    </row>
    <row r="3514" spans="1:16" x14ac:dyDescent="0.2">
      <c r="A3514" t="s">
        <v>6008</v>
      </c>
      <c r="B3514" s="1">
        <v>45550</v>
      </c>
      <c r="C3514" s="1">
        <v>45588</v>
      </c>
      <c r="D3514" t="s">
        <v>3994</v>
      </c>
      <c r="E3514" t="s">
        <v>33</v>
      </c>
      <c r="F3514" t="s">
        <v>68</v>
      </c>
      <c r="G3514" t="s">
        <v>35</v>
      </c>
      <c r="I3514" t="s">
        <v>77</v>
      </c>
      <c r="J3514">
        <v>1</v>
      </c>
      <c r="K3514">
        <v>2309000</v>
      </c>
      <c r="L3514" s="3">
        <v>0.16800000000000001</v>
      </c>
      <c r="M3514" t="s">
        <v>23</v>
      </c>
      <c r="N3514">
        <v>1921000</v>
      </c>
      <c r="O3514">
        <v>4.9000000000000004</v>
      </c>
      <c r="P3514" t="b">
        <v>1</v>
      </c>
    </row>
    <row r="3515" spans="1:16" x14ac:dyDescent="0.2">
      <c r="A3515" t="s">
        <v>6009</v>
      </c>
      <c r="B3515" s="1">
        <v>45550</v>
      </c>
      <c r="C3515" s="1">
        <v>45620</v>
      </c>
      <c r="D3515" t="s">
        <v>2301</v>
      </c>
      <c r="F3515" t="s">
        <v>34</v>
      </c>
      <c r="G3515" t="s">
        <v>20</v>
      </c>
      <c r="I3515" t="s">
        <v>77</v>
      </c>
      <c r="J3515">
        <v>1</v>
      </c>
      <c r="K3515">
        <v>4018000</v>
      </c>
      <c r="L3515" s="2" t="s">
        <v>6010</v>
      </c>
      <c r="M3515" t="s">
        <v>23</v>
      </c>
      <c r="N3515">
        <v>3565000</v>
      </c>
      <c r="O3515">
        <v>4.3</v>
      </c>
      <c r="P3515" t="b">
        <v>1</v>
      </c>
    </row>
    <row r="3516" spans="1:16" x14ac:dyDescent="0.2">
      <c r="A3516" t="s">
        <v>6011</v>
      </c>
      <c r="B3516" s="1">
        <v>45550</v>
      </c>
      <c r="C3516" s="1">
        <v>45620</v>
      </c>
      <c r="D3516" t="s">
        <v>5343</v>
      </c>
      <c r="E3516" t="s">
        <v>18</v>
      </c>
      <c r="F3516" t="s">
        <v>19</v>
      </c>
      <c r="G3516" t="s">
        <v>35</v>
      </c>
      <c r="H3516" t="s">
        <v>21</v>
      </c>
      <c r="I3516" t="s">
        <v>83</v>
      </c>
      <c r="J3516">
        <v>2</v>
      </c>
      <c r="K3516">
        <v>2894000</v>
      </c>
      <c r="L3516">
        <v>9.2851211225180696E-2</v>
      </c>
      <c r="M3516" t="s">
        <v>23</v>
      </c>
      <c r="N3516">
        <v>5251000</v>
      </c>
      <c r="O3516">
        <v>4.0999999999999996</v>
      </c>
      <c r="P3516" t="b">
        <v>1</v>
      </c>
    </row>
    <row r="3517" spans="1:16" x14ac:dyDescent="0.2">
      <c r="A3517" t="s">
        <v>6012</v>
      </c>
      <c r="B3517" s="1">
        <v>45551</v>
      </c>
      <c r="C3517" s="1">
        <v>45602</v>
      </c>
      <c r="D3517" t="s">
        <v>779</v>
      </c>
      <c r="E3517" t="s">
        <v>33</v>
      </c>
      <c r="F3517" t="s">
        <v>39</v>
      </c>
      <c r="G3517" t="s">
        <v>20</v>
      </c>
      <c r="H3517" t="s">
        <v>47</v>
      </c>
      <c r="I3517" t="s">
        <v>30</v>
      </c>
      <c r="J3517">
        <v>1</v>
      </c>
      <c r="K3517">
        <v>2410000</v>
      </c>
      <c r="L3517" s="2" t="s">
        <v>6013</v>
      </c>
      <c r="M3517" t="s">
        <v>23</v>
      </c>
      <c r="N3517">
        <v>1987000</v>
      </c>
      <c r="O3517">
        <v>4.5999999999999996</v>
      </c>
      <c r="P3517" t="b">
        <v>1</v>
      </c>
    </row>
    <row r="3518" spans="1:16" x14ac:dyDescent="0.2">
      <c r="A3518" t="s">
        <v>6014</v>
      </c>
      <c r="B3518" s="1">
        <v>45551</v>
      </c>
      <c r="C3518" s="1">
        <v>45609</v>
      </c>
      <c r="D3518" t="s">
        <v>2244</v>
      </c>
      <c r="E3518" t="s">
        <v>18</v>
      </c>
      <c r="F3518" t="s">
        <v>25</v>
      </c>
      <c r="G3518" t="s">
        <v>35</v>
      </c>
      <c r="H3518" t="s">
        <v>47</v>
      </c>
      <c r="I3518" t="s">
        <v>57</v>
      </c>
      <c r="J3518">
        <v>1</v>
      </c>
      <c r="K3518">
        <v>4965000</v>
      </c>
      <c r="L3518">
        <v>9.0275218927446305E-2</v>
      </c>
      <c r="M3518" t="s">
        <v>65</v>
      </c>
      <c r="N3518">
        <v>0</v>
      </c>
      <c r="P3518" t="b">
        <v>1</v>
      </c>
    </row>
    <row r="3519" spans="1:16" x14ac:dyDescent="0.2">
      <c r="A3519" t="s">
        <v>6015</v>
      </c>
      <c r="B3519" s="1">
        <v>45551</v>
      </c>
      <c r="C3519" s="1">
        <v>45626</v>
      </c>
      <c r="D3519" t="s">
        <v>116</v>
      </c>
      <c r="F3519" t="s">
        <v>19</v>
      </c>
      <c r="G3519" t="s">
        <v>50</v>
      </c>
      <c r="H3519" t="s">
        <v>47</v>
      </c>
      <c r="I3519" t="s">
        <v>94</v>
      </c>
      <c r="J3519">
        <v>2</v>
      </c>
      <c r="K3519">
        <v>2632000</v>
      </c>
      <c r="L3519" s="2" t="s">
        <v>6016</v>
      </c>
      <c r="M3519" t="s">
        <v>23</v>
      </c>
      <c r="N3519">
        <v>4564000</v>
      </c>
      <c r="O3519">
        <v>4.4000000000000004</v>
      </c>
      <c r="P3519" t="b">
        <v>1</v>
      </c>
    </row>
    <row r="3520" spans="1:16" x14ac:dyDescent="0.2">
      <c r="A3520" t="s">
        <v>6017</v>
      </c>
      <c r="B3520" s="1">
        <v>45551</v>
      </c>
      <c r="C3520" s="1">
        <v>45625</v>
      </c>
      <c r="D3520" t="s">
        <v>6018</v>
      </c>
      <c r="E3520" t="s">
        <v>45</v>
      </c>
      <c r="F3520" t="s">
        <v>34</v>
      </c>
      <c r="G3520" t="s">
        <v>20</v>
      </c>
      <c r="H3520" t="s">
        <v>21</v>
      </c>
      <c r="I3520" t="s">
        <v>94</v>
      </c>
      <c r="J3520">
        <v>1</v>
      </c>
      <c r="K3520">
        <v>4046000</v>
      </c>
      <c r="L3520" s="2" t="s">
        <v>6019</v>
      </c>
      <c r="M3520" t="s">
        <v>23</v>
      </c>
      <c r="N3520">
        <v>3502000</v>
      </c>
      <c r="O3520">
        <v>4.5</v>
      </c>
      <c r="P3520" t="b">
        <v>0</v>
      </c>
    </row>
    <row r="3521" spans="1:16" x14ac:dyDescent="0.2">
      <c r="A3521" t="s">
        <v>6020</v>
      </c>
      <c r="B3521" s="1">
        <v>45552</v>
      </c>
      <c r="C3521" s="1">
        <v>45585</v>
      </c>
      <c r="D3521" t="s">
        <v>6021</v>
      </c>
      <c r="F3521" t="s">
        <v>39</v>
      </c>
      <c r="G3521" t="s">
        <v>20</v>
      </c>
      <c r="H3521" t="s">
        <v>40</v>
      </c>
      <c r="I3521" t="s">
        <v>60</v>
      </c>
      <c r="J3521">
        <v>4</v>
      </c>
      <c r="K3521">
        <v>2578000</v>
      </c>
      <c r="L3521">
        <v>3.73295543467164E-2</v>
      </c>
      <c r="M3521" t="s">
        <v>23</v>
      </c>
      <c r="N3521">
        <v>9927000</v>
      </c>
      <c r="O3521">
        <v>4.0999999999999996</v>
      </c>
      <c r="P3521" t="b">
        <v>0</v>
      </c>
    </row>
    <row r="3522" spans="1:16" x14ac:dyDescent="0.2">
      <c r="A3522" t="s">
        <v>6022</v>
      </c>
      <c r="B3522" s="1">
        <v>45552</v>
      </c>
      <c r="C3522" s="1">
        <v>45613</v>
      </c>
      <c r="D3522" t="s">
        <v>3964</v>
      </c>
      <c r="E3522" t="s">
        <v>18</v>
      </c>
      <c r="F3522" t="s">
        <v>68</v>
      </c>
      <c r="G3522" t="s">
        <v>35</v>
      </c>
      <c r="H3522" t="s">
        <v>21</v>
      </c>
      <c r="I3522" t="s">
        <v>60</v>
      </c>
      <c r="J3522">
        <v>1</v>
      </c>
      <c r="K3522">
        <v>2462000</v>
      </c>
      <c r="L3522" s="2" t="s">
        <v>6023</v>
      </c>
      <c r="M3522" t="s">
        <v>23</v>
      </c>
      <c r="N3522">
        <v>2097000</v>
      </c>
      <c r="O3522">
        <v>3.8</v>
      </c>
      <c r="P3522" t="b">
        <v>1</v>
      </c>
    </row>
    <row r="3523" spans="1:16" x14ac:dyDescent="0.2">
      <c r="A3523" t="s">
        <v>6024</v>
      </c>
      <c r="B3523" s="1">
        <v>45552</v>
      </c>
      <c r="C3523" s="1">
        <v>45606</v>
      </c>
      <c r="D3523" t="s">
        <v>477</v>
      </c>
      <c r="E3523" t="s">
        <v>33</v>
      </c>
      <c r="F3523" t="s">
        <v>39</v>
      </c>
      <c r="G3523" t="s">
        <v>20</v>
      </c>
      <c r="H3523" t="s">
        <v>47</v>
      </c>
      <c r="I3523" t="s">
        <v>83</v>
      </c>
      <c r="J3523">
        <v>2</v>
      </c>
      <c r="K3523">
        <v>1484000</v>
      </c>
      <c r="L3523" s="3">
        <v>0.10100000000000001</v>
      </c>
      <c r="M3523" t="s">
        <v>23</v>
      </c>
      <c r="N3523">
        <v>2668000</v>
      </c>
      <c r="O3523">
        <v>4.3</v>
      </c>
      <c r="P3523" t="b">
        <v>1</v>
      </c>
    </row>
    <row r="3524" spans="1:16" x14ac:dyDescent="0.2">
      <c r="A3524" t="s">
        <v>6025</v>
      </c>
      <c r="B3524" s="1">
        <v>45553</v>
      </c>
      <c r="C3524" s="1">
        <v>45643</v>
      </c>
      <c r="D3524" t="s">
        <v>3716</v>
      </c>
      <c r="E3524" t="s">
        <v>45</v>
      </c>
      <c r="F3524" t="s">
        <v>34</v>
      </c>
      <c r="G3524" t="s">
        <v>20</v>
      </c>
      <c r="H3524" t="s">
        <v>21</v>
      </c>
      <c r="I3524" t="s">
        <v>60</v>
      </c>
      <c r="J3524">
        <v>3</v>
      </c>
      <c r="K3524">
        <v>4522000</v>
      </c>
      <c r="L3524">
        <v>7.7982911469530403E-2</v>
      </c>
      <c r="M3524" t="s">
        <v>23</v>
      </c>
      <c r="N3524">
        <v>12508000</v>
      </c>
      <c r="O3524">
        <v>4.0999999999999996</v>
      </c>
      <c r="P3524" t="b">
        <v>1</v>
      </c>
    </row>
    <row r="3525" spans="1:16" x14ac:dyDescent="0.2">
      <c r="A3525" t="s">
        <v>6026</v>
      </c>
      <c r="B3525" s="1">
        <v>45556</v>
      </c>
      <c r="C3525" s="1">
        <v>45574</v>
      </c>
      <c r="D3525" t="s">
        <v>4043</v>
      </c>
      <c r="E3525" t="s">
        <v>18</v>
      </c>
      <c r="F3525" t="s">
        <v>45</v>
      </c>
      <c r="G3525" t="s">
        <v>50</v>
      </c>
      <c r="H3525" t="s">
        <v>21</v>
      </c>
      <c r="I3525" t="s">
        <v>60</v>
      </c>
      <c r="J3525">
        <v>1</v>
      </c>
      <c r="K3525">
        <v>3113000</v>
      </c>
      <c r="L3525" s="2" t="s">
        <v>6027</v>
      </c>
      <c r="M3525" t="s">
        <v>23</v>
      </c>
      <c r="N3525">
        <v>2783000</v>
      </c>
      <c r="O3525">
        <v>3.5</v>
      </c>
      <c r="P3525" t="b">
        <v>1</v>
      </c>
    </row>
    <row r="3526" spans="1:16" x14ac:dyDescent="0.2">
      <c r="A3526" t="s">
        <v>6028</v>
      </c>
      <c r="B3526" s="1">
        <v>45556</v>
      </c>
      <c r="C3526" s="1">
        <v>45602</v>
      </c>
      <c r="D3526" t="s">
        <v>240</v>
      </c>
      <c r="E3526" t="s">
        <v>29</v>
      </c>
      <c r="F3526" t="s">
        <v>25</v>
      </c>
      <c r="G3526" t="s">
        <v>20</v>
      </c>
      <c r="H3526" t="s">
        <v>47</v>
      </c>
      <c r="I3526" t="s">
        <v>83</v>
      </c>
      <c r="J3526">
        <v>2</v>
      </c>
      <c r="K3526">
        <v>4411000</v>
      </c>
      <c r="L3526">
        <v>6.6123595463380994E-2</v>
      </c>
      <c r="M3526" t="s">
        <v>23</v>
      </c>
      <c r="N3526">
        <v>8239000</v>
      </c>
      <c r="O3526">
        <v>4.3</v>
      </c>
      <c r="P3526" t="b">
        <v>1</v>
      </c>
    </row>
    <row r="3527" spans="1:16" x14ac:dyDescent="0.2">
      <c r="A3527" t="s">
        <v>6029</v>
      </c>
      <c r="B3527" s="1">
        <v>45557</v>
      </c>
      <c r="C3527" s="1">
        <v>45616</v>
      </c>
      <c r="D3527" t="s">
        <v>5127</v>
      </c>
      <c r="E3527" t="s">
        <v>33</v>
      </c>
      <c r="F3527" t="s">
        <v>68</v>
      </c>
      <c r="G3527" t="s">
        <v>35</v>
      </c>
      <c r="H3527" t="s">
        <v>21</v>
      </c>
      <c r="I3527" t="s">
        <v>60</v>
      </c>
      <c r="J3527">
        <v>1</v>
      </c>
      <c r="K3527">
        <v>2394000</v>
      </c>
      <c r="L3527" s="2" t="s">
        <v>6030</v>
      </c>
      <c r="M3527" t="s">
        <v>23</v>
      </c>
      <c r="N3527">
        <v>2143000</v>
      </c>
      <c r="O3527">
        <v>4</v>
      </c>
      <c r="P3527" t="b">
        <v>1</v>
      </c>
    </row>
    <row r="3528" spans="1:16" x14ac:dyDescent="0.2">
      <c r="A3528" t="s">
        <v>6031</v>
      </c>
      <c r="B3528" s="1">
        <v>45557</v>
      </c>
      <c r="C3528" s="1">
        <v>45646</v>
      </c>
      <c r="D3528" t="s">
        <v>5132</v>
      </c>
      <c r="E3528" t="s">
        <v>45</v>
      </c>
      <c r="F3528" t="s">
        <v>45</v>
      </c>
      <c r="G3528" t="s">
        <v>20</v>
      </c>
      <c r="H3528" t="s">
        <v>21</v>
      </c>
      <c r="I3528" t="s">
        <v>94</v>
      </c>
      <c r="J3528">
        <v>2</v>
      </c>
      <c r="K3528">
        <v>3307000</v>
      </c>
      <c r="L3528" s="2" t="s">
        <v>6032</v>
      </c>
      <c r="M3528" t="s">
        <v>23</v>
      </c>
      <c r="N3528">
        <v>6432000</v>
      </c>
      <c r="O3528">
        <v>4.0999999999999996</v>
      </c>
      <c r="P3528" t="b">
        <v>1</v>
      </c>
    </row>
    <row r="3529" spans="1:16" x14ac:dyDescent="0.2">
      <c r="A3529" t="s">
        <v>6033</v>
      </c>
      <c r="B3529" s="1">
        <v>45557</v>
      </c>
      <c r="C3529" s="1">
        <v>45605</v>
      </c>
      <c r="D3529" t="s">
        <v>6034</v>
      </c>
      <c r="E3529" t="s">
        <v>45</v>
      </c>
      <c r="F3529" t="s">
        <v>34</v>
      </c>
      <c r="G3529" t="s">
        <v>35</v>
      </c>
      <c r="H3529" t="s">
        <v>40</v>
      </c>
      <c r="I3529" t="s">
        <v>77</v>
      </c>
      <c r="J3529">
        <v>1</v>
      </c>
      <c r="K3529">
        <v>4172000</v>
      </c>
      <c r="L3529">
        <v>7.6365825572266496E-2</v>
      </c>
      <c r="M3529" t="s">
        <v>23</v>
      </c>
      <c r="N3529">
        <v>3853000</v>
      </c>
      <c r="O3529">
        <v>4.0999999999999996</v>
      </c>
      <c r="P3529" t="b">
        <v>0</v>
      </c>
    </row>
    <row r="3530" spans="1:16" x14ac:dyDescent="0.2">
      <c r="A3530" t="s">
        <v>6035</v>
      </c>
      <c r="B3530" s="1">
        <v>45559</v>
      </c>
      <c r="C3530" s="1">
        <v>45611</v>
      </c>
      <c r="D3530" t="s">
        <v>6036</v>
      </c>
      <c r="E3530" t="s">
        <v>29</v>
      </c>
      <c r="F3530" t="s">
        <v>45</v>
      </c>
      <c r="G3530" t="s">
        <v>20</v>
      </c>
      <c r="H3530" t="s">
        <v>21</v>
      </c>
      <c r="I3530" t="s">
        <v>57</v>
      </c>
      <c r="J3530">
        <v>2</v>
      </c>
      <c r="K3530">
        <v>3530000</v>
      </c>
      <c r="L3530" s="2" t="s">
        <v>6037</v>
      </c>
      <c r="M3530" t="s">
        <v>23</v>
      </c>
      <c r="N3530">
        <v>6352000</v>
      </c>
      <c r="O3530">
        <v>4.2</v>
      </c>
      <c r="P3530" t="b">
        <v>0</v>
      </c>
    </row>
    <row r="3531" spans="1:16" x14ac:dyDescent="0.2">
      <c r="A3531" t="s">
        <v>6038</v>
      </c>
      <c r="B3531" s="1">
        <v>45559</v>
      </c>
      <c r="C3531" s="1">
        <v>45605</v>
      </c>
      <c r="D3531" t="s">
        <v>5326</v>
      </c>
      <c r="F3531" t="s">
        <v>19</v>
      </c>
      <c r="G3531" t="s">
        <v>35</v>
      </c>
      <c r="H3531" t="s">
        <v>47</v>
      </c>
      <c r="I3531" t="s">
        <v>77</v>
      </c>
      <c r="J3531">
        <v>1</v>
      </c>
      <c r="K3531">
        <v>2586000</v>
      </c>
      <c r="L3531">
        <v>7.99124730936039E-2</v>
      </c>
      <c r="M3531" t="s">
        <v>23</v>
      </c>
      <c r="N3531">
        <v>2379000</v>
      </c>
      <c r="O3531">
        <v>5</v>
      </c>
      <c r="P3531" t="b">
        <v>1</v>
      </c>
    </row>
    <row r="3532" spans="1:16" x14ac:dyDescent="0.2">
      <c r="A3532" t="s">
        <v>6039</v>
      </c>
      <c r="B3532" s="1">
        <v>45560</v>
      </c>
      <c r="C3532" s="1">
        <v>45672</v>
      </c>
      <c r="D3532" t="s">
        <v>6040</v>
      </c>
      <c r="E3532" t="s">
        <v>33</v>
      </c>
      <c r="F3532" t="s">
        <v>25</v>
      </c>
      <c r="G3532" t="s">
        <v>35</v>
      </c>
      <c r="H3532" t="s">
        <v>21</v>
      </c>
      <c r="J3532">
        <v>3</v>
      </c>
      <c r="K3532">
        <v>4511000</v>
      </c>
      <c r="L3532" s="2" t="s">
        <v>6041</v>
      </c>
      <c r="M3532" t="s">
        <v>23</v>
      </c>
      <c r="N3532">
        <v>12027000</v>
      </c>
      <c r="O3532">
        <v>4.7</v>
      </c>
      <c r="P3532" t="b">
        <v>0</v>
      </c>
    </row>
    <row r="3533" spans="1:16" x14ac:dyDescent="0.2">
      <c r="A3533" t="s">
        <v>6042</v>
      </c>
      <c r="B3533" s="1">
        <v>45560</v>
      </c>
      <c r="C3533" s="1">
        <v>45630</v>
      </c>
      <c r="D3533" t="s">
        <v>6043</v>
      </c>
      <c r="E3533" t="s">
        <v>33</v>
      </c>
      <c r="F3533" t="s">
        <v>19</v>
      </c>
      <c r="G3533" t="s">
        <v>20</v>
      </c>
      <c r="H3533" t="s">
        <v>21</v>
      </c>
      <c r="I3533" t="s">
        <v>99</v>
      </c>
      <c r="J3533">
        <v>1</v>
      </c>
      <c r="K3533">
        <v>2424000</v>
      </c>
      <c r="L3533" s="2" t="s">
        <v>6044</v>
      </c>
      <c r="M3533" t="s">
        <v>23</v>
      </c>
      <c r="N3533">
        <v>2136000</v>
      </c>
      <c r="O3533">
        <v>4.5</v>
      </c>
      <c r="P3533" t="b">
        <v>0</v>
      </c>
    </row>
    <row r="3534" spans="1:16" x14ac:dyDescent="0.2">
      <c r="A3534" t="s">
        <v>6045</v>
      </c>
      <c r="B3534" s="1">
        <v>45560</v>
      </c>
      <c r="C3534" s="1">
        <v>45569</v>
      </c>
      <c r="D3534" t="s">
        <v>6046</v>
      </c>
      <c r="E3534" t="s">
        <v>18</v>
      </c>
      <c r="F3534" t="s">
        <v>19</v>
      </c>
      <c r="G3534" t="s">
        <v>20</v>
      </c>
      <c r="H3534" t="s">
        <v>47</v>
      </c>
      <c r="I3534" t="s">
        <v>26</v>
      </c>
      <c r="J3534">
        <v>1</v>
      </c>
      <c r="K3534">
        <v>2359000</v>
      </c>
      <c r="L3534" s="2" t="s">
        <v>6047</v>
      </c>
      <c r="M3534" t="s">
        <v>23</v>
      </c>
      <c r="N3534">
        <v>2039000</v>
      </c>
      <c r="O3534">
        <v>4.2</v>
      </c>
      <c r="P3534" t="b">
        <v>0</v>
      </c>
    </row>
    <row r="3535" spans="1:16" x14ac:dyDescent="0.2">
      <c r="A3535" t="s">
        <v>6048</v>
      </c>
      <c r="B3535" s="1">
        <v>45561</v>
      </c>
      <c r="C3535" s="1">
        <v>45590</v>
      </c>
      <c r="D3535" t="s">
        <v>70</v>
      </c>
      <c r="F3535" t="s">
        <v>39</v>
      </c>
      <c r="G3535" t="s">
        <v>20</v>
      </c>
      <c r="H3535" t="s">
        <v>47</v>
      </c>
      <c r="I3535" t="s">
        <v>83</v>
      </c>
      <c r="J3535">
        <v>1</v>
      </c>
      <c r="K3535">
        <v>1339000</v>
      </c>
      <c r="L3535" s="2" t="s">
        <v>6049</v>
      </c>
      <c r="M3535" t="s">
        <v>23</v>
      </c>
      <c r="N3535">
        <v>1140000</v>
      </c>
      <c r="O3535">
        <v>3.6</v>
      </c>
      <c r="P3535" t="b">
        <v>1</v>
      </c>
    </row>
    <row r="3536" spans="1:16" x14ac:dyDescent="0.2">
      <c r="A3536" t="s">
        <v>6050</v>
      </c>
      <c r="B3536" s="1">
        <v>45561</v>
      </c>
      <c r="C3536" s="1">
        <v>45567</v>
      </c>
      <c r="D3536" t="s">
        <v>4145</v>
      </c>
      <c r="E3536" t="s">
        <v>29</v>
      </c>
      <c r="F3536" t="s">
        <v>34</v>
      </c>
      <c r="G3536" t="s">
        <v>20</v>
      </c>
      <c r="H3536" t="s">
        <v>21</v>
      </c>
      <c r="I3536" t="s">
        <v>99</v>
      </c>
      <c r="J3536">
        <v>2</v>
      </c>
      <c r="K3536">
        <v>3888000</v>
      </c>
      <c r="L3536">
        <v>9.3984809726409005E-2</v>
      </c>
      <c r="M3536" t="s">
        <v>23</v>
      </c>
      <c r="N3536">
        <v>7045000</v>
      </c>
      <c r="O3536">
        <v>3.7</v>
      </c>
      <c r="P3536" t="b">
        <v>1</v>
      </c>
    </row>
    <row r="3537" spans="1:16" x14ac:dyDescent="0.2">
      <c r="A3537" t="s">
        <v>6051</v>
      </c>
      <c r="B3537" s="1">
        <v>45561</v>
      </c>
      <c r="C3537" s="1">
        <v>45596</v>
      </c>
      <c r="D3537" t="s">
        <v>601</v>
      </c>
      <c r="E3537" t="s">
        <v>18</v>
      </c>
      <c r="F3537" t="s">
        <v>39</v>
      </c>
      <c r="G3537" t="s">
        <v>50</v>
      </c>
      <c r="H3537" t="s">
        <v>21</v>
      </c>
      <c r="I3537" t="s">
        <v>83</v>
      </c>
      <c r="J3537">
        <v>2</v>
      </c>
      <c r="K3537">
        <v>1405000</v>
      </c>
      <c r="L3537" s="2" t="s">
        <v>6052</v>
      </c>
      <c r="M3537" t="s">
        <v>1656</v>
      </c>
      <c r="N3537">
        <v>2404000</v>
      </c>
      <c r="O3537">
        <v>4</v>
      </c>
      <c r="P3537" t="b">
        <v>1</v>
      </c>
    </row>
    <row r="3538" spans="1:16" x14ac:dyDescent="0.2">
      <c r="A3538" t="s">
        <v>6053</v>
      </c>
      <c r="B3538" s="1">
        <v>45561</v>
      </c>
      <c r="C3538" s="1">
        <v>45602</v>
      </c>
      <c r="D3538" t="s">
        <v>6054</v>
      </c>
      <c r="E3538" t="s">
        <v>33</v>
      </c>
      <c r="F3538" t="s">
        <v>25</v>
      </c>
      <c r="G3538" t="s">
        <v>20</v>
      </c>
      <c r="H3538" t="s">
        <v>21</v>
      </c>
      <c r="I3538" t="s">
        <v>22</v>
      </c>
      <c r="J3538">
        <v>1</v>
      </c>
      <c r="K3538">
        <v>4644000</v>
      </c>
      <c r="L3538" s="2" t="s">
        <v>6055</v>
      </c>
      <c r="M3538" t="s">
        <v>23</v>
      </c>
      <c r="N3538">
        <v>3885000</v>
      </c>
      <c r="O3538">
        <v>4.0999999999999996</v>
      </c>
      <c r="P3538" t="b">
        <v>0</v>
      </c>
    </row>
    <row r="3539" spans="1:16" x14ac:dyDescent="0.2">
      <c r="A3539" t="s">
        <v>6056</v>
      </c>
      <c r="B3539" s="1">
        <v>45561</v>
      </c>
      <c r="C3539" s="1">
        <v>45611</v>
      </c>
      <c r="D3539" t="s">
        <v>982</v>
      </c>
      <c r="E3539" t="s">
        <v>45</v>
      </c>
      <c r="F3539" t="s">
        <v>34</v>
      </c>
      <c r="G3539" t="s">
        <v>20</v>
      </c>
      <c r="H3539" t="s">
        <v>21</v>
      </c>
      <c r="I3539" t="s">
        <v>60</v>
      </c>
      <c r="J3539">
        <v>1</v>
      </c>
      <c r="K3539">
        <v>4423000</v>
      </c>
      <c r="L3539" s="3">
        <v>0.13</v>
      </c>
      <c r="M3539" t="s">
        <v>23</v>
      </c>
      <c r="N3539">
        <v>3847000</v>
      </c>
      <c r="O3539">
        <v>4.0999999999999996</v>
      </c>
      <c r="P3539" t="b">
        <v>1</v>
      </c>
    </row>
    <row r="3540" spans="1:16" x14ac:dyDescent="0.2">
      <c r="A3540" t="s">
        <v>6057</v>
      </c>
      <c r="B3540" s="1">
        <v>45562</v>
      </c>
      <c r="C3540" s="1">
        <v>45597</v>
      </c>
      <c r="D3540" t="s">
        <v>4244</v>
      </c>
      <c r="E3540" t="s">
        <v>45</v>
      </c>
      <c r="F3540" t="s">
        <v>19</v>
      </c>
      <c r="H3540" t="s">
        <v>21</v>
      </c>
      <c r="I3540" t="s">
        <v>22</v>
      </c>
      <c r="J3540">
        <v>2</v>
      </c>
      <c r="K3540">
        <v>2271000</v>
      </c>
      <c r="L3540">
        <v>8.0440237883976695E-2</v>
      </c>
      <c r="M3540" t="s">
        <v>23</v>
      </c>
      <c r="N3540">
        <v>4177000</v>
      </c>
      <c r="O3540">
        <v>4.8</v>
      </c>
      <c r="P3540" t="b">
        <v>1</v>
      </c>
    </row>
    <row r="3541" spans="1:16" x14ac:dyDescent="0.2">
      <c r="A3541" t="s">
        <v>6058</v>
      </c>
      <c r="B3541" s="1">
        <v>45562</v>
      </c>
      <c r="C3541" s="1">
        <v>45611</v>
      </c>
      <c r="D3541" t="s">
        <v>2546</v>
      </c>
      <c r="E3541" t="s">
        <v>45</v>
      </c>
      <c r="F3541" t="s">
        <v>34</v>
      </c>
      <c r="G3541" t="s">
        <v>20</v>
      </c>
      <c r="H3541" t="s">
        <v>47</v>
      </c>
      <c r="I3541" t="s">
        <v>57</v>
      </c>
      <c r="J3541">
        <v>4</v>
      </c>
      <c r="K3541">
        <v>4230000</v>
      </c>
      <c r="L3541" s="2" t="s">
        <v>6059</v>
      </c>
      <c r="M3541" t="s">
        <v>23</v>
      </c>
      <c r="N3541">
        <v>14837000</v>
      </c>
      <c r="O3541">
        <v>4.2</v>
      </c>
      <c r="P3541" t="b">
        <v>1</v>
      </c>
    </row>
    <row r="3542" spans="1:16" x14ac:dyDescent="0.2">
      <c r="A3542" t="s">
        <v>6060</v>
      </c>
      <c r="B3542" s="1">
        <v>45562</v>
      </c>
      <c r="C3542" s="1">
        <v>45592</v>
      </c>
      <c r="D3542" t="s">
        <v>6061</v>
      </c>
      <c r="E3542" t="s">
        <v>45</v>
      </c>
      <c r="F3542" t="s">
        <v>45</v>
      </c>
      <c r="G3542" t="s">
        <v>20</v>
      </c>
      <c r="H3542" t="s">
        <v>21</v>
      </c>
      <c r="I3542" t="s">
        <v>57</v>
      </c>
      <c r="J3542">
        <v>1</v>
      </c>
      <c r="K3542">
        <v>3341000</v>
      </c>
      <c r="L3542">
        <v>3.2045540836218897E-2</v>
      </c>
      <c r="M3542" t="s">
        <v>23</v>
      </c>
      <c r="N3542">
        <v>3234000</v>
      </c>
      <c r="O3542">
        <v>4.5</v>
      </c>
      <c r="P3542" t="b">
        <v>0</v>
      </c>
    </row>
    <row r="3543" spans="1:16" x14ac:dyDescent="0.2">
      <c r="A3543" t="s">
        <v>6062</v>
      </c>
      <c r="B3543" s="1">
        <v>45562</v>
      </c>
      <c r="C3543" s="1">
        <v>45583</v>
      </c>
      <c r="D3543" t="s">
        <v>6063</v>
      </c>
      <c r="E3543" t="s">
        <v>29</v>
      </c>
      <c r="F3543" t="s">
        <v>45</v>
      </c>
      <c r="G3543" t="s">
        <v>20</v>
      </c>
      <c r="H3543" t="s">
        <v>47</v>
      </c>
      <c r="I3543" t="s">
        <v>52</v>
      </c>
      <c r="J3543">
        <v>4</v>
      </c>
      <c r="K3543">
        <v>3011000</v>
      </c>
      <c r="L3543" s="3">
        <v>4.2000000000000003E-2</v>
      </c>
      <c r="M3543" t="s">
        <v>23</v>
      </c>
      <c r="N3543">
        <v>11544000</v>
      </c>
      <c r="O3543">
        <v>4.5</v>
      </c>
      <c r="P3543" t="b">
        <v>0</v>
      </c>
    </row>
    <row r="3544" spans="1:16" x14ac:dyDescent="0.2">
      <c r="A3544" t="s">
        <v>6064</v>
      </c>
      <c r="B3544" s="1">
        <v>45562</v>
      </c>
      <c r="C3544" s="1">
        <v>45589</v>
      </c>
      <c r="D3544" t="s">
        <v>6065</v>
      </c>
      <c r="E3544" t="s">
        <v>18</v>
      </c>
      <c r="F3544" t="s">
        <v>19</v>
      </c>
      <c r="G3544" t="s">
        <v>20</v>
      </c>
      <c r="H3544" t="s">
        <v>21</v>
      </c>
      <c r="I3544" t="s">
        <v>83</v>
      </c>
      <c r="J3544">
        <v>2</v>
      </c>
      <c r="K3544">
        <v>2766000</v>
      </c>
      <c r="L3544">
        <v>9.0921471351916097E-2</v>
      </c>
      <c r="M3544" t="s">
        <v>23</v>
      </c>
      <c r="N3544">
        <v>5029000</v>
      </c>
      <c r="O3544">
        <v>4.8</v>
      </c>
      <c r="P3544" t="b">
        <v>0</v>
      </c>
    </row>
    <row r="3545" spans="1:16" x14ac:dyDescent="0.2">
      <c r="A3545" t="s">
        <v>6066</v>
      </c>
      <c r="B3545" s="1">
        <v>45562</v>
      </c>
      <c r="C3545" s="1">
        <v>45610</v>
      </c>
      <c r="D3545" t="s">
        <v>6067</v>
      </c>
      <c r="E3545" t="s">
        <v>18</v>
      </c>
      <c r="F3545" t="s">
        <v>19</v>
      </c>
      <c r="G3545" t="s">
        <v>20</v>
      </c>
      <c r="H3545" t="s">
        <v>40</v>
      </c>
      <c r="I3545" t="s">
        <v>52</v>
      </c>
      <c r="J3545">
        <v>1</v>
      </c>
      <c r="K3545">
        <v>2533000</v>
      </c>
      <c r="L3545" s="2" t="s">
        <v>6068</v>
      </c>
      <c r="M3545" t="s">
        <v>23</v>
      </c>
      <c r="N3545">
        <v>2276000</v>
      </c>
      <c r="O3545">
        <v>4</v>
      </c>
      <c r="P3545" t="b">
        <v>0</v>
      </c>
    </row>
    <row r="3546" spans="1:16" x14ac:dyDescent="0.2">
      <c r="A3546" t="s">
        <v>6069</v>
      </c>
      <c r="B3546" s="1">
        <v>45563</v>
      </c>
      <c r="C3546" s="1">
        <v>45625</v>
      </c>
      <c r="D3546" t="s">
        <v>4071</v>
      </c>
      <c r="E3546" t="s">
        <v>18</v>
      </c>
      <c r="F3546" t="s">
        <v>19</v>
      </c>
      <c r="G3546" t="s">
        <v>20</v>
      </c>
      <c r="H3546" t="s">
        <v>47</v>
      </c>
      <c r="I3546" t="s">
        <v>1650</v>
      </c>
      <c r="J3546">
        <v>2</v>
      </c>
      <c r="K3546">
        <v>2817000</v>
      </c>
      <c r="L3546">
        <v>7.9705157760211795E-2</v>
      </c>
      <c r="M3546" t="s">
        <v>23</v>
      </c>
      <c r="N3546">
        <v>5185000</v>
      </c>
      <c r="O3546">
        <v>4</v>
      </c>
      <c r="P3546" t="b">
        <v>1</v>
      </c>
    </row>
    <row r="3547" spans="1:16" x14ac:dyDescent="0.2">
      <c r="A3547" t="s">
        <v>6070</v>
      </c>
      <c r="B3547" s="1">
        <v>45563</v>
      </c>
      <c r="C3547" s="1">
        <v>45614</v>
      </c>
      <c r="D3547" t="s">
        <v>6071</v>
      </c>
      <c r="E3547" t="s">
        <v>45</v>
      </c>
      <c r="F3547" t="s">
        <v>39</v>
      </c>
      <c r="G3547" t="s">
        <v>50</v>
      </c>
      <c r="H3547" t="s">
        <v>21</v>
      </c>
      <c r="I3547" t="s">
        <v>94</v>
      </c>
      <c r="J3547">
        <v>3</v>
      </c>
      <c r="K3547">
        <v>2448000</v>
      </c>
      <c r="L3547" s="2" t="s">
        <v>6072</v>
      </c>
      <c r="M3547" t="s">
        <v>23</v>
      </c>
      <c r="N3547">
        <v>6523000</v>
      </c>
      <c r="O3547">
        <v>3.5</v>
      </c>
      <c r="P3547" t="b">
        <v>0</v>
      </c>
    </row>
    <row r="3548" spans="1:16" x14ac:dyDescent="0.2">
      <c r="A3548" t="s">
        <v>6073</v>
      </c>
      <c r="B3548" s="1">
        <v>45563</v>
      </c>
      <c r="C3548" s="1">
        <v>45583</v>
      </c>
      <c r="D3548" t="s">
        <v>4439</v>
      </c>
      <c r="E3548" t="s">
        <v>45</v>
      </c>
      <c r="F3548" t="s">
        <v>45</v>
      </c>
      <c r="G3548" t="s">
        <v>20</v>
      </c>
      <c r="H3548" t="s">
        <v>21</v>
      </c>
      <c r="I3548" t="s">
        <v>94</v>
      </c>
      <c r="J3548">
        <v>1</v>
      </c>
      <c r="K3548">
        <v>2977000</v>
      </c>
      <c r="L3548" s="2" t="s">
        <v>6074</v>
      </c>
      <c r="M3548" t="s">
        <v>23</v>
      </c>
      <c r="N3548">
        <v>2583000</v>
      </c>
      <c r="O3548">
        <v>4.3</v>
      </c>
      <c r="P3548" t="b">
        <v>1</v>
      </c>
    </row>
    <row r="3549" spans="1:16" x14ac:dyDescent="0.2">
      <c r="A3549" t="s">
        <v>6075</v>
      </c>
      <c r="B3549" s="1">
        <v>45565</v>
      </c>
      <c r="C3549" s="1">
        <v>45632</v>
      </c>
      <c r="D3549" t="s">
        <v>2792</v>
      </c>
      <c r="E3549" t="s">
        <v>29</v>
      </c>
      <c r="F3549" t="s">
        <v>19</v>
      </c>
      <c r="G3549" t="s">
        <v>35</v>
      </c>
      <c r="H3549" t="s">
        <v>40</v>
      </c>
      <c r="I3549" t="s">
        <v>30</v>
      </c>
      <c r="J3549">
        <v>1</v>
      </c>
      <c r="K3549">
        <v>2409000</v>
      </c>
      <c r="L3549">
        <v>9.9038122224940503E-2</v>
      </c>
      <c r="M3549" t="s">
        <v>23</v>
      </c>
      <c r="N3549">
        <v>2170000</v>
      </c>
      <c r="O3549">
        <v>4.2</v>
      </c>
      <c r="P3549" t="b">
        <v>1</v>
      </c>
    </row>
    <row r="3550" spans="1:16" x14ac:dyDescent="0.2">
      <c r="A3550" t="s">
        <v>6076</v>
      </c>
      <c r="B3550" s="1">
        <v>45565</v>
      </c>
      <c r="C3550" s="1">
        <v>45651</v>
      </c>
      <c r="D3550" t="s">
        <v>1394</v>
      </c>
      <c r="E3550" t="s">
        <v>29</v>
      </c>
      <c r="F3550" t="s">
        <v>34</v>
      </c>
      <c r="G3550" t="s">
        <v>35</v>
      </c>
      <c r="H3550" t="s">
        <v>51</v>
      </c>
      <c r="I3550" t="s">
        <v>77</v>
      </c>
      <c r="J3550">
        <v>2</v>
      </c>
      <c r="K3550">
        <v>4154000</v>
      </c>
      <c r="L3550">
        <v>7.2752843856147401E-2</v>
      </c>
      <c r="M3550" t="s">
        <v>23</v>
      </c>
      <c r="N3550">
        <v>7704000</v>
      </c>
      <c r="O3550">
        <v>4.2</v>
      </c>
      <c r="P3550" t="b">
        <v>1</v>
      </c>
    </row>
    <row r="3551" spans="1:16" x14ac:dyDescent="0.2">
      <c r="A3551" t="s">
        <v>6077</v>
      </c>
      <c r="B3551" s="1">
        <v>45565</v>
      </c>
      <c r="C3551" s="1">
        <v>45608</v>
      </c>
      <c r="D3551" t="s">
        <v>5755</v>
      </c>
      <c r="E3551" t="s">
        <v>18</v>
      </c>
      <c r="F3551" t="s">
        <v>45</v>
      </c>
      <c r="G3551" t="s">
        <v>50</v>
      </c>
      <c r="H3551" t="s">
        <v>21</v>
      </c>
      <c r="I3551" t="s">
        <v>52</v>
      </c>
      <c r="J3551">
        <v>4</v>
      </c>
      <c r="K3551">
        <v>2926000</v>
      </c>
      <c r="L3551">
        <v>1.79480483413147E-2</v>
      </c>
      <c r="M3551" t="s">
        <v>23</v>
      </c>
      <c r="N3551">
        <v>11494000</v>
      </c>
      <c r="O3551">
        <v>4.2</v>
      </c>
      <c r="P3551" t="b">
        <v>1</v>
      </c>
    </row>
    <row r="3552" spans="1:16" x14ac:dyDescent="0.2">
      <c r="A3552" t="s">
        <v>6078</v>
      </c>
      <c r="B3552" s="1">
        <v>45566</v>
      </c>
      <c r="C3552" s="1">
        <v>45590</v>
      </c>
      <c r="D3552" t="s">
        <v>6079</v>
      </c>
      <c r="E3552" t="s">
        <v>33</v>
      </c>
      <c r="F3552" t="s">
        <v>19</v>
      </c>
      <c r="H3552" t="s">
        <v>21</v>
      </c>
      <c r="I3552" t="s">
        <v>77</v>
      </c>
      <c r="J3552">
        <v>2</v>
      </c>
      <c r="K3552">
        <v>2627000</v>
      </c>
      <c r="L3552" s="2" t="s">
        <v>6080</v>
      </c>
      <c r="M3552" t="s">
        <v>23</v>
      </c>
      <c r="N3552">
        <v>4563000</v>
      </c>
      <c r="O3552">
        <v>4.5</v>
      </c>
      <c r="P3552" t="b">
        <v>0</v>
      </c>
    </row>
    <row r="3553" spans="1:16" x14ac:dyDescent="0.2">
      <c r="A3553" t="s">
        <v>6081</v>
      </c>
      <c r="B3553" s="1">
        <v>45566</v>
      </c>
      <c r="C3553" s="1">
        <v>45602</v>
      </c>
      <c r="D3553" t="s">
        <v>4124</v>
      </c>
      <c r="E3553" t="s">
        <v>29</v>
      </c>
      <c r="F3553" t="s">
        <v>25</v>
      </c>
      <c r="G3553" t="s">
        <v>20</v>
      </c>
      <c r="I3553" t="s">
        <v>99</v>
      </c>
      <c r="J3553">
        <v>1</v>
      </c>
      <c r="K3553">
        <v>4610000</v>
      </c>
      <c r="L3553">
        <v>6.98754302435729E-2</v>
      </c>
      <c r="M3553" t="s">
        <v>23</v>
      </c>
      <c r="N3553">
        <v>4288000</v>
      </c>
      <c r="O3553">
        <v>4.0999999999999996</v>
      </c>
      <c r="P3553" t="b">
        <v>1</v>
      </c>
    </row>
    <row r="3554" spans="1:16" x14ac:dyDescent="0.2">
      <c r="A3554" t="s">
        <v>6082</v>
      </c>
      <c r="B3554" s="1">
        <v>45566</v>
      </c>
      <c r="C3554" s="1">
        <v>45608</v>
      </c>
      <c r="D3554" t="s">
        <v>6083</v>
      </c>
      <c r="E3554" t="s">
        <v>45</v>
      </c>
      <c r="F3554" t="s">
        <v>34</v>
      </c>
      <c r="H3554" t="s">
        <v>21</v>
      </c>
      <c r="I3554" t="s">
        <v>77</v>
      </c>
      <c r="J3554">
        <v>2</v>
      </c>
      <c r="K3554">
        <v>3976000</v>
      </c>
      <c r="L3554" s="2" t="s">
        <v>6084</v>
      </c>
      <c r="M3554" t="s">
        <v>65</v>
      </c>
      <c r="N3554">
        <v>0</v>
      </c>
      <c r="P3554" t="b">
        <v>0</v>
      </c>
    </row>
    <row r="3555" spans="1:16" x14ac:dyDescent="0.2">
      <c r="A3555" t="s">
        <v>6085</v>
      </c>
      <c r="B3555" s="1">
        <v>45566</v>
      </c>
      <c r="C3555" s="1">
        <v>45612</v>
      </c>
      <c r="D3555" t="s">
        <v>6086</v>
      </c>
      <c r="E3555" t="s">
        <v>45</v>
      </c>
      <c r="F3555" t="s">
        <v>34</v>
      </c>
      <c r="G3555" t="s">
        <v>20</v>
      </c>
      <c r="H3555" t="s">
        <v>47</v>
      </c>
      <c r="I3555" t="s">
        <v>60</v>
      </c>
      <c r="J3555">
        <v>1</v>
      </c>
      <c r="K3555">
        <v>4211000</v>
      </c>
      <c r="L3555" s="2" t="s">
        <v>6087</v>
      </c>
      <c r="M3555" t="s">
        <v>23</v>
      </c>
      <c r="N3555">
        <v>3739000</v>
      </c>
      <c r="O3555">
        <v>4.0999999999999996</v>
      </c>
      <c r="P3555" t="b">
        <v>0</v>
      </c>
    </row>
    <row r="3556" spans="1:16" x14ac:dyDescent="0.2">
      <c r="A3556" t="s">
        <v>6088</v>
      </c>
      <c r="B3556" s="1">
        <v>45568</v>
      </c>
      <c r="C3556" s="1">
        <v>45652</v>
      </c>
      <c r="D3556" t="s">
        <v>752</v>
      </c>
      <c r="E3556" t="s">
        <v>18</v>
      </c>
      <c r="F3556" t="s">
        <v>34</v>
      </c>
      <c r="G3556" t="s">
        <v>20</v>
      </c>
      <c r="H3556" t="s">
        <v>21</v>
      </c>
      <c r="I3556" t="s">
        <v>30</v>
      </c>
      <c r="J3556">
        <v>2</v>
      </c>
      <c r="K3556">
        <v>3907000</v>
      </c>
      <c r="L3556">
        <v>9.7254372245768994E-2</v>
      </c>
      <c r="M3556" t="s">
        <v>65</v>
      </c>
      <c r="N3556">
        <v>0</v>
      </c>
      <c r="P3556" t="b">
        <v>1</v>
      </c>
    </row>
    <row r="3557" spans="1:16" x14ac:dyDescent="0.2">
      <c r="A3557" t="s">
        <v>6089</v>
      </c>
      <c r="B3557" s="1">
        <v>45569</v>
      </c>
      <c r="C3557" s="1">
        <v>45648</v>
      </c>
      <c r="D3557" t="s">
        <v>2599</v>
      </c>
      <c r="E3557" t="s">
        <v>45</v>
      </c>
      <c r="F3557" t="s">
        <v>19</v>
      </c>
      <c r="G3557" t="s">
        <v>20</v>
      </c>
      <c r="H3557" t="s">
        <v>21</v>
      </c>
      <c r="I3557" t="s">
        <v>26</v>
      </c>
      <c r="J3557">
        <v>4</v>
      </c>
      <c r="K3557">
        <v>2905000</v>
      </c>
      <c r="L3557" s="2" t="s">
        <v>6090</v>
      </c>
      <c r="M3557" t="s">
        <v>23</v>
      </c>
      <c r="N3557">
        <v>9693000</v>
      </c>
      <c r="O3557">
        <v>3.8</v>
      </c>
      <c r="P3557" t="b">
        <v>1</v>
      </c>
    </row>
    <row r="3558" spans="1:16" x14ac:dyDescent="0.2">
      <c r="A3558" t="s">
        <v>6091</v>
      </c>
      <c r="B3558" s="1">
        <v>45569</v>
      </c>
      <c r="C3558" s="1">
        <v>45619</v>
      </c>
      <c r="D3558" t="s">
        <v>5047</v>
      </c>
      <c r="E3558" t="s">
        <v>45</v>
      </c>
      <c r="F3558" t="s">
        <v>34</v>
      </c>
      <c r="G3558" t="s">
        <v>20</v>
      </c>
      <c r="H3558" t="s">
        <v>21</v>
      </c>
      <c r="I3558" t="s">
        <v>60</v>
      </c>
      <c r="J3558">
        <v>1</v>
      </c>
      <c r="K3558">
        <v>4051000</v>
      </c>
      <c r="L3558" s="3">
        <v>0.11899999999999999</v>
      </c>
      <c r="M3558" t="s">
        <v>23</v>
      </c>
      <c r="N3558">
        <v>3568000</v>
      </c>
      <c r="O3558">
        <v>4.5</v>
      </c>
      <c r="P3558" t="b">
        <v>1</v>
      </c>
    </row>
    <row r="3559" spans="1:16" x14ac:dyDescent="0.2">
      <c r="A3559" t="s">
        <v>6092</v>
      </c>
      <c r="B3559" s="1">
        <v>45569</v>
      </c>
      <c r="C3559" s="1">
        <v>45646</v>
      </c>
      <c r="D3559" t="s">
        <v>6093</v>
      </c>
      <c r="E3559" t="s">
        <v>45</v>
      </c>
      <c r="F3559" t="s">
        <v>45</v>
      </c>
      <c r="G3559" t="s">
        <v>35</v>
      </c>
      <c r="H3559" t="s">
        <v>51</v>
      </c>
      <c r="I3559" t="s">
        <v>52</v>
      </c>
      <c r="J3559">
        <v>1</v>
      </c>
      <c r="K3559">
        <v>3242000</v>
      </c>
      <c r="L3559" s="2" t="s">
        <v>6094</v>
      </c>
      <c r="M3559" t="s">
        <v>23</v>
      </c>
      <c r="N3559">
        <v>2795000</v>
      </c>
      <c r="O3559">
        <v>3.7</v>
      </c>
      <c r="P3559" t="b">
        <v>0</v>
      </c>
    </row>
    <row r="3560" spans="1:16" x14ac:dyDescent="0.2">
      <c r="A3560" t="s">
        <v>6095</v>
      </c>
      <c r="B3560" s="1">
        <v>45569</v>
      </c>
      <c r="C3560" s="1">
        <v>45625</v>
      </c>
      <c r="D3560" t="s">
        <v>6096</v>
      </c>
      <c r="E3560" t="s">
        <v>29</v>
      </c>
      <c r="F3560" t="s">
        <v>19</v>
      </c>
      <c r="G3560" t="s">
        <v>20</v>
      </c>
      <c r="H3560" t="s">
        <v>21</v>
      </c>
      <c r="I3560" t="s">
        <v>60</v>
      </c>
      <c r="J3560">
        <v>1</v>
      </c>
      <c r="K3560">
        <v>2623000</v>
      </c>
      <c r="L3560" s="2" t="s">
        <v>6097</v>
      </c>
      <c r="M3560" t="s">
        <v>23</v>
      </c>
      <c r="N3560">
        <v>2291000</v>
      </c>
      <c r="O3560">
        <v>3.6</v>
      </c>
      <c r="P3560" t="b">
        <v>0</v>
      </c>
    </row>
    <row r="3561" spans="1:16" x14ac:dyDescent="0.2">
      <c r="A3561" t="s">
        <v>6098</v>
      </c>
      <c r="B3561" s="1">
        <v>45570</v>
      </c>
      <c r="C3561" s="1">
        <v>45665</v>
      </c>
      <c r="D3561" t="s">
        <v>6099</v>
      </c>
      <c r="E3561" t="s">
        <v>45</v>
      </c>
      <c r="F3561" t="s">
        <v>68</v>
      </c>
      <c r="G3561" t="s">
        <v>50</v>
      </c>
      <c r="H3561" t="s">
        <v>47</v>
      </c>
      <c r="I3561" t="s">
        <v>83</v>
      </c>
      <c r="J3561">
        <v>1</v>
      </c>
      <c r="K3561">
        <v>1924000</v>
      </c>
      <c r="L3561">
        <v>9.4400080404391101E-2</v>
      </c>
      <c r="M3561" t="s">
        <v>23</v>
      </c>
      <c r="N3561">
        <v>1742000</v>
      </c>
      <c r="O3561">
        <v>4.4000000000000004</v>
      </c>
      <c r="P3561" t="b">
        <v>0</v>
      </c>
    </row>
    <row r="3562" spans="1:16" x14ac:dyDescent="0.2">
      <c r="A3562" t="s">
        <v>6100</v>
      </c>
      <c r="B3562" s="1">
        <v>45571</v>
      </c>
      <c r="C3562" s="1">
        <v>45613</v>
      </c>
      <c r="D3562" t="s">
        <v>1053</v>
      </c>
      <c r="E3562" t="s">
        <v>29</v>
      </c>
      <c r="F3562" t="s">
        <v>34</v>
      </c>
      <c r="G3562" t="s">
        <v>20</v>
      </c>
      <c r="H3562" t="s">
        <v>21</v>
      </c>
      <c r="I3562" t="s">
        <v>83</v>
      </c>
      <c r="J3562">
        <v>3</v>
      </c>
      <c r="K3562">
        <v>3900000</v>
      </c>
      <c r="L3562">
        <v>4.0913754906840398E-2</v>
      </c>
      <c r="M3562" t="s">
        <v>23</v>
      </c>
      <c r="N3562">
        <v>11221000</v>
      </c>
      <c r="O3562">
        <v>4.5</v>
      </c>
      <c r="P3562" t="b">
        <v>1</v>
      </c>
    </row>
    <row r="3563" spans="1:16" x14ac:dyDescent="0.2">
      <c r="A3563" t="s">
        <v>6101</v>
      </c>
      <c r="B3563" s="1">
        <v>45571</v>
      </c>
      <c r="C3563" s="1">
        <v>45611</v>
      </c>
      <c r="D3563" t="s">
        <v>4646</v>
      </c>
      <c r="E3563" t="s">
        <v>45</v>
      </c>
      <c r="F3563" t="s">
        <v>39</v>
      </c>
      <c r="G3563" t="s">
        <v>50</v>
      </c>
      <c r="H3563" t="s">
        <v>51</v>
      </c>
      <c r="I3563" t="s">
        <v>22</v>
      </c>
      <c r="J3563">
        <v>1</v>
      </c>
      <c r="K3563">
        <v>2050000</v>
      </c>
      <c r="L3563" s="2" t="s">
        <v>6102</v>
      </c>
      <c r="M3563" t="s">
        <v>23</v>
      </c>
      <c r="N3563">
        <v>1735000</v>
      </c>
      <c r="O3563">
        <v>5</v>
      </c>
      <c r="P3563" t="b">
        <v>1</v>
      </c>
    </row>
    <row r="3564" spans="1:16" x14ac:dyDescent="0.2">
      <c r="A3564" t="s">
        <v>6103</v>
      </c>
      <c r="B3564" s="1">
        <v>45572</v>
      </c>
      <c r="C3564" s="1">
        <v>45619</v>
      </c>
      <c r="D3564" t="s">
        <v>1034</v>
      </c>
      <c r="E3564" t="s">
        <v>33</v>
      </c>
      <c r="F3564" t="s">
        <v>39</v>
      </c>
      <c r="G3564" t="s">
        <v>35</v>
      </c>
      <c r="H3564" t="s">
        <v>21</v>
      </c>
      <c r="I3564" t="s">
        <v>57</v>
      </c>
      <c r="J3564">
        <v>1</v>
      </c>
      <c r="K3564">
        <v>2509000</v>
      </c>
      <c r="L3564">
        <v>4.75325473244948E-2</v>
      </c>
      <c r="M3564" t="s">
        <v>65</v>
      </c>
      <c r="N3564">
        <v>0</v>
      </c>
      <c r="P3564" t="b">
        <v>1</v>
      </c>
    </row>
    <row r="3565" spans="1:16" x14ac:dyDescent="0.2">
      <c r="A3565" t="s">
        <v>6104</v>
      </c>
      <c r="B3565" s="1">
        <v>45572</v>
      </c>
      <c r="C3565" s="1">
        <v>45599</v>
      </c>
      <c r="D3565" t="s">
        <v>1040</v>
      </c>
      <c r="E3565" t="s">
        <v>45</v>
      </c>
      <c r="F3565" t="s">
        <v>34</v>
      </c>
      <c r="G3565" t="s">
        <v>35</v>
      </c>
      <c r="H3565" t="s">
        <v>21</v>
      </c>
      <c r="I3565" t="s">
        <v>77</v>
      </c>
      <c r="J3565">
        <v>3</v>
      </c>
      <c r="K3565">
        <v>3691000</v>
      </c>
      <c r="L3565" s="2" t="s">
        <v>6105</v>
      </c>
      <c r="M3565" t="s">
        <v>23</v>
      </c>
      <c r="N3565">
        <v>9527000</v>
      </c>
      <c r="O3565">
        <v>4.5</v>
      </c>
      <c r="P3565" t="b">
        <v>1</v>
      </c>
    </row>
    <row r="3566" spans="1:16" x14ac:dyDescent="0.2">
      <c r="A3566" t="s">
        <v>6106</v>
      </c>
      <c r="B3566" s="1">
        <v>45573</v>
      </c>
      <c r="C3566" s="1">
        <v>45656</v>
      </c>
      <c r="D3566" t="s">
        <v>6107</v>
      </c>
      <c r="E3566" t="s">
        <v>33</v>
      </c>
      <c r="F3566" t="s">
        <v>39</v>
      </c>
      <c r="G3566" t="s">
        <v>20</v>
      </c>
      <c r="H3566" t="s">
        <v>47</v>
      </c>
      <c r="I3566" t="s">
        <v>30</v>
      </c>
      <c r="J3566">
        <v>2</v>
      </c>
      <c r="K3566">
        <v>2953000</v>
      </c>
      <c r="L3566" s="2" t="s">
        <v>6108</v>
      </c>
      <c r="M3566" t="s">
        <v>23</v>
      </c>
      <c r="N3566">
        <v>5275000</v>
      </c>
      <c r="O3566">
        <v>4.8</v>
      </c>
      <c r="P3566" t="b">
        <v>0</v>
      </c>
    </row>
    <row r="3567" spans="1:16" x14ac:dyDescent="0.2">
      <c r="A3567" t="s">
        <v>6109</v>
      </c>
      <c r="B3567" s="1">
        <v>45574</v>
      </c>
      <c r="C3567" s="1">
        <v>45657</v>
      </c>
      <c r="D3567" t="s">
        <v>1237</v>
      </c>
      <c r="E3567" t="s">
        <v>18</v>
      </c>
      <c r="F3567" t="s">
        <v>34</v>
      </c>
      <c r="G3567" t="s">
        <v>20</v>
      </c>
      <c r="H3567" t="s">
        <v>40</v>
      </c>
      <c r="I3567" t="s">
        <v>94</v>
      </c>
      <c r="J3567">
        <v>3</v>
      </c>
      <c r="K3567">
        <v>4882000</v>
      </c>
      <c r="L3567">
        <v>4.0169712401309503E-2</v>
      </c>
      <c r="M3567" t="s">
        <v>23</v>
      </c>
      <c r="N3567">
        <v>14058000</v>
      </c>
      <c r="O3567">
        <v>4.2</v>
      </c>
      <c r="P3567" t="b">
        <v>1</v>
      </c>
    </row>
    <row r="3568" spans="1:16" x14ac:dyDescent="0.2">
      <c r="A3568" t="s">
        <v>6110</v>
      </c>
      <c r="B3568" s="1">
        <v>45574</v>
      </c>
      <c r="C3568" s="1">
        <v>45629</v>
      </c>
      <c r="D3568" t="s">
        <v>4118</v>
      </c>
      <c r="E3568" t="s">
        <v>33</v>
      </c>
      <c r="F3568" t="s">
        <v>34</v>
      </c>
      <c r="G3568" t="s">
        <v>50</v>
      </c>
      <c r="H3568" t="s">
        <v>40</v>
      </c>
      <c r="I3568" t="s">
        <v>52</v>
      </c>
      <c r="J3568">
        <v>2</v>
      </c>
      <c r="K3568">
        <v>3284000</v>
      </c>
      <c r="L3568" s="2" t="s">
        <v>6111</v>
      </c>
      <c r="M3568" t="s">
        <v>23</v>
      </c>
      <c r="N3568">
        <v>5867000</v>
      </c>
      <c r="O3568">
        <v>4</v>
      </c>
      <c r="P3568" t="b">
        <v>1</v>
      </c>
    </row>
    <row r="3569" spans="1:16" x14ac:dyDescent="0.2">
      <c r="A3569" t="s">
        <v>6112</v>
      </c>
      <c r="B3569" s="1">
        <v>45574</v>
      </c>
      <c r="C3569" s="1">
        <v>45606</v>
      </c>
      <c r="D3569" t="s">
        <v>5721</v>
      </c>
      <c r="E3569" t="s">
        <v>33</v>
      </c>
      <c r="F3569" t="s">
        <v>25</v>
      </c>
      <c r="G3569" t="s">
        <v>20</v>
      </c>
      <c r="H3569" t="s">
        <v>47</v>
      </c>
      <c r="I3569" t="s">
        <v>22</v>
      </c>
      <c r="J3569">
        <v>1</v>
      </c>
      <c r="K3569">
        <v>4708000</v>
      </c>
      <c r="L3569" s="2" t="s">
        <v>6113</v>
      </c>
      <c r="M3569" t="s">
        <v>23</v>
      </c>
      <c r="N3569">
        <v>4225000</v>
      </c>
      <c r="O3569">
        <v>3.9</v>
      </c>
      <c r="P3569" t="b">
        <v>1</v>
      </c>
    </row>
    <row r="3570" spans="1:16" x14ac:dyDescent="0.2">
      <c r="A3570" t="s">
        <v>6114</v>
      </c>
      <c r="B3570" s="1">
        <v>45574</v>
      </c>
      <c r="C3570" s="1">
        <v>45627</v>
      </c>
      <c r="D3570" t="s">
        <v>2957</v>
      </c>
      <c r="E3570" t="s">
        <v>33</v>
      </c>
      <c r="F3570" t="s">
        <v>19</v>
      </c>
      <c r="G3570" t="s">
        <v>35</v>
      </c>
      <c r="I3570" t="s">
        <v>26</v>
      </c>
      <c r="J3570">
        <v>3</v>
      </c>
      <c r="K3570">
        <v>2826000</v>
      </c>
      <c r="L3570" s="2" t="s">
        <v>6115</v>
      </c>
      <c r="M3570" t="s">
        <v>23</v>
      </c>
      <c r="N3570">
        <v>7207000</v>
      </c>
      <c r="O3570">
        <v>4</v>
      </c>
      <c r="P3570" t="b">
        <v>1</v>
      </c>
    </row>
    <row r="3571" spans="1:16" x14ac:dyDescent="0.2">
      <c r="A3571" t="s">
        <v>6116</v>
      </c>
      <c r="B3571" s="1">
        <v>45575</v>
      </c>
      <c r="C3571" s="1">
        <v>45635</v>
      </c>
      <c r="D3571" t="s">
        <v>4472</v>
      </c>
      <c r="E3571" t="s">
        <v>45</v>
      </c>
      <c r="F3571" t="s">
        <v>34</v>
      </c>
      <c r="G3571" t="s">
        <v>20</v>
      </c>
      <c r="H3571" t="s">
        <v>47</v>
      </c>
      <c r="I3571" t="s">
        <v>22</v>
      </c>
      <c r="J3571">
        <v>1</v>
      </c>
      <c r="K3571">
        <v>3461000</v>
      </c>
      <c r="L3571" s="2" t="s">
        <v>6117</v>
      </c>
      <c r="M3571" t="s">
        <v>23</v>
      </c>
      <c r="N3571">
        <v>2914000</v>
      </c>
      <c r="O3571">
        <v>3.8</v>
      </c>
      <c r="P3571" t="b">
        <v>1</v>
      </c>
    </row>
    <row r="3572" spans="1:16" x14ac:dyDescent="0.2">
      <c r="A3572" t="s">
        <v>6118</v>
      </c>
      <c r="B3572" s="1">
        <v>45575</v>
      </c>
      <c r="C3572" s="1">
        <v>45615</v>
      </c>
      <c r="D3572" t="s">
        <v>6119</v>
      </c>
      <c r="E3572" t="s">
        <v>29</v>
      </c>
      <c r="F3572" t="s">
        <v>39</v>
      </c>
      <c r="G3572" t="s">
        <v>20</v>
      </c>
      <c r="H3572" t="s">
        <v>51</v>
      </c>
      <c r="I3572" t="s">
        <v>94</v>
      </c>
      <c r="J3572">
        <v>3</v>
      </c>
      <c r="K3572">
        <v>2483000</v>
      </c>
      <c r="L3572" s="2" t="s">
        <v>6120</v>
      </c>
      <c r="M3572" t="s">
        <v>65</v>
      </c>
      <c r="N3572">
        <v>0</v>
      </c>
      <c r="P3572" t="b">
        <v>0</v>
      </c>
    </row>
    <row r="3573" spans="1:16" x14ac:dyDescent="0.2">
      <c r="A3573" t="s">
        <v>6121</v>
      </c>
      <c r="B3573" s="1">
        <v>45576</v>
      </c>
      <c r="C3573" s="1">
        <v>45631</v>
      </c>
      <c r="D3573" t="s">
        <v>4089</v>
      </c>
      <c r="E3573" t="s">
        <v>33</v>
      </c>
      <c r="F3573" t="s">
        <v>19</v>
      </c>
      <c r="G3573" t="s">
        <v>20</v>
      </c>
      <c r="H3573" t="s">
        <v>21</v>
      </c>
      <c r="I3573" t="s">
        <v>83</v>
      </c>
      <c r="J3573">
        <v>2</v>
      </c>
      <c r="K3573">
        <v>2931000</v>
      </c>
      <c r="L3573" s="2" t="s">
        <v>6122</v>
      </c>
      <c r="M3573" t="s">
        <v>23</v>
      </c>
      <c r="N3573">
        <v>4986000</v>
      </c>
      <c r="O3573">
        <v>3.9</v>
      </c>
      <c r="P3573" t="b">
        <v>1</v>
      </c>
    </row>
    <row r="3574" spans="1:16" x14ac:dyDescent="0.2">
      <c r="A3574" t="s">
        <v>6123</v>
      </c>
      <c r="B3574" s="1">
        <v>45577</v>
      </c>
      <c r="C3574" s="1">
        <v>45606</v>
      </c>
      <c r="D3574" t="s">
        <v>6124</v>
      </c>
      <c r="E3574" t="s">
        <v>18</v>
      </c>
      <c r="F3574" t="s">
        <v>45</v>
      </c>
      <c r="G3574" t="s">
        <v>20</v>
      </c>
      <c r="H3574" t="s">
        <v>21</v>
      </c>
      <c r="I3574" t="s">
        <v>52</v>
      </c>
      <c r="J3574">
        <v>1</v>
      </c>
      <c r="K3574">
        <v>2671000</v>
      </c>
      <c r="L3574">
        <v>5.4182037188185803E-2</v>
      </c>
      <c r="M3574" t="s">
        <v>23</v>
      </c>
      <c r="N3574">
        <v>2526000</v>
      </c>
      <c r="O3574">
        <v>4</v>
      </c>
      <c r="P3574" t="b">
        <v>0</v>
      </c>
    </row>
    <row r="3575" spans="1:16" x14ac:dyDescent="0.2">
      <c r="A3575" t="s">
        <v>6125</v>
      </c>
      <c r="B3575" s="1">
        <v>45577</v>
      </c>
      <c r="C3575" s="1">
        <v>45624</v>
      </c>
      <c r="D3575" t="s">
        <v>5469</v>
      </c>
      <c r="E3575" t="s">
        <v>33</v>
      </c>
      <c r="F3575" t="s">
        <v>25</v>
      </c>
      <c r="G3575" t="s">
        <v>35</v>
      </c>
      <c r="H3575" t="s">
        <v>21</v>
      </c>
      <c r="I3575" t="s">
        <v>94</v>
      </c>
      <c r="J3575">
        <v>1</v>
      </c>
      <c r="K3575">
        <v>4778000</v>
      </c>
      <c r="L3575" s="2" t="s">
        <v>6126</v>
      </c>
      <c r="M3575" t="s">
        <v>23</v>
      </c>
      <c r="N3575">
        <v>4242000</v>
      </c>
      <c r="O3575">
        <v>4</v>
      </c>
      <c r="P3575" t="b">
        <v>1</v>
      </c>
    </row>
    <row r="3576" spans="1:16" x14ac:dyDescent="0.2">
      <c r="A3576" t="s">
        <v>6127</v>
      </c>
      <c r="B3576" s="1">
        <v>45577</v>
      </c>
      <c r="C3576" s="1">
        <v>45620</v>
      </c>
      <c r="D3576" t="s">
        <v>3340</v>
      </c>
      <c r="E3576" t="s">
        <v>45</v>
      </c>
      <c r="F3576" t="s">
        <v>25</v>
      </c>
      <c r="G3576" t="s">
        <v>50</v>
      </c>
      <c r="H3576" t="s">
        <v>21</v>
      </c>
      <c r="J3576">
        <v>2</v>
      </c>
      <c r="K3576">
        <v>5243000</v>
      </c>
      <c r="L3576">
        <v>4.2404015887655203E-2</v>
      </c>
      <c r="M3576" t="s">
        <v>23</v>
      </c>
      <c r="N3576">
        <v>10041000</v>
      </c>
      <c r="O3576">
        <v>4.2</v>
      </c>
      <c r="P3576" t="b">
        <v>1</v>
      </c>
    </row>
    <row r="3577" spans="1:16" x14ac:dyDescent="0.2">
      <c r="A3577" t="s">
        <v>6128</v>
      </c>
      <c r="B3577" s="1">
        <v>45578</v>
      </c>
      <c r="C3577" s="1">
        <v>45615</v>
      </c>
      <c r="D3577" t="s">
        <v>417</v>
      </c>
      <c r="E3577" t="s">
        <v>45</v>
      </c>
      <c r="F3577" t="s">
        <v>68</v>
      </c>
      <c r="G3577" t="s">
        <v>20</v>
      </c>
      <c r="H3577" t="s">
        <v>47</v>
      </c>
      <c r="I3577" t="s">
        <v>1654</v>
      </c>
      <c r="J3577">
        <v>1</v>
      </c>
      <c r="K3577">
        <v>3088000</v>
      </c>
      <c r="L3577" s="2" t="s">
        <v>6129</v>
      </c>
      <c r="M3577" t="s">
        <v>23</v>
      </c>
      <c r="N3577">
        <v>2766000</v>
      </c>
      <c r="O3577">
        <v>4.4000000000000004</v>
      </c>
      <c r="P3577" t="b">
        <v>1</v>
      </c>
    </row>
    <row r="3578" spans="1:16" x14ac:dyDescent="0.2">
      <c r="A3578" t="s">
        <v>6130</v>
      </c>
      <c r="B3578" s="1">
        <v>45578</v>
      </c>
      <c r="C3578" s="1">
        <v>45624</v>
      </c>
      <c r="D3578" t="s">
        <v>2705</v>
      </c>
      <c r="E3578" t="s">
        <v>18</v>
      </c>
      <c r="F3578" t="s">
        <v>39</v>
      </c>
      <c r="G3578" t="s">
        <v>20</v>
      </c>
      <c r="H3578" t="s">
        <v>21</v>
      </c>
      <c r="I3578" t="s">
        <v>83</v>
      </c>
      <c r="J3578">
        <v>4</v>
      </c>
      <c r="K3578">
        <v>1390000</v>
      </c>
      <c r="L3578">
        <v>8.7919985068375506E-2</v>
      </c>
      <c r="M3578" t="s">
        <v>23</v>
      </c>
      <c r="N3578">
        <v>5071000</v>
      </c>
      <c r="O3578">
        <v>4.4000000000000004</v>
      </c>
      <c r="P3578" t="b">
        <v>1</v>
      </c>
    </row>
    <row r="3579" spans="1:16" x14ac:dyDescent="0.2">
      <c r="A3579" t="s">
        <v>6131</v>
      </c>
      <c r="B3579" s="1">
        <v>45579</v>
      </c>
      <c r="C3579" s="1">
        <v>45607</v>
      </c>
      <c r="D3579" t="s">
        <v>6132</v>
      </c>
      <c r="E3579" t="s">
        <v>18</v>
      </c>
      <c r="F3579" t="s">
        <v>68</v>
      </c>
      <c r="G3579" t="s">
        <v>35</v>
      </c>
      <c r="H3579" t="s">
        <v>51</v>
      </c>
      <c r="I3579" t="s">
        <v>30</v>
      </c>
      <c r="J3579">
        <v>2</v>
      </c>
      <c r="K3579">
        <v>2416000</v>
      </c>
      <c r="L3579" s="2" t="s">
        <v>6133</v>
      </c>
      <c r="M3579" t="s">
        <v>23</v>
      </c>
      <c r="N3579">
        <v>4242000</v>
      </c>
      <c r="O3579">
        <v>3.9</v>
      </c>
      <c r="P3579" t="b">
        <v>0</v>
      </c>
    </row>
    <row r="3580" spans="1:16" x14ac:dyDescent="0.2">
      <c r="A3580" t="s">
        <v>6134</v>
      </c>
      <c r="B3580" s="1">
        <v>45579</v>
      </c>
      <c r="C3580" s="1">
        <v>45655</v>
      </c>
      <c r="D3580" t="s">
        <v>4479</v>
      </c>
      <c r="F3580" t="s">
        <v>68</v>
      </c>
      <c r="G3580" t="s">
        <v>20</v>
      </c>
      <c r="H3580" t="s">
        <v>21</v>
      </c>
      <c r="I3580" t="s">
        <v>52</v>
      </c>
      <c r="J3580">
        <v>1</v>
      </c>
      <c r="K3580">
        <v>2451000</v>
      </c>
      <c r="L3580" s="2" t="s">
        <v>6135</v>
      </c>
      <c r="M3580" t="s">
        <v>23</v>
      </c>
      <c r="N3580">
        <v>2141000</v>
      </c>
      <c r="O3580">
        <v>3.6</v>
      </c>
      <c r="P3580" t="b">
        <v>1</v>
      </c>
    </row>
    <row r="3581" spans="1:16" x14ac:dyDescent="0.2">
      <c r="A3581" t="s">
        <v>6136</v>
      </c>
      <c r="B3581" s="1">
        <v>45580</v>
      </c>
      <c r="C3581" s="1">
        <v>45610</v>
      </c>
      <c r="D3581" t="s">
        <v>617</v>
      </c>
      <c r="E3581" t="s">
        <v>29</v>
      </c>
      <c r="F3581" t="s">
        <v>25</v>
      </c>
      <c r="I3581" t="s">
        <v>26</v>
      </c>
      <c r="J3581">
        <v>2</v>
      </c>
      <c r="K3581">
        <v>5571000</v>
      </c>
      <c r="L3581" s="2" t="s">
        <v>6137</v>
      </c>
      <c r="M3581" t="s">
        <v>23</v>
      </c>
      <c r="N3581">
        <v>9317000</v>
      </c>
      <c r="O3581">
        <v>4.2</v>
      </c>
      <c r="P3581" t="b">
        <v>1</v>
      </c>
    </row>
    <row r="3582" spans="1:16" x14ac:dyDescent="0.2">
      <c r="A3582" t="s">
        <v>6138</v>
      </c>
      <c r="B3582" s="1">
        <v>45580</v>
      </c>
      <c r="C3582" s="1">
        <v>45674</v>
      </c>
      <c r="D3582" t="s">
        <v>390</v>
      </c>
      <c r="E3582" t="s">
        <v>45</v>
      </c>
      <c r="F3582" t="s">
        <v>25</v>
      </c>
      <c r="G3582" t="s">
        <v>20</v>
      </c>
      <c r="H3582" t="s">
        <v>51</v>
      </c>
      <c r="I3582" t="s">
        <v>52</v>
      </c>
      <c r="J3582">
        <v>1</v>
      </c>
      <c r="K3582">
        <v>4268000</v>
      </c>
      <c r="L3582">
        <v>8.6062638043554907E-2</v>
      </c>
      <c r="M3582" t="s">
        <v>23</v>
      </c>
      <c r="N3582">
        <v>3901000</v>
      </c>
      <c r="O3582">
        <v>4.7</v>
      </c>
      <c r="P3582" t="b">
        <v>1</v>
      </c>
    </row>
    <row r="3583" spans="1:16" x14ac:dyDescent="0.2">
      <c r="A3583" t="s">
        <v>6139</v>
      </c>
      <c r="B3583" s="1">
        <v>45582</v>
      </c>
      <c r="C3583" s="1">
        <v>45615</v>
      </c>
      <c r="D3583" t="s">
        <v>6140</v>
      </c>
      <c r="E3583" t="s">
        <v>33</v>
      </c>
      <c r="F3583" t="s">
        <v>39</v>
      </c>
      <c r="G3583" t="s">
        <v>50</v>
      </c>
      <c r="H3583" t="s">
        <v>47</v>
      </c>
      <c r="I3583" t="s">
        <v>22</v>
      </c>
      <c r="J3583">
        <v>4</v>
      </c>
      <c r="K3583">
        <v>1946000</v>
      </c>
      <c r="L3583" s="2" t="s">
        <v>6141</v>
      </c>
      <c r="M3583" t="s">
        <v>23</v>
      </c>
      <c r="N3583">
        <v>6315000</v>
      </c>
      <c r="O3583">
        <v>4.2</v>
      </c>
      <c r="P3583" t="b">
        <v>0</v>
      </c>
    </row>
    <row r="3584" spans="1:16" x14ac:dyDescent="0.2">
      <c r="A3584" t="s">
        <v>6142</v>
      </c>
      <c r="B3584" s="1">
        <v>45583</v>
      </c>
      <c r="C3584" s="1">
        <v>45596</v>
      </c>
      <c r="D3584" t="s">
        <v>6143</v>
      </c>
      <c r="E3584" t="s">
        <v>18</v>
      </c>
      <c r="F3584" t="s">
        <v>34</v>
      </c>
      <c r="G3584" t="s">
        <v>50</v>
      </c>
      <c r="H3584" t="s">
        <v>21</v>
      </c>
      <c r="I3584" t="s">
        <v>22</v>
      </c>
      <c r="J3584">
        <v>1</v>
      </c>
      <c r="K3584">
        <v>3403000</v>
      </c>
      <c r="L3584">
        <v>7.1358027688717393E-2</v>
      </c>
      <c r="M3584" t="s">
        <v>23</v>
      </c>
      <c r="N3584">
        <v>3160000</v>
      </c>
      <c r="O3584">
        <v>4.0999999999999996</v>
      </c>
      <c r="P3584" t="b">
        <v>0</v>
      </c>
    </row>
    <row r="3585" spans="1:16" x14ac:dyDescent="0.2">
      <c r="A3585" t="s">
        <v>6144</v>
      </c>
      <c r="B3585" s="1">
        <v>45583</v>
      </c>
      <c r="C3585" s="1">
        <v>45641</v>
      </c>
      <c r="D3585" t="s">
        <v>4362</v>
      </c>
      <c r="E3585" t="s">
        <v>18</v>
      </c>
      <c r="F3585" t="s">
        <v>34</v>
      </c>
      <c r="G3585" t="s">
        <v>50</v>
      </c>
      <c r="H3585" t="s">
        <v>47</v>
      </c>
      <c r="I3585" t="s">
        <v>83</v>
      </c>
      <c r="J3585">
        <v>1</v>
      </c>
      <c r="K3585">
        <v>4409000</v>
      </c>
      <c r="L3585">
        <v>6.5749292525172795E-2</v>
      </c>
      <c r="M3585" t="s">
        <v>23</v>
      </c>
      <c r="N3585">
        <v>4119000</v>
      </c>
      <c r="O3585">
        <v>4.2</v>
      </c>
      <c r="P3585" t="b">
        <v>1</v>
      </c>
    </row>
    <row r="3586" spans="1:16" x14ac:dyDescent="0.2">
      <c r="A3586" t="s">
        <v>6145</v>
      </c>
      <c r="B3586" s="1">
        <v>45584</v>
      </c>
      <c r="C3586" s="1">
        <v>45629</v>
      </c>
      <c r="D3586" t="s">
        <v>6146</v>
      </c>
      <c r="E3586" t="s">
        <v>45</v>
      </c>
      <c r="F3586" t="s">
        <v>45</v>
      </c>
      <c r="G3586" t="s">
        <v>35</v>
      </c>
      <c r="H3586" t="s">
        <v>21</v>
      </c>
      <c r="I3586" t="s">
        <v>52</v>
      </c>
      <c r="J3586">
        <v>1</v>
      </c>
      <c r="K3586">
        <v>3157000</v>
      </c>
      <c r="L3586" s="2" t="s">
        <v>6147</v>
      </c>
      <c r="M3586" t="s">
        <v>23</v>
      </c>
      <c r="N3586">
        <v>2770000</v>
      </c>
      <c r="O3586">
        <v>3.8</v>
      </c>
      <c r="P3586" t="b">
        <v>0</v>
      </c>
    </row>
    <row r="3587" spans="1:16" x14ac:dyDescent="0.2">
      <c r="A3587" t="s">
        <v>6148</v>
      </c>
      <c r="B3587" s="1">
        <v>45584</v>
      </c>
      <c r="C3587" s="1">
        <v>45622</v>
      </c>
      <c r="D3587" t="s">
        <v>5695</v>
      </c>
      <c r="E3587" t="s">
        <v>29</v>
      </c>
      <c r="F3587" t="s">
        <v>39</v>
      </c>
      <c r="G3587" t="s">
        <v>50</v>
      </c>
      <c r="H3587" t="s">
        <v>40</v>
      </c>
      <c r="J3587">
        <v>2</v>
      </c>
      <c r="K3587">
        <v>2394000</v>
      </c>
      <c r="L3587">
        <v>9.7928249830535996E-2</v>
      </c>
      <c r="M3587" t="s">
        <v>23</v>
      </c>
      <c r="N3587">
        <v>4319000</v>
      </c>
      <c r="O3587">
        <v>4.2</v>
      </c>
      <c r="P3587" t="b">
        <v>1</v>
      </c>
    </row>
    <row r="3588" spans="1:16" x14ac:dyDescent="0.2">
      <c r="A3588" t="s">
        <v>6149</v>
      </c>
      <c r="B3588" s="1">
        <v>45584</v>
      </c>
      <c r="C3588" s="1">
        <v>45651</v>
      </c>
      <c r="D3588" t="s">
        <v>368</v>
      </c>
      <c r="E3588" t="s">
        <v>18</v>
      </c>
      <c r="F3588" t="s">
        <v>34</v>
      </c>
      <c r="G3588" t="s">
        <v>20</v>
      </c>
      <c r="H3588" t="s">
        <v>47</v>
      </c>
      <c r="I3588" t="s">
        <v>52</v>
      </c>
      <c r="J3588">
        <v>1</v>
      </c>
      <c r="K3588">
        <v>3700000</v>
      </c>
      <c r="L3588">
        <v>9.7952223126945598E-2</v>
      </c>
      <c r="M3588" t="s">
        <v>65</v>
      </c>
      <c r="N3588">
        <v>0</v>
      </c>
      <c r="P3588" t="b">
        <v>1</v>
      </c>
    </row>
    <row r="3589" spans="1:16" x14ac:dyDescent="0.2">
      <c r="A3589" t="s">
        <v>6150</v>
      </c>
      <c r="B3589" s="1">
        <v>45584</v>
      </c>
      <c r="C3589" s="1">
        <v>45604</v>
      </c>
      <c r="D3589" t="s">
        <v>6151</v>
      </c>
      <c r="E3589" t="s">
        <v>18</v>
      </c>
      <c r="F3589" t="s">
        <v>19</v>
      </c>
      <c r="G3589" t="s">
        <v>20</v>
      </c>
      <c r="H3589" t="s">
        <v>21</v>
      </c>
      <c r="I3589" t="s">
        <v>60</v>
      </c>
      <c r="J3589">
        <v>2</v>
      </c>
      <c r="K3589">
        <v>2711000</v>
      </c>
      <c r="L3589" s="2" t="s">
        <v>6152</v>
      </c>
      <c r="M3589" t="s">
        <v>23</v>
      </c>
      <c r="N3589">
        <v>4747000</v>
      </c>
      <c r="O3589">
        <v>4.0999999999999996</v>
      </c>
      <c r="P3589" t="b">
        <v>0</v>
      </c>
    </row>
    <row r="3590" spans="1:16" x14ac:dyDescent="0.2">
      <c r="A3590" t="s">
        <v>6153</v>
      </c>
      <c r="B3590" s="1">
        <v>45585</v>
      </c>
      <c r="C3590" s="1">
        <v>45637</v>
      </c>
      <c r="D3590" t="s">
        <v>6154</v>
      </c>
      <c r="E3590" t="s">
        <v>29</v>
      </c>
      <c r="F3590" t="s">
        <v>25</v>
      </c>
      <c r="G3590" t="s">
        <v>35</v>
      </c>
      <c r="H3590" t="s">
        <v>47</v>
      </c>
      <c r="I3590" t="s">
        <v>30</v>
      </c>
      <c r="J3590">
        <v>3</v>
      </c>
      <c r="K3590">
        <v>5525000</v>
      </c>
      <c r="L3590" s="2" t="s">
        <v>6155</v>
      </c>
      <c r="M3590" t="s">
        <v>23</v>
      </c>
      <c r="N3590">
        <v>14643000</v>
      </c>
      <c r="O3590">
        <v>4.0999999999999996</v>
      </c>
      <c r="P3590" t="b">
        <v>0</v>
      </c>
    </row>
    <row r="3591" spans="1:16" x14ac:dyDescent="0.2">
      <c r="A3591" t="s">
        <v>6156</v>
      </c>
      <c r="B3591" s="1">
        <v>45585</v>
      </c>
      <c r="C3591" s="1">
        <v>45593</v>
      </c>
      <c r="D3591" t="s">
        <v>5789</v>
      </c>
      <c r="E3591" t="s">
        <v>33</v>
      </c>
      <c r="F3591" t="s">
        <v>34</v>
      </c>
      <c r="G3591" t="s">
        <v>46</v>
      </c>
      <c r="H3591" t="s">
        <v>21</v>
      </c>
      <c r="I3591" t="s">
        <v>83</v>
      </c>
      <c r="J3591">
        <v>2</v>
      </c>
      <c r="K3591">
        <v>4068000</v>
      </c>
      <c r="L3591">
        <v>7.1775082290296693E-2</v>
      </c>
      <c r="M3591" t="s">
        <v>23</v>
      </c>
      <c r="N3591">
        <v>7552000</v>
      </c>
      <c r="O3591">
        <v>3.4</v>
      </c>
      <c r="P3591" t="b">
        <v>1</v>
      </c>
    </row>
    <row r="3592" spans="1:16" x14ac:dyDescent="0.2">
      <c r="A3592" t="s">
        <v>6157</v>
      </c>
      <c r="B3592" s="1">
        <v>45585</v>
      </c>
      <c r="C3592" s="1">
        <v>45627</v>
      </c>
      <c r="D3592" t="s">
        <v>6158</v>
      </c>
      <c r="E3592" t="s">
        <v>45</v>
      </c>
      <c r="F3592" t="s">
        <v>39</v>
      </c>
      <c r="G3592" t="s">
        <v>20</v>
      </c>
      <c r="H3592" t="s">
        <v>21</v>
      </c>
      <c r="I3592" t="s">
        <v>99</v>
      </c>
      <c r="J3592">
        <v>2</v>
      </c>
      <c r="K3592">
        <v>2125000</v>
      </c>
      <c r="L3592" s="2" t="s">
        <v>6159</v>
      </c>
      <c r="M3592" t="s">
        <v>23</v>
      </c>
      <c r="N3592">
        <v>3636000</v>
      </c>
      <c r="O3592">
        <v>3.7</v>
      </c>
      <c r="P3592" t="b">
        <v>0</v>
      </c>
    </row>
    <row r="3593" spans="1:16" x14ac:dyDescent="0.2">
      <c r="A3593" t="s">
        <v>6160</v>
      </c>
      <c r="B3593" s="1">
        <v>45585</v>
      </c>
      <c r="C3593" s="1">
        <v>45609</v>
      </c>
      <c r="D3593" t="s">
        <v>2865</v>
      </c>
      <c r="F3593" t="s">
        <v>39</v>
      </c>
      <c r="G3593" t="s">
        <v>20</v>
      </c>
      <c r="H3593" t="s">
        <v>21</v>
      </c>
      <c r="I3593" t="s">
        <v>52</v>
      </c>
      <c r="J3593">
        <v>3</v>
      </c>
      <c r="K3593">
        <v>2387000</v>
      </c>
      <c r="L3593">
        <v>7.4873774363981599E-2</v>
      </c>
      <c r="M3593" t="s">
        <v>23</v>
      </c>
      <c r="N3593">
        <v>6625000</v>
      </c>
      <c r="O3593">
        <v>4.7</v>
      </c>
      <c r="P3593" t="b">
        <v>1</v>
      </c>
    </row>
    <row r="3594" spans="1:16" x14ac:dyDescent="0.2">
      <c r="A3594" t="s">
        <v>6161</v>
      </c>
      <c r="B3594" s="1">
        <v>45586</v>
      </c>
      <c r="C3594" s="1">
        <v>45624</v>
      </c>
      <c r="D3594" t="s">
        <v>1435</v>
      </c>
      <c r="E3594" t="s">
        <v>45</v>
      </c>
      <c r="F3594" t="s">
        <v>34</v>
      </c>
      <c r="G3594" t="s">
        <v>20</v>
      </c>
      <c r="H3594" t="s">
        <v>40</v>
      </c>
      <c r="I3594" t="s">
        <v>94</v>
      </c>
      <c r="J3594">
        <v>4</v>
      </c>
      <c r="K3594">
        <v>3958000</v>
      </c>
      <c r="L3594" s="2" t="s">
        <v>6162</v>
      </c>
      <c r="M3594" t="s">
        <v>23</v>
      </c>
      <c r="N3594">
        <v>13088000</v>
      </c>
      <c r="O3594">
        <v>4.3</v>
      </c>
      <c r="P3594" t="b">
        <v>1</v>
      </c>
    </row>
    <row r="3595" spans="1:16" x14ac:dyDescent="0.2">
      <c r="A3595" t="s">
        <v>6163</v>
      </c>
      <c r="B3595" s="1">
        <v>45586</v>
      </c>
      <c r="C3595" s="1">
        <v>45667</v>
      </c>
      <c r="D3595" t="s">
        <v>5860</v>
      </c>
      <c r="E3595" t="s">
        <v>18</v>
      </c>
      <c r="F3595" t="s">
        <v>34</v>
      </c>
      <c r="G3595" t="s">
        <v>46</v>
      </c>
      <c r="H3595" t="s">
        <v>21</v>
      </c>
      <c r="I3595" t="s">
        <v>57</v>
      </c>
      <c r="J3595">
        <v>2</v>
      </c>
      <c r="K3595">
        <v>4216000</v>
      </c>
      <c r="L3595" s="3">
        <v>7.0000000000000007E-2</v>
      </c>
      <c r="M3595" t="s">
        <v>23</v>
      </c>
      <c r="N3595">
        <v>7843000</v>
      </c>
      <c r="O3595">
        <v>3.5</v>
      </c>
      <c r="P3595" t="b">
        <v>1</v>
      </c>
    </row>
    <row r="3596" spans="1:16" x14ac:dyDescent="0.2">
      <c r="A3596" t="s">
        <v>6164</v>
      </c>
      <c r="B3596" s="1">
        <v>45587</v>
      </c>
      <c r="C3596" s="1">
        <v>45667</v>
      </c>
      <c r="D3596" t="s">
        <v>6165</v>
      </c>
      <c r="E3596" t="s">
        <v>18</v>
      </c>
      <c r="F3596" t="s">
        <v>34</v>
      </c>
      <c r="G3596" t="s">
        <v>50</v>
      </c>
      <c r="H3596" t="s">
        <v>21</v>
      </c>
      <c r="I3596" t="s">
        <v>60</v>
      </c>
      <c r="J3596">
        <v>4</v>
      </c>
      <c r="K3596">
        <v>3885000</v>
      </c>
      <c r="L3596" s="2" t="s">
        <v>6166</v>
      </c>
      <c r="M3596" t="s">
        <v>23</v>
      </c>
      <c r="N3596">
        <v>13977000</v>
      </c>
      <c r="O3596">
        <v>4.4000000000000004</v>
      </c>
      <c r="P3596" t="b">
        <v>0</v>
      </c>
    </row>
    <row r="3597" spans="1:16" x14ac:dyDescent="0.2">
      <c r="A3597" t="s">
        <v>6167</v>
      </c>
      <c r="B3597" s="1">
        <v>45588</v>
      </c>
      <c r="C3597" s="1">
        <v>45670</v>
      </c>
      <c r="D3597" t="s">
        <v>6168</v>
      </c>
      <c r="E3597" t="s">
        <v>45</v>
      </c>
      <c r="F3597" t="s">
        <v>68</v>
      </c>
      <c r="G3597" t="s">
        <v>35</v>
      </c>
      <c r="H3597" t="s">
        <v>21</v>
      </c>
      <c r="I3597" t="s">
        <v>22</v>
      </c>
      <c r="J3597">
        <v>5</v>
      </c>
      <c r="K3597">
        <v>2484000</v>
      </c>
      <c r="L3597" s="2" t="s">
        <v>6169</v>
      </c>
      <c r="M3597" t="s">
        <v>23</v>
      </c>
      <c r="N3597">
        <v>10619000</v>
      </c>
      <c r="O3597">
        <v>4.0999999999999996</v>
      </c>
      <c r="P3597" t="b">
        <v>0</v>
      </c>
    </row>
    <row r="3598" spans="1:16" x14ac:dyDescent="0.2">
      <c r="A3598" t="s">
        <v>6170</v>
      </c>
      <c r="B3598" s="1">
        <v>45588</v>
      </c>
      <c r="C3598" s="1">
        <v>45671</v>
      </c>
      <c r="D3598" t="s">
        <v>2579</v>
      </c>
      <c r="E3598" t="s">
        <v>33</v>
      </c>
      <c r="F3598" t="s">
        <v>34</v>
      </c>
      <c r="G3598" t="s">
        <v>35</v>
      </c>
      <c r="I3598" t="s">
        <v>26</v>
      </c>
      <c r="J3598">
        <v>1</v>
      </c>
      <c r="K3598">
        <v>3657000</v>
      </c>
      <c r="L3598" s="2" t="s">
        <v>6171</v>
      </c>
      <c r="M3598" t="s">
        <v>23</v>
      </c>
      <c r="N3598">
        <v>3111000</v>
      </c>
      <c r="O3598">
        <v>4.7</v>
      </c>
      <c r="P3598" t="b">
        <v>1</v>
      </c>
    </row>
    <row r="3599" spans="1:16" x14ac:dyDescent="0.2">
      <c r="A3599" t="s">
        <v>6172</v>
      </c>
      <c r="B3599" s="1">
        <v>45589</v>
      </c>
      <c r="C3599" s="1">
        <v>45685</v>
      </c>
      <c r="D3599" t="s">
        <v>2614</v>
      </c>
      <c r="E3599" t="s">
        <v>33</v>
      </c>
      <c r="F3599" t="s">
        <v>25</v>
      </c>
      <c r="G3599" t="s">
        <v>50</v>
      </c>
      <c r="H3599" t="s">
        <v>40</v>
      </c>
      <c r="I3599" t="s">
        <v>52</v>
      </c>
      <c r="J3599">
        <v>1</v>
      </c>
      <c r="K3599">
        <v>4393000</v>
      </c>
      <c r="L3599" s="2" t="s">
        <v>6173</v>
      </c>
      <c r="M3599" t="s">
        <v>23</v>
      </c>
      <c r="N3599">
        <v>3603000</v>
      </c>
      <c r="O3599">
        <v>4.5999999999999996</v>
      </c>
      <c r="P3599" t="b">
        <v>1</v>
      </c>
    </row>
    <row r="3600" spans="1:16" x14ac:dyDescent="0.2">
      <c r="A3600" t="s">
        <v>6174</v>
      </c>
      <c r="B3600" s="1">
        <v>45589</v>
      </c>
      <c r="C3600" s="1">
        <v>45655</v>
      </c>
      <c r="D3600" t="s">
        <v>6004</v>
      </c>
      <c r="E3600" t="s">
        <v>29</v>
      </c>
      <c r="F3600" t="s">
        <v>19</v>
      </c>
      <c r="G3600" t="s">
        <v>50</v>
      </c>
      <c r="H3600" t="s">
        <v>21</v>
      </c>
      <c r="I3600" t="s">
        <v>60</v>
      </c>
      <c r="J3600">
        <v>1</v>
      </c>
      <c r="K3600">
        <v>2772000</v>
      </c>
      <c r="L3600" s="2" t="s">
        <v>6175</v>
      </c>
      <c r="M3600" t="s">
        <v>65</v>
      </c>
      <c r="N3600">
        <v>0</v>
      </c>
      <c r="P3600" t="b">
        <v>1</v>
      </c>
    </row>
    <row r="3601" spans="1:16" x14ac:dyDescent="0.2">
      <c r="A3601" t="s">
        <v>6176</v>
      </c>
      <c r="B3601" s="1">
        <v>45589</v>
      </c>
      <c r="C3601" s="1">
        <v>45613</v>
      </c>
      <c r="D3601" t="s">
        <v>6177</v>
      </c>
      <c r="E3601" t="s">
        <v>18</v>
      </c>
      <c r="F3601" t="s">
        <v>34</v>
      </c>
      <c r="G3601" t="s">
        <v>35</v>
      </c>
      <c r="H3601" t="s">
        <v>21</v>
      </c>
      <c r="I3601" t="s">
        <v>99</v>
      </c>
      <c r="J3601">
        <v>1</v>
      </c>
      <c r="K3601">
        <v>3732000</v>
      </c>
      <c r="L3601" s="2" t="s">
        <v>6178</v>
      </c>
      <c r="M3601" t="s">
        <v>23</v>
      </c>
      <c r="N3601">
        <v>3359000</v>
      </c>
      <c r="O3601">
        <v>4</v>
      </c>
      <c r="P3601" t="b">
        <v>0</v>
      </c>
    </row>
    <row r="3602" spans="1:16" x14ac:dyDescent="0.2">
      <c r="A3602" t="s">
        <v>6179</v>
      </c>
      <c r="B3602" s="1">
        <v>45589</v>
      </c>
      <c r="C3602" s="1">
        <v>45669</v>
      </c>
      <c r="D3602" t="s">
        <v>6180</v>
      </c>
      <c r="E3602" t="s">
        <v>33</v>
      </c>
      <c r="F3602" t="s">
        <v>39</v>
      </c>
      <c r="H3602" t="s">
        <v>51</v>
      </c>
      <c r="I3602" t="s">
        <v>99</v>
      </c>
      <c r="J3602">
        <v>1</v>
      </c>
      <c r="K3602">
        <v>2151000</v>
      </c>
      <c r="L3602" s="2" t="s">
        <v>6181</v>
      </c>
      <c r="M3602" t="s">
        <v>23</v>
      </c>
      <c r="N3602">
        <v>1879000</v>
      </c>
      <c r="O3602">
        <v>4.3</v>
      </c>
      <c r="P3602" t="b">
        <v>0</v>
      </c>
    </row>
    <row r="3603" spans="1:16" x14ac:dyDescent="0.2">
      <c r="A3603" t="s">
        <v>6182</v>
      </c>
      <c r="B3603" s="1">
        <v>45590</v>
      </c>
      <c r="C3603" s="1">
        <v>45659</v>
      </c>
      <c r="D3603" t="s">
        <v>6183</v>
      </c>
      <c r="E3603" t="s">
        <v>45</v>
      </c>
      <c r="F3603" t="s">
        <v>34</v>
      </c>
      <c r="G3603" t="s">
        <v>20</v>
      </c>
      <c r="H3603" t="s">
        <v>21</v>
      </c>
      <c r="I3603" t="s">
        <v>94</v>
      </c>
      <c r="J3603">
        <v>4</v>
      </c>
      <c r="K3603">
        <v>4065000</v>
      </c>
      <c r="L3603">
        <v>8.7160439619846403E-2</v>
      </c>
      <c r="M3603" t="s">
        <v>23</v>
      </c>
      <c r="N3603">
        <v>14843000</v>
      </c>
      <c r="O3603">
        <v>4.5</v>
      </c>
      <c r="P3603" t="b">
        <v>0</v>
      </c>
    </row>
    <row r="3604" spans="1:16" x14ac:dyDescent="0.2">
      <c r="A3604" t="s">
        <v>6184</v>
      </c>
      <c r="B3604" s="1">
        <v>45590</v>
      </c>
      <c r="C3604" s="1">
        <v>45663</v>
      </c>
      <c r="D3604" t="s">
        <v>3179</v>
      </c>
      <c r="E3604" t="s">
        <v>18</v>
      </c>
      <c r="F3604" t="s">
        <v>34</v>
      </c>
      <c r="G3604" t="s">
        <v>35</v>
      </c>
      <c r="H3604" t="s">
        <v>21</v>
      </c>
      <c r="I3604" t="s">
        <v>94</v>
      </c>
      <c r="J3604">
        <v>3</v>
      </c>
      <c r="K3604">
        <v>4336000</v>
      </c>
      <c r="L3604" s="2" t="s">
        <v>6185</v>
      </c>
      <c r="M3604" t="s">
        <v>23</v>
      </c>
      <c r="N3604">
        <v>12334000</v>
      </c>
      <c r="O3604">
        <v>3.9</v>
      </c>
      <c r="P3604" t="b">
        <v>1</v>
      </c>
    </row>
    <row r="3605" spans="1:16" x14ac:dyDescent="0.2">
      <c r="A3605" t="s">
        <v>6186</v>
      </c>
      <c r="B3605" s="1">
        <v>45590</v>
      </c>
      <c r="C3605" s="1">
        <v>45603</v>
      </c>
      <c r="D3605" t="s">
        <v>3411</v>
      </c>
      <c r="E3605" t="s">
        <v>18</v>
      </c>
      <c r="F3605" t="s">
        <v>25</v>
      </c>
      <c r="G3605" t="s">
        <v>35</v>
      </c>
      <c r="H3605" t="s">
        <v>40</v>
      </c>
      <c r="I3605" t="s">
        <v>83</v>
      </c>
      <c r="J3605">
        <v>2</v>
      </c>
      <c r="K3605">
        <v>4543000</v>
      </c>
      <c r="L3605" s="2" t="s">
        <v>6187</v>
      </c>
      <c r="M3605" t="s">
        <v>23</v>
      </c>
      <c r="N3605">
        <v>8109000</v>
      </c>
      <c r="O3605">
        <v>4.0999999999999996</v>
      </c>
      <c r="P3605" t="b">
        <v>1</v>
      </c>
    </row>
    <row r="3606" spans="1:16" x14ac:dyDescent="0.2">
      <c r="A3606" t="s">
        <v>6188</v>
      </c>
      <c r="B3606" s="1">
        <v>45591</v>
      </c>
      <c r="C3606" s="1">
        <v>45649</v>
      </c>
      <c r="D3606" t="s">
        <v>4646</v>
      </c>
      <c r="E3606" t="s">
        <v>45</v>
      </c>
      <c r="F3606" t="s">
        <v>19</v>
      </c>
      <c r="G3606" t="s">
        <v>20</v>
      </c>
      <c r="H3606" t="s">
        <v>40</v>
      </c>
      <c r="I3606" t="s">
        <v>52</v>
      </c>
      <c r="J3606">
        <v>3</v>
      </c>
      <c r="K3606">
        <v>2540000</v>
      </c>
      <c r="L3606" s="2" t="s">
        <v>6189</v>
      </c>
      <c r="M3606" t="s">
        <v>23</v>
      </c>
      <c r="N3606">
        <v>6547000</v>
      </c>
      <c r="O3606">
        <v>4.2</v>
      </c>
      <c r="P3606" t="b">
        <v>1</v>
      </c>
    </row>
    <row r="3607" spans="1:16" x14ac:dyDescent="0.2">
      <c r="A3607" t="s">
        <v>6190</v>
      </c>
      <c r="B3607" s="1">
        <v>45591</v>
      </c>
      <c r="C3607" s="1">
        <v>45591</v>
      </c>
      <c r="D3607" t="s">
        <v>3797</v>
      </c>
      <c r="E3607" t="s">
        <v>45</v>
      </c>
      <c r="F3607" t="s">
        <v>34</v>
      </c>
      <c r="G3607" t="s">
        <v>35</v>
      </c>
      <c r="H3607" t="s">
        <v>40</v>
      </c>
      <c r="J3607">
        <v>1</v>
      </c>
      <c r="K3607">
        <v>3275000</v>
      </c>
      <c r="L3607">
        <v>6.1708742773199599E-2</v>
      </c>
      <c r="M3607" t="s">
        <v>23</v>
      </c>
      <c r="N3607">
        <v>3073000</v>
      </c>
      <c r="O3607">
        <v>3.6</v>
      </c>
      <c r="P3607" t="b">
        <v>1</v>
      </c>
    </row>
    <row r="3608" spans="1:16" x14ac:dyDescent="0.2">
      <c r="A3608" t="s">
        <v>6191</v>
      </c>
      <c r="B3608" s="1">
        <v>45591</v>
      </c>
      <c r="C3608" s="1">
        <v>45614</v>
      </c>
      <c r="D3608" t="s">
        <v>6192</v>
      </c>
      <c r="E3608" t="s">
        <v>45</v>
      </c>
      <c r="F3608" t="s">
        <v>25</v>
      </c>
      <c r="G3608" t="s">
        <v>50</v>
      </c>
      <c r="H3608" t="s">
        <v>21</v>
      </c>
      <c r="I3608" t="s">
        <v>30</v>
      </c>
      <c r="J3608">
        <v>1</v>
      </c>
      <c r="K3608">
        <v>4767000</v>
      </c>
      <c r="L3608" s="2" t="s">
        <v>6193</v>
      </c>
      <c r="M3608" t="s">
        <v>23</v>
      </c>
      <c r="N3608">
        <v>4188000</v>
      </c>
      <c r="O3608">
        <v>3.9</v>
      </c>
      <c r="P3608" t="b">
        <v>0</v>
      </c>
    </row>
    <row r="3609" spans="1:16" x14ac:dyDescent="0.2">
      <c r="A3609" t="s">
        <v>6194</v>
      </c>
      <c r="B3609" s="1">
        <v>45591</v>
      </c>
      <c r="C3609" s="1">
        <v>45657</v>
      </c>
      <c r="D3609" t="s">
        <v>3416</v>
      </c>
      <c r="E3609" t="s">
        <v>45</v>
      </c>
      <c r="F3609" t="s">
        <v>25</v>
      </c>
      <c r="G3609" t="s">
        <v>35</v>
      </c>
      <c r="H3609" t="s">
        <v>21</v>
      </c>
      <c r="I3609" t="s">
        <v>26</v>
      </c>
      <c r="J3609">
        <v>2</v>
      </c>
      <c r="K3609">
        <v>5536000</v>
      </c>
      <c r="L3609" s="3">
        <v>0.154</v>
      </c>
      <c r="M3609" t="s">
        <v>23</v>
      </c>
      <c r="N3609">
        <v>9366000</v>
      </c>
      <c r="O3609">
        <v>4.5</v>
      </c>
      <c r="P3609" t="b">
        <v>1</v>
      </c>
    </row>
    <row r="3610" spans="1:16" x14ac:dyDescent="0.2">
      <c r="A3610" t="s">
        <v>6195</v>
      </c>
      <c r="B3610" s="1">
        <v>45592</v>
      </c>
      <c r="C3610" s="1">
        <v>45616</v>
      </c>
      <c r="D3610" t="s">
        <v>4141</v>
      </c>
      <c r="E3610" t="s">
        <v>33</v>
      </c>
      <c r="F3610" t="s">
        <v>34</v>
      </c>
      <c r="G3610" t="s">
        <v>50</v>
      </c>
      <c r="H3610" t="s">
        <v>21</v>
      </c>
      <c r="I3610" t="s">
        <v>30</v>
      </c>
      <c r="J3610">
        <v>1</v>
      </c>
      <c r="K3610">
        <v>3849000</v>
      </c>
      <c r="L3610" s="2" t="s">
        <v>6196</v>
      </c>
      <c r="M3610" t="s">
        <v>23</v>
      </c>
      <c r="N3610">
        <v>3463000</v>
      </c>
      <c r="O3610">
        <v>3.9</v>
      </c>
      <c r="P3610" t="b">
        <v>1</v>
      </c>
    </row>
    <row r="3611" spans="1:16" x14ac:dyDescent="0.2">
      <c r="A3611" t="s">
        <v>6197</v>
      </c>
      <c r="B3611" s="1">
        <v>45592</v>
      </c>
      <c r="C3611" s="1">
        <v>45635</v>
      </c>
      <c r="D3611" t="s">
        <v>2631</v>
      </c>
      <c r="E3611" t="s">
        <v>33</v>
      </c>
      <c r="F3611" t="s">
        <v>19</v>
      </c>
      <c r="G3611" t="s">
        <v>50</v>
      </c>
      <c r="H3611" t="s">
        <v>47</v>
      </c>
      <c r="I3611" t="s">
        <v>94</v>
      </c>
      <c r="J3611">
        <v>2</v>
      </c>
      <c r="K3611">
        <v>2760000</v>
      </c>
      <c r="L3611" s="2" t="s">
        <v>6198</v>
      </c>
      <c r="M3611" t="s">
        <v>23</v>
      </c>
      <c r="N3611">
        <v>4949000</v>
      </c>
      <c r="O3611">
        <v>3.9</v>
      </c>
      <c r="P3611" t="b">
        <v>1</v>
      </c>
    </row>
    <row r="3612" spans="1:16" x14ac:dyDescent="0.2">
      <c r="A3612" t="s">
        <v>6199</v>
      </c>
      <c r="B3612" s="1">
        <v>45592</v>
      </c>
      <c r="C3612" s="1">
        <v>45613</v>
      </c>
      <c r="D3612" t="s">
        <v>6061</v>
      </c>
      <c r="E3612" t="s">
        <v>29</v>
      </c>
      <c r="F3612" t="s">
        <v>19</v>
      </c>
      <c r="G3612" t="s">
        <v>20</v>
      </c>
      <c r="H3612" t="s">
        <v>21</v>
      </c>
      <c r="I3612" t="s">
        <v>77</v>
      </c>
      <c r="J3612">
        <v>1</v>
      </c>
      <c r="K3612">
        <v>2679000</v>
      </c>
      <c r="L3612" s="2" t="s">
        <v>6200</v>
      </c>
      <c r="M3612" t="s">
        <v>23</v>
      </c>
      <c r="N3612">
        <v>2381000</v>
      </c>
      <c r="O3612">
        <v>4.7</v>
      </c>
      <c r="P3612" t="b">
        <v>1</v>
      </c>
    </row>
    <row r="3613" spans="1:16" x14ac:dyDescent="0.2">
      <c r="A3613" t="s">
        <v>6201</v>
      </c>
      <c r="B3613" s="1">
        <v>45592</v>
      </c>
      <c r="C3613" s="1">
        <v>45643</v>
      </c>
      <c r="D3613" t="s">
        <v>6202</v>
      </c>
      <c r="E3613" t="s">
        <v>45</v>
      </c>
      <c r="F3613" t="s">
        <v>34</v>
      </c>
      <c r="G3613" t="s">
        <v>50</v>
      </c>
      <c r="H3613" t="s">
        <v>21</v>
      </c>
      <c r="I3613" t="s">
        <v>77</v>
      </c>
      <c r="J3613">
        <v>4</v>
      </c>
      <c r="K3613">
        <v>4472000</v>
      </c>
      <c r="L3613" s="2" t="s">
        <v>6203</v>
      </c>
      <c r="M3613" t="s">
        <v>23</v>
      </c>
      <c r="N3613">
        <v>15921000</v>
      </c>
      <c r="O3613">
        <v>4.8</v>
      </c>
      <c r="P3613" t="b">
        <v>0</v>
      </c>
    </row>
    <row r="3614" spans="1:16" x14ac:dyDescent="0.2">
      <c r="A3614" t="s">
        <v>6204</v>
      </c>
      <c r="B3614" s="1">
        <v>45593</v>
      </c>
      <c r="C3614" s="1">
        <v>45670</v>
      </c>
      <c r="D3614" t="s">
        <v>5119</v>
      </c>
      <c r="E3614" t="s">
        <v>45</v>
      </c>
      <c r="F3614" t="s">
        <v>19</v>
      </c>
      <c r="G3614" t="s">
        <v>50</v>
      </c>
      <c r="H3614" t="s">
        <v>21</v>
      </c>
      <c r="I3614" t="s">
        <v>77</v>
      </c>
      <c r="J3614">
        <v>2</v>
      </c>
      <c r="K3614">
        <v>2838000</v>
      </c>
      <c r="L3614">
        <v>5.8196889711130698E-2</v>
      </c>
      <c r="M3614" t="s">
        <v>23</v>
      </c>
      <c r="N3614">
        <v>5346000</v>
      </c>
      <c r="O3614">
        <v>4</v>
      </c>
      <c r="P3614" t="b">
        <v>1</v>
      </c>
    </row>
    <row r="3615" spans="1:16" x14ac:dyDescent="0.2">
      <c r="A3615" t="s">
        <v>6205</v>
      </c>
      <c r="B3615" s="1">
        <v>45594</v>
      </c>
      <c r="C3615" s="1">
        <v>45598</v>
      </c>
      <c r="D3615" t="s">
        <v>648</v>
      </c>
      <c r="E3615" t="s">
        <v>45</v>
      </c>
      <c r="F3615" t="s">
        <v>19</v>
      </c>
      <c r="G3615" t="s">
        <v>50</v>
      </c>
      <c r="H3615" t="s">
        <v>40</v>
      </c>
      <c r="I3615" t="s">
        <v>52</v>
      </c>
      <c r="J3615">
        <v>3</v>
      </c>
      <c r="K3615">
        <v>2473000</v>
      </c>
      <c r="L3615">
        <v>9.0940284826340298E-2</v>
      </c>
      <c r="M3615" t="s">
        <v>23</v>
      </c>
      <c r="N3615">
        <v>6744000</v>
      </c>
      <c r="O3615">
        <v>4.5999999999999996</v>
      </c>
      <c r="P3615" t="b">
        <v>1</v>
      </c>
    </row>
    <row r="3616" spans="1:16" x14ac:dyDescent="0.2">
      <c r="A3616" t="s">
        <v>6206</v>
      </c>
      <c r="B3616" s="1">
        <v>45594</v>
      </c>
      <c r="C3616" s="1">
        <v>45651</v>
      </c>
      <c r="D3616" t="s">
        <v>6207</v>
      </c>
      <c r="E3616" t="s">
        <v>45</v>
      </c>
      <c r="F3616" t="s">
        <v>34</v>
      </c>
      <c r="G3616" t="s">
        <v>35</v>
      </c>
      <c r="H3616" t="s">
        <v>21</v>
      </c>
      <c r="I3616" t="s">
        <v>22</v>
      </c>
      <c r="J3616">
        <v>2</v>
      </c>
      <c r="K3616">
        <v>3901000</v>
      </c>
      <c r="L3616">
        <v>7.9440854090451304E-2</v>
      </c>
      <c r="M3616" t="s">
        <v>23</v>
      </c>
      <c r="N3616">
        <v>7182000</v>
      </c>
      <c r="O3616">
        <v>4.3</v>
      </c>
      <c r="P3616" t="b">
        <v>0</v>
      </c>
    </row>
    <row r="3617" spans="1:16" x14ac:dyDescent="0.2">
      <c r="A3617" t="s">
        <v>6208</v>
      </c>
      <c r="B3617" s="1">
        <v>45595</v>
      </c>
      <c r="C3617" s="1">
        <v>45714</v>
      </c>
      <c r="D3617" t="s">
        <v>5695</v>
      </c>
      <c r="E3617" t="s">
        <v>33</v>
      </c>
      <c r="F3617" t="s">
        <v>68</v>
      </c>
      <c r="G3617" t="s">
        <v>35</v>
      </c>
      <c r="H3617" t="s">
        <v>47</v>
      </c>
      <c r="I3617" t="s">
        <v>57</v>
      </c>
      <c r="J3617">
        <v>2</v>
      </c>
      <c r="K3617">
        <v>2790000</v>
      </c>
      <c r="L3617">
        <v>5.9874919567369601E-2</v>
      </c>
      <c r="M3617" t="s">
        <v>23</v>
      </c>
      <c r="N3617">
        <v>5246000</v>
      </c>
      <c r="O3617">
        <v>4.4000000000000004</v>
      </c>
      <c r="P3617" t="b">
        <v>1</v>
      </c>
    </row>
    <row r="3618" spans="1:16" x14ac:dyDescent="0.2">
      <c r="A3618" t="s">
        <v>6209</v>
      </c>
      <c r="B3618" s="1">
        <v>45595</v>
      </c>
      <c r="C3618" s="1">
        <v>45634</v>
      </c>
      <c r="D3618" t="s">
        <v>591</v>
      </c>
      <c r="E3618" t="s">
        <v>45</v>
      </c>
      <c r="F3618" t="s">
        <v>34</v>
      </c>
      <c r="G3618" t="s">
        <v>35</v>
      </c>
      <c r="H3618" t="s">
        <v>21</v>
      </c>
      <c r="I3618" t="s">
        <v>83</v>
      </c>
      <c r="J3618">
        <v>3</v>
      </c>
      <c r="K3618">
        <v>4308000</v>
      </c>
      <c r="L3618" s="2" t="s">
        <v>6210</v>
      </c>
      <c r="M3618" t="s">
        <v>23</v>
      </c>
      <c r="N3618">
        <v>11327000</v>
      </c>
      <c r="O3618">
        <v>4.4000000000000004</v>
      </c>
      <c r="P3618" t="b">
        <v>1</v>
      </c>
    </row>
    <row r="3619" spans="1:16" x14ac:dyDescent="0.2">
      <c r="A3619" t="s">
        <v>6211</v>
      </c>
      <c r="B3619" s="1">
        <v>45597</v>
      </c>
      <c r="C3619" s="1">
        <v>45639</v>
      </c>
      <c r="D3619" t="s">
        <v>938</v>
      </c>
      <c r="E3619" t="s">
        <v>33</v>
      </c>
      <c r="F3619" t="s">
        <v>34</v>
      </c>
      <c r="G3619" t="s">
        <v>35</v>
      </c>
      <c r="H3619" t="s">
        <v>40</v>
      </c>
      <c r="I3619" t="s">
        <v>22</v>
      </c>
      <c r="J3619">
        <v>2</v>
      </c>
      <c r="K3619">
        <v>3784000</v>
      </c>
      <c r="L3619">
        <v>5.4349103468698597E-2</v>
      </c>
      <c r="M3619" t="s">
        <v>23</v>
      </c>
      <c r="N3619">
        <v>7157000</v>
      </c>
      <c r="O3619">
        <v>3.7</v>
      </c>
      <c r="P3619" t="b">
        <v>1</v>
      </c>
    </row>
    <row r="3620" spans="1:16" x14ac:dyDescent="0.2">
      <c r="A3620" t="s">
        <v>6212</v>
      </c>
      <c r="B3620" s="1">
        <v>45598</v>
      </c>
      <c r="C3620" s="1">
        <v>45666</v>
      </c>
      <c r="D3620" t="s">
        <v>6213</v>
      </c>
      <c r="E3620" t="s">
        <v>18</v>
      </c>
      <c r="F3620" t="s">
        <v>34</v>
      </c>
      <c r="G3620" t="s">
        <v>50</v>
      </c>
      <c r="H3620" t="s">
        <v>21</v>
      </c>
      <c r="J3620">
        <v>1</v>
      </c>
      <c r="K3620">
        <v>4261000</v>
      </c>
      <c r="L3620" s="2" t="s">
        <v>6214</v>
      </c>
      <c r="M3620" t="s">
        <v>23</v>
      </c>
      <c r="N3620">
        <v>3558000</v>
      </c>
      <c r="O3620">
        <v>4.4000000000000004</v>
      </c>
      <c r="P3620" t="b">
        <v>0</v>
      </c>
    </row>
    <row r="3621" spans="1:16" x14ac:dyDescent="0.2">
      <c r="A3621" t="s">
        <v>6215</v>
      </c>
      <c r="B3621" s="1">
        <v>45333</v>
      </c>
      <c r="C3621" s="1">
        <v>45650</v>
      </c>
      <c r="D3621" t="s">
        <v>6216</v>
      </c>
      <c r="E3621" t="s">
        <v>45</v>
      </c>
      <c r="F3621" t="s">
        <v>34</v>
      </c>
      <c r="G3621" t="s">
        <v>35</v>
      </c>
      <c r="H3621" t="s">
        <v>40</v>
      </c>
      <c r="I3621" t="s">
        <v>52</v>
      </c>
      <c r="J3621">
        <v>3</v>
      </c>
      <c r="K3621">
        <v>3488000</v>
      </c>
      <c r="L3621" s="2" t="s">
        <v>6217</v>
      </c>
      <c r="M3621" t="s">
        <v>23</v>
      </c>
      <c r="N3621">
        <v>8789000</v>
      </c>
      <c r="O3621">
        <v>4.5</v>
      </c>
      <c r="P3621" t="b">
        <v>0</v>
      </c>
    </row>
    <row r="3622" spans="1:16" x14ac:dyDescent="0.2">
      <c r="A3622" t="s">
        <v>6218</v>
      </c>
      <c r="B3622" s="1">
        <v>45598</v>
      </c>
      <c r="C3622" s="1">
        <v>45644</v>
      </c>
      <c r="D3622" t="s">
        <v>6219</v>
      </c>
      <c r="E3622" t="s">
        <v>45</v>
      </c>
      <c r="F3622" t="s">
        <v>45</v>
      </c>
      <c r="G3622" t="s">
        <v>20</v>
      </c>
      <c r="H3622" t="s">
        <v>21</v>
      </c>
      <c r="I3622" t="s">
        <v>60</v>
      </c>
      <c r="J3622">
        <v>1</v>
      </c>
      <c r="K3622">
        <v>3684000</v>
      </c>
      <c r="L3622">
        <v>6.31858098401058E-2</v>
      </c>
      <c r="M3622" t="s">
        <v>1882</v>
      </c>
      <c r="N3622">
        <v>3451000</v>
      </c>
      <c r="O3622">
        <v>4.9000000000000004</v>
      </c>
      <c r="P3622" t="b">
        <v>0</v>
      </c>
    </row>
    <row r="3623" spans="1:16" x14ac:dyDescent="0.2">
      <c r="A3623" t="s">
        <v>6220</v>
      </c>
      <c r="B3623" s="1">
        <v>45599</v>
      </c>
      <c r="C3623" s="1">
        <v>45644</v>
      </c>
      <c r="D3623" t="s">
        <v>4145</v>
      </c>
      <c r="E3623" t="s">
        <v>45</v>
      </c>
      <c r="F3623" t="s">
        <v>68</v>
      </c>
      <c r="G3623" t="s">
        <v>20</v>
      </c>
      <c r="H3623" t="s">
        <v>40</v>
      </c>
      <c r="I3623" t="s">
        <v>60</v>
      </c>
      <c r="J3623">
        <v>1</v>
      </c>
      <c r="K3623">
        <v>2718000</v>
      </c>
      <c r="L3623" s="3">
        <v>9.6000000000000002E-2</v>
      </c>
      <c r="M3623" t="s">
        <v>23</v>
      </c>
      <c r="N3623">
        <v>2456000</v>
      </c>
      <c r="O3623">
        <v>4.9000000000000004</v>
      </c>
      <c r="P3623" t="b">
        <v>1</v>
      </c>
    </row>
    <row r="3624" spans="1:16" x14ac:dyDescent="0.2">
      <c r="A3624" t="s">
        <v>6221</v>
      </c>
      <c r="B3624" s="1">
        <v>45599</v>
      </c>
      <c r="C3624" s="1">
        <v>45667</v>
      </c>
      <c r="D3624" t="s">
        <v>5424</v>
      </c>
      <c r="E3624" t="s">
        <v>45</v>
      </c>
      <c r="F3624" t="s">
        <v>34</v>
      </c>
      <c r="G3624" t="s">
        <v>20</v>
      </c>
      <c r="H3624" t="s">
        <v>47</v>
      </c>
      <c r="I3624" t="s">
        <v>60</v>
      </c>
      <c r="J3624">
        <v>3</v>
      </c>
      <c r="K3624">
        <v>4283000</v>
      </c>
      <c r="L3624">
        <v>6.28802650137327E-2</v>
      </c>
      <c r="M3624" t="s">
        <v>23</v>
      </c>
      <c r="N3624">
        <v>12041000</v>
      </c>
      <c r="O3624">
        <v>3.9</v>
      </c>
      <c r="P3624" t="b">
        <v>1</v>
      </c>
    </row>
    <row r="3625" spans="1:16" x14ac:dyDescent="0.2">
      <c r="A3625" t="s">
        <v>6222</v>
      </c>
      <c r="B3625" s="1">
        <v>45599</v>
      </c>
      <c r="C3625" s="1">
        <v>45661</v>
      </c>
      <c r="D3625" t="s">
        <v>3031</v>
      </c>
      <c r="E3625" t="s">
        <v>45</v>
      </c>
      <c r="F3625" t="s">
        <v>34</v>
      </c>
      <c r="G3625" t="s">
        <v>35</v>
      </c>
      <c r="H3625" t="s">
        <v>21</v>
      </c>
      <c r="I3625" t="s">
        <v>83</v>
      </c>
      <c r="J3625">
        <v>2</v>
      </c>
      <c r="K3625">
        <v>4006000</v>
      </c>
      <c r="L3625">
        <v>6.2725931324659007E-2</v>
      </c>
      <c r="M3625" t="s">
        <v>65</v>
      </c>
      <c r="N3625">
        <v>0</v>
      </c>
      <c r="P3625" t="b">
        <v>1</v>
      </c>
    </row>
    <row r="3626" spans="1:16" x14ac:dyDescent="0.2">
      <c r="A3626" t="s">
        <v>6223</v>
      </c>
      <c r="B3626" s="1">
        <v>45600</v>
      </c>
      <c r="C3626" s="1">
        <v>45663</v>
      </c>
      <c r="D3626" t="s">
        <v>6154</v>
      </c>
      <c r="E3626" t="s">
        <v>29</v>
      </c>
      <c r="F3626" t="s">
        <v>34</v>
      </c>
      <c r="G3626" t="s">
        <v>35</v>
      </c>
      <c r="H3626" t="s">
        <v>47</v>
      </c>
      <c r="I3626" t="s">
        <v>83</v>
      </c>
      <c r="J3626">
        <v>1</v>
      </c>
      <c r="K3626">
        <v>3873000</v>
      </c>
      <c r="L3626" s="2" t="s">
        <v>6224</v>
      </c>
      <c r="M3626" t="s">
        <v>23</v>
      </c>
      <c r="N3626">
        <v>3304000</v>
      </c>
      <c r="O3626">
        <v>4.4000000000000004</v>
      </c>
      <c r="P3626" t="b">
        <v>1</v>
      </c>
    </row>
    <row r="3627" spans="1:16" x14ac:dyDescent="0.2">
      <c r="A3627" t="s">
        <v>6225</v>
      </c>
      <c r="B3627" s="1">
        <v>45600</v>
      </c>
      <c r="C3627" s="1">
        <v>45681</v>
      </c>
      <c r="D3627" t="s">
        <v>6226</v>
      </c>
      <c r="E3627" t="s">
        <v>33</v>
      </c>
      <c r="F3627" t="s">
        <v>19</v>
      </c>
      <c r="G3627" t="s">
        <v>50</v>
      </c>
      <c r="H3627" t="s">
        <v>47</v>
      </c>
      <c r="I3627" t="s">
        <v>57</v>
      </c>
      <c r="J3627">
        <v>1</v>
      </c>
      <c r="K3627">
        <v>3090000</v>
      </c>
      <c r="L3627" s="2" t="s">
        <v>6227</v>
      </c>
      <c r="M3627" t="s">
        <v>23</v>
      </c>
      <c r="N3627">
        <v>2765000</v>
      </c>
      <c r="O3627">
        <v>4.7</v>
      </c>
      <c r="P3627" t="b">
        <v>0</v>
      </c>
    </row>
    <row r="3628" spans="1:16" x14ac:dyDescent="0.2">
      <c r="A3628" t="s">
        <v>6228</v>
      </c>
      <c r="B3628" s="1">
        <v>45600</v>
      </c>
      <c r="C3628" s="1">
        <v>45643</v>
      </c>
      <c r="D3628" t="s">
        <v>1885</v>
      </c>
      <c r="E3628" t="s">
        <v>18</v>
      </c>
      <c r="F3628" t="s">
        <v>68</v>
      </c>
      <c r="G3628" t="s">
        <v>20</v>
      </c>
      <c r="H3628" t="s">
        <v>21</v>
      </c>
      <c r="I3628" t="s">
        <v>22</v>
      </c>
      <c r="J3628">
        <v>2</v>
      </c>
      <c r="K3628">
        <v>2767000</v>
      </c>
      <c r="L3628">
        <v>3.4051035129854801E-2</v>
      </c>
      <c r="M3628" t="s">
        <v>23</v>
      </c>
      <c r="N3628">
        <v>5346000</v>
      </c>
      <c r="O3628">
        <v>4.5</v>
      </c>
      <c r="P3628" t="b">
        <v>1</v>
      </c>
    </row>
    <row r="3629" spans="1:16" x14ac:dyDescent="0.2">
      <c r="A3629" t="s">
        <v>6229</v>
      </c>
      <c r="B3629" s="1">
        <v>45601</v>
      </c>
      <c r="C3629" s="1">
        <v>45680</v>
      </c>
      <c r="D3629" t="s">
        <v>2846</v>
      </c>
      <c r="E3629" t="s">
        <v>33</v>
      </c>
      <c r="F3629" t="s">
        <v>19</v>
      </c>
      <c r="G3629" t="s">
        <v>50</v>
      </c>
      <c r="H3629" t="s">
        <v>47</v>
      </c>
      <c r="I3629" t="s">
        <v>94</v>
      </c>
      <c r="J3629">
        <v>1</v>
      </c>
      <c r="K3629">
        <v>2589000</v>
      </c>
      <c r="L3629" s="2" t="s">
        <v>6230</v>
      </c>
      <c r="M3629" t="s">
        <v>23</v>
      </c>
      <c r="N3629">
        <v>2325000</v>
      </c>
      <c r="O3629">
        <v>4.3</v>
      </c>
      <c r="P3629" t="b">
        <v>1</v>
      </c>
    </row>
    <row r="3630" spans="1:16" x14ac:dyDescent="0.2">
      <c r="A3630" t="s">
        <v>6231</v>
      </c>
      <c r="B3630" s="1">
        <v>45602</v>
      </c>
      <c r="C3630" s="1">
        <v>45658</v>
      </c>
      <c r="D3630" t="s">
        <v>6232</v>
      </c>
      <c r="E3630" t="s">
        <v>18</v>
      </c>
      <c r="F3630" t="s">
        <v>34</v>
      </c>
      <c r="G3630" t="s">
        <v>20</v>
      </c>
      <c r="H3630" t="s">
        <v>21</v>
      </c>
      <c r="I3630" t="s">
        <v>94</v>
      </c>
      <c r="J3630">
        <v>1</v>
      </c>
      <c r="K3630">
        <v>4192000</v>
      </c>
      <c r="L3630" s="2" t="s">
        <v>6233</v>
      </c>
      <c r="M3630" t="s">
        <v>23</v>
      </c>
      <c r="N3630">
        <v>3762000</v>
      </c>
      <c r="O3630">
        <v>4.5999999999999996</v>
      </c>
      <c r="P3630" t="b">
        <v>0</v>
      </c>
    </row>
    <row r="3631" spans="1:16" x14ac:dyDescent="0.2">
      <c r="A3631" t="s">
        <v>6234</v>
      </c>
      <c r="B3631" s="1">
        <v>45603</v>
      </c>
      <c r="C3631" s="1">
        <v>45649</v>
      </c>
      <c r="D3631" t="s">
        <v>725</v>
      </c>
      <c r="E3631" t="s">
        <v>29</v>
      </c>
      <c r="F3631" t="s">
        <v>45</v>
      </c>
      <c r="G3631" t="s">
        <v>35</v>
      </c>
      <c r="H3631" t="s">
        <v>40</v>
      </c>
      <c r="I3631" t="s">
        <v>60</v>
      </c>
      <c r="J3631">
        <v>3</v>
      </c>
      <c r="K3631">
        <v>3456000</v>
      </c>
      <c r="L3631" s="2" t="s">
        <v>6235</v>
      </c>
      <c r="M3631" t="s">
        <v>23</v>
      </c>
      <c r="N3631">
        <v>9160000</v>
      </c>
      <c r="O3631">
        <v>4.2</v>
      </c>
      <c r="P3631" t="b">
        <v>1</v>
      </c>
    </row>
    <row r="3632" spans="1:16" x14ac:dyDescent="0.2">
      <c r="A3632" t="s">
        <v>6236</v>
      </c>
      <c r="B3632" s="1">
        <v>45603</v>
      </c>
      <c r="C3632" s="1">
        <v>45628</v>
      </c>
      <c r="D3632" t="s">
        <v>6237</v>
      </c>
      <c r="E3632" t="s">
        <v>45</v>
      </c>
      <c r="F3632" t="s">
        <v>34</v>
      </c>
      <c r="G3632" t="s">
        <v>20</v>
      </c>
      <c r="H3632" t="s">
        <v>21</v>
      </c>
      <c r="J3632">
        <v>2</v>
      </c>
      <c r="K3632">
        <v>3544000</v>
      </c>
      <c r="L3632">
        <v>4.4111156549960999E-2</v>
      </c>
      <c r="M3632" t="s">
        <v>23</v>
      </c>
      <c r="N3632">
        <v>6775000</v>
      </c>
      <c r="O3632">
        <v>4.4000000000000004</v>
      </c>
      <c r="P3632" t="b">
        <v>0</v>
      </c>
    </row>
    <row r="3633" spans="1:16" x14ac:dyDescent="0.2">
      <c r="A3633" t="s">
        <v>6238</v>
      </c>
      <c r="B3633" s="1">
        <v>45603</v>
      </c>
      <c r="C3633" s="1">
        <v>45656</v>
      </c>
      <c r="D3633" t="s">
        <v>1962</v>
      </c>
      <c r="E3633" t="s">
        <v>45</v>
      </c>
      <c r="F3633" t="s">
        <v>19</v>
      </c>
      <c r="G3633" t="s">
        <v>20</v>
      </c>
      <c r="H3633" t="s">
        <v>21</v>
      </c>
      <c r="I3633" t="s">
        <v>83</v>
      </c>
      <c r="J3633">
        <v>1</v>
      </c>
      <c r="K3633">
        <v>3065000</v>
      </c>
      <c r="L3633" s="2" t="s">
        <v>6239</v>
      </c>
      <c r="M3633" t="s">
        <v>23</v>
      </c>
      <c r="N3633">
        <v>2647000</v>
      </c>
      <c r="O3633">
        <v>3.5</v>
      </c>
      <c r="P3633" t="b">
        <v>1</v>
      </c>
    </row>
    <row r="3634" spans="1:16" x14ac:dyDescent="0.2">
      <c r="A3634" t="s">
        <v>6240</v>
      </c>
      <c r="B3634" s="1">
        <v>45603</v>
      </c>
      <c r="C3634" s="1">
        <v>45667</v>
      </c>
      <c r="D3634" t="s">
        <v>6241</v>
      </c>
      <c r="E3634" t="s">
        <v>29</v>
      </c>
      <c r="F3634" t="s">
        <v>68</v>
      </c>
      <c r="G3634" t="s">
        <v>20</v>
      </c>
      <c r="H3634" t="s">
        <v>51</v>
      </c>
      <c r="I3634" t="s">
        <v>60</v>
      </c>
      <c r="J3634">
        <v>4</v>
      </c>
      <c r="K3634">
        <v>2680000</v>
      </c>
      <c r="L3634" s="2" t="s">
        <v>6242</v>
      </c>
      <c r="M3634" t="s">
        <v>23</v>
      </c>
      <c r="N3634">
        <v>10424000</v>
      </c>
      <c r="O3634">
        <v>4.5999999999999996</v>
      </c>
      <c r="P3634" t="b">
        <v>0</v>
      </c>
    </row>
    <row r="3635" spans="1:16" x14ac:dyDescent="0.2">
      <c r="A3635" t="s">
        <v>6243</v>
      </c>
      <c r="B3635" s="1">
        <v>45604</v>
      </c>
      <c r="C3635" s="1">
        <v>45641</v>
      </c>
      <c r="D3635" t="s">
        <v>757</v>
      </c>
      <c r="E3635" t="s">
        <v>45</v>
      </c>
      <c r="F3635" t="s">
        <v>45</v>
      </c>
      <c r="G3635" t="s">
        <v>50</v>
      </c>
      <c r="H3635" t="s">
        <v>40</v>
      </c>
      <c r="I3635" t="s">
        <v>99</v>
      </c>
      <c r="J3635">
        <v>1</v>
      </c>
      <c r="K3635">
        <v>3466000</v>
      </c>
      <c r="L3635" s="2" t="s">
        <v>6244</v>
      </c>
      <c r="M3635" t="s">
        <v>23</v>
      </c>
      <c r="N3635">
        <v>2932000</v>
      </c>
      <c r="O3635">
        <v>4.4000000000000004</v>
      </c>
      <c r="P3635" t="b">
        <v>1</v>
      </c>
    </row>
    <row r="3636" spans="1:16" x14ac:dyDescent="0.2">
      <c r="A3636" t="s">
        <v>6245</v>
      </c>
      <c r="B3636" s="1">
        <v>45604</v>
      </c>
      <c r="C3636" s="1">
        <v>45646</v>
      </c>
      <c r="D3636" t="s">
        <v>6246</v>
      </c>
      <c r="E3636" t="s">
        <v>18</v>
      </c>
      <c r="F3636" t="s">
        <v>25</v>
      </c>
      <c r="G3636" t="s">
        <v>50</v>
      </c>
      <c r="H3636" t="s">
        <v>47</v>
      </c>
      <c r="I3636" t="s">
        <v>77</v>
      </c>
      <c r="J3636">
        <v>1</v>
      </c>
      <c r="K3636">
        <v>5621000</v>
      </c>
      <c r="L3636">
        <v>5.3961433080061599E-2</v>
      </c>
      <c r="M3636" t="s">
        <v>23</v>
      </c>
      <c r="N3636">
        <v>5318000</v>
      </c>
      <c r="O3636">
        <v>4.2</v>
      </c>
      <c r="P3636" t="b">
        <v>0</v>
      </c>
    </row>
    <row r="3637" spans="1:16" x14ac:dyDescent="0.2">
      <c r="A3637" t="s">
        <v>6247</v>
      </c>
      <c r="B3637" s="1">
        <v>45604</v>
      </c>
      <c r="C3637" s="1">
        <v>45659</v>
      </c>
      <c r="D3637" t="s">
        <v>6248</v>
      </c>
      <c r="E3637" t="s">
        <v>18</v>
      </c>
      <c r="F3637" t="s">
        <v>34</v>
      </c>
      <c r="G3637" t="s">
        <v>46</v>
      </c>
      <c r="H3637" t="s">
        <v>21</v>
      </c>
      <c r="I3637" t="s">
        <v>94</v>
      </c>
      <c r="J3637">
        <v>4</v>
      </c>
      <c r="K3637">
        <v>4218000</v>
      </c>
      <c r="L3637" s="2" t="s">
        <v>6249</v>
      </c>
      <c r="M3637" t="s">
        <v>23</v>
      </c>
      <c r="N3637">
        <v>13196000</v>
      </c>
      <c r="O3637">
        <v>4.3</v>
      </c>
      <c r="P3637" t="b">
        <v>0</v>
      </c>
    </row>
    <row r="3638" spans="1:16" x14ac:dyDescent="0.2">
      <c r="A3638" t="s">
        <v>6250</v>
      </c>
      <c r="B3638" s="1">
        <v>45604</v>
      </c>
      <c r="C3638" s="1">
        <v>45624</v>
      </c>
      <c r="D3638" t="s">
        <v>6251</v>
      </c>
      <c r="E3638" t="s">
        <v>33</v>
      </c>
      <c r="F3638" t="s">
        <v>25</v>
      </c>
      <c r="G3638" t="s">
        <v>35</v>
      </c>
      <c r="H3638" t="s">
        <v>47</v>
      </c>
      <c r="I3638" t="s">
        <v>60</v>
      </c>
      <c r="J3638">
        <v>1</v>
      </c>
      <c r="K3638">
        <v>5141000</v>
      </c>
      <c r="L3638" s="3">
        <v>8.4000000000000005E-2</v>
      </c>
      <c r="M3638" t="s">
        <v>23</v>
      </c>
      <c r="N3638">
        <v>4708000</v>
      </c>
      <c r="O3638">
        <v>4.4000000000000004</v>
      </c>
      <c r="P3638" t="b">
        <v>0</v>
      </c>
    </row>
    <row r="3639" spans="1:16" x14ac:dyDescent="0.2">
      <c r="A3639" t="s">
        <v>6252</v>
      </c>
      <c r="B3639" s="1">
        <v>45604</v>
      </c>
      <c r="C3639" s="1">
        <v>45634</v>
      </c>
      <c r="D3639" t="s">
        <v>842</v>
      </c>
      <c r="E3639" t="s">
        <v>29</v>
      </c>
      <c r="F3639" t="s">
        <v>19</v>
      </c>
      <c r="G3639" t="s">
        <v>20</v>
      </c>
      <c r="H3639" t="s">
        <v>21</v>
      </c>
      <c r="I3639" t="s">
        <v>57</v>
      </c>
      <c r="J3639">
        <v>5</v>
      </c>
      <c r="K3639">
        <v>3383000</v>
      </c>
      <c r="L3639" s="2" t="s">
        <v>6253</v>
      </c>
      <c r="M3639" t="s">
        <v>23</v>
      </c>
      <c r="N3639">
        <v>15089000</v>
      </c>
      <c r="O3639">
        <v>4.0999999999999996</v>
      </c>
      <c r="P3639" t="b">
        <v>1</v>
      </c>
    </row>
    <row r="3640" spans="1:16" x14ac:dyDescent="0.2">
      <c r="A3640" t="s">
        <v>6254</v>
      </c>
      <c r="B3640" s="1">
        <v>45604</v>
      </c>
      <c r="C3640" s="1">
        <v>45654</v>
      </c>
      <c r="D3640" t="s">
        <v>750</v>
      </c>
      <c r="E3640" t="s">
        <v>45</v>
      </c>
      <c r="F3640" t="s">
        <v>45</v>
      </c>
      <c r="G3640" t="s">
        <v>20</v>
      </c>
      <c r="H3640" t="s">
        <v>21</v>
      </c>
      <c r="I3640" t="s">
        <v>26</v>
      </c>
      <c r="J3640">
        <v>4</v>
      </c>
      <c r="K3640">
        <v>3537000</v>
      </c>
      <c r="L3640" s="2" t="s">
        <v>6255</v>
      </c>
      <c r="M3640" t="s">
        <v>23</v>
      </c>
      <c r="N3640">
        <v>12548000</v>
      </c>
      <c r="O3640">
        <v>4.0999999999999996</v>
      </c>
      <c r="P3640" t="b">
        <v>1</v>
      </c>
    </row>
    <row r="3641" spans="1:16" x14ac:dyDescent="0.2">
      <c r="A3641" t="s">
        <v>6256</v>
      </c>
      <c r="B3641" s="1">
        <v>45605</v>
      </c>
      <c r="C3641" s="1">
        <v>45696</v>
      </c>
      <c r="D3641" t="s">
        <v>5664</v>
      </c>
      <c r="E3641" t="s">
        <v>18</v>
      </c>
      <c r="F3641" t="s">
        <v>25</v>
      </c>
      <c r="G3641" t="s">
        <v>35</v>
      </c>
      <c r="H3641" t="s">
        <v>21</v>
      </c>
      <c r="I3641" t="s">
        <v>99</v>
      </c>
      <c r="J3641">
        <v>4</v>
      </c>
      <c r="K3641">
        <v>5294000</v>
      </c>
      <c r="L3641">
        <v>6.5844166505925894E-2</v>
      </c>
      <c r="M3641" t="s">
        <v>1673</v>
      </c>
      <c r="N3641">
        <v>19782000</v>
      </c>
      <c r="O3641">
        <v>4.2</v>
      </c>
      <c r="P3641" t="b">
        <v>1</v>
      </c>
    </row>
    <row r="3642" spans="1:16" x14ac:dyDescent="0.2">
      <c r="A3642" t="s">
        <v>6257</v>
      </c>
      <c r="B3642" s="1">
        <v>45605</v>
      </c>
      <c r="C3642" s="1">
        <v>45639</v>
      </c>
      <c r="D3642" t="s">
        <v>522</v>
      </c>
      <c r="E3642" t="s">
        <v>18</v>
      </c>
      <c r="F3642" t="s">
        <v>19</v>
      </c>
      <c r="G3642" t="s">
        <v>35</v>
      </c>
      <c r="H3642" t="s">
        <v>40</v>
      </c>
      <c r="I3642" t="s">
        <v>30</v>
      </c>
      <c r="J3642">
        <v>2</v>
      </c>
      <c r="K3642">
        <v>2523000</v>
      </c>
      <c r="L3642">
        <v>8.2797270616102606E-2</v>
      </c>
      <c r="M3642" t="s">
        <v>23</v>
      </c>
      <c r="N3642">
        <v>4628000</v>
      </c>
      <c r="O3642">
        <v>5</v>
      </c>
      <c r="P3642" t="b">
        <v>1</v>
      </c>
    </row>
    <row r="3643" spans="1:16" x14ac:dyDescent="0.2">
      <c r="A3643" t="s">
        <v>6258</v>
      </c>
      <c r="B3643" s="1">
        <v>45606</v>
      </c>
      <c r="C3643" s="1">
        <v>45642</v>
      </c>
      <c r="D3643" t="s">
        <v>6259</v>
      </c>
      <c r="E3643" t="s">
        <v>18</v>
      </c>
      <c r="F3643" t="s">
        <v>39</v>
      </c>
      <c r="G3643" t="s">
        <v>50</v>
      </c>
      <c r="I3643" t="s">
        <v>60</v>
      </c>
      <c r="J3643">
        <v>1</v>
      </c>
      <c r="K3643">
        <v>2787000</v>
      </c>
      <c r="L3643" s="2" t="s">
        <v>6260</v>
      </c>
      <c r="M3643" t="s">
        <v>23</v>
      </c>
      <c r="N3643">
        <v>2383000</v>
      </c>
      <c r="O3643">
        <v>3.4</v>
      </c>
      <c r="P3643" t="b">
        <v>0</v>
      </c>
    </row>
    <row r="3644" spans="1:16" x14ac:dyDescent="0.2">
      <c r="A3644" t="s">
        <v>6261</v>
      </c>
      <c r="B3644" s="1">
        <v>45606</v>
      </c>
      <c r="C3644" s="1">
        <v>45671</v>
      </c>
      <c r="D3644" t="s">
        <v>880</v>
      </c>
      <c r="E3644" t="s">
        <v>18</v>
      </c>
      <c r="F3644" t="s">
        <v>34</v>
      </c>
      <c r="G3644" t="s">
        <v>46</v>
      </c>
      <c r="H3644" t="s">
        <v>21</v>
      </c>
      <c r="I3644" t="s">
        <v>83</v>
      </c>
      <c r="J3644">
        <v>1</v>
      </c>
      <c r="K3644">
        <v>4041000</v>
      </c>
      <c r="L3644" s="2" t="s">
        <v>6262</v>
      </c>
      <c r="M3644" t="s">
        <v>23</v>
      </c>
      <c r="N3644">
        <v>3619000</v>
      </c>
      <c r="O3644">
        <v>3.9</v>
      </c>
      <c r="P3644" t="b">
        <v>1</v>
      </c>
    </row>
    <row r="3645" spans="1:16" x14ac:dyDescent="0.2">
      <c r="A3645" t="s">
        <v>6263</v>
      </c>
      <c r="B3645" s="1">
        <v>45606</v>
      </c>
      <c r="C3645" s="1">
        <v>45671</v>
      </c>
      <c r="D3645" t="s">
        <v>734</v>
      </c>
      <c r="E3645" t="s">
        <v>18</v>
      </c>
      <c r="F3645" t="s">
        <v>19</v>
      </c>
      <c r="G3645" t="s">
        <v>50</v>
      </c>
      <c r="H3645" t="s">
        <v>21</v>
      </c>
      <c r="I3645" t="s">
        <v>57</v>
      </c>
      <c r="J3645">
        <v>1</v>
      </c>
      <c r="K3645">
        <v>3252000</v>
      </c>
      <c r="L3645">
        <v>9.7180524349461297E-2</v>
      </c>
      <c r="M3645" t="s">
        <v>65</v>
      </c>
      <c r="N3645">
        <v>0</v>
      </c>
      <c r="P3645" t="b">
        <v>1</v>
      </c>
    </row>
    <row r="3646" spans="1:16" x14ac:dyDescent="0.2">
      <c r="A3646" t="s">
        <v>6264</v>
      </c>
      <c r="B3646" s="1">
        <v>45607</v>
      </c>
      <c r="C3646" s="1">
        <v>45655</v>
      </c>
      <c r="D3646" t="s">
        <v>6265</v>
      </c>
      <c r="E3646" t="s">
        <v>18</v>
      </c>
      <c r="F3646" t="s">
        <v>19</v>
      </c>
      <c r="G3646" t="s">
        <v>20</v>
      </c>
      <c r="H3646" t="s">
        <v>47</v>
      </c>
      <c r="I3646" t="s">
        <v>22</v>
      </c>
      <c r="J3646">
        <v>1</v>
      </c>
      <c r="K3646">
        <v>2540000</v>
      </c>
      <c r="L3646" s="3">
        <v>0.112</v>
      </c>
      <c r="M3646" t="s">
        <v>1673</v>
      </c>
      <c r="N3646">
        <v>2256000</v>
      </c>
      <c r="O3646">
        <v>3.6</v>
      </c>
      <c r="P3646" t="b">
        <v>0</v>
      </c>
    </row>
    <row r="3647" spans="1:16" x14ac:dyDescent="0.2">
      <c r="A3647" t="s">
        <v>6266</v>
      </c>
      <c r="B3647" s="1">
        <v>45607</v>
      </c>
      <c r="C3647" s="1">
        <v>45713</v>
      </c>
      <c r="D3647" t="s">
        <v>2939</v>
      </c>
      <c r="E3647" t="s">
        <v>45</v>
      </c>
      <c r="F3647" t="s">
        <v>39</v>
      </c>
      <c r="G3647" t="s">
        <v>35</v>
      </c>
      <c r="H3647" t="s">
        <v>40</v>
      </c>
      <c r="I3647" t="s">
        <v>77</v>
      </c>
      <c r="J3647">
        <v>1</v>
      </c>
      <c r="K3647">
        <v>2610000</v>
      </c>
      <c r="L3647" s="2" t="s">
        <v>6267</v>
      </c>
      <c r="M3647" t="s">
        <v>23</v>
      </c>
      <c r="N3647">
        <v>2229000</v>
      </c>
      <c r="O3647">
        <v>4.2</v>
      </c>
      <c r="P3647" t="b">
        <v>1</v>
      </c>
    </row>
    <row r="3648" spans="1:16" x14ac:dyDescent="0.2">
      <c r="A3648" t="s">
        <v>6268</v>
      </c>
      <c r="B3648" s="1">
        <v>45607</v>
      </c>
      <c r="C3648" s="1">
        <v>45662</v>
      </c>
      <c r="D3648" t="s">
        <v>5420</v>
      </c>
      <c r="E3648" t="s">
        <v>18</v>
      </c>
      <c r="F3648" t="s">
        <v>19</v>
      </c>
      <c r="G3648" t="s">
        <v>50</v>
      </c>
      <c r="H3648" t="s">
        <v>21</v>
      </c>
      <c r="I3648" t="s">
        <v>30</v>
      </c>
      <c r="J3648">
        <v>3</v>
      </c>
      <c r="K3648">
        <v>2292000</v>
      </c>
      <c r="L3648">
        <v>3.6907761967113997E-2</v>
      </c>
      <c r="M3648" t="s">
        <v>23</v>
      </c>
      <c r="N3648">
        <v>6622000</v>
      </c>
      <c r="O3648">
        <v>4.7</v>
      </c>
      <c r="P3648" t="b">
        <v>1</v>
      </c>
    </row>
    <row r="3649" spans="1:16" x14ac:dyDescent="0.2">
      <c r="A3649" t="s">
        <v>6269</v>
      </c>
      <c r="B3649" s="1">
        <v>45608</v>
      </c>
      <c r="C3649" s="1">
        <v>45663</v>
      </c>
      <c r="D3649" t="s">
        <v>5052</v>
      </c>
      <c r="E3649" t="s">
        <v>33</v>
      </c>
      <c r="F3649" t="s">
        <v>34</v>
      </c>
      <c r="G3649" t="s">
        <v>50</v>
      </c>
      <c r="H3649" t="s">
        <v>21</v>
      </c>
      <c r="I3649" t="s">
        <v>26</v>
      </c>
      <c r="J3649">
        <v>2</v>
      </c>
      <c r="K3649">
        <v>4211000</v>
      </c>
      <c r="L3649" s="2" t="s">
        <v>6270</v>
      </c>
      <c r="M3649" t="s">
        <v>23</v>
      </c>
      <c r="N3649">
        <v>7501000</v>
      </c>
      <c r="O3649">
        <v>4.4000000000000004</v>
      </c>
      <c r="P3649" t="b">
        <v>1</v>
      </c>
    </row>
    <row r="3650" spans="1:16" x14ac:dyDescent="0.2">
      <c r="A3650" t="s">
        <v>6271</v>
      </c>
      <c r="B3650" s="1">
        <v>45608</v>
      </c>
      <c r="C3650" s="1">
        <v>45643</v>
      </c>
      <c r="D3650" t="s">
        <v>4368</v>
      </c>
      <c r="E3650" t="s">
        <v>18</v>
      </c>
      <c r="F3650" t="s">
        <v>34</v>
      </c>
      <c r="G3650" t="s">
        <v>50</v>
      </c>
      <c r="H3650" t="s">
        <v>51</v>
      </c>
      <c r="I3650" t="s">
        <v>57</v>
      </c>
      <c r="J3650">
        <v>1</v>
      </c>
      <c r="K3650">
        <v>4770000</v>
      </c>
      <c r="L3650" s="2" t="s">
        <v>6272</v>
      </c>
      <c r="M3650" t="s">
        <v>23</v>
      </c>
      <c r="N3650">
        <v>4234000</v>
      </c>
      <c r="O3650">
        <v>3.8</v>
      </c>
      <c r="P3650" t="b">
        <v>1</v>
      </c>
    </row>
    <row r="3651" spans="1:16" x14ac:dyDescent="0.2">
      <c r="A3651" t="s">
        <v>6273</v>
      </c>
      <c r="B3651" s="1">
        <v>45608</v>
      </c>
      <c r="C3651" s="1">
        <v>45632</v>
      </c>
      <c r="D3651" t="s">
        <v>6274</v>
      </c>
      <c r="E3651" t="s">
        <v>18</v>
      </c>
      <c r="F3651" t="s">
        <v>45</v>
      </c>
      <c r="G3651" t="s">
        <v>35</v>
      </c>
      <c r="H3651" t="s">
        <v>21</v>
      </c>
      <c r="I3651" t="s">
        <v>60</v>
      </c>
      <c r="J3651">
        <v>2</v>
      </c>
      <c r="K3651">
        <v>3635000</v>
      </c>
      <c r="L3651">
        <v>5.1463128360173097E-2</v>
      </c>
      <c r="M3651" t="s">
        <v>23</v>
      </c>
      <c r="N3651">
        <v>6896000</v>
      </c>
      <c r="O3651">
        <v>4.4000000000000004</v>
      </c>
      <c r="P3651" t="b">
        <v>0</v>
      </c>
    </row>
    <row r="3652" spans="1:16" x14ac:dyDescent="0.2">
      <c r="A3652" t="s">
        <v>6275</v>
      </c>
      <c r="B3652" s="1">
        <v>45608</v>
      </c>
      <c r="C3652" s="1">
        <v>45664</v>
      </c>
      <c r="D3652" t="s">
        <v>1997</v>
      </c>
      <c r="E3652" t="s">
        <v>33</v>
      </c>
      <c r="F3652" t="s">
        <v>19</v>
      </c>
      <c r="G3652" t="s">
        <v>20</v>
      </c>
      <c r="H3652" t="s">
        <v>21</v>
      </c>
      <c r="I3652" t="s">
        <v>22</v>
      </c>
      <c r="J3652">
        <v>1</v>
      </c>
      <c r="K3652">
        <v>2193000</v>
      </c>
      <c r="L3652">
        <v>4.5264993769538797E-2</v>
      </c>
      <c r="M3652" t="s">
        <v>23</v>
      </c>
      <c r="N3652">
        <v>2094000</v>
      </c>
      <c r="O3652">
        <v>4</v>
      </c>
      <c r="P3652" t="b">
        <v>1</v>
      </c>
    </row>
    <row r="3653" spans="1:16" x14ac:dyDescent="0.2">
      <c r="A3653" t="s">
        <v>6276</v>
      </c>
      <c r="B3653" s="1">
        <v>45609</v>
      </c>
      <c r="C3653" s="1">
        <v>45672</v>
      </c>
      <c r="D3653" t="s">
        <v>6277</v>
      </c>
      <c r="E3653" t="s">
        <v>18</v>
      </c>
      <c r="F3653" t="s">
        <v>25</v>
      </c>
      <c r="G3653" t="s">
        <v>20</v>
      </c>
      <c r="H3653" t="s">
        <v>40</v>
      </c>
      <c r="I3653" t="s">
        <v>52</v>
      </c>
      <c r="J3653">
        <v>2</v>
      </c>
      <c r="K3653">
        <v>4506000</v>
      </c>
      <c r="L3653">
        <v>6.61419178778751E-2</v>
      </c>
      <c r="M3653" t="s">
        <v>23</v>
      </c>
      <c r="N3653">
        <v>8416000</v>
      </c>
      <c r="O3653">
        <v>4.4000000000000004</v>
      </c>
      <c r="P3653" t="b">
        <v>0</v>
      </c>
    </row>
    <row r="3654" spans="1:16" x14ac:dyDescent="0.2">
      <c r="A3654" t="s">
        <v>6278</v>
      </c>
      <c r="B3654" s="1">
        <v>45609</v>
      </c>
      <c r="C3654" s="1">
        <v>45672</v>
      </c>
      <c r="D3654" t="s">
        <v>2201</v>
      </c>
      <c r="E3654" t="s">
        <v>45</v>
      </c>
      <c r="F3654" t="s">
        <v>68</v>
      </c>
      <c r="G3654" t="s">
        <v>50</v>
      </c>
      <c r="H3654" t="s">
        <v>21</v>
      </c>
      <c r="I3654" t="s">
        <v>77</v>
      </c>
      <c r="J3654">
        <v>3</v>
      </c>
      <c r="K3654">
        <v>2508000</v>
      </c>
      <c r="L3654">
        <v>7.8796014522087399E-2</v>
      </c>
      <c r="M3654" t="s">
        <v>23</v>
      </c>
      <c r="N3654">
        <v>6931000</v>
      </c>
      <c r="O3654">
        <v>3.7</v>
      </c>
      <c r="P3654" t="b">
        <v>1</v>
      </c>
    </row>
    <row r="3655" spans="1:16" x14ac:dyDescent="0.2">
      <c r="A3655" t="s">
        <v>6279</v>
      </c>
      <c r="B3655" s="1">
        <v>45609</v>
      </c>
      <c r="C3655" s="1">
        <v>45680</v>
      </c>
      <c r="D3655" t="s">
        <v>372</v>
      </c>
      <c r="E3655" t="s">
        <v>33</v>
      </c>
      <c r="F3655" t="s">
        <v>68</v>
      </c>
      <c r="G3655" t="s">
        <v>46</v>
      </c>
      <c r="H3655" t="s">
        <v>47</v>
      </c>
      <c r="I3655" t="s">
        <v>1654</v>
      </c>
      <c r="J3655">
        <v>2</v>
      </c>
      <c r="K3655">
        <v>3005000</v>
      </c>
      <c r="L3655">
        <v>5.6050076373092401E-2</v>
      </c>
      <c r="M3655" t="s">
        <v>23</v>
      </c>
      <c r="N3655">
        <v>5673000</v>
      </c>
      <c r="O3655">
        <v>4.3</v>
      </c>
      <c r="P3655" t="b">
        <v>1</v>
      </c>
    </row>
    <row r="3656" spans="1:16" x14ac:dyDescent="0.2">
      <c r="A3656" t="s">
        <v>6280</v>
      </c>
      <c r="B3656" s="1">
        <v>45610</v>
      </c>
      <c r="C3656" s="1">
        <v>45661</v>
      </c>
      <c r="D3656" t="s">
        <v>6281</v>
      </c>
      <c r="E3656" t="s">
        <v>18</v>
      </c>
      <c r="F3656" t="s">
        <v>25</v>
      </c>
      <c r="G3656" t="s">
        <v>35</v>
      </c>
      <c r="H3656" t="s">
        <v>40</v>
      </c>
      <c r="I3656" t="s">
        <v>26</v>
      </c>
      <c r="J3656">
        <v>2</v>
      </c>
      <c r="K3656">
        <v>5180000</v>
      </c>
      <c r="L3656">
        <v>4.1668680954953401E-2</v>
      </c>
      <c r="M3656" t="s">
        <v>23</v>
      </c>
      <c r="N3656">
        <v>9928000</v>
      </c>
      <c r="O3656">
        <v>4.2</v>
      </c>
      <c r="P3656" t="b">
        <v>0</v>
      </c>
    </row>
    <row r="3657" spans="1:16" x14ac:dyDescent="0.2">
      <c r="A3657" t="s">
        <v>6282</v>
      </c>
      <c r="B3657" s="1">
        <v>45610</v>
      </c>
      <c r="C3657" s="1">
        <v>45610</v>
      </c>
      <c r="D3657" t="s">
        <v>6283</v>
      </c>
      <c r="E3657" t="s">
        <v>33</v>
      </c>
      <c r="F3657" t="s">
        <v>19</v>
      </c>
      <c r="G3657" t="s">
        <v>50</v>
      </c>
      <c r="H3657" t="s">
        <v>21</v>
      </c>
      <c r="I3657" t="s">
        <v>77</v>
      </c>
      <c r="J3657">
        <v>1</v>
      </c>
      <c r="K3657">
        <v>2595000</v>
      </c>
      <c r="L3657" s="2" t="s">
        <v>6284</v>
      </c>
      <c r="M3657" t="s">
        <v>23</v>
      </c>
      <c r="N3657">
        <v>2437000</v>
      </c>
      <c r="O3657">
        <v>3.9</v>
      </c>
      <c r="P3657" t="b">
        <v>0</v>
      </c>
    </row>
    <row r="3658" spans="1:16" x14ac:dyDescent="0.2">
      <c r="A3658" t="s">
        <v>6285</v>
      </c>
      <c r="B3658" s="1">
        <v>45612</v>
      </c>
      <c r="C3658" s="1">
        <v>45645</v>
      </c>
      <c r="D3658" t="s">
        <v>5620</v>
      </c>
      <c r="E3658" t="s">
        <v>18</v>
      </c>
      <c r="F3658" t="s">
        <v>19</v>
      </c>
      <c r="G3658" t="s">
        <v>20</v>
      </c>
      <c r="I3658" t="s">
        <v>77</v>
      </c>
      <c r="J3658">
        <v>3</v>
      </c>
      <c r="K3658">
        <v>3072000</v>
      </c>
      <c r="L3658">
        <v>6.7203883594180697E-2</v>
      </c>
      <c r="M3658" t="s">
        <v>23</v>
      </c>
      <c r="N3658">
        <v>8597000</v>
      </c>
      <c r="O3658">
        <v>3.7</v>
      </c>
      <c r="P3658" t="b">
        <v>1</v>
      </c>
    </row>
    <row r="3659" spans="1:16" x14ac:dyDescent="0.2">
      <c r="A3659" t="s">
        <v>6286</v>
      </c>
      <c r="B3659" s="1">
        <v>45612</v>
      </c>
      <c r="C3659" s="1">
        <v>45626</v>
      </c>
      <c r="D3659" t="s">
        <v>5446</v>
      </c>
      <c r="E3659" t="s">
        <v>29</v>
      </c>
      <c r="F3659" t="s">
        <v>19</v>
      </c>
      <c r="G3659" t="s">
        <v>20</v>
      </c>
      <c r="H3659" t="s">
        <v>21</v>
      </c>
      <c r="I3659" t="s">
        <v>26</v>
      </c>
      <c r="J3659">
        <v>1</v>
      </c>
      <c r="K3659">
        <v>2693000</v>
      </c>
      <c r="L3659" s="2" t="s">
        <v>6287</v>
      </c>
      <c r="M3659" t="s">
        <v>23</v>
      </c>
      <c r="N3659">
        <v>2548000</v>
      </c>
      <c r="O3659">
        <v>3.9</v>
      </c>
      <c r="P3659" t="b">
        <v>1</v>
      </c>
    </row>
    <row r="3660" spans="1:16" x14ac:dyDescent="0.2">
      <c r="A3660" t="s">
        <v>6288</v>
      </c>
      <c r="B3660" s="1">
        <v>45612</v>
      </c>
      <c r="C3660" s="1">
        <v>45645</v>
      </c>
      <c r="D3660" t="s">
        <v>5548</v>
      </c>
      <c r="E3660" t="s">
        <v>18</v>
      </c>
      <c r="F3660" t="s">
        <v>25</v>
      </c>
      <c r="G3660" t="s">
        <v>35</v>
      </c>
      <c r="H3660" t="s">
        <v>21</v>
      </c>
      <c r="I3660" t="s">
        <v>57</v>
      </c>
      <c r="J3660">
        <v>4</v>
      </c>
      <c r="K3660">
        <v>5488000</v>
      </c>
      <c r="L3660" s="2" t="s">
        <v>6289</v>
      </c>
      <c r="M3660" t="s">
        <v>23</v>
      </c>
      <c r="N3660">
        <v>18765000</v>
      </c>
      <c r="O3660">
        <v>3.3</v>
      </c>
      <c r="P3660" t="b">
        <v>1</v>
      </c>
    </row>
    <row r="3661" spans="1:16" x14ac:dyDescent="0.2">
      <c r="A3661" t="s">
        <v>6290</v>
      </c>
      <c r="B3661" s="1">
        <v>45613</v>
      </c>
      <c r="C3661" s="1">
        <v>45697</v>
      </c>
      <c r="D3661" t="s">
        <v>6291</v>
      </c>
      <c r="E3661" t="s">
        <v>45</v>
      </c>
      <c r="F3661" t="s">
        <v>68</v>
      </c>
      <c r="G3661" t="s">
        <v>20</v>
      </c>
      <c r="H3661" t="s">
        <v>21</v>
      </c>
      <c r="I3661" t="s">
        <v>30</v>
      </c>
      <c r="J3661">
        <v>1</v>
      </c>
      <c r="K3661">
        <v>2780000</v>
      </c>
      <c r="L3661" s="2" t="s">
        <v>6292</v>
      </c>
      <c r="M3661" t="s">
        <v>23</v>
      </c>
      <c r="N3661">
        <v>2421000</v>
      </c>
      <c r="O3661">
        <v>4.9000000000000004</v>
      </c>
      <c r="P3661" t="b">
        <v>0</v>
      </c>
    </row>
    <row r="3662" spans="1:16" x14ac:dyDescent="0.2">
      <c r="A3662" t="s">
        <v>6293</v>
      </c>
      <c r="B3662" s="1">
        <v>45613</v>
      </c>
      <c r="C3662" s="1">
        <v>45654</v>
      </c>
      <c r="D3662" t="s">
        <v>412</v>
      </c>
      <c r="E3662" t="s">
        <v>18</v>
      </c>
      <c r="F3662" t="s">
        <v>19</v>
      </c>
      <c r="G3662" t="s">
        <v>20</v>
      </c>
      <c r="H3662" t="s">
        <v>21</v>
      </c>
      <c r="I3662" t="s">
        <v>99</v>
      </c>
      <c r="J3662">
        <v>3</v>
      </c>
      <c r="K3662">
        <v>2581000</v>
      </c>
      <c r="L3662">
        <v>7.4168028119973001E-2</v>
      </c>
      <c r="M3662" t="s">
        <v>23</v>
      </c>
      <c r="N3662">
        <v>7169000</v>
      </c>
      <c r="O3662">
        <v>3.6</v>
      </c>
      <c r="P3662" t="b">
        <v>1</v>
      </c>
    </row>
    <row r="3663" spans="1:16" x14ac:dyDescent="0.2">
      <c r="A3663" t="s">
        <v>6294</v>
      </c>
      <c r="B3663" s="1">
        <v>45613</v>
      </c>
      <c r="C3663" s="1">
        <v>45664</v>
      </c>
      <c r="D3663" t="s">
        <v>3566</v>
      </c>
      <c r="E3663" t="s">
        <v>45</v>
      </c>
      <c r="F3663" t="s">
        <v>45</v>
      </c>
      <c r="H3663" t="s">
        <v>21</v>
      </c>
      <c r="I3663" t="s">
        <v>60</v>
      </c>
      <c r="J3663">
        <v>1</v>
      </c>
      <c r="K3663">
        <v>3206000</v>
      </c>
      <c r="L3663">
        <v>5.7112894735888899E-4</v>
      </c>
      <c r="M3663" t="s">
        <v>23</v>
      </c>
      <c r="N3663">
        <v>3204000</v>
      </c>
      <c r="O3663">
        <v>4.8</v>
      </c>
      <c r="P3663" t="b">
        <v>1</v>
      </c>
    </row>
    <row r="3664" spans="1:16" x14ac:dyDescent="0.2">
      <c r="A3664" t="s">
        <v>6295</v>
      </c>
      <c r="B3664" s="1">
        <v>45613</v>
      </c>
      <c r="C3664" s="1">
        <v>45676</v>
      </c>
      <c r="D3664" t="s">
        <v>6296</v>
      </c>
      <c r="E3664" t="s">
        <v>29</v>
      </c>
      <c r="F3664" t="s">
        <v>68</v>
      </c>
      <c r="G3664" t="s">
        <v>35</v>
      </c>
      <c r="H3664" t="s">
        <v>21</v>
      </c>
      <c r="I3664" t="s">
        <v>83</v>
      </c>
      <c r="J3664">
        <v>2</v>
      </c>
      <c r="K3664">
        <v>1994000</v>
      </c>
      <c r="L3664" s="2" t="s">
        <v>6297</v>
      </c>
      <c r="M3664" t="s">
        <v>65</v>
      </c>
      <c r="N3664">
        <v>0</v>
      </c>
      <c r="P3664" t="b">
        <v>0</v>
      </c>
    </row>
    <row r="3665" spans="1:16" x14ac:dyDescent="0.2">
      <c r="A3665" t="s">
        <v>6298</v>
      </c>
      <c r="B3665" s="1">
        <v>45615</v>
      </c>
      <c r="C3665" s="1">
        <v>45667</v>
      </c>
      <c r="D3665" t="s">
        <v>6299</v>
      </c>
      <c r="E3665" t="s">
        <v>33</v>
      </c>
      <c r="F3665" t="s">
        <v>34</v>
      </c>
      <c r="G3665" t="s">
        <v>35</v>
      </c>
      <c r="H3665" t="s">
        <v>47</v>
      </c>
      <c r="I3665" t="s">
        <v>26</v>
      </c>
      <c r="J3665">
        <v>2</v>
      </c>
      <c r="K3665">
        <v>3767000</v>
      </c>
      <c r="L3665" s="2" t="s">
        <v>6300</v>
      </c>
      <c r="M3665" t="s">
        <v>23</v>
      </c>
      <c r="N3665">
        <v>6611000</v>
      </c>
      <c r="O3665">
        <v>3.9</v>
      </c>
      <c r="P3665" t="b">
        <v>0</v>
      </c>
    </row>
    <row r="3666" spans="1:16" x14ac:dyDescent="0.2">
      <c r="A3666" t="s">
        <v>6301</v>
      </c>
      <c r="B3666" s="1">
        <v>45615</v>
      </c>
      <c r="C3666" s="1">
        <v>45666</v>
      </c>
      <c r="D3666" t="s">
        <v>159</v>
      </c>
      <c r="E3666" t="s">
        <v>18</v>
      </c>
      <c r="F3666" t="s">
        <v>34</v>
      </c>
      <c r="G3666" t="s">
        <v>20</v>
      </c>
      <c r="H3666" t="s">
        <v>21</v>
      </c>
      <c r="I3666" t="s">
        <v>52</v>
      </c>
      <c r="J3666">
        <v>2</v>
      </c>
      <c r="K3666">
        <v>3108000</v>
      </c>
      <c r="L3666" s="2" t="s">
        <v>6302</v>
      </c>
      <c r="M3666" t="s">
        <v>23</v>
      </c>
      <c r="N3666">
        <v>5442000</v>
      </c>
      <c r="O3666">
        <v>4.7</v>
      </c>
      <c r="P3666" t="b">
        <v>1</v>
      </c>
    </row>
    <row r="3667" spans="1:16" x14ac:dyDescent="0.2">
      <c r="A3667" t="s">
        <v>6303</v>
      </c>
      <c r="B3667" s="1">
        <v>45615</v>
      </c>
      <c r="C3667" s="1">
        <v>45659</v>
      </c>
      <c r="D3667" t="s">
        <v>6304</v>
      </c>
      <c r="E3667" t="s">
        <v>33</v>
      </c>
      <c r="F3667" t="s">
        <v>25</v>
      </c>
      <c r="G3667" t="s">
        <v>20</v>
      </c>
      <c r="H3667" t="s">
        <v>21</v>
      </c>
      <c r="I3667" t="s">
        <v>99</v>
      </c>
      <c r="J3667">
        <v>1</v>
      </c>
      <c r="K3667">
        <v>4595000</v>
      </c>
      <c r="L3667" s="2" t="s">
        <v>6305</v>
      </c>
      <c r="M3667" t="s">
        <v>23</v>
      </c>
      <c r="N3667">
        <v>3972000</v>
      </c>
      <c r="O3667">
        <v>4.5</v>
      </c>
      <c r="P3667" t="b">
        <v>0</v>
      </c>
    </row>
    <row r="3668" spans="1:16" x14ac:dyDescent="0.2">
      <c r="A3668" t="s">
        <v>6306</v>
      </c>
      <c r="B3668" s="1">
        <v>45615</v>
      </c>
      <c r="C3668" s="1">
        <v>45641</v>
      </c>
      <c r="D3668" t="s">
        <v>5682</v>
      </c>
      <c r="E3668" t="s">
        <v>45</v>
      </c>
      <c r="F3668" t="s">
        <v>68</v>
      </c>
      <c r="G3668" t="s">
        <v>50</v>
      </c>
      <c r="H3668" t="s">
        <v>21</v>
      </c>
      <c r="I3668" t="s">
        <v>60</v>
      </c>
      <c r="J3668">
        <v>2</v>
      </c>
      <c r="K3668">
        <v>2640000</v>
      </c>
      <c r="L3668" s="2" t="s">
        <v>6307</v>
      </c>
      <c r="M3668" t="s">
        <v>23</v>
      </c>
      <c r="N3668">
        <v>4548000</v>
      </c>
      <c r="O3668">
        <v>4.4000000000000004</v>
      </c>
      <c r="P3668" t="b">
        <v>1</v>
      </c>
    </row>
    <row r="3669" spans="1:16" x14ac:dyDescent="0.2">
      <c r="A3669" t="s">
        <v>6308</v>
      </c>
      <c r="B3669" s="1">
        <v>45617</v>
      </c>
      <c r="C3669" s="1">
        <v>45662</v>
      </c>
      <c r="D3669" t="s">
        <v>949</v>
      </c>
      <c r="E3669" t="s">
        <v>45</v>
      </c>
      <c r="F3669" t="s">
        <v>68</v>
      </c>
      <c r="G3669" t="s">
        <v>20</v>
      </c>
      <c r="H3669" t="s">
        <v>47</v>
      </c>
      <c r="J3669">
        <v>1</v>
      </c>
      <c r="K3669">
        <v>2705000</v>
      </c>
      <c r="L3669">
        <v>8.6114896142138603E-2</v>
      </c>
      <c r="M3669" t="s">
        <v>65</v>
      </c>
      <c r="N3669">
        <v>0</v>
      </c>
      <c r="P3669" t="b">
        <v>1</v>
      </c>
    </row>
    <row r="3670" spans="1:16" x14ac:dyDescent="0.2">
      <c r="A3670" t="s">
        <v>6309</v>
      </c>
      <c r="B3670" s="1">
        <v>45617</v>
      </c>
      <c r="C3670" s="1">
        <v>45641</v>
      </c>
      <c r="D3670" t="s">
        <v>4269</v>
      </c>
      <c r="E3670" t="s">
        <v>18</v>
      </c>
      <c r="F3670" t="s">
        <v>34</v>
      </c>
      <c r="G3670" t="s">
        <v>50</v>
      </c>
      <c r="H3670" t="s">
        <v>47</v>
      </c>
      <c r="J3670">
        <v>3</v>
      </c>
      <c r="K3670">
        <v>4493000</v>
      </c>
      <c r="L3670" s="2" t="s">
        <v>6310</v>
      </c>
      <c r="M3670" t="s">
        <v>65</v>
      </c>
      <c r="N3670">
        <v>0</v>
      </c>
      <c r="P3670" t="b">
        <v>1</v>
      </c>
    </row>
    <row r="3671" spans="1:16" x14ac:dyDescent="0.2">
      <c r="A3671" t="s">
        <v>6311</v>
      </c>
      <c r="B3671" s="1">
        <v>45617</v>
      </c>
      <c r="C3671" s="1">
        <v>45666</v>
      </c>
      <c r="D3671" t="s">
        <v>3960</v>
      </c>
      <c r="E3671" t="s">
        <v>18</v>
      </c>
      <c r="F3671" t="s">
        <v>68</v>
      </c>
      <c r="G3671" t="s">
        <v>20</v>
      </c>
      <c r="H3671" t="s">
        <v>51</v>
      </c>
      <c r="I3671" t="s">
        <v>57</v>
      </c>
      <c r="J3671">
        <v>3</v>
      </c>
      <c r="K3671">
        <v>2756000</v>
      </c>
      <c r="L3671" s="2" t="s">
        <v>6312</v>
      </c>
      <c r="M3671" t="s">
        <v>23</v>
      </c>
      <c r="N3671">
        <v>6929000</v>
      </c>
      <c r="O3671">
        <v>3.5</v>
      </c>
      <c r="P3671" t="b">
        <v>1</v>
      </c>
    </row>
    <row r="3672" spans="1:16" x14ac:dyDescent="0.2">
      <c r="A3672" t="s">
        <v>6313</v>
      </c>
      <c r="B3672" s="1">
        <v>45618</v>
      </c>
      <c r="C3672" s="1">
        <v>45668</v>
      </c>
      <c r="D3672" t="s">
        <v>6314</v>
      </c>
      <c r="E3672" t="s">
        <v>45</v>
      </c>
      <c r="F3672" t="s">
        <v>34</v>
      </c>
      <c r="G3672" t="s">
        <v>35</v>
      </c>
      <c r="H3672" t="s">
        <v>40</v>
      </c>
      <c r="I3672" t="s">
        <v>77</v>
      </c>
      <c r="J3672">
        <v>3</v>
      </c>
      <c r="K3672">
        <v>3873000</v>
      </c>
      <c r="L3672" s="2" t="s">
        <v>6315</v>
      </c>
      <c r="M3672" t="s">
        <v>65</v>
      </c>
      <c r="N3672">
        <v>0</v>
      </c>
      <c r="P3672" t="b">
        <v>0</v>
      </c>
    </row>
    <row r="3673" spans="1:16" x14ac:dyDescent="0.2">
      <c r="A3673" t="s">
        <v>6316</v>
      </c>
      <c r="B3673" s="1">
        <v>45619</v>
      </c>
      <c r="C3673" s="1">
        <v>45647</v>
      </c>
      <c r="D3673" t="s">
        <v>5011</v>
      </c>
      <c r="E3673" t="s">
        <v>29</v>
      </c>
      <c r="F3673" t="s">
        <v>19</v>
      </c>
      <c r="G3673" t="s">
        <v>50</v>
      </c>
      <c r="H3673" t="s">
        <v>40</v>
      </c>
      <c r="I3673" t="s">
        <v>60</v>
      </c>
      <c r="J3673">
        <v>3</v>
      </c>
      <c r="K3673">
        <v>2872000</v>
      </c>
      <c r="L3673">
        <v>6.6154157557083398E-2</v>
      </c>
      <c r="M3673" t="s">
        <v>23</v>
      </c>
      <c r="N3673">
        <v>8046000</v>
      </c>
      <c r="O3673">
        <v>4.7</v>
      </c>
      <c r="P3673" t="b">
        <v>1</v>
      </c>
    </row>
    <row r="3674" spans="1:16" x14ac:dyDescent="0.2">
      <c r="A3674" t="s">
        <v>6317</v>
      </c>
      <c r="B3674" s="1">
        <v>45620</v>
      </c>
      <c r="C3674" s="1">
        <v>45671</v>
      </c>
      <c r="D3674" t="s">
        <v>4654</v>
      </c>
      <c r="E3674" t="s">
        <v>45</v>
      </c>
      <c r="F3674" t="s">
        <v>34</v>
      </c>
      <c r="G3674" t="s">
        <v>20</v>
      </c>
      <c r="H3674" t="s">
        <v>47</v>
      </c>
      <c r="I3674" t="s">
        <v>83</v>
      </c>
      <c r="J3674">
        <v>3</v>
      </c>
      <c r="K3674">
        <v>3980000</v>
      </c>
      <c r="L3674" s="3">
        <v>0.13500000000000001</v>
      </c>
      <c r="M3674" t="s">
        <v>23</v>
      </c>
      <c r="N3674">
        <v>10333000</v>
      </c>
      <c r="O3674">
        <v>4</v>
      </c>
      <c r="P3674" t="b">
        <v>1</v>
      </c>
    </row>
    <row r="3675" spans="1:16" x14ac:dyDescent="0.2">
      <c r="A3675" t="s">
        <v>6318</v>
      </c>
      <c r="B3675" s="1">
        <v>45620</v>
      </c>
      <c r="C3675" s="1">
        <v>45686</v>
      </c>
      <c r="D3675" t="s">
        <v>3520</v>
      </c>
      <c r="E3675" t="s">
        <v>18</v>
      </c>
      <c r="F3675" t="s">
        <v>68</v>
      </c>
      <c r="G3675" t="s">
        <v>35</v>
      </c>
      <c r="I3675" t="s">
        <v>83</v>
      </c>
      <c r="J3675">
        <v>4</v>
      </c>
      <c r="K3675">
        <v>1922000</v>
      </c>
      <c r="L3675" s="2" t="s">
        <v>6319</v>
      </c>
      <c r="M3675" t="s">
        <v>23</v>
      </c>
      <c r="N3675">
        <v>6374000</v>
      </c>
      <c r="O3675">
        <v>4.7</v>
      </c>
      <c r="P3675" t="b">
        <v>1</v>
      </c>
    </row>
    <row r="3676" spans="1:16" x14ac:dyDescent="0.2">
      <c r="A3676" t="s">
        <v>6320</v>
      </c>
      <c r="B3676" s="1">
        <v>45620</v>
      </c>
      <c r="C3676" s="1">
        <v>45665</v>
      </c>
      <c r="D3676" t="s">
        <v>224</v>
      </c>
      <c r="E3676" t="s">
        <v>45</v>
      </c>
      <c r="F3676" t="s">
        <v>68</v>
      </c>
      <c r="G3676" t="s">
        <v>50</v>
      </c>
      <c r="H3676" t="s">
        <v>21</v>
      </c>
      <c r="I3676" t="s">
        <v>30</v>
      </c>
      <c r="J3676">
        <v>2</v>
      </c>
      <c r="K3676">
        <v>2416000</v>
      </c>
      <c r="L3676">
        <v>7.1761629466842697E-2</v>
      </c>
      <c r="M3676" t="s">
        <v>23</v>
      </c>
      <c r="N3676">
        <v>4485000</v>
      </c>
      <c r="O3676">
        <v>4.2</v>
      </c>
      <c r="P3676" t="b">
        <v>1</v>
      </c>
    </row>
    <row r="3677" spans="1:16" x14ac:dyDescent="0.2">
      <c r="A3677" t="s">
        <v>6321</v>
      </c>
      <c r="B3677" s="1">
        <v>45621</v>
      </c>
      <c r="C3677" s="1">
        <v>45668</v>
      </c>
      <c r="D3677" t="s">
        <v>5258</v>
      </c>
      <c r="E3677" t="s">
        <v>18</v>
      </c>
      <c r="F3677" t="s">
        <v>45</v>
      </c>
      <c r="G3677" t="s">
        <v>50</v>
      </c>
      <c r="H3677" t="s">
        <v>40</v>
      </c>
      <c r="I3677" t="s">
        <v>77</v>
      </c>
      <c r="J3677">
        <v>1</v>
      </c>
      <c r="K3677">
        <v>3466000</v>
      </c>
      <c r="L3677" s="2" t="s">
        <v>6322</v>
      </c>
      <c r="M3677" t="s">
        <v>23</v>
      </c>
      <c r="N3677">
        <v>3052000</v>
      </c>
      <c r="O3677">
        <v>4.7</v>
      </c>
      <c r="P3677" t="b">
        <v>1</v>
      </c>
    </row>
    <row r="3678" spans="1:16" x14ac:dyDescent="0.2">
      <c r="A3678" t="s">
        <v>6323</v>
      </c>
      <c r="B3678" s="1">
        <v>45621</v>
      </c>
      <c r="C3678" s="1">
        <v>45637</v>
      </c>
      <c r="D3678" t="s">
        <v>4720</v>
      </c>
      <c r="E3678" t="s">
        <v>18</v>
      </c>
      <c r="F3678" t="s">
        <v>25</v>
      </c>
      <c r="G3678" t="s">
        <v>20</v>
      </c>
      <c r="H3678" t="s">
        <v>51</v>
      </c>
      <c r="I3678" t="s">
        <v>83</v>
      </c>
      <c r="J3678">
        <v>2</v>
      </c>
      <c r="K3678">
        <v>5136000</v>
      </c>
      <c r="L3678" s="2" t="s">
        <v>6324</v>
      </c>
      <c r="M3678" t="s">
        <v>23</v>
      </c>
      <c r="N3678">
        <v>9992000</v>
      </c>
      <c r="O3678">
        <v>3.7</v>
      </c>
      <c r="P3678" t="b">
        <v>1</v>
      </c>
    </row>
    <row r="3679" spans="1:16" x14ac:dyDescent="0.2">
      <c r="A3679" t="s">
        <v>6325</v>
      </c>
      <c r="B3679" s="1">
        <v>45621</v>
      </c>
      <c r="C3679" s="1">
        <v>45671</v>
      </c>
      <c r="D3679" t="s">
        <v>3578</v>
      </c>
      <c r="E3679" t="s">
        <v>29</v>
      </c>
      <c r="F3679" t="s">
        <v>68</v>
      </c>
      <c r="G3679" t="s">
        <v>20</v>
      </c>
      <c r="H3679" t="s">
        <v>21</v>
      </c>
      <c r="I3679" t="s">
        <v>26</v>
      </c>
      <c r="J3679">
        <v>4</v>
      </c>
      <c r="K3679">
        <v>2586000</v>
      </c>
      <c r="L3679">
        <v>9.8353411623977705E-2</v>
      </c>
      <c r="M3679" t="s">
        <v>23</v>
      </c>
      <c r="N3679">
        <v>9327000</v>
      </c>
      <c r="O3679">
        <v>4.8</v>
      </c>
      <c r="P3679" t="b">
        <v>1</v>
      </c>
    </row>
    <row r="3680" spans="1:16" x14ac:dyDescent="0.2">
      <c r="A3680" t="s">
        <v>6326</v>
      </c>
      <c r="B3680" s="1">
        <v>45622</v>
      </c>
      <c r="C3680" s="1">
        <v>45656</v>
      </c>
      <c r="D3680" t="s">
        <v>2957</v>
      </c>
      <c r="E3680" t="s">
        <v>45</v>
      </c>
      <c r="F3680" t="s">
        <v>34</v>
      </c>
      <c r="G3680" t="s">
        <v>20</v>
      </c>
      <c r="H3680" t="s">
        <v>21</v>
      </c>
      <c r="I3680" t="s">
        <v>30</v>
      </c>
      <c r="J3680">
        <v>1</v>
      </c>
      <c r="K3680">
        <v>4033000</v>
      </c>
      <c r="L3680">
        <v>9.5626918079867604E-2</v>
      </c>
      <c r="M3680" t="s">
        <v>23</v>
      </c>
      <c r="N3680">
        <v>3647000</v>
      </c>
      <c r="O3680">
        <v>4.7</v>
      </c>
      <c r="P3680" t="b">
        <v>1</v>
      </c>
    </row>
    <row r="3681" spans="1:16" x14ac:dyDescent="0.2">
      <c r="A3681" t="s">
        <v>6327</v>
      </c>
      <c r="B3681" s="1">
        <v>45622</v>
      </c>
      <c r="C3681" s="1">
        <v>45635</v>
      </c>
      <c r="D3681" t="s">
        <v>2244</v>
      </c>
      <c r="E3681" t="s">
        <v>33</v>
      </c>
      <c r="F3681" t="s">
        <v>19</v>
      </c>
      <c r="G3681" t="s">
        <v>35</v>
      </c>
      <c r="H3681" t="s">
        <v>47</v>
      </c>
      <c r="J3681">
        <v>1</v>
      </c>
      <c r="K3681">
        <v>2992000</v>
      </c>
      <c r="L3681" s="2" t="s">
        <v>6328</v>
      </c>
      <c r="M3681" t="s">
        <v>23</v>
      </c>
      <c r="N3681">
        <v>2623000</v>
      </c>
      <c r="O3681">
        <v>4.7</v>
      </c>
      <c r="P3681" t="b">
        <v>1</v>
      </c>
    </row>
    <row r="3682" spans="1:16" x14ac:dyDescent="0.2">
      <c r="A3682" t="s">
        <v>6329</v>
      </c>
      <c r="B3682" s="1">
        <v>45622</v>
      </c>
      <c r="C3682" s="1">
        <v>45680</v>
      </c>
      <c r="D3682" t="s">
        <v>5326</v>
      </c>
      <c r="E3682" t="s">
        <v>33</v>
      </c>
      <c r="F3682" t="s">
        <v>34</v>
      </c>
      <c r="G3682" t="s">
        <v>20</v>
      </c>
      <c r="H3682" t="s">
        <v>21</v>
      </c>
      <c r="I3682" t="s">
        <v>94</v>
      </c>
      <c r="J3682">
        <v>1</v>
      </c>
      <c r="K3682">
        <v>4275000</v>
      </c>
      <c r="L3682" s="2" t="s">
        <v>6330</v>
      </c>
      <c r="M3682" t="s">
        <v>23</v>
      </c>
      <c r="N3682">
        <v>3813000</v>
      </c>
      <c r="O3682">
        <v>4.5</v>
      </c>
      <c r="P3682" t="b">
        <v>1</v>
      </c>
    </row>
    <row r="3683" spans="1:16" x14ac:dyDescent="0.2">
      <c r="A3683" t="s">
        <v>6331</v>
      </c>
      <c r="B3683" s="1">
        <v>45623</v>
      </c>
      <c r="C3683" s="1">
        <v>45647</v>
      </c>
      <c r="D3683" t="s">
        <v>4604</v>
      </c>
      <c r="E3683" t="s">
        <v>33</v>
      </c>
      <c r="F3683" t="s">
        <v>45</v>
      </c>
      <c r="G3683" t="s">
        <v>35</v>
      </c>
      <c r="H3683" t="s">
        <v>47</v>
      </c>
      <c r="I3683" t="s">
        <v>77</v>
      </c>
      <c r="J3683">
        <v>2</v>
      </c>
      <c r="K3683">
        <v>3833000</v>
      </c>
      <c r="L3683" s="2" t="s">
        <v>6332</v>
      </c>
      <c r="M3683" t="s">
        <v>23</v>
      </c>
      <c r="N3683">
        <v>6362000</v>
      </c>
      <c r="O3683">
        <v>3</v>
      </c>
      <c r="P3683" t="b">
        <v>1</v>
      </c>
    </row>
    <row r="3684" spans="1:16" x14ac:dyDescent="0.2">
      <c r="A3684" t="s">
        <v>6333</v>
      </c>
      <c r="B3684" s="1">
        <v>45623</v>
      </c>
      <c r="C3684" s="1">
        <v>45631</v>
      </c>
      <c r="D3684" t="s">
        <v>5758</v>
      </c>
      <c r="E3684" t="s">
        <v>18</v>
      </c>
      <c r="F3684" t="s">
        <v>68</v>
      </c>
      <c r="G3684" t="s">
        <v>50</v>
      </c>
      <c r="H3684" t="s">
        <v>21</v>
      </c>
      <c r="I3684" t="s">
        <v>94</v>
      </c>
      <c r="J3684">
        <v>3</v>
      </c>
      <c r="K3684">
        <v>2222000</v>
      </c>
      <c r="L3684" s="2" t="s">
        <v>6334</v>
      </c>
      <c r="M3684" t="s">
        <v>23</v>
      </c>
      <c r="N3684">
        <v>5800000</v>
      </c>
      <c r="O3684">
        <v>4.5</v>
      </c>
      <c r="P3684" t="b">
        <v>1</v>
      </c>
    </row>
    <row r="3685" spans="1:16" x14ac:dyDescent="0.2">
      <c r="A3685" t="s">
        <v>6335</v>
      </c>
      <c r="B3685" s="1">
        <v>45623</v>
      </c>
      <c r="C3685" s="1">
        <v>45674</v>
      </c>
      <c r="D3685" t="s">
        <v>2900</v>
      </c>
      <c r="E3685" t="s">
        <v>45</v>
      </c>
      <c r="F3685" t="s">
        <v>25</v>
      </c>
      <c r="H3685" t="s">
        <v>21</v>
      </c>
      <c r="I3685" t="s">
        <v>26</v>
      </c>
      <c r="J3685">
        <v>3</v>
      </c>
      <c r="K3685">
        <v>5390000</v>
      </c>
      <c r="L3685">
        <v>5.9311366818849097E-2</v>
      </c>
      <c r="M3685" t="s">
        <v>23</v>
      </c>
      <c r="N3685">
        <v>15211000</v>
      </c>
      <c r="O3685">
        <v>4</v>
      </c>
      <c r="P3685" t="b">
        <v>1</v>
      </c>
    </row>
    <row r="3686" spans="1:16" x14ac:dyDescent="0.2">
      <c r="A3686" t="s">
        <v>6336</v>
      </c>
      <c r="B3686" s="1">
        <v>45624</v>
      </c>
      <c r="C3686" s="1">
        <v>45683</v>
      </c>
      <c r="D3686" t="s">
        <v>6337</v>
      </c>
      <c r="E3686" t="s">
        <v>33</v>
      </c>
      <c r="F3686" t="s">
        <v>45</v>
      </c>
      <c r="G3686" t="s">
        <v>20</v>
      </c>
      <c r="H3686" t="s">
        <v>40</v>
      </c>
      <c r="I3686" t="s">
        <v>1654</v>
      </c>
      <c r="J3686">
        <v>1</v>
      </c>
      <c r="K3686">
        <v>3019000</v>
      </c>
      <c r="L3686">
        <v>6.9074222211312403E-2</v>
      </c>
      <c r="M3686" t="s">
        <v>23</v>
      </c>
      <c r="N3686">
        <v>2810000</v>
      </c>
      <c r="O3686">
        <v>4.4000000000000004</v>
      </c>
      <c r="P3686" t="b">
        <v>0</v>
      </c>
    </row>
    <row r="3687" spans="1:16" x14ac:dyDescent="0.2">
      <c r="A3687" t="s">
        <v>6338</v>
      </c>
      <c r="B3687" s="1">
        <v>45624</v>
      </c>
      <c r="C3687" s="1">
        <v>45688</v>
      </c>
      <c r="D3687" t="s">
        <v>6339</v>
      </c>
      <c r="E3687" t="s">
        <v>45</v>
      </c>
      <c r="F3687" t="s">
        <v>68</v>
      </c>
      <c r="G3687" t="s">
        <v>20</v>
      </c>
      <c r="H3687" t="s">
        <v>47</v>
      </c>
      <c r="I3687" t="s">
        <v>77</v>
      </c>
      <c r="J3687">
        <v>1</v>
      </c>
      <c r="K3687">
        <v>2500000</v>
      </c>
      <c r="L3687">
        <v>9.5092149383782396E-2</v>
      </c>
      <c r="M3687" t="s">
        <v>1656</v>
      </c>
      <c r="N3687">
        <v>2262000</v>
      </c>
      <c r="O3687">
        <v>4.5999999999999996</v>
      </c>
      <c r="P3687" t="b">
        <v>0</v>
      </c>
    </row>
    <row r="3688" spans="1:16" x14ac:dyDescent="0.2">
      <c r="A3688" t="s">
        <v>6340</v>
      </c>
      <c r="B3688" s="1">
        <v>45625</v>
      </c>
      <c r="C3688" s="1">
        <v>45625</v>
      </c>
      <c r="D3688" t="s">
        <v>547</v>
      </c>
      <c r="F3688" t="s">
        <v>25</v>
      </c>
      <c r="H3688" t="s">
        <v>47</v>
      </c>
      <c r="I3688" t="s">
        <v>60</v>
      </c>
      <c r="J3688">
        <v>4</v>
      </c>
      <c r="K3688">
        <v>5272000</v>
      </c>
      <c r="L3688">
        <v>5.96831292953817E-2</v>
      </c>
      <c r="M3688" t="s">
        <v>23</v>
      </c>
      <c r="N3688">
        <v>19829000</v>
      </c>
      <c r="O3688">
        <v>5</v>
      </c>
      <c r="P3688" t="b">
        <v>1</v>
      </c>
    </row>
    <row r="3689" spans="1:16" x14ac:dyDescent="0.2">
      <c r="A3689" t="s">
        <v>6341</v>
      </c>
      <c r="B3689" s="1">
        <v>45625</v>
      </c>
      <c r="C3689" s="1">
        <v>45648</v>
      </c>
      <c r="D3689" t="s">
        <v>620</v>
      </c>
      <c r="E3689" t="s">
        <v>33</v>
      </c>
      <c r="F3689" t="s">
        <v>34</v>
      </c>
      <c r="G3689" t="s">
        <v>35</v>
      </c>
      <c r="H3689" t="s">
        <v>21</v>
      </c>
      <c r="J3689">
        <v>1</v>
      </c>
      <c r="K3689">
        <v>4531000</v>
      </c>
      <c r="L3689">
        <v>8.0379692635153294E-2</v>
      </c>
      <c r="M3689" t="s">
        <v>65</v>
      </c>
      <c r="N3689">
        <v>0</v>
      </c>
      <c r="P3689" t="b">
        <v>1</v>
      </c>
    </row>
    <row r="3690" spans="1:16" x14ac:dyDescent="0.2">
      <c r="A3690" t="s">
        <v>6342</v>
      </c>
      <c r="B3690" s="1">
        <v>45626</v>
      </c>
      <c r="C3690" s="1">
        <v>45632</v>
      </c>
      <c r="D3690" t="s">
        <v>6343</v>
      </c>
      <c r="E3690" t="s">
        <v>29</v>
      </c>
      <c r="F3690" t="s">
        <v>45</v>
      </c>
      <c r="G3690" t="s">
        <v>35</v>
      </c>
      <c r="H3690" t="s">
        <v>21</v>
      </c>
      <c r="I3690" t="s">
        <v>22</v>
      </c>
      <c r="J3690">
        <v>1</v>
      </c>
      <c r="K3690">
        <v>2937000</v>
      </c>
      <c r="L3690">
        <v>2.86437079771222E-2</v>
      </c>
      <c r="M3690" t="s">
        <v>23</v>
      </c>
      <c r="N3690">
        <v>2853000</v>
      </c>
      <c r="O3690">
        <v>4.2</v>
      </c>
      <c r="P3690" t="b">
        <v>0</v>
      </c>
    </row>
    <row r="3691" spans="1:16" x14ac:dyDescent="0.2">
      <c r="A3691" t="s">
        <v>6344</v>
      </c>
      <c r="B3691" s="1">
        <v>45626</v>
      </c>
      <c r="C3691" s="1">
        <v>45652</v>
      </c>
      <c r="D3691" t="s">
        <v>1563</v>
      </c>
      <c r="E3691" t="s">
        <v>33</v>
      </c>
      <c r="F3691" t="s">
        <v>19</v>
      </c>
      <c r="G3691" t="s">
        <v>35</v>
      </c>
      <c r="H3691" t="s">
        <v>21</v>
      </c>
      <c r="I3691" t="s">
        <v>30</v>
      </c>
      <c r="J3691">
        <v>2</v>
      </c>
      <c r="K3691">
        <v>2680000</v>
      </c>
      <c r="L3691" s="2" t="s">
        <v>6345</v>
      </c>
      <c r="M3691" t="s">
        <v>23</v>
      </c>
      <c r="N3691">
        <v>4712000</v>
      </c>
      <c r="O3691">
        <v>4.7</v>
      </c>
      <c r="P3691" t="b">
        <v>1</v>
      </c>
    </row>
    <row r="3692" spans="1:16" x14ac:dyDescent="0.2">
      <c r="A3692" t="s">
        <v>6346</v>
      </c>
      <c r="B3692" s="1">
        <v>45626</v>
      </c>
      <c r="C3692" s="1">
        <v>45660</v>
      </c>
      <c r="D3692" t="s">
        <v>6018</v>
      </c>
      <c r="E3692" t="s">
        <v>45</v>
      </c>
      <c r="F3692" t="s">
        <v>19</v>
      </c>
      <c r="G3692" t="s">
        <v>35</v>
      </c>
      <c r="H3692" t="s">
        <v>51</v>
      </c>
      <c r="J3692">
        <v>2</v>
      </c>
      <c r="K3692">
        <v>3324000</v>
      </c>
      <c r="L3692">
        <v>3.7909821778450099E-2</v>
      </c>
      <c r="M3692" t="s">
        <v>23</v>
      </c>
      <c r="N3692">
        <v>6396000</v>
      </c>
      <c r="O3692">
        <v>3.6</v>
      </c>
      <c r="P3692" t="b">
        <v>1</v>
      </c>
    </row>
    <row r="3693" spans="1:16" x14ac:dyDescent="0.2">
      <c r="A3693" t="s">
        <v>6347</v>
      </c>
      <c r="B3693" s="1">
        <v>45626</v>
      </c>
      <c r="C3693" s="1">
        <v>45687</v>
      </c>
      <c r="D3693" t="s">
        <v>6348</v>
      </c>
      <c r="E3693" t="s">
        <v>33</v>
      </c>
      <c r="F3693" t="s">
        <v>39</v>
      </c>
      <c r="G3693" t="s">
        <v>20</v>
      </c>
      <c r="H3693" t="s">
        <v>47</v>
      </c>
      <c r="I3693" t="s">
        <v>60</v>
      </c>
      <c r="J3693">
        <v>1</v>
      </c>
      <c r="K3693">
        <v>2550000</v>
      </c>
      <c r="L3693">
        <v>6.10180955930908E-2</v>
      </c>
      <c r="M3693" t="s">
        <v>23</v>
      </c>
      <c r="N3693">
        <v>2394000</v>
      </c>
      <c r="O3693">
        <v>3.8</v>
      </c>
      <c r="P3693" t="b">
        <v>0</v>
      </c>
    </row>
    <row r="3694" spans="1:16" x14ac:dyDescent="0.2">
      <c r="A3694" t="s">
        <v>6349</v>
      </c>
      <c r="B3694" s="1">
        <v>45628</v>
      </c>
      <c r="C3694" s="1">
        <v>45668</v>
      </c>
      <c r="D3694" t="s">
        <v>995</v>
      </c>
      <c r="E3694" t="s">
        <v>45</v>
      </c>
      <c r="F3694" t="s">
        <v>25</v>
      </c>
      <c r="G3694" t="s">
        <v>20</v>
      </c>
      <c r="H3694" t="s">
        <v>21</v>
      </c>
      <c r="I3694" t="s">
        <v>83</v>
      </c>
      <c r="J3694">
        <v>3</v>
      </c>
      <c r="K3694">
        <v>4683000</v>
      </c>
      <c r="L3694">
        <v>8.4205385862831203E-2</v>
      </c>
      <c r="M3694" t="s">
        <v>23</v>
      </c>
      <c r="N3694">
        <v>12866000</v>
      </c>
      <c r="O3694">
        <v>3.3</v>
      </c>
      <c r="P3694" t="b">
        <v>1</v>
      </c>
    </row>
    <row r="3695" spans="1:16" x14ac:dyDescent="0.2">
      <c r="A3695" t="s">
        <v>6350</v>
      </c>
      <c r="B3695" s="1">
        <v>45628</v>
      </c>
      <c r="C3695" s="1">
        <v>45683</v>
      </c>
      <c r="D3695" t="s">
        <v>779</v>
      </c>
      <c r="E3695" t="s">
        <v>45</v>
      </c>
      <c r="F3695" t="s">
        <v>19</v>
      </c>
      <c r="G3695" t="s">
        <v>20</v>
      </c>
      <c r="H3695" t="s">
        <v>21</v>
      </c>
      <c r="I3695" t="s">
        <v>57</v>
      </c>
      <c r="J3695">
        <v>1</v>
      </c>
      <c r="K3695">
        <v>3103000</v>
      </c>
      <c r="L3695" s="3">
        <v>2.9000000000000001E-2</v>
      </c>
      <c r="M3695" t="s">
        <v>23</v>
      </c>
      <c r="N3695">
        <v>3011000</v>
      </c>
      <c r="O3695">
        <v>4</v>
      </c>
      <c r="P3695" t="b">
        <v>1</v>
      </c>
    </row>
    <row r="3696" spans="1:16" x14ac:dyDescent="0.2">
      <c r="A3696" t="s">
        <v>6351</v>
      </c>
      <c r="B3696" s="1">
        <v>45629</v>
      </c>
      <c r="C3696" s="1">
        <v>45672</v>
      </c>
      <c r="D3696" t="s">
        <v>677</v>
      </c>
      <c r="E3696" t="s">
        <v>45</v>
      </c>
      <c r="F3696" t="s">
        <v>19</v>
      </c>
      <c r="G3696" t="s">
        <v>50</v>
      </c>
      <c r="H3696" t="s">
        <v>40</v>
      </c>
      <c r="I3696" t="s">
        <v>99</v>
      </c>
      <c r="J3696">
        <v>1</v>
      </c>
      <c r="K3696">
        <v>2295000</v>
      </c>
      <c r="L3696">
        <v>7.9874186874946101E-2</v>
      </c>
      <c r="M3696" t="s">
        <v>65</v>
      </c>
      <c r="N3696">
        <v>0</v>
      </c>
      <c r="P3696" t="b">
        <v>1</v>
      </c>
    </row>
    <row r="3697" spans="1:16" x14ac:dyDescent="0.2">
      <c r="A3697" t="s">
        <v>6352</v>
      </c>
      <c r="B3697" s="1">
        <v>45629</v>
      </c>
      <c r="C3697" s="1">
        <v>45677</v>
      </c>
      <c r="D3697" t="s">
        <v>6259</v>
      </c>
      <c r="E3697" t="s">
        <v>33</v>
      </c>
      <c r="F3697" t="s">
        <v>34</v>
      </c>
      <c r="G3697" t="s">
        <v>50</v>
      </c>
      <c r="H3697" t="s">
        <v>47</v>
      </c>
      <c r="I3697" t="s">
        <v>26</v>
      </c>
      <c r="J3697">
        <v>3</v>
      </c>
      <c r="K3697">
        <v>4262000</v>
      </c>
      <c r="L3697">
        <v>8.3777029673711201E-2</v>
      </c>
      <c r="M3697" t="s">
        <v>23</v>
      </c>
      <c r="N3697">
        <v>11715000</v>
      </c>
      <c r="O3697">
        <v>4.0999999999999996</v>
      </c>
      <c r="P3697" t="b">
        <v>1</v>
      </c>
    </row>
    <row r="3698" spans="1:16" x14ac:dyDescent="0.2">
      <c r="A3698" t="s">
        <v>6353</v>
      </c>
      <c r="B3698" s="1">
        <v>45630</v>
      </c>
      <c r="C3698" s="1">
        <v>45667</v>
      </c>
      <c r="D3698" t="s">
        <v>582</v>
      </c>
      <c r="E3698" t="s">
        <v>33</v>
      </c>
      <c r="F3698" t="s">
        <v>39</v>
      </c>
      <c r="G3698" t="s">
        <v>50</v>
      </c>
      <c r="H3698" t="s">
        <v>21</v>
      </c>
      <c r="I3698" t="s">
        <v>99</v>
      </c>
      <c r="J3698">
        <v>1</v>
      </c>
      <c r="K3698">
        <v>1959000</v>
      </c>
      <c r="L3698" s="2" t="s">
        <v>6354</v>
      </c>
      <c r="M3698" t="s">
        <v>65</v>
      </c>
      <c r="N3698">
        <v>0</v>
      </c>
      <c r="P3698" t="b">
        <v>1</v>
      </c>
    </row>
    <row r="3699" spans="1:16" x14ac:dyDescent="0.2">
      <c r="A3699" t="s">
        <v>6355</v>
      </c>
      <c r="B3699" s="1">
        <v>45631</v>
      </c>
      <c r="C3699" s="1">
        <v>45649</v>
      </c>
      <c r="D3699" t="s">
        <v>4692</v>
      </c>
      <c r="E3699" t="s">
        <v>45</v>
      </c>
      <c r="F3699" t="s">
        <v>25</v>
      </c>
      <c r="G3699" t="s">
        <v>35</v>
      </c>
      <c r="H3699" t="s">
        <v>21</v>
      </c>
      <c r="I3699" t="s">
        <v>57</v>
      </c>
      <c r="J3699">
        <v>4</v>
      </c>
      <c r="K3699">
        <v>5286000</v>
      </c>
      <c r="L3699">
        <v>9.7519401915679593E-2</v>
      </c>
      <c r="M3699" t="s">
        <v>65</v>
      </c>
      <c r="N3699">
        <v>0</v>
      </c>
      <c r="P3699" t="b">
        <v>1</v>
      </c>
    </row>
    <row r="3700" spans="1:16" x14ac:dyDescent="0.2">
      <c r="A3700" t="s">
        <v>6356</v>
      </c>
      <c r="B3700" s="1">
        <v>45632</v>
      </c>
      <c r="C3700" s="1">
        <v>45687</v>
      </c>
      <c r="D3700" t="s">
        <v>6357</v>
      </c>
      <c r="E3700" t="s">
        <v>29</v>
      </c>
      <c r="F3700" t="s">
        <v>25</v>
      </c>
      <c r="G3700" t="s">
        <v>35</v>
      </c>
      <c r="H3700" t="s">
        <v>21</v>
      </c>
      <c r="I3700" t="s">
        <v>57</v>
      </c>
      <c r="J3700">
        <v>1</v>
      </c>
      <c r="K3700">
        <v>4615000</v>
      </c>
      <c r="L3700">
        <v>0</v>
      </c>
      <c r="M3700" t="s">
        <v>23</v>
      </c>
      <c r="N3700">
        <v>4615000</v>
      </c>
      <c r="O3700">
        <v>4.4000000000000004</v>
      </c>
      <c r="P3700" t="b">
        <v>0</v>
      </c>
    </row>
    <row r="3701" spans="1:16" x14ac:dyDescent="0.2">
      <c r="A3701" t="s">
        <v>6358</v>
      </c>
      <c r="B3701" s="1">
        <v>45634</v>
      </c>
      <c r="C3701" s="1">
        <v>45674</v>
      </c>
      <c r="D3701" t="s">
        <v>6168</v>
      </c>
      <c r="F3701" t="s">
        <v>19</v>
      </c>
      <c r="G3701" t="s">
        <v>50</v>
      </c>
      <c r="H3701" t="s">
        <v>47</v>
      </c>
      <c r="I3701" t="s">
        <v>99</v>
      </c>
      <c r="J3701">
        <v>3</v>
      </c>
      <c r="K3701">
        <v>2380000</v>
      </c>
      <c r="L3701" s="2" t="s">
        <v>6359</v>
      </c>
      <c r="M3701" t="s">
        <v>23</v>
      </c>
      <c r="N3701">
        <v>5936000</v>
      </c>
      <c r="O3701">
        <v>3.6</v>
      </c>
      <c r="P3701" t="b">
        <v>1</v>
      </c>
    </row>
    <row r="3702" spans="1:16" x14ac:dyDescent="0.2">
      <c r="A3702" t="s">
        <v>6360</v>
      </c>
      <c r="B3702" s="1">
        <v>45635</v>
      </c>
      <c r="C3702" s="1">
        <v>45717</v>
      </c>
      <c r="D3702" t="s">
        <v>6361</v>
      </c>
      <c r="E3702" t="s">
        <v>18</v>
      </c>
      <c r="F3702" t="s">
        <v>34</v>
      </c>
      <c r="G3702" t="s">
        <v>20</v>
      </c>
      <c r="I3702" t="s">
        <v>94</v>
      </c>
      <c r="J3702">
        <v>3</v>
      </c>
      <c r="K3702">
        <v>4334000</v>
      </c>
      <c r="L3702">
        <v>6.9351142887983899E-2</v>
      </c>
      <c r="M3702" t="s">
        <v>23</v>
      </c>
      <c r="N3702">
        <v>12100000</v>
      </c>
      <c r="O3702">
        <v>4.2</v>
      </c>
      <c r="P3702" t="b">
        <v>0</v>
      </c>
    </row>
    <row r="3703" spans="1:16" x14ac:dyDescent="0.2">
      <c r="A3703" t="s">
        <v>6362</v>
      </c>
      <c r="B3703" s="1">
        <v>45635</v>
      </c>
      <c r="C3703" s="1">
        <v>45698</v>
      </c>
      <c r="D3703" t="s">
        <v>6363</v>
      </c>
      <c r="E3703" t="s">
        <v>33</v>
      </c>
      <c r="F3703" t="s">
        <v>45</v>
      </c>
      <c r="G3703" t="s">
        <v>50</v>
      </c>
      <c r="H3703" t="s">
        <v>21</v>
      </c>
      <c r="I3703" t="s">
        <v>94</v>
      </c>
      <c r="J3703">
        <v>2</v>
      </c>
      <c r="K3703">
        <v>3368000</v>
      </c>
      <c r="L3703">
        <v>9.9027743101558097E-2</v>
      </c>
      <c r="M3703" t="s">
        <v>23</v>
      </c>
      <c r="N3703">
        <v>6069000</v>
      </c>
      <c r="O3703">
        <v>4.5</v>
      </c>
      <c r="P3703" t="b">
        <v>0</v>
      </c>
    </row>
    <row r="3704" spans="1:16" x14ac:dyDescent="0.2">
      <c r="A3704" t="s">
        <v>6364</v>
      </c>
      <c r="B3704" s="1">
        <v>45635</v>
      </c>
      <c r="C3704" s="1">
        <v>45715</v>
      </c>
      <c r="D3704" t="s">
        <v>6365</v>
      </c>
      <c r="E3704" t="s">
        <v>45</v>
      </c>
      <c r="F3704" t="s">
        <v>19</v>
      </c>
      <c r="G3704" t="s">
        <v>50</v>
      </c>
      <c r="H3704" t="s">
        <v>21</v>
      </c>
      <c r="I3704" t="s">
        <v>99</v>
      </c>
      <c r="J3704">
        <v>2</v>
      </c>
      <c r="K3704">
        <v>2552000</v>
      </c>
      <c r="L3704" s="2" t="s">
        <v>6366</v>
      </c>
      <c r="M3704" t="s">
        <v>23</v>
      </c>
      <c r="N3704">
        <v>4357000</v>
      </c>
      <c r="O3704">
        <v>4.5</v>
      </c>
      <c r="P3704" t="b">
        <v>0</v>
      </c>
    </row>
    <row r="3705" spans="1:16" x14ac:dyDescent="0.2">
      <c r="A3705" t="s">
        <v>6367</v>
      </c>
      <c r="B3705" s="1">
        <v>45636</v>
      </c>
      <c r="C3705" s="1">
        <v>45692</v>
      </c>
      <c r="D3705" t="s">
        <v>5906</v>
      </c>
      <c r="E3705" t="s">
        <v>33</v>
      </c>
      <c r="F3705" t="s">
        <v>45</v>
      </c>
      <c r="G3705" t="s">
        <v>20</v>
      </c>
      <c r="H3705" t="s">
        <v>47</v>
      </c>
      <c r="I3705" t="s">
        <v>26</v>
      </c>
      <c r="J3705">
        <v>1</v>
      </c>
      <c r="K3705">
        <v>3648000</v>
      </c>
      <c r="L3705">
        <v>5.0509478172382299E-2</v>
      </c>
      <c r="M3705" t="s">
        <v>23</v>
      </c>
      <c r="N3705">
        <v>3464000</v>
      </c>
      <c r="O3705">
        <v>3.5</v>
      </c>
      <c r="P3705" t="b">
        <v>1</v>
      </c>
    </row>
    <row r="3706" spans="1:16" x14ac:dyDescent="0.2">
      <c r="A3706" t="s">
        <v>6368</v>
      </c>
      <c r="B3706" s="1">
        <v>45638</v>
      </c>
      <c r="C3706" s="1">
        <v>45684</v>
      </c>
      <c r="D3706" t="s">
        <v>4853</v>
      </c>
      <c r="E3706" t="s">
        <v>18</v>
      </c>
      <c r="F3706" t="s">
        <v>25</v>
      </c>
      <c r="G3706" t="s">
        <v>20</v>
      </c>
      <c r="H3706" t="s">
        <v>21</v>
      </c>
      <c r="I3706" t="s">
        <v>22</v>
      </c>
      <c r="J3706">
        <v>4</v>
      </c>
      <c r="K3706">
        <v>4837000</v>
      </c>
      <c r="L3706">
        <v>8.0148387491081496E-2</v>
      </c>
      <c r="M3706" t="s">
        <v>23</v>
      </c>
      <c r="N3706">
        <v>17797000</v>
      </c>
      <c r="O3706">
        <v>4.9000000000000004</v>
      </c>
      <c r="P3706" t="b">
        <v>1</v>
      </c>
    </row>
    <row r="3707" spans="1:16" x14ac:dyDescent="0.2">
      <c r="A3707" t="s">
        <v>6369</v>
      </c>
      <c r="B3707" s="1">
        <v>45638</v>
      </c>
      <c r="C3707" s="1">
        <v>45660</v>
      </c>
      <c r="D3707" t="s">
        <v>3907</v>
      </c>
      <c r="E3707" t="s">
        <v>33</v>
      </c>
      <c r="F3707" t="s">
        <v>19</v>
      </c>
      <c r="G3707" t="s">
        <v>50</v>
      </c>
      <c r="H3707" t="s">
        <v>21</v>
      </c>
      <c r="J3707">
        <v>4</v>
      </c>
      <c r="K3707">
        <v>2608000</v>
      </c>
      <c r="L3707" s="2" t="s">
        <v>6370</v>
      </c>
      <c r="M3707" t="s">
        <v>23</v>
      </c>
      <c r="N3707">
        <v>8972000</v>
      </c>
      <c r="O3707">
        <v>4.2</v>
      </c>
      <c r="P3707" t="b">
        <v>1</v>
      </c>
    </row>
    <row r="3708" spans="1:16" x14ac:dyDescent="0.2">
      <c r="A3708" t="s">
        <v>6371</v>
      </c>
      <c r="B3708" s="1">
        <v>45639</v>
      </c>
      <c r="C3708" s="1">
        <v>45683</v>
      </c>
      <c r="D3708" t="s">
        <v>6372</v>
      </c>
      <c r="F3708" t="s">
        <v>34</v>
      </c>
      <c r="G3708" t="s">
        <v>20</v>
      </c>
      <c r="H3708" t="s">
        <v>51</v>
      </c>
      <c r="I3708" t="s">
        <v>94</v>
      </c>
      <c r="J3708">
        <v>2</v>
      </c>
      <c r="K3708">
        <v>4027000</v>
      </c>
      <c r="L3708" s="2" t="s">
        <v>6373</v>
      </c>
      <c r="M3708" t="s">
        <v>23</v>
      </c>
      <c r="N3708">
        <v>7020000</v>
      </c>
      <c r="O3708">
        <v>3.7</v>
      </c>
      <c r="P3708" t="b">
        <v>0</v>
      </c>
    </row>
    <row r="3709" spans="1:16" x14ac:dyDescent="0.2">
      <c r="A3709" t="s">
        <v>6374</v>
      </c>
      <c r="B3709" s="1">
        <v>45639</v>
      </c>
      <c r="C3709" s="1">
        <v>45731</v>
      </c>
      <c r="D3709" t="s">
        <v>6375</v>
      </c>
      <c r="E3709" t="s">
        <v>18</v>
      </c>
      <c r="F3709" t="s">
        <v>34</v>
      </c>
      <c r="G3709" t="s">
        <v>35</v>
      </c>
      <c r="H3709" t="s">
        <v>21</v>
      </c>
      <c r="I3709" t="s">
        <v>57</v>
      </c>
      <c r="J3709">
        <v>2</v>
      </c>
      <c r="K3709">
        <v>4175000</v>
      </c>
      <c r="L3709" s="2" t="s">
        <v>6376</v>
      </c>
      <c r="M3709" t="s">
        <v>23</v>
      </c>
      <c r="N3709">
        <v>7123000</v>
      </c>
      <c r="O3709">
        <v>3.7</v>
      </c>
      <c r="P3709" t="b">
        <v>0</v>
      </c>
    </row>
    <row r="3710" spans="1:16" x14ac:dyDescent="0.2">
      <c r="A3710" t="s">
        <v>6377</v>
      </c>
      <c r="B3710" s="1">
        <v>45639</v>
      </c>
      <c r="C3710" s="1">
        <v>45710</v>
      </c>
      <c r="D3710" t="s">
        <v>280</v>
      </c>
      <c r="E3710" t="s">
        <v>45</v>
      </c>
      <c r="F3710" t="s">
        <v>19</v>
      </c>
      <c r="G3710" t="s">
        <v>35</v>
      </c>
      <c r="H3710" t="s">
        <v>51</v>
      </c>
      <c r="I3710" t="s">
        <v>94</v>
      </c>
      <c r="J3710">
        <v>1</v>
      </c>
      <c r="K3710">
        <v>2947000</v>
      </c>
      <c r="L3710" s="2" t="s">
        <v>6378</v>
      </c>
      <c r="M3710" t="s">
        <v>23</v>
      </c>
      <c r="N3710">
        <v>2486000</v>
      </c>
      <c r="O3710">
        <v>3.8</v>
      </c>
      <c r="P3710" t="b">
        <v>1</v>
      </c>
    </row>
    <row r="3711" spans="1:16" x14ac:dyDescent="0.2">
      <c r="A3711" t="s">
        <v>6379</v>
      </c>
      <c r="B3711" s="1">
        <v>45639</v>
      </c>
      <c r="C3711" s="1">
        <v>45757</v>
      </c>
      <c r="D3711" t="s">
        <v>2705</v>
      </c>
      <c r="E3711" t="s">
        <v>33</v>
      </c>
      <c r="F3711" t="s">
        <v>34</v>
      </c>
      <c r="G3711" t="s">
        <v>20</v>
      </c>
      <c r="H3711" t="s">
        <v>21</v>
      </c>
      <c r="I3711" t="s">
        <v>22</v>
      </c>
      <c r="J3711">
        <v>1</v>
      </c>
      <c r="K3711">
        <v>3833000</v>
      </c>
      <c r="L3711">
        <v>0.142938821625055</v>
      </c>
      <c r="M3711" t="s">
        <v>23</v>
      </c>
      <c r="N3711">
        <v>3285000</v>
      </c>
      <c r="O3711">
        <v>4.8</v>
      </c>
      <c r="P3711" t="b">
        <v>1</v>
      </c>
    </row>
    <row r="3712" spans="1:16" x14ac:dyDescent="0.2">
      <c r="A3712" t="s">
        <v>6380</v>
      </c>
      <c r="B3712" s="1">
        <v>45640</v>
      </c>
      <c r="C3712" s="1">
        <v>45723</v>
      </c>
      <c r="D3712" t="s">
        <v>6381</v>
      </c>
      <c r="E3712" t="s">
        <v>18</v>
      </c>
      <c r="F3712" t="s">
        <v>19</v>
      </c>
      <c r="G3712" t="s">
        <v>50</v>
      </c>
      <c r="H3712" t="s">
        <v>47</v>
      </c>
      <c r="I3712" t="s">
        <v>30</v>
      </c>
      <c r="J3712">
        <v>2</v>
      </c>
      <c r="K3712">
        <v>2228000</v>
      </c>
      <c r="L3712">
        <v>9.9306527644756101E-2</v>
      </c>
      <c r="M3712" t="s">
        <v>23</v>
      </c>
      <c r="N3712">
        <v>4013000</v>
      </c>
      <c r="O3712">
        <v>5</v>
      </c>
      <c r="P3712" t="b">
        <v>0</v>
      </c>
    </row>
    <row r="3713" spans="1:16" x14ac:dyDescent="0.2">
      <c r="A3713" t="s">
        <v>6382</v>
      </c>
      <c r="B3713" s="1">
        <v>45640</v>
      </c>
      <c r="C3713" s="1">
        <v>45711</v>
      </c>
      <c r="D3713" t="s">
        <v>6277</v>
      </c>
      <c r="E3713" t="s">
        <v>45</v>
      </c>
      <c r="F3713" t="s">
        <v>34</v>
      </c>
      <c r="G3713" t="s">
        <v>50</v>
      </c>
      <c r="H3713" t="s">
        <v>40</v>
      </c>
      <c r="I3713" t="s">
        <v>99</v>
      </c>
      <c r="J3713">
        <v>1</v>
      </c>
      <c r="K3713">
        <v>4136000</v>
      </c>
      <c r="L3713" s="2" t="s">
        <v>6383</v>
      </c>
      <c r="M3713" t="s">
        <v>23</v>
      </c>
      <c r="N3713">
        <v>3585000</v>
      </c>
      <c r="O3713">
        <v>4.5</v>
      </c>
      <c r="P3713" t="b">
        <v>1</v>
      </c>
    </row>
    <row r="3714" spans="1:16" x14ac:dyDescent="0.2">
      <c r="A3714" t="s">
        <v>6384</v>
      </c>
      <c r="B3714" s="1">
        <v>45641</v>
      </c>
      <c r="C3714" s="1">
        <v>45664</v>
      </c>
      <c r="D3714" t="s">
        <v>6385</v>
      </c>
      <c r="E3714" t="s">
        <v>18</v>
      </c>
      <c r="F3714" t="s">
        <v>45</v>
      </c>
      <c r="G3714" t="s">
        <v>35</v>
      </c>
      <c r="H3714" t="s">
        <v>47</v>
      </c>
      <c r="I3714" t="s">
        <v>99</v>
      </c>
      <c r="J3714">
        <v>1</v>
      </c>
      <c r="K3714">
        <v>2898000</v>
      </c>
      <c r="L3714">
        <v>7.8224833547681796E-2</v>
      </c>
      <c r="M3714" t="s">
        <v>23</v>
      </c>
      <c r="N3714">
        <v>2671000</v>
      </c>
      <c r="O3714">
        <v>4.4000000000000004</v>
      </c>
      <c r="P3714" t="b">
        <v>0</v>
      </c>
    </row>
    <row r="3715" spans="1:16" x14ac:dyDescent="0.2">
      <c r="A3715" t="s">
        <v>6386</v>
      </c>
      <c r="B3715" s="1">
        <v>45641</v>
      </c>
      <c r="C3715" s="1">
        <v>45694</v>
      </c>
      <c r="D3715" t="s">
        <v>5918</v>
      </c>
      <c r="E3715" t="s">
        <v>45</v>
      </c>
      <c r="F3715" t="s">
        <v>39</v>
      </c>
      <c r="H3715" t="s">
        <v>21</v>
      </c>
      <c r="I3715" t="s">
        <v>22</v>
      </c>
      <c r="J3715">
        <v>3</v>
      </c>
      <c r="K3715">
        <v>2083000</v>
      </c>
      <c r="L3715" s="2" t="s">
        <v>6387</v>
      </c>
      <c r="M3715" t="s">
        <v>23</v>
      </c>
      <c r="N3715">
        <v>5945000</v>
      </c>
      <c r="O3715">
        <v>4</v>
      </c>
      <c r="P3715" t="b">
        <v>1</v>
      </c>
    </row>
    <row r="3716" spans="1:16" x14ac:dyDescent="0.2">
      <c r="A3716" t="s">
        <v>6388</v>
      </c>
      <c r="B3716" s="1">
        <v>45641</v>
      </c>
      <c r="C3716" s="1">
        <v>45710</v>
      </c>
      <c r="D3716" t="s">
        <v>6389</v>
      </c>
      <c r="E3716" t="s">
        <v>29</v>
      </c>
      <c r="F3716" t="s">
        <v>34</v>
      </c>
      <c r="G3716" t="s">
        <v>50</v>
      </c>
      <c r="H3716" t="s">
        <v>47</v>
      </c>
      <c r="I3716" t="s">
        <v>22</v>
      </c>
      <c r="J3716">
        <v>1</v>
      </c>
      <c r="K3716">
        <v>3547000</v>
      </c>
      <c r="L3716" s="3">
        <v>7.3999999999999996E-2</v>
      </c>
      <c r="M3716" t="s">
        <v>23</v>
      </c>
      <c r="N3716">
        <v>3283000</v>
      </c>
      <c r="O3716">
        <v>4.5999999999999996</v>
      </c>
      <c r="P3716" t="b">
        <v>0</v>
      </c>
    </row>
    <row r="3717" spans="1:16" x14ac:dyDescent="0.2">
      <c r="A3717" t="s">
        <v>6390</v>
      </c>
      <c r="B3717" s="1">
        <v>45641</v>
      </c>
      <c r="C3717" s="1">
        <v>45678</v>
      </c>
      <c r="D3717" t="s">
        <v>5721</v>
      </c>
      <c r="E3717" t="s">
        <v>45</v>
      </c>
      <c r="F3717" t="s">
        <v>45</v>
      </c>
      <c r="G3717" t="s">
        <v>50</v>
      </c>
      <c r="H3717" t="s">
        <v>21</v>
      </c>
      <c r="I3717" t="s">
        <v>57</v>
      </c>
      <c r="J3717">
        <v>1</v>
      </c>
      <c r="K3717">
        <v>3526000</v>
      </c>
      <c r="L3717">
        <v>9.4128009657476502E-2</v>
      </c>
      <c r="M3717" t="s">
        <v>23</v>
      </c>
      <c r="N3717">
        <v>3194000</v>
      </c>
      <c r="O3717">
        <v>4.9000000000000004</v>
      </c>
      <c r="P3717" t="b">
        <v>1</v>
      </c>
    </row>
    <row r="3718" spans="1:16" x14ac:dyDescent="0.2">
      <c r="A3718" t="s">
        <v>6391</v>
      </c>
      <c r="B3718" s="1">
        <v>45642</v>
      </c>
      <c r="C3718" s="1">
        <v>45707</v>
      </c>
      <c r="D3718" t="s">
        <v>2933</v>
      </c>
      <c r="E3718" t="s">
        <v>45</v>
      </c>
      <c r="F3718" t="s">
        <v>34</v>
      </c>
      <c r="G3718" t="s">
        <v>50</v>
      </c>
      <c r="H3718" t="s">
        <v>21</v>
      </c>
      <c r="I3718" t="s">
        <v>77</v>
      </c>
      <c r="J3718">
        <v>2</v>
      </c>
      <c r="K3718">
        <v>4428000</v>
      </c>
      <c r="L3718">
        <v>3.6669677697927401E-2</v>
      </c>
      <c r="M3718" t="s">
        <v>23</v>
      </c>
      <c r="N3718">
        <v>8531000</v>
      </c>
      <c r="O3718">
        <v>4</v>
      </c>
      <c r="P3718" t="b">
        <v>1</v>
      </c>
    </row>
    <row r="3719" spans="1:16" x14ac:dyDescent="0.2">
      <c r="A3719" t="s">
        <v>6392</v>
      </c>
      <c r="B3719" s="1">
        <v>45642</v>
      </c>
      <c r="C3719" s="1">
        <v>45721</v>
      </c>
      <c r="D3719" t="s">
        <v>853</v>
      </c>
      <c r="E3719" t="s">
        <v>33</v>
      </c>
      <c r="F3719" t="s">
        <v>39</v>
      </c>
      <c r="G3719" t="s">
        <v>20</v>
      </c>
      <c r="H3719" t="s">
        <v>21</v>
      </c>
      <c r="I3719" t="s">
        <v>57</v>
      </c>
      <c r="J3719">
        <v>3</v>
      </c>
      <c r="K3719">
        <v>2580000</v>
      </c>
      <c r="L3719">
        <v>8.8825548323249903E-2</v>
      </c>
      <c r="M3719" t="s">
        <v>23</v>
      </c>
      <c r="N3719">
        <v>7052000</v>
      </c>
      <c r="O3719">
        <v>4.0999999999999996</v>
      </c>
      <c r="P3719" t="b">
        <v>1</v>
      </c>
    </row>
    <row r="3720" spans="1:16" x14ac:dyDescent="0.2">
      <c r="A3720" t="s">
        <v>6393</v>
      </c>
      <c r="B3720" s="1">
        <v>45643</v>
      </c>
      <c r="C3720" s="1">
        <v>45646</v>
      </c>
      <c r="D3720" t="s">
        <v>654</v>
      </c>
      <c r="E3720" t="s">
        <v>18</v>
      </c>
      <c r="F3720" t="s">
        <v>34</v>
      </c>
      <c r="G3720" t="s">
        <v>20</v>
      </c>
      <c r="H3720" t="s">
        <v>51</v>
      </c>
      <c r="I3720" t="s">
        <v>52</v>
      </c>
      <c r="J3720">
        <v>2</v>
      </c>
      <c r="K3720">
        <v>3538000</v>
      </c>
      <c r="L3720" s="2" t="s">
        <v>6394</v>
      </c>
      <c r="M3720" t="s">
        <v>1673</v>
      </c>
      <c r="N3720">
        <v>5975000</v>
      </c>
      <c r="O3720">
        <v>4.3</v>
      </c>
      <c r="P3720" t="b">
        <v>1</v>
      </c>
    </row>
    <row r="3721" spans="1:16" x14ac:dyDescent="0.2">
      <c r="A3721" t="s">
        <v>6395</v>
      </c>
      <c r="B3721" s="1">
        <v>45643</v>
      </c>
      <c r="C3721" s="1">
        <v>45668</v>
      </c>
      <c r="D3721" t="s">
        <v>105</v>
      </c>
      <c r="E3721" t="s">
        <v>18</v>
      </c>
      <c r="F3721" t="s">
        <v>45</v>
      </c>
      <c r="H3721" t="s">
        <v>21</v>
      </c>
      <c r="J3721">
        <v>5</v>
      </c>
      <c r="K3721">
        <v>3185000</v>
      </c>
      <c r="L3721" s="2" t="s">
        <v>6396</v>
      </c>
      <c r="M3721" t="s">
        <v>23</v>
      </c>
      <c r="N3721">
        <v>14243000</v>
      </c>
      <c r="O3721">
        <v>4.0999999999999996</v>
      </c>
      <c r="P3721" t="b">
        <v>1</v>
      </c>
    </row>
    <row r="3722" spans="1:16" x14ac:dyDescent="0.2">
      <c r="A3722" t="s">
        <v>6397</v>
      </c>
      <c r="B3722" s="1">
        <v>45643</v>
      </c>
      <c r="C3722" s="1">
        <v>45681</v>
      </c>
      <c r="D3722" t="s">
        <v>3925</v>
      </c>
      <c r="E3722" t="s">
        <v>18</v>
      </c>
      <c r="F3722" t="s">
        <v>19</v>
      </c>
      <c r="G3722" t="s">
        <v>20</v>
      </c>
      <c r="H3722" t="s">
        <v>40</v>
      </c>
      <c r="I3722" t="s">
        <v>77</v>
      </c>
      <c r="J3722">
        <v>1</v>
      </c>
      <c r="K3722">
        <v>2694000</v>
      </c>
      <c r="L3722" s="2" t="s">
        <v>6398</v>
      </c>
      <c r="M3722" t="s">
        <v>23</v>
      </c>
      <c r="N3722">
        <v>2335000</v>
      </c>
      <c r="O3722">
        <v>4</v>
      </c>
      <c r="P3722" t="b">
        <v>1</v>
      </c>
    </row>
    <row r="3723" spans="1:16" x14ac:dyDescent="0.2">
      <c r="A3723" t="s">
        <v>6399</v>
      </c>
      <c r="B3723" s="1">
        <v>45644</v>
      </c>
      <c r="C3723" s="1">
        <v>45691</v>
      </c>
      <c r="D3723" t="s">
        <v>487</v>
      </c>
      <c r="E3723" t="s">
        <v>29</v>
      </c>
      <c r="F3723" t="s">
        <v>34</v>
      </c>
      <c r="G3723" t="s">
        <v>35</v>
      </c>
      <c r="H3723" t="s">
        <v>21</v>
      </c>
      <c r="I3723" t="s">
        <v>30</v>
      </c>
      <c r="J3723">
        <v>1</v>
      </c>
      <c r="K3723">
        <v>3885000</v>
      </c>
      <c r="L3723">
        <v>0</v>
      </c>
      <c r="M3723" t="s">
        <v>23</v>
      </c>
      <c r="N3723">
        <v>3885000</v>
      </c>
      <c r="O3723">
        <v>4.3</v>
      </c>
      <c r="P3723" t="b">
        <v>1</v>
      </c>
    </row>
    <row r="3724" spans="1:16" x14ac:dyDescent="0.2">
      <c r="A3724" t="s">
        <v>6400</v>
      </c>
      <c r="B3724" s="1">
        <v>45645</v>
      </c>
      <c r="C3724" s="1">
        <v>45666</v>
      </c>
      <c r="D3724" t="s">
        <v>5094</v>
      </c>
      <c r="E3724" t="s">
        <v>33</v>
      </c>
      <c r="F3724" t="s">
        <v>19</v>
      </c>
      <c r="G3724" t="s">
        <v>20</v>
      </c>
      <c r="H3724" t="s">
        <v>47</v>
      </c>
      <c r="I3724" t="s">
        <v>60</v>
      </c>
      <c r="J3724">
        <v>2</v>
      </c>
      <c r="K3724">
        <v>2741000</v>
      </c>
      <c r="L3724" s="2" t="s">
        <v>6401</v>
      </c>
      <c r="M3724" t="s">
        <v>23</v>
      </c>
      <c r="N3724">
        <v>4587000</v>
      </c>
      <c r="O3724">
        <v>3.8</v>
      </c>
      <c r="P3724" t="b">
        <v>1</v>
      </c>
    </row>
    <row r="3725" spans="1:16" x14ac:dyDescent="0.2">
      <c r="A3725" t="s">
        <v>6402</v>
      </c>
      <c r="B3725" s="1">
        <v>45645</v>
      </c>
      <c r="C3725" s="1">
        <v>45694</v>
      </c>
      <c r="D3725" t="s">
        <v>2868</v>
      </c>
      <c r="E3725" t="s">
        <v>29</v>
      </c>
      <c r="F3725" t="s">
        <v>39</v>
      </c>
      <c r="G3725" t="s">
        <v>20</v>
      </c>
      <c r="H3725" t="s">
        <v>21</v>
      </c>
      <c r="I3725" t="s">
        <v>60</v>
      </c>
      <c r="J3725">
        <v>1</v>
      </c>
      <c r="K3725">
        <v>2529000</v>
      </c>
      <c r="L3725" s="2" t="s">
        <v>6403</v>
      </c>
      <c r="M3725" t="s">
        <v>23</v>
      </c>
      <c r="N3725">
        <v>2266000</v>
      </c>
      <c r="O3725">
        <v>4.5</v>
      </c>
      <c r="P3725" t="b">
        <v>1</v>
      </c>
    </row>
    <row r="3726" spans="1:16" x14ac:dyDescent="0.2">
      <c r="A3726" t="s">
        <v>6404</v>
      </c>
      <c r="B3726" s="1">
        <v>45647</v>
      </c>
      <c r="C3726" s="1">
        <v>45663</v>
      </c>
      <c r="D3726" t="s">
        <v>6405</v>
      </c>
      <c r="E3726" t="s">
        <v>45</v>
      </c>
      <c r="F3726" t="s">
        <v>34</v>
      </c>
      <c r="G3726" t="s">
        <v>35</v>
      </c>
      <c r="H3726" t="s">
        <v>21</v>
      </c>
      <c r="I3726" t="s">
        <v>94</v>
      </c>
      <c r="J3726">
        <v>2</v>
      </c>
      <c r="K3726">
        <v>4076000</v>
      </c>
      <c r="L3726">
        <v>9.1646117491079704E-2</v>
      </c>
      <c r="M3726" t="s">
        <v>23</v>
      </c>
      <c r="N3726">
        <v>7405000</v>
      </c>
      <c r="O3726">
        <v>3.9</v>
      </c>
      <c r="P3726" t="b">
        <v>0</v>
      </c>
    </row>
    <row r="3727" spans="1:16" x14ac:dyDescent="0.2">
      <c r="A3727" t="s">
        <v>6406</v>
      </c>
      <c r="B3727" s="1">
        <v>45647</v>
      </c>
      <c r="C3727" s="1">
        <v>45699</v>
      </c>
      <c r="D3727" t="s">
        <v>6407</v>
      </c>
      <c r="F3727" t="s">
        <v>34</v>
      </c>
      <c r="G3727" t="s">
        <v>20</v>
      </c>
      <c r="H3727" t="s">
        <v>21</v>
      </c>
      <c r="I3727" t="s">
        <v>99</v>
      </c>
      <c r="J3727">
        <v>1</v>
      </c>
      <c r="K3727">
        <v>3868000</v>
      </c>
      <c r="L3727">
        <v>5.9225211445453001E-2</v>
      </c>
      <c r="M3727" t="s">
        <v>23</v>
      </c>
      <c r="N3727">
        <v>3639000</v>
      </c>
      <c r="O3727">
        <v>3.9</v>
      </c>
      <c r="P3727" t="b">
        <v>0</v>
      </c>
    </row>
    <row r="3728" spans="1:16" x14ac:dyDescent="0.2">
      <c r="A3728" t="s">
        <v>6408</v>
      </c>
      <c r="B3728" s="1">
        <v>45647</v>
      </c>
      <c r="C3728" s="1">
        <v>45698</v>
      </c>
      <c r="D3728" t="s">
        <v>1324</v>
      </c>
      <c r="E3728" t="s">
        <v>29</v>
      </c>
      <c r="F3728" t="s">
        <v>34</v>
      </c>
      <c r="G3728" t="s">
        <v>20</v>
      </c>
      <c r="H3728" t="s">
        <v>21</v>
      </c>
      <c r="J3728">
        <v>2</v>
      </c>
      <c r="K3728">
        <v>4449000</v>
      </c>
      <c r="L3728">
        <v>6.7899827238464494E-2</v>
      </c>
      <c r="M3728" t="s">
        <v>23</v>
      </c>
      <c r="N3728">
        <v>8294000</v>
      </c>
      <c r="O3728">
        <v>4.7</v>
      </c>
      <c r="P3728" t="b">
        <v>1</v>
      </c>
    </row>
    <row r="3729" spans="1:16" x14ac:dyDescent="0.2">
      <c r="A3729" t="s">
        <v>6409</v>
      </c>
      <c r="B3729" s="1">
        <v>45648</v>
      </c>
      <c r="C3729" s="1">
        <v>45666</v>
      </c>
      <c r="D3729" t="s">
        <v>6410</v>
      </c>
      <c r="E3729" t="s">
        <v>29</v>
      </c>
      <c r="F3729" t="s">
        <v>45</v>
      </c>
      <c r="G3729" t="s">
        <v>20</v>
      </c>
      <c r="H3729" t="s">
        <v>21</v>
      </c>
      <c r="I3729" t="s">
        <v>52</v>
      </c>
      <c r="J3729">
        <v>2</v>
      </c>
      <c r="K3729">
        <v>2957000</v>
      </c>
      <c r="L3729" s="2" t="s">
        <v>6411</v>
      </c>
      <c r="M3729" t="s">
        <v>23</v>
      </c>
      <c r="N3729">
        <v>5552000</v>
      </c>
      <c r="O3729">
        <v>3.7</v>
      </c>
      <c r="P3729" t="b">
        <v>0</v>
      </c>
    </row>
    <row r="3730" spans="1:16" x14ac:dyDescent="0.2">
      <c r="A3730" t="s">
        <v>6412</v>
      </c>
      <c r="B3730" s="1">
        <v>45648</v>
      </c>
      <c r="C3730" s="1">
        <v>45693</v>
      </c>
      <c r="D3730" t="s">
        <v>4778</v>
      </c>
      <c r="E3730" t="s">
        <v>45</v>
      </c>
      <c r="F3730" t="s">
        <v>45</v>
      </c>
      <c r="G3730" t="s">
        <v>20</v>
      </c>
      <c r="H3730" t="s">
        <v>21</v>
      </c>
      <c r="I3730" t="s">
        <v>77</v>
      </c>
      <c r="J3730">
        <v>4</v>
      </c>
      <c r="K3730">
        <v>3694000</v>
      </c>
      <c r="L3730" s="2" t="s">
        <v>6413</v>
      </c>
      <c r="M3730" t="s">
        <v>23</v>
      </c>
      <c r="N3730">
        <v>13049000</v>
      </c>
      <c r="O3730">
        <v>4.5999999999999996</v>
      </c>
      <c r="P3730" t="b">
        <v>1</v>
      </c>
    </row>
    <row r="3731" spans="1:16" x14ac:dyDescent="0.2">
      <c r="A3731" t="s">
        <v>6414</v>
      </c>
      <c r="B3731" s="1">
        <v>45648</v>
      </c>
      <c r="C3731" s="1">
        <v>45711</v>
      </c>
      <c r="D3731" t="s">
        <v>6415</v>
      </c>
      <c r="E3731" t="s">
        <v>33</v>
      </c>
      <c r="F3731" t="s">
        <v>39</v>
      </c>
      <c r="G3731" t="s">
        <v>35</v>
      </c>
      <c r="H3731" t="s">
        <v>51</v>
      </c>
      <c r="I3731" t="s">
        <v>26</v>
      </c>
      <c r="J3731">
        <v>1</v>
      </c>
      <c r="K3731">
        <v>2425000</v>
      </c>
      <c r="L3731">
        <v>8.9579070972679406E-2</v>
      </c>
      <c r="M3731" t="s">
        <v>65</v>
      </c>
      <c r="N3731">
        <v>0</v>
      </c>
      <c r="P3731" t="b">
        <v>0</v>
      </c>
    </row>
    <row r="3732" spans="1:16" x14ac:dyDescent="0.2">
      <c r="A3732" t="s">
        <v>6416</v>
      </c>
      <c r="B3732" s="1">
        <v>45649</v>
      </c>
      <c r="C3732" s="1">
        <v>45700</v>
      </c>
      <c r="D3732" t="s">
        <v>1068</v>
      </c>
      <c r="E3732" t="s">
        <v>33</v>
      </c>
      <c r="F3732" t="s">
        <v>34</v>
      </c>
      <c r="G3732" t="s">
        <v>20</v>
      </c>
      <c r="H3732" t="s">
        <v>47</v>
      </c>
      <c r="I3732" t="s">
        <v>60</v>
      </c>
      <c r="J3732">
        <v>1</v>
      </c>
      <c r="K3732">
        <v>5021000</v>
      </c>
      <c r="L3732">
        <v>5.4023845295674403E-2</v>
      </c>
      <c r="M3732" t="s">
        <v>23</v>
      </c>
      <c r="N3732">
        <v>4750000</v>
      </c>
      <c r="O3732">
        <v>3.1</v>
      </c>
      <c r="P3732" t="b">
        <v>1</v>
      </c>
    </row>
    <row r="3733" spans="1:16" x14ac:dyDescent="0.2">
      <c r="A3733" t="s">
        <v>6417</v>
      </c>
      <c r="B3733" s="1">
        <v>45649</v>
      </c>
      <c r="C3733" s="1">
        <v>45666</v>
      </c>
      <c r="D3733" t="s">
        <v>3566</v>
      </c>
      <c r="E3733" t="s">
        <v>33</v>
      </c>
      <c r="F3733" t="s">
        <v>19</v>
      </c>
      <c r="H3733" t="s">
        <v>21</v>
      </c>
      <c r="I3733" t="s">
        <v>99</v>
      </c>
      <c r="J3733">
        <v>1</v>
      </c>
      <c r="K3733">
        <v>2279000</v>
      </c>
      <c r="L3733">
        <v>8.1652136199289099E-2</v>
      </c>
      <c r="M3733" t="s">
        <v>23</v>
      </c>
      <c r="N3733">
        <v>2093000</v>
      </c>
      <c r="O3733">
        <v>4.3</v>
      </c>
      <c r="P3733" t="b">
        <v>1</v>
      </c>
    </row>
    <row r="3734" spans="1:16" x14ac:dyDescent="0.2">
      <c r="A3734" t="s">
        <v>6418</v>
      </c>
      <c r="B3734" s="1">
        <v>45649</v>
      </c>
      <c r="C3734" s="1">
        <v>45649</v>
      </c>
      <c r="D3734" t="s">
        <v>183</v>
      </c>
      <c r="E3734" t="s">
        <v>45</v>
      </c>
      <c r="F3734" t="s">
        <v>34</v>
      </c>
      <c r="G3734" t="s">
        <v>46</v>
      </c>
      <c r="H3734" t="s">
        <v>21</v>
      </c>
      <c r="I3734" t="s">
        <v>77</v>
      </c>
      <c r="J3734">
        <v>5</v>
      </c>
      <c r="K3734">
        <v>3978000</v>
      </c>
      <c r="L3734">
        <v>7.0159938482514297E-2</v>
      </c>
      <c r="M3734" t="s">
        <v>23</v>
      </c>
      <c r="N3734">
        <v>18495000</v>
      </c>
      <c r="O3734">
        <v>3.7</v>
      </c>
      <c r="P3734" t="b">
        <v>1</v>
      </c>
    </row>
    <row r="3735" spans="1:16" x14ac:dyDescent="0.2">
      <c r="A3735" t="s">
        <v>6419</v>
      </c>
      <c r="B3735" s="1">
        <v>45649</v>
      </c>
      <c r="C3735" s="1">
        <v>45726</v>
      </c>
      <c r="D3735" t="s">
        <v>2029</v>
      </c>
      <c r="E3735" t="s">
        <v>33</v>
      </c>
      <c r="F3735" t="s">
        <v>45</v>
      </c>
      <c r="G3735" t="s">
        <v>20</v>
      </c>
      <c r="H3735" t="s">
        <v>21</v>
      </c>
      <c r="I3735" t="s">
        <v>77</v>
      </c>
      <c r="J3735">
        <v>1</v>
      </c>
      <c r="K3735">
        <v>3359000</v>
      </c>
      <c r="L3735">
        <v>7.4440661534340993E-2</v>
      </c>
      <c r="M3735" t="s">
        <v>23</v>
      </c>
      <c r="N3735">
        <v>3109000</v>
      </c>
      <c r="O3735">
        <v>4.3</v>
      </c>
      <c r="P3735" t="b">
        <v>1</v>
      </c>
    </row>
    <row r="3736" spans="1:16" x14ac:dyDescent="0.2">
      <c r="A3736" t="s">
        <v>6420</v>
      </c>
      <c r="B3736" s="1">
        <v>45649</v>
      </c>
      <c r="C3736" s="1">
        <v>45671</v>
      </c>
      <c r="D3736" t="s">
        <v>2259</v>
      </c>
      <c r="E3736" t="s">
        <v>29</v>
      </c>
      <c r="F3736" t="s">
        <v>25</v>
      </c>
      <c r="G3736" t="s">
        <v>50</v>
      </c>
      <c r="H3736" t="s">
        <v>21</v>
      </c>
      <c r="I3736" t="s">
        <v>99</v>
      </c>
      <c r="J3736">
        <v>3</v>
      </c>
      <c r="K3736">
        <v>4476000</v>
      </c>
      <c r="L3736">
        <v>8.5850734365302203E-2</v>
      </c>
      <c r="M3736" t="s">
        <v>23</v>
      </c>
      <c r="N3736">
        <v>12275000</v>
      </c>
      <c r="O3736">
        <v>4.3</v>
      </c>
      <c r="P3736" t="b">
        <v>1</v>
      </c>
    </row>
    <row r="3737" spans="1:16" x14ac:dyDescent="0.2">
      <c r="A3737" t="s">
        <v>6421</v>
      </c>
      <c r="B3737" s="1">
        <v>45650</v>
      </c>
      <c r="C3737" s="1">
        <v>45681</v>
      </c>
      <c r="D3737" t="s">
        <v>6422</v>
      </c>
      <c r="E3737" t="s">
        <v>33</v>
      </c>
      <c r="F3737" t="s">
        <v>19</v>
      </c>
      <c r="H3737" t="s">
        <v>40</v>
      </c>
      <c r="I3737" t="s">
        <v>77</v>
      </c>
      <c r="J3737">
        <v>3</v>
      </c>
      <c r="K3737">
        <v>2721000</v>
      </c>
      <c r="L3737">
        <v>8.4428888883942704E-2</v>
      </c>
      <c r="M3737" t="s">
        <v>23</v>
      </c>
      <c r="N3737">
        <v>7474000</v>
      </c>
      <c r="O3737">
        <v>4.8</v>
      </c>
      <c r="P3737" t="b">
        <v>0</v>
      </c>
    </row>
    <row r="3738" spans="1:16" x14ac:dyDescent="0.2">
      <c r="A3738" t="s">
        <v>6423</v>
      </c>
      <c r="B3738" s="1">
        <v>45650</v>
      </c>
      <c r="C3738" s="1">
        <v>45732</v>
      </c>
      <c r="D3738" t="s">
        <v>4448</v>
      </c>
      <c r="E3738" t="s">
        <v>29</v>
      </c>
      <c r="F3738" t="s">
        <v>25</v>
      </c>
      <c r="G3738" t="s">
        <v>20</v>
      </c>
      <c r="H3738" t="s">
        <v>51</v>
      </c>
      <c r="I3738" t="s">
        <v>83</v>
      </c>
      <c r="J3738">
        <v>1</v>
      </c>
      <c r="K3738">
        <v>4511000</v>
      </c>
      <c r="L3738">
        <v>7.17963465895501E-2</v>
      </c>
      <c r="M3738" t="s">
        <v>23</v>
      </c>
      <c r="N3738">
        <v>4187000</v>
      </c>
      <c r="O3738">
        <v>4.5999999999999996</v>
      </c>
      <c r="P3738" t="b">
        <v>1</v>
      </c>
    </row>
    <row r="3739" spans="1:16" x14ac:dyDescent="0.2">
      <c r="A3739" t="s">
        <v>6424</v>
      </c>
      <c r="B3739" s="1">
        <v>45651</v>
      </c>
      <c r="C3739" s="1">
        <v>45706</v>
      </c>
      <c r="D3739" t="s">
        <v>410</v>
      </c>
      <c r="E3739" t="s">
        <v>18</v>
      </c>
      <c r="F3739" t="s">
        <v>19</v>
      </c>
      <c r="G3739" t="s">
        <v>35</v>
      </c>
      <c r="I3739" t="s">
        <v>77</v>
      </c>
      <c r="J3739">
        <v>2</v>
      </c>
      <c r="K3739">
        <v>2816000</v>
      </c>
      <c r="L3739">
        <v>8.8772158800485904E-2</v>
      </c>
      <c r="M3739" t="s">
        <v>23</v>
      </c>
      <c r="N3739">
        <v>5132000</v>
      </c>
      <c r="O3739">
        <v>3.3</v>
      </c>
      <c r="P3739" t="b">
        <v>1</v>
      </c>
    </row>
    <row r="3740" spans="1:16" x14ac:dyDescent="0.2">
      <c r="A3740" t="s">
        <v>6425</v>
      </c>
      <c r="B3740" s="1">
        <v>45653</v>
      </c>
      <c r="C3740" s="1">
        <v>45755</v>
      </c>
      <c r="D3740" t="s">
        <v>5227</v>
      </c>
      <c r="E3740" t="s">
        <v>45</v>
      </c>
      <c r="F3740" t="s">
        <v>39</v>
      </c>
      <c r="G3740" t="s">
        <v>35</v>
      </c>
      <c r="H3740" t="s">
        <v>47</v>
      </c>
      <c r="I3740" t="s">
        <v>22</v>
      </c>
      <c r="J3740">
        <v>1</v>
      </c>
      <c r="K3740">
        <v>2224000</v>
      </c>
      <c r="L3740" s="2" t="s">
        <v>6426</v>
      </c>
      <c r="M3740" t="s">
        <v>23</v>
      </c>
      <c r="N3740">
        <v>2198000</v>
      </c>
      <c r="O3740">
        <v>4.0999999999999996</v>
      </c>
      <c r="P3740" t="b">
        <v>1</v>
      </c>
    </row>
    <row r="3741" spans="1:16" x14ac:dyDescent="0.2">
      <c r="A3741" t="s">
        <v>6427</v>
      </c>
      <c r="B3741" s="1">
        <v>45654</v>
      </c>
      <c r="C3741" s="1">
        <v>45723</v>
      </c>
      <c r="D3741" t="s">
        <v>6428</v>
      </c>
      <c r="E3741" t="s">
        <v>45</v>
      </c>
      <c r="F3741" t="s">
        <v>39</v>
      </c>
      <c r="G3741" t="s">
        <v>50</v>
      </c>
      <c r="H3741" t="s">
        <v>40</v>
      </c>
      <c r="I3741" t="s">
        <v>60</v>
      </c>
      <c r="J3741">
        <v>1</v>
      </c>
      <c r="K3741">
        <v>2675000</v>
      </c>
      <c r="L3741">
        <v>8.5078514976745304E-2</v>
      </c>
      <c r="M3741" t="s">
        <v>23</v>
      </c>
      <c r="N3741">
        <v>2447000</v>
      </c>
      <c r="O3741">
        <v>4.9000000000000004</v>
      </c>
      <c r="P3741" t="b">
        <v>0</v>
      </c>
    </row>
    <row r="3742" spans="1:16" x14ac:dyDescent="0.2">
      <c r="A3742" t="s">
        <v>6429</v>
      </c>
      <c r="B3742" s="1">
        <v>45654</v>
      </c>
      <c r="C3742" s="1">
        <v>45726</v>
      </c>
      <c r="D3742" t="s">
        <v>6430</v>
      </c>
      <c r="E3742" t="s">
        <v>33</v>
      </c>
      <c r="F3742" t="s">
        <v>34</v>
      </c>
      <c r="G3742" t="s">
        <v>20</v>
      </c>
      <c r="H3742" t="s">
        <v>51</v>
      </c>
      <c r="I3742" t="s">
        <v>22</v>
      </c>
      <c r="J3742">
        <v>1</v>
      </c>
      <c r="K3742">
        <v>3235000</v>
      </c>
      <c r="L3742" s="3">
        <v>0.17699999999999999</v>
      </c>
      <c r="M3742" t="s">
        <v>23</v>
      </c>
      <c r="N3742">
        <v>2664000</v>
      </c>
      <c r="O3742">
        <v>4.3</v>
      </c>
      <c r="P3742" t="b">
        <v>0</v>
      </c>
    </row>
    <row r="3743" spans="1:16" x14ac:dyDescent="0.2">
      <c r="A3743" t="s">
        <v>6431</v>
      </c>
      <c r="B3743" s="1">
        <v>45654</v>
      </c>
      <c r="C3743" s="1">
        <v>45711</v>
      </c>
      <c r="D3743" t="s">
        <v>4504</v>
      </c>
      <c r="E3743" t="s">
        <v>33</v>
      </c>
      <c r="F3743" t="s">
        <v>45</v>
      </c>
      <c r="G3743" t="s">
        <v>50</v>
      </c>
      <c r="H3743" t="s">
        <v>21</v>
      </c>
      <c r="I3743" t="s">
        <v>22</v>
      </c>
      <c r="J3743">
        <v>2</v>
      </c>
      <c r="K3743">
        <v>3299000</v>
      </c>
      <c r="L3743" s="2" t="s">
        <v>6432</v>
      </c>
      <c r="M3743" t="s">
        <v>23</v>
      </c>
      <c r="N3743">
        <v>5522000</v>
      </c>
      <c r="O3743">
        <v>4.9000000000000004</v>
      </c>
      <c r="P3743" t="b">
        <v>1</v>
      </c>
    </row>
    <row r="3744" spans="1:16" x14ac:dyDescent="0.2">
      <c r="A3744" t="s">
        <v>6433</v>
      </c>
      <c r="B3744" s="1">
        <v>45654</v>
      </c>
      <c r="C3744" s="1">
        <v>45674</v>
      </c>
      <c r="D3744" t="s">
        <v>4209</v>
      </c>
      <c r="E3744" t="s">
        <v>18</v>
      </c>
      <c r="F3744" t="s">
        <v>45</v>
      </c>
      <c r="G3744" t="s">
        <v>20</v>
      </c>
      <c r="H3744" t="s">
        <v>40</v>
      </c>
      <c r="I3744" t="s">
        <v>26</v>
      </c>
      <c r="J3744">
        <v>1</v>
      </c>
      <c r="K3744">
        <v>3367000</v>
      </c>
      <c r="L3744" s="2" t="s">
        <v>6434</v>
      </c>
      <c r="M3744" t="s">
        <v>23</v>
      </c>
      <c r="N3744">
        <v>2939000</v>
      </c>
      <c r="O3744">
        <v>4.7</v>
      </c>
      <c r="P3744" t="b">
        <v>1</v>
      </c>
    </row>
    <row r="3745" spans="1:16" x14ac:dyDescent="0.2">
      <c r="A3745" t="s">
        <v>6435</v>
      </c>
      <c r="B3745" s="1">
        <v>45655</v>
      </c>
      <c r="C3745" s="1">
        <v>45751</v>
      </c>
      <c r="D3745" t="s">
        <v>6436</v>
      </c>
      <c r="E3745" t="s">
        <v>29</v>
      </c>
      <c r="F3745" t="s">
        <v>25</v>
      </c>
      <c r="H3745" t="s">
        <v>21</v>
      </c>
      <c r="I3745" t="s">
        <v>22</v>
      </c>
      <c r="J3745">
        <v>1</v>
      </c>
      <c r="K3745">
        <v>4918000</v>
      </c>
      <c r="L3745">
        <v>8.1583202648443404E-2</v>
      </c>
      <c r="M3745" t="s">
        <v>23</v>
      </c>
      <c r="N3745">
        <v>4517000</v>
      </c>
      <c r="O3745">
        <v>3.6</v>
      </c>
      <c r="P3745" t="b">
        <v>0</v>
      </c>
    </row>
    <row r="3746" spans="1:16" x14ac:dyDescent="0.2">
      <c r="A3746" t="s">
        <v>6437</v>
      </c>
      <c r="B3746" s="1">
        <v>45655</v>
      </c>
      <c r="C3746" s="1">
        <v>45735</v>
      </c>
      <c r="D3746" t="s">
        <v>6438</v>
      </c>
      <c r="E3746" t="s">
        <v>18</v>
      </c>
      <c r="F3746" t="s">
        <v>34</v>
      </c>
      <c r="G3746" t="s">
        <v>20</v>
      </c>
      <c r="H3746" t="s">
        <v>21</v>
      </c>
      <c r="I3746" t="s">
        <v>22</v>
      </c>
      <c r="J3746">
        <v>3</v>
      </c>
      <c r="K3746">
        <v>3256000</v>
      </c>
      <c r="L3746">
        <v>7.4980009569807396E-2</v>
      </c>
      <c r="M3746" t="s">
        <v>65</v>
      </c>
      <c r="N3746">
        <v>0</v>
      </c>
      <c r="P3746" t="b">
        <v>0</v>
      </c>
    </row>
    <row r="3747" spans="1:16" x14ac:dyDescent="0.2">
      <c r="A3747" t="s">
        <v>6439</v>
      </c>
      <c r="B3747" s="1">
        <v>45655</v>
      </c>
      <c r="C3747" s="1">
        <v>45708</v>
      </c>
      <c r="D3747" t="s">
        <v>911</v>
      </c>
      <c r="E3747" t="s">
        <v>33</v>
      </c>
      <c r="F3747" t="s">
        <v>34</v>
      </c>
      <c r="G3747" t="s">
        <v>20</v>
      </c>
      <c r="H3747" t="s">
        <v>21</v>
      </c>
      <c r="I3747" t="s">
        <v>77</v>
      </c>
      <c r="J3747">
        <v>1</v>
      </c>
      <c r="K3747">
        <v>4700000</v>
      </c>
      <c r="L3747" s="2" t="s">
        <v>6440</v>
      </c>
      <c r="M3747" t="s">
        <v>23</v>
      </c>
      <c r="N3747">
        <v>3991000</v>
      </c>
      <c r="O3747">
        <v>4.0999999999999996</v>
      </c>
      <c r="P3747" t="b">
        <v>1</v>
      </c>
    </row>
    <row r="3748" spans="1:16" x14ac:dyDescent="0.2">
      <c r="A3748" t="s">
        <v>6441</v>
      </c>
      <c r="B3748" s="1">
        <v>45655</v>
      </c>
      <c r="C3748" s="1">
        <v>45698</v>
      </c>
      <c r="D3748" t="s">
        <v>1324</v>
      </c>
      <c r="E3748" t="s">
        <v>33</v>
      </c>
      <c r="F3748" t="s">
        <v>19</v>
      </c>
      <c r="G3748" t="s">
        <v>20</v>
      </c>
      <c r="H3748" t="s">
        <v>21</v>
      </c>
      <c r="I3748" t="s">
        <v>77</v>
      </c>
      <c r="J3748">
        <v>3</v>
      </c>
      <c r="K3748">
        <v>2803000</v>
      </c>
      <c r="L3748" s="2" t="s">
        <v>6442</v>
      </c>
      <c r="M3748" t="s">
        <v>23</v>
      </c>
      <c r="N3748">
        <v>7027000</v>
      </c>
      <c r="O3748">
        <v>4.5</v>
      </c>
      <c r="P3748" t="b">
        <v>1</v>
      </c>
    </row>
    <row r="3749" spans="1:16" x14ac:dyDescent="0.2">
      <c r="A3749" t="s">
        <v>6443</v>
      </c>
      <c r="B3749" s="1">
        <v>45656</v>
      </c>
      <c r="C3749" s="1">
        <v>45749</v>
      </c>
      <c r="D3749" t="s">
        <v>42</v>
      </c>
      <c r="E3749" t="s">
        <v>18</v>
      </c>
      <c r="F3749" t="s">
        <v>34</v>
      </c>
      <c r="H3749" t="s">
        <v>21</v>
      </c>
      <c r="I3749" t="s">
        <v>52</v>
      </c>
      <c r="J3749">
        <v>1</v>
      </c>
      <c r="K3749">
        <v>3439000</v>
      </c>
      <c r="L3749" s="2" t="s">
        <v>6444</v>
      </c>
      <c r="M3749" t="s">
        <v>23</v>
      </c>
      <c r="N3749">
        <v>3020000</v>
      </c>
      <c r="O3749">
        <v>4.3</v>
      </c>
      <c r="P3749" t="b">
        <v>1</v>
      </c>
    </row>
    <row r="3750" spans="1:16" x14ac:dyDescent="0.2">
      <c r="A3750" t="s">
        <v>6445</v>
      </c>
      <c r="B3750" s="1">
        <v>45656</v>
      </c>
      <c r="C3750" s="1">
        <v>45693</v>
      </c>
      <c r="D3750" t="s">
        <v>648</v>
      </c>
      <c r="E3750" t="s">
        <v>33</v>
      </c>
      <c r="F3750" t="s">
        <v>25</v>
      </c>
      <c r="G3750" t="s">
        <v>20</v>
      </c>
      <c r="H3750" t="s">
        <v>21</v>
      </c>
      <c r="I3750" t="s">
        <v>60</v>
      </c>
      <c r="J3750">
        <v>1</v>
      </c>
      <c r="K3750">
        <v>5905000</v>
      </c>
      <c r="L3750">
        <v>7.8558535496565995E-2</v>
      </c>
      <c r="M3750" t="s">
        <v>23</v>
      </c>
      <c r="N3750">
        <v>5441000</v>
      </c>
      <c r="O3750">
        <v>4.5</v>
      </c>
      <c r="P3750" t="b">
        <v>1</v>
      </c>
    </row>
    <row r="3751" spans="1:16" x14ac:dyDescent="0.2">
      <c r="A3751" t="s">
        <v>6446</v>
      </c>
      <c r="B3751" s="1">
        <v>45656</v>
      </c>
      <c r="C3751" s="1">
        <v>45717</v>
      </c>
      <c r="D3751" t="s">
        <v>4362</v>
      </c>
      <c r="E3751" t="s">
        <v>18</v>
      </c>
      <c r="F3751" t="s">
        <v>45</v>
      </c>
      <c r="G3751" t="s">
        <v>20</v>
      </c>
      <c r="H3751" t="s">
        <v>21</v>
      </c>
      <c r="I3751" t="s">
        <v>57</v>
      </c>
      <c r="J3751">
        <v>2</v>
      </c>
      <c r="K3751">
        <v>3482000</v>
      </c>
      <c r="L3751" s="2" t="s">
        <v>6447</v>
      </c>
      <c r="M3751" t="s">
        <v>23</v>
      </c>
      <c r="N3751">
        <v>6252000</v>
      </c>
      <c r="O3751">
        <v>3.9</v>
      </c>
      <c r="P3751" t="b">
        <v>1</v>
      </c>
    </row>
    <row r="3752" spans="1:16" x14ac:dyDescent="0.2">
      <c r="A3752" t="s">
        <v>6448</v>
      </c>
      <c r="B3752" s="1">
        <v>45656</v>
      </c>
      <c r="C3752" s="1">
        <v>45704</v>
      </c>
      <c r="D3752" t="s">
        <v>2164</v>
      </c>
      <c r="E3752" t="s">
        <v>45</v>
      </c>
      <c r="F3752" t="s">
        <v>39</v>
      </c>
      <c r="G3752" t="s">
        <v>20</v>
      </c>
      <c r="H3752" t="s">
        <v>21</v>
      </c>
      <c r="I3752" t="s">
        <v>26</v>
      </c>
      <c r="J3752">
        <v>3</v>
      </c>
      <c r="K3752">
        <v>2509000</v>
      </c>
      <c r="L3752">
        <v>7.8876511617943304E-2</v>
      </c>
      <c r="M3752" t="s">
        <v>23</v>
      </c>
      <c r="N3752">
        <v>6933000</v>
      </c>
      <c r="O3752">
        <v>4.4000000000000004</v>
      </c>
      <c r="P3752" t="b">
        <v>1</v>
      </c>
    </row>
    <row r="3753" spans="1:16" x14ac:dyDescent="0.2">
      <c r="A3753" t="s">
        <v>6449</v>
      </c>
      <c r="B3753" s="1">
        <v>45656</v>
      </c>
      <c r="C3753" s="1">
        <v>45685</v>
      </c>
      <c r="D3753" t="s">
        <v>6450</v>
      </c>
      <c r="E3753" t="s">
        <v>45</v>
      </c>
      <c r="F3753" t="s">
        <v>39</v>
      </c>
      <c r="G3753" t="s">
        <v>20</v>
      </c>
      <c r="H3753" t="s">
        <v>51</v>
      </c>
      <c r="I3753" t="s">
        <v>26</v>
      </c>
      <c r="J3753">
        <v>1</v>
      </c>
      <c r="K3753">
        <v>2180000</v>
      </c>
      <c r="L3753" s="2" t="s">
        <v>6451</v>
      </c>
      <c r="M3753" t="s">
        <v>23</v>
      </c>
      <c r="N3753">
        <v>1899000</v>
      </c>
      <c r="O3753">
        <v>4.4000000000000004</v>
      </c>
      <c r="P3753" t="b">
        <v>0</v>
      </c>
    </row>
    <row r="3754" spans="1:16" x14ac:dyDescent="0.2">
      <c r="A3754" t="s">
        <v>6452</v>
      </c>
      <c r="B3754" s="1">
        <v>45657</v>
      </c>
      <c r="C3754" s="1">
        <v>45711</v>
      </c>
      <c r="D3754" t="s">
        <v>4782</v>
      </c>
      <c r="E3754" t="s">
        <v>45</v>
      </c>
      <c r="F3754" t="s">
        <v>39</v>
      </c>
      <c r="G3754" t="s">
        <v>20</v>
      </c>
      <c r="H3754" t="s">
        <v>40</v>
      </c>
      <c r="I3754" t="s">
        <v>1654</v>
      </c>
      <c r="J3754">
        <v>4</v>
      </c>
      <c r="K3754">
        <v>2410000</v>
      </c>
      <c r="L3754">
        <v>6.5564986598618397E-2</v>
      </c>
      <c r="M3754" t="s">
        <v>23</v>
      </c>
      <c r="N3754">
        <v>9008000</v>
      </c>
      <c r="O3754">
        <v>4.4000000000000004</v>
      </c>
      <c r="P3754" t="b">
        <v>1</v>
      </c>
    </row>
    <row r="3755" spans="1:16" x14ac:dyDescent="0.2">
      <c r="A3755" t="s">
        <v>6453</v>
      </c>
      <c r="B3755" s="1">
        <v>45657</v>
      </c>
      <c r="C3755" s="1">
        <v>45711</v>
      </c>
      <c r="D3755" t="s">
        <v>2104</v>
      </c>
      <c r="E3755" t="s">
        <v>29</v>
      </c>
      <c r="F3755" t="s">
        <v>19</v>
      </c>
      <c r="G3755" t="s">
        <v>35</v>
      </c>
      <c r="H3755" t="s">
        <v>51</v>
      </c>
      <c r="I3755" t="s">
        <v>22</v>
      </c>
      <c r="J3755">
        <v>2</v>
      </c>
      <c r="K3755">
        <v>2458000</v>
      </c>
      <c r="L3755">
        <v>8.3699816309700206E-2</v>
      </c>
      <c r="M3755" t="s">
        <v>23</v>
      </c>
      <c r="N3755">
        <v>4505000</v>
      </c>
      <c r="O3755">
        <v>4.9000000000000004</v>
      </c>
      <c r="P3755" t="b">
        <v>1</v>
      </c>
    </row>
    <row r="3756" spans="1:16" x14ac:dyDescent="0.2">
      <c r="A3756" t="s">
        <v>6454</v>
      </c>
      <c r="B3756" s="1">
        <v>45658</v>
      </c>
      <c r="C3756" s="1">
        <v>45682</v>
      </c>
      <c r="D3756" t="s">
        <v>6455</v>
      </c>
      <c r="E3756" t="s">
        <v>33</v>
      </c>
      <c r="F3756" t="s">
        <v>19</v>
      </c>
      <c r="G3756" t="s">
        <v>35</v>
      </c>
      <c r="H3756" t="s">
        <v>40</v>
      </c>
      <c r="I3756" t="s">
        <v>94</v>
      </c>
      <c r="J3756">
        <v>1</v>
      </c>
      <c r="K3756">
        <v>2614000</v>
      </c>
      <c r="L3756" s="2" t="s">
        <v>6456</v>
      </c>
      <c r="M3756" t="s">
        <v>23</v>
      </c>
      <c r="N3756">
        <v>2226000</v>
      </c>
      <c r="O3756">
        <v>4.3</v>
      </c>
      <c r="P3756" t="b">
        <v>0</v>
      </c>
    </row>
    <row r="3757" spans="1:16" x14ac:dyDescent="0.2">
      <c r="A3757" t="s">
        <v>6457</v>
      </c>
      <c r="B3757" s="1">
        <v>45658</v>
      </c>
      <c r="C3757" s="1">
        <v>45699</v>
      </c>
      <c r="D3757" t="s">
        <v>4429</v>
      </c>
      <c r="E3757" t="s">
        <v>33</v>
      </c>
      <c r="F3757" t="s">
        <v>19</v>
      </c>
      <c r="G3757" t="s">
        <v>35</v>
      </c>
      <c r="H3757" t="s">
        <v>21</v>
      </c>
      <c r="I3757" t="s">
        <v>22</v>
      </c>
      <c r="J3757">
        <v>2</v>
      </c>
      <c r="K3757">
        <v>2280000</v>
      </c>
      <c r="L3757" s="2" t="s">
        <v>6458</v>
      </c>
      <c r="M3757" t="s">
        <v>23</v>
      </c>
      <c r="N3757">
        <v>4058000</v>
      </c>
      <c r="O3757">
        <v>4.5</v>
      </c>
      <c r="P3757" t="b">
        <v>1</v>
      </c>
    </row>
    <row r="3758" spans="1:16" x14ac:dyDescent="0.2">
      <c r="A3758" t="s">
        <v>6459</v>
      </c>
      <c r="B3758" s="1">
        <v>45658</v>
      </c>
      <c r="C3758" s="1">
        <v>45718</v>
      </c>
      <c r="D3758" t="s">
        <v>6460</v>
      </c>
      <c r="E3758" t="s">
        <v>45</v>
      </c>
      <c r="F3758" t="s">
        <v>34</v>
      </c>
      <c r="G3758" t="s">
        <v>20</v>
      </c>
      <c r="H3758" t="s">
        <v>21</v>
      </c>
      <c r="I3758" t="s">
        <v>83</v>
      </c>
      <c r="J3758">
        <v>5</v>
      </c>
      <c r="K3758">
        <v>3883000</v>
      </c>
      <c r="L3758">
        <v>8.1343914414693297E-2</v>
      </c>
      <c r="M3758" t="s">
        <v>23</v>
      </c>
      <c r="N3758">
        <v>17836000</v>
      </c>
      <c r="O3758">
        <v>3.7</v>
      </c>
      <c r="P3758" t="b">
        <v>0</v>
      </c>
    </row>
    <row r="3759" spans="1:16" x14ac:dyDescent="0.2">
      <c r="A3759" t="s">
        <v>6461</v>
      </c>
      <c r="B3759" s="1">
        <v>45689</v>
      </c>
      <c r="C3759" s="1">
        <v>45690</v>
      </c>
      <c r="D3759" t="s">
        <v>6462</v>
      </c>
      <c r="E3759" t="s">
        <v>45</v>
      </c>
      <c r="F3759" t="s">
        <v>68</v>
      </c>
      <c r="G3759" t="s">
        <v>20</v>
      </c>
      <c r="H3759" t="s">
        <v>21</v>
      </c>
      <c r="I3759" t="s">
        <v>30</v>
      </c>
      <c r="J3759">
        <v>3</v>
      </c>
      <c r="K3759">
        <v>2483000</v>
      </c>
      <c r="L3759" s="2" t="s">
        <v>6463</v>
      </c>
      <c r="M3759" t="s">
        <v>23</v>
      </c>
      <c r="N3759">
        <v>6651000</v>
      </c>
      <c r="O3759">
        <v>4.3</v>
      </c>
      <c r="P3759" t="b">
        <v>0</v>
      </c>
    </row>
    <row r="3760" spans="1:16" x14ac:dyDescent="0.2">
      <c r="A3760" t="s">
        <v>6464</v>
      </c>
      <c r="B3760" s="1">
        <v>45659</v>
      </c>
      <c r="C3760" s="1">
        <v>45702</v>
      </c>
      <c r="D3760" t="s">
        <v>1898</v>
      </c>
      <c r="E3760" t="s">
        <v>33</v>
      </c>
      <c r="F3760" t="s">
        <v>19</v>
      </c>
      <c r="G3760" t="s">
        <v>20</v>
      </c>
      <c r="H3760" t="s">
        <v>21</v>
      </c>
      <c r="I3760" t="s">
        <v>22</v>
      </c>
      <c r="J3760">
        <v>3</v>
      </c>
      <c r="K3760">
        <v>2259000</v>
      </c>
      <c r="L3760">
        <v>2.30715729448637E-2</v>
      </c>
      <c r="M3760" t="s">
        <v>23</v>
      </c>
      <c r="N3760">
        <v>6621000</v>
      </c>
      <c r="O3760">
        <v>4.9000000000000004</v>
      </c>
      <c r="P3760" t="b">
        <v>1</v>
      </c>
    </row>
    <row r="3761" spans="1:16" x14ac:dyDescent="0.2">
      <c r="A3761" t="s">
        <v>6465</v>
      </c>
      <c r="B3761" s="1">
        <v>45661</v>
      </c>
      <c r="C3761" s="1">
        <v>45709</v>
      </c>
      <c r="D3761" t="s">
        <v>82</v>
      </c>
      <c r="E3761" t="s">
        <v>33</v>
      </c>
      <c r="F3761" t="s">
        <v>45</v>
      </c>
      <c r="G3761" t="s">
        <v>50</v>
      </c>
      <c r="H3761" t="s">
        <v>21</v>
      </c>
      <c r="J3761">
        <v>1</v>
      </c>
      <c r="K3761">
        <v>3086000</v>
      </c>
      <c r="L3761">
        <v>5.4354008036691298E-2</v>
      </c>
      <c r="M3761" t="s">
        <v>23</v>
      </c>
      <c r="N3761">
        <v>2918000</v>
      </c>
      <c r="O3761">
        <v>4.5999999999999996</v>
      </c>
      <c r="P3761" t="b">
        <v>1</v>
      </c>
    </row>
    <row r="3762" spans="1:16" x14ac:dyDescent="0.2">
      <c r="A3762" t="s">
        <v>6466</v>
      </c>
      <c r="B3762" s="1">
        <v>45661</v>
      </c>
      <c r="C3762" s="1">
        <v>45668</v>
      </c>
      <c r="D3762" t="s">
        <v>1722</v>
      </c>
      <c r="E3762" t="s">
        <v>18</v>
      </c>
      <c r="F3762" t="s">
        <v>19</v>
      </c>
      <c r="H3762" t="s">
        <v>51</v>
      </c>
      <c r="I3762" t="s">
        <v>57</v>
      </c>
      <c r="J3762">
        <v>1</v>
      </c>
      <c r="K3762">
        <v>3210000</v>
      </c>
      <c r="L3762">
        <v>5.0526966918253403E-2</v>
      </c>
      <c r="M3762" t="s">
        <v>23</v>
      </c>
      <c r="N3762">
        <v>3048000</v>
      </c>
      <c r="O3762">
        <v>4.3</v>
      </c>
      <c r="P3762" t="b">
        <v>1</v>
      </c>
    </row>
    <row r="3763" spans="1:16" x14ac:dyDescent="0.2">
      <c r="A3763" t="s">
        <v>6467</v>
      </c>
      <c r="B3763" s="1">
        <v>45661</v>
      </c>
      <c r="C3763" s="1">
        <v>45738</v>
      </c>
      <c r="D3763" t="s">
        <v>777</v>
      </c>
      <c r="E3763" t="s">
        <v>45</v>
      </c>
      <c r="F3763" t="s">
        <v>45</v>
      </c>
      <c r="G3763" t="s">
        <v>20</v>
      </c>
      <c r="H3763" t="s">
        <v>21</v>
      </c>
      <c r="I3763" t="s">
        <v>57</v>
      </c>
      <c r="J3763">
        <v>1</v>
      </c>
      <c r="K3763">
        <v>3653000</v>
      </c>
      <c r="L3763">
        <v>9.7514619260748295E-2</v>
      </c>
      <c r="M3763" t="s">
        <v>23</v>
      </c>
      <c r="N3763">
        <v>3297000</v>
      </c>
      <c r="O3763">
        <v>4.7</v>
      </c>
      <c r="P3763" t="b">
        <v>1</v>
      </c>
    </row>
    <row r="3764" spans="1:16" x14ac:dyDescent="0.2">
      <c r="A3764" t="s">
        <v>6468</v>
      </c>
      <c r="B3764" s="1">
        <v>45661</v>
      </c>
      <c r="C3764" s="1">
        <v>45661</v>
      </c>
      <c r="D3764" t="s">
        <v>6469</v>
      </c>
      <c r="E3764" t="s">
        <v>45</v>
      </c>
      <c r="F3764" t="s">
        <v>39</v>
      </c>
      <c r="G3764" t="s">
        <v>50</v>
      </c>
      <c r="H3764" t="s">
        <v>47</v>
      </c>
      <c r="I3764" t="s">
        <v>94</v>
      </c>
      <c r="J3764">
        <v>2</v>
      </c>
      <c r="K3764">
        <v>2663000</v>
      </c>
      <c r="L3764" s="2" t="s">
        <v>6470</v>
      </c>
      <c r="M3764" t="s">
        <v>23</v>
      </c>
      <c r="N3764">
        <v>4729000</v>
      </c>
      <c r="O3764">
        <v>4</v>
      </c>
      <c r="P3764" t="b">
        <v>0</v>
      </c>
    </row>
    <row r="3765" spans="1:16" x14ac:dyDescent="0.2">
      <c r="A3765" t="s">
        <v>6471</v>
      </c>
      <c r="B3765" s="1">
        <v>45662</v>
      </c>
      <c r="C3765" s="1">
        <v>45714</v>
      </c>
      <c r="D3765" t="s">
        <v>6472</v>
      </c>
      <c r="F3765" t="s">
        <v>19</v>
      </c>
      <c r="G3765" t="s">
        <v>20</v>
      </c>
      <c r="H3765" t="s">
        <v>21</v>
      </c>
      <c r="I3765" t="s">
        <v>26</v>
      </c>
      <c r="J3765">
        <v>1</v>
      </c>
      <c r="K3765">
        <v>2811000</v>
      </c>
      <c r="L3765">
        <v>7.96599423628081E-2</v>
      </c>
      <c r="M3765" t="s">
        <v>23</v>
      </c>
      <c r="N3765">
        <v>2587000</v>
      </c>
      <c r="O3765">
        <v>3.9</v>
      </c>
      <c r="P3765" t="b">
        <v>0</v>
      </c>
    </row>
    <row r="3766" spans="1:16" x14ac:dyDescent="0.2">
      <c r="A3766" t="s">
        <v>6473</v>
      </c>
      <c r="B3766" s="1">
        <v>45663</v>
      </c>
      <c r="C3766" s="1">
        <v>45697</v>
      </c>
      <c r="D3766" t="s">
        <v>5375</v>
      </c>
      <c r="E3766" t="s">
        <v>45</v>
      </c>
      <c r="F3766" t="s">
        <v>34</v>
      </c>
      <c r="G3766" t="s">
        <v>20</v>
      </c>
      <c r="H3766" t="s">
        <v>21</v>
      </c>
      <c r="I3766" t="s">
        <v>83</v>
      </c>
      <c r="J3766">
        <v>3</v>
      </c>
      <c r="K3766">
        <v>4277000</v>
      </c>
      <c r="L3766">
        <v>6.3778187837723099E-2</v>
      </c>
      <c r="M3766" t="s">
        <v>23</v>
      </c>
      <c r="N3766">
        <v>12013000</v>
      </c>
      <c r="O3766">
        <v>4</v>
      </c>
      <c r="P3766" t="b">
        <v>1</v>
      </c>
    </row>
    <row r="3767" spans="1:16" x14ac:dyDescent="0.2">
      <c r="A3767" t="s">
        <v>6474</v>
      </c>
      <c r="B3767" s="1">
        <v>45663</v>
      </c>
      <c r="C3767" s="1">
        <v>45694</v>
      </c>
      <c r="D3767" t="s">
        <v>6475</v>
      </c>
      <c r="E3767" t="s">
        <v>33</v>
      </c>
      <c r="F3767" t="s">
        <v>34</v>
      </c>
      <c r="G3767" t="s">
        <v>20</v>
      </c>
      <c r="H3767" t="s">
        <v>40</v>
      </c>
      <c r="I3767" t="s">
        <v>1654</v>
      </c>
      <c r="J3767">
        <v>2</v>
      </c>
      <c r="K3767">
        <v>3614000</v>
      </c>
      <c r="L3767">
        <v>7.9512936990914398E-2</v>
      </c>
      <c r="M3767" t="s">
        <v>23</v>
      </c>
      <c r="N3767">
        <v>6653000</v>
      </c>
      <c r="O3767">
        <v>3.6</v>
      </c>
      <c r="P3767" t="b">
        <v>0</v>
      </c>
    </row>
    <row r="3768" spans="1:16" x14ac:dyDescent="0.2">
      <c r="A3768" t="s">
        <v>6476</v>
      </c>
      <c r="B3768" s="1">
        <v>45665</v>
      </c>
      <c r="C3768" s="1">
        <v>45739</v>
      </c>
      <c r="D3768" t="s">
        <v>1219</v>
      </c>
      <c r="E3768" t="s">
        <v>45</v>
      </c>
      <c r="F3768" t="s">
        <v>19</v>
      </c>
      <c r="G3768" t="s">
        <v>20</v>
      </c>
      <c r="H3768" t="s">
        <v>21</v>
      </c>
      <c r="I3768" t="s">
        <v>26</v>
      </c>
      <c r="J3768">
        <v>4</v>
      </c>
      <c r="K3768">
        <v>2586000</v>
      </c>
      <c r="L3768">
        <v>4.9715881376295699E-2</v>
      </c>
      <c r="M3768" t="s">
        <v>23</v>
      </c>
      <c r="N3768">
        <v>9830000</v>
      </c>
      <c r="O3768">
        <v>3.8</v>
      </c>
      <c r="P3768" t="b">
        <v>1</v>
      </c>
    </row>
    <row r="3769" spans="1:16" x14ac:dyDescent="0.2">
      <c r="A3769" t="s">
        <v>6477</v>
      </c>
      <c r="B3769" s="1">
        <v>45665</v>
      </c>
      <c r="C3769" s="1">
        <v>45731</v>
      </c>
      <c r="D3769" t="s">
        <v>1231</v>
      </c>
      <c r="E3769" t="s">
        <v>33</v>
      </c>
      <c r="F3769" t="s">
        <v>34</v>
      </c>
      <c r="G3769" t="s">
        <v>35</v>
      </c>
      <c r="H3769" t="s">
        <v>21</v>
      </c>
      <c r="I3769" t="s">
        <v>2680</v>
      </c>
      <c r="J3769">
        <v>1</v>
      </c>
      <c r="K3769">
        <v>4007000</v>
      </c>
      <c r="L3769" s="2" t="s">
        <v>6478</v>
      </c>
      <c r="M3769" t="s">
        <v>23</v>
      </c>
      <c r="N3769">
        <v>3186000</v>
      </c>
      <c r="O3769">
        <v>3.3</v>
      </c>
      <c r="P3769" t="b">
        <v>1</v>
      </c>
    </row>
    <row r="3770" spans="1:16" x14ac:dyDescent="0.2">
      <c r="A3770" t="s">
        <v>6479</v>
      </c>
      <c r="B3770" s="1">
        <v>45665</v>
      </c>
      <c r="C3770" s="1">
        <v>45699</v>
      </c>
      <c r="D3770" t="s">
        <v>3387</v>
      </c>
      <c r="E3770" t="s">
        <v>18</v>
      </c>
      <c r="F3770" t="s">
        <v>34</v>
      </c>
      <c r="G3770" t="s">
        <v>35</v>
      </c>
      <c r="H3770" t="s">
        <v>47</v>
      </c>
      <c r="I3770" t="s">
        <v>30</v>
      </c>
      <c r="J3770">
        <v>2</v>
      </c>
      <c r="K3770">
        <v>3919000</v>
      </c>
      <c r="L3770">
        <v>9.1928434517213095E-2</v>
      </c>
      <c r="M3770" t="s">
        <v>23</v>
      </c>
      <c r="N3770">
        <v>7117000</v>
      </c>
      <c r="O3770">
        <v>4.0999999999999996</v>
      </c>
      <c r="P3770" t="b">
        <v>1</v>
      </c>
    </row>
    <row r="3771" spans="1:16" x14ac:dyDescent="0.2">
      <c r="A3771" t="s">
        <v>6480</v>
      </c>
      <c r="B3771" s="1">
        <v>45666</v>
      </c>
      <c r="C3771" s="1">
        <v>45736</v>
      </c>
      <c r="D3771" t="s">
        <v>6481</v>
      </c>
      <c r="F3771" t="s">
        <v>19</v>
      </c>
      <c r="G3771" t="s">
        <v>20</v>
      </c>
      <c r="H3771" t="s">
        <v>40</v>
      </c>
      <c r="I3771" t="s">
        <v>57</v>
      </c>
      <c r="J3771">
        <v>5</v>
      </c>
      <c r="K3771">
        <v>2932000</v>
      </c>
      <c r="L3771" s="2" t="s">
        <v>6482</v>
      </c>
      <c r="M3771" t="s">
        <v>23</v>
      </c>
      <c r="N3771">
        <v>12820000</v>
      </c>
      <c r="O3771">
        <v>4</v>
      </c>
      <c r="P3771" t="b">
        <v>0</v>
      </c>
    </row>
    <row r="3772" spans="1:16" x14ac:dyDescent="0.2">
      <c r="A3772" t="s">
        <v>6483</v>
      </c>
      <c r="B3772" s="1">
        <v>45667</v>
      </c>
      <c r="C3772" s="1">
        <v>45669</v>
      </c>
      <c r="D3772" t="s">
        <v>662</v>
      </c>
      <c r="F3772" t="s">
        <v>19</v>
      </c>
      <c r="G3772" t="s">
        <v>50</v>
      </c>
      <c r="H3772" t="s">
        <v>40</v>
      </c>
      <c r="I3772" t="s">
        <v>26</v>
      </c>
      <c r="J3772">
        <v>5</v>
      </c>
      <c r="K3772">
        <v>2676000</v>
      </c>
      <c r="L3772" s="2" t="s">
        <v>6484</v>
      </c>
      <c r="M3772" t="s">
        <v>23</v>
      </c>
      <c r="N3772">
        <v>11368000</v>
      </c>
      <c r="O3772">
        <v>3.3</v>
      </c>
      <c r="P3772" t="b">
        <v>1</v>
      </c>
    </row>
    <row r="3773" spans="1:16" x14ac:dyDescent="0.2">
      <c r="A3773" t="s">
        <v>6485</v>
      </c>
      <c r="B3773" s="1">
        <v>45667</v>
      </c>
      <c r="C3773" s="1">
        <v>45712</v>
      </c>
      <c r="D3773" t="s">
        <v>118</v>
      </c>
      <c r="E3773" t="s">
        <v>18</v>
      </c>
      <c r="F3773" t="s">
        <v>19</v>
      </c>
      <c r="G3773" t="s">
        <v>20</v>
      </c>
      <c r="H3773" t="s">
        <v>21</v>
      </c>
      <c r="I3773" t="s">
        <v>1654</v>
      </c>
      <c r="J3773">
        <v>1</v>
      </c>
      <c r="K3773">
        <v>2980000</v>
      </c>
      <c r="L3773">
        <v>7.0058920830126895E-2</v>
      </c>
      <c r="M3773" t="s">
        <v>23</v>
      </c>
      <c r="N3773">
        <v>2771000</v>
      </c>
      <c r="O3773">
        <v>4.9000000000000004</v>
      </c>
      <c r="P3773" t="b">
        <v>1</v>
      </c>
    </row>
    <row r="3774" spans="1:16" x14ac:dyDescent="0.2">
      <c r="A3774" t="s">
        <v>6486</v>
      </c>
      <c r="B3774" s="1">
        <v>45667</v>
      </c>
      <c r="C3774" s="1">
        <v>45716</v>
      </c>
      <c r="D3774" t="s">
        <v>6487</v>
      </c>
      <c r="E3774" t="s">
        <v>33</v>
      </c>
      <c r="F3774" t="s">
        <v>45</v>
      </c>
      <c r="G3774" t="s">
        <v>50</v>
      </c>
      <c r="H3774" t="s">
        <v>47</v>
      </c>
      <c r="I3774" t="s">
        <v>60</v>
      </c>
      <c r="J3774">
        <v>5</v>
      </c>
      <c r="K3774">
        <v>3890000</v>
      </c>
      <c r="L3774" s="2" t="s">
        <v>6488</v>
      </c>
      <c r="M3774" t="s">
        <v>23</v>
      </c>
      <c r="N3774">
        <v>17183000</v>
      </c>
      <c r="O3774">
        <v>4.4000000000000004</v>
      </c>
      <c r="P3774" t="b">
        <v>0</v>
      </c>
    </row>
    <row r="3775" spans="1:16" x14ac:dyDescent="0.2">
      <c r="A3775" t="s">
        <v>6489</v>
      </c>
      <c r="B3775" s="1">
        <v>45667</v>
      </c>
      <c r="C3775" s="1">
        <v>45722</v>
      </c>
      <c r="D3775" t="s">
        <v>5040</v>
      </c>
      <c r="E3775" t="s">
        <v>29</v>
      </c>
      <c r="F3775" t="s">
        <v>25</v>
      </c>
      <c r="G3775" t="s">
        <v>20</v>
      </c>
      <c r="H3775" t="s">
        <v>21</v>
      </c>
      <c r="I3775" t="s">
        <v>94</v>
      </c>
      <c r="J3775">
        <v>4</v>
      </c>
      <c r="K3775">
        <v>4760000</v>
      </c>
      <c r="L3775">
        <v>8.2974495416731894E-2</v>
      </c>
      <c r="M3775" t="s">
        <v>23</v>
      </c>
      <c r="N3775">
        <v>17460000</v>
      </c>
      <c r="O3775">
        <v>4.2</v>
      </c>
      <c r="P3775" t="b">
        <v>1</v>
      </c>
    </row>
    <row r="3776" spans="1:16" x14ac:dyDescent="0.2">
      <c r="A3776" t="s">
        <v>6490</v>
      </c>
      <c r="B3776" s="1">
        <v>45667</v>
      </c>
      <c r="C3776" s="1">
        <v>45741</v>
      </c>
      <c r="D3776" t="s">
        <v>949</v>
      </c>
      <c r="E3776" t="s">
        <v>29</v>
      </c>
      <c r="F3776" t="s">
        <v>39</v>
      </c>
      <c r="G3776" t="s">
        <v>35</v>
      </c>
      <c r="H3776" t="s">
        <v>40</v>
      </c>
      <c r="I3776" t="s">
        <v>30</v>
      </c>
      <c r="J3776">
        <v>4</v>
      </c>
      <c r="K3776">
        <v>2412000</v>
      </c>
      <c r="L3776" s="3">
        <v>0.11799999999999999</v>
      </c>
      <c r="M3776" t="s">
        <v>23</v>
      </c>
      <c r="N3776">
        <v>8511000</v>
      </c>
      <c r="O3776">
        <v>4.3</v>
      </c>
      <c r="P3776" t="b">
        <v>1</v>
      </c>
    </row>
    <row r="3777" spans="1:16" x14ac:dyDescent="0.2">
      <c r="A3777" t="s">
        <v>6491</v>
      </c>
      <c r="B3777" s="1">
        <v>45668</v>
      </c>
      <c r="C3777" s="1">
        <v>45735</v>
      </c>
      <c r="D3777" t="s">
        <v>6492</v>
      </c>
      <c r="E3777" t="s">
        <v>45</v>
      </c>
      <c r="F3777" t="s">
        <v>19</v>
      </c>
      <c r="G3777" t="s">
        <v>20</v>
      </c>
      <c r="H3777" t="s">
        <v>47</v>
      </c>
      <c r="I3777" t="s">
        <v>22</v>
      </c>
      <c r="J3777">
        <v>2</v>
      </c>
      <c r="K3777">
        <v>2396000</v>
      </c>
      <c r="L3777">
        <v>0.115459907767094</v>
      </c>
      <c r="M3777" t="s">
        <v>23</v>
      </c>
      <c r="N3777">
        <v>4239000</v>
      </c>
      <c r="O3777">
        <v>4.0999999999999996</v>
      </c>
      <c r="P3777" t="b">
        <v>0</v>
      </c>
    </row>
    <row r="3778" spans="1:16" x14ac:dyDescent="0.2">
      <c r="A3778" t="s">
        <v>6493</v>
      </c>
      <c r="B3778" s="1">
        <v>45668</v>
      </c>
      <c r="C3778" s="1">
        <v>45753</v>
      </c>
      <c r="D3778" t="s">
        <v>6494</v>
      </c>
      <c r="E3778" t="s">
        <v>18</v>
      </c>
      <c r="F3778" t="s">
        <v>19</v>
      </c>
      <c r="G3778" t="s">
        <v>50</v>
      </c>
      <c r="H3778" t="s">
        <v>21</v>
      </c>
      <c r="I3778" t="s">
        <v>77</v>
      </c>
      <c r="J3778">
        <v>1</v>
      </c>
      <c r="K3778">
        <v>2854000</v>
      </c>
      <c r="L3778" s="2" t="s">
        <v>6495</v>
      </c>
      <c r="M3778" t="s">
        <v>23</v>
      </c>
      <c r="N3778">
        <v>2797000</v>
      </c>
      <c r="O3778">
        <v>3.7</v>
      </c>
      <c r="P3778" t="b">
        <v>0</v>
      </c>
    </row>
    <row r="3779" spans="1:16" x14ac:dyDescent="0.2">
      <c r="A3779" t="s">
        <v>6496</v>
      </c>
      <c r="B3779" s="1">
        <v>45669</v>
      </c>
      <c r="C3779" s="1">
        <v>45741</v>
      </c>
      <c r="D3779" t="s">
        <v>341</v>
      </c>
      <c r="E3779" t="s">
        <v>45</v>
      </c>
      <c r="F3779" t="s">
        <v>34</v>
      </c>
      <c r="G3779" t="s">
        <v>35</v>
      </c>
      <c r="H3779" t="s">
        <v>51</v>
      </c>
      <c r="I3779" t="s">
        <v>52</v>
      </c>
      <c r="J3779">
        <v>2</v>
      </c>
      <c r="K3779">
        <v>3165000</v>
      </c>
      <c r="L3779">
        <v>9.7771841124584799E-2</v>
      </c>
      <c r="M3779" t="s">
        <v>23</v>
      </c>
      <c r="N3779">
        <v>5711000</v>
      </c>
      <c r="O3779">
        <v>4.7</v>
      </c>
      <c r="P3779" t="b">
        <v>1</v>
      </c>
    </row>
    <row r="3780" spans="1:16" x14ac:dyDescent="0.2">
      <c r="A3780" t="s">
        <v>6497</v>
      </c>
      <c r="B3780" s="1">
        <v>45672</v>
      </c>
      <c r="C3780" s="1">
        <v>45726</v>
      </c>
      <c r="D3780" t="s">
        <v>1313</v>
      </c>
      <c r="E3780" t="s">
        <v>33</v>
      </c>
      <c r="F3780" t="s">
        <v>68</v>
      </c>
      <c r="G3780" t="s">
        <v>35</v>
      </c>
      <c r="J3780">
        <v>2</v>
      </c>
      <c r="K3780">
        <v>1911000</v>
      </c>
      <c r="L3780" s="3">
        <v>6.4000000000000001E-2</v>
      </c>
      <c r="M3780" t="s">
        <v>23</v>
      </c>
      <c r="N3780">
        <v>3578000</v>
      </c>
      <c r="O3780">
        <v>3.7</v>
      </c>
      <c r="P3780" t="b">
        <v>1</v>
      </c>
    </row>
    <row r="3781" spans="1:16" x14ac:dyDescent="0.2">
      <c r="A3781" t="s">
        <v>6498</v>
      </c>
      <c r="B3781" s="1">
        <v>45672</v>
      </c>
      <c r="C3781" s="1">
        <v>45714</v>
      </c>
      <c r="D3781" t="s">
        <v>3976</v>
      </c>
      <c r="E3781" t="s">
        <v>45</v>
      </c>
      <c r="F3781" t="s">
        <v>39</v>
      </c>
      <c r="G3781" t="s">
        <v>20</v>
      </c>
      <c r="H3781" t="s">
        <v>47</v>
      </c>
      <c r="I3781" t="s">
        <v>60</v>
      </c>
      <c r="J3781">
        <v>3</v>
      </c>
      <c r="K3781">
        <v>2727000</v>
      </c>
      <c r="L3781">
        <v>0</v>
      </c>
      <c r="M3781" t="s">
        <v>23</v>
      </c>
      <c r="N3781">
        <v>8181000</v>
      </c>
      <c r="O3781">
        <v>4.5999999999999996</v>
      </c>
      <c r="P3781" t="b">
        <v>1</v>
      </c>
    </row>
    <row r="3782" spans="1:16" x14ac:dyDescent="0.2">
      <c r="A3782" t="s">
        <v>6499</v>
      </c>
      <c r="B3782" s="1">
        <v>45672</v>
      </c>
      <c r="C3782" s="1">
        <v>45757</v>
      </c>
      <c r="D3782" t="s">
        <v>4504</v>
      </c>
      <c r="E3782" t="s">
        <v>45</v>
      </c>
      <c r="F3782" t="s">
        <v>25</v>
      </c>
      <c r="G3782" t="s">
        <v>20</v>
      </c>
      <c r="I3782" t="s">
        <v>57</v>
      </c>
      <c r="J3782">
        <v>1</v>
      </c>
      <c r="K3782">
        <v>5384000</v>
      </c>
      <c r="L3782" s="2" t="s">
        <v>6500</v>
      </c>
      <c r="M3782" t="s">
        <v>23</v>
      </c>
      <c r="N3782">
        <v>4746000</v>
      </c>
      <c r="O3782">
        <v>4.2</v>
      </c>
      <c r="P3782" t="b">
        <v>1</v>
      </c>
    </row>
    <row r="3783" spans="1:16" x14ac:dyDescent="0.2">
      <c r="A3783" t="s">
        <v>6501</v>
      </c>
      <c r="B3783" s="1">
        <v>45673</v>
      </c>
      <c r="C3783" s="1">
        <v>45751</v>
      </c>
      <c r="D3783" t="s">
        <v>2039</v>
      </c>
      <c r="E3783" t="s">
        <v>18</v>
      </c>
      <c r="F3783" t="s">
        <v>19</v>
      </c>
      <c r="G3783" t="s">
        <v>20</v>
      </c>
      <c r="H3783" t="s">
        <v>21</v>
      </c>
      <c r="I3783" t="s">
        <v>83</v>
      </c>
      <c r="J3783">
        <v>5</v>
      </c>
      <c r="K3783">
        <v>2785000</v>
      </c>
      <c r="L3783">
        <v>9.4357838416892895E-2</v>
      </c>
      <c r="M3783" t="s">
        <v>65</v>
      </c>
      <c r="N3783">
        <v>0</v>
      </c>
      <c r="P3783" t="b">
        <v>1</v>
      </c>
    </row>
    <row r="3784" spans="1:16" x14ac:dyDescent="0.2">
      <c r="A3784" t="s">
        <v>6502</v>
      </c>
      <c r="B3784" s="1">
        <v>45674</v>
      </c>
      <c r="C3784" s="1">
        <v>45724</v>
      </c>
      <c r="D3784" t="s">
        <v>2397</v>
      </c>
      <c r="E3784" t="s">
        <v>45</v>
      </c>
      <c r="F3784" t="s">
        <v>34</v>
      </c>
      <c r="G3784" t="s">
        <v>35</v>
      </c>
      <c r="H3784" t="s">
        <v>47</v>
      </c>
      <c r="I3784" t="s">
        <v>60</v>
      </c>
      <c r="J3784">
        <v>2</v>
      </c>
      <c r="K3784">
        <v>4539000</v>
      </c>
      <c r="L3784" s="2" t="s">
        <v>6503</v>
      </c>
      <c r="M3784" t="s">
        <v>23</v>
      </c>
      <c r="N3784">
        <v>8124000</v>
      </c>
      <c r="O3784">
        <v>4.8</v>
      </c>
      <c r="P3784" t="b">
        <v>1</v>
      </c>
    </row>
    <row r="3785" spans="1:16" x14ac:dyDescent="0.2">
      <c r="A3785" t="s">
        <v>6504</v>
      </c>
      <c r="B3785" s="1">
        <v>45674</v>
      </c>
      <c r="C3785" s="1">
        <v>45700</v>
      </c>
      <c r="D3785" t="s">
        <v>708</v>
      </c>
      <c r="E3785" t="s">
        <v>18</v>
      </c>
      <c r="F3785" t="s">
        <v>25</v>
      </c>
      <c r="G3785" t="s">
        <v>20</v>
      </c>
      <c r="H3785" t="s">
        <v>51</v>
      </c>
      <c r="I3785" t="s">
        <v>30</v>
      </c>
      <c r="J3785">
        <v>3</v>
      </c>
      <c r="K3785">
        <v>5041000</v>
      </c>
      <c r="L3785" s="2" t="s">
        <v>6505</v>
      </c>
      <c r="M3785" t="s">
        <v>23</v>
      </c>
      <c r="N3785">
        <v>13280000</v>
      </c>
      <c r="O3785">
        <v>4.2</v>
      </c>
      <c r="P3785" t="b">
        <v>1</v>
      </c>
    </row>
    <row r="3786" spans="1:16" x14ac:dyDescent="0.2">
      <c r="A3786" t="s">
        <v>6506</v>
      </c>
      <c r="B3786" s="1">
        <v>45675</v>
      </c>
      <c r="C3786" s="1">
        <v>45728</v>
      </c>
      <c r="D3786" t="s">
        <v>412</v>
      </c>
      <c r="E3786" t="s">
        <v>45</v>
      </c>
      <c r="F3786" t="s">
        <v>19</v>
      </c>
      <c r="G3786" t="s">
        <v>35</v>
      </c>
      <c r="H3786" t="s">
        <v>21</v>
      </c>
      <c r="I3786" t="s">
        <v>52</v>
      </c>
      <c r="J3786">
        <v>1</v>
      </c>
      <c r="K3786">
        <v>2557000</v>
      </c>
      <c r="L3786">
        <v>9.8281409377433002E-2</v>
      </c>
      <c r="M3786" t="s">
        <v>23</v>
      </c>
      <c r="N3786">
        <v>2306000</v>
      </c>
      <c r="O3786">
        <v>5</v>
      </c>
      <c r="P3786" t="b">
        <v>1</v>
      </c>
    </row>
    <row r="3787" spans="1:16" x14ac:dyDescent="0.2">
      <c r="A3787" t="s">
        <v>6507</v>
      </c>
      <c r="B3787" s="1">
        <v>45675</v>
      </c>
      <c r="C3787" s="1">
        <v>45689</v>
      </c>
      <c r="D3787" t="s">
        <v>2224</v>
      </c>
      <c r="E3787" t="s">
        <v>33</v>
      </c>
      <c r="F3787" t="s">
        <v>68</v>
      </c>
      <c r="G3787" t="s">
        <v>20</v>
      </c>
      <c r="H3787" t="s">
        <v>40</v>
      </c>
      <c r="I3787" t="s">
        <v>22</v>
      </c>
      <c r="J3787">
        <v>2</v>
      </c>
      <c r="K3787">
        <v>2621000</v>
      </c>
      <c r="L3787" s="2" t="s">
        <v>6508</v>
      </c>
      <c r="M3787" t="s">
        <v>23</v>
      </c>
      <c r="N3787">
        <v>4971000</v>
      </c>
      <c r="O3787">
        <v>4.8</v>
      </c>
      <c r="P3787" t="b">
        <v>1</v>
      </c>
    </row>
    <row r="3788" spans="1:16" x14ac:dyDescent="0.2">
      <c r="A3788" t="s">
        <v>6509</v>
      </c>
      <c r="B3788" s="1">
        <v>45676</v>
      </c>
      <c r="C3788" s="1">
        <v>45726</v>
      </c>
      <c r="D3788" t="s">
        <v>6237</v>
      </c>
      <c r="E3788" t="s">
        <v>18</v>
      </c>
      <c r="F3788" t="s">
        <v>34</v>
      </c>
      <c r="G3788" t="s">
        <v>20</v>
      </c>
      <c r="H3788" t="s">
        <v>21</v>
      </c>
      <c r="J3788">
        <v>3</v>
      </c>
      <c r="K3788">
        <v>3446000</v>
      </c>
      <c r="L3788">
        <v>3.9133094611370101E-2</v>
      </c>
      <c r="M3788" t="s">
        <v>65</v>
      </c>
      <c r="N3788">
        <v>0</v>
      </c>
      <c r="P3788" t="b">
        <v>1</v>
      </c>
    </row>
    <row r="3789" spans="1:16" x14ac:dyDescent="0.2">
      <c r="A3789" t="s">
        <v>6510</v>
      </c>
      <c r="B3789" s="1">
        <v>45677</v>
      </c>
      <c r="C3789" s="1">
        <v>45734</v>
      </c>
      <c r="D3789" t="s">
        <v>6511</v>
      </c>
      <c r="E3789" t="s">
        <v>18</v>
      </c>
      <c r="F3789" t="s">
        <v>45</v>
      </c>
      <c r="G3789" t="s">
        <v>50</v>
      </c>
      <c r="H3789" t="s">
        <v>21</v>
      </c>
      <c r="I3789" t="s">
        <v>22</v>
      </c>
      <c r="J3789">
        <v>3</v>
      </c>
      <c r="K3789">
        <v>2899000</v>
      </c>
      <c r="L3789" s="2" t="s">
        <v>6512</v>
      </c>
      <c r="M3789" t="s">
        <v>23</v>
      </c>
      <c r="N3789">
        <v>7407000</v>
      </c>
      <c r="O3789">
        <v>4.0999999999999996</v>
      </c>
      <c r="P3789" t="b">
        <v>0</v>
      </c>
    </row>
    <row r="3790" spans="1:16" x14ac:dyDescent="0.2">
      <c r="A3790" t="s">
        <v>6513</v>
      </c>
      <c r="B3790" s="1">
        <v>45677</v>
      </c>
      <c r="C3790" s="1">
        <v>45745</v>
      </c>
      <c r="D3790" t="s">
        <v>6511</v>
      </c>
      <c r="E3790" t="s">
        <v>29</v>
      </c>
      <c r="F3790" t="s">
        <v>34</v>
      </c>
      <c r="G3790" t="s">
        <v>20</v>
      </c>
      <c r="H3790" t="s">
        <v>51</v>
      </c>
      <c r="I3790" t="s">
        <v>57</v>
      </c>
      <c r="J3790">
        <v>3</v>
      </c>
      <c r="K3790">
        <v>4289000</v>
      </c>
      <c r="L3790" s="2" t="s">
        <v>6514</v>
      </c>
      <c r="M3790" t="s">
        <v>65</v>
      </c>
      <c r="N3790">
        <v>0</v>
      </c>
      <c r="P3790" t="b">
        <v>1</v>
      </c>
    </row>
    <row r="3791" spans="1:16" x14ac:dyDescent="0.2">
      <c r="A3791" t="s">
        <v>6515</v>
      </c>
      <c r="B3791" s="1">
        <v>45678</v>
      </c>
      <c r="C3791" s="1">
        <v>45722</v>
      </c>
      <c r="D3791" t="s">
        <v>6516</v>
      </c>
      <c r="F3791" t="s">
        <v>39</v>
      </c>
      <c r="H3791" t="s">
        <v>51</v>
      </c>
      <c r="I3791" t="s">
        <v>83</v>
      </c>
      <c r="J3791">
        <v>3</v>
      </c>
      <c r="K3791">
        <v>1478000</v>
      </c>
      <c r="L3791" s="2" t="s">
        <v>6517</v>
      </c>
      <c r="M3791" t="s">
        <v>23</v>
      </c>
      <c r="N3791">
        <v>4178000</v>
      </c>
      <c r="O3791">
        <v>5</v>
      </c>
      <c r="P3791" t="b">
        <v>0</v>
      </c>
    </row>
    <row r="3792" spans="1:16" x14ac:dyDescent="0.2">
      <c r="A3792" t="s">
        <v>6518</v>
      </c>
      <c r="B3792" s="1">
        <v>45680</v>
      </c>
      <c r="C3792" s="1">
        <v>45762</v>
      </c>
      <c r="D3792" t="s">
        <v>4488</v>
      </c>
      <c r="E3792" t="s">
        <v>18</v>
      </c>
      <c r="F3792" t="s">
        <v>34</v>
      </c>
      <c r="G3792" t="s">
        <v>20</v>
      </c>
      <c r="H3792" t="s">
        <v>21</v>
      </c>
      <c r="I3792" t="s">
        <v>30</v>
      </c>
      <c r="J3792">
        <v>1</v>
      </c>
      <c r="K3792">
        <v>3691000</v>
      </c>
      <c r="L3792">
        <v>7.2227195612135406E-2</v>
      </c>
      <c r="M3792" t="s">
        <v>23</v>
      </c>
      <c r="N3792">
        <v>3424000</v>
      </c>
      <c r="O3792">
        <v>4.3</v>
      </c>
      <c r="P3792" t="b">
        <v>1</v>
      </c>
    </row>
    <row r="3793" spans="1:16" x14ac:dyDescent="0.2">
      <c r="A3793" t="s">
        <v>6519</v>
      </c>
      <c r="B3793" s="1">
        <v>45680</v>
      </c>
      <c r="C3793" s="1">
        <v>45734</v>
      </c>
      <c r="D3793" t="s">
        <v>1908</v>
      </c>
      <c r="E3793" t="s">
        <v>45</v>
      </c>
      <c r="F3793" t="s">
        <v>19</v>
      </c>
      <c r="G3793" t="s">
        <v>20</v>
      </c>
      <c r="H3793" t="s">
        <v>21</v>
      </c>
      <c r="I3793" t="s">
        <v>60</v>
      </c>
      <c r="J3793">
        <v>1</v>
      </c>
      <c r="K3793">
        <v>2695000</v>
      </c>
      <c r="L3793" s="2" t="s">
        <v>6520</v>
      </c>
      <c r="M3793" t="s">
        <v>23</v>
      </c>
      <c r="N3793">
        <v>2333000</v>
      </c>
      <c r="O3793">
        <v>3.9</v>
      </c>
      <c r="P3793" t="b">
        <v>1</v>
      </c>
    </row>
    <row r="3794" spans="1:16" x14ac:dyDescent="0.2">
      <c r="A3794" t="s">
        <v>6521</v>
      </c>
      <c r="B3794" s="1">
        <v>45681</v>
      </c>
      <c r="C3794" s="1">
        <v>45717</v>
      </c>
      <c r="D3794" t="s">
        <v>5301</v>
      </c>
      <c r="F3794" t="s">
        <v>25</v>
      </c>
      <c r="G3794" t="s">
        <v>35</v>
      </c>
      <c r="H3794" t="s">
        <v>21</v>
      </c>
      <c r="I3794" t="s">
        <v>83</v>
      </c>
      <c r="J3794">
        <v>1</v>
      </c>
      <c r="K3794">
        <v>4551000</v>
      </c>
      <c r="L3794" s="2" t="s">
        <v>6522</v>
      </c>
      <c r="M3794" t="s">
        <v>23</v>
      </c>
      <c r="N3794">
        <v>4050000</v>
      </c>
      <c r="O3794">
        <v>3.7</v>
      </c>
      <c r="P3794" t="b">
        <v>1</v>
      </c>
    </row>
    <row r="3795" spans="1:16" x14ac:dyDescent="0.2">
      <c r="A3795" t="s">
        <v>6523</v>
      </c>
      <c r="B3795" s="1">
        <v>45682</v>
      </c>
      <c r="C3795" s="1">
        <v>45725</v>
      </c>
      <c r="D3795" t="s">
        <v>2838</v>
      </c>
      <c r="E3795" t="s">
        <v>45</v>
      </c>
      <c r="F3795" t="s">
        <v>34</v>
      </c>
      <c r="G3795" t="s">
        <v>46</v>
      </c>
      <c r="H3795" t="s">
        <v>21</v>
      </c>
      <c r="I3795" t="s">
        <v>26</v>
      </c>
      <c r="J3795">
        <v>2</v>
      </c>
      <c r="K3795">
        <v>3893000</v>
      </c>
      <c r="L3795" s="2" t="s">
        <v>6524</v>
      </c>
      <c r="M3795" t="s">
        <v>23</v>
      </c>
      <c r="N3795">
        <v>6660000</v>
      </c>
      <c r="O3795">
        <v>4.7</v>
      </c>
      <c r="P3795" t="b">
        <v>1</v>
      </c>
    </row>
    <row r="3796" spans="1:16" x14ac:dyDescent="0.2">
      <c r="A3796" t="s">
        <v>6525</v>
      </c>
      <c r="B3796" s="1">
        <v>45682</v>
      </c>
      <c r="C3796" s="1">
        <v>45682</v>
      </c>
      <c r="D3796" t="s">
        <v>4488</v>
      </c>
      <c r="E3796" t="s">
        <v>45</v>
      </c>
      <c r="F3796" t="s">
        <v>19</v>
      </c>
      <c r="G3796" t="s">
        <v>20</v>
      </c>
      <c r="H3796" t="s">
        <v>21</v>
      </c>
      <c r="I3796" t="s">
        <v>57</v>
      </c>
      <c r="J3796">
        <v>2</v>
      </c>
      <c r="K3796">
        <v>3222000</v>
      </c>
      <c r="L3796">
        <v>8.6144257856556605E-2</v>
      </c>
      <c r="M3796" t="s">
        <v>23</v>
      </c>
      <c r="N3796">
        <v>5889000</v>
      </c>
      <c r="O3796">
        <v>4.2</v>
      </c>
      <c r="P3796" t="b">
        <v>1</v>
      </c>
    </row>
    <row r="3797" spans="1:16" x14ac:dyDescent="0.2">
      <c r="A3797" t="s">
        <v>6526</v>
      </c>
      <c r="B3797" s="1">
        <v>45684</v>
      </c>
      <c r="C3797" s="1">
        <v>45698</v>
      </c>
      <c r="D3797" t="s">
        <v>4335</v>
      </c>
      <c r="E3797" t="s">
        <v>33</v>
      </c>
      <c r="F3797" t="s">
        <v>68</v>
      </c>
      <c r="G3797" t="s">
        <v>20</v>
      </c>
      <c r="H3797" t="s">
        <v>47</v>
      </c>
      <c r="I3797" t="s">
        <v>52</v>
      </c>
      <c r="J3797">
        <v>3</v>
      </c>
      <c r="K3797">
        <v>2528000</v>
      </c>
      <c r="L3797" s="3">
        <v>0.125</v>
      </c>
      <c r="M3797" t="s">
        <v>23</v>
      </c>
      <c r="N3797">
        <v>6632000</v>
      </c>
      <c r="O3797">
        <v>4.8</v>
      </c>
      <c r="P3797" t="b">
        <v>1</v>
      </c>
    </row>
    <row r="3798" spans="1:16" x14ac:dyDescent="0.2">
      <c r="A3798" t="s">
        <v>6527</v>
      </c>
      <c r="B3798" s="1">
        <v>45684</v>
      </c>
      <c r="C3798" s="1">
        <v>45746</v>
      </c>
      <c r="D3798" t="s">
        <v>6528</v>
      </c>
      <c r="E3798" t="s">
        <v>18</v>
      </c>
      <c r="F3798" t="s">
        <v>39</v>
      </c>
      <c r="G3798" t="s">
        <v>20</v>
      </c>
      <c r="I3798" t="s">
        <v>52</v>
      </c>
      <c r="J3798">
        <v>2</v>
      </c>
      <c r="K3798">
        <v>2294000</v>
      </c>
      <c r="L3798" s="2" t="s">
        <v>6529</v>
      </c>
      <c r="M3798" t="s">
        <v>23</v>
      </c>
      <c r="N3798">
        <v>3932000</v>
      </c>
      <c r="O3798">
        <v>4.2</v>
      </c>
      <c r="P3798" t="b">
        <v>0</v>
      </c>
    </row>
    <row r="3799" spans="1:16" x14ac:dyDescent="0.2">
      <c r="A3799" t="s">
        <v>6530</v>
      </c>
      <c r="B3799" s="1">
        <v>45685</v>
      </c>
      <c r="C3799" s="1">
        <v>45753</v>
      </c>
      <c r="D3799" t="s">
        <v>318</v>
      </c>
      <c r="E3799" t="s">
        <v>45</v>
      </c>
      <c r="F3799" t="s">
        <v>25</v>
      </c>
      <c r="G3799" t="s">
        <v>20</v>
      </c>
      <c r="H3799" t="s">
        <v>40</v>
      </c>
      <c r="I3799" t="s">
        <v>30</v>
      </c>
      <c r="J3799">
        <v>5</v>
      </c>
      <c r="K3799">
        <v>5437000</v>
      </c>
      <c r="L3799">
        <v>9.1621641573026005E-2</v>
      </c>
      <c r="M3799" t="s">
        <v>65</v>
      </c>
      <c r="N3799">
        <v>0</v>
      </c>
      <c r="P3799" t="b">
        <v>1</v>
      </c>
    </row>
    <row r="3800" spans="1:16" x14ac:dyDescent="0.2">
      <c r="A3800" t="s">
        <v>6531</v>
      </c>
      <c r="B3800" s="1">
        <v>45685</v>
      </c>
      <c r="C3800" s="1">
        <v>45748</v>
      </c>
      <c r="D3800" t="s">
        <v>4559</v>
      </c>
      <c r="E3800" t="s">
        <v>45</v>
      </c>
      <c r="F3800" t="s">
        <v>34</v>
      </c>
      <c r="G3800" t="s">
        <v>20</v>
      </c>
      <c r="H3800" t="s">
        <v>21</v>
      </c>
      <c r="I3800" t="s">
        <v>30</v>
      </c>
      <c r="J3800">
        <v>3</v>
      </c>
      <c r="K3800">
        <v>3651000</v>
      </c>
      <c r="L3800" s="3">
        <v>4.3999999999999997E-2</v>
      </c>
      <c r="M3800" t="s">
        <v>23</v>
      </c>
      <c r="N3800">
        <v>10470000</v>
      </c>
      <c r="O3800">
        <v>4.2</v>
      </c>
      <c r="P3800" t="b">
        <v>1</v>
      </c>
    </row>
    <row r="3801" spans="1:16" x14ac:dyDescent="0.2">
      <c r="A3801" t="s">
        <v>6532</v>
      </c>
      <c r="B3801" s="1">
        <v>45685</v>
      </c>
      <c r="C3801" s="1">
        <v>45742</v>
      </c>
      <c r="D3801" t="s">
        <v>6533</v>
      </c>
      <c r="E3801" t="s">
        <v>33</v>
      </c>
      <c r="F3801" t="s">
        <v>19</v>
      </c>
      <c r="G3801" t="s">
        <v>20</v>
      </c>
      <c r="H3801" t="s">
        <v>40</v>
      </c>
      <c r="I3801" t="s">
        <v>22</v>
      </c>
      <c r="J3801">
        <v>1</v>
      </c>
      <c r="K3801">
        <v>2284000</v>
      </c>
      <c r="L3801" s="2" t="s">
        <v>6534</v>
      </c>
      <c r="M3801" t="s">
        <v>23</v>
      </c>
      <c r="N3801">
        <v>2012000</v>
      </c>
      <c r="O3801">
        <v>4.3</v>
      </c>
      <c r="P3801" t="b">
        <v>0</v>
      </c>
    </row>
    <row r="3802" spans="1:16" x14ac:dyDescent="0.2">
      <c r="A3802" t="s">
        <v>6535</v>
      </c>
      <c r="B3802" s="1">
        <v>45686</v>
      </c>
      <c r="C3802" s="1">
        <v>45686</v>
      </c>
      <c r="D3802" t="s">
        <v>2273</v>
      </c>
      <c r="E3802" t="s">
        <v>18</v>
      </c>
      <c r="F3802" t="s">
        <v>45</v>
      </c>
      <c r="G3802" t="s">
        <v>35</v>
      </c>
      <c r="H3802" t="s">
        <v>21</v>
      </c>
      <c r="I3802" t="s">
        <v>83</v>
      </c>
      <c r="J3802">
        <v>3</v>
      </c>
      <c r="K3802">
        <v>2675000</v>
      </c>
      <c r="L3802" s="2" t="s">
        <v>6536</v>
      </c>
      <c r="M3802" t="s">
        <v>23</v>
      </c>
      <c r="N3802">
        <v>6671000</v>
      </c>
      <c r="O3802">
        <v>4.4000000000000004</v>
      </c>
      <c r="P3802" t="b">
        <v>1</v>
      </c>
    </row>
    <row r="3803" spans="1:16" x14ac:dyDescent="0.2">
      <c r="A3803" t="s">
        <v>6537</v>
      </c>
      <c r="B3803" s="1">
        <v>45687</v>
      </c>
      <c r="C3803" s="1">
        <v>45748</v>
      </c>
      <c r="D3803" t="s">
        <v>6538</v>
      </c>
      <c r="E3803" t="s">
        <v>18</v>
      </c>
      <c r="F3803" t="s">
        <v>34</v>
      </c>
      <c r="G3803" t="s">
        <v>20</v>
      </c>
      <c r="H3803" t="s">
        <v>21</v>
      </c>
      <c r="I3803" t="s">
        <v>26</v>
      </c>
      <c r="J3803">
        <v>2</v>
      </c>
      <c r="K3803">
        <v>4316000</v>
      </c>
      <c r="L3803">
        <v>9.9680998054339803E-2</v>
      </c>
      <c r="M3803" t="s">
        <v>65</v>
      </c>
      <c r="N3803">
        <v>0</v>
      </c>
      <c r="P3803" t="b">
        <v>0</v>
      </c>
    </row>
    <row r="3804" spans="1:16" x14ac:dyDescent="0.2">
      <c r="A3804" t="s">
        <v>6539</v>
      </c>
      <c r="B3804" s="1">
        <v>45687</v>
      </c>
      <c r="C3804" s="1">
        <v>45770</v>
      </c>
      <c r="D3804" t="s">
        <v>6540</v>
      </c>
      <c r="E3804" t="s">
        <v>33</v>
      </c>
      <c r="F3804" t="s">
        <v>39</v>
      </c>
      <c r="G3804" t="s">
        <v>35</v>
      </c>
      <c r="H3804" t="s">
        <v>21</v>
      </c>
      <c r="I3804" t="s">
        <v>83</v>
      </c>
      <c r="J3804">
        <v>1</v>
      </c>
      <c r="K3804">
        <v>1514000</v>
      </c>
      <c r="L3804">
        <v>6.41224069730012E-2</v>
      </c>
      <c r="M3804" t="s">
        <v>23</v>
      </c>
      <c r="N3804">
        <v>1417000</v>
      </c>
      <c r="O3804">
        <v>4.5</v>
      </c>
      <c r="P3804" t="b">
        <v>0</v>
      </c>
    </row>
    <row r="3805" spans="1:16" x14ac:dyDescent="0.2">
      <c r="A3805" t="s">
        <v>6541</v>
      </c>
      <c r="B3805" s="1">
        <v>45688</v>
      </c>
      <c r="C3805" s="1">
        <v>45694</v>
      </c>
      <c r="D3805" t="s">
        <v>6154</v>
      </c>
      <c r="E3805" t="s">
        <v>45</v>
      </c>
      <c r="F3805" t="s">
        <v>25</v>
      </c>
      <c r="G3805" t="s">
        <v>20</v>
      </c>
      <c r="H3805" t="s">
        <v>21</v>
      </c>
      <c r="I3805" t="s">
        <v>52</v>
      </c>
      <c r="J3805">
        <v>2</v>
      </c>
      <c r="K3805">
        <v>4817000</v>
      </c>
      <c r="L3805" s="2" t="s">
        <v>6542</v>
      </c>
      <c r="M3805" t="s">
        <v>23</v>
      </c>
      <c r="N3805">
        <v>9064000</v>
      </c>
      <c r="O3805">
        <v>4</v>
      </c>
      <c r="P3805" t="b">
        <v>1</v>
      </c>
    </row>
    <row r="3806" spans="1:16" x14ac:dyDescent="0.2">
      <c r="A3806" t="s">
        <v>6543</v>
      </c>
      <c r="B3806" s="1">
        <v>45689</v>
      </c>
      <c r="C3806" s="1">
        <v>45713</v>
      </c>
      <c r="D3806" t="s">
        <v>116</v>
      </c>
      <c r="E3806" t="s">
        <v>29</v>
      </c>
      <c r="F3806" t="s">
        <v>25</v>
      </c>
      <c r="G3806" t="s">
        <v>46</v>
      </c>
      <c r="H3806" t="s">
        <v>21</v>
      </c>
      <c r="I3806" t="s">
        <v>30</v>
      </c>
      <c r="J3806">
        <v>5</v>
      </c>
      <c r="K3806">
        <v>5272000</v>
      </c>
      <c r="L3806" s="2" t="s">
        <v>6544</v>
      </c>
      <c r="M3806" t="s">
        <v>23</v>
      </c>
      <c r="N3806">
        <v>23421000</v>
      </c>
      <c r="O3806">
        <v>3.9</v>
      </c>
      <c r="P3806" t="b">
        <v>1</v>
      </c>
    </row>
    <row r="3807" spans="1:16" x14ac:dyDescent="0.2">
      <c r="A3807" t="s">
        <v>6545</v>
      </c>
      <c r="B3807" s="1">
        <v>45689</v>
      </c>
      <c r="C3807" s="1">
        <v>45715</v>
      </c>
      <c r="D3807" t="s">
        <v>6546</v>
      </c>
      <c r="E3807" t="s">
        <v>18</v>
      </c>
      <c r="F3807" t="s">
        <v>45</v>
      </c>
      <c r="G3807" t="s">
        <v>20</v>
      </c>
      <c r="H3807" t="s">
        <v>21</v>
      </c>
      <c r="I3807" t="s">
        <v>22</v>
      </c>
      <c r="J3807">
        <v>1</v>
      </c>
      <c r="K3807">
        <v>3164000</v>
      </c>
      <c r="L3807" s="3">
        <v>0.10299999999999999</v>
      </c>
      <c r="M3807" t="s">
        <v>23</v>
      </c>
      <c r="N3807">
        <v>2838000</v>
      </c>
      <c r="O3807">
        <v>3.9</v>
      </c>
      <c r="P3807" t="b">
        <v>0</v>
      </c>
    </row>
    <row r="3808" spans="1:16" x14ac:dyDescent="0.2">
      <c r="A3808" t="s">
        <v>6547</v>
      </c>
      <c r="B3808" s="1">
        <v>45689</v>
      </c>
      <c r="C3808" s="1">
        <v>45772</v>
      </c>
      <c r="D3808" t="s">
        <v>187</v>
      </c>
      <c r="E3808" t="s">
        <v>45</v>
      </c>
      <c r="F3808" t="s">
        <v>68</v>
      </c>
      <c r="G3808" t="s">
        <v>20</v>
      </c>
      <c r="H3808" t="s">
        <v>21</v>
      </c>
      <c r="I3808" t="s">
        <v>57</v>
      </c>
      <c r="J3808">
        <v>2</v>
      </c>
      <c r="K3808">
        <v>2726000</v>
      </c>
      <c r="L3808">
        <v>9.8651638737651898E-2</v>
      </c>
      <c r="M3808" t="s">
        <v>23</v>
      </c>
      <c r="N3808">
        <v>4914000</v>
      </c>
      <c r="O3808">
        <v>4.5999999999999996</v>
      </c>
      <c r="P3808" t="b">
        <v>1</v>
      </c>
    </row>
    <row r="3809" spans="1:16" x14ac:dyDescent="0.2">
      <c r="A3809" t="s">
        <v>6548</v>
      </c>
      <c r="B3809" s="1">
        <v>45689</v>
      </c>
      <c r="C3809" s="1">
        <v>45765</v>
      </c>
      <c r="D3809" t="s">
        <v>273</v>
      </c>
      <c r="E3809" t="s">
        <v>45</v>
      </c>
      <c r="F3809" t="s">
        <v>68</v>
      </c>
      <c r="H3809" t="s">
        <v>40</v>
      </c>
      <c r="I3809" t="s">
        <v>26</v>
      </c>
      <c r="J3809">
        <v>1</v>
      </c>
      <c r="K3809">
        <v>2791000</v>
      </c>
      <c r="L3809" s="2" t="s">
        <v>6549</v>
      </c>
      <c r="M3809" t="s">
        <v>23</v>
      </c>
      <c r="N3809">
        <v>2381000</v>
      </c>
      <c r="O3809">
        <v>4.9000000000000004</v>
      </c>
      <c r="P3809" t="b">
        <v>1</v>
      </c>
    </row>
    <row r="3810" spans="1:16" x14ac:dyDescent="0.2">
      <c r="A3810" t="s">
        <v>6550</v>
      </c>
      <c r="B3810" s="1">
        <v>45690</v>
      </c>
      <c r="C3810" s="1">
        <v>45774</v>
      </c>
      <c r="D3810" t="s">
        <v>1552</v>
      </c>
      <c r="E3810" t="s">
        <v>18</v>
      </c>
      <c r="F3810" t="s">
        <v>25</v>
      </c>
      <c r="G3810" t="s">
        <v>20</v>
      </c>
      <c r="H3810" t="s">
        <v>47</v>
      </c>
      <c r="I3810" t="s">
        <v>26</v>
      </c>
      <c r="J3810">
        <v>4</v>
      </c>
      <c r="K3810">
        <v>5155000</v>
      </c>
      <c r="L3810" s="2" t="s">
        <v>6551</v>
      </c>
      <c r="M3810" t="s">
        <v>23</v>
      </c>
      <c r="N3810">
        <v>18345000</v>
      </c>
      <c r="O3810">
        <v>4.5999999999999996</v>
      </c>
      <c r="P3810" t="b">
        <v>1</v>
      </c>
    </row>
    <row r="3811" spans="1:16" x14ac:dyDescent="0.2">
      <c r="A3811" t="s">
        <v>6552</v>
      </c>
      <c r="B3811" s="1">
        <v>45690</v>
      </c>
      <c r="C3811" s="1">
        <v>45697</v>
      </c>
      <c r="D3811" t="s">
        <v>5860</v>
      </c>
      <c r="E3811" t="s">
        <v>18</v>
      </c>
      <c r="F3811" t="s">
        <v>34</v>
      </c>
      <c r="G3811" t="s">
        <v>20</v>
      </c>
      <c r="H3811" t="s">
        <v>21</v>
      </c>
      <c r="I3811" t="s">
        <v>26</v>
      </c>
      <c r="J3811">
        <v>1</v>
      </c>
      <c r="K3811">
        <v>4350000</v>
      </c>
      <c r="L3811" s="2" t="s">
        <v>6553</v>
      </c>
      <c r="M3811" t="s">
        <v>23</v>
      </c>
      <c r="N3811">
        <v>3881000</v>
      </c>
      <c r="O3811">
        <v>3.4</v>
      </c>
      <c r="P3811" t="b">
        <v>1</v>
      </c>
    </row>
    <row r="3812" spans="1:16" x14ac:dyDescent="0.2">
      <c r="A3812" t="s">
        <v>6554</v>
      </c>
      <c r="B3812" s="1">
        <v>45690</v>
      </c>
      <c r="C3812" s="1">
        <v>45795</v>
      </c>
      <c r="D3812" t="s">
        <v>6555</v>
      </c>
      <c r="E3812" t="s">
        <v>18</v>
      </c>
      <c r="F3812" t="s">
        <v>19</v>
      </c>
      <c r="G3812" t="s">
        <v>20</v>
      </c>
      <c r="H3812" t="s">
        <v>40</v>
      </c>
      <c r="I3812" t="s">
        <v>94</v>
      </c>
      <c r="J3812">
        <v>2</v>
      </c>
      <c r="K3812">
        <v>2688000</v>
      </c>
      <c r="L3812">
        <v>5.1122950561810002E-2</v>
      </c>
      <c r="M3812" t="s">
        <v>23</v>
      </c>
      <c r="N3812">
        <v>5101000</v>
      </c>
      <c r="O3812">
        <v>4</v>
      </c>
      <c r="P3812" t="b">
        <v>0</v>
      </c>
    </row>
    <row r="3813" spans="1:16" x14ac:dyDescent="0.2">
      <c r="A3813" t="s">
        <v>6556</v>
      </c>
      <c r="B3813" s="1">
        <v>45690</v>
      </c>
      <c r="C3813" s="1">
        <v>45734</v>
      </c>
      <c r="D3813" t="s">
        <v>6557</v>
      </c>
      <c r="E3813" t="s">
        <v>45</v>
      </c>
      <c r="F3813" t="s">
        <v>19</v>
      </c>
      <c r="G3813" t="s">
        <v>50</v>
      </c>
      <c r="H3813" t="s">
        <v>40</v>
      </c>
      <c r="J3813">
        <v>3</v>
      </c>
      <c r="K3813">
        <v>2364000</v>
      </c>
      <c r="L3813">
        <v>9.00286945908398E-2</v>
      </c>
      <c r="M3813" t="s">
        <v>23</v>
      </c>
      <c r="N3813">
        <v>6454000</v>
      </c>
      <c r="O3813">
        <v>4</v>
      </c>
      <c r="P3813" t="b">
        <v>0</v>
      </c>
    </row>
    <row r="3814" spans="1:16" x14ac:dyDescent="0.2">
      <c r="A3814" t="s">
        <v>6558</v>
      </c>
      <c r="B3814" s="1">
        <v>45690</v>
      </c>
      <c r="C3814" s="1">
        <v>45739</v>
      </c>
      <c r="D3814" t="s">
        <v>5017</v>
      </c>
      <c r="E3814" t="s">
        <v>18</v>
      </c>
      <c r="F3814" t="s">
        <v>45</v>
      </c>
      <c r="G3814" t="s">
        <v>35</v>
      </c>
      <c r="H3814" t="s">
        <v>21</v>
      </c>
      <c r="I3814" t="s">
        <v>26</v>
      </c>
      <c r="J3814">
        <v>4</v>
      </c>
      <c r="K3814">
        <v>3466000</v>
      </c>
      <c r="L3814">
        <v>9.6228306477001702E-2</v>
      </c>
      <c r="M3814" t="s">
        <v>23</v>
      </c>
      <c r="N3814">
        <v>12530000</v>
      </c>
      <c r="O3814">
        <v>3.8</v>
      </c>
      <c r="P3814" t="b">
        <v>1</v>
      </c>
    </row>
    <row r="3815" spans="1:16" x14ac:dyDescent="0.2">
      <c r="A3815" t="s">
        <v>6559</v>
      </c>
      <c r="B3815" s="1">
        <v>45690</v>
      </c>
      <c r="C3815" s="1">
        <v>45778</v>
      </c>
      <c r="D3815" t="s">
        <v>6560</v>
      </c>
      <c r="E3815" t="s">
        <v>33</v>
      </c>
      <c r="F3815" t="s">
        <v>34</v>
      </c>
      <c r="G3815" t="s">
        <v>20</v>
      </c>
      <c r="H3815" t="s">
        <v>21</v>
      </c>
      <c r="I3815" t="s">
        <v>83</v>
      </c>
      <c r="J3815">
        <v>1</v>
      </c>
      <c r="K3815">
        <v>4109000</v>
      </c>
      <c r="L3815" s="2" t="s">
        <v>6561</v>
      </c>
      <c r="M3815" t="s">
        <v>65</v>
      </c>
      <c r="N3815">
        <v>0</v>
      </c>
      <c r="P3815" t="b">
        <v>0</v>
      </c>
    </row>
    <row r="3816" spans="1:16" x14ac:dyDescent="0.2">
      <c r="A3816" t="s">
        <v>6562</v>
      </c>
      <c r="B3816" s="1">
        <v>45690</v>
      </c>
      <c r="C3816" s="1">
        <v>45753</v>
      </c>
      <c r="D3816" t="s">
        <v>311</v>
      </c>
      <c r="E3816" t="s">
        <v>45</v>
      </c>
      <c r="F3816" t="s">
        <v>34</v>
      </c>
      <c r="G3816" t="s">
        <v>20</v>
      </c>
      <c r="H3816" t="s">
        <v>21</v>
      </c>
      <c r="I3816" t="s">
        <v>22</v>
      </c>
      <c r="J3816">
        <v>2</v>
      </c>
      <c r="K3816">
        <v>3510000</v>
      </c>
      <c r="L3816">
        <v>6.7903396417765494E-2</v>
      </c>
      <c r="M3816" t="s">
        <v>23</v>
      </c>
      <c r="N3816">
        <v>6543000</v>
      </c>
      <c r="O3816">
        <v>4</v>
      </c>
      <c r="P3816" t="b">
        <v>1</v>
      </c>
    </row>
    <row r="3817" spans="1:16" x14ac:dyDescent="0.2">
      <c r="A3817" t="s">
        <v>6563</v>
      </c>
      <c r="B3817" s="1">
        <v>45691</v>
      </c>
      <c r="C3817" s="1">
        <v>45742</v>
      </c>
      <c r="D3817" t="s">
        <v>3315</v>
      </c>
      <c r="E3817" t="s">
        <v>33</v>
      </c>
      <c r="F3817" t="s">
        <v>45</v>
      </c>
      <c r="G3817" t="s">
        <v>35</v>
      </c>
      <c r="H3817" t="s">
        <v>40</v>
      </c>
      <c r="I3817" t="s">
        <v>26</v>
      </c>
      <c r="J3817">
        <v>2</v>
      </c>
      <c r="K3817">
        <v>3519000</v>
      </c>
      <c r="L3817">
        <v>4.63015726852882E-2</v>
      </c>
      <c r="M3817" t="s">
        <v>1673</v>
      </c>
      <c r="N3817">
        <v>6712000</v>
      </c>
      <c r="O3817">
        <v>4.3</v>
      </c>
      <c r="P3817" t="b">
        <v>1</v>
      </c>
    </row>
    <row r="3818" spans="1:16" x14ac:dyDescent="0.2">
      <c r="A3818" t="s">
        <v>6564</v>
      </c>
      <c r="B3818" s="1">
        <v>45691</v>
      </c>
      <c r="C3818" s="1">
        <v>45749</v>
      </c>
      <c r="D3818" t="s">
        <v>1194</v>
      </c>
      <c r="E3818" t="s">
        <v>45</v>
      </c>
      <c r="F3818" t="s">
        <v>68</v>
      </c>
      <c r="G3818" t="s">
        <v>20</v>
      </c>
      <c r="H3818" t="s">
        <v>21</v>
      </c>
      <c r="I3818" t="s">
        <v>26</v>
      </c>
      <c r="J3818">
        <v>1</v>
      </c>
      <c r="K3818">
        <v>2676000</v>
      </c>
      <c r="L3818" s="2" t="s">
        <v>6565</v>
      </c>
      <c r="M3818" t="s">
        <v>65</v>
      </c>
      <c r="N3818">
        <v>0</v>
      </c>
      <c r="P3818" t="b">
        <v>1</v>
      </c>
    </row>
    <row r="3819" spans="1:16" x14ac:dyDescent="0.2">
      <c r="A3819" t="s">
        <v>6566</v>
      </c>
      <c r="B3819" s="1">
        <v>45691</v>
      </c>
      <c r="C3819" s="1">
        <v>45744</v>
      </c>
      <c r="D3819" t="s">
        <v>4224</v>
      </c>
      <c r="E3819" t="s">
        <v>45</v>
      </c>
      <c r="F3819" t="s">
        <v>39</v>
      </c>
      <c r="G3819" t="s">
        <v>20</v>
      </c>
      <c r="H3819" t="s">
        <v>21</v>
      </c>
      <c r="I3819" t="s">
        <v>99</v>
      </c>
      <c r="J3819">
        <v>3</v>
      </c>
      <c r="K3819">
        <v>2064000</v>
      </c>
      <c r="L3819">
        <v>8.6129147007777004E-2</v>
      </c>
      <c r="M3819" t="s">
        <v>23</v>
      </c>
      <c r="N3819">
        <v>5659000</v>
      </c>
      <c r="O3819">
        <v>4.5999999999999996</v>
      </c>
      <c r="P3819" t="b">
        <v>1</v>
      </c>
    </row>
    <row r="3820" spans="1:16" x14ac:dyDescent="0.2">
      <c r="A3820" t="s">
        <v>6567</v>
      </c>
      <c r="B3820" s="1">
        <v>45692</v>
      </c>
      <c r="C3820" s="1">
        <v>45708</v>
      </c>
      <c r="D3820" t="s">
        <v>406</v>
      </c>
      <c r="E3820" t="s">
        <v>33</v>
      </c>
      <c r="F3820" t="s">
        <v>34</v>
      </c>
      <c r="G3820" t="s">
        <v>20</v>
      </c>
      <c r="H3820" t="s">
        <v>21</v>
      </c>
      <c r="J3820">
        <v>2</v>
      </c>
      <c r="K3820">
        <v>4484000</v>
      </c>
      <c r="L3820">
        <v>9.4851622795290302E-2</v>
      </c>
      <c r="M3820" t="s">
        <v>23</v>
      </c>
      <c r="N3820">
        <v>8117000</v>
      </c>
      <c r="O3820">
        <v>3.7</v>
      </c>
      <c r="P3820" t="b">
        <v>1</v>
      </c>
    </row>
    <row r="3821" spans="1:16" x14ac:dyDescent="0.2">
      <c r="A3821" t="s">
        <v>6568</v>
      </c>
      <c r="B3821" s="1">
        <v>45692</v>
      </c>
      <c r="C3821" s="1">
        <v>45729</v>
      </c>
      <c r="D3821" t="s">
        <v>6251</v>
      </c>
      <c r="E3821" t="s">
        <v>18</v>
      </c>
      <c r="F3821" t="s">
        <v>68</v>
      </c>
      <c r="G3821" t="s">
        <v>20</v>
      </c>
      <c r="H3821" t="s">
        <v>21</v>
      </c>
      <c r="I3821" t="s">
        <v>83</v>
      </c>
      <c r="J3821">
        <v>2</v>
      </c>
      <c r="K3821">
        <v>1918000</v>
      </c>
      <c r="L3821">
        <v>9.5799399166348304E-2</v>
      </c>
      <c r="M3821" t="s">
        <v>1882</v>
      </c>
      <c r="N3821">
        <v>3469000</v>
      </c>
      <c r="O3821">
        <v>3.6</v>
      </c>
      <c r="P3821" t="b">
        <v>1</v>
      </c>
    </row>
    <row r="3822" spans="1:16" x14ac:dyDescent="0.2">
      <c r="A3822" t="s">
        <v>6569</v>
      </c>
      <c r="B3822" s="1">
        <v>45693</v>
      </c>
      <c r="C3822" s="1">
        <v>45747</v>
      </c>
      <c r="D3822" t="s">
        <v>6570</v>
      </c>
      <c r="E3822" t="s">
        <v>33</v>
      </c>
      <c r="F3822" t="s">
        <v>45</v>
      </c>
      <c r="G3822" t="s">
        <v>20</v>
      </c>
      <c r="H3822" t="s">
        <v>21</v>
      </c>
      <c r="I3822" t="s">
        <v>83</v>
      </c>
      <c r="J3822">
        <v>2</v>
      </c>
      <c r="K3822">
        <v>2504000</v>
      </c>
      <c r="L3822" s="3">
        <v>3.5999999999999997E-2</v>
      </c>
      <c r="M3822" t="s">
        <v>23</v>
      </c>
      <c r="N3822">
        <v>4826000</v>
      </c>
      <c r="O3822">
        <v>3.8</v>
      </c>
      <c r="P3822" t="b">
        <v>0</v>
      </c>
    </row>
    <row r="3823" spans="1:16" x14ac:dyDescent="0.2">
      <c r="A3823" t="s">
        <v>6571</v>
      </c>
      <c r="B3823" s="1">
        <v>45693</v>
      </c>
      <c r="C3823" s="1">
        <v>45723</v>
      </c>
      <c r="D3823" t="s">
        <v>1726</v>
      </c>
      <c r="E3823" t="s">
        <v>33</v>
      </c>
      <c r="F3823" t="s">
        <v>68</v>
      </c>
      <c r="G3823" t="s">
        <v>46</v>
      </c>
      <c r="H3823" t="s">
        <v>21</v>
      </c>
      <c r="I3823" t="s">
        <v>57</v>
      </c>
      <c r="J3823">
        <v>2</v>
      </c>
      <c r="K3823">
        <v>2578000</v>
      </c>
      <c r="L3823" s="2" t="s">
        <v>6572</v>
      </c>
      <c r="M3823" t="s">
        <v>23</v>
      </c>
      <c r="N3823">
        <v>4464000</v>
      </c>
      <c r="O3823">
        <v>3.9</v>
      </c>
      <c r="P3823" t="b">
        <v>1</v>
      </c>
    </row>
    <row r="3824" spans="1:16" x14ac:dyDescent="0.2">
      <c r="A3824" t="s">
        <v>6573</v>
      </c>
      <c r="B3824" s="1">
        <v>45694</v>
      </c>
      <c r="C3824" s="1">
        <v>45753</v>
      </c>
      <c r="D3824" t="s">
        <v>3264</v>
      </c>
      <c r="E3824" t="s">
        <v>33</v>
      </c>
      <c r="F3824" t="s">
        <v>19</v>
      </c>
      <c r="G3824" t="s">
        <v>20</v>
      </c>
      <c r="H3824" t="s">
        <v>21</v>
      </c>
      <c r="I3824" t="s">
        <v>99</v>
      </c>
      <c r="J3824">
        <v>3</v>
      </c>
      <c r="K3824">
        <v>2619000</v>
      </c>
      <c r="L3824" s="2" t="s">
        <v>6574</v>
      </c>
      <c r="M3824" t="s">
        <v>23</v>
      </c>
      <c r="N3824">
        <v>6659000</v>
      </c>
      <c r="O3824">
        <v>4.4000000000000004</v>
      </c>
      <c r="P3824" t="b">
        <v>1</v>
      </c>
    </row>
    <row r="3825" spans="1:16" x14ac:dyDescent="0.2">
      <c r="A3825" t="s">
        <v>6575</v>
      </c>
      <c r="B3825" s="1">
        <v>45695</v>
      </c>
      <c r="C3825" s="1">
        <v>45762</v>
      </c>
      <c r="D3825" t="s">
        <v>163</v>
      </c>
      <c r="E3825" t="s">
        <v>29</v>
      </c>
      <c r="F3825" t="s">
        <v>34</v>
      </c>
      <c r="G3825" t="s">
        <v>20</v>
      </c>
      <c r="H3825" t="s">
        <v>40</v>
      </c>
      <c r="I3825" t="s">
        <v>83</v>
      </c>
      <c r="J3825">
        <v>3</v>
      </c>
      <c r="K3825">
        <v>4263000</v>
      </c>
      <c r="L3825">
        <v>6.2703833553435701E-2</v>
      </c>
      <c r="M3825" t="s">
        <v>65</v>
      </c>
      <c r="N3825">
        <v>0</v>
      </c>
      <c r="P3825" t="b">
        <v>1</v>
      </c>
    </row>
    <row r="3826" spans="1:16" x14ac:dyDescent="0.2">
      <c r="A3826" t="s">
        <v>6576</v>
      </c>
      <c r="B3826" s="1">
        <v>45695</v>
      </c>
      <c r="C3826" s="1">
        <v>45745</v>
      </c>
      <c r="D3826" t="s">
        <v>6577</v>
      </c>
      <c r="E3826" t="s">
        <v>33</v>
      </c>
      <c r="F3826" t="s">
        <v>34</v>
      </c>
      <c r="G3826" t="s">
        <v>20</v>
      </c>
      <c r="H3826" t="s">
        <v>21</v>
      </c>
      <c r="I3826" t="s">
        <v>94</v>
      </c>
      <c r="J3826">
        <v>3</v>
      </c>
      <c r="K3826">
        <v>4105000</v>
      </c>
      <c r="L3826" s="2" t="s">
        <v>6578</v>
      </c>
      <c r="M3826" t="s">
        <v>23</v>
      </c>
      <c r="N3826">
        <v>11007000</v>
      </c>
      <c r="O3826">
        <v>4.5999999999999996</v>
      </c>
      <c r="P3826" t="b">
        <v>0</v>
      </c>
    </row>
    <row r="3827" spans="1:16" x14ac:dyDescent="0.2">
      <c r="A3827" t="s">
        <v>6579</v>
      </c>
      <c r="B3827" s="1">
        <v>45696</v>
      </c>
      <c r="C3827" s="1">
        <v>45792</v>
      </c>
      <c r="D3827" t="s">
        <v>6580</v>
      </c>
      <c r="E3827" t="s">
        <v>45</v>
      </c>
      <c r="F3827" t="s">
        <v>34</v>
      </c>
      <c r="G3827" t="s">
        <v>20</v>
      </c>
      <c r="H3827" t="s">
        <v>21</v>
      </c>
      <c r="I3827" t="s">
        <v>57</v>
      </c>
      <c r="J3827">
        <v>4</v>
      </c>
      <c r="K3827">
        <v>4065000</v>
      </c>
      <c r="L3827">
        <v>9.9011981536627894E-2</v>
      </c>
      <c r="M3827" t="s">
        <v>23</v>
      </c>
      <c r="N3827">
        <v>14650000</v>
      </c>
      <c r="O3827">
        <v>4</v>
      </c>
      <c r="P3827" t="b">
        <v>0</v>
      </c>
    </row>
    <row r="3828" spans="1:16" x14ac:dyDescent="0.2">
      <c r="A3828" t="s">
        <v>6581</v>
      </c>
      <c r="B3828" s="1">
        <v>45696</v>
      </c>
      <c r="C3828" s="1">
        <v>45740</v>
      </c>
      <c r="D3828" t="s">
        <v>6582</v>
      </c>
      <c r="E3828" t="s">
        <v>45</v>
      </c>
      <c r="F3828" t="s">
        <v>19</v>
      </c>
      <c r="G3828" t="s">
        <v>50</v>
      </c>
      <c r="H3828" t="s">
        <v>21</v>
      </c>
      <c r="I3828" t="s">
        <v>99</v>
      </c>
      <c r="J3828">
        <v>5</v>
      </c>
      <c r="K3828">
        <v>2368000</v>
      </c>
      <c r="L3828" s="2" t="s">
        <v>6583</v>
      </c>
      <c r="M3828" t="s">
        <v>23</v>
      </c>
      <c r="N3828">
        <v>10222000</v>
      </c>
      <c r="O3828">
        <v>5</v>
      </c>
      <c r="P3828" t="b">
        <v>0</v>
      </c>
    </row>
    <row r="3829" spans="1:16" x14ac:dyDescent="0.2">
      <c r="A3829" t="s">
        <v>6584</v>
      </c>
      <c r="B3829" s="1">
        <v>45696</v>
      </c>
      <c r="C3829" s="1">
        <v>45744</v>
      </c>
      <c r="D3829" t="s">
        <v>4060</v>
      </c>
      <c r="E3829" t="s">
        <v>33</v>
      </c>
      <c r="F3829" t="s">
        <v>25</v>
      </c>
      <c r="G3829" t="s">
        <v>20</v>
      </c>
      <c r="H3829" t="s">
        <v>40</v>
      </c>
      <c r="I3829" t="s">
        <v>30</v>
      </c>
      <c r="J3829">
        <v>1</v>
      </c>
      <c r="K3829">
        <v>5226000</v>
      </c>
      <c r="L3829">
        <v>9.0607240496700103E-2</v>
      </c>
      <c r="M3829" t="s">
        <v>23</v>
      </c>
      <c r="N3829">
        <v>4752000</v>
      </c>
      <c r="O3829">
        <v>4.8</v>
      </c>
      <c r="P3829" t="b">
        <v>1</v>
      </c>
    </row>
    <row r="3830" spans="1:16" x14ac:dyDescent="0.2">
      <c r="A3830" t="s">
        <v>6585</v>
      </c>
      <c r="B3830" s="1">
        <v>45696</v>
      </c>
      <c r="C3830" s="1">
        <v>45772</v>
      </c>
      <c r="D3830" t="s">
        <v>528</v>
      </c>
      <c r="E3830" t="s">
        <v>18</v>
      </c>
      <c r="F3830" t="s">
        <v>34</v>
      </c>
      <c r="G3830" t="s">
        <v>35</v>
      </c>
      <c r="H3830" t="s">
        <v>47</v>
      </c>
      <c r="I3830" t="s">
        <v>60</v>
      </c>
      <c r="J3830">
        <v>1</v>
      </c>
      <c r="K3830">
        <v>4413000</v>
      </c>
      <c r="L3830" s="2" t="s">
        <v>6586</v>
      </c>
      <c r="M3830" t="s">
        <v>23</v>
      </c>
      <c r="N3830">
        <v>4327000</v>
      </c>
      <c r="O3830">
        <v>4.0999999999999996</v>
      </c>
      <c r="P3830" t="b">
        <v>1</v>
      </c>
    </row>
    <row r="3831" spans="1:16" x14ac:dyDescent="0.2">
      <c r="A3831" t="s">
        <v>6587</v>
      </c>
      <c r="B3831" s="1">
        <v>45697</v>
      </c>
      <c r="C3831" s="1">
        <v>45806</v>
      </c>
      <c r="D3831" t="s">
        <v>6588</v>
      </c>
      <c r="E3831" t="s">
        <v>45</v>
      </c>
      <c r="F3831" t="s">
        <v>45</v>
      </c>
      <c r="G3831" t="s">
        <v>35</v>
      </c>
      <c r="H3831" t="s">
        <v>40</v>
      </c>
      <c r="I3831" t="s">
        <v>77</v>
      </c>
      <c r="J3831">
        <v>1</v>
      </c>
      <c r="K3831">
        <v>3566000</v>
      </c>
      <c r="L3831" s="2" t="s">
        <v>6589</v>
      </c>
      <c r="M3831" t="s">
        <v>23</v>
      </c>
      <c r="N3831">
        <v>3133000</v>
      </c>
      <c r="O3831">
        <v>4.0999999999999996</v>
      </c>
      <c r="P3831" t="b">
        <v>0</v>
      </c>
    </row>
    <row r="3832" spans="1:16" x14ac:dyDescent="0.2">
      <c r="A3832" t="s">
        <v>6590</v>
      </c>
      <c r="B3832" s="1">
        <v>45697</v>
      </c>
      <c r="C3832" s="1">
        <v>45747</v>
      </c>
      <c r="D3832" t="s">
        <v>6591</v>
      </c>
      <c r="E3832" t="s">
        <v>45</v>
      </c>
      <c r="F3832" t="s">
        <v>19</v>
      </c>
      <c r="G3832" t="s">
        <v>35</v>
      </c>
      <c r="H3832" t="s">
        <v>47</v>
      </c>
      <c r="I3832" t="s">
        <v>26</v>
      </c>
      <c r="J3832">
        <v>2</v>
      </c>
      <c r="K3832">
        <v>2450000</v>
      </c>
      <c r="L3832">
        <v>6.6507814494324594E-2</v>
      </c>
      <c r="M3832" t="s">
        <v>23</v>
      </c>
      <c r="N3832">
        <v>4574000</v>
      </c>
      <c r="O3832">
        <v>3.9</v>
      </c>
      <c r="P3832" t="b">
        <v>0</v>
      </c>
    </row>
    <row r="3833" spans="1:16" x14ac:dyDescent="0.2">
      <c r="A3833" t="s">
        <v>6592</v>
      </c>
      <c r="B3833" s="1">
        <v>45698</v>
      </c>
      <c r="C3833" s="1">
        <v>45777</v>
      </c>
      <c r="D3833" t="s">
        <v>5761</v>
      </c>
      <c r="F3833" t="s">
        <v>19</v>
      </c>
      <c r="G3833" t="s">
        <v>20</v>
      </c>
      <c r="H3833" t="s">
        <v>21</v>
      </c>
      <c r="I3833" t="s">
        <v>99</v>
      </c>
      <c r="J3833">
        <v>3</v>
      </c>
      <c r="K3833">
        <v>2534000</v>
      </c>
      <c r="L3833">
        <v>9.5105811165446905E-2</v>
      </c>
      <c r="M3833" t="s">
        <v>23</v>
      </c>
      <c r="N3833">
        <v>6879000</v>
      </c>
      <c r="O3833">
        <v>4.0999999999999996</v>
      </c>
      <c r="P3833" t="b">
        <v>1</v>
      </c>
    </row>
    <row r="3834" spans="1:16" x14ac:dyDescent="0.2">
      <c r="A3834" t="s">
        <v>6593</v>
      </c>
      <c r="B3834" s="1">
        <v>45698</v>
      </c>
      <c r="C3834" s="1">
        <v>45710</v>
      </c>
      <c r="D3834" t="s">
        <v>4407</v>
      </c>
      <c r="E3834" t="s">
        <v>33</v>
      </c>
      <c r="F3834" t="s">
        <v>39</v>
      </c>
      <c r="G3834" t="s">
        <v>20</v>
      </c>
      <c r="H3834" t="s">
        <v>47</v>
      </c>
      <c r="I3834" t="s">
        <v>57</v>
      </c>
      <c r="J3834">
        <v>1</v>
      </c>
      <c r="K3834">
        <v>2724000</v>
      </c>
      <c r="L3834" s="2" t="s">
        <v>6594</v>
      </c>
      <c r="M3834" t="s">
        <v>23</v>
      </c>
      <c r="N3834">
        <v>2612000</v>
      </c>
      <c r="O3834">
        <v>4.2</v>
      </c>
      <c r="P3834" t="b">
        <v>1</v>
      </c>
    </row>
    <row r="3835" spans="1:16" x14ac:dyDescent="0.2">
      <c r="A3835" t="s">
        <v>6595</v>
      </c>
      <c r="B3835" s="1">
        <v>45963</v>
      </c>
      <c r="C3835" s="1">
        <v>45750</v>
      </c>
      <c r="D3835" t="s">
        <v>767</v>
      </c>
      <c r="E3835" t="s">
        <v>33</v>
      </c>
      <c r="F3835" t="s">
        <v>34</v>
      </c>
      <c r="G3835" t="s">
        <v>35</v>
      </c>
      <c r="H3835" t="s">
        <v>21</v>
      </c>
      <c r="I3835" t="s">
        <v>99</v>
      </c>
      <c r="J3835">
        <v>2</v>
      </c>
      <c r="K3835">
        <v>4187000</v>
      </c>
      <c r="L3835" s="2" t="s">
        <v>6596</v>
      </c>
      <c r="M3835" t="s">
        <v>23</v>
      </c>
      <c r="N3835">
        <v>7996000</v>
      </c>
      <c r="O3835">
        <v>4.0999999999999996</v>
      </c>
      <c r="P3835" t="b">
        <v>1</v>
      </c>
    </row>
    <row r="3836" spans="1:16" x14ac:dyDescent="0.2">
      <c r="A3836" t="s">
        <v>6597</v>
      </c>
      <c r="B3836" s="1">
        <v>45699</v>
      </c>
      <c r="C3836" s="1">
        <v>45809</v>
      </c>
      <c r="D3836" t="s">
        <v>3695</v>
      </c>
      <c r="E3836" t="s">
        <v>45</v>
      </c>
      <c r="F3836" t="s">
        <v>34</v>
      </c>
      <c r="G3836" t="s">
        <v>35</v>
      </c>
      <c r="H3836" t="s">
        <v>47</v>
      </c>
      <c r="I3836" t="s">
        <v>60</v>
      </c>
      <c r="J3836">
        <v>2</v>
      </c>
      <c r="K3836">
        <v>5060000</v>
      </c>
      <c r="L3836">
        <v>9.0694955412171305E-2</v>
      </c>
      <c r="M3836" t="s">
        <v>23</v>
      </c>
      <c r="N3836">
        <v>9202000</v>
      </c>
      <c r="O3836">
        <v>3.8</v>
      </c>
      <c r="P3836" t="b">
        <v>1</v>
      </c>
    </row>
    <row r="3837" spans="1:16" x14ac:dyDescent="0.2">
      <c r="A3837" t="s">
        <v>6598</v>
      </c>
      <c r="B3837" s="1">
        <v>45700</v>
      </c>
      <c r="C3837" s="1">
        <v>45760</v>
      </c>
      <c r="D3837" t="s">
        <v>4960</v>
      </c>
      <c r="E3837" t="s">
        <v>33</v>
      </c>
      <c r="F3837" t="s">
        <v>25</v>
      </c>
      <c r="G3837" t="s">
        <v>20</v>
      </c>
      <c r="H3837" t="s">
        <v>51</v>
      </c>
      <c r="I3837" t="s">
        <v>52</v>
      </c>
      <c r="J3837">
        <v>1</v>
      </c>
      <c r="K3837">
        <v>4542000</v>
      </c>
      <c r="L3837" s="2" t="s">
        <v>6599</v>
      </c>
      <c r="M3837" t="s">
        <v>23</v>
      </c>
      <c r="N3837">
        <v>4059000</v>
      </c>
      <c r="O3837">
        <v>4.5999999999999996</v>
      </c>
      <c r="P3837" t="b">
        <v>1</v>
      </c>
    </row>
    <row r="3838" spans="1:16" x14ac:dyDescent="0.2">
      <c r="A3838" t="s">
        <v>6600</v>
      </c>
      <c r="B3838" s="1">
        <v>45700</v>
      </c>
      <c r="C3838" s="1">
        <v>45726</v>
      </c>
      <c r="D3838" t="s">
        <v>6375</v>
      </c>
      <c r="E3838" t="s">
        <v>33</v>
      </c>
      <c r="F3838" t="s">
        <v>25</v>
      </c>
      <c r="G3838" t="s">
        <v>20</v>
      </c>
      <c r="H3838" t="s">
        <v>40</v>
      </c>
      <c r="I3838" t="s">
        <v>83</v>
      </c>
      <c r="J3838">
        <v>1</v>
      </c>
      <c r="K3838">
        <v>4561000</v>
      </c>
      <c r="L3838">
        <v>8.6495064729989399E-2</v>
      </c>
      <c r="M3838" t="s">
        <v>23</v>
      </c>
      <c r="N3838">
        <v>4166000</v>
      </c>
      <c r="O3838">
        <v>4.9000000000000004</v>
      </c>
      <c r="P3838" t="b">
        <v>1</v>
      </c>
    </row>
    <row r="3839" spans="1:16" x14ac:dyDescent="0.2">
      <c r="A3839" t="s">
        <v>6601</v>
      </c>
      <c r="B3839" s="1">
        <v>45701</v>
      </c>
      <c r="C3839" s="1">
        <v>45769</v>
      </c>
      <c r="D3839" t="s">
        <v>6299</v>
      </c>
      <c r="E3839" t="s">
        <v>18</v>
      </c>
      <c r="F3839" t="s">
        <v>34</v>
      </c>
      <c r="G3839" t="s">
        <v>50</v>
      </c>
      <c r="H3839" t="s">
        <v>21</v>
      </c>
      <c r="I3839" t="s">
        <v>26</v>
      </c>
      <c r="J3839">
        <v>1</v>
      </c>
      <c r="K3839">
        <v>4539000</v>
      </c>
      <c r="L3839">
        <v>7.5593130582870899E-2</v>
      </c>
      <c r="M3839" t="s">
        <v>23</v>
      </c>
      <c r="N3839">
        <v>4196000</v>
      </c>
      <c r="O3839">
        <v>4.0999999999999996</v>
      </c>
      <c r="P3839" t="b">
        <v>1</v>
      </c>
    </row>
    <row r="3840" spans="1:16" x14ac:dyDescent="0.2">
      <c r="A3840" t="s">
        <v>6602</v>
      </c>
      <c r="B3840" s="1">
        <v>45702</v>
      </c>
      <c r="C3840" s="1">
        <v>45702</v>
      </c>
      <c r="D3840" t="s">
        <v>5446</v>
      </c>
      <c r="E3840" t="s">
        <v>45</v>
      </c>
      <c r="F3840" t="s">
        <v>68</v>
      </c>
      <c r="G3840" t="s">
        <v>20</v>
      </c>
      <c r="H3840" t="s">
        <v>47</v>
      </c>
      <c r="I3840" t="s">
        <v>22</v>
      </c>
      <c r="J3840">
        <v>1</v>
      </c>
      <c r="K3840">
        <v>2823000</v>
      </c>
      <c r="L3840" s="2" t="s">
        <v>6603</v>
      </c>
      <c r="M3840" t="s">
        <v>23</v>
      </c>
      <c r="N3840">
        <v>2708000</v>
      </c>
      <c r="O3840">
        <v>4.2</v>
      </c>
      <c r="P3840" t="b">
        <v>1</v>
      </c>
    </row>
    <row r="3841" spans="1:16" x14ac:dyDescent="0.2">
      <c r="A3841" t="s">
        <v>6604</v>
      </c>
      <c r="B3841" s="1">
        <v>45702</v>
      </c>
      <c r="C3841" s="1">
        <v>45737</v>
      </c>
      <c r="D3841" t="s">
        <v>5815</v>
      </c>
      <c r="E3841" t="s">
        <v>45</v>
      </c>
      <c r="F3841" t="s">
        <v>34</v>
      </c>
      <c r="G3841" t="s">
        <v>50</v>
      </c>
      <c r="H3841" t="s">
        <v>21</v>
      </c>
      <c r="I3841" t="s">
        <v>57</v>
      </c>
      <c r="J3841">
        <v>1</v>
      </c>
      <c r="K3841">
        <v>4545000</v>
      </c>
      <c r="L3841" s="2" t="s">
        <v>6605</v>
      </c>
      <c r="M3841" t="s">
        <v>23</v>
      </c>
      <c r="N3841">
        <v>4423000</v>
      </c>
      <c r="O3841">
        <v>4.3</v>
      </c>
      <c r="P3841" t="b">
        <v>1</v>
      </c>
    </row>
    <row r="3842" spans="1:16" x14ac:dyDescent="0.2">
      <c r="A3842" t="s">
        <v>6606</v>
      </c>
      <c r="B3842" s="1">
        <v>45702</v>
      </c>
      <c r="C3842" s="1">
        <v>45757</v>
      </c>
      <c r="D3842" t="s">
        <v>2772</v>
      </c>
      <c r="E3842" t="s">
        <v>18</v>
      </c>
      <c r="F3842" t="s">
        <v>34</v>
      </c>
      <c r="G3842" t="s">
        <v>35</v>
      </c>
      <c r="H3842" t="s">
        <v>47</v>
      </c>
      <c r="I3842" t="s">
        <v>52</v>
      </c>
      <c r="J3842">
        <v>5</v>
      </c>
      <c r="K3842">
        <v>3478000</v>
      </c>
      <c r="L3842">
        <v>9.7347391980497106E-2</v>
      </c>
      <c r="M3842" t="s">
        <v>23</v>
      </c>
      <c r="N3842">
        <v>15697000</v>
      </c>
      <c r="O3842">
        <v>4.8</v>
      </c>
      <c r="P3842" t="b">
        <v>1</v>
      </c>
    </row>
    <row r="3843" spans="1:16" x14ac:dyDescent="0.2">
      <c r="A3843" t="s">
        <v>6607</v>
      </c>
      <c r="B3843" s="1">
        <v>45702</v>
      </c>
      <c r="C3843" s="1">
        <v>45770</v>
      </c>
      <c r="D3843" t="s">
        <v>1373</v>
      </c>
      <c r="E3843" t="s">
        <v>18</v>
      </c>
      <c r="F3843" t="s">
        <v>19</v>
      </c>
      <c r="G3843" t="s">
        <v>35</v>
      </c>
      <c r="H3843" t="s">
        <v>21</v>
      </c>
      <c r="I3843" t="s">
        <v>26</v>
      </c>
      <c r="J3843">
        <v>3</v>
      </c>
      <c r="K3843">
        <v>2969000</v>
      </c>
      <c r="L3843">
        <v>4.8956746851922403E-2</v>
      </c>
      <c r="M3843" t="s">
        <v>23</v>
      </c>
      <c r="N3843">
        <v>8471000</v>
      </c>
      <c r="O3843">
        <v>3.7</v>
      </c>
      <c r="P3843" t="b">
        <v>1</v>
      </c>
    </row>
    <row r="3844" spans="1:16" x14ac:dyDescent="0.2">
      <c r="A3844" t="s">
        <v>6608</v>
      </c>
      <c r="B3844" s="1">
        <v>45703</v>
      </c>
      <c r="C3844" s="1">
        <v>45735</v>
      </c>
      <c r="D3844" t="s">
        <v>6609</v>
      </c>
      <c r="E3844" t="s">
        <v>45</v>
      </c>
      <c r="F3844" t="s">
        <v>45</v>
      </c>
      <c r="G3844" t="s">
        <v>46</v>
      </c>
      <c r="H3844" t="s">
        <v>21</v>
      </c>
      <c r="I3844" t="s">
        <v>60</v>
      </c>
      <c r="J3844">
        <v>2</v>
      </c>
      <c r="K3844">
        <v>3538000</v>
      </c>
      <c r="L3844">
        <v>7.3836342293145604E-2</v>
      </c>
      <c r="M3844" t="s">
        <v>23</v>
      </c>
      <c r="N3844">
        <v>6554000</v>
      </c>
      <c r="O3844">
        <v>4.2</v>
      </c>
      <c r="P3844" t="b">
        <v>0</v>
      </c>
    </row>
    <row r="3845" spans="1:16" x14ac:dyDescent="0.2">
      <c r="A3845" t="s">
        <v>6610</v>
      </c>
      <c r="B3845" s="1">
        <v>45704</v>
      </c>
      <c r="C3845" s="1">
        <v>45732</v>
      </c>
      <c r="D3845" t="s">
        <v>6065</v>
      </c>
      <c r="E3845" t="s">
        <v>18</v>
      </c>
      <c r="F3845" t="s">
        <v>68</v>
      </c>
      <c r="G3845" t="s">
        <v>50</v>
      </c>
      <c r="H3845" t="s">
        <v>40</v>
      </c>
      <c r="I3845" t="s">
        <v>26</v>
      </c>
      <c r="J3845">
        <v>2</v>
      </c>
      <c r="K3845">
        <v>2561000</v>
      </c>
      <c r="L3845">
        <v>8.7065551911553102E-2</v>
      </c>
      <c r="M3845" t="s">
        <v>23</v>
      </c>
      <c r="N3845">
        <v>4676000</v>
      </c>
      <c r="O3845">
        <v>4.0999999999999996</v>
      </c>
      <c r="P3845" t="b">
        <v>1</v>
      </c>
    </row>
    <row r="3846" spans="1:16" x14ac:dyDescent="0.2">
      <c r="A3846" t="s">
        <v>6611</v>
      </c>
      <c r="B3846" s="1">
        <v>45704</v>
      </c>
      <c r="C3846" s="1">
        <v>45735</v>
      </c>
      <c r="D3846" t="s">
        <v>6612</v>
      </c>
      <c r="E3846" t="s">
        <v>45</v>
      </c>
      <c r="F3846" t="s">
        <v>45</v>
      </c>
      <c r="G3846" t="s">
        <v>20</v>
      </c>
      <c r="H3846" t="s">
        <v>21</v>
      </c>
      <c r="I3846" t="s">
        <v>83</v>
      </c>
      <c r="J3846">
        <v>1</v>
      </c>
      <c r="K3846">
        <v>2532000</v>
      </c>
      <c r="L3846">
        <v>4.9537958999027E-2</v>
      </c>
      <c r="M3846" t="s">
        <v>23</v>
      </c>
      <c r="N3846">
        <v>2407000</v>
      </c>
      <c r="O3846">
        <v>3.5</v>
      </c>
      <c r="P3846" t="b">
        <v>0</v>
      </c>
    </row>
    <row r="3847" spans="1:16" x14ac:dyDescent="0.2">
      <c r="A3847" t="s">
        <v>6613</v>
      </c>
      <c r="B3847" s="1">
        <v>45704</v>
      </c>
      <c r="C3847" s="1">
        <v>45782</v>
      </c>
      <c r="D3847" t="s">
        <v>6472</v>
      </c>
      <c r="E3847" t="s">
        <v>18</v>
      </c>
      <c r="F3847" t="s">
        <v>68</v>
      </c>
      <c r="G3847" t="s">
        <v>50</v>
      </c>
      <c r="H3847" t="s">
        <v>51</v>
      </c>
      <c r="I3847" t="s">
        <v>57</v>
      </c>
      <c r="J3847">
        <v>1</v>
      </c>
      <c r="K3847">
        <v>2481000</v>
      </c>
      <c r="L3847" s="2" t="s">
        <v>6614</v>
      </c>
      <c r="M3847" t="s">
        <v>23</v>
      </c>
      <c r="N3847">
        <v>2123000</v>
      </c>
      <c r="O3847">
        <v>4</v>
      </c>
      <c r="P3847" t="b">
        <v>1</v>
      </c>
    </row>
    <row r="3848" spans="1:16" x14ac:dyDescent="0.2">
      <c r="A3848" t="s">
        <v>6615</v>
      </c>
      <c r="B3848" s="1">
        <v>45704</v>
      </c>
      <c r="C3848" s="1">
        <v>45754</v>
      </c>
      <c r="D3848" t="s">
        <v>6616</v>
      </c>
      <c r="E3848" t="s">
        <v>45</v>
      </c>
      <c r="F3848" t="s">
        <v>19</v>
      </c>
      <c r="G3848" t="s">
        <v>20</v>
      </c>
      <c r="H3848" t="s">
        <v>40</v>
      </c>
      <c r="I3848" t="s">
        <v>77</v>
      </c>
      <c r="J3848">
        <v>4</v>
      </c>
      <c r="K3848">
        <v>2777000</v>
      </c>
      <c r="L3848" s="2" t="s">
        <v>6617</v>
      </c>
      <c r="M3848" t="s">
        <v>23</v>
      </c>
      <c r="N3848">
        <v>10664000</v>
      </c>
      <c r="O3848">
        <v>4.7</v>
      </c>
      <c r="P3848" t="b">
        <v>0</v>
      </c>
    </row>
    <row r="3849" spans="1:16" x14ac:dyDescent="0.2">
      <c r="A3849" t="s">
        <v>6618</v>
      </c>
      <c r="B3849" s="1">
        <v>45704</v>
      </c>
      <c r="C3849" s="1">
        <v>45756</v>
      </c>
      <c r="D3849" t="s">
        <v>2746</v>
      </c>
      <c r="E3849" t="s">
        <v>45</v>
      </c>
      <c r="F3849" t="s">
        <v>19</v>
      </c>
      <c r="G3849" t="s">
        <v>20</v>
      </c>
      <c r="H3849" t="s">
        <v>21</v>
      </c>
      <c r="I3849" t="s">
        <v>22</v>
      </c>
      <c r="J3849">
        <v>2</v>
      </c>
      <c r="K3849">
        <v>2350000</v>
      </c>
      <c r="L3849">
        <v>9.2282107013819697E-2</v>
      </c>
      <c r="M3849" t="s">
        <v>23</v>
      </c>
      <c r="N3849">
        <v>4266000</v>
      </c>
      <c r="O3849">
        <v>4</v>
      </c>
      <c r="P3849" t="b">
        <v>1</v>
      </c>
    </row>
    <row r="3850" spans="1:16" x14ac:dyDescent="0.2">
      <c r="A3850" t="s">
        <v>6619</v>
      </c>
      <c r="B3850" s="1">
        <v>45705</v>
      </c>
      <c r="C3850" s="1">
        <v>45731</v>
      </c>
      <c r="D3850" t="s">
        <v>6086</v>
      </c>
      <c r="E3850" t="s">
        <v>45</v>
      </c>
      <c r="F3850" t="s">
        <v>34</v>
      </c>
      <c r="G3850" t="s">
        <v>50</v>
      </c>
      <c r="H3850" t="s">
        <v>21</v>
      </c>
      <c r="I3850" t="s">
        <v>52</v>
      </c>
      <c r="J3850">
        <v>1</v>
      </c>
      <c r="K3850">
        <v>3401000</v>
      </c>
      <c r="L3850" s="2" t="s">
        <v>6620</v>
      </c>
      <c r="M3850" t="s">
        <v>23</v>
      </c>
      <c r="N3850">
        <v>3035000</v>
      </c>
      <c r="O3850">
        <v>3.7</v>
      </c>
      <c r="P3850" t="b">
        <v>1</v>
      </c>
    </row>
    <row r="3851" spans="1:16" x14ac:dyDescent="0.2">
      <c r="A3851" t="s">
        <v>6621</v>
      </c>
      <c r="B3851" s="1">
        <v>45705</v>
      </c>
      <c r="C3851" s="1">
        <v>45734</v>
      </c>
      <c r="D3851" t="s">
        <v>4366</v>
      </c>
      <c r="E3851" t="s">
        <v>33</v>
      </c>
      <c r="F3851" t="s">
        <v>45</v>
      </c>
      <c r="G3851" t="s">
        <v>20</v>
      </c>
      <c r="H3851" t="s">
        <v>21</v>
      </c>
      <c r="I3851" t="s">
        <v>52</v>
      </c>
      <c r="J3851">
        <v>2</v>
      </c>
      <c r="K3851">
        <v>3068000</v>
      </c>
      <c r="L3851" s="2" t="s">
        <v>6622</v>
      </c>
      <c r="M3851" t="s">
        <v>65</v>
      </c>
      <c r="N3851">
        <v>0</v>
      </c>
      <c r="P3851" t="b">
        <v>1</v>
      </c>
    </row>
    <row r="3852" spans="1:16" x14ac:dyDescent="0.2">
      <c r="A3852" t="s">
        <v>6623</v>
      </c>
      <c r="B3852" s="1">
        <v>45705</v>
      </c>
      <c r="C3852" s="1">
        <v>45771</v>
      </c>
      <c r="D3852" t="s">
        <v>5942</v>
      </c>
      <c r="E3852" t="s">
        <v>18</v>
      </c>
      <c r="F3852" t="s">
        <v>25</v>
      </c>
      <c r="G3852" t="s">
        <v>35</v>
      </c>
      <c r="H3852" t="s">
        <v>47</v>
      </c>
      <c r="I3852" t="s">
        <v>77</v>
      </c>
      <c r="J3852">
        <v>1</v>
      </c>
      <c r="K3852">
        <v>6231000</v>
      </c>
      <c r="L3852" s="2" t="s">
        <v>6624</v>
      </c>
      <c r="M3852" t="s">
        <v>23</v>
      </c>
      <c r="N3852">
        <v>5539000</v>
      </c>
      <c r="O3852">
        <v>4.4000000000000004</v>
      </c>
      <c r="P3852" t="b">
        <v>1</v>
      </c>
    </row>
    <row r="3853" spans="1:16" x14ac:dyDescent="0.2">
      <c r="A3853" t="s">
        <v>6625</v>
      </c>
      <c r="B3853" s="1">
        <v>45705</v>
      </c>
      <c r="C3853" s="1">
        <v>45749</v>
      </c>
      <c r="D3853" t="s">
        <v>5432</v>
      </c>
      <c r="E3853" t="s">
        <v>18</v>
      </c>
      <c r="F3853" t="s">
        <v>68</v>
      </c>
      <c r="G3853" t="s">
        <v>20</v>
      </c>
      <c r="H3853" t="s">
        <v>21</v>
      </c>
      <c r="I3853" t="s">
        <v>22</v>
      </c>
      <c r="J3853">
        <v>2</v>
      </c>
      <c r="K3853">
        <v>2769000</v>
      </c>
      <c r="L3853" s="2" t="s">
        <v>6626</v>
      </c>
      <c r="M3853" t="s">
        <v>65</v>
      </c>
      <c r="N3853">
        <v>0</v>
      </c>
      <c r="P3853" t="b">
        <v>1</v>
      </c>
    </row>
    <row r="3854" spans="1:16" x14ac:dyDescent="0.2">
      <c r="A3854" t="s">
        <v>6627</v>
      </c>
      <c r="B3854" s="1">
        <v>45705</v>
      </c>
      <c r="C3854" s="1">
        <v>45722</v>
      </c>
      <c r="D3854" t="s">
        <v>132</v>
      </c>
      <c r="E3854" t="s">
        <v>29</v>
      </c>
      <c r="F3854" t="s">
        <v>19</v>
      </c>
      <c r="G3854" t="s">
        <v>35</v>
      </c>
      <c r="H3854" t="s">
        <v>40</v>
      </c>
      <c r="I3854" t="s">
        <v>94</v>
      </c>
      <c r="J3854">
        <v>1</v>
      </c>
      <c r="K3854">
        <v>2563000</v>
      </c>
      <c r="L3854" s="2" t="s">
        <v>6628</v>
      </c>
      <c r="M3854" t="s">
        <v>23</v>
      </c>
      <c r="N3854">
        <v>2164000</v>
      </c>
      <c r="O3854">
        <v>4.2</v>
      </c>
      <c r="P3854" t="b">
        <v>1</v>
      </c>
    </row>
    <row r="3855" spans="1:16" x14ac:dyDescent="0.2">
      <c r="A3855" t="s">
        <v>6629</v>
      </c>
      <c r="B3855" s="1">
        <v>45706</v>
      </c>
      <c r="C3855" s="1">
        <v>45780</v>
      </c>
      <c r="D3855" t="s">
        <v>6365</v>
      </c>
      <c r="E3855" t="s">
        <v>45</v>
      </c>
      <c r="F3855" t="s">
        <v>45</v>
      </c>
      <c r="G3855" t="s">
        <v>20</v>
      </c>
      <c r="H3855" t="s">
        <v>21</v>
      </c>
      <c r="I3855" t="s">
        <v>52</v>
      </c>
      <c r="J3855">
        <v>1</v>
      </c>
      <c r="K3855">
        <v>2792000</v>
      </c>
      <c r="L3855">
        <v>7.5966941365803106E-2</v>
      </c>
      <c r="M3855" t="s">
        <v>23</v>
      </c>
      <c r="N3855">
        <v>2580000</v>
      </c>
      <c r="O3855">
        <v>4.5</v>
      </c>
      <c r="P3855" t="b">
        <v>1</v>
      </c>
    </row>
    <row r="3856" spans="1:16" x14ac:dyDescent="0.2">
      <c r="A3856" t="s">
        <v>6630</v>
      </c>
      <c r="B3856" s="1">
        <v>45706</v>
      </c>
      <c r="C3856" s="1">
        <v>45733</v>
      </c>
      <c r="D3856" t="s">
        <v>6631</v>
      </c>
      <c r="E3856" t="s">
        <v>18</v>
      </c>
      <c r="F3856" t="s">
        <v>45</v>
      </c>
      <c r="G3856" t="s">
        <v>35</v>
      </c>
      <c r="H3856" t="s">
        <v>21</v>
      </c>
      <c r="I3856" t="s">
        <v>57</v>
      </c>
      <c r="J3856">
        <v>2</v>
      </c>
      <c r="K3856">
        <v>3679000</v>
      </c>
      <c r="L3856" s="2" t="s">
        <v>6632</v>
      </c>
      <c r="M3856" t="s">
        <v>23</v>
      </c>
      <c r="N3856">
        <v>6450000</v>
      </c>
      <c r="O3856">
        <v>4.0999999999999996</v>
      </c>
      <c r="P3856" t="b">
        <v>0</v>
      </c>
    </row>
    <row r="3857" spans="1:16" x14ac:dyDescent="0.2">
      <c r="A3857" t="s">
        <v>6633</v>
      </c>
      <c r="B3857" s="1">
        <v>45706</v>
      </c>
      <c r="C3857" s="1">
        <v>45759</v>
      </c>
      <c r="D3857" t="s">
        <v>6634</v>
      </c>
      <c r="E3857" t="s">
        <v>45</v>
      </c>
      <c r="F3857" t="s">
        <v>19</v>
      </c>
      <c r="G3857" t="s">
        <v>20</v>
      </c>
      <c r="H3857" t="s">
        <v>21</v>
      </c>
      <c r="I3857" t="s">
        <v>30</v>
      </c>
      <c r="J3857">
        <v>1</v>
      </c>
      <c r="K3857">
        <v>2410000</v>
      </c>
      <c r="L3857">
        <v>5.7013555069280297E-2</v>
      </c>
      <c r="M3857" t="s">
        <v>23</v>
      </c>
      <c r="N3857">
        <v>2273000</v>
      </c>
      <c r="O3857">
        <v>4.4000000000000004</v>
      </c>
      <c r="P3857" t="b">
        <v>0</v>
      </c>
    </row>
    <row r="3858" spans="1:16" x14ac:dyDescent="0.2">
      <c r="A3858" t="s">
        <v>6635</v>
      </c>
      <c r="B3858" s="1">
        <v>45709</v>
      </c>
      <c r="C3858" s="1">
        <v>45740</v>
      </c>
      <c r="D3858" t="s">
        <v>727</v>
      </c>
      <c r="E3858" t="s">
        <v>18</v>
      </c>
      <c r="F3858" t="s">
        <v>45</v>
      </c>
      <c r="G3858" t="s">
        <v>20</v>
      </c>
      <c r="H3858" t="s">
        <v>21</v>
      </c>
      <c r="I3858" t="s">
        <v>26</v>
      </c>
      <c r="J3858">
        <v>1</v>
      </c>
      <c r="K3858">
        <v>3238000</v>
      </c>
      <c r="L3858" s="2" t="s">
        <v>6636</v>
      </c>
      <c r="M3858" t="s">
        <v>65</v>
      </c>
      <c r="N3858">
        <v>0</v>
      </c>
      <c r="P3858" t="b">
        <v>1</v>
      </c>
    </row>
    <row r="3859" spans="1:16" x14ac:dyDescent="0.2">
      <c r="A3859" t="s">
        <v>6637</v>
      </c>
      <c r="B3859" s="1">
        <v>45709</v>
      </c>
      <c r="C3859" s="1">
        <v>45709</v>
      </c>
      <c r="D3859" t="s">
        <v>6638</v>
      </c>
      <c r="E3859" t="s">
        <v>45</v>
      </c>
      <c r="F3859" t="s">
        <v>45</v>
      </c>
      <c r="G3859" t="s">
        <v>20</v>
      </c>
      <c r="H3859" t="s">
        <v>40</v>
      </c>
      <c r="I3859" t="s">
        <v>57</v>
      </c>
      <c r="J3859">
        <v>3</v>
      </c>
      <c r="K3859">
        <v>3520000</v>
      </c>
      <c r="L3859" s="2" t="s">
        <v>6639</v>
      </c>
      <c r="M3859" t="s">
        <v>23</v>
      </c>
      <c r="N3859">
        <v>8973000</v>
      </c>
      <c r="O3859">
        <v>4.4000000000000004</v>
      </c>
      <c r="P3859" t="b">
        <v>0</v>
      </c>
    </row>
    <row r="3860" spans="1:16" x14ac:dyDescent="0.2">
      <c r="A3860" t="s">
        <v>6640</v>
      </c>
      <c r="B3860" s="1">
        <v>45710</v>
      </c>
      <c r="C3860" s="1">
        <v>45732</v>
      </c>
      <c r="D3860" t="s">
        <v>200</v>
      </c>
      <c r="E3860" t="s">
        <v>18</v>
      </c>
      <c r="F3860" t="s">
        <v>39</v>
      </c>
      <c r="G3860" t="s">
        <v>20</v>
      </c>
      <c r="H3860" t="s">
        <v>47</v>
      </c>
      <c r="I3860" t="s">
        <v>26</v>
      </c>
      <c r="J3860">
        <v>2</v>
      </c>
      <c r="K3860">
        <v>2104000</v>
      </c>
      <c r="L3860">
        <v>5.5840881370448299E-2</v>
      </c>
      <c r="M3860" t="s">
        <v>23</v>
      </c>
      <c r="N3860">
        <v>3973000</v>
      </c>
      <c r="O3860">
        <v>3.7</v>
      </c>
      <c r="P3860" t="b">
        <v>1</v>
      </c>
    </row>
    <row r="3861" spans="1:16" x14ac:dyDescent="0.2">
      <c r="A3861" t="s">
        <v>6641</v>
      </c>
      <c r="B3861" s="1">
        <v>45712</v>
      </c>
      <c r="C3861" s="1">
        <v>45772</v>
      </c>
      <c r="D3861" t="s">
        <v>464</v>
      </c>
      <c r="E3861" t="s">
        <v>33</v>
      </c>
      <c r="F3861" t="s">
        <v>25</v>
      </c>
      <c r="G3861" t="s">
        <v>20</v>
      </c>
      <c r="H3861" t="s">
        <v>47</v>
      </c>
      <c r="I3861" t="s">
        <v>83</v>
      </c>
      <c r="J3861">
        <v>2</v>
      </c>
      <c r="K3861">
        <v>5105000</v>
      </c>
      <c r="L3861" s="2" t="s">
        <v>6642</v>
      </c>
      <c r="M3861" t="s">
        <v>23</v>
      </c>
      <c r="N3861">
        <v>10094000</v>
      </c>
      <c r="O3861">
        <v>4.8</v>
      </c>
      <c r="P3861" t="b">
        <v>1</v>
      </c>
    </row>
    <row r="3862" spans="1:16" x14ac:dyDescent="0.2">
      <c r="A3862" t="s">
        <v>6643</v>
      </c>
      <c r="B3862" s="1">
        <v>45712</v>
      </c>
      <c r="C3862" s="1">
        <v>45732</v>
      </c>
      <c r="D3862" t="s">
        <v>4807</v>
      </c>
      <c r="E3862" t="s">
        <v>45</v>
      </c>
      <c r="F3862" t="s">
        <v>34</v>
      </c>
      <c r="G3862" t="s">
        <v>20</v>
      </c>
      <c r="H3862" t="s">
        <v>21</v>
      </c>
      <c r="I3862" t="s">
        <v>52</v>
      </c>
      <c r="J3862">
        <v>1</v>
      </c>
      <c r="K3862">
        <v>3029000</v>
      </c>
      <c r="L3862" s="2" t="s">
        <v>6644</v>
      </c>
      <c r="M3862" t="s">
        <v>65</v>
      </c>
      <c r="N3862">
        <v>0</v>
      </c>
      <c r="P3862" t="b">
        <v>1</v>
      </c>
    </row>
    <row r="3863" spans="1:16" x14ac:dyDescent="0.2">
      <c r="A3863" t="s">
        <v>6645</v>
      </c>
      <c r="B3863" s="1">
        <v>45712</v>
      </c>
      <c r="C3863" s="1">
        <v>45766</v>
      </c>
      <c r="D3863" t="s">
        <v>1658</v>
      </c>
      <c r="E3863" t="s">
        <v>33</v>
      </c>
      <c r="F3863" t="s">
        <v>25</v>
      </c>
      <c r="G3863" t="s">
        <v>20</v>
      </c>
      <c r="H3863" t="s">
        <v>21</v>
      </c>
      <c r="I3863" t="s">
        <v>94</v>
      </c>
      <c r="J3863">
        <v>3</v>
      </c>
      <c r="K3863">
        <v>4741000</v>
      </c>
      <c r="L3863" s="2" t="s">
        <v>6646</v>
      </c>
      <c r="M3863" t="s">
        <v>23</v>
      </c>
      <c r="N3863">
        <v>11411000</v>
      </c>
      <c r="O3863">
        <v>4.2</v>
      </c>
      <c r="P3863" t="b">
        <v>1</v>
      </c>
    </row>
    <row r="3864" spans="1:16" x14ac:dyDescent="0.2">
      <c r="A3864" t="s">
        <v>6647</v>
      </c>
      <c r="B3864" s="1">
        <v>45713</v>
      </c>
      <c r="C3864" s="1">
        <v>45742</v>
      </c>
      <c r="D3864" t="s">
        <v>5784</v>
      </c>
      <c r="E3864" t="s">
        <v>33</v>
      </c>
      <c r="F3864" t="s">
        <v>25</v>
      </c>
      <c r="G3864" t="s">
        <v>50</v>
      </c>
      <c r="H3864" t="s">
        <v>40</v>
      </c>
      <c r="I3864" t="s">
        <v>77</v>
      </c>
      <c r="J3864">
        <v>2</v>
      </c>
      <c r="K3864">
        <v>5504000</v>
      </c>
      <c r="L3864" s="2" t="s">
        <v>6648</v>
      </c>
      <c r="M3864" t="s">
        <v>23</v>
      </c>
      <c r="N3864">
        <v>9713000</v>
      </c>
      <c r="O3864">
        <v>4.0999999999999996</v>
      </c>
      <c r="P3864" t="b">
        <v>1</v>
      </c>
    </row>
    <row r="3865" spans="1:16" x14ac:dyDescent="0.2">
      <c r="A3865" t="s">
        <v>6649</v>
      </c>
      <c r="B3865" s="1">
        <v>45713</v>
      </c>
      <c r="C3865" s="1">
        <v>45776</v>
      </c>
      <c r="D3865" t="s">
        <v>122</v>
      </c>
      <c r="E3865" t="s">
        <v>33</v>
      </c>
      <c r="F3865" t="s">
        <v>45</v>
      </c>
      <c r="G3865" t="s">
        <v>20</v>
      </c>
      <c r="H3865" t="s">
        <v>21</v>
      </c>
      <c r="I3865" t="s">
        <v>57</v>
      </c>
      <c r="J3865">
        <v>3</v>
      </c>
      <c r="K3865">
        <v>3874000</v>
      </c>
      <c r="L3865" s="2" t="s">
        <v>6650</v>
      </c>
      <c r="M3865" t="s">
        <v>23</v>
      </c>
      <c r="N3865">
        <v>10060000</v>
      </c>
      <c r="O3865">
        <v>4.5</v>
      </c>
      <c r="P3865" t="b">
        <v>1</v>
      </c>
    </row>
    <row r="3866" spans="1:16" x14ac:dyDescent="0.2">
      <c r="A3866" t="s">
        <v>6651</v>
      </c>
      <c r="B3866" s="1">
        <v>45714</v>
      </c>
      <c r="C3866" s="1">
        <v>45742</v>
      </c>
      <c r="D3866" t="s">
        <v>6652</v>
      </c>
      <c r="E3866" t="s">
        <v>33</v>
      </c>
      <c r="F3866" t="s">
        <v>68</v>
      </c>
      <c r="G3866" t="s">
        <v>35</v>
      </c>
      <c r="H3866" t="s">
        <v>47</v>
      </c>
      <c r="J3866">
        <v>2</v>
      </c>
      <c r="K3866">
        <v>2584000</v>
      </c>
      <c r="L3866" s="2" t="s">
        <v>6653</v>
      </c>
      <c r="M3866" t="s">
        <v>23</v>
      </c>
      <c r="N3866">
        <v>4162000</v>
      </c>
      <c r="O3866">
        <v>4.8</v>
      </c>
      <c r="P3866" t="b">
        <v>0</v>
      </c>
    </row>
    <row r="3867" spans="1:16" x14ac:dyDescent="0.2">
      <c r="A3867" t="s">
        <v>6654</v>
      </c>
      <c r="B3867" s="1">
        <v>45714</v>
      </c>
      <c r="C3867" s="1">
        <v>45760</v>
      </c>
      <c r="D3867" t="s">
        <v>847</v>
      </c>
      <c r="E3867" t="s">
        <v>45</v>
      </c>
      <c r="F3867" t="s">
        <v>68</v>
      </c>
      <c r="G3867" t="s">
        <v>20</v>
      </c>
      <c r="H3867" t="s">
        <v>47</v>
      </c>
      <c r="I3867" t="s">
        <v>26</v>
      </c>
      <c r="J3867">
        <v>1</v>
      </c>
      <c r="K3867">
        <v>2940000</v>
      </c>
      <c r="L3867" s="2" t="s">
        <v>6655</v>
      </c>
      <c r="M3867" t="s">
        <v>23</v>
      </c>
      <c r="N3867">
        <v>2442000</v>
      </c>
      <c r="O3867">
        <v>4.5</v>
      </c>
      <c r="P3867" t="b">
        <v>1</v>
      </c>
    </row>
    <row r="3868" spans="1:16" x14ac:dyDescent="0.2">
      <c r="A3868" t="s">
        <v>6656</v>
      </c>
      <c r="B3868" s="1">
        <v>45715</v>
      </c>
      <c r="C3868" s="1">
        <v>45815</v>
      </c>
      <c r="D3868" t="s">
        <v>911</v>
      </c>
      <c r="E3868" t="s">
        <v>45</v>
      </c>
      <c r="F3868" t="s">
        <v>39</v>
      </c>
      <c r="G3868" t="s">
        <v>20</v>
      </c>
      <c r="H3868" t="s">
        <v>40</v>
      </c>
      <c r="I3868" t="s">
        <v>60</v>
      </c>
      <c r="J3868">
        <v>1</v>
      </c>
      <c r="K3868">
        <v>2689000</v>
      </c>
      <c r="L3868" s="2" t="s">
        <v>6657</v>
      </c>
      <c r="M3868" t="s">
        <v>23</v>
      </c>
      <c r="N3868">
        <v>2275000</v>
      </c>
      <c r="O3868">
        <v>4.5999999999999996</v>
      </c>
      <c r="P3868" t="b">
        <v>1</v>
      </c>
    </row>
    <row r="3869" spans="1:16" x14ac:dyDescent="0.2">
      <c r="A3869" t="s">
        <v>6658</v>
      </c>
      <c r="B3869" s="1">
        <v>45715</v>
      </c>
      <c r="C3869" s="1">
        <v>45737</v>
      </c>
      <c r="D3869" t="s">
        <v>6659</v>
      </c>
      <c r="E3869" t="s">
        <v>33</v>
      </c>
      <c r="F3869" t="s">
        <v>25</v>
      </c>
      <c r="G3869" t="s">
        <v>50</v>
      </c>
      <c r="H3869" t="s">
        <v>47</v>
      </c>
      <c r="I3869" t="s">
        <v>22</v>
      </c>
      <c r="J3869">
        <v>1</v>
      </c>
      <c r="K3869">
        <v>4754000</v>
      </c>
      <c r="L3869" s="2" t="s">
        <v>6660</v>
      </c>
      <c r="M3869" t="s">
        <v>65</v>
      </c>
      <c r="N3869">
        <v>0</v>
      </c>
      <c r="P3869" t="b">
        <v>0</v>
      </c>
    </row>
    <row r="3870" spans="1:16" x14ac:dyDescent="0.2">
      <c r="A3870" t="s">
        <v>6661</v>
      </c>
      <c r="B3870" s="1">
        <v>45715</v>
      </c>
      <c r="C3870" s="1">
        <v>45771</v>
      </c>
      <c r="D3870" t="s">
        <v>4228</v>
      </c>
      <c r="E3870" t="s">
        <v>29</v>
      </c>
      <c r="F3870" t="s">
        <v>39</v>
      </c>
      <c r="G3870" t="s">
        <v>50</v>
      </c>
      <c r="H3870" t="s">
        <v>47</v>
      </c>
      <c r="I3870" t="s">
        <v>94</v>
      </c>
      <c r="J3870">
        <v>1</v>
      </c>
      <c r="K3870">
        <v>2803000</v>
      </c>
      <c r="L3870" s="2" t="s">
        <v>6662</v>
      </c>
      <c r="M3870" t="s">
        <v>23</v>
      </c>
      <c r="N3870">
        <v>2650000</v>
      </c>
      <c r="O3870">
        <v>4.4000000000000004</v>
      </c>
      <c r="P3870" t="b">
        <v>1</v>
      </c>
    </row>
    <row r="3871" spans="1:16" x14ac:dyDescent="0.2">
      <c r="A3871" t="s">
        <v>6663</v>
      </c>
      <c r="B3871" s="1">
        <v>45715</v>
      </c>
      <c r="C3871" s="1">
        <v>45763</v>
      </c>
      <c r="D3871" t="s">
        <v>1933</v>
      </c>
      <c r="E3871" t="s">
        <v>29</v>
      </c>
      <c r="F3871" t="s">
        <v>34</v>
      </c>
      <c r="G3871" t="s">
        <v>35</v>
      </c>
      <c r="H3871" t="s">
        <v>21</v>
      </c>
      <c r="I3871" t="s">
        <v>94</v>
      </c>
      <c r="J3871">
        <v>1</v>
      </c>
      <c r="K3871">
        <v>4396000</v>
      </c>
      <c r="L3871" s="2" t="s">
        <v>6664</v>
      </c>
      <c r="M3871" t="s">
        <v>23</v>
      </c>
      <c r="N3871">
        <v>4230000</v>
      </c>
      <c r="O3871">
        <v>4.7</v>
      </c>
      <c r="P3871" t="b">
        <v>1</v>
      </c>
    </row>
    <row r="3872" spans="1:16" x14ac:dyDescent="0.2">
      <c r="A3872" t="s">
        <v>6665</v>
      </c>
      <c r="B3872" s="1">
        <v>45716</v>
      </c>
      <c r="C3872" s="1">
        <v>45726</v>
      </c>
      <c r="D3872" t="s">
        <v>417</v>
      </c>
      <c r="E3872" t="s">
        <v>33</v>
      </c>
      <c r="F3872" t="s">
        <v>45</v>
      </c>
      <c r="G3872" t="s">
        <v>20</v>
      </c>
      <c r="H3872" t="s">
        <v>47</v>
      </c>
      <c r="I3872" t="s">
        <v>83</v>
      </c>
      <c r="J3872">
        <v>2</v>
      </c>
      <c r="K3872">
        <v>2704000</v>
      </c>
      <c r="L3872">
        <v>4.6351307841874197E-2</v>
      </c>
      <c r="M3872" t="s">
        <v>23</v>
      </c>
      <c r="N3872">
        <v>5157000</v>
      </c>
      <c r="O3872">
        <v>4.9000000000000004</v>
      </c>
      <c r="P3872" t="b">
        <v>1</v>
      </c>
    </row>
    <row r="3873" spans="1:16" x14ac:dyDescent="0.2">
      <c r="A3873" t="s">
        <v>6666</v>
      </c>
      <c r="B3873" s="1">
        <v>45716</v>
      </c>
      <c r="C3873" s="1">
        <v>45815</v>
      </c>
      <c r="D3873" t="s">
        <v>3869</v>
      </c>
      <c r="E3873" t="s">
        <v>45</v>
      </c>
      <c r="F3873" t="s">
        <v>45</v>
      </c>
      <c r="G3873" t="s">
        <v>50</v>
      </c>
      <c r="H3873" t="s">
        <v>21</v>
      </c>
      <c r="I3873" t="s">
        <v>77</v>
      </c>
      <c r="J3873">
        <v>3</v>
      </c>
      <c r="K3873">
        <v>3655000</v>
      </c>
      <c r="L3873" s="2" t="s">
        <v>6667</v>
      </c>
      <c r="M3873" t="s">
        <v>23</v>
      </c>
      <c r="N3873">
        <v>9699000</v>
      </c>
      <c r="O3873">
        <v>4.2</v>
      </c>
      <c r="P3873" t="b">
        <v>1</v>
      </c>
    </row>
    <row r="3874" spans="1:16" x14ac:dyDescent="0.2">
      <c r="A3874" t="s">
        <v>6668</v>
      </c>
      <c r="B3874" s="1">
        <v>45717</v>
      </c>
      <c r="C3874" s="1">
        <v>45792</v>
      </c>
      <c r="D3874" t="s">
        <v>247</v>
      </c>
      <c r="E3874" t="s">
        <v>45</v>
      </c>
      <c r="F3874" t="s">
        <v>45</v>
      </c>
      <c r="G3874" t="s">
        <v>20</v>
      </c>
      <c r="H3874" t="s">
        <v>47</v>
      </c>
      <c r="I3874" t="s">
        <v>60</v>
      </c>
      <c r="J3874">
        <v>1</v>
      </c>
      <c r="K3874">
        <v>3317000</v>
      </c>
      <c r="L3874" s="2" t="s">
        <v>6669</v>
      </c>
      <c r="M3874" t="s">
        <v>23</v>
      </c>
      <c r="N3874">
        <v>2957000</v>
      </c>
      <c r="O3874">
        <v>4</v>
      </c>
      <c r="P3874" t="b">
        <v>1</v>
      </c>
    </row>
    <row r="3875" spans="1:16" x14ac:dyDescent="0.2">
      <c r="A3875" t="s">
        <v>6670</v>
      </c>
      <c r="B3875" s="1">
        <v>45717</v>
      </c>
      <c r="C3875" s="1">
        <v>45760</v>
      </c>
      <c r="D3875" t="s">
        <v>155</v>
      </c>
      <c r="E3875" t="s">
        <v>29</v>
      </c>
      <c r="F3875" t="s">
        <v>34</v>
      </c>
      <c r="G3875" t="s">
        <v>50</v>
      </c>
      <c r="H3875" t="s">
        <v>47</v>
      </c>
      <c r="I3875" t="s">
        <v>83</v>
      </c>
      <c r="J3875">
        <v>1</v>
      </c>
      <c r="K3875">
        <v>4150000</v>
      </c>
      <c r="L3875" s="2" t="s">
        <v>6671</v>
      </c>
      <c r="M3875" t="s">
        <v>23</v>
      </c>
      <c r="N3875">
        <v>3572000</v>
      </c>
      <c r="O3875">
        <v>4</v>
      </c>
      <c r="P3875" t="b">
        <v>1</v>
      </c>
    </row>
    <row r="3876" spans="1:16" x14ac:dyDescent="0.2">
      <c r="A3876" t="s">
        <v>6672</v>
      </c>
      <c r="B3876" s="1">
        <v>45717</v>
      </c>
      <c r="C3876" s="1">
        <v>45717</v>
      </c>
      <c r="D3876" t="s">
        <v>6673</v>
      </c>
      <c r="E3876" t="s">
        <v>45</v>
      </c>
      <c r="F3876" t="s">
        <v>34</v>
      </c>
      <c r="G3876" t="s">
        <v>35</v>
      </c>
      <c r="H3876" t="s">
        <v>21</v>
      </c>
      <c r="I3876" t="s">
        <v>22</v>
      </c>
      <c r="J3876">
        <v>3</v>
      </c>
      <c r="K3876">
        <v>3387000</v>
      </c>
      <c r="L3876" s="2" t="s">
        <v>6674</v>
      </c>
      <c r="M3876" t="s">
        <v>23</v>
      </c>
      <c r="N3876">
        <v>8974000</v>
      </c>
      <c r="O3876">
        <v>4.3</v>
      </c>
      <c r="P3876" t="b">
        <v>0</v>
      </c>
    </row>
    <row r="3877" spans="1:16" x14ac:dyDescent="0.2">
      <c r="A3877" t="s">
        <v>6675</v>
      </c>
      <c r="B3877" s="1">
        <v>45718</v>
      </c>
      <c r="C3877" s="1">
        <v>45786</v>
      </c>
      <c r="D3877" t="s">
        <v>4335</v>
      </c>
      <c r="E3877" t="s">
        <v>45</v>
      </c>
      <c r="F3877" t="s">
        <v>34</v>
      </c>
      <c r="G3877" t="s">
        <v>20</v>
      </c>
      <c r="H3877" t="s">
        <v>21</v>
      </c>
      <c r="I3877" t="s">
        <v>94</v>
      </c>
      <c r="J3877">
        <v>2</v>
      </c>
      <c r="K3877">
        <v>4070000</v>
      </c>
      <c r="L3877" s="2" t="s">
        <v>6676</v>
      </c>
      <c r="M3877" t="s">
        <v>23</v>
      </c>
      <c r="N3877">
        <v>7310000</v>
      </c>
      <c r="O3877">
        <v>4.0999999999999996</v>
      </c>
      <c r="P3877" t="b">
        <v>1</v>
      </c>
    </row>
    <row r="3878" spans="1:16" x14ac:dyDescent="0.2">
      <c r="A3878" t="s">
        <v>6677</v>
      </c>
      <c r="B3878" s="1">
        <v>45718</v>
      </c>
      <c r="C3878" s="1">
        <v>45765</v>
      </c>
      <c r="D3878" t="s">
        <v>6678</v>
      </c>
      <c r="E3878" t="s">
        <v>33</v>
      </c>
      <c r="F3878" t="s">
        <v>39</v>
      </c>
      <c r="G3878" t="s">
        <v>20</v>
      </c>
      <c r="I3878" t="s">
        <v>57</v>
      </c>
      <c r="J3878">
        <v>2</v>
      </c>
      <c r="K3878">
        <v>2774000</v>
      </c>
      <c r="L3878" s="2" t="s">
        <v>6679</v>
      </c>
      <c r="M3878" t="s">
        <v>23</v>
      </c>
      <c r="N3878">
        <v>4442000</v>
      </c>
      <c r="O3878">
        <v>3.3</v>
      </c>
      <c r="P3878" t="b">
        <v>0</v>
      </c>
    </row>
    <row r="3879" spans="1:16" x14ac:dyDescent="0.2">
      <c r="A3879" t="s">
        <v>6680</v>
      </c>
      <c r="B3879" s="1">
        <v>45718</v>
      </c>
      <c r="C3879" s="1">
        <v>45745</v>
      </c>
      <c r="D3879" t="s">
        <v>1378</v>
      </c>
      <c r="E3879" t="s">
        <v>45</v>
      </c>
      <c r="F3879" t="s">
        <v>45</v>
      </c>
      <c r="G3879" t="s">
        <v>20</v>
      </c>
      <c r="H3879" t="s">
        <v>40</v>
      </c>
      <c r="I3879" t="s">
        <v>26</v>
      </c>
      <c r="J3879">
        <v>2</v>
      </c>
      <c r="K3879">
        <v>3416000</v>
      </c>
      <c r="L3879">
        <v>5.3347692798985803E-2</v>
      </c>
      <c r="M3879" t="s">
        <v>23</v>
      </c>
      <c r="N3879">
        <v>6468000</v>
      </c>
      <c r="O3879">
        <v>4.0999999999999996</v>
      </c>
      <c r="P3879" t="b">
        <v>1</v>
      </c>
    </row>
    <row r="3880" spans="1:16" x14ac:dyDescent="0.2">
      <c r="A3880" t="s">
        <v>6681</v>
      </c>
      <c r="B3880" s="1">
        <v>45719</v>
      </c>
      <c r="C3880" s="1">
        <v>45769</v>
      </c>
      <c r="D3880" t="s">
        <v>1441</v>
      </c>
      <c r="E3880" t="s">
        <v>45</v>
      </c>
      <c r="F3880" t="s">
        <v>45</v>
      </c>
      <c r="G3880" t="s">
        <v>50</v>
      </c>
      <c r="H3880" t="s">
        <v>21</v>
      </c>
      <c r="I3880" t="s">
        <v>94</v>
      </c>
      <c r="J3880">
        <v>5</v>
      </c>
      <c r="K3880">
        <v>3103000</v>
      </c>
      <c r="L3880" s="2" t="s">
        <v>6682</v>
      </c>
      <c r="M3880" t="s">
        <v>23</v>
      </c>
      <c r="N3880">
        <v>13461000</v>
      </c>
      <c r="O3880">
        <v>4.5</v>
      </c>
      <c r="P3880" t="b">
        <v>1</v>
      </c>
    </row>
    <row r="3881" spans="1:16" x14ac:dyDescent="0.2">
      <c r="A3881" t="s">
        <v>6683</v>
      </c>
      <c r="B3881" s="1">
        <v>45719</v>
      </c>
      <c r="C3881" s="1">
        <v>45769</v>
      </c>
      <c r="D3881" t="s">
        <v>6684</v>
      </c>
      <c r="E3881" t="s">
        <v>45</v>
      </c>
      <c r="F3881" t="s">
        <v>19</v>
      </c>
      <c r="G3881" t="s">
        <v>20</v>
      </c>
      <c r="H3881" t="s">
        <v>21</v>
      </c>
      <c r="I3881" t="s">
        <v>77</v>
      </c>
      <c r="J3881">
        <v>2</v>
      </c>
      <c r="K3881">
        <v>2895000</v>
      </c>
      <c r="L3881">
        <v>8.2523068448671494E-2</v>
      </c>
      <c r="M3881" t="s">
        <v>23</v>
      </c>
      <c r="N3881">
        <v>5312000</v>
      </c>
      <c r="O3881">
        <v>3.9</v>
      </c>
      <c r="P3881" t="b">
        <v>0</v>
      </c>
    </row>
    <row r="3882" spans="1:16" x14ac:dyDescent="0.2">
      <c r="A3882" t="s">
        <v>6685</v>
      </c>
      <c r="B3882" s="1">
        <v>45720</v>
      </c>
      <c r="C3882" s="1">
        <v>45813</v>
      </c>
      <c r="D3882" t="s">
        <v>4519</v>
      </c>
      <c r="E3882" t="s">
        <v>33</v>
      </c>
      <c r="F3882" t="s">
        <v>39</v>
      </c>
      <c r="G3882" t="s">
        <v>20</v>
      </c>
      <c r="H3882" t="s">
        <v>47</v>
      </c>
      <c r="I3882" t="s">
        <v>26</v>
      </c>
      <c r="J3882">
        <v>1</v>
      </c>
      <c r="K3882">
        <v>2209000</v>
      </c>
      <c r="L3882" s="2" t="s">
        <v>6686</v>
      </c>
      <c r="M3882" t="s">
        <v>23</v>
      </c>
      <c r="N3882">
        <v>1926000</v>
      </c>
      <c r="O3882">
        <v>4.3</v>
      </c>
      <c r="P3882" t="b">
        <v>1</v>
      </c>
    </row>
    <row r="3883" spans="1:16" x14ac:dyDescent="0.2">
      <c r="A3883" t="s">
        <v>6687</v>
      </c>
      <c r="B3883" s="1">
        <v>45720</v>
      </c>
      <c r="C3883" s="1">
        <v>45745</v>
      </c>
      <c r="D3883" t="s">
        <v>6241</v>
      </c>
      <c r="E3883" t="s">
        <v>29</v>
      </c>
      <c r="F3883" t="s">
        <v>34</v>
      </c>
      <c r="G3883" t="s">
        <v>46</v>
      </c>
      <c r="H3883" t="s">
        <v>21</v>
      </c>
      <c r="I3883" t="s">
        <v>26</v>
      </c>
      <c r="J3883">
        <v>4</v>
      </c>
      <c r="K3883">
        <v>4110000</v>
      </c>
      <c r="L3883" s="2" t="s">
        <v>6688</v>
      </c>
      <c r="M3883" t="s">
        <v>23</v>
      </c>
      <c r="N3883">
        <v>14665000</v>
      </c>
      <c r="O3883">
        <v>5</v>
      </c>
      <c r="P3883" t="b">
        <v>1</v>
      </c>
    </row>
    <row r="3884" spans="1:16" x14ac:dyDescent="0.2">
      <c r="A3884" t="s">
        <v>6689</v>
      </c>
      <c r="B3884" s="1">
        <v>45721</v>
      </c>
      <c r="C3884" s="1">
        <v>45766</v>
      </c>
      <c r="D3884" t="s">
        <v>3363</v>
      </c>
      <c r="E3884" t="s">
        <v>33</v>
      </c>
      <c r="F3884" t="s">
        <v>34</v>
      </c>
      <c r="I3884" t="s">
        <v>52</v>
      </c>
      <c r="J3884">
        <v>2</v>
      </c>
      <c r="K3884">
        <v>3419000</v>
      </c>
      <c r="L3884">
        <v>6.3878785735837801E-2</v>
      </c>
      <c r="M3884" t="s">
        <v>23</v>
      </c>
      <c r="N3884">
        <v>6401000</v>
      </c>
      <c r="O3884">
        <v>4</v>
      </c>
      <c r="P3884" t="b">
        <v>1</v>
      </c>
    </row>
    <row r="3885" spans="1:16" x14ac:dyDescent="0.2">
      <c r="A3885" t="s">
        <v>6690</v>
      </c>
      <c r="B3885" s="1">
        <v>45721</v>
      </c>
      <c r="C3885" s="1">
        <v>45779</v>
      </c>
      <c r="D3885" t="s">
        <v>3154</v>
      </c>
      <c r="E3885" t="s">
        <v>33</v>
      </c>
      <c r="F3885" t="s">
        <v>19</v>
      </c>
      <c r="G3885" t="s">
        <v>20</v>
      </c>
      <c r="H3885" t="s">
        <v>40</v>
      </c>
      <c r="I3885" t="s">
        <v>99</v>
      </c>
      <c r="J3885">
        <v>4</v>
      </c>
      <c r="K3885">
        <v>2481000</v>
      </c>
      <c r="L3885">
        <v>9.1364695895449793E-2</v>
      </c>
      <c r="M3885" t="s">
        <v>23</v>
      </c>
      <c r="N3885">
        <v>9017000</v>
      </c>
      <c r="O3885">
        <v>3.5</v>
      </c>
      <c r="P3885" t="b">
        <v>1</v>
      </c>
    </row>
    <row r="3886" spans="1:16" x14ac:dyDescent="0.2">
      <c r="A3886" t="s">
        <v>6691</v>
      </c>
      <c r="B3886" s="1">
        <v>45721</v>
      </c>
      <c r="C3886" s="1">
        <v>45787</v>
      </c>
      <c r="D3886" t="s">
        <v>1732</v>
      </c>
      <c r="E3886" t="s">
        <v>18</v>
      </c>
      <c r="F3886" t="s">
        <v>19</v>
      </c>
      <c r="G3886" t="s">
        <v>50</v>
      </c>
      <c r="H3886" t="s">
        <v>40</v>
      </c>
      <c r="I3886" t="s">
        <v>22</v>
      </c>
      <c r="J3886">
        <v>2</v>
      </c>
      <c r="K3886">
        <v>2168000</v>
      </c>
      <c r="L3886" s="2" t="s">
        <v>6692</v>
      </c>
      <c r="M3886" t="s">
        <v>23</v>
      </c>
      <c r="N3886">
        <v>3771000</v>
      </c>
      <c r="O3886">
        <v>4.3</v>
      </c>
      <c r="P3886" t="b">
        <v>1</v>
      </c>
    </row>
    <row r="3887" spans="1:16" x14ac:dyDescent="0.2">
      <c r="A3887" t="s">
        <v>6693</v>
      </c>
      <c r="B3887" s="1">
        <v>45722</v>
      </c>
      <c r="C3887" s="1">
        <v>45753</v>
      </c>
      <c r="D3887" t="s">
        <v>6694</v>
      </c>
      <c r="E3887" t="s">
        <v>18</v>
      </c>
      <c r="F3887" t="s">
        <v>39</v>
      </c>
      <c r="G3887" t="s">
        <v>50</v>
      </c>
      <c r="H3887" t="s">
        <v>21</v>
      </c>
      <c r="I3887" t="s">
        <v>30</v>
      </c>
      <c r="J3887">
        <v>1</v>
      </c>
      <c r="K3887">
        <v>2465000</v>
      </c>
      <c r="L3887" s="2" t="s">
        <v>6695</v>
      </c>
      <c r="M3887" t="s">
        <v>23</v>
      </c>
      <c r="N3887">
        <v>2058000</v>
      </c>
      <c r="O3887">
        <v>4.8</v>
      </c>
      <c r="P3887" t="b">
        <v>0</v>
      </c>
    </row>
    <row r="3888" spans="1:16" x14ac:dyDescent="0.2">
      <c r="A3888" t="s">
        <v>6696</v>
      </c>
      <c r="B3888" s="1">
        <v>45722</v>
      </c>
      <c r="C3888" s="1">
        <v>45794</v>
      </c>
      <c r="D3888" t="s">
        <v>419</v>
      </c>
      <c r="E3888" t="s">
        <v>29</v>
      </c>
      <c r="F3888" t="s">
        <v>25</v>
      </c>
      <c r="G3888" t="s">
        <v>50</v>
      </c>
      <c r="H3888" t="s">
        <v>40</v>
      </c>
      <c r="I3888" t="s">
        <v>30</v>
      </c>
      <c r="J3888">
        <v>1</v>
      </c>
      <c r="K3888">
        <v>5033000</v>
      </c>
      <c r="L3888">
        <v>9.8193366953445604E-2</v>
      </c>
      <c r="M3888" t="s">
        <v>23</v>
      </c>
      <c r="N3888">
        <v>4539000</v>
      </c>
      <c r="O3888">
        <v>3.9</v>
      </c>
      <c r="P3888" t="b">
        <v>1</v>
      </c>
    </row>
    <row r="3889" spans="1:16" x14ac:dyDescent="0.2">
      <c r="A3889" t="s">
        <v>6697</v>
      </c>
      <c r="B3889" s="1">
        <v>45723</v>
      </c>
      <c r="C3889" s="1">
        <v>45768</v>
      </c>
      <c r="D3889" t="s">
        <v>4842</v>
      </c>
      <c r="E3889" t="s">
        <v>33</v>
      </c>
      <c r="F3889" t="s">
        <v>19</v>
      </c>
      <c r="G3889" t="s">
        <v>20</v>
      </c>
      <c r="I3889" t="s">
        <v>52</v>
      </c>
      <c r="J3889">
        <v>2</v>
      </c>
      <c r="K3889">
        <v>2540000</v>
      </c>
      <c r="L3889" s="2" t="s">
        <v>6698</v>
      </c>
      <c r="M3889" t="s">
        <v>23</v>
      </c>
      <c r="N3889">
        <v>4295000</v>
      </c>
      <c r="O3889">
        <v>4.2</v>
      </c>
      <c r="P3889" t="b">
        <v>1</v>
      </c>
    </row>
    <row r="3890" spans="1:16" x14ac:dyDescent="0.2">
      <c r="A3890" t="s">
        <v>6699</v>
      </c>
      <c r="B3890" s="1">
        <v>45724</v>
      </c>
      <c r="C3890" s="1">
        <v>45816</v>
      </c>
      <c r="D3890" t="s">
        <v>98</v>
      </c>
      <c r="E3890" t="s">
        <v>29</v>
      </c>
      <c r="F3890" t="s">
        <v>25</v>
      </c>
      <c r="G3890" t="s">
        <v>20</v>
      </c>
      <c r="H3890" t="s">
        <v>40</v>
      </c>
      <c r="I3890" t="s">
        <v>60</v>
      </c>
      <c r="J3890">
        <v>2</v>
      </c>
      <c r="K3890">
        <v>5589000</v>
      </c>
      <c r="L3890" s="2" t="s">
        <v>6700</v>
      </c>
      <c r="M3890" t="s">
        <v>23</v>
      </c>
      <c r="N3890">
        <v>9768000</v>
      </c>
      <c r="O3890">
        <v>4.0999999999999996</v>
      </c>
      <c r="P3890" t="b">
        <v>1</v>
      </c>
    </row>
    <row r="3891" spans="1:16" x14ac:dyDescent="0.2">
      <c r="A3891" t="s">
        <v>6701</v>
      </c>
      <c r="B3891" s="1">
        <v>45724</v>
      </c>
      <c r="C3891" s="1">
        <v>45780</v>
      </c>
      <c r="D3891" t="s">
        <v>382</v>
      </c>
      <c r="E3891" t="s">
        <v>18</v>
      </c>
      <c r="F3891" t="s">
        <v>34</v>
      </c>
      <c r="G3891" t="s">
        <v>20</v>
      </c>
      <c r="H3891" t="s">
        <v>47</v>
      </c>
      <c r="I3891" t="s">
        <v>26</v>
      </c>
      <c r="J3891">
        <v>3</v>
      </c>
      <c r="K3891">
        <v>3840000</v>
      </c>
      <c r="L3891">
        <v>8.6389541114349502E-2</v>
      </c>
      <c r="M3891" t="s">
        <v>23</v>
      </c>
      <c r="N3891">
        <v>10525000</v>
      </c>
      <c r="O3891">
        <v>4</v>
      </c>
      <c r="P3891" t="b">
        <v>1</v>
      </c>
    </row>
    <row r="3892" spans="1:16" x14ac:dyDescent="0.2">
      <c r="A3892" t="s">
        <v>6702</v>
      </c>
      <c r="B3892" s="1">
        <v>45724</v>
      </c>
      <c r="C3892" s="1">
        <v>45811</v>
      </c>
      <c r="D3892" t="s">
        <v>6703</v>
      </c>
      <c r="E3892" t="s">
        <v>29</v>
      </c>
      <c r="F3892" t="s">
        <v>34</v>
      </c>
      <c r="H3892" t="s">
        <v>21</v>
      </c>
      <c r="I3892" t="s">
        <v>26</v>
      </c>
      <c r="J3892">
        <v>1</v>
      </c>
      <c r="K3892">
        <v>4452000</v>
      </c>
      <c r="L3892">
        <v>9.6000872688108405E-2</v>
      </c>
      <c r="M3892" t="s">
        <v>23</v>
      </c>
      <c r="N3892">
        <v>4025000</v>
      </c>
      <c r="O3892">
        <v>4.5</v>
      </c>
      <c r="P3892" t="b">
        <v>0</v>
      </c>
    </row>
    <row r="3893" spans="1:16" x14ac:dyDescent="0.2">
      <c r="A3893" t="s">
        <v>6704</v>
      </c>
      <c r="B3893" s="1">
        <v>45725</v>
      </c>
      <c r="C3893" s="1">
        <v>45773</v>
      </c>
      <c r="D3893" t="s">
        <v>6705</v>
      </c>
      <c r="E3893" t="s">
        <v>33</v>
      </c>
      <c r="F3893" t="s">
        <v>19</v>
      </c>
      <c r="G3893" t="s">
        <v>20</v>
      </c>
      <c r="H3893" t="s">
        <v>21</v>
      </c>
      <c r="I3893" t="s">
        <v>57</v>
      </c>
      <c r="J3893">
        <v>1</v>
      </c>
      <c r="K3893">
        <v>3543000</v>
      </c>
      <c r="L3893" s="2" t="s">
        <v>6706</v>
      </c>
      <c r="M3893" t="s">
        <v>23</v>
      </c>
      <c r="N3893">
        <v>3061000</v>
      </c>
      <c r="O3893">
        <v>4.4000000000000004</v>
      </c>
      <c r="P3893" t="b">
        <v>0</v>
      </c>
    </row>
    <row r="3894" spans="1:16" x14ac:dyDescent="0.2">
      <c r="A3894" t="s">
        <v>6707</v>
      </c>
      <c r="B3894" s="1">
        <v>45726</v>
      </c>
      <c r="C3894" s="1">
        <v>45789</v>
      </c>
      <c r="D3894" t="s">
        <v>3680</v>
      </c>
      <c r="E3894" t="s">
        <v>45</v>
      </c>
      <c r="F3894" t="s">
        <v>25</v>
      </c>
      <c r="G3894" t="s">
        <v>50</v>
      </c>
      <c r="H3894" t="s">
        <v>21</v>
      </c>
      <c r="I3894" t="s">
        <v>26</v>
      </c>
      <c r="J3894">
        <v>1</v>
      </c>
      <c r="K3894">
        <v>5450000</v>
      </c>
      <c r="L3894" s="2" t="s">
        <v>6708</v>
      </c>
      <c r="M3894" t="s">
        <v>23</v>
      </c>
      <c r="N3894">
        <v>4619000</v>
      </c>
      <c r="O3894">
        <v>4.4000000000000004</v>
      </c>
      <c r="P3894" t="b">
        <v>1</v>
      </c>
    </row>
    <row r="3895" spans="1:16" x14ac:dyDescent="0.2">
      <c r="A3895" t="s">
        <v>6709</v>
      </c>
      <c r="B3895" s="1">
        <v>45727</v>
      </c>
      <c r="C3895" s="1">
        <v>45762</v>
      </c>
      <c r="D3895" t="s">
        <v>4439</v>
      </c>
      <c r="E3895" t="s">
        <v>29</v>
      </c>
      <c r="F3895" t="s">
        <v>68</v>
      </c>
      <c r="G3895" t="s">
        <v>20</v>
      </c>
      <c r="I3895" t="s">
        <v>26</v>
      </c>
      <c r="J3895">
        <v>1</v>
      </c>
      <c r="K3895">
        <v>2926000</v>
      </c>
      <c r="L3895" s="2" t="s">
        <v>6710</v>
      </c>
      <c r="M3895" t="s">
        <v>23</v>
      </c>
      <c r="N3895">
        <v>2573000</v>
      </c>
      <c r="O3895">
        <v>4.8</v>
      </c>
      <c r="P3895" t="b">
        <v>1</v>
      </c>
    </row>
    <row r="3896" spans="1:16" x14ac:dyDescent="0.2">
      <c r="A3896" t="s">
        <v>6711</v>
      </c>
      <c r="B3896" s="1">
        <v>45727</v>
      </c>
      <c r="C3896" s="1">
        <v>45814</v>
      </c>
      <c r="D3896" t="s">
        <v>6207</v>
      </c>
      <c r="E3896" t="s">
        <v>18</v>
      </c>
      <c r="F3896" t="s">
        <v>39</v>
      </c>
      <c r="G3896" t="s">
        <v>50</v>
      </c>
      <c r="H3896" t="s">
        <v>21</v>
      </c>
      <c r="I3896" t="s">
        <v>22</v>
      </c>
      <c r="J3896">
        <v>4</v>
      </c>
      <c r="K3896">
        <v>1907000</v>
      </c>
      <c r="L3896" s="2" t="s">
        <v>6712</v>
      </c>
      <c r="M3896" t="s">
        <v>23</v>
      </c>
      <c r="N3896">
        <v>6482000</v>
      </c>
      <c r="O3896">
        <v>4.3</v>
      </c>
      <c r="P3896" t="b">
        <v>1</v>
      </c>
    </row>
    <row r="3897" spans="1:16" x14ac:dyDescent="0.2">
      <c r="A3897" t="s">
        <v>6713</v>
      </c>
      <c r="B3897" s="1">
        <v>45728</v>
      </c>
      <c r="C3897" s="1">
        <v>45800</v>
      </c>
      <c r="D3897" t="s">
        <v>6714</v>
      </c>
      <c r="E3897" t="s">
        <v>45</v>
      </c>
      <c r="F3897" t="s">
        <v>39</v>
      </c>
      <c r="G3897" t="s">
        <v>50</v>
      </c>
      <c r="H3897" t="s">
        <v>47</v>
      </c>
      <c r="I3897" t="s">
        <v>26</v>
      </c>
      <c r="J3897">
        <v>1</v>
      </c>
      <c r="K3897">
        <v>2175000</v>
      </c>
      <c r="L3897" s="2" t="s">
        <v>6715</v>
      </c>
      <c r="M3897" t="s">
        <v>23</v>
      </c>
      <c r="N3897">
        <v>1853000</v>
      </c>
      <c r="O3897">
        <v>3.8</v>
      </c>
      <c r="P3897" t="b">
        <v>0</v>
      </c>
    </row>
    <row r="3898" spans="1:16" x14ac:dyDescent="0.2">
      <c r="A3898" t="s">
        <v>6716</v>
      </c>
      <c r="B3898" s="1">
        <v>45728</v>
      </c>
      <c r="C3898" s="1">
        <v>45806</v>
      </c>
      <c r="D3898" t="s">
        <v>4593</v>
      </c>
      <c r="E3898" t="s">
        <v>18</v>
      </c>
      <c r="F3898" t="s">
        <v>34</v>
      </c>
      <c r="G3898" t="s">
        <v>50</v>
      </c>
      <c r="H3898" t="s">
        <v>21</v>
      </c>
      <c r="I3898" t="s">
        <v>99</v>
      </c>
      <c r="J3898">
        <v>3</v>
      </c>
      <c r="K3898">
        <v>3701000</v>
      </c>
      <c r="L3898" s="2" t="s">
        <v>6717</v>
      </c>
      <c r="M3898" t="s">
        <v>23</v>
      </c>
      <c r="N3898">
        <v>9647000</v>
      </c>
      <c r="O3898">
        <v>3.7</v>
      </c>
      <c r="P3898" t="b">
        <v>1</v>
      </c>
    </row>
    <row r="3899" spans="1:16" x14ac:dyDescent="0.2">
      <c r="A3899" t="s">
        <v>6718</v>
      </c>
      <c r="B3899" s="1">
        <v>45729</v>
      </c>
      <c r="C3899" s="1">
        <v>45770</v>
      </c>
      <c r="D3899" t="s">
        <v>3377</v>
      </c>
      <c r="E3899" t="s">
        <v>45</v>
      </c>
      <c r="F3899" t="s">
        <v>25</v>
      </c>
      <c r="G3899" t="s">
        <v>20</v>
      </c>
      <c r="H3899" t="s">
        <v>40</v>
      </c>
      <c r="I3899" t="s">
        <v>94</v>
      </c>
      <c r="J3899">
        <v>2</v>
      </c>
      <c r="K3899">
        <v>4846000</v>
      </c>
      <c r="L3899">
        <v>5.8166129646495E-2</v>
      </c>
      <c r="M3899" t="s">
        <v>23</v>
      </c>
      <c r="N3899">
        <v>9128000</v>
      </c>
      <c r="O3899">
        <v>3.6</v>
      </c>
      <c r="P3899" t="b">
        <v>1</v>
      </c>
    </row>
    <row r="3900" spans="1:16" x14ac:dyDescent="0.2">
      <c r="A3900" t="s">
        <v>6719</v>
      </c>
      <c r="B3900" s="1">
        <v>45730</v>
      </c>
      <c r="C3900" s="1">
        <v>45734</v>
      </c>
      <c r="D3900" t="s">
        <v>538</v>
      </c>
      <c r="E3900" t="s">
        <v>33</v>
      </c>
      <c r="F3900" t="s">
        <v>25</v>
      </c>
      <c r="G3900" t="s">
        <v>35</v>
      </c>
      <c r="H3900" t="s">
        <v>40</v>
      </c>
      <c r="I3900" t="s">
        <v>26</v>
      </c>
      <c r="J3900">
        <v>1</v>
      </c>
      <c r="K3900">
        <v>4893000</v>
      </c>
      <c r="L3900" s="2" t="s">
        <v>6720</v>
      </c>
      <c r="M3900" t="s">
        <v>1656</v>
      </c>
      <c r="N3900">
        <v>4296000</v>
      </c>
      <c r="O3900">
        <v>4.9000000000000004</v>
      </c>
      <c r="P3900" t="b">
        <v>1</v>
      </c>
    </row>
    <row r="3901" spans="1:16" x14ac:dyDescent="0.2">
      <c r="A3901" t="s">
        <v>6721</v>
      </c>
      <c r="B3901" s="1">
        <v>45731</v>
      </c>
      <c r="C3901" s="1">
        <v>45811</v>
      </c>
      <c r="D3901" t="s">
        <v>6722</v>
      </c>
      <c r="E3901" t="s">
        <v>18</v>
      </c>
      <c r="F3901" t="s">
        <v>19</v>
      </c>
      <c r="G3901" t="s">
        <v>20</v>
      </c>
      <c r="H3901" t="s">
        <v>21</v>
      </c>
      <c r="I3901" t="s">
        <v>57</v>
      </c>
      <c r="J3901">
        <v>2</v>
      </c>
      <c r="K3901">
        <v>3316000</v>
      </c>
      <c r="L3901" s="3">
        <v>0.11</v>
      </c>
      <c r="M3901" t="s">
        <v>23</v>
      </c>
      <c r="N3901">
        <v>5900000</v>
      </c>
      <c r="O3901">
        <v>4</v>
      </c>
      <c r="P3901" t="b">
        <v>0</v>
      </c>
    </row>
    <row r="3902" spans="1:16" x14ac:dyDescent="0.2">
      <c r="A3902" t="s">
        <v>6723</v>
      </c>
      <c r="B3902" s="1">
        <v>45731</v>
      </c>
      <c r="C3902" s="1">
        <v>45789</v>
      </c>
      <c r="D3902" t="s">
        <v>2370</v>
      </c>
      <c r="E3902" t="s">
        <v>45</v>
      </c>
      <c r="F3902" t="s">
        <v>19</v>
      </c>
      <c r="G3902" t="s">
        <v>20</v>
      </c>
      <c r="H3902" t="s">
        <v>21</v>
      </c>
      <c r="I3902" t="s">
        <v>22</v>
      </c>
      <c r="J3902">
        <v>1</v>
      </c>
      <c r="K3902">
        <v>2286000</v>
      </c>
      <c r="L3902" s="2" t="s">
        <v>6724</v>
      </c>
      <c r="M3902" t="s">
        <v>23</v>
      </c>
      <c r="N3902">
        <v>1963000</v>
      </c>
      <c r="O3902">
        <v>4</v>
      </c>
      <c r="P3902" t="b">
        <v>1</v>
      </c>
    </row>
    <row r="3903" spans="1:16" x14ac:dyDescent="0.2">
      <c r="A3903" t="s">
        <v>6725</v>
      </c>
      <c r="B3903" s="1">
        <v>45731</v>
      </c>
      <c r="C3903" s="1">
        <v>45779</v>
      </c>
      <c r="D3903" t="s">
        <v>6726</v>
      </c>
      <c r="E3903" t="s">
        <v>18</v>
      </c>
      <c r="F3903" t="s">
        <v>19</v>
      </c>
      <c r="G3903" t="s">
        <v>50</v>
      </c>
      <c r="H3903" t="s">
        <v>40</v>
      </c>
      <c r="I3903" t="s">
        <v>22</v>
      </c>
      <c r="J3903">
        <v>1</v>
      </c>
      <c r="K3903">
        <v>2212000</v>
      </c>
      <c r="L3903" s="2" t="s">
        <v>6727</v>
      </c>
      <c r="M3903" t="s">
        <v>23</v>
      </c>
      <c r="N3903">
        <v>1969000</v>
      </c>
      <c r="O3903">
        <v>4.5</v>
      </c>
      <c r="P3903" t="b">
        <v>0</v>
      </c>
    </row>
    <row r="3904" spans="1:16" x14ac:dyDescent="0.2">
      <c r="A3904" t="s">
        <v>6728</v>
      </c>
      <c r="B3904" s="1">
        <v>45731</v>
      </c>
      <c r="C3904" s="1">
        <v>45816</v>
      </c>
      <c r="D3904" t="s">
        <v>6729</v>
      </c>
      <c r="E3904" t="s">
        <v>45</v>
      </c>
      <c r="F3904" t="s">
        <v>68</v>
      </c>
      <c r="G3904" t="s">
        <v>35</v>
      </c>
      <c r="H3904" t="s">
        <v>21</v>
      </c>
      <c r="I3904" t="s">
        <v>60</v>
      </c>
      <c r="J3904">
        <v>1</v>
      </c>
      <c r="K3904">
        <v>2427000</v>
      </c>
      <c r="L3904">
        <v>8.1414174615099796E-2</v>
      </c>
      <c r="M3904" t="s">
        <v>23</v>
      </c>
      <c r="N3904">
        <v>2229000</v>
      </c>
      <c r="O3904">
        <v>3.9</v>
      </c>
      <c r="P3904" t="b">
        <v>0</v>
      </c>
    </row>
    <row r="3905" spans="1:16" x14ac:dyDescent="0.2">
      <c r="A3905" t="s">
        <v>6730</v>
      </c>
      <c r="B3905" s="1">
        <v>45732</v>
      </c>
      <c r="C3905" s="1">
        <v>45757</v>
      </c>
      <c r="D3905" t="s">
        <v>6731</v>
      </c>
      <c r="E3905" t="s">
        <v>18</v>
      </c>
      <c r="F3905" t="s">
        <v>34</v>
      </c>
      <c r="G3905" t="s">
        <v>50</v>
      </c>
      <c r="H3905" t="s">
        <v>21</v>
      </c>
      <c r="I3905" t="s">
        <v>30</v>
      </c>
      <c r="J3905">
        <v>3</v>
      </c>
      <c r="K3905">
        <v>3824000</v>
      </c>
      <c r="L3905">
        <v>8.9414978922394403E-2</v>
      </c>
      <c r="M3905" t="s">
        <v>23</v>
      </c>
      <c r="N3905">
        <v>10446000</v>
      </c>
      <c r="O3905">
        <v>4.4000000000000004</v>
      </c>
      <c r="P3905" t="b">
        <v>0</v>
      </c>
    </row>
    <row r="3906" spans="1:16" x14ac:dyDescent="0.2">
      <c r="A3906" t="s">
        <v>6732</v>
      </c>
      <c r="B3906" s="1">
        <v>45732</v>
      </c>
      <c r="C3906" s="1">
        <v>45824</v>
      </c>
      <c r="D3906" t="s">
        <v>5724</v>
      </c>
      <c r="E3906" t="s">
        <v>33</v>
      </c>
      <c r="F3906" t="s">
        <v>34</v>
      </c>
      <c r="G3906" t="s">
        <v>50</v>
      </c>
      <c r="H3906" t="s">
        <v>21</v>
      </c>
      <c r="I3906" t="s">
        <v>94</v>
      </c>
      <c r="J3906">
        <v>3</v>
      </c>
      <c r="K3906">
        <v>4339000</v>
      </c>
      <c r="L3906">
        <v>8.7173732459632503E-2</v>
      </c>
      <c r="M3906" t="s">
        <v>23</v>
      </c>
      <c r="N3906">
        <v>11882000</v>
      </c>
      <c r="O3906">
        <v>4.0999999999999996</v>
      </c>
      <c r="P3906" t="b">
        <v>1</v>
      </c>
    </row>
    <row r="3907" spans="1:16" x14ac:dyDescent="0.2">
      <c r="A3907" t="s">
        <v>6733</v>
      </c>
      <c r="B3907" s="1">
        <v>45732</v>
      </c>
      <c r="C3907" s="1">
        <v>45808</v>
      </c>
      <c r="D3907" t="s">
        <v>6734</v>
      </c>
      <c r="E3907" t="s">
        <v>18</v>
      </c>
      <c r="F3907" t="s">
        <v>45</v>
      </c>
      <c r="G3907" t="s">
        <v>20</v>
      </c>
      <c r="H3907" t="s">
        <v>21</v>
      </c>
      <c r="I3907" t="s">
        <v>26</v>
      </c>
      <c r="J3907">
        <v>1</v>
      </c>
      <c r="K3907">
        <v>3325000</v>
      </c>
      <c r="L3907">
        <v>0.120677535776161</v>
      </c>
      <c r="M3907" t="s">
        <v>23</v>
      </c>
      <c r="N3907">
        <v>2924000</v>
      </c>
      <c r="O3907">
        <v>4.5</v>
      </c>
      <c r="P3907" t="b">
        <v>0</v>
      </c>
    </row>
    <row r="3908" spans="1:16" x14ac:dyDescent="0.2">
      <c r="A3908" t="s">
        <v>6735</v>
      </c>
      <c r="B3908" s="1">
        <v>45733</v>
      </c>
      <c r="C3908" s="1">
        <v>45805</v>
      </c>
      <c r="D3908" t="s">
        <v>2633</v>
      </c>
      <c r="E3908" t="s">
        <v>45</v>
      </c>
      <c r="F3908" t="s">
        <v>25</v>
      </c>
      <c r="G3908" t="s">
        <v>20</v>
      </c>
      <c r="H3908" t="s">
        <v>21</v>
      </c>
      <c r="I3908" t="s">
        <v>94</v>
      </c>
      <c r="J3908">
        <v>4</v>
      </c>
      <c r="K3908">
        <v>4537000</v>
      </c>
      <c r="L3908" s="2" t="s">
        <v>6736</v>
      </c>
      <c r="M3908" t="s">
        <v>23</v>
      </c>
      <c r="N3908">
        <v>16139000</v>
      </c>
      <c r="O3908">
        <v>4.2</v>
      </c>
      <c r="P3908" t="b">
        <v>1</v>
      </c>
    </row>
    <row r="3909" spans="1:16" x14ac:dyDescent="0.2">
      <c r="A3909" t="s">
        <v>6737</v>
      </c>
      <c r="B3909" s="1">
        <v>45733</v>
      </c>
      <c r="C3909" s="1">
        <v>45821</v>
      </c>
      <c r="D3909" t="s">
        <v>6738</v>
      </c>
      <c r="E3909" t="s">
        <v>18</v>
      </c>
      <c r="F3909" t="s">
        <v>39</v>
      </c>
      <c r="G3909" t="s">
        <v>20</v>
      </c>
      <c r="H3909" t="s">
        <v>21</v>
      </c>
      <c r="I3909" t="s">
        <v>83</v>
      </c>
      <c r="J3909">
        <v>2</v>
      </c>
      <c r="K3909">
        <v>1402000</v>
      </c>
      <c r="L3909" s="2" t="s">
        <v>6739</v>
      </c>
      <c r="M3909" t="s">
        <v>65</v>
      </c>
      <c r="N3909">
        <v>0</v>
      </c>
      <c r="P3909" t="b">
        <v>0</v>
      </c>
    </row>
    <row r="3910" spans="1:16" x14ac:dyDescent="0.2">
      <c r="A3910" t="s">
        <v>6740</v>
      </c>
      <c r="B3910" s="1">
        <v>45734</v>
      </c>
      <c r="C3910" s="1">
        <v>45813</v>
      </c>
      <c r="D3910" t="s">
        <v>361</v>
      </c>
      <c r="E3910" t="s">
        <v>18</v>
      </c>
      <c r="F3910" t="s">
        <v>34</v>
      </c>
      <c r="G3910" t="s">
        <v>20</v>
      </c>
      <c r="H3910" t="s">
        <v>21</v>
      </c>
      <c r="I3910" t="s">
        <v>60</v>
      </c>
      <c r="J3910">
        <v>4</v>
      </c>
      <c r="K3910">
        <v>4253000</v>
      </c>
      <c r="L3910">
        <v>6.5760824419885594E-2</v>
      </c>
      <c r="M3910" t="s">
        <v>23</v>
      </c>
      <c r="N3910">
        <v>15893000</v>
      </c>
      <c r="O3910">
        <v>3.7</v>
      </c>
      <c r="P3910" t="b">
        <v>1</v>
      </c>
    </row>
    <row r="3911" spans="1:16" x14ac:dyDescent="0.2">
      <c r="A3911" t="s">
        <v>6741</v>
      </c>
      <c r="B3911" s="1">
        <v>45734</v>
      </c>
      <c r="C3911" s="1">
        <v>45749</v>
      </c>
      <c r="D3911" t="s">
        <v>496</v>
      </c>
      <c r="F3911" t="s">
        <v>19</v>
      </c>
      <c r="G3911" t="s">
        <v>50</v>
      </c>
      <c r="H3911" t="s">
        <v>47</v>
      </c>
      <c r="I3911" t="s">
        <v>30</v>
      </c>
      <c r="J3911">
        <v>3</v>
      </c>
      <c r="K3911">
        <v>2426000</v>
      </c>
      <c r="L3911">
        <v>9.1960171092853898E-2</v>
      </c>
      <c r="M3911" t="s">
        <v>23</v>
      </c>
      <c r="N3911">
        <v>6609000</v>
      </c>
      <c r="O3911">
        <v>3.6</v>
      </c>
      <c r="P3911" t="b">
        <v>1</v>
      </c>
    </row>
    <row r="3912" spans="1:16" x14ac:dyDescent="0.2">
      <c r="A3912" t="s">
        <v>6742</v>
      </c>
      <c r="B3912" s="1">
        <v>45735</v>
      </c>
      <c r="C3912" s="1">
        <v>45820</v>
      </c>
      <c r="D3912" t="s">
        <v>4347</v>
      </c>
      <c r="E3912" t="s">
        <v>45</v>
      </c>
      <c r="F3912" t="s">
        <v>25</v>
      </c>
      <c r="G3912" t="s">
        <v>50</v>
      </c>
      <c r="H3912" t="s">
        <v>21</v>
      </c>
      <c r="I3912" t="s">
        <v>22</v>
      </c>
      <c r="J3912">
        <v>3</v>
      </c>
      <c r="K3912">
        <v>4637000</v>
      </c>
      <c r="L3912" s="2" t="s">
        <v>6743</v>
      </c>
      <c r="M3912" t="s">
        <v>23</v>
      </c>
      <c r="N3912">
        <v>12216000</v>
      </c>
      <c r="O3912">
        <v>4.5</v>
      </c>
      <c r="P3912" t="b">
        <v>1</v>
      </c>
    </row>
    <row r="3913" spans="1:16" x14ac:dyDescent="0.2">
      <c r="A3913" t="s">
        <v>6744</v>
      </c>
      <c r="B3913" s="1">
        <v>45736</v>
      </c>
      <c r="C3913" s="1">
        <v>45808</v>
      </c>
      <c r="D3913" t="s">
        <v>410</v>
      </c>
      <c r="E3913" t="s">
        <v>45</v>
      </c>
      <c r="F3913" t="s">
        <v>45</v>
      </c>
      <c r="G3913" t="s">
        <v>50</v>
      </c>
      <c r="H3913" t="s">
        <v>47</v>
      </c>
      <c r="I3913" t="s">
        <v>83</v>
      </c>
      <c r="J3913">
        <v>5</v>
      </c>
      <c r="K3913">
        <v>2666000</v>
      </c>
      <c r="L3913" s="2" t="s">
        <v>6745</v>
      </c>
      <c r="M3913" t="s">
        <v>23</v>
      </c>
      <c r="N3913">
        <v>11341000</v>
      </c>
      <c r="O3913">
        <v>5</v>
      </c>
      <c r="P3913" t="b">
        <v>1</v>
      </c>
    </row>
    <row r="3914" spans="1:16" x14ac:dyDescent="0.2">
      <c r="A3914" t="s">
        <v>6746</v>
      </c>
      <c r="B3914" s="1">
        <v>45736</v>
      </c>
      <c r="C3914" s="1">
        <v>45800</v>
      </c>
      <c r="D3914" t="s">
        <v>4617</v>
      </c>
      <c r="E3914" t="s">
        <v>29</v>
      </c>
      <c r="F3914" t="s">
        <v>19</v>
      </c>
      <c r="G3914" t="s">
        <v>20</v>
      </c>
      <c r="H3914" t="s">
        <v>21</v>
      </c>
      <c r="I3914" t="s">
        <v>99</v>
      </c>
      <c r="J3914">
        <v>3</v>
      </c>
      <c r="K3914">
        <v>2330000</v>
      </c>
      <c r="L3914">
        <v>5.9816109420101397E-2</v>
      </c>
      <c r="M3914" t="s">
        <v>23</v>
      </c>
      <c r="N3914">
        <v>6572000</v>
      </c>
      <c r="O3914">
        <v>3.8</v>
      </c>
      <c r="P3914" t="b">
        <v>1</v>
      </c>
    </row>
    <row r="3915" spans="1:16" x14ac:dyDescent="0.2">
      <c r="A3915" t="s">
        <v>6747</v>
      </c>
      <c r="B3915" s="1">
        <v>45738</v>
      </c>
      <c r="C3915" s="1">
        <v>45788</v>
      </c>
      <c r="D3915" t="s">
        <v>6748</v>
      </c>
      <c r="E3915" t="s">
        <v>18</v>
      </c>
      <c r="F3915" t="s">
        <v>19</v>
      </c>
      <c r="G3915" t="s">
        <v>20</v>
      </c>
      <c r="H3915" t="s">
        <v>21</v>
      </c>
      <c r="I3915" t="s">
        <v>30</v>
      </c>
      <c r="J3915">
        <v>1</v>
      </c>
      <c r="K3915">
        <v>2251000</v>
      </c>
      <c r="L3915" s="2" t="s">
        <v>6749</v>
      </c>
      <c r="M3915" t="s">
        <v>23</v>
      </c>
      <c r="N3915">
        <v>2005000</v>
      </c>
      <c r="O3915">
        <v>4.7</v>
      </c>
      <c r="P3915" t="b">
        <v>0</v>
      </c>
    </row>
    <row r="3916" spans="1:16" x14ac:dyDescent="0.2">
      <c r="A3916" t="s">
        <v>6750</v>
      </c>
      <c r="B3916" s="1">
        <v>45739</v>
      </c>
      <c r="C3916" s="1">
        <v>45815</v>
      </c>
      <c r="D3916" t="s">
        <v>365</v>
      </c>
      <c r="E3916" t="s">
        <v>33</v>
      </c>
      <c r="F3916" t="s">
        <v>45</v>
      </c>
      <c r="G3916" t="s">
        <v>20</v>
      </c>
      <c r="H3916" t="s">
        <v>21</v>
      </c>
      <c r="I3916" t="s">
        <v>77</v>
      </c>
      <c r="J3916">
        <v>1</v>
      </c>
      <c r="K3916">
        <v>3581000</v>
      </c>
      <c r="L3916">
        <v>8.6725406694988003E-2</v>
      </c>
      <c r="M3916" t="s">
        <v>23</v>
      </c>
      <c r="N3916">
        <v>3270000</v>
      </c>
      <c r="O3916">
        <v>4.7</v>
      </c>
      <c r="P3916" t="b">
        <v>1</v>
      </c>
    </row>
    <row r="3917" spans="1:16" x14ac:dyDescent="0.2">
      <c r="A3917" t="s">
        <v>6751</v>
      </c>
      <c r="B3917" s="1">
        <v>45740</v>
      </c>
      <c r="C3917" s="1">
        <v>45785</v>
      </c>
      <c r="D3917" t="s">
        <v>6752</v>
      </c>
      <c r="E3917" t="s">
        <v>29</v>
      </c>
      <c r="F3917" t="s">
        <v>19</v>
      </c>
      <c r="G3917" t="s">
        <v>20</v>
      </c>
      <c r="H3917" t="s">
        <v>21</v>
      </c>
      <c r="I3917" t="s">
        <v>94</v>
      </c>
      <c r="J3917">
        <v>2</v>
      </c>
      <c r="K3917">
        <v>2679000</v>
      </c>
      <c r="L3917">
        <v>0.146996179863741</v>
      </c>
      <c r="M3917" t="s">
        <v>23</v>
      </c>
      <c r="N3917">
        <v>4570000</v>
      </c>
      <c r="O3917">
        <v>3</v>
      </c>
      <c r="P3917" t="b">
        <v>0</v>
      </c>
    </row>
    <row r="3918" spans="1:16" x14ac:dyDescent="0.2">
      <c r="A3918" t="s">
        <v>6753</v>
      </c>
      <c r="B3918" s="1">
        <v>45741</v>
      </c>
      <c r="C3918" s="1">
        <v>45779</v>
      </c>
      <c r="D3918" t="s">
        <v>6754</v>
      </c>
      <c r="E3918" t="s">
        <v>45</v>
      </c>
      <c r="F3918" t="s">
        <v>34</v>
      </c>
      <c r="G3918" t="s">
        <v>35</v>
      </c>
      <c r="H3918" t="s">
        <v>21</v>
      </c>
      <c r="I3918" t="s">
        <v>26</v>
      </c>
      <c r="J3918">
        <v>1</v>
      </c>
      <c r="K3918">
        <v>4010000</v>
      </c>
      <c r="L3918" s="2" t="s">
        <v>6755</v>
      </c>
      <c r="M3918" t="s">
        <v>23</v>
      </c>
      <c r="N3918">
        <v>3454000</v>
      </c>
      <c r="O3918">
        <v>4.7</v>
      </c>
      <c r="P3918" t="b">
        <v>0</v>
      </c>
    </row>
    <row r="3919" spans="1:16" x14ac:dyDescent="0.2">
      <c r="A3919" t="s">
        <v>6756</v>
      </c>
      <c r="B3919" s="1">
        <v>45741</v>
      </c>
      <c r="C3919" s="1">
        <v>45809</v>
      </c>
      <c r="D3919" t="s">
        <v>6757</v>
      </c>
      <c r="E3919" t="s">
        <v>33</v>
      </c>
      <c r="F3919" t="s">
        <v>34</v>
      </c>
      <c r="G3919" t="s">
        <v>20</v>
      </c>
      <c r="H3919" t="s">
        <v>21</v>
      </c>
      <c r="I3919" t="s">
        <v>94</v>
      </c>
      <c r="J3919">
        <v>2</v>
      </c>
      <c r="K3919">
        <v>4712000</v>
      </c>
      <c r="L3919" s="2" t="s">
        <v>6758</v>
      </c>
      <c r="M3919" t="s">
        <v>23</v>
      </c>
      <c r="N3919">
        <v>8261000</v>
      </c>
      <c r="O3919">
        <v>3.6</v>
      </c>
      <c r="P3919" t="b">
        <v>0</v>
      </c>
    </row>
    <row r="3920" spans="1:16" x14ac:dyDescent="0.2">
      <c r="A3920" t="s">
        <v>6759</v>
      </c>
      <c r="B3920" s="1">
        <v>45742</v>
      </c>
      <c r="C3920" s="1">
        <v>45832</v>
      </c>
      <c r="D3920" t="s">
        <v>6760</v>
      </c>
      <c r="E3920" t="s">
        <v>33</v>
      </c>
      <c r="F3920" t="s">
        <v>68</v>
      </c>
      <c r="G3920" t="s">
        <v>20</v>
      </c>
      <c r="H3920" t="s">
        <v>47</v>
      </c>
      <c r="J3920">
        <v>4</v>
      </c>
      <c r="K3920">
        <v>2664000</v>
      </c>
      <c r="L3920" s="2" t="s">
        <v>6761</v>
      </c>
      <c r="M3920" t="s">
        <v>23</v>
      </c>
      <c r="N3920">
        <v>10008000</v>
      </c>
      <c r="O3920">
        <v>3.9</v>
      </c>
      <c r="P3920" t="b">
        <v>0</v>
      </c>
    </row>
    <row r="3921" spans="1:16" x14ac:dyDescent="0.2">
      <c r="A3921" t="s">
        <v>6762</v>
      </c>
      <c r="B3921" s="1">
        <v>45742</v>
      </c>
      <c r="C3921" s="1">
        <v>45743</v>
      </c>
      <c r="D3921" t="s">
        <v>5485</v>
      </c>
      <c r="E3921" t="s">
        <v>18</v>
      </c>
      <c r="F3921" t="s">
        <v>25</v>
      </c>
      <c r="G3921" t="s">
        <v>20</v>
      </c>
      <c r="H3921" t="s">
        <v>21</v>
      </c>
      <c r="I3921" t="s">
        <v>99</v>
      </c>
      <c r="J3921">
        <v>1</v>
      </c>
      <c r="K3921">
        <v>4414000</v>
      </c>
      <c r="L3921" s="2" t="s">
        <v>6763</v>
      </c>
      <c r="M3921" t="s">
        <v>23</v>
      </c>
      <c r="N3921">
        <v>3894000</v>
      </c>
      <c r="O3921">
        <v>4.2</v>
      </c>
      <c r="P3921" t="b">
        <v>1</v>
      </c>
    </row>
    <row r="3922" spans="1:16" x14ac:dyDescent="0.2">
      <c r="A3922" t="s">
        <v>6764</v>
      </c>
      <c r="B3922" s="1">
        <v>45743</v>
      </c>
      <c r="C3922" s="1">
        <v>45786</v>
      </c>
      <c r="D3922" t="s">
        <v>6765</v>
      </c>
      <c r="E3922" t="s">
        <v>45</v>
      </c>
      <c r="F3922" t="s">
        <v>34</v>
      </c>
      <c r="G3922" t="s">
        <v>35</v>
      </c>
      <c r="H3922" t="s">
        <v>21</v>
      </c>
      <c r="I3922" t="s">
        <v>94</v>
      </c>
      <c r="J3922">
        <v>1</v>
      </c>
      <c r="K3922">
        <v>4016000</v>
      </c>
      <c r="L3922" s="2" t="s">
        <v>6766</v>
      </c>
      <c r="M3922" t="s">
        <v>23</v>
      </c>
      <c r="N3922">
        <v>3558000</v>
      </c>
      <c r="O3922">
        <v>4.5</v>
      </c>
      <c r="P3922" t="b">
        <v>0</v>
      </c>
    </row>
    <row r="3923" spans="1:16" x14ac:dyDescent="0.2">
      <c r="A3923" t="s">
        <v>6767</v>
      </c>
      <c r="B3923" s="1">
        <v>45743</v>
      </c>
      <c r="C3923" s="1">
        <v>45788</v>
      </c>
      <c r="D3923" t="s">
        <v>3744</v>
      </c>
      <c r="E3923" t="s">
        <v>33</v>
      </c>
      <c r="F3923" t="s">
        <v>19</v>
      </c>
      <c r="G3923" t="s">
        <v>20</v>
      </c>
      <c r="H3923" t="s">
        <v>21</v>
      </c>
      <c r="I3923" t="s">
        <v>22</v>
      </c>
      <c r="J3923">
        <v>3</v>
      </c>
      <c r="K3923">
        <v>2257000</v>
      </c>
      <c r="L3923">
        <v>6.6267986098590206E-2</v>
      </c>
      <c r="M3923" t="s">
        <v>23</v>
      </c>
      <c r="N3923">
        <v>6322000</v>
      </c>
      <c r="O3923">
        <v>4.9000000000000004</v>
      </c>
      <c r="P3923" t="b">
        <v>1</v>
      </c>
    </row>
    <row r="3924" spans="1:16" x14ac:dyDescent="0.2">
      <c r="A3924" t="s">
        <v>6768</v>
      </c>
      <c r="B3924" s="1">
        <v>45743</v>
      </c>
      <c r="C3924" s="1">
        <v>45795</v>
      </c>
      <c r="D3924" t="s">
        <v>3340</v>
      </c>
      <c r="E3924" t="s">
        <v>29</v>
      </c>
      <c r="F3924" t="s">
        <v>19</v>
      </c>
      <c r="G3924" t="s">
        <v>20</v>
      </c>
      <c r="H3924" t="s">
        <v>21</v>
      </c>
      <c r="I3924" t="s">
        <v>83</v>
      </c>
      <c r="J3924">
        <v>1</v>
      </c>
      <c r="K3924">
        <v>2513000</v>
      </c>
      <c r="L3924">
        <v>9.9581091289458107E-2</v>
      </c>
      <c r="M3924" t="s">
        <v>23</v>
      </c>
      <c r="N3924">
        <v>2263000</v>
      </c>
      <c r="O3924">
        <v>4</v>
      </c>
      <c r="P3924" t="b">
        <v>1</v>
      </c>
    </row>
    <row r="3925" spans="1:16" x14ac:dyDescent="0.2">
      <c r="A3925" t="s">
        <v>6769</v>
      </c>
      <c r="B3925" s="1">
        <v>45743</v>
      </c>
      <c r="C3925" s="1">
        <v>45812</v>
      </c>
      <c r="D3925" t="s">
        <v>6770</v>
      </c>
      <c r="E3925" t="s">
        <v>45</v>
      </c>
      <c r="F3925" t="s">
        <v>19</v>
      </c>
      <c r="G3925" t="s">
        <v>20</v>
      </c>
      <c r="H3925" t="s">
        <v>21</v>
      </c>
      <c r="I3925" t="s">
        <v>22</v>
      </c>
      <c r="J3925">
        <v>4</v>
      </c>
      <c r="K3925">
        <v>2314000</v>
      </c>
      <c r="L3925" s="2" t="s">
        <v>6771</v>
      </c>
      <c r="M3925" t="s">
        <v>23</v>
      </c>
      <c r="N3925">
        <v>8011000</v>
      </c>
      <c r="O3925">
        <v>4.7</v>
      </c>
      <c r="P3925" t="b">
        <v>0</v>
      </c>
    </row>
    <row r="3926" spans="1:16" x14ac:dyDescent="0.2">
      <c r="A3926" t="s">
        <v>6772</v>
      </c>
      <c r="B3926" s="1">
        <v>45744</v>
      </c>
      <c r="C3926" s="1">
        <v>45829</v>
      </c>
      <c r="D3926" t="s">
        <v>1997</v>
      </c>
      <c r="E3926" t="s">
        <v>18</v>
      </c>
      <c r="F3926" t="s">
        <v>19</v>
      </c>
      <c r="G3926" t="s">
        <v>20</v>
      </c>
      <c r="H3926" t="s">
        <v>40</v>
      </c>
      <c r="I3926" t="s">
        <v>22</v>
      </c>
      <c r="J3926">
        <v>1</v>
      </c>
      <c r="K3926">
        <v>2505000</v>
      </c>
      <c r="L3926" s="2" t="s">
        <v>6773</v>
      </c>
      <c r="M3926" t="s">
        <v>23</v>
      </c>
      <c r="N3926">
        <v>2147000</v>
      </c>
      <c r="O3926">
        <v>3.5</v>
      </c>
      <c r="P3926" t="b">
        <v>1</v>
      </c>
    </row>
    <row r="3927" spans="1:16" x14ac:dyDescent="0.2">
      <c r="A3927" t="s">
        <v>6774</v>
      </c>
      <c r="B3927" s="1">
        <v>45745</v>
      </c>
      <c r="C3927" s="1">
        <v>45807</v>
      </c>
      <c r="D3927" t="s">
        <v>6775</v>
      </c>
      <c r="E3927" t="s">
        <v>33</v>
      </c>
      <c r="F3927" t="s">
        <v>34</v>
      </c>
      <c r="G3927" t="s">
        <v>20</v>
      </c>
      <c r="H3927" t="s">
        <v>47</v>
      </c>
      <c r="I3927" t="s">
        <v>26</v>
      </c>
      <c r="J3927">
        <v>2</v>
      </c>
      <c r="K3927">
        <v>4103000</v>
      </c>
      <c r="L3927" s="2" t="s">
        <v>6776</v>
      </c>
      <c r="M3927" t="s">
        <v>23</v>
      </c>
      <c r="N3927">
        <v>7082000</v>
      </c>
      <c r="O3927">
        <v>4.4000000000000004</v>
      </c>
      <c r="P3927" t="b">
        <v>0</v>
      </c>
    </row>
    <row r="3928" spans="1:16" x14ac:dyDescent="0.2">
      <c r="A3928" t="s">
        <v>6777</v>
      </c>
      <c r="B3928" s="1">
        <v>45745</v>
      </c>
      <c r="C3928" s="1">
        <v>45819</v>
      </c>
      <c r="D3928" t="s">
        <v>218</v>
      </c>
      <c r="E3928" t="s">
        <v>29</v>
      </c>
      <c r="F3928" t="s">
        <v>19</v>
      </c>
      <c r="G3928" t="s">
        <v>50</v>
      </c>
      <c r="H3928" t="s">
        <v>21</v>
      </c>
      <c r="I3928" t="s">
        <v>77</v>
      </c>
      <c r="J3928">
        <v>1</v>
      </c>
      <c r="K3928">
        <v>2645000</v>
      </c>
      <c r="L3928">
        <v>9.5115038016876499E-2</v>
      </c>
      <c r="M3928" t="s">
        <v>23</v>
      </c>
      <c r="N3928">
        <v>2393000</v>
      </c>
      <c r="O3928">
        <v>4.4000000000000004</v>
      </c>
      <c r="P3928" t="b">
        <v>1</v>
      </c>
    </row>
    <row r="3929" spans="1:16" x14ac:dyDescent="0.2">
      <c r="A3929" t="s">
        <v>6778</v>
      </c>
      <c r="B3929" s="1">
        <v>45746</v>
      </c>
      <c r="C3929" s="1">
        <v>45826</v>
      </c>
      <c r="D3929" t="s">
        <v>462</v>
      </c>
      <c r="E3929" t="s">
        <v>18</v>
      </c>
      <c r="F3929" t="s">
        <v>25</v>
      </c>
      <c r="G3929" t="s">
        <v>20</v>
      </c>
      <c r="H3929" t="s">
        <v>21</v>
      </c>
      <c r="I3929" t="s">
        <v>94</v>
      </c>
      <c r="J3929">
        <v>2</v>
      </c>
      <c r="K3929">
        <v>5148000</v>
      </c>
      <c r="L3929" s="2" t="s">
        <v>6779</v>
      </c>
      <c r="M3929" t="s">
        <v>65</v>
      </c>
      <c r="N3929">
        <v>0</v>
      </c>
      <c r="P3929" t="b">
        <v>1</v>
      </c>
    </row>
    <row r="3930" spans="1:16" x14ac:dyDescent="0.2">
      <c r="A3930" t="s">
        <v>6780</v>
      </c>
      <c r="B3930" s="1">
        <v>45746</v>
      </c>
      <c r="C3930" s="1">
        <v>45807</v>
      </c>
      <c r="D3930" t="s">
        <v>534</v>
      </c>
      <c r="E3930" t="s">
        <v>45</v>
      </c>
      <c r="F3930" t="s">
        <v>34</v>
      </c>
      <c r="G3930" t="s">
        <v>50</v>
      </c>
      <c r="H3930" t="s">
        <v>21</v>
      </c>
      <c r="I3930" t="s">
        <v>30</v>
      </c>
      <c r="J3930">
        <v>2</v>
      </c>
      <c r="K3930">
        <v>3676000</v>
      </c>
      <c r="L3930">
        <v>5.4461887210157101E-2</v>
      </c>
      <c r="M3930" t="s">
        <v>23</v>
      </c>
      <c r="N3930">
        <v>6952000</v>
      </c>
      <c r="O3930">
        <v>3.2</v>
      </c>
      <c r="P3930" t="b">
        <v>1</v>
      </c>
    </row>
    <row r="3931" spans="1:16" x14ac:dyDescent="0.2">
      <c r="A3931" t="s">
        <v>6781</v>
      </c>
      <c r="B3931" s="1">
        <v>45747</v>
      </c>
      <c r="C3931" s="1">
        <v>45846</v>
      </c>
      <c r="D3931" t="s">
        <v>5750</v>
      </c>
      <c r="E3931" t="s">
        <v>33</v>
      </c>
      <c r="F3931" t="s">
        <v>34</v>
      </c>
      <c r="G3931" t="s">
        <v>20</v>
      </c>
      <c r="H3931" t="s">
        <v>21</v>
      </c>
      <c r="I3931" t="s">
        <v>1654</v>
      </c>
      <c r="J3931">
        <v>3</v>
      </c>
      <c r="K3931">
        <v>3305000</v>
      </c>
      <c r="L3931">
        <v>0</v>
      </c>
      <c r="M3931" t="s">
        <v>23</v>
      </c>
      <c r="N3931">
        <v>9915000</v>
      </c>
      <c r="O3931">
        <v>4.7</v>
      </c>
      <c r="P3931" t="b">
        <v>1</v>
      </c>
    </row>
    <row r="3932" spans="1:16" x14ac:dyDescent="0.2">
      <c r="A3932" t="s">
        <v>6782</v>
      </c>
      <c r="B3932" s="1">
        <v>45747</v>
      </c>
      <c r="C3932" s="1">
        <v>45813</v>
      </c>
      <c r="D3932" t="s">
        <v>1910</v>
      </c>
      <c r="E3932" t="s">
        <v>18</v>
      </c>
      <c r="F3932" t="s">
        <v>39</v>
      </c>
      <c r="G3932" t="s">
        <v>20</v>
      </c>
      <c r="H3932" t="s">
        <v>47</v>
      </c>
      <c r="I3932" t="s">
        <v>60</v>
      </c>
      <c r="J3932">
        <v>1</v>
      </c>
      <c r="K3932">
        <v>2631000</v>
      </c>
      <c r="L3932">
        <v>8.3627876019224098E-2</v>
      </c>
      <c r="M3932" t="s">
        <v>23</v>
      </c>
      <c r="N3932">
        <v>2411000</v>
      </c>
      <c r="O3932">
        <v>4.7</v>
      </c>
      <c r="P3932" t="b">
        <v>1</v>
      </c>
    </row>
    <row r="3933" spans="1:16" x14ac:dyDescent="0.2">
      <c r="A3933" t="s">
        <v>6783</v>
      </c>
      <c r="B3933" s="1">
        <v>45748</v>
      </c>
      <c r="C3933" s="1">
        <v>45784</v>
      </c>
      <c r="D3933" t="s">
        <v>3907</v>
      </c>
      <c r="E3933" t="s">
        <v>45</v>
      </c>
      <c r="F3933" t="s">
        <v>45</v>
      </c>
      <c r="G3933" t="s">
        <v>35</v>
      </c>
      <c r="H3933" t="s">
        <v>21</v>
      </c>
      <c r="I3933" t="s">
        <v>26</v>
      </c>
      <c r="J3933">
        <v>1</v>
      </c>
      <c r="K3933">
        <v>3356000</v>
      </c>
      <c r="L3933">
        <v>7.5487843447271302E-2</v>
      </c>
      <c r="M3933" t="s">
        <v>65</v>
      </c>
      <c r="N3933">
        <v>0</v>
      </c>
      <c r="P3933" t="b">
        <v>1</v>
      </c>
    </row>
    <row r="3934" spans="1:16" x14ac:dyDescent="0.2">
      <c r="A3934" t="s">
        <v>6784</v>
      </c>
      <c r="B3934" s="1">
        <v>45749</v>
      </c>
      <c r="C3934" s="1">
        <v>45846</v>
      </c>
      <c r="D3934" t="s">
        <v>70</v>
      </c>
      <c r="E3934" t="s">
        <v>29</v>
      </c>
      <c r="F3934" t="s">
        <v>25</v>
      </c>
      <c r="G3934" t="s">
        <v>50</v>
      </c>
      <c r="H3934" t="s">
        <v>47</v>
      </c>
      <c r="I3934" t="s">
        <v>60</v>
      </c>
      <c r="J3934">
        <v>1</v>
      </c>
      <c r="K3934">
        <v>6041000</v>
      </c>
      <c r="L3934" s="2" t="s">
        <v>6785</v>
      </c>
      <c r="M3934" t="s">
        <v>23</v>
      </c>
      <c r="N3934">
        <v>5074000</v>
      </c>
      <c r="O3934">
        <v>4.3</v>
      </c>
      <c r="P3934" t="b">
        <v>1</v>
      </c>
    </row>
    <row r="3935" spans="1:16" x14ac:dyDescent="0.2">
      <c r="A3935" t="s">
        <v>6786</v>
      </c>
      <c r="B3935" s="1">
        <v>45749</v>
      </c>
      <c r="C3935" s="1">
        <v>45810</v>
      </c>
      <c r="D3935" t="s">
        <v>6381</v>
      </c>
      <c r="E3935" t="s">
        <v>45</v>
      </c>
      <c r="F3935" t="s">
        <v>39</v>
      </c>
      <c r="G3935" t="s">
        <v>20</v>
      </c>
      <c r="H3935" t="s">
        <v>21</v>
      </c>
      <c r="I3935" t="s">
        <v>83</v>
      </c>
      <c r="J3935">
        <v>3</v>
      </c>
      <c r="K3935">
        <v>1415000</v>
      </c>
      <c r="L3935">
        <v>7.0627180977209006E-2</v>
      </c>
      <c r="M3935" t="s">
        <v>23</v>
      </c>
      <c r="N3935">
        <v>3945000</v>
      </c>
      <c r="O3935">
        <v>3.5</v>
      </c>
      <c r="P3935" t="b">
        <v>1</v>
      </c>
    </row>
    <row r="3936" spans="1:16" x14ac:dyDescent="0.2">
      <c r="A3936" t="s">
        <v>6787</v>
      </c>
      <c r="B3936" s="1">
        <v>45750</v>
      </c>
      <c r="C3936" s="1">
        <v>45783</v>
      </c>
      <c r="D3936" t="s">
        <v>4929</v>
      </c>
      <c r="E3936" t="s">
        <v>18</v>
      </c>
      <c r="F3936" t="s">
        <v>45</v>
      </c>
      <c r="G3936" t="s">
        <v>50</v>
      </c>
      <c r="H3936" t="s">
        <v>40</v>
      </c>
      <c r="I3936" t="s">
        <v>60</v>
      </c>
      <c r="J3936">
        <v>3</v>
      </c>
      <c r="K3936">
        <v>3303000</v>
      </c>
      <c r="L3936" s="2" t="s">
        <v>6788</v>
      </c>
      <c r="M3936" t="s">
        <v>23</v>
      </c>
      <c r="N3936">
        <v>8765000</v>
      </c>
      <c r="O3936">
        <v>4.0999999999999996</v>
      </c>
      <c r="P3936" t="b">
        <v>1</v>
      </c>
    </row>
    <row r="3937" spans="1:16" x14ac:dyDescent="0.2">
      <c r="A3937" t="s">
        <v>6789</v>
      </c>
      <c r="B3937" s="1">
        <v>45751</v>
      </c>
      <c r="C3937" s="1">
        <v>45775</v>
      </c>
      <c r="D3937" t="s">
        <v>5435</v>
      </c>
      <c r="E3937" t="s">
        <v>18</v>
      </c>
      <c r="F3937" t="s">
        <v>34</v>
      </c>
      <c r="G3937" t="s">
        <v>20</v>
      </c>
      <c r="I3937" t="s">
        <v>83</v>
      </c>
      <c r="J3937">
        <v>3</v>
      </c>
      <c r="K3937">
        <v>4283000</v>
      </c>
      <c r="L3937">
        <v>3.9806461222444099E-2</v>
      </c>
      <c r="M3937" t="s">
        <v>23</v>
      </c>
      <c r="N3937">
        <v>12338000</v>
      </c>
      <c r="O3937">
        <v>4.4000000000000004</v>
      </c>
      <c r="P3937" t="b">
        <v>1</v>
      </c>
    </row>
    <row r="3938" spans="1:16" x14ac:dyDescent="0.2">
      <c r="A3938" t="s">
        <v>6790</v>
      </c>
      <c r="B3938" s="1">
        <v>45751</v>
      </c>
      <c r="C3938" s="1">
        <v>45830</v>
      </c>
      <c r="D3938" t="s">
        <v>4292</v>
      </c>
      <c r="E3938" t="s">
        <v>18</v>
      </c>
      <c r="F3938" t="s">
        <v>68</v>
      </c>
      <c r="G3938" t="s">
        <v>20</v>
      </c>
      <c r="H3938" t="s">
        <v>21</v>
      </c>
      <c r="I3938" t="s">
        <v>83</v>
      </c>
      <c r="J3938">
        <v>2</v>
      </c>
      <c r="K3938">
        <v>2042000</v>
      </c>
      <c r="L3938" s="2" t="s">
        <v>6791</v>
      </c>
      <c r="M3938" t="s">
        <v>23</v>
      </c>
      <c r="N3938">
        <v>3594000</v>
      </c>
      <c r="O3938">
        <v>3.8</v>
      </c>
      <c r="P3938" t="b">
        <v>1</v>
      </c>
    </row>
    <row r="3939" spans="1:16" x14ac:dyDescent="0.2">
      <c r="A3939" t="s">
        <v>6792</v>
      </c>
      <c r="B3939" s="1">
        <v>45752</v>
      </c>
      <c r="C3939" s="1">
        <v>45834</v>
      </c>
      <c r="D3939" t="s">
        <v>6793</v>
      </c>
      <c r="E3939" t="s">
        <v>29</v>
      </c>
      <c r="F3939" t="s">
        <v>39</v>
      </c>
      <c r="G3939" t="s">
        <v>20</v>
      </c>
      <c r="I3939" t="s">
        <v>26</v>
      </c>
      <c r="J3939">
        <v>2</v>
      </c>
      <c r="K3939">
        <v>2228000</v>
      </c>
      <c r="L3939" s="2" t="s">
        <v>6794</v>
      </c>
      <c r="M3939" t="s">
        <v>23</v>
      </c>
      <c r="N3939">
        <v>3742000</v>
      </c>
      <c r="O3939">
        <v>4.0999999999999996</v>
      </c>
      <c r="P3939" t="b">
        <v>0</v>
      </c>
    </row>
    <row r="3940" spans="1:16" x14ac:dyDescent="0.2">
      <c r="A3940" t="s">
        <v>6795</v>
      </c>
      <c r="B3940" s="1">
        <v>45753</v>
      </c>
      <c r="C3940" s="1">
        <v>45783</v>
      </c>
      <c r="D3940" t="s">
        <v>4957</v>
      </c>
      <c r="E3940" t="s">
        <v>33</v>
      </c>
      <c r="F3940" t="s">
        <v>34</v>
      </c>
      <c r="G3940" t="s">
        <v>35</v>
      </c>
      <c r="H3940" t="s">
        <v>47</v>
      </c>
      <c r="I3940" t="s">
        <v>52</v>
      </c>
      <c r="J3940">
        <v>1</v>
      </c>
      <c r="K3940">
        <v>3380000</v>
      </c>
      <c r="L3940">
        <v>8.5690067229334699E-2</v>
      </c>
      <c r="M3940" t="s">
        <v>23</v>
      </c>
      <c r="N3940">
        <v>3090000</v>
      </c>
      <c r="O3940">
        <v>4.3</v>
      </c>
      <c r="P3940" t="b">
        <v>1</v>
      </c>
    </row>
    <row r="3941" spans="1:16" x14ac:dyDescent="0.2">
      <c r="A3941" t="s">
        <v>6796</v>
      </c>
      <c r="B3941" s="1">
        <v>45753</v>
      </c>
      <c r="C3941" s="1">
        <v>45814</v>
      </c>
      <c r="D3941" t="s">
        <v>6797</v>
      </c>
      <c r="E3941" t="s">
        <v>29</v>
      </c>
      <c r="F3941" t="s">
        <v>25</v>
      </c>
      <c r="G3941" t="s">
        <v>35</v>
      </c>
      <c r="H3941" t="s">
        <v>21</v>
      </c>
      <c r="I3941" t="s">
        <v>99</v>
      </c>
      <c r="J3941">
        <v>4</v>
      </c>
      <c r="K3941">
        <v>4792000</v>
      </c>
      <c r="L3941">
        <v>6.3722026352267702E-2</v>
      </c>
      <c r="M3941" t="s">
        <v>23</v>
      </c>
      <c r="N3941">
        <v>17947000</v>
      </c>
      <c r="O3941">
        <v>4.3</v>
      </c>
      <c r="P3941" t="b">
        <v>0</v>
      </c>
    </row>
    <row r="3942" spans="1:16" x14ac:dyDescent="0.2">
      <c r="A3942" t="s">
        <v>6798</v>
      </c>
      <c r="B3942" s="1">
        <v>45753</v>
      </c>
      <c r="C3942" s="1">
        <v>45764</v>
      </c>
      <c r="D3942" t="s">
        <v>6799</v>
      </c>
      <c r="E3942" t="s">
        <v>33</v>
      </c>
      <c r="F3942" t="s">
        <v>34</v>
      </c>
      <c r="G3942" t="s">
        <v>20</v>
      </c>
      <c r="H3942" t="s">
        <v>21</v>
      </c>
      <c r="I3942" t="s">
        <v>52</v>
      </c>
      <c r="J3942">
        <v>2</v>
      </c>
      <c r="K3942">
        <v>3334000</v>
      </c>
      <c r="L3942">
        <v>9.0775067993508707E-2</v>
      </c>
      <c r="M3942" t="s">
        <v>23</v>
      </c>
      <c r="N3942">
        <v>6063000</v>
      </c>
      <c r="O3942">
        <v>4.3</v>
      </c>
      <c r="P3942" t="b">
        <v>0</v>
      </c>
    </row>
    <row r="3943" spans="1:16" x14ac:dyDescent="0.2">
      <c r="A3943" t="s">
        <v>6800</v>
      </c>
      <c r="B3943" s="1">
        <v>45754</v>
      </c>
      <c r="C3943" s="1">
        <v>45831</v>
      </c>
      <c r="D3943" t="s">
        <v>1038</v>
      </c>
      <c r="E3943" t="s">
        <v>45</v>
      </c>
      <c r="F3943" t="s">
        <v>34</v>
      </c>
      <c r="G3943" t="s">
        <v>35</v>
      </c>
      <c r="H3943" t="s">
        <v>47</v>
      </c>
      <c r="I3943" t="s">
        <v>52</v>
      </c>
      <c r="J3943">
        <v>3</v>
      </c>
      <c r="K3943">
        <v>3833000</v>
      </c>
      <c r="L3943" s="2" t="s">
        <v>6801</v>
      </c>
      <c r="M3943" t="s">
        <v>23</v>
      </c>
      <c r="N3943">
        <v>9995000</v>
      </c>
      <c r="O3943">
        <v>4.5</v>
      </c>
      <c r="P3943" t="b">
        <v>1</v>
      </c>
    </row>
    <row r="3944" spans="1:16" x14ac:dyDescent="0.2">
      <c r="A3944" t="s">
        <v>6802</v>
      </c>
      <c r="B3944" s="1">
        <v>45754</v>
      </c>
      <c r="C3944" s="1">
        <v>45848</v>
      </c>
      <c r="D3944" t="s">
        <v>6803</v>
      </c>
      <c r="E3944" t="s">
        <v>33</v>
      </c>
      <c r="F3944" t="s">
        <v>25</v>
      </c>
      <c r="G3944" t="s">
        <v>20</v>
      </c>
      <c r="H3944" t="s">
        <v>21</v>
      </c>
      <c r="J3944">
        <v>4</v>
      </c>
      <c r="K3944">
        <v>5965000</v>
      </c>
      <c r="L3944">
        <v>6.0952626412010102E-2</v>
      </c>
      <c r="M3944" t="s">
        <v>65</v>
      </c>
      <c r="N3944">
        <v>0</v>
      </c>
      <c r="P3944" t="b">
        <v>0</v>
      </c>
    </row>
    <row r="3945" spans="1:16" x14ac:dyDescent="0.2">
      <c r="A3945" t="s">
        <v>6804</v>
      </c>
      <c r="B3945" s="1">
        <v>45754</v>
      </c>
      <c r="C3945" s="1">
        <v>45837</v>
      </c>
      <c r="D3945" t="s">
        <v>6805</v>
      </c>
      <c r="E3945" t="s">
        <v>18</v>
      </c>
      <c r="F3945" t="s">
        <v>34</v>
      </c>
      <c r="G3945" t="s">
        <v>20</v>
      </c>
      <c r="H3945" t="s">
        <v>21</v>
      </c>
      <c r="I3945" t="s">
        <v>1654</v>
      </c>
      <c r="J3945">
        <v>2</v>
      </c>
      <c r="K3945">
        <v>3389000</v>
      </c>
      <c r="L3945" s="2" t="s">
        <v>6806</v>
      </c>
      <c r="M3945" t="s">
        <v>23</v>
      </c>
      <c r="N3945">
        <v>5760000</v>
      </c>
      <c r="O3945">
        <v>4.2</v>
      </c>
      <c r="P3945" t="b">
        <v>0</v>
      </c>
    </row>
    <row r="3946" spans="1:16" x14ac:dyDescent="0.2">
      <c r="A3946" t="s">
        <v>6807</v>
      </c>
      <c r="B3946" s="1">
        <v>45756</v>
      </c>
      <c r="C3946" s="1">
        <v>45859</v>
      </c>
      <c r="D3946" t="s">
        <v>6808</v>
      </c>
      <c r="E3946" t="s">
        <v>33</v>
      </c>
      <c r="F3946" t="s">
        <v>34</v>
      </c>
      <c r="G3946" t="s">
        <v>20</v>
      </c>
      <c r="H3946" t="s">
        <v>21</v>
      </c>
      <c r="I3946" t="s">
        <v>22</v>
      </c>
      <c r="J3946">
        <v>3</v>
      </c>
      <c r="K3946">
        <v>3623000</v>
      </c>
      <c r="L3946" s="2" t="s">
        <v>6809</v>
      </c>
      <c r="M3946" t="s">
        <v>23</v>
      </c>
      <c r="N3946">
        <v>9540000</v>
      </c>
      <c r="O3946">
        <v>3.6</v>
      </c>
      <c r="P3946" t="b">
        <v>0</v>
      </c>
    </row>
    <row r="3947" spans="1:16" x14ac:dyDescent="0.2">
      <c r="A3947" t="s">
        <v>6810</v>
      </c>
      <c r="B3947" s="1">
        <v>45756</v>
      </c>
      <c r="C3947" s="1">
        <v>45816</v>
      </c>
      <c r="D3947" t="s">
        <v>5264</v>
      </c>
      <c r="E3947" t="s">
        <v>33</v>
      </c>
      <c r="F3947" t="s">
        <v>19</v>
      </c>
      <c r="G3947" t="s">
        <v>20</v>
      </c>
      <c r="H3947" t="s">
        <v>21</v>
      </c>
      <c r="I3947" t="s">
        <v>26</v>
      </c>
      <c r="J3947">
        <v>2</v>
      </c>
      <c r="K3947">
        <v>2768000</v>
      </c>
      <c r="L3947">
        <v>7.4579757844174505E-2</v>
      </c>
      <c r="M3947" t="s">
        <v>1673</v>
      </c>
      <c r="N3947">
        <v>5123000</v>
      </c>
      <c r="O3947">
        <v>4.5999999999999996</v>
      </c>
      <c r="P3947" t="b">
        <v>1</v>
      </c>
    </row>
    <row r="3948" spans="1:16" x14ac:dyDescent="0.2">
      <c r="A3948" t="s">
        <v>6811</v>
      </c>
      <c r="B3948" s="1">
        <v>45757</v>
      </c>
      <c r="C3948" s="1">
        <v>45813</v>
      </c>
      <c r="D3948" t="s">
        <v>3916</v>
      </c>
      <c r="E3948" t="s">
        <v>18</v>
      </c>
      <c r="F3948" t="s">
        <v>45</v>
      </c>
      <c r="G3948" t="s">
        <v>50</v>
      </c>
      <c r="H3948" t="s">
        <v>40</v>
      </c>
      <c r="I3948" t="s">
        <v>77</v>
      </c>
      <c r="J3948">
        <v>1</v>
      </c>
      <c r="K3948">
        <v>3835000</v>
      </c>
      <c r="L3948">
        <v>4.7848244815197699E-2</v>
      </c>
      <c r="M3948" t="s">
        <v>23</v>
      </c>
      <c r="N3948">
        <v>3652000</v>
      </c>
      <c r="O3948">
        <v>4.3</v>
      </c>
      <c r="P3948" t="b">
        <v>1</v>
      </c>
    </row>
    <row r="3949" spans="1:16" x14ac:dyDescent="0.2">
      <c r="A3949" t="s">
        <v>6812</v>
      </c>
      <c r="B3949" s="1">
        <v>45758</v>
      </c>
      <c r="C3949" s="1">
        <v>45838</v>
      </c>
      <c r="D3949" t="s">
        <v>6813</v>
      </c>
      <c r="E3949" t="s">
        <v>18</v>
      </c>
      <c r="F3949" t="s">
        <v>19</v>
      </c>
      <c r="G3949" t="s">
        <v>35</v>
      </c>
      <c r="H3949" t="s">
        <v>47</v>
      </c>
      <c r="I3949" t="s">
        <v>99</v>
      </c>
      <c r="J3949">
        <v>3</v>
      </c>
      <c r="K3949">
        <v>2434000</v>
      </c>
      <c r="L3949">
        <v>8.3294089752964595E-2</v>
      </c>
      <c r="M3949" t="s">
        <v>23</v>
      </c>
      <c r="N3949">
        <v>6694000</v>
      </c>
      <c r="O3949">
        <v>3.7</v>
      </c>
      <c r="P3949" t="b">
        <v>0</v>
      </c>
    </row>
    <row r="3950" spans="1:16" x14ac:dyDescent="0.2">
      <c r="A3950" t="s">
        <v>6814</v>
      </c>
      <c r="B3950" s="1">
        <v>45759</v>
      </c>
      <c r="C3950" s="1">
        <v>45798</v>
      </c>
      <c r="D3950" t="s">
        <v>6734</v>
      </c>
      <c r="E3950" t="s">
        <v>45</v>
      </c>
      <c r="F3950" t="s">
        <v>19</v>
      </c>
      <c r="G3950" t="s">
        <v>35</v>
      </c>
      <c r="H3950" t="s">
        <v>21</v>
      </c>
      <c r="I3950" t="s">
        <v>22</v>
      </c>
      <c r="J3950">
        <v>4</v>
      </c>
      <c r="K3950">
        <v>2250000</v>
      </c>
      <c r="L3950" s="2" t="s">
        <v>6815</v>
      </c>
      <c r="M3950" t="s">
        <v>23</v>
      </c>
      <c r="N3950">
        <v>7976000</v>
      </c>
      <c r="O3950">
        <v>3.8</v>
      </c>
      <c r="P3950" t="b">
        <v>1</v>
      </c>
    </row>
    <row r="3951" spans="1:16" x14ac:dyDescent="0.2">
      <c r="A3951" t="s">
        <v>6816</v>
      </c>
      <c r="B3951" s="1">
        <v>45759</v>
      </c>
      <c r="C3951" s="1">
        <v>45810</v>
      </c>
      <c r="D3951" t="s">
        <v>4973</v>
      </c>
      <c r="E3951" t="s">
        <v>29</v>
      </c>
      <c r="F3951" t="s">
        <v>19</v>
      </c>
      <c r="H3951" t="s">
        <v>40</v>
      </c>
      <c r="I3951" t="s">
        <v>94</v>
      </c>
      <c r="J3951">
        <v>1</v>
      </c>
      <c r="K3951">
        <v>2846000</v>
      </c>
      <c r="L3951" s="2" t="s">
        <v>6817</v>
      </c>
      <c r="M3951" t="s">
        <v>23</v>
      </c>
      <c r="N3951">
        <v>2459000</v>
      </c>
      <c r="O3951">
        <v>3.5</v>
      </c>
      <c r="P3951" t="b">
        <v>1</v>
      </c>
    </row>
    <row r="3952" spans="1:16" x14ac:dyDescent="0.2">
      <c r="A3952" t="s">
        <v>6818</v>
      </c>
      <c r="B3952" s="1">
        <v>45760</v>
      </c>
      <c r="C3952" s="1">
        <v>45827</v>
      </c>
      <c r="D3952" t="s">
        <v>1036</v>
      </c>
      <c r="E3952" t="s">
        <v>29</v>
      </c>
      <c r="F3952" t="s">
        <v>39</v>
      </c>
      <c r="G3952" t="s">
        <v>20</v>
      </c>
      <c r="H3952" t="s">
        <v>21</v>
      </c>
      <c r="I3952" t="s">
        <v>83</v>
      </c>
      <c r="J3952">
        <v>3</v>
      </c>
      <c r="K3952">
        <v>1508000</v>
      </c>
      <c r="L3952" s="2" t="s">
        <v>6819</v>
      </c>
      <c r="M3952" t="s">
        <v>65</v>
      </c>
      <c r="N3952">
        <v>0</v>
      </c>
      <c r="P3952" t="b">
        <v>1</v>
      </c>
    </row>
    <row r="3953" spans="1:16" x14ac:dyDescent="0.2">
      <c r="A3953" t="s">
        <v>6820</v>
      </c>
      <c r="B3953" s="1">
        <v>45760</v>
      </c>
      <c r="C3953" s="1">
        <v>45817</v>
      </c>
      <c r="D3953" t="s">
        <v>294</v>
      </c>
      <c r="E3953" t="s">
        <v>29</v>
      </c>
      <c r="F3953" t="s">
        <v>34</v>
      </c>
      <c r="G3953" t="s">
        <v>20</v>
      </c>
      <c r="I3953" t="s">
        <v>26</v>
      </c>
      <c r="J3953">
        <v>3</v>
      </c>
      <c r="K3953">
        <v>4526000</v>
      </c>
      <c r="L3953" s="2" t="s">
        <v>6821</v>
      </c>
      <c r="M3953" t="s">
        <v>65</v>
      </c>
      <c r="N3953">
        <v>0</v>
      </c>
      <c r="P3953" t="b">
        <v>1</v>
      </c>
    </row>
    <row r="3954" spans="1:16" x14ac:dyDescent="0.2">
      <c r="A3954" t="s">
        <v>6822</v>
      </c>
      <c r="B3954" s="1">
        <v>45760</v>
      </c>
      <c r="C3954" s="1">
        <v>45798</v>
      </c>
      <c r="D3954" t="s">
        <v>354</v>
      </c>
      <c r="F3954" t="s">
        <v>34</v>
      </c>
      <c r="G3954" t="s">
        <v>35</v>
      </c>
      <c r="H3954" t="s">
        <v>51</v>
      </c>
      <c r="I3954" t="s">
        <v>52</v>
      </c>
      <c r="J3954">
        <v>3</v>
      </c>
      <c r="K3954">
        <v>3194000</v>
      </c>
      <c r="L3954" s="2" t="s">
        <v>6823</v>
      </c>
      <c r="M3954" t="s">
        <v>23</v>
      </c>
      <c r="N3954">
        <v>8588000</v>
      </c>
      <c r="O3954">
        <v>4.7</v>
      </c>
      <c r="P3954" t="b">
        <v>1</v>
      </c>
    </row>
    <row r="3955" spans="1:16" x14ac:dyDescent="0.2">
      <c r="A3955" t="s">
        <v>6824</v>
      </c>
      <c r="B3955" s="1">
        <v>45762</v>
      </c>
      <c r="C3955" s="1">
        <v>45828</v>
      </c>
      <c r="D3955" t="s">
        <v>4206</v>
      </c>
      <c r="E3955" t="s">
        <v>45</v>
      </c>
      <c r="F3955" t="s">
        <v>39</v>
      </c>
      <c r="G3955" t="s">
        <v>46</v>
      </c>
      <c r="H3955" t="s">
        <v>21</v>
      </c>
      <c r="J3955">
        <v>5</v>
      </c>
      <c r="K3955">
        <v>2221000</v>
      </c>
      <c r="L3955">
        <v>8.4420664600603698E-2</v>
      </c>
      <c r="M3955" t="s">
        <v>23</v>
      </c>
      <c r="N3955">
        <v>10168000</v>
      </c>
      <c r="O3955">
        <v>4.4000000000000004</v>
      </c>
      <c r="P3955" t="b">
        <v>1</v>
      </c>
    </row>
    <row r="3956" spans="1:16" x14ac:dyDescent="0.2">
      <c r="A3956" t="s">
        <v>6825</v>
      </c>
      <c r="B3956" s="1">
        <v>45762</v>
      </c>
      <c r="C3956" s="1">
        <v>45787</v>
      </c>
      <c r="D3956" t="s">
        <v>6826</v>
      </c>
      <c r="E3956" t="s">
        <v>18</v>
      </c>
      <c r="F3956" t="s">
        <v>45</v>
      </c>
      <c r="G3956" t="s">
        <v>35</v>
      </c>
      <c r="H3956" t="s">
        <v>21</v>
      </c>
      <c r="I3956" t="s">
        <v>22</v>
      </c>
      <c r="J3956">
        <v>5</v>
      </c>
      <c r="K3956">
        <v>3105000</v>
      </c>
      <c r="L3956" s="3">
        <v>0.13700000000000001</v>
      </c>
      <c r="M3956" t="s">
        <v>23</v>
      </c>
      <c r="N3956">
        <v>13403000</v>
      </c>
      <c r="O3956">
        <v>3.9</v>
      </c>
      <c r="P3956" t="b">
        <v>0</v>
      </c>
    </row>
    <row r="3957" spans="1:16" x14ac:dyDescent="0.2">
      <c r="A3957" t="s">
        <v>6827</v>
      </c>
      <c r="B3957" s="1">
        <v>45762</v>
      </c>
      <c r="C3957" s="1">
        <v>45787</v>
      </c>
      <c r="D3957" t="s">
        <v>4298</v>
      </c>
      <c r="E3957" t="s">
        <v>45</v>
      </c>
      <c r="F3957" t="s">
        <v>25</v>
      </c>
      <c r="G3957" t="s">
        <v>50</v>
      </c>
      <c r="H3957" t="s">
        <v>21</v>
      </c>
      <c r="I3957" t="s">
        <v>83</v>
      </c>
      <c r="J3957">
        <v>4</v>
      </c>
      <c r="K3957">
        <v>4532000</v>
      </c>
      <c r="L3957" s="2" t="s">
        <v>6828</v>
      </c>
      <c r="M3957" t="s">
        <v>23</v>
      </c>
      <c r="N3957">
        <v>15952000</v>
      </c>
      <c r="O3957">
        <v>3.8</v>
      </c>
      <c r="P3957" t="b">
        <v>1</v>
      </c>
    </row>
    <row r="3958" spans="1:16" x14ac:dyDescent="0.2">
      <c r="A3958" t="s">
        <v>6829</v>
      </c>
      <c r="B3958" s="1">
        <v>45762</v>
      </c>
      <c r="C3958" s="1">
        <v>45837</v>
      </c>
      <c r="D3958" t="s">
        <v>6830</v>
      </c>
      <c r="E3958" t="s">
        <v>29</v>
      </c>
      <c r="F3958" t="s">
        <v>45</v>
      </c>
      <c r="G3958" t="s">
        <v>20</v>
      </c>
      <c r="H3958" t="s">
        <v>40</v>
      </c>
      <c r="I3958" t="s">
        <v>52</v>
      </c>
      <c r="J3958">
        <v>2</v>
      </c>
      <c r="K3958">
        <v>3373000</v>
      </c>
      <c r="L3958" s="2" t="s">
        <v>6831</v>
      </c>
      <c r="M3958" t="s">
        <v>23</v>
      </c>
      <c r="N3958">
        <v>5954000</v>
      </c>
      <c r="O3958">
        <v>3.4</v>
      </c>
      <c r="P3958" t="b">
        <v>0</v>
      </c>
    </row>
    <row r="3959" spans="1:16" x14ac:dyDescent="0.2">
      <c r="A3959" t="s">
        <v>6832</v>
      </c>
      <c r="B3959" s="1">
        <v>45763</v>
      </c>
      <c r="C3959" s="1">
        <v>45862</v>
      </c>
      <c r="D3959" t="s">
        <v>1681</v>
      </c>
      <c r="E3959" t="s">
        <v>18</v>
      </c>
      <c r="F3959" t="s">
        <v>45</v>
      </c>
      <c r="G3959" t="s">
        <v>35</v>
      </c>
      <c r="H3959" t="s">
        <v>51</v>
      </c>
      <c r="I3959" t="s">
        <v>57</v>
      </c>
      <c r="J3959">
        <v>3</v>
      </c>
      <c r="K3959">
        <v>3871000</v>
      </c>
      <c r="L3959" s="2" t="s">
        <v>6833</v>
      </c>
      <c r="M3959" t="s">
        <v>23</v>
      </c>
      <c r="N3959">
        <v>10079000</v>
      </c>
      <c r="O3959">
        <v>4.5</v>
      </c>
      <c r="P3959" t="b">
        <v>1</v>
      </c>
    </row>
    <row r="3960" spans="1:16" x14ac:dyDescent="0.2">
      <c r="A3960" t="s">
        <v>6834</v>
      </c>
      <c r="B3960" s="1">
        <v>45763</v>
      </c>
      <c r="C3960" s="1">
        <v>45773</v>
      </c>
      <c r="D3960" t="s">
        <v>5822</v>
      </c>
      <c r="E3960" t="s">
        <v>18</v>
      </c>
      <c r="F3960" t="s">
        <v>45</v>
      </c>
      <c r="G3960" t="s">
        <v>20</v>
      </c>
      <c r="H3960" t="s">
        <v>47</v>
      </c>
      <c r="I3960" t="s">
        <v>60</v>
      </c>
      <c r="J3960">
        <v>2</v>
      </c>
      <c r="K3960">
        <v>3773000</v>
      </c>
      <c r="L3960" s="2" t="s">
        <v>6835</v>
      </c>
      <c r="M3960" t="s">
        <v>23</v>
      </c>
      <c r="N3960">
        <v>6499000</v>
      </c>
      <c r="O3960">
        <v>4.4000000000000004</v>
      </c>
      <c r="P3960" t="b">
        <v>1</v>
      </c>
    </row>
    <row r="3961" spans="1:16" x14ac:dyDescent="0.2">
      <c r="A3961" t="s">
        <v>6836</v>
      </c>
      <c r="B3961" s="1">
        <v>45763</v>
      </c>
      <c r="C3961" s="1">
        <v>45831</v>
      </c>
      <c r="D3961" t="s">
        <v>689</v>
      </c>
      <c r="E3961" t="s">
        <v>18</v>
      </c>
      <c r="F3961" t="s">
        <v>34</v>
      </c>
      <c r="H3961" t="s">
        <v>40</v>
      </c>
      <c r="I3961" t="s">
        <v>83</v>
      </c>
      <c r="J3961">
        <v>1</v>
      </c>
      <c r="K3961">
        <v>4259000</v>
      </c>
      <c r="L3961" s="2" t="s">
        <v>6837</v>
      </c>
      <c r="M3961" t="s">
        <v>23</v>
      </c>
      <c r="N3961">
        <v>3792000</v>
      </c>
      <c r="O3961">
        <v>4.4000000000000004</v>
      </c>
      <c r="P3961" t="b">
        <v>1</v>
      </c>
    </row>
    <row r="3962" spans="1:16" x14ac:dyDescent="0.2">
      <c r="A3962" t="s">
        <v>6838</v>
      </c>
      <c r="B3962" s="1">
        <v>45764</v>
      </c>
      <c r="C3962" s="1">
        <v>45799</v>
      </c>
      <c r="D3962" t="s">
        <v>4598</v>
      </c>
      <c r="E3962" t="s">
        <v>29</v>
      </c>
      <c r="F3962" t="s">
        <v>68</v>
      </c>
      <c r="G3962" t="s">
        <v>50</v>
      </c>
      <c r="H3962" t="s">
        <v>21</v>
      </c>
      <c r="I3962" t="s">
        <v>26</v>
      </c>
      <c r="J3962">
        <v>4</v>
      </c>
      <c r="K3962">
        <v>2709000</v>
      </c>
      <c r="L3962" s="2" t="s">
        <v>6839</v>
      </c>
      <c r="M3962" t="s">
        <v>23</v>
      </c>
      <c r="N3962">
        <v>9321000</v>
      </c>
      <c r="O3962">
        <v>4</v>
      </c>
      <c r="P3962" t="b">
        <v>1</v>
      </c>
    </row>
    <row r="3963" spans="1:16" x14ac:dyDescent="0.2">
      <c r="A3963" t="s">
        <v>6840</v>
      </c>
      <c r="B3963" s="1">
        <v>45764</v>
      </c>
      <c r="C3963" s="1">
        <v>45856</v>
      </c>
      <c r="D3963" t="s">
        <v>6841</v>
      </c>
      <c r="E3963" t="s">
        <v>33</v>
      </c>
      <c r="F3963" t="s">
        <v>19</v>
      </c>
      <c r="G3963" t="s">
        <v>20</v>
      </c>
      <c r="H3963" t="s">
        <v>40</v>
      </c>
      <c r="I3963" t="s">
        <v>52</v>
      </c>
      <c r="J3963">
        <v>2</v>
      </c>
      <c r="K3963">
        <v>2515000</v>
      </c>
      <c r="L3963" s="2" t="s">
        <v>6842</v>
      </c>
      <c r="M3963" t="s">
        <v>23</v>
      </c>
      <c r="N3963">
        <v>4517000</v>
      </c>
      <c r="O3963">
        <v>4.5</v>
      </c>
      <c r="P3963" t="b">
        <v>0</v>
      </c>
    </row>
    <row r="3964" spans="1:16" x14ac:dyDescent="0.2">
      <c r="A3964" t="s">
        <v>6843</v>
      </c>
      <c r="B3964" s="1">
        <v>45764</v>
      </c>
      <c r="C3964" s="1">
        <v>45817</v>
      </c>
      <c r="D3964" t="s">
        <v>6844</v>
      </c>
      <c r="E3964" t="s">
        <v>18</v>
      </c>
      <c r="F3964" t="s">
        <v>19</v>
      </c>
      <c r="G3964" t="s">
        <v>20</v>
      </c>
      <c r="H3964" t="s">
        <v>21</v>
      </c>
      <c r="I3964" t="s">
        <v>26</v>
      </c>
      <c r="J3964">
        <v>2</v>
      </c>
      <c r="K3964">
        <v>2682000</v>
      </c>
      <c r="L3964">
        <v>6.7425195851731207E-2</v>
      </c>
      <c r="M3964" t="s">
        <v>23</v>
      </c>
      <c r="N3964">
        <v>5002000</v>
      </c>
      <c r="O3964">
        <v>4.2</v>
      </c>
      <c r="P3964" t="b">
        <v>0</v>
      </c>
    </row>
    <row r="3965" spans="1:16" x14ac:dyDescent="0.2">
      <c r="A3965" t="s">
        <v>6845</v>
      </c>
      <c r="B3965" s="1">
        <v>45765</v>
      </c>
      <c r="C3965" s="1">
        <v>45807</v>
      </c>
      <c r="D3965" t="s">
        <v>6846</v>
      </c>
      <c r="E3965" t="s">
        <v>45</v>
      </c>
      <c r="F3965" t="s">
        <v>39</v>
      </c>
      <c r="G3965" t="s">
        <v>20</v>
      </c>
      <c r="H3965" t="s">
        <v>21</v>
      </c>
      <c r="I3965" t="s">
        <v>26</v>
      </c>
      <c r="J3965">
        <v>1</v>
      </c>
      <c r="K3965">
        <v>2214000</v>
      </c>
      <c r="L3965" s="2" t="s">
        <v>6847</v>
      </c>
      <c r="M3965" t="s">
        <v>23</v>
      </c>
      <c r="N3965">
        <v>1961000</v>
      </c>
      <c r="O3965">
        <v>4.7</v>
      </c>
      <c r="P3965" t="b">
        <v>0</v>
      </c>
    </row>
    <row r="3966" spans="1:16" x14ac:dyDescent="0.2">
      <c r="A3966" t="s">
        <v>6848</v>
      </c>
      <c r="B3966" s="1">
        <v>45765</v>
      </c>
      <c r="C3966" s="1">
        <v>45820</v>
      </c>
      <c r="D3966" t="s">
        <v>1688</v>
      </c>
      <c r="E3966" t="s">
        <v>45</v>
      </c>
      <c r="F3966" t="s">
        <v>34</v>
      </c>
      <c r="G3966" t="s">
        <v>20</v>
      </c>
      <c r="H3966" t="s">
        <v>47</v>
      </c>
      <c r="I3966" t="s">
        <v>26</v>
      </c>
      <c r="J3966">
        <v>2</v>
      </c>
      <c r="K3966">
        <v>4237000</v>
      </c>
      <c r="L3966" s="3">
        <v>0.115</v>
      </c>
      <c r="M3966" t="s">
        <v>23</v>
      </c>
      <c r="N3966">
        <v>7503000</v>
      </c>
      <c r="O3966">
        <v>4.4000000000000004</v>
      </c>
      <c r="P3966" t="b">
        <v>1</v>
      </c>
    </row>
    <row r="3967" spans="1:16" x14ac:dyDescent="0.2">
      <c r="A3967" t="s">
        <v>6849</v>
      </c>
      <c r="B3967" s="1">
        <v>45765</v>
      </c>
      <c r="C3967" s="1">
        <v>45836</v>
      </c>
      <c r="D3967" t="s">
        <v>2301</v>
      </c>
      <c r="E3967" t="s">
        <v>45</v>
      </c>
      <c r="F3967" t="s">
        <v>19</v>
      </c>
      <c r="G3967" t="s">
        <v>20</v>
      </c>
      <c r="H3967" t="s">
        <v>21</v>
      </c>
      <c r="I3967" t="s">
        <v>1654</v>
      </c>
      <c r="J3967">
        <v>1</v>
      </c>
      <c r="K3967">
        <v>3044000</v>
      </c>
      <c r="L3967" s="2" t="s">
        <v>6850</v>
      </c>
      <c r="M3967" t="s">
        <v>23</v>
      </c>
      <c r="N3967">
        <v>2603000</v>
      </c>
      <c r="O3967">
        <v>4.7</v>
      </c>
      <c r="P3967" t="b">
        <v>1</v>
      </c>
    </row>
    <row r="3968" spans="1:16" x14ac:dyDescent="0.2">
      <c r="A3968" t="s">
        <v>6851</v>
      </c>
      <c r="B3968" s="1">
        <v>45766</v>
      </c>
      <c r="C3968" s="1">
        <v>45837</v>
      </c>
      <c r="D3968" t="s">
        <v>2113</v>
      </c>
      <c r="E3968" t="s">
        <v>33</v>
      </c>
      <c r="F3968" t="s">
        <v>34</v>
      </c>
      <c r="H3968" t="s">
        <v>21</v>
      </c>
      <c r="I3968" t="s">
        <v>52</v>
      </c>
      <c r="J3968">
        <v>1</v>
      </c>
      <c r="K3968">
        <v>3032000</v>
      </c>
      <c r="L3968" s="2" t="s">
        <v>6852</v>
      </c>
      <c r="M3968" t="s">
        <v>23</v>
      </c>
      <c r="N3968">
        <v>2682000</v>
      </c>
      <c r="O3968">
        <v>4.3</v>
      </c>
      <c r="P3968" t="b">
        <v>1</v>
      </c>
    </row>
    <row r="3969" spans="1:16" x14ac:dyDescent="0.2">
      <c r="A3969" t="s">
        <v>6853</v>
      </c>
      <c r="B3969" s="1">
        <v>45767</v>
      </c>
      <c r="C3969" s="1">
        <v>45774</v>
      </c>
      <c r="D3969" t="s">
        <v>6854</v>
      </c>
      <c r="E3969" t="s">
        <v>18</v>
      </c>
      <c r="F3969" t="s">
        <v>39</v>
      </c>
      <c r="G3969" t="s">
        <v>20</v>
      </c>
      <c r="H3969" t="s">
        <v>47</v>
      </c>
      <c r="I3969" t="s">
        <v>30</v>
      </c>
      <c r="J3969">
        <v>3</v>
      </c>
      <c r="K3969">
        <v>2720000</v>
      </c>
      <c r="L3969" s="2" t="s">
        <v>6855</v>
      </c>
      <c r="M3969" t="s">
        <v>23</v>
      </c>
      <c r="N3969">
        <v>7329000</v>
      </c>
      <c r="O3969">
        <v>3.9</v>
      </c>
      <c r="P3969" t="b">
        <v>0</v>
      </c>
    </row>
    <row r="3970" spans="1:16" x14ac:dyDescent="0.2">
      <c r="A3970" t="s">
        <v>6856</v>
      </c>
      <c r="B3970" s="1">
        <v>45767</v>
      </c>
      <c r="C3970" s="1">
        <v>45796</v>
      </c>
      <c r="D3970" t="s">
        <v>689</v>
      </c>
      <c r="E3970" t="s">
        <v>18</v>
      </c>
      <c r="F3970" t="s">
        <v>19</v>
      </c>
      <c r="G3970" t="s">
        <v>50</v>
      </c>
      <c r="H3970" t="s">
        <v>47</v>
      </c>
      <c r="I3970" t="s">
        <v>1654</v>
      </c>
      <c r="J3970">
        <v>1</v>
      </c>
      <c r="K3970">
        <v>2774000</v>
      </c>
      <c r="L3970" s="2" t="s">
        <v>6857</v>
      </c>
      <c r="M3970" t="s">
        <v>23</v>
      </c>
      <c r="N3970">
        <v>2435000</v>
      </c>
      <c r="O3970">
        <v>3.8</v>
      </c>
      <c r="P3970" t="b">
        <v>1</v>
      </c>
    </row>
    <row r="3971" spans="1:16" x14ac:dyDescent="0.2">
      <c r="A3971" t="s">
        <v>6858</v>
      </c>
      <c r="B3971" s="1">
        <v>45767</v>
      </c>
      <c r="C3971" s="1">
        <v>45808</v>
      </c>
      <c r="D3971" t="s">
        <v>4504</v>
      </c>
      <c r="E3971" t="s">
        <v>45</v>
      </c>
      <c r="F3971" t="s">
        <v>34</v>
      </c>
      <c r="G3971" t="s">
        <v>20</v>
      </c>
      <c r="H3971" t="s">
        <v>47</v>
      </c>
      <c r="I3971" t="s">
        <v>60</v>
      </c>
      <c r="J3971">
        <v>1</v>
      </c>
      <c r="K3971">
        <v>4648000</v>
      </c>
      <c r="L3971">
        <v>8.9321698265631799E-2</v>
      </c>
      <c r="M3971" t="s">
        <v>23</v>
      </c>
      <c r="N3971">
        <v>4233000</v>
      </c>
      <c r="O3971">
        <v>4</v>
      </c>
      <c r="P3971" t="b">
        <v>1</v>
      </c>
    </row>
    <row r="3972" spans="1:16" x14ac:dyDescent="0.2">
      <c r="A3972" t="s">
        <v>6859</v>
      </c>
      <c r="B3972" s="1">
        <v>45767</v>
      </c>
      <c r="C3972" s="1">
        <v>45819</v>
      </c>
      <c r="D3972" t="s">
        <v>1010</v>
      </c>
      <c r="E3972" t="s">
        <v>45</v>
      </c>
      <c r="F3972" t="s">
        <v>45</v>
      </c>
      <c r="G3972" t="s">
        <v>35</v>
      </c>
      <c r="H3972" t="s">
        <v>21</v>
      </c>
      <c r="I3972" t="s">
        <v>26</v>
      </c>
      <c r="J3972">
        <v>1</v>
      </c>
      <c r="K3972">
        <v>3538000</v>
      </c>
      <c r="L3972">
        <v>9.3630244478419999E-2</v>
      </c>
      <c r="M3972" t="s">
        <v>23</v>
      </c>
      <c r="N3972">
        <v>3207000</v>
      </c>
      <c r="O3972">
        <v>3.5</v>
      </c>
      <c r="P3972" t="b">
        <v>1</v>
      </c>
    </row>
    <row r="3973" spans="1:16" x14ac:dyDescent="0.2">
      <c r="A3973" t="s">
        <v>6860</v>
      </c>
      <c r="B3973" s="1">
        <v>45768</v>
      </c>
      <c r="C3973" s="1">
        <v>45818</v>
      </c>
      <c r="D3973" t="s">
        <v>5566</v>
      </c>
      <c r="E3973" t="s">
        <v>29</v>
      </c>
      <c r="F3973" t="s">
        <v>68</v>
      </c>
      <c r="G3973" t="s">
        <v>46</v>
      </c>
      <c r="H3973" t="s">
        <v>21</v>
      </c>
      <c r="I3973" t="s">
        <v>99</v>
      </c>
      <c r="J3973">
        <v>1</v>
      </c>
      <c r="K3973">
        <v>2979000</v>
      </c>
      <c r="L3973">
        <v>8.5428096190272806E-2</v>
      </c>
      <c r="M3973" t="s">
        <v>23</v>
      </c>
      <c r="N3973">
        <v>2725000</v>
      </c>
      <c r="O3973">
        <v>4.8</v>
      </c>
      <c r="P3973" t="b">
        <v>1</v>
      </c>
    </row>
    <row r="3974" spans="1:16" x14ac:dyDescent="0.2">
      <c r="A3974" t="s">
        <v>6861</v>
      </c>
      <c r="B3974" s="1">
        <v>45768</v>
      </c>
      <c r="C3974" s="1">
        <v>45797</v>
      </c>
      <c r="D3974" t="s">
        <v>6862</v>
      </c>
      <c r="E3974" t="s">
        <v>18</v>
      </c>
      <c r="F3974" t="s">
        <v>25</v>
      </c>
      <c r="G3974" t="s">
        <v>35</v>
      </c>
      <c r="H3974" t="s">
        <v>51</v>
      </c>
      <c r="J3974">
        <v>1</v>
      </c>
      <c r="K3974">
        <v>4502000</v>
      </c>
      <c r="L3974">
        <v>6.93976383511965E-2</v>
      </c>
      <c r="M3974" t="s">
        <v>23</v>
      </c>
      <c r="N3974">
        <v>4190000</v>
      </c>
      <c r="O3974">
        <v>4.2</v>
      </c>
      <c r="P3974" t="b">
        <v>0</v>
      </c>
    </row>
    <row r="3975" spans="1:16" x14ac:dyDescent="0.2">
      <c r="A3975" t="s">
        <v>6863</v>
      </c>
      <c r="B3975" s="1">
        <v>45768</v>
      </c>
      <c r="C3975" s="1">
        <v>45785</v>
      </c>
      <c r="D3975" t="s">
        <v>949</v>
      </c>
      <c r="E3975" t="s">
        <v>33</v>
      </c>
      <c r="F3975" t="s">
        <v>45</v>
      </c>
      <c r="G3975" t="s">
        <v>20</v>
      </c>
      <c r="H3975" t="s">
        <v>21</v>
      </c>
      <c r="I3975" t="s">
        <v>60</v>
      </c>
      <c r="J3975">
        <v>1</v>
      </c>
      <c r="K3975">
        <v>3477000</v>
      </c>
      <c r="L3975" s="2" t="s">
        <v>6864</v>
      </c>
      <c r="M3975" t="s">
        <v>23</v>
      </c>
      <c r="N3975">
        <v>3057000</v>
      </c>
      <c r="O3975">
        <v>4.2</v>
      </c>
      <c r="P3975" t="b">
        <v>1</v>
      </c>
    </row>
    <row r="3976" spans="1:16" x14ac:dyDescent="0.2">
      <c r="A3976" t="s">
        <v>6865</v>
      </c>
      <c r="B3976" s="1">
        <v>45769</v>
      </c>
      <c r="C3976" s="1">
        <v>45810</v>
      </c>
      <c r="D3976" t="s">
        <v>6866</v>
      </c>
      <c r="E3976" t="s">
        <v>18</v>
      </c>
      <c r="F3976" t="s">
        <v>39</v>
      </c>
      <c r="G3976" t="s">
        <v>20</v>
      </c>
      <c r="H3976" t="s">
        <v>21</v>
      </c>
      <c r="I3976" t="s">
        <v>99</v>
      </c>
      <c r="J3976">
        <v>3</v>
      </c>
      <c r="K3976">
        <v>2296000</v>
      </c>
      <c r="L3976" s="2" t="s">
        <v>6867</v>
      </c>
      <c r="M3976" t="s">
        <v>23</v>
      </c>
      <c r="N3976">
        <v>5975000</v>
      </c>
      <c r="O3976">
        <v>4.3</v>
      </c>
      <c r="P3976" t="b">
        <v>0</v>
      </c>
    </row>
    <row r="3977" spans="1:16" x14ac:dyDescent="0.2">
      <c r="A3977" t="s">
        <v>6868</v>
      </c>
      <c r="B3977" s="1">
        <v>45770</v>
      </c>
      <c r="C3977" s="1">
        <v>45804</v>
      </c>
      <c r="D3977" t="s">
        <v>6869</v>
      </c>
      <c r="E3977" t="s">
        <v>18</v>
      </c>
      <c r="F3977" t="s">
        <v>68</v>
      </c>
      <c r="G3977" t="s">
        <v>50</v>
      </c>
      <c r="H3977" t="s">
        <v>47</v>
      </c>
      <c r="I3977" t="s">
        <v>52</v>
      </c>
      <c r="J3977">
        <v>1</v>
      </c>
      <c r="K3977">
        <v>2358000</v>
      </c>
      <c r="L3977">
        <v>7.8993383236512602E-2</v>
      </c>
      <c r="M3977" t="s">
        <v>23</v>
      </c>
      <c r="N3977">
        <v>2172000</v>
      </c>
      <c r="O3977">
        <v>4.4000000000000004</v>
      </c>
      <c r="P3977" t="b">
        <v>0</v>
      </c>
    </row>
    <row r="3978" spans="1:16" x14ac:dyDescent="0.2">
      <c r="A3978" t="s">
        <v>6870</v>
      </c>
      <c r="B3978" s="1">
        <v>45770</v>
      </c>
      <c r="C3978" s="1">
        <v>45847</v>
      </c>
      <c r="D3978" t="s">
        <v>6283</v>
      </c>
      <c r="E3978" t="s">
        <v>29</v>
      </c>
      <c r="F3978" t="s">
        <v>45</v>
      </c>
      <c r="G3978" t="s">
        <v>50</v>
      </c>
      <c r="H3978" t="s">
        <v>47</v>
      </c>
      <c r="I3978" t="s">
        <v>94</v>
      </c>
      <c r="J3978">
        <v>1</v>
      </c>
      <c r="K3978">
        <v>3309000</v>
      </c>
      <c r="L3978">
        <v>9.4867005354261E-2</v>
      </c>
      <c r="M3978" t="s">
        <v>23</v>
      </c>
      <c r="N3978">
        <v>2995000</v>
      </c>
      <c r="O3978">
        <v>4.0999999999999996</v>
      </c>
      <c r="P3978" t="b">
        <v>1</v>
      </c>
    </row>
    <row r="3979" spans="1:16" x14ac:dyDescent="0.2">
      <c r="A3979" t="s">
        <v>6871</v>
      </c>
      <c r="B3979" s="1">
        <v>45771</v>
      </c>
      <c r="C3979" s="1">
        <v>45817</v>
      </c>
      <c r="D3979" t="s">
        <v>6872</v>
      </c>
      <c r="E3979" t="s">
        <v>33</v>
      </c>
      <c r="F3979" t="s">
        <v>25</v>
      </c>
      <c r="G3979" t="s">
        <v>50</v>
      </c>
      <c r="H3979" t="s">
        <v>47</v>
      </c>
      <c r="I3979" t="s">
        <v>77</v>
      </c>
      <c r="J3979">
        <v>4</v>
      </c>
      <c r="K3979">
        <v>5890000</v>
      </c>
      <c r="L3979" s="2" t="s">
        <v>6873</v>
      </c>
      <c r="M3979" t="s">
        <v>23</v>
      </c>
      <c r="N3979">
        <v>20446000</v>
      </c>
      <c r="O3979">
        <v>3.4</v>
      </c>
      <c r="P3979" t="b">
        <v>0</v>
      </c>
    </row>
    <row r="3980" spans="1:16" x14ac:dyDescent="0.2">
      <c r="A3980" t="s">
        <v>6874</v>
      </c>
      <c r="B3980" s="1">
        <v>45771</v>
      </c>
      <c r="C3980" s="1">
        <v>45808</v>
      </c>
      <c r="D3980" t="s">
        <v>3819</v>
      </c>
      <c r="E3980" t="s">
        <v>18</v>
      </c>
      <c r="F3980" t="s">
        <v>68</v>
      </c>
      <c r="G3980" t="s">
        <v>20</v>
      </c>
      <c r="H3980" t="s">
        <v>40</v>
      </c>
      <c r="I3980" t="s">
        <v>1654</v>
      </c>
      <c r="J3980">
        <v>2</v>
      </c>
      <c r="K3980">
        <v>3045000</v>
      </c>
      <c r="L3980">
        <v>6.8052910092090996E-2</v>
      </c>
      <c r="M3980" t="s">
        <v>23</v>
      </c>
      <c r="N3980">
        <v>5676000</v>
      </c>
      <c r="O3980">
        <v>4.4000000000000004</v>
      </c>
      <c r="P3980" t="b">
        <v>1</v>
      </c>
    </row>
    <row r="3981" spans="1:16" x14ac:dyDescent="0.2">
      <c r="A3981" t="s">
        <v>6875</v>
      </c>
      <c r="B3981" s="1">
        <v>45772</v>
      </c>
      <c r="C3981" s="1">
        <v>45840</v>
      </c>
      <c r="D3981" t="s">
        <v>128</v>
      </c>
      <c r="E3981" t="s">
        <v>45</v>
      </c>
      <c r="F3981" t="s">
        <v>34</v>
      </c>
      <c r="G3981" t="s">
        <v>20</v>
      </c>
      <c r="H3981" t="s">
        <v>21</v>
      </c>
      <c r="I3981" t="s">
        <v>52</v>
      </c>
      <c r="J3981">
        <v>2</v>
      </c>
      <c r="K3981">
        <v>3118000</v>
      </c>
      <c r="L3981" s="2" t="s">
        <v>6876</v>
      </c>
      <c r="M3981" t="s">
        <v>23</v>
      </c>
      <c r="N3981">
        <v>5460000</v>
      </c>
      <c r="O3981">
        <v>4.2</v>
      </c>
      <c r="P3981" t="b">
        <v>1</v>
      </c>
    </row>
    <row r="3982" spans="1:16" x14ac:dyDescent="0.2">
      <c r="A3982" t="s">
        <v>6877</v>
      </c>
      <c r="B3982" s="1">
        <v>45772</v>
      </c>
      <c r="C3982" s="1">
        <v>45815</v>
      </c>
      <c r="D3982" t="s">
        <v>6878</v>
      </c>
      <c r="E3982" t="s">
        <v>33</v>
      </c>
      <c r="F3982" t="s">
        <v>25</v>
      </c>
      <c r="G3982" t="s">
        <v>50</v>
      </c>
      <c r="H3982" t="s">
        <v>40</v>
      </c>
      <c r="I3982" t="s">
        <v>57</v>
      </c>
      <c r="J3982">
        <v>1</v>
      </c>
      <c r="K3982">
        <v>5180000</v>
      </c>
      <c r="L3982" s="2" t="s">
        <v>6879</v>
      </c>
      <c r="M3982" t="s">
        <v>23</v>
      </c>
      <c r="N3982">
        <v>4621000</v>
      </c>
      <c r="O3982">
        <v>4.5999999999999996</v>
      </c>
      <c r="P3982" t="b">
        <v>0</v>
      </c>
    </row>
    <row r="3983" spans="1:16" x14ac:dyDescent="0.2">
      <c r="A3983" t="s">
        <v>6880</v>
      </c>
      <c r="B3983" s="1">
        <v>45773</v>
      </c>
      <c r="C3983" s="1">
        <v>45841</v>
      </c>
      <c r="D3983" t="s">
        <v>1024</v>
      </c>
      <c r="E3983" t="s">
        <v>18</v>
      </c>
      <c r="F3983" t="s">
        <v>19</v>
      </c>
      <c r="G3983" t="s">
        <v>35</v>
      </c>
      <c r="H3983" t="s">
        <v>47</v>
      </c>
      <c r="I3983" t="s">
        <v>26</v>
      </c>
      <c r="J3983">
        <v>2</v>
      </c>
      <c r="K3983">
        <v>2680000</v>
      </c>
      <c r="L3983" s="2" t="s">
        <v>6881</v>
      </c>
      <c r="M3983" t="s">
        <v>23</v>
      </c>
      <c r="N3983">
        <v>4764000</v>
      </c>
      <c r="O3983">
        <v>3.7</v>
      </c>
      <c r="P3983" t="b">
        <v>1</v>
      </c>
    </row>
    <row r="3984" spans="1:16" x14ac:dyDescent="0.2">
      <c r="A3984" t="s">
        <v>6882</v>
      </c>
      <c r="B3984" s="1">
        <v>45773</v>
      </c>
      <c r="C3984" s="1">
        <v>45842</v>
      </c>
      <c r="D3984" t="s">
        <v>2089</v>
      </c>
      <c r="E3984" t="s">
        <v>45</v>
      </c>
      <c r="F3984" t="s">
        <v>19</v>
      </c>
      <c r="G3984" t="s">
        <v>20</v>
      </c>
      <c r="H3984" t="s">
        <v>40</v>
      </c>
      <c r="I3984" t="s">
        <v>60</v>
      </c>
      <c r="J3984">
        <v>4</v>
      </c>
      <c r="K3984">
        <v>3071000</v>
      </c>
      <c r="L3984" s="2" t="s">
        <v>6883</v>
      </c>
      <c r="M3984" t="s">
        <v>23</v>
      </c>
      <c r="N3984">
        <v>10809000</v>
      </c>
      <c r="O3984">
        <v>3.7</v>
      </c>
      <c r="P3984" t="b">
        <v>1</v>
      </c>
    </row>
    <row r="3985" spans="1:16" x14ac:dyDescent="0.2">
      <c r="A3985" t="s">
        <v>6884</v>
      </c>
      <c r="B3985" s="1">
        <v>45774</v>
      </c>
      <c r="C3985" s="1">
        <v>45813</v>
      </c>
      <c r="D3985" t="s">
        <v>971</v>
      </c>
      <c r="E3985" t="s">
        <v>45</v>
      </c>
      <c r="F3985" t="s">
        <v>34</v>
      </c>
      <c r="G3985" t="s">
        <v>35</v>
      </c>
      <c r="H3985" t="s">
        <v>21</v>
      </c>
      <c r="I3985" t="s">
        <v>99</v>
      </c>
      <c r="J3985">
        <v>3</v>
      </c>
      <c r="K3985">
        <v>4110000</v>
      </c>
      <c r="L3985">
        <v>7.8646982869273699E-2</v>
      </c>
      <c r="M3985" t="s">
        <v>23</v>
      </c>
      <c r="N3985">
        <v>11360000</v>
      </c>
      <c r="O3985">
        <v>3.3</v>
      </c>
      <c r="P3985" t="b">
        <v>1</v>
      </c>
    </row>
    <row r="3986" spans="1:16" x14ac:dyDescent="0.2">
      <c r="A3986" t="s">
        <v>6885</v>
      </c>
      <c r="B3986" s="1">
        <v>45774</v>
      </c>
      <c r="C3986" s="1">
        <v>45827</v>
      </c>
      <c r="D3986" t="s">
        <v>6886</v>
      </c>
      <c r="E3986" t="s">
        <v>45</v>
      </c>
      <c r="F3986" t="s">
        <v>34</v>
      </c>
      <c r="G3986" t="s">
        <v>20</v>
      </c>
      <c r="H3986" t="s">
        <v>21</v>
      </c>
      <c r="I3986" t="s">
        <v>57</v>
      </c>
      <c r="J3986">
        <v>3</v>
      </c>
      <c r="K3986">
        <v>4430000</v>
      </c>
      <c r="L3986" s="2" t="s">
        <v>6887</v>
      </c>
      <c r="M3986" t="s">
        <v>23</v>
      </c>
      <c r="N3986">
        <v>11088000</v>
      </c>
      <c r="O3986">
        <v>3.4</v>
      </c>
      <c r="P3986" t="b">
        <v>0</v>
      </c>
    </row>
    <row r="3987" spans="1:16" x14ac:dyDescent="0.2">
      <c r="A3987" t="s">
        <v>6888</v>
      </c>
      <c r="B3987" s="1">
        <v>45775</v>
      </c>
      <c r="C3987" s="1">
        <v>45815</v>
      </c>
      <c r="D3987" t="s">
        <v>2521</v>
      </c>
      <c r="F3987" t="s">
        <v>34</v>
      </c>
      <c r="G3987" t="s">
        <v>50</v>
      </c>
      <c r="H3987" t="s">
        <v>47</v>
      </c>
      <c r="I3987" t="s">
        <v>77</v>
      </c>
      <c r="J3987">
        <v>1</v>
      </c>
      <c r="K3987">
        <v>4275000</v>
      </c>
      <c r="L3987" s="2" t="s">
        <v>6889</v>
      </c>
      <c r="M3987" t="s">
        <v>23</v>
      </c>
      <c r="N3987">
        <v>3551000</v>
      </c>
      <c r="O3987">
        <v>4</v>
      </c>
      <c r="P3987" t="b">
        <v>1</v>
      </c>
    </row>
    <row r="3988" spans="1:16" x14ac:dyDescent="0.2">
      <c r="A3988" t="s">
        <v>6890</v>
      </c>
      <c r="B3988" s="1">
        <v>45776</v>
      </c>
      <c r="C3988" s="1">
        <v>45846</v>
      </c>
      <c r="D3988" t="s">
        <v>6891</v>
      </c>
      <c r="E3988" t="s">
        <v>45</v>
      </c>
      <c r="F3988" t="s">
        <v>34</v>
      </c>
      <c r="G3988" t="s">
        <v>35</v>
      </c>
      <c r="H3988" t="s">
        <v>21</v>
      </c>
      <c r="I3988" t="s">
        <v>83</v>
      </c>
      <c r="J3988">
        <v>1</v>
      </c>
      <c r="K3988">
        <v>4245000</v>
      </c>
      <c r="L3988">
        <v>4.1832528218987197E-2</v>
      </c>
      <c r="M3988" t="s">
        <v>23</v>
      </c>
      <c r="N3988">
        <v>4067000</v>
      </c>
      <c r="O3988">
        <v>4.2</v>
      </c>
      <c r="P3988" t="b">
        <v>0</v>
      </c>
    </row>
    <row r="3989" spans="1:16" x14ac:dyDescent="0.2">
      <c r="A3989" t="s">
        <v>6892</v>
      </c>
      <c r="B3989" s="1">
        <v>45776</v>
      </c>
      <c r="C3989" s="1">
        <v>45838</v>
      </c>
      <c r="D3989" t="s">
        <v>3742</v>
      </c>
      <c r="E3989" t="s">
        <v>18</v>
      </c>
      <c r="F3989" t="s">
        <v>45</v>
      </c>
      <c r="G3989" t="s">
        <v>35</v>
      </c>
      <c r="H3989" t="s">
        <v>40</v>
      </c>
      <c r="I3989" t="s">
        <v>99</v>
      </c>
      <c r="J3989">
        <v>2</v>
      </c>
      <c r="K3989">
        <v>3213000</v>
      </c>
      <c r="L3989">
        <v>7.8808902927923905E-2</v>
      </c>
      <c r="M3989" t="s">
        <v>1882</v>
      </c>
      <c r="N3989">
        <v>5920000</v>
      </c>
      <c r="O3989">
        <v>3.4</v>
      </c>
      <c r="P3989" t="b">
        <v>1</v>
      </c>
    </row>
    <row r="3990" spans="1:16" x14ac:dyDescent="0.2">
      <c r="A3990" t="s">
        <v>6893</v>
      </c>
      <c r="B3990" s="1">
        <v>45777</v>
      </c>
      <c r="C3990" s="1">
        <v>45809</v>
      </c>
      <c r="D3990" t="s">
        <v>4170</v>
      </c>
      <c r="E3990" t="s">
        <v>45</v>
      </c>
      <c r="F3990" t="s">
        <v>45</v>
      </c>
      <c r="G3990" t="s">
        <v>20</v>
      </c>
      <c r="H3990" t="s">
        <v>40</v>
      </c>
      <c r="I3990" t="s">
        <v>30</v>
      </c>
      <c r="J3990">
        <v>5</v>
      </c>
      <c r="K3990">
        <v>3240000</v>
      </c>
      <c r="L3990" s="2" t="s">
        <v>6894</v>
      </c>
      <c r="M3990" t="s">
        <v>23</v>
      </c>
      <c r="N3990">
        <v>14135000</v>
      </c>
      <c r="O3990">
        <v>4.9000000000000004</v>
      </c>
      <c r="P3990" t="b">
        <v>1</v>
      </c>
    </row>
    <row r="3991" spans="1:16" x14ac:dyDescent="0.2">
      <c r="A3991" t="s">
        <v>6895</v>
      </c>
      <c r="B3991" s="1">
        <v>45777</v>
      </c>
      <c r="C3991" s="1">
        <v>45819</v>
      </c>
      <c r="D3991" t="s">
        <v>356</v>
      </c>
      <c r="E3991" t="s">
        <v>18</v>
      </c>
      <c r="F3991" t="s">
        <v>34</v>
      </c>
      <c r="G3991" t="s">
        <v>50</v>
      </c>
      <c r="J3991">
        <v>1</v>
      </c>
      <c r="K3991">
        <v>4399000</v>
      </c>
      <c r="L3991">
        <v>9.3251095055811098E-2</v>
      </c>
      <c r="M3991" t="s">
        <v>23</v>
      </c>
      <c r="N3991">
        <v>3989000</v>
      </c>
      <c r="O3991">
        <v>3.6</v>
      </c>
      <c r="P3991" t="b">
        <v>1</v>
      </c>
    </row>
    <row r="3992" spans="1:16" x14ac:dyDescent="0.2">
      <c r="A3992" t="s">
        <v>6896</v>
      </c>
      <c r="B3992" s="1">
        <v>45777</v>
      </c>
      <c r="C3992" s="1">
        <v>45862</v>
      </c>
      <c r="D3992" t="s">
        <v>6897</v>
      </c>
      <c r="E3992" t="s">
        <v>18</v>
      </c>
      <c r="F3992" t="s">
        <v>34</v>
      </c>
      <c r="G3992" t="s">
        <v>50</v>
      </c>
      <c r="H3992" t="s">
        <v>21</v>
      </c>
      <c r="I3992" t="s">
        <v>22</v>
      </c>
      <c r="J3992">
        <v>4</v>
      </c>
      <c r="K3992">
        <v>3536000</v>
      </c>
      <c r="L3992" s="2" t="s">
        <v>6898</v>
      </c>
      <c r="M3992" t="s">
        <v>23</v>
      </c>
      <c r="N3992">
        <v>12049000</v>
      </c>
      <c r="O3992">
        <v>3.6</v>
      </c>
      <c r="P3992" t="b">
        <v>0</v>
      </c>
    </row>
    <row r="3993" spans="1:16" x14ac:dyDescent="0.2">
      <c r="A3993" t="s">
        <v>6899</v>
      </c>
      <c r="B3993" s="1">
        <v>45777</v>
      </c>
      <c r="C3993" s="1">
        <v>45796</v>
      </c>
      <c r="D3993" t="s">
        <v>6900</v>
      </c>
      <c r="E3993" t="s">
        <v>18</v>
      </c>
      <c r="F3993" t="s">
        <v>34</v>
      </c>
      <c r="G3993" t="s">
        <v>20</v>
      </c>
      <c r="H3993" t="s">
        <v>21</v>
      </c>
      <c r="I3993" t="s">
        <v>26</v>
      </c>
      <c r="J3993">
        <v>2</v>
      </c>
      <c r="K3993">
        <v>3937000</v>
      </c>
      <c r="L3993" s="2" t="s">
        <v>6901</v>
      </c>
      <c r="M3993" t="s">
        <v>23</v>
      </c>
      <c r="N3993">
        <v>6880000</v>
      </c>
      <c r="O3993">
        <v>3.5</v>
      </c>
      <c r="P3993" t="b">
        <v>0</v>
      </c>
    </row>
    <row r="3994" spans="1:16" x14ac:dyDescent="0.2">
      <c r="A3994" t="s">
        <v>6902</v>
      </c>
      <c r="B3994" s="1">
        <v>45778</v>
      </c>
      <c r="C3994" s="1">
        <v>45788</v>
      </c>
      <c r="D3994" t="s">
        <v>6903</v>
      </c>
      <c r="E3994" t="s">
        <v>45</v>
      </c>
      <c r="F3994" t="s">
        <v>25</v>
      </c>
      <c r="G3994" t="s">
        <v>20</v>
      </c>
      <c r="H3994" t="s">
        <v>21</v>
      </c>
      <c r="I3994" t="s">
        <v>99</v>
      </c>
      <c r="J3994">
        <v>1</v>
      </c>
      <c r="K3994">
        <v>4673000</v>
      </c>
      <c r="L3994" s="2" t="s">
        <v>6904</v>
      </c>
      <c r="M3994" t="s">
        <v>23</v>
      </c>
      <c r="N3994">
        <v>4181000</v>
      </c>
      <c r="O3994">
        <v>4.5</v>
      </c>
      <c r="P3994" t="b">
        <v>0</v>
      </c>
    </row>
    <row r="3995" spans="1:16" x14ac:dyDescent="0.2">
      <c r="A3995" t="s">
        <v>6905</v>
      </c>
      <c r="B3995" s="1">
        <v>45778</v>
      </c>
      <c r="C3995" s="1">
        <v>45814</v>
      </c>
      <c r="D3995" t="s">
        <v>5527</v>
      </c>
      <c r="E3995" t="s">
        <v>45</v>
      </c>
      <c r="F3995" t="s">
        <v>34</v>
      </c>
      <c r="G3995" t="s">
        <v>50</v>
      </c>
      <c r="H3995" t="s">
        <v>51</v>
      </c>
      <c r="I3995" t="s">
        <v>83</v>
      </c>
      <c r="J3995">
        <v>1</v>
      </c>
      <c r="K3995">
        <v>4391000</v>
      </c>
      <c r="L3995">
        <v>9.0746446931455393E-2</v>
      </c>
      <c r="M3995" t="s">
        <v>23</v>
      </c>
      <c r="N3995">
        <v>3993000</v>
      </c>
      <c r="O3995">
        <v>4.3</v>
      </c>
      <c r="P3995" t="b">
        <v>1</v>
      </c>
    </row>
    <row r="3996" spans="1:16" x14ac:dyDescent="0.2">
      <c r="A3996" t="s">
        <v>6906</v>
      </c>
      <c r="B3996" s="1">
        <v>45778</v>
      </c>
      <c r="C3996" s="1">
        <v>45841</v>
      </c>
      <c r="D3996" t="s">
        <v>271</v>
      </c>
      <c r="E3996" t="s">
        <v>33</v>
      </c>
      <c r="F3996" t="s">
        <v>68</v>
      </c>
      <c r="G3996" t="s">
        <v>50</v>
      </c>
      <c r="H3996" t="s">
        <v>51</v>
      </c>
      <c r="I3996" t="s">
        <v>30</v>
      </c>
      <c r="J3996">
        <v>2</v>
      </c>
      <c r="K3996">
        <v>2668000</v>
      </c>
      <c r="L3996" s="2" t="s">
        <v>6907</v>
      </c>
      <c r="M3996" t="s">
        <v>23</v>
      </c>
      <c r="N3996">
        <v>4661000</v>
      </c>
      <c r="O3996">
        <v>4.8</v>
      </c>
      <c r="P3996" t="b">
        <v>1</v>
      </c>
    </row>
    <row r="3997" spans="1:16" x14ac:dyDescent="0.2">
      <c r="A3997" t="s">
        <v>6908</v>
      </c>
      <c r="B3997" s="1">
        <v>45778</v>
      </c>
      <c r="C3997" s="1">
        <v>45834</v>
      </c>
      <c r="D3997" t="s">
        <v>5081</v>
      </c>
      <c r="E3997" t="s">
        <v>18</v>
      </c>
      <c r="F3997" t="s">
        <v>19</v>
      </c>
      <c r="G3997" t="s">
        <v>20</v>
      </c>
      <c r="H3997" t="s">
        <v>21</v>
      </c>
      <c r="I3997" t="s">
        <v>26</v>
      </c>
      <c r="J3997">
        <v>1</v>
      </c>
      <c r="K3997">
        <v>2504000</v>
      </c>
      <c r="L3997" s="2" t="s">
        <v>6909</v>
      </c>
      <c r="M3997" t="s">
        <v>23</v>
      </c>
      <c r="N3997">
        <v>2198000</v>
      </c>
      <c r="O3997">
        <v>4.2</v>
      </c>
      <c r="P3997" t="b">
        <v>1</v>
      </c>
    </row>
    <row r="3998" spans="1:16" x14ac:dyDescent="0.2">
      <c r="A3998" t="s">
        <v>6910</v>
      </c>
      <c r="B3998" s="1">
        <v>45778</v>
      </c>
      <c r="C3998" s="1">
        <v>45833</v>
      </c>
      <c r="D3998" t="s">
        <v>6911</v>
      </c>
      <c r="E3998" t="s">
        <v>29</v>
      </c>
      <c r="F3998" t="s">
        <v>34</v>
      </c>
      <c r="G3998" t="s">
        <v>20</v>
      </c>
      <c r="H3998" t="s">
        <v>51</v>
      </c>
      <c r="I3998" t="s">
        <v>60</v>
      </c>
      <c r="J3998">
        <v>3</v>
      </c>
      <c r="K3998">
        <v>4535000</v>
      </c>
      <c r="L3998">
        <v>8.0858305243680095E-2</v>
      </c>
      <c r="M3998" t="s">
        <v>23</v>
      </c>
      <c r="N3998">
        <v>12505000</v>
      </c>
      <c r="O3998">
        <v>4.5</v>
      </c>
      <c r="P3998" t="b">
        <v>0</v>
      </c>
    </row>
    <row r="3999" spans="1:16" x14ac:dyDescent="0.2">
      <c r="A3999" t="s">
        <v>6912</v>
      </c>
      <c r="B3999" s="1">
        <v>45779</v>
      </c>
      <c r="C3999" s="1">
        <v>45810</v>
      </c>
      <c r="D3999" t="s">
        <v>750</v>
      </c>
      <c r="E3999" t="s">
        <v>18</v>
      </c>
      <c r="F3999" t="s">
        <v>25</v>
      </c>
      <c r="G3999" t="s">
        <v>20</v>
      </c>
      <c r="H3999" t="s">
        <v>21</v>
      </c>
      <c r="I3999" t="s">
        <v>60</v>
      </c>
      <c r="J3999">
        <v>2</v>
      </c>
      <c r="K3999">
        <v>5889000</v>
      </c>
      <c r="L3999" s="2" t="s">
        <v>6913</v>
      </c>
      <c r="M3999" t="s">
        <v>23</v>
      </c>
      <c r="N3999">
        <v>10394000</v>
      </c>
      <c r="O3999">
        <v>4.8</v>
      </c>
      <c r="P3999" t="b">
        <v>1</v>
      </c>
    </row>
    <row r="4000" spans="1:16" x14ac:dyDescent="0.2">
      <c r="A4000" t="s">
        <v>6914</v>
      </c>
      <c r="B4000" s="1">
        <v>45780</v>
      </c>
      <c r="C4000" s="1">
        <v>45790</v>
      </c>
      <c r="D4000" t="s">
        <v>3983</v>
      </c>
      <c r="E4000" t="s">
        <v>45</v>
      </c>
      <c r="F4000" t="s">
        <v>19</v>
      </c>
      <c r="G4000" t="s">
        <v>50</v>
      </c>
      <c r="H4000" t="s">
        <v>40</v>
      </c>
      <c r="I4000" t="s">
        <v>94</v>
      </c>
      <c r="J4000">
        <v>1</v>
      </c>
      <c r="K4000">
        <v>2617000</v>
      </c>
      <c r="L4000" s="2" t="s">
        <v>6915</v>
      </c>
      <c r="M4000" t="s">
        <v>23</v>
      </c>
      <c r="N4000">
        <v>2352000</v>
      </c>
      <c r="O4000">
        <v>4.0999999999999996</v>
      </c>
      <c r="P4000" t="b">
        <v>1</v>
      </c>
    </row>
    <row r="4001" spans="1:16" x14ac:dyDescent="0.2">
      <c r="A4001" t="s">
        <v>6916</v>
      </c>
      <c r="B4001" s="1">
        <v>45780</v>
      </c>
      <c r="C4001" s="1">
        <v>45831</v>
      </c>
      <c r="D4001" t="s">
        <v>3643</v>
      </c>
      <c r="E4001" t="s">
        <v>18</v>
      </c>
      <c r="F4001" t="s">
        <v>68</v>
      </c>
      <c r="G4001" t="s">
        <v>20</v>
      </c>
      <c r="H4001" t="s">
        <v>21</v>
      </c>
      <c r="I4001" t="s">
        <v>22</v>
      </c>
      <c r="J4001">
        <v>1</v>
      </c>
      <c r="K4001">
        <v>3049000</v>
      </c>
      <c r="L4001">
        <v>7.2130931257274794E-2</v>
      </c>
      <c r="M4001" t="s">
        <v>23</v>
      </c>
      <c r="N4001">
        <v>2829000</v>
      </c>
      <c r="O4001">
        <v>4.5</v>
      </c>
      <c r="P4001" t="b">
        <v>1</v>
      </c>
    </row>
    <row r="4002" spans="1:16" x14ac:dyDescent="0.2">
      <c r="A4002" t="s">
        <v>6917</v>
      </c>
      <c r="B4002" s="1">
        <v>45780</v>
      </c>
      <c r="C4002" s="1">
        <v>45840</v>
      </c>
      <c r="D4002" t="s">
        <v>6862</v>
      </c>
      <c r="E4002" t="s">
        <v>29</v>
      </c>
      <c r="F4002" t="s">
        <v>45</v>
      </c>
      <c r="G4002" t="s">
        <v>20</v>
      </c>
      <c r="H4002" t="s">
        <v>51</v>
      </c>
      <c r="I4002" t="s">
        <v>77</v>
      </c>
      <c r="J4002">
        <v>4</v>
      </c>
      <c r="K4002">
        <v>3960000</v>
      </c>
      <c r="L4002">
        <v>7.5378263264899201E-2</v>
      </c>
      <c r="M4002" t="s">
        <v>23</v>
      </c>
      <c r="N4002">
        <v>14646000</v>
      </c>
      <c r="O4002">
        <v>4.5999999999999996</v>
      </c>
      <c r="P4002" t="b">
        <v>1</v>
      </c>
    </row>
    <row r="4003" spans="1:16" x14ac:dyDescent="0.2">
      <c r="A4003" t="s">
        <v>6918</v>
      </c>
      <c r="B4003" s="1">
        <v>45780</v>
      </c>
      <c r="C4003" s="1">
        <v>45816</v>
      </c>
      <c r="D4003" t="s">
        <v>6219</v>
      </c>
      <c r="E4003" t="s">
        <v>18</v>
      </c>
      <c r="F4003" t="s">
        <v>39</v>
      </c>
      <c r="G4003" t="s">
        <v>20</v>
      </c>
      <c r="H4003" t="s">
        <v>47</v>
      </c>
      <c r="I4003" t="s">
        <v>99</v>
      </c>
      <c r="J4003">
        <v>2</v>
      </c>
      <c r="K4003">
        <v>2308000</v>
      </c>
      <c r="L4003">
        <v>6.7893078676701302E-2</v>
      </c>
      <c r="M4003" t="s">
        <v>23</v>
      </c>
      <c r="N4003">
        <v>4303000</v>
      </c>
      <c r="O4003">
        <v>4.5</v>
      </c>
      <c r="P4003" t="b">
        <v>1</v>
      </c>
    </row>
    <row r="4004" spans="1:16" x14ac:dyDescent="0.2">
      <c r="A4004" t="s">
        <v>6919</v>
      </c>
      <c r="B4004" s="1">
        <v>45780</v>
      </c>
      <c r="C4004" s="1">
        <v>45797</v>
      </c>
      <c r="D4004" t="s">
        <v>1068</v>
      </c>
      <c r="E4004" t="s">
        <v>33</v>
      </c>
      <c r="F4004" t="s">
        <v>34</v>
      </c>
      <c r="G4004" t="s">
        <v>20</v>
      </c>
      <c r="H4004" t="s">
        <v>47</v>
      </c>
      <c r="I4004" t="s">
        <v>83</v>
      </c>
      <c r="J4004">
        <v>1</v>
      </c>
      <c r="K4004">
        <v>3947000</v>
      </c>
      <c r="L4004" s="2" t="s">
        <v>6920</v>
      </c>
      <c r="M4004" t="s">
        <v>23</v>
      </c>
      <c r="N4004">
        <v>3496000</v>
      </c>
      <c r="O4004">
        <v>4.4000000000000004</v>
      </c>
      <c r="P4004" t="b">
        <v>1</v>
      </c>
    </row>
    <row r="4005" spans="1:16" x14ac:dyDescent="0.2">
      <c r="A4005" t="s">
        <v>6921</v>
      </c>
      <c r="B4005" s="1">
        <v>45781</v>
      </c>
      <c r="C4005" s="1">
        <v>45823</v>
      </c>
      <c r="D4005" t="s">
        <v>524</v>
      </c>
      <c r="E4005" t="s">
        <v>18</v>
      </c>
      <c r="F4005" t="s">
        <v>19</v>
      </c>
      <c r="G4005" t="s">
        <v>50</v>
      </c>
      <c r="H4005" t="s">
        <v>40</v>
      </c>
      <c r="I4005" t="s">
        <v>30</v>
      </c>
      <c r="J4005">
        <v>4</v>
      </c>
      <c r="K4005">
        <v>2305000</v>
      </c>
      <c r="L4005" s="2" t="s">
        <v>6922</v>
      </c>
      <c r="M4005" t="s">
        <v>23</v>
      </c>
      <c r="N4005">
        <v>8298000</v>
      </c>
      <c r="O4005">
        <v>4.2</v>
      </c>
      <c r="P4005" t="b">
        <v>1</v>
      </c>
    </row>
    <row r="4006" spans="1:16" x14ac:dyDescent="0.2">
      <c r="A4006" t="s">
        <v>6923</v>
      </c>
      <c r="B4006" s="1">
        <v>45781</v>
      </c>
      <c r="C4006" s="1">
        <v>45888</v>
      </c>
      <c r="D4006" t="s">
        <v>6924</v>
      </c>
      <c r="E4006" t="s">
        <v>45</v>
      </c>
      <c r="F4006" t="s">
        <v>39</v>
      </c>
      <c r="G4006" t="s">
        <v>20</v>
      </c>
      <c r="H4006" t="s">
        <v>21</v>
      </c>
      <c r="I4006" t="s">
        <v>83</v>
      </c>
      <c r="J4006">
        <v>3</v>
      </c>
      <c r="K4006">
        <v>1457000</v>
      </c>
      <c r="L4006" s="2" t="s">
        <v>6925</v>
      </c>
      <c r="M4006" t="s">
        <v>23</v>
      </c>
      <c r="N4006">
        <v>3856000</v>
      </c>
      <c r="O4006">
        <v>5</v>
      </c>
      <c r="P4006" t="b">
        <v>0</v>
      </c>
    </row>
    <row r="4007" spans="1:16" x14ac:dyDescent="0.2">
      <c r="A4007" t="s">
        <v>6926</v>
      </c>
      <c r="B4007" s="1">
        <v>45781</v>
      </c>
      <c r="C4007" s="1">
        <v>45818</v>
      </c>
      <c r="D4007" t="s">
        <v>2060</v>
      </c>
      <c r="E4007" t="s">
        <v>29</v>
      </c>
      <c r="F4007" t="s">
        <v>25</v>
      </c>
      <c r="G4007" t="s">
        <v>35</v>
      </c>
      <c r="H4007" t="s">
        <v>21</v>
      </c>
      <c r="I4007" t="s">
        <v>57</v>
      </c>
      <c r="J4007">
        <v>4</v>
      </c>
      <c r="K4007">
        <v>5178000</v>
      </c>
      <c r="L4007" s="2" t="s">
        <v>6927</v>
      </c>
      <c r="M4007" t="s">
        <v>23</v>
      </c>
      <c r="N4007">
        <v>17754000</v>
      </c>
      <c r="O4007">
        <v>3.8</v>
      </c>
      <c r="P4007" t="b">
        <v>1</v>
      </c>
    </row>
    <row r="4008" spans="1:16" x14ac:dyDescent="0.2">
      <c r="A4008" t="s">
        <v>6928</v>
      </c>
      <c r="B4008" s="1">
        <v>45781</v>
      </c>
      <c r="C4008" s="1">
        <v>45838</v>
      </c>
      <c r="D4008" t="s">
        <v>6929</v>
      </c>
      <c r="E4008" t="s">
        <v>45</v>
      </c>
      <c r="F4008" t="s">
        <v>34</v>
      </c>
      <c r="G4008" t="s">
        <v>35</v>
      </c>
      <c r="H4008" t="s">
        <v>47</v>
      </c>
      <c r="I4008" t="s">
        <v>83</v>
      </c>
      <c r="J4008">
        <v>3</v>
      </c>
      <c r="K4008">
        <v>4553000</v>
      </c>
      <c r="L4008">
        <v>8.61427569895446E-2</v>
      </c>
      <c r="M4008" t="s">
        <v>23</v>
      </c>
      <c r="N4008">
        <v>12482000</v>
      </c>
      <c r="O4008">
        <v>4.4000000000000004</v>
      </c>
      <c r="P4008" t="b">
        <v>0</v>
      </c>
    </row>
    <row r="4009" spans="1:16" x14ac:dyDescent="0.2">
      <c r="A4009" t="s">
        <v>6930</v>
      </c>
      <c r="B4009" s="1">
        <v>45752</v>
      </c>
      <c r="C4009" s="1">
        <v>45805</v>
      </c>
      <c r="D4009" t="s">
        <v>4627</v>
      </c>
      <c r="E4009" t="s">
        <v>45</v>
      </c>
      <c r="F4009" t="s">
        <v>39</v>
      </c>
      <c r="G4009" t="s">
        <v>20</v>
      </c>
      <c r="H4009" t="s">
        <v>47</v>
      </c>
      <c r="I4009" t="s">
        <v>26</v>
      </c>
      <c r="J4009">
        <v>2</v>
      </c>
      <c r="K4009">
        <v>2126000</v>
      </c>
      <c r="L4009" s="2" t="s">
        <v>6931</v>
      </c>
      <c r="M4009" t="s">
        <v>23</v>
      </c>
      <c r="N4009">
        <v>3648000</v>
      </c>
      <c r="O4009">
        <v>3.9</v>
      </c>
      <c r="P4009" t="b">
        <v>1</v>
      </c>
    </row>
    <row r="4010" spans="1:16" x14ac:dyDescent="0.2">
      <c r="A4010" t="s">
        <v>6932</v>
      </c>
      <c r="B4010" s="1">
        <v>45781</v>
      </c>
      <c r="C4010" s="1">
        <v>45837</v>
      </c>
      <c r="D4010" t="s">
        <v>6933</v>
      </c>
      <c r="E4010" t="s">
        <v>29</v>
      </c>
      <c r="F4010" t="s">
        <v>19</v>
      </c>
      <c r="G4010" t="s">
        <v>20</v>
      </c>
      <c r="H4010" t="s">
        <v>40</v>
      </c>
      <c r="I4010" t="s">
        <v>52</v>
      </c>
      <c r="J4010">
        <v>4</v>
      </c>
      <c r="K4010">
        <v>2631000</v>
      </c>
      <c r="L4010">
        <v>0.14241932513839001</v>
      </c>
      <c r="M4010" t="s">
        <v>65</v>
      </c>
      <c r="N4010">
        <v>0</v>
      </c>
      <c r="P4010" t="b">
        <v>0</v>
      </c>
    </row>
    <row r="4011" spans="1:16" x14ac:dyDescent="0.2">
      <c r="A4011" t="s">
        <v>6934</v>
      </c>
      <c r="B4011" s="1">
        <v>45782</v>
      </c>
      <c r="C4011" s="1">
        <v>45805</v>
      </c>
      <c r="D4011" t="s">
        <v>4543</v>
      </c>
      <c r="E4011" t="s">
        <v>45</v>
      </c>
      <c r="F4011" t="s">
        <v>39</v>
      </c>
      <c r="G4011" t="s">
        <v>20</v>
      </c>
      <c r="H4011" t="s">
        <v>21</v>
      </c>
      <c r="I4011" t="s">
        <v>57</v>
      </c>
      <c r="J4011">
        <v>1</v>
      </c>
      <c r="K4011">
        <v>2269000</v>
      </c>
      <c r="L4011">
        <v>5.77650214964327E-2</v>
      </c>
      <c r="M4011" t="s">
        <v>23</v>
      </c>
      <c r="N4011">
        <v>2138000</v>
      </c>
      <c r="O4011">
        <v>4.9000000000000004</v>
      </c>
      <c r="P4011" t="b">
        <v>1</v>
      </c>
    </row>
    <row r="4012" spans="1:16" x14ac:dyDescent="0.2">
      <c r="A4012" t="s">
        <v>6935</v>
      </c>
      <c r="B4012" s="1">
        <v>45782</v>
      </c>
      <c r="C4012" s="1">
        <v>45808</v>
      </c>
      <c r="D4012" t="s">
        <v>126</v>
      </c>
      <c r="E4012" t="s">
        <v>45</v>
      </c>
      <c r="F4012" t="s">
        <v>25</v>
      </c>
      <c r="G4012" t="s">
        <v>35</v>
      </c>
      <c r="H4012" t="s">
        <v>47</v>
      </c>
      <c r="I4012" t="s">
        <v>99</v>
      </c>
      <c r="J4012">
        <v>2</v>
      </c>
      <c r="K4012">
        <v>4751000</v>
      </c>
      <c r="L4012">
        <v>7.1940928623587599E-2</v>
      </c>
      <c r="M4012" t="s">
        <v>23</v>
      </c>
      <c r="N4012">
        <v>8818000</v>
      </c>
      <c r="O4012">
        <v>3.7</v>
      </c>
      <c r="P4012" t="b">
        <v>1</v>
      </c>
    </row>
    <row r="4013" spans="1:16" x14ac:dyDescent="0.2">
      <c r="A4013" t="s">
        <v>6936</v>
      </c>
      <c r="B4013" s="1">
        <v>45782</v>
      </c>
      <c r="C4013" s="1">
        <v>45804</v>
      </c>
      <c r="D4013" t="s">
        <v>838</v>
      </c>
      <c r="E4013" t="s">
        <v>45</v>
      </c>
      <c r="F4013" t="s">
        <v>34</v>
      </c>
      <c r="G4013" t="s">
        <v>20</v>
      </c>
      <c r="H4013" t="s">
        <v>21</v>
      </c>
      <c r="I4013" t="s">
        <v>22</v>
      </c>
      <c r="J4013">
        <v>2</v>
      </c>
      <c r="K4013">
        <v>3400000</v>
      </c>
      <c r="L4013" s="2" t="s">
        <v>6937</v>
      </c>
      <c r="M4013" t="s">
        <v>1656</v>
      </c>
      <c r="N4013">
        <v>5874000</v>
      </c>
      <c r="O4013">
        <v>5</v>
      </c>
      <c r="P4013" t="b">
        <v>1</v>
      </c>
    </row>
    <row r="4014" spans="1:16" x14ac:dyDescent="0.2">
      <c r="A4014" t="s">
        <v>6938</v>
      </c>
      <c r="B4014" s="1">
        <v>45783</v>
      </c>
      <c r="C4014" s="1">
        <v>45804</v>
      </c>
      <c r="D4014" t="s">
        <v>6939</v>
      </c>
      <c r="E4014" t="s">
        <v>45</v>
      </c>
      <c r="F4014" t="s">
        <v>19</v>
      </c>
      <c r="G4014" t="s">
        <v>20</v>
      </c>
      <c r="H4014" t="s">
        <v>47</v>
      </c>
      <c r="I4014" t="s">
        <v>30</v>
      </c>
      <c r="J4014">
        <v>1</v>
      </c>
      <c r="K4014">
        <v>2126000</v>
      </c>
      <c r="L4014">
        <v>6.3250016390521593E-2</v>
      </c>
      <c r="M4014" t="s">
        <v>23</v>
      </c>
      <c r="N4014">
        <v>1992000</v>
      </c>
      <c r="O4014">
        <v>4.5999999999999996</v>
      </c>
      <c r="P4014" t="b">
        <v>0</v>
      </c>
    </row>
    <row r="4015" spans="1:16" x14ac:dyDescent="0.2">
      <c r="A4015" t="s">
        <v>6940</v>
      </c>
      <c r="B4015" s="1">
        <v>45783</v>
      </c>
      <c r="C4015" s="1">
        <v>45833</v>
      </c>
      <c r="D4015" t="s">
        <v>4722</v>
      </c>
      <c r="E4015" t="s">
        <v>45</v>
      </c>
      <c r="F4015" t="s">
        <v>19</v>
      </c>
      <c r="G4015" t="s">
        <v>20</v>
      </c>
      <c r="H4015" t="s">
        <v>40</v>
      </c>
      <c r="I4015" t="s">
        <v>22</v>
      </c>
      <c r="J4015">
        <v>1</v>
      </c>
      <c r="K4015">
        <v>2411000</v>
      </c>
      <c r="L4015" s="2" t="s">
        <v>6941</v>
      </c>
      <c r="M4015" t="s">
        <v>23</v>
      </c>
      <c r="N4015">
        <v>2017000</v>
      </c>
      <c r="O4015">
        <v>4.7</v>
      </c>
      <c r="P4015" t="b">
        <v>1</v>
      </c>
    </row>
    <row r="4016" spans="1:16" x14ac:dyDescent="0.2">
      <c r="A4016" t="s">
        <v>6942</v>
      </c>
      <c r="B4016" s="1">
        <v>45783</v>
      </c>
      <c r="C4016" s="1">
        <v>45790</v>
      </c>
      <c r="D4016" t="s">
        <v>1987</v>
      </c>
      <c r="E4016" t="s">
        <v>45</v>
      </c>
      <c r="F4016" t="s">
        <v>19</v>
      </c>
      <c r="G4016" t="s">
        <v>50</v>
      </c>
      <c r="H4016" t="s">
        <v>21</v>
      </c>
      <c r="I4016" t="s">
        <v>26</v>
      </c>
      <c r="J4016">
        <v>2</v>
      </c>
      <c r="K4016">
        <v>2407000</v>
      </c>
      <c r="L4016" s="2" t="s">
        <v>6943</v>
      </c>
      <c r="M4016" t="s">
        <v>23</v>
      </c>
      <c r="N4016">
        <v>4170000</v>
      </c>
      <c r="O4016">
        <v>4.9000000000000004</v>
      </c>
      <c r="P4016" t="b">
        <v>1</v>
      </c>
    </row>
    <row r="4017" spans="1:16" x14ac:dyDescent="0.2">
      <c r="A4017" t="s">
        <v>6944</v>
      </c>
      <c r="B4017" s="1">
        <v>45783</v>
      </c>
      <c r="C4017" s="1">
        <v>45810</v>
      </c>
      <c r="D4017" t="s">
        <v>3269</v>
      </c>
      <c r="E4017" t="s">
        <v>18</v>
      </c>
      <c r="F4017" t="s">
        <v>39</v>
      </c>
      <c r="G4017" t="s">
        <v>35</v>
      </c>
      <c r="H4017" t="s">
        <v>47</v>
      </c>
      <c r="I4017" t="s">
        <v>60</v>
      </c>
      <c r="J4017">
        <v>2</v>
      </c>
      <c r="K4017">
        <v>2740000</v>
      </c>
      <c r="L4017" s="2" t="s">
        <v>6945</v>
      </c>
      <c r="M4017" t="s">
        <v>23</v>
      </c>
      <c r="N4017">
        <v>4830000</v>
      </c>
      <c r="O4017">
        <v>4.2</v>
      </c>
      <c r="P4017" t="b">
        <v>1</v>
      </c>
    </row>
    <row r="4018" spans="1:16" x14ac:dyDescent="0.2">
      <c r="A4018" t="s">
        <v>6946</v>
      </c>
      <c r="B4018" s="1">
        <v>45784</v>
      </c>
      <c r="C4018" s="1">
        <v>45834</v>
      </c>
      <c r="D4018" t="s">
        <v>5401</v>
      </c>
      <c r="E4018" t="s">
        <v>33</v>
      </c>
      <c r="F4018" t="s">
        <v>39</v>
      </c>
      <c r="G4018" t="s">
        <v>50</v>
      </c>
      <c r="H4018" t="s">
        <v>21</v>
      </c>
      <c r="I4018" t="s">
        <v>99</v>
      </c>
      <c r="J4018">
        <v>1</v>
      </c>
      <c r="K4018">
        <v>2223000</v>
      </c>
      <c r="L4018" s="2" t="s">
        <v>6947</v>
      </c>
      <c r="M4018" t="s">
        <v>23</v>
      </c>
      <c r="N4018">
        <v>1917000</v>
      </c>
      <c r="O4018">
        <v>4.3</v>
      </c>
      <c r="P4018" t="b">
        <v>1</v>
      </c>
    </row>
    <row r="4019" spans="1:16" x14ac:dyDescent="0.2">
      <c r="A4019" t="s">
        <v>6948</v>
      </c>
      <c r="B4019" s="1">
        <v>45785</v>
      </c>
      <c r="C4019" s="1">
        <v>45849</v>
      </c>
      <c r="D4019" t="s">
        <v>183</v>
      </c>
      <c r="E4019" t="s">
        <v>45</v>
      </c>
      <c r="F4019" t="s">
        <v>19</v>
      </c>
      <c r="G4019" t="s">
        <v>20</v>
      </c>
      <c r="H4019" t="s">
        <v>47</v>
      </c>
      <c r="I4019" t="s">
        <v>26</v>
      </c>
      <c r="J4019">
        <v>1</v>
      </c>
      <c r="K4019">
        <v>2387000</v>
      </c>
      <c r="L4019" s="2" t="s">
        <v>6949</v>
      </c>
      <c r="M4019" t="s">
        <v>23</v>
      </c>
      <c r="N4019">
        <v>2051000</v>
      </c>
      <c r="O4019">
        <v>4.5999999999999996</v>
      </c>
      <c r="P4019" t="b">
        <v>1</v>
      </c>
    </row>
    <row r="4020" spans="1:16" x14ac:dyDescent="0.2">
      <c r="A4020" t="s">
        <v>6950</v>
      </c>
      <c r="B4020" s="1">
        <v>45786</v>
      </c>
      <c r="C4020" s="1">
        <v>45828</v>
      </c>
      <c r="D4020" t="s">
        <v>6546</v>
      </c>
      <c r="E4020" t="s">
        <v>18</v>
      </c>
      <c r="F4020" t="s">
        <v>34</v>
      </c>
      <c r="G4020" t="s">
        <v>20</v>
      </c>
      <c r="H4020" t="s">
        <v>21</v>
      </c>
      <c r="I4020" t="s">
        <v>83</v>
      </c>
      <c r="J4020">
        <v>1</v>
      </c>
      <c r="K4020">
        <v>4052000</v>
      </c>
      <c r="L4020" s="2" t="s">
        <v>6951</v>
      </c>
      <c r="M4020" t="s">
        <v>23</v>
      </c>
      <c r="N4020">
        <v>3597000</v>
      </c>
      <c r="O4020">
        <v>4.0999999999999996</v>
      </c>
      <c r="P4020" t="b">
        <v>1</v>
      </c>
    </row>
    <row r="4021" spans="1:16" x14ac:dyDescent="0.2">
      <c r="A4021" t="s">
        <v>6952</v>
      </c>
      <c r="B4021" s="1">
        <v>45786</v>
      </c>
      <c r="C4021" s="1">
        <v>45816</v>
      </c>
      <c r="D4021" t="s">
        <v>3350</v>
      </c>
      <c r="E4021" t="s">
        <v>18</v>
      </c>
      <c r="F4021" t="s">
        <v>34</v>
      </c>
      <c r="G4021" t="s">
        <v>20</v>
      </c>
      <c r="H4021" t="s">
        <v>21</v>
      </c>
      <c r="I4021" t="s">
        <v>22</v>
      </c>
      <c r="J4021">
        <v>4</v>
      </c>
      <c r="K4021">
        <v>3794000</v>
      </c>
      <c r="L4021" s="2" t="s">
        <v>6953</v>
      </c>
      <c r="M4021" t="s">
        <v>23</v>
      </c>
      <c r="N4021">
        <v>13034000</v>
      </c>
      <c r="O4021">
        <v>3.7</v>
      </c>
      <c r="P4021" t="b">
        <v>1</v>
      </c>
    </row>
    <row r="4022" spans="1:16" x14ac:dyDescent="0.2">
      <c r="A4022" t="s">
        <v>6954</v>
      </c>
      <c r="B4022" s="1">
        <v>45787</v>
      </c>
      <c r="C4022" s="1">
        <v>45810</v>
      </c>
      <c r="D4022" t="s">
        <v>3223</v>
      </c>
      <c r="E4022" t="s">
        <v>29</v>
      </c>
      <c r="F4022" t="s">
        <v>34</v>
      </c>
      <c r="G4022" t="s">
        <v>50</v>
      </c>
      <c r="H4022" t="s">
        <v>21</v>
      </c>
      <c r="I4022" t="s">
        <v>77</v>
      </c>
      <c r="J4022">
        <v>1</v>
      </c>
      <c r="K4022">
        <v>4488000</v>
      </c>
      <c r="L4022" s="2" t="s">
        <v>6955</v>
      </c>
      <c r="M4022" t="s">
        <v>23</v>
      </c>
      <c r="N4022">
        <v>3580000</v>
      </c>
      <c r="O4022">
        <v>4.8</v>
      </c>
      <c r="P4022" t="b">
        <v>1</v>
      </c>
    </row>
    <row r="4023" spans="1:16" x14ac:dyDescent="0.2">
      <c r="A4023" t="s">
        <v>6956</v>
      </c>
      <c r="B4023" s="1">
        <v>45788</v>
      </c>
      <c r="C4023" s="1">
        <v>45862</v>
      </c>
      <c r="D4023" t="s">
        <v>6957</v>
      </c>
      <c r="E4023" t="s">
        <v>45</v>
      </c>
      <c r="F4023" t="s">
        <v>34</v>
      </c>
      <c r="G4023" t="s">
        <v>35</v>
      </c>
      <c r="H4023" t="s">
        <v>21</v>
      </c>
      <c r="I4023" t="s">
        <v>99</v>
      </c>
      <c r="J4023">
        <v>3</v>
      </c>
      <c r="K4023">
        <v>4097000</v>
      </c>
      <c r="L4023">
        <v>9.0164935897379395E-2</v>
      </c>
      <c r="M4023" t="s">
        <v>23</v>
      </c>
      <c r="N4023">
        <v>11183000</v>
      </c>
      <c r="O4023">
        <v>5</v>
      </c>
      <c r="P4023" t="b">
        <v>0</v>
      </c>
    </row>
    <row r="4024" spans="1:16" x14ac:dyDescent="0.2">
      <c r="A4024" t="s">
        <v>6958</v>
      </c>
      <c r="B4024" s="1">
        <v>45788</v>
      </c>
      <c r="C4024" s="1">
        <v>45848</v>
      </c>
      <c r="D4024" t="s">
        <v>6959</v>
      </c>
      <c r="E4024" t="s">
        <v>45</v>
      </c>
      <c r="F4024" t="s">
        <v>45</v>
      </c>
      <c r="G4024" t="s">
        <v>20</v>
      </c>
      <c r="H4024" t="s">
        <v>21</v>
      </c>
      <c r="I4024" t="s">
        <v>60</v>
      </c>
      <c r="J4024">
        <v>1</v>
      </c>
      <c r="K4024">
        <v>3952000</v>
      </c>
      <c r="L4024" s="2" t="s">
        <v>6960</v>
      </c>
      <c r="M4024" t="s">
        <v>23</v>
      </c>
      <c r="N4024">
        <v>3735000</v>
      </c>
      <c r="O4024">
        <v>4.5</v>
      </c>
      <c r="P4024" t="b">
        <v>0</v>
      </c>
    </row>
    <row r="4025" spans="1:16" x14ac:dyDescent="0.2">
      <c r="A4025" t="s">
        <v>6961</v>
      </c>
      <c r="B4025" s="1">
        <v>45788</v>
      </c>
      <c r="C4025" s="1">
        <v>45883</v>
      </c>
      <c r="D4025" t="s">
        <v>6962</v>
      </c>
      <c r="E4025" t="s">
        <v>45</v>
      </c>
      <c r="F4025" t="s">
        <v>34</v>
      </c>
      <c r="G4025" t="s">
        <v>50</v>
      </c>
      <c r="H4025" t="s">
        <v>21</v>
      </c>
      <c r="I4025" t="s">
        <v>57</v>
      </c>
      <c r="J4025">
        <v>1</v>
      </c>
      <c r="K4025">
        <v>4219000</v>
      </c>
      <c r="L4025">
        <v>7.97578895890588E-2</v>
      </c>
      <c r="M4025" t="s">
        <v>23</v>
      </c>
      <c r="N4025">
        <v>3883000</v>
      </c>
      <c r="O4025">
        <v>3.6</v>
      </c>
      <c r="P4025" t="b">
        <v>0</v>
      </c>
    </row>
    <row r="4026" spans="1:16" x14ac:dyDescent="0.2">
      <c r="A4026" t="s">
        <v>6963</v>
      </c>
      <c r="B4026" s="1">
        <v>45788</v>
      </c>
      <c r="C4026" s="1">
        <v>45855</v>
      </c>
      <c r="D4026" t="s">
        <v>5731</v>
      </c>
      <c r="E4026" t="s">
        <v>33</v>
      </c>
      <c r="F4026" t="s">
        <v>45</v>
      </c>
      <c r="G4026" t="s">
        <v>20</v>
      </c>
      <c r="H4026" t="s">
        <v>40</v>
      </c>
      <c r="I4026" t="s">
        <v>99</v>
      </c>
      <c r="J4026">
        <v>2</v>
      </c>
      <c r="K4026">
        <v>3347000</v>
      </c>
      <c r="L4026">
        <v>8.7109694973513493E-2</v>
      </c>
      <c r="M4026" t="s">
        <v>23</v>
      </c>
      <c r="N4026">
        <v>6111000</v>
      </c>
      <c r="O4026">
        <v>4.2</v>
      </c>
      <c r="P4026" t="b">
        <v>1</v>
      </c>
    </row>
    <row r="4027" spans="1:16" x14ac:dyDescent="0.2">
      <c r="A4027" t="s">
        <v>6964</v>
      </c>
      <c r="B4027" s="1">
        <v>45788</v>
      </c>
      <c r="C4027" s="1">
        <v>45851</v>
      </c>
      <c r="D4027" t="s">
        <v>6965</v>
      </c>
      <c r="E4027" t="s">
        <v>29</v>
      </c>
      <c r="F4027" t="s">
        <v>34</v>
      </c>
      <c r="G4027" t="s">
        <v>20</v>
      </c>
      <c r="H4027" t="s">
        <v>21</v>
      </c>
      <c r="I4027" t="s">
        <v>22</v>
      </c>
      <c r="J4027">
        <v>4</v>
      </c>
      <c r="K4027">
        <v>4003000</v>
      </c>
      <c r="L4027">
        <v>7.8240699797202107E-2</v>
      </c>
      <c r="M4027" t="s">
        <v>1673</v>
      </c>
      <c r="N4027">
        <v>14759000</v>
      </c>
      <c r="O4027">
        <v>4</v>
      </c>
      <c r="P4027" t="b">
        <v>0</v>
      </c>
    </row>
    <row r="4028" spans="1:16" x14ac:dyDescent="0.2">
      <c r="A4028" t="s">
        <v>6966</v>
      </c>
      <c r="B4028" s="1">
        <v>45789</v>
      </c>
      <c r="C4028" s="1">
        <v>45862</v>
      </c>
      <c r="D4028" t="s">
        <v>6246</v>
      </c>
      <c r="E4028" t="s">
        <v>29</v>
      </c>
      <c r="F4028" t="s">
        <v>39</v>
      </c>
      <c r="G4028" t="s">
        <v>20</v>
      </c>
      <c r="H4028" t="s">
        <v>21</v>
      </c>
      <c r="I4028" t="s">
        <v>57</v>
      </c>
      <c r="J4028">
        <v>1</v>
      </c>
      <c r="K4028">
        <v>2846000</v>
      </c>
      <c r="L4028" s="2" t="s">
        <v>6967</v>
      </c>
      <c r="M4028" t="s">
        <v>23</v>
      </c>
      <c r="N4028">
        <v>2533000</v>
      </c>
      <c r="O4028">
        <v>3.8</v>
      </c>
      <c r="P4028" t="b">
        <v>1</v>
      </c>
    </row>
    <row r="4029" spans="1:16" x14ac:dyDescent="0.2">
      <c r="A4029" t="s">
        <v>6968</v>
      </c>
      <c r="B4029" s="1">
        <v>45789</v>
      </c>
      <c r="C4029" s="1">
        <v>45880</v>
      </c>
      <c r="D4029" t="s">
        <v>6969</v>
      </c>
      <c r="E4029" t="s">
        <v>33</v>
      </c>
      <c r="F4029" t="s">
        <v>45</v>
      </c>
      <c r="G4029" t="s">
        <v>20</v>
      </c>
      <c r="H4029" t="s">
        <v>47</v>
      </c>
      <c r="I4029" t="s">
        <v>52</v>
      </c>
      <c r="J4029">
        <v>4</v>
      </c>
      <c r="K4029">
        <v>3268000</v>
      </c>
      <c r="L4029">
        <v>3.8320725867937597E-2</v>
      </c>
      <c r="M4029" t="s">
        <v>23</v>
      </c>
      <c r="N4029">
        <v>12571000</v>
      </c>
      <c r="O4029">
        <v>3.9</v>
      </c>
      <c r="P4029" t="b">
        <v>0</v>
      </c>
    </row>
    <row r="4030" spans="1:16" x14ac:dyDescent="0.2">
      <c r="A4030" t="s">
        <v>6970</v>
      </c>
      <c r="B4030" s="1">
        <v>45789</v>
      </c>
      <c r="C4030" s="1">
        <v>45827</v>
      </c>
      <c r="D4030" t="s">
        <v>6971</v>
      </c>
      <c r="E4030" t="s">
        <v>29</v>
      </c>
      <c r="F4030" t="s">
        <v>34</v>
      </c>
      <c r="G4030" t="s">
        <v>20</v>
      </c>
      <c r="H4030" t="s">
        <v>47</v>
      </c>
      <c r="I4030" t="s">
        <v>22</v>
      </c>
      <c r="J4030">
        <v>2</v>
      </c>
      <c r="K4030">
        <v>3704000</v>
      </c>
      <c r="L4030" s="2" t="s">
        <v>6972</v>
      </c>
      <c r="M4030" t="s">
        <v>23</v>
      </c>
      <c r="N4030">
        <v>7013000</v>
      </c>
      <c r="O4030">
        <v>5</v>
      </c>
      <c r="P4030" t="b">
        <v>0</v>
      </c>
    </row>
    <row r="4031" spans="1:16" x14ac:dyDescent="0.2">
      <c r="A4031" t="s">
        <v>6973</v>
      </c>
      <c r="B4031" s="1">
        <v>45996</v>
      </c>
      <c r="C4031" s="1">
        <v>45824</v>
      </c>
      <c r="D4031" t="s">
        <v>5815</v>
      </c>
      <c r="E4031" t="s">
        <v>18</v>
      </c>
      <c r="F4031" t="s">
        <v>25</v>
      </c>
      <c r="G4031" t="s">
        <v>35</v>
      </c>
      <c r="H4031" t="s">
        <v>21</v>
      </c>
      <c r="I4031" t="s">
        <v>1654</v>
      </c>
      <c r="J4031">
        <v>2</v>
      </c>
      <c r="K4031">
        <v>3655000</v>
      </c>
      <c r="L4031" s="2" t="s">
        <v>6974</v>
      </c>
      <c r="M4031" t="s">
        <v>23</v>
      </c>
      <c r="N4031">
        <v>6548000</v>
      </c>
      <c r="O4031">
        <v>4.4000000000000004</v>
      </c>
      <c r="P4031" t="b">
        <v>1</v>
      </c>
    </row>
    <row r="4032" spans="1:16" x14ac:dyDescent="0.2">
      <c r="A4032" t="s">
        <v>6975</v>
      </c>
      <c r="B4032" s="1">
        <v>45789</v>
      </c>
      <c r="C4032" s="1">
        <v>45857</v>
      </c>
      <c r="D4032" t="s">
        <v>4543</v>
      </c>
      <c r="E4032" t="s">
        <v>18</v>
      </c>
      <c r="F4032" t="s">
        <v>39</v>
      </c>
      <c r="G4032" t="s">
        <v>50</v>
      </c>
      <c r="H4032" t="s">
        <v>21</v>
      </c>
      <c r="I4032" t="s">
        <v>30</v>
      </c>
      <c r="J4032">
        <v>1</v>
      </c>
      <c r="K4032">
        <v>2731000</v>
      </c>
      <c r="L4032">
        <v>8.1861875500152101E-2</v>
      </c>
      <c r="M4032" t="s">
        <v>23</v>
      </c>
      <c r="N4032">
        <v>2507000</v>
      </c>
      <c r="O4032">
        <v>4.3</v>
      </c>
      <c r="P4032" t="b">
        <v>1</v>
      </c>
    </row>
    <row r="4033" spans="1:16" x14ac:dyDescent="0.2">
      <c r="A4033" t="s">
        <v>6976</v>
      </c>
      <c r="B4033" s="1">
        <v>45790</v>
      </c>
      <c r="C4033" s="1">
        <v>45889</v>
      </c>
      <c r="D4033" t="s">
        <v>6797</v>
      </c>
      <c r="E4033" t="s">
        <v>29</v>
      </c>
      <c r="F4033" t="s">
        <v>25</v>
      </c>
      <c r="H4033" t="s">
        <v>21</v>
      </c>
      <c r="I4033" t="s">
        <v>77</v>
      </c>
      <c r="J4033">
        <v>3</v>
      </c>
      <c r="K4033">
        <v>6331000</v>
      </c>
      <c r="L4033" s="2" t="s">
        <v>6977</v>
      </c>
      <c r="M4033" t="s">
        <v>23</v>
      </c>
      <c r="N4033">
        <v>16931000</v>
      </c>
      <c r="O4033">
        <v>4.3</v>
      </c>
      <c r="P4033" t="b">
        <v>1</v>
      </c>
    </row>
    <row r="4034" spans="1:16" x14ac:dyDescent="0.2">
      <c r="A4034" t="s">
        <v>6978</v>
      </c>
      <c r="B4034" s="1">
        <v>45791</v>
      </c>
      <c r="C4034" s="1">
        <v>45849</v>
      </c>
      <c r="D4034" t="s">
        <v>5106</v>
      </c>
      <c r="E4034" t="s">
        <v>45</v>
      </c>
      <c r="F4034" t="s">
        <v>39</v>
      </c>
      <c r="G4034" t="s">
        <v>20</v>
      </c>
      <c r="H4034" t="s">
        <v>21</v>
      </c>
      <c r="I4034" t="s">
        <v>83</v>
      </c>
      <c r="J4034">
        <v>2</v>
      </c>
      <c r="K4034">
        <v>1407000</v>
      </c>
      <c r="L4034">
        <v>9.0076460539383799E-2</v>
      </c>
      <c r="M4034" t="s">
        <v>23</v>
      </c>
      <c r="N4034">
        <v>2561000</v>
      </c>
      <c r="O4034">
        <v>4.8</v>
      </c>
      <c r="P4034" t="b">
        <v>1</v>
      </c>
    </row>
    <row r="4035" spans="1:16" x14ac:dyDescent="0.2">
      <c r="A4035" t="s">
        <v>6979</v>
      </c>
      <c r="B4035" s="1">
        <v>45791</v>
      </c>
      <c r="C4035" s="1">
        <v>45791</v>
      </c>
      <c r="D4035" t="s">
        <v>6980</v>
      </c>
      <c r="F4035" t="s">
        <v>45</v>
      </c>
      <c r="G4035" t="s">
        <v>50</v>
      </c>
      <c r="H4035" t="s">
        <v>47</v>
      </c>
      <c r="I4035" t="s">
        <v>94</v>
      </c>
      <c r="J4035">
        <v>1</v>
      </c>
      <c r="K4035">
        <v>3150000</v>
      </c>
      <c r="L4035" s="2" t="s">
        <v>6981</v>
      </c>
      <c r="M4035" t="s">
        <v>23</v>
      </c>
      <c r="N4035">
        <v>2821000</v>
      </c>
      <c r="O4035">
        <v>4</v>
      </c>
      <c r="P4035" t="b">
        <v>0</v>
      </c>
    </row>
    <row r="4036" spans="1:16" x14ac:dyDescent="0.2">
      <c r="A4036" t="s">
        <v>6982</v>
      </c>
      <c r="B4036" s="1">
        <v>45791</v>
      </c>
      <c r="C4036" s="1">
        <v>45858</v>
      </c>
      <c r="D4036" t="s">
        <v>3520</v>
      </c>
      <c r="E4036" t="s">
        <v>45</v>
      </c>
      <c r="F4036" t="s">
        <v>68</v>
      </c>
      <c r="G4036" t="s">
        <v>20</v>
      </c>
      <c r="H4036" t="s">
        <v>21</v>
      </c>
      <c r="I4036" t="s">
        <v>30</v>
      </c>
      <c r="J4036">
        <v>2</v>
      </c>
      <c r="K4036">
        <v>2697000</v>
      </c>
      <c r="L4036" s="3">
        <v>0.13700000000000001</v>
      </c>
      <c r="M4036" t="s">
        <v>23</v>
      </c>
      <c r="N4036">
        <v>4657000</v>
      </c>
      <c r="O4036">
        <v>3.9</v>
      </c>
      <c r="P4036" t="b">
        <v>1</v>
      </c>
    </row>
    <row r="4037" spans="1:16" x14ac:dyDescent="0.2">
      <c r="A4037" t="s">
        <v>6983</v>
      </c>
      <c r="B4037" s="1">
        <v>45793</v>
      </c>
      <c r="C4037" s="1">
        <v>45870</v>
      </c>
      <c r="D4037" t="s">
        <v>6984</v>
      </c>
      <c r="E4037" t="s">
        <v>18</v>
      </c>
      <c r="F4037" t="s">
        <v>34</v>
      </c>
      <c r="G4037" t="s">
        <v>20</v>
      </c>
      <c r="H4037" t="s">
        <v>40</v>
      </c>
      <c r="I4037" t="s">
        <v>22</v>
      </c>
      <c r="J4037">
        <v>1</v>
      </c>
      <c r="K4037">
        <v>3927000</v>
      </c>
      <c r="L4037">
        <v>8.3695178931756806E-2</v>
      </c>
      <c r="M4037" t="s">
        <v>23</v>
      </c>
      <c r="N4037">
        <v>3598000</v>
      </c>
      <c r="O4037">
        <v>4.2</v>
      </c>
      <c r="P4037" t="b">
        <v>0</v>
      </c>
    </row>
    <row r="4038" spans="1:16" x14ac:dyDescent="0.2">
      <c r="A4038" t="s">
        <v>6985</v>
      </c>
      <c r="B4038" s="1">
        <v>45793</v>
      </c>
      <c r="C4038" s="1">
        <v>45864</v>
      </c>
      <c r="D4038" t="s">
        <v>4929</v>
      </c>
      <c r="E4038" t="s">
        <v>45</v>
      </c>
      <c r="F4038" t="s">
        <v>19</v>
      </c>
      <c r="H4038" t="s">
        <v>47</v>
      </c>
      <c r="I4038" t="s">
        <v>77</v>
      </c>
      <c r="J4038">
        <v>3</v>
      </c>
      <c r="K4038">
        <v>2805000</v>
      </c>
      <c r="L4038" s="2" t="s">
        <v>6986</v>
      </c>
      <c r="M4038" t="s">
        <v>23</v>
      </c>
      <c r="N4038">
        <v>8288000</v>
      </c>
      <c r="O4038">
        <v>4.4000000000000004</v>
      </c>
      <c r="P4038" t="b">
        <v>1</v>
      </c>
    </row>
    <row r="4039" spans="1:16" x14ac:dyDescent="0.2">
      <c r="A4039" t="s">
        <v>6987</v>
      </c>
      <c r="B4039" s="1">
        <v>45794</v>
      </c>
      <c r="C4039" s="1">
        <v>45813</v>
      </c>
      <c r="D4039" t="s">
        <v>1918</v>
      </c>
      <c r="E4039" t="s">
        <v>33</v>
      </c>
      <c r="F4039" t="s">
        <v>39</v>
      </c>
      <c r="G4039" t="s">
        <v>35</v>
      </c>
      <c r="H4039" t="s">
        <v>21</v>
      </c>
      <c r="I4039" t="s">
        <v>57</v>
      </c>
      <c r="J4039">
        <v>3</v>
      </c>
      <c r="K4039">
        <v>2604000</v>
      </c>
      <c r="L4039" s="2" t="s">
        <v>6988</v>
      </c>
      <c r="M4039" t="s">
        <v>23</v>
      </c>
      <c r="N4039">
        <v>6922000</v>
      </c>
      <c r="O4039">
        <v>4.3</v>
      </c>
      <c r="P4039" t="b">
        <v>1</v>
      </c>
    </row>
    <row r="4040" spans="1:16" x14ac:dyDescent="0.2">
      <c r="A4040" t="s">
        <v>6989</v>
      </c>
      <c r="B4040" s="1">
        <v>45794</v>
      </c>
      <c r="C4040" s="1">
        <v>45812</v>
      </c>
      <c r="D4040" t="s">
        <v>368</v>
      </c>
      <c r="E4040" t="s">
        <v>45</v>
      </c>
      <c r="F4040" t="s">
        <v>68</v>
      </c>
      <c r="G4040" t="s">
        <v>20</v>
      </c>
      <c r="H4040" t="s">
        <v>21</v>
      </c>
      <c r="J4040">
        <v>3</v>
      </c>
      <c r="K4040">
        <v>2683000</v>
      </c>
      <c r="L4040">
        <v>9.2356639713933306E-2</v>
      </c>
      <c r="M4040" t="s">
        <v>23</v>
      </c>
      <c r="N4040">
        <v>7306000</v>
      </c>
      <c r="O4040">
        <v>4.5999999999999996</v>
      </c>
      <c r="P4040" t="b">
        <v>1</v>
      </c>
    </row>
    <row r="4041" spans="1:16" x14ac:dyDescent="0.2">
      <c r="A4041" t="s">
        <v>6990</v>
      </c>
      <c r="B4041" s="1">
        <v>45794</v>
      </c>
      <c r="C4041" s="1">
        <v>45844</v>
      </c>
      <c r="D4041" t="s">
        <v>6991</v>
      </c>
      <c r="E4041" t="s">
        <v>33</v>
      </c>
      <c r="F4041" t="s">
        <v>34</v>
      </c>
      <c r="G4041" t="s">
        <v>35</v>
      </c>
      <c r="H4041" t="s">
        <v>21</v>
      </c>
      <c r="I4041" t="s">
        <v>77</v>
      </c>
      <c r="J4041">
        <v>1</v>
      </c>
      <c r="K4041">
        <v>4605000</v>
      </c>
      <c r="L4041">
        <v>8.7858777844553898E-2</v>
      </c>
      <c r="M4041" t="s">
        <v>23</v>
      </c>
      <c r="N4041">
        <v>4200000</v>
      </c>
      <c r="O4041">
        <v>3</v>
      </c>
      <c r="P4041" t="b">
        <v>0</v>
      </c>
    </row>
    <row r="4042" spans="1:16" x14ac:dyDescent="0.2">
      <c r="A4042" t="s">
        <v>6992</v>
      </c>
      <c r="B4042" s="1">
        <v>45795</v>
      </c>
      <c r="C4042" s="1">
        <v>45860</v>
      </c>
      <c r="D4042" t="s">
        <v>6993</v>
      </c>
      <c r="E4042" t="s">
        <v>45</v>
      </c>
      <c r="F4042" t="s">
        <v>19</v>
      </c>
      <c r="G4042" t="s">
        <v>35</v>
      </c>
      <c r="H4042" t="s">
        <v>51</v>
      </c>
      <c r="I4042" t="s">
        <v>26</v>
      </c>
      <c r="J4042">
        <v>2</v>
      </c>
      <c r="K4042">
        <v>2855000</v>
      </c>
      <c r="L4042" s="3">
        <v>4.4999999999999998E-2</v>
      </c>
      <c r="M4042" t="s">
        <v>23</v>
      </c>
      <c r="N4042">
        <v>5451000</v>
      </c>
      <c r="O4042">
        <v>3.6</v>
      </c>
      <c r="P4042" t="b">
        <v>0</v>
      </c>
    </row>
    <row r="4043" spans="1:16" x14ac:dyDescent="0.2">
      <c r="A4043" t="s">
        <v>6994</v>
      </c>
      <c r="B4043" s="1">
        <v>45795</v>
      </c>
      <c r="C4043" s="1">
        <v>45823</v>
      </c>
      <c r="D4043" t="s">
        <v>5350</v>
      </c>
      <c r="E4043" t="s">
        <v>45</v>
      </c>
      <c r="F4043" t="s">
        <v>45</v>
      </c>
      <c r="G4043" t="s">
        <v>50</v>
      </c>
      <c r="H4043" t="s">
        <v>51</v>
      </c>
      <c r="I4043" t="s">
        <v>22</v>
      </c>
      <c r="J4043">
        <v>1</v>
      </c>
      <c r="K4043">
        <v>3676000</v>
      </c>
      <c r="L4043">
        <v>6.4167264918252503E-2</v>
      </c>
      <c r="M4043" t="s">
        <v>23</v>
      </c>
      <c r="N4043">
        <v>3440000</v>
      </c>
      <c r="O4043">
        <v>3.8</v>
      </c>
      <c r="P4043" t="b">
        <v>1</v>
      </c>
    </row>
    <row r="4044" spans="1:16" x14ac:dyDescent="0.2">
      <c r="A4044" t="s">
        <v>6995</v>
      </c>
      <c r="B4044" s="1">
        <v>45795</v>
      </c>
      <c r="C4044" s="1">
        <v>45816</v>
      </c>
      <c r="D4044" t="s">
        <v>4418</v>
      </c>
      <c r="E4044" t="s">
        <v>45</v>
      </c>
      <c r="F4044" t="s">
        <v>34</v>
      </c>
      <c r="G4044" t="s">
        <v>20</v>
      </c>
      <c r="H4044" t="s">
        <v>21</v>
      </c>
      <c r="I4044" t="s">
        <v>26</v>
      </c>
      <c r="J4044">
        <v>3</v>
      </c>
      <c r="K4044">
        <v>4211000</v>
      </c>
      <c r="L4044">
        <v>9.07012580619002E-2</v>
      </c>
      <c r="M4044" t="s">
        <v>23</v>
      </c>
      <c r="N4044">
        <v>11487000</v>
      </c>
      <c r="O4044">
        <v>4.5999999999999996</v>
      </c>
      <c r="P4044" t="b">
        <v>1</v>
      </c>
    </row>
    <row r="4045" spans="1:16" x14ac:dyDescent="0.2">
      <c r="A4045" t="s">
        <v>6996</v>
      </c>
      <c r="B4045" s="1">
        <v>45796</v>
      </c>
      <c r="C4045" s="1">
        <v>45829</v>
      </c>
      <c r="D4045" t="s">
        <v>6997</v>
      </c>
      <c r="E4045" t="s">
        <v>18</v>
      </c>
      <c r="F4045" t="s">
        <v>25</v>
      </c>
      <c r="G4045" t="s">
        <v>20</v>
      </c>
      <c r="H4045" t="s">
        <v>47</v>
      </c>
      <c r="I4045" t="s">
        <v>83</v>
      </c>
      <c r="J4045">
        <v>2</v>
      </c>
      <c r="K4045">
        <v>5055000</v>
      </c>
      <c r="L4045" s="2" t="s">
        <v>6998</v>
      </c>
      <c r="M4045" t="s">
        <v>23</v>
      </c>
      <c r="N4045">
        <v>8405000</v>
      </c>
      <c r="O4045">
        <v>4.5999999999999996</v>
      </c>
      <c r="P4045" t="b">
        <v>0</v>
      </c>
    </row>
    <row r="4046" spans="1:16" x14ac:dyDescent="0.2">
      <c r="A4046" t="s">
        <v>6999</v>
      </c>
      <c r="B4046" s="1">
        <v>45797</v>
      </c>
      <c r="C4046" s="1">
        <v>45814</v>
      </c>
      <c r="D4046" t="s">
        <v>7000</v>
      </c>
      <c r="E4046" t="s">
        <v>33</v>
      </c>
      <c r="F4046" t="s">
        <v>19</v>
      </c>
      <c r="G4046" t="s">
        <v>50</v>
      </c>
      <c r="H4046" t="s">
        <v>21</v>
      </c>
      <c r="I4046" t="s">
        <v>77</v>
      </c>
      <c r="J4046">
        <v>3</v>
      </c>
      <c r="K4046">
        <v>2712000</v>
      </c>
      <c r="L4046" s="2" t="s">
        <v>7001</v>
      </c>
      <c r="M4046" t="s">
        <v>23</v>
      </c>
      <c r="N4046">
        <v>7219000</v>
      </c>
      <c r="O4046">
        <v>4</v>
      </c>
      <c r="P4046" t="b">
        <v>0</v>
      </c>
    </row>
    <row r="4047" spans="1:16" x14ac:dyDescent="0.2">
      <c r="A4047" t="s">
        <v>7002</v>
      </c>
      <c r="B4047" s="1">
        <v>45797</v>
      </c>
      <c r="C4047" s="1">
        <v>45824</v>
      </c>
      <c r="D4047" t="s">
        <v>1313</v>
      </c>
      <c r="E4047" t="s">
        <v>18</v>
      </c>
      <c r="F4047" t="s">
        <v>34</v>
      </c>
      <c r="G4047" t="s">
        <v>20</v>
      </c>
      <c r="H4047" t="s">
        <v>47</v>
      </c>
      <c r="I4047" t="s">
        <v>94</v>
      </c>
      <c r="J4047">
        <v>2</v>
      </c>
      <c r="K4047">
        <v>4841000</v>
      </c>
      <c r="L4047" s="3">
        <v>0.127</v>
      </c>
      <c r="M4047" t="s">
        <v>23</v>
      </c>
      <c r="N4047">
        <v>8453000</v>
      </c>
      <c r="O4047">
        <v>4.2</v>
      </c>
      <c r="P4047" t="b">
        <v>1</v>
      </c>
    </row>
    <row r="4048" spans="1:16" x14ac:dyDescent="0.2">
      <c r="A4048" t="s">
        <v>7003</v>
      </c>
      <c r="B4048" s="1">
        <v>45797</v>
      </c>
      <c r="C4048" s="1">
        <v>45854</v>
      </c>
      <c r="D4048" t="s">
        <v>435</v>
      </c>
      <c r="E4048" t="s">
        <v>33</v>
      </c>
      <c r="F4048" t="s">
        <v>34</v>
      </c>
      <c r="G4048" t="s">
        <v>50</v>
      </c>
      <c r="H4048" t="s">
        <v>40</v>
      </c>
      <c r="I4048" t="s">
        <v>99</v>
      </c>
      <c r="J4048">
        <v>2</v>
      </c>
      <c r="K4048">
        <v>4125000</v>
      </c>
      <c r="L4048" s="2" t="s">
        <v>7004</v>
      </c>
      <c r="M4048" t="s">
        <v>65</v>
      </c>
      <c r="N4048">
        <v>0</v>
      </c>
      <c r="P4048" t="b">
        <v>1</v>
      </c>
    </row>
    <row r="4049" spans="1:16" x14ac:dyDescent="0.2">
      <c r="A4049" t="s">
        <v>7005</v>
      </c>
      <c r="B4049" s="1">
        <v>45798</v>
      </c>
      <c r="C4049" s="1">
        <v>45848</v>
      </c>
      <c r="D4049" t="s">
        <v>2214</v>
      </c>
      <c r="E4049" t="s">
        <v>45</v>
      </c>
      <c r="F4049" t="s">
        <v>45</v>
      </c>
      <c r="G4049" t="s">
        <v>20</v>
      </c>
      <c r="H4049" t="s">
        <v>47</v>
      </c>
      <c r="I4049" t="s">
        <v>30</v>
      </c>
      <c r="J4049">
        <v>3</v>
      </c>
      <c r="K4049">
        <v>3585000</v>
      </c>
      <c r="L4049" s="2" t="s">
        <v>7006</v>
      </c>
      <c r="M4049" t="s">
        <v>23</v>
      </c>
      <c r="N4049">
        <v>8925000</v>
      </c>
      <c r="O4049">
        <v>4.5999999999999996</v>
      </c>
      <c r="P4049" t="b">
        <v>1</v>
      </c>
    </row>
    <row r="4050" spans="1:16" x14ac:dyDescent="0.2">
      <c r="A4050" t="s">
        <v>7007</v>
      </c>
      <c r="B4050" s="1">
        <v>45799</v>
      </c>
      <c r="C4050" s="1">
        <v>45866</v>
      </c>
      <c r="D4050" t="s">
        <v>3649</v>
      </c>
      <c r="E4050" t="s">
        <v>18</v>
      </c>
      <c r="F4050" t="s">
        <v>68</v>
      </c>
      <c r="G4050" t="s">
        <v>20</v>
      </c>
      <c r="H4050" t="s">
        <v>21</v>
      </c>
      <c r="I4050" t="s">
        <v>30</v>
      </c>
      <c r="J4050">
        <v>1</v>
      </c>
      <c r="K4050">
        <v>2609000</v>
      </c>
      <c r="L4050" s="2" t="s">
        <v>7008</v>
      </c>
      <c r="M4050" t="s">
        <v>23</v>
      </c>
      <c r="N4050">
        <v>2321000</v>
      </c>
      <c r="O4050">
        <v>3.8</v>
      </c>
      <c r="P4050" t="b">
        <v>1</v>
      </c>
    </row>
    <row r="4051" spans="1:16" x14ac:dyDescent="0.2">
      <c r="A4051" t="s">
        <v>7009</v>
      </c>
      <c r="B4051" s="1">
        <v>45799</v>
      </c>
      <c r="C4051" s="1">
        <v>45856</v>
      </c>
      <c r="D4051" t="s">
        <v>3925</v>
      </c>
      <c r="F4051" t="s">
        <v>19</v>
      </c>
      <c r="G4051" t="s">
        <v>50</v>
      </c>
      <c r="H4051" t="s">
        <v>40</v>
      </c>
      <c r="I4051" t="s">
        <v>26</v>
      </c>
      <c r="J4051">
        <v>4</v>
      </c>
      <c r="K4051">
        <v>2644000</v>
      </c>
      <c r="L4051" s="2" t="s">
        <v>7010</v>
      </c>
      <c r="M4051" t="s">
        <v>23</v>
      </c>
      <c r="N4051">
        <v>9068000</v>
      </c>
      <c r="O4051">
        <v>4.0999999999999996</v>
      </c>
      <c r="P4051" t="b">
        <v>1</v>
      </c>
    </row>
    <row r="4052" spans="1:16" x14ac:dyDescent="0.2">
      <c r="A4052" t="s">
        <v>7011</v>
      </c>
      <c r="B4052" s="1">
        <v>45799</v>
      </c>
      <c r="C4052" s="1">
        <v>45811</v>
      </c>
      <c r="D4052" t="s">
        <v>4913</v>
      </c>
      <c r="E4052" t="s">
        <v>45</v>
      </c>
      <c r="F4052" t="s">
        <v>34</v>
      </c>
      <c r="G4052" t="s">
        <v>50</v>
      </c>
      <c r="H4052" t="s">
        <v>21</v>
      </c>
      <c r="I4052" t="s">
        <v>52</v>
      </c>
      <c r="J4052">
        <v>4</v>
      </c>
      <c r="K4052">
        <v>3511000</v>
      </c>
      <c r="L4052" s="2" t="s">
        <v>7012</v>
      </c>
      <c r="M4052" t="s">
        <v>23</v>
      </c>
      <c r="N4052">
        <v>12477000</v>
      </c>
      <c r="O4052">
        <v>5</v>
      </c>
      <c r="P4052" t="b">
        <v>1</v>
      </c>
    </row>
    <row r="4053" spans="1:16" x14ac:dyDescent="0.2">
      <c r="A4053" t="s">
        <v>7013</v>
      </c>
      <c r="B4053" s="1">
        <v>45800</v>
      </c>
      <c r="C4053" s="1">
        <v>45866</v>
      </c>
      <c r="D4053" t="s">
        <v>4241</v>
      </c>
      <c r="F4053" t="s">
        <v>19</v>
      </c>
      <c r="G4053" t="s">
        <v>20</v>
      </c>
      <c r="H4053" t="s">
        <v>40</v>
      </c>
      <c r="I4053" t="s">
        <v>57</v>
      </c>
      <c r="J4053">
        <v>2</v>
      </c>
      <c r="K4053">
        <v>3344000</v>
      </c>
      <c r="L4053">
        <v>7.7234183895819195E-2</v>
      </c>
      <c r="M4053" t="s">
        <v>65</v>
      </c>
      <c r="N4053">
        <v>0</v>
      </c>
      <c r="P4053" t="b">
        <v>1</v>
      </c>
    </row>
    <row r="4054" spans="1:16" x14ac:dyDescent="0.2">
      <c r="A4054" t="s">
        <v>7014</v>
      </c>
      <c r="B4054" s="1">
        <v>45801</v>
      </c>
      <c r="C4054" s="1">
        <v>45878</v>
      </c>
      <c r="D4054" t="s">
        <v>7015</v>
      </c>
      <c r="E4054" t="s">
        <v>18</v>
      </c>
      <c r="F4054" t="s">
        <v>25</v>
      </c>
      <c r="G4054" t="s">
        <v>35</v>
      </c>
      <c r="H4054" t="s">
        <v>47</v>
      </c>
      <c r="I4054" t="s">
        <v>26</v>
      </c>
      <c r="J4054">
        <v>2</v>
      </c>
      <c r="K4054">
        <v>5678000</v>
      </c>
      <c r="L4054" s="2" t="s">
        <v>7016</v>
      </c>
      <c r="M4054" t="s">
        <v>23</v>
      </c>
      <c r="N4054">
        <v>9850000</v>
      </c>
      <c r="O4054">
        <v>5</v>
      </c>
      <c r="P4054" t="b">
        <v>0</v>
      </c>
    </row>
    <row r="4055" spans="1:16" x14ac:dyDescent="0.2">
      <c r="A4055" t="s">
        <v>7017</v>
      </c>
      <c r="B4055" s="1">
        <v>45801</v>
      </c>
      <c r="C4055" s="1">
        <v>45818</v>
      </c>
      <c r="D4055" t="s">
        <v>7018</v>
      </c>
      <c r="E4055" t="s">
        <v>18</v>
      </c>
      <c r="F4055" t="s">
        <v>45</v>
      </c>
      <c r="G4055" t="s">
        <v>35</v>
      </c>
      <c r="H4055" t="s">
        <v>21</v>
      </c>
      <c r="I4055" t="s">
        <v>52</v>
      </c>
      <c r="J4055">
        <v>1</v>
      </c>
      <c r="K4055">
        <v>3202000</v>
      </c>
      <c r="L4055" s="2" t="s">
        <v>7019</v>
      </c>
      <c r="M4055" t="s">
        <v>23</v>
      </c>
      <c r="N4055">
        <v>3051000</v>
      </c>
      <c r="O4055">
        <v>3.9</v>
      </c>
      <c r="P4055" t="b">
        <v>0</v>
      </c>
    </row>
    <row r="4056" spans="1:16" x14ac:dyDescent="0.2">
      <c r="A4056" t="s">
        <v>7020</v>
      </c>
      <c r="B4056" s="1">
        <v>45802</v>
      </c>
      <c r="C4056" s="1">
        <v>45851</v>
      </c>
      <c r="D4056" t="s">
        <v>2122</v>
      </c>
      <c r="E4056" t="s">
        <v>18</v>
      </c>
      <c r="F4056" t="s">
        <v>34</v>
      </c>
      <c r="G4056" t="s">
        <v>20</v>
      </c>
      <c r="H4056" t="s">
        <v>21</v>
      </c>
      <c r="I4056" t="s">
        <v>52</v>
      </c>
      <c r="J4056">
        <v>1</v>
      </c>
      <c r="K4056">
        <v>3336000</v>
      </c>
      <c r="L4056" s="2" t="s">
        <v>7021</v>
      </c>
      <c r="M4056" t="s">
        <v>23</v>
      </c>
      <c r="N4056">
        <v>3203000</v>
      </c>
      <c r="O4056">
        <v>4.5</v>
      </c>
      <c r="P4056" t="b">
        <v>1</v>
      </c>
    </row>
    <row r="4057" spans="1:16" x14ac:dyDescent="0.2">
      <c r="A4057" t="s">
        <v>7022</v>
      </c>
      <c r="B4057" s="1">
        <v>45802</v>
      </c>
      <c r="C4057" s="1">
        <v>45877</v>
      </c>
      <c r="D4057" t="s">
        <v>1649</v>
      </c>
      <c r="E4057" t="s">
        <v>45</v>
      </c>
      <c r="F4057" t="s">
        <v>34</v>
      </c>
      <c r="G4057" t="s">
        <v>20</v>
      </c>
      <c r="H4057" t="s">
        <v>21</v>
      </c>
      <c r="I4057" t="s">
        <v>83</v>
      </c>
      <c r="J4057">
        <v>3</v>
      </c>
      <c r="K4057">
        <v>4507000</v>
      </c>
      <c r="L4057">
        <v>4.6369711992478101E-2</v>
      </c>
      <c r="M4057" t="s">
        <v>23</v>
      </c>
      <c r="N4057">
        <v>12894000</v>
      </c>
      <c r="O4057">
        <v>4.4000000000000004</v>
      </c>
      <c r="P4057" t="b">
        <v>1</v>
      </c>
    </row>
    <row r="4058" spans="1:16" x14ac:dyDescent="0.2">
      <c r="A4058" t="s">
        <v>7023</v>
      </c>
      <c r="B4058" s="1">
        <v>45802</v>
      </c>
      <c r="C4058" s="1">
        <v>45856</v>
      </c>
      <c r="D4058" t="s">
        <v>6151</v>
      </c>
      <c r="E4058" t="s">
        <v>45</v>
      </c>
      <c r="F4058" t="s">
        <v>19</v>
      </c>
      <c r="G4058" t="s">
        <v>20</v>
      </c>
      <c r="H4058" t="s">
        <v>47</v>
      </c>
      <c r="I4058" t="s">
        <v>57</v>
      </c>
      <c r="J4058">
        <v>2</v>
      </c>
      <c r="K4058">
        <v>3343000</v>
      </c>
      <c r="L4058">
        <v>9.1360461951817601E-2</v>
      </c>
      <c r="M4058" t="s">
        <v>23</v>
      </c>
      <c r="N4058">
        <v>6075000</v>
      </c>
      <c r="O4058">
        <v>3</v>
      </c>
      <c r="P4058" t="b">
        <v>1</v>
      </c>
    </row>
    <row r="4059" spans="1:16" x14ac:dyDescent="0.2">
      <c r="A4059" t="s">
        <v>7024</v>
      </c>
      <c r="B4059" s="1">
        <v>45802</v>
      </c>
      <c r="C4059" s="1">
        <v>45839</v>
      </c>
      <c r="D4059" t="s">
        <v>462</v>
      </c>
      <c r="E4059" t="s">
        <v>18</v>
      </c>
      <c r="F4059" t="s">
        <v>45</v>
      </c>
      <c r="G4059" t="s">
        <v>20</v>
      </c>
      <c r="H4059" t="s">
        <v>47</v>
      </c>
      <c r="I4059" t="s">
        <v>1654</v>
      </c>
      <c r="J4059">
        <v>2</v>
      </c>
      <c r="K4059">
        <v>3205000</v>
      </c>
      <c r="L4059">
        <v>9.9360262232448301E-2</v>
      </c>
      <c r="M4059" t="s">
        <v>23</v>
      </c>
      <c r="N4059">
        <v>5773000</v>
      </c>
      <c r="O4059">
        <v>4.8</v>
      </c>
      <c r="P4059" t="b">
        <v>1</v>
      </c>
    </row>
    <row r="4060" spans="1:16" x14ac:dyDescent="0.2">
      <c r="A4060" t="s">
        <v>7025</v>
      </c>
      <c r="B4060" s="1">
        <v>45803</v>
      </c>
      <c r="C4060" s="1">
        <v>45812</v>
      </c>
      <c r="D4060" t="s">
        <v>3707</v>
      </c>
      <c r="E4060" t="s">
        <v>45</v>
      </c>
      <c r="F4060" t="s">
        <v>45</v>
      </c>
      <c r="G4060" t="s">
        <v>20</v>
      </c>
      <c r="H4060" t="s">
        <v>40</v>
      </c>
      <c r="I4060" t="s">
        <v>22</v>
      </c>
      <c r="J4060">
        <v>1</v>
      </c>
      <c r="K4060">
        <v>3268000</v>
      </c>
      <c r="L4060" s="3">
        <v>0.17399999999999999</v>
      </c>
      <c r="M4060" t="s">
        <v>23</v>
      </c>
      <c r="N4060">
        <v>2699000</v>
      </c>
      <c r="O4060">
        <v>4</v>
      </c>
      <c r="P4060" t="b">
        <v>1</v>
      </c>
    </row>
    <row r="4061" spans="1:16" x14ac:dyDescent="0.2">
      <c r="A4061" t="s">
        <v>7026</v>
      </c>
      <c r="B4061" s="1">
        <v>45803</v>
      </c>
      <c r="C4061" s="1">
        <v>45855</v>
      </c>
      <c r="D4061" t="s">
        <v>6971</v>
      </c>
      <c r="E4061" t="s">
        <v>33</v>
      </c>
      <c r="F4061" t="s">
        <v>39</v>
      </c>
      <c r="G4061" t="s">
        <v>50</v>
      </c>
      <c r="H4061" t="s">
        <v>47</v>
      </c>
      <c r="I4061" t="s">
        <v>60</v>
      </c>
      <c r="J4061">
        <v>1</v>
      </c>
      <c r="K4061">
        <v>2898000</v>
      </c>
      <c r="L4061" s="2" t="s">
        <v>7027</v>
      </c>
      <c r="M4061" t="s">
        <v>23</v>
      </c>
      <c r="N4061">
        <v>2450000</v>
      </c>
      <c r="O4061">
        <v>4.0999999999999996</v>
      </c>
      <c r="P4061" t="b">
        <v>1</v>
      </c>
    </row>
    <row r="4062" spans="1:16" x14ac:dyDescent="0.2">
      <c r="A4062" t="s">
        <v>7028</v>
      </c>
      <c r="B4062" s="1">
        <v>45803</v>
      </c>
      <c r="C4062" s="1">
        <v>45862</v>
      </c>
      <c r="D4062" t="s">
        <v>2698</v>
      </c>
      <c r="E4062" t="s">
        <v>29</v>
      </c>
      <c r="F4062" t="s">
        <v>68</v>
      </c>
      <c r="G4062" t="s">
        <v>20</v>
      </c>
      <c r="H4062" t="s">
        <v>21</v>
      </c>
      <c r="I4062" t="s">
        <v>60</v>
      </c>
      <c r="J4062">
        <v>3</v>
      </c>
      <c r="K4062">
        <v>2856000</v>
      </c>
      <c r="L4062">
        <v>9.8892628646013198E-2</v>
      </c>
      <c r="M4062" t="s">
        <v>23</v>
      </c>
      <c r="N4062">
        <v>7721000</v>
      </c>
      <c r="O4062">
        <v>4.2</v>
      </c>
      <c r="P4062" t="b">
        <v>1</v>
      </c>
    </row>
    <row r="4063" spans="1:16" x14ac:dyDescent="0.2">
      <c r="A4063" t="s">
        <v>7029</v>
      </c>
      <c r="B4063" s="1">
        <v>45803</v>
      </c>
      <c r="C4063" s="1">
        <v>45847</v>
      </c>
      <c r="D4063" t="s">
        <v>7030</v>
      </c>
      <c r="E4063" t="s">
        <v>45</v>
      </c>
      <c r="F4063" t="s">
        <v>25</v>
      </c>
      <c r="G4063" t="s">
        <v>20</v>
      </c>
      <c r="H4063" t="s">
        <v>40</v>
      </c>
      <c r="I4063" t="s">
        <v>94</v>
      </c>
      <c r="J4063">
        <v>3</v>
      </c>
      <c r="K4063">
        <v>4637000</v>
      </c>
      <c r="L4063" s="2" t="s">
        <v>7031</v>
      </c>
      <c r="M4063" t="s">
        <v>23</v>
      </c>
      <c r="N4063">
        <v>12291000</v>
      </c>
      <c r="O4063">
        <v>3.6</v>
      </c>
      <c r="P4063" t="b">
        <v>0</v>
      </c>
    </row>
    <row r="4064" spans="1:16" x14ac:dyDescent="0.2">
      <c r="A4064" t="s">
        <v>7032</v>
      </c>
      <c r="B4064" s="1">
        <v>45804</v>
      </c>
      <c r="C4064" s="1">
        <v>45851</v>
      </c>
      <c r="D4064" t="s">
        <v>361</v>
      </c>
      <c r="E4064" t="s">
        <v>45</v>
      </c>
      <c r="F4064" t="s">
        <v>45</v>
      </c>
      <c r="G4064" t="s">
        <v>35</v>
      </c>
      <c r="H4064" t="s">
        <v>21</v>
      </c>
      <c r="I4064" t="s">
        <v>52</v>
      </c>
      <c r="J4064">
        <v>2</v>
      </c>
      <c r="K4064">
        <v>3380000</v>
      </c>
      <c r="L4064">
        <v>7.8966260412901099E-2</v>
      </c>
      <c r="M4064" t="s">
        <v>23</v>
      </c>
      <c r="N4064">
        <v>6226000</v>
      </c>
      <c r="O4064">
        <v>4.5</v>
      </c>
      <c r="P4064" t="b">
        <v>1</v>
      </c>
    </row>
    <row r="4065" spans="1:16" x14ac:dyDescent="0.2">
      <c r="A4065" t="s">
        <v>7033</v>
      </c>
      <c r="B4065" s="1">
        <v>45804</v>
      </c>
      <c r="C4065" s="1">
        <v>45883</v>
      </c>
      <c r="D4065" t="s">
        <v>3645</v>
      </c>
      <c r="E4065" t="s">
        <v>18</v>
      </c>
      <c r="F4065" t="s">
        <v>19</v>
      </c>
      <c r="G4065" t="s">
        <v>35</v>
      </c>
      <c r="H4065" t="s">
        <v>47</v>
      </c>
      <c r="I4065" t="s">
        <v>26</v>
      </c>
      <c r="J4065">
        <v>4</v>
      </c>
      <c r="K4065">
        <v>2602000</v>
      </c>
      <c r="L4065">
        <v>9.0636799252012901E-2</v>
      </c>
      <c r="M4065" t="s">
        <v>65</v>
      </c>
      <c r="N4065">
        <v>0</v>
      </c>
      <c r="P4065" t="b">
        <v>1</v>
      </c>
    </row>
    <row r="4066" spans="1:16" x14ac:dyDescent="0.2">
      <c r="A4066" t="s">
        <v>7034</v>
      </c>
      <c r="B4066" s="1">
        <v>45804</v>
      </c>
      <c r="C4066" s="1">
        <v>45837</v>
      </c>
      <c r="D4066" t="s">
        <v>7035</v>
      </c>
      <c r="E4066" t="s">
        <v>45</v>
      </c>
      <c r="F4066" t="s">
        <v>45</v>
      </c>
      <c r="G4066" t="s">
        <v>20</v>
      </c>
      <c r="H4066" t="s">
        <v>51</v>
      </c>
      <c r="I4066" t="s">
        <v>26</v>
      </c>
      <c r="J4066">
        <v>2</v>
      </c>
      <c r="K4066">
        <v>3450000</v>
      </c>
      <c r="L4066">
        <v>6.9575532053757494E-2</v>
      </c>
      <c r="M4066" t="s">
        <v>23</v>
      </c>
      <c r="N4066">
        <v>6420000</v>
      </c>
      <c r="O4066">
        <v>4</v>
      </c>
      <c r="P4066" t="b">
        <v>0</v>
      </c>
    </row>
    <row r="4067" spans="1:16" x14ac:dyDescent="0.2">
      <c r="A4067" t="s">
        <v>7036</v>
      </c>
      <c r="B4067" s="1">
        <v>45804</v>
      </c>
      <c r="C4067" s="1">
        <v>45892</v>
      </c>
      <c r="D4067" t="s">
        <v>7037</v>
      </c>
      <c r="E4067" t="s">
        <v>29</v>
      </c>
      <c r="F4067" t="s">
        <v>45</v>
      </c>
      <c r="G4067" t="s">
        <v>35</v>
      </c>
      <c r="H4067" t="s">
        <v>21</v>
      </c>
      <c r="I4067" t="s">
        <v>26</v>
      </c>
      <c r="J4067">
        <v>2</v>
      </c>
      <c r="K4067">
        <v>4120000</v>
      </c>
      <c r="L4067">
        <v>9.5598204425428698E-2</v>
      </c>
      <c r="M4067" t="s">
        <v>23</v>
      </c>
      <c r="N4067">
        <v>7452000</v>
      </c>
      <c r="O4067">
        <v>4</v>
      </c>
      <c r="P4067" t="b">
        <v>0</v>
      </c>
    </row>
    <row r="4068" spans="1:16" x14ac:dyDescent="0.2">
      <c r="A4068" t="s">
        <v>7038</v>
      </c>
      <c r="B4068" s="1">
        <v>45806</v>
      </c>
      <c r="C4068" s="1">
        <v>45809</v>
      </c>
      <c r="D4068" t="s">
        <v>5147</v>
      </c>
      <c r="E4068" t="s">
        <v>18</v>
      </c>
      <c r="F4068" t="s">
        <v>34</v>
      </c>
      <c r="G4068" t="s">
        <v>20</v>
      </c>
      <c r="H4068" t="s">
        <v>40</v>
      </c>
      <c r="I4068" t="s">
        <v>77</v>
      </c>
      <c r="J4068">
        <v>2</v>
      </c>
      <c r="K4068">
        <v>4428000</v>
      </c>
      <c r="L4068" s="2" t="s">
        <v>7039</v>
      </c>
      <c r="M4068" t="s">
        <v>23</v>
      </c>
      <c r="N4068">
        <v>7839000</v>
      </c>
      <c r="O4068">
        <v>4.2</v>
      </c>
      <c r="P4068" t="b">
        <v>1</v>
      </c>
    </row>
    <row r="4069" spans="1:16" x14ac:dyDescent="0.2">
      <c r="A4069" t="s">
        <v>7040</v>
      </c>
      <c r="B4069" s="1">
        <v>45806</v>
      </c>
      <c r="C4069" s="1">
        <v>45873</v>
      </c>
      <c r="D4069" t="s">
        <v>7041</v>
      </c>
      <c r="E4069" t="s">
        <v>33</v>
      </c>
      <c r="F4069" t="s">
        <v>68</v>
      </c>
      <c r="G4069" t="s">
        <v>20</v>
      </c>
      <c r="I4069" t="s">
        <v>60</v>
      </c>
      <c r="J4069">
        <v>2</v>
      </c>
      <c r="K4069">
        <v>2626000</v>
      </c>
      <c r="L4069" s="2" t="s">
        <v>7042</v>
      </c>
      <c r="M4069" t="s">
        <v>23</v>
      </c>
      <c r="N4069">
        <v>4692000</v>
      </c>
      <c r="O4069">
        <v>4.5</v>
      </c>
      <c r="P4069" t="b">
        <v>0</v>
      </c>
    </row>
    <row r="4070" spans="1:16" x14ac:dyDescent="0.2">
      <c r="A4070" t="s">
        <v>7043</v>
      </c>
      <c r="B4070" s="1">
        <v>45806</v>
      </c>
      <c r="C4070" s="1">
        <v>45842</v>
      </c>
      <c r="D4070" t="s">
        <v>2733</v>
      </c>
      <c r="E4070" t="s">
        <v>18</v>
      </c>
      <c r="F4070" t="s">
        <v>34</v>
      </c>
      <c r="G4070" t="s">
        <v>35</v>
      </c>
      <c r="H4070" t="s">
        <v>51</v>
      </c>
      <c r="I4070" t="s">
        <v>26</v>
      </c>
      <c r="J4070">
        <v>1</v>
      </c>
      <c r="K4070">
        <v>4436000</v>
      </c>
      <c r="L4070" s="2" t="s">
        <v>7044</v>
      </c>
      <c r="M4070" t="s">
        <v>23</v>
      </c>
      <c r="N4070">
        <v>4272000</v>
      </c>
      <c r="O4070">
        <v>4.3</v>
      </c>
      <c r="P4070" t="b">
        <v>1</v>
      </c>
    </row>
    <row r="4071" spans="1:16" x14ac:dyDescent="0.2">
      <c r="A4071" t="s">
        <v>7045</v>
      </c>
      <c r="B4071" s="1">
        <v>45807</v>
      </c>
      <c r="C4071" s="1">
        <v>45865</v>
      </c>
      <c r="D4071" t="s">
        <v>4559</v>
      </c>
      <c r="E4071" t="s">
        <v>18</v>
      </c>
      <c r="F4071" t="s">
        <v>39</v>
      </c>
      <c r="G4071" t="s">
        <v>20</v>
      </c>
      <c r="H4071" t="s">
        <v>21</v>
      </c>
      <c r="I4071" t="s">
        <v>60</v>
      </c>
      <c r="J4071">
        <v>3</v>
      </c>
      <c r="K4071">
        <v>2874000</v>
      </c>
      <c r="L4071" s="2" t="s">
        <v>7046</v>
      </c>
      <c r="M4071" t="s">
        <v>65</v>
      </c>
      <c r="N4071">
        <v>0</v>
      </c>
      <c r="P4071" t="b">
        <v>1</v>
      </c>
    </row>
    <row r="4072" spans="1:16" x14ac:dyDescent="0.2">
      <c r="A4072" t="s">
        <v>7047</v>
      </c>
      <c r="B4072" s="1">
        <v>45807</v>
      </c>
      <c r="C4072" s="1">
        <v>45881</v>
      </c>
      <c r="D4072" t="s">
        <v>5446</v>
      </c>
      <c r="E4072" t="s">
        <v>29</v>
      </c>
      <c r="F4072" t="s">
        <v>39</v>
      </c>
      <c r="G4072" t="s">
        <v>50</v>
      </c>
      <c r="H4072" t="s">
        <v>21</v>
      </c>
      <c r="I4072" t="s">
        <v>30</v>
      </c>
      <c r="J4072">
        <v>3</v>
      </c>
      <c r="K4072">
        <v>2874000</v>
      </c>
      <c r="L4072" s="2" t="s">
        <v>7048</v>
      </c>
      <c r="M4072" t="s">
        <v>23</v>
      </c>
      <c r="N4072">
        <v>8294000</v>
      </c>
      <c r="O4072">
        <v>4.5999999999999996</v>
      </c>
      <c r="P4072" t="b">
        <v>1</v>
      </c>
    </row>
    <row r="4073" spans="1:16" x14ac:dyDescent="0.2">
      <c r="A4073" t="s">
        <v>7049</v>
      </c>
      <c r="B4073" s="1">
        <v>45807</v>
      </c>
      <c r="C4073" s="1">
        <v>45844</v>
      </c>
      <c r="D4073" t="s">
        <v>1093</v>
      </c>
      <c r="E4073" t="s">
        <v>29</v>
      </c>
      <c r="F4073" t="s">
        <v>68</v>
      </c>
      <c r="G4073" t="s">
        <v>20</v>
      </c>
      <c r="H4073" t="s">
        <v>21</v>
      </c>
      <c r="I4073" t="s">
        <v>1654</v>
      </c>
      <c r="J4073">
        <v>1</v>
      </c>
      <c r="K4073">
        <v>3496000</v>
      </c>
      <c r="L4073" s="2" t="s">
        <v>7050</v>
      </c>
      <c r="M4073" t="s">
        <v>23</v>
      </c>
      <c r="N4073">
        <v>3086000</v>
      </c>
      <c r="O4073">
        <v>4</v>
      </c>
      <c r="P4073" t="b">
        <v>1</v>
      </c>
    </row>
    <row r="4074" spans="1:16" x14ac:dyDescent="0.2">
      <c r="A4074" t="s">
        <v>7051</v>
      </c>
      <c r="B4074" s="1">
        <v>45807</v>
      </c>
      <c r="C4074" s="1">
        <v>45834</v>
      </c>
      <c r="D4074" t="s">
        <v>2507</v>
      </c>
      <c r="E4074" t="s">
        <v>18</v>
      </c>
      <c r="F4074" t="s">
        <v>25</v>
      </c>
      <c r="G4074" t="s">
        <v>20</v>
      </c>
      <c r="H4074" t="s">
        <v>21</v>
      </c>
      <c r="I4074" t="s">
        <v>57</v>
      </c>
      <c r="J4074">
        <v>1</v>
      </c>
      <c r="K4074">
        <v>5301000</v>
      </c>
      <c r="L4074">
        <v>9.1007681511329402E-2</v>
      </c>
      <c r="M4074" t="s">
        <v>23</v>
      </c>
      <c r="N4074">
        <v>4819000</v>
      </c>
      <c r="O4074">
        <v>4.4000000000000004</v>
      </c>
      <c r="P4074" t="b">
        <v>1</v>
      </c>
    </row>
    <row r="4075" spans="1:16" x14ac:dyDescent="0.2">
      <c r="A4075" t="s">
        <v>7052</v>
      </c>
      <c r="B4075" s="1">
        <v>45807</v>
      </c>
      <c r="C4075" s="1">
        <v>45807</v>
      </c>
      <c r="D4075" t="s">
        <v>6314</v>
      </c>
      <c r="E4075" t="s">
        <v>18</v>
      </c>
      <c r="F4075" t="s">
        <v>34</v>
      </c>
      <c r="G4075" t="s">
        <v>35</v>
      </c>
      <c r="H4075" t="s">
        <v>51</v>
      </c>
      <c r="I4075" t="s">
        <v>26</v>
      </c>
      <c r="J4075">
        <v>1</v>
      </c>
      <c r="K4075">
        <v>3970000</v>
      </c>
      <c r="L4075">
        <v>8.5817856836440901E-2</v>
      </c>
      <c r="M4075" t="s">
        <v>23</v>
      </c>
      <c r="N4075">
        <v>3629000</v>
      </c>
      <c r="O4075">
        <v>4.5</v>
      </c>
      <c r="P4075" t="b">
        <v>1</v>
      </c>
    </row>
    <row r="4076" spans="1:16" x14ac:dyDescent="0.2">
      <c r="A4076" t="s">
        <v>7053</v>
      </c>
      <c r="B4076" s="1">
        <v>45808</v>
      </c>
      <c r="C4076" s="1">
        <v>45836</v>
      </c>
      <c r="D4076" t="s">
        <v>3887</v>
      </c>
      <c r="E4076" t="s">
        <v>33</v>
      </c>
      <c r="F4076" t="s">
        <v>45</v>
      </c>
      <c r="G4076" t="s">
        <v>35</v>
      </c>
      <c r="H4076" t="s">
        <v>40</v>
      </c>
      <c r="I4076" t="s">
        <v>60</v>
      </c>
      <c r="J4076">
        <v>2</v>
      </c>
      <c r="K4076">
        <v>3510000</v>
      </c>
      <c r="L4076" s="2" t="s">
        <v>7054</v>
      </c>
      <c r="M4076" t="s">
        <v>23</v>
      </c>
      <c r="N4076">
        <v>6286000</v>
      </c>
      <c r="O4076">
        <v>4.8</v>
      </c>
      <c r="P4076" t="b">
        <v>1</v>
      </c>
    </row>
    <row r="4077" spans="1:16" x14ac:dyDescent="0.2">
      <c r="A4077" t="s">
        <v>7055</v>
      </c>
      <c r="B4077" s="1">
        <v>45808</v>
      </c>
      <c r="C4077" s="1">
        <v>45866</v>
      </c>
      <c r="D4077" t="s">
        <v>3149</v>
      </c>
      <c r="E4077" t="s">
        <v>18</v>
      </c>
      <c r="F4077" t="s">
        <v>25</v>
      </c>
      <c r="G4077" t="s">
        <v>20</v>
      </c>
      <c r="H4077" t="s">
        <v>21</v>
      </c>
      <c r="I4077" t="s">
        <v>77</v>
      </c>
      <c r="J4077">
        <v>1</v>
      </c>
      <c r="K4077">
        <v>5650000</v>
      </c>
      <c r="L4077" s="2" t="s">
        <v>7056</v>
      </c>
      <c r="M4077" t="s">
        <v>23</v>
      </c>
      <c r="N4077">
        <v>5562000</v>
      </c>
      <c r="O4077">
        <v>3.7</v>
      </c>
      <c r="P4077" t="b">
        <v>1</v>
      </c>
    </row>
    <row r="4078" spans="1:16" x14ac:dyDescent="0.2">
      <c r="A4078" t="s">
        <v>7057</v>
      </c>
      <c r="B4078" s="1">
        <v>45808</v>
      </c>
      <c r="C4078" s="1">
        <v>45850</v>
      </c>
      <c r="D4078" t="s">
        <v>7058</v>
      </c>
      <c r="E4078" t="s">
        <v>18</v>
      </c>
      <c r="F4078" t="s">
        <v>25</v>
      </c>
      <c r="G4078" t="s">
        <v>20</v>
      </c>
      <c r="H4078" t="s">
        <v>21</v>
      </c>
      <c r="I4078" t="s">
        <v>94</v>
      </c>
      <c r="J4078">
        <v>1</v>
      </c>
      <c r="K4078">
        <v>4957000</v>
      </c>
      <c r="L4078" s="2" t="s">
        <v>7059</v>
      </c>
      <c r="M4078" t="s">
        <v>23</v>
      </c>
      <c r="N4078">
        <v>4433000</v>
      </c>
      <c r="O4078">
        <v>4</v>
      </c>
      <c r="P4078" t="b">
        <v>0</v>
      </c>
    </row>
    <row r="4079" spans="1:16" x14ac:dyDescent="0.2">
      <c r="A4079" t="s">
        <v>7060</v>
      </c>
      <c r="B4079" s="1">
        <v>45808</v>
      </c>
      <c r="C4079" s="1">
        <v>45888</v>
      </c>
      <c r="D4079" t="s">
        <v>3501</v>
      </c>
      <c r="E4079" t="s">
        <v>18</v>
      </c>
      <c r="F4079" t="s">
        <v>45</v>
      </c>
      <c r="G4079" t="s">
        <v>20</v>
      </c>
      <c r="H4079" t="s">
        <v>21</v>
      </c>
      <c r="I4079" t="s">
        <v>94</v>
      </c>
      <c r="J4079">
        <v>1</v>
      </c>
      <c r="K4079">
        <v>3363000</v>
      </c>
      <c r="L4079">
        <v>6.0504696559254501E-2</v>
      </c>
      <c r="M4079" t="s">
        <v>23</v>
      </c>
      <c r="N4079">
        <v>3160000</v>
      </c>
      <c r="O4079">
        <v>4.5</v>
      </c>
      <c r="P4079" t="b">
        <v>1</v>
      </c>
    </row>
    <row r="4080" spans="1:16" x14ac:dyDescent="0.2">
      <c r="A4080" t="s">
        <v>7061</v>
      </c>
      <c r="B4080" s="1">
        <v>45809</v>
      </c>
      <c r="C4080" s="1">
        <v>45848</v>
      </c>
      <c r="D4080" t="s">
        <v>2000</v>
      </c>
      <c r="E4080" t="s">
        <v>18</v>
      </c>
      <c r="F4080" t="s">
        <v>34</v>
      </c>
      <c r="G4080" t="s">
        <v>35</v>
      </c>
      <c r="H4080" t="s">
        <v>47</v>
      </c>
      <c r="I4080" t="s">
        <v>52</v>
      </c>
      <c r="J4080">
        <v>1</v>
      </c>
      <c r="K4080">
        <v>3580000</v>
      </c>
      <c r="L4080" s="2" t="s">
        <v>7062</v>
      </c>
      <c r="M4080" t="s">
        <v>23</v>
      </c>
      <c r="N4080">
        <v>3074000</v>
      </c>
      <c r="O4080">
        <v>3.8</v>
      </c>
      <c r="P4080" t="b">
        <v>1</v>
      </c>
    </row>
    <row r="4081" spans="1:16" x14ac:dyDescent="0.2">
      <c r="A4081" t="s">
        <v>7063</v>
      </c>
      <c r="B4081" s="1">
        <v>45809</v>
      </c>
      <c r="C4081" s="1">
        <v>45866</v>
      </c>
      <c r="D4081" t="s">
        <v>7064</v>
      </c>
      <c r="E4081" t="s">
        <v>33</v>
      </c>
      <c r="F4081" t="s">
        <v>45</v>
      </c>
      <c r="G4081" t="s">
        <v>35</v>
      </c>
      <c r="H4081" t="s">
        <v>21</v>
      </c>
      <c r="I4081" t="s">
        <v>1654</v>
      </c>
      <c r="J4081">
        <v>1</v>
      </c>
      <c r="K4081">
        <v>3116000</v>
      </c>
      <c r="L4081" s="3">
        <v>9.8000000000000004E-2</v>
      </c>
      <c r="M4081" t="s">
        <v>65</v>
      </c>
      <c r="N4081">
        <v>0</v>
      </c>
      <c r="P4081" t="b">
        <v>0</v>
      </c>
    </row>
    <row r="4082" spans="1:16" x14ac:dyDescent="0.2">
      <c r="A4082" t="s">
        <v>7065</v>
      </c>
      <c r="B4082" s="1">
        <v>45809</v>
      </c>
      <c r="C4082" s="1">
        <v>45847</v>
      </c>
      <c r="D4082" t="s">
        <v>6248</v>
      </c>
      <c r="F4082" t="s">
        <v>19</v>
      </c>
      <c r="G4082" t="s">
        <v>35</v>
      </c>
      <c r="H4082" t="s">
        <v>40</v>
      </c>
      <c r="I4082" t="s">
        <v>60</v>
      </c>
      <c r="J4082">
        <v>1</v>
      </c>
      <c r="K4082">
        <v>3100000</v>
      </c>
      <c r="L4082" s="2" t="s">
        <v>7066</v>
      </c>
      <c r="M4082" t="s">
        <v>23</v>
      </c>
      <c r="N4082">
        <v>2618000</v>
      </c>
      <c r="O4082">
        <v>4.7</v>
      </c>
      <c r="P4082" t="b">
        <v>1</v>
      </c>
    </row>
    <row r="4083" spans="1:16" x14ac:dyDescent="0.2">
      <c r="A4083" t="s">
        <v>7067</v>
      </c>
      <c r="B4083" s="1">
        <v>45809</v>
      </c>
      <c r="C4083" s="1">
        <v>45855</v>
      </c>
      <c r="D4083" t="s">
        <v>489</v>
      </c>
      <c r="E4083" t="s">
        <v>45</v>
      </c>
      <c r="F4083" t="s">
        <v>19</v>
      </c>
      <c r="G4083" t="s">
        <v>35</v>
      </c>
      <c r="H4083" t="s">
        <v>40</v>
      </c>
      <c r="I4083" t="s">
        <v>52</v>
      </c>
      <c r="J4083">
        <v>2</v>
      </c>
      <c r="K4083">
        <v>2807000</v>
      </c>
      <c r="L4083" s="2" t="s">
        <v>7068</v>
      </c>
      <c r="M4083" t="s">
        <v>23</v>
      </c>
      <c r="N4083">
        <v>4986000</v>
      </c>
      <c r="O4083">
        <v>4.0999999999999996</v>
      </c>
      <c r="P4083" t="b">
        <v>1</v>
      </c>
    </row>
    <row r="4084" spans="1:16" x14ac:dyDescent="0.2">
      <c r="A4084" t="s">
        <v>7069</v>
      </c>
      <c r="B4084" s="1">
        <v>45809</v>
      </c>
      <c r="C4084" s="1">
        <v>45854</v>
      </c>
      <c r="D4084" t="s">
        <v>2486</v>
      </c>
      <c r="E4084" t="s">
        <v>33</v>
      </c>
      <c r="F4084" t="s">
        <v>25</v>
      </c>
      <c r="G4084" t="s">
        <v>35</v>
      </c>
      <c r="H4084" t="s">
        <v>51</v>
      </c>
      <c r="I4084" t="s">
        <v>30</v>
      </c>
      <c r="J4084">
        <v>1</v>
      </c>
      <c r="K4084">
        <v>5603000</v>
      </c>
      <c r="L4084">
        <v>8.7673273492933995E-2</v>
      </c>
      <c r="M4084" t="s">
        <v>23</v>
      </c>
      <c r="N4084">
        <v>5112000</v>
      </c>
      <c r="O4084">
        <v>4.8</v>
      </c>
      <c r="P4084" t="b">
        <v>1</v>
      </c>
    </row>
    <row r="4085" spans="1:16" x14ac:dyDescent="0.2">
      <c r="A4085" t="s">
        <v>7070</v>
      </c>
      <c r="B4085" s="1">
        <v>45809</v>
      </c>
      <c r="C4085" s="1">
        <v>45845</v>
      </c>
      <c r="D4085" t="s">
        <v>7071</v>
      </c>
      <c r="E4085" t="s">
        <v>45</v>
      </c>
      <c r="F4085" t="s">
        <v>45</v>
      </c>
      <c r="G4085" t="s">
        <v>20</v>
      </c>
      <c r="H4085" t="s">
        <v>47</v>
      </c>
      <c r="I4085" t="s">
        <v>77</v>
      </c>
      <c r="J4085">
        <v>1</v>
      </c>
      <c r="K4085">
        <v>4128000</v>
      </c>
      <c r="L4085" s="2" t="s">
        <v>7072</v>
      </c>
      <c r="M4085" t="s">
        <v>23</v>
      </c>
      <c r="N4085">
        <v>3708000</v>
      </c>
      <c r="O4085">
        <v>4.2</v>
      </c>
      <c r="P4085" t="b">
        <v>0</v>
      </c>
    </row>
    <row r="4086" spans="1:16" x14ac:dyDescent="0.2">
      <c r="A4086" t="s">
        <v>7073</v>
      </c>
      <c r="B4086" s="1">
        <v>45694</v>
      </c>
      <c r="C4086" s="1">
        <v>45872</v>
      </c>
      <c r="D4086" t="s">
        <v>1072</v>
      </c>
      <c r="E4086" t="s">
        <v>45</v>
      </c>
      <c r="F4086" t="s">
        <v>34</v>
      </c>
      <c r="G4086" t="s">
        <v>20</v>
      </c>
      <c r="H4086" t="s">
        <v>21</v>
      </c>
      <c r="I4086" t="s">
        <v>52</v>
      </c>
      <c r="J4086">
        <v>2</v>
      </c>
      <c r="K4086">
        <v>3263000</v>
      </c>
      <c r="L4086">
        <v>9.2158430014023199E-2</v>
      </c>
      <c r="M4086" t="s">
        <v>23</v>
      </c>
      <c r="N4086">
        <v>5925000</v>
      </c>
      <c r="O4086">
        <v>3.9</v>
      </c>
      <c r="P4086" t="b">
        <v>1</v>
      </c>
    </row>
    <row r="4087" spans="1:16" x14ac:dyDescent="0.2">
      <c r="A4087" t="s">
        <v>7074</v>
      </c>
      <c r="B4087" s="1">
        <v>45810</v>
      </c>
      <c r="C4087" s="1">
        <v>45839</v>
      </c>
      <c r="D4087" t="s">
        <v>2548</v>
      </c>
      <c r="E4087" t="s">
        <v>18</v>
      </c>
      <c r="F4087" t="s">
        <v>34</v>
      </c>
      <c r="G4087" t="s">
        <v>20</v>
      </c>
      <c r="H4087" t="s">
        <v>51</v>
      </c>
      <c r="I4087" t="s">
        <v>52</v>
      </c>
      <c r="J4087">
        <v>2</v>
      </c>
      <c r="K4087">
        <v>3530000</v>
      </c>
      <c r="L4087">
        <v>7.2084381084265597E-2</v>
      </c>
      <c r="M4087" t="s">
        <v>23</v>
      </c>
      <c r="N4087">
        <v>6551000</v>
      </c>
      <c r="O4087">
        <v>3.7</v>
      </c>
      <c r="P4087" t="b">
        <v>1</v>
      </c>
    </row>
    <row r="4088" spans="1:16" x14ac:dyDescent="0.2">
      <c r="A4088" t="s">
        <v>7075</v>
      </c>
      <c r="B4088" s="1">
        <v>45810</v>
      </c>
      <c r="C4088" s="1">
        <v>45923</v>
      </c>
      <c r="D4088" t="s">
        <v>6528</v>
      </c>
      <c r="E4088" t="s">
        <v>33</v>
      </c>
      <c r="F4088" t="s">
        <v>68</v>
      </c>
      <c r="G4088" t="s">
        <v>50</v>
      </c>
      <c r="H4088" t="s">
        <v>21</v>
      </c>
      <c r="I4088" t="s">
        <v>77</v>
      </c>
      <c r="J4088">
        <v>1</v>
      </c>
      <c r="K4088">
        <v>2452000</v>
      </c>
      <c r="L4088" s="2" t="s">
        <v>7076</v>
      </c>
      <c r="M4088" t="s">
        <v>1656</v>
      </c>
      <c r="N4088">
        <v>2161000</v>
      </c>
      <c r="O4088">
        <v>4</v>
      </c>
      <c r="P4088" t="b">
        <v>1</v>
      </c>
    </row>
    <row r="4089" spans="1:16" x14ac:dyDescent="0.2">
      <c r="A4089" t="s">
        <v>7077</v>
      </c>
      <c r="B4089" s="1">
        <v>45811</v>
      </c>
      <c r="C4089" s="1">
        <v>45857</v>
      </c>
      <c r="D4089" t="s">
        <v>70</v>
      </c>
      <c r="F4089" t="s">
        <v>34</v>
      </c>
      <c r="G4089" t="s">
        <v>35</v>
      </c>
      <c r="H4089" t="s">
        <v>40</v>
      </c>
      <c r="I4089" t="s">
        <v>57</v>
      </c>
      <c r="J4089">
        <v>1</v>
      </c>
      <c r="K4089">
        <v>4686000</v>
      </c>
      <c r="L4089" s="2" t="s">
        <v>7078</v>
      </c>
      <c r="M4089" t="s">
        <v>23</v>
      </c>
      <c r="N4089">
        <v>4148000</v>
      </c>
      <c r="O4089">
        <v>4.2</v>
      </c>
      <c r="P4089" t="b">
        <v>1</v>
      </c>
    </row>
    <row r="4090" spans="1:16" x14ac:dyDescent="0.2">
      <c r="A4090" t="s">
        <v>7079</v>
      </c>
      <c r="B4090" s="1">
        <v>45812</v>
      </c>
      <c r="C4090" s="1">
        <v>45863</v>
      </c>
      <c r="D4090" t="s">
        <v>2651</v>
      </c>
      <c r="E4090" t="s">
        <v>18</v>
      </c>
      <c r="F4090" t="s">
        <v>45</v>
      </c>
      <c r="G4090" t="s">
        <v>50</v>
      </c>
      <c r="H4090" t="s">
        <v>21</v>
      </c>
      <c r="I4090" t="s">
        <v>57</v>
      </c>
      <c r="J4090">
        <v>3</v>
      </c>
      <c r="K4090">
        <v>3910000</v>
      </c>
      <c r="L4090" s="2" t="s">
        <v>7080</v>
      </c>
      <c r="M4090" t="s">
        <v>23</v>
      </c>
      <c r="N4090">
        <v>10482000</v>
      </c>
      <c r="O4090">
        <v>4</v>
      </c>
      <c r="P4090" t="b">
        <v>1</v>
      </c>
    </row>
    <row r="4091" spans="1:16" x14ac:dyDescent="0.2">
      <c r="A4091" t="s">
        <v>7081</v>
      </c>
      <c r="B4091" s="1">
        <v>45813</v>
      </c>
      <c r="C4091" s="1">
        <v>45850</v>
      </c>
      <c r="D4091" t="s">
        <v>7082</v>
      </c>
      <c r="E4091" t="s">
        <v>45</v>
      </c>
      <c r="F4091" t="s">
        <v>19</v>
      </c>
      <c r="G4091" t="s">
        <v>50</v>
      </c>
      <c r="H4091" t="s">
        <v>21</v>
      </c>
      <c r="I4091" t="s">
        <v>77</v>
      </c>
      <c r="J4091">
        <v>4</v>
      </c>
      <c r="K4091">
        <v>2982000</v>
      </c>
      <c r="L4091" s="2" t="s">
        <v>7083</v>
      </c>
      <c r="M4091" t="s">
        <v>23</v>
      </c>
      <c r="N4091">
        <v>10204000</v>
      </c>
      <c r="O4091">
        <v>4.3</v>
      </c>
      <c r="P4091" t="b">
        <v>0</v>
      </c>
    </row>
    <row r="4092" spans="1:16" x14ac:dyDescent="0.2">
      <c r="A4092" t="s">
        <v>7084</v>
      </c>
      <c r="B4092" s="1">
        <v>45813</v>
      </c>
      <c r="C4092" s="1">
        <v>45859</v>
      </c>
      <c r="D4092" t="s">
        <v>2313</v>
      </c>
      <c r="E4092" t="s">
        <v>45</v>
      </c>
      <c r="F4092" t="s">
        <v>34</v>
      </c>
      <c r="G4092" t="s">
        <v>50</v>
      </c>
      <c r="I4092" t="s">
        <v>26</v>
      </c>
      <c r="J4092">
        <v>5</v>
      </c>
      <c r="K4092">
        <v>4346000</v>
      </c>
      <c r="L4092">
        <v>8.3318518367196795E-2</v>
      </c>
      <c r="M4092" t="s">
        <v>23</v>
      </c>
      <c r="N4092">
        <v>19919000</v>
      </c>
      <c r="O4092">
        <v>4.5999999999999996</v>
      </c>
      <c r="P4092" t="b">
        <v>1</v>
      </c>
    </row>
    <row r="4093" spans="1:16" x14ac:dyDescent="0.2">
      <c r="A4093" t="s">
        <v>7085</v>
      </c>
      <c r="B4093" s="1">
        <v>45813</v>
      </c>
      <c r="C4093" s="1">
        <v>45846</v>
      </c>
      <c r="D4093" t="s">
        <v>2625</v>
      </c>
      <c r="E4093" t="s">
        <v>18</v>
      </c>
      <c r="F4093" t="s">
        <v>45</v>
      </c>
      <c r="G4093" t="s">
        <v>50</v>
      </c>
      <c r="H4093" t="s">
        <v>51</v>
      </c>
      <c r="I4093" t="s">
        <v>83</v>
      </c>
      <c r="J4093">
        <v>1</v>
      </c>
      <c r="K4093">
        <v>2945000</v>
      </c>
      <c r="L4093">
        <v>8.5670663145940601E-2</v>
      </c>
      <c r="M4093" t="s">
        <v>23</v>
      </c>
      <c r="N4093">
        <v>2693000</v>
      </c>
      <c r="O4093">
        <v>4.0999999999999996</v>
      </c>
      <c r="P4093" t="b">
        <v>1</v>
      </c>
    </row>
    <row r="4094" spans="1:16" x14ac:dyDescent="0.2">
      <c r="A4094" t="s">
        <v>7086</v>
      </c>
      <c r="B4094" s="1">
        <v>45813</v>
      </c>
      <c r="C4094" s="1">
        <v>45915</v>
      </c>
      <c r="D4094" t="s">
        <v>6154</v>
      </c>
      <c r="E4094" t="s">
        <v>45</v>
      </c>
      <c r="F4094" t="s">
        <v>45</v>
      </c>
      <c r="G4094" t="s">
        <v>20</v>
      </c>
      <c r="H4094" t="s">
        <v>40</v>
      </c>
      <c r="I4094" t="s">
        <v>60</v>
      </c>
      <c r="J4094">
        <v>1</v>
      </c>
      <c r="K4094">
        <v>3417000</v>
      </c>
      <c r="L4094" s="2" t="s">
        <v>7087</v>
      </c>
      <c r="M4094" t="s">
        <v>23</v>
      </c>
      <c r="N4094">
        <v>2880000</v>
      </c>
      <c r="O4094">
        <v>4</v>
      </c>
      <c r="P4094" t="b">
        <v>1</v>
      </c>
    </row>
    <row r="4095" spans="1:16" x14ac:dyDescent="0.2">
      <c r="A4095" t="s">
        <v>7088</v>
      </c>
      <c r="B4095" s="1">
        <v>45814</v>
      </c>
      <c r="C4095" s="1">
        <v>45853</v>
      </c>
      <c r="D4095" t="s">
        <v>7089</v>
      </c>
      <c r="E4095" t="s">
        <v>18</v>
      </c>
      <c r="F4095" t="s">
        <v>68</v>
      </c>
      <c r="G4095" t="s">
        <v>20</v>
      </c>
      <c r="H4095" t="s">
        <v>47</v>
      </c>
      <c r="I4095" t="s">
        <v>99</v>
      </c>
      <c r="J4095">
        <v>1</v>
      </c>
      <c r="K4095">
        <v>2642000</v>
      </c>
      <c r="L4095" s="2" t="s">
        <v>7090</v>
      </c>
      <c r="M4095" t="s">
        <v>65</v>
      </c>
      <c r="N4095">
        <v>0</v>
      </c>
      <c r="P4095" t="b">
        <v>0</v>
      </c>
    </row>
    <row r="4096" spans="1:16" x14ac:dyDescent="0.2">
      <c r="A4096" t="s">
        <v>7091</v>
      </c>
      <c r="B4096" s="1">
        <v>45814</v>
      </c>
      <c r="C4096" s="1">
        <v>45862</v>
      </c>
      <c r="D4096" t="s">
        <v>3683</v>
      </c>
      <c r="E4096" t="s">
        <v>18</v>
      </c>
      <c r="F4096" t="s">
        <v>45</v>
      </c>
      <c r="G4096" t="s">
        <v>50</v>
      </c>
      <c r="H4096" t="s">
        <v>21</v>
      </c>
      <c r="I4096" t="s">
        <v>83</v>
      </c>
      <c r="J4096">
        <v>1</v>
      </c>
      <c r="K4096">
        <v>2658000</v>
      </c>
      <c r="L4096">
        <v>8.1724282064716602E-2</v>
      </c>
      <c r="M4096" t="s">
        <v>23</v>
      </c>
      <c r="N4096">
        <v>2441000</v>
      </c>
      <c r="O4096">
        <v>4.3</v>
      </c>
      <c r="P4096" t="b">
        <v>1</v>
      </c>
    </row>
    <row r="4097" spans="1:16" x14ac:dyDescent="0.2">
      <c r="A4097" t="s">
        <v>7092</v>
      </c>
      <c r="B4097" s="1">
        <v>45814</v>
      </c>
      <c r="C4097" s="1">
        <v>45833</v>
      </c>
      <c r="D4097" t="s">
        <v>7093</v>
      </c>
      <c r="E4097" t="s">
        <v>45</v>
      </c>
      <c r="F4097" t="s">
        <v>45</v>
      </c>
      <c r="G4097" t="s">
        <v>35</v>
      </c>
      <c r="H4097" t="s">
        <v>47</v>
      </c>
      <c r="I4097" t="s">
        <v>77</v>
      </c>
      <c r="J4097">
        <v>5</v>
      </c>
      <c r="K4097">
        <v>3581000</v>
      </c>
      <c r="L4097">
        <v>5.2594481245739497E-2</v>
      </c>
      <c r="M4097" t="s">
        <v>65</v>
      </c>
      <c r="N4097">
        <v>0</v>
      </c>
      <c r="P4097" t="b">
        <v>0</v>
      </c>
    </row>
    <row r="4098" spans="1:16" x14ac:dyDescent="0.2">
      <c r="A4098" t="s">
        <v>7094</v>
      </c>
      <c r="B4098" s="1">
        <v>45814</v>
      </c>
      <c r="C4098" s="1">
        <v>45864</v>
      </c>
      <c r="D4098" t="s">
        <v>5471</v>
      </c>
      <c r="F4098" t="s">
        <v>25</v>
      </c>
      <c r="G4098" t="s">
        <v>35</v>
      </c>
      <c r="H4098" t="s">
        <v>21</v>
      </c>
      <c r="J4098">
        <v>2</v>
      </c>
      <c r="K4098">
        <v>4843000</v>
      </c>
      <c r="L4098" s="2" t="s">
        <v>7095</v>
      </c>
      <c r="M4098" t="s">
        <v>23</v>
      </c>
      <c r="N4098">
        <v>8131000</v>
      </c>
      <c r="O4098">
        <v>4.5999999999999996</v>
      </c>
      <c r="P4098" t="b">
        <v>1</v>
      </c>
    </row>
    <row r="4099" spans="1:16" x14ac:dyDescent="0.2">
      <c r="A4099" t="s">
        <v>7096</v>
      </c>
      <c r="B4099" s="1">
        <v>45815</v>
      </c>
      <c r="C4099" s="1">
        <v>45852</v>
      </c>
      <c r="D4099" t="s">
        <v>6343</v>
      </c>
      <c r="E4099" t="s">
        <v>18</v>
      </c>
      <c r="F4099" t="s">
        <v>19</v>
      </c>
      <c r="G4099" t="s">
        <v>35</v>
      </c>
      <c r="H4099" t="s">
        <v>21</v>
      </c>
      <c r="I4099" t="s">
        <v>52</v>
      </c>
      <c r="J4099">
        <v>2</v>
      </c>
      <c r="K4099">
        <v>2677000</v>
      </c>
      <c r="L4099" s="2" t="s">
        <v>7097</v>
      </c>
      <c r="M4099" t="s">
        <v>23</v>
      </c>
      <c r="N4099">
        <v>4670000</v>
      </c>
      <c r="O4099">
        <v>4.5999999999999996</v>
      </c>
      <c r="P4099" t="b">
        <v>1</v>
      </c>
    </row>
    <row r="4100" spans="1:16" x14ac:dyDescent="0.2">
      <c r="A4100" t="s">
        <v>7098</v>
      </c>
      <c r="B4100" s="1">
        <v>45815</v>
      </c>
      <c r="C4100" s="1">
        <v>45879</v>
      </c>
      <c r="D4100" t="s">
        <v>7099</v>
      </c>
      <c r="E4100" t="s">
        <v>29</v>
      </c>
      <c r="F4100" t="s">
        <v>34</v>
      </c>
      <c r="G4100" t="s">
        <v>20</v>
      </c>
      <c r="H4100" t="s">
        <v>47</v>
      </c>
      <c r="I4100" t="s">
        <v>83</v>
      </c>
      <c r="J4100">
        <v>2</v>
      </c>
      <c r="K4100">
        <v>4177000</v>
      </c>
      <c r="L4100" s="2" t="s">
        <v>7100</v>
      </c>
      <c r="M4100" t="s">
        <v>23</v>
      </c>
      <c r="N4100">
        <v>7970000</v>
      </c>
      <c r="O4100">
        <v>4</v>
      </c>
      <c r="P4100" t="b">
        <v>0</v>
      </c>
    </row>
    <row r="4101" spans="1:16" x14ac:dyDescent="0.2">
      <c r="A4101" t="s">
        <v>7101</v>
      </c>
      <c r="B4101" s="1">
        <v>45816</v>
      </c>
      <c r="C4101" s="1">
        <v>45839</v>
      </c>
      <c r="D4101" t="s">
        <v>7102</v>
      </c>
      <c r="E4101" t="s">
        <v>45</v>
      </c>
      <c r="F4101" t="s">
        <v>34</v>
      </c>
      <c r="G4101" t="s">
        <v>20</v>
      </c>
      <c r="I4101" t="s">
        <v>57</v>
      </c>
      <c r="J4101">
        <v>4</v>
      </c>
      <c r="K4101">
        <v>4879000</v>
      </c>
      <c r="L4101">
        <v>5.4724951761110197E-2</v>
      </c>
      <c r="M4101" t="s">
        <v>23</v>
      </c>
      <c r="N4101">
        <v>18448000</v>
      </c>
      <c r="O4101">
        <v>3.9</v>
      </c>
      <c r="P4101" t="b">
        <v>0</v>
      </c>
    </row>
    <row r="4102" spans="1:16" x14ac:dyDescent="0.2">
      <c r="A4102" t="s">
        <v>7103</v>
      </c>
      <c r="B4102" s="1">
        <v>45816</v>
      </c>
      <c r="C4102" s="1">
        <v>45827</v>
      </c>
      <c r="D4102" t="s">
        <v>2625</v>
      </c>
      <c r="E4102" t="s">
        <v>29</v>
      </c>
      <c r="F4102" t="s">
        <v>45</v>
      </c>
      <c r="G4102" t="s">
        <v>20</v>
      </c>
      <c r="H4102" t="s">
        <v>21</v>
      </c>
      <c r="I4102" t="s">
        <v>83</v>
      </c>
      <c r="J4102">
        <v>1</v>
      </c>
      <c r="K4102">
        <v>2787000</v>
      </c>
      <c r="L4102">
        <v>6.9913332697967304E-2</v>
      </c>
      <c r="M4102" t="s">
        <v>23</v>
      </c>
      <c r="N4102">
        <v>2592000</v>
      </c>
      <c r="O4102">
        <v>4.5999999999999996</v>
      </c>
      <c r="P4102" t="b">
        <v>1</v>
      </c>
    </row>
    <row r="4103" spans="1:16" x14ac:dyDescent="0.2">
      <c r="A4103" t="s">
        <v>7104</v>
      </c>
      <c r="B4103" s="1">
        <v>45816</v>
      </c>
      <c r="C4103" s="1">
        <v>45883</v>
      </c>
      <c r="D4103" t="s">
        <v>6460</v>
      </c>
      <c r="E4103" t="s">
        <v>45</v>
      </c>
      <c r="F4103" t="s">
        <v>45</v>
      </c>
      <c r="G4103" t="s">
        <v>20</v>
      </c>
      <c r="H4103" t="s">
        <v>21</v>
      </c>
      <c r="I4103" t="s">
        <v>94</v>
      </c>
      <c r="J4103">
        <v>2</v>
      </c>
      <c r="K4103">
        <v>3257000</v>
      </c>
      <c r="L4103" s="2" t="s">
        <v>7105</v>
      </c>
      <c r="M4103" t="s">
        <v>23</v>
      </c>
      <c r="N4103">
        <v>5719000</v>
      </c>
      <c r="O4103">
        <v>4.9000000000000004</v>
      </c>
      <c r="P4103" t="b">
        <v>1</v>
      </c>
    </row>
    <row r="4104" spans="1:16" x14ac:dyDescent="0.2">
      <c r="A4104" t="s">
        <v>7106</v>
      </c>
      <c r="B4104" s="1">
        <v>45817</v>
      </c>
      <c r="C4104" s="1">
        <v>45870</v>
      </c>
      <c r="D4104" t="s">
        <v>3747</v>
      </c>
      <c r="E4104" t="s">
        <v>29</v>
      </c>
      <c r="F4104" t="s">
        <v>19</v>
      </c>
      <c r="G4104" t="s">
        <v>20</v>
      </c>
      <c r="H4104" t="s">
        <v>21</v>
      </c>
      <c r="I4104" t="s">
        <v>22</v>
      </c>
      <c r="J4104">
        <v>1</v>
      </c>
      <c r="K4104">
        <v>2454000</v>
      </c>
      <c r="L4104" s="2" t="s">
        <v>7107</v>
      </c>
      <c r="M4104" t="s">
        <v>23</v>
      </c>
      <c r="N4104">
        <v>2172000</v>
      </c>
      <c r="O4104">
        <v>3.3</v>
      </c>
      <c r="P4104" t="b">
        <v>1</v>
      </c>
    </row>
    <row r="4105" spans="1:16" x14ac:dyDescent="0.2">
      <c r="A4105" t="s">
        <v>7108</v>
      </c>
      <c r="B4105" s="1">
        <v>45817</v>
      </c>
      <c r="C4105" s="1">
        <v>45898</v>
      </c>
      <c r="D4105" t="s">
        <v>2761</v>
      </c>
      <c r="E4105" t="s">
        <v>29</v>
      </c>
      <c r="F4105" t="s">
        <v>34</v>
      </c>
      <c r="G4105" t="s">
        <v>35</v>
      </c>
      <c r="H4105" t="s">
        <v>21</v>
      </c>
      <c r="I4105" t="s">
        <v>83</v>
      </c>
      <c r="J4105">
        <v>2</v>
      </c>
      <c r="K4105">
        <v>4728000</v>
      </c>
      <c r="L4105">
        <v>3.6946355097190901E-2</v>
      </c>
      <c r="M4105" t="s">
        <v>65</v>
      </c>
      <c r="N4105">
        <v>0</v>
      </c>
      <c r="P4105" t="b">
        <v>1</v>
      </c>
    </row>
    <row r="4106" spans="1:16" x14ac:dyDescent="0.2">
      <c r="A4106" t="s">
        <v>7109</v>
      </c>
      <c r="B4106" s="1">
        <v>45818</v>
      </c>
      <c r="C4106" s="1">
        <v>45852</v>
      </c>
      <c r="D4106" t="s">
        <v>2579</v>
      </c>
      <c r="E4106" t="s">
        <v>45</v>
      </c>
      <c r="F4106" t="s">
        <v>45</v>
      </c>
      <c r="G4106" t="s">
        <v>35</v>
      </c>
      <c r="H4106" t="s">
        <v>40</v>
      </c>
      <c r="I4106" t="s">
        <v>99</v>
      </c>
      <c r="J4106">
        <v>1</v>
      </c>
      <c r="K4106">
        <v>3603000</v>
      </c>
      <c r="L4106" s="2" t="s">
        <v>7110</v>
      </c>
      <c r="M4106" t="s">
        <v>23</v>
      </c>
      <c r="N4106">
        <v>3502000</v>
      </c>
      <c r="O4106">
        <v>4.4000000000000004</v>
      </c>
      <c r="P4106" t="b">
        <v>1</v>
      </c>
    </row>
    <row r="4107" spans="1:16" x14ac:dyDescent="0.2">
      <c r="A4107" t="s">
        <v>7111</v>
      </c>
      <c r="B4107" s="1">
        <v>45818</v>
      </c>
      <c r="C4107" s="1">
        <v>45860</v>
      </c>
      <c r="D4107" t="s">
        <v>5889</v>
      </c>
      <c r="E4107" t="s">
        <v>33</v>
      </c>
      <c r="F4107" t="s">
        <v>34</v>
      </c>
      <c r="G4107" t="s">
        <v>35</v>
      </c>
      <c r="H4107" t="s">
        <v>21</v>
      </c>
      <c r="I4107" t="s">
        <v>26</v>
      </c>
      <c r="J4107">
        <v>1</v>
      </c>
      <c r="K4107">
        <v>4039000</v>
      </c>
      <c r="L4107">
        <v>5.7423579969818901E-2</v>
      </c>
      <c r="M4107" t="s">
        <v>23</v>
      </c>
      <c r="N4107">
        <v>3807000</v>
      </c>
      <c r="O4107">
        <v>3.7</v>
      </c>
      <c r="P4107" t="b">
        <v>1</v>
      </c>
    </row>
    <row r="4108" spans="1:16" x14ac:dyDescent="0.2">
      <c r="A4108" t="s">
        <v>7112</v>
      </c>
      <c r="B4108" s="1">
        <v>45818</v>
      </c>
      <c r="C4108" s="1">
        <v>45833</v>
      </c>
      <c r="D4108" t="s">
        <v>354</v>
      </c>
      <c r="E4108" t="s">
        <v>18</v>
      </c>
      <c r="F4108" t="s">
        <v>39</v>
      </c>
      <c r="G4108" t="s">
        <v>35</v>
      </c>
      <c r="H4108" t="s">
        <v>47</v>
      </c>
      <c r="I4108" t="s">
        <v>30</v>
      </c>
      <c r="J4108">
        <v>1</v>
      </c>
      <c r="K4108">
        <v>2589000</v>
      </c>
      <c r="L4108" s="2" t="s">
        <v>7113</v>
      </c>
      <c r="M4108" t="s">
        <v>23</v>
      </c>
      <c r="N4108">
        <v>2309000</v>
      </c>
      <c r="O4108">
        <v>3.7</v>
      </c>
      <c r="P4108" t="b">
        <v>1</v>
      </c>
    </row>
    <row r="4109" spans="1:16" x14ac:dyDescent="0.2">
      <c r="A4109" t="s">
        <v>7114</v>
      </c>
      <c r="B4109" s="1">
        <v>45819</v>
      </c>
      <c r="C4109" s="1">
        <v>45880</v>
      </c>
      <c r="D4109" t="s">
        <v>7115</v>
      </c>
      <c r="E4109" t="s">
        <v>45</v>
      </c>
      <c r="F4109" t="s">
        <v>45</v>
      </c>
      <c r="G4109" t="s">
        <v>50</v>
      </c>
      <c r="H4109" t="s">
        <v>40</v>
      </c>
      <c r="I4109" t="s">
        <v>83</v>
      </c>
      <c r="J4109">
        <v>2</v>
      </c>
      <c r="K4109">
        <v>2803000</v>
      </c>
      <c r="L4109" s="2" t="s">
        <v>7116</v>
      </c>
      <c r="M4109" t="s">
        <v>23</v>
      </c>
      <c r="N4109">
        <v>4878000</v>
      </c>
      <c r="O4109">
        <v>3.9</v>
      </c>
      <c r="P4109" t="b">
        <v>0</v>
      </c>
    </row>
    <row r="4110" spans="1:16" x14ac:dyDescent="0.2">
      <c r="A4110" t="s">
        <v>7117</v>
      </c>
      <c r="B4110" s="1">
        <v>45819</v>
      </c>
      <c r="C4110" s="1">
        <v>45838</v>
      </c>
      <c r="D4110" t="s">
        <v>4553</v>
      </c>
      <c r="E4110" t="s">
        <v>33</v>
      </c>
      <c r="F4110" t="s">
        <v>39</v>
      </c>
      <c r="G4110" t="s">
        <v>20</v>
      </c>
      <c r="I4110" t="s">
        <v>30</v>
      </c>
      <c r="J4110">
        <v>2</v>
      </c>
      <c r="K4110">
        <v>2768000</v>
      </c>
      <c r="L4110" s="2" t="s">
        <v>7118</v>
      </c>
      <c r="M4110" t="s">
        <v>23</v>
      </c>
      <c r="N4110">
        <v>5387000</v>
      </c>
      <c r="O4110">
        <v>4.5</v>
      </c>
      <c r="P4110" t="b">
        <v>1</v>
      </c>
    </row>
    <row r="4111" spans="1:16" x14ac:dyDescent="0.2">
      <c r="A4111" t="s">
        <v>7119</v>
      </c>
      <c r="B4111" s="1">
        <v>45819</v>
      </c>
      <c r="C4111" s="1">
        <v>45853</v>
      </c>
      <c r="D4111" t="s">
        <v>1334</v>
      </c>
      <c r="E4111" t="s">
        <v>18</v>
      </c>
      <c r="F4111" t="s">
        <v>19</v>
      </c>
      <c r="G4111" t="s">
        <v>35</v>
      </c>
      <c r="H4111" t="s">
        <v>21</v>
      </c>
      <c r="I4111" t="s">
        <v>30</v>
      </c>
      <c r="J4111">
        <v>1</v>
      </c>
      <c r="K4111">
        <v>2400000</v>
      </c>
      <c r="L4111" s="2" t="s">
        <v>7120</v>
      </c>
      <c r="M4111" t="s">
        <v>23</v>
      </c>
      <c r="N4111">
        <v>2365000</v>
      </c>
      <c r="O4111">
        <v>4.4000000000000004</v>
      </c>
      <c r="P4111" t="b">
        <v>1</v>
      </c>
    </row>
    <row r="4112" spans="1:16" x14ac:dyDescent="0.2">
      <c r="A4112" t="s">
        <v>7121</v>
      </c>
      <c r="B4112" s="1">
        <v>45820</v>
      </c>
      <c r="C4112" s="1">
        <v>45860</v>
      </c>
      <c r="D4112" t="s">
        <v>4543</v>
      </c>
      <c r="E4112" t="s">
        <v>45</v>
      </c>
      <c r="F4112" t="s">
        <v>39</v>
      </c>
      <c r="G4112" t="s">
        <v>20</v>
      </c>
      <c r="H4112" t="s">
        <v>51</v>
      </c>
      <c r="I4112" t="s">
        <v>60</v>
      </c>
      <c r="J4112">
        <v>2</v>
      </c>
      <c r="K4112">
        <v>2902000</v>
      </c>
      <c r="L4112">
        <v>8.2300584500332896E-2</v>
      </c>
      <c r="M4112" t="s">
        <v>23</v>
      </c>
      <c r="N4112">
        <v>5326000</v>
      </c>
      <c r="O4112">
        <v>4.5</v>
      </c>
      <c r="P4112" t="b">
        <v>1</v>
      </c>
    </row>
    <row r="4113" spans="1:16" x14ac:dyDescent="0.2">
      <c r="A4113" t="s">
        <v>7122</v>
      </c>
      <c r="B4113" s="1">
        <v>45820</v>
      </c>
      <c r="C4113" s="1">
        <v>45877</v>
      </c>
      <c r="D4113" t="s">
        <v>5068</v>
      </c>
      <c r="E4113" t="s">
        <v>45</v>
      </c>
      <c r="F4113" t="s">
        <v>34</v>
      </c>
      <c r="G4113" t="s">
        <v>46</v>
      </c>
      <c r="H4113" t="s">
        <v>21</v>
      </c>
      <c r="I4113" t="s">
        <v>57</v>
      </c>
      <c r="J4113">
        <v>1</v>
      </c>
      <c r="K4113">
        <v>4973000</v>
      </c>
      <c r="L4113">
        <v>6.9725990308035002E-2</v>
      </c>
      <c r="M4113" t="s">
        <v>23</v>
      </c>
      <c r="N4113">
        <v>4626000</v>
      </c>
      <c r="O4113">
        <v>4.5</v>
      </c>
      <c r="P4113" t="b">
        <v>1</v>
      </c>
    </row>
    <row r="4114" spans="1:16" x14ac:dyDescent="0.2">
      <c r="A4114" t="s">
        <v>7123</v>
      </c>
      <c r="B4114" s="1">
        <v>45820</v>
      </c>
      <c r="C4114" s="1">
        <v>45875</v>
      </c>
      <c r="D4114" t="s">
        <v>3767</v>
      </c>
      <c r="E4114" t="s">
        <v>33</v>
      </c>
      <c r="F4114" t="s">
        <v>39</v>
      </c>
      <c r="H4114" t="s">
        <v>21</v>
      </c>
      <c r="J4114">
        <v>2</v>
      </c>
      <c r="K4114">
        <v>2062000</v>
      </c>
      <c r="L4114">
        <v>4.8091009811345002E-2</v>
      </c>
      <c r="M4114" t="s">
        <v>23</v>
      </c>
      <c r="N4114">
        <v>3926000</v>
      </c>
      <c r="O4114">
        <v>3.9</v>
      </c>
      <c r="P4114" t="b">
        <v>1</v>
      </c>
    </row>
    <row r="4115" spans="1:16" x14ac:dyDescent="0.2">
      <c r="A4115" t="s">
        <v>7124</v>
      </c>
      <c r="B4115" s="1">
        <v>45820</v>
      </c>
      <c r="C4115" s="1">
        <v>45908</v>
      </c>
      <c r="D4115" t="s">
        <v>7125</v>
      </c>
      <c r="E4115" t="s">
        <v>18</v>
      </c>
      <c r="F4115" t="s">
        <v>68</v>
      </c>
      <c r="G4115" t="s">
        <v>20</v>
      </c>
      <c r="H4115" t="s">
        <v>21</v>
      </c>
      <c r="I4115" t="s">
        <v>22</v>
      </c>
      <c r="J4115">
        <v>2</v>
      </c>
      <c r="K4115">
        <v>2652000</v>
      </c>
      <c r="L4115" s="2" t="s">
        <v>7126</v>
      </c>
      <c r="M4115" t="s">
        <v>23</v>
      </c>
      <c r="N4115">
        <v>4486000</v>
      </c>
      <c r="O4115">
        <v>4.5</v>
      </c>
      <c r="P4115" t="b">
        <v>0</v>
      </c>
    </row>
    <row r="4116" spans="1:16" x14ac:dyDescent="0.2">
      <c r="A4116" t="s">
        <v>7127</v>
      </c>
      <c r="B4116" s="1">
        <v>45821</v>
      </c>
      <c r="C4116" s="1">
        <v>45884</v>
      </c>
      <c r="D4116" t="s">
        <v>1574</v>
      </c>
      <c r="E4116" t="s">
        <v>18</v>
      </c>
      <c r="F4116" t="s">
        <v>19</v>
      </c>
      <c r="G4116" t="s">
        <v>20</v>
      </c>
      <c r="H4116" t="s">
        <v>47</v>
      </c>
      <c r="I4116" t="s">
        <v>26</v>
      </c>
      <c r="J4116">
        <v>2</v>
      </c>
      <c r="K4116">
        <v>2586000</v>
      </c>
      <c r="L4116" s="3">
        <v>0.14899999999999999</v>
      </c>
      <c r="M4116" t="s">
        <v>23</v>
      </c>
      <c r="N4116">
        <v>4403000</v>
      </c>
      <c r="O4116">
        <v>4.5</v>
      </c>
      <c r="P4116" t="b">
        <v>1</v>
      </c>
    </row>
    <row r="4117" spans="1:16" x14ac:dyDescent="0.2">
      <c r="A4117" t="s">
        <v>7128</v>
      </c>
      <c r="B4117" s="1">
        <v>45821</v>
      </c>
      <c r="C4117" s="1">
        <v>45839</v>
      </c>
      <c r="D4117" t="s">
        <v>243</v>
      </c>
      <c r="E4117" t="s">
        <v>18</v>
      </c>
      <c r="F4117" t="s">
        <v>39</v>
      </c>
      <c r="G4117" t="s">
        <v>20</v>
      </c>
      <c r="H4117" t="s">
        <v>40</v>
      </c>
      <c r="I4117" t="s">
        <v>83</v>
      </c>
      <c r="J4117">
        <v>2</v>
      </c>
      <c r="K4117">
        <v>1638000</v>
      </c>
      <c r="L4117" s="2" t="s">
        <v>7129</v>
      </c>
      <c r="M4117" t="s">
        <v>23</v>
      </c>
      <c r="N4117">
        <v>2921000</v>
      </c>
      <c r="O4117">
        <v>4.7</v>
      </c>
      <c r="P4117" t="b">
        <v>1</v>
      </c>
    </row>
    <row r="4118" spans="1:16" x14ac:dyDescent="0.2">
      <c r="A4118" t="s">
        <v>7130</v>
      </c>
      <c r="B4118" s="1">
        <v>45822</v>
      </c>
      <c r="C4118" s="1">
        <v>45881</v>
      </c>
      <c r="D4118" t="s">
        <v>7131</v>
      </c>
      <c r="E4118" t="s">
        <v>33</v>
      </c>
      <c r="F4118" t="s">
        <v>45</v>
      </c>
      <c r="G4118" t="s">
        <v>35</v>
      </c>
      <c r="H4118" t="s">
        <v>51</v>
      </c>
      <c r="I4118" t="s">
        <v>83</v>
      </c>
      <c r="J4118">
        <v>1</v>
      </c>
      <c r="K4118">
        <v>2721000</v>
      </c>
      <c r="L4118">
        <v>4.7835135508391698E-2</v>
      </c>
      <c r="M4118" t="s">
        <v>23</v>
      </c>
      <c r="N4118">
        <v>2591000</v>
      </c>
      <c r="O4118">
        <v>4.5</v>
      </c>
      <c r="P4118" t="b">
        <v>0</v>
      </c>
    </row>
    <row r="4119" spans="1:16" x14ac:dyDescent="0.2">
      <c r="A4119" t="s">
        <v>7132</v>
      </c>
      <c r="B4119" s="1">
        <v>45822</v>
      </c>
      <c r="C4119" s="1">
        <v>45888</v>
      </c>
      <c r="D4119" t="s">
        <v>5442</v>
      </c>
      <c r="E4119" t="s">
        <v>45</v>
      </c>
      <c r="F4119" t="s">
        <v>19</v>
      </c>
      <c r="G4119" t="s">
        <v>50</v>
      </c>
      <c r="H4119" t="s">
        <v>47</v>
      </c>
      <c r="I4119" t="s">
        <v>60</v>
      </c>
      <c r="J4119">
        <v>2</v>
      </c>
      <c r="K4119">
        <v>2840000</v>
      </c>
      <c r="L4119" s="2" t="s">
        <v>7133</v>
      </c>
      <c r="M4119" t="s">
        <v>23</v>
      </c>
      <c r="N4119">
        <v>5056000</v>
      </c>
      <c r="O4119">
        <v>4.7</v>
      </c>
      <c r="P4119" t="b">
        <v>1</v>
      </c>
    </row>
    <row r="4120" spans="1:16" x14ac:dyDescent="0.2">
      <c r="A4120" t="s">
        <v>7134</v>
      </c>
      <c r="B4120" s="1">
        <v>45822</v>
      </c>
      <c r="C4120" s="1">
        <v>45836</v>
      </c>
      <c r="D4120" t="s">
        <v>7135</v>
      </c>
      <c r="E4120" t="s">
        <v>29</v>
      </c>
      <c r="F4120" t="s">
        <v>34</v>
      </c>
      <c r="G4120" t="s">
        <v>20</v>
      </c>
      <c r="H4120" t="s">
        <v>47</v>
      </c>
      <c r="I4120" t="s">
        <v>94</v>
      </c>
      <c r="J4120">
        <v>1</v>
      </c>
      <c r="K4120">
        <v>4752000</v>
      </c>
      <c r="L4120">
        <v>8.5240787559959494E-2</v>
      </c>
      <c r="M4120" t="s">
        <v>23</v>
      </c>
      <c r="N4120">
        <v>4347000</v>
      </c>
      <c r="O4120">
        <v>3.5</v>
      </c>
      <c r="P4120" t="b">
        <v>0</v>
      </c>
    </row>
    <row r="4121" spans="1:16" x14ac:dyDescent="0.2">
      <c r="A4121" t="s">
        <v>7136</v>
      </c>
      <c r="B4121" s="1">
        <v>45823</v>
      </c>
      <c r="C4121" s="1">
        <v>45823</v>
      </c>
      <c r="D4121" t="s">
        <v>6154</v>
      </c>
      <c r="E4121" t="s">
        <v>18</v>
      </c>
      <c r="F4121" t="s">
        <v>19</v>
      </c>
      <c r="G4121" t="s">
        <v>35</v>
      </c>
      <c r="H4121" t="s">
        <v>40</v>
      </c>
      <c r="I4121" t="s">
        <v>22</v>
      </c>
      <c r="J4121">
        <v>2</v>
      </c>
      <c r="K4121">
        <v>2570000</v>
      </c>
      <c r="L4121" s="2" t="s">
        <v>7137</v>
      </c>
      <c r="M4121" t="s">
        <v>23</v>
      </c>
      <c r="N4121">
        <v>4477000</v>
      </c>
      <c r="O4121">
        <v>4.8</v>
      </c>
      <c r="P4121" t="b">
        <v>1</v>
      </c>
    </row>
    <row r="4122" spans="1:16" x14ac:dyDescent="0.2">
      <c r="A4122" t="s">
        <v>7138</v>
      </c>
      <c r="B4122" s="1">
        <v>45823</v>
      </c>
      <c r="C4122" s="1">
        <v>45904</v>
      </c>
      <c r="D4122" t="s">
        <v>2701</v>
      </c>
      <c r="E4122" t="s">
        <v>29</v>
      </c>
      <c r="F4122" t="s">
        <v>45</v>
      </c>
      <c r="G4122" t="s">
        <v>50</v>
      </c>
      <c r="H4122" t="s">
        <v>47</v>
      </c>
      <c r="I4122" t="s">
        <v>30</v>
      </c>
      <c r="J4122">
        <v>3</v>
      </c>
      <c r="K4122">
        <v>3360000</v>
      </c>
      <c r="L4122" s="2" t="s">
        <v>7139</v>
      </c>
      <c r="M4122" t="s">
        <v>23</v>
      </c>
      <c r="N4122">
        <v>8721000</v>
      </c>
      <c r="O4122">
        <v>5</v>
      </c>
      <c r="P4122" t="b">
        <v>1</v>
      </c>
    </row>
    <row r="4123" spans="1:16" x14ac:dyDescent="0.2">
      <c r="A4123" t="s">
        <v>7140</v>
      </c>
      <c r="B4123" s="1">
        <v>45823</v>
      </c>
      <c r="C4123" s="1">
        <v>45920</v>
      </c>
      <c r="D4123" t="s">
        <v>5090</v>
      </c>
      <c r="E4123" t="s">
        <v>45</v>
      </c>
      <c r="F4123" t="s">
        <v>45</v>
      </c>
      <c r="G4123" t="s">
        <v>20</v>
      </c>
      <c r="H4123" t="s">
        <v>21</v>
      </c>
      <c r="I4123" t="s">
        <v>26</v>
      </c>
      <c r="J4123">
        <v>1</v>
      </c>
      <c r="K4123">
        <v>3227000</v>
      </c>
      <c r="L4123" s="2" t="s">
        <v>7141</v>
      </c>
      <c r="M4123" t="s">
        <v>23</v>
      </c>
      <c r="N4123">
        <v>2859000</v>
      </c>
      <c r="O4123">
        <v>3.6</v>
      </c>
      <c r="P4123" t="b">
        <v>1</v>
      </c>
    </row>
    <row r="4124" spans="1:16" x14ac:dyDescent="0.2">
      <c r="A4124" t="s">
        <v>7142</v>
      </c>
      <c r="B4124" s="1">
        <v>45823</v>
      </c>
      <c r="C4124" s="1">
        <v>45892</v>
      </c>
      <c r="D4124" t="s">
        <v>7143</v>
      </c>
      <c r="E4124" t="s">
        <v>45</v>
      </c>
      <c r="F4124" t="s">
        <v>19</v>
      </c>
      <c r="H4124" t="s">
        <v>21</v>
      </c>
      <c r="I4124" t="s">
        <v>83</v>
      </c>
      <c r="J4124">
        <v>2</v>
      </c>
      <c r="K4124">
        <v>3033000</v>
      </c>
      <c r="L4124" s="2" t="s">
        <v>7144</v>
      </c>
      <c r="M4124" t="s">
        <v>23</v>
      </c>
      <c r="N4124">
        <v>5344000</v>
      </c>
      <c r="O4124">
        <v>4.4000000000000004</v>
      </c>
      <c r="P4124" t="b">
        <v>0</v>
      </c>
    </row>
    <row r="4125" spans="1:16" x14ac:dyDescent="0.2">
      <c r="A4125" t="s">
        <v>7145</v>
      </c>
      <c r="B4125" s="1">
        <v>45823</v>
      </c>
      <c r="C4125" s="1">
        <v>45858</v>
      </c>
      <c r="D4125" t="s">
        <v>7146</v>
      </c>
      <c r="E4125" t="s">
        <v>45</v>
      </c>
      <c r="F4125" t="s">
        <v>68</v>
      </c>
      <c r="G4125" t="s">
        <v>46</v>
      </c>
      <c r="I4125" t="s">
        <v>94</v>
      </c>
      <c r="J4125">
        <v>4</v>
      </c>
      <c r="K4125">
        <v>2458000</v>
      </c>
      <c r="L4125" s="2" t="s">
        <v>7147</v>
      </c>
      <c r="M4125" t="s">
        <v>23</v>
      </c>
      <c r="N4125">
        <v>7987000</v>
      </c>
      <c r="O4125">
        <v>3.6</v>
      </c>
      <c r="P4125" t="b">
        <v>0</v>
      </c>
    </row>
    <row r="4126" spans="1:16" x14ac:dyDescent="0.2">
      <c r="A4126" t="s">
        <v>7148</v>
      </c>
      <c r="B4126" s="1">
        <v>45824</v>
      </c>
      <c r="C4126" s="1">
        <v>45867</v>
      </c>
      <c r="D4126" t="s">
        <v>1117</v>
      </c>
      <c r="E4126" t="s">
        <v>45</v>
      </c>
      <c r="F4126" t="s">
        <v>19</v>
      </c>
      <c r="G4126" t="s">
        <v>50</v>
      </c>
      <c r="H4126" t="s">
        <v>47</v>
      </c>
      <c r="I4126" t="s">
        <v>26</v>
      </c>
      <c r="J4126">
        <v>1</v>
      </c>
      <c r="K4126">
        <v>2513000</v>
      </c>
      <c r="L4126" s="2" t="s">
        <v>7149</v>
      </c>
      <c r="M4126" t="s">
        <v>65</v>
      </c>
      <c r="N4126">
        <v>0</v>
      </c>
      <c r="P4126" t="b">
        <v>1</v>
      </c>
    </row>
    <row r="4127" spans="1:16" x14ac:dyDescent="0.2">
      <c r="A4127" t="s">
        <v>7150</v>
      </c>
      <c r="B4127" s="1">
        <v>45824</v>
      </c>
      <c r="C4127" s="1">
        <v>45899</v>
      </c>
      <c r="D4127" t="s">
        <v>44</v>
      </c>
      <c r="F4127" t="s">
        <v>34</v>
      </c>
      <c r="G4127" t="s">
        <v>20</v>
      </c>
      <c r="H4127" t="s">
        <v>21</v>
      </c>
      <c r="I4127" t="s">
        <v>22</v>
      </c>
      <c r="J4127">
        <v>3</v>
      </c>
      <c r="K4127">
        <v>3503000</v>
      </c>
      <c r="L4127" s="2" t="s">
        <v>7151</v>
      </c>
      <c r="M4127" t="s">
        <v>23</v>
      </c>
      <c r="N4127">
        <v>9433000</v>
      </c>
      <c r="O4127">
        <v>3.8</v>
      </c>
      <c r="P4127" t="b">
        <v>1</v>
      </c>
    </row>
    <row r="4128" spans="1:16" x14ac:dyDescent="0.2">
      <c r="A4128" t="s">
        <v>7152</v>
      </c>
      <c r="B4128" s="1">
        <v>45825</v>
      </c>
      <c r="C4128" s="1">
        <v>45943</v>
      </c>
      <c r="D4128" t="s">
        <v>271</v>
      </c>
      <c r="E4128" t="s">
        <v>45</v>
      </c>
      <c r="F4128" t="s">
        <v>45</v>
      </c>
      <c r="G4128" t="s">
        <v>50</v>
      </c>
      <c r="H4128" t="s">
        <v>21</v>
      </c>
      <c r="I4128" t="s">
        <v>77</v>
      </c>
      <c r="J4128">
        <v>2</v>
      </c>
      <c r="K4128">
        <v>3644000</v>
      </c>
      <c r="L4128">
        <v>7.9505380851819199E-2</v>
      </c>
      <c r="M4128" t="s">
        <v>23</v>
      </c>
      <c r="N4128">
        <v>6709000</v>
      </c>
      <c r="O4128">
        <v>4.4000000000000004</v>
      </c>
      <c r="P4128" t="b">
        <v>1</v>
      </c>
    </row>
    <row r="4129" spans="1:16" x14ac:dyDescent="0.2">
      <c r="A4129" t="s">
        <v>7153</v>
      </c>
      <c r="B4129" s="1">
        <v>45825</v>
      </c>
      <c r="C4129" s="1">
        <v>45891</v>
      </c>
      <c r="D4129" t="s">
        <v>7154</v>
      </c>
      <c r="E4129" t="s">
        <v>29</v>
      </c>
      <c r="F4129" t="s">
        <v>34</v>
      </c>
      <c r="G4129" t="s">
        <v>50</v>
      </c>
      <c r="H4129" t="s">
        <v>21</v>
      </c>
      <c r="I4129" t="s">
        <v>77</v>
      </c>
      <c r="J4129">
        <v>1</v>
      </c>
      <c r="K4129">
        <v>4203000</v>
      </c>
      <c r="L4129">
        <v>6.6879091187652007E-2</v>
      </c>
      <c r="M4129" t="s">
        <v>65</v>
      </c>
      <c r="N4129">
        <v>0</v>
      </c>
      <c r="P4129" t="b">
        <v>0</v>
      </c>
    </row>
    <row r="4130" spans="1:16" x14ac:dyDescent="0.2">
      <c r="A4130" t="s">
        <v>7155</v>
      </c>
      <c r="B4130" s="1">
        <v>45825</v>
      </c>
      <c r="C4130" s="1">
        <v>45910</v>
      </c>
      <c r="D4130" t="s">
        <v>569</v>
      </c>
      <c r="E4130" t="s">
        <v>18</v>
      </c>
      <c r="F4130" t="s">
        <v>34</v>
      </c>
      <c r="G4130" t="s">
        <v>20</v>
      </c>
      <c r="H4130" t="s">
        <v>47</v>
      </c>
      <c r="I4130" t="s">
        <v>1654</v>
      </c>
      <c r="J4130">
        <v>5</v>
      </c>
      <c r="K4130">
        <v>3138000</v>
      </c>
      <c r="L4130" s="2" t="s">
        <v>7156</v>
      </c>
      <c r="M4130" t="s">
        <v>23</v>
      </c>
      <c r="N4130">
        <v>13473000</v>
      </c>
      <c r="O4130">
        <v>4.0999999999999996</v>
      </c>
      <c r="P4130" t="b">
        <v>1</v>
      </c>
    </row>
    <row r="4131" spans="1:16" x14ac:dyDescent="0.2">
      <c r="A4131" t="s">
        <v>7157</v>
      </c>
      <c r="B4131" s="1">
        <v>45826</v>
      </c>
      <c r="C4131" s="1">
        <v>45850</v>
      </c>
      <c r="D4131" t="s">
        <v>1688</v>
      </c>
      <c r="E4131" t="s">
        <v>18</v>
      </c>
      <c r="F4131" t="s">
        <v>19</v>
      </c>
      <c r="G4131" t="s">
        <v>20</v>
      </c>
      <c r="H4131" t="s">
        <v>21</v>
      </c>
      <c r="I4131" t="s">
        <v>30</v>
      </c>
      <c r="J4131">
        <v>2</v>
      </c>
      <c r="K4131">
        <v>2305000</v>
      </c>
      <c r="L4131">
        <v>8.4815228100144205E-2</v>
      </c>
      <c r="M4131" t="s">
        <v>23</v>
      </c>
      <c r="N4131">
        <v>4219000</v>
      </c>
      <c r="O4131">
        <v>4.4000000000000004</v>
      </c>
      <c r="P4131" t="b">
        <v>1</v>
      </c>
    </row>
    <row r="4132" spans="1:16" x14ac:dyDescent="0.2">
      <c r="A4132" t="s">
        <v>7158</v>
      </c>
      <c r="B4132" s="1">
        <v>45827</v>
      </c>
      <c r="C4132" s="1">
        <v>45878</v>
      </c>
      <c r="D4132" t="s">
        <v>7159</v>
      </c>
      <c r="E4132" t="s">
        <v>33</v>
      </c>
      <c r="F4132" t="s">
        <v>34</v>
      </c>
      <c r="G4132" t="s">
        <v>35</v>
      </c>
      <c r="H4132" t="s">
        <v>21</v>
      </c>
      <c r="I4132" t="s">
        <v>57</v>
      </c>
      <c r="J4132">
        <v>3</v>
      </c>
      <c r="K4132">
        <v>4922000</v>
      </c>
      <c r="L4132" s="3">
        <v>2.8000000000000001E-2</v>
      </c>
      <c r="M4132" t="s">
        <v>23</v>
      </c>
      <c r="N4132">
        <v>14354000</v>
      </c>
      <c r="O4132">
        <v>3.2</v>
      </c>
      <c r="P4132" t="b">
        <v>0</v>
      </c>
    </row>
    <row r="4133" spans="1:16" x14ac:dyDescent="0.2">
      <c r="A4133" t="s">
        <v>7160</v>
      </c>
      <c r="B4133" s="1">
        <v>45827</v>
      </c>
      <c r="C4133" s="1">
        <v>45871</v>
      </c>
      <c r="D4133" t="s">
        <v>7161</v>
      </c>
      <c r="E4133" t="s">
        <v>45</v>
      </c>
      <c r="F4133" t="s">
        <v>39</v>
      </c>
      <c r="G4133" t="s">
        <v>50</v>
      </c>
      <c r="H4133" t="s">
        <v>21</v>
      </c>
      <c r="I4133" t="s">
        <v>52</v>
      </c>
      <c r="J4133">
        <v>2</v>
      </c>
      <c r="K4133">
        <v>2519000</v>
      </c>
      <c r="L4133" s="2" t="s">
        <v>7162</v>
      </c>
      <c r="M4133" t="s">
        <v>23</v>
      </c>
      <c r="N4133">
        <v>4446000</v>
      </c>
      <c r="O4133">
        <v>4.5999999999999996</v>
      </c>
      <c r="P4133" t="b">
        <v>0</v>
      </c>
    </row>
    <row r="4134" spans="1:16" x14ac:dyDescent="0.2">
      <c r="A4134" t="s">
        <v>7163</v>
      </c>
      <c r="B4134" s="1">
        <v>45828</v>
      </c>
      <c r="C4134" s="1">
        <v>45860</v>
      </c>
      <c r="D4134" t="s">
        <v>7164</v>
      </c>
      <c r="E4134" t="s">
        <v>18</v>
      </c>
      <c r="F4134" t="s">
        <v>39</v>
      </c>
      <c r="G4134" t="s">
        <v>20</v>
      </c>
      <c r="H4134" t="s">
        <v>40</v>
      </c>
      <c r="I4134" t="s">
        <v>83</v>
      </c>
      <c r="J4134">
        <v>2</v>
      </c>
      <c r="K4134">
        <v>1636000</v>
      </c>
      <c r="L4134" s="2" t="s">
        <v>7165</v>
      </c>
      <c r="M4134" t="s">
        <v>23</v>
      </c>
      <c r="N4134">
        <v>2876000</v>
      </c>
      <c r="O4134">
        <v>4.5</v>
      </c>
      <c r="P4134" t="b">
        <v>0</v>
      </c>
    </row>
    <row r="4135" spans="1:16" x14ac:dyDescent="0.2">
      <c r="A4135" t="s">
        <v>7166</v>
      </c>
      <c r="B4135" s="1">
        <v>45829</v>
      </c>
      <c r="C4135" s="1">
        <v>45863</v>
      </c>
      <c r="D4135" t="s">
        <v>3765</v>
      </c>
      <c r="E4135" t="s">
        <v>18</v>
      </c>
      <c r="F4135" t="s">
        <v>39</v>
      </c>
      <c r="G4135" t="s">
        <v>50</v>
      </c>
      <c r="H4135" t="s">
        <v>40</v>
      </c>
      <c r="I4135" t="s">
        <v>94</v>
      </c>
      <c r="J4135">
        <v>1</v>
      </c>
      <c r="K4135">
        <v>2931000</v>
      </c>
      <c r="L4135" s="3">
        <v>0.11899999999999999</v>
      </c>
      <c r="M4135" t="s">
        <v>23</v>
      </c>
      <c r="N4135">
        <v>2583000</v>
      </c>
      <c r="O4135">
        <v>4.2</v>
      </c>
      <c r="P4135" t="b">
        <v>1</v>
      </c>
    </row>
    <row r="4136" spans="1:16" x14ac:dyDescent="0.2">
      <c r="A4136" t="s">
        <v>7167</v>
      </c>
      <c r="B4136" s="1">
        <v>45832</v>
      </c>
      <c r="C4136" s="1">
        <v>45898</v>
      </c>
      <c r="D4136" t="s">
        <v>153</v>
      </c>
      <c r="E4136" t="s">
        <v>18</v>
      </c>
      <c r="F4136" t="s">
        <v>19</v>
      </c>
      <c r="G4136" t="s">
        <v>50</v>
      </c>
      <c r="H4136" t="s">
        <v>21</v>
      </c>
      <c r="I4136" t="s">
        <v>60</v>
      </c>
      <c r="J4136">
        <v>1</v>
      </c>
      <c r="K4136">
        <v>3093000</v>
      </c>
      <c r="L4136" s="2" t="s">
        <v>7168</v>
      </c>
      <c r="M4136" t="s">
        <v>23</v>
      </c>
      <c r="N4136">
        <v>2612000</v>
      </c>
      <c r="O4136">
        <v>4</v>
      </c>
      <c r="P4136" t="b">
        <v>1</v>
      </c>
    </row>
    <row r="4137" spans="1:16" x14ac:dyDescent="0.2">
      <c r="A4137" t="s">
        <v>7169</v>
      </c>
      <c r="B4137" s="1">
        <v>45832</v>
      </c>
      <c r="C4137" s="1">
        <v>45858</v>
      </c>
      <c r="D4137" t="s">
        <v>5156</v>
      </c>
      <c r="E4137" t="s">
        <v>33</v>
      </c>
      <c r="F4137" t="s">
        <v>25</v>
      </c>
      <c r="G4137" t="s">
        <v>35</v>
      </c>
      <c r="I4137" t="s">
        <v>60</v>
      </c>
      <c r="J4137">
        <v>2</v>
      </c>
      <c r="K4137">
        <v>6382000</v>
      </c>
      <c r="L4137" s="2" t="s">
        <v>7170</v>
      </c>
      <c r="M4137" t="s">
        <v>23</v>
      </c>
      <c r="N4137">
        <v>11201000</v>
      </c>
      <c r="O4137">
        <v>4.0999999999999996</v>
      </c>
      <c r="P4137" t="b">
        <v>1</v>
      </c>
    </row>
    <row r="4138" spans="1:16" x14ac:dyDescent="0.2">
      <c r="A4138" t="s">
        <v>7171</v>
      </c>
      <c r="B4138" s="1">
        <v>45832</v>
      </c>
      <c r="C4138" s="1">
        <v>45888</v>
      </c>
      <c r="D4138" t="s">
        <v>7172</v>
      </c>
      <c r="E4138" t="s">
        <v>29</v>
      </c>
      <c r="F4138" t="s">
        <v>25</v>
      </c>
      <c r="G4138" t="s">
        <v>50</v>
      </c>
      <c r="H4138" t="s">
        <v>21</v>
      </c>
      <c r="I4138" t="s">
        <v>57</v>
      </c>
      <c r="J4138">
        <v>1</v>
      </c>
      <c r="K4138">
        <v>5105000</v>
      </c>
      <c r="L4138">
        <v>9.0382288449731493E-2</v>
      </c>
      <c r="M4138" t="s">
        <v>65</v>
      </c>
      <c r="N4138">
        <v>0</v>
      </c>
      <c r="P4138" t="b">
        <v>0</v>
      </c>
    </row>
    <row r="4139" spans="1:16" x14ac:dyDescent="0.2">
      <c r="A4139" t="s">
        <v>7173</v>
      </c>
      <c r="B4139" s="1">
        <v>45833</v>
      </c>
      <c r="C4139" s="1">
        <v>45893</v>
      </c>
      <c r="D4139" t="s">
        <v>3350</v>
      </c>
      <c r="F4139" t="s">
        <v>45</v>
      </c>
      <c r="G4139" t="s">
        <v>20</v>
      </c>
      <c r="H4139" t="s">
        <v>51</v>
      </c>
      <c r="I4139" t="s">
        <v>22</v>
      </c>
      <c r="J4139">
        <v>3</v>
      </c>
      <c r="K4139">
        <v>3120000</v>
      </c>
      <c r="L4139">
        <v>7.7397863531449104E-2</v>
      </c>
      <c r="M4139" t="s">
        <v>23</v>
      </c>
      <c r="N4139">
        <v>8636000</v>
      </c>
      <c r="O4139">
        <v>4.8</v>
      </c>
      <c r="P4139" t="b">
        <v>1</v>
      </c>
    </row>
    <row r="4140" spans="1:16" x14ac:dyDescent="0.2">
      <c r="A4140" t="s">
        <v>7174</v>
      </c>
      <c r="B4140" s="1">
        <v>45833</v>
      </c>
      <c r="C4140" s="1">
        <v>45867</v>
      </c>
      <c r="D4140" t="s">
        <v>276</v>
      </c>
      <c r="E4140" t="s">
        <v>45</v>
      </c>
      <c r="F4140" t="s">
        <v>39</v>
      </c>
      <c r="H4140" t="s">
        <v>21</v>
      </c>
      <c r="I4140" t="s">
        <v>57</v>
      </c>
      <c r="J4140">
        <v>3</v>
      </c>
      <c r="K4140">
        <v>2469000</v>
      </c>
      <c r="L4140" s="2" t="s">
        <v>7175</v>
      </c>
      <c r="M4140" t="s">
        <v>23</v>
      </c>
      <c r="N4140">
        <v>6423000</v>
      </c>
      <c r="O4140">
        <v>3.6</v>
      </c>
      <c r="P4140" t="b">
        <v>1</v>
      </c>
    </row>
    <row r="4141" spans="1:16" x14ac:dyDescent="0.2">
      <c r="A4141" t="s">
        <v>7176</v>
      </c>
      <c r="B4141" s="1">
        <v>45833</v>
      </c>
      <c r="C4141" s="1">
        <v>45887</v>
      </c>
      <c r="D4141" t="s">
        <v>1826</v>
      </c>
      <c r="E4141" t="s">
        <v>29</v>
      </c>
      <c r="F4141" t="s">
        <v>45</v>
      </c>
      <c r="G4141" t="s">
        <v>20</v>
      </c>
      <c r="H4141" t="s">
        <v>40</v>
      </c>
      <c r="I4141" t="s">
        <v>30</v>
      </c>
      <c r="J4141">
        <v>2</v>
      </c>
      <c r="K4141">
        <v>3449000</v>
      </c>
      <c r="L4141">
        <v>8.5299897404414099E-2</v>
      </c>
      <c r="M4141" t="s">
        <v>23</v>
      </c>
      <c r="N4141">
        <v>6310000</v>
      </c>
      <c r="O4141">
        <v>4</v>
      </c>
      <c r="P4141" t="b">
        <v>1</v>
      </c>
    </row>
    <row r="4142" spans="1:16" x14ac:dyDescent="0.2">
      <c r="A4142" t="s">
        <v>7177</v>
      </c>
      <c r="B4142" s="1">
        <v>45833</v>
      </c>
      <c r="C4142" s="1">
        <v>45902</v>
      </c>
      <c r="D4142" t="s">
        <v>556</v>
      </c>
      <c r="E4142" t="s">
        <v>29</v>
      </c>
      <c r="F4142" t="s">
        <v>25</v>
      </c>
      <c r="G4142" t="s">
        <v>50</v>
      </c>
      <c r="H4142" t="s">
        <v>47</v>
      </c>
      <c r="I4142" t="s">
        <v>22</v>
      </c>
      <c r="J4142">
        <v>1</v>
      </c>
      <c r="K4142">
        <v>4333000</v>
      </c>
      <c r="L4142">
        <v>7.2807795665876807E-2</v>
      </c>
      <c r="M4142" t="s">
        <v>65</v>
      </c>
      <c r="N4142">
        <v>0</v>
      </c>
      <c r="P4142" t="b">
        <v>1</v>
      </c>
    </row>
    <row r="4143" spans="1:16" x14ac:dyDescent="0.2">
      <c r="A4143" t="s">
        <v>7178</v>
      </c>
      <c r="B4143" s="1">
        <v>45833</v>
      </c>
      <c r="C4143" s="1">
        <v>45866</v>
      </c>
      <c r="D4143" t="s">
        <v>705</v>
      </c>
      <c r="E4143" t="s">
        <v>18</v>
      </c>
      <c r="F4143" t="s">
        <v>45</v>
      </c>
      <c r="G4143" t="s">
        <v>20</v>
      </c>
      <c r="H4143" t="s">
        <v>40</v>
      </c>
      <c r="I4143" t="s">
        <v>30</v>
      </c>
      <c r="J4143">
        <v>3</v>
      </c>
      <c r="K4143">
        <v>3390000</v>
      </c>
      <c r="L4143" s="2" t="s">
        <v>7179</v>
      </c>
      <c r="M4143" t="s">
        <v>23</v>
      </c>
      <c r="N4143">
        <v>8691000</v>
      </c>
      <c r="O4143">
        <v>4.9000000000000004</v>
      </c>
      <c r="P4143" t="b">
        <v>1</v>
      </c>
    </row>
    <row r="4144" spans="1:16" x14ac:dyDescent="0.2">
      <c r="A4144" t="s">
        <v>7180</v>
      </c>
      <c r="B4144" s="1">
        <v>45833</v>
      </c>
      <c r="C4144" s="1">
        <v>45914</v>
      </c>
      <c r="D4144" t="s">
        <v>72</v>
      </c>
      <c r="F4144" t="s">
        <v>39</v>
      </c>
      <c r="G4144" t="s">
        <v>50</v>
      </c>
      <c r="H4144" t="s">
        <v>21</v>
      </c>
      <c r="I4144" t="s">
        <v>83</v>
      </c>
      <c r="J4144">
        <v>2</v>
      </c>
      <c r="K4144">
        <v>1491000</v>
      </c>
      <c r="L4144">
        <v>9.7560492976521695E-2</v>
      </c>
      <c r="M4144" t="s">
        <v>65</v>
      </c>
      <c r="N4144">
        <v>0</v>
      </c>
      <c r="P4144" t="b">
        <v>1</v>
      </c>
    </row>
    <row r="4145" spans="1:16" x14ac:dyDescent="0.2">
      <c r="A4145" t="s">
        <v>7181</v>
      </c>
      <c r="B4145" s="1">
        <v>45834</v>
      </c>
      <c r="C4145" s="1">
        <v>45878</v>
      </c>
      <c r="D4145" t="s">
        <v>7182</v>
      </c>
      <c r="E4145" t="s">
        <v>29</v>
      </c>
      <c r="F4145" t="s">
        <v>45</v>
      </c>
      <c r="G4145" t="s">
        <v>50</v>
      </c>
      <c r="H4145" t="s">
        <v>21</v>
      </c>
      <c r="I4145" t="s">
        <v>83</v>
      </c>
      <c r="J4145">
        <v>4</v>
      </c>
      <c r="K4145">
        <v>2842000</v>
      </c>
      <c r="L4145" s="2" t="s">
        <v>7183</v>
      </c>
      <c r="M4145" t="s">
        <v>23</v>
      </c>
      <c r="N4145">
        <v>10120000</v>
      </c>
      <c r="O4145">
        <v>4</v>
      </c>
      <c r="P4145" t="b">
        <v>0</v>
      </c>
    </row>
    <row r="4146" spans="1:16" x14ac:dyDescent="0.2">
      <c r="A4146" t="s">
        <v>7184</v>
      </c>
      <c r="B4146" s="1">
        <v>45834</v>
      </c>
      <c r="C4146" s="1">
        <v>45884</v>
      </c>
      <c r="D4146" t="s">
        <v>1745</v>
      </c>
      <c r="E4146" t="s">
        <v>33</v>
      </c>
      <c r="F4146" t="s">
        <v>34</v>
      </c>
      <c r="G4146" t="s">
        <v>46</v>
      </c>
      <c r="H4146" t="s">
        <v>21</v>
      </c>
      <c r="I4146" t="s">
        <v>26</v>
      </c>
      <c r="J4146">
        <v>3</v>
      </c>
      <c r="K4146">
        <v>4446000</v>
      </c>
      <c r="L4146" s="2" t="s">
        <v>7185</v>
      </c>
      <c r="M4146" t="s">
        <v>65</v>
      </c>
      <c r="N4146">
        <v>0</v>
      </c>
      <c r="P4146" t="b">
        <v>1</v>
      </c>
    </row>
    <row r="4147" spans="1:16" x14ac:dyDescent="0.2">
      <c r="A4147" t="s">
        <v>7186</v>
      </c>
      <c r="B4147" s="1">
        <v>45834</v>
      </c>
      <c r="C4147" s="1">
        <v>45884</v>
      </c>
      <c r="D4147" t="s">
        <v>7187</v>
      </c>
      <c r="E4147" t="s">
        <v>18</v>
      </c>
      <c r="F4147" t="s">
        <v>25</v>
      </c>
      <c r="G4147" t="s">
        <v>35</v>
      </c>
      <c r="H4147" t="s">
        <v>21</v>
      </c>
      <c r="I4147" t="s">
        <v>83</v>
      </c>
      <c r="J4147">
        <v>1</v>
      </c>
      <c r="K4147">
        <v>5132000</v>
      </c>
      <c r="L4147" s="2" t="s">
        <v>7188</v>
      </c>
      <c r="M4147" t="s">
        <v>23</v>
      </c>
      <c r="N4147">
        <v>4615000</v>
      </c>
      <c r="O4147">
        <v>4.3</v>
      </c>
      <c r="P4147" t="b">
        <v>0</v>
      </c>
    </row>
    <row r="4148" spans="1:16" x14ac:dyDescent="0.2">
      <c r="A4148" t="s">
        <v>7189</v>
      </c>
      <c r="B4148" s="1">
        <v>45834</v>
      </c>
      <c r="C4148" s="1">
        <v>45878</v>
      </c>
      <c r="D4148" t="s">
        <v>3074</v>
      </c>
      <c r="E4148" t="s">
        <v>45</v>
      </c>
      <c r="F4148" t="s">
        <v>34</v>
      </c>
      <c r="G4148" t="s">
        <v>20</v>
      </c>
      <c r="H4148" t="s">
        <v>21</v>
      </c>
      <c r="I4148" t="s">
        <v>22</v>
      </c>
      <c r="J4148">
        <v>3</v>
      </c>
      <c r="K4148">
        <v>3639000</v>
      </c>
      <c r="L4148">
        <v>8.6432241427258694E-2</v>
      </c>
      <c r="M4148" t="s">
        <v>23</v>
      </c>
      <c r="N4148">
        <v>9973000</v>
      </c>
      <c r="O4148">
        <v>3.6</v>
      </c>
      <c r="P4148" t="b">
        <v>1</v>
      </c>
    </row>
    <row r="4149" spans="1:16" x14ac:dyDescent="0.2">
      <c r="A4149" t="s">
        <v>7190</v>
      </c>
      <c r="B4149" s="1">
        <v>45835</v>
      </c>
      <c r="C4149" s="1">
        <v>45854</v>
      </c>
      <c r="D4149" t="s">
        <v>5682</v>
      </c>
      <c r="E4149" t="s">
        <v>45</v>
      </c>
      <c r="F4149" t="s">
        <v>68</v>
      </c>
      <c r="H4149" t="s">
        <v>21</v>
      </c>
      <c r="I4149" t="s">
        <v>77</v>
      </c>
      <c r="J4149">
        <v>1</v>
      </c>
      <c r="K4149">
        <v>2445000</v>
      </c>
      <c r="L4149">
        <v>6.8693165761827699E-2</v>
      </c>
      <c r="M4149" t="s">
        <v>23</v>
      </c>
      <c r="N4149">
        <v>2277000</v>
      </c>
      <c r="O4149">
        <v>4.7</v>
      </c>
      <c r="P4149" t="b">
        <v>1</v>
      </c>
    </row>
    <row r="4150" spans="1:16" x14ac:dyDescent="0.2">
      <c r="A4150" t="s">
        <v>7191</v>
      </c>
      <c r="B4150" s="1">
        <v>45835</v>
      </c>
      <c r="C4150" s="1">
        <v>45861</v>
      </c>
      <c r="D4150" t="s">
        <v>7192</v>
      </c>
      <c r="E4150" t="s">
        <v>45</v>
      </c>
      <c r="F4150" t="s">
        <v>25</v>
      </c>
      <c r="G4150" t="s">
        <v>20</v>
      </c>
      <c r="H4150" t="s">
        <v>21</v>
      </c>
      <c r="I4150" t="s">
        <v>83</v>
      </c>
      <c r="J4150">
        <v>3</v>
      </c>
      <c r="K4150">
        <v>4994000</v>
      </c>
      <c r="L4150" s="2" t="s">
        <v>7193</v>
      </c>
      <c r="M4150" t="s">
        <v>23</v>
      </c>
      <c r="N4150">
        <v>13139000</v>
      </c>
      <c r="O4150">
        <v>3.8</v>
      </c>
      <c r="P4150" t="b">
        <v>0</v>
      </c>
    </row>
    <row r="4151" spans="1:16" x14ac:dyDescent="0.2">
      <c r="A4151" t="s">
        <v>7194</v>
      </c>
      <c r="B4151" s="1">
        <v>45835</v>
      </c>
      <c r="C4151" s="1">
        <v>45897</v>
      </c>
      <c r="D4151" t="s">
        <v>2370</v>
      </c>
      <c r="E4151" t="s">
        <v>45</v>
      </c>
      <c r="F4151" t="s">
        <v>19</v>
      </c>
      <c r="G4151" t="s">
        <v>20</v>
      </c>
      <c r="H4151" t="s">
        <v>21</v>
      </c>
      <c r="I4151" t="s">
        <v>22</v>
      </c>
      <c r="J4151">
        <v>2</v>
      </c>
      <c r="K4151">
        <v>2346000</v>
      </c>
      <c r="L4151" s="2" t="s">
        <v>7195</v>
      </c>
      <c r="M4151" t="s">
        <v>23</v>
      </c>
      <c r="N4151">
        <v>4124000</v>
      </c>
      <c r="O4151">
        <v>3.8</v>
      </c>
      <c r="P4151" t="b">
        <v>1</v>
      </c>
    </row>
    <row r="4152" spans="1:16" x14ac:dyDescent="0.2">
      <c r="A4152" t="s">
        <v>7196</v>
      </c>
      <c r="B4152" s="1">
        <v>45836</v>
      </c>
      <c r="C4152" s="1">
        <v>45892</v>
      </c>
      <c r="D4152" t="s">
        <v>1346</v>
      </c>
      <c r="E4152" t="s">
        <v>33</v>
      </c>
      <c r="F4152" t="s">
        <v>25</v>
      </c>
      <c r="G4152" t="s">
        <v>50</v>
      </c>
      <c r="H4152" t="s">
        <v>40</v>
      </c>
      <c r="I4152" t="s">
        <v>57</v>
      </c>
      <c r="J4152">
        <v>1</v>
      </c>
      <c r="K4152">
        <v>4954000</v>
      </c>
      <c r="L4152">
        <v>8.2554264170229402E-2</v>
      </c>
      <c r="M4152" t="s">
        <v>23</v>
      </c>
      <c r="N4152">
        <v>4545000</v>
      </c>
      <c r="O4152">
        <v>3.3</v>
      </c>
      <c r="P4152" t="b">
        <v>1</v>
      </c>
    </row>
    <row r="4153" spans="1:16" x14ac:dyDescent="0.2">
      <c r="A4153" t="s">
        <v>7197</v>
      </c>
      <c r="B4153" s="1">
        <v>45836</v>
      </c>
      <c r="C4153" s="1">
        <v>45878</v>
      </c>
      <c r="D4153" t="s">
        <v>4284</v>
      </c>
      <c r="E4153" t="s">
        <v>18</v>
      </c>
      <c r="F4153" t="s">
        <v>68</v>
      </c>
      <c r="G4153" t="s">
        <v>20</v>
      </c>
      <c r="H4153" t="s">
        <v>47</v>
      </c>
      <c r="I4153" t="s">
        <v>60</v>
      </c>
      <c r="J4153">
        <v>2</v>
      </c>
      <c r="K4153">
        <v>2621000</v>
      </c>
      <c r="L4153">
        <v>7.80738911974969E-2</v>
      </c>
      <c r="M4153" t="s">
        <v>23</v>
      </c>
      <c r="N4153">
        <v>4833000</v>
      </c>
      <c r="O4153">
        <v>4.2</v>
      </c>
      <c r="P4153" t="b">
        <v>1</v>
      </c>
    </row>
    <row r="4154" spans="1:16" x14ac:dyDescent="0.2">
      <c r="A4154" t="s">
        <v>7198</v>
      </c>
      <c r="B4154" s="1">
        <v>45836</v>
      </c>
      <c r="C4154" s="1">
        <v>45891</v>
      </c>
      <c r="D4154" t="s">
        <v>3096</v>
      </c>
      <c r="E4154" t="s">
        <v>45</v>
      </c>
      <c r="F4154" t="s">
        <v>34</v>
      </c>
      <c r="G4154" t="s">
        <v>35</v>
      </c>
      <c r="H4154" t="s">
        <v>21</v>
      </c>
      <c r="I4154" t="s">
        <v>83</v>
      </c>
      <c r="J4154">
        <v>1</v>
      </c>
      <c r="K4154">
        <v>4364000</v>
      </c>
      <c r="L4154">
        <v>8.6138902465350303E-2</v>
      </c>
      <c r="M4154" t="s">
        <v>23</v>
      </c>
      <c r="N4154">
        <v>3988000</v>
      </c>
      <c r="O4154">
        <v>3.7</v>
      </c>
      <c r="P4154" t="b">
        <v>1</v>
      </c>
    </row>
    <row r="4155" spans="1:16" x14ac:dyDescent="0.2">
      <c r="A4155" t="s">
        <v>7199</v>
      </c>
      <c r="B4155" s="1">
        <v>45836</v>
      </c>
      <c r="C4155" s="1">
        <v>45888</v>
      </c>
      <c r="D4155" t="s">
        <v>7200</v>
      </c>
      <c r="E4155" t="s">
        <v>18</v>
      </c>
      <c r="F4155" t="s">
        <v>25</v>
      </c>
      <c r="G4155" t="s">
        <v>20</v>
      </c>
      <c r="I4155" t="s">
        <v>26</v>
      </c>
      <c r="J4155">
        <v>3</v>
      </c>
      <c r="K4155">
        <v>5343000</v>
      </c>
      <c r="L4155" s="2" t="s">
        <v>7201</v>
      </c>
      <c r="M4155" t="s">
        <v>23</v>
      </c>
      <c r="N4155">
        <v>13948000</v>
      </c>
      <c r="O4155">
        <v>3.6</v>
      </c>
      <c r="P4155" t="b">
        <v>0</v>
      </c>
    </row>
    <row r="4156" spans="1:16" x14ac:dyDescent="0.2">
      <c r="A4156" t="s">
        <v>7202</v>
      </c>
      <c r="B4156" s="1">
        <v>45837</v>
      </c>
      <c r="C4156" s="1">
        <v>45881</v>
      </c>
      <c r="D4156" t="s">
        <v>7203</v>
      </c>
      <c r="E4156" t="s">
        <v>29</v>
      </c>
      <c r="F4156" t="s">
        <v>34</v>
      </c>
      <c r="G4156" t="s">
        <v>35</v>
      </c>
      <c r="H4156" t="s">
        <v>21</v>
      </c>
      <c r="I4156" t="s">
        <v>99</v>
      </c>
      <c r="J4156">
        <v>1</v>
      </c>
      <c r="K4156">
        <v>3940000</v>
      </c>
      <c r="L4156" s="2" t="s">
        <v>7204</v>
      </c>
      <c r="M4156" t="s">
        <v>23</v>
      </c>
      <c r="N4156">
        <v>3248000</v>
      </c>
      <c r="O4156">
        <v>4.0999999999999996</v>
      </c>
      <c r="P4156" t="b">
        <v>0</v>
      </c>
    </row>
    <row r="4157" spans="1:16" x14ac:dyDescent="0.2">
      <c r="A4157" t="s">
        <v>7205</v>
      </c>
      <c r="B4157" s="1">
        <v>45837</v>
      </c>
      <c r="C4157" s="1">
        <v>45862</v>
      </c>
      <c r="D4157" t="s">
        <v>6957</v>
      </c>
      <c r="E4157" t="s">
        <v>45</v>
      </c>
      <c r="F4157" t="s">
        <v>19</v>
      </c>
      <c r="G4157" t="s">
        <v>50</v>
      </c>
      <c r="H4157" t="s">
        <v>21</v>
      </c>
      <c r="J4157">
        <v>2</v>
      </c>
      <c r="K4157">
        <v>3455000</v>
      </c>
      <c r="L4157" s="2" t="s">
        <v>7206</v>
      </c>
      <c r="M4157" t="s">
        <v>23</v>
      </c>
      <c r="N4157">
        <v>5715000</v>
      </c>
      <c r="O4157">
        <v>4.9000000000000004</v>
      </c>
      <c r="P4157" t="b">
        <v>1</v>
      </c>
    </row>
    <row r="4158" spans="1:16" x14ac:dyDescent="0.2">
      <c r="A4158" t="s">
        <v>7207</v>
      </c>
      <c r="B4158" s="1">
        <v>45837</v>
      </c>
      <c r="C4158" s="1">
        <v>45922</v>
      </c>
      <c r="D4158" t="s">
        <v>971</v>
      </c>
      <c r="F4158" t="s">
        <v>19</v>
      </c>
      <c r="G4158" t="s">
        <v>35</v>
      </c>
      <c r="H4158" t="s">
        <v>47</v>
      </c>
      <c r="I4158" t="s">
        <v>30</v>
      </c>
      <c r="J4158">
        <v>1</v>
      </c>
      <c r="K4158">
        <v>2277000</v>
      </c>
      <c r="L4158" s="2" t="s">
        <v>7208</v>
      </c>
      <c r="M4158" t="s">
        <v>23</v>
      </c>
      <c r="N4158">
        <v>1997000</v>
      </c>
      <c r="O4158">
        <v>4.5999999999999996</v>
      </c>
      <c r="P4158" t="b">
        <v>1</v>
      </c>
    </row>
    <row r="4159" spans="1:16" x14ac:dyDescent="0.2">
      <c r="A4159" t="s">
        <v>7209</v>
      </c>
      <c r="B4159" s="1">
        <v>45837</v>
      </c>
      <c r="C4159" s="1">
        <v>45873</v>
      </c>
      <c r="D4159" t="s">
        <v>5827</v>
      </c>
      <c r="E4159" t="s">
        <v>33</v>
      </c>
      <c r="F4159" t="s">
        <v>45</v>
      </c>
      <c r="G4159" t="s">
        <v>20</v>
      </c>
      <c r="H4159" t="s">
        <v>21</v>
      </c>
      <c r="I4159" t="s">
        <v>99</v>
      </c>
      <c r="J4159">
        <v>4</v>
      </c>
      <c r="K4159">
        <v>3506000</v>
      </c>
      <c r="L4159">
        <v>8.3895440649862693E-2</v>
      </c>
      <c r="M4159" t="s">
        <v>23</v>
      </c>
      <c r="N4159">
        <v>12847000</v>
      </c>
      <c r="O4159">
        <v>4.2</v>
      </c>
      <c r="P4159" t="b">
        <v>1</v>
      </c>
    </row>
    <row r="4160" spans="1:16" x14ac:dyDescent="0.2">
      <c r="A4160" t="s">
        <v>7210</v>
      </c>
      <c r="B4160" s="1">
        <v>45837</v>
      </c>
      <c r="C4160" s="1">
        <v>45848</v>
      </c>
      <c r="D4160" t="s">
        <v>7115</v>
      </c>
      <c r="E4160" t="s">
        <v>18</v>
      </c>
      <c r="F4160" t="s">
        <v>45</v>
      </c>
      <c r="G4160" t="s">
        <v>35</v>
      </c>
      <c r="H4160" t="s">
        <v>47</v>
      </c>
      <c r="I4160" t="s">
        <v>22</v>
      </c>
      <c r="J4160">
        <v>3</v>
      </c>
      <c r="K4160">
        <v>3315000</v>
      </c>
      <c r="L4160">
        <v>6.2125236260260203E-2</v>
      </c>
      <c r="M4160" t="s">
        <v>23</v>
      </c>
      <c r="N4160">
        <v>9327000</v>
      </c>
      <c r="O4160">
        <v>4.5</v>
      </c>
      <c r="P4160" t="b">
        <v>1</v>
      </c>
    </row>
    <row r="4161" spans="1:16" x14ac:dyDescent="0.2">
      <c r="A4161" t="s">
        <v>7211</v>
      </c>
      <c r="B4161" s="1">
        <v>45837</v>
      </c>
      <c r="C4161" s="1">
        <v>45889</v>
      </c>
      <c r="D4161" t="s">
        <v>2698</v>
      </c>
      <c r="E4161" t="s">
        <v>45</v>
      </c>
      <c r="F4161" t="s">
        <v>19</v>
      </c>
      <c r="G4161" t="s">
        <v>20</v>
      </c>
      <c r="H4161" t="s">
        <v>21</v>
      </c>
      <c r="I4161" t="s">
        <v>30</v>
      </c>
      <c r="J4161">
        <v>3</v>
      </c>
      <c r="K4161">
        <v>2578000</v>
      </c>
      <c r="L4161" s="2" t="s">
        <v>7212</v>
      </c>
      <c r="M4161" t="s">
        <v>65</v>
      </c>
      <c r="N4161">
        <v>0</v>
      </c>
      <c r="P4161" t="b">
        <v>1</v>
      </c>
    </row>
    <row r="4162" spans="1:16" x14ac:dyDescent="0.2">
      <c r="A4162" t="s">
        <v>7213</v>
      </c>
      <c r="B4162" s="1">
        <v>45838</v>
      </c>
      <c r="C4162" s="1">
        <v>45870</v>
      </c>
      <c r="D4162" t="s">
        <v>3910</v>
      </c>
      <c r="E4162" t="s">
        <v>45</v>
      </c>
      <c r="F4162" t="s">
        <v>19</v>
      </c>
      <c r="G4162" t="s">
        <v>35</v>
      </c>
      <c r="H4162" t="s">
        <v>40</v>
      </c>
      <c r="I4162" t="s">
        <v>26</v>
      </c>
      <c r="J4162">
        <v>1</v>
      </c>
      <c r="K4162">
        <v>2894000</v>
      </c>
      <c r="L4162" s="2" t="s">
        <v>7214</v>
      </c>
      <c r="M4162" t="s">
        <v>23</v>
      </c>
      <c r="N4162">
        <v>2559000</v>
      </c>
      <c r="O4162">
        <v>4.3</v>
      </c>
      <c r="P4162" t="b">
        <v>1</v>
      </c>
    </row>
    <row r="4163" spans="1:16" x14ac:dyDescent="0.2">
      <c r="A4163" t="s">
        <v>7215</v>
      </c>
      <c r="B4163" s="1">
        <v>45839</v>
      </c>
      <c r="C4163" s="1">
        <v>45887</v>
      </c>
      <c r="D4163" t="s">
        <v>3680</v>
      </c>
      <c r="E4163" t="s">
        <v>45</v>
      </c>
      <c r="F4163" t="s">
        <v>39</v>
      </c>
      <c r="G4163" t="s">
        <v>20</v>
      </c>
      <c r="H4163" t="s">
        <v>21</v>
      </c>
      <c r="I4163" t="s">
        <v>26</v>
      </c>
      <c r="J4163">
        <v>1</v>
      </c>
      <c r="K4163">
        <v>2427000</v>
      </c>
      <c r="L4163" s="2" t="s">
        <v>7216</v>
      </c>
      <c r="M4163" t="s">
        <v>23</v>
      </c>
      <c r="N4163">
        <v>2151000</v>
      </c>
      <c r="O4163">
        <v>3.6</v>
      </c>
      <c r="P4163" t="b">
        <v>1</v>
      </c>
    </row>
    <row r="4164" spans="1:16" x14ac:dyDescent="0.2">
      <c r="A4164" t="s">
        <v>7217</v>
      </c>
      <c r="B4164" s="1">
        <v>45839</v>
      </c>
      <c r="C4164" s="1">
        <v>45885</v>
      </c>
      <c r="D4164" t="s">
        <v>2675</v>
      </c>
      <c r="E4164" t="s">
        <v>33</v>
      </c>
      <c r="F4164" t="s">
        <v>25</v>
      </c>
      <c r="G4164" t="s">
        <v>35</v>
      </c>
      <c r="H4164" t="s">
        <v>51</v>
      </c>
      <c r="I4164" t="s">
        <v>52</v>
      </c>
      <c r="J4164">
        <v>3</v>
      </c>
      <c r="K4164">
        <v>5004000</v>
      </c>
      <c r="L4164" s="2" t="s">
        <v>7218</v>
      </c>
      <c r="M4164" t="s">
        <v>23</v>
      </c>
      <c r="N4164">
        <v>13039000</v>
      </c>
      <c r="O4164">
        <v>4.7</v>
      </c>
      <c r="P4164" t="b">
        <v>1</v>
      </c>
    </row>
    <row r="4165" spans="1:16" x14ac:dyDescent="0.2">
      <c r="A4165" t="s">
        <v>7219</v>
      </c>
      <c r="B4165" s="1">
        <v>45839</v>
      </c>
      <c r="C4165" s="1">
        <v>45875</v>
      </c>
      <c r="D4165" t="s">
        <v>2553</v>
      </c>
      <c r="E4165" t="s">
        <v>45</v>
      </c>
      <c r="F4165" t="s">
        <v>39</v>
      </c>
      <c r="G4165" t="s">
        <v>35</v>
      </c>
      <c r="I4165" t="s">
        <v>26</v>
      </c>
      <c r="J4165">
        <v>1</v>
      </c>
      <c r="K4165">
        <v>2332000</v>
      </c>
      <c r="L4165">
        <v>9.5046998554931497E-2</v>
      </c>
      <c r="M4165" t="s">
        <v>23</v>
      </c>
      <c r="N4165">
        <v>2110000</v>
      </c>
      <c r="O4165">
        <v>3.7</v>
      </c>
      <c r="P4165" t="b">
        <v>1</v>
      </c>
    </row>
    <row r="4166" spans="1:16" x14ac:dyDescent="0.2">
      <c r="A4166" t="s">
        <v>7220</v>
      </c>
      <c r="B4166" s="1">
        <v>45839</v>
      </c>
      <c r="C4166" s="1">
        <v>45886</v>
      </c>
      <c r="D4166" t="s">
        <v>7221</v>
      </c>
      <c r="E4166" t="s">
        <v>33</v>
      </c>
      <c r="F4166" t="s">
        <v>25</v>
      </c>
      <c r="G4166" t="s">
        <v>50</v>
      </c>
      <c r="H4166" t="s">
        <v>21</v>
      </c>
      <c r="I4166" t="s">
        <v>60</v>
      </c>
      <c r="J4166">
        <v>3</v>
      </c>
      <c r="K4166">
        <v>6100000</v>
      </c>
      <c r="L4166" s="3">
        <v>0.14699999999999999</v>
      </c>
      <c r="M4166" t="s">
        <v>23</v>
      </c>
      <c r="N4166">
        <v>15609000</v>
      </c>
      <c r="O4166">
        <v>3.9</v>
      </c>
      <c r="P4166" t="b">
        <v>0</v>
      </c>
    </row>
    <row r="4167" spans="1:16" x14ac:dyDescent="0.2">
      <c r="A4167" t="s">
        <v>7222</v>
      </c>
      <c r="B4167" s="1">
        <v>45839</v>
      </c>
      <c r="C4167" s="1">
        <v>45887</v>
      </c>
      <c r="D4167" t="s">
        <v>401</v>
      </c>
      <c r="F4167" t="s">
        <v>25</v>
      </c>
      <c r="G4167" t="s">
        <v>50</v>
      </c>
      <c r="H4167" t="s">
        <v>21</v>
      </c>
      <c r="I4167" t="s">
        <v>30</v>
      </c>
      <c r="J4167">
        <v>1</v>
      </c>
      <c r="K4167">
        <v>5443000</v>
      </c>
      <c r="L4167" s="2" t="s">
        <v>7223</v>
      </c>
      <c r="M4167" t="s">
        <v>23</v>
      </c>
      <c r="N4167">
        <v>4493000</v>
      </c>
      <c r="O4167">
        <v>3.8</v>
      </c>
      <c r="P4167" t="b">
        <v>1</v>
      </c>
    </row>
    <row r="4168" spans="1:16" x14ac:dyDescent="0.2">
      <c r="A4168" t="s">
        <v>7224</v>
      </c>
      <c r="B4168" s="1">
        <v>45840</v>
      </c>
      <c r="C4168" s="1">
        <v>45884</v>
      </c>
      <c r="D4168" t="s">
        <v>4729</v>
      </c>
      <c r="E4168" t="s">
        <v>33</v>
      </c>
      <c r="F4168" t="s">
        <v>34</v>
      </c>
      <c r="G4168" t="s">
        <v>50</v>
      </c>
      <c r="H4168" t="s">
        <v>21</v>
      </c>
      <c r="I4168" t="s">
        <v>57</v>
      </c>
      <c r="J4168">
        <v>2</v>
      </c>
      <c r="K4168">
        <v>4842000</v>
      </c>
      <c r="L4168" s="2" t="s">
        <v>7225</v>
      </c>
      <c r="M4168" t="s">
        <v>23</v>
      </c>
      <c r="N4168">
        <v>8423000</v>
      </c>
      <c r="O4168">
        <v>5</v>
      </c>
      <c r="P4168" t="b">
        <v>1</v>
      </c>
    </row>
    <row r="4169" spans="1:16" x14ac:dyDescent="0.2">
      <c r="A4169" t="s">
        <v>7226</v>
      </c>
      <c r="B4169" s="1">
        <v>45841</v>
      </c>
      <c r="C4169" s="1">
        <v>45920</v>
      </c>
      <c r="D4169" t="s">
        <v>7227</v>
      </c>
      <c r="E4169" t="s">
        <v>18</v>
      </c>
      <c r="F4169" t="s">
        <v>19</v>
      </c>
      <c r="G4169" t="s">
        <v>20</v>
      </c>
      <c r="H4169" t="s">
        <v>51</v>
      </c>
      <c r="I4169" t="s">
        <v>52</v>
      </c>
      <c r="J4169">
        <v>2</v>
      </c>
      <c r="K4169">
        <v>2318000</v>
      </c>
      <c r="L4169">
        <v>7.9624381745229095E-2</v>
      </c>
      <c r="M4169" t="s">
        <v>23</v>
      </c>
      <c r="N4169">
        <v>4267000</v>
      </c>
      <c r="O4169">
        <v>4.4000000000000004</v>
      </c>
      <c r="P4169" t="b">
        <v>0</v>
      </c>
    </row>
    <row r="4170" spans="1:16" x14ac:dyDescent="0.2">
      <c r="A4170" t="s">
        <v>7228</v>
      </c>
      <c r="B4170" s="1">
        <v>45841</v>
      </c>
      <c r="C4170" s="1">
        <v>45863</v>
      </c>
      <c r="D4170" t="s">
        <v>6337</v>
      </c>
      <c r="E4170" t="s">
        <v>33</v>
      </c>
      <c r="F4170" t="s">
        <v>25</v>
      </c>
      <c r="G4170" t="s">
        <v>50</v>
      </c>
      <c r="H4170" t="s">
        <v>40</v>
      </c>
      <c r="I4170" t="s">
        <v>83</v>
      </c>
      <c r="J4170">
        <v>3</v>
      </c>
      <c r="K4170">
        <v>4715000</v>
      </c>
      <c r="L4170" s="2" t="s">
        <v>7229</v>
      </c>
      <c r="M4170" t="s">
        <v>23</v>
      </c>
      <c r="N4170">
        <v>12453000</v>
      </c>
      <c r="O4170">
        <v>4.7</v>
      </c>
      <c r="P4170" t="b">
        <v>1</v>
      </c>
    </row>
    <row r="4171" spans="1:16" x14ac:dyDescent="0.2">
      <c r="A4171" t="s">
        <v>7230</v>
      </c>
      <c r="B4171" s="1">
        <v>45841</v>
      </c>
      <c r="C4171" s="1">
        <v>45869</v>
      </c>
      <c r="D4171" t="s">
        <v>7231</v>
      </c>
      <c r="E4171" t="s">
        <v>18</v>
      </c>
      <c r="F4171" t="s">
        <v>19</v>
      </c>
      <c r="G4171" t="s">
        <v>46</v>
      </c>
      <c r="H4171" t="s">
        <v>21</v>
      </c>
      <c r="J4171">
        <v>1</v>
      </c>
      <c r="K4171">
        <v>2661000</v>
      </c>
      <c r="L4171" s="2" t="s">
        <v>7232</v>
      </c>
      <c r="M4171" t="s">
        <v>23</v>
      </c>
      <c r="N4171">
        <v>2366000</v>
      </c>
      <c r="O4171">
        <v>3.8</v>
      </c>
      <c r="P4171" t="b">
        <v>0</v>
      </c>
    </row>
    <row r="4172" spans="1:16" x14ac:dyDescent="0.2">
      <c r="A4172" t="s">
        <v>7233</v>
      </c>
      <c r="B4172" s="1">
        <v>45842</v>
      </c>
      <c r="C4172" s="1">
        <v>45880</v>
      </c>
      <c r="D4172" t="s">
        <v>1850</v>
      </c>
      <c r="E4172" t="s">
        <v>45</v>
      </c>
      <c r="F4172" t="s">
        <v>34</v>
      </c>
      <c r="G4172" t="s">
        <v>50</v>
      </c>
      <c r="H4172" t="s">
        <v>40</v>
      </c>
      <c r="I4172" t="s">
        <v>30</v>
      </c>
      <c r="J4172">
        <v>1</v>
      </c>
      <c r="K4172">
        <v>3908000</v>
      </c>
      <c r="L4172">
        <v>8.0962258746050897E-2</v>
      </c>
      <c r="M4172" t="s">
        <v>23</v>
      </c>
      <c r="N4172">
        <v>3592000</v>
      </c>
      <c r="O4172">
        <v>3.9</v>
      </c>
      <c r="P4172" t="b">
        <v>1</v>
      </c>
    </row>
    <row r="4173" spans="1:16" x14ac:dyDescent="0.2">
      <c r="A4173" t="s">
        <v>7234</v>
      </c>
      <c r="B4173" s="1">
        <v>45842</v>
      </c>
      <c r="C4173" s="1">
        <v>45902</v>
      </c>
      <c r="D4173" t="s">
        <v>5201</v>
      </c>
      <c r="E4173" t="s">
        <v>18</v>
      </c>
      <c r="F4173" t="s">
        <v>19</v>
      </c>
      <c r="G4173" t="s">
        <v>35</v>
      </c>
      <c r="H4173" t="s">
        <v>21</v>
      </c>
      <c r="I4173" t="s">
        <v>26</v>
      </c>
      <c r="J4173">
        <v>1</v>
      </c>
      <c r="K4173">
        <v>2502000</v>
      </c>
      <c r="L4173">
        <v>8.9232347212318194E-2</v>
      </c>
      <c r="M4173" t="s">
        <v>23</v>
      </c>
      <c r="N4173">
        <v>2279000</v>
      </c>
      <c r="O4173">
        <v>4.2</v>
      </c>
      <c r="P4173" t="b">
        <v>1</v>
      </c>
    </row>
    <row r="4174" spans="1:16" x14ac:dyDescent="0.2">
      <c r="A4174" t="s">
        <v>7235</v>
      </c>
      <c r="B4174" s="1">
        <v>45842</v>
      </c>
      <c r="C4174" s="1">
        <v>45893</v>
      </c>
      <c r="D4174" t="s">
        <v>6283</v>
      </c>
      <c r="E4174" t="s">
        <v>33</v>
      </c>
      <c r="F4174" t="s">
        <v>45</v>
      </c>
      <c r="G4174" t="s">
        <v>20</v>
      </c>
      <c r="H4174" t="s">
        <v>21</v>
      </c>
      <c r="I4174" t="s">
        <v>60</v>
      </c>
      <c r="J4174">
        <v>3</v>
      </c>
      <c r="K4174">
        <v>3488000</v>
      </c>
      <c r="L4174">
        <v>2.1266085353425002E-2</v>
      </c>
      <c r="M4174" t="s">
        <v>23</v>
      </c>
      <c r="N4174">
        <v>10241000</v>
      </c>
      <c r="O4174">
        <v>4.2</v>
      </c>
      <c r="P4174" t="b">
        <v>1</v>
      </c>
    </row>
    <row r="4175" spans="1:16" x14ac:dyDescent="0.2">
      <c r="A4175" t="s">
        <v>7236</v>
      </c>
      <c r="B4175" s="1">
        <v>45842</v>
      </c>
      <c r="C4175" s="1">
        <v>45896</v>
      </c>
      <c r="D4175" t="s">
        <v>5812</v>
      </c>
      <c r="E4175" t="s">
        <v>29</v>
      </c>
      <c r="F4175" t="s">
        <v>39</v>
      </c>
      <c r="G4175" t="s">
        <v>46</v>
      </c>
      <c r="H4175" t="s">
        <v>47</v>
      </c>
      <c r="I4175" t="s">
        <v>60</v>
      </c>
      <c r="J4175">
        <v>2</v>
      </c>
      <c r="K4175">
        <v>2673000</v>
      </c>
      <c r="L4175">
        <v>9.2987170165635999E-2</v>
      </c>
      <c r="M4175" t="s">
        <v>65</v>
      </c>
      <c r="N4175">
        <v>0</v>
      </c>
      <c r="P4175" t="b">
        <v>1</v>
      </c>
    </row>
    <row r="4176" spans="1:16" x14ac:dyDescent="0.2">
      <c r="A4176" t="s">
        <v>7237</v>
      </c>
      <c r="B4176" s="1">
        <v>45842</v>
      </c>
      <c r="C4176" s="1">
        <v>45882</v>
      </c>
      <c r="D4176" t="s">
        <v>6577</v>
      </c>
      <c r="E4176" t="s">
        <v>45</v>
      </c>
      <c r="F4176" t="s">
        <v>25</v>
      </c>
      <c r="G4176" t="s">
        <v>35</v>
      </c>
      <c r="H4176" t="s">
        <v>21</v>
      </c>
      <c r="J4176">
        <v>1</v>
      </c>
      <c r="K4176">
        <v>5852000</v>
      </c>
      <c r="L4176">
        <v>8.5225831882945594E-2</v>
      </c>
      <c r="M4176" t="s">
        <v>23</v>
      </c>
      <c r="N4176">
        <v>5353000</v>
      </c>
      <c r="O4176">
        <v>5</v>
      </c>
      <c r="P4176" t="b">
        <v>1</v>
      </c>
    </row>
    <row r="4177" spans="1:16" x14ac:dyDescent="0.2">
      <c r="A4177" t="s">
        <v>7238</v>
      </c>
      <c r="B4177" s="1">
        <v>45843</v>
      </c>
      <c r="C4177" s="1">
        <v>45874</v>
      </c>
      <c r="D4177" t="s">
        <v>7161</v>
      </c>
      <c r="E4177" t="s">
        <v>18</v>
      </c>
      <c r="F4177" t="s">
        <v>34</v>
      </c>
      <c r="G4177" t="s">
        <v>35</v>
      </c>
      <c r="I4177" t="s">
        <v>83</v>
      </c>
      <c r="J4177">
        <v>4</v>
      </c>
      <c r="K4177">
        <v>4211000</v>
      </c>
      <c r="L4177" s="2" t="s">
        <v>7239</v>
      </c>
      <c r="M4177" t="s">
        <v>23</v>
      </c>
      <c r="N4177">
        <v>16209000</v>
      </c>
      <c r="O4177">
        <v>4</v>
      </c>
      <c r="P4177" t="b">
        <v>1</v>
      </c>
    </row>
    <row r="4178" spans="1:16" x14ac:dyDescent="0.2">
      <c r="A4178" t="s">
        <v>7240</v>
      </c>
      <c r="B4178" s="1">
        <v>45843</v>
      </c>
      <c r="C4178" s="1">
        <v>45896</v>
      </c>
      <c r="D4178" t="s">
        <v>7241</v>
      </c>
      <c r="E4178" t="s">
        <v>18</v>
      </c>
      <c r="F4178" t="s">
        <v>25</v>
      </c>
      <c r="G4178" t="s">
        <v>20</v>
      </c>
      <c r="H4178" t="s">
        <v>21</v>
      </c>
      <c r="I4178" t="s">
        <v>30</v>
      </c>
      <c r="J4178">
        <v>4</v>
      </c>
      <c r="K4178">
        <v>5214000</v>
      </c>
      <c r="L4178">
        <v>3.4120147157193102E-2</v>
      </c>
      <c r="M4178" t="s">
        <v>23</v>
      </c>
      <c r="N4178">
        <v>20144000</v>
      </c>
      <c r="O4178">
        <v>5</v>
      </c>
      <c r="P4178" t="b">
        <v>0</v>
      </c>
    </row>
    <row r="4179" spans="1:16" x14ac:dyDescent="0.2">
      <c r="A4179" t="s">
        <v>7242</v>
      </c>
      <c r="B4179" s="1">
        <v>45843</v>
      </c>
      <c r="C4179" s="1">
        <v>45903</v>
      </c>
      <c r="D4179" t="s">
        <v>6577</v>
      </c>
      <c r="E4179" t="s">
        <v>33</v>
      </c>
      <c r="F4179" t="s">
        <v>34</v>
      </c>
      <c r="G4179" t="s">
        <v>35</v>
      </c>
      <c r="H4179" t="s">
        <v>47</v>
      </c>
      <c r="I4179" t="s">
        <v>60</v>
      </c>
      <c r="J4179">
        <v>1</v>
      </c>
      <c r="K4179">
        <v>4464000</v>
      </c>
      <c r="L4179">
        <v>7.6792379433702998E-2</v>
      </c>
      <c r="M4179" t="s">
        <v>23</v>
      </c>
      <c r="N4179">
        <v>4121000</v>
      </c>
      <c r="O4179">
        <v>5</v>
      </c>
      <c r="P4179" t="b">
        <v>1</v>
      </c>
    </row>
    <row r="4180" spans="1:16" x14ac:dyDescent="0.2">
      <c r="A4180" t="s">
        <v>7243</v>
      </c>
      <c r="B4180" s="1">
        <v>45843</v>
      </c>
      <c r="C4180" s="1">
        <v>45917</v>
      </c>
      <c r="D4180" t="s">
        <v>1283</v>
      </c>
      <c r="E4180" t="s">
        <v>45</v>
      </c>
      <c r="F4180" t="s">
        <v>45</v>
      </c>
      <c r="G4180" t="s">
        <v>35</v>
      </c>
      <c r="H4180" t="s">
        <v>47</v>
      </c>
      <c r="I4180" t="s">
        <v>52</v>
      </c>
      <c r="J4180">
        <v>1</v>
      </c>
      <c r="K4180">
        <v>2633000</v>
      </c>
      <c r="L4180" s="2" t="s">
        <v>7244</v>
      </c>
      <c r="M4180" t="s">
        <v>23</v>
      </c>
      <c r="N4180">
        <v>2315000</v>
      </c>
      <c r="O4180">
        <v>3.7</v>
      </c>
      <c r="P4180" t="b">
        <v>1</v>
      </c>
    </row>
    <row r="4181" spans="1:16" x14ac:dyDescent="0.2">
      <c r="A4181" t="s">
        <v>7245</v>
      </c>
      <c r="B4181" s="1">
        <v>45843</v>
      </c>
      <c r="C4181" s="1">
        <v>45887</v>
      </c>
      <c r="D4181" t="s">
        <v>7246</v>
      </c>
      <c r="E4181" t="s">
        <v>18</v>
      </c>
      <c r="F4181" t="s">
        <v>34</v>
      </c>
      <c r="G4181" t="s">
        <v>20</v>
      </c>
      <c r="H4181" t="s">
        <v>21</v>
      </c>
      <c r="I4181" t="s">
        <v>57</v>
      </c>
      <c r="J4181">
        <v>5</v>
      </c>
      <c r="K4181">
        <v>4730000</v>
      </c>
      <c r="L4181" s="2" t="s">
        <v>7247</v>
      </c>
      <c r="M4181" t="s">
        <v>23</v>
      </c>
      <c r="N4181">
        <v>20493000</v>
      </c>
      <c r="O4181">
        <v>5</v>
      </c>
      <c r="P4181" t="b">
        <v>0</v>
      </c>
    </row>
    <row r="4182" spans="1:16" x14ac:dyDescent="0.2">
      <c r="A4182" t="s">
        <v>7248</v>
      </c>
      <c r="B4182" s="1">
        <v>45843</v>
      </c>
      <c r="C4182" s="1">
        <v>45940</v>
      </c>
      <c r="D4182" t="s">
        <v>38</v>
      </c>
      <c r="E4182" t="s">
        <v>33</v>
      </c>
      <c r="F4182" t="s">
        <v>34</v>
      </c>
      <c r="G4182" t="s">
        <v>46</v>
      </c>
      <c r="H4182" t="s">
        <v>40</v>
      </c>
      <c r="I4182" t="s">
        <v>26</v>
      </c>
      <c r="J4182">
        <v>2</v>
      </c>
      <c r="K4182">
        <v>3814000</v>
      </c>
      <c r="L4182">
        <v>9.4894633494106498E-2</v>
      </c>
      <c r="M4182" t="s">
        <v>23</v>
      </c>
      <c r="N4182">
        <v>6904000</v>
      </c>
      <c r="O4182">
        <v>4.0999999999999996</v>
      </c>
      <c r="P4182" t="b">
        <v>1</v>
      </c>
    </row>
    <row r="4183" spans="1:16" x14ac:dyDescent="0.2">
      <c r="A4183" t="s">
        <v>7249</v>
      </c>
      <c r="B4183" s="1">
        <v>45843</v>
      </c>
      <c r="C4183" s="1">
        <v>45888</v>
      </c>
      <c r="D4183" t="s">
        <v>7250</v>
      </c>
      <c r="E4183" t="s">
        <v>33</v>
      </c>
      <c r="F4183" t="s">
        <v>39</v>
      </c>
      <c r="G4183" t="s">
        <v>35</v>
      </c>
      <c r="H4183" t="s">
        <v>21</v>
      </c>
      <c r="I4183" t="s">
        <v>30</v>
      </c>
      <c r="J4183">
        <v>3</v>
      </c>
      <c r="K4183">
        <v>2856000</v>
      </c>
      <c r="L4183" s="2" t="s">
        <v>7251</v>
      </c>
      <c r="M4183" t="s">
        <v>23</v>
      </c>
      <c r="N4183">
        <v>7643000</v>
      </c>
      <c r="O4183">
        <v>4.7</v>
      </c>
      <c r="P4183" t="b">
        <v>0</v>
      </c>
    </row>
    <row r="4184" spans="1:16" x14ac:dyDescent="0.2">
      <c r="A4184" t="s">
        <v>7252</v>
      </c>
      <c r="B4184" s="1">
        <v>45844</v>
      </c>
      <c r="C4184" s="1">
        <v>45880</v>
      </c>
      <c r="D4184" t="s">
        <v>7253</v>
      </c>
      <c r="F4184" t="s">
        <v>39</v>
      </c>
      <c r="G4184" t="s">
        <v>50</v>
      </c>
      <c r="H4184" t="s">
        <v>21</v>
      </c>
      <c r="I4184" t="s">
        <v>57</v>
      </c>
      <c r="J4184">
        <v>2</v>
      </c>
      <c r="K4184">
        <v>2511000</v>
      </c>
      <c r="L4184" s="2" t="s">
        <v>7254</v>
      </c>
      <c r="M4184" t="s">
        <v>23</v>
      </c>
      <c r="N4184">
        <v>4405000</v>
      </c>
      <c r="O4184">
        <v>5</v>
      </c>
      <c r="P4184" t="b">
        <v>0</v>
      </c>
    </row>
    <row r="4185" spans="1:16" x14ac:dyDescent="0.2">
      <c r="A4185" t="s">
        <v>7255</v>
      </c>
      <c r="B4185" s="1">
        <v>45844</v>
      </c>
      <c r="C4185" s="1">
        <v>45881</v>
      </c>
      <c r="D4185" t="s">
        <v>7256</v>
      </c>
      <c r="E4185" t="s">
        <v>18</v>
      </c>
      <c r="F4185" t="s">
        <v>45</v>
      </c>
      <c r="G4185" t="s">
        <v>20</v>
      </c>
      <c r="H4185" t="s">
        <v>21</v>
      </c>
      <c r="I4185" t="s">
        <v>83</v>
      </c>
      <c r="J4185">
        <v>1</v>
      </c>
      <c r="K4185">
        <v>2857000</v>
      </c>
      <c r="L4185" s="2" t="s">
        <v>7257</v>
      </c>
      <c r="M4185" t="s">
        <v>23</v>
      </c>
      <c r="N4185">
        <v>2279000</v>
      </c>
      <c r="O4185">
        <v>4.0999999999999996</v>
      </c>
      <c r="P4185" t="b">
        <v>0</v>
      </c>
    </row>
    <row r="4186" spans="1:16" x14ac:dyDescent="0.2">
      <c r="A4186" t="s">
        <v>7258</v>
      </c>
      <c r="B4186" s="1">
        <v>45844</v>
      </c>
      <c r="C4186" s="1">
        <v>45880</v>
      </c>
      <c r="D4186" t="s">
        <v>2701</v>
      </c>
      <c r="E4186" t="s">
        <v>29</v>
      </c>
      <c r="F4186" t="s">
        <v>19</v>
      </c>
      <c r="G4186" t="s">
        <v>50</v>
      </c>
      <c r="H4186" t="s">
        <v>40</v>
      </c>
      <c r="I4186" t="s">
        <v>94</v>
      </c>
      <c r="J4186">
        <v>1</v>
      </c>
      <c r="K4186">
        <v>2824000</v>
      </c>
      <c r="L4186" s="2" t="s">
        <v>7259</v>
      </c>
      <c r="M4186" t="s">
        <v>23</v>
      </c>
      <c r="N4186">
        <v>2451000</v>
      </c>
      <c r="O4186">
        <v>3.9</v>
      </c>
      <c r="P4186" t="b">
        <v>1</v>
      </c>
    </row>
    <row r="4187" spans="1:16" x14ac:dyDescent="0.2">
      <c r="A4187" t="s">
        <v>7260</v>
      </c>
      <c r="B4187" s="1">
        <v>45844</v>
      </c>
      <c r="C4187" s="1">
        <v>45908</v>
      </c>
      <c r="D4187" t="s">
        <v>2207</v>
      </c>
      <c r="E4187" t="s">
        <v>18</v>
      </c>
      <c r="F4187" t="s">
        <v>39</v>
      </c>
      <c r="G4187" t="s">
        <v>35</v>
      </c>
      <c r="H4187" t="s">
        <v>51</v>
      </c>
      <c r="I4187" t="s">
        <v>52</v>
      </c>
      <c r="J4187">
        <v>2</v>
      </c>
      <c r="K4187">
        <v>2149000</v>
      </c>
      <c r="L4187">
        <v>6.1444038313080498E-2</v>
      </c>
      <c r="M4187" t="s">
        <v>23</v>
      </c>
      <c r="N4187">
        <v>4034000</v>
      </c>
      <c r="O4187">
        <v>4.2</v>
      </c>
      <c r="P4187" t="b">
        <v>1</v>
      </c>
    </row>
    <row r="4188" spans="1:16" x14ac:dyDescent="0.2">
      <c r="A4188" t="s">
        <v>7261</v>
      </c>
      <c r="B4188" s="1">
        <v>45844</v>
      </c>
      <c r="C4188" s="1">
        <v>45907</v>
      </c>
      <c r="D4188" t="s">
        <v>4890</v>
      </c>
      <c r="F4188" t="s">
        <v>25</v>
      </c>
      <c r="G4188" t="s">
        <v>50</v>
      </c>
      <c r="H4188" t="s">
        <v>21</v>
      </c>
      <c r="I4188" t="s">
        <v>83</v>
      </c>
      <c r="J4188">
        <v>3</v>
      </c>
      <c r="K4188">
        <v>4383000</v>
      </c>
      <c r="L4188">
        <v>7.5774961675910593E-2</v>
      </c>
      <c r="M4188" t="s">
        <v>23</v>
      </c>
      <c r="N4188">
        <v>12153000</v>
      </c>
      <c r="O4188">
        <v>4.5</v>
      </c>
      <c r="P4188" t="b">
        <v>1</v>
      </c>
    </row>
    <row r="4189" spans="1:16" x14ac:dyDescent="0.2">
      <c r="A4189" t="s">
        <v>7262</v>
      </c>
      <c r="B4189" s="1">
        <v>45844</v>
      </c>
      <c r="C4189" s="1">
        <v>45845</v>
      </c>
      <c r="D4189" t="s">
        <v>4929</v>
      </c>
      <c r="E4189" t="s">
        <v>18</v>
      </c>
      <c r="F4189" t="s">
        <v>68</v>
      </c>
      <c r="G4189" t="s">
        <v>46</v>
      </c>
      <c r="H4189" t="s">
        <v>21</v>
      </c>
      <c r="I4189" t="s">
        <v>57</v>
      </c>
      <c r="J4189">
        <v>1</v>
      </c>
      <c r="K4189">
        <v>2588000</v>
      </c>
      <c r="L4189" s="2" t="s">
        <v>7263</v>
      </c>
      <c r="M4189" t="s">
        <v>23</v>
      </c>
      <c r="N4189">
        <v>2236000</v>
      </c>
      <c r="O4189">
        <v>4.7</v>
      </c>
      <c r="P4189" t="b">
        <v>1</v>
      </c>
    </row>
    <row r="4190" spans="1:16" x14ac:dyDescent="0.2">
      <c r="A4190" t="s">
        <v>7264</v>
      </c>
      <c r="B4190" s="1">
        <v>45844</v>
      </c>
      <c r="C4190" s="1">
        <v>45876</v>
      </c>
      <c r="D4190" t="s">
        <v>5261</v>
      </c>
      <c r="E4190" t="s">
        <v>18</v>
      </c>
      <c r="F4190" t="s">
        <v>25</v>
      </c>
      <c r="G4190" t="s">
        <v>20</v>
      </c>
      <c r="H4190" t="s">
        <v>40</v>
      </c>
      <c r="I4190" t="s">
        <v>99</v>
      </c>
      <c r="J4190">
        <v>2</v>
      </c>
      <c r="K4190">
        <v>5329000</v>
      </c>
      <c r="L4190">
        <v>4.72916199119707E-2</v>
      </c>
      <c r="M4190" t="s">
        <v>23</v>
      </c>
      <c r="N4190">
        <v>10154000</v>
      </c>
      <c r="O4190">
        <v>4.4000000000000004</v>
      </c>
      <c r="P4190" t="b">
        <v>1</v>
      </c>
    </row>
    <row r="4191" spans="1:16" x14ac:dyDescent="0.2">
      <c r="A4191" t="s">
        <v>7265</v>
      </c>
      <c r="B4191" s="1">
        <v>45845</v>
      </c>
      <c r="C4191" s="1">
        <v>45875</v>
      </c>
      <c r="D4191" t="s">
        <v>7200</v>
      </c>
      <c r="E4191" t="s">
        <v>33</v>
      </c>
      <c r="F4191" t="s">
        <v>68</v>
      </c>
      <c r="G4191" t="s">
        <v>50</v>
      </c>
      <c r="H4191" t="s">
        <v>47</v>
      </c>
      <c r="I4191" t="s">
        <v>26</v>
      </c>
      <c r="J4191">
        <v>1</v>
      </c>
      <c r="K4191">
        <v>2891000</v>
      </c>
      <c r="L4191" s="2" t="s">
        <v>7266</v>
      </c>
      <c r="M4191" t="s">
        <v>23</v>
      </c>
      <c r="N4191">
        <v>2524000</v>
      </c>
      <c r="O4191">
        <v>4.4000000000000004</v>
      </c>
      <c r="P4191" t="b">
        <v>1</v>
      </c>
    </row>
    <row r="4192" spans="1:16" x14ac:dyDescent="0.2">
      <c r="A4192" t="s">
        <v>7267</v>
      </c>
      <c r="B4192" s="1">
        <v>45845</v>
      </c>
      <c r="C4192" s="1">
        <v>45881</v>
      </c>
      <c r="D4192" t="s">
        <v>4776</v>
      </c>
      <c r="E4192" t="s">
        <v>45</v>
      </c>
      <c r="F4192" t="s">
        <v>45</v>
      </c>
      <c r="G4192" t="s">
        <v>35</v>
      </c>
      <c r="H4192" t="s">
        <v>51</v>
      </c>
      <c r="I4192" t="s">
        <v>1654</v>
      </c>
      <c r="J4192">
        <v>2</v>
      </c>
      <c r="K4192">
        <v>3382000</v>
      </c>
      <c r="L4192" s="2" t="s">
        <v>7268</v>
      </c>
      <c r="M4192" t="s">
        <v>65</v>
      </c>
      <c r="N4192">
        <v>0</v>
      </c>
      <c r="P4192" t="b">
        <v>1</v>
      </c>
    </row>
    <row r="4193" spans="1:16" x14ac:dyDescent="0.2">
      <c r="A4193" t="s">
        <v>7269</v>
      </c>
      <c r="B4193" s="1">
        <v>45846</v>
      </c>
      <c r="C4193" s="1">
        <v>45892</v>
      </c>
      <c r="D4193" t="s">
        <v>7270</v>
      </c>
      <c r="E4193" t="s">
        <v>45</v>
      </c>
      <c r="F4193" t="s">
        <v>25</v>
      </c>
      <c r="G4193" t="s">
        <v>20</v>
      </c>
      <c r="H4193" t="s">
        <v>21</v>
      </c>
      <c r="I4193" t="s">
        <v>94</v>
      </c>
      <c r="J4193">
        <v>1</v>
      </c>
      <c r="K4193">
        <v>4872000</v>
      </c>
      <c r="L4193" s="2" t="s">
        <v>7271</v>
      </c>
      <c r="M4193" t="s">
        <v>23</v>
      </c>
      <c r="N4193">
        <v>4317000</v>
      </c>
      <c r="O4193">
        <v>3.8</v>
      </c>
      <c r="P4193" t="b">
        <v>0</v>
      </c>
    </row>
    <row r="4194" spans="1:16" x14ac:dyDescent="0.2">
      <c r="A4194" t="s">
        <v>7272</v>
      </c>
      <c r="B4194" s="1">
        <v>45847</v>
      </c>
      <c r="C4194" s="1">
        <v>45887</v>
      </c>
      <c r="D4194" t="s">
        <v>7273</v>
      </c>
      <c r="E4194" t="s">
        <v>29</v>
      </c>
      <c r="F4194" t="s">
        <v>25</v>
      </c>
      <c r="G4194" t="s">
        <v>20</v>
      </c>
      <c r="H4194" t="s">
        <v>21</v>
      </c>
      <c r="I4194" t="s">
        <v>26</v>
      </c>
      <c r="J4194">
        <v>4</v>
      </c>
      <c r="K4194">
        <v>5248000</v>
      </c>
      <c r="L4194" s="2" t="s">
        <v>7274</v>
      </c>
      <c r="M4194" t="s">
        <v>23</v>
      </c>
      <c r="N4194">
        <v>18589000</v>
      </c>
      <c r="O4194">
        <v>4.5999999999999996</v>
      </c>
      <c r="P4194" t="b">
        <v>0</v>
      </c>
    </row>
    <row r="4195" spans="1:16" x14ac:dyDescent="0.2">
      <c r="A4195" t="s">
        <v>7275</v>
      </c>
      <c r="B4195" s="1">
        <v>45847</v>
      </c>
      <c r="C4195" s="1">
        <v>45869</v>
      </c>
      <c r="D4195" t="s">
        <v>7276</v>
      </c>
      <c r="E4195" t="s">
        <v>18</v>
      </c>
      <c r="F4195" t="s">
        <v>25</v>
      </c>
      <c r="G4195" t="s">
        <v>20</v>
      </c>
      <c r="H4195" t="s">
        <v>21</v>
      </c>
      <c r="I4195" t="s">
        <v>77</v>
      </c>
      <c r="J4195">
        <v>3</v>
      </c>
      <c r="K4195">
        <v>6225000</v>
      </c>
      <c r="L4195">
        <v>6.7211653704246893E-2</v>
      </c>
      <c r="M4195" t="s">
        <v>1673</v>
      </c>
      <c r="N4195">
        <v>17420000</v>
      </c>
      <c r="O4195">
        <v>4</v>
      </c>
      <c r="P4195" t="b">
        <v>0</v>
      </c>
    </row>
    <row r="4196" spans="1:16" x14ac:dyDescent="0.2">
      <c r="A4196" t="s">
        <v>7277</v>
      </c>
      <c r="B4196" s="1">
        <v>45847</v>
      </c>
      <c r="C4196" s="1">
        <v>45886</v>
      </c>
      <c r="D4196" t="s">
        <v>894</v>
      </c>
      <c r="E4196" t="s">
        <v>29</v>
      </c>
      <c r="F4196" t="s">
        <v>39</v>
      </c>
      <c r="G4196" t="s">
        <v>35</v>
      </c>
      <c r="H4196" t="s">
        <v>51</v>
      </c>
      <c r="I4196" t="s">
        <v>26</v>
      </c>
      <c r="J4196">
        <v>1</v>
      </c>
      <c r="K4196">
        <v>2489000</v>
      </c>
      <c r="L4196" s="2" t="s">
        <v>7278</v>
      </c>
      <c r="M4196" t="s">
        <v>23</v>
      </c>
      <c r="N4196">
        <v>2195000</v>
      </c>
      <c r="O4196">
        <v>4.5</v>
      </c>
      <c r="P4196" t="b">
        <v>1</v>
      </c>
    </row>
    <row r="4197" spans="1:16" x14ac:dyDescent="0.2">
      <c r="A4197" t="s">
        <v>7279</v>
      </c>
      <c r="B4197" s="1">
        <v>45847</v>
      </c>
      <c r="C4197" s="1">
        <v>45897</v>
      </c>
      <c r="D4197" t="s">
        <v>6965</v>
      </c>
      <c r="E4197" t="s">
        <v>33</v>
      </c>
      <c r="F4197" t="s">
        <v>19</v>
      </c>
      <c r="G4197" t="s">
        <v>50</v>
      </c>
      <c r="H4197" t="s">
        <v>21</v>
      </c>
      <c r="I4197" t="s">
        <v>57</v>
      </c>
      <c r="J4197">
        <v>4</v>
      </c>
      <c r="K4197">
        <v>3264000</v>
      </c>
      <c r="L4197" s="2" t="s">
        <v>7280</v>
      </c>
      <c r="M4197" t="s">
        <v>23</v>
      </c>
      <c r="N4197">
        <v>11739000</v>
      </c>
      <c r="O4197">
        <v>3.7</v>
      </c>
      <c r="P4197" t="b">
        <v>1</v>
      </c>
    </row>
    <row r="4198" spans="1:16" x14ac:dyDescent="0.2">
      <c r="A4198" t="s">
        <v>7281</v>
      </c>
      <c r="B4198" s="1">
        <v>45847</v>
      </c>
      <c r="C4198" s="1">
        <v>45958</v>
      </c>
      <c r="D4198" t="s">
        <v>7282</v>
      </c>
      <c r="E4198" t="s">
        <v>33</v>
      </c>
      <c r="F4198" t="s">
        <v>19</v>
      </c>
      <c r="G4198" t="s">
        <v>20</v>
      </c>
      <c r="H4198" t="s">
        <v>47</v>
      </c>
      <c r="I4198" t="s">
        <v>1654</v>
      </c>
      <c r="J4198">
        <v>2</v>
      </c>
      <c r="K4198">
        <v>2610000</v>
      </c>
      <c r="L4198">
        <v>9.3399014235264796E-2</v>
      </c>
      <c r="M4198" t="s">
        <v>23</v>
      </c>
      <c r="N4198">
        <v>4732000</v>
      </c>
      <c r="O4198">
        <v>3.9</v>
      </c>
      <c r="P4198" t="b">
        <v>0</v>
      </c>
    </row>
    <row r="4199" spans="1:16" x14ac:dyDescent="0.2">
      <c r="A4199" t="s">
        <v>7283</v>
      </c>
      <c r="B4199" s="1">
        <v>45848</v>
      </c>
      <c r="C4199" s="1">
        <v>45904</v>
      </c>
      <c r="D4199" t="s">
        <v>3736</v>
      </c>
      <c r="E4199" t="s">
        <v>45</v>
      </c>
      <c r="F4199" t="s">
        <v>45</v>
      </c>
      <c r="G4199" t="s">
        <v>20</v>
      </c>
      <c r="H4199" t="s">
        <v>51</v>
      </c>
      <c r="I4199" t="s">
        <v>60</v>
      </c>
      <c r="J4199">
        <v>3</v>
      </c>
      <c r="K4199">
        <v>3172000</v>
      </c>
      <c r="L4199" s="2" t="s">
        <v>7284</v>
      </c>
      <c r="M4199" t="s">
        <v>23</v>
      </c>
      <c r="N4199">
        <v>8516000</v>
      </c>
      <c r="O4199">
        <v>3.7</v>
      </c>
      <c r="P4199" t="b">
        <v>1</v>
      </c>
    </row>
    <row r="4200" spans="1:16" x14ac:dyDescent="0.2">
      <c r="A4200" t="s">
        <v>7285</v>
      </c>
      <c r="B4200" s="1">
        <v>45849</v>
      </c>
      <c r="C4200" s="1">
        <v>45936</v>
      </c>
      <c r="D4200" t="s">
        <v>4165</v>
      </c>
      <c r="E4200" t="s">
        <v>33</v>
      </c>
      <c r="F4200" t="s">
        <v>25</v>
      </c>
      <c r="G4200" t="s">
        <v>20</v>
      </c>
      <c r="H4200" t="s">
        <v>40</v>
      </c>
      <c r="I4200" t="s">
        <v>30</v>
      </c>
      <c r="J4200">
        <v>3</v>
      </c>
      <c r="K4200">
        <v>5055000</v>
      </c>
      <c r="L4200">
        <v>7.8891995348029306E-2</v>
      </c>
      <c r="M4200" t="s">
        <v>65</v>
      </c>
      <c r="N4200">
        <v>0</v>
      </c>
      <c r="P4200" t="b">
        <v>1</v>
      </c>
    </row>
    <row r="4201" spans="1:16" x14ac:dyDescent="0.2">
      <c r="A4201" t="s">
        <v>7286</v>
      </c>
      <c r="B4201" s="1">
        <v>45849</v>
      </c>
      <c r="C4201" s="1">
        <v>45883</v>
      </c>
      <c r="D4201" t="s">
        <v>5261</v>
      </c>
      <c r="F4201" t="s">
        <v>39</v>
      </c>
      <c r="G4201" t="s">
        <v>35</v>
      </c>
      <c r="H4201" t="s">
        <v>40</v>
      </c>
      <c r="I4201" t="s">
        <v>77</v>
      </c>
      <c r="J4201">
        <v>2</v>
      </c>
      <c r="K4201">
        <v>2860000</v>
      </c>
      <c r="L4201" s="2" t="s">
        <v>7287</v>
      </c>
      <c r="M4201" t="s">
        <v>23</v>
      </c>
      <c r="N4201">
        <v>5017000</v>
      </c>
      <c r="O4201">
        <v>4</v>
      </c>
      <c r="P4201" t="b">
        <v>1</v>
      </c>
    </row>
    <row r="4202" spans="1:16" x14ac:dyDescent="0.2">
      <c r="A4202" t="s">
        <v>7288</v>
      </c>
      <c r="B4202" s="1">
        <v>45849</v>
      </c>
      <c r="C4202" s="1">
        <v>45872</v>
      </c>
      <c r="D4202" t="s">
        <v>6659</v>
      </c>
      <c r="E4202" t="s">
        <v>18</v>
      </c>
      <c r="F4202" t="s">
        <v>34</v>
      </c>
      <c r="G4202" t="s">
        <v>20</v>
      </c>
      <c r="H4202" t="s">
        <v>21</v>
      </c>
      <c r="I4202" t="s">
        <v>52</v>
      </c>
      <c r="J4202">
        <v>2</v>
      </c>
      <c r="K4202">
        <v>3264000</v>
      </c>
      <c r="L4202" s="2" t="s">
        <v>7289</v>
      </c>
      <c r="M4202" t="s">
        <v>65</v>
      </c>
      <c r="N4202">
        <v>0</v>
      </c>
      <c r="P4202" t="b">
        <v>1</v>
      </c>
    </row>
    <row r="4203" spans="1:16" x14ac:dyDescent="0.2">
      <c r="A4203" t="s">
        <v>7290</v>
      </c>
      <c r="B4203" s="1">
        <v>45850</v>
      </c>
      <c r="C4203" s="1">
        <v>45953</v>
      </c>
      <c r="D4203" t="s">
        <v>7291</v>
      </c>
      <c r="F4203" t="s">
        <v>25</v>
      </c>
      <c r="G4203" t="s">
        <v>50</v>
      </c>
      <c r="H4203" t="s">
        <v>47</v>
      </c>
      <c r="I4203" t="s">
        <v>60</v>
      </c>
      <c r="J4203">
        <v>1</v>
      </c>
      <c r="K4203">
        <v>5365000</v>
      </c>
      <c r="L4203" s="3">
        <v>0.10299999999999999</v>
      </c>
      <c r="M4203" t="s">
        <v>23</v>
      </c>
      <c r="N4203">
        <v>4815000</v>
      </c>
      <c r="O4203">
        <v>4</v>
      </c>
      <c r="P4203" t="b">
        <v>0</v>
      </c>
    </row>
    <row r="4204" spans="1:16" x14ac:dyDescent="0.2">
      <c r="A4204" t="s">
        <v>7292</v>
      </c>
      <c r="B4204" s="1">
        <v>45850</v>
      </c>
      <c r="C4204" s="1">
        <v>45921</v>
      </c>
      <c r="D4204" t="s">
        <v>4732</v>
      </c>
      <c r="E4204" t="s">
        <v>18</v>
      </c>
      <c r="F4204" t="s">
        <v>39</v>
      </c>
      <c r="G4204" t="s">
        <v>20</v>
      </c>
      <c r="H4204" t="s">
        <v>21</v>
      </c>
      <c r="I4204" t="s">
        <v>94</v>
      </c>
      <c r="J4204">
        <v>1</v>
      </c>
      <c r="K4204">
        <v>2657000</v>
      </c>
      <c r="L4204" s="2" t="s">
        <v>7293</v>
      </c>
      <c r="M4204" t="s">
        <v>23</v>
      </c>
      <c r="N4204">
        <v>2503000</v>
      </c>
      <c r="O4204">
        <v>3.3</v>
      </c>
      <c r="P4204" t="b">
        <v>1</v>
      </c>
    </row>
    <row r="4205" spans="1:16" x14ac:dyDescent="0.2">
      <c r="A4205" t="s">
        <v>7294</v>
      </c>
      <c r="B4205" s="1">
        <v>45850</v>
      </c>
      <c r="C4205" s="1">
        <v>45901</v>
      </c>
      <c r="D4205" t="s">
        <v>3201</v>
      </c>
      <c r="E4205" t="s">
        <v>45</v>
      </c>
      <c r="F4205" t="s">
        <v>34</v>
      </c>
      <c r="G4205" t="s">
        <v>35</v>
      </c>
      <c r="H4205" t="s">
        <v>47</v>
      </c>
      <c r="I4205" t="s">
        <v>94</v>
      </c>
      <c r="J4205">
        <v>1</v>
      </c>
      <c r="K4205">
        <v>3925000</v>
      </c>
      <c r="L4205">
        <v>6.9973515531587704E-2</v>
      </c>
      <c r="M4205" t="s">
        <v>23</v>
      </c>
      <c r="N4205">
        <v>3650000</v>
      </c>
      <c r="O4205">
        <v>4.3</v>
      </c>
      <c r="P4205" t="b">
        <v>1</v>
      </c>
    </row>
    <row r="4206" spans="1:16" x14ac:dyDescent="0.2">
      <c r="A4206" t="s">
        <v>7295</v>
      </c>
      <c r="B4206" s="1">
        <v>45851</v>
      </c>
      <c r="C4206" s="1">
        <v>45912</v>
      </c>
      <c r="D4206" t="s">
        <v>7296</v>
      </c>
      <c r="E4206" t="s">
        <v>29</v>
      </c>
      <c r="F4206" t="s">
        <v>25</v>
      </c>
      <c r="G4206" t="s">
        <v>35</v>
      </c>
      <c r="H4206" t="s">
        <v>47</v>
      </c>
      <c r="I4206" t="s">
        <v>30</v>
      </c>
      <c r="J4206">
        <v>2</v>
      </c>
      <c r="K4206">
        <v>5172000</v>
      </c>
      <c r="L4206" s="2" t="s">
        <v>7297</v>
      </c>
      <c r="M4206" t="s">
        <v>65</v>
      </c>
      <c r="N4206">
        <v>0</v>
      </c>
      <c r="P4206" t="b">
        <v>0</v>
      </c>
    </row>
    <row r="4207" spans="1:16" x14ac:dyDescent="0.2">
      <c r="A4207" t="s">
        <v>7298</v>
      </c>
      <c r="B4207" s="1">
        <v>45851</v>
      </c>
      <c r="C4207" s="1">
        <v>45898</v>
      </c>
      <c r="D4207" t="s">
        <v>6079</v>
      </c>
      <c r="E4207" t="s">
        <v>18</v>
      </c>
      <c r="F4207" t="s">
        <v>25</v>
      </c>
      <c r="G4207" t="s">
        <v>35</v>
      </c>
      <c r="I4207" t="s">
        <v>22</v>
      </c>
      <c r="J4207">
        <v>4</v>
      </c>
      <c r="K4207">
        <v>5135000</v>
      </c>
      <c r="L4207">
        <v>7.0729723933393801E-2</v>
      </c>
      <c r="M4207" t="s">
        <v>23</v>
      </c>
      <c r="N4207">
        <v>19087000</v>
      </c>
      <c r="O4207">
        <v>4.5</v>
      </c>
      <c r="P4207" t="b">
        <v>1</v>
      </c>
    </row>
    <row r="4208" spans="1:16" x14ac:dyDescent="0.2">
      <c r="A4208" t="s">
        <v>7299</v>
      </c>
      <c r="B4208" s="1">
        <v>45852</v>
      </c>
      <c r="C4208" s="1">
        <v>45893</v>
      </c>
      <c r="D4208" t="s">
        <v>3742</v>
      </c>
      <c r="E4208" t="s">
        <v>29</v>
      </c>
      <c r="F4208" t="s">
        <v>45</v>
      </c>
      <c r="G4208" t="s">
        <v>50</v>
      </c>
      <c r="H4208" t="s">
        <v>51</v>
      </c>
      <c r="I4208" t="s">
        <v>60</v>
      </c>
      <c r="J4208">
        <v>5</v>
      </c>
      <c r="K4208">
        <v>3580000</v>
      </c>
      <c r="L4208" s="2" t="s">
        <v>7300</v>
      </c>
      <c r="M4208" t="s">
        <v>23</v>
      </c>
      <c r="N4208">
        <v>15530000</v>
      </c>
      <c r="O4208">
        <v>3.9</v>
      </c>
      <c r="P4208" t="b">
        <v>1</v>
      </c>
    </row>
    <row r="4209" spans="1:16" x14ac:dyDescent="0.2">
      <c r="A4209" t="s">
        <v>7301</v>
      </c>
      <c r="B4209" s="1">
        <v>45853</v>
      </c>
      <c r="C4209" s="1">
        <v>45906</v>
      </c>
      <c r="D4209" t="s">
        <v>7302</v>
      </c>
      <c r="E4209" t="s">
        <v>29</v>
      </c>
      <c r="F4209" t="s">
        <v>68</v>
      </c>
      <c r="G4209" t="s">
        <v>20</v>
      </c>
      <c r="H4209" t="s">
        <v>47</v>
      </c>
      <c r="I4209" t="s">
        <v>57</v>
      </c>
      <c r="J4209">
        <v>1</v>
      </c>
      <c r="K4209">
        <v>2692000</v>
      </c>
      <c r="L4209" s="2" t="s">
        <v>7303</v>
      </c>
      <c r="M4209" t="s">
        <v>23</v>
      </c>
      <c r="N4209">
        <v>2370000</v>
      </c>
      <c r="O4209">
        <v>4.5999999999999996</v>
      </c>
      <c r="P4209" t="b">
        <v>0</v>
      </c>
    </row>
    <row r="4210" spans="1:16" x14ac:dyDescent="0.2">
      <c r="A4210" t="s">
        <v>7304</v>
      </c>
      <c r="B4210" s="1">
        <v>45853</v>
      </c>
      <c r="C4210" s="1">
        <v>45927</v>
      </c>
      <c r="D4210" t="s">
        <v>1658</v>
      </c>
      <c r="E4210" t="s">
        <v>18</v>
      </c>
      <c r="F4210" t="s">
        <v>34</v>
      </c>
      <c r="G4210" t="s">
        <v>20</v>
      </c>
      <c r="H4210" t="s">
        <v>21</v>
      </c>
      <c r="I4210" t="s">
        <v>77</v>
      </c>
      <c r="J4210">
        <v>2</v>
      </c>
      <c r="K4210">
        <v>4114000</v>
      </c>
      <c r="L4210">
        <v>6.97485333901572E-2</v>
      </c>
      <c r="M4210" t="s">
        <v>23</v>
      </c>
      <c r="N4210">
        <v>7654000</v>
      </c>
      <c r="O4210">
        <v>4</v>
      </c>
      <c r="P4210" t="b">
        <v>1</v>
      </c>
    </row>
    <row r="4211" spans="1:16" x14ac:dyDescent="0.2">
      <c r="A4211" t="s">
        <v>7305</v>
      </c>
      <c r="B4211" s="1">
        <v>45853</v>
      </c>
      <c r="C4211" s="1">
        <v>45920</v>
      </c>
      <c r="D4211" t="s">
        <v>4514</v>
      </c>
      <c r="E4211" t="s">
        <v>18</v>
      </c>
      <c r="F4211" t="s">
        <v>68</v>
      </c>
      <c r="G4211" t="s">
        <v>35</v>
      </c>
      <c r="H4211" t="s">
        <v>51</v>
      </c>
      <c r="I4211" t="s">
        <v>30</v>
      </c>
      <c r="J4211">
        <v>3</v>
      </c>
      <c r="K4211">
        <v>2417000</v>
      </c>
      <c r="L4211">
        <v>8.2466901749906896E-2</v>
      </c>
      <c r="M4211" t="s">
        <v>23</v>
      </c>
      <c r="N4211">
        <v>6653000</v>
      </c>
      <c r="O4211">
        <v>3.9</v>
      </c>
      <c r="P4211" t="b">
        <v>1</v>
      </c>
    </row>
    <row r="4212" spans="1:16" x14ac:dyDescent="0.2">
      <c r="A4212" t="s">
        <v>7306</v>
      </c>
      <c r="B4212" s="1">
        <v>45853</v>
      </c>
      <c r="C4212" s="1">
        <v>45871</v>
      </c>
      <c r="D4212" t="s">
        <v>7307</v>
      </c>
      <c r="E4212" t="s">
        <v>45</v>
      </c>
      <c r="F4212" t="s">
        <v>19</v>
      </c>
      <c r="G4212" t="s">
        <v>35</v>
      </c>
      <c r="H4212" t="s">
        <v>21</v>
      </c>
      <c r="I4212" t="s">
        <v>26</v>
      </c>
      <c r="J4212">
        <v>1</v>
      </c>
      <c r="K4212">
        <v>2777000</v>
      </c>
      <c r="L4212" s="2" t="s">
        <v>7308</v>
      </c>
      <c r="M4212" t="s">
        <v>23</v>
      </c>
      <c r="N4212">
        <v>2364000</v>
      </c>
      <c r="O4212">
        <v>4.3</v>
      </c>
      <c r="P4212" t="b">
        <v>0</v>
      </c>
    </row>
    <row r="4213" spans="1:16" x14ac:dyDescent="0.2">
      <c r="A4213" t="s">
        <v>7309</v>
      </c>
      <c r="B4213" s="1">
        <v>45854</v>
      </c>
      <c r="C4213" s="1">
        <v>45880</v>
      </c>
      <c r="D4213" t="s">
        <v>4957</v>
      </c>
      <c r="E4213" t="s">
        <v>33</v>
      </c>
      <c r="F4213" t="s">
        <v>25</v>
      </c>
      <c r="G4213" t="s">
        <v>20</v>
      </c>
      <c r="H4213" t="s">
        <v>21</v>
      </c>
      <c r="I4213" t="s">
        <v>77</v>
      </c>
      <c r="J4213">
        <v>3</v>
      </c>
      <c r="K4213">
        <v>6769000</v>
      </c>
      <c r="L4213" s="2" t="s">
        <v>7310</v>
      </c>
      <c r="M4213" t="s">
        <v>23</v>
      </c>
      <c r="N4213">
        <v>17693000</v>
      </c>
      <c r="O4213">
        <v>4</v>
      </c>
      <c r="P4213" t="b">
        <v>1</v>
      </c>
    </row>
    <row r="4214" spans="1:16" x14ac:dyDescent="0.2">
      <c r="A4214" t="s">
        <v>7311</v>
      </c>
      <c r="B4214" s="1">
        <v>45854</v>
      </c>
      <c r="C4214" s="1">
        <v>45898</v>
      </c>
      <c r="D4214" t="s">
        <v>7312</v>
      </c>
      <c r="E4214" t="s">
        <v>33</v>
      </c>
      <c r="F4214" t="s">
        <v>19</v>
      </c>
      <c r="G4214" t="s">
        <v>50</v>
      </c>
      <c r="H4214" t="s">
        <v>51</v>
      </c>
      <c r="I4214" t="s">
        <v>99</v>
      </c>
      <c r="J4214">
        <v>1</v>
      </c>
      <c r="K4214">
        <v>2550000</v>
      </c>
      <c r="L4214">
        <v>6.7202655668508998E-2</v>
      </c>
      <c r="M4214" t="s">
        <v>23</v>
      </c>
      <c r="N4214">
        <v>2379000</v>
      </c>
      <c r="O4214">
        <v>4.3</v>
      </c>
      <c r="P4214" t="b">
        <v>0</v>
      </c>
    </row>
    <row r="4215" spans="1:16" x14ac:dyDescent="0.2">
      <c r="A4215" t="s">
        <v>7313</v>
      </c>
      <c r="B4215" s="1">
        <v>45855</v>
      </c>
      <c r="C4215" s="1">
        <v>45890</v>
      </c>
      <c r="D4215" t="s">
        <v>7314</v>
      </c>
      <c r="E4215" t="s">
        <v>45</v>
      </c>
      <c r="F4215" t="s">
        <v>19</v>
      </c>
      <c r="G4215" t="s">
        <v>20</v>
      </c>
      <c r="H4215" t="s">
        <v>40</v>
      </c>
      <c r="I4215" t="s">
        <v>83</v>
      </c>
      <c r="J4215">
        <v>2</v>
      </c>
      <c r="K4215">
        <v>2905000</v>
      </c>
      <c r="L4215" s="2" t="s">
        <v>7315</v>
      </c>
      <c r="M4215" t="s">
        <v>23</v>
      </c>
      <c r="N4215">
        <v>5666000</v>
      </c>
      <c r="O4215">
        <v>3.8</v>
      </c>
      <c r="P4215" t="b">
        <v>0</v>
      </c>
    </row>
    <row r="4216" spans="1:16" x14ac:dyDescent="0.2">
      <c r="A4216" t="s">
        <v>7316</v>
      </c>
      <c r="B4216" s="1">
        <v>45855</v>
      </c>
      <c r="C4216" s="1">
        <v>45885</v>
      </c>
      <c r="D4216" t="s">
        <v>408</v>
      </c>
      <c r="E4216" t="s">
        <v>18</v>
      </c>
      <c r="F4216" t="s">
        <v>19</v>
      </c>
      <c r="G4216" t="s">
        <v>20</v>
      </c>
      <c r="H4216" t="s">
        <v>47</v>
      </c>
      <c r="I4216" t="s">
        <v>26</v>
      </c>
      <c r="J4216">
        <v>1</v>
      </c>
      <c r="K4216">
        <v>2854000</v>
      </c>
      <c r="L4216" s="2" t="s">
        <v>7317</v>
      </c>
      <c r="M4216" t="s">
        <v>23</v>
      </c>
      <c r="N4216">
        <v>2567000</v>
      </c>
      <c r="O4216">
        <v>4</v>
      </c>
      <c r="P4216" t="b">
        <v>1</v>
      </c>
    </row>
    <row r="4217" spans="1:16" x14ac:dyDescent="0.2">
      <c r="A4217" t="s">
        <v>7318</v>
      </c>
      <c r="B4217" s="1">
        <v>45856</v>
      </c>
      <c r="C4217" s="1">
        <v>45874</v>
      </c>
      <c r="D4217" t="s">
        <v>7125</v>
      </c>
      <c r="E4217" t="s">
        <v>33</v>
      </c>
      <c r="F4217" t="s">
        <v>25</v>
      </c>
      <c r="G4217" t="s">
        <v>50</v>
      </c>
      <c r="H4217" t="s">
        <v>21</v>
      </c>
      <c r="I4217" t="s">
        <v>60</v>
      </c>
      <c r="J4217">
        <v>1</v>
      </c>
      <c r="K4217">
        <v>5797000</v>
      </c>
      <c r="L4217">
        <v>7.7592394765638797E-2</v>
      </c>
      <c r="M4217" t="s">
        <v>23</v>
      </c>
      <c r="N4217">
        <v>5347000</v>
      </c>
      <c r="O4217">
        <v>4.3</v>
      </c>
      <c r="P4217" t="b">
        <v>1</v>
      </c>
    </row>
    <row r="4218" spans="1:16" x14ac:dyDescent="0.2">
      <c r="A4218" t="s">
        <v>7319</v>
      </c>
      <c r="B4218" s="1">
        <v>45857</v>
      </c>
      <c r="C4218" s="1">
        <v>45905</v>
      </c>
      <c r="D4218" t="s">
        <v>7320</v>
      </c>
      <c r="E4218" t="s">
        <v>45</v>
      </c>
      <c r="F4218" t="s">
        <v>19</v>
      </c>
      <c r="G4218" t="s">
        <v>35</v>
      </c>
      <c r="H4218" t="s">
        <v>21</v>
      </c>
      <c r="I4218" t="s">
        <v>26</v>
      </c>
      <c r="J4218">
        <v>1</v>
      </c>
      <c r="K4218">
        <v>2590000</v>
      </c>
      <c r="L4218">
        <v>5.0920115042225697E-2</v>
      </c>
      <c r="M4218" t="s">
        <v>65</v>
      </c>
      <c r="N4218">
        <v>0</v>
      </c>
      <c r="P4218" t="b">
        <v>0</v>
      </c>
    </row>
    <row r="4219" spans="1:16" x14ac:dyDescent="0.2">
      <c r="A4219" t="s">
        <v>7321</v>
      </c>
      <c r="B4219" s="1">
        <v>45857</v>
      </c>
      <c r="C4219" s="1">
        <v>45938</v>
      </c>
      <c r="D4219" t="s">
        <v>4121</v>
      </c>
      <c r="E4219" t="s">
        <v>33</v>
      </c>
      <c r="F4219" t="s">
        <v>19</v>
      </c>
      <c r="G4219" t="s">
        <v>20</v>
      </c>
      <c r="H4219" t="s">
        <v>21</v>
      </c>
      <c r="I4219" t="s">
        <v>57</v>
      </c>
      <c r="J4219">
        <v>1</v>
      </c>
      <c r="K4219">
        <v>3202000</v>
      </c>
      <c r="L4219" s="2" t="s">
        <v>7322</v>
      </c>
      <c r="M4219" t="s">
        <v>23</v>
      </c>
      <c r="N4219">
        <v>3014000</v>
      </c>
      <c r="O4219">
        <v>5</v>
      </c>
      <c r="P4219" t="b">
        <v>1</v>
      </c>
    </row>
    <row r="4220" spans="1:16" x14ac:dyDescent="0.2">
      <c r="A4220" t="s">
        <v>7323</v>
      </c>
      <c r="B4220" s="1">
        <v>45857</v>
      </c>
      <c r="C4220" s="1">
        <v>45901</v>
      </c>
      <c r="D4220" t="s">
        <v>7324</v>
      </c>
      <c r="E4220" t="s">
        <v>18</v>
      </c>
      <c r="F4220" t="s">
        <v>45</v>
      </c>
      <c r="G4220" t="s">
        <v>35</v>
      </c>
      <c r="H4220" t="s">
        <v>21</v>
      </c>
      <c r="I4220" t="s">
        <v>52</v>
      </c>
      <c r="J4220">
        <v>3</v>
      </c>
      <c r="K4220">
        <v>3071000</v>
      </c>
      <c r="L4220" s="2" t="s">
        <v>7325</v>
      </c>
      <c r="M4220" t="s">
        <v>23</v>
      </c>
      <c r="N4220">
        <v>7954000</v>
      </c>
      <c r="O4220">
        <v>4.2</v>
      </c>
      <c r="P4220" t="b">
        <v>0</v>
      </c>
    </row>
    <row r="4221" spans="1:16" x14ac:dyDescent="0.2">
      <c r="A4221" t="s">
        <v>7326</v>
      </c>
      <c r="B4221" s="1">
        <v>45858</v>
      </c>
      <c r="C4221" s="1">
        <v>45880</v>
      </c>
      <c r="D4221" t="s">
        <v>7327</v>
      </c>
      <c r="F4221" t="s">
        <v>39</v>
      </c>
      <c r="H4221" t="s">
        <v>21</v>
      </c>
      <c r="J4221">
        <v>2</v>
      </c>
      <c r="K4221">
        <v>2669000</v>
      </c>
      <c r="L4221">
        <v>7.0601580041895803E-2</v>
      </c>
      <c r="M4221" t="s">
        <v>23</v>
      </c>
      <c r="N4221">
        <v>4961000</v>
      </c>
      <c r="O4221">
        <v>4.3</v>
      </c>
      <c r="P4221" t="b">
        <v>0</v>
      </c>
    </row>
    <row r="4222" spans="1:16" x14ac:dyDescent="0.2">
      <c r="A4222" t="s">
        <v>7328</v>
      </c>
      <c r="B4222" s="1">
        <v>45858</v>
      </c>
      <c r="C4222" s="1">
        <v>45907</v>
      </c>
      <c r="D4222" t="s">
        <v>1806</v>
      </c>
      <c r="E4222" t="s">
        <v>18</v>
      </c>
      <c r="F4222" t="s">
        <v>34</v>
      </c>
      <c r="G4222" t="s">
        <v>20</v>
      </c>
      <c r="H4222" t="s">
        <v>21</v>
      </c>
      <c r="I4222" t="s">
        <v>60</v>
      </c>
      <c r="J4222">
        <v>4</v>
      </c>
      <c r="K4222">
        <v>4388000</v>
      </c>
      <c r="L4222" s="2" t="s">
        <v>7329</v>
      </c>
      <c r="M4222" t="s">
        <v>65</v>
      </c>
      <c r="N4222">
        <v>0</v>
      </c>
      <c r="P4222" t="b">
        <v>1</v>
      </c>
    </row>
    <row r="4223" spans="1:16" x14ac:dyDescent="0.2">
      <c r="A4223" t="s">
        <v>7330</v>
      </c>
      <c r="B4223" s="1">
        <v>45858</v>
      </c>
      <c r="C4223" s="1">
        <v>45914</v>
      </c>
      <c r="D4223" t="s">
        <v>2248</v>
      </c>
      <c r="F4223" t="s">
        <v>19</v>
      </c>
      <c r="G4223" t="s">
        <v>50</v>
      </c>
      <c r="H4223" t="s">
        <v>47</v>
      </c>
      <c r="I4223" t="s">
        <v>26</v>
      </c>
      <c r="J4223">
        <v>2</v>
      </c>
      <c r="K4223">
        <v>2651000</v>
      </c>
      <c r="L4223" s="2" t="s">
        <v>7331</v>
      </c>
      <c r="M4223" t="s">
        <v>23</v>
      </c>
      <c r="N4223">
        <v>4527000</v>
      </c>
      <c r="O4223">
        <v>4.8</v>
      </c>
      <c r="P4223" t="b">
        <v>1</v>
      </c>
    </row>
    <row r="4224" spans="1:16" x14ac:dyDescent="0.2">
      <c r="A4224" t="s">
        <v>7332</v>
      </c>
      <c r="B4224" s="1">
        <v>45859</v>
      </c>
      <c r="C4224" s="1">
        <v>45909</v>
      </c>
      <c r="D4224" t="s">
        <v>7333</v>
      </c>
      <c r="E4224" t="s">
        <v>29</v>
      </c>
      <c r="F4224" t="s">
        <v>19</v>
      </c>
      <c r="G4224" t="s">
        <v>20</v>
      </c>
      <c r="H4224" t="s">
        <v>21</v>
      </c>
      <c r="I4224" t="s">
        <v>83</v>
      </c>
      <c r="J4224">
        <v>2</v>
      </c>
      <c r="K4224">
        <v>2811000</v>
      </c>
      <c r="L4224">
        <v>6.0574441764090999E-2</v>
      </c>
      <c r="M4224" t="s">
        <v>23</v>
      </c>
      <c r="N4224">
        <v>5281000</v>
      </c>
      <c r="O4224">
        <v>4.7</v>
      </c>
      <c r="P4224" t="b">
        <v>0</v>
      </c>
    </row>
    <row r="4225" spans="1:16" x14ac:dyDescent="0.2">
      <c r="A4225" t="s">
        <v>7334</v>
      </c>
      <c r="B4225" s="1">
        <v>45859</v>
      </c>
      <c r="C4225" s="1">
        <v>45929</v>
      </c>
      <c r="D4225" t="s">
        <v>7335</v>
      </c>
      <c r="E4225" t="s">
        <v>18</v>
      </c>
      <c r="F4225" t="s">
        <v>25</v>
      </c>
      <c r="G4225" t="s">
        <v>20</v>
      </c>
      <c r="H4225" t="s">
        <v>47</v>
      </c>
      <c r="I4225" t="s">
        <v>1654</v>
      </c>
      <c r="J4225">
        <v>2</v>
      </c>
      <c r="K4225">
        <v>3513000</v>
      </c>
      <c r="L4225" s="2" t="s">
        <v>7336</v>
      </c>
      <c r="M4225" t="s">
        <v>23</v>
      </c>
      <c r="N4225">
        <v>6102000</v>
      </c>
      <c r="O4225">
        <v>4.4000000000000004</v>
      </c>
      <c r="P4225" t="b">
        <v>0</v>
      </c>
    </row>
    <row r="4226" spans="1:16" x14ac:dyDescent="0.2">
      <c r="A4226" t="s">
        <v>7337</v>
      </c>
      <c r="B4226" s="1">
        <v>45859</v>
      </c>
      <c r="C4226" s="1">
        <v>45897</v>
      </c>
      <c r="D4226" t="s">
        <v>7338</v>
      </c>
      <c r="E4226" t="s">
        <v>18</v>
      </c>
      <c r="F4226" t="s">
        <v>68</v>
      </c>
      <c r="G4226" t="s">
        <v>50</v>
      </c>
      <c r="H4226" t="s">
        <v>40</v>
      </c>
      <c r="I4226" t="s">
        <v>26</v>
      </c>
      <c r="J4226">
        <v>2</v>
      </c>
      <c r="K4226">
        <v>3029000</v>
      </c>
      <c r="L4226">
        <v>4.9168419863503697E-2</v>
      </c>
      <c r="M4226" t="s">
        <v>23</v>
      </c>
      <c r="N4226">
        <v>5760000</v>
      </c>
      <c r="O4226">
        <v>4.2</v>
      </c>
      <c r="P4226" t="b">
        <v>0</v>
      </c>
    </row>
    <row r="4227" spans="1:16" x14ac:dyDescent="0.2">
      <c r="A4227" t="s">
        <v>7339</v>
      </c>
      <c r="B4227" s="1">
        <v>45860</v>
      </c>
      <c r="C4227" s="1">
        <v>45917</v>
      </c>
      <c r="D4227" t="s">
        <v>393</v>
      </c>
      <c r="E4227" t="s">
        <v>45</v>
      </c>
      <c r="F4227" t="s">
        <v>19</v>
      </c>
      <c r="G4227" t="s">
        <v>35</v>
      </c>
      <c r="H4227" t="s">
        <v>47</v>
      </c>
      <c r="I4227" t="s">
        <v>26</v>
      </c>
      <c r="J4227">
        <v>3</v>
      </c>
      <c r="K4227">
        <v>2566000</v>
      </c>
      <c r="L4227">
        <v>9.7389488215941095E-2</v>
      </c>
      <c r="M4227" t="s">
        <v>65</v>
      </c>
      <c r="N4227">
        <v>0</v>
      </c>
      <c r="P4227" t="b">
        <v>1</v>
      </c>
    </row>
    <row r="4228" spans="1:16" x14ac:dyDescent="0.2">
      <c r="A4228" t="s">
        <v>7340</v>
      </c>
      <c r="B4228" s="1">
        <v>45860</v>
      </c>
      <c r="C4228" s="1">
        <v>45923</v>
      </c>
      <c r="D4228" t="s">
        <v>6107</v>
      </c>
      <c r="E4228" t="s">
        <v>29</v>
      </c>
      <c r="F4228" t="s">
        <v>45</v>
      </c>
      <c r="G4228" t="s">
        <v>20</v>
      </c>
      <c r="H4228" t="s">
        <v>40</v>
      </c>
      <c r="I4228" t="s">
        <v>99</v>
      </c>
      <c r="J4228">
        <v>2</v>
      </c>
      <c r="K4228">
        <v>2994000</v>
      </c>
      <c r="L4228" s="2" t="s">
        <v>7341</v>
      </c>
      <c r="M4228" t="s">
        <v>23</v>
      </c>
      <c r="N4228">
        <v>5078000</v>
      </c>
      <c r="O4228">
        <v>4</v>
      </c>
      <c r="P4228" t="b">
        <v>1</v>
      </c>
    </row>
    <row r="4229" spans="1:16" x14ac:dyDescent="0.2">
      <c r="A4229" t="s">
        <v>7342</v>
      </c>
      <c r="B4229" s="1">
        <v>45861</v>
      </c>
      <c r="C4229" s="1">
        <v>45915</v>
      </c>
      <c r="D4229" t="s">
        <v>5614</v>
      </c>
      <c r="F4229" t="s">
        <v>25</v>
      </c>
      <c r="G4229" t="s">
        <v>20</v>
      </c>
      <c r="H4229" t="s">
        <v>47</v>
      </c>
      <c r="I4229" t="s">
        <v>77</v>
      </c>
      <c r="J4229">
        <v>1</v>
      </c>
      <c r="K4229">
        <v>5930000</v>
      </c>
      <c r="L4229" s="2" t="s">
        <v>7343</v>
      </c>
      <c r="M4229" t="s">
        <v>23</v>
      </c>
      <c r="N4229">
        <v>5039000</v>
      </c>
      <c r="O4229">
        <v>5</v>
      </c>
      <c r="P4229" t="b">
        <v>1</v>
      </c>
    </row>
    <row r="4230" spans="1:16" x14ac:dyDescent="0.2">
      <c r="A4230" t="s">
        <v>7344</v>
      </c>
      <c r="B4230" s="1">
        <v>45861</v>
      </c>
      <c r="C4230" s="1">
        <v>45915</v>
      </c>
      <c r="D4230" t="s">
        <v>2546</v>
      </c>
      <c r="E4230" t="s">
        <v>29</v>
      </c>
      <c r="F4230" t="s">
        <v>19</v>
      </c>
      <c r="G4230" t="s">
        <v>35</v>
      </c>
      <c r="H4230" t="s">
        <v>21</v>
      </c>
      <c r="I4230" t="s">
        <v>26</v>
      </c>
      <c r="J4230">
        <v>1</v>
      </c>
      <c r="K4230">
        <v>2704000</v>
      </c>
      <c r="L4230">
        <v>6.96273733008613E-2</v>
      </c>
      <c r="M4230" t="s">
        <v>23</v>
      </c>
      <c r="N4230">
        <v>2516000</v>
      </c>
      <c r="O4230">
        <v>3.7</v>
      </c>
      <c r="P4230" t="b">
        <v>1</v>
      </c>
    </row>
    <row r="4231" spans="1:16" x14ac:dyDescent="0.2">
      <c r="A4231" t="s">
        <v>7345</v>
      </c>
      <c r="B4231" s="1">
        <v>45861</v>
      </c>
      <c r="C4231" s="1">
        <v>45939</v>
      </c>
      <c r="D4231" t="s">
        <v>7346</v>
      </c>
      <c r="E4231" t="s">
        <v>33</v>
      </c>
      <c r="F4231" t="s">
        <v>19</v>
      </c>
      <c r="G4231" t="s">
        <v>20</v>
      </c>
      <c r="H4231" t="s">
        <v>47</v>
      </c>
      <c r="I4231" t="s">
        <v>22</v>
      </c>
      <c r="J4231">
        <v>2</v>
      </c>
      <c r="K4231">
        <v>2439000</v>
      </c>
      <c r="L4231" s="2" t="s">
        <v>7347</v>
      </c>
      <c r="M4231" t="s">
        <v>23</v>
      </c>
      <c r="N4231">
        <v>4367000</v>
      </c>
      <c r="O4231">
        <v>4.3</v>
      </c>
      <c r="P4231" t="b">
        <v>0</v>
      </c>
    </row>
    <row r="4232" spans="1:16" x14ac:dyDescent="0.2">
      <c r="A4232" t="s">
        <v>7348</v>
      </c>
      <c r="B4232" s="1">
        <v>45862</v>
      </c>
      <c r="C4232" s="1">
        <v>45933</v>
      </c>
      <c r="D4232" t="s">
        <v>7349</v>
      </c>
      <c r="E4232" t="s">
        <v>33</v>
      </c>
      <c r="F4232" t="s">
        <v>34</v>
      </c>
      <c r="G4232" t="s">
        <v>50</v>
      </c>
      <c r="H4232" t="s">
        <v>40</v>
      </c>
      <c r="I4232" t="s">
        <v>94</v>
      </c>
      <c r="J4232">
        <v>1</v>
      </c>
      <c r="K4232">
        <v>4363000</v>
      </c>
      <c r="L4232" s="2" t="s">
        <v>7350</v>
      </c>
      <c r="M4232" t="s">
        <v>23</v>
      </c>
      <c r="N4232">
        <v>4117000</v>
      </c>
      <c r="O4232">
        <v>4</v>
      </c>
      <c r="P4232" t="b">
        <v>0</v>
      </c>
    </row>
    <row r="4233" spans="1:16" x14ac:dyDescent="0.2">
      <c r="A4233" t="s">
        <v>7351</v>
      </c>
      <c r="B4233" s="1">
        <v>45862</v>
      </c>
      <c r="C4233" s="1">
        <v>45921</v>
      </c>
      <c r="D4233" t="s">
        <v>7352</v>
      </c>
      <c r="E4233" t="s">
        <v>33</v>
      </c>
      <c r="F4233" t="s">
        <v>45</v>
      </c>
      <c r="G4233" t="s">
        <v>20</v>
      </c>
      <c r="H4233" t="s">
        <v>21</v>
      </c>
      <c r="I4233" t="s">
        <v>57</v>
      </c>
      <c r="J4233">
        <v>1</v>
      </c>
      <c r="K4233">
        <v>3501000</v>
      </c>
      <c r="L4233" s="2" t="s">
        <v>7353</v>
      </c>
      <c r="M4233" t="s">
        <v>23</v>
      </c>
      <c r="N4233">
        <v>3142000</v>
      </c>
      <c r="O4233">
        <v>4.3</v>
      </c>
      <c r="P4233" t="b">
        <v>0</v>
      </c>
    </row>
    <row r="4234" spans="1:16" x14ac:dyDescent="0.2">
      <c r="A4234" t="s">
        <v>7354</v>
      </c>
      <c r="B4234" s="1">
        <v>45862</v>
      </c>
      <c r="C4234" s="1">
        <v>45863</v>
      </c>
      <c r="D4234" t="s">
        <v>376</v>
      </c>
      <c r="E4234" t="s">
        <v>18</v>
      </c>
      <c r="F4234" t="s">
        <v>19</v>
      </c>
      <c r="G4234" t="s">
        <v>35</v>
      </c>
      <c r="H4234" t="s">
        <v>21</v>
      </c>
      <c r="J4234">
        <v>1</v>
      </c>
      <c r="K4234">
        <v>2421000</v>
      </c>
      <c r="L4234">
        <v>9.57212341047253E-2</v>
      </c>
      <c r="M4234" t="s">
        <v>23</v>
      </c>
      <c r="N4234">
        <v>2189000</v>
      </c>
      <c r="O4234">
        <v>4.4000000000000004</v>
      </c>
      <c r="P4234" t="b">
        <v>1</v>
      </c>
    </row>
    <row r="4235" spans="1:16" x14ac:dyDescent="0.2">
      <c r="A4235" t="s">
        <v>7355</v>
      </c>
      <c r="B4235" s="1">
        <v>45862</v>
      </c>
      <c r="C4235" s="1">
        <v>45866</v>
      </c>
      <c r="D4235" t="s">
        <v>387</v>
      </c>
      <c r="E4235" t="s">
        <v>29</v>
      </c>
      <c r="F4235" t="s">
        <v>25</v>
      </c>
      <c r="G4235" t="s">
        <v>20</v>
      </c>
      <c r="H4235" t="s">
        <v>21</v>
      </c>
      <c r="I4235" t="s">
        <v>30</v>
      </c>
      <c r="J4235">
        <v>3</v>
      </c>
      <c r="K4235">
        <v>5668000</v>
      </c>
      <c r="L4235">
        <v>7.8717118325100005E-2</v>
      </c>
      <c r="M4235" t="s">
        <v>23</v>
      </c>
      <c r="N4235">
        <v>15665000</v>
      </c>
      <c r="O4235">
        <v>4.4000000000000004</v>
      </c>
      <c r="P4235" t="b">
        <v>1</v>
      </c>
    </row>
    <row r="4236" spans="1:16" x14ac:dyDescent="0.2">
      <c r="A4236" t="s">
        <v>7356</v>
      </c>
      <c r="B4236" s="1">
        <v>45862</v>
      </c>
      <c r="C4236" s="1">
        <v>45901</v>
      </c>
      <c r="D4236" t="s">
        <v>757</v>
      </c>
      <c r="E4236" t="s">
        <v>45</v>
      </c>
      <c r="F4236" t="s">
        <v>45</v>
      </c>
      <c r="G4236" t="s">
        <v>35</v>
      </c>
      <c r="H4236" t="s">
        <v>51</v>
      </c>
      <c r="I4236" t="s">
        <v>30</v>
      </c>
      <c r="J4236">
        <v>2</v>
      </c>
      <c r="K4236">
        <v>3202000</v>
      </c>
      <c r="L4236" s="2" t="s">
        <v>7357</v>
      </c>
      <c r="M4236" t="s">
        <v>23</v>
      </c>
      <c r="N4236">
        <v>6096000</v>
      </c>
      <c r="O4236">
        <v>4.5999999999999996</v>
      </c>
      <c r="P4236" t="b">
        <v>1</v>
      </c>
    </row>
    <row r="4237" spans="1:16" x14ac:dyDescent="0.2">
      <c r="A4237" t="s">
        <v>7358</v>
      </c>
      <c r="B4237" s="1">
        <v>45862</v>
      </c>
      <c r="C4237" s="1">
        <v>45883</v>
      </c>
      <c r="D4237" t="s">
        <v>1960</v>
      </c>
      <c r="E4237" t="s">
        <v>18</v>
      </c>
      <c r="F4237" t="s">
        <v>45</v>
      </c>
      <c r="G4237" t="s">
        <v>50</v>
      </c>
      <c r="H4237" t="s">
        <v>51</v>
      </c>
      <c r="I4237" t="s">
        <v>60</v>
      </c>
      <c r="J4237">
        <v>3</v>
      </c>
      <c r="K4237">
        <v>3548000</v>
      </c>
      <c r="L4237">
        <v>8.4626659609206206E-2</v>
      </c>
      <c r="M4237" t="s">
        <v>23</v>
      </c>
      <c r="N4237">
        <v>9743000</v>
      </c>
      <c r="O4237">
        <v>3.8</v>
      </c>
      <c r="P4237" t="b">
        <v>1</v>
      </c>
    </row>
    <row r="4238" spans="1:16" x14ac:dyDescent="0.2">
      <c r="A4238" t="s">
        <v>7359</v>
      </c>
      <c r="B4238" s="1">
        <v>45862</v>
      </c>
      <c r="C4238" s="1">
        <v>45929</v>
      </c>
      <c r="D4238" t="s">
        <v>7360</v>
      </c>
      <c r="F4238" t="s">
        <v>25</v>
      </c>
      <c r="G4238" t="s">
        <v>50</v>
      </c>
      <c r="H4238" t="s">
        <v>21</v>
      </c>
      <c r="I4238" t="s">
        <v>94</v>
      </c>
      <c r="J4238">
        <v>1</v>
      </c>
      <c r="K4238">
        <v>4414000</v>
      </c>
      <c r="L4238" s="2" t="s">
        <v>7361</v>
      </c>
      <c r="M4238" t="s">
        <v>23</v>
      </c>
      <c r="N4238">
        <v>3969000</v>
      </c>
      <c r="O4238">
        <v>3.9</v>
      </c>
      <c r="P4238" t="b">
        <v>0</v>
      </c>
    </row>
    <row r="4239" spans="1:16" x14ac:dyDescent="0.2">
      <c r="A4239" t="s">
        <v>7362</v>
      </c>
      <c r="B4239" s="1">
        <v>45863</v>
      </c>
      <c r="C4239" s="1">
        <v>45923</v>
      </c>
      <c r="D4239" t="s">
        <v>913</v>
      </c>
      <c r="E4239" t="s">
        <v>18</v>
      </c>
      <c r="F4239" t="s">
        <v>45</v>
      </c>
      <c r="G4239" t="s">
        <v>50</v>
      </c>
      <c r="H4239" t="s">
        <v>47</v>
      </c>
      <c r="I4239" t="s">
        <v>57</v>
      </c>
      <c r="J4239">
        <v>2</v>
      </c>
      <c r="K4239">
        <v>3633000</v>
      </c>
      <c r="L4239" s="2" t="s">
        <v>7363</v>
      </c>
      <c r="M4239" t="s">
        <v>23</v>
      </c>
      <c r="N4239">
        <v>6492000</v>
      </c>
      <c r="O4239">
        <v>4.0999999999999996</v>
      </c>
      <c r="P4239" t="b">
        <v>1</v>
      </c>
    </row>
    <row r="4240" spans="1:16" x14ac:dyDescent="0.2">
      <c r="A4240" t="s">
        <v>7364</v>
      </c>
      <c r="B4240" s="1">
        <v>45863</v>
      </c>
      <c r="C4240" s="1">
        <v>45905</v>
      </c>
      <c r="D4240" t="s">
        <v>7365</v>
      </c>
      <c r="E4240" t="s">
        <v>45</v>
      </c>
      <c r="F4240" t="s">
        <v>68</v>
      </c>
      <c r="G4240" t="s">
        <v>35</v>
      </c>
      <c r="H4240" t="s">
        <v>21</v>
      </c>
      <c r="I4240" t="s">
        <v>57</v>
      </c>
      <c r="J4240">
        <v>1</v>
      </c>
      <c r="K4240">
        <v>2626000</v>
      </c>
      <c r="L4240">
        <v>5.2325866179755202E-2</v>
      </c>
      <c r="M4240" t="s">
        <v>23</v>
      </c>
      <c r="N4240">
        <v>2489000</v>
      </c>
      <c r="O4240">
        <v>4.5</v>
      </c>
      <c r="P4240" t="b">
        <v>0</v>
      </c>
    </row>
    <row r="4241" spans="1:16" x14ac:dyDescent="0.2">
      <c r="A4241" t="s">
        <v>7366</v>
      </c>
      <c r="B4241" s="1">
        <v>45864</v>
      </c>
      <c r="C4241" s="1">
        <v>45879</v>
      </c>
      <c r="D4241" t="s">
        <v>5106</v>
      </c>
      <c r="E4241" t="s">
        <v>45</v>
      </c>
      <c r="F4241" t="s">
        <v>19</v>
      </c>
      <c r="G4241" t="s">
        <v>35</v>
      </c>
      <c r="H4241" t="s">
        <v>21</v>
      </c>
      <c r="I4241" t="s">
        <v>52</v>
      </c>
      <c r="J4241">
        <v>2</v>
      </c>
      <c r="K4241">
        <v>2941000</v>
      </c>
      <c r="L4241">
        <v>6.8312212377796999E-2</v>
      </c>
      <c r="M4241" t="s">
        <v>23</v>
      </c>
      <c r="N4241">
        <v>5480000</v>
      </c>
      <c r="O4241">
        <v>4.9000000000000004</v>
      </c>
      <c r="P4241" t="b">
        <v>1</v>
      </c>
    </row>
    <row r="4242" spans="1:16" x14ac:dyDescent="0.2">
      <c r="A4242" t="s">
        <v>7367</v>
      </c>
      <c r="B4242" s="1">
        <v>45864</v>
      </c>
      <c r="C4242" s="1">
        <v>45897</v>
      </c>
      <c r="D4242" t="s">
        <v>3233</v>
      </c>
      <c r="E4242" t="s">
        <v>18</v>
      </c>
      <c r="F4242" t="s">
        <v>25</v>
      </c>
      <c r="G4242" t="s">
        <v>35</v>
      </c>
      <c r="H4242" t="s">
        <v>47</v>
      </c>
      <c r="I4242" t="s">
        <v>60</v>
      </c>
      <c r="J4242">
        <v>4</v>
      </c>
      <c r="K4242">
        <v>5804000</v>
      </c>
      <c r="L4242" s="2" t="s">
        <v>7368</v>
      </c>
      <c r="M4242" t="s">
        <v>23</v>
      </c>
      <c r="N4242">
        <v>19224000</v>
      </c>
      <c r="O4242">
        <v>4.8</v>
      </c>
      <c r="P4242" t="b">
        <v>1</v>
      </c>
    </row>
    <row r="4243" spans="1:16" x14ac:dyDescent="0.2">
      <c r="A4243" t="s">
        <v>7369</v>
      </c>
      <c r="B4243" s="1">
        <v>45864</v>
      </c>
      <c r="C4243" s="1">
        <v>45864</v>
      </c>
      <c r="D4243" t="s">
        <v>5494</v>
      </c>
      <c r="E4243" t="s">
        <v>45</v>
      </c>
      <c r="F4243" t="s">
        <v>34</v>
      </c>
      <c r="G4243" t="s">
        <v>50</v>
      </c>
      <c r="H4243" t="s">
        <v>21</v>
      </c>
      <c r="I4243" t="s">
        <v>57</v>
      </c>
      <c r="J4243">
        <v>2</v>
      </c>
      <c r="K4243">
        <v>4561000</v>
      </c>
      <c r="L4243">
        <v>6.4608209189003299E-2</v>
      </c>
      <c r="M4243" t="s">
        <v>23</v>
      </c>
      <c r="N4243">
        <v>8533000</v>
      </c>
      <c r="O4243">
        <v>3.9</v>
      </c>
      <c r="P4243" t="b">
        <v>1</v>
      </c>
    </row>
    <row r="4244" spans="1:16" x14ac:dyDescent="0.2">
      <c r="A4244" t="s">
        <v>7370</v>
      </c>
      <c r="B4244" s="1">
        <v>45864</v>
      </c>
      <c r="C4244" s="1">
        <v>45931</v>
      </c>
      <c r="D4244" t="s">
        <v>243</v>
      </c>
      <c r="E4244" t="s">
        <v>29</v>
      </c>
      <c r="F4244" t="s">
        <v>34</v>
      </c>
      <c r="G4244" t="s">
        <v>20</v>
      </c>
      <c r="H4244" t="s">
        <v>40</v>
      </c>
      <c r="I4244" t="s">
        <v>52</v>
      </c>
      <c r="J4244">
        <v>3</v>
      </c>
      <c r="K4244">
        <v>3270000</v>
      </c>
      <c r="L4244" s="2" t="s">
        <v>7371</v>
      </c>
      <c r="M4244" t="s">
        <v>23</v>
      </c>
      <c r="N4244">
        <v>8171000</v>
      </c>
      <c r="O4244">
        <v>4.7</v>
      </c>
      <c r="P4244" t="b">
        <v>1</v>
      </c>
    </row>
    <row r="4245" spans="1:16" x14ac:dyDescent="0.2">
      <c r="A4245" t="s">
        <v>7372</v>
      </c>
      <c r="B4245" s="1">
        <v>45865</v>
      </c>
      <c r="C4245" s="1">
        <v>45937</v>
      </c>
      <c r="D4245" t="s">
        <v>7373</v>
      </c>
      <c r="E4245" t="s">
        <v>18</v>
      </c>
      <c r="F4245" t="s">
        <v>34</v>
      </c>
      <c r="G4245" t="s">
        <v>20</v>
      </c>
      <c r="H4245" t="s">
        <v>51</v>
      </c>
      <c r="I4245" t="s">
        <v>57</v>
      </c>
      <c r="J4245">
        <v>1</v>
      </c>
      <c r="K4245">
        <v>4617000</v>
      </c>
      <c r="L4245" s="2" t="s">
        <v>7374</v>
      </c>
      <c r="M4245" t="s">
        <v>23</v>
      </c>
      <c r="N4245">
        <v>3771000</v>
      </c>
      <c r="O4245">
        <v>4.5</v>
      </c>
      <c r="P4245" t="b">
        <v>0</v>
      </c>
    </row>
    <row r="4246" spans="1:16" x14ac:dyDescent="0.2">
      <c r="A4246" t="s">
        <v>7375</v>
      </c>
      <c r="B4246" s="1">
        <v>45865</v>
      </c>
      <c r="C4246" s="1">
        <v>45937</v>
      </c>
      <c r="D4246" t="s">
        <v>632</v>
      </c>
      <c r="E4246" t="s">
        <v>18</v>
      </c>
      <c r="F4246" t="s">
        <v>34</v>
      </c>
      <c r="G4246" t="s">
        <v>20</v>
      </c>
      <c r="H4246" t="s">
        <v>21</v>
      </c>
      <c r="I4246" t="s">
        <v>94</v>
      </c>
      <c r="J4246">
        <v>2</v>
      </c>
      <c r="K4246">
        <v>3859000</v>
      </c>
      <c r="L4246">
        <v>7.5212421174613006E-2</v>
      </c>
      <c r="M4246" t="s">
        <v>23</v>
      </c>
      <c r="N4246">
        <v>7138000</v>
      </c>
      <c r="O4246">
        <v>4.8</v>
      </c>
      <c r="P4246" t="b">
        <v>1</v>
      </c>
    </row>
    <row r="4247" spans="1:16" x14ac:dyDescent="0.2">
      <c r="A4247" t="s">
        <v>7376</v>
      </c>
      <c r="B4247" s="1">
        <v>45865</v>
      </c>
      <c r="C4247" s="1">
        <v>45926</v>
      </c>
      <c r="D4247" t="s">
        <v>5361</v>
      </c>
      <c r="E4247" t="s">
        <v>33</v>
      </c>
      <c r="F4247" t="s">
        <v>19</v>
      </c>
      <c r="G4247" t="s">
        <v>50</v>
      </c>
      <c r="I4247" t="s">
        <v>22</v>
      </c>
      <c r="J4247">
        <v>1</v>
      </c>
      <c r="K4247">
        <v>2292000</v>
      </c>
      <c r="L4247" s="2" t="s">
        <v>7377</v>
      </c>
      <c r="M4247" t="s">
        <v>23</v>
      </c>
      <c r="N4247">
        <v>1958000</v>
      </c>
      <c r="O4247">
        <v>4.0999999999999996</v>
      </c>
      <c r="P4247" t="b">
        <v>1</v>
      </c>
    </row>
    <row r="4248" spans="1:16" x14ac:dyDescent="0.2">
      <c r="A4248" t="s">
        <v>7378</v>
      </c>
      <c r="B4248" s="1">
        <v>45865</v>
      </c>
      <c r="C4248" s="1">
        <v>45905</v>
      </c>
      <c r="D4248" t="s">
        <v>6481</v>
      </c>
      <c r="E4248" t="s">
        <v>45</v>
      </c>
      <c r="F4248" t="s">
        <v>34</v>
      </c>
      <c r="G4248" t="s">
        <v>35</v>
      </c>
      <c r="H4248" t="s">
        <v>21</v>
      </c>
      <c r="I4248" t="s">
        <v>30</v>
      </c>
      <c r="J4248">
        <v>5</v>
      </c>
      <c r="K4248">
        <v>3314000</v>
      </c>
      <c r="L4248">
        <v>3.2395792153636201E-2</v>
      </c>
      <c r="M4248" t="s">
        <v>23</v>
      </c>
      <c r="N4248">
        <v>16033000</v>
      </c>
      <c r="O4248">
        <v>4.2</v>
      </c>
      <c r="P4248" t="b">
        <v>1</v>
      </c>
    </row>
    <row r="4249" spans="1:16" x14ac:dyDescent="0.2">
      <c r="A4249" t="s">
        <v>7379</v>
      </c>
      <c r="B4249" s="1">
        <v>45866</v>
      </c>
      <c r="C4249" s="1">
        <v>45932</v>
      </c>
      <c r="D4249" t="s">
        <v>4522</v>
      </c>
      <c r="E4249" t="s">
        <v>33</v>
      </c>
      <c r="F4249" t="s">
        <v>68</v>
      </c>
      <c r="G4249" t="s">
        <v>20</v>
      </c>
      <c r="I4249" t="s">
        <v>83</v>
      </c>
      <c r="J4249">
        <v>2</v>
      </c>
      <c r="K4249">
        <v>1794000</v>
      </c>
      <c r="L4249" s="2" t="s">
        <v>7380</v>
      </c>
      <c r="M4249" t="s">
        <v>65</v>
      </c>
      <c r="N4249">
        <v>0</v>
      </c>
      <c r="P4249" t="b">
        <v>1</v>
      </c>
    </row>
    <row r="4250" spans="1:16" x14ac:dyDescent="0.2">
      <c r="A4250" t="s">
        <v>7381</v>
      </c>
      <c r="B4250" s="1">
        <v>45866</v>
      </c>
      <c r="C4250" s="1">
        <v>45940</v>
      </c>
      <c r="D4250" t="s">
        <v>7382</v>
      </c>
      <c r="E4250" t="s">
        <v>33</v>
      </c>
      <c r="F4250" t="s">
        <v>25</v>
      </c>
      <c r="G4250" t="s">
        <v>20</v>
      </c>
      <c r="H4250" t="s">
        <v>21</v>
      </c>
      <c r="I4250" t="s">
        <v>94</v>
      </c>
      <c r="J4250">
        <v>3</v>
      </c>
      <c r="K4250">
        <v>4324000</v>
      </c>
      <c r="L4250">
        <v>5.8403741235966998E-2</v>
      </c>
      <c r="M4250" t="s">
        <v>23</v>
      </c>
      <c r="N4250">
        <v>12214000</v>
      </c>
      <c r="O4250">
        <v>4.3</v>
      </c>
      <c r="P4250" t="b">
        <v>0</v>
      </c>
    </row>
    <row r="4251" spans="1:16" x14ac:dyDescent="0.2">
      <c r="A4251" t="s">
        <v>7383</v>
      </c>
      <c r="B4251" s="1">
        <v>45867</v>
      </c>
      <c r="C4251" s="1">
        <v>45910</v>
      </c>
      <c r="D4251" t="s">
        <v>2579</v>
      </c>
      <c r="E4251" t="s">
        <v>45</v>
      </c>
      <c r="F4251" t="s">
        <v>19</v>
      </c>
      <c r="G4251" t="s">
        <v>20</v>
      </c>
      <c r="H4251" t="s">
        <v>21</v>
      </c>
      <c r="I4251" t="s">
        <v>26</v>
      </c>
      <c r="J4251">
        <v>4</v>
      </c>
      <c r="K4251">
        <v>2396000</v>
      </c>
      <c r="L4251" s="2" t="s">
        <v>7384</v>
      </c>
      <c r="M4251" t="s">
        <v>23</v>
      </c>
      <c r="N4251">
        <v>8148000</v>
      </c>
      <c r="O4251">
        <v>4.2</v>
      </c>
      <c r="P4251" t="b">
        <v>1</v>
      </c>
    </row>
    <row r="4252" spans="1:16" x14ac:dyDescent="0.2">
      <c r="A4252" t="s">
        <v>7385</v>
      </c>
      <c r="B4252" s="1">
        <v>45867</v>
      </c>
      <c r="C4252" s="1">
        <v>45956</v>
      </c>
      <c r="D4252" t="s">
        <v>4522</v>
      </c>
      <c r="E4252" t="s">
        <v>18</v>
      </c>
      <c r="F4252" t="s">
        <v>45</v>
      </c>
      <c r="H4252" t="s">
        <v>21</v>
      </c>
      <c r="I4252" t="s">
        <v>22</v>
      </c>
      <c r="J4252">
        <v>1</v>
      </c>
      <c r="K4252">
        <v>3004000</v>
      </c>
      <c r="L4252" s="2" t="s">
        <v>7386</v>
      </c>
      <c r="M4252" t="s">
        <v>65</v>
      </c>
      <c r="N4252">
        <v>0</v>
      </c>
      <c r="P4252" t="b">
        <v>1</v>
      </c>
    </row>
    <row r="4253" spans="1:16" x14ac:dyDescent="0.2">
      <c r="A4253" t="s">
        <v>7387</v>
      </c>
      <c r="B4253" s="1">
        <v>45868</v>
      </c>
      <c r="C4253" s="1">
        <v>45928</v>
      </c>
      <c r="D4253" t="s">
        <v>32</v>
      </c>
      <c r="E4253" t="s">
        <v>18</v>
      </c>
      <c r="F4253" t="s">
        <v>34</v>
      </c>
      <c r="G4253" t="s">
        <v>35</v>
      </c>
      <c r="H4253" t="s">
        <v>21</v>
      </c>
      <c r="J4253">
        <v>1</v>
      </c>
      <c r="K4253">
        <v>3392000</v>
      </c>
      <c r="L4253" s="2" t="s">
        <v>7388</v>
      </c>
      <c r="M4253" t="s">
        <v>23</v>
      </c>
      <c r="N4253">
        <v>2726000</v>
      </c>
      <c r="O4253">
        <v>4</v>
      </c>
      <c r="P4253" t="b">
        <v>1</v>
      </c>
    </row>
    <row r="4254" spans="1:16" x14ac:dyDescent="0.2">
      <c r="A4254" t="s">
        <v>7389</v>
      </c>
      <c r="B4254" s="1">
        <v>45868</v>
      </c>
      <c r="C4254" s="1">
        <v>45909</v>
      </c>
      <c r="D4254" t="s">
        <v>343</v>
      </c>
      <c r="E4254" t="s">
        <v>33</v>
      </c>
      <c r="F4254" t="s">
        <v>39</v>
      </c>
      <c r="G4254" t="s">
        <v>20</v>
      </c>
      <c r="H4254" t="s">
        <v>51</v>
      </c>
      <c r="I4254" t="s">
        <v>26</v>
      </c>
      <c r="J4254">
        <v>4</v>
      </c>
      <c r="K4254">
        <v>2203000</v>
      </c>
      <c r="L4254">
        <v>7.8010412235314006E-2</v>
      </c>
      <c r="M4254" t="s">
        <v>1882</v>
      </c>
      <c r="N4254">
        <v>8125000</v>
      </c>
      <c r="O4254">
        <v>5</v>
      </c>
      <c r="P4254" t="b">
        <v>1</v>
      </c>
    </row>
    <row r="4255" spans="1:16" x14ac:dyDescent="0.2">
      <c r="A4255" t="s">
        <v>7390</v>
      </c>
      <c r="B4255" s="1">
        <v>45870</v>
      </c>
      <c r="C4255" s="1">
        <v>45919</v>
      </c>
      <c r="D4255" t="s">
        <v>5134</v>
      </c>
      <c r="E4255" t="s">
        <v>29</v>
      </c>
      <c r="F4255" t="s">
        <v>39</v>
      </c>
      <c r="G4255" t="s">
        <v>20</v>
      </c>
      <c r="H4255" t="s">
        <v>47</v>
      </c>
      <c r="I4255" t="s">
        <v>77</v>
      </c>
      <c r="J4255">
        <v>4</v>
      </c>
      <c r="K4255">
        <v>2640000</v>
      </c>
      <c r="L4255">
        <v>8.9528981602937596E-2</v>
      </c>
      <c r="M4255" t="s">
        <v>23</v>
      </c>
      <c r="N4255">
        <v>9615000</v>
      </c>
      <c r="O4255">
        <v>4.2</v>
      </c>
      <c r="P4255" t="b">
        <v>1</v>
      </c>
    </row>
    <row r="4256" spans="1:16" x14ac:dyDescent="0.2">
      <c r="A4256" t="s">
        <v>7391</v>
      </c>
      <c r="B4256" s="1">
        <v>45871</v>
      </c>
      <c r="C4256" s="1">
        <v>45943</v>
      </c>
      <c r="D4256" t="s">
        <v>5652</v>
      </c>
      <c r="E4256" t="s">
        <v>18</v>
      </c>
      <c r="F4256" t="s">
        <v>68</v>
      </c>
      <c r="G4256" t="s">
        <v>50</v>
      </c>
      <c r="H4256" t="s">
        <v>21</v>
      </c>
      <c r="I4256" t="s">
        <v>77</v>
      </c>
      <c r="J4256">
        <v>2</v>
      </c>
      <c r="K4256">
        <v>2554000</v>
      </c>
      <c r="L4256">
        <v>6.36543120134615E-2</v>
      </c>
      <c r="M4256" t="s">
        <v>23</v>
      </c>
      <c r="N4256">
        <v>4783000</v>
      </c>
      <c r="O4256">
        <v>4.5999999999999996</v>
      </c>
      <c r="P4256" t="b">
        <v>1</v>
      </c>
    </row>
    <row r="4257" spans="1:16" x14ac:dyDescent="0.2">
      <c r="A4257" t="s">
        <v>7392</v>
      </c>
      <c r="B4257" s="1">
        <v>45871</v>
      </c>
      <c r="C4257" s="1">
        <v>45921</v>
      </c>
      <c r="D4257" t="s">
        <v>7393</v>
      </c>
      <c r="E4257" t="s">
        <v>45</v>
      </c>
      <c r="F4257" t="s">
        <v>34</v>
      </c>
      <c r="G4257" t="s">
        <v>46</v>
      </c>
      <c r="H4257" t="s">
        <v>40</v>
      </c>
      <c r="I4257" t="s">
        <v>22</v>
      </c>
      <c r="J4257">
        <v>1</v>
      </c>
      <c r="K4257">
        <v>3522000</v>
      </c>
      <c r="L4257">
        <v>5.0648374131429801E-2</v>
      </c>
      <c r="M4257" t="s">
        <v>65</v>
      </c>
      <c r="N4257">
        <v>0</v>
      </c>
      <c r="P4257" t="b">
        <v>0</v>
      </c>
    </row>
    <row r="4258" spans="1:16" x14ac:dyDescent="0.2">
      <c r="A4258" t="s">
        <v>7394</v>
      </c>
      <c r="B4258" s="1">
        <v>45871</v>
      </c>
      <c r="C4258" s="1">
        <v>45943</v>
      </c>
      <c r="D4258" t="s">
        <v>7395</v>
      </c>
      <c r="E4258" t="s">
        <v>29</v>
      </c>
      <c r="F4258" t="s">
        <v>34</v>
      </c>
      <c r="G4258" t="s">
        <v>50</v>
      </c>
      <c r="H4258" t="s">
        <v>47</v>
      </c>
      <c r="I4258" t="s">
        <v>52</v>
      </c>
      <c r="J4258">
        <v>1</v>
      </c>
      <c r="K4258">
        <v>3032000</v>
      </c>
      <c r="L4258" s="2" t="s">
        <v>7396</v>
      </c>
      <c r="M4258" t="s">
        <v>23</v>
      </c>
      <c r="N4258">
        <v>2563000</v>
      </c>
      <c r="O4258">
        <v>4.4000000000000004</v>
      </c>
      <c r="P4258" t="b">
        <v>0</v>
      </c>
    </row>
    <row r="4259" spans="1:16" x14ac:dyDescent="0.2">
      <c r="A4259" t="s">
        <v>7397</v>
      </c>
      <c r="B4259" s="1">
        <v>45872</v>
      </c>
      <c r="C4259" s="1">
        <v>45943</v>
      </c>
      <c r="D4259" t="s">
        <v>5350</v>
      </c>
      <c r="E4259" t="s">
        <v>33</v>
      </c>
      <c r="F4259" t="s">
        <v>34</v>
      </c>
      <c r="G4259" t="s">
        <v>20</v>
      </c>
      <c r="H4259" t="s">
        <v>21</v>
      </c>
      <c r="I4259" t="s">
        <v>60</v>
      </c>
      <c r="J4259">
        <v>2</v>
      </c>
      <c r="K4259">
        <v>4404000</v>
      </c>
      <c r="L4259" s="2" t="s">
        <v>7398</v>
      </c>
      <c r="M4259" t="s">
        <v>23</v>
      </c>
      <c r="N4259">
        <v>7268000</v>
      </c>
      <c r="O4259">
        <v>4.5</v>
      </c>
      <c r="P4259" t="b">
        <v>1</v>
      </c>
    </row>
    <row r="4260" spans="1:16" x14ac:dyDescent="0.2">
      <c r="A4260" t="s">
        <v>7399</v>
      </c>
      <c r="B4260" s="1">
        <v>45872</v>
      </c>
      <c r="C4260" s="1">
        <v>45930</v>
      </c>
      <c r="D4260" t="s">
        <v>5081</v>
      </c>
      <c r="E4260" t="s">
        <v>18</v>
      </c>
      <c r="F4260" t="s">
        <v>45</v>
      </c>
      <c r="G4260" t="s">
        <v>50</v>
      </c>
      <c r="H4260" t="s">
        <v>47</v>
      </c>
      <c r="I4260" t="s">
        <v>26</v>
      </c>
      <c r="J4260">
        <v>1</v>
      </c>
      <c r="K4260">
        <v>3330000</v>
      </c>
      <c r="L4260" s="2" t="s">
        <v>7400</v>
      </c>
      <c r="M4260" t="s">
        <v>23</v>
      </c>
      <c r="N4260">
        <v>2869000</v>
      </c>
      <c r="O4260">
        <v>4.0999999999999996</v>
      </c>
      <c r="P4260" t="b">
        <v>1</v>
      </c>
    </row>
    <row r="4261" spans="1:16" x14ac:dyDescent="0.2">
      <c r="A4261" t="s">
        <v>7401</v>
      </c>
      <c r="B4261" s="1">
        <v>45873</v>
      </c>
      <c r="C4261" s="1">
        <v>45928</v>
      </c>
      <c r="D4261" t="s">
        <v>3177</v>
      </c>
      <c r="E4261" t="s">
        <v>33</v>
      </c>
      <c r="F4261" t="s">
        <v>45</v>
      </c>
      <c r="G4261" t="s">
        <v>35</v>
      </c>
      <c r="H4261" t="s">
        <v>40</v>
      </c>
      <c r="I4261" t="s">
        <v>52</v>
      </c>
      <c r="J4261">
        <v>1</v>
      </c>
      <c r="K4261">
        <v>2967000</v>
      </c>
      <c r="L4261" s="2" t="s">
        <v>7402</v>
      </c>
      <c r="M4261" t="s">
        <v>65</v>
      </c>
      <c r="N4261">
        <v>0</v>
      </c>
      <c r="P4261" t="b">
        <v>1</v>
      </c>
    </row>
    <row r="4262" spans="1:16" x14ac:dyDescent="0.2">
      <c r="A4262" t="s">
        <v>7403</v>
      </c>
      <c r="B4262" s="1">
        <v>45873</v>
      </c>
      <c r="C4262" s="1">
        <v>45904</v>
      </c>
      <c r="D4262" t="s">
        <v>7404</v>
      </c>
      <c r="E4262" t="s">
        <v>18</v>
      </c>
      <c r="F4262" t="s">
        <v>34</v>
      </c>
      <c r="G4262" t="s">
        <v>50</v>
      </c>
      <c r="H4262" t="s">
        <v>21</v>
      </c>
      <c r="I4262" t="s">
        <v>99</v>
      </c>
      <c r="J4262">
        <v>1</v>
      </c>
      <c r="K4262">
        <v>4171000</v>
      </c>
      <c r="L4262">
        <v>9.03381411296902E-2</v>
      </c>
      <c r="M4262" t="s">
        <v>23</v>
      </c>
      <c r="N4262">
        <v>3794000</v>
      </c>
      <c r="O4262">
        <v>4.8</v>
      </c>
      <c r="P4262" t="b">
        <v>0</v>
      </c>
    </row>
    <row r="4263" spans="1:16" x14ac:dyDescent="0.2">
      <c r="A4263" t="s">
        <v>7405</v>
      </c>
      <c r="B4263" s="1">
        <v>45873</v>
      </c>
      <c r="C4263" s="1">
        <v>45936</v>
      </c>
      <c r="D4263" t="s">
        <v>3031</v>
      </c>
      <c r="E4263" t="s">
        <v>33</v>
      </c>
      <c r="F4263" t="s">
        <v>45</v>
      </c>
      <c r="G4263" t="s">
        <v>20</v>
      </c>
      <c r="H4263" t="s">
        <v>40</v>
      </c>
      <c r="J4263">
        <v>3</v>
      </c>
      <c r="K4263">
        <v>3046000</v>
      </c>
      <c r="L4263">
        <v>9.7771029581951302E-2</v>
      </c>
      <c r="M4263" t="s">
        <v>23</v>
      </c>
      <c r="N4263">
        <v>8245000</v>
      </c>
      <c r="O4263">
        <v>5</v>
      </c>
      <c r="P4263" t="b">
        <v>1</v>
      </c>
    </row>
    <row r="4264" spans="1:16" x14ac:dyDescent="0.2">
      <c r="A4264" t="s">
        <v>7406</v>
      </c>
      <c r="B4264" s="1">
        <v>45874</v>
      </c>
      <c r="C4264" s="1">
        <v>45924</v>
      </c>
      <c r="D4264" t="s">
        <v>218</v>
      </c>
      <c r="E4264" t="s">
        <v>18</v>
      </c>
      <c r="F4264" t="s">
        <v>34</v>
      </c>
      <c r="G4264" t="s">
        <v>35</v>
      </c>
      <c r="H4264" t="s">
        <v>47</v>
      </c>
      <c r="I4264" t="s">
        <v>83</v>
      </c>
      <c r="J4264">
        <v>2</v>
      </c>
      <c r="K4264">
        <v>4511000</v>
      </c>
      <c r="L4264" s="2" t="s">
        <v>7407</v>
      </c>
      <c r="M4264" t="s">
        <v>23</v>
      </c>
      <c r="N4264">
        <v>7947000</v>
      </c>
      <c r="O4264">
        <v>4.5999999999999996</v>
      </c>
      <c r="P4264" t="b">
        <v>1</v>
      </c>
    </row>
    <row r="4265" spans="1:16" x14ac:dyDescent="0.2">
      <c r="A4265" t="s">
        <v>7408</v>
      </c>
      <c r="B4265" s="1">
        <v>45874</v>
      </c>
      <c r="C4265" s="1">
        <v>45903</v>
      </c>
      <c r="D4265" t="s">
        <v>6878</v>
      </c>
      <c r="E4265" t="s">
        <v>18</v>
      </c>
      <c r="F4265" t="s">
        <v>45</v>
      </c>
      <c r="G4265" t="s">
        <v>50</v>
      </c>
      <c r="H4265" t="s">
        <v>47</v>
      </c>
      <c r="I4265" t="s">
        <v>26</v>
      </c>
      <c r="J4265">
        <v>3</v>
      </c>
      <c r="K4265">
        <v>3408000</v>
      </c>
      <c r="L4265">
        <v>0.16409756911629</v>
      </c>
      <c r="M4265" t="s">
        <v>23</v>
      </c>
      <c r="N4265">
        <v>8546000</v>
      </c>
      <c r="O4265">
        <v>4.4000000000000004</v>
      </c>
      <c r="P4265" t="b">
        <v>1</v>
      </c>
    </row>
    <row r="4266" spans="1:16" x14ac:dyDescent="0.2">
      <c r="A4266" t="s">
        <v>7409</v>
      </c>
      <c r="B4266" s="1">
        <v>45875</v>
      </c>
      <c r="C4266" s="1">
        <v>45919</v>
      </c>
      <c r="D4266" t="s">
        <v>96</v>
      </c>
      <c r="E4266" t="s">
        <v>45</v>
      </c>
      <c r="F4266" t="s">
        <v>68</v>
      </c>
      <c r="G4266" t="s">
        <v>50</v>
      </c>
      <c r="I4266" t="s">
        <v>83</v>
      </c>
      <c r="J4266">
        <v>1</v>
      </c>
      <c r="K4266">
        <v>1906000</v>
      </c>
      <c r="L4266" s="2" t="s">
        <v>7410</v>
      </c>
      <c r="M4266" t="s">
        <v>23</v>
      </c>
      <c r="N4266">
        <v>1681000</v>
      </c>
      <c r="O4266">
        <v>3.4</v>
      </c>
      <c r="P4266" t="b">
        <v>1</v>
      </c>
    </row>
    <row r="4267" spans="1:16" x14ac:dyDescent="0.2">
      <c r="A4267" t="s">
        <v>7411</v>
      </c>
      <c r="B4267" s="1">
        <v>45878</v>
      </c>
      <c r="C4267" s="1">
        <v>45965</v>
      </c>
      <c r="D4267" t="s">
        <v>7412</v>
      </c>
      <c r="E4267" t="s">
        <v>45</v>
      </c>
      <c r="F4267" t="s">
        <v>19</v>
      </c>
      <c r="G4267" t="s">
        <v>35</v>
      </c>
      <c r="H4267" t="s">
        <v>40</v>
      </c>
      <c r="I4267" t="s">
        <v>26</v>
      </c>
      <c r="J4267">
        <v>2</v>
      </c>
      <c r="K4267">
        <v>2652000</v>
      </c>
      <c r="L4267" s="2" t="s">
        <v>7413</v>
      </c>
      <c r="M4267" t="s">
        <v>23</v>
      </c>
      <c r="N4267">
        <v>4511000</v>
      </c>
      <c r="O4267">
        <v>3.7</v>
      </c>
      <c r="P4267" t="b">
        <v>0</v>
      </c>
    </row>
    <row r="4268" spans="1:16" x14ac:dyDescent="0.2">
      <c r="A4268" t="s">
        <v>7414</v>
      </c>
      <c r="B4268" s="1">
        <v>45879</v>
      </c>
      <c r="C4268" s="1">
        <v>45924</v>
      </c>
      <c r="D4268" t="s">
        <v>7415</v>
      </c>
      <c r="F4268" t="s">
        <v>34</v>
      </c>
      <c r="G4268" t="s">
        <v>20</v>
      </c>
      <c r="H4268" t="s">
        <v>21</v>
      </c>
      <c r="I4268" t="s">
        <v>77</v>
      </c>
      <c r="J4268">
        <v>2</v>
      </c>
      <c r="K4268">
        <v>4006000</v>
      </c>
      <c r="L4268">
        <v>8.0559084274762605E-2</v>
      </c>
      <c r="M4268" t="s">
        <v>23</v>
      </c>
      <c r="N4268">
        <v>7367000</v>
      </c>
      <c r="O4268">
        <v>4.0999999999999996</v>
      </c>
      <c r="P4268" t="b">
        <v>0</v>
      </c>
    </row>
    <row r="4269" spans="1:16" x14ac:dyDescent="0.2">
      <c r="A4269" t="s">
        <v>7416</v>
      </c>
      <c r="B4269" s="1">
        <v>45879</v>
      </c>
      <c r="C4269" s="1">
        <v>45971</v>
      </c>
      <c r="D4269" t="s">
        <v>7417</v>
      </c>
      <c r="E4269" t="s">
        <v>18</v>
      </c>
      <c r="F4269" t="s">
        <v>34</v>
      </c>
      <c r="G4269" t="s">
        <v>50</v>
      </c>
      <c r="H4269" t="s">
        <v>40</v>
      </c>
      <c r="I4269" t="s">
        <v>30</v>
      </c>
      <c r="J4269">
        <v>4</v>
      </c>
      <c r="K4269">
        <v>3461000</v>
      </c>
      <c r="L4269" s="2" t="s">
        <v>7418</v>
      </c>
      <c r="M4269" t="s">
        <v>23</v>
      </c>
      <c r="N4269">
        <v>12299000</v>
      </c>
      <c r="O4269">
        <v>4.5999999999999996</v>
      </c>
      <c r="P4269" t="b">
        <v>0</v>
      </c>
    </row>
    <row r="4270" spans="1:16" x14ac:dyDescent="0.2">
      <c r="A4270" t="s">
        <v>7419</v>
      </c>
      <c r="B4270" s="1">
        <v>45879</v>
      </c>
      <c r="C4270" s="1">
        <v>45941</v>
      </c>
      <c r="D4270" t="s">
        <v>7420</v>
      </c>
      <c r="E4270" t="s">
        <v>18</v>
      </c>
      <c r="F4270" t="s">
        <v>19</v>
      </c>
      <c r="G4270" t="s">
        <v>50</v>
      </c>
      <c r="H4270" t="s">
        <v>21</v>
      </c>
      <c r="I4270" t="s">
        <v>57</v>
      </c>
      <c r="J4270">
        <v>3</v>
      </c>
      <c r="K4270">
        <v>3310000</v>
      </c>
      <c r="L4270">
        <v>9.7690620345247101E-2</v>
      </c>
      <c r="M4270" t="s">
        <v>23</v>
      </c>
      <c r="N4270">
        <v>8960000</v>
      </c>
      <c r="O4270">
        <v>3.9</v>
      </c>
      <c r="P4270" t="b">
        <v>0</v>
      </c>
    </row>
    <row r="4271" spans="1:16" x14ac:dyDescent="0.2">
      <c r="A4271" t="s">
        <v>7421</v>
      </c>
      <c r="B4271" s="1">
        <v>45879</v>
      </c>
      <c r="C4271" s="1">
        <v>45899</v>
      </c>
      <c r="D4271" t="s">
        <v>7422</v>
      </c>
      <c r="E4271" t="s">
        <v>29</v>
      </c>
      <c r="F4271" t="s">
        <v>68</v>
      </c>
      <c r="G4271" t="s">
        <v>35</v>
      </c>
      <c r="H4271" t="s">
        <v>21</v>
      </c>
      <c r="I4271" t="s">
        <v>52</v>
      </c>
      <c r="J4271">
        <v>3</v>
      </c>
      <c r="K4271">
        <v>2664000</v>
      </c>
      <c r="L4271" s="2" t="s">
        <v>7423</v>
      </c>
      <c r="M4271" t="s">
        <v>23</v>
      </c>
      <c r="N4271">
        <v>7101000</v>
      </c>
      <c r="O4271">
        <v>4</v>
      </c>
      <c r="P4271" t="b">
        <v>0</v>
      </c>
    </row>
    <row r="4272" spans="1:16" x14ac:dyDescent="0.2">
      <c r="A4272" t="s">
        <v>7424</v>
      </c>
      <c r="B4272" s="1">
        <v>45879</v>
      </c>
      <c r="C4272" s="1">
        <v>45928</v>
      </c>
      <c r="D4272" t="s">
        <v>356</v>
      </c>
      <c r="E4272" t="s">
        <v>33</v>
      </c>
      <c r="F4272" t="s">
        <v>19</v>
      </c>
      <c r="G4272" t="s">
        <v>20</v>
      </c>
      <c r="H4272" t="s">
        <v>40</v>
      </c>
      <c r="I4272" t="s">
        <v>94</v>
      </c>
      <c r="J4272">
        <v>3</v>
      </c>
      <c r="K4272">
        <v>2813000</v>
      </c>
      <c r="L4272">
        <v>8.9000239482110194E-2</v>
      </c>
      <c r="M4272" t="s">
        <v>23</v>
      </c>
      <c r="N4272">
        <v>7688000</v>
      </c>
      <c r="O4272">
        <v>4.5999999999999996</v>
      </c>
      <c r="P4272" t="b">
        <v>1</v>
      </c>
    </row>
    <row r="4273" spans="1:16" x14ac:dyDescent="0.2">
      <c r="A4273" t="s">
        <v>7425</v>
      </c>
      <c r="B4273" s="1">
        <v>45881</v>
      </c>
      <c r="C4273" s="1">
        <v>45928</v>
      </c>
      <c r="D4273" t="s">
        <v>2877</v>
      </c>
      <c r="E4273" t="s">
        <v>18</v>
      </c>
      <c r="F4273" t="s">
        <v>45</v>
      </c>
      <c r="H4273" t="s">
        <v>40</v>
      </c>
      <c r="I4273" t="s">
        <v>83</v>
      </c>
      <c r="J4273">
        <v>1</v>
      </c>
      <c r="K4273">
        <v>2519000</v>
      </c>
      <c r="L4273">
        <v>9.4535222499240706E-2</v>
      </c>
      <c r="M4273" t="s">
        <v>23</v>
      </c>
      <c r="N4273">
        <v>2281000</v>
      </c>
      <c r="O4273">
        <v>5</v>
      </c>
      <c r="P4273" t="b">
        <v>1</v>
      </c>
    </row>
    <row r="4274" spans="1:16" x14ac:dyDescent="0.2">
      <c r="A4274" t="s">
        <v>7426</v>
      </c>
      <c r="B4274" s="1">
        <v>45881</v>
      </c>
      <c r="C4274" s="1">
        <v>45884</v>
      </c>
      <c r="D4274" t="s">
        <v>7427</v>
      </c>
      <c r="E4274" t="s">
        <v>33</v>
      </c>
      <c r="F4274" t="s">
        <v>34</v>
      </c>
      <c r="G4274" t="s">
        <v>50</v>
      </c>
      <c r="H4274" t="s">
        <v>47</v>
      </c>
      <c r="I4274" t="s">
        <v>26</v>
      </c>
      <c r="J4274">
        <v>2</v>
      </c>
      <c r="K4274">
        <v>4307000</v>
      </c>
      <c r="L4274">
        <v>3.0721621289883799E-2</v>
      </c>
      <c r="M4274" t="s">
        <v>23</v>
      </c>
      <c r="N4274">
        <v>8349000</v>
      </c>
      <c r="O4274">
        <v>3.9</v>
      </c>
      <c r="P4274" t="b">
        <v>0</v>
      </c>
    </row>
    <row r="4275" spans="1:16" x14ac:dyDescent="0.2">
      <c r="A4275" t="s">
        <v>7428</v>
      </c>
      <c r="B4275" s="1">
        <v>45882</v>
      </c>
      <c r="C4275" s="1">
        <v>45945</v>
      </c>
      <c r="D4275" t="s">
        <v>2039</v>
      </c>
      <c r="E4275" t="s">
        <v>45</v>
      </c>
      <c r="F4275" t="s">
        <v>39</v>
      </c>
      <c r="G4275" t="s">
        <v>35</v>
      </c>
      <c r="H4275" t="s">
        <v>40</v>
      </c>
      <c r="I4275" t="s">
        <v>57</v>
      </c>
      <c r="J4275">
        <v>4</v>
      </c>
      <c r="K4275">
        <v>2428000</v>
      </c>
      <c r="L4275" s="2" t="s">
        <v>7429</v>
      </c>
      <c r="M4275" t="s">
        <v>23</v>
      </c>
      <c r="N4275">
        <v>9417000</v>
      </c>
      <c r="O4275">
        <v>4.9000000000000004</v>
      </c>
      <c r="P4275" t="b">
        <v>1</v>
      </c>
    </row>
    <row r="4276" spans="1:16" x14ac:dyDescent="0.2">
      <c r="A4276" t="s">
        <v>7430</v>
      </c>
      <c r="B4276" s="1">
        <v>45882</v>
      </c>
      <c r="C4276" s="1">
        <v>45943</v>
      </c>
      <c r="D4276" t="s">
        <v>419</v>
      </c>
      <c r="E4276" t="s">
        <v>33</v>
      </c>
      <c r="F4276" t="s">
        <v>25</v>
      </c>
      <c r="G4276" t="s">
        <v>50</v>
      </c>
      <c r="I4276" t="s">
        <v>83</v>
      </c>
      <c r="J4276">
        <v>3</v>
      </c>
      <c r="K4276">
        <v>4490000</v>
      </c>
      <c r="L4276">
        <v>9.3009265256545195E-2</v>
      </c>
      <c r="M4276" t="s">
        <v>65</v>
      </c>
      <c r="N4276">
        <v>0</v>
      </c>
      <c r="P4276" t="b">
        <v>1</v>
      </c>
    </row>
    <row r="4277" spans="1:16" x14ac:dyDescent="0.2">
      <c r="A4277" t="s">
        <v>7431</v>
      </c>
      <c r="B4277" s="1">
        <v>45883</v>
      </c>
      <c r="C4277" s="1">
        <v>45940</v>
      </c>
      <c r="D4277" t="s">
        <v>6557</v>
      </c>
      <c r="E4277" t="s">
        <v>33</v>
      </c>
      <c r="F4277" t="s">
        <v>39</v>
      </c>
      <c r="G4277" t="s">
        <v>20</v>
      </c>
      <c r="H4277" t="s">
        <v>21</v>
      </c>
      <c r="I4277" t="s">
        <v>77</v>
      </c>
      <c r="J4277">
        <v>1</v>
      </c>
      <c r="K4277">
        <v>2579000</v>
      </c>
      <c r="L4277" s="2" t="s">
        <v>7432</v>
      </c>
      <c r="M4277" t="s">
        <v>23</v>
      </c>
      <c r="N4277">
        <v>2304000</v>
      </c>
      <c r="O4277">
        <v>3.3</v>
      </c>
      <c r="P4277" t="b">
        <v>1</v>
      </c>
    </row>
    <row r="4278" spans="1:16" x14ac:dyDescent="0.2">
      <c r="A4278" t="s">
        <v>7433</v>
      </c>
      <c r="B4278" s="1">
        <v>45884</v>
      </c>
      <c r="C4278" s="1">
        <v>45941</v>
      </c>
      <c r="D4278" t="s">
        <v>7434</v>
      </c>
      <c r="E4278" t="s">
        <v>33</v>
      </c>
      <c r="F4278" t="s">
        <v>19</v>
      </c>
      <c r="G4278" t="s">
        <v>50</v>
      </c>
      <c r="H4278" t="s">
        <v>47</v>
      </c>
      <c r="I4278" t="s">
        <v>22</v>
      </c>
      <c r="J4278">
        <v>1</v>
      </c>
      <c r="K4278">
        <v>2202000</v>
      </c>
      <c r="L4278">
        <v>4.4075948597570899E-2</v>
      </c>
      <c r="M4278" t="s">
        <v>23</v>
      </c>
      <c r="N4278">
        <v>2105000</v>
      </c>
      <c r="O4278">
        <v>3.4</v>
      </c>
      <c r="P4278" t="b">
        <v>0</v>
      </c>
    </row>
    <row r="4279" spans="1:16" x14ac:dyDescent="0.2">
      <c r="A4279" t="s">
        <v>7435</v>
      </c>
      <c r="B4279" s="1">
        <v>45885</v>
      </c>
      <c r="C4279" s="1">
        <v>45942</v>
      </c>
      <c r="D4279" t="s">
        <v>7436</v>
      </c>
      <c r="E4279" t="s">
        <v>18</v>
      </c>
      <c r="F4279" t="s">
        <v>19</v>
      </c>
      <c r="G4279" t="s">
        <v>20</v>
      </c>
      <c r="H4279" t="s">
        <v>21</v>
      </c>
      <c r="I4279" t="s">
        <v>30</v>
      </c>
      <c r="J4279">
        <v>1</v>
      </c>
      <c r="K4279">
        <v>2259000</v>
      </c>
      <c r="L4279">
        <v>8.4701560259981698E-2</v>
      </c>
      <c r="M4279" t="s">
        <v>65</v>
      </c>
      <c r="N4279">
        <v>0</v>
      </c>
      <c r="P4279" t="b">
        <v>0</v>
      </c>
    </row>
    <row r="4280" spans="1:16" x14ac:dyDescent="0.2">
      <c r="A4280" t="s">
        <v>7437</v>
      </c>
      <c r="B4280" s="1">
        <v>45885</v>
      </c>
      <c r="C4280" s="1">
        <v>45937</v>
      </c>
      <c r="D4280" t="s">
        <v>7438</v>
      </c>
      <c r="E4280" t="s">
        <v>45</v>
      </c>
      <c r="F4280" t="s">
        <v>19</v>
      </c>
      <c r="G4280" t="s">
        <v>50</v>
      </c>
      <c r="H4280" t="s">
        <v>51</v>
      </c>
      <c r="I4280" t="s">
        <v>57</v>
      </c>
      <c r="J4280">
        <v>1</v>
      </c>
      <c r="K4280">
        <v>2956000</v>
      </c>
      <c r="L4280">
        <v>4.6193331262259399E-2</v>
      </c>
      <c r="M4280" t="s">
        <v>23</v>
      </c>
      <c r="N4280">
        <v>2819000</v>
      </c>
      <c r="O4280">
        <v>4.5</v>
      </c>
      <c r="P4280" t="b">
        <v>0</v>
      </c>
    </row>
    <row r="4281" spans="1:16" x14ac:dyDescent="0.2">
      <c r="A4281" t="s">
        <v>7439</v>
      </c>
      <c r="B4281" s="1">
        <v>45886</v>
      </c>
      <c r="C4281" s="1">
        <v>45949</v>
      </c>
      <c r="D4281" t="s">
        <v>7440</v>
      </c>
      <c r="E4281" t="s">
        <v>33</v>
      </c>
      <c r="F4281" t="s">
        <v>19</v>
      </c>
      <c r="H4281" t="s">
        <v>40</v>
      </c>
      <c r="I4281" t="s">
        <v>83</v>
      </c>
      <c r="J4281">
        <v>1</v>
      </c>
      <c r="K4281">
        <v>2708000</v>
      </c>
      <c r="L4281" s="2" t="s">
        <v>7441</v>
      </c>
      <c r="M4281" t="s">
        <v>23</v>
      </c>
      <c r="N4281">
        <v>2358000</v>
      </c>
      <c r="O4281">
        <v>4.7</v>
      </c>
      <c r="P4281" t="b">
        <v>0</v>
      </c>
    </row>
    <row r="4282" spans="1:16" x14ac:dyDescent="0.2">
      <c r="A4282" t="s">
        <v>7442</v>
      </c>
      <c r="B4282" s="1">
        <v>45886</v>
      </c>
      <c r="C4282" s="1">
        <v>45928</v>
      </c>
      <c r="D4282" t="s">
        <v>7443</v>
      </c>
      <c r="E4282" t="s">
        <v>18</v>
      </c>
      <c r="F4282" t="s">
        <v>45</v>
      </c>
      <c r="G4282" t="s">
        <v>20</v>
      </c>
      <c r="H4282" t="s">
        <v>21</v>
      </c>
      <c r="I4282" t="s">
        <v>22</v>
      </c>
      <c r="J4282">
        <v>4</v>
      </c>
      <c r="K4282">
        <v>2789000</v>
      </c>
      <c r="L4282" s="2" t="s">
        <v>7444</v>
      </c>
      <c r="M4282" t="s">
        <v>23</v>
      </c>
      <c r="N4282">
        <v>9875000</v>
      </c>
      <c r="O4282">
        <v>3.8</v>
      </c>
      <c r="P4282" t="b">
        <v>0</v>
      </c>
    </row>
    <row r="4283" spans="1:16" x14ac:dyDescent="0.2">
      <c r="A4283" t="s">
        <v>7445</v>
      </c>
      <c r="B4283" s="1">
        <v>45886</v>
      </c>
      <c r="C4283" s="1">
        <v>45934</v>
      </c>
      <c r="D4283" t="s">
        <v>1359</v>
      </c>
      <c r="E4283" t="s">
        <v>18</v>
      </c>
      <c r="F4283" t="s">
        <v>19</v>
      </c>
      <c r="G4283" t="s">
        <v>20</v>
      </c>
      <c r="H4283" t="s">
        <v>51</v>
      </c>
      <c r="I4283" t="s">
        <v>52</v>
      </c>
      <c r="J4283">
        <v>4</v>
      </c>
      <c r="K4283">
        <v>2525000</v>
      </c>
      <c r="L4283">
        <v>8.3931090145733606E-2</v>
      </c>
      <c r="M4283" t="s">
        <v>23</v>
      </c>
      <c r="N4283">
        <v>9252000</v>
      </c>
      <c r="O4283">
        <v>4.4000000000000004</v>
      </c>
      <c r="P4283" t="b">
        <v>1</v>
      </c>
    </row>
    <row r="4284" spans="1:16" x14ac:dyDescent="0.2">
      <c r="A4284" t="s">
        <v>7446</v>
      </c>
      <c r="B4284" s="1">
        <v>45886</v>
      </c>
      <c r="C4284" s="1">
        <v>45909</v>
      </c>
      <c r="D4284" t="s">
        <v>5076</v>
      </c>
      <c r="E4284" t="s">
        <v>45</v>
      </c>
      <c r="F4284" t="s">
        <v>34</v>
      </c>
      <c r="G4284" t="s">
        <v>20</v>
      </c>
      <c r="H4284" t="s">
        <v>21</v>
      </c>
      <c r="I4284" t="s">
        <v>94</v>
      </c>
      <c r="J4284">
        <v>4</v>
      </c>
      <c r="K4284">
        <v>3866000</v>
      </c>
      <c r="L4284">
        <v>8.6910032786722893E-2</v>
      </c>
      <c r="M4284" t="s">
        <v>23</v>
      </c>
      <c r="N4284">
        <v>14120000</v>
      </c>
      <c r="O4284">
        <v>4.5</v>
      </c>
      <c r="P4284" t="b">
        <v>1</v>
      </c>
    </row>
    <row r="4285" spans="1:16" x14ac:dyDescent="0.2">
      <c r="A4285" t="s">
        <v>7447</v>
      </c>
      <c r="B4285" s="1">
        <v>45887</v>
      </c>
      <c r="C4285" s="1">
        <v>45927</v>
      </c>
      <c r="D4285" t="s">
        <v>7448</v>
      </c>
      <c r="E4285" t="s">
        <v>45</v>
      </c>
      <c r="F4285" t="s">
        <v>34</v>
      </c>
      <c r="G4285" t="s">
        <v>50</v>
      </c>
      <c r="H4285" t="s">
        <v>21</v>
      </c>
      <c r="I4285" t="s">
        <v>22</v>
      </c>
      <c r="J4285">
        <v>1</v>
      </c>
      <c r="K4285">
        <v>3547000</v>
      </c>
      <c r="L4285" s="2" t="s">
        <v>7449</v>
      </c>
      <c r="M4285" t="s">
        <v>65</v>
      </c>
      <c r="N4285">
        <v>0</v>
      </c>
      <c r="P4285" t="b">
        <v>0</v>
      </c>
    </row>
    <row r="4286" spans="1:16" x14ac:dyDescent="0.2">
      <c r="A4286" t="s">
        <v>7450</v>
      </c>
      <c r="B4286" s="1">
        <v>45887</v>
      </c>
      <c r="C4286" s="1">
        <v>45957</v>
      </c>
      <c r="D4286" t="s">
        <v>496</v>
      </c>
      <c r="E4286" t="s">
        <v>18</v>
      </c>
      <c r="F4286" t="s">
        <v>19</v>
      </c>
      <c r="G4286" t="s">
        <v>20</v>
      </c>
      <c r="H4286" t="s">
        <v>21</v>
      </c>
      <c r="I4286" t="s">
        <v>22</v>
      </c>
      <c r="J4286">
        <v>1</v>
      </c>
      <c r="K4286">
        <v>2269000</v>
      </c>
      <c r="L4286" s="2" t="s">
        <v>7451</v>
      </c>
      <c r="M4286" t="s">
        <v>23</v>
      </c>
      <c r="N4286">
        <v>1917000</v>
      </c>
      <c r="O4286">
        <v>3.7</v>
      </c>
      <c r="P4286" t="b">
        <v>1</v>
      </c>
    </row>
    <row r="4287" spans="1:16" x14ac:dyDescent="0.2">
      <c r="A4287" t="s">
        <v>7452</v>
      </c>
      <c r="B4287" s="1">
        <v>45887</v>
      </c>
      <c r="C4287" s="1">
        <v>45937</v>
      </c>
      <c r="D4287" t="s">
        <v>454</v>
      </c>
      <c r="F4287" t="s">
        <v>45</v>
      </c>
      <c r="G4287" t="s">
        <v>20</v>
      </c>
      <c r="H4287" t="s">
        <v>21</v>
      </c>
      <c r="I4287" t="s">
        <v>1654</v>
      </c>
      <c r="J4287">
        <v>1</v>
      </c>
      <c r="K4287">
        <v>3228000</v>
      </c>
      <c r="L4287">
        <v>8.5580883504427399E-2</v>
      </c>
      <c r="M4287" t="s">
        <v>23</v>
      </c>
      <c r="N4287">
        <v>2952000</v>
      </c>
      <c r="O4287">
        <v>4.4000000000000004</v>
      </c>
      <c r="P4287" t="b">
        <v>1</v>
      </c>
    </row>
    <row r="4288" spans="1:16" x14ac:dyDescent="0.2">
      <c r="A4288" t="s">
        <v>7453</v>
      </c>
      <c r="B4288" s="1">
        <v>45887</v>
      </c>
      <c r="C4288" s="1">
        <v>45942</v>
      </c>
      <c r="D4288" t="s">
        <v>6291</v>
      </c>
      <c r="E4288" t="s">
        <v>29</v>
      </c>
      <c r="F4288" t="s">
        <v>68</v>
      </c>
      <c r="G4288" t="s">
        <v>20</v>
      </c>
      <c r="H4288" t="s">
        <v>21</v>
      </c>
      <c r="I4288" t="s">
        <v>60</v>
      </c>
      <c r="J4288">
        <v>4</v>
      </c>
      <c r="K4288">
        <v>2585000</v>
      </c>
      <c r="L4288">
        <v>3.6117690362814397E-2</v>
      </c>
      <c r="M4288" t="s">
        <v>23</v>
      </c>
      <c r="N4288">
        <v>9967000</v>
      </c>
      <c r="O4288">
        <v>3.7</v>
      </c>
      <c r="P4288" t="b">
        <v>1</v>
      </c>
    </row>
    <row r="4289" spans="1:16" x14ac:dyDescent="0.2">
      <c r="A4289" t="s">
        <v>7454</v>
      </c>
      <c r="B4289" s="1">
        <v>45887</v>
      </c>
      <c r="C4289" s="1">
        <v>45927</v>
      </c>
      <c r="D4289" t="s">
        <v>4118</v>
      </c>
      <c r="E4289" t="s">
        <v>33</v>
      </c>
      <c r="F4289" t="s">
        <v>34</v>
      </c>
      <c r="G4289" t="s">
        <v>20</v>
      </c>
      <c r="H4289" t="s">
        <v>40</v>
      </c>
      <c r="I4289" t="s">
        <v>77</v>
      </c>
      <c r="J4289">
        <v>4</v>
      </c>
      <c r="K4289">
        <v>3995000</v>
      </c>
      <c r="L4289" s="2" t="s">
        <v>7455</v>
      </c>
      <c r="M4289" t="s">
        <v>23</v>
      </c>
      <c r="N4289">
        <v>14227000</v>
      </c>
      <c r="O4289">
        <v>4.4000000000000004</v>
      </c>
      <c r="P4289" t="b">
        <v>1</v>
      </c>
    </row>
    <row r="4290" spans="1:16" x14ac:dyDescent="0.2">
      <c r="A4290" t="s">
        <v>7456</v>
      </c>
      <c r="B4290" s="1">
        <v>45888</v>
      </c>
      <c r="C4290" s="1">
        <v>45943</v>
      </c>
      <c r="D4290" t="s">
        <v>7457</v>
      </c>
      <c r="E4290" t="s">
        <v>45</v>
      </c>
      <c r="F4290" t="s">
        <v>39</v>
      </c>
      <c r="G4290" t="s">
        <v>20</v>
      </c>
      <c r="H4290" t="s">
        <v>21</v>
      </c>
      <c r="I4290" t="s">
        <v>83</v>
      </c>
      <c r="J4290">
        <v>1</v>
      </c>
      <c r="K4290">
        <v>1412000</v>
      </c>
      <c r="L4290">
        <v>6.9971795591205893E-2</v>
      </c>
      <c r="M4290" t="s">
        <v>23</v>
      </c>
      <c r="N4290">
        <v>1313000</v>
      </c>
      <c r="O4290">
        <v>4.7</v>
      </c>
      <c r="P4290" t="b">
        <v>0</v>
      </c>
    </row>
    <row r="4291" spans="1:16" x14ac:dyDescent="0.2">
      <c r="A4291" t="s">
        <v>7458</v>
      </c>
      <c r="B4291" s="1">
        <v>45888</v>
      </c>
      <c r="C4291" s="1">
        <v>45922</v>
      </c>
      <c r="D4291" t="s">
        <v>7227</v>
      </c>
      <c r="E4291" t="s">
        <v>29</v>
      </c>
      <c r="F4291" t="s">
        <v>34</v>
      </c>
      <c r="G4291" t="s">
        <v>35</v>
      </c>
      <c r="H4291" t="s">
        <v>21</v>
      </c>
      <c r="I4291" t="s">
        <v>52</v>
      </c>
      <c r="J4291">
        <v>3</v>
      </c>
      <c r="K4291">
        <v>3170000</v>
      </c>
      <c r="L4291" s="2" t="s">
        <v>7459</v>
      </c>
      <c r="M4291" t="s">
        <v>23</v>
      </c>
      <c r="N4291">
        <v>8209000</v>
      </c>
      <c r="O4291">
        <v>4.4000000000000004</v>
      </c>
      <c r="P4291" t="b">
        <v>1</v>
      </c>
    </row>
    <row r="4292" spans="1:16" x14ac:dyDescent="0.2">
      <c r="A4292" t="s">
        <v>7460</v>
      </c>
      <c r="B4292" s="1">
        <v>45888</v>
      </c>
      <c r="C4292" s="1">
        <v>45910</v>
      </c>
      <c r="D4292" t="s">
        <v>862</v>
      </c>
      <c r="E4292" t="s">
        <v>29</v>
      </c>
      <c r="F4292" t="s">
        <v>19</v>
      </c>
      <c r="G4292" t="s">
        <v>50</v>
      </c>
      <c r="H4292" t="s">
        <v>47</v>
      </c>
      <c r="I4292" t="s">
        <v>22</v>
      </c>
      <c r="J4292">
        <v>1</v>
      </c>
      <c r="K4292">
        <v>2382000</v>
      </c>
      <c r="L4292">
        <v>8.9806583540098697E-2</v>
      </c>
      <c r="M4292" t="s">
        <v>23</v>
      </c>
      <c r="N4292">
        <v>2168000</v>
      </c>
      <c r="O4292">
        <v>4.7</v>
      </c>
      <c r="P4292" t="b">
        <v>1</v>
      </c>
    </row>
    <row r="4293" spans="1:16" x14ac:dyDescent="0.2">
      <c r="A4293" t="s">
        <v>7461</v>
      </c>
      <c r="B4293" s="1">
        <v>45888</v>
      </c>
      <c r="C4293" s="1">
        <v>45913</v>
      </c>
      <c r="D4293" t="s">
        <v>4446</v>
      </c>
      <c r="E4293" t="s">
        <v>29</v>
      </c>
      <c r="F4293" t="s">
        <v>45</v>
      </c>
      <c r="G4293" t="s">
        <v>35</v>
      </c>
      <c r="H4293" t="s">
        <v>21</v>
      </c>
      <c r="I4293" t="s">
        <v>26</v>
      </c>
      <c r="J4293">
        <v>1</v>
      </c>
      <c r="K4293">
        <v>3528000</v>
      </c>
      <c r="L4293">
        <v>4.8721844618297101E-2</v>
      </c>
      <c r="M4293" t="s">
        <v>23</v>
      </c>
      <c r="N4293">
        <v>3356000</v>
      </c>
      <c r="O4293">
        <v>4.8</v>
      </c>
      <c r="P4293" t="b">
        <v>1</v>
      </c>
    </row>
    <row r="4294" spans="1:16" x14ac:dyDescent="0.2">
      <c r="A4294" t="s">
        <v>7462</v>
      </c>
      <c r="B4294" s="1">
        <v>45889</v>
      </c>
      <c r="C4294" s="1">
        <v>45947</v>
      </c>
      <c r="D4294" t="s">
        <v>2277</v>
      </c>
      <c r="E4294" t="s">
        <v>33</v>
      </c>
      <c r="F4294" t="s">
        <v>68</v>
      </c>
      <c r="G4294" t="s">
        <v>20</v>
      </c>
      <c r="H4294" t="s">
        <v>40</v>
      </c>
      <c r="I4294" t="s">
        <v>26</v>
      </c>
      <c r="J4294">
        <v>1</v>
      </c>
      <c r="K4294">
        <v>2857000</v>
      </c>
      <c r="L4294" s="2" t="s">
        <v>7463</v>
      </c>
      <c r="M4294" t="s">
        <v>23</v>
      </c>
      <c r="N4294">
        <v>2225000</v>
      </c>
      <c r="O4294">
        <v>4.2</v>
      </c>
      <c r="P4294" t="b">
        <v>1</v>
      </c>
    </row>
    <row r="4295" spans="1:16" x14ac:dyDescent="0.2">
      <c r="A4295" t="s">
        <v>7464</v>
      </c>
      <c r="B4295" s="1">
        <v>45890</v>
      </c>
      <c r="C4295" s="1">
        <v>45938</v>
      </c>
      <c r="D4295" t="s">
        <v>4404</v>
      </c>
      <c r="E4295" t="s">
        <v>45</v>
      </c>
      <c r="F4295" t="s">
        <v>34</v>
      </c>
      <c r="G4295" t="s">
        <v>20</v>
      </c>
      <c r="H4295" t="s">
        <v>40</v>
      </c>
      <c r="I4295" t="s">
        <v>52</v>
      </c>
      <c r="J4295">
        <v>1</v>
      </c>
      <c r="K4295">
        <v>3104000</v>
      </c>
      <c r="L4295" s="2" t="s">
        <v>7465</v>
      </c>
      <c r="M4295" t="s">
        <v>23</v>
      </c>
      <c r="N4295">
        <v>2650000</v>
      </c>
      <c r="O4295">
        <v>4.0999999999999996</v>
      </c>
      <c r="P4295" t="b">
        <v>1</v>
      </c>
    </row>
    <row r="4296" spans="1:16" x14ac:dyDescent="0.2">
      <c r="A4296" t="s">
        <v>7466</v>
      </c>
      <c r="B4296" s="1">
        <v>45890</v>
      </c>
      <c r="C4296" s="1">
        <v>45916</v>
      </c>
      <c r="D4296" t="s">
        <v>5247</v>
      </c>
      <c r="E4296" t="s">
        <v>45</v>
      </c>
      <c r="F4296" t="s">
        <v>34</v>
      </c>
      <c r="G4296" t="s">
        <v>20</v>
      </c>
      <c r="H4296" t="s">
        <v>47</v>
      </c>
      <c r="I4296" t="s">
        <v>77</v>
      </c>
      <c r="J4296">
        <v>2</v>
      </c>
      <c r="K4296">
        <v>3914000</v>
      </c>
      <c r="L4296">
        <v>5.9490512346018397E-2</v>
      </c>
      <c r="M4296" t="s">
        <v>23</v>
      </c>
      <c r="N4296">
        <v>7362000</v>
      </c>
      <c r="O4296">
        <v>4.3</v>
      </c>
      <c r="P4296" t="b">
        <v>1</v>
      </c>
    </row>
    <row r="4297" spans="1:16" x14ac:dyDescent="0.2">
      <c r="A4297" t="s">
        <v>7467</v>
      </c>
      <c r="B4297" s="1">
        <v>45891</v>
      </c>
      <c r="C4297" s="1">
        <v>45949</v>
      </c>
      <c r="D4297" t="s">
        <v>2972</v>
      </c>
      <c r="E4297" t="s">
        <v>29</v>
      </c>
      <c r="F4297" t="s">
        <v>39</v>
      </c>
      <c r="G4297" t="s">
        <v>35</v>
      </c>
      <c r="H4297" t="s">
        <v>51</v>
      </c>
      <c r="I4297" t="s">
        <v>60</v>
      </c>
      <c r="J4297">
        <v>1</v>
      </c>
      <c r="K4297">
        <v>2644000</v>
      </c>
      <c r="L4297" s="2" t="s">
        <v>7468</v>
      </c>
      <c r="M4297" t="s">
        <v>23</v>
      </c>
      <c r="N4297">
        <v>2332000</v>
      </c>
      <c r="O4297">
        <v>3.8</v>
      </c>
      <c r="P4297" t="b">
        <v>1</v>
      </c>
    </row>
    <row r="4298" spans="1:16" x14ac:dyDescent="0.2">
      <c r="A4298" t="s">
        <v>7469</v>
      </c>
      <c r="B4298" s="1">
        <v>45891</v>
      </c>
      <c r="C4298" s="1">
        <v>45898</v>
      </c>
      <c r="D4298" t="s">
        <v>750</v>
      </c>
      <c r="E4298" t="s">
        <v>45</v>
      </c>
      <c r="F4298" t="s">
        <v>34</v>
      </c>
      <c r="G4298" t="s">
        <v>35</v>
      </c>
      <c r="H4298" t="s">
        <v>21</v>
      </c>
      <c r="I4298" t="s">
        <v>99</v>
      </c>
      <c r="J4298">
        <v>5</v>
      </c>
      <c r="K4298">
        <v>4324000</v>
      </c>
      <c r="L4298">
        <v>6.3430685462072298E-2</v>
      </c>
      <c r="M4298" t="s">
        <v>23</v>
      </c>
      <c r="N4298">
        <v>20249000</v>
      </c>
      <c r="O4298">
        <v>3.4</v>
      </c>
      <c r="P4298" t="b">
        <v>1</v>
      </c>
    </row>
    <row r="4299" spans="1:16" x14ac:dyDescent="0.2">
      <c r="A4299" t="s">
        <v>7470</v>
      </c>
      <c r="B4299" s="1">
        <v>45891</v>
      </c>
      <c r="C4299" s="1">
        <v>45926</v>
      </c>
      <c r="D4299" t="s">
        <v>4187</v>
      </c>
      <c r="E4299" t="s">
        <v>33</v>
      </c>
      <c r="F4299" t="s">
        <v>39</v>
      </c>
      <c r="G4299" t="s">
        <v>50</v>
      </c>
      <c r="H4299" t="s">
        <v>21</v>
      </c>
      <c r="I4299" t="s">
        <v>77</v>
      </c>
      <c r="J4299">
        <v>2</v>
      </c>
      <c r="K4299">
        <v>2479000</v>
      </c>
      <c r="L4299" s="2" t="s">
        <v>7471</v>
      </c>
      <c r="M4299" t="s">
        <v>65</v>
      </c>
      <c r="N4299">
        <v>0</v>
      </c>
      <c r="P4299" t="b">
        <v>1</v>
      </c>
    </row>
    <row r="4300" spans="1:16" x14ac:dyDescent="0.2">
      <c r="A4300" t="s">
        <v>7472</v>
      </c>
      <c r="B4300" s="1">
        <v>45891</v>
      </c>
      <c r="C4300" s="1">
        <v>45947</v>
      </c>
      <c r="D4300" t="s">
        <v>64</v>
      </c>
      <c r="E4300" t="s">
        <v>45</v>
      </c>
      <c r="F4300" t="s">
        <v>19</v>
      </c>
      <c r="G4300" t="s">
        <v>35</v>
      </c>
      <c r="H4300" t="s">
        <v>21</v>
      </c>
      <c r="I4300" t="s">
        <v>30</v>
      </c>
      <c r="J4300">
        <v>3</v>
      </c>
      <c r="K4300">
        <v>2214000</v>
      </c>
      <c r="L4300" s="2" t="s">
        <v>7473</v>
      </c>
      <c r="M4300" t="s">
        <v>23</v>
      </c>
      <c r="N4300">
        <v>5535000</v>
      </c>
      <c r="O4300">
        <v>5</v>
      </c>
      <c r="P4300" t="b">
        <v>1</v>
      </c>
    </row>
    <row r="4301" spans="1:16" x14ac:dyDescent="0.2">
      <c r="A4301" t="s">
        <v>7474</v>
      </c>
      <c r="B4301" s="1">
        <v>45891</v>
      </c>
      <c r="C4301" s="1">
        <v>45941</v>
      </c>
      <c r="D4301" t="s">
        <v>477</v>
      </c>
      <c r="E4301" t="s">
        <v>33</v>
      </c>
      <c r="F4301" t="s">
        <v>39</v>
      </c>
      <c r="H4301" t="s">
        <v>21</v>
      </c>
      <c r="I4301" t="s">
        <v>83</v>
      </c>
      <c r="J4301">
        <v>1</v>
      </c>
      <c r="K4301">
        <v>1370000</v>
      </c>
      <c r="L4301" s="2" t="s">
        <v>7475</v>
      </c>
      <c r="M4301" t="s">
        <v>23</v>
      </c>
      <c r="N4301">
        <v>1102000</v>
      </c>
      <c r="O4301">
        <v>4.5999999999999996</v>
      </c>
      <c r="P4301" t="b">
        <v>1</v>
      </c>
    </row>
    <row r="4302" spans="1:16" x14ac:dyDescent="0.2">
      <c r="A4302" t="s">
        <v>7476</v>
      </c>
      <c r="B4302" s="1">
        <v>45891</v>
      </c>
      <c r="C4302" s="1">
        <v>45954</v>
      </c>
      <c r="D4302" t="s">
        <v>114</v>
      </c>
      <c r="E4302" t="s">
        <v>18</v>
      </c>
      <c r="F4302" t="s">
        <v>19</v>
      </c>
      <c r="G4302" t="s">
        <v>35</v>
      </c>
      <c r="H4302" t="s">
        <v>21</v>
      </c>
      <c r="I4302" t="s">
        <v>77</v>
      </c>
      <c r="J4302">
        <v>1</v>
      </c>
      <c r="K4302">
        <v>2769000</v>
      </c>
      <c r="L4302">
        <v>8.1844820611798694E-2</v>
      </c>
      <c r="M4302" t="s">
        <v>65</v>
      </c>
      <c r="N4302">
        <v>0</v>
      </c>
      <c r="P4302" t="b">
        <v>1</v>
      </c>
    </row>
    <row r="4303" spans="1:16" x14ac:dyDescent="0.2">
      <c r="A4303" t="s">
        <v>7477</v>
      </c>
      <c r="B4303" s="1">
        <v>45891</v>
      </c>
      <c r="C4303" s="1">
        <v>45901</v>
      </c>
      <c r="D4303" t="s">
        <v>6797</v>
      </c>
      <c r="E4303" t="s">
        <v>18</v>
      </c>
      <c r="F4303" t="s">
        <v>39</v>
      </c>
      <c r="G4303" t="s">
        <v>35</v>
      </c>
      <c r="H4303" t="s">
        <v>51</v>
      </c>
      <c r="I4303" t="s">
        <v>52</v>
      </c>
      <c r="J4303">
        <v>3</v>
      </c>
      <c r="K4303">
        <v>2280000</v>
      </c>
      <c r="L4303" s="3">
        <v>0.13500000000000001</v>
      </c>
      <c r="M4303" t="s">
        <v>23</v>
      </c>
      <c r="N4303">
        <v>5915000</v>
      </c>
      <c r="O4303">
        <v>4.7</v>
      </c>
      <c r="P4303" t="b">
        <v>1</v>
      </c>
    </row>
    <row r="4304" spans="1:16" x14ac:dyDescent="0.2">
      <c r="A4304" t="s">
        <v>7478</v>
      </c>
      <c r="B4304" s="1">
        <v>45892</v>
      </c>
      <c r="C4304" s="1">
        <v>45967</v>
      </c>
      <c r="D4304" t="s">
        <v>2014</v>
      </c>
      <c r="E4304" t="s">
        <v>45</v>
      </c>
      <c r="F4304" t="s">
        <v>34</v>
      </c>
      <c r="G4304" t="s">
        <v>46</v>
      </c>
      <c r="H4304" t="s">
        <v>21</v>
      </c>
      <c r="I4304" t="s">
        <v>60</v>
      </c>
      <c r="J4304">
        <v>3</v>
      </c>
      <c r="K4304">
        <v>4339000</v>
      </c>
      <c r="L4304" s="2" t="s">
        <v>7479</v>
      </c>
      <c r="M4304" t="s">
        <v>23</v>
      </c>
      <c r="N4304">
        <v>11399000</v>
      </c>
      <c r="O4304">
        <v>3.8</v>
      </c>
      <c r="P4304" t="b">
        <v>1</v>
      </c>
    </row>
    <row r="4305" spans="1:16" x14ac:dyDescent="0.2">
      <c r="A4305" t="s">
        <v>7480</v>
      </c>
      <c r="B4305" s="1">
        <v>45892</v>
      </c>
      <c r="C4305" s="1">
        <v>45924</v>
      </c>
      <c r="D4305" t="s">
        <v>7102</v>
      </c>
      <c r="E4305" t="s">
        <v>18</v>
      </c>
      <c r="F4305" t="s">
        <v>34</v>
      </c>
      <c r="G4305" t="s">
        <v>35</v>
      </c>
      <c r="H4305" t="s">
        <v>40</v>
      </c>
      <c r="I4305" t="s">
        <v>83</v>
      </c>
      <c r="J4305">
        <v>2</v>
      </c>
      <c r="K4305">
        <v>4031000</v>
      </c>
      <c r="L4305" s="3">
        <v>0.17100000000000001</v>
      </c>
      <c r="M4305" t="s">
        <v>65</v>
      </c>
      <c r="N4305">
        <v>0</v>
      </c>
      <c r="P4305" t="b">
        <v>1</v>
      </c>
    </row>
    <row r="4306" spans="1:16" x14ac:dyDescent="0.2">
      <c r="A4306" t="s">
        <v>7481</v>
      </c>
      <c r="B4306" s="1">
        <v>45892</v>
      </c>
      <c r="C4306" s="1">
        <v>45927</v>
      </c>
      <c r="D4306" t="s">
        <v>163</v>
      </c>
      <c r="E4306" t="s">
        <v>18</v>
      </c>
      <c r="F4306" t="s">
        <v>19</v>
      </c>
      <c r="G4306" t="s">
        <v>20</v>
      </c>
      <c r="H4306" t="s">
        <v>21</v>
      </c>
      <c r="I4306" t="s">
        <v>94</v>
      </c>
      <c r="J4306">
        <v>3</v>
      </c>
      <c r="K4306">
        <v>2747000</v>
      </c>
      <c r="L4306">
        <v>9.7635910425777503E-2</v>
      </c>
      <c r="M4306" t="s">
        <v>23</v>
      </c>
      <c r="N4306">
        <v>7436000</v>
      </c>
      <c r="O4306">
        <v>4.4000000000000004</v>
      </c>
      <c r="P4306" t="b">
        <v>1</v>
      </c>
    </row>
    <row r="4307" spans="1:16" x14ac:dyDescent="0.2">
      <c r="A4307" t="s">
        <v>7482</v>
      </c>
      <c r="B4307" s="1">
        <v>45892</v>
      </c>
      <c r="C4307" s="1">
        <v>45999</v>
      </c>
      <c r="D4307" t="s">
        <v>6844</v>
      </c>
      <c r="E4307" t="s">
        <v>33</v>
      </c>
      <c r="F4307" t="s">
        <v>45</v>
      </c>
      <c r="G4307" t="s">
        <v>20</v>
      </c>
      <c r="H4307" t="s">
        <v>21</v>
      </c>
      <c r="I4307" t="s">
        <v>99</v>
      </c>
      <c r="J4307">
        <v>1</v>
      </c>
      <c r="K4307">
        <v>3572000</v>
      </c>
      <c r="L4307" s="2" t="s">
        <v>7483</v>
      </c>
      <c r="M4307" t="s">
        <v>23</v>
      </c>
      <c r="N4307">
        <v>3042000</v>
      </c>
      <c r="O4307">
        <v>4.4000000000000004</v>
      </c>
      <c r="P4307" t="b">
        <v>1</v>
      </c>
    </row>
    <row r="4308" spans="1:16" x14ac:dyDescent="0.2">
      <c r="A4308" t="s">
        <v>7484</v>
      </c>
      <c r="B4308" s="1">
        <v>45892</v>
      </c>
      <c r="C4308" s="1">
        <v>45937</v>
      </c>
      <c r="D4308" t="s">
        <v>7485</v>
      </c>
      <c r="E4308" t="s">
        <v>45</v>
      </c>
      <c r="F4308" t="s">
        <v>34</v>
      </c>
      <c r="G4308" t="s">
        <v>35</v>
      </c>
      <c r="H4308" t="s">
        <v>21</v>
      </c>
      <c r="I4308" t="s">
        <v>26</v>
      </c>
      <c r="J4308">
        <v>1</v>
      </c>
      <c r="K4308">
        <v>3720000</v>
      </c>
      <c r="L4308" s="2" t="s">
        <v>7486</v>
      </c>
      <c r="M4308" t="s">
        <v>23</v>
      </c>
      <c r="N4308">
        <v>3209000</v>
      </c>
      <c r="O4308">
        <v>4.5999999999999996</v>
      </c>
      <c r="P4308" t="b">
        <v>0</v>
      </c>
    </row>
    <row r="4309" spans="1:16" x14ac:dyDescent="0.2">
      <c r="A4309" t="s">
        <v>7487</v>
      </c>
      <c r="B4309" s="1">
        <v>45892</v>
      </c>
      <c r="C4309" s="1">
        <v>45951</v>
      </c>
      <c r="D4309" t="s">
        <v>4922</v>
      </c>
      <c r="E4309" t="s">
        <v>18</v>
      </c>
      <c r="F4309" t="s">
        <v>39</v>
      </c>
      <c r="G4309" t="s">
        <v>20</v>
      </c>
      <c r="H4309" t="s">
        <v>21</v>
      </c>
      <c r="I4309" t="s">
        <v>52</v>
      </c>
      <c r="J4309">
        <v>2</v>
      </c>
      <c r="K4309">
        <v>2201000</v>
      </c>
      <c r="L4309">
        <v>4.9041907586034099E-2</v>
      </c>
      <c r="M4309" t="s">
        <v>23</v>
      </c>
      <c r="N4309">
        <v>4186000</v>
      </c>
      <c r="O4309">
        <v>3.5</v>
      </c>
      <c r="P4309" t="b">
        <v>1</v>
      </c>
    </row>
    <row r="4310" spans="1:16" x14ac:dyDescent="0.2">
      <c r="A4310" t="s">
        <v>7488</v>
      </c>
      <c r="B4310" s="1">
        <v>45893</v>
      </c>
      <c r="C4310" s="1">
        <v>45958</v>
      </c>
      <c r="D4310" t="s">
        <v>5264</v>
      </c>
      <c r="E4310" t="s">
        <v>33</v>
      </c>
      <c r="F4310" t="s">
        <v>34</v>
      </c>
      <c r="G4310" t="s">
        <v>20</v>
      </c>
      <c r="H4310" t="s">
        <v>47</v>
      </c>
      <c r="I4310" t="s">
        <v>77</v>
      </c>
      <c r="J4310">
        <v>1</v>
      </c>
      <c r="K4310">
        <v>4079000</v>
      </c>
      <c r="L4310">
        <v>7.5672719867041605E-2</v>
      </c>
      <c r="M4310" t="s">
        <v>23</v>
      </c>
      <c r="N4310">
        <v>3770000</v>
      </c>
      <c r="O4310">
        <v>4.2</v>
      </c>
      <c r="P4310" t="b">
        <v>1</v>
      </c>
    </row>
    <row r="4311" spans="1:16" x14ac:dyDescent="0.2">
      <c r="A4311" t="s">
        <v>7489</v>
      </c>
      <c r="B4311" s="1">
        <v>45893</v>
      </c>
      <c r="C4311" s="1">
        <v>45963</v>
      </c>
      <c r="D4311" t="s">
        <v>7490</v>
      </c>
      <c r="E4311" t="s">
        <v>45</v>
      </c>
      <c r="F4311" t="s">
        <v>25</v>
      </c>
      <c r="G4311" t="s">
        <v>35</v>
      </c>
      <c r="H4311" t="s">
        <v>40</v>
      </c>
      <c r="I4311" t="s">
        <v>57</v>
      </c>
      <c r="J4311">
        <v>1</v>
      </c>
      <c r="K4311">
        <v>4806000</v>
      </c>
      <c r="L4311" s="2" t="s">
        <v>7491</v>
      </c>
      <c r="M4311" t="s">
        <v>23</v>
      </c>
      <c r="N4311">
        <v>4173000</v>
      </c>
      <c r="O4311">
        <v>4.7</v>
      </c>
      <c r="P4311" t="b">
        <v>0</v>
      </c>
    </row>
    <row r="4312" spans="1:16" x14ac:dyDescent="0.2">
      <c r="A4312" t="s">
        <v>7492</v>
      </c>
      <c r="B4312" s="1">
        <v>45893</v>
      </c>
      <c r="C4312" s="1">
        <v>45904</v>
      </c>
      <c r="D4312" t="s">
        <v>285</v>
      </c>
      <c r="E4312" t="s">
        <v>33</v>
      </c>
      <c r="F4312" t="s">
        <v>68</v>
      </c>
      <c r="G4312" t="s">
        <v>20</v>
      </c>
      <c r="H4312" t="s">
        <v>21</v>
      </c>
      <c r="I4312" t="s">
        <v>22</v>
      </c>
      <c r="J4312">
        <v>1</v>
      </c>
      <c r="K4312">
        <v>2739000</v>
      </c>
      <c r="L4312" s="2" t="s">
        <v>7493</v>
      </c>
      <c r="M4312" t="s">
        <v>65</v>
      </c>
      <c r="N4312">
        <v>0</v>
      </c>
      <c r="P4312" t="b">
        <v>1</v>
      </c>
    </row>
    <row r="4313" spans="1:16" x14ac:dyDescent="0.2">
      <c r="A4313" t="s">
        <v>7494</v>
      </c>
      <c r="B4313" s="1">
        <v>45894</v>
      </c>
      <c r="C4313" s="1">
        <v>45943</v>
      </c>
      <c r="D4313" t="s">
        <v>2868</v>
      </c>
      <c r="E4313" t="s">
        <v>45</v>
      </c>
      <c r="F4313" t="s">
        <v>39</v>
      </c>
      <c r="G4313" t="s">
        <v>35</v>
      </c>
      <c r="H4313" t="s">
        <v>47</v>
      </c>
      <c r="I4313" t="s">
        <v>77</v>
      </c>
      <c r="J4313">
        <v>2</v>
      </c>
      <c r="K4313">
        <v>2591000</v>
      </c>
      <c r="L4313">
        <v>7.38475800688356E-2</v>
      </c>
      <c r="M4313" t="s">
        <v>23</v>
      </c>
      <c r="N4313">
        <v>4799000</v>
      </c>
      <c r="O4313">
        <v>4.2</v>
      </c>
      <c r="P4313" t="b">
        <v>1</v>
      </c>
    </row>
    <row r="4314" spans="1:16" x14ac:dyDescent="0.2">
      <c r="A4314" t="s">
        <v>7495</v>
      </c>
      <c r="B4314" s="1">
        <v>45896</v>
      </c>
      <c r="C4314" s="1">
        <v>45969</v>
      </c>
      <c r="D4314" t="s">
        <v>1957</v>
      </c>
      <c r="E4314" t="s">
        <v>29</v>
      </c>
      <c r="F4314" t="s">
        <v>45</v>
      </c>
      <c r="G4314" t="s">
        <v>20</v>
      </c>
      <c r="H4314" t="s">
        <v>47</v>
      </c>
      <c r="I4314" t="s">
        <v>57</v>
      </c>
      <c r="J4314">
        <v>4</v>
      </c>
      <c r="K4314">
        <v>3651000</v>
      </c>
      <c r="L4314" s="2" t="s">
        <v>7496</v>
      </c>
      <c r="M4314" t="s">
        <v>23</v>
      </c>
      <c r="N4314">
        <v>13775000</v>
      </c>
      <c r="O4314">
        <v>4.7</v>
      </c>
      <c r="P4314" t="b">
        <v>1</v>
      </c>
    </row>
    <row r="4315" spans="1:16" x14ac:dyDescent="0.2">
      <c r="A4315" t="s">
        <v>7497</v>
      </c>
      <c r="B4315" s="1">
        <v>45896</v>
      </c>
      <c r="C4315" s="1">
        <v>45934</v>
      </c>
      <c r="D4315" t="s">
        <v>732</v>
      </c>
      <c r="E4315" t="s">
        <v>33</v>
      </c>
      <c r="F4315" t="s">
        <v>45</v>
      </c>
      <c r="G4315" t="s">
        <v>50</v>
      </c>
      <c r="H4315" t="s">
        <v>21</v>
      </c>
      <c r="I4315" t="s">
        <v>26</v>
      </c>
      <c r="J4315">
        <v>4</v>
      </c>
      <c r="K4315">
        <v>3594000</v>
      </c>
      <c r="L4315" s="3">
        <v>0.10199999999999999</v>
      </c>
      <c r="M4315" t="s">
        <v>23</v>
      </c>
      <c r="N4315">
        <v>12907000</v>
      </c>
      <c r="O4315">
        <v>4.0999999999999996</v>
      </c>
      <c r="P4315" t="b">
        <v>1</v>
      </c>
    </row>
    <row r="4316" spans="1:16" x14ac:dyDescent="0.2">
      <c r="A4316" t="s">
        <v>7498</v>
      </c>
      <c r="B4316" s="1">
        <v>45896</v>
      </c>
      <c r="C4316" s="1">
        <v>45936</v>
      </c>
      <c r="D4316" t="s">
        <v>4562</v>
      </c>
      <c r="E4316" t="s">
        <v>33</v>
      </c>
      <c r="F4316" t="s">
        <v>25</v>
      </c>
      <c r="G4316" t="s">
        <v>35</v>
      </c>
      <c r="H4316" t="s">
        <v>21</v>
      </c>
      <c r="I4316" t="s">
        <v>30</v>
      </c>
      <c r="J4316">
        <v>3</v>
      </c>
      <c r="K4316">
        <v>4479000</v>
      </c>
      <c r="L4316" s="2" t="s">
        <v>7499</v>
      </c>
      <c r="M4316" t="s">
        <v>23</v>
      </c>
      <c r="N4316">
        <v>11477000</v>
      </c>
      <c r="O4316">
        <v>4.5</v>
      </c>
      <c r="P4316" t="b">
        <v>1</v>
      </c>
    </row>
    <row r="4317" spans="1:16" x14ac:dyDescent="0.2">
      <c r="A4317" t="s">
        <v>7500</v>
      </c>
      <c r="B4317" s="1">
        <v>45897</v>
      </c>
      <c r="C4317" s="1">
        <v>45933</v>
      </c>
      <c r="D4317" t="s">
        <v>5644</v>
      </c>
      <c r="E4317" t="s">
        <v>29</v>
      </c>
      <c r="F4317" t="s">
        <v>19</v>
      </c>
      <c r="G4317" t="s">
        <v>50</v>
      </c>
      <c r="H4317" t="s">
        <v>47</v>
      </c>
      <c r="I4317" t="s">
        <v>94</v>
      </c>
      <c r="J4317">
        <v>2</v>
      </c>
      <c r="K4317">
        <v>2594000</v>
      </c>
      <c r="L4317" s="2" t="s">
        <v>7501</v>
      </c>
      <c r="M4317" t="s">
        <v>23</v>
      </c>
      <c r="N4317">
        <v>4382000</v>
      </c>
      <c r="O4317">
        <v>4.4000000000000004</v>
      </c>
      <c r="P4317" t="b">
        <v>1</v>
      </c>
    </row>
    <row r="4318" spans="1:16" x14ac:dyDescent="0.2">
      <c r="A4318" t="s">
        <v>7502</v>
      </c>
      <c r="B4318" s="1">
        <v>45897</v>
      </c>
      <c r="C4318" s="1">
        <v>45905</v>
      </c>
      <c r="D4318" t="s">
        <v>7503</v>
      </c>
      <c r="E4318" t="s">
        <v>33</v>
      </c>
      <c r="F4318" t="s">
        <v>19</v>
      </c>
      <c r="G4318" t="s">
        <v>20</v>
      </c>
      <c r="H4318" t="s">
        <v>51</v>
      </c>
      <c r="I4318" t="s">
        <v>26</v>
      </c>
      <c r="J4318">
        <v>3</v>
      </c>
      <c r="K4318">
        <v>2693000</v>
      </c>
      <c r="L4318">
        <v>8.5617707003368501E-2</v>
      </c>
      <c r="M4318" t="s">
        <v>1656</v>
      </c>
      <c r="N4318">
        <v>7387000</v>
      </c>
      <c r="O4318">
        <v>3</v>
      </c>
      <c r="P4318" t="b">
        <v>0</v>
      </c>
    </row>
    <row r="4319" spans="1:16" x14ac:dyDescent="0.2">
      <c r="A4319" t="s">
        <v>7504</v>
      </c>
      <c r="B4319" s="1">
        <v>45897</v>
      </c>
      <c r="C4319" s="1">
        <v>45932</v>
      </c>
      <c r="D4319" t="s">
        <v>7505</v>
      </c>
      <c r="E4319" t="s">
        <v>18</v>
      </c>
      <c r="F4319" t="s">
        <v>19</v>
      </c>
      <c r="G4319" t="s">
        <v>50</v>
      </c>
      <c r="H4319" t="s">
        <v>47</v>
      </c>
      <c r="I4319" t="s">
        <v>77</v>
      </c>
      <c r="J4319">
        <v>1</v>
      </c>
      <c r="K4319">
        <v>2813000</v>
      </c>
      <c r="L4319" s="3">
        <v>0.114</v>
      </c>
      <c r="M4319" t="s">
        <v>23</v>
      </c>
      <c r="N4319">
        <v>2493000</v>
      </c>
      <c r="O4319">
        <v>4.0999999999999996</v>
      </c>
      <c r="P4319" t="b">
        <v>0</v>
      </c>
    </row>
    <row r="4320" spans="1:16" x14ac:dyDescent="0.2">
      <c r="A4320" t="s">
        <v>7506</v>
      </c>
      <c r="B4320" s="1">
        <v>45898</v>
      </c>
      <c r="C4320" s="1">
        <v>45932</v>
      </c>
      <c r="D4320" t="s">
        <v>1072</v>
      </c>
      <c r="E4320" t="s">
        <v>33</v>
      </c>
      <c r="F4320" t="s">
        <v>34</v>
      </c>
      <c r="G4320" t="s">
        <v>35</v>
      </c>
      <c r="H4320" t="s">
        <v>21</v>
      </c>
      <c r="I4320" t="s">
        <v>1654</v>
      </c>
      <c r="J4320">
        <v>2</v>
      </c>
      <c r="K4320">
        <v>3043000</v>
      </c>
      <c r="L4320" s="2" t="s">
        <v>7507</v>
      </c>
      <c r="M4320" t="s">
        <v>23</v>
      </c>
      <c r="N4320">
        <v>5870000</v>
      </c>
      <c r="O4320">
        <v>3.8</v>
      </c>
      <c r="P4320" t="b">
        <v>1</v>
      </c>
    </row>
    <row r="4321" spans="1:16" x14ac:dyDescent="0.2">
      <c r="A4321" t="s">
        <v>7508</v>
      </c>
      <c r="B4321" s="1">
        <v>45898</v>
      </c>
      <c r="C4321" s="1">
        <v>45954</v>
      </c>
      <c r="D4321" t="s">
        <v>7509</v>
      </c>
      <c r="E4321" t="s">
        <v>45</v>
      </c>
      <c r="F4321" t="s">
        <v>25</v>
      </c>
      <c r="G4321" t="s">
        <v>50</v>
      </c>
      <c r="I4321" t="s">
        <v>57</v>
      </c>
      <c r="J4321">
        <v>4</v>
      </c>
      <c r="K4321">
        <v>4502000</v>
      </c>
      <c r="L4321">
        <v>6.2068284832810898E-2</v>
      </c>
      <c r="M4321" t="s">
        <v>23</v>
      </c>
      <c r="N4321">
        <v>16890000</v>
      </c>
      <c r="O4321">
        <v>4.5999999999999996</v>
      </c>
      <c r="P4321" t="b">
        <v>0</v>
      </c>
    </row>
    <row r="4322" spans="1:16" x14ac:dyDescent="0.2">
      <c r="A4322" t="s">
        <v>7510</v>
      </c>
      <c r="B4322" s="1">
        <v>45899</v>
      </c>
      <c r="C4322" s="1">
        <v>45954</v>
      </c>
      <c r="D4322" t="s">
        <v>5689</v>
      </c>
      <c r="E4322" t="s">
        <v>29</v>
      </c>
      <c r="F4322" t="s">
        <v>68</v>
      </c>
      <c r="G4322" t="s">
        <v>20</v>
      </c>
      <c r="H4322" t="s">
        <v>21</v>
      </c>
      <c r="I4322" t="s">
        <v>94</v>
      </c>
      <c r="J4322">
        <v>2</v>
      </c>
      <c r="K4322">
        <v>1942000</v>
      </c>
      <c r="L4322" s="2" t="s">
        <v>7511</v>
      </c>
      <c r="M4322" t="s">
        <v>65</v>
      </c>
      <c r="N4322">
        <v>0</v>
      </c>
      <c r="P4322" t="b">
        <v>1</v>
      </c>
    </row>
    <row r="4323" spans="1:16" x14ac:dyDescent="0.2">
      <c r="A4323" t="s">
        <v>7512</v>
      </c>
      <c r="B4323" s="1">
        <v>45900</v>
      </c>
      <c r="C4323" s="1">
        <v>45934</v>
      </c>
      <c r="D4323" t="s">
        <v>7513</v>
      </c>
      <c r="E4323" t="s">
        <v>45</v>
      </c>
      <c r="F4323" t="s">
        <v>45</v>
      </c>
      <c r="G4323" t="s">
        <v>20</v>
      </c>
      <c r="H4323" t="s">
        <v>47</v>
      </c>
      <c r="I4323" t="s">
        <v>77</v>
      </c>
      <c r="J4323">
        <v>4</v>
      </c>
      <c r="K4323">
        <v>3507000</v>
      </c>
      <c r="L4323">
        <v>5.8936525457772899E-2</v>
      </c>
      <c r="M4323" t="s">
        <v>23</v>
      </c>
      <c r="N4323">
        <v>13201000</v>
      </c>
      <c r="O4323">
        <v>4.3</v>
      </c>
      <c r="P4323" t="b">
        <v>0</v>
      </c>
    </row>
    <row r="4324" spans="1:16" x14ac:dyDescent="0.2">
      <c r="A4324" t="s">
        <v>7514</v>
      </c>
      <c r="B4324" s="1">
        <v>45900</v>
      </c>
      <c r="C4324" s="1">
        <v>45989</v>
      </c>
      <c r="D4324" t="s">
        <v>3840</v>
      </c>
      <c r="E4324" t="s">
        <v>18</v>
      </c>
      <c r="F4324" t="s">
        <v>68</v>
      </c>
      <c r="G4324" t="s">
        <v>35</v>
      </c>
      <c r="H4324" t="s">
        <v>47</v>
      </c>
      <c r="I4324" t="s">
        <v>77</v>
      </c>
      <c r="J4324">
        <v>3</v>
      </c>
      <c r="K4324">
        <v>2676000</v>
      </c>
      <c r="L4324">
        <v>2.6441228317277E-2</v>
      </c>
      <c r="M4324" t="s">
        <v>23</v>
      </c>
      <c r="N4324">
        <v>7816000</v>
      </c>
      <c r="O4324">
        <v>4.5</v>
      </c>
      <c r="P4324" t="b">
        <v>1</v>
      </c>
    </row>
    <row r="4325" spans="1:16" x14ac:dyDescent="0.2">
      <c r="A4325" t="s">
        <v>7515</v>
      </c>
      <c r="B4325" s="1">
        <v>45901</v>
      </c>
      <c r="C4325" s="1">
        <v>45999</v>
      </c>
      <c r="D4325" t="s">
        <v>6462</v>
      </c>
      <c r="E4325" t="s">
        <v>18</v>
      </c>
      <c r="F4325" t="s">
        <v>19</v>
      </c>
      <c r="G4325" t="s">
        <v>20</v>
      </c>
      <c r="H4325" t="s">
        <v>47</v>
      </c>
      <c r="I4325" t="s">
        <v>57</v>
      </c>
      <c r="J4325">
        <v>2</v>
      </c>
      <c r="K4325">
        <v>3670000</v>
      </c>
      <c r="L4325">
        <v>8.0871957678685505E-2</v>
      </c>
      <c r="M4325" t="s">
        <v>23</v>
      </c>
      <c r="N4325">
        <v>6746000</v>
      </c>
      <c r="O4325">
        <v>5</v>
      </c>
      <c r="P4325" t="b">
        <v>1</v>
      </c>
    </row>
    <row r="4326" spans="1:16" x14ac:dyDescent="0.2">
      <c r="A4326" t="s">
        <v>7516</v>
      </c>
      <c r="B4326" s="1">
        <v>45666</v>
      </c>
      <c r="C4326" s="1">
        <v>45935</v>
      </c>
      <c r="D4326" t="s">
        <v>3357</v>
      </c>
      <c r="E4326" t="s">
        <v>18</v>
      </c>
      <c r="F4326" t="s">
        <v>25</v>
      </c>
      <c r="G4326" t="s">
        <v>35</v>
      </c>
      <c r="H4326" t="s">
        <v>21</v>
      </c>
      <c r="I4326" t="s">
        <v>99</v>
      </c>
      <c r="J4326">
        <v>1</v>
      </c>
      <c r="K4326">
        <v>4440000</v>
      </c>
      <c r="L4326">
        <v>6.5032933195205603E-2</v>
      </c>
      <c r="M4326" t="s">
        <v>23</v>
      </c>
      <c r="N4326">
        <v>4151000</v>
      </c>
      <c r="O4326">
        <v>4.5</v>
      </c>
      <c r="P4326" t="b">
        <v>1</v>
      </c>
    </row>
    <row r="4327" spans="1:16" x14ac:dyDescent="0.2">
      <c r="A4327" t="s">
        <v>7517</v>
      </c>
      <c r="B4327" s="1">
        <v>45902</v>
      </c>
      <c r="C4327" s="1">
        <v>45964</v>
      </c>
      <c r="D4327" t="s">
        <v>5485</v>
      </c>
      <c r="E4327" t="s">
        <v>18</v>
      </c>
      <c r="F4327" t="s">
        <v>34</v>
      </c>
      <c r="G4327" t="s">
        <v>20</v>
      </c>
      <c r="H4327" t="s">
        <v>21</v>
      </c>
      <c r="I4327" t="s">
        <v>57</v>
      </c>
      <c r="J4327">
        <v>4</v>
      </c>
      <c r="K4327">
        <v>4339000</v>
      </c>
      <c r="L4327" s="2" t="s">
        <v>7518</v>
      </c>
      <c r="M4327" t="s">
        <v>23</v>
      </c>
      <c r="N4327">
        <v>14593000</v>
      </c>
      <c r="O4327">
        <v>4.4000000000000004</v>
      </c>
      <c r="P4327" t="b">
        <v>1</v>
      </c>
    </row>
    <row r="4328" spans="1:16" x14ac:dyDescent="0.2">
      <c r="A4328" t="s">
        <v>7519</v>
      </c>
      <c r="B4328" s="1">
        <v>45902</v>
      </c>
      <c r="C4328" s="1">
        <v>45963</v>
      </c>
      <c r="D4328" t="s">
        <v>6997</v>
      </c>
      <c r="E4328" t="s">
        <v>29</v>
      </c>
      <c r="F4328" t="s">
        <v>19</v>
      </c>
      <c r="G4328" t="s">
        <v>35</v>
      </c>
      <c r="H4328" t="s">
        <v>47</v>
      </c>
      <c r="J4328">
        <v>2</v>
      </c>
      <c r="K4328">
        <v>2782000</v>
      </c>
      <c r="L4328">
        <v>4.2977683802303698E-2</v>
      </c>
      <c r="M4328" t="s">
        <v>23</v>
      </c>
      <c r="N4328">
        <v>5325000</v>
      </c>
      <c r="O4328">
        <v>3.9</v>
      </c>
      <c r="P4328" t="b">
        <v>1</v>
      </c>
    </row>
    <row r="4329" spans="1:16" x14ac:dyDescent="0.2">
      <c r="A4329" t="s">
        <v>7520</v>
      </c>
      <c r="B4329" s="1">
        <v>45902</v>
      </c>
      <c r="C4329" s="1">
        <v>45915</v>
      </c>
      <c r="D4329" t="s">
        <v>7521</v>
      </c>
      <c r="E4329" t="s">
        <v>18</v>
      </c>
      <c r="F4329" t="s">
        <v>34</v>
      </c>
      <c r="G4329" t="s">
        <v>20</v>
      </c>
      <c r="H4329" t="s">
        <v>21</v>
      </c>
      <c r="I4329" t="s">
        <v>60</v>
      </c>
      <c r="J4329">
        <v>1</v>
      </c>
      <c r="K4329">
        <v>4102000</v>
      </c>
      <c r="L4329">
        <v>6.2921466124866696E-2</v>
      </c>
      <c r="M4329" t="s">
        <v>23</v>
      </c>
      <c r="N4329">
        <v>3844000</v>
      </c>
      <c r="O4329">
        <v>4.0999999999999996</v>
      </c>
      <c r="P4329" t="b">
        <v>0</v>
      </c>
    </row>
    <row r="4330" spans="1:16" x14ac:dyDescent="0.2">
      <c r="A4330" t="s">
        <v>7522</v>
      </c>
      <c r="B4330" s="1">
        <v>45902</v>
      </c>
      <c r="C4330" s="1">
        <v>45922</v>
      </c>
      <c r="D4330" t="s">
        <v>2014</v>
      </c>
      <c r="E4330" t="s">
        <v>45</v>
      </c>
      <c r="F4330" t="s">
        <v>19</v>
      </c>
      <c r="G4330" t="s">
        <v>20</v>
      </c>
      <c r="H4330" t="s">
        <v>21</v>
      </c>
      <c r="I4330" t="s">
        <v>52</v>
      </c>
      <c r="J4330">
        <v>1</v>
      </c>
      <c r="K4330">
        <v>2552000</v>
      </c>
      <c r="L4330" s="2" t="s">
        <v>7523</v>
      </c>
      <c r="M4330" t="s">
        <v>23</v>
      </c>
      <c r="N4330">
        <v>2184000</v>
      </c>
      <c r="O4330">
        <v>4.4000000000000004</v>
      </c>
      <c r="P4330" t="b">
        <v>1</v>
      </c>
    </row>
    <row r="4331" spans="1:16" x14ac:dyDescent="0.2">
      <c r="A4331" t="s">
        <v>7524</v>
      </c>
      <c r="B4331" s="1">
        <v>45902</v>
      </c>
      <c r="C4331" s="1">
        <v>46003</v>
      </c>
      <c r="D4331" t="s">
        <v>1010</v>
      </c>
      <c r="E4331" t="s">
        <v>33</v>
      </c>
      <c r="F4331" t="s">
        <v>45</v>
      </c>
      <c r="G4331" t="s">
        <v>50</v>
      </c>
      <c r="H4331" t="s">
        <v>21</v>
      </c>
      <c r="I4331" t="s">
        <v>1654</v>
      </c>
      <c r="J4331">
        <v>1</v>
      </c>
      <c r="K4331">
        <v>3319000</v>
      </c>
      <c r="L4331" s="2" t="s">
        <v>7525</v>
      </c>
      <c r="M4331" t="s">
        <v>23</v>
      </c>
      <c r="N4331">
        <v>3206000</v>
      </c>
      <c r="O4331">
        <v>4.3</v>
      </c>
      <c r="P4331" t="b">
        <v>1</v>
      </c>
    </row>
    <row r="4332" spans="1:16" x14ac:dyDescent="0.2">
      <c r="A4332" t="s">
        <v>7526</v>
      </c>
      <c r="B4332" s="1">
        <v>45902</v>
      </c>
      <c r="C4332" s="1">
        <v>45995</v>
      </c>
      <c r="D4332" t="s">
        <v>5847</v>
      </c>
      <c r="E4332" t="s">
        <v>33</v>
      </c>
      <c r="F4332" t="s">
        <v>45</v>
      </c>
      <c r="G4332" t="s">
        <v>50</v>
      </c>
      <c r="H4332" t="s">
        <v>21</v>
      </c>
      <c r="I4332" t="s">
        <v>83</v>
      </c>
      <c r="J4332">
        <v>3</v>
      </c>
      <c r="K4332">
        <v>2859000</v>
      </c>
      <c r="L4332">
        <v>7.9088531196301798E-2</v>
      </c>
      <c r="M4332" t="s">
        <v>23</v>
      </c>
      <c r="N4332">
        <v>7899000</v>
      </c>
      <c r="O4332">
        <v>3.4</v>
      </c>
      <c r="P4332" t="b">
        <v>1</v>
      </c>
    </row>
    <row r="4333" spans="1:16" x14ac:dyDescent="0.2">
      <c r="A4333" t="s">
        <v>7527</v>
      </c>
      <c r="B4333" s="1">
        <v>45697</v>
      </c>
      <c r="C4333" s="1">
        <v>45973</v>
      </c>
      <c r="D4333" t="s">
        <v>3893</v>
      </c>
      <c r="E4333" t="s">
        <v>18</v>
      </c>
      <c r="F4333" t="s">
        <v>68</v>
      </c>
      <c r="G4333" t="s">
        <v>20</v>
      </c>
      <c r="H4333" t="s">
        <v>21</v>
      </c>
      <c r="I4333" t="s">
        <v>26</v>
      </c>
      <c r="J4333">
        <v>2</v>
      </c>
      <c r="K4333">
        <v>2563000</v>
      </c>
      <c r="L4333" s="2" t="s">
        <v>7528</v>
      </c>
      <c r="M4333" t="s">
        <v>65</v>
      </c>
      <c r="N4333">
        <v>0</v>
      </c>
      <c r="P4333" t="b">
        <v>1</v>
      </c>
    </row>
    <row r="4334" spans="1:16" x14ac:dyDescent="0.2">
      <c r="A4334" t="s">
        <v>7529</v>
      </c>
      <c r="B4334" s="1">
        <v>45903</v>
      </c>
      <c r="C4334" s="1">
        <v>46003</v>
      </c>
      <c r="D4334" t="s">
        <v>4397</v>
      </c>
      <c r="E4334" t="s">
        <v>45</v>
      </c>
      <c r="F4334" t="s">
        <v>34</v>
      </c>
      <c r="G4334" t="s">
        <v>50</v>
      </c>
      <c r="H4334" t="s">
        <v>47</v>
      </c>
      <c r="I4334" t="s">
        <v>22</v>
      </c>
      <c r="J4334">
        <v>3</v>
      </c>
      <c r="K4334">
        <v>3855000</v>
      </c>
      <c r="L4334">
        <v>7.7876741398831495E-2</v>
      </c>
      <c r="M4334" t="s">
        <v>23</v>
      </c>
      <c r="N4334">
        <v>10664000</v>
      </c>
      <c r="O4334">
        <v>4.0999999999999996</v>
      </c>
      <c r="P4334" t="b">
        <v>1</v>
      </c>
    </row>
    <row r="4335" spans="1:16" x14ac:dyDescent="0.2">
      <c r="A4335" t="s">
        <v>7530</v>
      </c>
      <c r="B4335" s="1">
        <v>45903</v>
      </c>
      <c r="C4335" s="1">
        <v>45960</v>
      </c>
      <c r="D4335" t="s">
        <v>7531</v>
      </c>
      <c r="E4335" t="s">
        <v>18</v>
      </c>
      <c r="F4335" t="s">
        <v>25</v>
      </c>
      <c r="G4335" t="s">
        <v>35</v>
      </c>
      <c r="H4335" t="s">
        <v>40</v>
      </c>
      <c r="I4335" t="s">
        <v>60</v>
      </c>
      <c r="J4335">
        <v>2</v>
      </c>
      <c r="K4335">
        <v>5060000</v>
      </c>
      <c r="L4335" s="3">
        <v>0.124</v>
      </c>
      <c r="M4335" t="s">
        <v>23</v>
      </c>
      <c r="N4335">
        <v>8865000</v>
      </c>
      <c r="O4335">
        <v>3.8</v>
      </c>
      <c r="P4335" t="b">
        <v>0</v>
      </c>
    </row>
    <row r="4336" spans="1:16" x14ac:dyDescent="0.2">
      <c r="A4336" t="s">
        <v>7532</v>
      </c>
      <c r="B4336" s="1">
        <v>45756</v>
      </c>
      <c r="C4336" s="1">
        <v>46013</v>
      </c>
      <c r="D4336" t="s">
        <v>3643</v>
      </c>
      <c r="F4336" t="s">
        <v>34</v>
      </c>
      <c r="G4336" t="s">
        <v>50</v>
      </c>
      <c r="H4336" t="s">
        <v>40</v>
      </c>
      <c r="I4336" t="s">
        <v>52</v>
      </c>
      <c r="J4336">
        <v>3</v>
      </c>
      <c r="K4336">
        <v>3390000</v>
      </c>
      <c r="L4336" s="2" t="s">
        <v>7533</v>
      </c>
      <c r="M4336" t="s">
        <v>23</v>
      </c>
      <c r="N4336">
        <v>8909000</v>
      </c>
      <c r="O4336">
        <v>3.6</v>
      </c>
      <c r="P4336" t="b">
        <v>1</v>
      </c>
    </row>
    <row r="4337" spans="1:16" x14ac:dyDescent="0.2">
      <c r="A4337" t="s">
        <v>7534</v>
      </c>
      <c r="B4337" s="1">
        <v>45904</v>
      </c>
      <c r="C4337" s="1">
        <v>45967</v>
      </c>
      <c r="D4337" t="s">
        <v>7535</v>
      </c>
      <c r="E4337" t="s">
        <v>45</v>
      </c>
      <c r="F4337" t="s">
        <v>39</v>
      </c>
      <c r="G4337" t="s">
        <v>20</v>
      </c>
      <c r="H4337" t="s">
        <v>21</v>
      </c>
      <c r="I4337" t="s">
        <v>99</v>
      </c>
      <c r="J4337">
        <v>2</v>
      </c>
      <c r="K4337">
        <v>2090000</v>
      </c>
      <c r="L4337" s="2" t="s">
        <v>7536</v>
      </c>
      <c r="M4337" t="s">
        <v>23</v>
      </c>
      <c r="N4337">
        <v>3674000</v>
      </c>
      <c r="O4337">
        <v>4.0999999999999996</v>
      </c>
      <c r="P4337" t="b">
        <v>0</v>
      </c>
    </row>
    <row r="4338" spans="1:16" x14ac:dyDescent="0.2">
      <c r="A4338" t="s">
        <v>7537</v>
      </c>
      <c r="B4338" s="1">
        <v>45904</v>
      </c>
      <c r="C4338" s="1">
        <v>45951</v>
      </c>
      <c r="D4338" t="s">
        <v>3951</v>
      </c>
      <c r="E4338" t="s">
        <v>33</v>
      </c>
      <c r="F4338" t="s">
        <v>25</v>
      </c>
      <c r="G4338" t="s">
        <v>35</v>
      </c>
      <c r="H4338" t="s">
        <v>21</v>
      </c>
      <c r="I4338" t="s">
        <v>52</v>
      </c>
      <c r="J4338">
        <v>1</v>
      </c>
      <c r="K4338">
        <v>4896000</v>
      </c>
      <c r="L4338" s="2" t="s">
        <v>7538</v>
      </c>
      <c r="M4338" t="s">
        <v>23</v>
      </c>
      <c r="N4338">
        <v>4351000</v>
      </c>
      <c r="O4338">
        <v>4</v>
      </c>
      <c r="P4338" t="b">
        <v>1</v>
      </c>
    </row>
    <row r="4339" spans="1:16" x14ac:dyDescent="0.2">
      <c r="A4339" t="s">
        <v>7539</v>
      </c>
      <c r="B4339" s="1">
        <v>45904</v>
      </c>
      <c r="C4339" s="1">
        <v>45970</v>
      </c>
      <c r="D4339" t="s">
        <v>7540</v>
      </c>
      <c r="E4339" t="s">
        <v>18</v>
      </c>
      <c r="F4339" t="s">
        <v>39</v>
      </c>
      <c r="G4339" t="s">
        <v>50</v>
      </c>
      <c r="H4339" t="s">
        <v>40</v>
      </c>
      <c r="I4339" t="s">
        <v>22</v>
      </c>
      <c r="J4339">
        <v>1</v>
      </c>
      <c r="K4339">
        <v>2017000</v>
      </c>
      <c r="L4339">
        <v>5.8294011734991401E-2</v>
      </c>
      <c r="M4339" t="s">
        <v>23</v>
      </c>
      <c r="N4339">
        <v>1899000</v>
      </c>
      <c r="O4339">
        <v>3.9</v>
      </c>
      <c r="P4339" t="b">
        <v>0</v>
      </c>
    </row>
    <row r="4340" spans="1:16" x14ac:dyDescent="0.2">
      <c r="A4340" t="s">
        <v>7541</v>
      </c>
      <c r="B4340" s="1">
        <v>45904</v>
      </c>
      <c r="C4340" s="1">
        <v>45963</v>
      </c>
      <c r="D4340" t="s">
        <v>1040</v>
      </c>
      <c r="E4340" t="s">
        <v>45</v>
      </c>
      <c r="F4340" t="s">
        <v>19</v>
      </c>
      <c r="G4340" t="s">
        <v>20</v>
      </c>
      <c r="H4340" t="s">
        <v>21</v>
      </c>
      <c r="I4340" t="s">
        <v>83</v>
      </c>
      <c r="J4340">
        <v>3</v>
      </c>
      <c r="K4340">
        <v>2621000</v>
      </c>
      <c r="L4340">
        <v>7.9543763071919696E-2</v>
      </c>
      <c r="M4340" t="s">
        <v>23</v>
      </c>
      <c r="N4340">
        <v>7238000</v>
      </c>
      <c r="O4340">
        <v>3.7</v>
      </c>
      <c r="P4340" t="b">
        <v>1</v>
      </c>
    </row>
    <row r="4341" spans="1:16" x14ac:dyDescent="0.2">
      <c r="A4341" t="s">
        <v>7542</v>
      </c>
      <c r="B4341" s="1">
        <v>45905</v>
      </c>
      <c r="C4341" s="1">
        <v>45973</v>
      </c>
      <c r="D4341" t="s">
        <v>1042</v>
      </c>
      <c r="E4341" t="s">
        <v>45</v>
      </c>
      <c r="F4341" t="s">
        <v>45</v>
      </c>
      <c r="G4341" t="s">
        <v>20</v>
      </c>
      <c r="H4341" t="s">
        <v>47</v>
      </c>
      <c r="I4341" t="s">
        <v>77</v>
      </c>
      <c r="J4341">
        <v>4</v>
      </c>
      <c r="K4341">
        <v>3549000</v>
      </c>
      <c r="L4341">
        <v>6.5659205974817503E-2</v>
      </c>
      <c r="M4341" t="s">
        <v>23</v>
      </c>
      <c r="N4341">
        <v>13264000</v>
      </c>
      <c r="O4341">
        <v>3.8</v>
      </c>
      <c r="P4341" t="b">
        <v>1</v>
      </c>
    </row>
    <row r="4342" spans="1:16" x14ac:dyDescent="0.2">
      <c r="A4342" t="s">
        <v>7543</v>
      </c>
      <c r="B4342" s="1">
        <v>45905</v>
      </c>
      <c r="C4342" s="1">
        <v>45927</v>
      </c>
      <c r="D4342" t="s">
        <v>2434</v>
      </c>
      <c r="E4342" t="s">
        <v>18</v>
      </c>
      <c r="F4342" t="s">
        <v>39</v>
      </c>
      <c r="G4342" t="s">
        <v>20</v>
      </c>
      <c r="H4342" t="s">
        <v>21</v>
      </c>
      <c r="I4342" t="s">
        <v>94</v>
      </c>
      <c r="J4342">
        <v>3</v>
      </c>
      <c r="K4342">
        <v>2672000</v>
      </c>
      <c r="L4342" s="2" t="s">
        <v>7544</v>
      </c>
      <c r="M4342" t="s">
        <v>23</v>
      </c>
      <c r="N4342">
        <v>7049000</v>
      </c>
      <c r="O4342">
        <v>4.5</v>
      </c>
      <c r="P4342" t="b">
        <v>1</v>
      </c>
    </row>
    <row r="4343" spans="1:16" x14ac:dyDescent="0.2">
      <c r="A4343" t="s">
        <v>7545</v>
      </c>
      <c r="B4343" s="1">
        <v>45905</v>
      </c>
      <c r="C4343" s="1">
        <v>45998</v>
      </c>
      <c r="D4343" t="s">
        <v>6357</v>
      </c>
      <c r="E4343" t="s">
        <v>29</v>
      </c>
      <c r="F4343" t="s">
        <v>45</v>
      </c>
      <c r="G4343" t="s">
        <v>50</v>
      </c>
      <c r="H4343" t="s">
        <v>21</v>
      </c>
      <c r="I4343" t="s">
        <v>77</v>
      </c>
      <c r="J4343">
        <v>2</v>
      </c>
      <c r="K4343">
        <v>3781000</v>
      </c>
      <c r="L4343" s="2" t="s">
        <v>7546</v>
      </c>
      <c r="M4343" t="s">
        <v>23</v>
      </c>
      <c r="N4343">
        <v>6458000</v>
      </c>
      <c r="O4343">
        <v>4.5</v>
      </c>
      <c r="P4343" t="b">
        <v>1</v>
      </c>
    </row>
    <row r="4344" spans="1:16" x14ac:dyDescent="0.2">
      <c r="A4344" t="s">
        <v>7547</v>
      </c>
      <c r="B4344" s="1">
        <v>45905</v>
      </c>
      <c r="C4344" s="1">
        <v>45962</v>
      </c>
      <c r="D4344" t="s">
        <v>7548</v>
      </c>
      <c r="E4344" t="s">
        <v>45</v>
      </c>
      <c r="F4344" t="s">
        <v>19</v>
      </c>
      <c r="G4344" t="s">
        <v>35</v>
      </c>
      <c r="I4344" t="s">
        <v>26</v>
      </c>
      <c r="J4344">
        <v>3</v>
      </c>
      <c r="K4344">
        <v>2680000</v>
      </c>
      <c r="L4344">
        <v>8.9981981259565802E-2</v>
      </c>
      <c r="M4344" t="s">
        <v>23</v>
      </c>
      <c r="N4344">
        <v>7317000</v>
      </c>
      <c r="O4344">
        <v>3.9</v>
      </c>
      <c r="P4344" t="b">
        <v>0</v>
      </c>
    </row>
    <row r="4345" spans="1:16" x14ac:dyDescent="0.2">
      <c r="A4345" t="s">
        <v>7549</v>
      </c>
      <c r="B4345" s="1">
        <v>45905</v>
      </c>
      <c r="C4345" s="1">
        <v>45978</v>
      </c>
      <c r="D4345" t="s">
        <v>5183</v>
      </c>
      <c r="E4345" t="s">
        <v>45</v>
      </c>
      <c r="F4345" t="s">
        <v>39</v>
      </c>
      <c r="G4345" t="s">
        <v>50</v>
      </c>
      <c r="H4345" t="s">
        <v>47</v>
      </c>
      <c r="I4345" t="s">
        <v>57</v>
      </c>
      <c r="J4345">
        <v>2</v>
      </c>
      <c r="K4345">
        <v>2518000</v>
      </c>
      <c r="L4345">
        <v>6.4599928961715194E-2</v>
      </c>
      <c r="M4345" t="s">
        <v>23</v>
      </c>
      <c r="N4345">
        <v>4711000</v>
      </c>
      <c r="O4345">
        <v>4.8</v>
      </c>
      <c r="P4345" t="b">
        <v>1</v>
      </c>
    </row>
    <row r="4346" spans="1:16" x14ac:dyDescent="0.2">
      <c r="A4346" t="s">
        <v>7550</v>
      </c>
      <c r="B4346" s="1">
        <v>45906</v>
      </c>
      <c r="C4346" s="1">
        <v>45979</v>
      </c>
      <c r="D4346" t="s">
        <v>7551</v>
      </c>
      <c r="E4346" t="s">
        <v>18</v>
      </c>
      <c r="F4346" t="s">
        <v>19</v>
      </c>
      <c r="G4346" t="s">
        <v>35</v>
      </c>
      <c r="H4346" t="s">
        <v>21</v>
      </c>
      <c r="I4346" t="s">
        <v>94</v>
      </c>
      <c r="J4346">
        <v>1</v>
      </c>
      <c r="K4346">
        <v>2778000</v>
      </c>
      <c r="L4346" s="2" t="s">
        <v>7552</v>
      </c>
      <c r="M4346" t="s">
        <v>23</v>
      </c>
      <c r="N4346">
        <v>2344000</v>
      </c>
      <c r="O4346">
        <v>3.6</v>
      </c>
      <c r="P4346" t="b">
        <v>0</v>
      </c>
    </row>
    <row r="4347" spans="1:16" x14ac:dyDescent="0.2">
      <c r="A4347" t="s">
        <v>7553</v>
      </c>
      <c r="B4347" s="1">
        <v>45906</v>
      </c>
      <c r="C4347" s="1">
        <v>45967</v>
      </c>
      <c r="D4347" t="s">
        <v>7554</v>
      </c>
      <c r="E4347" t="s">
        <v>45</v>
      </c>
      <c r="F4347" t="s">
        <v>45</v>
      </c>
      <c r="G4347" t="s">
        <v>50</v>
      </c>
      <c r="H4347" t="s">
        <v>21</v>
      </c>
      <c r="I4347" t="s">
        <v>57</v>
      </c>
      <c r="J4347">
        <v>4</v>
      </c>
      <c r="K4347">
        <v>3663000</v>
      </c>
      <c r="L4347">
        <v>7.5602511151725199E-2</v>
      </c>
      <c r="M4347" t="s">
        <v>23</v>
      </c>
      <c r="N4347">
        <v>13544000</v>
      </c>
      <c r="O4347">
        <v>3.9</v>
      </c>
      <c r="P4347" t="b">
        <v>0</v>
      </c>
    </row>
    <row r="4348" spans="1:16" x14ac:dyDescent="0.2">
      <c r="A4348" t="s">
        <v>7555</v>
      </c>
      <c r="B4348" s="1">
        <v>45907</v>
      </c>
      <c r="C4348" s="1">
        <v>45954</v>
      </c>
      <c r="D4348" t="s">
        <v>4685</v>
      </c>
      <c r="E4348" t="s">
        <v>18</v>
      </c>
      <c r="F4348" t="s">
        <v>39</v>
      </c>
      <c r="G4348" t="s">
        <v>46</v>
      </c>
      <c r="H4348" t="s">
        <v>21</v>
      </c>
      <c r="I4348" t="s">
        <v>26</v>
      </c>
      <c r="J4348">
        <v>2</v>
      </c>
      <c r="K4348">
        <v>2179000</v>
      </c>
      <c r="L4348" s="2" t="s">
        <v>7556</v>
      </c>
      <c r="M4348" t="s">
        <v>23</v>
      </c>
      <c r="N4348">
        <v>3808000</v>
      </c>
      <c r="O4348">
        <v>4.5</v>
      </c>
      <c r="P4348" t="b">
        <v>1</v>
      </c>
    </row>
    <row r="4349" spans="1:16" x14ac:dyDescent="0.2">
      <c r="A4349" t="s">
        <v>7557</v>
      </c>
      <c r="B4349" s="1">
        <v>45907</v>
      </c>
      <c r="C4349" s="1">
        <v>45958</v>
      </c>
      <c r="D4349" t="s">
        <v>2350</v>
      </c>
      <c r="E4349" t="s">
        <v>45</v>
      </c>
      <c r="F4349" t="s">
        <v>39</v>
      </c>
      <c r="G4349" t="s">
        <v>46</v>
      </c>
      <c r="H4349" t="s">
        <v>40</v>
      </c>
      <c r="I4349" t="s">
        <v>52</v>
      </c>
      <c r="J4349">
        <v>3</v>
      </c>
      <c r="K4349">
        <v>2300000</v>
      </c>
      <c r="L4349">
        <v>6.6966286220317001E-2</v>
      </c>
      <c r="M4349" t="s">
        <v>23</v>
      </c>
      <c r="N4349">
        <v>6438000</v>
      </c>
      <c r="O4349">
        <v>4</v>
      </c>
      <c r="P4349" t="b">
        <v>1</v>
      </c>
    </row>
    <row r="4350" spans="1:16" x14ac:dyDescent="0.2">
      <c r="A4350" t="s">
        <v>7558</v>
      </c>
      <c r="B4350" s="1">
        <v>45909</v>
      </c>
      <c r="C4350" s="1">
        <v>45995</v>
      </c>
      <c r="D4350" t="s">
        <v>7559</v>
      </c>
      <c r="E4350" t="s">
        <v>45</v>
      </c>
      <c r="F4350" t="s">
        <v>34</v>
      </c>
      <c r="G4350" t="s">
        <v>20</v>
      </c>
      <c r="H4350" t="s">
        <v>21</v>
      </c>
      <c r="I4350" t="s">
        <v>77</v>
      </c>
      <c r="J4350">
        <v>1</v>
      </c>
      <c r="K4350">
        <v>4422000</v>
      </c>
      <c r="L4350">
        <v>8.4213985514812198E-2</v>
      </c>
      <c r="M4350" t="s">
        <v>23</v>
      </c>
      <c r="N4350">
        <v>4050000</v>
      </c>
      <c r="O4350">
        <v>4.2</v>
      </c>
      <c r="P4350" t="b">
        <v>0</v>
      </c>
    </row>
    <row r="4351" spans="1:16" x14ac:dyDescent="0.2">
      <c r="A4351" t="s">
        <v>7560</v>
      </c>
      <c r="B4351" s="1">
        <v>45910</v>
      </c>
      <c r="C4351" s="1">
        <v>45983</v>
      </c>
      <c r="D4351" t="s">
        <v>3729</v>
      </c>
      <c r="E4351" t="s">
        <v>18</v>
      </c>
      <c r="F4351" t="s">
        <v>34</v>
      </c>
      <c r="G4351" t="s">
        <v>20</v>
      </c>
      <c r="H4351" t="s">
        <v>21</v>
      </c>
      <c r="I4351" t="s">
        <v>77</v>
      </c>
      <c r="J4351">
        <v>1</v>
      </c>
      <c r="K4351">
        <v>3848000</v>
      </c>
      <c r="L4351" s="2" t="s">
        <v>7561</v>
      </c>
      <c r="M4351" t="s">
        <v>23</v>
      </c>
      <c r="N4351">
        <v>3306000</v>
      </c>
      <c r="O4351">
        <v>4.0999999999999996</v>
      </c>
      <c r="P4351" t="b">
        <v>1</v>
      </c>
    </row>
    <row r="4352" spans="1:16" x14ac:dyDescent="0.2">
      <c r="A4352" t="s">
        <v>7562</v>
      </c>
      <c r="B4352" s="1">
        <v>45911</v>
      </c>
      <c r="C4352" s="1">
        <v>45948</v>
      </c>
      <c r="D4352" t="s">
        <v>7563</v>
      </c>
      <c r="E4352" t="s">
        <v>33</v>
      </c>
      <c r="F4352" t="s">
        <v>45</v>
      </c>
      <c r="G4352" t="s">
        <v>20</v>
      </c>
      <c r="H4352" t="s">
        <v>40</v>
      </c>
      <c r="I4352" t="s">
        <v>26</v>
      </c>
      <c r="J4352">
        <v>1</v>
      </c>
      <c r="K4352">
        <v>3551000</v>
      </c>
      <c r="L4352" s="2" t="s">
        <v>7564</v>
      </c>
      <c r="M4352" t="s">
        <v>23</v>
      </c>
      <c r="N4352">
        <v>3075000</v>
      </c>
      <c r="O4352">
        <v>5</v>
      </c>
      <c r="P4352" t="b">
        <v>0</v>
      </c>
    </row>
    <row r="4353" spans="1:16" x14ac:dyDescent="0.2">
      <c r="A4353" t="s">
        <v>7565</v>
      </c>
      <c r="B4353" s="1">
        <v>45911</v>
      </c>
      <c r="C4353" s="1">
        <v>45973</v>
      </c>
      <c r="D4353" t="s">
        <v>7566</v>
      </c>
      <c r="E4353" t="s">
        <v>45</v>
      </c>
      <c r="F4353" t="s">
        <v>39</v>
      </c>
      <c r="G4353" t="s">
        <v>20</v>
      </c>
      <c r="H4353" t="s">
        <v>47</v>
      </c>
      <c r="I4353" t="s">
        <v>60</v>
      </c>
      <c r="J4353">
        <v>1</v>
      </c>
      <c r="K4353">
        <v>2522000</v>
      </c>
      <c r="L4353" s="2" t="s">
        <v>7567</v>
      </c>
      <c r="M4353" t="s">
        <v>23</v>
      </c>
      <c r="N4353">
        <v>2095000</v>
      </c>
      <c r="O4353">
        <v>4.3</v>
      </c>
      <c r="P4353" t="b">
        <v>0</v>
      </c>
    </row>
    <row r="4354" spans="1:16" x14ac:dyDescent="0.2">
      <c r="A4354" t="s">
        <v>7568</v>
      </c>
      <c r="B4354" s="1">
        <v>45912</v>
      </c>
      <c r="C4354" s="1">
        <v>45956</v>
      </c>
      <c r="D4354" t="s">
        <v>6226</v>
      </c>
      <c r="E4354" t="s">
        <v>29</v>
      </c>
      <c r="F4354" t="s">
        <v>19</v>
      </c>
      <c r="G4354" t="s">
        <v>50</v>
      </c>
      <c r="H4354" t="s">
        <v>21</v>
      </c>
      <c r="I4354" t="s">
        <v>94</v>
      </c>
      <c r="J4354">
        <v>4</v>
      </c>
      <c r="K4354">
        <v>2535000</v>
      </c>
      <c r="L4354" s="2" t="s">
        <v>7569</v>
      </c>
      <c r="M4354" t="s">
        <v>23</v>
      </c>
      <c r="N4354">
        <v>8968000</v>
      </c>
      <c r="O4354">
        <v>4.3</v>
      </c>
      <c r="P4354" t="b">
        <v>1</v>
      </c>
    </row>
    <row r="4355" spans="1:16" x14ac:dyDescent="0.2">
      <c r="A4355" t="s">
        <v>7570</v>
      </c>
      <c r="B4355" s="1">
        <v>45912</v>
      </c>
      <c r="C4355" s="1">
        <v>45932</v>
      </c>
      <c r="D4355" t="s">
        <v>1997</v>
      </c>
      <c r="E4355" t="s">
        <v>45</v>
      </c>
      <c r="F4355" t="s">
        <v>68</v>
      </c>
      <c r="G4355" t="s">
        <v>46</v>
      </c>
      <c r="H4355" t="s">
        <v>40</v>
      </c>
      <c r="I4355" t="s">
        <v>52</v>
      </c>
      <c r="J4355">
        <v>3</v>
      </c>
      <c r="K4355">
        <v>2109000</v>
      </c>
      <c r="L4355" s="2" t="s">
        <v>7571</v>
      </c>
      <c r="M4355" t="s">
        <v>23</v>
      </c>
      <c r="N4355">
        <v>5628000</v>
      </c>
      <c r="O4355">
        <v>4.3</v>
      </c>
      <c r="P4355" t="b">
        <v>1</v>
      </c>
    </row>
    <row r="4356" spans="1:16" x14ac:dyDescent="0.2">
      <c r="A4356" t="s">
        <v>7572</v>
      </c>
      <c r="B4356" s="1">
        <v>45913</v>
      </c>
      <c r="C4356" s="1">
        <v>45937</v>
      </c>
      <c r="D4356" t="s">
        <v>2501</v>
      </c>
      <c r="E4356" t="s">
        <v>45</v>
      </c>
      <c r="F4356" t="s">
        <v>19</v>
      </c>
      <c r="G4356" t="s">
        <v>20</v>
      </c>
      <c r="H4356" t="s">
        <v>21</v>
      </c>
      <c r="I4356" t="s">
        <v>26</v>
      </c>
      <c r="J4356">
        <v>2</v>
      </c>
      <c r="K4356">
        <v>2628000</v>
      </c>
      <c r="L4356">
        <v>8.0776499313864394E-2</v>
      </c>
      <c r="M4356" t="s">
        <v>23</v>
      </c>
      <c r="N4356">
        <v>4831000</v>
      </c>
      <c r="O4356">
        <v>4.7</v>
      </c>
      <c r="P4356" t="b">
        <v>1</v>
      </c>
    </row>
    <row r="4357" spans="1:16" x14ac:dyDescent="0.2">
      <c r="A4357" t="s">
        <v>7573</v>
      </c>
      <c r="B4357" s="1">
        <v>45913</v>
      </c>
      <c r="C4357" s="1">
        <v>45946</v>
      </c>
      <c r="D4357" t="s">
        <v>7574</v>
      </c>
      <c r="F4357" t="s">
        <v>45</v>
      </c>
      <c r="G4357" t="s">
        <v>20</v>
      </c>
      <c r="H4357" t="s">
        <v>21</v>
      </c>
      <c r="I4357" t="s">
        <v>26</v>
      </c>
      <c r="J4357">
        <v>3</v>
      </c>
      <c r="K4357">
        <v>3418000</v>
      </c>
      <c r="L4357" s="2" t="s">
        <v>7575</v>
      </c>
      <c r="M4357" t="s">
        <v>23</v>
      </c>
      <c r="N4357">
        <v>8688000</v>
      </c>
      <c r="O4357">
        <v>4.0999999999999996</v>
      </c>
      <c r="P4357" t="b">
        <v>0</v>
      </c>
    </row>
    <row r="4358" spans="1:16" x14ac:dyDescent="0.2">
      <c r="A4358" t="s">
        <v>7576</v>
      </c>
      <c r="B4358" s="1">
        <v>45914</v>
      </c>
      <c r="C4358" s="1">
        <v>45979</v>
      </c>
      <c r="D4358" t="s">
        <v>6560</v>
      </c>
      <c r="E4358" t="s">
        <v>18</v>
      </c>
      <c r="F4358" t="s">
        <v>19</v>
      </c>
      <c r="G4358" t="s">
        <v>20</v>
      </c>
      <c r="H4358" t="s">
        <v>47</v>
      </c>
      <c r="J4358">
        <v>3</v>
      </c>
      <c r="K4358">
        <v>2316000</v>
      </c>
      <c r="L4358" s="2" t="s">
        <v>7577</v>
      </c>
      <c r="M4358" t="s">
        <v>23</v>
      </c>
      <c r="N4358">
        <v>5896000</v>
      </c>
      <c r="O4358">
        <v>4.5999999999999996</v>
      </c>
      <c r="P4358" t="b">
        <v>1</v>
      </c>
    </row>
    <row r="4359" spans="1:16" x14ac:dyDescent="0.2">
      <c r="A4359" t="s">
        <v>7578</v>
      </c>
      <c r="B4359" s="1">
        <v>45914</v>
      </c>
      <c r="C4359" s="1">
        <v>45947</v>
      </c>
      <c r="D4359" t="s">
        <v>107</v>
      </c>
      <c r="E4359" t="s">
        <v>29</v>
      </c>
      <c r="F4359" t="s">
        <v>25</v>
      </c>
      <c r="G4359" t="s">
        <v>35</v>
      </c>
      <c r="H4359" t="s">
        <v>51</v>
      </c>
      <c r="I4359" t="s">
        <v>77</v>
      </c>
      <c r="J4359">
        <v>1</v>
      </c>
      <c r="K4359">
        <v>5519000</v>
      </c>
      <c r="L4359">
        <v>7.3049249624786095E-2</v>
      </c>
      <c r="M4359" t="s">
        <v>23</v>
      </c>
      <c r="N4359">
        <v>5116000</v>
      </c>
      <c r="O4359">
        <v>4.0999999999999996</v>
      </c>
      <c r="P4359" t="b">
        <v>1</v>
      </c>
    </row>
    <row r="4360" spans="1:16" x14ac:dyDescent="0.2">
      <c r="A4360" t="s">
        <v>7579</v>
      </c>
      <c r="B4360" s="1">
        <v>45915</v>
      </c>
      <c r="C4360" s="1">
        <v>46007</v>
      </c>
      <c r="D4360" t="s">
        <v>6438</v>
      </c>
      <c r="F4360" t="s">
        <v>19</v>
      </c>
      <c r="H4360" t="s">
        <v>21</v>
      </c>
      <c r="I4360" t="s">
        <v>60</v>
      </c>
      <c r="J4360">
        <v>2</v>
      </c>
      <c r="K4360">
        <v>2886000</v>
      </c>
      <c r="L4360">
        <v>6.5921296263329196E-2</v>
      </c>
      <c r="M4360" t="s">
        <v>23</v>
      </c>
      <c r="N4360">
        <v>5392000</v>
      </c>
      <c r="O4360">
        <v>3.4</v>
      </c>
      <c r="P4360" t="b">
        <v>1</v>
      </c>
    </row>
    <row r="4361" spans="1:16" x14ac:dyDescent="0.2">
      <c r="A4361" t="s">
        <v>7580</v>
      </c>
      <c r="B4361" s="1">
        <v>45916</v>
      </c>
      <c r="C4361" s="1">
        <v>45933</v>
      </c>
      <c r="D4361" t="s">
        <v>615</v>
      </c>
      <c r="E4361" t="s">
        <v>45</v>
      </c>
      <c r="F4361" t="s">
        <v>19</v>
      </c>
      <c r="G4361" t="s">
        <v>20</v>
      </c>
      <c r="H4361" t="s">
        <v>21</v>
      </c>
      <c r="J4361">
        <v>1</v>
      </c>
      <c r="K4361">
        <v>2592000</v>
      </c>
      <c r="L4361" s="2" t="s">
        <v>7581</v>
      </c>
      <c r="M4361" t="s">
        <v>65</v>
      </c>
      <c r="N4361">
        <v>0</v>
      </c>
      <c r="P4361" t="b">
        <v>1</v>
      </c>
    </row>
    <row r="4362" spans="1:16" x14ac:dyDescent="0.2">
      <c r="A4362" t="s">
        <v>7582</v>
      </c>
      <c r="B4362" s="1">
        <v>45916</v>
      </c>
      <c r="C4362" s="1">
        <v>45987</v>
      </c>
      <c r="D4362" t="s">
        <v>3821</v>
      </c>
      <c r="E4362" t="s">
        <v>45</v>
      </c>
      <c r="F4362" t="s">
        <v>34</v>
      </c>
      <c r="G4362" t="s">
        <v>35</v>
      </c>
      <c r="H4362" t="s">
        <v>47</v>
      </c>
      <c r="I4362" t="s">
        <v>26</v>
      </c>
      <c r="J4362">
        <v>1</v>
      </c>
      <c r="K4362">
        <v>3881000</v>
      </c>
      <c r="L4362">
        <v>9.7911861673896095E-2</v>
      </c>
      <c r="M4362" t="s">
        <v>23</v>
      </c>
      <c r="N4362">
        <v>3501000</v>
      </c>
      <c r="O4362">
        <v>4.5</v>
      </c>
      <c r="P4362" t="b">
        <v>1</v>
      </c>
    </row>
    <row r="4363" spans="1:16" x14ac:dyDescent="0.2">
      <c r="A4363" t="s">
        <v>7583</v>
      </c>
      <c r="B4363" s="1">
        <v>45916</v>
      </c>
      <c r="C4363" s="1">
        <v>45968</v>
      </c>
      <c r="D4363" t="s">
        <v>4514</v>
      </c>
      <c r="E4363" t="s">
        <v>45</v>
      </c>
      <c r="F4363" t="s">
        <v>19</v>
      </c>
      <c r="G4363" t="s">
        <v>35</v>
      </c>
      <c r="H4363" t="s">
        <v>47</v>
      </c>
      <c r="I4363" t="s">
        <v>30</v>
      </c>
      <c r="J4363">
        <v>1</v>
      </c>
      <c r="K4363">
        <v>2271000</v>
      </c>
      <c r="L4363" s="2" t="s">
        <v>7584</v>
      </c>
      <c r="M4363" t="s">
        <v>65</v>
      </c>
      <c r="N4363">
        <v>0</v>
      </c>
      <c r="P4363" t="b">
        <v>1</v>
      </c>
    </row>
    <row r="4364" spans="1:16" x14ac:dyDescent="0.2">
      <c r="A4364" t="s">
        <v>7585</v>
      </c>
      <c r="B4364" s="1">
        <v>45916</v>
      </c>
      <c r="C4364" s="1">
        <v>45970</v>
      </c>
      <c r="D4364" t="s">
        <v>750</v>
      </c>
      <c r="E4364" t="s">
        <v>45</v>
      </c>
      <c r="F4364" t="s">
        <v>45</v>
      </c>
      <c r="G4364" t="s">
        <v>20</v>
      </c>
      <c r="H4364" t="s">
        <v>47</v>
      </c>
      <c r="I4364" t="s">
        <v>77</v>
      </c>
      <c r="J4364">
        <v>3</v>
      </c>
      <c r="K4364">
        <v>3533000</v>
      </c>
      <c r="L4364" s="2" t="s">
        <v>7586</v>
      </c>
      <c r="M4364" t="s">
        <v>23</v>
      </c>
      <c r="N4364">
        <v>9297000</v>
      </c>
      <c r="O4364">
        <v>3.9</v>
      </c>
      <c r="P4364" t="b">
        <v>1</v>
      </c>
    </row>
    <row r="4365" spans="1:16" x14ac:dyDescent="0.2">
      <c r="A4365" t="s">
        <v>7587</v>
      </c>
      <c r="B4365" s="1">
        <v>45916</v>
      </c>
      <c r="C4365" s="1">
        <v>45975</v>
      </c>
      <c r="D4365" t="s">
        <v>1753</v>
      </c>
      <c r="E4365" t="s">
        <v>45</v>
      </c>
      <c r="F4365" t="s">
        <v>19</v>
      </c>
      <c r="G4365" t="s">
        <v>20</v>
      </c>
      <c r="H4365" t="s">
        <v>47</v>
      </c>
      <c r="I4365" t="s">
        <v>26</v>
      </c>
      <c r="J4365">
        <v>4</v>
      </c>
      <c r="K4365">
        <v>2556000</v>
      </c>
      <c r="L4365">
        <v>8.4059924929240706E-2</v>
      </c>
      <c r="M4365" t="s">
        <v>23</v>
      </c>
      <c r="N4365">
        <v>9365000</v>
      </c>
      <c r="O4365">
        <v>4.4000000000000004</v>
      </c>
      <c r="P4365" t="b">
        <v>1</v>
      </c>
    </row>
    <row r="4366" spans="1:16" x14ac:dyDescent="0.2">
      <c r="A4366" t="s">
        <v>7588</v>
      </c>
      <c r="B4366" s="1">
        <v>45917</v>
      </c>
      <c r="C4366" s="1">
        <v>45952</v>
      </c>
      <c r="D4366" t="s">
        <v>91</v>
      </c>
      <c r="E4366" t="s">
        <v>29</v>
      </c>
      <c r="F4366" t="s">
        <v>34</v>
      </c>
      <c r="G4366" t="s">
        <v>50</v>
      </c>
      <c r="H4366" t="s">
        <v>21</v>
      </c>
      <c r="I4366" t="s">
        <v>60</v>
      </c>
      <c r="J4366">
        <v>3</v>
      </c>
      <c r="K4366">
        <v>4215000</v>
      </c>
      <c r="L4366" s="2" t="s">
        <v>7589</v>
      </c>
      <c r="M4366" t="s">
        <v>23</v>
      </c>
      <c r="N4366">
        <v>10970000</v>
      </c>
      <c r="O4366">
        <v>4.0999999999999996</v>
      </c>
      <c r="P4366" t="b">
        <v>1</v>
      </c>
    </row>
    <row r="4367" spans="1:16" x14ac:dyDescent="0.2">
      <c r="A4367" t="s">
        <v>7590</v>
      </c>
      <c r="B4367" s="1">
        <v>45919</v>
      </c>
      <c r="C4367" s="1">
        <v>45996</v>
      </c>
      <c r="D4367" t="s">
        <v>634</v>
      </c>
      <c r="E4367" t="s">
        <v>33</v>
      </c>
      <c r="F4367" t="s">
        <v>45</v>
      </c>
      <c r="G4367" t="s">
        <v>20</v>
      </c>
      <c r="H4367" t="s">
        <v>40</v>
      </c>
      <c r="I4367" t="s">
        <v>94</v>
      </c>
      <c r="J4367">
        <v>2</v>
      </c>
      <c r="K4367">
        <v>3488000</v>
      </c>
      <c r="L4367" s="3">
        <v>0.13700000000000001</v>
      </c>
      <c r="M4367" t="s">
        <v>23</v>
      </c>
      <c r="N4367">
        <v>6022000</v>
      </c>
      <c r="O4367">
        <v>4</v>
      </c>
      <c r="P4367" t="b">
        <v>1</v>
      </c>
    </row>
    <row r="4368" spans="1:16" x14ac:dyDescent="0.2">
      <c r="A4368" t="s">
        <v>7591</v>
      </c>
      <c r="B4368" s="1">
        <v>45919</v>
      </c>
      <c r="C4368" s="1">
        <v>45953</v>
      </c>
      <c r="D4368" t="s">
        <v>5205</v>
      </c>
      <c r="E4368" t="s">
        <v>45</v>
      </c>
      <c r="F4368" t="s">
        <v>19</v>
      </c>
      <c r="G4368" t="s">
        <v>35</v>
      </c>
      <c r="H4368" t="s">
        <v>40</v>
      </c>
      <c r="I4368" t="s">
        <v>30</v>
      </c>
      <c r="J4368">
        <v>5</v>
      </c>
      <c r="K4368">
        <v>2152000</v>
      </c>
      <c r="L4368" s="2" t="s">
        <v>7592</v>
      </c>
      <c r="M4368" t="s">
        <v>23</v>
      </c>
      <c r="N4368">
        <v>9435000</v>
      </c>
      <c r="O4368">
        <v>4.2</v>
      </c>
      <c r="P4368" t="b">
        <v>1</v>
      </c>
    </row>
    <row r="4369" spans="1:16" x14ac:dyDescent="0.2">
      <c r="A4369" t="s">
        <v>7593</v>
      </c>
      <c r="B4369" s="1">
        <v>45919</v>
      </c>
      <c r="C4369" s="1">
        <v>45952</v>
      </c>
      <c r="D4369" t="s">
        <v>7594</v>
      </c>
      <c r="E4369" t="s">
        <v>45</v>
      </c>
      <c r="F4369" t="s">
        <v>39</v>
      </c>
      <c r="G4369" t="s">
        <v>46</v>
      </c>
      <c r="H4369" t="s">
        <v>40</v>
      </c>
      <c r="I4369" t="s">
        <v>83</v>
      </c>
      <c r="J4369">
        <v>1</v>
      </c>
      <c r="K4369">
        <v>1439000</v>
      </c>
      <c r="L4369" s="2" t="s">
        <v>7595</v>
      </c>
      <c r="M4369" t="s">
        <v>23</v>
      </c>
      <c r="N4369">
        <v>1353000</v>
      </c>
      <c r="O4369">
        <v>4.8</v>
      </c>
      <c r="P4369" t="b">
        <v>0</v>
      </c>
    </row>
    <row r="4370" spans="1:16" x14ac:dyDescent="0.2">
      <c r="A4370" t="s">
        <v>7596</v>
      </c>
      <c r="B4370" s="1">
        <v>45919</v>
      </c>
      <c r="C4370" s="1">
        <v>45981</v>
      </c>
      <c r="D4370" t="s">
        <v>582</v>
      </c>
      <c r="E4370" t="s">
        <v>18</v>
      </c>
      <c r="F4370" t="s">
        <v>34</v>
      </c>
      <c r="G4370" t="s">
        <v>35</v>
      </c>
      <c r="H4370" t="s">
        <v>21</v>
      </c>
      <c r="I4370" t="s">
        <v>26</v>
      </c>
      <c r="J4370">
        <v>1</v>
      </c>
      <c r="K4370">
        <v>3979000</v>
      </c>
      <c r="L4370" s="2" t="s">
        <v>7597</v>
      </c>
      <c r="M4370" t="s">
        <v>23</v>
      </c>
      <c r="N4370">
        <v>3329000</v>
      </c>
      <c r="O4370">
        <v>4.3</v>
      </c>
      <c r="P4370" t="b">
        <v>1</v>
      </c>
    </row>
    <row r="4371" spans="1:16" x14ac:dyDescent="0.2">
      <c r="A4371" t="s">
        <v>7598</v>
      </c>
      <c r="B4371" s="1">
        <v>45919</v>
      </c>
      <c r="C4371" s="1">
        <v>45986</v>
      </c>
      <c r="D4371" t="s">
        <v>4617</v>
      </c>
      <c r="E4371" t="s">
        <v>18</v>
      </c>
      <c r="F4371" t="s">
        <v>34</v>
      </c>
      <c r="G4371" t="s">
        <v>50</v>
      </c>
      <c r="H4371" t="s">
        <v>21</v>
      </c>
      <c r="I4371" t="s">
        <v>52</v>
      </c>
      <c r="J4371">
        <v>1</v>
      </c>
      <c r="K4371">
        <v>3247000</v>
      </c>
      <c r="L4371">
        <v>9.9738047825669696E-2</v>
      </c>
      <c r="M4371" t="s">
        <v>23</v>
      </c>
      <c r="N4371">
        <v>2923000</v>
      </c>
      <c r="O4371">
        <v>4.7</v>
      </c>
      <c r="P4371" t="b">
        <v>1</v>
      </c>
    </row>
    <row r="4372" spans="1:16" x14ac:dyDescent="0.2">
      <c r="A4372" t="s">
        <v>7599</v>
      </c>
      <c r="B4372" s="1">
        <v>45920</v>
      </c>
      <c r="C4372" s="1">
        <v>45977</v>
      </c>
      <c r="D4372" t="s">
        <v>7093</v>
      </c>
      <c r="E4372" t="s">
        <v>18</v>
      </c>
      <c r="F4372" t="s">
        <v>45</v>
      </c>
      <c r="G4372" t="s">
        <v>50</v>
      </c>
      <c r="H4372" t="s">
        <v>40</v>
      </c>
      <c r="I4372" t="s">
        <v>94</v>
      </c>
      <c r="J4372">
        <v>1</v>
      </c>
      <c r="K4372">
        <v>3208000</v>
      </c>
      <c r="L4372">
        <v>7.4077667661227004E-2</v>
      </c>
      <c r="M4372" t="s">
        <v>23</v>
      </c>
      <c r="N4372">
        <v>2970000</v>
      </c>
      <c r="O4372">
        <v>5</v>
      </c>
      <c r="P4372" t="b">
        <v>1</v>
      </c>
    </row>
    <row r="4373" spans="1:16" x14ac:dyDescent="0.2">
      <c r="A4373" t="s">
        <v>7600</v>
      </c>
      <c r="B4373" s="1">
        <v>45920</v>
      </c>
      <c r="C4373" s="1">
        <v>46021</v>
      </c>
      <c r="D4373" t="s">
        <v>4791</v>
      </c>
      <c r="E4373" t="s">
        <v>45</v>
      </c>
      <c r="F4373" t="s">
        <v>25</v>
      </c>
      <c r="G4373" t="s">
        <v>50</v>
      </c>
      <c r="H4373" t="s">
        <v>47</v>
      </c>
      <c r="I4373" t="s">
        <v>26</v>
      </c>
      <c r="J4373">
        <v>5</v>
      </c>
      <c r="K4373">
        <v>5434000</v>
      </c>
      <c r="L4373">
        <v>6.8054962887004494E-2</v>
      </c>
      <c r="M4373" t="s">
        <v>23</v>
      </c>
      <c r="N4373">
        <v>25321000</v>
      </c>
      <c r="O4373">
        <v>4.4000000000000004</v>
      </c>
      <c r="P4373" t="b">
        <v>1</v>
      </c>
    </row>
    <row r="4374" spans="1:16" x14ac:dyDescent="0.2">
      <c r="A4374" t="s">
        <v>7601</v>
      </c>
      <c r="B4374" s="1">
        <v>45920</v>
      </c>
      <c r="C4374" s="1">
        <v>45987</v>
      </c>
      <c r="D4374" t="s">
        <v>7438</v>
      </c>
      <c r="E4374" t="s">
        <v>18</v>
      </c>
      <c r="F4374" t="s">
        <v>45</v>
      </c>
      <c r="G4374" t="s">
        <v>35</v>
      </c>
      <c r="H4374" t="s">
        <v>21</v>
      </c>
      <c r="I4374" t="s">
        <v>30</v>
      </c>
      <c r="J4374">
        <v>3</v>
      </c>
      <c r="K4374">
        <v>3337000</v>
      </c>
      <c r="L4374" s="2" t="s">
        <v>7602</v>
      </c>
      <c r="M4374" t="s">
        <v>23</v>
      </c>
      <c r="N4374">
        <v>8787000</v>
      </c>
      <c r="O4374">
        <v>4</v>
      </c>
      <c r="P4374" t="b">
        <v>1</v>
      </c>
    </row>
    <row r="4375" spans="1:16" x14ac:dyDescent="0.2">
      <c r="A4375" t="s">
        <v>7603</v>
      </c>
      <c r="B4375" s="1">
        <v>45922</v>
      </c>
      <c r="C4375" s="1">
        <v>45968</v>
      </c>
      <c r="D4375" t="s">
        <v>6897</v>
      </c>
      <c r="E4375" t="s">
        <v>45</v>
      </c>
      <c r="F4375" t="s">
        <v>68</v>
      </c>
      <c r="G4375" t="s">
        <v>35</v>
      </c>
      <c r="H4375" t="s">
        <v>21</v>
      </c>
      <c r="I4375" t="s">
        <v>83</v>
      </c>
      <c r="J4375">
        <v>1</v>
      </c>
      <c r="K4375">
        <v>1912000</v>
      </c>
      <c r="L4375">
        <v>8.3239187040952595E-2</v>
      </c>
      <c r="M4375" t="s">
        <v>23</v>
      </c>
      <c r="N4375">
        <v>1753000</v>
      </c>
      <c r="O4375">
        <v>4.3</v>
      </c>
      <c r="P4375" t="b">
        <v>1</v>
      </c>
    </row>
    <row r="4376" spans="1:16" x14ac:dyDescent="0.2">
      <c r="A4376" t="s">
        <v>7604</v>
      </c>
      <c r="B4376" s="1">
        <v>45923</v>
      </c>
      <c r="C4376" s="1">
        <v>45960</v>
      </c>
      <c r="D4376" t="s">
        <v>3149</v>
      </c>
      <c r="E4376" t="s">
        <v>18</v>
      </c>
      <c r="F4376" t="s">
        <v>45</v>
      </c>
      <c r="G4376" t="s">
        <v>20</v>
      </c>
      <c r="H4376" t="s">
        <v>21</v>
      </c>
      <c r="I4376" t="s">
        <v>83</v>
      </c>
      <c r="J4376">
        <v>2</v>
      </c>
      <c r="K4376">
        <v>2405000</v>
      </c>
      <c r="L4376" s="2" t="s">
        <v>7605</v>
      </c>
      <c r="M4376" t="s">
        <v>23</v>
      </c>
      <c r="N4376">
        <v>4108000</v>
      </c>
      <c r="O4376">
        <v>4.5999999999999996</v>
      </c>
      <c r="P4376" t="b">
        <v>1</v>
      </c>
    </row>
    <row r="4377" spans="1:16" x14ac:dyDescent="0.2">
      <c r="A4377" t="s">
        <v>7606</v>
      </c>
      <c r="B4377" s="1">
        <v>45923</v>
      </c>
      <c r="C4377" s="1">
        <v>45967</v>
      </c>
      <c r="D4377" t="s">
        <v>265</v>
      </c>
      <c r="E4377" t="s">
        <v>18</v>
      </c>
      <c r="F4377" t="s">
        <v>19</v>
      </c>
      <c r="G4377" t="s">
        <v>50</v>
      </c>
      <c r="H4377" t="s">
        <v>47</v>
      </c>
      <c r="I4377" t="s">
        <v>26</v>
      </c>
      <c r="J4377">
        <v>2</v>
      </c>
      <c r="K4377">
        <v>2431000</v>
      </c>
      <c r="L4377">
        <v>6.7685870359548206E-2</v>
      </c>
      <c r="M4377" t="s">
        <v>23</v>
      </c>
      <c r="N4377">
        <v>4533000</v>
      </c>
      <c r="O4377">
        <v>3.9</v>
      </c>
      <c r="P4377" t="b">
        <v>1</v>
      </c>
    </row>
    <row r="4378" spans="1:16" x14ac:dyDescent="0.2">
      <c r="A4378" t="s">
        <v>7607</v>
      </c>
      <c r="B4378" s="1">
        <v>45924</v>
      </c>
      <c r="C4378" s="1">
        <v>45992</v>
      </c>
      <c r="D4378" t="s">
        <v>7608</v>
      </c>
      <c r="E4378" t="s">
        <v>18</v>
      </c>
      <c r="F4378" t="s">
        <v>68</v>
      </c>
      <c r="G4378" t="s">
        <v>50</v>
      </c>
      <c r="H4378" t="s">
        <v>21</v>
      </c>
      <c r="I4378" t="s">
        <v>26</v>
      </c>
      <c r="J4378">
        <v>1</v>
      </c>
      <c r="K4378">
        <v>3117000</v>
      </c>
      <c r="L4378">
        <v>2.42126160063303E-2</v>
      </c>
      <c r="M4378" t="s">
        <v>23</v>
      </c>
      <c r="N4378">
        <v>3042000</v>
      </c>
      <c r="O4378">
        <v>4.5</v>
      </c>
      <c r="P4378" t="b">
        <v>0</v>
      </c>
    </row>
    <row r="4379" spans="1:16" x14ac:dyDescent="0.2">
      <c r="A4379" t="s">
        <v>7609</v>
      </c>
      <c r="B4379" s="1">
        <v>45924</v>
      </c>
      <c r="C4379" s="1">
        <v>45957</v>
      </c>
      <c r="D4379" t="s">
        <v>2000</v>
      </c>
      <c r="E4379" t="s">
        <v>18</v>
      </c>
      <c r="F4379" t="s">
        <v>19</v>
      </c>
      <c r="G4379" t="s">
        <v>35</v>
      </c>
      <c r="H4379" t="s">
        <v>40</v>
      </c>
      <c r="I4379" t="s">
        <v>77</v>
      </c>
      <c r="J4379">
        <v>2</v>
      </c>
      <c r="K4379">
        <v>2845000</v>
      </c>
      <c r="L4379">
        <v>1.66437767392612E-2</v>
      </c>
      <c r="M4379" t="s">
        <v>23</v>
      </c>
      <c r="N4379">
        <v>5595000</v>
      </c>
      <c r="O4379">
        <v>3.8</v>
      </c>
      <c r="P4379" t="b">
        <v>1</v>
      </c>
    </row>
    <row r="4380" spans="1:16" x14ac:dyDescent="0.2">
      <c r="A4380" t="s">
        <v>7610</v>
      </c>
      <c r="B4380" s="1">
        <v>45924</v>
      </c>
      <c r="C4380" s="1">
        <v>45978</v>
      </c>
      <c r="D4380" t="s">
        <v>3983</v>
      </c>
      <c r="E4380" t="s">
        <v>18</v>
      </c>
      <c r="F4380" t="s">
        <v>34</v>
      </c>
      <c r="G4380" t="s">
        <v>46</v>
      </c>
      <c r="H4380" t="s">
        <v>21</v>
      </c>
      <c r="I4380" t="s">
        <v>30</v>
      </c>
      <c r="J4380">
        <v>2</v>
      </c>
      <c r="K4380">
        <v>3634000</v>
      </c>
      <c r="L4380" s="2" t="s">
        <v>7611</v>
      </c>
      <c r="M4380" t="s">
        <v>23</v>
      </c>
      <c r="N4380">
        <v>6338000</v>
      </c>
      <c r="O4380">
        <v>3.9</v>
      </c>
      <c r="P4380" t="b">
        <v>1</v>
      </c>
    </row>
    <row r="4381" spans="1:16" x14ac:dyDescent="0.2">
      <c r="A4381" t="s">
        <v>7612</v>
      </c>
      <c r="B4381" s="1">
        <v>45925</v>
      </c>
      <c r="C4381" s="1">
        <v>45941</v>
      </c>
      <c r="D4381" t="s">
        <v>7613</v>
      </c>
      <c r="E4381" t="s">
        <v>45</v>
      </c>
      <c r="F4381" t="s">
        <v>45</v>
      </c>
      <c r="G4381" t="s">
        <v>35</v>
      </c>
      <c r="H4381" t="s">
        <v>21</v>
      </c>
      <c r="I4381" t="s">
        <v>77</v>
      </c>
      <c r="J4381">
        <v>1</v>
      </c>
      <c r="K4381">
        <v>3645000</v>
      </c>
      <c r="L4381">
        <v>9.6598698054755003E-2</v>
      </c>
      <c r="M4381" t="s">
        <v>1882</v>
      </c>
      <c r="N4381">
        <v>3293000</v>
      </c>
      <c r="O4381">
        <v>4.5</v>
      </c>
      <c r="P4381" t="b">
        <v>0</v>
      </c>
    </row>
    <row r="4382" spans="1:16" x14ac:dyDescent="0.2">
      <c r="A4382" t="s">
        <v>7614</v>
      </c>
      <c r="B4382" s="1">
        <v>45925</v>
      </c>
      <c r="C4382" s="1">
        <v>45957</v>
      </c>
      <c r="D4382" t="s">
        <v>7615</v>
      </c>
      <c r="E4382" t="s">
        <v>29</v>
      </c>
      <c r="F4382" t="s">
        <v>39</v>
      </c>
      <c r="G4382" t="s">
        <v>20</v>
      </c>
      <c r="H4382" t="s">
        <v>51</v>
      </c>
      <c r="I4382" t="s">
        <v>77</v>
      </c>
      <c r="J4382">
        <v>2</v>
      </c>
      <c r="K4382">
        <v>2448000</v>
      </c>
      <c r="L4382" s="2" t="s">
        <v>7616</v>
      </c>
      <c r="M4382" t="s">
        <v>23</v>
      </c>
      <c r="N4382">
        <v>4370000</v>
      </c>
      <c r="O4382">
        <v>4.5999999999999996</v>
      </c>
      <c r="P4382" t="b">
        <v>0</v>
      </c>
    </row>
    <row r="4383" spans="1:16" x14ac:dyDescent="0.2">
      <c r="A4383" t="s">
        <v>7617</v>
      </c>
      <c r="B4383" s="1">
        <v>45925</v>
      </c>
      <c r="C4383" s="1">
        <v>45977</v>
      </c>
      <c r="D4383" t="s">
        <v>67</v>
      </c>
      <c r="E4383" t="s">
        <v>33</v>
      </c>
      <c r="F4383" t="s">
        <v>19</v>
      </c>
      <c r="G4383" t="s">
        <v>50</v>
      </c>
      <c r="H4383" t="s">
        <v>47</v>
      </c>
      <c r="I4383" t="s">
        <v>77</v>
      </c>
      <c r="J4383">
        <v>3</v>
      </c>
      <c r="K4383">
        <v>2664000</v>
      </c>
      <c r="L4383" s="2" t="s">
        <v>7618</v>
      </c>
      <c r="M4383" t="s">
        <v>23</v>
      </c>
      <c r="N4383">
        <v>7044000</v>
      </c>
      <c r="O4383">
        <v>4</v>
      </c>
      <c r="P4383" t="b">
        <v>1</v>
      </c>
    </row>
    <row r="4384" spans="1:16" x14ac:dyDescent="0.2">
      <c r="A4384" t="s">
        <v>7619</v>
      </c>
      <c r="B4384" s="1">
        <v>45925</v>
      </c>
      <c r="C4384" s="1">
        <v>45951</v>
      </c>
      <c r="D4384" t="s">
        <v>2933</v>
      </c>
      <c r="E4384" t="s">
        <v>18</v>
      </c>
      <c r="F4384" t="s">
        <v>45</v>
      </c>
      <c r="G4384" t="s">
        <v>20</v>
      </c>
      <c r="H4384" t="s">
        <v>40</v>
      </c>
      <c r="I4384" t="s">
        <v>30</v>
      </c>
      <c r="J4384">
        <v>3</v>
      </c>
      <c r="K4384">
        <v>3181000</v>
      </c>
      <c r="L4384" s="2" t="s">
        <v>7620</v>
      </c>
      <c r="M4384" t="s">
        <v>23</v>
      </c>
      <c r="N4384">
        <v>8041000</v>
      </c>
      <c r="O4384">
        <v>4.2</v>
      </c>
      <c r="P4384" t="b">
        <v>1</v>
      </c>
    </row>
    <row r="4385" spans="1:16" x14ac:dyDescent="0.2">
      <c r="A4385" t="s">
        <v>7621</v>
      </c>
      <c r="B4385" s="1">
        <v>45926</v>
      </c>
      <c r="C4385" s="1">
        <v>45973</v>
      </c>
      <c r="D4385" t="s">
        <v>7622</v>
      </c>
      <c r="E4385" t="s">
        <v>45</v>
      </c>
      <c r="F4385" t="s">
        <v>39</v>
      </c>
      <c r="G4385" t="s">
        <v>20</v>
      </c>
      <c r="H4385" t="s">
        <v>40</v>
      </c>
      <c r="I4385" t="s">
        <v>83</v>
      </c>
      <c r="J4385">
        <v>3</v>
      </c>
      <c r="K4385">
        <v>1308000</v>
      </c>
      <c r="L4385">
        <v>9.2203840587457703E-2</v>
      </c>
      <c r="M4385" t="s">
        <v>23</v>
      </c>
      <c r="N4385">
        <v>3562000</v>
      </c>
      <c r="O4385">
        <v>4.5999999999999996</v>
      </c>
      <c r="P4385" t="b">
        <v>0</v>
      </c>
    </row>
    <row r="4386" spans="1:16" x14ac:dyDescent="0.2">
      <c r="A4386" t="s">
        <v>7623</v>
      </c>
      <c r="B4386" s="1">
        <v>45928</v>
      </c>
      <c r="C4386" s="1">
        <v>45975</v>
      </c>
      <c r="D4386" t="s">
        <v>3916</v>
      </c>
      <c r="E4386" t="s">
        <v>18</v>
      </c>
      <c r="F4386" t="s">
        <v>25</v>
      </c>
      <c r="G4386" t="s">
        <v>20</v>
      </c>
      <c r="H4386" t="s">
        <v>40</v>
      </c>
      <c r="I4386" t="s">
        <v>57</v>
      </c>
      <c r="J4386">
        <v>3</v>
      </c>
      <c r="K4386">
        <v>5022000</v>
      </c>
      <c r="L4386" s="2" t="s">
        <v>7624</v>
      </c>
      <c r="M4386" t="s">
        <v>23</v>
      </c>
      <c r="N4386">
        <v>13422000</v>
      </c>
      <c r="O4386">
        <v>3.9</v>
      </c>
      <c r="P4386" t="b">
        <v>1</v>
      </c>
    </row>
    <row r="4387" spans="1:16" x14ac:dyDescent="0.2">
      <c r="A4387" t="s">
        <v>7625</v>
      </c>
      <c r="B4387" s="1">
        <v>45928</v>
      </c>
      <c r="C4387" s="1">
        <v>45969</v>
      </c>
      <c r="D4387" t="s">
        <v>7594</v>
      </c>
      <c r="E4387" t="s">
        <v>45</v>
      </c>
      <c r="F4387" t="s">
        <v>45</v>
      </c>
      <c r="G4387" t="s">
        <v>35</v>
      </c>
      <c r="H4387" t="s">
        <v>40</v>
      </c>
      <c r="I4387" t="s">
        <v>30</v>
      </c>
      <c r="J4387">
        <v>4</v>
      </c>
      <c r="K4387">
        <v>3454000</v>
      </c>
      <c r="L4387" s="2" t="s">
        <v>7626</v>
      </c>
      <c r="M4387" t="s">
        <v>23</v>
      </c>
      <c r="N4387">
        <v>11489000</v>
      </c>
      <c r="O4387">
        <v>4.2</v>
      </c>
      <c r="P4387" t="b">
        <v>1</v>
      </c>
    </row>
    <row r="4388" spans="1:16" x14ac:dyDescent="0.2">
      <c r="A4388" t="s">
        <v>5950</v>
      </c>
      <c r="B4388" s="1">
        <v>45540</v>
      </c>
      <c r="C4388" s="1">
        <v>45628</v>
      </c>
      <c r="D4388" t="s">
        <v>2993</v>
      </c>
      <c r="E4388" t="s">
        <v>18</v>
      </c>
      <c r="F4388" t="s">
        <v>19</v>
      </c>
      <c r="G4388" t="s">
        <v>20</v>
      </c>
      <c r="H4388" t="s">
        <v>21</v>
      </c>
      <c r="I4388" t="s">
        <v>94</v>
      </c>
      <c r="J4388">
        <v>1</v>
      </c>
      <c r="K4388">
        <v>2934000</v>
      </c>
      <c r="L4388" s="2" t="s">
        <v>5951</v>
      </c>
      <c r="M4388" t="s">
        <v>23</v>
      </c>
      <c r="N4388">
        <v>2343000</v>
      </c>
      <c r="O4388">
        <v>3.4</v>
      </c>
      <c r="P4388" t="b">
        <v>1</v>
      </c>
    </row>
    <row r="4389" spans="1:16" x14ac:dyDescent="0.2">
      <c r="A4389" t="s">
        <v>2475</v>
      </c>
      <c r="B4389" s="1">
        <v>44757</v>
      </c>
      <c r="C4389" s="1">
        <v>44788</v>
      </c>
      <c r="D4389" t="s">
        <v>153</v>
      </c>
      <c r="E4389" t="s">
        <v>29</v>
      </c>
      <c r="F4389" t="s">
        <v>34</v>
      </c>
      <c r="G4389" t="s">
        <v>20</v>
      </c>
      <c r="H4389" t="s">
        <v>21</v>
      </c>
      <c r="I4389" t="s">
        <v>94</v>
      </c>
      <c r="J4389">
        <v>2</v>
      </c>
      <c r="K4389">
        <v>4951000</v>
      </c>
      <c r="L4389">
        <v>7.07941302306761E-2</v>
      </c>
      <c r="M4389" t="s">
        <v>23</v>
      </c>
      <c r="N4389">
        <v>9201000</v>
      </c>
      <c r="O4389">
        <v>3.8</v>
      </c>
      <c r="P4389" t="b">
        <v>1</v>
      </c>
    </row>
    <row r="4390" spans="1:16" x14ac:dyDescent="0.2">
      <c r="A4390" t="s">
        <v>7096</v>
      </c>
      <c r="B4390" s="1">
        <v>45815</v>
      </c>
      <c r="C4390" s="1">
        <v>45852</v>
      </c>
      <c r="D4390" t="s">
        <v>6343</v>
      </c>
      <c r="E4390" t="s">
        <v>18</v>
      </c>
      <c r="F4390" t="s">
        <v>19</v>
      </c>
      <c r="G4390" t="s">
        <v>35</v>
      </c>
      <c r="H4390" t="s">
        <v>21</v>
      </c>
      <c r="I4390" t="s">
        <v>52</v>
      </c>
      <c r="J4390">
        <v>2</v>
      </c>
      <c r="K4390">
        <v>2677000</v>
      </c>
      <c r="L4390" s="2" t="s">
        <v>7097</v>
      </c>
      <c r="M4390" t="s">
        <v>23</v>
      </c>
      <c r="N4390">
        <v>4670000</v>
      </c>
      <c r="O4390">
        <v>4.5999999999999996</v>
      </c>
      <c r="P4390" t="b">
        <v>1</v>
      </c>
    </row>
    <row r="4391" spans="1:16" x14ac:dyDescent="0.2">
      <c r="A4391" t="s">
        <v>4786</v>
      </c>
      <c r="B4391" s="1">
        <v>45283</v>
      </c>
      <c r="C4391" s="1">
        <v>45310</v>
      </c>
      <c r="D4391" t="s">
        <v>1722</v>
      </c>
      <c r="E4391" t="s">
        <v>45</v>
      </c>
      <c r="F4391" t="s">
        <v>45</v>
      </c>
      <c r="G4391" t="s">
        <v>20</v>
      </c>
      <c r="H4391" t="s">
        <v>21</v>
      </c>
      <c r="J4391">
        <v>1</v>
      </c>
      <c r="K4391">
        <v>3265000</v>
      </c>
      <c r="L4391" s="2" t="s">
        <v>4787</v>
      </c>
      <c r="M4391" t="s">
        <v>23</v>
      </c>
      <c r="N4391">
        <v>2645000</v>
      </c>
      <c r="O4391">
        <v>3.6</v>
      </c>
      <c r="P4391" t="b">
        <v>1</v>
      </c>
    </row>
    <row r="4392" spans="1:16" x14ac:dyDescent="0.2">
      <c r="A4392" t="s">
        <v>3525</v>
      </c>
      <c r="B4392" s="1">
        <v>45002</v>
      </c>
      <c r="C4392" s="1">
        <v>45043</v>
      </c>
      <c r="D4392" t="s">
        <v>1167</v>
      </c>
      <c r="E4392" t="s">
        <v>29</v>
      </c>
      <c r="F4392" t="s">
        <v>34</v>
      </c>
      <c r="G4392" t="s">
        <v>35</v>
      </c>
      <c r="H4392" t="s">
        <v>21</v>
      </c>
      <c r="I4392" t="s">
        <v>26</v>
      </c>
      <c r="J4392">
        <v>1</v>
      </c>
      <c r="K4392">
        <v>3800000</v>
      </c>
      <c r="L4392" s="2" t="s">
        <v>3526</v>
      </c>
      <c r="M4392" t="s">
        <v>65</v>
      </c>
      <c r="N4392">
        <v>0</v>
      </c>
      <c r="P4392" t="b">
        <v>1</v>
      </c>
    </row>
    <row r="4393" spans="1:16" x14ac:dyDescent="0.2">
      <c r="A4393" t="s">
        <v>6491</v>
      </c>
      <c r="B4393" s="1">
        <v>45668</v>
      </c>
      <c r="C4393" s="1">
        <v>45735</v>
      </c>
      <c r="D4393" t="s">
        <v>6492</v>
      </c>
      <c r="E4393" t="s">
        <v>45</v>
      </c>
      <c r="F4393" t="s">
        <v>19</v>
      </c>
      <c r="G4393" t="s">
        <v>20</v>
      </c>
      <c r="H4393" t="s">
        <v>47</v>
      </c>
      <c r="I4393" t="s">
        <v>22</v>
      </c>
      <c r="J4393">
        <v>2</v>
      </c>
      <c r="K4393">
        <v>2396000</v>
      </c>
      <c r="L4393">
        <v>0.115459907767094</v>
      </c>
      <c r="M4393" t="s">
        <v>23</v>
      </c>
      <c r="N4393">
        <v>4239000</v>
      </c>
      <c r="O4393">
        <v>4.0999999999999996</v>
      </c>
      <c r="P4393" t="b">
        <v>0</v>
      </c>
    </row>
    <row r="4394" spans="1:16" x14ac:dyDescent="0.2">
      <c r="A4394" t="s">
        <v>5003</v>
      </c>
      <c r="B4394" s="1">
        <v>45331</v>
      </c>
      <c r="C4394" s="1">
        <v>45362</v>
      </c>
      <c r="D4394" t="s">
        <v>727</v>
      </c>
      <c r="E4394" t="s">
        <v>45</v>
      </c>
      <c r="F4394" t="s">
        <v>34</v>
      </c>
      <c r="G4394" t="s">
        <v>20</v>
      </c>
      <c r="H4394" t="s">
        <v>40</v>
      </c>
      <c r="I4394" t="s">
        <v>30</v>
      </c>
      <c r="J4394">
        <v>3</v>
      </c>
      <c r="K4394">
        <v>3551000</v>
      </c>
      <c r="L4394">
        <v>9.4730653407038998E-2</v>
      </c>
      <c r="M4394" t="s">
        <v>23</v>
      </c>
      <c r="N4394">
        <v>9644000</v>
      </c>
      <c r="O4394">
        <v>4.4000000000000004</v>
      </c>
      <c r="P4394" t="b">
        <v>1</v>
      </c>
    </row>
    <row r="4395" spans="1:16" x14ac:dyDescent="0.2">
      <c r="A4395" t="s">
        <v>6081</v>
      </c>
      <c r="B4395" s="1">
        <v>45566</v>
      </c>
      <c r="C4395" s="1">
        <v>45602</v>
      </c>
      <c r="D4395" t="s">
        <v>4124</v>
      </c>
      <c r="E4395" t="s">
        <v>29</v>
      </c>
      <c r="F4395" t="s">
        <v>25</v>
      </c>
      <c r="G4395" t="s">
        <v>20</v>
      </c>
      <c r="I4395" t="s">
        <v>99</v>
      </c>
      <c r="J4395">
        <v>1</v>
      </c>
      <c r="K4395">
        <v>4610000</v>
      </c>
      <c r="L4395">
        <v>6.98754302435729E-2</v>
      </c>
      <c r="M4395" t="s">
        <v>23</v>
      </c>
      <c r="N4395">
        <v>4288000</v>
      </c>
      <c r="O4395">
        <v>4.0999999999999996</v>
      </c>
      <c r="P4395" t="b">
        <v>1</v>
      </c>
    </row>
    <row r="4396" spans="1:16" x14ac:dyDescent="0.2">
      <c r="A4396" t="s">
        <v>2055</v>
      </c>
      <c r="B4396" s="1">
        <v>44662</v>
      </c>
      <c r="C4396" s="1">
        <v>44709</v>
      </c>
      <c r="D4396" t="s">
        <v>764</v>
      </c>
      <c r="E4396" t="s">
        <v>45</v>
      </c>
      <c r="F4396" t="s">
        <v>34</v>
      </c>
      <c r="G4396" t="s">
        <v>20</v>
      </c>
      <c r="H4396" t="s">
        <v>47</v>
      </c>
      <c r="I4396" t="s">
        <v>83</v>
      </c>
      <c r="J4396">
        <v>1</v>
      </c>
      <c r="K4396">
        <v>3879000</v>
      </c>
      <c r="L4396" s="2" t="s">
        <v>2056</v>
      </c>
      <c r="M4396" t="s">
        <v>23</v>
      </c>
      <c r="N4396">
        <v>3295000</v>
      </c>
      <c r="O4396">
        <v>4</v>
      </c>
      <c r="P4396" t="b">
        <v>1</v>
      </c>
    </row>
    <row r="4397" spans="1:16" x14ac:dyDescent="0.2">
      <c r="A4397" t="s">
        <v>4624</v>
      </c>
      <c r="B4397" s="1">
        <v>45248</v>
      </c>
      <c r="C4397" s="1">
        <v>45293</v>
      </c>
      <c r="D4397" t="s">
        <v>224</v>
      </c>
      <c r="E4397" t="s">
        <v>18</v>
      </c>
      <c r="F4397" t="s">
        <v>45</v>
      </c>
      <c r="G4397" t="s">
        <v>20</v>
      </c>
      <c r="H4397" t="s">
        <v>21</v>
      </c>
      <c r="I4397" t="s">
        <v>99</v>
      </c>
      <c r="J4397">
        <v>3</v>
      </c>
      <c r="K4397">
        <v>3165000</v>
      </c>
      <c r="L4397" s="2" t="s">
        <v>4625</v>
      </c>
      <c r="M4397" t="s">
        <v>23</v>
      </c>
      <c r="N4397">
        <v>8455000</v>
      </c>
      <c r="O4397">
        <v>4.4000000000000004</v>
      </c>
      <c r="P4397" t="b">
        <v>1</v>
      </c>
    </row>
    <row r="4398" spans="1:16" x14ac:dyDescent="0.2">
      <c r="A4398" t="s">
        <v>5160</v>
      </c>
      <c r="B4398" s="1">
        <v>45371</v>
      </c>
      <c r="C4398" s="1">
        <v>45423</v>
      </c>
      <c r="D4398" t="s">
        <v>2859</v>
      </c>
      <c r="E4398" t="s">
        <v>18</v>
      </c>
      <c r="F4398" t="s">
        <v>34</v>
      </c>
      <c r="G4398" t="s">
        <v>20</v>
      </c>
      <c r="H4398" t="s">
        <v>21</v>
      </c>
      <c r="I4398" t="s">
        <v>83</v>
      </c>
      <c r="J4398">
        <v>2</v>
      </c>
      <c r="K4398">
        <v>4258000</v>
      </c>
      <c r="L4398">
        <v>4.3236001703542602E-2</v>
      </c>
      <c r="M4398" t="s">
        <v>23</v>
      </c>
      <c r="N4398">
        <v>8148000</v>
      </c>
      <c r="O4398">
        <v>4</v>
      </c>
      <c r="P4398" t="b">
        <v>1</v>
      </c>
    </row>
    <row r="4399" spans="1:16" x14ac:dyDescent="0.2">
      <c r="A4399" t="s">
        <v>7520</v>
      </c>
      <c r="B4399" s="1">
        <v>45902</v>
      </c>
      <c r="C4399" s="1">
        <v>45915</v>
      </c>
      <c r="D4399" t="s">
        <v>7521</v>
      </c>
      <c r="E4399" t="s">
        <v>18</v>
      </c>
      <c r="F4399" t="s">
        <v>34</v>
      </c>
      <c r="G4399" t="s">
        <v>20</v>
      </c>
      <c r="H4399" t="s">
        <v>21</v>
      </c>
      <c r="I4399" t="s">
        <v>60</v>
      </c>
      <c r="J4399">
        <v>1</v>
      </c>
      <c r="K4399">
        <v>4102000</v>
      </c>
      <c r="L4399">
        <v>6.2921466124866696E-2</v>
      </c>
      <c r="M4399" t="s">
        <v>23</v>
      </c>
      <c r="N4399">
        <v>3844000</v>
      </c>
      <c r="O4399">
        <v>4.0999999999999996</v>
      </c>
      <c r="P4399" t="b">
        <v>0</v>
      </c>
    </row>
    <row r="4400" spans="1:16" x14ac:dyDescent="0.2">
      <c r="A4400" t="s">
        <v>4852</v>
      </c>
      <c r="B4400" s="1">
        <v>45297</v>
      </c>
      <c r="C4400" s="1">
        <v>45342</v>
      </c>
      <c r="D4400" t="s">
        <v>4853</v>
      </c>
      <c r="E4400" t="s">
        <v>29</v>
      </c>
      <c r="F4400" t="s">
        <v>39</v>
      </c>
      <c r="G4400" t="s">
        <v>20</v>
      </c>
      <c r="H4400" t="s">
        <v>21</v>
      </c>
      <c r="I4400" t="s">
        <v>57</v>
      </c>
      <c r="J4400">
        <v>4</v>
      </c>
      <c r="K4400">
        <v>2691000</v>
      </c>
      <c r="L4400">
        <v>4.2160690430215003E-2</v>
      </c>
      <c r="M4400" t="s">
        <v>23</v>
      </c>
      <c r="N4400">
        <v>10310000</v>
      </c>
      <c r="O4400">
        <v>4.5</v>
      </c>
      <c r="P4400" t="b">
        <v>0</v>
      </c>
    </row>
    <row r="4401" spans="1:16" x14ac:dyDescent="0.2">
      <c r="A4401" t="s">
        <v>5681</v>
      </c>
      <c r="B4401" s="1">
        <v>45486</v>
      </c>
      <c r="C4401" s="1">
        <v>45535</v>
      </c>
      <c r="D4401" t="s">
        <v>5682</v>
      </c>
      <c r="E4401" t="s">
        <v>18</v>
      </c>
      <c r="F4401" t="s">
        <v>45</v>
      </c>
      <c r="H4401" t="s">
        <v>21</v>
      </c>
      <c r="I4401" t="s">
        <v>30</v>
      </c>
      <c r="J4401">
        <v>1</v>
      </c>
      <c r="K4401">
        <v>3127000</v>
      </c>
      <c r="L4401" s="2" t="s">
        <v>5683</v>
      </c>
      <c r="M4401" t="s">
        <v>65</v>
      </c>
      <c r="N4401">
        <v>0</v>
      </c>
      <c r="P4401" t="b">
        <v>0</v>
      </c>
    </row>
    <row r="4402" spans="1:16" x14ac:dyDescent="0.2">
      <c r="A4402" t="s">
        <v>2855</v>
      </c>
      <c r="B4402" s="1">
        <v>44835</v>
      </c>
      <c r="C4402" s="1">
        <v>44877</v>
      </c>
      <c r="D4402" t="s">
        <v>750</v>
      </c>
      <c r="E4402" t="s">
        <v>18</v>
      </c>
      <c r="F4402" t="s">
        <v>19</v>
      </c>
      <c r="G4402" t="s">
        <v>20</v>
      </c>
      <c r="H4402" t="s">
        <v>47</v>
      </c>
      <c r="I4402" t="s">
        <v>30</v>
      </c>
      <c r="J4402">
        <v>1</v>
      </c>
      <c r="K4402">
        <v>2412000</v>
      </c>
      <c r="L4402">
        <v>6.4503279008703604E-2</v>
      </c>
      <c r="M4402" t="s">
        <v>23</v>
      </c>
      <c r="N4402">
        <v>2256000</v>
      </c>
      <c r="O4402">
        <v>4.3</v>
      </c>
      <c r="P4402" t="b">
        <v>1</v>
      </c>
    </row>
    <row r="4403" spans="1:16" x14ac:dyDescent="0.2">
      <c r="A4403" t="s">
        <v>2533</v>
      </c>
      <c r="B4403" s="1">
        <v>44769</v>
      </c>
      <c r="C4403" s="1">
        <v>44814</v>
      </c>
      <c r="D4403" t="s">
        <v>2534</v>
      </c>
      <c r="E4403" t="s">
        <v>29</v>
      </c>
      <c r="F4403" t="s">
        <v>45</v>
      </c>
      <c r="G4403" t="s">
        <v>35</v>
      </c>
      <c r="H4403" t="s">
        <v>47</v>
      </c>
      <c r="I4403" t="s">
        <v>1654</v>
      </c>
      <c r="J4403">
        <v>4</v>
      </c>
      <c r="K4403">
        <v>3154000</v>
      </c>
      <c r="L4403" s="2" t="s">
        <v>2535</v>
      </c>
      <c r="M4403" t="s">
        <v>23</v>
      </c>
      <c r="N4403">
        <v>11145000</v>
      </c>
      <c r="O4403">
        <v>3.6</v>
      </c>
      <c r="P4403" t="b">
        <v>0</v>
      </c>
    </row>
    <row r="4404" spans="1:16" x14ac:dyDescent="0.2">
      <c r="A4404" t="s">
        <v>6840</v>
      </c>
      <c r="B4404" s="1">
        <v>45764</v>
      </c>
      <c r="C4404" s="1">
        <v>45856</v>
      </c>
      <c r="D4404" t="s">
        <v>6841</v>
      </c>
      <c r="E4404" t="s">
        <v>33</v>
      </c>
      <c r="F4404" t="s">
        <v>19</v>
      </c>
      <c r="G4404" t="s">
        <v>20</v>
      </c>
      <c r="H4404" t="s">
        <v>40</v>
      </c>
      <c r="I4404" t="s">
        <v>52</v>
      </c>
      <c r="J4404">
        <v>2</v>
      </c>
      <c r="K4404">
        <v>2515000</v>
      </c>
      <c r="L4404" s="2" t="s">
        <v>6842</v>
      </c>
      <c r="M4404" t="s">
        <v>23</v>
      </c>
      <c r="N4404">
        <v>4517000</v>
      </c>
      <c r="O4404">
        <v>4.5</v>
      </c>
      <c r="P4404" t="b">
        <v>0</v>
      </c>
    </row>
    <row r="4405" spans="1:16" x14ac:dyDescent="0.2">
      <c r="A4405" t="s">
        <v>2443</v>
      </c>
      <c r="B4405" s="1">
        <v>44748</v>
      </c>
      <c r="C4405" s="1">
        <v>44803</v>
      </c>
      <c r="D4405" t="s">
        <v>2430</v>
      </c>
      <c r="E4405" t="s">
        <v>45</v>
      </c>
      <c r="F4405" t="s">
        <v>34</v>
      </c>
      <c r="G4405" t="s">
        <v>50</v>
      </c>
      <c r="H4405" t="s">
        <v>21</v>
      </c>
      <c r="I4405" t="s">
        <v>77</v>
      </c>
      <c r="J4405">
        <v>4</v>
      </c>
      <c r="K4405">
        <v>4119000</v>
      </c>
      <c r="L4405" s="2" t="s">
        <v>2444</v>
      </c>
      <c r="M4405" t="s">
        <v>23</v>
      </c>
      <c r="N4405">
        <v>14754000</v>
      </c>
      <c r="O4405">
        <v>3</v>
      </c>
      <c r="P4405" t="b">
        <v>1</v>
      </c>
    </row>
    <row r="4406" spans="1:16" x14ac:dyDescent="0.2">
      <c r="A4406" t="s">
        <v>6798</v>
      </c>
      <c r="B4406" s="1">
        <v>45753</v>
      </c>
      <c r="C4406" s="1">
        <v>45764</v>
      </c>
      <c r="D4406" t="s">
        <v>6799</v>
      </c>
      <c r="E4406" t="s">
        <v>33</v>
      </c>
      <c r="F4406" t="s">
        <v>34</v>
      </c>
      <c r="G4406" t="s">
        <v>20</v>
      </c>
      <c r="H4406" t="s">
        <v>21</v>
      </c>
      <c r="I4406" t="s">
        <v>52</v>
      </c>
      <c r="J4406">
        <v>2</v>
      </c>
      <c r="K4406">
        <v>3334000</v>
      </c>
      <c r="L4406">
        <v>9.0775067993508707E-2</v>
      </c>
      <c r="M4406" t="s">
        <v>23</v>
      </c>
      <c r="N4406">
        <v>6063000</v>
      </c>
      <c r="O4406">
        <v>4.3</v>
      </c>
      <c r="P4406" t="b">
        <v>0</v>
      </c>
    </row>
    <row r="4407" spans="1:16" x14ac:dyDescent="0.2">
      <c r="A4407" t="s">
        <v>2692</v>
      </c>
      <c r="B4407" s="1">
        <v>44798</v>
      </c>
      <c r="C4407" s="1">
        <v>44847</v>
      </c>
      <c r="D4407" t="s">
        <v>896</v>
      </c>
      <c r="E4407" t="s">
        <v>45</v>
      </c>
      <c r="F4407" t="s">
        <v>19</v>
      </c>
      <c r="H4407" t="s">
        <v>47</v>
      </c>
      <c r="I4407" t="s">
        <v>52</v>
      </c>
      <c r="J4407">
        <v>2</v>
      </c>
      <c r="K4407">
        <v>2623000</v>
      </c>
      <c r="L4407">
        <v>9.7901298343677598E-2</v>
      </c>
      <c r="M4407" t="s">
        <v>23</v>
      </c>
      <c r="N4407">
        <v>4732000</v>
      </c>
      <c r="O4407">
        <v>3.7</v>
      </c>
      <c r="P4407" t="b">
        <v>1</v>
      </c>
    </row>
    <row r="4408" spans="1:16" x14ac:dyDescent="0.2">
      <c r="A4408" t="s">
        <v>2876</v>
      </c>
      <c r="B4408" s="1">
        <v>44840</v>
      </c>
      <c r="C4408" s="1">
        <v>44896</v>
      </c>
      <c r="D4408" t="s">
        <v>2877</v>
      </c>
      <c r="E4408" t="s">
        <v>18</v>
      </c>
      <c r="F4408" t="s">
        <v>19</v>
      </c>
      <c r="G4408" t="s">
        <v>20</v>
      </c>
      <c r="I4408" t="s">
        <v>83</v>
      </c>
      <c r="J4408">
        <v>2</v>
      </c>
      <c r="K4408">
        <v>2833000</v>
      </c>
      <c r="L4408" s="2" t="s">
        <v>2878</v>
      </c>
      <c r="M4408" t="s">
        <v>23</v>
      </c>
      <c r="N4408">
        <v>4895000</v>
      </c>
      <c r="O4408">
        <v>4.8</v>
      </c>
      <c r="P4408" t="b">
        <v>0</v>
      </c>
    </row>
    <row r="4409" spans="1:16" x14ac:dyDescent="0.2">
      <c r="A4409" t="s">
        <v>2519</v>
      </c>
      <c r="B4409" s="1">
        <v>44766</v>
      </c>
      <c r="C4409" s="1">
        <v>44809</v>
      </c>
      <c r="D4409" t="s">
        <v>519</v>
      </c>
      <c r="E4409" t="s">
        <v>33</v>
      </c>
      <c r="F4409" t="s">
        <v>34</v>
      </c>
      <c r="G4409" t="s">
        <v>20</v>
      </c>
      <c r="H4409" t="s">
        <v>47</v>
      </c>
      <c r="I4409" t="s">
        <v>99</v>
      </c>
      <c r="J4409">
        <v>1</v>
      </c>
      <c r="K4409">
        <v>4137000</v>
      </c>
      <c r="L4409">
        <v>8.3899344334990994E-2</v>
      </c>
      <c r="M4409" t="s">
        <v>23</v>
      </c>
      <c r="N4409">
        <v>3790000</v>
      </c>
      <c r="O4409">
        <v>4.4000000000000004</v>
      </c>
      <c r="P4409" t="b">
        <v>1</v>
      </c>
    </row>
    <row r="4410" spans="1:16" x14ac:dyDescent="0.2">
      <c r="A4410" t="s">
        <v>3682</v>
      </c>
      <c r="B4410" s="1">
        <v>45040</v>
      </c>
      <c r="C4410" s="1">
        <v>45079</v>
      </c>
      <c r="D4410" t="s">
        <v>3683</v>
      </c>
      <c r="E4410" t="s">
        <v>18</v>
      </c>
      <c r="F4410" t="s">
        <v>39</v>
      </c>
      <c r="G4410" t="s">
        <v>35</v>
      </c>
      <c r="H4410" t="s">
        <v>21</v>
      </c>
      <c r="I4410" t="s">
        <v>22</v>
      </c>
      <c r="J4410">
        <v>1</v>
      </c>
      <c r="K4410">
        <v>2106000</v>
      </c>
      <c r="L4410" s="2" t="s">
        <v>3684</v>
      </c>
      <c r="M4410" t="s">
        <v>23</v>
      </c>
      <c r="N4410">
        <v>1824000</v>
      </c>
      <c r="O4410">
        <v>4.2</v>
      </c>
      <c r="P4410" t="b">
        <v>0</v>
      </c>
    </row>
    <row r="4411" spans="1:16" x14ac:dyDescent="0.2">
      <c r="A4411" t="s">
        <v>6665</v>
      </c>
      <c r="B4411" s="1">
        <v>45716</v>
      </c>
      <c r="C4411" s="1">
        <v>45726</v>
      </c>
      <c r="D4411" t="s">
        <v>417</v>
      </c>
      <c r="E4411" t="s">
        <v>33</v>
      </c>
      <c r="F4411" t="s">
        <v>45</v>
      </c>
      <c r="G4411" t="s">
        <v>20</v>
      </c>
      <c r="H4411" t="s">
        <v>47</v>
      </c>
      <c r="I4411" t="s">
        <v>83</v>
      </c>
      <c r="J4411">
        <v>2</v>
      </c>
      <c r="K4411">
        <v>2704000</v>
      </c>
      <c r="L4411">
        <v>4.6351307841874197E-2</v>
      </c>
      <c r="M4411" t="s">
        <v>23</v>
      </c>
      <c r="N4411">
        <v>5157000</v>
      </c>
      <c r="O4411">
        <v>4.9000000000000004</v>
      </c>
      <c r="P4411" t="b">
        <v>1</v>
      </c>
    </row>
    <row r="4412" spans="1:16" x14ac:dyDescent="0.2">
      <c r="A4412" t="s">
        <v>5767</v>
      </c>
      <c r="B4412" s="1">
        <v>45499</v>
      </c>
      <c r="C4412" s="1">
        <v>45541</v>
      </c>
      <c r="D4412" t="s">
        <v>3670</v>
      </c>
      <c r="E4412" t="s">
        <v>45</v>
      </c>
      <c r="F4412" t="s">
        <v>45</v>
      </c>
      <c r="G4412" t="s">
        <v>46</v>
      </c>
      <c r="H4412" t="s">
        <v>51</v>
      </c>
      <c r="I4412" t="s">
        <v>60</v>
      </c>
      <c r="J4412">
        <v>2</v>
      </c>
      <c r="K4412">
        <v>3322000</v>
      </c>
      <c r="L4412" s="2" t="s">
        <v>5768</v>
      </c>
      <c r="M4412" t="s">
        <v>23</v>
      </c>
      <c r="N4412">
        <v>5715000</v>
      </c>
      <c r="O4412">
        <v>4.3</v>
      </c>
      <c r="P4412" t="b">
        <v>1</v>
      </c>
    </row>
    <row r="4413" spans="1:16" x14ac:dyDescent="0.2">
      <c r="A4413" t="s">
        <v>5866</v>
      </c>
      <c r="B4413" s="1">
        <v>45521</v>
      </c>
      <c r="C4413" s="1">
        <v>45575</v>
      </c>
      <c r="D4413" t="s">
        <v>17</v>
      </c>
      <c r="E4413" t="s">
        <v>18</v>
      </c>
      <c r="F4413" t="s">
        <v>34</v>
      </c>
      <c r="G4413" t="s">
        <v>50</v>
      </c>
      <c r="H4413" t="s">
        <v>47</v>
      </c>
      <c r="I4413" t="s">
        <v>26</v>
      </c>
      <c r="J4413">
        <v>1</v>
      </c>
      <c r="K4413">
        <v>3970000</v>
      </c>
      <c r="L4413">
        <v>8.1362318380941101E-2</v>
      </c>
      <c r="M4413" t="s">
        <v>1673</v>
      </c>
      <c r="N4413">
        <v>3647000</v>
      </c>
      <c r="O4413">
        <v>3.8</v>
      </c>
      <c r="P4413" t="b">
        <v>1</v>
      </c>
    </row>
    <row r="4414" spans="1:16" x14ac:dyDescent="0.2">
      <c r="A4414" t="s">
        <v>7104</v>
      </c>
      <c r="B4414" s="1">
        <v>45816</v>
      </c>
      <c r="C4414" s="1">
        <v>45883</v>
      </c>
      <c r="D4414" t="s">
        <v>6460</v>
      </c>
      <c r="E4414" t="s">
        <v>45</v>
      </c>
      <c r="F4414" t="s">
        <v>45</v>
      </c>
      <c r="G4414" t="s">
        <v>20</v>
      </c>
      <c r="H4414" t="s">
        <v>21</v>
      </c>
      <c r="I4414" t="s">
        <v>94</v>
      </c>
      <c r="J4414">
        <v>2</v>
      </c>
      <c r="K4414">
        <v>3257000</v>
      </c>
      <c r="L4414" s="2" t="s">
        <v>7105</v>
      </c>
      <c r="M4414" t="s">
        <v>23</v>
      </c>
      <c r="N4414">
        <v>5719000</v>
      </c>
      <c r="O4414">
        <v>4.9000000000000004</v>
      </c>
      <c r="P4414" t="b">
        <v>1</v>
      </c>
    </row>
    <row r="4415" spans="1:16" x14ac:dyDescent="0.2">
      <c r="A4415" t="s">
        <v>4592</v>
      </c>
      <c r="B4415" s="1">
        <v>45244</v>
      </c>
      <c r="C4415" s="1">
        <v>45294</v>
      </c>
      <c r="D4415" t="s">
        <v>4593</v>
      </c>
      <c r="E4415" t="s">
        <v>18</v>
      </c>
      <c r="F4415" t="s">
        <v>39</v>
      </c>
      <c r="G4415" t="s">
        <v>20</v>
      </c>
      <c r="H4415" t="s">
        <v>47</v>
      </c>
      <c r="I4415" t="s">
        <v>99</v>
      </c>
      <c r="J4415">
        <v>2</v>
      </c>
      <c r="K4415">
        <v>2083000</v>
      </c>
      <c r="L4415">
        <v>8.4641203210175903E-2</v>
      </c>
      <c r="M4415" t="s">
        <v>23</v>
      </c>
      <c r="N4415">
        <v>3813000</v>
      </c>
      <c r="O4415">
        <v>4.2</v>
      </c>
      <c r="P4415" t="b">
        <v>0</v>
      </c>
    </row>
    <row r="4416" spans="1:16" x14ac:dyDescent="0.2">
      <c r="A4416" t="s">
        <v>6608</v>
      </c>
      <c r="B4416" s="1">
        <v>45703</v>
      </c>
      <c r="C4416" s="1">
        <v>45735</v>
      </c>
      <c r="D4416" t="s">
        <v>6609</v>
      </c>
      <c r="E4416" t="s">
        <v>45</v>
      </c>
      <c r="F4416" t="s">
        <v>45</v>
      </c>
      <c r="G4416" t="s">
        <v>46</v>
      </c>
      <c r="H4416" t="s">
        <v>21</v>
      </c>
      <c r="I4416" t="s">
        <v>60</v>
      </c>
      <c r="J4416">
        <v>2</v>
      </c>
      <c r="K4416">
        <v>3538000</v>
      </c>
      <c r="L4416">
        <v>7.3836342293145604E-2</v>
      </c>
      <c r="M4416" t="s">
        <v>23</v>
      </c>
      <c r="N4416">
        <v>6554000</v>
      </c>
      <c r="O4416">
        <v>4.2</v>
      </c>
      <c r="P4416" t="b">
        <v>0</v>
      </c>
    </row>
    <row r="4417" spans="1:16" x14ac:dyDescent="0.2">
      <c r="A4417" t="s">
        <v>7079</v>
      </c>
      <c r="B4417" s="1">
        <v>45812</v>
      </c>
      <c r="C4417" s="1">
        <v>45863</v>
      </c>
      <c r="D4417" t="s">
        <v>2651</v>
      </c>
      <c r="E4417" t="s">
        <v>18</v>
      </c>
      <c r="F4417" t="s">
        <v>45</v>
      </c>
      <c r="G4417" t="s">
        <v>50</v>
      </c>
      <c r="H4417" t="s">
        <v>21</v>
      </c>
      <c r="I4417" t="s">
        <v>57</v>
      </c>
      <c r="J4417">
        <v>3</v>
      </c>
      <c r="K4417">
        <v>3910000</v>
      </c>
      <c r="L4417" s="2" t="s">
        <v>7080</v>
      </c>
      <c r="M4417" t="s">
        <v>23</v>
      </c>
      <c r="N4417">
        <v>10482000</v>
      </c>
      <c r="O4417">
        <v>4</v>
      </c>
      <c r="P4417" t="b">
        <v>1</v>
      </c>
    </row>
    <row r="4418" spans="1:16" x14ac:dyDescent="0.2">
      <c r="A4418" t="s">
        <v>2136</v>
      </c>
      <c r="B4418" s="1">
        <v>44679</v>
      </c>
      <c r="C4418" s="1">
        <v>44732</v>
      </c>
      <c r="D4418" t="s">
        <v>2137</v>
      </c>
      <c r="E4418" t="s">
        <v>45</v>
      </c>
      <c r="F4418" t="s">
        <v>34</v>
      </c>
      <c r="G4418" t="s">
        <v>50</v>
      </c>
      <c r="H4418" t="s">
        <v>21</v>
      </c>
      <c r="I4418" t="s">
        <v>52</v>
      </c>
      <c r="J4418">
        <v>2</v>
      </c>
      <c r="K4418">
        <v>3148000</v>
      </c>
      <c r="L4418" s="2" t="s">
        <v>2138</v>
      </c>
      <c r="M4418" t="s">
        <v>23</v>
      </c>
      <c r="N4418">
        <v>5201000</v>
      </c>
      <c r="O4418">
        <v>3.7</v>
      </c>
      <c r="P4418" t="b">
        <v>0</v>
      </c>
    </row>
    <row r="4419" spans="1:16" x14ac:dyDescent="0.2">
      <c r="A4419" t="s">
        <v>4131</v>
      </c>
      <c r="B4419" s="1">
        <v>45148</v>
      </c>
      <c r="C4419" s="1">
        <v>45175</v>
      </c>
      <c r="D4419" t="s">
        <v>4132</v>
      </c>
      <c r="E4419" t="s">
        <v>45</v>
      </c>
      <c r="F4419" t="s">
        <v>19</v>
      </c>
      <c r="G4419" t="s">
        <v>20</v>
      </c>
      <c r="H4419" t="s">
        <v>21</v>
      </c>
      <c r="I4419" t="s">
        <v>83</v>
      </c>
      <c r="J4419">
        <v>3</v>
      </c>
      <c r="K4419">
        <v>2611000</v>
      </c>
      <c r="L4419" s="2" t="s">
        <v>4133</v>
      </c>
      <c r="M4419" t="s">
        <v>65</v>
      </c>
      <c r="N4419">
        <v>0</v>
      </c>
      <c r="P441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758D9-9B11-5B42-B042-CB5663A92B2F}">
  <dimension ref="A1:K4374"/>
  <sheetViews>
    <sheetView workbookViewId="0">
      <selection activeCell="F10" sqref="F10"/>
    </sheetView>
  </sheetViews>
  <sheetFormatPr baseColWidth="10" defaultColWidth="11" defaultRowHeight="15.75" customHeight="1" x14ac:dyDescent="0.2"/>
  <cols>
    <col min="1" max="1" width="11.83203125" style="16" bestFit="1" customWidth="1"/>
    <col min="2" max="2" width="18.5" bestFit="1" customWidth="1"/>
    <col min="3" max="3" width="10.6640625" bestFit="1" customWidth="1"/>
    <col min="4" max="4" width="10" bestFit="1" customWidth="1"/>
    <col min="5" max="5" width="12.1640625" bestFit="1" customWidth="1"/>
    <col min="6" max="6" width="18.1640625" bestFit="1" customWidth="1"/>
    <col min="7" max="7" width="15.5" style="15" bestFit="1" customWidth="1"/>
    <col min="8" max="8" width="18.33203125" style="14" bestFit="1" customWidth="1"/>
    <col min="9" max="9" width="22.33203125" style="14" bestFit="1" customWidth="1"/>
    <col min="10" max="11" width="12.33203125" bestFit="1" customWidth="1"/>
  </cols>
  <sheetData>
    <row r="1" spans="1:11" ht="16" x14ac:dyDescent="0.2">
      <c r="A1" s="16" t="s">
        <v>7627</v>
      </c>
      <c r="B1" t="s">
        <v>7628</v>
      </c>
      <c r="C1" t="s">
        <v>7629</v>
      </c>
      <c r="D1" t="s">
        <v>7630</v>
      </c>
      <c r="E1" t="s">
        <v>7631</v>
      </c>
      <c r="F1" t="s">
        <v>7632</v>
      </c>
      <c r="G1" s="15" t="s">
        <v>7633</v>
      </c>
      <c r="H1" s="14" t="s">
        <v>7634</v>
      </c>
      <c r="I1" s="14" t="s">
        <v>7739</v>
      </c>
      <c r="J1" t="s">
        <v>7635</v>
      </c>
      <c r="K1" t="s">
        <v>7636</v>
      </c>
    </row>
    <row r="2" spans="1:11" ht="16" x14ac:dyDescent="0.2">
      <c r="A2" s="16">
        <v>44563</v>
      </c>
      <c r="B2" t="s">
        <v>33</v>
      </c>
      <c r="C2" t="s">
        <v>19</v>
      </c>
      <c r="D2" t="s">
        <v>20</v>
      </c>
      <c r="E2" t="s">
        <v>7637</v>
      </c>
      <c r="F2">
        <v>1</v>
      </c>
      <c r="G2" s="15">
        <v>2596000</v>
      </c>
      <c r="H2" s="14">
        <v>0.19670810648009801</v>
      </c>
      <c r="I2" s="27">
        <f>G2-G2*H2</f>
        <v>2085345.7555776655</v>
      </c>
      <c r="J2">
        <v>4.0999999999999996</v>
      </c>
      <c r="K2" t="b">
        <v>0</v>
      </c>
    </row>
    <row r="3" spans="1:11" ht="16" x14ac:dyDescent="0.2">
      <c r="A3" s="16">
        <v>44582</v>
      </c>
      <c r="B3" t="s">
        <v>45</v>
      </c>
      <c r="C3" t="s">
        <v>45</v>
      </c>
      <c r="D3" t="s">
        <v>20</v>
      </c>
      <c r="E3" t="s">
        <v>7638</v>
      </c>
      <c r="F3">
        <v>3</v>
      </c>
      <c r="G3" s="15">
        <v>2824000</v>
      </c>
      <c r="H3" s="14">
        <v>3.9341020875539097E-2</v>
      </c>
      <c r="I3" s="27">
        <f t="shared" ref="I3:I66" si="0">G3-G3*H3</f>
        <v>2712900.9570474774</v>
      </c>
      <c r="J3">
        <v>4</v>
      </c>
      <c r="K3" t="b">
        <v>1</v>
      </c>
    </row>
    <row r="4" spans="1:11" ht="16" x14ac:dyDescent="0.2">
      <c r="A4" s="16">
        <v>44585</v>
      </c>
      <c r="B4" t="s">
        <v>29</v>
      </c>
      <c r="C4" t="s">
        <v>19</v>
      </c>
      <c r="D4" t="s">
        <v>20</v>
      </c>
      <c r="E4" t="s">
        <v>57</v>
      </c>
      <c r="F4">
        <v>2</v>
      </c>
      <c r="G4" s="15">
        <v>3186000</v>
      </c>
      <c r="H4" s="14">
        <v>0.135739947141994</v>
      </c>
      <c r="I4" s="27">
        <f t="shared" si="0"/>
        <v>2753532.5284056072</v>
      </c>
      <c r="J4">
        <v>4.2</v>
      </c>
      <c r="K4" t="b">
        <v>0</v>
      </c>
    </row>
    <row r="5" spans="1:11" ht="16" x14ac:dyDescent="0.2">
      <c r="A5" s="16">
        <v>44587</v>
      </c>
      <c r="B5" t="s">
        <v>33</v>
      </c>
      <c r="C5" t="s">
        <v>19</v>
      </c>
      <c r="D5" t="s">
        <v>20</v>
      </c>
      <c r="E5" t="s">
        <v>7637</v>
      </c>
      <c r="F5">
        <v>1</v>
      </c>
      <c r="G5" s="15">
        <v>2761000</v>
      </c>
      <c r="H5" s="14">
        <v>0.13082957559797201</v>
      </c>
      <c r="I5" s="27">
        <f t="shared" si="0"/>
        <v>2399779.5417739991</v>
      </c>
      <c r="J5">
        <v>4.2</v>
      </c>
      <c r="K5" t="b">
        <v>0</v>
      </c>
    </row>
    <row r="6" spans="1:11" ht="16" x14ac:dyDescent="0.2">
      <c r="A6" s="16">
        <v>44587</v>
      </c>
      <c r="B6" t="s">
        <v>18</v>
      </c>
      <c r="C6" t="s">
        <v>19</v>
      </c>
      <c r="D6" t="s">
        <v>20</v>
      </c>
      <c r="E6" t="s">
        <v>7639</v>
      </c>
      <c r="F6">
        <v>2</v>
      </c>
      <c r="G6" s="15">
        <v>2652000</v>
      </c>
      <c r="H6" s="14">
        <v>0.12752945891106199</v>
      </c>
      <c r="I6" s="27">
        <f t="shared" si="0"/>
        <v>2313791.8749678638</v>
      </c>
      <c r="J6">
        <v>3.6</v>
      </c>
      <c r="K6" t="b">
        <v>1</v>
      </c>
    </row>
    <row r="7" spans="1:11" ht="16" x14ac:dyDescent="0.2">
      <c r="A7" s="16">
        <v>44592</v>
      </c>
      <c r="B7" t="s">
        <v>33</v>
      </c>
      <c r="C7" t="s">
        <v>45</v>
      </c>
      <c r="D7" t="s">
        <v>50</v>
      </c>
      <c r="E7" t="s">
        <v>7640</v>
      </c>
      <c r="F7">
        <v>1</v>
      </c>
      <c r="G7" s="15">
        <v>2631000</v>
      </c>
      <c r="H7" s="14">
        <v>0.11724155160797101</v>
      </c>
      <c r="I7" s="27">
        <f t="shared" si="0"/>
        <v>2322537.4777194285</v>
      </c>
      <c r="J7">
        <v>4.3</v>
      </c>
      <c r="K7" t="b">
        <v>0</v>
      </c>
    </row>
    <row r="8" spans="1:11" ht="16" x14ac:dyDescent="0.2">
      <c r="A8" s="16">
        <v>44592</v>
      </c>
      <c r="B8" t="s">
        <v>45</v>
      </c>
      <c r="C8" t="s">
        <v>34</v>
      </c>
      <c r="D8" t="s">
        <v>50</v>
      </c>
      <c r="E8" t="s">
        <v>7637</v>
      </c>
      <c r="F8">
        <v>3</v>
      </c>
      <c r="G8" s="15">
        <v>4192000</v>
      </c>
      <c r="H8" s="14">
        <v>9.2218774049020596E-2</v>
      </c>
      <c r="I8" s="27">
        <f t="shared" si="0"/>
        <v>3805418.8991865055</v>
      </c>
      <c r="J8">
        <v>4.7</v>
      </c>
      <c r="K8" t="b">
        <v>0</v>
      </c>
    </row>
    <row r="9" spans="1:11" ht="16" x14ac:dyDescent="0.2">
      <c r="A9" s="16">
        <v>44594</v>
      </c>
      <c r="B9" t="s">
        <v>45</v>
      </c>
      <c r="C9" t="s">
        <v>19</v>
      </c>
      <c r="D9" t="s">
        <v>50</v>
      </c>
      <c r="E9" t="s">
        <v>7641</v>
      </c>
      <c r="F9">
        <v>1</v>
      </c>
      <c r="G9" s="15">
        <v>2787000</v>
      </c>
      <c r="H9" s="14">
        <v>0.114530689529905</v>
      </c>
      <c r="I9" s="27">
        <f t="shared" si="0"/>
        <v>2467802.9682801547</v>
      </c>
      <c r="J9">
        <v>4.0999999999999996</v>
      </c>
      <c r="K9" t="b">
        <v>1</v>
      </c>
    </row>
    <row r="10" spans="1:11" ht="16" x14ac:dyDescent="0.2">
      <c r="A10" s="16">
        <v>44595</v>
      </c>
      <c r="B10" t="s">
        <v>18</v>
      </c>
      <c r="C10" t="s">
        <v>19</v>
      </c>
      <c r="D10" t="s">
        <v>20</v>
      </c>
      <c r="E10" t="s">
        <v>7641</v>
      </c>
      <c r="F10">
        <v>1</v>
      </c>
      <c r="G10" s="15">
        <v>2738000</v>
      </c>
      <c r="H10" s="14">
        <v>3.5451565775699898E-2</v>
      </c>
      <c r="I10" s="27">
        <f t="shared" si="0"/>
        <v>2640933.6129061338</v>
      </c>
      <c r="J10">
        <v>4.4000000000000004</v>
      </c>
      <c r="K10" t="b">
        <v>1</v>
      </c>
    </row>
    <row r="11" spans="1:11" ht="16" x14ac:dyDescent="0.2">
      <c r="A11" s="16">
        <v>44598</v>
      </c>
      <c r="B11" t="s">
        <v>29</v>
      </c>
      <c r="C11" t="s">
        <v>34</v>
      </c>
      <c r="D11" t="s">
        <v>20</v>
      </c>
      <c r="E11" t="s">
        <v>7640</v>
      </c>
      <c r="F11">
        <v>3</v>
      </c>
      <c r="G11" s="15">
        <v>4398000</v>
      </c>
      <c r="H11" s="14">
        <v>0.15990344961815001</v>
      </c>
      <c r="I11" s="27">
        <f t="shared" si="0"/>
        <v>3694744.6285793763</v>
      </c>
      <c r="J11">
        <v>4.2</v>
      </c>
      <c r="K11" t="b">
        <v>1</v>
      </c>
    </row>
    <row r="12" spans="1:11" ht="16" x14ac:dyDescent="0.2">
      <c r="A12" s="16">
        <v>44598</v>
      </c>
      <c r="B12" t="s">
        <v>45</v>
      </c>
      <c r="C12" t="s">
        <v>39</v>
      </c>
      <c r="D12" t="s">
        <v>50</v>
      </c>
      <c r="E12" t="s">
        <v>7637</v>
      </c>
      <c r="F12">
        <v>2</v>
      </c>
      <c r="G12" s="15">
        <v>2710000</v>
      </c>
      <c r="H12" s="14">
        <v>0.13075929750140999</v>
      </c>
      <c r="I12" s="27">
        <f t="shared" si="0"/>
        <v>2355642.3037711792</v>
      </c>
      <c r="J12">
        <v>4.9000000000000004</v>
      </c>
      <c r="K12" t="b">
        <v>1</v>
      </c>
    </row>
    <row r="13" spans="1:11" ht="16" x14ac:dyDescent="0.2">
      <c r="A13" s="16">
        <v>44599</v>
      </c>
      <c r="B13" t="s">
        <v>18</v>
      </c>
      <c r="C13" t="s">
        <v>34</v>
      </c>
      <c r="D13" t="s">
        <v>50</v>
      </c>
      <c r="E13" t="s">
        <v>7639</v>
      </c>
      <c r="F13">
        <v>1</v>
      </c>
      <c r="G13" s="15">
        <v>2710000</v>
      </c>
      <c r="H13" s="14">
        <v>0.13075929750140999</v>
      </c>
      <c r="I13" s="27">
        <f t="shared" si="0"/>
        <v>2355642.3037711792</v>
      </c>
      <c r="J13">
        <v>4</v>
      </c>
      <c r="K13" t="b">
        <v>1</v>
      </c>
    </row>
    <row r="14" spans="1:11" ht="16" x14ac:dyDescent="0.2">
      <c r="A14" s="16">
        <v>44601</v>
      </c>
      <c r="B14" t="s">
        <v>33</v>
      </c>
      <c r="C14" t="s">
        <v>45</v>
      </c>
      <c r="D14" t="s">
        <v>20</v>
      </c>
      <c r="E14" t="s">
        <v>7638</v>
      </c>
      <c r="F14">
        <v>3</v>
      </c>
      <c r="G14" s="15">
        <v>2710000</v>
      </c>
      <c r="H14" s="14">
        <v>0.13075929750140999</v>
      </c>
      <c r="I14" s="27">
        <f t="shared" si="0"/>
        <v>2355642.3037711792</v>
      </c>
      <c r="J14">
        <v>4.2</v>
      </c>
      <c r="K14" t="b">
        <v>0</v>
      </c>
    </row>
    <row r="15" spans="1:11" ht="16" x14ac:dyDescent="0.2">
      <c r="A15" s="16">
        <v>44602</v>
      </c>
      <c r="B15" t="s">
        <v>33</v>
      </c>
      <c r="C15" t="s">
        <v>68</v>
      </c>
      <c r="D15" t="s">
        <v>20</v>
      </c>
      <c r="E15" t="s">
        <v>7641</v>
      </c>
      <c r="F15">
        <v>4</v>
      </c>
      <c r="G15" s="15">
        <v>2710000</v>
      </c>
      <c r="H15" s="14">
        <v>0.13075929750140999</v>
      </c>
      <c r="I15" s="27">
        <f t="shared" si="0"/>
        <v>2355642.3037711792</v>
      </c>
      <c r="J15">
        <v>4</v>
      </c>
      <c r="K15" t="b">
        <v>1</v>
      </c>
    </row>
    <row r="16" spans="1:11" ht="16" x14ac:dyDescent="0.2">
      <c r="A16" s="16">
        <v>44602</v>
      </c>
      <c r="B16" t="s">
        <v>45</v>
      </c>
      <c r="C16" t="s">
        <v>19</v>
      </c>
      <c r="D16" t="s">
        <v>50</v>
      </c>
      <c r="E16" t="s">
        <v>99</v>
      </c>
      <c r="F16">
        <v>1</v>
      </c>
      <c r="G16" s="15">
        <v>2710000</v>
      </c>
      <c r="H16" s="14">
        <v>0.13075929750140999</v>
      </c>
      <c r="I16" s="27">
        <f t="shared" si="0"/>
        <v>2355642.3037711792</v>
      </c>
      <c r="J16">
        <v>4</v>
      </c>
      <c r="K16" t="b">
        <v>1</v>
      </c>
    </row>
    <row r="17" spans="1:11" ht="16" x14ac:dyDescent="0.2">
      <c r="A17" s="16">
        <v>44602</v>
      </c>
      <c r="B17" t="s">
        <v>45</v>
      </c>
      <c r="C17" t="s">
        <v>45</v>
      </c>
      <c r="D17" t="s">
        <v>35</v>
      </c>
      <c r="E17" t="s">
        <v>7638</v>
      </c>
      <c r="F17">
        <v>2</v>
      </c>
      <c r="G17" s="15">
        <v>2710000</v>
      </c>
      <c r="H17" s="14">
        <v>0.13075929750140999</v>
      </c>
      <c r="I17" s="27">
        <f t="shared" si="0"/>
        <v>2355642.3037711792</v>
      </c>
      <c r="J17">
        <v>4.5999999999999996</v>
      </c>
      <c r="K17" t="b">
        <v>0</v>
      </c>
    </row>
    <row r="18" spans="1:11" ht="16" x14ac:dyDescent="0.2">
      <c r="A18" s="16">
        <v>44605</v>
      </c>
      <c r="B18" t="s">
        <v>18</v>
      </c>
      <c r="C18" t="s">
        <v>19</v>
      </c>
      <c r="D18" t="s">
        <v>20</v>
      </c>
      <c r="E18" t="s">
        <v>7640</v>
      </c>
      <c r="F18">
        <v>1</v>
      </c>
      <c r="G18" s="15">
        <v>2710000</v>
      </c>
      <c r="H18" s="14">
        <v>0.13075929750140999</v>
      </c>
      <c r="I18" s="27">
        <f t="shared" si="0"/>
        <v>2355642.3037711792</v>
      </c>
      <c r="J18">
        <v>3.7</v>
      </c>
      <c r="K18" t="b">
        <v>1</v>
      </c>
    </row>
    <row r="19" spans="1:11" ht="16" x14ac:dyDescent="0.2">
      <c r="A19" s="16">
        <v>44605</v>
      </c>
      <c r="B19" t="s">
        <v>29</v>
      </c>
      <c r="C19" t="s">
        <v>34</v>
      </c>
      <c r="D19" t="s">
        <v>50</v>
      </c>
      <c r="E19" t="s">
        <v>7640</v>
      </c>
      <c r="F19">
        <v>3</v>
      </c>
      <c r="G19" s="15">
        <v>2710000</v>
      </c>
      <c r="H19" s="14">
        <v>0.13075929750140999</v>
      </c>
      <c r="I19" s="27">
        <f t="shared" si="0"/>
        <v>2355642.3037711792</v>
      </c>
      <c r="J19">
        <v>4.5999999999999996</v>
      </c>
      <c r="K19" t="b">
        <v>1</v>
      </c>
    </row>
    <row r="20" spans="1:11" ht="16" x14ac:dyDescent="0.2">
      <c r="A20" s="16">
        <v>44606</v>
      </c>
      <c r="B20" t="s">
        <v>29</v>
      </c>
      <c r="C20" t="s">
        <v>39</v>
      </c>
      <c r="D20" t="s">
        <v>20</v>
      </c>
      <c r="E20" t="s">
        <v>7642</v>
      </c>
      <c r="F20">
        <v>1</v>
      </c>
      <c r="G20" s="15">
        <v>2710000</v>
      </c>
      <c r="H20" s="14">
        <v>0.13075929750140999</v>
      </c>
      <c r="I20" s="27">
        <f t="shared" si="0"/>
        <v>2355642.3037711792</v>
      </c>
      <c r="J20">
        <v>4.8</v>
      </c>
      <c r="K20" t="b">
        <v>1</v>
      </c>
    </row>
    <row r="21" spans="1:11" ht="16" x14ac:dyDescent="0.2">
      <c r="A21" s="16">
        <v>44606</v>
      </c>
      <c r="B21" t="s">
        <v>45</v>
      </c>
      <c r="C21" t="s">
        <v>39</v>
      </c>
      <c r="D21" t="s">
        <v>20</v>
      </c>
      <c r="E21" t="s">
        <v>57</v>
      </c>
      <c r="F21">
        <v>1</v>
      </c>
      <c r="G21" s="15">
        <v>2710000</v>
      </c>
      <c r="H21" s="14">
        <v>0.13075929750140999</v>
      </c>
      <c r="I21" s="27">
        <f t="shared" si="0"/>
        <v>2355642.3037711792</v>
      </c>
      <c r="J21">
        <v>4</v>
      </c>
      <c r="K21" t="b">
        <v>1</v>
      </c>
    </row>
    <row r="22" spans="1:11" ht="16" x14ac:dyDescent="0.2">
      <c r="A22" s="16">
        <v>44606</v>
      </c>
      <c r="B22" t="s">
        <v>45</v>
      </c>
      <c r="C22" t="s">
        <v>39</v>
      </c>
      <c r="D22" t="s">
        <v>20</v>
      </c>
      <c r="E22" t="s">
        <v>57</v>
      </c>
      <c r="F22">
        <v>4</v>
      </c>
      <c r="G22" s="15">
        <v>2710000</v>
      </c>
      <c r="H22" s="14">
        <v>0.13075929750140999</v>
      </c>
      <c r="I22" s="27">
        <f t="shared" si="0"/>
        <v>2355642.3037711792</v>
      </c>
      <c r="J22">
        <v>4</v>
      </c>
      <c r="K22" t="b">
        <v>1</v>
      </c>
    </row>
    <row r="23" spans="1:11" ht="16" x14ac:dyDescent="0.2">
      <c r="A23" s="16">
        <v>44608</v>
      </c>
      <c r="B23" t="s">
        <v>33</v>
      </c>
      <c r="C23" t="s">
        <v>34</v>
      </c>
      <c r="D23" t="s">
        <v>50</v>
      </c>
      <c r="E23" t="s">
        <v>7643</v>
      </c>
      <c r="F23">
        <v>3</v>
      </c>
      <c r="G23" s="15">
        <v>2710000</v>
      </c>
      <c r="H23" s="14">
        <v>0.13075929750140999</v>
      </c>
      <c r="I23" s="27">
        <f t="shared" si="0"/>
        <v>2355642.3037711792</v>
      </c>
      <c r="J23">
        <v>4</v>
      </c>
      <c r="K23" t="b">
        <v>1</v>
      </c>
    </row>
    <row r="24" spans="1:11" ht="16" x14ac:dyDescent="0.2">
      <c r="A24" s="16">
        <v>44610</v>
      </c>
      <c r="B24" t="s">
        <v>18</v>
      </c>
      <c r="C24" t="s">
        <v>34</v>
      </c>
      <c r="D24" t="s">
        <v>35</v>
      </c>
      <c r="E24" t="s">
        <v>7643</v>
      </c>
      <c r="F24">
        <v>4</v>
      </c>
      <c r="G24" s="15">
        <v>2710000</v>
      </c>
      <c r="H24" s="14">
        <v>0.13075929750140999</v>
      </c>
      <c r="I24" s="27">
        <f t="shared" si="0"/>
        <v>2355642.3037711792</v>
      </c>
      <c r="J24">
        <v>4.3</v>
      </c>
      <c r="K24" t="b">
        <v>1</v>
      </c>
    </row>
    <row r="25" spans="1:11" ht="16" x14ac:dyDescent="0.2">
      <c r="A25" s="16">
        <v>44610</v>
      </c>
      <c r="B25" t="s">
        <v>45</v>
      </c>
      <c r="C25" t="s">
        <v>19</v>
      </c>
      <c r="D25" t="s">
        <v>20</v>
      </c>
      <c r="E25" t="s">
        <v>7643</v>
      </c>
      <c r="F25">
        <v>1</v>
      </c>
      <c r="G25" s="15">
        <v>2710000</v>
      </c>
      <c r="H25" s="14">
        <v>0.13075929750140999</v>
      </c>
      <c r="I25" s="27">
        <f t="shared" si="0"/>
        <v>2355642.3037711792</v>
      </c>
      <c r="J25">
        <v>4.4000000000000004</v>
      </c>
      <c r="K25" t="b">
        <v>1</v>
      </c>
    </row>
    <row r="26" spans="1:11" ht="16" x14ac:dyDescent="0.2">
      <c r="A26" s="16">
        <v>44610</v>
      </c>
      <c r="B26" t="s">
        <v>45</v>
      </c>
      <c r="C26" t="s">
        <v>45</v>
      </c>
      <c r="D26" t="s">
        <v>20</v>
      </c>
      <c r="E26" t="s">
        <v>7638</v>
      </c>
      <c r="F26">
        <v>3</v>
      </c>
      <c r="G26" s="15">
        <v>2710000</v>
      </c>
      <c r="H26" s="14">
        <v>0.13075929750140999</v>
      </c>
      <c r="I26" s="27">
        <f t="shared" si="0"/>
        <v>2355642.3037711792</v>
      </c>
      <c r="J26">
        <v>4.9000000000000004</v>
      </c>
      <c r="K26" t="b">
        <v>1</v>
      </c>
    </row>
    <row r="27" spans="1:11" ht="16" x14ac:dyDescent="0.2">
      <c r="A27" s="16">
        <v>44611</v>
      </c>
      <c r="B27" t="s">
        <v>45</v>
      </c>
      <c r="C27" t="s">
        <v>34</v>
      </c>
      <c r="D27" t="s">
        <v>20</v>
      </c>
      <c r="E27" t="s">
        <v>7641</v>
      </c>
      <c r="F27">
        <v>2</v>
      </c>
      <c r="G27" s="15">
        <v>2710000</v>
      </c>
      <c r="H27" s="14">
        <v>0.13075929750140999</v>
      </c>
      <c r="I27" s="27">
        <f t="shared" si="0"/>
        <v>2355642.3037711792</v>
      </c>
      <c r="J27">
        <v>3.3</v>
      </c>
      <c r="K27" t="b">
        <v>0</v>
      </c>
    </row>
    <row r="28" spans="1:11" ht="16" x14ac:dyDescent="0.2">
      <c r="A28" s="16">
        <v>44611</v>
      </c>
      <c r="B28" t="s">
        <v>18</v>
      </c>
      <c r="C28" t="s">
        <v>19</v>
      </c>
      <c r="D28" t="s">
        <v>35</v>
      </c>
      <c r="E28" t="s">
        <v>7644</v>
      </c>
      <c r="F28">
        <v>1</v>
      </c>
      <c r="G28" s="15">
        <v>2710000</v>
      </c>
      <c r="H28" s="14">
        <v>0.13075929750140999</v>
      </c>
      <c r="I28" s="27">
        <f t="shared" si="0"/>
        <v>2355642.3037711792</v>
      </c>
      <c r="J28">
        <v>4.5</v>
      </c>
      <c r="K28" t="b">
        <v>0</v>
      </c>
    </row>
    <row r="29" spans="1:11" ht="16" x14ac:dyDescent="0.2">
      <c r="A29" s="16">
        <v>44613</v>
      </c>
      <c r="B29" t="s">
        <v>18</v>
      </c>
      <c r="C29" t="s">
        <v>45</v>
      </c>
      <c r="D29" t="s">
        <v>20</v>
      </c>
      <c r="E29" t="s">
        <v>7644</v>
      </c>
      <c r="F29">
        <v>1</v>
      </c>
      <c r="G29" s="15">
        <v>2710000</v>
      </c>
      <c r="H29" s="14">
        <v>0.13075929750140999</v>
      </c>
      <c r="I29" s="27">
        <f t="shared" si="0"/>
        <v>2355642.3037711792</v>
      </c>
      <c r="J29">
        <v>4</v>
      </c>
      <c r="K29" t="b">
        <v>1</v>
      </c>
    </row>
    <row r="30" spans="1:11" ht="16" x14ac:dyDescent="0.2">
      <c r="A30" s="16">
        <v>44613</v>
      </c>
      <c r="B30" t="s">
        <v>45</v>
      </c>
      <c r="C30" t="s">
        <v>45</v>
      </c>
      <c r="D30" t="s">
        <v>35</v>
      </c>
      <c r="E30" t="s">
        <v>7643</v>
      </c>
      <c r="F30">
        <v>5</v>
      </c>
      <c r="G30" s="15">
        <v>2710000</v>
      </c>
      <c r="H30" s="14">
        <v>0.13075929750140999</v>
      </c>
      <c r="I30" s="27">
        <f t="shared" si="0"/>
        <v>2355642.3037711792</v>
      </c>
      <c r="J30">
        <v>4.2</v>
      </c>
      <c r="K30" t="b">
        <v>0</v>
      </c>
    </row>
    <row r="31" spans="1:11" ht="16" x14ac:dyDescent="0.2">
      <c r="A31" s="16">
        <v>44614</v>
      </c>
      <c r="B31" t="s">
        <v>45</v>
      </c>
      <c r="C31" t="s">
        <v>45</v>
      </c>
      <c r="D31" t="s">
        <v>35</v>
      </c>
      <c r="E31" t="s">
        <v>57</v>
      </c>
      <c r="F31">
        <v>1</v>
      </c>
      <c r="G31" s="15">
        <v>2710000</v>
      </c>
      <c r="H31" s="14">
        <v>0.13075929750140999</v>
      </c>
      <c r="I31" s="27">
        <f t="shared" si="0"/>
        <v>2355642.3037711792</v>
      </c>
      <c r="J31">
        <v>3.6</v>
      </c>
      <c r="K31" t="b">
        <v>0</v>
      </c>
    </row>
    <row r="32" spans="1:11" ht="16" x14ac:dyDescent="0.2">
      <c r="A32" s="16">
        <v>44616</v>
      </c>
      <c r="B32" t="s">
        <v>29</v>
      </c>
      <c r="C32" t="s">
        <v>25</v>
      </c>
      <c r="D32" t="s">
        <v>20</v>
      </c>
      <c r="E32" t="s">
        <v>99</v>
      </c>
      <c r="F32">
        <v>2</v>
      </c>
      <c r="G32" s="15">
        <v>2710000</v>
      </c>
      <c r="H32" s="14">
        <v>0.13075929750140999</v>
      </c>
      <c r="I32" s="27">
        <f t="shared" si="0"/>
        <v>2355642.3037711792</v>
      </c>
      <c r="J32">
        <v>4.4000000000000004</v>
      </c>
      <c r="K32" t="b">
        <v>1</v>
      </c>
    </row>
    <row r="33" spans="1:11" ht="16" x14ac:dyDescent="0.2">
      <c r="A33" s="16">
        <v>44617</v>
      </c>
      <c r="B33" t="s">
        <v>29</v>
      </c>
      <c r="C33" t="s">
        <v>34</v>
      </c>
      <c r="D33" t="s">
        <v>50</v>
      </c>
      <c r="E33" t="s">
        <v>7643</v>
      </c>
      <c r="F33">
        <v>2</v>
      </c>
      <c r="G33" s="15">
        <v>2710000</v>
      </c>
      <c r="H33" s="14">
        <v>0.13075929750140999</v>
      </c>
      <c r="I33" s="27">
        <f t="shared" si="0"/>
        <v>2355642.3037711792</v>
      </c>
      <c r="J33">
        <v>4.4000000000000004</v>
      </c>
      <c r="K33" t="b">
        <v>1</v>
      </c>
    </row>
    <row r="34" spans="1:11" ht="16" x14ac:dyDescent="0.2">
      <c r="A34" s="16">
        <v>44618</v>
      </c>
      <c r="B34" t="s">
        <v>33</v>
      </c>
      <c r="C34" t="s">
        <v>39</v>
      </c>
      <c r="D34" t="s">
        <v>20</v>
      </c>
      <c r="E34" t="s">
        <v>7644</v>
      </c>
      <c r="F34">
        <v>1</v>
      </c>
      <c r="G34" s="15">
        <v>2710000</v>
      </c>
      <c r="H34" s="14">
        <v>0.13075929750140999</v>
      </c>
      <c r="I34" s="27">
        <f t="shared" si="0"/>
        <v>2355642.3037711792</v>
      </c>
      <c r="J34">
        <v>4.0999999999999996</v>
      </c>
      <c r="K34" t="b">
        <v>1</v>
      </c>
    </row>
    <row r="35" spans="1:11" ht="16" x14ac:dyDescent="0.2">
      <c r="A35" s="16">
        <v>44621</v>
      </c>
      <c r="B35" t="s">
        <v>45</v>
      </c>
      <c r="C35" t="s">
        <v>39</v>
      </c>
      <c r="D35" t="s">
        <v>20</v>
      </c>
      <c r="E35" t="s">
        <v>7641</v>
      </c>
      <c r="F35">
        <v>1</v>
      </c>
      <c r="G35" s="15">
        <v>2710000</v>
      </c>
      <c r="H35" s="14">
        <v>0.13075929750140999</v>
      </c>
      <c r="I35" s="27">
        <f t="shared" si="0"/>
        <v>2355642.3037711792</v>
      </c>
      <c r="J35">
        <v>3.9</v>
      </c>
      <c r="K35" t="b">
        <v>1</v>
      </c>
    </row>
    <row r="36" spans="1:11" ht="16" x14ac:dyDescent="0.2">
      <c r="A36" s="16">
        <v>44623</v>
      </c>
      <c r="B36" t="s">
        <v>18</v>
      </c>
      <c r="C36" t="s">
        <v>19</v>
      </c>
      <c r="D36" t="s">
        <v>46</v>
      </c>
      <c r="E36" t="s">
        <v>7639</v>
      </c>
      <c r="F36">
        <v>1</v>
      </c>
      <c r="G36" s="15">
        <v>2710000</v>
      </c>
      <c r="H36" s="14">
        <v>0.13075929750140999</v>
      </c>
      <c r="I36" s="27">
        <f t="shared" si="0"/>
        <v>2355642.3037711792</v>
      </c>
      <c r="J36">
        <v>3.9</v>
      </c>
      <c r="K36" t="b">
        <v>1</v>
      </c>
    </row>
    <row r="37" spans="1:11" ht="16" x14ac:dyDescent="0.2">
      <c r="A37" s="16">
        <v>44624</v>
      </c>
      <c r="B37" t="s">
        <v>45</v>
      </c>
      <c r="C37" t="s">
        <v>45</v>
      </c>
      <c r="D37" t="s">
        <v>20</v>
      </c>
      <c r="E37" t="s">
        <v>7643</v>
      </c>
      <c r="F37">
        <v>1</v>
      </c>
      <c r="G37" s="15">
        <v>2710000</v>
      </c>
      <c r="H37" s="14">
        <v>0.13075929750140999</v>
      </c>
      <c r="I37" s="27">
        <f t="shared" si="0"/>
        <v>2355642.3037711792</v>
      </c>
      <c r="J37">
        <v>3.9</v>
      </c>
      <c r="K37" t="b">
        <v>0</v>
      </c>
    </row>
    <row r="38" spans="1:11" ht="16" x14ac:dyDescent="0.2">
      <c r="A38" s="16">
        <v>44625</v>
      </c>
      <c r="B38" t="s">
        <v>18</v>
      </c>
      <c r="C38" t="s">
        <v>34</v>
      </c>
      <c r="D38" t="s">
        <v>20</v>
      </c>
      <c r="E38" t="s">
        <v>7642</v>
      </c>
      <c r="F38">
        <v>1</v>
      </c>
      <c r="G38" s="15">
        <v>2710000</v>
      </c>
      <c r="H38" s="14">
        <v>0.13075929750140999</v>
      </c>
      <c r="I38" s="27">
        <f t="shared" si="0"/>
        <v>2355642.3037711792</v>
      </c>
      <c r="J38">
        <v>4.0999999999999996</v>
      </c>
      <c r="K38" t="b">
        <v>1</v>
      </c>
    </row>
    <row r="39" spans="1:11" ht="16" x14ac:dyDescent="0.2">
      <c r="A39" s="16">
        <v>44625</v>
      </c>
      <c r="B39" t="s">
        <v>33</v>
      </c>
      <c r="C39" t="s">
        <v>39</v>
      </c>
      <c r="D39" t="s">
        <v>20</v>
      </c>
      <c r="E39" t="s">
        <v>99</v>
      </c>
      <c r="F39">
        <v>1</v>
      </c>
      <c r="G39" s="15">
        <v>2710000</v>
      </c>
      <c r="H39" s="14">
        <v>0.13075929750140999</v>
      </c>
      <c r="I39" s="27">
        <f t="shared" si="0"/>
        <v>2355642.3037711792</v>
      </c>
      <c r="J39">
        <v>4.2</v>
      </c>
      <c r="K39" t="b">
        <v>1</v>
      </c>
    </row>
    <row r="40" spans="1:11" ht="16" x14ac:dyDescent="0.2">
      <c r="A40" s="16">
        <v>44625</v>
      </c>
      <c r="B40" t="s">
        <v>45</v>
      </c>
      <c r="C40" t="s">
        <v>25</v>
      </c>
      <c r="D40" t="s">
        <v>50</v>
      </c>
      <c r="E40" t="s">
        <v>7644</v>
      </c>
      <c r="F40">
        <v>2</v>
      </c>
      <c r="G40" s="15">
        <v>2710000</v>
      </c>
      <c r="H40" s="14">
        <v>0.13075929750140999</v>
      </c>
      <c r="I40" s="27">
        <f t="shared" si="0"/>
        <v>2355642.3037711792</v>
      </c>
      <c r="J40">
        <v>3.6</v>
      </c>
      <c r="K40" t="b">
        <v>1</v>
      </c>
    </row>
    <row r="41" spans="1:11" ht="16" x14ac:dyDescent="0.2">
      <c r="A41" s="16">
        <v>44625</v>
      </c>
      <c r="B41" t="s">
        <v>45</v>
      </c>
      <c r="C41" t="s">
        <v>34</v>
      </c>
      <c r="D41" t="s">
        <v>50</v>
      </c>
      <c r="E41" t="s">
        <v>57</v>
      </c>
      <c r="F41">
        <v>2</v>
      </c>
      <c r="G41" s="15">
        <v>2710000</v>
      </c>
      <c r="H41" s="14">
        <v>0.13075929750140999</v>
      </c>
      <c r="I41" s="27">
        <f t="shared" si="0"/>
        <v>2355642.3037711792</v>
      </c>
      <c r="J41">
        <v>3.6</v>
      </c>
      <c r="K41" t="b">
        <v>1</v>
      </c>
    </row>
    <row r="42" spans="1:11" ht="16" x14ac:dyDescent="0.2">
      <c r="A42" s="16">
        <v>44625</v>
      </c>
      <c r="B42" t="s">
        <v>45</v>
      </c>
      <c r="C42" t="s">
        <v>68</v>
      </c>
      <c r="D42" t="s">
        <v>35</v>
      </c>
      <c r="E42" t="s">
        <v>7642</v>
      </c>
      <c r="F42">
        <v>2</v>
      </c>
      <c r="G42" s="15">
        <v>2710000</v>
      </c>
      <c r="H42" s="14">
        <v>0.13075929750140999</v>
      </c>
      <c r="I42" s="27">
        <f t="shared" si="0"/>
        <v>2355642.3037711792</v>
      </c>
      <c r="J42">
        <v>4.0999999999999996</v>
      </c>
      <c r="K42" t="b">
        <v>0</v>
      </c>
    </row>
    <row r="43" spans="1:11" ht="16" x14ac:dyDescent="0.2">
      <c r="A43" s="16">
        <v>44626</v>
      </c>
      <c r="B43" t="s">
        <v>18</v>
      </c>
      <c r="C43" t="s">
        <v>25</v>
      </c>
      <c r="D43" t="s">
        <v>20</v>
      </c>
      <c r="E43" t="s">
        <v>57</v>
      </c>
      <c r="F43">
        <v>2</v>
      </c>
      <c r="G43" s="15">
        <v>2710000</v>
      </c>
      <c r="H43" s="14">
        <v>0.13075929750140999</v>
      </c>
      <c r="I43" s="27">
        <f t="shared" si="0"/>
        <v>2355642.3037711792</v>
      </c>
      <c r="J43">
        <v>4.4000000000000004</v>
      </c>
      <c r="K43" t="b">
        <v>0</v>
      </c>
    </row>
    <row r="44" spans="1:11" ht="16" x14ac:dyDescent="0.2">
      <c r="A44" s="16">
        <v>44627</v>
      </c>
      <c r="B44" t="s">
        <v>45</v>
      </c>
      <c r="C44" t="s">
        <v>34</v>
      </c>
      <c r="D44" t="s">
        <v>35</v>
      </c>
      <c r="E44" t="s">
        <v>7641</v>
      </c>
      <c r="F44">
        <v>4</v>
      </c>
      <c r="G44" s="15">
        <v>2710000</v>
      </c>
      <c r="H44" s="14">
        <v>0.13075929750140999</v>
      </c>
      <c r="I44" s="27">
        <f t="shared" si="0"/>
        <v>2355642.3037711792</v>
      </c>
      <c r="J44">
        <v>4.8</v>
      </c>
      <c r="K44" t="b">
        <v>1</v>
      </c>
    </row>
    <row r="45" spans="1:11" ht="16" x14ac:dyDescent="0.2">
      <c r="A45" s="16">
        <v>44628</v>
      </c>
      <c r="B45" t="s">
        <v>45</v>
      </c>
      <c r="C45" t="s">
        <v>19</v>
      </c>
      <c r="D45" t="s">
        <v>35</v>
      </c>
      <c r="E45" t="s">
        <v>7644</v>
      </c>
      <c r="F45">
        <v>2</v>
      </c>
      <c r="G45" s="15">
        <v>2710000</v>
      </c>
      <c r="H45" s="14">
        <v>0.13075929750140999</v>
      </c>
      <c r="I45" s="27">
        <f t="shared" si="0"/>
        <v>2355642.3037711792</v>
      </c>
      <c r="J45">
        <v>4.2</v>
      </c>
      <c r="K45" t="b">
        <v>0</v>
      </c>
    </row>
    <row r="46" spans="1:11" ht="16" x14ac:dyDescent="0.2">
      <c r="A46" s="16">
        <v>44629</v>
      </c>
      <c r="B46" t="s">
        <v>33</v>
      </c>
      <c r="C46" t="s">
        <v>34</v>
      </c>
      <c r="D46" t="s">
        <v>20</v>
      </c>
      <c r="E46" t="s">
        <v>7641</v>
      </c>
      <c r="F46">
        <v>3</v>
      </c>
      <c r="G46" s="15">
        <v>2710000</v>
      </c>
      <c r="H46" s="14">
        <v>0.13075929750140999</v>
      </c>
      <c r="I46" s="27">
        <f t="shared" si="0"/>
        <v>2355642.3037711792</v>
      </c>
      <c r="J46">
        <v>4.3</v>
      </c>
      <c r="K46" t="b">
        <v>1</v>
      </c>
    </row>
    <row r="47" spans="1:11" ht="16" x14ac:dyDescent="0.2">
      <c r="A47" s="16">
        <v>44629</v>
      </c>
      <c r="B47" t="s">
        <v>45</v>
      </c>
      <c r="C47" t="s">
        <v>39</v>
      </c>
      <c r="D47" t="s">
        <v>20</v>
      </c>
      <c r="E47" t="s">
        <v>7642</v>
      </c>
      <c r="F47">
        <v>2</v>
      </c>
      <c r="G47" s="15">
        <v>2710000</v>
      </c>
      <c r="H47" s="14">
        <v>0.13075929750140999</v>
      </c>
      <c r="I47" s="27">
        <f t="shared" si="0"/>
        <v>2355642.3037711792</v>
      </c>
      <c r="J47">
        <v>4.0999999999999996</v>
      </c>
      <c r="K47" t="b">
        <v>1</v>
      </c>
    </row>
    <row r="48" spans="1:11" ht="16" x14ac:dyDescent="0.2">
      <c r="A48" s="16">
        <v>44630</v>
      </c>
      <c r="B48" t="s">
        <v>18</v>
      </c>
      <c r="C48" t="s">
        <v>45</v>
      </c>
      <c r="D48" t="s">
        <v>20</v>
      </c>
      <c r="E48" t="s">
        <v>7637</v>
      </c>
      <c r="F48">
        <v>3</v>
      </c>
      <c r="G48" s="15">
        <v>2710000</v>
      </c>
      <c r="H48" s="14">
        <v>0.13075929750140999</v>
      </c>
      <c r="I48" s="27">
        <f t="shared" si="0"/>
        <v>2355642.3037711792</v>
      </c>
      <c r="J48">
        <v>4.5999999999999996</v>
      </c>
      <c r="K48" t="b">
        <v>1</v>
      </c>
    </row>
    <row r="49" spans="1:11" ht="16" x14ac:dyDescent="0.2">
      <c r="A49" s="16">
        <v>44632</v>
      </c>
      <c r="B49" t="s">
        <v>45</v>
      </c>
      <c r="C49" t="s">
        <v>45</v>
      </c>
      <c r="D49" t="s">
        <v>50</v>
      </c>
      <c r="E49" t="s">
        <v>7637</v>
      </c>
      <c r="F49">
        <v>2</v>
      </c>
      <c r="G49" s="15">
        <v>2710000</v>
      </c>
      <c r="H49" s="14">
        <v>0.13075929750140999</v>
      </c>
      <c r="I49" s="27">
        <f t="shared" si="0"/>
        <v>2355642.3037711792</v>
      </c>
      <c r="J49">
        <v>4.2</v>
      </c>
      <c r="K49" t="b">
        <v>1</v>
      </c>
    </row>
    <row r="50" spans="1:11" ht="16" x14ac:dyDescent="0.2">
      <c r="A50" s="16">
        <v>44633</v>
      </c>
      <c r="B50" t="s">
        <v>18</v>
      </c>
      <c r="C50" t="s">
        <v>39</v>
      </c>
      <c r="D50" t="s">
        <v>35</v>
      </c>
      <c r="E50" t="s">
        <v>7637</v>
      </c>
      <c r="F50">
        <v>3</v>
      </c>
      <c r="G50" s="15">
        <v>2710000</v>
      </c>
      <c r="H50" s="14">
        <v>0.13075929750140999</v>
      </c>
      <c r="I50" s="27">
        <f t="shared" si="0"/>
        <v>2355642.3037711792</v>
      </c>
      <c r="J50">
        <v>4.5</v>
      </c>
      <c r="K50" t="b">
        <v>0</v>
      </c>
    </row>
    <row r="51" spans="1:11" ht="16" x14ac:dyDescent="0.2">
      <c r="A51" s="16">
        <v>44634</v>
      </c>
      <c r="B51" t="s">
        <v>29</v>
      </c>
      <c r="C51" t="s">
        <v>19</v>
      </c>
      <c r="D51" t="s">
        <v>50</v>
      </c>
      <c r="E51" t="s">
        <v>57</v>
      </c>
      <c r="F51">
        <v>1</v>
      </c>
      <c r="G51" s="15">
        <v>2710000</v>
      </c>
      <c r="H51" s="14">
        <v>0.13075929750140999</v>
      </c>
      <c r="I51" s="27">
        <f t="shared" si="0"/>
        <v>2355642.3037711792</v>
      </c>
      <c r="J51">
        <v>4</v>
      </c>
      <c r="K51" t="b">
        <v>1</v>
      </c>
    </row>
    <row r="52" spans="1:11" ht="16" x14ac:dyDescent="0.2">
      <c r="A52" s="16">
        <v>44634</v>
      </c>
      <c r="B52" t="s">
        <v>29</v>
      </c>
      <c r="C52" t="s">
        <v>68</v>
      </c>
      <c r="D52" t="s">
        <v>50</v>
      </c>
      <c r="E52" t="s">
        <v>7637</v>
      </c>
      <c r="F52">
        <v>2</v>
      </c>
      <c r="G52" s="15">
        <v>2710000</v>
      </c>
      <c r="H52" s="14">
        <v>0.13075929750140999</v>
      </c>
      <c r="I52" s="27">
        <f t="shared" si="0"/>
        <v>2355642.3037711792</v>
      </c>
      <c r="J52">
        <v>3.8</v>
      </c>
      <c r="K52" t="b">
        <v>1</v>
      </c>
    </row>
    <row r="53" spans="1:11" ht="16" x14ac:dyDescent="0.2">
      <c r="A53" s="16">
        <v>44634</v>
      </c>
      <c r="B53" t="s">
        <v>18</v>
      </c>
      <c r="C53" t="s">
        <v>45</v>
      </c>
      <c r="D53" t="s">
        <v>20</v>
      </c>
      <c r="E53" t="s">
        <v>99</v>
      </c>
      <c r="F53">
        <v>4</v>
      </c>
      <c r="G53" s="15">
        <v>2710000</v>
      </c>
      <c r="H53" s="14">
        <v>0.13075929750140999</v>
      </c>
      <c r="I53" s="27">
        <f t="shared" si="0"/>
        <v>2355642.3037711792</v>
      </c>
      <c r="J53">
        <v>5</v>
      </c>
      <c r="K53" t="b">
        <v>1</v>
      </c>
    </row>
    <row r="54" spans="1:11" ht="16" x14ac:dyDescent="0.2">
      <c r="A54" s="16">
        <v>44634</v>
      </c>
      <c r="B54" t="s">
        <v>33</v>
      </c>
      <c r="C54" t="s">
        <v>19</v>
      </c>
      <c r="D54" t="s">
        <v>20</v>
      </c>
      <c r="E54" t="s">
        <v>7640</v>
      </c>
      <c r="F54">
        <v>1</v>
      </c>
      <c r="G54" s="15">
        <v>2710000</v>
      </c>
      <c r="H54" s="14">
        <v>0.13075929750140999</v>
      </c>
      <c r="I54" s="27">
        <f t="shared" si="0"/>
        <v>2355642.3037711792</v>
      </c>
      <c r="J54">
        <v>4.2</v>
      </c>
      <c r="K54" t="b">
        <v>1</v>
      </c>
    </row>
    <row r="55" spans="1:11" ht="16" x14ac:dyDescent="0.2">
      <c r="A55" s="16">
        <v>44635</v>
      </c>
      <c r="B55" t="s">
        <v>18</v>
      </c>
      <c r="C55" t="s">
        <v>19</v>
      </c>
      <c r="D55" t="s">
        <v>20</v>
      </c>
      <c r="E55" t="s">
        <v>7640</v>
      </c>
      <c r="F55">
        <v>2</v>
      </c>
      <c r="G55" s="15">
        <v>2710000</v>
      </c>
      <c r="H55" s="14">
        <v>0.13075929750140999</v>
      </c>
      <c r="I55" s="27">
        <f t="shared" si="0"/>
        <v>2355642.3037711792</v>
      </c>
      <c r="J55">
        <v>3.9</v>
      </c>
      <c r="K55" t="b">
        <v>1</v>
      </c>
    </row>
    <row r="56" spans="1:11" ht="16" x14ac:dyDescent="0.2">
      <c r="A56" s="16">
        <v>44635</v>
      </c>
      <c r="B56" t="s">
        <v>45</v>
      </c>
      <c r="C56" t="s">
        <v>19</v>
      </c>
      <c r="D56" t="s">
        <v>50</v>
      </c>
      <c r="E56" t="s">
        <v>7637</v>
      </c>
      <c r="F56">
        <v>1</v>
      </c>
      <c r="G56" s="15">
        <v>2710000</v>
      </c>
      <c r="H56" s="14">
        <v>0.13075929750140999</v>
      </c>
      <c r="I56" s="27">
        <f t="shared" si="0"/>
        <v>2355642.3037711792</v>
      </c>
      <c r="J56">
        <v>3.2</v>
      </c>
      <c r="K56" t="b">
        <v>1</v>
      </c>
    </row>
    <row r="57" spans="1:11" ht="16" x14ac:dyDescent="0.2">
      <c r="A57" s="16">
        <v>44636</v>
      </c>
      <c r="B57" t="s">
        <v>45</v>
      </c>
      <c r="C57" t="s">
        <v>45</v>
      </c>
      <c r="D57" t="s">
        <v>20</v>
      </c>
      <c r="E57" t="s">
        <v>57</v>
      </c>
      <c r="F57">
        <v>2</v>
      </c>
      <c r="G57" s="15">
        <v>2710000</v>
      </c>
      <c r="H57" s="14">
        <v>0.13075929750140999</v>
      </c>
      <c r="I57" s="27">
        <f t="shared" si="0"/>
        <v>2355642.3037711792</v>
      </c>
      <c r="J57">
        <v>4.0999999999999996</v>
      </c>
      <c r="K57" t="b">
        <v>1</v>
      </c>
    </row>
    <row r="58" spans="1:11" ht="16" x14ac:dyDescent="0.2">
      <c r="A58" s="16">
        <v>44636</v>
      </c>
      <c r="B58" t="s">
        <v>33</v>
      </c>
      <c r="C58" t="s">
        <v>19</v>
      </c>
      <c r="D58" t="s">
        <v>35</v>
      </c>
      <c r="E58" t="s">
        <v>57</v>
      </c>
      <c r="F58">
        <v>3</v>
      </c>
      <c r="G58" s="15">
        <v>2710000</v>
      </c>
      <c r="H58" s="14">
        <v>0.13075929750140999</v>
      </c>
      <c r="I58" s="27">
        <f t="shared" si="0"/>
        <v>2355642.3037711792</v>
      </c>
      <c r="J58">
        <v>3.3</v>
      </c>
      <c r="K58" t="b">
        <v>0</v>
      </c>
    </row>
    <row r="59" spans="1:11" ht="16" x14ac:dyDescent="0.2">
      <c r="A59" s="16">
        <v>44636</v>
      </c>
      <c r="B59" t="s">
        <v>29</v>
      </c>
      <c r="C59" t="s">
        <v>25</v>
      </c>
      <c r="D59" t="s">
        <v>20</v>
      </c>
      <c r="E59" t="s">
        <v>7643</v>
      </c>
      <c r="F59">
        <v>1</v>
      </c>
      <c r="G59" s="15">
        <v>2710000</v>
      </c>
      <c r="H59" s="14">
        <v>0.13075929750140999</v>
      </c>
      <c r="I59" s="27">
        <f t="shared" si="0"/>
        <v>2355642.3037711792</v>
      </c>
      <c r="J59">
        <v>4.2</v>
      </c>
      <c r="K59" t="b">
        <v>1</v>
      </c>
    </row>
    <row r="60" spans="1:11" ht="16" x14ac:dyDescent="0.2">
      <c r="A60" s="16">
        <v>44636</v>
      </c>
      <c r="B60" t="s">
        <v>29</v>
      </c>
      <c r="C60" t="s">
        <v>45</v>
      </c>
      <c r="D60" t="s">
        <v>35</v>
      </c>
      <c r="E60" t="s">
        <v>99</v>
      </c>
      <c r="F60">
        <v>1</v>
      </c>
      <c r="G60" s="15">
        <v>2710000</v>
      </c>
      <c r="H60" s="14">
        <v>0.13075929750140999</v>
      </c>
      <c r="I60" s="27">
        <f t="shared" si="0"/>
        <v>2355642.3037711792</v>
      </c>
      <c r="J60">
        <v>4</v>
      </c>
      <c r="K60" t="b">
        <v>1</v>
      </c>
    </row>
    <row r="61" spans="1:11" ht="16" x14ac:dyDescent="0.2">
      <c r="A61" s="16">
        <v>44637</v>
      </c>
      <c r="B61" t="s">
        <v>18</v>
      </c>
      <c r="C61" t="s">
        <v>25</v>
      </c>
      <c r="D61" t="s">
        <v>50</v>
      </c>
      <c r="E61" t="s">
        <v>57</v>
      </c>
      <c r="F61">
        <v>1</v>
      </c>
      <c r="G61" s="15">
        <v>2710000</v>
      </c>
      <c r="H61" s="14">
        <v>0.13075929750140999</v>
      </c>
      <c r="I61" s="27">
        <f t="shared" si="0"/>
        <v>2355642.3037711792</v>
      </c>
      <c r="J61">
        <v>4.3</v>
      </c>
      <c r="K61" t="b">
        <v>1</v>
      </c>
    </row>
    <row r="62" spans="1:11" ht="16" x14ac:dyDescent="0.2">
      <c r="A62" s="16">
        <v>44638</v>
      </c>
      <c r="B62" t="s">
        <v>29</v>
      </c>
      <c r="C62" t="s">
        <v>39</v>
      </c>
      <c r="D62" t="s">
        <v>35</v>
      </c>
      <c r="E62" t="s">
        <v>7638</v>
      </c>
      <c r="F62">
        <v>2</v>
      </c>
      <c r="G62" s="15">
        <v>2710000</v>
      </c>
      <c r="H62" s="14">
        <v>0.13075929750140999</v>
      </c>
      <c r="I62" s="27">
        <f t="shared" si="0"/>
        <v>2355642.3037711792</v>
      </c>
      <c r="J62">
        <v>4.2</v>
      </c>
      <c r="K62" t="b">
        <v>1</v>
      </c>
    </row>
    <row r="63" spans="1:11" ht="16" x14ac:dyDescent="0.2">
      <c r="A63" s="16">
        <v>44638</v>
      </c>
      <c r="B63" t="s">
        <v>33</v>
      </c>
      <c r="C63" t="s">
        <v>68</v>
      </c>
      <c r="D63" t="s">
        <v>20</v>
      </c>
      <c r="E63" t="s">
        <v>7637</v>
      </c>
      <c r="F63">
        <v>3</v>
      </c>
      <c r="G63" s="15">
        <v>2710000</v>
      </c>
      <c r="H63" s="14">
        <v>0.13075929750140999</v>
      </c>
      <c r="I63" s="27">
        <f t="shared" si="0"/>
        <v>2355642.3037711792</v>
      </c>
      <c r="J63">
        <v>4.5999999999999996</v>
      </c>
      <c r="K63" t="b">
        <v>0</v>
      </c>
    </row>
    <row r="64" spans="1:11" ht="16" x14ac:dyDescent="0.2">
      <c r="A64" s="16">
        <v>44639</v>
      </c>
      <c r="B64" t="s">
        <v>18</v>
      </c>
      <c r="C64" t="s">
        <v>19</v>
      </c>
      <c r="D64" t="s">
        <v>20</v>
      </c>
      <c r="E64" t="s">
        <v>7644</v>
      </c>
      <c r="F64">
        <v>1</v>
      </c>
      <c r="G64" s="15">
        <v>2710000</v>
      </c>
      <c r="H64" s="14">
        <v>0.13075929750140999</v>
      </c>
      <c r="I64" s="27">
        <f t="shared" si="0"/>
        <v>2355642.3037711792</v>
      </c>
      <c r="J64">
        <v>3.7</v>
      </c>
      <c r="K64" t="b">
        <v>1</v>
      </c>
    </row>
    <row r="65" spans="1:11" ht="16" x14ac:dyDescent="0.2">
      <c r="A65" s="16">
        <v>44640</v>
      </c>
      <c r="B65" t="s">
        <v>29</v>
      </c>
      <c r="C65" t="s">
        <v>34</v>
      </c>
      <c r="D65" t="s">
        <v>35</v>
      </c>
      <c r="E65" t="s">
        <v>7638</v>
      </c>
      <c r="F65">
        <v>1</v>
      </c>
      <c r="G65" s="15">
        <v>2710000</v>
      </c>
      <c r="H65" s="14">
        <v>0.13075929750140999</v>
      </c>
      <c r="I65" s="27">
        <f t="shared" si="0"/>
        <v>2355642.3037711792</v>
      </c>
      <c r="J65">
        <v>5</v>
      </c>
      <c r="K65" t="b">
        <v>1</v>
      </c>
    </row>
    <row r="66" spans="1:11" ht="16" x14ac:dyDescent="0.2">
      <c r="A66" s="16">
        <v>44641</v>
      </c>
      <c r="B66" t="s">
        <v>33</v>
      </c>
      <c r="C66" t="s">
        <v>45</v>
      </c>
      <c r="D66" t="s">
        <v>35</v>
      </c>
      <c r="E66" t="s">
        <v>99</v>
      </c>
      <c r="F66">
        <v>4</v>
      </c>
      <c r="G66" s="15">
        <v>2710000</v>
      </c>
      <c r="H66" s="14">
        <v>0.13075929750140999</v>
      </c>
      <c r="I66" s="27">
        <f t="shared" si="0"/>
        <v>2355642.3037711792</v>
      </c>
      <c r="J66">
        <v>4.7</v>
      </c>
      <c r="K66" t="b">
        <v>0</v>
      </c>
    </row>
    <row r="67" spans="1:11" ht="16" x14ac:dyDescent="0.2">
      <c r="A67" s="16">
        <v>44641</v>
      </c>
      <c r="B67" t="s">
        <v>45</v>
      </c>
      <c r="C67" t="s">
        <v>19</v>
      </c>
      <c r="D67" t="s">
        <v>20</v>
      </c>
      <c r="E67" t="s">
        <v>7639</v>
      </c>
      <c r="F67">
        <v>2</v>
      </c>
      <c r="G67" s="15">
        <v>2710000</v>
      </c>
      <c r="H67" s="14">
        <v>0.13075929750140999</v>
      </c>
      <c r="I67" s="27">
        <f t="shared" ref="I67:I130" si="1">G67-G67*H67</f>
        <v>2355642.3037711792</v>
      </c>
      <c r="J67">
        <v>3.9</v>
      </c>
      <c r="K67" t="b">
        <v>1</v>
      </c>
    </row>
    <row r="68" spans="1:11" ht="16" x14ac:dyDescent="0.2">
      <c r="A68" s="16">
        <v>44641</v>
      </c>
      <c r="B68" t="s">
        <v>33</v>
      </c>
      <c r="C68" t="s">
        <v>68</v>
      </c>
      <c r="D68" t="s">
        <v>20</v>
      </c>
      <c r="E68" t="s">
        <v>57</v>
      </c>
      <c r="F68">
        <v>2</v>
      </c>
      <c r="G68" s="15">
        <v>2710000</v>
      </c>
      <c r="H68" s="14">
        <v>0.13075929750140999</v>
      </c>
      <c r="I68" s="27">
        <f t="shared" si="1"/>
        <v>2355642.3037711792</v>
      </c>
      <c r="J68">
        <v>3.8</v>
      </c>
      <c r="K68" t="b">
        <v>0</v>
      </c>
    </row>
    <row r="69" spans="1:11" ht="16" x14ac:dyDescent="0.2">
      <c r="A69" s="16">
        <v>44642</v>
      </c>
      <c r="B69" t="s">
        <v>33</v>
      </c>
      <c r="C69" t="s">
        <v>34</v>
      </c>
      <c r="D69" t="s">
        <v>35</v>
      </c>
      <c r="E69" t="s">
        <v>99</v>
      </c>
      <c r="F69">
        <v>1</v>
      </c>
      <c r="G69" s="15">
        <v>2710000</v>
      </c>
      <c r="H69" s="14">
        <v>0.13075929750140999</v>
      </c>
      <c r="I69" s="27">
        <f t="shared" si="1"/>
        <v>2355642.3037711792</v>
      </c>
      <c r="J69">
        <v>4.5999999999999996</v>
      </c>
      <c r="K69" t="b">
        <v>0</v>
      </c>
    </row>
    <row r="70" spans="1:11" ht="16" x14ac:dyDescent="0.2">
      <c r="A70" s="16">
        <v>44643</v>
      </c>
      <c r="B70" t="s">
        <v>18</v>
      </c>
      <c r="C70" t="s">
        <v>25</v>
      </c>
      <c r="D70" t="s">
        <v>20</v>
      </c>
      <c r="E70" t="s">
        <v>7637</v>
      </c>
      <c r="F70">
        <v>4</v>
      </c>
      <c r="G70" s="15">
        <v>2710000</v>
      </c>
      <c r="H70" s="14">
        <v>0.13075929750140999</v>
      </c>
      <c r="I70" s="27">
        <f t="shared" si="1"/>
        <v>2355642.3037711792</v>
      </c>
      <c r="J70">
        <v>3.6</v>
      </c>
      <c r="K70" t="b">
        <v>1</v>
      </c>
    </row>
    <row r="71" spans="1:11" ht="16" x14ac:dyDescent="0.2">
      <c r="A71" s="16">
        <v>44643</v>
      </c>
      <c r="B71" t="s">
        <v>18</v>
      </c>
      <c r="C71" t="s">
        <v>25</v>
      </c>
      <c r="D71" t="s">
        <v>20</v>
      </c>
      <c r="E71" t="s">
        <v>7643</v>
      </c>
      <c r="F71">
        <v>3</v>
      </c>
      <c r="G71" s="15">
        <v>2710000</v>
      </c>
      <c r="H71" s="14">
        <v>0.13075929750140999</v>
      </c>
      <c r="I71" s="27">
        <f t="shared" si="1"/>
        <v>2355642.3037711792</v>
      </c>
      <c r="J71">
        <v>3.5</v>
      </c>
      <c r="K71" t="b">
        <v>0</v>
      </c>
    </row>
    <row r="72" spans="1:11" ht="16" x14ac:dyDescent="0.2">
      <c r="A72" s="16">
        <v>44643</v>
      </c>
      <c r="B72" t="s">
        <v>33</v>
      </c>
      <c r="C72" t="s">
        <v>25</v>
      </c>
      <c r="D72" t="s">
        <v>20</v>
      </c>
      <c r="E72" t="s">
        <v>7638</v>
      </c>
      <c r="F72">
        <v>1</v>
      </c>
      <c r="G72" s="15">
        <v>2710000</v>
      </c>
      <c r="H72" s="14">
        <v>0.13075929750140999</v>
      </c>
      <c r="I72" s="27">
        <f t="shared" si="1"/>
        <v>2355642.3037711792</v>
      </c>
      <c r="J72">
        <v>4.5999999999999996</v>
      </c>
      <c r="K72" t="b">
        <v>1</v>
      </c>
    </row>
    <row r="73" spans="1:11" ht="16" x14ac:dyDescent="0.2">
      <c r="A73" s="16">
        <v>44643</v>
      </c>
      <c r="B73" t="s">
        <v>45</v>
      </c>
      <c r="C73" t="s">
        <v>39</v>
      </c>
      <c r="D73" t="s">
        <v>35</v>
      </c>
      <c r="E73" t="s">
        <v>7638</v>
      </c>
      <c r="F73">
        <v>1</v>
      </c>
      <c r="G73" s="15">
        <v>2710000</v>
      </c>
      <c r="H73" s="14">
        <v>0.13075929750140999</v>
      </c>
      <c r="I73" s="27">
        <f t="shared" si="1"/>
        <v>2355642.3037711792</v>
      </c>
      <c r="J73">
        <v>4.4000000000000004</v>
      </c>
      <c r="K73" t="b">
        <v>0</v>
      </c>
    </row>
    <row r="74" spans="1:11" ht="16" x14ac:dyDescent="0.2">
      <c r="A74" s="16">
        <v>44644</v>
      </c>
      <c r="B74" t="s">
        <v>18</v>
      </c>
      <c r="C74" t="s">
        <v>34</v>
      </c>
      <c r="D74" t="s">
        <v>50</v>
      </c>
      <c r="E74" t="s">
        <v>7642</v>
      </c>
      <c r="F74">
        <v>2</v>
      </c>
      <c r="G74" s="15">
        <v>2710000</v>
      </c>
      <c r="H74" s="14">
        <v>0.13075929750140999</v>
      </c>
      <c r="I74" s="27">
        <f t="shared" si="1"/>
        <v>2355642.3037711792</v>
      </c>
      <c r="J74">
        <v>3.7</v>
      </c>
      <c r="K74" t="b">
        <v>1</v>
      </c>
    </row>
    <row r="75" spans="1:11" ht="16" x14ac:dyDescent="0.2">
      <c r="A75" s="16">
        <v>44645</v>
      </c>
      <c r="B75" t="s">
        <v>18</v>
      </c>
      <c r="C75" t="s">
        <v>34</v>
      </c>
      <c r="D75" t="s">
        <v>50</v>
      </c>
      <c r="E75" t="s">
        <v>7640</v>
      </c>
      <c r="F75">
        <v>1</v>
      </c>
      <c r="G75" s="15">
        <v>2710000</v>
      </c>
      <c r="H75" s="14">
        <v>0.13075929750140999</v>
      </c>
      <c r="I75" s="27">
        <f t="shared" si="1"/>
        <v>2355642.3037711792</v>
      </c>
      <c r="J75">
        <v>4.3</v>
      </c>
      <c r="K75" t="b">
        <v>0</v>
      </c>
    </row>
    <row r="76" spans="1:11" ht="16" x14ac:dyDescent="0.2">
      <c r="A76" s="16">
        <v>44645</v>
      </c>
      <c r="B76" t="s">
        <v>45</v>
      </c>
      <c r="C76" t="s">
        <v>68</v>
      </c>
      <c r="D76" t="s">
        <v>20</v>
      </c>
      <c r="E76" t="s">
        <v>57</v>
      </c>
      <c r="F76">
        <v>1</v>
      </c>
      <c r="G76" s="15">
        <v>2710000</v>
      </c>
      <c r="H76" s="14">
        <v>0.13075929750140999</v>
      </c>
      <c r="I76" s="27">
        <f t="shared" si="1"/>
        <v>2355642.3037711792</v>
      </c>
      <c r="J76">
        <v>5</v>
      </c>
      <c r="K76" t="b">
        <v>1</v>
      </c>
    </row>
    <row r="77" spans="1:11" ht="16" x14ac:dyDescent="0.2">
      <c r="A77" s="16">
        <v>44645</v>
      </c>
      <c r="B77" t="s">
        <v>18</v>
      </c>
      <c r="C77" t="s">
        <v>34</v>
      </c>
      <c r="D77" t="s">
        <v>20</v>
      </c>
      <c r="E77" t="s">
        <v>7643</v>
      </c>
      <c r="F77">
        <v>3</v>
      </c>
      <c r="G77" s="15">
        <v>2710000</v>
      </c>
      <c r="H77" s="14">
        <v>0.13075929750140999</v>
      </c>
      <c r="I77" s="27">
        <f t="shared" si="1"/>
        <v>2355642.3037711792</v>
      </c>
      <c r="J77">
        <v>4.5999999999999996</v>
      </c>
      <c r="K77" t="b">
        <v>0</v>
      </c>
    </row>
    <row r="78" spans="1:11" ht="16" x14ac:dyDescent="0.2">
      <c r="A78" s="16">
        <v>44646</v>
      </c>
      <c r="B78" t="s">
        <v>18</v>
      </c>
      <c r="C78" t="s">
        <v>34</v>
      </c>
      <c r="D78" t="s">
        <v>20</v>
      </c>
      <c r="E78" t="s">
        <v>7641</v>
      </c>
      <c r="F78">
        <v>1</v>
      </c>
      <c r="G78" s="15">
        <v>2710000</v>
      </c>
      <c r="H78" s="14">
        <v>0.13075929750140999</v>
      </c>
      <c r="I78" s="27">
        <f t="shared" si="1"/>
        <v>2355642.3037711792</v>
      </c>
      <c r="J78">
        <v>3.3</v>
      </c>
      <c r="K78" t="b">
        <v>0</v>
      </c>
    </row>
    <row r="79" spans="1:11" ht="16" x14ac:dyDescent="0.2">
      <c r="A79" s="16">
        <v>44646</v>
      </c>
      <c r="B79" t="s">
        <v>45</v>
      </c>
      <c r="C79" t="s">
        <v>34</v>
      </c>
      <c r="D79" t="s">
        <v>35</v>
      </c>
      <c r="E79" t="s">
        <v>7641</v>
      </c>
      <c r="F79">
        <v>2</v>
      </c>
      <c r="G79" s="15">
        <v>2710000</v>
      </c>
      <c r="H79" s="14">
        <v>0.13075929750140999</v>
      </c>
      <c r="I79" s="27">
        <f t="shared" si="1"/>
        <v>2355642.3037711792</v>
      </c>
      <c r="J79">
        <v>4</v>
      </c>
      <c r="K79" t="b">
        <v>1</v>
      </c>
    </row>
    <row r="80" spans="1:11" ht="16" x14ac:dyDescent="0.2">
      <c r="A80" s="16">
        <v>44647</v>
      </c>
      <c r="B80" t="s">
        <v>29</v>
      </c>
      <c r="C80" t="s">
        <v>34</v>
      </c>
      <c r="D80" t="s">
        <v>50</v>
      </c>
      <c r="E80" t="s">
        <v>57</v>
      </c>
      <c r="F80">
        <v>4</v>
      </c>
      <c r="G80" s="15">
        <v>2710000</v>
      </c>
      <c r="H80" s="14">
        <v>0.13075929750140999</v>
      </c>
      <c r="I80" s="27">
        <f t="shared" si="1"/>
        <v>2355642.3037711792</v>
      </c>
      <c r="J80">
        <v>3.2</v>
      </c>
      <c r="K80" t="b">
        <v>1</v>
      </c>
    </row>
    <row r="81" spans="1:11" ht="16" x14ac:dyDescent="0.2">
      <c r="A81" s="16">
        <v>44648</v>
      </c>
      <c r="B81" t="s">
        <v>18</v>
      </c>
      <c r="C81" t="s">
        <v>45</v>
      </c>
      <c r="D81" t="s">
        <v>35</v>
      </c>
      <c r="E81" t="s">
        <v>57</v>
      </c>
      <c r="F81">
        <v>2</v>
      </c>
      <c r="G81" s="15">
        <v>2710000</v>
      </c>
      <c r="H81" s="14">
        <v>0.13075929750140999</v>
      </c>
      <c r="I81" s="27">
        <f t="shared" si="1"/>
        <v>2355642.3037711792</v>
      </c>
      <c r="J81">
        <v>4.5</v>
      </c>
      <c r="K81" t="b">
        <v>1</v>
      </c>
    </row>
    <row r="82" spans="1:11" ht="16" x14ac:dyDescent="0.2">
      <c r="A82" s="16">
        <v>44649</v>
      </c>
      <c r="B82" t="s">
        <v>33</v>
      </c>
      <c r="C82" t="s">
        <v>34</v>
      </c>
      <c r="D82" t="s">
        <v>35</v>
      </c>
      <c r="E82" t="s">
        <v>7641</v>
      </c>
      <c r="F82">
        <v>4</v>
      </c>
      <c r="G82" s="15">
        <v>2710000</v>
      </c>
      <c r="H82" s="14">
        <v>0.13075929750140999</v>
      </c>
      <c r="I82" s="27">
        <f t="shared" si="1"/>
        <v>2355642.3037711792</v>
      </c>
      <c r="J82">
        <v>4</v>
      </c>
      <c r="K82" t="b">
        <v>1</v>
      </c>
    </row>
    <row r="83" spans="1:11" ht="16" x14ac:dyDescent="0.2">
      <c r="A83" s="16">
        <v>44649</v>
      </c>
      <c r="B83" t="s">
        <v>18</v>
      </c>
      <c r="C83" t="s">
        <v>34</v>
      </c>
      <c r="D83" t="s">
        <v>50</v>
      </c>
      <c r="E83" t="s">
        <v>7637</v>
      </c>
      <c r="F83">
        <v>2</v>
      </c>
      <c r="G83" s="15">
        <v>2710000</v>
      </c>
      <c r="H83" s="14">
        <v>0.13075929750140999</v>
      </c>
      <c r="I83" s="27">
        <f t="shared" si="1"/>
        <v>2355642.3037711792</v>
      </c>
      <c r="J83">
        <v>4.4000000000000004</v>
      </c>
      <c r="K83" t="b">
        <v>1</v>
      </c>
    </row>
    <row r="84" spans="1:11" ht="16" x14ac:dyDescent="0.2">
      <c r="A84" s="16">
        <v>44649</v>
      </c>
      <c r="B84" t="s">
        <v>45</v>
      </c>
      <c r="C84" t="s">
        <v>34</v>
      </c>
      <c r="D84" t="s">
        <v>20</v>
      </c>
      <c r="E84" t="s">
        <v>7641</v>
      </c>
      <c r="F84">
        <v>2</v>
      </c>
      <c r="G84" s="15">
        <v>2710000</v>
      </c>
      <c r="H84" s="14">
        <v>0.13075929750140999</v>
      </c>
      <c r="I84" s="27">
        <f t="shared" si="1"/>
        <v>2355642.3037711792</v>
      </c>
      <c r="J84">
        <v>4.2</v>
      </c>
      <c r="K84" t="b">
        <v>0</v>
      </c>
    </row>
    <row r="85" spans="1:11" ht="16" x14ac:dyDescent="0.2">
      <c r="A85" s="16">
        <v>44650</v>
      </c>
      <c r="B85" t="s">
        <v>29</v>
      </c>
      <c r="C85" t="s">
        <v>45</v>
      </c>
      <c r="D85" t="s">
        <v>20</v>
      </c>
      <c r="E85" t="s">
        <v>7641</v>
      </c>
      <c r="F85">
        <v>4</v>
      </c>
      <c r="G85" s="15">
        <v>2710000</v>
      </c>
      <c r="H85" s="14">
        <v>0.13075929750140999</v>
      </c>
      <c r="I85" s="27">
        <f t="shared" si="1"/>
        <v>2355642.3037711792</v>
      </c>
      <c r="J85">
        <v>4.4000000000000004</v>
      </c>
      <c r="K85" t="b">
        <v>0</v>
      </c>
    </row>
    <row r="86" spans="1:11" ht="16" x14ac:dyDescent="0.2">
      <c r="A86" s="16">
        <v>44652</v>
      </c>
      <c r="B86" t="s">
        <v>45</v>
      </c>
      <c r="C86" t="s">
        <v>68</v>
      </c>
      <c r="D86" t="s">
        <v>20</v>
      </c>
      <c r="E86" t="s">
        <v>7637</v>
      </c>
      <c r="F86">
        <v>4</v>
      </c>
      <c r="G86" s="15">
        <v>2710000</v>
      </c>
      <c r="H86" s="14">
        <v>0.13075929750140999</v>
      </c>
      <c r="I86" s="27">
        <f t="shared" si="1"/>
        <v>2355642.3037711792</v>
      </c>
      <c r="J86">
        <v>5</v>
      </c>
      <c r="K86" t="b">
        <v>1</v>
      </c>
    </row>
    <row r="87" spans="1:11" ht="16" x14ac:dyDescent="0.2">
      <c r="A87" s="16">
        <v>44653</v>
      </c>
      <c r="B87" t="s">
        <v>29</v>
      </c>
      <c r="C87" t="s">
        <v>39</v>
      </c>
      <c r="D87" t="s">
        <v>50</v>
      </c>
      <c r="E87" t="s">
        <v>7639</v>
      </c>
      <c r="F87">
        <v>2</v>
      </c>
      <c r="G87" s="15">
        <v>2710000</v>
      </c>
      <c r="H87" s="14">
        <v>0.13075929750140999</v>
      </c>
      <c r="I87" s="27">
        <f t="shared" si="1"/>
        <v>2355642.3037711792</v>
      </c>
      <c r="J87">
        <v>4.9000000000000004</v>
      </c>
      <c r="K87" t="b">
        <v>0</v>
      </c>
    </row>
    <row r="88" spans="1:11" ht="16" x14ac:dyDescent="0.2">
      <c r="A88" s="16">
        <v>44653</v>
      </c>
      <c r="B88" t="s">
        <v>45</v>
      </c>
      <c r="C88" t="s">
        <v>45</v>
      </c>
      <c r="D88" t="s">
        <v>20</v>
      </c>
      <c r="E88" t="s">
        <v>7643</v>
      </c>
      <c r="F88">
        <v>1</v>
      </c>
      <c r="G88" s="15">
        <v>2710000</v>
      </c>
      <c r="H88" s="14">
        <v>0.13075929750140999</v>
      </c>
      <c r="I88" s="27">
        <f t="shared" si="1"/>
        <v>2355642.3037711792</v>
      </c>
      <c r="J88">
        <v>4.5</v>
      </c>
      <c r="K88" t="b">
        <v>1</v>
      </c>
    </row>
    <row r="89" spans="1:11" ht="16" x14ac:dyDescent="0.2">
      <c r="A89" s="16">
        <v>44654</v>
      </c>
      <c r="B89" t="s">
        <v>33</v>
      </c>
      <c r="C89" t="s">
        <v>68</v>
      </c>
      <c r="D89" t="s">
        <v>20</v>
      </c>
      <c r="E89" t="s">
        <v>7638</v>
      </c>
      <c r="F89">
        <v>4</v>
      </c>
      <c r="G89" s="15">
        <v>2710000</v>
      </c>
      <c r="H89" s="14">
        <v>0.13075929750140999</v>
      </c>
      <c r="I89" s="27">
        <f t="shared" si="1"/>
        <v>2355642.3037711792</v>
      </c>
      <c r="J89">
        <v>4.7</v>
      </c>
      <c r="K89" t="b">
        <v>1</v>
      </c>
    </row>
    <row r="90" spans="1:11" ht="16" x14ac:dyDescent="0.2">
      <c r="A90" s="16">
        <v>44654</v>
      </c>
      <c r="B90" t="s">
        <v>33</v>
      </c>
      <c r="C90" t="s">
        <v>19</v>
      </c>
      <c r="D90" t="s">
        <v>35</v>
      </c>
      <c r="E90" t="s">
        <v>99</v>
      </c>
      <c r="F90">
        <v>1</v>
      </c>
      <c r="G90" s="15">
        <v>2710000</v>
      </c>
      <c r="H90" s="14">
        <v>0.13075929750140999</v>
      </c>
      <c r="I90" s="27">
        <f t="shared" si="1"/>
        <v>2355642.3037711792</v>
      </c>
      <c r="J90">
        <v>4.7</v>
      </c>
      <c r="K90" t="b">
        <v>1</v>
      </c>
    </row>
    <row r="91" spans="1:11" ht="16" x14ac:dyDescent="0.2">
      <c r="A91" s="16">
        <v>44655</v>
      </c>
      <c r="B91" t="s">
        <v>18</v>
      </c>
      <c r="C91" t="s">
        <v>39</v>
      </c>
      <c r="D91" t="s">
        <v>35</v>
      </c>
      <c r="E91" t="s">
        <v>99</v>
      </c>
      <c r="F91">
        <v>2</v>
      </c>
      <c r="G91" s="15">
        <v>2710000</v>
      </c>
      <c r="H91" s="14">
        <v>0.13075929750140999</v>
      </c>
      <c r="I91" s="27">
        <f t="shared" si="1"/>
        <v>2355642.3037711792</v>
      </c>
      <c r="J91">
        <v>3.7</v>
      </c>
      <c r="K91" t="b">
        <v>0</v>
      </c>
    </row>
    <row r="92" spans="1:11" ht="16" x14ac:dyDescent="0.2">
      <c r="A92" s="16">
        <v>44656</v>
      </c>
      <c r="B92" t="s">
        <v>18</v>
      </c>
      <c r="C92" t="s">
        <v>34</v>
      </c>
      <c r="D92" t="s">
        <v>35</v>
      </c>
      <c r="E92" t="s">
        <v>7638</v>
      </c>
      <c r="F92">
        <v>1</v>
      </c>
      <c r="G92" s="15">
        <v>2710000</v>
      </c>
      <c r="H92" s="14">
        <v>0.13075929750140999</v>
      </c>
      <c r="I92" s="27">
        <f t="shared" si="1"/>
        <v>2355642.3037711792</v>
      </c>
      <c r="J92">
        <v>4.2</v>
      </c>
      <c r="K92" t="b">
        <v>1</v>
      </c>
    </row>
    <row r="93" spans="1:11" ht="16" x14ac:dyDescent="0.2">
      <c r="A93" s="16">
        <v>44656</v>
      </c>
      <c r="B93" t="s">
        <v>45</v>
      </c>
      <c r="C93" t="s">
        <v>19</v>
      </c>
      <c r="D93" t="s">
        <v>20</v>
      </c>
      <c r="E93" t="s">
        <v>7639</v>
      </c>
      <c r="F93">
        <v>2</v>
      </c>
      <c r="G93" s="15">
        <v>2710000</v>
      </c>
      <c r="H93" s="14">
        <v>0.13075929750140999</v>
      </c>
      <c r="I93" s="27">
        <f t="shared" si="1"/>
        <v>2355642.3037711792</v>
      </c>
      <c r="J93">
        <v>3.6</v>
      </c>
      <c r="K93" t="b">
        <v>0</v>
      </c>
    </row>
    <row r="94" spans="1:11" ht="16" x14ac:dyDescent="0.2">
      <c r="A94" s="16">
        <v>44657</v>
      </c>
      <c r="B94" t="s">
        <v>18</v>
      </c>
      <c r="C94" t="s">
        <v>34</v>
      </c>
      <c r="D94" t="s">
        <v>20</v>
      </c>
      <c r="E94" t="s">
        <v>7644</v>
      </c>
      <c r="F94">
        <v>3</v>
      </c>
      <c r="G94" s="15">
        <v>2710000</v>
      </c>
      <c r="H94" s="14">
        <v>0.13075929750140999</v>
      </c>
      <c r="I94" s="27">
        <f t="shared" si="1"/>
        <v>2355642.3037711792</v>
      </c>
      <c r="J94">
        <v>4.5</v>
      </c>
      <c r="K94" t="b">
        <v>1</v>
      </c>
    </row>
    <row r="95" spans="1:11" ht="16" x14ac:dyDescent="0.2">
      <c r="A95" s="16">
        <v>44658</v>
      </c>
      <c r="B95" t="s">
        <v>18</v>
      </c>
      <c r="C95" t="s">
        <v>68</v>
      </c>
      <c r="D95" t="s">
        <v>35</v>
      </c>
      <c r="E95" t="s">
        <v>7638</v>
      </c>
      <c r="F95">
        <v>1</v>
      </c>
      <c r="G95" s="15">
        <v>2710000</v>
      </c>
      <c r="H95" s="14">
        <v>0.13075929750140999</v>
      </c>
      <c r="I95" s="27">
        <f t="shared" si="1"/>
        <v>2355642.3037711792</v>
      </c>
      <c r="J95">
        <v>4</v>
      </c>
      <c r="K95" t="b">
        <v>0</v>
      </c>
    </row>
    <row r="96" spans="1:11" ht="16" x14ac:dyDescent="0.2">
      <c r="A96" s="16">
        <v>44658</v>
      </c>
      <c r="B96" t="s">
        <v>18</v>
      </c>
      <c r="C96" t="s">
        <v>19</v>
      </c>
      <c r="D96" t="s">
        <v>20</v>
      </c>
      <c r="E96" t="s">
        <v>7644</v>
      </c>
      <c r="F96">
        <v>2</v>
      </c>
      <c r="G96" s="15">
        <v>2710000</v>
      </c>
      <c r="H96" s="14">
        <v>0.13075929750140999</v>
      </c>
      <c r="I96" s="27">
        <f t="shared" si="1"/>
        <v>2355642.3037711792</v>
      </c>
      <c r="J96">
        <v>4.3</v>
      </c>
      <c r="K96" t="b">
        <v>1</v>
      </c>
    </row>
    <row r="97" spans="1:11" ht="16" x14ac:dyDescent="0.2">
      <c r="A97" s="16">
        <v>44660</v>
      </c>
      <c r="B97" t="s">
        <v>18</v>
      </c>
      <c r="C97" t="s">
        <v>39</v>
      </c>
      <c r="D97" t="s">
        <v>20</v>
      </c>
      <c r="E97" t="s">
        <v>7638</v>
      </c>
      <c r="F97">
        <v>1</v>
      </c>
      <c r="G97" s="15">
        <v>2710000</v>
      </c>
      <c r="H97" s="14">
        <v>0.13075929750140999</v>
      </c>
      <c r="I97" s="27">
        <f t="shared" si="1"/>
        <v>2355642.3037711792</v>
      </c>
      <c r="J97">
        <v>4.5</v>
      </c>
      <c r="K97" t="b">
        <v>0</v>
      </c>
    </row>
    <row r="98" spans="1:11" ht="16" x14ac:dyDescent="0.2">
      <c r="A98" s="16">
        <v>44661</v>
      </c>
      <c r="B98" t="s">
        <v>29</v>
      </c>
      <c r="C98" t="s">
        <v>19</v>
      </c>
      <c r="D98" t="s">
        <v>20</v>
      </c>
      <c r="E98" t="s">
        <v>7642</v>
      </c>
      <c r="F98">
        <v>1</v>
      </c>
      <c r="G98" s="15">
        <v>2710000</v>
      </c>
      <c r="H98" s="14">
        <v>0.13075929750140999</v>
      </c>
      <c r="I98" s="27">
        <f t="shared" si="1"/>
        <v>2355642.3037711792</v>
      </c>
      <c r="J98">
        <v>4.7</v>
      </c>
      <c r="K98" t="b">
        <v>0</v>
      </c>
    </row>
    <row r="99" spans="1:11" ht="16" x14ac:dyDescent="0.2">
      <c r="A99" s="16">
        <v>44662</v>
      </c>
      <c r="B99" t="s">
        <v>33</v>
      </c>
      <c r="C99" t="s">
        <v>68</v>
      </c>
      <c r="D99" t="s">
        <v>20</v>
      </c>
      <c r="E99" t="s">
        <v>7641</v>
      </c>
      <c r="F99">
        <v>1</v>
      </c>
      <c r="G99" s="15">
        <v>2710000</v>
      </c>
      <c r="H99" s="14">
        <v>0.13075929750140999</v>
      </c>
      <c r="I99" s="27">
        <f t="shared" si="1"/>
        <v>2355642.3037711792</v>
      </c>
      <c r="J99">
        <v>4.2</v>
      </c>
      <c r="K99" t="b">
        <v>0</v>
      </c>
    </row>
    <row r="100" spans="1:11" ht="16" x14ac:dyDescent="0.2">
      <c r="A100" s="16">
        <v>44663</v>
      </c>
      <c r="B100" t="s">
        <v>33</v>
      </c>
      <c r="C100" t="s">
        <v>34</v>
      </c>
      <c r="D100" t="s">
        <v>50</v>
      </c>
      <c r="E100" t="s">
        <v>57</v>
      </c>
      <c r="F100">
        <v>1</v>
      </c>
      <c r="G100" s="15">
        <v>2710000</v>
      </c>
      <c r="H100" s="14">
        <v>0.13075929750140999</v>
      </c>
      <c r="I100" s="27">
        <f t="shared" si="1"/>
        <v>2355642.3037711792</v>
      </c>
      <c r="J100">
        <v>3.6</v>
      </c>
      <c r="K100" t="b">
        <v>1</v>
      </c>
    </row>
    <row r="101" spans="1:11" ht="16" x14ac:dyDescent="0.2">
      <c r="A101" s="16">
        <v>44663</v>
      </c>
      <c r="B101" t="s">
        <v>29</v>
      </c>
      <c r="C101" t="s">
        <v>34</v>
      </c>
      <c r="D101" t="s">
        <v>50</v>
      </c>
      <c r="E101" t="s">
        <v>7643</v>
      </c>
      <c r="F101">
        <v>1</v>
      </c>
      <c r="G101" s="15">
        <v>2710000</v>
      </c>
      <c r="H101" s="14">
        <v>0.13075929750140999</v>
      </c>
      <c r="I101" s="27">
        <f t="shared" si="1"/>
        <v>2355642.3037711792</v>
      </c>
      <c r="J101">
        <v>4.4000000000000004</v>
      </c>
      <c r="K101" t="b">
        <v>1</v>
      </c>
    </row>
    <row r="102" spans="1:11" ht="16" x14ac:dyDescent="0.2">
      <c r="A102" s="16">
        <v>44664</v>
      </c>
      <c r="B102" t="s">
        <v>18</v>
      </c>
      <c r="C102" t="s">
        <v>34</v>
      </c>
      <c r="D102" t="s">
        <v>50</v>
      </c>
      <c r="E102" t="s">
        <v>7643</v>
      </c>
      <c r="F102">
        <v>1</v>
      </c>
      <c r="G102" s="15">
        <v>2710000</v>
      </c>
      <c r="H102" s="14">
        <v>0.13075929750140999</v>
      </c>
      <c r="I102" s="27">
        <f t="shared" si="1"/>
        <v>2355642.3037711792</v>
      </c>
      <c r="J102">
        <v>4.7</v>
      </c>
      <c r="K102" t="b">
        <v>1</v>
      </c>
    </row>
    <row r="103" spans="1:11" ht="16" x14ac:dyDescent="0.2">
      <c r="A103" s="16">
        <v>44664</v>
      </c>
      <c r="B103" t="s">
        <v>33</v>
      </c>
      <c r="C103" t="s">
        <v>68</v>
      </c>
      <c r="D103" t="s">
        <v>20</v>
      </c>
      <c r="E103" t="s">
        <v>7637</v>
      </c>
      <c r="F103">
        <v>2</v>
      </c>
      <c r="G103" s="15">
        <v>2710000</v>
      </c>
      <c r="H103" s="14">
        <v>0.13075929750140999</v>
      </c>
      <c r="I103" s="27">
        <f t="shared" si="1"/>
        <v>2355642.3037711792</v>
      </c>
      <c r="J103">
        <v>4.5</v>
      </c>
      <c r="K103" t="b">
        <v>1</v>
      </c>
    </row>
    <row r="104" spans="1:11" ht="16" x14ac:dyDescent="0.2">
      <c r="A104" s="16">
        <v>44665</v>
      </c>
      <c r="B104" t="s">
        <v>18</v>
      </c>
      <c r="C104" t="s">
        <v>45</v>
      </c>
      <c r="D104" t="s">
        <v>20</v>
      </c>
      <c r="E104" t="s">
        <v>7637</v>
      </c>
      <c r="F104">
        <v>2</v>
      </c>
      <c r="G104" s="15">
        <v>2710000</v>
      </c>
      <c r="H104" s="14">
        <v>0.13075929750140999</v>
      </c>
      <c r="I104" s="27">
        <f t="shared" si="1"/>
        <v>2355642.3037711792</v>
      </c>
      <c r="J104">
        <v>4.2</v>
      </c>
      <c r="K104" t="b">
        <v>0</v>
      </c>
    </row>
    <row r="105" spans="1:11" ht="16" x14ac:dyDescent="0.2">
      <c r="A105" s="16">
        <v>44665</v>
      </c>
      <c r="B105" t="s">
        <v>45</v>
      </c>
      <c r="C105" t="s">
        <v>19</v>
      </c>
      <c r="D105" t="s">
        <v>20</v>
      </c>
      <c r="E105" t="s">
        <v>7640</v>
      </c>
      <c r="F105">
        <v>4</v>
      </c>
      <c r="G105" s="15">
        <v>2710000</v>
      </c>
      <c r="H105" s="14">
        <v>0.13075929750140999</v>
      </c>
      <c r="I105" s="27">
        <f t="shared" si="1"/>
        <v>2355642.3037711792</v>
      </c>
      <c r="J105">
        <v>3.8</v>
      </c>
      <c r="K105" t="b">
        <v>0</v>
      </c>
    </row>
    <row r="106" spans="1:11" ht="16" x14ac:dyDescent="0.2">
      <c r="A106" s="16">
        <v>44666</v>
      </c>
      <c r="B106" t="s">
        <v>33</v>
      </c>
      <c r="C106" t="s">
        <v>45</v>
      </c>
      <c r="D106" t="s">
        <v>50</v>
      </c>
      <c r="E106" t="s">
        <v>7641</v>
      </c>
      <c r="F106">
        <v>1</v>
      </c>
      <c r="G106" s="15">
        <v>2710000</v>
      </c>
      <c r="H106" s="14">
        <v>0.13075929750140999</v>
      </c>
      <c r="I106" s="27">
        <f t="shared" si="1"/>
        <v>2355642.3037711792</v>
      </c>
      <c r="J106">
        <v>4.9000000000000004</v>
      </c>
      <c r="K106" t="b">
        <v>0</v>
      </c>
    </row>
    <row r="107" spans="1:11" ht="16" x14ac:dyDescent="0.2">
      <c r="A107" s="16">
        <v>44666</v>
      </c>
      <c r="B107" t="s">
        <v>18</v>
      </c>
      <c r="C107" t="s">
        <v>39</v>
      </c>
      <c r="D107" t="s">
        <v>20</v>
      </c>
      <c r="E107" t="s">
        <v>7637</v>
      </c>
      <c r="F107">
        <v>1</v>
      </c>
      <c r="G107" s="15">
        <v>2710000</v>
      </c>
      <c r="H107" s="14">
        <v>0.13075929750140999</v>
      </c>
      <c r="I107" s="27">
        <f t="shared" si="1"/>
        <v>2355642.3037711792</v>
      </c>
      <c r="J107">
        <v>4.8</v>
      </c>
      <c r="K107" t="b">
        <v>0</v>
      </c>
    </row>
    <row r="108" spans="1:11" ht="16" x14ac:dyDescent="0.2">
      <c r="A108" s="16">
        <v>44666</v>
      </c>
      <c r="B108" t="s">
        <v>29</v>
      </c>
      <c r="C108" t="s">
        <v>19</v>
      </c>
      <c r="D108" t="s">
        <v>20</v>
      </c>
      <c r="E108" t="s">
        <v>7638</v>
      </c>
      <c r="F108">
        <v>1</v>
      </c>
      <c r="G108" s="15">
        <v>2710000</v>
      </c>
      <c r="H108" s="14">
        <v>0.13075929750140999</v>
      </c>
      <c r="I108" s="27">
        <f t="shared" si="1"/>
        <v>2355642.3037711792</v>
      </c>
      <c r="J108">
        <v>3.9</v>
      </c>
      <c r="K108" t="b">
        <v>1</v>
      </c>
    </row>
    <row r="109" spans="1:11" ht="16" x14ac:dyDescent="0.2">
      <c r="A109" s="16">
        <v>44669</v>
      </c>
      <c r="B109" t="s">
        <v>33</v>
      </c>
      <c r="C109" t="s">
        <v>25</v>
      </c>
      <c r="D109" t="s">
        <v>20</v>
      </c>
      <c r="E109" t="s">
        <v>7643</v>
      </c>
      <c r="F109">
        <v>5</v>
      </c>
      <c r="G109" s="15">
        <v>2710000</v>
      </c>
      <c r="H109" s="14">
        <v>0.13075929750140999</v>
      </c>
      <c r="I109" s="27">
        <f t="shared" si="1"/>
        <v>2355642.3037711792</v>
      </c>
      <c r="J109">
        <v>5</v>
      </c>
      <c r="K109" t="b">
        <v>1</v>
      </c>
    </row>
    <row r="110" spans="1:11" ht="16" x14ac:dyDescent="0.2">
      <c r="A110" s="16">
        <v>44669</v>
      </c>
      <c r="B110" t="s">
        <v>18</v>
      </c>
      <c r="C110" t="s">
        <v>19</v>
      </c>
      <c r="D110" t="s">
        <v>20</v>
      </c>
      <c r="E110" t="s">
        <v>99</v>
      </c>
      <c r="F110">
        <v>2</v>
      </c>
      <c r="G110" s="15">
        <v>2710000</v>
      </c>
      <c r="H110" s="14">
        <v>0.13075929750140999</v>
      </c>
      <c r="I110" s="27">
        <f t="shared" si="1"/>
        <v>2355642.3037711792</v>
      </c>
      <c r="J110">
        <v>4</v>
      </c>
      <c r="K110" t="b">
        <v>1</v>
      </c>
    </row>
    <row r="111" spans="1:11" ht="16" x14ac:dyDescent="0.2">
      <c r="A111" s="16">
        <v>44670</v>
      </c>
      <c r="B111" t="s">
        <v>33</v>
      </c>
      <c r="C111" t="s">
        <v>68</v>
      </c>
      <c r="D111" t="s">
        <v>20</v>
      </c>
      <c r="E111" t="s">
        <v>99</v>
      </c>
      <c r="F111">
        <v>2</v>
      </c>
      <c r="G111" s="15">
        <v>2710000</v>
      </c>
      <c r="H111" s="14">
        <v>0.13075929750140999</v>
      </c>
      <c r="I111" s="27">
        <f t="shared" si="1"/>
        <v>2355642.3037711792</v>
      </c>
      <c r="J111">
        <v>3.8</v>
      </c>
      <c r="K111" t="b">
        <v>1</v>
      </c>
    </row>
    <row r="112" spans="1:11" ht="16" x14ac:dyDescent="0.2">
      <c r="A112" s="16">
        <v>44670</v>
      </c>
      <c r="B112" t="s">
        <v>33</v>
      </c>
      <c r="C112" t="s">
        <v>34</v>
      </c>
      <c r="D112" t="s">
        <v>35</v>
      </c>
      <c r="E112" t="s">
        <v>99</v>
      </c>
      <c r="F112">
        <v>3</v>
      </c>
      <c r="G112" s="15">
        <v>2710000</v>
      </c>
      <c r="H112" s="14">
        <v>0.13075929750140999</v>
      </c>
      <c r="I112" s="27">
        <f t="shared" si="1"/>
        <v>2355642.3037711792</v>
      </c>
      <c r="J112">
        <v>4.4000000000000004</v>
      </c>
      <c r="K112" t="b">
        <v>1</v>
      </c>
    </row>
    <row r="113" spans="1:11" ht="16" x14ac:dyDescent="0.2">
      <c r="A113" s="16">
        <v>44671</v>
      </c>
      <c r="B113" t="s">
        <v>45</v>
      </c>
      <c r="C113" t="s">
        <v>34</v>
      </c>
      <c r="D113" t="s">
        <v>20</v>
      </c>
      <c r="E113" t="s">
        <v>7637</v>
      </c>
      <c r="F113">
        <v>1</v>
      </c>
      <c r="G113" s="15">
        <v>2710000</v>
      </c>
      <c r="H113" s="14">
        <v>0.13075929750140999</v>
      </c>
      <c r="I113" s="27">
        <f t="shared" si="1"/>
        <v>2355642.3037711792</v>
      </c>
      <c r="J113">
        <v>4.4000000000000004</v>
      </c>
      <c r="K113" t="b">
        <v>0</v>
      </c>
    </row>
    <row r="114" spans="1:11" ht="16" x14ac:dyDescent="0.2">
      <c r="A114" s="16">
        <v>44671</v>
      </c>
      <c r="B114" t="s">
        <v>33</v>
      </c>
      <c r="C114" t="s">
        <v>68</v>
      </c>
      <c r="D114" t="s">
        <v>20</v>
      </c>
      <c r="E114" t="s">
        <v>7643</v>
      </c>
      <c r="F114">
        <v>2</v>
      </c>
      <c r="G114" s="15">
        <v>2710000</v>
      </c>
      <c r="H114" s="14">
        <v>0.13075929750140999</v>
      </c>
      <c r="I114" s="27">
        <f t="shared" si="1"/>
        <v>2355642.3037711792</v>
      </c>
      <c r="J114">
        <v>4.0999999999999996</v>
      </c>
      <c r="K114" t="b">
        <v>0</v>
      </c>
    </row>
    <row r="115" spans="1:11" ht="16" x14ac:dyDescent="0.2">
      <c r="A115" s="16">
        <v>44671</v>
      </c>
      <c r="B115" t="s">
        <v>45</v>
      </c>
      <c r="C115" t="s">
        <v>34</v>
      </c>
      <c r="D115" t="s">
        <v>35</v>
      </c>
      <c r="E115" t="s">
        <v>7641</v>
      </c>
      <c r="F115">
        <v>4</v>
      </c>
      <c r="G115" s="15">
        <v>2710000</v>
      </c>
      <c r="H115" s="14">
        <v>0.13075929750140999</v>
      </c>
      <c r="I115" s="27">
        <f t="shared" si="1"/>
        <v>2355642.3037711792</v>
      </c>
      <c r="J115">
        <v>4.0999999999999996</v>
      </c>
      <c r="K115" t="b">
        <v>1</v>
      </c>
    </row>
    <row r="116" spans="1:11" ht="16" x14ac:dyDescent="0.2">
      <c r="A116" s="16">
        <v>44671</v>
      </c>
      <c r="B116" t="s">
        <v>18</v>
      </c>
      <c r="C116" t="s">
        <v>19</v>
      </c>
      <c r="D116" t="s">
        <v>46</v>
      </c>
      <c r="E116" t="s">
        <v>7644</v>
      </c>
      <c r="F116">
        <v>4</v>
      </c>
      <c r="G116" s="15">
        <v>2710000</v>
      </c>
      <c r="H116" s="14">
        <v>0.13075929750140999</v>
      </c>
      <c r="I116" s="27">
        <f t="shared" si="1"/>
        <v>2355642.3037711792</v>
      </c>
      <c r="J116">
        <v>4.3</v>
      </c>
      <c r="K116" t="b">
        <v>1</v>
      </c>
    </row>
    <row r="117" spans="1:11" ht="16" x14ac:dyDescent="0.2">
      <c r="A117" s="16">
        <v>44673</v>
      </c>
      <c r="B117" t="s">
        <v>33</v>
      </c>
      <c r="C117" t="s">
        <v>34</v>
      </c>
      <c r="D117" t="s">
        <v>20</v>
      </c>
      <c r="E117" t="s">
        <v>7642</v>
      </c>
      <c r="F117">
        <v>3</v>
      </c>
      <c r="G117" s="15">
        <v>2710000</v>
      </c>
      <c r="H117" s="14">
        <v>0.13075929750140999</v>
      </c>
      <c r="I117" s="27">
        <f t="shared" si="1"/>
        <v>2355642.3037711792</v>
      </c>
      <c r="J117">
        <v>4.0999999999999996</v>
      </c>
      <c r="K117" t="b">
        <v>1</v>
      </c>
    </row>
    <row r="118" spans="1:11" ht="16" x14ac:dyDescent="0.2">
      <c r="A118" s="16">
        <v>44673</v>
      </c>
      <c r="B118" t="s">
        <v>18</v>
      </c>
      <c r="C118" t="s">
        <v>19</v>
      </c>
      <c r="D118" t="s">
        <v>20</v>
      </c>
      <c r="E118" t="s">
        <v>7643</v>
      </c>
      <c r="F118">
        <v>3</v>
      </c>
      <c r="G118" s="15">
        <v>2710000</v>
      </c>
      <c r="H118" s="14">
        <v>0.13075929750140999</v>
      </c>
      <c r="I118" s="27">
        <f t="shared" si="1"/>
        <v>2355642.3037711792</v>
      </c>
      <c r="J118">
        <v>4.7</v>
      </c>
      <c r="K118" t="b">
        <v>0</v>
      </c>
    </row>
    <row r="119" spans="1:11" ht="16" x14ac:dyDescent="0.2">
      <c r="A119" s="16">
        <v>44674</v>
      </c>
      <c r="B119" t="s">
        <v>45</v>
      </c>
      <c r="C119" t="s">
        <v>19</v>
      </c>
      <c r="D119" t="s">
        <v>35</v>
      </c>
      <c r="E119" t="s">
        <v>7642</v>
      </c>
      <c r="F119">
        <v>1</v>
      </c>
      <c r="G119" s="15">
        <v>2710000</v>
      </c>
      <c r="H119" s="14">
        <v>0.13075929750140999</v>
      </c>
      <c r="I119" s="27">
        <f t="shared" si="1"/>
        <v>2355642.3037711792</v>
      </c>
      <c r="J119">
        <v>4.7</v>
      </c>
      <c r="K119" t="b">
        <v>1</v>
      </c>
    </row>
    <row r="120" spans="1:11" ht="16" x14ac:dyDescent="0.2">
      <c r="A120" s="16">
        <v>44675</v>
      </c>
      <c r="B120" t="s">
        <v>18</v>
      </c>
      <c r="C120" t="s">
        <v>45</v>
      </c>
      <c r="D120" t="s">
        <v>20</v>
      </c>
      <c r="E120" t="s">
        <v>7640</v>
      </c>
      <c r="F120">
        <v>2</v>
      </c>
      <c r="G120" s="15">
        <v>2710000</v>
      </c>
      <c r="H120" s="14">
        <v>0.13075929750140999</v>
      </c>
      <c r="I120" s="27">
        <f t="shared" si="1"/>
        <v>2355642.3037711792</v>
      </c>
      <c r="J120">
        <v>3.3</v>
      </c>
      <c r="K120" t="b">
        <v>0</v>
      </c>
    </row>
    <row r="121" spans="1:11" ht="16" x14ac:dyDescent="0.2">
      <c r="A121" s="16">
        <v>44675</v>
      </c>
      <c r="B121" t="s">
        <v>45</v>
      </c>
      <c r="C121" t="s">
        <v>19</v>
      </c>
      <c r="D121" t="s">
        <v>50</v>
      </c>
      <c r="E121" t="s">
        <v>7637</v>
      </c>
      <c r="F121">
        <v>1</v>
      </c>
      <c r="G121" s="15">
        <v>2710000</v>
      </c>
      <c r="H121" s="14">
        <v>0.13075929750140999</v>
      </c>
      <c r="I121" s="27">
        <f t="shared" si="1"/>
        <v>2355642.3037711792</v>
      </c>
      <c r="J121">
        <v>4.4000000000000004</v>
      </c>
      <c r="K121" t="b">
        <v>1</v>
      </c>
    </row>
    <row r="122" spans="1:11" ht="16" x14ac:dyDescent="0.2">
      <c r="A122" s="16">
        <v>44676</v>
      </c>
      <c r="B122" t="s">
        <v>45</v>
      </c>
      <c r="C122" t="s">
        <v>39</v>
      </c>
      <c r="D122" t="s">
        <v>50</v>
      </c>
      <c r="E122" t="s">
        <v>99</v>
      </c>
      <c r="F122">
        <v>3</v>
      </c>
      <c r="G122" s="15">
        <v>2710000</v>
      </c>
      <c r="H122" s="14">
        <v>0.13075929750140999</v>
      </c>
      <c r="I122" s="27">
        <f t="shared" si="1"/>
        <v>2355642.3037711792</v>
      </c>
      <c r="J122">
        <v>3.2</v>
      </c>
      <c r="K122" t="b">
        <v>0</v>
      </c>
    </row>
    <row r="123" spans="1:11" ht="16" x14ac:dyDescent="0.2">
      <c r="A123" s="16">
        <v>44678</v>
      </c>
      <c r="B123" t="s">
        <v>33</v>
      </c>
      <c r="C123" t="s">
        <v>34</v>
      </c>
      <c r="D123" t="s">
        <v>35</v>
      </c>
      <c r="E123" t="s">
        <v>7638</v>
      </c>
      <c r="F123">
        <v>1</v>
      </c>
      <c r="G123" s="15">
        <v>2710000</v>
      </c>
      <c r="H123" s="14">
        <v>0.13075929750140999</v>
      </c>
      <c r="I123" s="27">
        <f t="shared" si="1"/>
        <v>2355642.3037711792</v>
      </c>
      <c r="J123">
        <v>4.4000000000000004</v>
      </c>
      <c r="K123" t="b">
        <v>1</v>
      </c>
    </row>
    <row r="124" spans="1:11" ht="16" x14ac:dyDescent="0.2">
      <c r="A124" s="16">
        <v>44678</v>
      </c>
      <c r="B124" t="s">
        <v>33</v>
      </c>
      <c r="C124" t="s">
        <v>34</v>
      </c>
      <c r="D124" t="s">
        <v>35</v>
      </c>
      <c r="E124" t="s">
        <v>7640</v>
      </c>
      <c r="F124">
        <v>4</v>
      </c>
      <c r="G124" s="15">
        <v>2710000</v>
      </c>
      <c r="H124" s="14">
        <v>0.13075929750140999</v>
      </c>
      <c r="I124" s="27">
        <f t="shared" si="1"/>
        <v>2355642.3037711792</v>
      </c>
      <c r="J124">
        <v>4</v>
      </c>
      <c r="K124" t="b">
        <v>1</v>
      </c>
    </row>
    <row r="125" spans="1:11" ht="16" x14ac:dyDescent="0.2">
      <c r="A125" s="16">
        <v>44679</v>
      </c>
      <c r="B125" t="s">
        <v>45</v>
      </c>
      <c r="C125" t="s">
        <v>34</v>
      </c>
      <c r="D125" t="s">
        <v>20</v>
      </c>
      <c r="E125" t="s">
        <v>57</v>
      </c>
      <c r="F125">
        <v>1</v>
      </c>
      <c r="G125" s="15">
        <v>2710000</v>
      </c>
      <c r="H125" s="14">
        <v>0.13075929750140999</v>
      </c>
      <c r="I125" s="27">
        <f t="shared" si="1"/>
        <v>2355642.3037711792</v>
      </c>
      <c r="J125">
        <v>4.5999999999999996</v>
      </c>
      <c r="K125" t="b">
        <v>1</v>
      </c>
    </row>
    <row r="126" spans="1:11" ht="16" x14ac:dyDescent="0.2">
      <c r="A126" s="16">
        <v>44679</v>
      </c>
      <c r="B126" t="s">
        <v>33</v>
      </c>
      <c r="C126" t="s">
        <v>45</v>
      </c>
      <c r="D126" t="s">
        <v>20</v>
      </c>
      <c r="E126" t="s">
        <v>7639</v>
      </c>
      <c r="F126">
        <v>1</v>
      </c>
      <c r="G126" s="15">
        <v>2710000</v>
      </c>
      <c r="H126" s="14">
        <v>0.13075929750140999</v>
      </c>
      <c r="I126" s="27">
        <f t="shared" si="1"/>
        <v>2355642.3037711792</v>
      </c>
      <c r="J126">
        <v>5</v>
      </c>
      <c r="K126" t="b">
        <v>1</v>
      </c>
    </row>
    <row r="127" spans="1:11" ht="16" x14ac:dyDescent="0.2">
      <c r="A127" s="16">
        <v>44679</v>
      </c>
      <c r="B127" t="s">
        <v>18</v>
      </c>
      <c r="C127" t="s">
        <v>68</v>
      </c>
      <c r="D127" t="s">
        <v>35</v>
      </c>
      <c r="E127" t="s">
        <v>99</v>
      </c>
      <c r="F127">
        <v>2</v>
      </c>
      <c r="G127" s="15">
        <v>2710000</v>
      </c>
      <c r="H127" s="14">
        <v>0.13075929750140999</v>
      </c>
      <c r="I127" s="27">
        <f t="shared" si="1"/>
        <v>2355642.3037711792</v>
      </c>
      <c r="J127">
        <v>4.8</v>
      </c>
      <c r="K127" t="b">
        <v>1</v>
      </c>
    </row>
    <row r="128" spans="1:11" ht="16" x14ac:dyDescent="0.2">
      <c r="A128" s="16">
        <v>44682</v>
      </c>
      <c r="B128" t="s">
        <v>18</v>
      </c>
      <c r="C128" t="s">
        <v>19</v>
      </c>
      <c r="D128" t="s">
        <v>35</v>
      </c>
      <c r="E128" t="s">
        <v>7644</v>
      </c>
      <c r="F128">
        <v>3</v>
      </c>
      <c r="G128" s="15">
        <v>2710000</v>
      </c>
      <c r="H128" s="14">
        <v>0.13075929750140999</v>
      </c>
      <c r="I128" s="27">
        <f t="shared" si="1"/>
        <v>2355642.3037711792</v>
      </c>
      <c r="J128">
        <v>4.8</v>
      </c>
      <c r="K128" t="b">
        <v>1</v>
      </c>
    </row>
    <row r="129" spans="1:11" ht="16" x14ac:dyDescent="0.2">
      <c r="A129" s="16">
        <v>44683</v>
      </c>
      <c r="B129" t="s">
        <v>33</v>
      </c>
      <c r="C129" t="s">
        <v>45</v>
      </c>
      <c r="D129" t="s">
        <v>46</v>
      </c>
      <c r="E129" t="s">
        <v>7637</v>
      </c>
      <c r="F129">
        <v>3</v>
      </c>
      <c r="G129" s="15">
        <v>2710000</v>
      </c>
      <c r="H129" s="14">
        <v>0.13075929750140999</v>
      </c>
      <c r="I129" s="27">
        <f t="shared" si="1"/>
        <v>2355642.3037711792</v>
      </c>
      <c r="J129">
        <v>3.8</v>
      </c>
      <c r="K129" t="b">
        <v>1</v>
      </c>
    </row>
    <row r="130" spans="1:11" ht="16" x14ac:dyDescent="0.2">
      <c r="A130" s="16">
        <v>44683</v>
      </c>
      <c r="B130" t="s">
        <v>18</v>
      </c>
      <c r="C130" t="s">
        <v>45</v>
      </c>
      <c r="D130" t="s">
        <v>20</v>
      </c>
      <c r="E130" t="s">
        <v>7643</v>
      </c>
      <c r="F130">
        <v>2</v>
      </c>
      <c r="G130" s="15">
        <v>2710000</v>
      </c>
      <c r="H130" s="14">
        <v>0.13075929750140999</v>
      </c>
      <c r="I130" s="27">
        <f t="shared" si="1"/>
        <v>2355642.3037711792</v>
      </c>
      <c r="J130">
        <v>3.6</v>
      </c>
      <c r="K130" t="b">
        <v>1</v>
      </c>
    </row>
    <row r="131" spans="1:11" ht="16" x14ac:dyDescent="0.2">
      <c r="A131" s="16">
        <v>44684</v>
      </c>
      <c r="B131" t="s">
        <v>18</v>
      </c>
      <c r="C131" t="s">
        <v>39</v>
      </c>
      <c r="D131" t="s">
        <v>35</v>
      </c>
      <c r="E131" t="s">
        <v>7642</v>
      </c>
      <c r="F131">
        <v>2</v>
      </c>
      <c r="G131" s="15">
        <v>2710000</v>
      </c>
      <c r="H131" s="14">
        <v>0.13075929750140999</v>
      </c>
      <c r="I131" s="27">
        <f t="shared" ref="I131:I194" si="2">G131-G131*H131</f>
        <v>2355642.3037711792</v>
      </c>
      <c r="J131">
        <v>4</v>
      </c>
      <c r="K131" t="b">
        <v>0</v>
      </c>
    </row>
    <row r="132" spans="1:11" ht="16" x14ac:dyDescent="0.2">
      <c r="A132" s="16">
        <v>44685</v>
      </c>
      <c r="B132" t="s">
        <v>33</v>
      </c>
      <c r="C132" t="s">
        <v>34</v>
      </c>
      <c r="D132" t="s">
        <v>20</v>
      </c>
      <c r="E132" t="s">
        <v>7641</v>
      </c>
      <c r="F132">
        <v>2</v>
      </c>
      <c r="G132" s="15">
        <v>2710000</v>
      </c>
      <c r="H132" s="14">
        <v>0.13075929750140999</v>
      </c>
      <c r="I132" s="27">
        <f t="shared" si="2"/>
        <v>2355642.3037711792</v>
      </c>
      <c r="J132">
        <v>4.5999999999999996</v>
      </c>
      <c r="K132" t="b">
        <v>1</v>
      </c>
    </row>
    <row r="133" spans="1:11" ht="16" x14ac:dyDescent="0.2">
      <c r="A133" s="16">
        <v>44685</v>
      </c>
      <c r="B133" t="s">
        <v>33</v>
      </c>
      <c r="C133" t="s">
        <v>34</v>
      </c>
      <c r="D133" t="s">
        <v>50</v>
      </c>
      <c r="E133" t="s">
        <v>57</v>
      </c>
      <c r="F133">
        <v>3</v>
      </c>
      <c r="G133" s="15">
        <v>2710000</v>
      </c>
      <c r="H133" s="14">
        <v>0.13075929750140999</v>
      </c>
      <c r="I133" s="27">
        <f t="shared" si="2"/>
        <v>2355642.3037711792</v>
      </c>
      <c r="J133">
        <v>4.3</v>
      </c>
      <c r="K133" t="b">
        <v>1</v>
      </c>
    </row>
    <row r="134" spans="1:11" ht="16" x14ac:dyDescent="0.2">
      <c r="A134" s="16">
        <v>44686</v>
      </c>
      <c r="B134" t="s">
        <v>33</v>
      </c>
      <c r="C134" t="s">
        <v>68</v>
      </c>
      <c r="D134" t="s">
        <v>50</v>
      </c>
      <c r="E134" t="s">
        <v>57</v>
      </c>
      <c r="F134">
        <v>1</v>
      </c>
      <c r="G134" s="15">
        <v>2710000</v>
      </c>
      <c r="H134" s="14">
        <v>0.13075929750140999</v>
      </c>
      <c r="I134" s="27">
        <f t="shared" si="2"/>
        <v>2355642.3037711792</v>
      </c>
      <c r="J134">
        <v>4.4000000000000004</v>
      </c>
      <c r="K134" t="b">
        <v>1</v>
      </c>
    </row>
    <row r="135" spans="1:11" ht="16" x14ac:dyDescent="0.2">
      <c r="A135" s="16">
        <v>44686</v>
      </c>
      <c r="B135" t="s">
        <v>45</v>
      </c>
      <c r="C135" t="s">
        <v>39</v>
      </c>
      <c r="D135" t="s">
        <v>35</v>
      </c>
      <c r="E135" t="s">
        <v>99</v>
      </c>
      <c r="F135">
        <v>1</v>
      </c>
      <c r="G135" s="15">
        <v>2710000</v>
      </c>
      <c r="H135" s="14">
        <v>0.13075929750140999</v>
      </c>
      <c r="I135" s="27">
        <f t="shared" si="2"/>
        <v>2355642.3037711792</v>
      </c>
      <c r="J135">
        <v>4.4000000000000004</v>
      </c>
      <c r="K135" t="b">
        <v>1</v>
      </c>
    </row>
    <row r="136" spans="1:11" ht="16" x14ac:dyDescent="0.2">
      <c r="A136" s="16">
        <v>44688</v>
      </c>
      <c r="B136" t="s">
        <v>33</v>
      </c>
      <c r="C136" t="s">
        <v>45</v>
      </c>
      <c r="D136" t="s">
        <v>50</v>
      </c>
      <c r="E136" t="s">
        <v>7641</v>
      </c>
      <c r="F136">
        <v>3</v>
      </c>
      <c r="G136" s="15">
        <v>2710000</v>
      </c>
      <c r="H136" s="14">
        <v>0.13075929750140999</v>
      </c>
      <c r="I136" s="27">
        <f t="shared" si="2"/>
        <v>2355642.3037711792</v>
      </c>
      <c r="J136">
        <v>3.5</v>
      </c>
      <c r="K136" t="b">
        <v>0</v>
      </c>
    </row>
    <row r="137" spans="1:11" ht="16" x14ac:dyDescent="0.2">
      <c r="A137" s="16">
        <v>44689</v>
      </c>
      <c r="B137" t="s">
        <v>18</v>
      </c>
      <c r="C137" t="s">
        <v>39</v>
      </c>
      <c r="D137" t="s">
        <v>20</v>
      </c>
      <c r="E137" t="s">
        <v>7643</v>
      </c>
      <c r="F137">
        <v>2</v>
      </c>
      <c r="G137" s="15">
        <v>2710000</v>
      </c>
      <c r="H137" s="14">
        <v>0.13075929750140999</v>
      </c>
      <c r="I137" s="27">
        <f t="shared" si="2"/>
        <v>2355642.3037711792</v>
      </c>
      <c r="J137">
        <v>4.3</v>
      </c>
      <c r="K137" t="b">
        <v>1</v>
      </c>
    </row>
    <row r="138" spans="1:11" ht="16" x14ac:dyDescent="0.2">
      <c r="A138" s="16">
        <v>44689</v>
      </c>
      <c r="B138" t="s">
        <v>45</v>
      </c>
      <c r="C138" t="s">
        <v>19</v>
      </c>
      <c r="D138" t="s">
        <v>35</v>
      </c>
      <c r="E138" t="s">
        <v>7640</v>
      </c>
      <c r="F138">
        <v>4</v>
      </c>
      <c r="G138" s="15">
        <v>2710000</v>
      </c>
      <c r="H138" s="14">
        <v>0.13075929750140999</v>
      </c>
      <c r="I138" s="27">
        <f t="shared" si="2"/>
        <v>2355642.3037711792</v>
      </c>
      <c r="J138">
        <v>4.5</v>
      </c>
      <c r="K138" t="b">
        <v>1</v>
      </c>
    </row>
    <row r="139" spans="1:11" ht="16" x14ac:dyDescent="0.2">
      <c r="A139" s="16">
        <v>44689</v>
      </c>
      <c r="B139" t="s">
        <v>33</v>
      </c>
      <c r="C139" t="s">
        <v>34</v>
      </c>
      <c r="D139" t="s">
        <v>35</v>
      </c>
      <c r="E139" t="s">
        <v>99</v>
      </c>
      <c r="F139">
        <v>1</v>
      </c>
      <c r="G139" s="15">
        <v>2710000</v>
      </c>
      <c r="H139" s="14">
        <v>0.13075929750140999</v>
      </c>
      <c r="I139" s="27">
        <f t="shared" si="2"/>
        <v>2355642.3037711792</v>
      </c>
      <c r="J139">
        <v>3.9</v>
      </c>
      <c r="K139" t="b">
        <v>1</v>
      </c>
    </row>
    <row r="140" spans="1:11" ht="16" x14ac:dyDescent="0.2">
      <c r="A140" s="16">
        <v>44690</v>
      </c>
      <c r="B140" t="s">
        <v>18</v>
      </c>
      <c r="C140" t="s">
        <v>25</v>
      </c>
      <c r="D140" t="s">
        <v>20</v>
      </c>
      <c r="E140" t="s">
        <v>7641</v>
      </c>
      <c r="F140">
        <v>1</v>
      </c>
      <c r="G140" s="15">
        <v>2710000</v>
      </c>
      <c r="H140" s="14">
        <v>0.13075929750140999</v>
      </c>
      <c r="I140" s="27">
        <f t="shared" si="2"/>
        <v>2355642.3037711792</v>
      </c>
      <c r="J140">
        <v>4.0999999999999996</v>
      </c>
      <c r="K140" t="b">
        <v>1</v>
      </c>
    </row>
    <row r="141" spans="1:11" ht="16" x14ac:dyDescent="0.2">
      <c r="A141" s="16">
        <v>44691</v>
      </c>
      <c r="B141" t="s">
        <v>33</v>
      </c>
      <c r="C141" t="s">
        <v>25</v>
      </c>
      <c r="D141" t="s">
        <v>20</v>
      </c>
      <c r="E141" t="s">
        <v>99</v>
      </c>
      <c r="F141">
        <v>1</v>
      </c>
      <c r="G141" s="15">
        <v>2710000</v>
      </c>
      <c r="H141" s="14">
        <v>0.13075929750140999</v>
      </c>
      <c r="I141" s="27">
        <f t="shared" si="2"/>
        <v>2355642.3037711792</v>
      </c>
      <c r="J141">
        <v>4.0999999999999996</v>
      </c>
      <c r="K141" t="b">
        <v>0</v>
      </c>
    </row>
    <row r="142" spans="1:11" ht="16" x14ac:dyDescent="0.2">
      <c r="A142" s="16">
        <v>44692</v>
      </c>
      <c r="B142" t="s">
        <v>18</v>
      </c>
      <c r="C142" t="s">
        <v>68</v>
      </c>
      <c r="D142" t="s">
        <v>20</v>
      </c>
      <c r="E142" t="s">
        <v>7640</v>
      </c>
      <c r="F142">
        <v>1</v>
      </c>
      <c r="G142" s="15">
        <v>2710000</v>
      </c>
      <c r="H142" s="14">
        <v>0.13075929750140999</v>
      </c>
      <c r="I142" s="27">
        <f t="shared" si="2"/>
        <v>2355642.3037711792</v>
      </c>
      <c r="J142">
        <v>4.5</v>
      </c>
      <c r="K142" t="b">
        <v>1</v>
      </c>
    </row>
    <row r="143" spans="1:11" ht="16" x14ac:dyDescent="0.2">
      <c r="A143" s="16">
        <v>44692</v>
      </c>
      <c r="B143" t="s">
        <v>45</v>
      </c>
      <c r="C143" t="s">
        <v>19</v>
      </c>
      <c r="D143" t="s">
        <v>20</v>
      </c>
      <c r="E143" t="s">
        <v>7640</v>
      </c>
      <c r="F143">
        <v>2</v>
      </c>
      <c r="G143" s="15">
        <v>2710000</v>
      </c>
      <c r="H143" s="14">
        <v>0.13075929750140999</v>
      </c>
      <c r="I143" s="27">
        <f t="shared" si="2"/>
        <v>2355642.3037711792</v>
      </c>
      <c r="J143">
        <v>4.5</v>
      </c>
      <c r="K143" t="b">
        <v>1</v>
      </c>
    </row>
    <row r="144" spans="1:11" ht="16" x14ac:dyDescent="0.2">
      <c r="A144" s="16">
        <v>44692</v>
      </c>
      <c r="B144" t="s">
        <v>45</v>
      </c>
      <c r="C144" t="s">
        <v>19</v>
      </c>
      <c r="D144" t="s">
        <v>50</v>
      </c>
      <c r="E144" t="s">
        <v>7640</v>
      </c>
      <c r="F144">
        <v>5</v>
      </c>
      <c r="G144" s="15">
        <v>2710000</v>
      </c>
      <c r="H144" s="14">
        <v>0.13075929750140999</v>
      </c>
      <c r="I144" s="27">
        <f t="shared" si="2"/>
        <v>2355642.3037711792</v>
      </c>
      <c r="J144">
        <v>3.3</v>
      </c>
      <c r="K144" t="b">
        <v>1</v>
      </c>
    </row>
    <row r="145" spans="1:11" ht="16" x14ac:dyDescent="0.2">
      <c r="A145" s="16">
        <v>44694</v>
      </c>
      <c r="B145" t="s">
        <v>33</v>
      </c>
      <c r="C145" t="s">
        <v>19</v>
      </c>
      <c r="D145" t="s">
        <v>35</v>
      </c>
      <c r="E145" t="s">
        <v>7641</v>
      </c>
      <c r="F145">
        <v>1</v>
      </c>
      <c r="G145" s="15">
        <v>2710000</v>
      </c>
      <c r="H145" s="14">
        <v>0.13075929750140999</v>
      </c>
      <c r="I145" s="27">
        <f t="shared" si="2"/>
        <v>2355642.3037711792</v>
      </c>
      <c r="J145">
        <v>4.4000000000000004</v>
      </c>
      <c r="K145" t="b">
        <v>1</v>
      </c>
    </row>
    <row r="146" spans="1:11" ht="16" x14ac:dyDescent="0.2">
      <c r="A146" s="16">
        <v>44694</v>
      </c>
      <c r="B146" t="s">
        <v>45</v>
      </c>
      <c r="C146" t="s">
        <v>34</v>
      </c>
      <c r="D146" t="s">
        <v>20</v>
      </c>
      <c r="E146" t="s">
        <v>7643</v>
      </c>
      <c r="F146">
        <v>1</v>
      </c>
      <c r="G146" s="15">
        <v>2710000</v>
      </c>
      <c r="H146" s="14">
        <v>0.13075929750140999</v>
      </c>
      <c r="I146" s="27">
        <f t="shared" si="2"/>
        <v>2355642.3037711792</v>
      </c>
      <c r="J146">
        <v>4.9000000000000004</v>
      </c>
      <c r="K146" t="b">
        <v>0</v>
      </c>
    </row>
    <row r="147" spans="1:11" ht="16" x14ac:dyDescent="0.2">
      <c r="A147" s="16">
        <v>44695</v>
      </c>
      <c r="B147" t="s">
        <v>29</v>
      </c>
      <c r="C147" t="s">
        <v>34</v>
      </c>
      <c r="D147" t="s">
        <v>20</v>
      </c>
      <c r="E147" t="s">
        <v>7643</v>
      </c>
      <c r="F147">
        <v>1</v>
      </c>
      <c r="G147" s="15">
        <v>2710000</v>
      </c>
      <c r="H147" s="14">
        <v>0.13075929750140999</v>
      </c>
      <c r="I147" s="27">
        <f t="shared" si="2"/>
        <v>2355642.3037711792</v>
      </c>
      <c r="J147">
        <v>5</v>
      </c>
      <c r="K147" t="b">
        <v>1</v>
      </c>
    </row>
    <row r="148" spans="1:11" ht="16" x14ac:dyDescent="0.2">
      <c r="A148" s="16">
        <v>44695</v>
      </c>
      <c r="B148" t="s">
        <v>18</v>
      </c>
      <c r="C148" t="s">
        <v>25</v>
      </c>
      <c r="D148" t="s">
        <v>35</v>
      </c>
      <c r="E148" t="s">
        <v>7644</v>
      </c>
      <c r="F148">
        <v>2</v>
      </c>
      <c r="G148" s="15">
        <v>2710000</v>
      </c>
      <c r="H148" s="14">
        <v>0.13075929750140999</v>
      </c>
      <c r="I148" s="27">
        <f t="shared" si="2"/>
        <v>2355642.3037711792</v>
      </c>
      <c r="J148">
        <v>4.0999999999999996</v>
      </c>
      <c r="K148" t="b">
        <v>1</v>
      </c>
    </row>
    <row r="149" spans="1:11" ht="16" x14ac:dyDescent="0.2">
      <c r="A149" s="16">
        <v>44695</v>
      </c>
      <c r="B149" t="s">
        <v>45</v>
      </c>
      <c r="C149" t="s">
        <v>34</v>
      </c>
      <c r="D149" t="s">
        <v>20</v>
      </c>
      <c r="E149" t="s">
        <v>7643</v>
      </c>
      <c r="F149">
        <v>2</v>
      </c>
      <c r="G149" s="15">
        <v>2710000</v>
      </c>
      <c r="H149" s="14">
        <v>0.13075929750140999</v>
      </c>
      <c r="I149" s="27">
        <f t="shared" si="2"/>
        <v>2355642.3037711792</v>
      </c>
      <c r="J149">
        <v>3.9</v>
      </c>
      <c r="K149" t="b">
        <v>1</v>
      </c>
    </row>
    <row r="150" spans="1:11" ht="16" x14ac:dyDescent="0.2">
      <c r="A150" s="16">
        <v>44696</v>
      </c>
      <c r="B150" t="s">
        <v>18</v>
      </c>
      <c r="C150" t="s">
        <v>68</v>
      </c>
      <c r="D150" t="s">
        <v>50</v>
      </c>
      <c r="E150" t="s">
        <v>7643</v>
      </c>
      <c r="F150">
        <v>2</v>
      </c>
      <c r="G150" s="15">
        <v>2710000</v>
      </c>
      <c r="H150" s="14">
        <v>0.13075929750140999</v>
      </c>
      <c r="I150" s="27">
        <f t="shared" si="2"/>
        <v>2355642.3037711792</v>
      </c>
      <c r="J150">
        <v>4.4000000000000004</v>
      </c>
      <c r="K150" t="b">
        <v>0</v>
      </c>
    </row>
    <row r="151" spans="1:11" ht="16" x14ac:dyDescent="0.2">
      <c r="A151" s="16">
        <v>44696</v>
      </c>
      <c r="B151" t="s">
        <v>33</v>
      </c>
      <c r="C151" t="s">
        <v>19</v>
      </c>
      <c r="D151" t="s">
        <v>50</v>
      </c>
      <c r="E151" t="s">
        <v>7644</v>
      </c>
      <c r="F151">
        <v>2</v>
      </c>
      <c r="G151" s="15">
        <v>2710000</v>
      </c>
      <c r="H151" s="14">
        <v>0.13075929750140999</v>
      </c>
      <c r="I151" s="27">
        <f t="shared" si="2"/>
        <v>2355642.3037711792</v>
      </c>
      <c r="J151">
        <v>4.5</v>
      </c>
      <c r="K151" t="b">
        <v>0</v>
      </c>
    </row>
    <row r="152" spans="1:11" ht="16" x14ac:dyDescent="0.2">
      <c r="A152" s="16">
        <v>44696</v>
      </c>
      <c r="B152" t="s">
        <v>33</v>
      </c>
      <c r="C152" t="s">
        <v>68</v>
      </c>
      <c r="D152" t="s">
        <v>50</v>
      </c>
      <c r="E152" t="s">
        <v>7642</v>
      </c>
      <c r="F152">
        <v>1</v>
      </c>
      <c r="G152" s="15">
        <v>2710000</v>
      </c>
      <c r="H152" s="14">
        <v>0.13075929750140999</v>
      </c>
      <c r="I152" s="27">
        <f t="shared" si="2"/>
        <v>2355642.3037711792</v>
      </c>
      <c r="J152">
        <v>4.9000000000000004</v>
      </c>
      <c r="K152" t="b">
        <v>0</v>
      </c>
    </row>
    <row r="153" spans="1:11" ht="16" x14ac:dyDescent="0.2">
      <c r="A153" s="16">
        <v>44696</v>
      </c>
      <c r="B153" t="s">
        <v>18</v>
      </c>
      <c r="C153" t="s">
        <v>19</v>
      </c>
      <c r="D153" t="s">
        <v>20</v>
      </c>
      <c r="E153" t="s">
        <v>57</v>
      </c>
      <c r="F153">
        <v>5</v>
      </c>
      <c r="G153" s="15">
        <v>2710000</v>
      </c>
      <c r="H153" s="14">
        <v>0.13075929750140999</v>
      </c>
      <c r="I153" s="27">
        <f t="shared" si="2"/>
        <v>2355642.3037711792</v>
      </c>
      <c r="J153">
        <v>4.2</v>
      </c>
      <c r="K153" t="b">
        <v>0</v>
      </c>
    </row>
    <row r="154" spans="1:11" ht="16" x14ac:dyDescent="0.2">
      <c r="A154" s="16">
        <v>44697</v>
      </c>
      <c r="B154" t="s">
        <v>33</v>
      </c>
      <c r="C154" t="s">
        <v>68</v>
      </c>
      <c r="D154" t="s">
        <v>20</v>
      </c>
      <c r="E154" t="s">
        <v>7637</v>
      </c>
      <c r="F154">
        <v>1</v>
      </c>
      <c r="G154" s="15">
        <v>2710000</v>
      </c>
      <c r="H154" s="14">
        <v>0.13075929750140999</v>
      </c>
      <c r="I154" s="27">
        <f t="shared" si="2"/>
        <v>2355642.3037711792</v>
      </c>
      <c r="J154">
        <v>4.7</v>
      </c>
      <c r="K154" t="b">
        <v>1</v>
      </c>
    </row>
    <row r="155" spans="1:11" ht="16" x14ac:dyDescent="0.2">
      <c r="A155" s="16">
        <v>44697</v>
      </c>
      <c r="B155" t="s">
        <v>29</v>
      </c>
      <c r="C155" t="s">
        <v>34</v>
      </c>
      <c r="D155" t="s">
        <v>35</v>
      </c>
      <c r="E155" t="s">
        <v>7642</v>
      </c>
      <c r="F155">
        <v>1</v>
      </c>
      <c r="G155" s="15">
        <v>2710000</v>
      </c>
      <c r="H155" s="14">
        <v>0.13075929750140999</v>
      </c>
      <c r="I155" s="27">
        <f t="shared" si="2"/>
        <v>2355642.3037711792</v>
      </c>
      <c r="J155">
        <v>4</v>
      </c>
      <c r="K155" t="b">
        <v>1</v>
      </c>
    </row>
    <row r="156" spans="1:11" ht="16" x14ac:dyDescent="0.2">
      <c r="A156" s="16">
        <v>44697</v>
      </c>
      <c r="B156" t="s">
        <v>33</v>
      </c>
      <c r="C156" t="s">
        <v>19</v>
      </c>
      <c r="D156" t="s">
        <v>50</v>
      </c>
      <c r="E156" t="s">
        <v>7643</v>
      </c>
      <c r="F156">
        <v>2</v>
      </c>
      <c r="G156" s="15">
        <v>2710000</v>
      </c>
      <c r="H156" s="14">
        <v>0.13075929750140999</v>
      </c>
      <c r="I156" s="27">
        <f t="shared" si="2"/>
        <v>2355642.3037711792</v>
      </c>
      <c r="J156">
        <v>4.2</v>
      </c>
      <c r="K156" t="b">
        <v>1</v>
      </c>
    </row>
    <row r="157" spans="1:11" ht="16" x14ac:dyDescent="0.2">
      <c r="A157" s="16">
        <v>44697</v>
      </c>
      <c r="B157" t="s">
        <v>33</v>
      </c>
      <c r="C157" t="s">
        <v>25</v>
      </c>
      <c r="D157" t="s">
        <v>20</v>
      </c>
      <c r="E157" t="s">
        <v>99</v>
      </c>
      <c r="F157">
        <v>1</v>
      </c>
      <c r="G157" s="15">
        <v>2710000</v>
      </c>
      <c r="H157" s="14">
        <v>0.13075929750140999</v>
      </c>
      <c r="I157" s="27">
        <f t="shared" si="2"/>
        <v>2355642.3037711792</v>
      </c>
      <c r="J157">
        <v>4.2</v>
      </c>
      <c r="K157" t="b">
        <v>0</v>
      </c>
    </row>
    <row r="158" spans="1:11" ht="16" x14ac:dyDescent="0.2">
      <c r="A158" s="16">
        <v>44698</v>
      </c>
      <c r="B158" t="s">
        <v>33</v>
      </c>
      <c r="C158" t="s">
        <v>19</v>
      </c>
      <c r="D158" t="s">
        <v>50</v>
      </c>
      <c r="E158" t="s">
        <v>99</v>
      </c>
      <c r="F158">
        <v>2</v>
      </c>
      <c r="G158" s="15">
        <v>2710000</v>
      </c>
      <c r="H158" s="14">
        <v>0.13075929750140999</v>
      </c>
      <c r="I158" s="27">
        <f t="shared" si="2"/>
        <v>2355642.3037711792</v>
      </c>
      <c r="J158">
        <v>3.2</v>
      </c>
      <c r="K158" t="b">
        <v>1</v>
      </c>
    </row>
    <row r="159" spans="1:11" ht="16" x14ac:dyDescent="0.2">
      <c r="A159" s="16">
        <v>44698</v>
      </c>
      <c r="B159" t="s">
        <v>33</v>
      </c>
      <c r="C159" t="s">
        <v>19</v>
      </c>
      <c r="D159" t="s">
        <v>20</v>
      </c>
      <c r="E159" t="s">
        <v>7640</v>
      </c>
      <c r="F159">
        <v>2</v>
      </c>
      <c r="G159" s="15">
        <v>2710000</v>
      </c>
      <c r="H159" s="14">
        <v>0.13075929750140999</v>
      </c>
      <c r="I159" s="27">
        <f t="shared" si="2"/>
        <v>2355642.3037711792</v>
      </c>
      <c r="J159">
        <v>3.9</v>
      </c>
      <c r="K159" t="b">
        <v>1</v>
      </c>
    </row>
    <row r="160" spans="1:11" ht="16" x14ac:dyDescent="0.2">
      <c r="A160" s="16">
        <v>44699</v>
      </c>
      <c r="B160" t="s">
        <v>45</v>
      </c>
      <c r="C160" t="s">
        <v>19</v>
      </c>
      <c r="D160" t="s">
        <v>50</v>
      </c>
      <c r="E160" t="s">
        <v>7642</v>
      </c>
      <c r="F160">
        <v>3</v>
      </c>
      <c r="G160" s="15">
        <v>2710000</v>
      </c>
      <c r="H160" s="14">
        <v>0.13075929750140999</v>
      </c>
      <c r="I160" s="27">
        <f t="shared" si="2"/>
        <v>2355642.3037711792</v>
      </c>
      <c r="J160">
        <v>3.6</v>
      </c>
      <c r="K160" t="b">
        <v>1</v>
      </c>
    </row>
    <row r="161" spans="1:11" ht="16" x14ac:dyDescent="0.2">
      <c r="A161" s="16">
        <v>44700</v>
      </c>
      <c r="B161" t="s">
        <v>18</v>
      </c>
      <c r="C161" t="s">
        <v>34</v>
      </c>
      <c r="D161" t="s">
        <v>50</v>
      </c>
      <c r="E161" t="s">
        <v>7638</v>
      </c>
      <c r="F161">
        <v>3</v>
      </c>
      <c r="G161" s="15">
        <v>2710000</v>
      </c>
      <c r="H161" s="14">
        <v>0.13075929750140999</v>
      </c>
      <c r="I161" s="27">
        <f t="shared" si="2"/>
        <v>2355642.3037711792</v>
      </c>
      <c r="J161">
        <v>4.3</v>
      </c>
      <c r="K161" t="b">
        <v>1</v>
      </c>
    </row>
    <row r="162" spans="1:11" ht="16" x14ac:dyDescent="0.2">
      <c r="A162" s="16">
        <v>44700</v>
      </c>
      <c r="B162" t="s">
        <v>45</v>
      </c>
      <c r="C162" t="s">
        <v>25</v>
      </c>
      <c r="D162" t="s">
        <v>50</v>
      </c>
      <c r="E162" t="s">
        <v>7642</v>
      </c>
      <c r="F162">
        <v>1</v>
      </c>
      <c r="G162" s="15">
        <v>2710000</v>
      </c>
      <c r="H162" s="14">
        <v>0.13075929750140999</v>
      </c>
      <c r="I162" s="27">
        <f t="shared" si="2"/>
        <v>2355642.3037711792</v>
      </c>
      <c r="J162">
        <v>4.3</v>
      </c>
      <c r="K162" t="b">
        <v>1</v>
      </c>
    </row>
    <row r="163" spans="1:11" ht="16" x14ac:dyDescent="0.2">
      <c r="A163" s="16">
        <v>44700</v>
      </c>
      <c r="B163" t="s">
        <v>18</v>
      </c>
      <c r="C163" t="s">
        <v>19</v>
      </c>
      <c r="D163" t="s">
        <v>50</v>
      </c>
      <c r="E163" t="s">
        <v>7638</v>
      </c>
      <c r="F163">
        <v>1</v>
      </c>
      <c r="G163" s="15">
        <v>2710000</v>
      </c>
      <c r="H163" s="14">
        <v>0.13075929750140999</v>
      </c>
      <c r="I163" s="27">
        <f t="shared" si="2"/>
        <v>2355642.3037711792</v>
      </c>
      <c r="J163">
        <v>3.8</v>
      </c>
      <c r="K163" t="b">
        <v>0</v>
      </c>
    </row>
    <row r="164" spans="1:11" ht="16" x14ac:dyDescent="0.2">
      <c r="A164" s="16">
        <v>44701</v>
      </c>
      <c r="B164" t="s">
        <v>45</v>
      </c>
      <c r="C164" t="s">
        <v>34</v>
      </c>
      <c r="D164" t="s">
        <v>20</v>
      </c>
      <c r="E164" t="s">
        <v>7642</v>
      </c>
      <c r="F164">
        <v>2</v>
      </c>
      <c r="G164" s="15">
        <v>2710000</v>
      </c>
      <c r="H164" s="14">
        <v>0.13075929750140999</v>
      </c>
      <c r="I164" s="27">
        <f t="shared" si="2"/>
        <v>2355642.3037711792</v>
      </c>
      <c r="J164">
        <v>4.7</v>
      </c>
      <c r="K164" t="b">
        <v>0</v>
      </c>
    </row>
    <row r="165" spans="1:11" ht="16" x14ac:dyDescent="0.2">
      <c r="A165" s="16">
        <v>44701</v>
      </c>
      <c r="B165" t="s">
        <v>45</v>
      </c>
      <c r="C165" t="s">
        <v>19</v>
      </c>
      <c r="D165" t="s">
        <v>50</v>
      </c>
      <c r="E165" t="str">
        <f>E164</f>
        <v>Huế</v>
      </c>
      <c r="F165">
        <v>3</v>
      </c>
      <c r="G165" s="15">
        <v>2710000</v>
      </c>
      <c r="H165" s="14">
        <v>0.13075929750140999</v>
      </c>
      <c r="I165" s="27">
        <f t="shared" si="2"/>
        <v>2355642.3037711792</v>
      </c>
      <c r="J165">
        <v>4.2</v>
      </c>
      <c r="K165" t="b">
        <v>0</v>
      </c>
    </row>
    <row r="166" spans="1:11" ht="16" x14ac:dyDescent="0.2">
      <c r="A166" s="16">
        <v>44701</v>
      </c>
      <c r="B166" t="s">
        <v>33</v>
      </c>
      <c r="C166" t="s">
        <v>19</v>
      </c>
      <c r="D166" t="s">
        <v>50</v>
      </c>
      <c r="E166" t="s">
        <v>7639</v>
      </c>
      <c r="F166">
        <v>2</v>
      </c>
      <c r="G166" s="15">
        <v>2710000</v>
      </c>
      <c r="H166" s="14">
        <v>0.13075929750140999</v>
      </c>
      <c r="I166" s="27">
        <f t="shared" si="2"/>
        <v>2355642.3037711792</v>
      </c>
      <c r="J166">
        <v>4.3</v>
      </c>
      <c r="K166" t="b">
        <v>1</v>
      </c>
    </row>
    <row r="167" spans="1:11" ht="16" x14ac:dyDescent="0.2">
      <c r="A167" s="16">
        <v>44701</v>
      </c>
      <c r="B167" t="s">
        <v>45</v>
      </c>
      <c r="C167" t="s">
        <v>45</v>
      </c>
      <c r="D167" t="s">
        <v>35</v>
      </c>
      <c r="E167" t="s">
        <v>57</v>
      </c>
      <c r="F167">
        <v>1</v>
      </c>
      <c r="G167" s="15">
        <v>2710000</v>
      </c>
      <c r="H167" s="14">
        <v>0.13075929750140999</v>
      </c>
      <c r="I167" s="27">
        <f t="shared" si="2"/>
        <v>2355642.3037711792</v>
      </c>
      <c r="J167">
        <v>4.5</v>
      </c>
      <c r="K167" t="b">
        <v>0</v>
      </c>
    </row>
    <row r="168" spans="1:11" ht="16" x14ac:dyDescent="0.2">
      <c r="A168" s="16">
        <v>44702</v>
      </c>
      <c r="B168" t="s">
        <v>45</v>
      </c>
      <c r="C168" t="s">
        <v>34</v>
      </c>
      <c r="D168" t="s">
        <v>20</v>
      </c>
      <c r="E168" t="s">
        <v>7637</v>
      </c>
      <c r="F168">
        <v>1</v>
      </c>
      <c r="G168" s="15">
        <v>2710000</v>
      </c>
      <c r="H168" s="14">
        <v>0.13075929750140999</v>
      </c>
      <c r="I168" s="27">
        <f t="shared" si="2"/>
        <v>2355642.3037711792</v>
      </c>
      <c r="J168">
        <v>3.7</v>
      </c>
      <c r="K168" t="b">
        <v>1</v>
      </c>
    </row>
    <row r="169" spans="1:11" ht="16" x14ac:dyDescent="0.2">
      <c r="A169" s="16">
        <v>44703</v>
      </c>
      <c r="B169" t="s">
        <v>45</v>
      </c>
      <c r="C169" t="s">
        <v>68</v>
      </c>
      <c r="D169" t="s">
        <v>20</v>
      </c>
      <c r="E169" t="s">
        <v>7643</v>
      </c>
      <c r="F169">
        <v>1</v>
      </c>
      <c r="G169" s="15">
        <v>2710000</v>
      </c>
      <c r="H169" s="14">
        <v>0.13075929750140999</v>
      </c>
      <c r="I169" s="27">
        <f t="shared" si="2"/>
        <v>2355642.3037711792</v>
      </c>
      <c r="J169">
        <v>4.5</v>
      </c>
      <c r="K169" t="b">
        <v>1</v>
      </c>
    </row>
    <row r="170" spans="1:11" ht="16" x14ac:dyDescent="0.2">
      <c r="A170" s="16">
        <v>44703</v>
      </c>
      <c r="B170" t="s">
        <v>18</v>
      </c>
      <c r="C170" t="s">
        <v>34</v>
      </c>
      <c r="D170" t="s">
        <v>20</v>
      </c>
      <c r="E170" t="s">
        <v>57</v>
      </c>
      <c r="F170">
        <v>1</v>
      </c>
      <c r="G170" s="15">
        <v>2710000</v>
      </c>
      <c r="H170" s="14">
        <v>0.13075929750140999</v>
      </c>
      <c r="I170" s="27">
        <f t="shared" si="2"/>
        <v>2355642.3037711792</v>
      </c>
      <c r="J170">
        <v>3.7</v>
      </c>
      <c r="K170" t="b">
        <v>1</v>
      </c>
    </row>
    <row r="171" spans="1:11" ht="16" x14ac:dyDescent="0.2">
      <c r="A171" s="16">
        <v>44703</v>
      </c>
      <c r="B171" t="s">
        <v>45</v>
      </c>
      <c r="C171" t="s">
        <v>19</v>
      </c>
      <c r="D171" t="s">
        <v>35</v>
      </c>
      <c r="E171" t="s">
        <v>7642</v>
      </c>
      <c r="F171">
        <v>1</v>
      </c>
      <c r="G171" s="15">
        <v>2710000</v>
      </c>
      <c r="H171" s="14">
        <v>0.13075929750140999</v>
      </c>
      <c r="I171" s="27">
        <f t="shared" si="2"/>
        <v>2355642.3037711792</v>
      </c>
      <c r="J171">
        <v>4.3</v>
      </c>
      <c r="K171" t="b">
        <v>1</v>
      </c>
    </row>
    <row r="172" spans="1:11" ht="16" x14ac:dyDescent="0.2">
      <c r="A172" s="16">
        <v>44704</v>
      </c>
      <c r="B172" t="s">
        <v>45</v>
      </c>
      <c r="C172" t="s">
        <v>19</v>
      </c>
      <c r="D172" t="s">
        <v>20</v>
      </c>
      <c r="E172" t="s">
        <v>7640</v>
      </c>
      <c r="F172">
        <v>1</v>
      </c>
      <c r="G172" s="15">
        <v>2710000</v>
      </c>
      <c r="H172" s="14">
        <v>0.13075929750140999</v>
      </c>
      <c r="I172" s="27">
        <f t="shared" si="2"/>
        <v>2355642.3037711792</v>
      </c>
      <c r="J172">
        <v>3.8</v>
      </c>
      <c r="K172" t="b">
        <v>1</v>
      </c>
    </row>
    <row r="173" spans="1:11" ht="16" x14ac:dyDescent="0.2">
      <c r="A173" s="16">
        <v>44705</v>
      </c>
      <c r="B173" t="s">
        <v>29</v>
      </c>
      <c r="C173" t="s">
        <v>45</v>
      </c>
      <c r="D173" t="s">
        <v>35</v>
      </c>
      <c r="E173" t="s">
        <v>7639</v>
      </c>
      <c r="F173">
        <v>2</v>
      </c>
      <c r="G173" s="15">
        <v>2710000</v>
      </c>
      <c r="H173" s="14">
        <v>0.13075929750140999</v>
      </c>
      <c r="I173" s="27">
        <f t="shared" si="2"/>
        <v>2355642.3037711792</v>
      </c>
      <c r="J173">
        <v>4.3</v>
      </c>
      <c r="K173" t="b">
        <v>1</v>
      </c>
    </row>
    <row r="174" spans="1:11" ht="16" x14ac:dyDescent="0.2">
      <c r="A174" s="16">
        <v>44705</v>
      </c>
      <c r="B174" t="s">
        <v>45</v>
      </c>
      <c r="C174" t="s">
        <v>19</v>
      </c>
      <c r="D174" t="s">
        <v>20</v>
      </c>
      <c r="E174" t="s">
        <v>7642</v>
      </c>
      <c r="F174">
        <v>1</v>
      </c>
      <c r="G174" s="15">
        <v>2710000</v>
      </c>
      <c r="H174" s="14">
        <v>0.13075929750140999</v>
      </c>
      <c r="I174" s="27">
        <f t="shared" si="2"/>
        <v>2355642.3037711792</v>
      </c>
      <c r="J174">
        <v>4.3</v>
      </c>
      <c r="K174" t="b">
        <v>0</v>
      </c>
    </row>
    <row r="175" spans="1:11" ht="16" x14ac:dyDescent="0.2">
      <c r="A175" s="16">
        <v>44705</v>
      </c>
      <c r="B175" t="s">
        <v>18</v>
      </c>
      <c r="C175" t="s">
        <v>34</v>
      </c>
      <c r="D175" t="s">
        <v>20</v>
      </c>
      <c r="E175" t="s">
        <v>7643</v>
      </c>
      <c r="F175">
        <v>1</v>
      </c>
      <c r="G175" s="15">
        <v>2710000</v>
      </c>
      <c r="H175" s="14">
        <v>0.13075929750140999</v>
      </c>
      <c r="I175" s="27">
        <f t="shared" si="2"/>
        <v>2355642.3037711792</v>
      </c>
      <c r="J175">
        <v>4.9000000000000004</v>
      </c>
      <c r="K175" t="b">
        <v>1</v>
      </c>
    </row>
    <row r="176" spans="1:11" ht="16" x14ac:dyDescent="0.2">
      <c r="A176" s="16">
        <v>44706</v>
      </c>
      <c r="B176" t="s">
        <v>18</v>
      </c>
      <c r="C176" t="s">
        <v>68</v>
      </c>
      <c r="D176" t="s">
        <v>46</v>
      </c>
      <c r="E176" t="s">
        <v>7639</v>
      </c>
      <c r="F176">
        <v>1</v>
      </c>
      <c r="G176" s="15">
        <v>2710000</v>
      </c>
      <c r="H176" s="14">
        <v>0.13075929750140999</v>
      </c>
      <c r="I176" s="27">
        <f t="shared" si="2"/>
        <v>2355642.3037711792</v>
      </c>
      <c r="J176">
        <v>4.5</v>
      </c>
      <c r="K176" t="b">
        <v>1</v>
      </c>
    </row>
    <row r="177" spans="1:11" ht="16" x14ac:dyDescent="0.2">
      <c r="A177" s="16">
        <v>44707</v>
      </c>
      <c r="B177" t="s">
        <v>18</v>
      </c>
      <c r="C177" t="s">
        <v>19</v>
      </c>
      <c r="D177" t="s">
        <v>20</v>
      </c>
      <c r="E177" t="s">
        <v>7637</v>
      </c>
      <c r="F177">
        <v>1</v>
      </c>
      <c r="G177" s="15">
        <v>2710000</v>
      </c>
      <c r="H177" s="14">
        <v>0.13075929750140999</v>
      </c>
      <c r="I177" s="27">
        <f t="shared" si="2"/>
        <v>2355642.3037711792</v>
      </c>
      <c r="J177">
        <v>3.9</v>
      </c>
      <c r="K177" t="b">
        <v>1</v>
      </c>
    </row>
    <row r="178" spans="1:11" ht="16" x14ac:dyDescent="0.2">
      <c r="A178" s="16">
        <v>44707</v>
      </c>
      <c r="B178" t="s">
        <v>29</v>
      </c>
      <c r="C178" t="s">
        <v>19</v>
      </c>
      <c r="D178" t="s">
        <v>50</v>
      </c>
      <c r="E178" t="str">
        <f>E177</f>
        <v>Đà Nẵng</v>
      </c>
      <c r="F178">
        <v>1</v>
      </c>
      <c r="G178" s="15">
        <v>2710000</v>
      </c>
      <c r="H178" s="14">
        <v>0.13075929750140999</v>
      </c>
      <c r="I178" s="27">
        <f t="shared" si="2"/>
        <v>2355642.3037711792</v>
      </c>
      <c r="J178">
        <v>4.5</v>
      </c>
      <c r="K178" t="b">
        <v>1</v>
      </c>
    </row>
    <row r="179" spans="1:11" ht="16" x14ac:dyDescent="0.2">
      <c r="A179" s="16">
        <v>44707</v>
      </c>
      <c r="B179" t="s">
        <v>29</v>
      </c>
      <c r="C179" t="s">
        <v>19</v>
      </c>
      <c r="D179" t="s">
        <v>50</v>
      </c>
      <c r="E179" t="s">
        <v>7640</v>
      </c>
      <c r="F179">
        <v>2</v>
      </c>
      <c r="G179" s="15">
        <v>2710000</v>
      </c>
      <c r="H179" s="14">
        <v>0.13075929750140999</v>
      </c>
      <c r="I179" s="27">
        <f t="shared" si="2"/>
        <v>2355642.3037711792</v>
      </c>
      <c r="J179">
        <v>4.2</v>
      </c>
      <c r="K179" t="b">
        <v>0</v>
      </c>
    </row>
    <row r="180" spans="1:11" ht="16" x14ac:dyDescent="0.2">
      <c r="A180" s="16">
        <v>44708</v>
      </c>
      <c r="B180" t="s">
        <v>45</v>
      </c>
      <c r="C180" t="s">
        <v>45</v>
      </c>
      <c r="D180" t="s">
        <v>20</v>
      </c>
      <c r="E180" t="s">
        <v>7641</v>
      </c>
      <c r="F180">
        <v>1</v>
      </c>
      <c r="G180" s="15">
        <v>2710000</v>
      </c>
      <c r="H180" s="14">
        <v>0.13075929750140999</v>
      </c>
      <c r="I180" s="27">
        <f t="shared" si="2"/>
        <v>2355642.3037711792</v>
      </c>
      <c r="J180">
        <v>4.0999999999999996</v>
      </c>
      <c r="K180" t="b">
        <v>1</v>
      </c>
    </row>
    <row r="181" spans="1:11" ht="16" x14ac:dyDescent="0.2">
      <c r="A181" s="16">
        <v>44708</v>
      </c>
      <c r="B181" t="s">
        <v>33</v>
      </c>
      <c r="C181" t="s">
        <v>25</v>
      </c>
      <c r="D181" t="s">
        <v>20</v>
      </c>
      <c r="E181" t="s">
        <v>7644</v>
      </c>
      <c r="F181">
        <v>2</v>
      </c>
      <c r="G181" s="15">
        <v>2710000</v>
      </c>
      <c r="H181" s="14">
        <v>0.13075929750140999</v>
      </c>
      <c r="I181" s="27">
        <f t="shared" si="2"/>
        <v>2355642.3037711792</v>
      </c>
      <c r="J181">
        <v>3.6</v>
      </c>
      <c r="K181" t="b">
        <v>1</v>
      </c>
    </row>
    <row r="182" spans="1:11" ht="16" x14ac:dyDescent="0.2">
      <c r="A182" s="16">
        <v>44708</v>
      </c>
      <c r="B182" t="s">
        <v>29</v>
      </c>
      <c r="C182" t="s">
        <v>25</v>
      </c>
      <c r="D182" t="s">
        <v>50</v>
      </c>
      <c r="E182" t="s">
        <v>7643</v>
      </c>
      <c r="F182">
        <v>3</v>
      </c>
      <c r="G182" s="15">
        <v>2710000</v>
      </c>
      <c r="H182" s="14">
        <v>0.13075929750140999</v>
      </c>
      <c r="I182" s="27">
        <f t="shared" si="2"/>
        <v>2355642.3037711792</v>
      </c>
      <c r="J182">
        <v>4.3</v>
      </c>
      <c r="K182" t="b">
        <v>0</v>
      </c>
    </row>
    <row r="183" spans="1:11" ht="16" x14ac:dyDescent="0.2">
      <c r="A183" s="16">
        <v>44709</v>
      </c>
      <c r="B183" t="s">
        <v>45</v>
      </c>
      <c r="C183" t="s">
        <v>68</v>
      </c>
      <c r="D183" t="s">
        <v>35</v>
      </c>
      <c r="E183" t="s">
        <v>7642</v>
      </c>
      <c r="F183">
        <v>3</v>
      </c>
      <c r="G183" s="15">
        <v>2710000</v>
      </c>
      <c r="H183" s="14">
        <v>0.13075929750140999</v>
      </c>
      <c r="I183" s="27">
        <f t="shared" si="2"/>
        <v>2355642.3037711792</v>
      </c>
      <c r="J183">
        <v>3.3</v>
      </c>
      <c r="K183" t="b">
        <v>1</v>
      </c>
    </row>
    <row r="184" spans="1:11" ht="16" x14ac:dyDescent="0.2">
      <c r="A184" s="16">
        <v>44709</v>
      </c>
      <c r="B184" t="s">
        <v>45</v>
      </c>
      <c r="C184" t="s">
        <v>34</v>
      </c>
      <c r="D184" t="s">
        <v>20</v>
      </c>
      <c r="E184" t="s">
        <v>7640</v>
      </c>
      <c r="F184">
        <v>1</v>
      </c>
      <c r="G184" s="15">
        <v>2710000</v>
      </c>
      <c r="H184" s="14">
        <v>0.13075929750140999</v>
      </c>
      <c r="I184" s="27">
        <f t="shared" si="2"/>
        <v>2355642.3037711792</v>
      </c>
      <c r="J184">
        <v>4</v>
      </c>
      <c r="K184" t="b">
        <v>1</v>
      </c>
    </row>
    <row r="185" spans="1:11" ht="16" x14ac:dyDescent="0.2">
      <c r="A185" s="16">
        <v>44709</v>
      </c>
      <c r="B185" t="s">
        <v>45</v>
      </c>
      <c r="C185" t="s">
        <v>68</v>
      </c>
      <c r="D185" t="s">
        <v>20</v>
      </c>
      <c r="E185" t="s">
        <v>99</v>
      </c>
      <c r="F185">
        <v>4</v>
      </c>
      <c r="G185" s="15">
        <v>2710000</v>
      </c>
      <c r="H185" s="14">
        <v>0.13075929750140999</v>
      </c>
      <c r="I185" s="27">
        <f t="shared" si="2"/>
        <v>2355642.3037711792</v>
      </c>
      <c r="J185">
        <v>3.5</v>
      </c>
      <c r="K185" t="b">
        <v>0</v>
      </c>
    </row>
    <row r="186" spans="1:11" ht="16" x14ac:dyDescent="0.2">
      <c r="A186" s="16">
        <v>44712</v>
      </c>
      <c r="B186" t="s">
        <v>45</v>
      </c>
      <c r="C186" t="s">
        <v>45</v>
      </c>
      <c r="D186" t="s">
        <v>20</v>
      </c>
      <c r="E186" t="s">
        <v>7639</v>
      </c>
      <c r="F186">
        <v>2</v>
      </c>
      <c r="G186" s="15">
        <v>2710000</v>
      </c>
      <c r="H186" s="14">
        <v>0.13075929750140999</v>
      </c>
      <c r="I186" s="27">
        <f t="shared" si="2"/>
        <v>2355642.3037711792</v>
      </c>
      <c r="J186">
        <v>3.6</v>
      </c>
      <c r="K186" t="b">
        <v>1</v>
      </c>
    </row>
    <row r="187" spans="1:11" ht="16" x14ac:dyDescent="0.2">
      <c r="A187" s="16">
        <v>44713</v>
      </c>
      <c r="B187" t="s">
        <v>18</v>
      </c>
      <c r="C187" t="s">
        <v>19</v>
      </c>
      <c r="D187" t="s">
        <v>35</v>
      </c>
      <c r="E187" t="s">
        <v>7641</v>
      </c>
      <c r="F187">
        <v>1</v>
      </c>
      <c r="G187" s="15">
        <v>2710000</v>
      </c>
      <c r="H187" s="14">
        <v>0.13075929750140999</v>
      </c>
      <c r="I187" s="27">
        <f t="shared" si="2"/>
        <v>2355642.3037711792</v>
      </c>
      <c r="J187">
        <v>4.5</v>
      </c>
      <c r="K187" t="b">
        <v>0</v>
      </c>
    </row>
    <row r="188" spans="1:11" ht="16" x14ac:dyDescent="0.2">
      <c r="A188" s="16">
        <v>44713</v>
      </c>
      <c r="B188" t="s">
        <v>29</v>
      </c>
      <c r="C188" t="s">
        <v>25</v>
      </c>
      <c r="D188" t="s">
        <v>20</v>
      </c>
      <c r="E188" t="s">
        <v>7640</v>
      </c>
      <c r="F188">
        <v>2</v>
      </c>
      <c r="G188" s="15">
        <v>2710000</v>
      </c>
      <c r="H188" s="14">
        <v>0.13075929750140999</v>
      </c>
      <c r="I188" s="27">
        <f t="shared" si="2"/>
        <v>2355642.3037711792</v>
      </c>
      <c r="J188">
        <v>4</v>
      </c>
      <c r="K188" t="b">
        <v>1</v>
      </c>
    </row>
    <row r="189" spans="1:11" ht="16" x14ac:dyDescent="0.2">
      <c r="A189" s="16">
        <v>44714</v>
      </c>
      <c r="B189" t="s">
        <v>45</v>
      </c>
      <c r="C189" t="s">
        <v>34</v>
      </c>
      <c r="D189" t="s">
        <v>50</v>
      </c>
      <c r="E189" t="s">
        <v>7637</v>
      </c>
      <c r="F189">
        <v>3</v>
      </c>
      <c r="G189" s="15">
        <v>2710000</v>
      </c>
      <c r="H189" s="14">
        <v>0.13075929750140999</v>
      </c>
      <c r="I189" s="27">
        <f t="shared" si="2"/>
        <v>2355642.3037711792</v>
      </c>
      <c r="J189">
        <v>4</v>
      </c>
      <c r="K189" t="b">
        <v>1</v>
      </c>
    </row>
    <row r="190" spans="1:11" ht="16" x14ac:dyDescent="0.2">
      <c r="A190" s="16">
        <v>44714</v>
      </c>
      <c r="B190" t="s">
        <v>45</v>
      </c>
      <c r="C190" t="s">
        <v>34</v>
      </c>
      <c r="D190" t="s">
        <v>20</v>
      </c>
      <c r="E190" t="s">
        <v>57</v>
      </c>
      <c r="F190">
        <v>3</v>
      </c>
      <c r="G190" s="15">
        <v>2710000</v>
      </c>
      <c r="H190" s="14">
        <v>0.13075929750140999</v>
      </c>
      <c r="I190" s="27">
        <f t="shared" si="2"/>
        <v>2355642.3037711792</v>
      </c>
      <c r="J190">
        <v>4.5999999999999996</v>
      </c>
      <c r="K190" t="b">
        <v>0</v>
      </c>
    </row>
    <row r="191" spans="1:11" ht="16" x14ac:dyDescent="0.2">
      <c r="A191" s="16">
        <v>44714</v>
      </c>
      <c r="B191" t="s">
        <v>45</v>
      </c>
      <c r="C191" t="s">
        <v>19</v>
      </c>
      <c r="D191" t="s">
        <v>35</v>
      </c>
      <c r="E191" t="s">
        <v>7642</v>
      </c>
      <c r="F191">
        <v>2</v>
      </c>
      <c r="G191" s="15">
        <v>2710000</v>
      </c>
      <c r="H191" s="14">
        <v>0.13075929750140999</v>
      </c>
      <c r="I191" s="27">
        <f t="shared" si="2"/>
        <v>2355642.3037711792</v>
      </c>
      <c r="J191">
        <v>3.9</v>
      </c>
      <c r="K191" t="b">
        <v>1</v>
      </c>
    </row>
    <row r="192" spans="1:11" ht="16" x14ac:dyDescent="0.2">
      <c r="A192" s="16">
        <v>44715</v>
      </c>
      <c r="B192" t="s">
        <v>45</v>
      </c>
      <c r="C192" t="s">
        <v>19</v>
      </c>
      <c r="D192" t="s">
        <v>50</v>
      </c>
      <c r="E192" t="s">
        <v>7637</v>
      </c>
      <c r="F192">
        <v>3</v>
      </c>
      <c r="G192" s="15">
        <v>2710000</v>
      </c>
      <c r="H192" s="14">
        <v>0.13075929750140999</v>
      </c>
      <c r="I192" s="27">
        <f t="shared" si="2"/>
        <v>2355642.3037711792</v>
      </c>
      <c r="J192">
        <v>3.7</v>
      </c>
      <c r="K192" t="b">
        <v>0</v>
      </c>
    </row>
    <row r="193" spans="1:11" ht="16" x14ac:dyDescent="0.2">
      <c r="A193" s="16">
        <v>44715</v>
      </c>
      <c r="B193" t="s">
        <v>33</v>
      </c>
      <c r="C193" t="s">
        <v>34</v>
      </c>
      <c r="D193" t="s">
        <v>50</v>
      </c>
      <c r="E193" t="s">
        <v>7643</v>
      </c>
      <c r="F193">
        <v>4</v>
      </c>
      <c r="G193" s="15">
        <v>2710000</v>
      </c>
      <c r="H193" s="14">
        <v>0.13075929750140999</v>
      </c>
      <c r="I193" s="27">
        <f t="shared" si="2"/>
        <v>2355642.3037711792</v>
      </c>
      <c r="J193">
        <v>4.0999999999999996</v>
      </c>
      <c r="K193" t="b">
        <v>1</v>
      </c>
    </row>
    <row r="194" spans="1:11" ht="16" x14ac:dyDescent="0.2">
      <c r="A194" s="16">
        <v>44715</v>
      </c>
      <c r="B194" t="s">
        <v>45</v>
      </c>
      <c r="C194" t="s">
        <v>45</v>
      </c>
      <c r="D194" t="s">
        <v>50</v>
      </c>
      <c r="E194" t="s">
        <v>57</v>
      </c>
      <c r="F194">
        <v>1</v>
      </c>
      <c r="G194" s="15">
        <v>2710000</v>
      </c>
      <c r="H194" s="14">
        <v>0.13075929750140999</v>
      </c>
      <c r="I194" s="27">
        <f t="shared" si="2"/>
        <v>2355642.3037711792</v>
      </c>
      <c r="J194">
        <v>3.6</v>
      </c>
      <c r="K194" t="b">
        <v>0</v>
      </c>
    </row>
    <row r="195" spans="1:11" ht="16" x14ac:dyDescent="0.2">
      <c r="A195" s="16">
        <v>44716</v>
      </c>
      <c r="B195" t="s">
        <v>29</v>
      </c>
      <c r="C195" t="s">
        <v>34</v>
      </c>
      <c r="D195" t="s">
        <v>20</v>
      </c>
      <c r="E195" t="s">
        <v>7637</v>
      </c>
      <c r="F195">
        <v>4</v>
      </c>
      <c r="G195" s="15">
        <v>2710000</v>
      </c>
      <c r="H195" s="14">
        <v>0.13075929750140999</v>
      </c>
      <c r="I195" s="27">
        <f t="shared" ref="I195:I258" si="3">G195-G195*H195</f>
        <v>2355642.3037711792</v>
      </c>
      <c r="J195">
        <v>3.4</v>
      </c>
      <c r="K195" t="b">
        <v>1</v>
      </c>
    </row>
    <row r="196" spans="1:11" ht="16" x14ac:dyDescent="0.2">
      <c r="A196" s="16">
        <v>44717</v>
      </c>
      <c r="B196" t="s">
        <v>29</v>
      </c>
      <c r="C196" t="s">
        <v>19</v>
      </c>
      <c r="D196" t="s">
        <v>20</v>
      </c>
      <c r="E196" t="s">
        <v>7639</v>
      </c>
      <c r="F196">
        <v>1</v>
      </c>
      <c r="G196" s="15">
        <v>2710000</v>
      </c>
      <c r="H196" s="14">
        <v>0.13075929750140999</v>
      </c>
      <c r="I196" s="27">
        <f t="shared" si="3"/>
        <v>2355642.3037711792</v>
      </c>
      <c r="J196">
        <v>4.3</v>
      </c>
      <c r="K196" t="b">
        <v>0</v>
      </c>
    </row>
    <row r="197" spans="1:11" ht="16" x14ac:dyDescent="0.2">
      <c r="A197" s="16">
        <v>44717</v>
      </c>
      <c r="B197" t="s">
        <v>29</v>
      </c>
      <c r="C197" t="s">
        <v>45</v>
      </c>
      <c r="D197" t="s">
        <v>20</v>
      </c>
      <c r="E197" t="s">
        <v>7643</v>
      </c>
      <c r="F197">
        <v>1</v>
      </c>
      <c r="G197" s="15">
        <v>2710000</v>
      </c>
      <c r="H197" s="14">
        <v>0.13075929750140999</v>
      </c>
      <c r="I197" s="27">
        <f t="shared" si="3"/>
        <v>2355642.3037711792</v>
      </c>
      <c r="J197">
        <v>4.0999999999999996</v>
      </c>
      <c r="K197" t="b">
        <v>0</v>
      </c>
    </row>
    <row r="198" spans="1:11" ht="16" x14ac:dyDescent="0.2">
      <c r="A198" s="16">
        <v>44717</v>
      </c>
      <c r="B198" t="s">
        <v>45</v>
      </c>
      <c r="C198" t="s">
        <v>25</v>
      </c>
      <c r="D198" t="s">
        <v>35</v>
      </c>
      <c r="E198" t="s">
        <v>7640</v>
      </c>
      <c r="F198">
        <v>4</v>
      </c>
      <c r="G198" s="15">
        <v>2710000</v>
      </c>
      <c r="H198" s="14">
        <v>0.13075929750140999</v>
      </c>
      <c r="I198" s="27">
        <f t="shared" si="3"/>
        <v>2355642.3037711792</v>
      </c>
      <c r="J198">
        <v>4.2</v>
      </c>
      <c r="K198" t="b">
        <v>0</v>
      </c>
    </row>
    <row r="199" spans="1:11" ht="16" x14ac:dyDescent="0.2">
      <c r="A199" s="16">
        <v>44718</v>
      </c>
      <c r="B199" t="s">
        <v>45</v>
      </c>
      <c r="C199" t="s">
        <v>39</v>
      </c>
      <c r="D199" t="s">
        <v>50</v>
      </c>
      <c r="E199" t="s">
        <v>57</v>
      </c>
      <c r="F199">
        <v>1</v>
      </c>
      <c r="G199" s="15">
        <v>2710000</v>
      </c>
      <c r="H199" s="14">
        <v>0.13075929750140999</v>
      </c>
      <c r="I199" s="27">
        <f t="shared" si="3"/>
        <v>2355642.3037711792</v>
      </c>
      <c r="J199">
        <v>3.7</v>
      </c>
      <c r="K199" t="b">
        <v>1</v>
      </c>
    </row>
    <row r="200" spans="1:11" ht="16" x14ac:dyDescent="0.2">
      <c r="A200" s="16">
        <v>44719</v>
      </c>
      <c r="B200" t="s">
        <v>45</v>
      </c>
      <c r="C200" t="s">
        <v>34</v>
      </c>
      <c r="D200" t="s">
        <v>20</v>
      </c>
      <c r="E200" t="s">
        <v>7644</v>
      </c>
      <c r="F200">
        <v>2</v>
      </c>
      <c r="G200" s="15">
        <v>2710000</v>
      </c>
      <c r="H200" s="14">
        <v>0.13075929750140999</v>
      </c>
      <c r="I200" s="27">
        <f t="shared" si="3"/>
        <v>2355642.3037711792</v>
      </c>
      <c r="J200">
        <v>3.7</v>
      </c>
      <c r="K200" t="b">
        <v>1</v>
      </c>
    </row>
    <row r="201" spans="1:11" ht="16" x14ac:dyDescent="0.2">
      <c r="A201" s="16">
        <v>44719</v>
      </c>
      <c r="B201" t="s">
        <v>33</v>
      </c>
      <c r="C201" t="s">
        <v>39</v>
      </c>
      <c r="D201" t="s">
        <v>35</v>
      </c>
      <c r="E201" t="s">
        <v>57</v>
      </c>
      <c r="F201">
        <v>4</v>
      </c>
      <c r="G201" s="15">
        <v>2710000</v>
      </c>
      <c r="H201" s="14">
        <v>0.13075929750140999</v>
      </c>
      <c r="I201" s="27">
        <f t="shared" si="3"/>
        <v>2355642.3037711792</v>
      </c>
      <c r="J201">
        <v>4</v>
      </c>
      <c r="K201" t="b">
        <v>1</v>
      </c>
    </row>
    <row r="202" spans="1:11" ht="16" x14ac:dyDescent="0.2">
      <c r="A202" s="16">
        <v>44719</v>
      </c>
      <c r="B202" t="s">
        <v>33</v>
      </c>
      <c r="C202" t="s">
        <v>39</v>
      </c>
      <c r="D202" t="s">
        <v>50</v>
      </c>
      <c r="E202" t="s">
        <v>7637</v>
      </c>
      <c r="F202">
        <v>2</v>
      </c>
      <c r="G202" s="15">
        <v>2710000</v>
      </c>
      <c r="H202" s="14">
        <v>0.13075929750140999</v>
      </c>
      <c r="I202" s="27">
        <f t="shared" si="3"/>
        <v>2355642.3037711792</v>
      </c>
      <c r="J202">
        <v>4.2</v>
      </c>
      <c r="K202" t="b">
        <v>1</v>
      </c>
    </row>
    <row r="203" spans="1:11" ht="16" x14ac:dyDescent="0.2">
      <c r="A203" s="16">
        <v>44719</v>
      </c>
      <c r="B203" t="s">
        <v>45</v>
      </c>
      <c r="C203" t="s">
        <v>45</v>
      </c>
      <c r="D203" t="s">
        <v>20</v>
      </c>
      <c r="E203" t="s">
        <v>7637</v>
      </c>
      <c r="F203">
        <v>3</v>
      </c>
      <c r="G203" s="15">
        <v>2710000</v>
      </c>
      <c r="H203" s="14">
        <v>0.13075929750140999</v>
      </c>
      <c r="I203" s="27">
        <f t="shared" si="3"/>
        <v>2355642.3037711792</v>
      </c>
      <c r="J203">
        <v>4.5</v>
      </c>
      <c r="K203" t="b">
        <v>0</v>
      </c>
    </row>
    <row r="204" spans="1:11" ht="16" x14ac:dyDescent="0.2">
      <c r="A204" s="16">
        <v>44720</v>
      </c>
      <c r="B204" t="s">
        <v>45</v>
      </c>
      <c r="C204" t="s">
        <v>39</v>
      </c>
      <c r="D204" t="s">
        <v>35</v>
      </c>
      <c r="E204" t="s">
        <v>7637</v>
      </c>
      <c r="F204">
        <v>2</v>
      </c>
      <c r="G204" s="15">
        <v>2710000</v>
      </c>
      <c r="H204" s="14">
        <v>0.13075929750140999</v>
      </c>
      <c r="I204" s="27">
        <f t="shared" si="3"/>
        <v>2355642.3037711792</v>
      </c>
      <c r="J204">
        <v>3.6</v>
      </c>
      <c r="K204" t="b">
        <v>0</v>
      </c>
    </row>
    <row r="205" spans="1:11" ht="16" x14ac:dyDescent="0.2">
      <c r="A205" s="16">
        <v>44720</v>
      </c>
      <c r="B205" t="s">
        <v>29</v>
      </c>
      <c r="C205" t="s">
        <v>39</v>
      </c>
      <c r="D205" t="s">
        <v>20</v>
      </c>
      <c r="E205" t="s">
        <v>57</v>
      </c>
      <c r="F205">
        <v>2</v>
      </c>
      <c r="G205" s="15">
        <v>2710000</v>
      </c>
      <c r="H205" s="14">
        <v>0.13075929750140999</v>
      </c>
      <c r="I205" s="27">
        <f t="shared" si="3"/>
        <v>2355642.3037711792</v>
      </c>
      <c r="J205">
        <v>3.7</v>
      </c>
      <c r="K205" t="b">
        <v>1</v>
      </c>
    </row>
    <row r="206" spans="1:11" ht="16" x14ac:dyDescent="0.2">
      <c r="A206" s="16">
        <v>44721</v>
      </c>
      <c r="B206" t="s">
        <v>45</v>
      </c>
      <c r="C206" t="s">
        <v>34</v>
      </c>
      <c r="D206" t="s">
        <v>20</v>
      </c>
      <c r="E206" t="s">
        <v>7643</v>
      </c>
      <c r="F206">
        <v>5</v>
      </c>
      <c r="G206" s="15">
        <v>2710000</v>
      </c>
      <c r="H206" s="14">
        <v>0.13075929750140999</v>
      </c>
      <c r="I206" s="27">
        <f t="shared" si="3"/>
        <v>2355642.3037711792</v>
      </c>
      <c r="J206">
        <v>3.9</v>
      </c>
      <c r="K206" t="b">
        <v>1</v>
      </c>
    </row>
    <row r="207" spans="1:11" ht="16" x14ac:dyDescent="0.2">
      <c r="A207" s="16">
        <v>44721</v>
      </c>
      <c r="B207" t="s">
        <v>18</v>
      </c>
      <c r="C207" t="s">
        <v>34</v>
      </c>
      <c r="D207" t="s">
        <v>20</v>
      </c>
      <c r="E207" t="s">
        <v>7643</v>
      </c>
      <c r="F207">
        <v>3</v>
      </c>
      <c r="G207" s="15">
        <v>2710000</v>
      </c>
      <c r="H207" s="14">
        <v>0.13075929750140999</v>
      </c>
      <c r="I207" s="27">
        <f t="shared" si="3"/>
        <v>2355642.3037711792</v>
      </c>
      <c r="J207">
        <v>3.3</v>
      </c>
      <c r="K207" t="b">
        <v>0</v>
      </c>
    </row>
    <row r="208" spans="1:11" ht="16" x14ac:dyDescent="0.2">
      <c r="A208" s="16">
        <v>44721</v>
      </c>
      <c r="B208" t="s">
        <v>18</v>
      </c>
      <c r="C208" t="s">
        <v>68</v>
      </c>
      <c r="D208" t="s">
        <v>50</v>
      </c>
      <c r="E208" t="s">
        <v>7644</v>
      </c>
      <c r="F208">
        <v>4</v>
      </c>
      <c r="G208" s="15">
        <v>2710000</v>
      </c>
      <c r="H208" s="14">
        <v>0.13075929750140999</v>
      </c>
      <c r="I208" s="27">
        <f t="shared" si="3"/>
        <v>2355642.3037711792</v>
      </c>
      <c r="J208">
        <v>3.7</v>
      </c>
      <c r="K208" t="b">
        <v>1</v>
      </c>
    </row>
    <row r="209" spans="1:11" ht="16" x14ac:dyDescent="0.2">
      <c r="A209" s="16">
        <v>44721</v>
      </c>
      <c r="B209" t="s">
        <v>45</v>
      </c>
      <c r="C209" t="s">
        <v>39</v>
      </c>
      <c r="D209" t="s">
        <v>50</v>
      </c>
      <c r="E209" t="s">
        <v>7642</v>
      </c>
      <c r="F209">
        <v>2</v>
      </c>
      <c r="G209" s="15">
        <v>2710000</v>
      </c>
      <c r="H209" s="14">
        <v>0.13075929750140999</v>
      </c>
      <c r="I209" s="27">
        <f t="shared" si="3"/>
        <v>2355642.3037711792</v>
      </c>
      <c r="J209">
        <v>4.5</v>
      </c>
      <c r="K209" t="b">
        <v>1</v>
      </c>
    </row>
    <row r="210" spans="1:11" ht="16" x14ac:dyDescent="0.2">
      <c r="A210" s="16">
        <v>44722</v>
      </c>
      <c r="B210" t="s">
        <v>18</v>
      </c>
      <c r="C210" t="s">
        <v>19</v>
      </c>
      <c r="D210" t="s">
        <v>46</v>
      </c>
      <c r="E210" t="s">
        <v>7642</v>
      </c>
      <c r="F210">
        <v>3</v>
      </c>
      <c r="G210" s="15">
        <v>2710000</v>
      </c>
      <c r="H210" s="14">
        <v>0.13075929750140999</v>
      </c>
      <c r="I210" s="27">
        <f t="shared" si="3"/>
        <v>2355642.3037711792</v>
      </c>
      <c r="J210">
        <v>5</v>
      </c>
      <c r="K210" t="b">
        <v>1</v>
      </c>
    </row>
    <row r="211" spans="1:11" ht="16" x14ac:dyDescent="0.2">
      <c r="A211" s="16">
        <v>44722</v>
      </c>
      <c r="B211" t="s">
        <v>18</v>
      </c>
      <c r="C211" t="s">
        <v>19</v>
      </c>
      <c r="D211" t="s">
        <v>20</v>
      </c>
      <c r="E211" t="s">
        <v>7641</v>
      </c>
      <c r="F211">
        <v>2</v>
      </c>
      <c r="G211" s="15">
        <v>2710000</v>
      </c>
      <c r="H211" s="14">
        <v>0.13075929750140999</v>
      </c>
      <c r="I211" s="27">
        <f t="shared" si="3"/>
        <v>2355642.3037711792</v>
      </c>
      <c r="J211">
        <v>4.5</v>
      </c>
      <c r="K211" t="b">
        <v>1</v>
      </c>
    </row>
    <row r="212" spans="1:11" ht="16" x14ac:dyDescent="0.2">
      <c r="A212" s="16">
        <v>44722</v>
      </c>
      <c r="B212" t="s">
        <v>18</v>
      </c>
      <c r="C212" t="s">
        <v>34</v>
      </c>
      <c r="D212" t="s">
        <v>20</v>
      </c>
      <c r="E212" t="s">
        <v>7641</v>
      </c>
      <c r="F212">
        <v>1</v>
      </c>
      <c r="G212" s="15">
        <v>2710000</v>
      </c>
      <c r="H212" s="14">
        <v>0.13075929750140999</v>
      </c>
      <c r="I212" s="27">
        <f t="shared" si="3"/>
        <v>2355642.3037711792</v>
      </c>
      <c r="J212">
        <v>4.3</v>
      </c>
      <c r="K212" t="b">
        <v>0</v>
      </c>
    </row>
    <row r="213" spans="1:11" ht="16" x14ac:dyDescent="0.2">
      <c r="A213" s="16">
        <v>44723</v>
      </c>
      <c r="B213" t="s">
        <v>18</v>
      </c>
      <c r="C213" t="s">
        <v>19</v>
      </c>
      <c r="D213" t="s">
        <v>35</v>
      </c>
      <c r="E213" t="s">
        <v>7642</v>
      </c>
      <c r="F213">
        <v>2</v>
      </c>
      <c r="G213" s="15">
        <v>2710000</v>
      </c>
      <c r="H213" s="14">
        <v>0.13075929750140999</v>
      </c>
      <c r="I213" s="27">
        <f t="shared" si="3"/>
        <v>2355642.3037711792</v>
      </c>
      <c r="J213">
        <v>3.9</v>
      </c>
      <c r="K213" t="b">
        <v>1</v>
      </c>
    </row>
    <row r="214" spans="1:11" ht="16" x14ac:dyDescent="0.2">
      <c r="A214" s="16">
        <v>44723</v>
      </c>
      <c r="B214" t="s">
        <v>45</v>
      </c>
      <c r="C214" t="s">
        <v>25</v>
      </c>
      <c r="D214" t="s">
        <v>20</v>
      </c>
      <c r="E214" t="s">
        <v>7644</v>
      </c>
      <c r="F214">
        <v>1</v>
      </c>
      <c r="G214" s="15">
        <v>2710000</v>
      </c>
      <c r="H214" s="14">
        <v>0.13075929750140999</v>
      </c>
      <c r="I214" s="27">
        <f t="shared" si="3"/>
        <v>2355642.3037711792</v>
      </c>
      <c r="J214">
        <v>3.9</v>
      </c>
      <c r="K214" t="b">
        <v>0</v>
      </c>
    </row>
    <row r="215" spans="1:11" ht="16" x14ac:dyDescent="0.2">
      <c r="A215" s="16">
        <v>44724</v>
      </c>
      <c r="B215" t="s">
        <v>45</v>
      </c>
      <c r="C215" t="s">
        <v>68</v>
      </c>
      <c r="D215" t="s">
        <v>20</v>
      </c>
      <c r="E215" t="s">
        <v>7638</v>
      </c>
      <c r="F215">
        <v>1</v>
      </c>
      <c r="G215" s="15">
        <v>2710000</v>
      </c>
      <c r="H215" s="14">
        <v>0.13075929750140999</v>
      </c>
      <c r="I215" s="27">
        <f t="shared" si="3"/>
        <v>2355642.3037711792</v>
      </c>
      <c r="J215">
        <v>4.7</v>
      </c>
      <c r="K215" t="b">
        <v>0</v>
      </c>
    </row>
    <row r="216" spans="1:11" ht="16" x14ac:dyDescent="0.2">
      <c r="A216" s="16">
        <v>44724</v>
      </c>
      <c r="B216" t="s">
        <v>18</v>
      </c>
      <c r="C216" t="s">
        <v>19</v>
      </c>
      <c r="D216" t="s">
        <v>20</v>
      </c>
      <c r="E216" t="s">
        <v>7641</v>
      </c>
      <c r="F216">
        <v>2</v>
      </c>
      <c r="G216" s="15">
        <v>2710000</v>
      </c>
      <c r="H216" s="14">
        <v>0.13075929750140999</v>
      </c>
      <c r="I216" s="27">
        <f t="shared" si="3"/>
        <v>2355642.3037711792</v>
      </c>
      <c r="J216">
        <v>3.9</v>
      </c>
      <c r="K216" t="b">
        <v>1</v>
      </c>
    </row>
    <row r="217" spans="1:11" ht="16" x14ac:dyDescent="0.2">
      <c r="A217" s="16">
        <v>44724</v>
      </c>
      <c r="B217" t="s">
        <v>45</v>
      </c>
      <c r="C217" t="s">
        <v>25</v>
      </c>
      <c r="D217" t="s">
        <v>50</v>
      </c>
      <c r="E217" t="s">
        <v>7638</v>
      </c>
      <c r="F217">
        <v>4</v>
      </c>
      <c r="G217" s="15">
        <v>2710000</v>
      </c>
      <c r="H217" s="14">
        <v>0.13075929750140999</v>
      </c>
      <c r="I217" s="27">
        <f t="shared" si="3"/>
        <v>2355642.3037711792</v>
      </c>
      <c r="J217">
        <v>4</v>
      </c>
      <c r="K217" t="b">
        <v>1</v>
      </c>
    </row>
    <row r="218" spans="1:11" ht="16" x14ac:dyDescent="0.2">
      <c r="A218" s="16">
        <v>44724</v>
      </c>
      <c r="B218" t="s">
        <v>33</v>
      </c>
      <c r="C218" t="s">
        <v>39</v>
      </c>
      <c r="D218" t="s">
        <v>50</v>
      </c>
      <c r="E218" t="str">
        <f>E217</f>
        <v>Đà Lạt</v>
      </c>
      <c r="F218">
        <v>3</v>
      </c>
      <c r="G218" s="15">
        <v>2710000</v>
      </c>
      <c r="H218" s="14">
        <v>0.13075929750140999</v>
      </c>
      <c r="I218" s="27">
        <f t="shared" si="3"/>
        <v>2355642.3037711792</v>
      </c>
      <c r="J218">
        <v>4.7</v>
      </c>
      <c r="K218" t="b">
        <v>1</v>
      </c>
    </row>
    <row r="219" spans="1:11" ht="16" x14ac:dyDescent="0.2">
      <c r="A219" s="16">
        <v>44724</v>
      </c>
      <c r="B219" t="s">
        <v>18</v>
      </c>
      <c r="C219" t="s">
        <v>68</v>
      </c>
      <c r="D219" t="s">
        <v>20</v>
      </c>
      <c r="E219" t="s">
        <v>7644</v>
      </c>
      <c r="F219">
        <v>2</v>
      </c>
      <c r="G219" s="15">
        <v>2710000</v>
      </c>
      <c r="H219" s="14">
        <v>0.13075929750140999</v>
      </c>
      <c r="I219" s="27">
        <f t="shared" si="3"/>
        <v>2355642.3037711792</v>
      </c>
      <c r="J219">
        <v>4.0999999999999996</v>
      </c>
      <c r="K219" t="b">
        <v>1</v>
      </c>
    </row>
    <row r="220" spans="1:11" ht="16" x14ac:dyDescent="0.2">
      <c r="A220" s="16">
        <v>44725</v>
      </c>
      <c r="B220" t="s">
        <v>45</v>
      </c>
      <c r="C220" t="s">
        <v>39</v>
      </c>
      <c r="D220" t="s">
        <v>20</v>
      </c>
      <c r="E220" t="s">
        <v>7640</v>
      </c>
      <c r="F220">
        <v>3</v>
      </c>
      <c r="G220" s="15">
        <v>2710000</v>
      </c>
      <c r="H220" s="14">
        <v>0.13075929750140999</v>
      </c>
      <c r="I220" s="27">
        <f t="shared" si="3"/>
        <v>2355642.3037711792</v>
      </c>
      <c r="J220">
        <v>4.8</v>
      </c>
      <c r="K220" t="b">
        <v>1</v>
      </c>
    </row>
    <row r="221" spans="1:11" ht="16" x14ac:dyDescent="0.2">
      <c r="A221" s="16">
        <v>44725</v>
      </c>
      <c r="B221" t="s">
        <v>45</v>
      </c>
      <c r="C221" t="s">
        <v>45</v>
      </c>
      <c r="D221" t="s">
        <v>20</v>
      </c>
      <c r="E221" t="s">
        <v>7643</v>
      </c>
      <c r="F221">
        <v>2</v>
      </c>
      <c r="G221" s="15">
        <v>2710000</v>
      </c>
      <c r="H221" s="14">
        <v>0.13075929750140999</v>
      </c>
      <c r="I221" s="27">
        <f t="shared" si="3"/>
        <v>2355642.3037711792</v>
      </c>
      <c r="J221">
        <v>4.3</v>
      </c>
      <c r="K221" t="b">
        <v>1</v>
      </c>
    </row>
    <row r="222" spans="1:11" ht="16" x14ac:dyDescent="0.2">
      <c r="A222" s="16">
        <v>44726</v>
      </c>
      <c r="B222" t="s">
        <v>45</v>
      </c>
      <c r="C222" t="s">
        <v>19</v>
      </c>
      <c r="D222" t="s">
        <v>35</v>
      </c>
      <c r="E222" t="s">
        <v>7641</v>
      </c>
      <c r="F222">
        <v>3</v>
      </c>
      <c r="G222" s="15">
        <v>2710000</v>
      </c>
      <c r="H222" s="14">
        <v>0.13075929750140999</v>
      </c>
      <c r="I222" s="27">
        <f t="shared" si="3"/>
        <v>2355642.3037711792</v>
      </c>
      <c r="J222">
        <v>3.8</v>
      </c>
      <c r="K222" t="b">
        <v>1</v>
      </c>
    </row>
    <row r="223" spans="1:11" ht="16" x14ac:dyDescent="0.2">
      <c r="A223" s="16">
        <v>44727</v>
      </c>
      <c r="B223" t="s">
        <v>18</v>
      </c>
      <c r="C223" t="s">
        <v>34</v>
      </c>
      <c r="D223" t="s">
        <v>20</v>
      </c>
      <c r="E223" t="s">
        <v>99</v>
      </c>
      <c r="F223">
        <v>3</v>
      </c>
      <c r="G223" s="15">
        <v>2710000</v>
      </c>
      <c r="H223" s="14">
        <v>0.13075929750140999</v>
      </c>
      <c r="I223" s="27">
        <f t="shared" si="3"/>
        <v>2355642.3037711792</v>
      </c>
      <c r="J223">
        <v>4.5999999999999996</v>
      </c>
      <c r="K223" t="b">
        <v>1</v>
      </c>
    </row>
    <row r="224" spans="1:11" ht="16" x14ac:dyDescent="0.2">
      <c r="A224" s="16">
        <v>44727</v>
      </c>
      <c r="B224" t="s">
        <v>45</v>
      </c>
      <c r="C224" t="s">
        <v>25</v>
      </c>
      <c r="D224" t="s">
        <v>35</v>
      </c>
      <c r="E224" t="s">
        <v>99</v>
      </c>
      <c r="F224">
        <v>2</v>
      </c>
      <c r="G224" s="15">
        <v>2710000</v>
      </c>
      <c r="H224" s="14">
        <v>0.13075929750140999</v>
      </c>
      <c r="I224" s="27">
        <f t="shared" si="3"/>
        <v>2355642.3037711792</v>
      </c>
      <c r="J224">
        <v>5</v>
      </c>
      <c r="K224" t="b">
        <v>1</v>
      </c>
    </row>
    <row r="225" spans="1:11" ht="16" x14ac:dyDescent="0.2">
      <c r="A225" s="16">
        <v>44727</v>
      </c>
      <c r="B225" t="s">
        <v>18</v>
      </c>
      <c r="C225" t="s">
        <v>45</v>
      </c>
      <c r="D225" t="s">
        <v>20</v>
      </c>
      <c r="E225" t="s">
        <v>7644</v>
      </c>
      <c r="F225">
        <v>2</v>
      </c>
      <c r="G225" s="15">
        <v>2710000</v>
      </c>
      <c r="H225" s="14">
        <v>0.13075929750140999</v>
      </c>
      <c r="I225" s="27">
        <f t="shared" si="3"/>
        <v>2355642.3037711792</v>
      </c>
      <c r="J225">
        <v>3.7</v>
      </c>
      <c r="K225" t="b">
        <v>0</v>
      </c>
    </row>
    <row r="226" spans="1:11" ht="16" x14ac:dyDescent="0.2">
      <c r="A226" s="16">
        <v>44727</v>
      </c>
      <c r="B226" t="s">
        <v>29</v>
      </c>
      <c r="C226" t="s">
        <v>45</v>
      </c>
      <c r="D226" t="s">
        <v>50</v>
      </c>
      <c r="E226" t="s">
        <v>7643</v>
      </c>
      <c r="F226">
        <v>1</v>
      </c>
      <c r="G226" s="15">
        <v>2710000</v>
      </c>
      <c r="H226" s="14">
        <v>0.13075929750140999</v>
      </c>
      <c r="I226" s="27">
        <f t="shared" si="3"/>
        <v>2355642.3037711792</v>
      </c>
      <c r="J226">
        <v>4.5999999999999996</v>
      </c>
      <c r="K226" t="b">
        <v>1</v>
      </c>
    </row>
    <row r="227" spans="1:11" ht="16" x14ac:dyDescent="0.2">
      <c r="A227" s="16">
        <v>44729</v>
      </c>
      <c r="B227" t="s">
        <v>18</v>
      </c>
      <c r="C227" t="s">
        <v>19</v>
      </c>
      <c r="D227" t="s">
        <v>20</v>
      </c>
      <c r="E227" t="s">
        <v>7638</v>
      </c>
      <c r="F227">
        <v>4</v>
      </c>
      <c r="G227" s="15">
        <v>2710000</v>
      </c>
      <c r="H227" s="14">
        <v>0.13075929750140999</v>
      </c>
      <c r="I227" s="27">
        <f t="shared" si="3"/>
        <v>2355642.3037711792</v>
      </c>
      <c r="J227">
        <v>3.9</v>
      </c>
      <c r="K227" t="b">
        <v>0</v>
      </c>
    </row>
    <row r="228" spans="1:11" ht="16" x14ac:dyDescent="0.2">
      <c r="A228" s="16">
        <v>44730</v>
      </c>
      <c r="B228" t="s">
        <v>18</v>
      </c>
      <c r="C228" t="s">
        <v>39</v>
      </c>
      <c r="D228" t="s">
        <v>35</v>
      </c>
      <c r="E228" t="s">
        <v>7641</v>
      </c>
      <c r="F228">
        <v>3</v>
      </c>
      <c r="G228" s="15">
        <v>2710000</v>
      </c>
      <c r="H228" s="14">
        <v>0.13075929750140999</v>
      </c>
      <c r="I228" s="27">
        <f t="shared" si="3"/>
        <v>2355642.3037711792</v>
      </c>
      <c r="J228">
        <v>4.5</v>
      </c>
      <c r="K228" t="b">
        <v>1</v>
      </c>
    </row>
    <row r="229" spans="1:11" ht="16" x14ac:dyDescent="0.2">
      <c r="A229" s="16">
        <v>44730</v>
      </c>
      <c r="B229" t="s">
        <v>29</v>
      </c>
      <c r="C229" t="s">
        <v>34</v>
      </c>
      <c r="D229" t="s">
        <v>35</v>
      </c>
      <c r="E229" t="s">
        <v>7641</v>
      </c>
      <c r="F229">
        <v>1</v>
      </c>
      <c r="G229" s="15">
        <v>2710000</v>
      </c>
      <c r="H229" s="14">
        <v>0.13075929750140999</v>
      </c>
      <c r="I229" s="27">
        <f t="shared" si="3"/>
        <v>2355642.3037711792</v>
      </c>
      <c r="J229">
        <v>4.3</v>
      </c>
      <c r="K229" t="b">
        <v>1</v>
      </c>
    </row>
    <row r="230" spans="1:11" ht="16" x14ac:dyDescent="0.2">
      <c r="A230" s="16">
        <v>44730</v>
      </c>
      <c r="B230" t="s">
        <v>45</v>
      </c>
      <c r="C230" t="s">
        <v>25</v>
      </c>
      <c r="D230" t="s">
        <v>20</v>
      </c>
      <c r="E230" t="s">
        <v>7641</v>
      </c>
      <c r="F230">
        <v>1</v>
      </c>
      <c r="G230" s="15">
        <v>2710000</v>
      </c>
      <c r="H230" s="14">
        <v>0.13075929750140999</v>
      </c>
      <c r="I230" s="27">
        <f t="shared" si="3"/>
        <v>2355642.3037711792</v>
      </c>
      <c r="J230">
        <v>4.3</v>
      </c>
      <c r="K230" t="b">
        <v>0</v>
      </c>
    </row>
    <row r="231" spans="1:11" ht="16" x14ac:dyDescent="0.2">
      <c r="A231" s="16">
        <v>44730</v>
      </c>
      <c r="B231" t="s">
        <v>18</v>
      </c>
      <c r="C231" t="s">
        <v>19</v>
      </c>
      <c r="D231" t="s">
        <v>35</v>
      </c>
      <c r="E231" t="s">
        <v>7640</v>
      </c>
      <c r="F231">
        <v>2</v>
      </c>
      <c r="G231" s="15">
        <v>2710000</v>
      </c>
      <c r="H231" s="14">
        <v>0.13075929750140999</v>
      </c>
      <c r="I231" s="27">
        <f t="shared" si="3"/>
        <v>2355642.3037711792</v>
      </c>
      <c r="J231">
        <v>4.5999999999999996</v>
      </c>
      <c r="K231" t="b">
        <v>1</v>
      </c>
    </row>
    <row r="232" spans="1:11" ht="16" x14ac:dyDescent="0.2">
      <c r="A232" s="16">
        <v>44731</v>
      </c>
      <c r="B232" t="s">
        <v>45</v>
      </c>
      <c r="C232" t="s">
        <v>34</v>
      </c>
      <c r="D232" t="s">
        <v>20</v>
      </c>
      <c r="E232" t="s">
        <v>7640</v>
      </c>
      <c r="F232">
        <v>1</v>
      </c>
      <c r="G232" s="15">
        <v>2710000</v>
      </c>
      <c r="H232" s="14">
        <v>0.13075929750140999</v>
      </c>
      <c r="I232" s="27">
        <f t="shared" si="3"/>
        <v>2355642.3037711792</v>
      </c>
      <c r="J232">
        <v>4.5999999999999996</v>
      </c>
      <c r="K232" t="b">
        <v>0</v>
      </c>
    </row>
    <row r="233" spans="1:11" ht="16" x14ac:dyDescent="0.2">
      <c r="A233" s="16">
        <v>44731</v>
      </c>
      <c r="B233" t="s">
        <v>18</v>
      </c>
      <c r="C233" t="s">
        <v>39</v>
      </c>
      <c r="D233" t="s">
        <v>20</v>
      </c>
      <c r="E233" t="s">
        <v>7643</v>
      </c>
      <c r="F233">
        <v>1</v>
      </c>
      <c r="G233" s="15">
        <v>2710000</v>
      </c>
      <c r="H233" s="14">
        <v>0.13075929750140999</v>
      </c>
      <c r="I233" s="27">
        <f t="shared" si="3"/>
        <v>2355642.3037711792</v>
      </c>
      <c r="J233">
        <v>3.9</v>
      </c>
      <c r="K233" t="b">
        <v>1</v>
      </c>
    </row>
    <row r="234" spans="1:11" ht="16" x14ac:dyDescent="0.2">
      <c r="A234" s="16">
        <v>44731</v>
      </c>
      <c r="B234" t="s">
        <v>45</v>
      </c>
      <c r="C234" t="s">
        <v>45</v>
      </c>
      <c r="D234" t="s">
        <v>35</v>
      </c>
      <c r="E234" t="s">
        <v>7643</v>
      </c>
      <c r="F234">
        <v>2</v>
      </c>
      <c r="G234" s="15">
        <v>2710000</v>
      </c>
      <c r="H234" s="14">
        <v>0.13075929750140999</v>
      </c>
      <c r="I234" s="27">
        <f t="shared" si="3"/>
        <v>2355642.3037711792</v>
      </c>
      <c r="J234">
        <v>3.3</v>
      </c>
      <c r="K234" t="b">
        <v>1</v>
      </c>
    </row>
    <row r="235" spans="1:11" ht="16" x14ac:dyDescent="0.2">
      <c r="A235" s="16">
        <v>44731</v>
      </c>
      <c r="B235" t="s">
        <v>45</v>
      </c>
      <c r="C235" t="s">
        <v>39</v>
      </c>
      <c r="D235" t="s">
        <v>20</v>
      </c>
      <c r="E235" t="s">
        <v>7638</v>
      </c>
      <c r="F235">
        <v>3</v>
      </c>
      <c r="G235" s="15">
        <v>2710000</v>
      </c>
      <c r="H235" s="14">
        <v>0.13075929750140999</v>
      </c>
      <c r="I235" s="27">
        <f t="shared" si="3"/>
        <v>2355642.3037711792</v>
      </c>
      <c r="J235">
        <v>4.3</v>
      </c>
      <c r="K235" t="b">
        <v>1</v>
      </c>
    </row>
    <row r="236" spans="1:11" ht="16" x14ac:dyDescent="0.2">
      <c r="A236" s="16">
        <v>44732</v>
      </c>
      <c r="B236" t="s">
        <v>45</v>
      </c>
      <c r="C236" t="s">
        <v>68</v>
      </c>
      <c r="D236" t="s">
        <v>20</v>
      </c>
      <c r="E236" t="s">
        <v>7641</v>
      </c>
      <c r="F236">
        <v>2</v>
      </c>
      <c r="G236" s="15">
        <v>2710000</v>
      </c>
      <c r="H236" s="14">
        <v>0.13075929750140999</v>
      </c>
      <c r="I236" s="27">
        <f t="shared" si="3"/>
        <v>2355642.3037711792</v>
      </c>
      <c r="J236">
        <v>4.3</v>
      </c>
      <c r="K236" t="b">
        <v>0</v>
      </c>
    </row>
    <row r="237" spans="1:11" ht="16" x14ac:dyDescent="0.2">
      <c r="A237" s="16">
        <v>44732</v>
      </c>
      <c r="B237" t="s">
        <v>45</v>
      </c>
      <c r="C237" t="s">
        <v>68</v>
      </c>
      <c r="D237" t="s">
        <v>20</v>
      </c>
      <c r="E237" t="s">
        <v>7639</v>
      </c>
      <c r="F237">
        <v>1</v>
      </c>
      <c r="G237" s="15">
        <v>2710000</v>
      </c>
      <c r="H237" s="14">
        <v>0.13075929750140999</v>
      </c>
      <c r="I237" s="27">
        <f t="shared" si="3"/>
        <v>2355642.3037711792</v>
      </c>
      <c r="J237">
        <v>4</v>
      </c>
      <c r="K237" t="b">
        <v>0</v>
      </c>
    </row>
    <row r="238" spans="1:11" ht="16" x14ac:dyDescent="0.2">
      <c r="A238" s="16">
        <v>44732</v>
      </c>
      <c r="B238" t="s">
        <v>45</v>
      </c>
      <c r="C238" t="s">
        <v>34</v>
      </c>
      <c r="D238" t="s">
        <v>50</v>
      </c>
      <c r="E238" t="s">
        <v>7638</v>
      </c>
      <c r="F238">
        <v>2</v>
      </c>
      <c r="G238" s="15">
        <v>2710000</v>
      </c>
      <c r="H238" s="14">
        <v>0.13075929750140999</v>
      </c>
      <c r="I238" s="27">
        <f t="shared" si="3"/>
        <v>2355642.3037711792</v>
      </c>
      <c r="J238">
        <v>3.7</v>
      </c>
      <c r="K238" t="b">
        <v>0</v>
      </c>
    </row>
    <row r="239" spans="1:11" ht="16" x14ac:dyDescent="0.2">
      <c r="A239" s="16">
        <v>44734</v>
      </c>
      <c r="B239" t="s">
        <v>45</v>
      </c>
      <c r="C239" t="s">
        <v>34</v>
      </c>
      <c r="D239" t="s">
        <v>50</v>
      </c>
      <c r="E239" t="s">
        <v>57</v>
      </c>
      <c r="F239">
        <v>3</v>
      </c>
      <c r="G239" s="15">
        <v>2710000</v>
      </c>
      <c r="H239" s="14">
        <v>0.13075929750140999</v>
      </c>
      <c r="I239" s="27">
        <f t="shared" si="3"/>
        <v>2355642.3037711792</v>
      </c>
      <c r="J239">
        <v>4</v>
      </c>
      <c r="K239" t="b">
        <v>1</v>
      </c>
    </row>
    <row r="240" spans="1:11" ht="16" x14ac:dyDescent="0.2">
      <c r="A240" s="16">
        <v>44734</v>
      </c>
      <c r="B240" t="s">
        <v>29</v>
      </c>
      <c r="C240" t="s">
        <v>19</v>
      </c>
      <c r="D240" t="s">
        <v>46</v>
      </c>
      <c r="E240" t="s">
        <v>57</v>
      </c>
      <c r="F240">
        <v>1</v>
      </c>
      <c r="G240" s="15">
        <v>2710000</v>
      </c>
      <c r="H240" s="14">
        <v>0.13075929750140999</v>
      </c>
      <c r="I240" s="27">
        <f t="shared" si="3"/>
        <v>2355642.3037711792</v>
      </c>
      <c r="J240">
        <v>4.4000000000000004</v>
      </c>
      <c r="K240" t="b">
        <v>1</v>
      </c>
    </row>
    <row r="241" spans="1:11" ht="16" x14ac:dyDescent="0.2">
      <c r="A241" s="16">
        <v>44736</v>
      </c>
      <c r="B241" t="s">
        <v>45</v>
      </c>
      <c r="C241" t="s">
        <v>45</v>
      </c>
      <c r="D241" t="s">
        <v>46</v>
      </c>
      <c r="E241" t="s">
        <v>7640</v>
      </c>
      <c r="F241">
        <v>1</v>
      </c>
      <c r="G241" s="15">
        <v>2710000</v>
      </c>
      <c r="H241" s="14">
        <v>0.13075929750140999</v>
      </c>
      <c r="I241" s="27">
        <f t="shared" si="3"/>
        <v>2355642.3037711792</v>
      </c>
      <c r="J241">
        <v>4.5</v>
      </c>
      <c r="K241" t="b">
        <v>0</v>
      </c>
    </row>
    <row r="242" spans="1:11" ht="16" x14ac:dyDescent="0.2">
      <c r="A242" s="16">
        <v>44736</v>
      </c>
      <c r="B242" t="s">
        <v>45</v>
      </c>
      <c r="C242" t="s">
        <v>68</v>
      </c>
      <c r="D242" t="s">
        <v>35</v>
      </c>
      <c r="E242" t="s">
        <v>7639</v>
      </c>
      <c r="F242">
        <v>3</v>
      </c>
      <c r="G242" s="15">
        <v>2710000</v>
      </c>
      <c r="H242" s="14">
        <v>0.13075929750140999</v>
      </c>
      <c r="I242" s="27">
        <f t="shared" si="3"/>
        <v>2355642.3037711792</v>
      </c>
      <c r="J242">
        <v>5</v>
      </c>
      <c r="K242" t="b">
        <v>0</v>
      </c>
    </row>
    <row r="243" spans="1:11" ht="16" x14ac:dyDescent="0.2">
      <c r="A243" s="16">
        <v>44736</v>
      </c>
      <c r="B243" t="s">
        <v>18</v>
      </c>
      <c r="C243" t="s">
        <v>34</v>
      </c>
      <c r="D243" t="s">
        <v>20</v>
      </c>
      <c r="E243" t="s">
        <v>7639</v>
      </c>
      <c r="F243">
        <v>1</v>
      </c>
      <c r="G243" s="15">
        <v>2710000</v>
      </c>
      <c r="H243" s="14">
        <v>0.13075929750140999</v>
      </c>
      <c r="I243" s="27">
        <f t="shared" si="3"/>
        <v>2355642.3037711792</v>
      </c>
      <c r="J243">
        <v>4.5999999999999996</v>
      </c>
      <c r="K243" t="b">
        <v>0</v>
      </c>
    </row>
    <row r="244" spans="1:11" ht="16" x14ac:dyDescent="0.2">
      <c r="A244" s="16">
        <v>44738</v>
      </c>
      <c r="B244" t="s">
        <v>45</v>
      </c>
      <c r="C244" t="s">
        <v>45</v>
      </c>
      <c r="D244" t="s">
        <v>20</v>
      </c>
      <c r="E244" t="s">
        <v>7639</v>
      </c>
      <c r="F244">
        <v>3</v>
      </c>
      <c r="G244" s="15">
        <v>2710000</v>
      </c>
      <c r="H244" s="14">
        <v>0.13075929750140999</v>
      </c>
      <c r="I244" s="27">
        <f t="shared" si="3"/>
        <v>2355642.3037711792</v>
      </c>
      <c r="J244">
        <v>4.4000000000000004</v>
      </c>
      <c r="K244" t="b">
        <v>1</v>
      </c>
    </row>
    <row r="245" spans="1:11" ht="16" x14ac:dyDescent="0.2">
      <c r="A245" s="16">
        <v>44738</v>
      </c>
      <c r="B245" t="s">
        <v>45</v>
      </c>
      <c r="C245" t="s">
        <v>45</v>
      </c>
      <c r="D245" t="s">
        <v>20</v>
      </c>
      <c r="E245" t="s">
        <v>7639</v>
      </c>
      <c r="F245">
        <v>4</v>
      </c>
      <c r="G245" s="15">
        <v>2710000</v>
      </c>
      <c r="H245" s="14">
        <v>0.13075929750140999</v>
      </c>
      <c r="I245" s="27">
        <f t="shared" si="3"/>
        <v>2355642.3037711792</v>
      </c>
      <c r="J245">
        <v>4.8</v>
      </c>
      <c r="K245" t="b">
        <v>1</v>
      </c>
    </row>
    <row r="246" spans="1:11" ht="16" x14ac:dyDescent="0.2">
      <c r="A246" s="16">
        <v>44740</v>
      </c>
      <c r="B246" t="s">
        <v>45</v>
      </c>
      <c r="C246" t="s">
        <v>19</v>
      </c>
      <c r="D246" t="s">
        <v>50</v>
      </c>
      <c r="E246" t="s">
        <v>99</v>
      </c>
      <c r="F246">
        <v>1</v>
      </c>
      <c r="G246" s="15">
        <v>2710000</v>
      </c>
      <c r="H246" s="14">
        <v>0.13075929750140999</v>
      </c>
      <c r="I246" s="27">
        <f t="shared" si="3"/>
        <v>2355642.3037711792</v>
      </c>
      <c r="J246">
        <v>4.3</v>
      </c>
      <c r="K246" t="b">
        <v>1</v>
      </c>
    </row>
    <row r="247" spans="1:11" ht="16" x14ac:dyDescent="0.2">
      <c r="A247" s="16">
        <v>44741</v>
      </c>
      <c r="B247" t="s">
        <v>45</v>
      </c>
      <c r="C247" t="s">
        <v>39</v>
      </c>
      <c r="D247" t="s">
        <v>35</v>
      </c>
      <c r="E247" t="s">
        <v>7643</v>
      </c>
      <c r="F247">
        <v>1</v>
      </c>
      <c r="G247" s="15">
        <v>2710000</v>
      </c>
      <c r="H247" s="14">
        <v>0.13075929750140999</v>
      </c>
      <c r="I247" s="27">
        <f t="shared" si="3"/>
        <v>2355642.3037711792</v>
      </c>
      <c r="J247">
        <v>5</v>
      </c>
      <c r="K247" t="b">
        <v>1</v>
      </c>
    </row>
    <row r="248" spans="1:11" ht="16" x14ac:dyDescent="0.2">
      <c r="A248" s="16">
        <v>44741</v>
      </c>
      <c r="B248" t="s">
        <v>33</v>
      </c>
      <c r="C248" t="s">
        <v>39</v>
      </c>
      <c r="D248" t="s">
        <v>20</v>
      </c>
      <c r="E248" t="s">
        <v>7641</v>
      </c>
      <c r="F248">
        <v>2</v>
      </c>
      <c r="G248" s="15">
        <v>2710000</v>
      </c>
      <c r="H248" s="14">
        <v>0.13075929750140999</v>
      </c>
      <c r="I248" s="27">
        <f t="shared" si="3"/>
        <v>2355642.3037711792</v>
      </c>
      <c r="J248">
        <v>4</v>
      </c>
      <c r="K248" t="b">
        <v>1</v>
      </c>
    </row>
    <row r="249" spans="1:11" ht="16" x14ac:dyDescent="0.2">
      <c r="A249" s="16">
        <v>44742</v>
      </c>
      <c r="B249" t="s">
        <v>33</v>
      </c>
      <c r="C249" t="s">
        <v>25</v>
      </c>
      <c r="D249" t="s">
        <v>50</v>
      </c>
      <c r="E249" t="s">
        <v>7640</v>
      </c>
      <c r="F249">
        <v>1</v>
      </c>
      <c r="G249" s="15">
        <v>2710000</v>
      </c>
      <c r="H249" s="14">
        <v>0.13075929750140999</v>
      </c>
      <c r="I249" s="27">
        <f t="shared" si="3"/>
        <v>2355642.3037711792</v>
      </c>
      <c r="J249">
        <v>4.5</v>
      </c>
      <c r="K249" t="b">
        <v>1</v>
      </c>
    </row>
    <row r="250" spans="1:11" ht="16" x14ac:dyDescent="0.2">
      <c r="A250" s="16">
        <v>44742</v>
      </c>
      <c r="B250" t="s">
        <v>45</v>
      </c>
      <c r="C250" t="s">
        <v>19</v>
      </c>
      <c r="D250" t="s">
        <v>35</v>
      </c>
      <c r="E250" t="s">
        <v>99</v>
      </c>
      <c r="F250">
        <v>4</v>
      </c>
      <c r="G250" s="15">
        <v>2710000</v>
      </c>
      <c r="H250" s="14">
        <v>0.13075929750140999</v>
      </c>
      <c r="I250" s="27">
        <f t="shared" si="3"/>
        <v>2355642.3037711792</v>
      </c>
      <c r="J250">
        <v>4.9000000000000004</v>
      </c>
      <c r="K250" t="b">
        <v>1</v>
      </c>
    </row>
    <row r="251" spans="1:11" ht="16" x14ac:dyDescent="0.2">
      <c r="A251" s="16">
        <v>44743</v>
      </c>
      <c r="B251" t="s">
        <v>45</v>
      </c>
      <c r="C251" t="s">
        <v>34</v>
      </c>
      <c r="D251" t="s">
        <v>20</v>
      </c>
      <c r="E251" t="s">
        <v>7637</v>
      </c>
      <c r="F251">
        <v>1</v>
      </c>
      <c r="G251" s="15">
        <v>2710000</v>
      </c>
      <c r="H251" s="14">
        <v>0.13075929750140999</v>
      </c>
      <c r="I251" s="27">
        <f t="shared" si="3"/>
        <v>2355642.3037711792</v>
      </c>
      <c r="J251">
        <v>4.3</v>
      </c>
      <c r="K251" t="b">
        <v>1</v>
      </c>
    </row>
    <row r="252" spans="1:11" ht="16" x14ac:dyDescent="0.2">
      <c r="A252" s="16">
        <v>44743</v>
      </c>
      <c r="B252" t="s">
        <v>33</v>
      </c>
      <c r="C252" t="s">
        <v>34</v>
      </c>
      <c r="D252" t="s">
        <v>50</v>
      </c>
      <c r="E252" t="s">
        <v>7639</v>
      </c>
      <c r="F252">
        <v>1</v>
      </c>
      <c r="G252" s="15">
        <v>2710000</v>
      </c>
      <c r="H252" s="14">
        <v>0.13075929750140999</v>
      </c>
      <c r="I252" s="27">
        <f t="shared" si="3"/>
        <v>2355642.3037711792</v>
      </c>
      <c r="J252">
        <v>4.3</v>
      </c>
      <c r="K252" t="b">
        <v>0</v>
      </c>
    </row>
    <row r="253" spans="1:11" ht="16" x14ac:dyDescent="0.2">
      <c r="A253" s="16">
        <v>44743</v>
      </c>
      <c r="B253" t="s">
        <v>33</v>
      </c>
      <c r="C253" t="s">
        <v>19</v>
      </c>
      <c r="D253" t="s">
        <v>20</v>
      </c>
      <c r="E253" t="s">
        <v>7638</v>
      </c>
      <c r="F253">
        <v>2</v>
      </c>
      <c r="G253" s="15">
        <v>2710000</v>
      </c>
      <c r="H253" s="14">
        <v>0.13075929750140999</v>
      </c>
      <c r="I253" s="27">
        <f t="shared" si="3"/>
        <v>2355642.3037711792</v>
      </c>
      <c r="J253">
        <v>3.7</v>
      </c>
      <c r="K253" t="b">
        <v>0</v>
      </c>
    </row>
    <row r="254" spans="1:11" ht="16" x14ac:dyDescent="0.2">
      <c r="A254" s="16">
        <v>44743</v>
      </c>
      <c r="B254" t="s">
        <v>33</v>
      </c>
      <c r="C254" t="s">
        <v>34</v>
      </c>
      <c r="D254" t="s">
        <v>50</v>
      </c>
      <c r="E254" t="s">
        <v>7643</v>
      </c>
      <c r="F254">
        <v>1</v>
      </c>
      <c r="G254" s="15">
        <v>2710000</v>
      </c>
      <c r="H254" s="14">
        <v>0.13075929750140999</v>
      </c>
      <c r="I254" s="27">
        <f t="shared" si="3"/>
        <v>2355642.3037711792</v>
      </c>
      <c r="J254">
        <v>4.8</v>
      </c>
      <c r="K254" t="b">
        <v>1</v>
      </c>
    </row>
    <row r="255" spans="1:11" ht="16" x14ac:dyDescent="0.2">
      <c r="A255" s="16">
        <v>44743</v>
      </c>
      <c r="B255" t="s">
        <v>33</v>
      </c>
      <c r="C255" t="s">
        <v>39</v>
      </c>
      <c r="D255" t="s">
        <v>50</v>
      </c>
      <c r="E255" t="s">
        <v>7643</v>
      </c>
      <c r="F255">
        <v>1</v>
      </c>
      <c r="G255" s="15">
        <v>2710000</v>
      </c>
      <c r="H255" s="14">
        <v>0.13075929750140999</v>
      </c>
      <c r="I255" s="27">
        <f t="shared" si="3"/>
        <v>2355642.3037711792</v>
      </c>
      <c r="J255">
        <v>4.2</v>
      </c>
      <c r="K255" t="b">
        <v>1</v>
      </c>
    </row>
    <row r="256" spans="1:11" ht="16" x14ac:dyDescent="0.2">
      <c r="A256" s="16">
        <v>44745</v>
      </c>
      <c r="B256" t="s">
        <v>18</v>
      </c>
      <c r="C256" t="s">
        <v>19</v>
      </c>
      <c r="D256" t="s">
        <v>20</v>
      </c>
      <c r="E256" t="s">
        <v>7642</v>
      </c>
      <c r="F256">
        <v>1</v>
      </c>
      <c r="G256" s="15">
        <v>2710000</v>
      </c>
      <c r="H256" s="14">
        <v>0.13075929750140999</v>
      </c>
      <c r="I256" s="27">
        <f t="shared" si="3"/>
        <v>2355642.3037711792</v>
      </c>
      <c r="J256">
        <v>4.2</v>
      </c>
      <c r="K256" t="b">
        <v>1</v>
      </c>
    </row>
    <row r="257" spans="1:11" ht="16" x14ac:dyDescent="0.2">
      <c r="A257" s="16">
        <v>44745</v>
      </c>
      <c r="B257" t="s">
        <v>33</v>
      </c>
      <c r="C257" t="s">
        <v>34</v>
      </c>
      <c r="D257" t="s">
        <v>46</v>
      </c>
      <c r="E257" t="s">
        <v>7639</v>
      </c>
      <c r="F257">
        <v>2</v>
      </c>
      <c r="G257" s="15">
        <v>2710000</v>
      </c>
      <c r="H257" s="14">
        <v>0.13075929750140999</v>
      </c>
      <c r="I257" s="27">
        <f t="shared" si="3"/>
        <v>2355642.3037711792</v>
      </c>
      <c r="J257">
        <v>4.7</v>
      </c>
      <c r="K257" t="b">
        <v>1</v>
      </c>
    </row>
    <row r="258" spans="1:11" ht="16" x14ac:dyDescent="0.2">
      <c r="A258" s="16">
        <v>44746</v>
      </c>
      <c r="B258" t="s">
        <v>33</v>
      </c>
      <c r="C258" t="s">
        <v>19</v>
      </c>
      <c r="D258" t="s">
        <v>20</v>
      </c>
      <c r="E258" t="s">
        <v>7643</v>
      </c>
      <c r="F258">
        <v>1</v>
      </c>
      <c r="G258" s="15">
        <v>2710000</v>
      </c>
      <c r="H258" s="14">
        <v>0.13075929750140999</v>
      </c>
      <c r="I258" s="27">
        <f t="shared" si="3"/>
        <v>2355642.3037711792</v>
      </c>
      <c r="J258">
        <v>4.0999999999999996</v>
      </c>
      <c r="K258" t="b">
        <v>1</v>
      </c>
    </row>
    <row r="259" spans="1:11" ht="16" x14ac:dyDescent="0.2">
      <c r="A259" s="16">
        <v>44746</v>
      </c>
      <c r="B259" t="s">
        <v>18</v>
      </c>
      <c r="C259" t="s">
        <v>45</v>
      </c>
      <c r="D259" t="s">
        <v>35</v>
      </c>
      <c r="E259" t="s">
        <v>99</v>
      </c>
      <c r="F259">
        <v>2</v>
      </c>
      <c r="G259" s="15">
        <v>2710000</v>
      </c>
      <c r="H259" s="14">
        <v>0.13075929750140999</v>
      </c>
      <c r="I259" s="27">
        <f t="shared" ref="I259:I322" si="4">G259-G259*H259</f>
        <v>2355642.3037711792</v>
      </c>
      <c r="J259">
        <v>4.5999999999999996</v>
      </c>
      <c r="K259" t="b">
        <v>1</v>
      </c>
    </row>
    <row r="260" spans="1:11" ht="16" x14ac:dyDescent="0.2">
      <c r="A260" s="16">
        <v>44747</v>
      </c>
      <c r="B260" t="s">
        <v>33</v>
      </c>
      <c r="C260" t="s">
        <v>25</v>
      </c>
      <c r="D260" t="s">
        <v>20</v>
      </c>
      <c r="E260" t="s">
        <v>99</v>
      </c>
      <c r="F260">
        <v>3</v>
      </c>
      <c r="G260" s="15">
        <v>2710000</v>
      </c>
      <c r="H260" s="14">
        <v>0.13075929750140999</v>
      </c>
      <c r="I260" s="27">
        <f t="shared" si="4"/>
        <v>2355642.3037711792</v>
      </c>
      <c r="J260">
        <v>4.0999999999999996</v>
      </c>
      <c r="K260" t="b">
        <v>0</v>
      </c>
    </row>
    <row r="261" spans="1:11" ht="16" x14ac:dyDescent="0.2">
      <c r="A261" s="16">
        <v>44747</v>
      </c>
      <c r="B261" t="s">
        <v>33</v>
      </c>
      <c r="C261" t="s">
        <v>34</v>
      </c>
      <c r="D261" t="s">
        <v>46</v>
      </c>
      <c r="E261" t="s">
        <v>7640</v>
      </c>
      <c r="F261">
        <v>1</v>
      </c>
      <c r="G261" s="15">
        <v>2710000</v>
      </c>
      <c r="H261" s="14">
        <v>0.13075929750140999</v>
      </c>
      <c r="I261" s="27">
        <f t="shared" si="4"/>
        <v>2355642.3037711792</v>
      </c>
      <c r="J261">
        <v>3.9</v>
      </c>
      <c r="K261" t="b">
        <v>1</v>
      </c>
    </row>
    <row r="262" spans="1:11" ht="16" x14ac:dyDescent="0.2">
      <c r="A262" s="16">
        <v>44747</v>
      </c>
      <c r="B262" t="s">
        <v>18</v>
      </c>
      <c r="C262" t="s">
        <v>45</v>
      </c>
      <c r="D262" t="s">
        <v>35</v>
      </c>
      <c r="E262" t="s">
        <v>7637</v>
      </c>
      <c r="F262">
        <v>1</v>
      </c>
      <c r="G262" s="15">
        <v>2710000</v>
      </c>
      <c r="H262" s="14">
        <v>0.13075929750140999</v>
      </c>
      <c r="I262" s="27">
        <f t="shared" si="4"/>
        <v>2355642.3037711792</v>
      </c>
      <c r="J262">
        <v>3.6</v>
      </c>
      <c r="K262" t="b">
        <v>1</v>
      </c>
    </row>
    <row r="263" spans="1:11" ht="16" x14ac:dyDescent="0.2">
      <c r="A263" s="16">
        <v>44747</v>
      </c>
      <c r="B263" t="s">
        <v>18</v>
      </c>
      <c r="C263" t="s">
        <v>25</v>
      </c>
      <c r="D263" t="s">
        <v>20</v>
      </c>
      <c r="E263" t="s">
        <v>7641</v>
      </c>
      <c r="F263">
        <v>2</v>
      </c>
      <c r="G263" s="15">
        <v>2710000</v>
      </c>
      <c r="H263" s="14">
        <v>0.13075929750140999</v>
      </c>
      <c r="I263" s="27">
        <f t="shared" si="4"/>
        <v>2355642.3037711792</v>
      </c>
      <c r="J263">
        <v>4.5</v>
      </c>
      <c r="K263" t="b">
        <v>1</v>
      </c>
    </row>
    <row r="264" spans="1:11" ht="16" x14ac:dyDescent="0.2">
      <c r="A264" s="16">
        <v>44748</v>
      </c>
      <c r="B264" t="s">
        <v>45</v>
      </c>
      <c r="C264" t="s">
        <v>45</v>
      </c>
      <c r="D264" t="s">
        <v>50</v>
      </c>
      <c r="E264" t="s">
        <v>7640</v>
      </c>
      <c r="F264">
        <v>3</v>
      </c>
      <c r="G264" s="15">
        <v>2710000</v>
      </c>
      <c r="H264" s="14">
        <v>0.13075929750140999</v>
      </c>
      <c r="I264" s="27">
        <f t="shared" si="4"/>
        <v>2355642.3037711792</v>
      </c>
      <c r="J264">
        <v>4.0999999999999996</v>
      </c>
      <c r="K264" t="b">
        <v>0</v>
      </c>
    </row>
    <row r="265" spans="1:11" ht="16" x14ac:dyDescent="0.2">
      <c r="A265" s="16">
        <v>44748</v>
      </c>
      <c r="B265" t="s">
        <v>29</v>
      </c>
      <c r="C265" t="s">
        <v>19</v>
      </c>
      <c r="D265" t="s">
        <v>35</v>
      </c>
      <c r="E265" t="s">
        <v>7637</v>
      </c>
      <c r="F265">
        <v>1</v>
      </c>
      <c r="G265" s="15">
        <v>2710000</v>
      </c>
      <c r="H265" s="14">
        <v>0.13075929750140999</v>
      </c>
      <c r="I265" s="27">
        <f t="shared" si="4"/>
        <v>2355642.3037711792</v>
      </c>
      <c r="J265">
        <v>4.7</v>
      </c>
      <c r="K265" t="b">
        <v>1</v>
      </c>
    </row>
    <row r="266" spans="1:11" ht="16" x14ac:dyDescent="0.2">
      <c r="A266" s="16">
        <v>44748</v>
      </c>
      <c r="B266" t="s">
        <v>29</v>
      </c>
      <c r="C266" t="s">
        <v>45</v>
      </c>
      <c r="D266" t="s">
        <v>35</v>
      </c>
      <c r="E266" t="str">
        <f>E265</f>
        <v>Đà Nẵng</v>
      </c>
      <c r="F266">
        <v>2</v>
      </c>
      <c r="G266" s="15">
        <v>2710000</v>
      </c>
      <c r="H266" s="14">
        <v>0.13075929750140999</v>
      </c>
      <c r="I266" s="27">
        <f t="shared" si="4"/>
        <v>2355642.3037711792</v>
      </c>
      <c r="J266">
        <v>4.3</v>
      </c>
      <c r="K266" t="b">
        <v>0</v>
      </c>
    </row>
    <row r="267" spans="1:11" ht="16" x14ac:dyDescent="0.2">
      <c r="A267" s="16">
        <v>44748</v>
      </c>
      <c r="B267" t="s">
        <v>45</v>
      </c>
      <c r="C267" t="s">
        <v>25</v>
      </c>
      <c r="D267" t="s">
        <v>20</v>
      </c>
      <c r="E267" t="s">
        <v>7637</v>
      </c>
      <c r="F267">
        <v>1</v>
      </c>
      <c r="G267" s="15">
        <v>2710000</v>
      </c>
      <c r="H267" s="14">
        <v>0.13075929750140999</v>
      </c>
      <c r="I267" s="27">
        <f t="shared" si="4"/>
        <v>2355642.3037711792</v>
      </c>
      <c r="J267">
        <v>3.8</v>
      </c>
      <c r="K267" t="b">
        <v>0</v>
      </c>
    </row>
    <row r="268" spans="1:11" ht="16" x14ac:dyDescent="0.2">
      <c r="A268" s="16">
        <v>44748</v>
      </c>
      <c r="B268" t="s">
        <v>33</v>
      </c>
      <c r="C268" t="s">
        <v>45</v>
      </c>
      <c r="D268" t="s">
        <v>35</v>
      </c>
      <c r="E268" t="s">
        <v>7640</v>
      </c>
      <c r="F268">
        <v>2</v>
      </c>
      <c r="G268" s="15">
        <v>2710000</v>
      </c>
      <c r="H268" s="14">
        <v>0.13075929750140999</v>
      </c>
      <c r="I268" s="27">
        <f t="shared" si="4"/>
        <v>2355642.3037711792</v>
      </c>
      <c r="J268">
        <v>5</v>
      </c>
      <c r="K268" t="b">
        <v>0</v>
      </c>
    </row>
    <row r="269" spans="1:11" ht="16" x14ac:dyDescent="0.2">
      <c r="A269" s="16">
        <v>44749</v>
      </c>
      <c r="B269" t="s">
        <v>18</v>
      </c>
      <c r="C269" t="s">
        <v>19</v>
      </c>
      <c r="D269" t="s">
        <v>20</v>
      </c>
      <c r="E269" t="s">
        <v>7638</v>
      </c>
      <c r="F269">
        <v>1</v>
      </c>
      <c r="G269" s="15">
        <v>2710000</v>
      </c>
      <c r="H269" s="14">
        <v>0.13075929750140999</v>
      </c>
      <c r="I269" s="27">
        <f t="shared" si="4"/>
        <v>2355642.3037711792</v>
      </c>
      <c r="J269">
        <v>4.8</v>
      </c>
      <c r="K269" t="b">
        <v>1</v>
      </c>
    </row>
    <row r="270" spans="1:11" ht="16" x14ac:dyDescent="0.2">
      <c r="A270" s="16">
        <v>44749</v>
      </c>
      <c r="B270" t="s">
        <v>18</v>
      </c>
      <c r="C270" t="s">
        <v>19</v>
      </c>
      <c r="D270" t="s">
        <v>50</v>
      </c>
      <c r="E270" t="s">
        <v>7641</v>
      </c>
      <c r="F270">
        <v>3</v>
      </c>
      <c r="G270" s="15">
        <v>2710000</v>
      </c>
      <c r="H270" s="14">
        <v>0.13075929750140999</v>
      </c>
      <c r="I270" s="27">
        <f t="shared" si="4"/>
        <v>2355642.3037711792</v>
      </c>
      <c r="J270">
        <v>4.4000000000000004</v>
      </c>
      <c r="K270" t="b">
        <v>1</v>
      </c>
    </row>
    <row r="271" spans="1:11" ht="16" x14ac:dyDescent="0.2">
      <c r="A271" s="16">
        <v>44749</v>
      </c>
      <c r="B271" t="s">
        <v>33</v>
      </c>
      <c r="C271" t="s">
        <v>39</v>
      </c>
      <c r="D271" t="s">
        <v>35</v>
      </c>
      <c r="E271" t="s">
        <v>7639</v>
      </c>
      <c r="F271">
        <v>3</v>
      </c>
      <c r="G271" s="15">
        <v>2710000</v>
      </c>
      <c r="H271" s="14">
        <v>0.13075929750140999</v>
      </c>
      <c r="I271" s="27">
        <f t="shared" si="4"/>
        <v>2355642.3037711792</v>
      </c>
      <c r="J271">
        <v>4.2</v>
      </c>
      <c r="K271" t="b">
        <v>1</v>
      </c>
    </row>
    <row r="272" spans="1:11" ht="16" x14ac:dyDescent="0.2">
      <c r="A272" s="16">
        <v>44749</v>
      </c>
      <c r="B272" t="s">
        <v>29</v>
      </c>
      <c r="C272" t="s">
        <v>25</v>
      </c>
      <c r="D272" t="s">
        <v>20</v>
      </c>
      <c r="E272" t="s">
        <v>7643</v>
      </c>
      <c r="F272">
        <v>2</v>
      </c>
      <c r="G272" s="15">
        <v>2710000</v>
      </c>
      <c r="H272" s="14">
        <v>0.13075929750140999</v>
      </c>
      <c r="I272" s="27">
        <f t="shared" si="4"/>
        <v>2355642.3037711792</v>
      </c>
      <c r="J272">
        <v>4.4000000000000004</v>
      </c>
      <c r="K272" t="b">
        <v>1</v>
      </c>
    </row>
    <row r="273" spans="1:11" ht="16" x14ac:dyDescent="0.2">
      <c r="A273" s="16">
        <v>44749</v>
      </c>
      <c r="B273" t="s">
        <v>33</v>
      </c>
      <c r="C273" t="s">
        <v>45</v>
      </c>
      <c r="D273" t="s">
        <v>35</v>
      </c>
      <c r="E273" t="s">
        <v>57</v>
      </c>
      <c r="F273">
        <v>2</v>
      </c>
      <c r="G273" s="15">
        <v>2710000</v>
      </c>
      <c r="H273" s="14">
        <v>0.13075929750140999</v>
      </c>
      <c r="I273" s="27">
        <f t="shared" si="4"/>
        <v>2355642.3037711792</v>
      </c>
      <c r="J273">
        <v>3.8</v>
      </c>
      <c r="K273" t="b">
        <v>1</v>
      </c>
    </row>
    <row r="274" spans="1:11" ht="16" x14ac:dyDescent="0.2">
      <c r="A274" s="16">
        <v>44749</v>
      </c>
      <c r="B274" t="s">
        <v>33</v>
      </c>
      <c r="C274" t="s">
        <v>45</v>
      </c>
      <c r="D274" t="s">
        <v>35</v>
      </c>
      <c r="E274" t="s">
        <v>7641</v>
      </c>
      <c r="F274">
        <v>2</v>
      </c>
      <c r="G274" s="15">
        <v>2710000</v>
      </c>
      <c r="H274" s="14">
        <v>0.13075929750140999</v>
      </c>
      <c r="I274" s="27">
        <f t="shared" si="4"/>
        <v>2355642.3037711792</v>
      </c>
      <c r="J274">
        <v>5</v>
      </c>
      <c r="K274" t="b">
        <v>0</v>
      </c>
    </row>
    <row r="275" spans="1:11" ht="16" x14ac:dyDescent="0.2">
      <c r="A275" s="16">
        <v>44751</v>
      </c>
      <c r="B275" t="s">
        <v>33</v>
      </c>
      <c r="C275" t="s">
        <v>19</v>
      </c>
      <c r="D275" t="s">
        <v>35</v>
      </c>
      <c r="E275" t="s">
        <v>7644</v>
      </c>
      <c r="F275">
        <v>3</v>
      </c>
      <c r="G275" s="15">
        <v>2710000</v>
      </c>
      <c r="H275" s="14">
        <v>0.13075929750140999</v>
      </c>
      <c r="I275" s="27">
        <f t="shared" si="4"/>
        <v>2355642.3037711792</v>
      </c>
      <c r="J275">
        <v>4.5</v>
      </c>
      <c r="K275" t="b">
        <v>1</v>
      </c>
    </row>
    <row r="276" spans="1:11" ht="16" x14ac:dyDescent="0.2">
      <c r="A276" s="16">
        <v>44751</v>
      </c>
      <c r="B276" t="s">
        <v>18</v>
      </c>
      <c r="C276" t="s">
        <v>34</v>
      </c>
      <c r="D276" t="s">
        <v>46</v>
      </c>
      <c r="E276" t="s">
        <v>7638</v>
      </c>
      <c r="F276">
        <v>1</v>
      </c>
      <c r="G276" s="15">
        <v>2710000</v>
      </c>
      <c r="H276" s="14">
        <v>0.13075929750140999</v>
      </c>
      <c r="I276" s="27">
        <f t="shared" si="4"/>
        <v>2355642.3037711792</v>
      </c>
      <c r="J276">
        <v>3.9</v>
      </c>
      <c r="K276" t="b">
        <v>1</v>
      </c>
    </row>
    <row r="277" spans="1:11" ht="16" x14ac:dyDescent="0.2">
      <c r="A277" s="16">
        <v>44751</v>
      </c>
      <c r="B277" t="s">
        <v>45</v>
      </c>
      <c r="C277" t="s">
        <v>34</v>
      </c>
      <c r="D277" t="s">
        <v>35</v>
      </c>
      <c r="E277" t="s">
        <v>7640</v>
      </c>
      <c r="F277">
        <v>2</v>
      </c>
      <c r="G277" s="15">
        <v>2710000</v>
      </c>
      <c r="H277" s="14">
        <v>0.13075929750140999</v>
      </c>
      <c r="I277" s="27">
        <f t="shared" si="4"/>
        <v>2355642.3037711792</v>
      </c>
      <c r="J277">
        <v>4.4000000000000004</v>
      </c>
      <c r="K277" t="b">
        <v>1</v>
      </c>
    </row>
    <row r="278" spans="1:11" ht="16" x14ac:dyDescent="0.2">
      <c r="A278" s="16">
        <v>44753</v>
      </c>
      <c r="B278" t="s">
        <v>33</v>
      </c>
      <c r="C278" t="s">
        <v>34</v>
      </c>
      <c r="D278" t="s">
        <v>20</v>
      </c>
      <c r="E278" t="s">
        <v>7643</v>
      </c>
      <c r="F278">
        <v>2</v>
      </c>
      <c r="G278" s="15">
        <v>2710000</v>
      </c>
      <c r="H278" s="14">
        <v>0.13075929750140999</v>
      </c>
      <c r="I278" s="27">
        <f t="shared" si="4"/>
        <v>2355642.3037711792</v>
      </c>
      <c r="J278">
        <v>5</v>
      </c>
      <c r="K278" t="b">
        <v>0</v>
      </c>
    </row>
    <row r="279" spans="1:11" ht="16" x14ac:dyDescent="0.2">
      <c r="A279" s="16">
        <v>44755</v>
      </c>
      <c r="B279" t="s">
        <v>18</v>
      </c>
      <c r="C279" t="s">
        <v>68</v>
      </c>
      <c r="D279" t="s">
        <v>46</v>
      </c>
      <c r="E279" t="s">
        <v>7644</v>
      </c>
      <c r="F279">
        <v>2</v>
      </c>
      <c r="G279" s="15">
        <v>2710000</v>
      </c>
      <c r="H279" s="14">
        <v>0.13075929750140999</v>
      </c>
      <c r="I279" s="27">
        <f t="shared" si="4"/>
        <v>2355642.3037711792</v>
      </c>
      <c r="J279">
        <v>4.4000000000000004</v>
      </c>
      <c r="K279" t="b">
        <v>1</v>
      </c>
    </row>
    <row r="280" spans="1:11" ht="16" x14ac:dyDescent="0.2">
      <c r="A280" s="16">
        <v>44756</v>
      </c>
      <c r="B280" t="s">
        <v>45</v>
      </c>
      <c r="C280" t="s">
        <v>34</v>
      </c>
      <c r="D280" t="s">
        <v>20</v>
      </c>
      <c r="E280" t="s">
        <v>99</v>
      </c>
      <c r="F280">
        <v>2</v>
      </c>
      <c r="G280" s="15">
        <v>2710000</v>
      </c>
      <c r="H280" s="14">
        <v>0.13075929750140999</v>
      </c>
      <c r="I280" s="27">
        <f t="shared" si="4"/>
        <v>2355642.3037711792</v>
      </c>
      <c r="J280">
        <v>4.4000000000000004</v>
      </c>
      <c r="K280" t="b">
        <v>0</v>
      </c>
    </row>
    <row r="281" spans="1:11" ht="16" x14ac:dyDescent="0.2">
      <c r="A281" s="16">
        <v>44756</v>
      </c>
      <c r="B281" t="s">
        <v>29</v>
      </c>
      <c r="C281" t="s">
        <v>34</v>
      </c>
      <c r="D281" t="s">
        <v>20</v>
      </c>
      <c r="E281" t="s">
        <v>7637</v>
      </c>
      <c r="F281">
        <v>2</v>
      </c>
      <c r="G281" s="15">
        <v>2710000</v>
      </c>
      <c r="H281" s="14">
        <v>0.13075929750140999</v>
      </c>
      <c r="I281" s="27">
        <f t="shared" si="4"/>
        <v>2355642.3037711792</v>
      </c>
      <c r="J281">
        <v>5</v>
      </c>
      <c r="K281" t="b">
        <v>1</v>
      </c>
    </row>
    <row r="282" spans="1:11" ht="16" x14ac:dyDescent="0.2">
      <c r="A282" s="16">
        <v>44757</v>
      </c>
      <c r="B282" t="s">
        <v>33</v>
      </c>
      <c r="C282" t="s">
        <v>19</v>
      </c>
      <c r="D282" t="s">
        <v>20</v>
      </c>
      <c r="E282" t="s">
        <v>7638</v>
      </c>
      <c r="F282">
        <v>1</v>
      </c>
      <c r="G282" s="15">
        <v>2710000</v>
      </c>
      <c r="H282" s="14">
        <v>0.13075929750140999</v>
      </c>
      <c r="I282" s="27">
        <f t="shared" si="4"/>
        <v>2355642.3037711792</v>
      </c>
      <c r="J282">
        <v>3</v>
      </c>
      <c r="K282" t="b">
        <v>0</v>
      </c>
    </row>
    <row r="283" spans="1:11" ht="16" x14ac:dyDescent="0.2">
      <c r="A283" s="16">
        <v>44757</v>
      </c>
      <c r="B283" t="s">
        <v>45</v>
      </c>
      <c r="C283" t="s">
        <v>68</v>
      </c>
      <c r="D283" t="s">
        <v>20</v>
      </c>
      <c r="E283" t="s">
        <v>7637</v>
      </c>
      <c r="F283">
        <v>4</v>
      </c>
      <c r="G283" s="15">
        <v>2710000</v>
      </c>
      <c r="H283" s="14">
        <v>0.13075929750140999</v>
      </c>
      <c r="I283" s="27">
        <f t="shared" si="4"/>
        <v>2355642.3037711792</v>
      </c>
      <c r="J283">
        <v>4.8</v>
      </c>
      <c r="K283" t="b">
        <v>1</v>
      </c>
    </row>
    <row r="284" spans="1:11" ht="16" x14ac:dyDescent="0.2">
      <c r="A284" s="16">
        <v>44757</v>
      </c>
      <c r="B284" t="s">
        <v>45</v>
      </c>
      <c r="C284" t="s">
        <v>34</v>
      </c>
      <c r="D284" t="s">
        <v>20</v>
      </c>
      <c r="E284" t="s">
        <v>7640</v>
      </c>
      <c r="F284">
        <v>1</v>
      </c>
      <c r="G284" s="15">
        <v>2710000</v>
      </c>
      <c r="H284" s="14">
        <v>0.13075929750140999</v>
      </c>
      <c r="I284" s="27">
        <f t="shared" si="4"/>
        <v>2355642.3037711792</v>
      </c>
      <c r="J284">
        <v>4.5999999999999996</v>
      </c>
      <c r="K284" t="b">
        <v>1</v>
      </c>
    </row>
    <row r="285" spans="1:11" ht="16" x14ac:dyDescent="0.2">
      <c r="A285" s="16">
        <v>44758</v>
      </c>
      <c r="B285" t="s">
        <v>18</v>
      </c>
      <c r="C285" t="s">
        <v>19</v>
      </c>
      <c r="D285" t="s">
        <v>35</v>
      </c>
      <c r="E285" t="s">
        <v>99</v>
      </c>
      <c r="F285">
        <v>5</v>
      </c>
      <c r="G285" s="15">
        <v>2710000</v>
      </c>
      <c r="H285" s="14">
        <v>0.13075929750140999</v>
      </c>
      <c r="I285" s="27">
        <f t="shared" si="4"/>
        <v>2355642.3037711792</v>
      </c>
      <c r="J285">
        <v>4.3</v>
      </c>
      <c r="K285" t="b">
        <v>1</v>
      </c>
    </row>
    <row r="286" spans="1:11" ht="16" x14ac:dyDescent="0.2">
      <c r="A286" s="16">
        <v>44758</v>
      </c>
      <c r="B286" t="s">
        <v>45</v>
      </c>
      <c r="C286" t="s">
        <v>34</v>
      </c>
      <c r="D286" t="s">
        <v>20</v>
      </c>
      <c r="E286" t="s">
        <v>7637</v>
      </c>
      <c r="F286">
        <v>1</v>
      </c>
      <c r="G286" s="15">
        <v>2710000</v>
      </c>
      <c r="H286" s="14">
        <v>0.13075929750140999</v>
      </c>
      <c r="I286" s="27">
        <f t="shared" si="4"/>
        <v>2355642.3037711792</v>
      </c>
      <c r="J286">
        <v>3.9</v>
      </c>
      <c r="K286" t="b">
        <v>0</v>
      </c>
    </row>
    <row r="287" spans="1:11" ht="16" x14ac:dyDescent="0.2">
      <c r="A287" s="16">
        <v>44759</v>
      </c>
      <c r="B287" t="s">
        <v>45</v>
      </c>
      <c r="C287" t="s">
        <v>25</v>
      </c>
      <c r="D287" t="s">
        <v>50</v>
      </c>
      <c r="E287" t="s">
        <v>7644</v>
      </c>
      <c r="F287">
        <v>1</v>
      </c>
      <c r="G287" s="15">
        <v>2710000</v>
      </c>
      <c r="H287" s="14">
        <v>0.13075929750140999</v>
      </c>
      <c r="I287" s="27">
        <f t="shared" si="4"/>
        <v>2355642.3037711792</v>
      </c>
      <c r="J287">
        <v>4.7</v>
      </c>
      <c r="K287" t="b">
        <v>1</v>
      </c>
    </row>
    <row r="288" spans="1:11" ht="16" x14ac:dyDescent="0.2">
      <c r="A288" s="16">
        <v>44759</v>
      </c>
      <c r="B288" t="s">
        <v>45</v>
      </c>
      <c r="C288" t="s">
        <v>45</v>
      </c>
      <c r="D288" t="s">
        <v>20</v>
      </c>
      <c r="E288" t="s">
        <v>7644</v>
      </c>
      <c r="F288">
        <v>4</v>
      </c>
      <c r="G288" s="15">
        <v>2710000</v>
      </c>
      <c r="H288" s="14">
        <v>0.13075929750140999</v>
      </c>
      <c r="I288" s="27">
        <f t="shared" si="4"/>
        <v>2355642.3037711792</v>
      </c>
      <c r="J288">
        <v>4.4000000000000004</v>
      </c>
      <c r="K288" t="b">
        <v>1</v>
      </c>
    </row>
    <row r="289" spans="1:11" ht="16" x14ac:dyDescent="0.2">
      <c r="A289" s="16">
        <v>44759</v>
      </c>
      <c r="B289" t="s">
        <v>18</v>
      </c>
      <c r="C289" t="s">
        <v>45</v>
      </c>
      <c r="D289" t="s">
        <v>20</v>
      </c>
      <c r="E289" t="s">
        <v>7640</v>
      </c>
      <c r="F289">
        <v>3</v>
      </c>
      <c r="G289" s="15">
        <v>2710000</v>
      </c>
      <c r="H289" s="14">
        <v>0.13075929750140999</v>
      </c>
      <c r="I289" s="27">
        <f t="shared" si="4"/>
        <v>2355642.3037711792</v>
      </c>
      <c r="J289">
        <v>3.4</v>
      </c>
      <c r="K289" t="b">
        <v>0</v>
      </c>
    </row>
    <row r="290" spans="1:11" ht="16" x14ac:dyDescent="0.2">
      <c r="A290" s="16">
        <v>44759</v>
      </c>
      <c r="B290" t="s">
        <v>29</v>
      </c>
      <c r="C290" t="s">
        <v>39</v>
      </c>
      <c r="D290" t="s">
        <v>46</v>
      </c>
      <c r="E290" t="s">
        <v>7642</v>
      </c>
      <c r="F290">
        <v>2</v>
      </c>
      <c r="G290" s="15">
        <v>2710000</v>
      </c>
      <c r="H290" s="14">
        <v>0.13075929750140999</v>
      </c>
      <c r="I290" s="27">
        <f t="shared" si="4"/>
        <v>2355642.3037711792</v>
      </c>
      <c r="J290">
        <v>4.3</v>
      </c>
      <c r="K290" t="b">
        <v>1</v>
      </c>
    </row>
    <row r="291" spans="1:11" ht="16" x14ac:dyDescent="0.2">
      <c r="A291" s="16">
        <v>44760</v>
      </c>
      <c r="B291" t="s">
        <v>29</v>
      </c>
      <c r="C291" t="s">
        <v>34</v>
      </c>
      <c r="D291" t="s">
        <v>20</v>
      </c>
      <c r="E291" t="s">
        <v>7637</v>
      </c>
      <c r="F291">
        <v>2</v>
      </c>
      <c r="G291" s="15">
        <v>2710000</v>
      </c>
      <c r="H291" s="14">
        <v>0.13075929750140999</v>
      </c>
      <c r="I291" s="27">
        <f t="shared" si="4"/>
        <v>2355642.3037711792</v>
      </c>
      <c r="J291">
        <v>4.4000000000000004</v>
      </c>
      <c r="K291" t="b">
        <v>0</v>
      </c>
    </row>
    <row r="292" spans="1:11" ht="16" x14ac:dyDescent="0.2">
      <c r="A292" s="16">
        <v>44761</v>
      </c>
      <c r="B292" t="s">
        <v>18</v>
      </c>
      <c r="C292" t="s">
        <v>39</v>
      </c>
      <c r="D292" t="s">
        <v>50</v>
      </c>
      <c r="E292" t="s">
        <v>99</v>
      </c>
      <c r="F292">
        <v>1</v>
      </c>
      <c r="G292" s="15">
        <v>2710000</v>
      </c>
      <c r="H292" s="14">
        <v>0.13075929750140999</v>
      </c>
      <c r="I292" s="27">
        <f t="shared" si="4"/>
        <v>2355642.3037711792</v>
      </c>
      <c r="J292">
        <v>4.2</v>
      </c>
      <c r="K292" t="b">
        <v>1</v>
      </c>
    </row>
    <row r="293" spans="1:11" ht="16" x14ac:dyDescent="0.2">
      <c r="A293" s="16">
        <v>44761</v>
      </c>
      <c r="B293" t="s">
        <v>33</v>
      </c>
      <c r="C293" t="s">
        <v>19</v>
      </c>
      <c r="D293" t="s">
        <v>46</v>
      </c>
      <c r="E293" t="s">
        <v>7638</v>
      </c>
      <c r="F293">
        <v>2</v>
      </c>
      <c r="G293" s="15">
        <v>2710000</v>
      </c>
      <c r="H293" s="14">
        <v>0.13075929750140999</v>
      </c>
      <c r="I293" s="27">
        <f t="shared" si="4"/>
        <v>2355642.3037711792</v>
      </c>
      <c r="J293">
        <v>5</v>
      </c>
      <c r="K293" t="b">
        <v>1</v>
      </c>
    </row>
    <row r="294" spans="1:11" ht="16" x14ac:dyDescent="0.2">
      <c r="A294" s="16">
        <v>44762</v>
      </c>
      <c r="B294" t="s">
        <v>29</v>
      </c>
      <c r="C294" t="s">
        <v>45</v>
      </c>
      <c r="D294" t="s">
        <v>20</v>
      </c>
      <c r="E294" t="s">
        <v>57</v>
      </c>
      <c r="F294">
        <v>1</v>
      </c>
      <c r="G294" s="15">
        <v>2710000</v>
      </c>
      <c r="H294" s="14">
        <v>0.13075929750140999</v>
      </c>
      <c r="I294" s="27">
        <f t="shared" si="4"/>
        <v>2355642.3037711792</v>
      </c>
      <c r="J294">
        <v>4.7</v>
      </c>
      <c r="K294" t="b">
        <v>0</v>
      </c>
    </row>
    <row r="295" spans="1:11" ht="16" x14ac:dyDescent="0.2">
      <c r="A295" s="16">
        <v>44762</v>
      </c>
      <c r="B295" t="s">
        <v>33</v>
      </c>
      <c r="C295" t="s">
        <v>39</v>
      </c>
      <c r="D295" t="s">
        <v>20</v>
      </c>
      <c r="E295" t="s">
        <v>57</v>
      </c>
      <c r="F295">
        <v>1</v>
      </c>
      <c r="G295" s="15">
        <v>2710000</v>
      </c>
      <c r="H295" s="14">
        <v>0.13075929750140999</v>
      </c>
      <c r="I295" s="27">
        <f t="shared" si="4"/>
        <v>2355642.3037711792</v>
      </c>
      <c r="J295">
        <v>3.8</v>
      </c>
      <c r="K295" t="b">
        <v>0</v>
      </c>
    </row>
    <row r="296" spans="1:11" ht="16" x14ac:dyDescent="0.2">
      <c r="A296" s="16">
        <v>44763</v>
      </c>
      <c r="B296" t="s">
        <v>45</v>
      </c>
      <c r="C296" t="s">
        <v>19</v>
      </c>
      <c r="D296" t="s">
        <v>20</v>
      </c>
      <c r="E296" t="s">
        <v>57</v>
      </c>
      <c r="F296">
        <v>1</v>
      </c>
      <c r="G296" s="15">
        <v>2710000</v>
      </c>
      <c r="H296" s="14">
        <v>0.13075929750140999</v>
      </c>
      <c r="I296" s="27">
        <f t="shared" si="4"/>
        <v>2355642.3037711792</v>
      </c>
      <c r="J296">
        <v>4</v>
      </c>
      <c r="K296" t="b">
        <v>1</v>
      </c>
    </row>
    <row r="297" spans="1:11" ht="16" x14ac:dyDescent="0.2">
      <c r="A297" s="16">
        <v>44763</v>
      </c>
      <c r="B297" t="s">
        <v>18</v>
      </c>
      <c r="C297" t="s">
        <v>25</v>
      </c>
      <c r="D297" t="s">
        <v>50</v>
      </c>
      <c r="E297" t="s">
        <v>7640</v>
      </c>
      <c r="F297">
        <v>3</v>
      </c>
      <c r="G297" s="15">
        <v>2710000</v>
      </c>
      <c r="H297" s="14">
        <v>0.13075929750140999</v>
      </c>
      <c r="I297" s="27">
        <f t="shared" si="4"/>
        <v>2355642.3037711792</v>
      </c>
      <c r="J297">
        <v>3.8</v>
      </c>
      <c r="K297" t="b">
        <v>1</v>
      </c>
    </row>
    <row r="298" spans="1:11" ht="16" x14ac:dyDescent="0.2">
      <c r="A298" s="16">
        <v>44764</v>
      </c>
      <c r="B298" t="s">
        <v>45</v>
      </c>
      <c r="C298" t="s">
        <v>25</v>
      </c>
      <c r="D298" t="s">
        <v>50</v>
      </c>
      <c r="E298" t="s">
        <v>57</v>
      </c>
      <c r="F298">
        <v>3</v>
      </c>
      <c r="G298" s="15">
        <v>2710000</v>
      </c>
      <c r="H298" s="14">
        <v>0.13075929750140999</v>
      </c>
      <c r="I298" s="27">
        <f t="shared" si="4"/>
        <v>2355642.3037711792</v>
      </c>
      <c r="J298">
        <v>4.3</v>
      </c>
      <c r="K298" t="b">
        <v>1</v>
      </c>
    </row>
    <row r="299" spans="1:11" ht="16" x14ac:dyDescent="0.2">
      <c r="A299" s="16">
        <v>44765</v>
      </c>
      <c r="B299" t="s">
        <v>33</v>
      </c>
      <c r="C299" t="s">
        <v>45</v>
      </c>
      <c r="D299" t="s">
        <v>35</v>
      </c>
      <c r="E299" t="s">
        <v>7637</v>
      </c>
      <c r="F299">
        <v>1</v>
      </c>
      <c r="G299" s="15">
        <v>2710000</v>
      </c>
      <c r="H299" s="14">
        <v>0.13075929750140999</v>
      </c>
      <c r="I299" s="27">
        <f t="shared" si="4"/>
        <v>2355642.3037711792</v>
      </c>
      <c r="J299">
        <v>3.8</v>
      </c>
      <c r="K299" t="b">
        <v>0</v>
      </c>
    </row>
    <row r="300" spans="1:11" ht="16" x14ac:dyDescent="0.2">
      <c r="A300" s="16">
        <v>44765</v>
      </c>
      <c r="B300" t="s">
        <v>45</v>
      </c>
      <c r="C300" t="s">
        <v>45</v>
      </c>
      <c r="D300" t="s">
        <v>35</v>
      </c>
      <c r="E300" t="s">
        <v>7644</v>
      </c>
      <c r="F300">
        <v>2</v>
      </c>
      <c r="G300" s="15">
        <v>2710000</v>
      </c>
      <c r="H300" s="14">
        <v>0.13075929750140999</v>
      </c>
      <c r="I300" s="27">
        <f t="shared" si="4"/>
        <v>2355642.3037711792</v>
      </c>
      <c r="J300">
        <v>4.9000000000000004</v>
      </c>
      <c r="K300" t="b">
        <v>0</v>
      </c>
    </row>
    <row r="301" spans="1:11" ht="16" x14ac:dyDescent="0.2">
      <c r="A301" s="16">
        <v>44766</v>
      </c>
      <c r="B301" t="s">
        <v>33</v>
      </c>
      <c r="C301" t="s">
        <v>25</v>
      </c>
      <c r="D301" t="s">
        <v>50</v>
      </c>
      <c r="E301" t="s">
        <v>7644</v>
      </c>
      <c r="F301">
        <v>1</v>
      </c>
      <c r="G301" s="15">
        <v>2710000</v>
      </c>
      <c r="H301" s="14">
        <v>0.13075929750140999</v>
      </c>
      <c r="I301" s="27">
        <f t="shared" si="4"/>
        <v>2355642.3037711792</v>
      </c>
      <c r="J301">
        <v>4.8</v>
      </c>
      <c r="K301" t="b">
        <v>1</v>
      </c>
    </row>
    <row r="302" spans="1:11" ht="16" x14ac:dyDescent="0.2">
      <c r="A302" s="16">
        <v>44766</v>
      </c>
      <c r="B302" t="s">
        <v>33</v>
      </c>
      <c r="C302" t="s">
        <v>25</v>
      </c>
      <c r="D302" t="s">
        <v>50</v>
      </c>
      <c r="E302" t="s">
        <v>7639</v>
      </c>
      <c r="F302">
        <v>2</v>
      </c>
      <c r="G302" s="15">
        <v>2710000</v>
      </c>
      <c r="H302" s="14">
        <v>0.13075929750140999</v>
      </c>
      <c r="I302" s="27">
        <f t="shared" si="4"/>
        <v>2355642.3037711792</v>
      </c>
      <c r="J302">
        <v>4.8</v>
      </c>
      <c r="K302" t="b">
        <v>1</v>
      </c>
    </row>
    <row r="303" spans="1:11" ht="16" x14ac:dyDescent="0.2">
      <c r="A303" s="16">
        <v>44767</v>
      </c>
      <c r="B303" t="s">
        <v>45</v>
      </c>
      <c r="C303" t="s">
        <v>19</v>
      </c>
      <c r="D303" t="s">
        <v>35</v>
      </c>
      <c r="E303" t="s">
        <v>7639</v>
      </c>
      <c r="F303">
        <v>2</v>
      </c>
      <c r="G303" s="15">
        <v>2710000</v>
      </c>
      <c r="H303" s="14">
        <v>0.13075929750140999</v>
      </c>
      <c r="I303" s="27">
        <f t="shared" si="4"/>
        <v>2355642.3037711792</v>
      </c>
      <c r="J303">
        <v>4.5999999999999996</v>
      </c>
      <c r="K303" t="b">
        <v>1</v>
      </c>
    </row>
    <row r="304" spans="1:11" ht="16" x14ac:dyDescent="0.2">
      <c r="A304" s="16">
        <v>44767</v>
      </c>
      <c r="B304" t="s">
        <v>45</v>
      </c>
      <c r="C304" t="s">
        <v>34</v>
      </c>
      <c r="D304" t="s">
        <v>20</v>
      </c>
      <c r="E304" t="s">
        <v>7643</v>
      </c>
      <c r="F304">
        <v>3</v>
      </c>
      <c r="G304" s="15">
        <v>2710000</v>
      </c>
      <c r="H304" s="14">
        <v>0.13075929750140999</v>
      </c>
      <c r="I304" s="27">
        <f t="shared" si="4"/>
        <v>2355642.3037711792</v>
      </c>
      <c r="J304">
        <v>3.9</v>
      </c>
      <c r="K304" t="b">
        <v>1</v>
      </c>
    </row>
    <row r="305" spans="1:11" ht="16" x14ac:dyDescent="0.2">
      <c r="A305" s="16">
        <v>44767</v>
      </c>
      <c r="B305" t="s">
        <v>33</v>
      </c>
      <c r="C305" t="s">
        <v>34</v>
      </c>
      <c r="D305" t="s">
        <v>20</v>
      </c>
      <c r="E305" t="s">
        <v>7641</v>
      </c>
      <c r="F305">
        <v>2</v>
      </c>
      <c r="G305" s="15">
        <v>2710000</v>
      </c>
      <c r="H305" s="14">
        <v>0.13075929750140999</v>
      </c>
      <c r="I305" s="27">
        <f t="shared" si="4"/>
        <v>2355642.3037711792</v>
      </c>
      <c r="J305">
        <v>3.8</v>
      </c>
      <c r="K305" t="b">
        <v>1</v>
      </c>
    </row>
    <row r="306" spans="1:11" ht="16" x14ac:dyDescent="0.2">
      <c r="A306" s="16">
        <v>44768</v>
      </c>
      <c r="B306" t="s">
        <v>18</v>
      </c>
      <c r="C306" t="s">
        <v>45</v>
      </c>
      <c r="D306" t="s">
        <v>20</v>
      </c>
      <c r="E306" t="s">
        <v>7638</v>
      </c>
      <c r="F306">
        <v>5</v>
      </c>
      <c r="G306" s="15">
        <v>2710000</v>
      </c>
      <c r="H306" s="14">
        <v>0.13075929750140999</v>
      </c>
      <c r="I306" s="27">
        <f t="shared" si="4"/>
        <v>2355642.3037711792</v>
      </c>
      <c r="J306">
        <v>4.3</v>
      </c>
      <c r="K306" t="b">
        <v>1</v>
      </c>
    </row>
    <row r="307" spans="1:11" ht="16" x14ac:dyDescent="0.2">
      <c r="A307" s="16">
        <v>44768</v>
      </c>
      <c r="B307" t="s">
        <v>33</v>
      </c>
      <c r="C307" t="s">
        <v>25</v>
      </c>
      <c r="D307" t="s">
        <v>35</v>
      </c>
      <c r="E307" t="s">
        <v>7637</v>
      </c>
      <c r="F307">
        <v>3</v>
      </c>
      <c r="G307" s="15">
        <v>2710000</v>
      </c>
      <c r="H307" s="14">
        <v>0.13075929750140999</v>
      </c>
      <c r="I307" s="27">
        <f t="shared" si="4"/>
        <v>2355642.3037711792</v>
      </c>
      <c r="J307">
        <v>4</v>
      </c>
      <c r="K307" t="b">
        <v>0</v>
      </c>
    </row>
    <row r="308" spans="1:11" ht="16" x14ac:dyDescent="0.2">
      <c r="A308" s="16">
        <v>44768</v>
      </c>
      <c r="B308" t="s">
        <v>18</v>
      </c>
      <c r="C308" t="s">
        <v>34</v>
      </c>
      <c r="D308" t="s">
        <v>20</v>
      </c>
      <c r="E308" t="s">
        <v>57</v>
      </c>
      <c r="F308">
        <v>2</v>
      </c>
      <c r="G308" s="15">
        <v>2710000</v>
      </c>
      <c r="H308" s="14">
        <v>0.13075929750140999</v>
      </c>
      <c r="I308" s="27">
        <f t="shared" si="4"/>
        <v>2355642.3037711792</v>
      </c>
      <c r="J308">
        <v>4.4000000000000004</v>
      </c>
      <c r="K308" t="b">
        <v>1</v>
      </c>
    </row>
    <row r="309" spans="1:11" ht="16" x14ac:dyDescent="0.2">
      <c r="A309" s="16">
        <v>44768</v>
      </c>
      <c r="B309" t="s">
        <v>45</v>
      </c>
      <c r="C309" t="s">
        <v>19</v>
      </c>
      <c r="D309" t="s">
        <v>35</v>
      </c>
      <c r="E309" t="s">
        <v>7643</v>
      </c>
      <c r="F309">
        <v>3</v>
      </c>
      <c r="G309" s="15">
        <v>2710000</v>
      </c>
      <c r="H309" s="14">
        <v>0.13075929750140999</v>
      </c>
      <c r="I309" s="27">
        <f t="shared" si="4"/>
        <v>2355642.3037711792</v>
      </c>
      <c r="J309">
        <v>4.5</v>
      </c>
      <c r="K309" t="b">
        <v>0</v>
      </c>
    </row>
    <row r="310" spans="1:11" ht="16" x14ac:dyDescent="0.2">
      <c r="A310" s="16">
        <v>44769</v>
      </c>
      <c r="B310" t="s">
        <v>18</v>
      </c>
      <c r="C310" t="s">
        <v>25</v>
      </c>
      <c r="D310" t="s">
        <v>20</v>
      </c>
      <c r="E310" t="s">
        <v>7644</v>
      </c>
      <c r="F310">
        <v>1</v>
      </c>
      <c r="G310" s="15">
        <v>2710000</v>
      </c>
      <c r="H310" s="14">
        <v>0.13075929750140999</v>
      </c>
      <c r="I310" s="27">
        <f t="shared" si="4"/>
        <v>2355642.3037711792</v>
      </c>
      <c r="J310">
        <v>3.7</v>
      </c>
      <c r="K310" t="b">
        <v>1</v>
      </c>
    </row>
    <row r="311" spans="1:11" ht="16" x14ac:dyDescent="0.2">
      <c r="A311" s="16">
        <v>44770</v>
      </c>
      <c r="B311" t="s">
        <v>29</v>
      </c>
      <c r="C311" t="s">
        <v>68</v>
      </c>
      <c r="D311" t="s">
        <v>20</v>
      </c>
      <c r="E311" t="s">
        <v>7642</v>
      </c>
      <c r="F311">
        <v>1</v>
      </c>
      <c r="G311" s="15">
        <v>2710000</v>
      </c>
      <c r="H311" s="14">
        <v>0.13075929750140999</v>
      </c>
      <c r="I311" s="27">
        <f t="shared" si="4"/>
        <v>2355642.3037711792</v>
      </c>
      <c r="J311">
        <v>3.9</v>
      </c>
      <c r="K311" t="b">
        <v>0</v>
      </c>
    </row>
    <row r="312" spans="1:11" ht="16" x14ac:dyDescent="0.2">
      <c r="A312" s="16">
        <v>44770</v>
      </c>
      <c r="B312" t="s">
        <v>33</v>
      </c>
      <c r="C312" t="s">
        <v>25</v>
      </c>
      <c r="D312" t="s">
        <v>20</v>
      </c>
      <c r="E312" t="s">
        <v>99</v>
      </c>
      <c r="F312">
        <v>1</v>
      </c>
      <c r="G312" s="15">
        <v>2710000</v>
      </c>
      <c r="H312" s="14">
        <v>0.13075929750140999</v>
      </c>
      <c r="I312" s="27">
        <f t="shared" si="4"/>
        <v>2355642.3037711792</v>
      </c>
      <c r="J312">
        <v>5</v>
      </c>
      <c r="K312" t="b">
        <v>1</v>
      </c>
    </row>
    <row r="313" spans="1:11" ht="16" x14ac:dyDescent="0.2">
      <c r="A313" s="16">
        <v>44770</v>
      </c>
      <c r="B313" t="s">
        <v>29</v>
      </c>
      <c r="C313" t="s">
        <v>25</v>
      </c>
      <c r="D313" t="s">
        <v>20</v>
      </c>
      <c r="E313" t="s">
        <v>7638</v>
      </c>
      <c r="F313">
        <v>4</v>
      </c>
      <c r="G313" s="15">
        <v>2710000</v>
      </c>
      <c r="H313" s="14">
        <v>0.13075929750140999</v>
      </c>
      <c r="I313" s="27">
        <f t="shared" si="4"/>
        <v>2355642.3037711792</v>
      </c>
      <c r="J313">
        <v>4.2</v>
      </c>
      <c r="K313" t="b">
        <v>1</v>
      </c>
    </row>
    <row r="314" spans="1:11" ht="16" x14ac:dyDescent="0.2">
      <c r="A314" s="16">
        <v>44771</v>
      </c>
      <c r="B314" t="s">
        <v>18</v>
      </c>
      <c r="C314" t="s">
        <v>19</v>
      </c>
      <c r="D314" t="s">
        <v>35</v>
      </c>
      <c r="E314" t="s">
        <v>7638</v>
      </c>
      <c r="F314">
        <v>2</v>
      </c>
      <c r="G314" s="15">
        <v>2710000</v>
      </c>
      <c r="H314" s="14">
        <v>0.13075929750140999</v>
      </c>
      <c r="I314" s="27">
        <f t="shared" si="4"/>
        <v>2355642.3037711792</v>
      </c>
      <c r="J314">
        <v>3.5</v>
      </c>
      <c r="K314" t="b">
        <v>0</v>
      </c>
    </row>
    <row r="315" spans="1:11" ht="16" x14ac:dyDescent="0.2">
      <c r="A315" s="16">
        <v>44771</v>
      </c>
      <c r="B315" t="s">
        <v>45</v>
      </c>
      <c r="C315" t="s">
        <v>45</v>
      </c>
      <c r="D315" t="s">
        <v>35</v>
      </c>
      <c r="E315" t="s">
        <v>57</v>
      </c>
      <c r="F315">
        <v>1</v>
      </c>
      <c r="G315" s="15">
        <v>2710000</v>
      </c>
      <c r="H315" s="14">
        <v>0.13075929750140999</v>
      </c>
      <c r="I315" s="27">
        <f t="shared" si="4"/>
        <v>2355642.3037711792</v>
      </c>
      <c r="J315">
        <v>4.3</v>
      </c>
      <c r="K315" t="b">
        <v>1</v>
      </c>
    </row>
    <row r="316" spans="1:11" ht="16" x14ac:dyDescent="0.2">
      <c r="A316" s="16">
        <v>44771</v>
      </c>
      <c r="B316" t="s">
        <v>33</v>
      </c>
      <c r="C316" t="s">
        <v>19</v>
      </c>
      <c r="D316" t="s">
        <v>50</v>
      </c>
      <c r="E316" t="s">
        <v>57</v>
      </c>
      <c r="F316">
        <v>1</v>
      </c>
      <c r="G316" s="15">
        <v>2710000</v>
      </c>
      <c r="H316" s="14">
        <v>0.13075929750140999</v>
      </c>
      <c r="I316" s="27">
        <f t="shared" si="4"/>
        <v>2355642.3037711792</v>
      </c>
      <c r="J316">
        <v>3.7</v>
      </c>
      <c r="K316" t="b">
        <v>1</v>
      </c>
    </row>
    <row r="317" spans="1:11" ht="16" x14ac:dyDescent="0.2">
      <c r="A317" s="16">
        <v>44773</v>
      </c>
      <c r="B317" t="s">
        <v>33</v>
      </c>
      <c r="C317" t="s">
        <v>19</v>
      </c>
      <c r="D317" t="s">
        <v>50</v>
      </c>
      <c r="E317" t="s">
        <v>7637</v>
      </c>
      <c r="F317">
        <v>2</v>
      </c>
      <c r="G317" s="15">
        <v>2710000</v>
      </c>
      <c r="H317" s="14">
        <v>0.13075929750140999</v>
      </c>
      <c r="I317" s="27">
        <f t="shared" si="4"/>
        <v>2355642.3037711792</v>
      </c>
      <c r="J317">
        <v>5</v>
      </c>
      <c r="K317" t="b">
        <v>1</v>
      </c>
    </row>
    <row r="318" spans="1:11" ht="16" x14ac:dyDescent="0.2">
      <c r="A318" s="16">
        <v>44773</v>
      </c>
      <c r="B318" t="s">
        <v>18</v>
      </c>
      <c r="C318" t="s">
        <v>19</v>
      </c>
      <c r="D318" t="s">
        <v>20</v>
      </c>
      <c r="E318" t="s">
        <v>7641</v>
      </c>
      <c r="F318">
        <v>1</v>
      </c>
      <c r="G318" s="15">
        <v>2710000</v>
      </c>
      <c r="H318" s="14">
        <v>0.13075929750140999</v>
      </c>
      <c r="I318" s="27">
        <f t="shared" si="4"/>
        <v>2355642.3037711792</v>
      </c>
      <c r="J318">
        <v>3.7</v>
      </c>
      <c r="K318" t="b">
        <v>1</v>
      </c>
    </row>
    <row r="319" spans="1:11" ht="16" x14ac:dyDescent="0.2">
      <c r="A319" s="16">
        <v>44773</v>
      </c>
      <c r="B319" t="s">
        <v>45</v>
      </c>
      <c r="C319" t="s">
        <v>25</v>
      </c>
      <c r="D319" t="s">
        <v>20</v>
      </c>
      <c r="E319" t="s">
        <v>7641</v>
      </c>
      <c r="F319">
        <v>1</v>
      </c>
      <c r="G319" s="15">
        <v>2710000</v>
      </c>
      <c r="H319" s="14">
        <v>0.13075929750140999</v>
      </c>
      <c r="I319" s="27">
        <f t="shared" si="4"/>
        <v>2355642.3037711792</v>
      </c>
      <c r="J319">
        <v>4.5</v>
      </c>
      <c r="K319" t="b">
        <v>0</v>
      </c>
    </row>
    <row r="320" spans="1:11" ht="16" x14ac:dyDescent="0.2">
      <c r="A320" s="16">
        <v>44774</v>
      </c>
      <c r="B320" t="s">
        <v>18</v>
      </c>
      <c r="C320" t="s">
        <v>45</v>
      </c>
      <c r="D320" t="s">
        <v>20</v>
      </c>
      <c r="E320" t="s">
        <v>99</v>
      </c>
      <c r="F320">
        <v>4</v>
      </c>
      <c r="G320" s="15">
        <v>2710000</v>
      </c>
      <c r="H320" s="14">
        <v>0.13075929750140999</v>
      </c>
      <c r="I320" s="27">
        <f t="shared" si="4"/>
        <v>2355642.3037711792</v>
      </c>
      <c r="J320">
        <v>4.4000000000000004</v>
      </c>
      <c r="K320" t="b">
        <v>1</v>
      </c>
    </row>
    <row r="321" spans="1:11" ht="16" x14ac:dyDescent="0.2">
      <c r="A321" s="16">
        <v>44774</v>
      </c>
      <c r="B321" t="s">
        <v>18</v>
      </c>
      <c r="C321" t="s">
        <v>45</v>
      </c>
      <c r="D321" t="s">
        <v>20</v>
      </c>
      <c r="E321" t="s">
        <v>7637</v>
      </c>
      <c r="F321">
        <v>1</v>
      </c>
      <c r="G321" s="15">
        <v>2710000</v>
      </c>
      <c r="H321" s="14">
        <v>0.13075929750140999</v>
      </c>
      <c r="I321" s="27">
        <f t="shared" si="4"/>
        <v>2355642.3037711792</v>
      </c>
      <c r="J321">
        <v>3</v>
      </c>
      <c r="K321" t="b">
        <v>0</v>
      </c>
    </row>
    <row r="322" spans="1:11" ht="16" x14ac:dyDescent="0.2">
      <c r="A322" s="16">
        <v>44775</v>
      </c>
      <c r="B322" t="s">
        <v>33</v>
      </c>
      <c r="C322" t="s">
        <v>19</v>
      </c>
      <c r="D322" t="s">
        <v>35</v>
      </c>
      <c r="E322" t="s">
        <v>7640</v>
      </c>
      <c r="F322">
        <v>1</v>
      </c>
      <c r="G322" s="15">
        <v>2710000</v>
      </c>
      <c r="H322" s="14">
        <v>0.13075929750140999</v>
      </c>
      <c r="I322" s="27">
        <f t="shared" si="4"/>
        <v>2355642.3037711792</v>
      </c>
      <c r="J322">
        <v>3.7</v>
      </c>
      <c r="K322" t="b">
        <v>0</v>
      </c>
    </row>
    <row r="323" spans="1:11" ht="16" x14ac:dyDescent="0.2">
      <c r="A323" s="16">
        <v>44775</v>
      </c>
      <c r="B323" t="s">
        <v>33</v>
      </c>
      <c r="C323" t="s">
        <v>34</v>
      </c>
      <c r="D323" t="s">
        <v>35</v>
      </c>
      <c r="E323" t="s">
        <v>7644</v>
      </c>
      <c r="F323">
        <v>2</v>
      </c>
      <c r="G323" s="15">
        <v>2710000</v>
      </c>
      <c r="H323" s="14">
        <v>0.13075929750140999</v>
      </c>
      <c r="I323" s="27">
        <f t="shared" ref="I323:I386" si="5">G323-G323*H323</f>
        <v>2355642.3037711792</v>
      </c>
      <c r="J323">
        <v>4.5999999999999996</v>
      </c>
      <c r="K323" t="b">
        <v>1</v>
      </c>
    </row>
    <row r="324" spans="1:11" ht="16" x14ac:dyDescent="0.2">
      <c r="A324" s="16">
        <v>44776</v>
      </c>
      <c r="B324" t="s">
        <v>33</v>
      </c>
      <c r="C324" t="s">
        <v>34</v>
      </c>
      <c r="D324" t="s">
        <v>20</v>
      </c>
      <c r="E324" t="s">
        <v>57</v>
      </c>
      <c r="F324">
        <v>1</v>
      </c>
      <c r="G324" s="15">
        <v>2710000</v>
      </c>
      <c r="H324" s="14">
        <v>0.13075929750140999</v>
      </c>
      <c r="I324" s="27">
        <f t="shared" si="5"/>
        <v>2355642.3037711792</v>
      </c>
      <c r="J324">
        <v>4.5</v>
      </c>
      <c r="K324" t="b">
        <v>0</v>
      </c>
    </row>
    <row r="325" spans="1:11" ht="16" x14ac:dyDescent="0.2">
      <c r="A325" s="16">
        <v>44776</v>
      </c>
      <c r="B325" t="s">
        <v>33</v>
      </c>
      <c r="C325" t="s">
        <v>68</v>
      </c>
      <c r="D325" t="s">
        <v>35</v>
      </c>
      <c r="E325" t="s">
        <v>7643</v>
      </c>
      <c r="F325">
        <v>1</v>
      </c>
      <c r="G325" s="15">
        <v>2710000</v>
      </c>
      <c r="H325" s="14">
        <v>0.13075929750140999</v>
      </c>
      <c r="I325" s="27">
        <f t="shared" si="5"/>
        <v>2355642.3037711792</v>
      </c>
      <c r="J325">
        <v>5</v>
      </c>
      <c r="K325" t="b">
        <v>1</v>
      </c>
    </row>
    <row r="326" spans="1:11" ht="16" x14ac:dyDescent="0.2">
      <c r="A326" s="16">
        <v>44776</v>
      </c>
      <c r="B326" t="s">
        <v>18</v>
      </c>
      <c r="C326" t="s">
        <v>25</v>
      </c>
      <c r="D326" t="s">
        <v>50</v>
      </c>
      <c r="E326" t="s">
        <v>57</v>
      </c>
      <c r="F326">
        <v>1</v>
      </c>
      <c r="G326" s="15">
        <v>2710000</v>
      </c>
      <c r="H326" s="14">
        <v>0.13075929750140999</v>
      </c>
      <c r="I326" s="27">
        <f t="shared" si="5"/>
        <v>2355642.3037711792</v>
      </c>
      <c r="J326">
        <v>4.5999999999999996</v>
      </c>
      <c r="K326" t="b">
        <v>0</v>
      </c>
    </row>
    <row r="327" spans="1:11" ht="16" x14ac:dyDescent="0.2">
      <c r="A327" s="16">
        <v>44776</v>
      </c>
      <c r="B327" t="s">
        <v>45</v>
      </c>
      <c r="C327" t="s">
        <v>68</v>
      </c>
      <c r="D327" t="s">
        <v>20</v>
      </c>
      <c r="E327" t="s">
        <v>7639</v>
      </c>
      <c r="F327">
        <v>1</v>
      </c>
      <c r="G327" s="15">
        <v>2710000</v>
      </c>
      <c r="H327" s="14">
        <v>0.13075929750140999</v>
      </c>
      <c r="I327" s="27">
        <f t="shared" si="5"/>
        <v>2355642.3037711792</v>
      </c>
      <c r="J327">
        <v>4.2</v>
      </c>
      <c r="K327" t="b">
        <v>1</v>
      </c>
    </row>
    <row r="328" spans="1:11" ht="16" x14ac:dyDescent="0.2">
      <c r="A328" s="16">
        <v>44778</v>
      </c>
      <c r="B328" t="s">
        <v>45</v>
      </c>
      <c r="C328" t="s">
        <v>34</v>
      </c>
      <c r="D328" t="s">
        <v>20</v>
      </c>
      <c r="E328" t="s">
        <v>7641</v>
      </c>
      <c r="F328">
        <v>1</v>
      </c>
      <c r="G328" s="15">
        <v>2710000</v>
      </c>
      <c r="H328" s="14">
        <v>0.13075929750140999</v>
      </c>
      <c r="I328" s="27">
        <f t="shared" si="5"/>
        <v>2355642.3037711792</v>
      </c>
      <c r="J328">
        <v>4.0999999999999996</v>
      </c>
      <c r="K328" t="b">
        <v>1</v>
      </c>
    </row>
    <row r="329" spans="1:11" ht="16" x14ac:dyDescent="0.2">
      <c r="A329" s="16">
        <v>44779</v>
      </c>
      <c r="B329" t="s">
        <v>45</v>
      </c>
      <c r="C329" t="s">
        <v>45</v>
      </c>
      <c r="D329" t="s">
        <v>50</v>
      </c>
      <c r="E329" t="s">
        <v>7642</v>
      </c>
      <c r="F329">
        <v>3</v>
      </c>
      <c r="G329" s="15">
        <v>2710000</v>
      </c>
      <c r="H329" s="14">
        <v>0.13075929750140999</v>
      </c>
      <c r="I329" s="27">
        <f t="shared" si="5"/>
        <v>2355642.3037711792</v>
      </c>
      <c r="J329">
        <v>4.5999999999999996</v>
      </c>
      <c r="K329" t="b">
        <v>0</v>
      </c>
    </row>
    <row r="330" spans="1:11" ht="16" x14ac:dyDescent="0.2">
      <c r="A330" s="16">
        <v>44779</v>
      </c>
      <c r="B330" t="s">
        <v>29</v>
      </c>
      <c r="C330" t="s">
        <v>45</v>
      </c>
      <c r="D330" t="s">
        <v>20</v>
      </c>
      <c r="E330" t="s">
        <v>7640</v>
      </c>
      <c r="F330">
        <v>1</v>
      </c>
      <c r="G330" s="15">
        <v>2710000</v>
      </c>
      <c r="H330" s="14">
        <v>0.13075929750140999</v>
      </c>
      <c r="I330" s="27">
        <f t="shared" si="5"/>
        <v>2355642.3037711792</v>
      </c>
      <c r="J330">
        <v>5</v>
      </c>
      <c r="K330" t="b">
        <v>0</v>
      </c>
    </row>
    <row r="331" spans="1:11" ht="16" x14ac:dyDescent="0.2">
      <c r="A331" s="16">
        <v>44779</v>
      </c>
      <c r="B331" t="s">
        <v>45</v>
      </c>
      <c r="C331" t="s">
        <v>34</v>
      </c>
      <c r="D331" t="s">
        <v>35</v>
      </c>
      <c r="E331" t="s">
        <v>7643</v>
      </c>
      <c r="F331">
        <v>3</v>
      </c>
      <c r="G331" s="15">
        <v>2710000</v>
      </c>
      <c r="H331" s="14">
        <v>0.13075929750140999</v>
      </c>
      <c r="I331" s="27">
        <f t="shared" si="5"/>
        <v>2355642.3037711792</v>
      </c>
      <c r="J331">
        <v>5</v>
      </c>
      <c r="K331" t="b">
        <v>0</v>
      </c>
    </row>
    <row r="332" spans="1:11" ht="16" x14ac:dyDescent="0.2">
      <c r="A332" s="16">
        <v>44779</v>
      </c>
      <c r="B332" t="s">
        <v>18</v>
      </c>
      <c r="C332" t="s">
        <v>34</v>
      </c>
      <c r="D332" t="s">
        <v>50</v>
      </c>
      <c r="E332" t="s">
        <v>7637</v>
      </c>
      <c r="F332">
        <v>1</v>
      </c>
      <c r="G332" s="15">
        <v>2710000</v>
      </c>
      <c r="H332" s="14">
        <v>0.13075929750140999</v>
      </c>
      <c r="I332" s="27">
        <f t="shared" si="5"/>
        <v>2355642.3037711792</v>
      </c>
      <c r="J332">
        <v>4.5999999999999996</v>
      </c>
      <c r="K332" t="b">
        <v>1</v>
      </c>
    </row>
    <row r="333" spans="1:11" ht="16" x14ac:dyDescent="0.2">
      <c r="A333" s="16">
        <v>44779</v>
      </c>
      <c r="B333" t="s">
        <v>18</v>
      </c>
      <c r="C333" t="s">
        <v>19</v>
      </c>
      <c r="D333" t="s">
        <v>35</v>
      </c>
      <c r="E333" t="s">
        <v>99</v>
      </c>
      <c r="F333">
        <v>1</v>
      </c>
      <c r="G333" s="15">
        <v>2710000</v>
      </c>
      <c r="H333" s="14">
        <v>0.13075929750140999</v>
      </c>
      <c r="I333" s="27">
        <f t="shared" si="5"/>
        <v>2355642.3037711792</v>
      </c>
      <c r="J333">
        <v>3.8</v>
      </c>
      <c r="K333" t="b">
        <v>1</v>
      </c>
    </row>
    <row r="334" spans="1:11" ht="16" x14ac:dyDescent="0.2">
      <c r="A334" s="16">
        <v>44780</v>
      </c>
      <c r="B334" t="s">
        <v>45</v>
      </c>
      <c r="C334" t="s">
        <v>25</v>
      </c>
      <c r="D334" t="s">
        <v>35</v>
      </c>
      <c r="E334" t="s">
        <v>7643</v>
      </c>
      <c r="F334">
        <v>1</v>
      </c>
      <c r="G334" s="15">
        <v>2710000</v>
      </c>
      <c r="H334" s="14">
        <v>0.13075929750140999</v>
      </c>
      <c r="I334" s="27">
        <f t="shared" si="5"/>
        <v>2355642.3037711792</v>
      </c>
      <c r="J334">
        <v>4.5</v>
      </c>
      <c r="K334" t="b">
        <v>0</v>
      </c>
    </row>
    <row r="335" spans="1:11" ht="16" x14ac:dyDescent="0.2">
      <c r="A335" s="16">
        <v>44780</v>
      </c>
      <c r="B335" t="s">
        <v>33</v>
      </c>
      <c r="C335" t="s">
        <v>19</v>
      </c>
      <c r="D335" t="s">
        <v>20</v>
      </c>
      <c r="E335" t="s">
        <v>7644</v>
      </c>
      <c r="F335">
        <v>1</v>
      </c>
      <c r="G335" s="15">
        <v>2710000</v>
      </c>
      <c r="H335" s="14">
        <v>0.13075929750140999</v>
      </c>
      <c r="I335" s="27">
        <f t="shared" si="5"/>
        <v>2355642.3037711792</v>
      </c>
      <c r="J335">
        <v>5</v>
      </c>
      <c r="K335" t="b">
        <v>1</v>
      </c>
    </row>
    <row r="336" spans="1:11" ht="16" x14ac:dyDescent="0.2">
      <c r="A336" s="16">
        <v>44780</v>
      </c>
      <c r="B336" t="s">
        <v>45</v>
      </c>
      <c r="C336" t="s">
        <v>45</v>
      </c>
      <c r="D336" t="s">
        <v>20</v>
      </c>
      <c r="E336" t="s">
        <v>7637</v>
      </c>
      <c r="F336">
        <v>1</v>
      </c>
      <c r="G336" s="15">
        <v>2710000</v>
      </c>
      <c r="H336" s="14">
        <v>0.13075929750140999</v>
      </c>
      <c r="I336" s="27">
        <f t="shared" si="5"/>
        <v>2355642.3037711792</v>
      </c>
      <c r="J336">
        <v>4.5</v>
      </c>
      <c r="K336" t="b">
        <v>1</v>
      </c>
    </row>
    <row r="337" spans="1:11" ht="16" x14ac:dyDescent="0.2">
      <c r="A337" s="16">
        <v>44780</v>
      </c>
      <c r="B337" t="s">
        <v>45</v>
      </c>
      <c r="C337" t="s">
        <v>39</v>
      </c>
      <c r="D337" t="s">
        <v>35</v>
      </c>
      <c r="E337" t="str">
        <f>E336</f>
        <v>Đà Nẵng</v>
      </c>
      <c r="F337">
        <v>1</v>
      </c>
      <c r="G337" s="15">
        <v>2710000</v>
      </c>
      <c r="H337" s="14">
        <v>0.13075929750140999</v>
      </c>
      <c r="I337" s="27">
        <f t="shared" si="5"/>
        <v>2355642.3037711792</v>
      </c>
      <c r="J337">
        <v>4.2</v>
      </c>
      <c r="K337" t="b">
        <v>1</v>
      </c>
    </row>
    <row r="338" spans="1:11" ht="16" x14ac:dyDescent="0.2">
      <c r="A338" s="16">
        <v>44780</v>
      </c>
      <c r="B338" t="s">
        <v>45</v>
      </c>
      <c r="C338" t="s">
        <v>39</v>
      </c>
      <c r="D338" t="s">
        <v>35</v>
      </c>
      <c r="E338" t="s">
        <v>99</v>
      </c>
      <c r="F338">
        <v>4</v>
      </c>
      <c r="G338" s="15">
        <v>2710000</v>
      </c>
      <c r="H338" s="14">
        <v>0.13075929750140999</v>
      </c>
      <c r="I338" s="27">
        <f t="shared" si="5"/>
        <v>2355642.3037711792</v>
      </c>
      <c r="J338">
        <v>4.9000000000000004</v>
      </c>
      <c r="K338" t="b">
        <v>1</v>
      </c>
    </row>
    <row r="339" spans="1:11" ht="16" x14ac:dyDescent="0.2">
      <c r="A339" s="16">
        <v>44780</v>
      </c>
      <c r="B339" t="s">
        <v>45</v>
      </c>
      <c r="C339" t="s">
        <v>34</v>
      </c>
      <c r="D339" t="s">
        <v>35</v>
      </c>
      <c r="E339" t="str">
        <f>E338</f>
        <v>Sa Pa</v>
      </c>
      <c r="F339">
        <v>5</v>
      </c>
      <c r="G339" s="15">
        <v>2710000</v>
      </c>
      <c r="H339" s="14">
        <v>0.13075929750140999</v>
      </c>
      <c r="I339" s="27">
        <f t="shared" si="5"/>
        <v>2355642.3037711792</v>
      </c>
      <c r="J339">
        <v>4.5</v>
      </c>
      <c r="K339" t="b">
        <v>1</v>
      </c>
    </row>
    <row r="340" spans="1:11" ht="16" x14ac:dyDescent="0.2">
      <c r="A340" s="16">
        <v>44782</v>
      </c>
      <c r="B340" t="s">
        <v>33</v>
      </c>
      <c r="C340" t="s">
        <v>39</v>
      </c>
      <c r="D340" t="str">
        <f>D339</f>
        <v>Mobile App</v>
      </c>
      <c r="E340" t="s">
        <v>7637</v>
      </c>
      <c r="F340">
        <v>1</v>
      </c>
      <c r="G340" s="15">
        <v>2710000</v>
      </c>
      <c r="H340" s="14">
        <v>0.13075929750140999</v>
      </c>
      <c r="I340" s="27">
        <f t="shared" si="5"/>
        <v>2355642.3037711792</v>
      </c>
      <c r="J340">
        <v>3.7</v>
      </c>
      <c r="K340" t="b">
        <v>1</v>
      </c>
    </row>
    <row r="341" spans="1:11" ht="16" x14ac:dyDescent="0.2">
      <c r="A341" s="16">
        <v>44782</v>
      </c>
      <c r="B341" t="s">
        <v>45</v>
      </c>
      <c r="C341" t="s">
        <v>45</v>
      </c>
      <c r="D341" t="s">
        <v>20</v>
      </c>
      <c r="E341" t="s">
        <v>7641</v>
      </c>
      <c r="F341">
        <v>2</v>
      </c>
      <c r="G341" s="15">
        <v>2710000</v>
      </c>
      <c r="H341" s="14">
        <v>0.13075929750140999</v>
      </c>
      <c r="I341" s="27">
        <f t="shared" si="5"/>
        <v>2355642.3037711792</v>
      </c>
      <c r="J341">
        <v>4.2</v>
      </c>
      <c r="K341" t="b">
        <v>1</v>
      </c>
    </row>
    <row r="342" spans="1:11" ht="16" x14ac:dyDescent="0.2">
      <c r="A342" s="16">
        <v>44783</v>
      </c>
      <c r="B342" t="s">
        <v>45</v>
      </c>
      <c r="C342" t="s">
        <v>45</v>
      </c>
      <c r="D342" t="s">
        <v>20</v>
      </c>
      <c r="E342" t="s">
        <v>7641</v>
      </c>
      <c r="F342">
        <v>4</v>
      </c>
      <c r="G342" s="15">
        <v>2710000</v>
      </c>
      <c r="H342" s="14">
        <v>0.13075929750140999</v>
      </c>
      <c r="I342" s="27">
        <f t="shared" si="5"/>
        <v>2355642.3037711792</v>
      </c>
      <c r="J342">
        <v>4.5999999999999996</v>
      </c>
      <c r="K342" t="b">
        <v>1</v>
      </c>
    </row>
    <row r="343" spans="1:11" ht="16" x14ac:dyDescent="0.2">
      <c r="A343" s="16">
        <v>44784</v>
      </c>
      <c r="B343" t="s">
        <v>33</v>
      </c>
      <c r="C343" t="s">
        <v>25</v>
      </c>
      <c r="D343" t="s">
        <v>35</v>
      </c>
      <c r="E343" t="s">
        <v>7637</v>
      </c>
      <c r="F343">
        <v>1</v>
      </c>
      <c r="G343" s="15">
        <v>2710000</v>
      </c>
      <c r="H343" s="14">
        <v>0.13075929750140999</v>
      </c>
      <c r="I343" s="27">
        <f t="shared" si="5"/>
        <v>2355642.3037711792</v>
      </c>
      <c r="J343">
        <v>4</v>
      </c>
      <c r="K343" t="b">
        <v>1</v>
      </c>
    </row>
    <row r="344" spans="1:11" ht="16" x14ac:dyDescent="0.2">
      <c r="A344" s="16">
        <v>44785</v>
      </c>
      <c r="B344" t="s">
        <v>45</v>
      </c>
      <c r="C344" t="s">
        <v>45</v>
      </c>
      <c r="D344" t="s">
        <v>20</v>
      </c>
      <c r="E344" t="s">
        <v>7642</v>
      </c>
      <c r="F344">
        <v>1</v>
      </c>
      <c r="G344" s="15">
        <v>2710000</v>
      </c>
      <c r="H344" s="14">
        <v>0.13075929750140999</v>
      </c>
      <c r="I344" s="27">
        <f t="shared" si="5"/>
        <v>2355642.3037711792</v>
      </c>
      <c r="J344">
        <v>4.4000000000000004</v>
      </c>
      <c r="K344" t="b">
        <v>0</v>
      </c>
    </row>
    <row r="345" spans="1:11" ht="16" x14ac:dyDescent="0.2">
      <c r="A345" s="16">
        <v>44785</v>
      </c>
      <c r="B345" t="s">
        <v>29</v>
      </c>
      <c r="C345" t="s">
        <v>19</v>
      </c>
      <c r="D345" t="s">
        <v>50</v>
      </c>
      <c r="E345" t="s">
        <v>7639</v>
      </c>
      <c r="F345">
        <v>1</v>
      </c>
      <c r="G345" s="15">
        <v>2710000</v>
      </c>
      <c r="H345" s="14">
        <v>0.13075929750140999</v>
      </c>
      <c r="I345" s="27">
        <f t="shared" si="5"/>
        <v>2355642.3037711792</v>
      </c>
      <c r="J345">
        <v>4.3</v>
      </c>
      <c r="K345" t="b">
        <v>1</v>
      </c>
    </row>
    <row r="346" spans="1:11" ht="16" x14ac:dyDescent="0.2">
      <c r="A346" s="16">
        <v>44785</v>
      </c>
      <c r="B346" t="s">
        <v>45</v>
      </c>
      <c r="C346" t="s">
        <v>19</v>
      </c>
      <c r="D346" t="s">
        <v>20</v>
      </c>
      <c r="E346" t="s">
        <v>57</v>
      </c>
      <c r="F346">
        <v>2</v>
      </c>
      <c r="G346" s="15">
        <v>2710000</v>
      </c>
      <c r="H346" s="14">
        <v>0.13075929750140999</v>
      </c>
      <c r="I346" s="27">
        <f t="shared" si="5"/>
        <v>2355642.3037711792</v>
      </c>
      <c r="J346">
        <v>4.4000000000000004</v>
      </c>
      <c r="K346" t="b">
        <v>1</v>
      </c>
    </row>
    <row r="347" spans="1:11" ht="16" x14ac:dyDescent="0.2">
      <c r="A347" s="16">
        <v>44785</v>
      </c>
      <c r="B347" t="s">
        <v>45</v>
      </c>
      <c r="C347" t="s">
        <v>34</v>
      </c>
      <c r="D347" t="s">
        <v>20</v>
      </c>
      <c r="E347" t="s">
        <v>7641</v>
      </c>
      <c r="F347">
        <v>1</v>
      </c>
      <c r="G347" s="15">
        <v>2710000</v>
      </c>
      <c r="H347" s="14">
        <v>0.13075929750140999</v>
      </c>
      <c r="I347" s="27">
        <f t="shared" si="5"/>
        <v>2355642.3037711792</v>
      </c>
      <c r="J347">
        <v>4.5999999999999996</v>
      </c>
      <c r="K347" t="b">
        <v>1</v>
      </c>
    </row>
    <row r="348" spans="1:11" ht="16" x14ac:dyDescent="0.2">
      <c r="A348" s="16">
        <v>44786</v>
      </c>
      <c r="B348" t="s">
        <v>18</v>
      </c>
      <c r="C348" t="s">
        <v>25</v>
      </c>
      <c r="D348" t="s">
        <v>20</v>
      </c>
      <c r="E348" t="s">
        <v>7638</v>
      </c>
      <c r="F348">
        <v>2</v>
      </c>
      <c r="G348" s="15">
        <v>2710000</v>
      </c>
      <c r="H348" s="14">
        <v>0.13075929750140999</v>
      </c>
      <c r="I348" s="27">
        <f t="shared" si="5"/>
        <v>2355642.3037711792</v>
      </c>
      <c r="J348">
        <v>5</v>
      </c>
      <c r="K348" t="b">
        <v>1</v>
      </c>
    </row>
    <row r="349" spans="1:11" ht="16" x14ac:dyDescent="0.2">
      <c r="A349" s="16">
        <v>44786</v>
      </c>
      <c r="B349" t="s">
        <v>45</v>
      </c>
      <c r="C349" t="s">
        <v>68</v>
      </c>
      <c r="D349" t="s">
        <v>50</v>
      </c>
      <c r="E349" t="s">
        <v>57</v>
      </c>
      <c r="F349">
        <v>2</v>
      </c>
      <c r="G349" s="15">
        <v>2710000</v>
      </c>
      <c r="H349" s="14">
        <v>0.13075929750140999</v>
      </c>
      <c r="I349" s="27">
        <f t="shared" si="5"/>
        <v>2355642.3037711792</v>
      </c>
      <c r="J349">
        <v>4.8</v>
      </c>
      <c r="K349" t="b">
        <v>0</v>
      </c>
    </row>
    <row r="350" spans="1:11" ht="16" x14ac:dyDescent="0.2">
      <c r="A350" s="16">
        <v>44786</v>
      </c>
      <c r="B350" t="s">
        <v>18</v>
      </c>
      <c r="C350" t="s">
        <v>45</v>
      </c>
      <c r="D350" t="s">
        <v>20</v>
      </c>
      <c r="E350" t="s">
        <v>7637</v>
      </c>
      <c r="F350">
        <v>2</v>
      </c>
      <c r="G350" s="15">
        <v>2710000</v>
      </c>
      <c r="H350" s="14">
        <v>0.13075929750140999</v>
      </c>
      <c r="I350" s="27">
        <f t="shared" si="5"/>
        <v>2355642.3037711792</v>
      </c>
      <c r="J350">
        <v>3.9</v>
      </c>
      <c r="K350" t="b">
        <v>1</v>
      </c>
    </row>
    <row r="351" spans="1:11" ht="16" x14ac:dyDescent="0.2">
      <c r="A351" s="16">
        <v>44786</v>
      </c>
      <c r="B351" t="s">
        <v>29</v>
      </c>
      <c r="C351" t="s">
        <v>39</v>
      </c>
      <c r="D351" t="s">
        <v>35</v>
      </c>
      <c r="E351" t="s">
        <v>7642</v>
      </c>
      <c r="F351">
        <v>1</v>
      </c>
      <c r="G351" s="15">
        <v>2710000</v>
      </c>
      <c r="H351" s="14">
        <v>0.13075929750140999</v>
      </c>
      <c r="I351" s="27">
        <f t="shared" si="5"/>
        <v>2355642.3037711792</v>
      </c>
      <c r="J351">
        <v>4.5</v>
      </c>
      <c r="K351" t="b">
        <v>0</v>
      </c>
    </row>
    <row r="352" spans="1:11" ht="16" x14ac:dyDescent="0.2">
      <c r="A352" s="16">
        <v>44786</v>
      </c>
      <c r="B352" t="s">
        <v>45</v>
      </c>
      <c r="C352" t="s">
        <v>19</v>
      </c>
      <c r="D352" t="s">
        <v>20</v>
      </c>
      <c r="E352" t="s">
        <v>7643</v>
      </c>
      <c r="F352">
        <v>3</v>
      </c>
      <c r="G352" s="15">
        <v>2710000</v>
      </c>
      <c r="H352" s="14">
        <v>0.13075929750140999</v>
      </c>
      <c r="I352" s="27">
        <f t="shared" si="5"/>
        <v>2355642.3037711792</v>
      </c>
      <c r="J352">
        <v>4.5999999999999996</v>
      </c>
      <c r="K352" t="b">
        <v>1</v>
      </c>
    </row>
    <row r="353" spans="1:11" ht="16" x14ac:dyDescent="0.2">
      <c r="A353" s="16">
        <v>44788</v>
      </c>
      <c r="B353" t="s">
        <v>29</v>
      </c>
      <c r="C353" t="s">
        <v>39</v>
      </c>
      <c r="D353" t="s">
        <v>20</v>
      </c>
      <c r="E353" t="s">
        <v>99</v>
      </c>
      <c r="F353">
        <v>1</v>
      </c>
      <c r="G353" s="15">
        <v>2710000</v>
      </c>
      <c r="H353" s="14">
        <v>0.13075929750140999</v>
      </c>
      <c r="I353" s="27">
        <f t="shared" si="5"/>
        <v>2355642.3037711792</v>
      </c>
      <c r="J353">
        <v>5</v>
      </c>
      <c r="K353" t="b">
        <v>1</v>
      </c>
    </row>
    <row r="354" spans="1:11" ht="16" x14ac:dyDescent="0.2">
      <c r="A354" s="16">
        <v>44788</v>
      </c>
      <c r="B354" t="s">
        <v>29</v>
      </c>
      <c r="C354" t="s">
        <v>34</v>
      </c>
      <c r="D354" t="s">
        <v>20</v>
      </c>
      <c r="E354" t="s">
        <v>7639</v>
      </c>
      <c r="F354">
        <v>2</v>
      </c>
      <c r="G354" s="15">
        <v>2710000</v>
      </c>
      <c r="H354" s="14">
        <v>0.13075929750140999</v>
      </c>
      <c r="I354" s="27">
        <f t="shared" si="5"/>
        <v>2355642.3037711792</v>
      </c>
      <c r="J354">
        <v>3.8</v>
      </c>
      <c r="K354" t="b">
        <v>1</v>
      </c>
    </row>
    <row r="355" spans="1:11" ht="16" x14ac:dyDescent="0.2">
      <c r="A355" s="16">
        <v>44789</v>
      </c>
      <c r="B355" t="s">
        <v>45</v>
      </c>
      <c r="C355" t="s">
        <v>45</v>
      </c>
      <c r="D355" t="s">
        <v>50</v>
      </c>
      <c r="E355" t="s">
        <v>7640</v>
      </c>
      <c r="F355">
        <v>2</v>
      </c>
      <c r="G355" s="15">
        <v>2710000</v>
      </c>
      <c r="H355" s="14">
        <v>0.13075929750140999</v>
      </c>
      <c r="I355" s="27">
        <f t="shared" si="5"/>
        <v>2355642.3037711792</v>
      </c>
      <c r="J355">
        <v>4.3</v>
      </c>
      <c r="K355" t="b">
        <v>0</v>
      </c>
    </row>
    <row r="356" spans="1:11" ht="16" x14ac:dyDescent="0.2">
      <c r="A356" s="16">
        <v>44789</v>
      </c>
      <c r="B356" t="s">
        <v>45</v>
      </c>
      <c r="C356" t="s">
        <v>34</v>
      </c>
      <c r="D356" t="s">
        <v>35</v>
      </c>
      <c r="E356" t="s">
        <v>7637</v>
      </c>
      <c r="F356">
        <v>2</v>
      </c>
      <c r="G356" s="15">
        <v>2710000</v>
      </c>
      <c r="H356" s="14">
        <v>0.13075929750140999</v>
      </c>
      <c r="I356" s="27">
        <f t="shared" si="5"/>
        <v>2355642.3037711792</v>
      </c>
      <c r="J356">
        <v>4.3</v>
      </c>
      <c r="K356" t="b">
        <v>1</v>
      </c>
    </row>
    <row r="357" spans="1:11" ht="16" x14ac:dyDescent="0.2">
      <c r="A357" s="16">
        <v>44792</v>
      </c>
      <c r="B357" t="s">
        <v>18</v>
      </c>
      <c r="C357" t="s">
        <v>19</v>
      </c>
      <c r="D357" t="s">
        <v>20</v>
      </c>
      <c r="E357" t="s">
        <v>7642</v>
      </c>
      <c r="F357">
        <v>2</v>
      </c>
      <c r="G357" s="15">
        <v>2710000</v>
      </c>
      <c r="H357" s="14">
        <v>0.13075929750140999</v>
      </c>
      <c r="I357" s="27">
        <f t="shared" si="5"/>
        <v>2355642.3037711792</v>
      </c>
      <c r="J357">
        <v>3.7</v>
      </c>
      <c r="K357" t="b">
        <v>1</v>
      </c>
    </row>
    <row r="358" spans="1:11" ht="16" x14ac:dyDescent="0.2">
      <c r="A358" s="16">
        <v>44792</v>
      </c>
      <c r="B358" t="s">
        <v>33</v>
      </c>
      <c r="C358" t="s">
        <v>68</v>
      </c>
      <c r="D358" t="s">
        <v>50</v>
      </c>
      <c r="E358" t="str">
        <f>E357</f>
        <v>Huế</v>
      </c>
      <c r="F358">
        <v>3</v>
      </c>
      <c r="G358" s="15">
        <v>2710000</v>
      </c>
      <c r="H358" s="14">
        <v>0.13075929750140999</v>
      </c>
      <c r="I358" s="27">
        <f t="shared" si="5"/>
        <v>2355642.3037711792</v>
      </c>
      <c r="J358">
        <v>4.7</v>
      </c>
      <c r="K358" t="b">
        <v>1</v>
      </c>
    </row>
    <row r="359" spans="1:11" ht="16" x14ac:dyDescent="0.2">
      <c r="A359" s="16">
        <v>44792</v>
      </c>
      <c r="B359" t="s">
        <v>45</v>
      </c>
      <c r="C359" t="s">
        <v>39</v>
      </c>
      <c r="D359" t="str">
        <f>D358</f>
        <v>Agent</v>
      </c>
      <c r="E359" t="s">
        <v>7638</v>
      </c>
      <c r="F359">
        <v>4</v>
      </c>
      <c r="G359" s="15">
        <v>2710000</v>
      </c>
      <c r="H359" s="14">
        <v>0.13075929750140999</v>
      </c>
      <c r="I359" s="27">
        <f t="shared" si="5"/>
        <v>2355642.3037711792</v>
      </c>
      <c r="J359">
        <v>4.3</v>
      </c>
      <c r="K359" t="b">
        <v>1</v>
      </c>
    </row>
    <row r="360" spans="1:11" ht="16" x14ac:dyDescent="0.2">
      <c r="A360" s="16">
        <v>44793</v>
      </c>
      <c r="B360" t="s">
        <v>33</v>
      </c>
      <c r="C360" t="s">
        <v>34</v>
      </c>
      <c r="D360" t="s">
        <v>46</v>
      </c>
      <c r="E360" t="s">
        <v>57</v>
      </c>
      <c r="F360">
        <v>1</v>
      </c>
      <c r="G360" s="15">
        <v>2710000</v>
      </c>
      <c r="H360" s="14">
        <v>0.13075929750140999</v>
      </c>
      <c r="I360" s="27">
        <f t="shared" si="5"/>
        <v>2355642.3037711792</v>
      </c>
      <c r="J360">
        <v>4.4000000000000004</v>
      </c>
      <c r="K360" t="b">
        <v>1</v>
      </c>
    </row>
    <row r="361" spans="1:11" ht="16" x14ac:dyDescent="0.2">
      <c r="A361" s="16">
        <v>44793</v>
      </c>
      <c r="B361" t="s">
        <v>18</v>
      </c>
      <c r="C361" t="s">
        <v>34</v>
      </c>
      <c r="D361" t="s">
        <v>50</v>
      </c>
      <c r="E361" t="s">
        <v>7644</v>
      </c>
      <c r="F361">
        <v>3</v>
      </c>
      <c r="G361" s="15">
        <v>2710000</v>
      </c>
      <c r="H361" s="14">
        <v>0.13075929750140999</v>
      </c>
      <c r="I361" s="27">
        <f t="shared" si="5"/>
        <v>2355642.3037711792</v>
      </c>
      <c r="J361">
        <v>4.3</v>
      </c>
      <c r="K361" t="b">
        <v>1</v>
      </c>
    </row>
    <row r="362" spans="1:11" ht="16" x14ac:dyDescent="0.2">
      <c r="A362" s="16">
        <v>44794</v>
      </c>
      <c r="B362" t="s">
        <v>45</v>
      </c>
      <c r="C362" t="s">
        <v>19</v>
      </c>
      <c r="D362" t="s">
        <v>20</v>
      </c>
      <c r="E362" t="s">
        <v>7644</v>
      </c>
      <c r="F362">
        <v>1</v>
      </c>
      <c r="G362" s="15">
        <v>2710000</v>
      </c>
      <c r="H362" s="14">
        <v>0.13075929750140999</v>
      </c>
      <c r="I362" s="27">
        <f t="shared" si="5"/>
        <v>2355642.3037711792</v>
      </c>
      <c r="J362">
        <v>4.4000000000000004</v>
      </c>
      <c r="K362" t="b">
        <v>0</v>
      </c>
    </row>
    <row r="363" spans="1:11" ht="16" x14ac:dyDescent="0.2">
      <c r="A363" s="16">
        <v>44794</v>
      </c>
      <c r="B363" t="s">
        <v>18</v>
      </c>
      <c r="C363" t="s">
        <v>39</v>
      </c>
      <c r="D363" t="s">
        <v>50</v>
      </c>
      <c r="E363" t="s">
        <v>7643</v>
      </c>
      <c r="F363">
        <v>3</v>
      </c>
      <c r="G363" s="15">
        <v>2710000</v>
      </c>
      <c r="H363" s="14">
        <v>0.13075929750140999</v>
      </c>
      <c r="I363" s="27">
        <f t="shared" si="5"/>
        <v>2355642.3037711792</v>
      </c>
      <c r="J363">
        <v>4.5</v>
      </c>
      <c r="K363" t="b">
        <v>1</v>
      </c>
    </row>
    <row r="364" spans="1:11" ht="16" x14ac:dyDescent="0.2">
      <c r="A364" s="16">
        <v>44794</v>
      </c>
      <c r="B364" t="s">
        <v>18</v>
      </c>
      <c r="C364" t="s">
        <v>19</v>
      </c>
      <c r="D364" t="s">
        <v>50</v>
      </c>
      <c r="E364" t="s">
        <v>7641</v>
      </c>
      <c r="F364">
        <v>5</v>
      </c>
      <c r="G364" s="15">
        <v>2710000</v>
      </c>
      <c r="H364" s="14">
        <v>0.13075929750140999</v>
      </c>
      <c r="I364" s="27">
        <f t="shared" si="5"/>
        <v>2355642.3037711792</v>
      </c>
      <c r="J364">
        <v>3.7</v>
      </c>
      <c r="K364" t="b">
        <v>0</v>
      </c>
    </row>
    <row r="365" spans="1:11" ht="16" x14ac:dyDescent="0.2">
      <c r="A365" s="16">
        <v>44794</v>
      </c>
      <c r="B365" t="s">
        <v>33</v>
      </c>
      <c r="C365" t="s">
        <v>34</v>
      </c>
      <c r="D365" t="s">
        <v>50</v>
      </c>
      <c r="E365" t="s">
        <v>7643</v>
      </c>
      <c r="F365">
        <v>2</v>
      </c>
      <c r="G365" s="15">
        <v>2710000</v>
      </c>
      <c r="H365" s="14">
        <v>0.13075929750140999</v>
      </c>
      <c r="I365" s="27">
        <f t="shared" si="5"/>
        <v>2355642.3037711792</v>
      </c>
      <c r="J365">
        <v>4.9000000000000004</v>
      </c>
      <c r="K365" t="b">
        <v>0</v>
      </c>
    </row>
    <row r="366" spans="1:11" ht="16" x14ac:dyDescent="0.2">
      <c r="A366" s="16">
        <v>44795</v>
      </c>
      <c r="B366" t="s">
        <v>45</v>
      </c>
      <c r="C366" t="s">
        <v>34</v>
      </c>
      <c r="D366" t="s">
        <v>20</v>
      </c>
      <c r="E366" t="s">
        <v>7644</v>
      </c>
      <c r="F366">
        <v>2</v>
      </c>
      <c r="G366" s="15">
        <v>2710000</v>
      </c>
      <c r="H366" s="14">
        <v>0.13075929750140999</v>
      </c>
      <c r="I366" s="27">
        <f t="shared" si="5"/>
        <v>2355642.3037711792</v>
      </c>
      <c r="J366">
        <v>3.7</v>
      </c>
      <c r="K366" t="b">
        <v>0</v>
      </c>
    </row>
    <row r="367" spans="1:11" ht="16" x14ac:dyDescent="0.2">
      <c r="A367" s="16">
        <v>44795</v>
      </c>
      <c r="B367" t="s">
        <v>45</v>
      </c>
      <c r="C367" t="s">
        <v>34</v>
      </c>
      <c r="D367" t="s">
        <v>20</v>
      </c>
      <c r="E367" t="s">
        <v>99</v>
      </c>
      <c r="F367">
        <v>1</v>
      </c>
      <c r="G367" s="15">
        <v>2710000</v>
      </c>
      <c r="H367" s="14">
        <v>0.13075929750140999</v>
      </c>
      <c r="I367" s="27">
        <f t="shared" si="5"/>
        <v>2355642.3037711792</v>
      </c>
      <c r="J367">
        <v>4</v>
      </c>
      <c r="K367" t="b">
        <v>1</v>
      </c>
    </row>
    <row r="368" spans="1:11" ht="16" x14ac:dyDescent="0.2">
      <c r="A368" s="16">
        <v>44795</v>
      </c>
      <c r="B368" t="s">
        <v>18</v>
      </c>
      <c r="C368" t="s">
        <v>34</v>
      </c>
      <c r="D368" t="s">
        <v>20</v>
      </c>
      <c r="E368" t="s">
        <v>57</v>
      </c>
      <c r="F368">
        <v>4</v>
      </c>
      <c r="G368" s="15">
        <v>2710000</v>
      </c>
      <c r="H368" s="14">
        <v>0.13075929750140999</v>
      </c>
      <c r="I368" s="27">
        <f t="shared" si="5"/>
        <v>2355642.3037711792</v>
      </c>
      <c r="J368">
        <v>4</v>
      </c>
      <c r="K368" t="b">
        <v>1</v>
      </c>
    </row>
    <row r="369" spans="1:11" ht="16" x14ac:dyDescent="0.2">
      <c r="A369" s="16">
        <v>44796</v>
      </c>
      <c r="B369" t="s">
        <v>18</v>
      </c>
      <c r="C369" t="s">
        <v>19</v>
      </c>
      <c r="D369" t="s">
        <v>20</v>
      </c>
      <c r="E369" t="s">
        <v>7638</v>
      </c>
      <c r="F369">
        <v>1</v>
      </c>
      <c r="G369" s="15">
        <v>2710000</v>
      </c>
      <c r="H369" s="14">
        <v>0.13075929750140999</v>
      </c>
      <c r="I369" s="27">
        <f t="shared" si="5"/>
        <v>2355642.3037711792</v>
      </c>
      <c r="J369">
        <v>4</v>
      </c>
      <c r="K369" t="b">
        <v>1</v>
      </c>
    </row>
    <row r="370" spans="1:11" ht="16" x14ac:dyDescent="0.2">
      <c r="A370" s="16">
        <v>44796</v>
      </c>
      <c r="B370" t="s">
        <v>29</v>
      </c>
      <c r="C370" t="s">
        <v>45</v>
      </c>
      <c r="D370" t="s">
        <v>35</v>
      </c>
      <c r="E370" t="s">
        <v>7643</v>
      </c>
      <c r="F370">
        <v>1</v>
      </c>
      <c r="G370" s="15">
        <v>2710000</v>
      </c>
      <c r="H370" s="14">
        <v>0.13075929750140999</v>
      </c>
      <c r="I370" s="27">
        <f t="shared" si="5"/>
        <v>2355642.3037711792</v>
      </c>
      <c r="J370">
        <v>4.4000000000000004</v>
      </c>
      <c r="K370" t="b">
        <v>1</v>
      </c>
    </row>
    <row r="371" spans="1:11" ht="16" x14ac:dyDescent="0.2">
      <c r="A371" s="16">
        <v>44796</v>
      </c>
      <c r="B371" t="s">
        <v>33</v>
      </c>
      <c r="C371" t="s">
        <v>19</v>
      </c>
      <c r="D371" t="s">
        <v>20</v>
      </c>
      <c r="E371" t="s">
        <v>7637</v>
      </c>
      <c r="F371">
        <v>3</v>
      </c>
      <c r="G371" s="15">
        <v>2710000</v>
      </c>
      <c r="H371" s="14">
        <v>0.13075929750140999</v>
      </c>
      <c r="I371" s="27">
        <f t="shared" si="5"/>
        <v>2355642.3037711792</v>
      </c>
      <c r="J371">
        <v>3.9</v>
      </c>
      <c r="K371" t="b">
        <v>1</v>
      </c>
    </row>
    <row r="372" spans="1:11" ht="16" x14ac:dyDescent="0.2">
      <c r="A372" s="16">
        <v>44797</v>
      </c>
      <c r="B372" t="s">
        <v>29</v>
      </c>
      <c r="C372" t="s">
        <v>19</v>
      </c>
      <c r="D372" t="str">
        <f>D371</f>
        <v>Website</v>
      </c>
      <c r="E372" t="s">
        <v>7638</v>
      </c>
      <c r="F372">
        <v>2</v>
      </c>
      <c r="G372" s="15">
        <v>2710000</v>
      </c>
      <c r="H372" s="14">
        <v>0.13075929750140999</v>
      </c>
      <c r="I372" s="27">
        <f t="shared" si="5"/>
        <v>2355642.3037711792</v>
      </c>
      <c r="J372">
        <v>4.0999999999999996</v>
      </c>
      <c r="K372" t="b">
        <v>1</v>
      </c>
    </row>
    <row r="373" spans="1:11" ht="16" x14ac:dyDescent="0.2">
      <c r="A373" s="16">
        <v>44798</v>
      </c>
      <c r="B373" t="s">
        <v>18</v>
      </c>
      <c r="C373" t="s">
        <v>34</v>
      </c>
      <c r="D373" t="s">
        <v>50</v>
      </c>
      <c r="E373" t="s">
        <v>7640</v>
      </c>
      <c r="F373">
        <v>1</v>
      </c>
      <c r="G373" s="15">
        <v>2710000</v>
      </c>
      <c r="H373" s="14">
        <v>0.13075929750140999</v>
      </c>
      <c r="I373" s="27">
        <f t="shared" si="5"/>
        <v>2355642.3037711792</v>
      </c>
      <c r="J373">
        <v>3.9</v>
      </c>
      <c r="K373" t="b">
        <v>1</v>
      </c>
    </row>
    <row r="374" spans="1:11" ht="16" x14ac:dyDescent="0.2">
      <c r="A374" s="16">
        <v>44800</v>
      </c>
      <c r="B374" t="s">
        <v>45</v>
      </c>
      <c r="C374" t="s">
        <v>34</v>
      </c>
      <c r="D374" t="s">
        <v>20</v>
      </c>
      <c r="E374" t="s">
        <v>7644</v>
      </c>
      <c r="F374">
        <v>2</v>
      </c>
      <c r="G374" s="15">
        <v>2710000</v>
      </c>
      <c r="H374" s="14">
        <v>0.13075929750140999</v>
      </c>
      <c r="I374" s="27">
        <f t="shared" si="5"/>
        <v>2355642.3037711792</v>
      </c>
      <c r="J374">
        <v>4.3</v>
      </c>
      <c r="K374" t="b">
        <v>0</v>
      </c>
    </row>
    <row r="375" spans="1:11" ht="16" x14ac:dyDescent="0.2">
      <c r="A375" s="16">
        <v>44802</v>
      </c>
      <c r="B375" t="s">
        <v>45</v>
      </c>
      <c r="C375" t="s">
        <v>39</v>
      </c>
      <c r="D375" t="str">
        <f>D374</f>
        <v>Website</v>
      </c>
      <c r="E375" t="s">
        <v>7640</v>
      </c>
      <c r="F375">
        <v>1</v>
      </c>
      <c r="G375" s="15">
        <v>2710000</v>
      </c>
      <c r="H375" s="14">
        <v>0.13075929750140999</v>
      </c>
      <c r="I375" s="27">
        <f t="shared" si="5"/>
        <v>2355642.3037711792</v>
      </c>
      <c r="J375">
        <v>4</v>
      </c>
      <c r="K375" t="b">
        <v>1</v>
      </c>
    </row>
    <row r="376" spans="1:11" ht="16" x14ac:dyDescent="0.2">
      <c r="A376" s="16">
        <v>44802</v>
      </c>
      <c r="B376" t="s">
        <v>45</v>
      </c>
      <c r="C376" t="s">
        <v>25</v>
      </c>
      <c r="D376" t="s">
        <v>50</v>
      </c>
      <c r="E376" t="str">
        <f>E375</f>
        <v>Hội An</v>
      </c>
      <c r="F376">
        <v>3</v>
      </c>
      <c r="G376" s="15">
        <v>2710000</v>
      </c>
      <c r="H376" s="14">
        <v>0.13075929750140999</v>
      </c>
      <c r="I376" s="27">
        <f t="shared" si="5"/>
        <v>2355642.3037711792</v>
      </c>
      <c r="J376">
        <v>4.4000000000000004</v>
      </c>
      <c r="K376" t="b">
        <v>0</v>
      </c>
    </row>
    <row r="377" spans="1:11" ht="16" x14ac:dyDescent="0.2">
      <c r="A377" s="16">
        <v>44802</v>
      </c>
      <c r="B377" t="s">
        <v>45</v>
      </c>
      <c r="C377" t="s">
        <v>34</v>
      </c>
      <c r="D377" t="s">
        <v>20</v>
      </c>
      <c r="E377" t="s">
        <v>7641</v>
      </c>
      <c r="F377">
        <v>1</v>
      </c>
      <c r="G377" s="15">
        <v>2710000</v>
      </c>
      <c r="H377" s="14">
        <v>0.13075929750140999</v>
      </c>
      <c r="I377" s="27">
        <f t="shared" si="5"/>
        <v>2355642.3037711792</v>
      </c>
      <c r="J377">
        <v>4.0999999999999996</v>
      </c>
      <c r="K377" t="b">
        <v>1</v>
      </c>
    </row>
    <row r="378" spans="1:11" ht="16" x14ac:dyDescent="0.2">
      <c r="A378" s="16">
        <v>44802</v>
      </c>
      <c r="B378" t="s">
        <v>18</v>
      </c>
      <c r="C378" t="s">
        <v>34</v>
      </c>
      <c r="D378" t="s">
        <v>20</v>
      </c>
      <c r="E378" t="s">
        <v>7639</v>
      </c>
      <c r="F378">
        <v>1</v>
      </c>
      <c r="G378" s="15">
        <v>2710000</v>
      </c>
      <c r="H378" s="14">
        <v>0.13075929750140999</v>
      </c>
      <c r="I378" s="27">
        <f t="shared" si="5"/>
        <v>2355642.3037711792</v>
      </c>
      <c r="J378">
        <v>4.3</v>
      </c>
      <c r="K378" t="b">
        <v>1</v>
      </c>
    </row>
    <row r="379" spans="1:11" ht="16" x14ac:dyDescent="0.2">
      <c r="A379" s="16">
        <v>44803</v>
      </c>
      <c r="B379" t="s">
        <v>45</v>
      </c>
      <c r="C379" t="s">
        <v>34</v>
      </c>
      <c r="D379" t="s">
        <v>50</v>
      </c>
      <c r="E379" t="s">
        <v>7644</v>
      </c>
      <c r="F379">
        <v>4</v>
      </c>
      <c r="G379" s="15">
        <v>2710000</v>
      </c>
      <c r="H379" s="14">
        <v>0.13075929750140999</v>
      </c>
      <c r="I379" s="27">
        <f t="shared" si="5"/>
        <v>2355642.3037711792</v>
      </c>
      <c r="J379">
        <v>3</v>
      </c>
      <c r="K379" t="b">
        <v>1</v>
      </c>
    </row>
    <row r="380" spans="1:11" ht="16" x14ac:dyDescent="0.2">
      <c r="A380" s="16">
        <v>44804</v>
      </c>
      <c r="B380" t="s">
        <v>45</v>
      </c>
      <c r="C380" t="s">
        <v>19</v>
      </c>
      <c r="D380" t="s">
        <v>35</v>
      </c>
      <c r="E380" t="s">
        <v>57</v>
      </c>
      <c r="F380">
        <v>3</v>
      </c>
      <c r="G380" s="15">
        <v>2710000</v>
      </c>
      <c r="H380" s="14">
        <v>0.13075929750140999</v>
      </c>
      <c r="I380" s="27">
        <f t="shared" si="5"/>
        <v>2355642.3037711792</v>
      </c>
      <c r="J380">
        <v>4.0999999999999996</v>
      </c>
      <c r="K380" t="b">
        <v>0</v>
      </c>
    </row>
    <row r="381" spans="1:11" ht="16" x14ac:dyDescent="0.2">
      <c r="A381" s="16">
        <v>44804</v>
      </c>
      <c r="B381" t="s">
        <v>45</v>
      </c>
      <c r="C381" t="s">
        <v>25</v>
      </c>
      <c r="D381" t="s">
        <v>20</v>
      </c>
      <c r="E381" t="s">
        <v>7638</v>
      </c>
      <c r="F381">
        <v>1</v>
      </c>
      <c r="G381" s="15">
        <v>2710000</v>
      </c>
      <c r="H381" s="14">
        <v>0.13075929750140999</v>
      </c>
      <c r="I381" s="27">
        <f t="shared" si="5"/>
        <v>2355642.3037711792</v>
      </c>
      <c r="J381">
        <v>5</v>
      </c>
      <c r="K381" t="b">
        <v>1</v>
      </c>
    </row>
    <row r="382" spans="1:11" ht="16" x14ac:dyDescent="0.2">
      <c r="A382" s="16">
        <v>44805</v>
      </c>
      <c r="B382" t="s">
        <v>33</v>
      </c>
      <c r="C382" t="s">
        <v>45</v>
      </c>
      <c r="D382" t="s">
        <v>50</v>
      </c>
      <c r="E382" t="str">
        <f>E381</f>
        <v>Đà Lạt</v>
      </c>
      <c r="F382">
        <v>2</v>
      </c>
      <c r="G382" s="15">
        <v>2710000</v>
      </c>
      <c r="H382" s="14">
        <v>0.13075929750140999</v>
      </c>
      <c r="I382" s="27">
        <f t="shared" si="5"/>
        <v>2355642.3037711792</v>
      </c>
      <c r="J382">
        <v>3.8</v>
      </c>
      <c r="K382" t="b">
        <v>1</v>
      </c>
    </row>
    <row r="383" spans="1:11" ht="16" x14ac:dyDescent="0.2">
      <c r="A383" s="16">
        <v>44805</v>
      </c>
      <c r="B383" t="s">
        <v>45</v>
      </c>
      <c r="C383" t="s">
        <v>25</v>
      </c>
      <c r="D383" t="s">
        <v>50</v>
      </c>
      <c r="E383" t="s">
        <v>7640</v>
      </c>
      <c r="F383">
        <v>2</v>
      </c>
      <c r="G383" s="15">
        <v>2710000</v>
      </c>
      <c r="H383" s="14">
        <v>0.13075929750140999</v>
      </c>
      <c r="I383" s="27">
        <f t="shared" si="5"/>
        <v>2355642.3037711792</v>
      </c>
      <c r="J383">
        <v>4.4000000000000004</v>
      </c>
      <c r="K383" t="b">
        <v>1</v>
      </c>
    </row>
    <row r="384" spans="1:11" ht="16" x14ac:dyDescent="0.2">
      <c r="A384" s="16">
        <v>44805</v>
      </c>
      <c r="B384" t="s">
        <v>45</v>
      </c>
      <c r="C384" t="s">
        <v>34</v>
      </c>
      <c r="D384" t="s">
        <v>35</v>
      </c>
      <c r="E384" t="s">
        <v>7639</v>
      </c>
      <c r="F384">
        <v>3</v>
      </c>
      <c r="G384" s="15">
        <v>2710000</v>
      </c>
      <c r="H384" s="14">
        <v>0.13075929750140999</v>
      </c>
      <c r="I384" s="27">
        <f t="shared" si="5"/>
        <v>2355642.3037711792</v>
      </c>
      <c r="J384">
        <v>4.5</v>
      </c>
      <c r="K384" t="b">
        <v>0</v>
      </c>
    </row>
    <row r="385" spans="1:11" ht="16" x14ac:dyDescent="0.2">
      <c r="A385" s="16">
        <v>44805</v>
      </c>
      <c r="B385" t="s">
        <v>33</v>
      </c>
      <c r="C385" t="s">
        <v>39</v>
      </c>
      <c r="D385" t="s">
        <v>50</v>
      </c>
      <c r="E385" t="s">
        <v>7642</v>
      </c>
      <c r="F385">
        <v>2</v>
      </c>
      <c r="G385" s="15">
        <v>2710000</v>
      </c>
      <c r="H385" s="14">
        <v>0.13075929750140999</v>
      </c>
      <c r="I385" s="27">
        <f t="shared" si="5"/>
        <v>2355642.3037711792</v>
      </c>
      <c r="J385">
        <v>4.2</v>
      </c>
      <c r="K385" t="b">
        <v>0</v>
      </c>
    </row>
    <row r="386" spans="1:11" ht="16" x14ac:dyDescent="0.2">
      <c r="A386" s="16">
        <v>44807</v>
      </c>
      <c r="B386" t="s">
        <v>45</v>
      </c>
      <c r="C386" t="s">
        <v>68</v>
      </c>
      <c r="D386" t="s">
        <v>20</v>
      </c>
      <c r="E386" t="s">
        <v>99</v>
      </c>
      <c r="F386">
        <v>1</v>
      </c>
      <c r="G386" s="15">
        <v>2710000</v>
      </c>
      <c r="H386" s="14">
        <v>0.13075929750140999</v>
      </c>
      <c r="I386" s="27">
        <f t="shared" si="5"/>
        <v>2355642.3037711792</v>
      </c>
      <c r="J386">
        <v>4.5999999999999996</v>
      </c>
      <c r="K386" t="b">
        <v>1</v>
      </c>
    </row>
    <row r="387" spans="1:11" ht="16" x14ac:dyDescent="0.2">
      <c r="A387" s="16">
        <v>44807</v>
      </c>
      <c r="B387" t="s">
        <v>29</v>
      </c>
      <c r="C387" t="s">
        <v>45</v>
      </c>
      <c r="D387" t="s">
        <v>35</v>
      </c>
      <c r="E387" t="s">
        <v>7644</v>
      </c>
      <c r="F387">
        <v>1</v>
      </c>
      <c r="G387" s="15">
        <v>2710000</v>
      </c>
      <c r="H387" s="14">
        <v>0.13075929750140999</v>
      </c>
      <c r="I387" s="27">
        <f t="shared" ref="I387:I450" si="6">G387-G387*H387</f>
        <v>2355642.3037711792</v>
      </c>
      <c r="J387">
        <v>4.0999999999999996</v>
      </c>
      <c r="K387" t="b">
        <v>1</v>
      </c>
    </row>
    <row r="388" spans="1:11" ht="16" x14ac:dyDescent="0.2">
      <c r="A388" s="16">
        <v>44808</v>
      </c>
      <c r="B388" t="s">
        <v>45</v>
      </c>
      <c r="C388" t="s">
        <v>68</v>
      </c>
      <c r="D388" t="s">
        <v>50</v>
      </c>
      <c r="E388" t="s">
        <v>7642</v>
      </c>
      <c r="F388">
        <v>4</v>
      </c>
      <c r="G388" s="15">
        <v>2710000</v>
      </c>
      <c r="H388" s="14">
        <v>0.13075929750140999</v>
      </c>
      <c r="I388" s="27">
        <f t="shared" si="6"/>
        <v>2355642.3037711792</v>
      </c>
      <c r="J388">
        <v>4.3</v>
      </c>
      <c r="K388" t="b">
        <v>1</v>
      </c>
    </row>
    <row r="389" spans="1:11" ht="16" x14ac:dyDescent="0.2">
      <c r="A389" s="16">
        <v>44808</v>
      </c>
      <c r="B389" t="str">
        <f>B388</f>
        <v>Family</v>
      </c>
      <c r="C389" t="s">
        <v>34</v>
      </c>
      <c r="D389" t="s">
        <v>50</v>
      </c>
      <c r="E389" t="s">
        <v>7641</v>
      </c>
      <c r="F389">
        <v>1</v>
      </c>
      <c r="G389" s="15">
        <v>2710000</v>
      </c>
      <c r="H389" s="14">
        <v>0.13075929750140999</v>
      </c>
      <c r="I389" s="27">
        <f t="shared" si="6"/>
        <v>2355642.3037711792</v>
      </c>
      <c r="J389">
        <v>4.5999999999999996</v>
      </c>
      <c r="K389" t="b">
        <v>0</v>
      </c>
    </row>
    <row r="390" spans="1:11" ht="16" x14ac:dyDescent="0.2">
      <c r="A390" s="16">
        <v>44809</v>
      </c>
      <c r="B390" t="s">
        <v>18</v>
      </c>
      <c r="C390" t="s">
        <v>34</v>
      </c>
      <c r="D390" t="s">
        <v>20</v>
      </c>
      <c r="E390" t="s">
        <v>7637</v>
      </c>
      <c r="F390">
        <v>5</v>
      </c>
      <c r="G390" s="15">
        <v>2710000</v>
      </c>
      <c r="H390" s="14">
        <v>0.13075929750140999</v>
      </c>
      <c r="I390" s="27">
        <f t="shared" si="6"/>
        <v>2355642.3037711792</v>
      </c>
      <c r="J390">
        <v>4</v>
      </c>
      <c r="K390" t="b">
        <v>1</v>
      </c>
    </row>
    <row r="391" spans="1:11" ht="16" x14ac:dyDescent="0.2">
      <c r="A391" s="16">
        <v>44809</v>
      </c>
      <c r="B391" t="str">
        <f>B390</f>
        <v>Young Professional</v>
      </c>
      <c r="C391" t="s">
        <v>19</v>
      </c>
      <c r="D391" t="s">
        <v>35</v>
      </c>
      <c r="E391" t="s">
        <v>7640</v>
      </c>
      <c r="F391">
        <v>2</v>
      </c>
      <c r="G391" s="15">
        <v>2710000</v>
      </c>
      <c r="H391" s="14">
        <v>0.13075929750140999</v>
      </c>
      <c r="I391" s="27">
        <f t="shared" si="6"/>
        <v>2355642.3037711792</v>
      </c>
      <c r="J391">
        <v>5</v>
      </c>
      <c r="K391" t="b">
        <v>0</v>
      </c>
    </row>
    <row r="392" spans="1:11" ht="16" x14ac:dyDescent="0.2">
      <c r="A392" s="16">
        <v>44809</v>
      </c>
      <c r="B392" t="s">
        <v>33</v>
      </c>
      <c r="C392" t="s">
        <v>34</v>
      </c>
      <c r="D392" t="s">
        <v>20</v>
      </c>
      <c r="E392" t="s">
        <v>99</v>
      </c>
      <c r="F392">
        <v>1</v>
      </c>
      <c r="G392" s="15">
        <v>2710000</v>
      </c>
      <c r="H392" s="14">
        <v>0.13075929750140999</v>
      </c>
      <c r="I392" s="27">
        <f t="shared" si="6"/>
        <v>2355642.3037711792</v>
      </c>
      <c r="J392">
        <v>4.4000000000000004</v>
      </c>
      <c r="K392" t="b">
        <v>1</v>
      </c>
    </row>
    <row r="393" spans="1:11" ht="16" x14ac:dyDescent="0.2">
      <c r="A393" s="16">
        <v>44809</v>
      </c>
      <c r="B393" t="str">
        <f>B392</f>
        <v>Student</v>
      </c>
      <c r="C393" t="s">
        <v>19</v>
      </c>
      <c r="D393" t="s">
        <v>35</v>
      </c>
      <c r="E393" t="s">
        <v>7643</v>
      </c>
      <c r="F393">
        <v>1</v>
      </c>
      <c r="G393" s="15">
        <v>2710000</v>
      </c>
      <c r="H393" s="14">
        <v>0.13075929750140999</v>
      </c>
      <c r="I393" s="27">
        <f t="shared" si="6"/>
        <v>2355642.3037711792</v>
      </c>
      <c r="J393">
        <v>4.5</v>
      </c>
      <c r="K393" t="b">
        <v>1</v>
      </c>
    </row>
    <row r="394" spans="1:11" ht="16" x14ac:dyDescent="0.2">
      <c r="A394" s="16">
        <v>44810</v>
      </c>
      <c r="B394" t="s">
        <v>18</v>
      </c>
      <c r="C394" t="s">
        <v>19</v>
      </c>
      <c r="D394" t="s">
        <v>35</v>
      </c>
      <c r="E394" t="s">
        <v>7642</v>
      </c>
      <c r="F394">
        <v>1</v>
      </c>
      <c r="G394" s="15">
        <v>2710000</v>
      </c>
      <c r="H394" s="14">
        <v>0.13075929750140999</v>
      </c>
      <c r="I394" s="27">
        <f t="shared" si="6"/>
        <v>2355642.3037711792</v>
      </c>
      <c r="J394">
        <v>4.5</v>
      </c>
      <c r="K394" t="b">
        <v>0</v>
      </c>
    </row>
    <row r="395" spans="1:11" ht="16" x14ac:dyDescent="0.2">
      <c r="A395" s="16">
        <v>44811</v>
      </c>
      <c r="B395" t="s">
        <v>45</v>
      </c>
      <c r="C395" t="s">
        <v>45</v>
      </c>
      <c r="D395" t="s">
        <v>35</v>
      </c>
      <c r="E395" t="s">
        <v>7639</v>
      </c>
      <c r="F395">
        <v>2</v>
      </c>
      <c r="G395" s="15">
        <v>2710000</v>
      </c>
      <c r="H395" s="14">
        <v>0.13075929750140999</v>
      </c>
      <c r="I395" s="27">
        <f t="shared" si="6"/>
        <v>2355642.3037711792</v>
      </c>
      <c r="J395">
        <v>4.4000000000000004</v>
      </c>
      <c r="K395" t="b">
        <v>1</v>
      </c>
    </row>
    <row r="396" spans="1:11" ht="16" x14ac:dyDescent="0.2">
      <c r="A396" s="16">
        <v>44812</v>
      </c>
      <c r="B396" t="str">
        <f>B395</f>
        <v>Family</v>
      </c>
      <c r="C396" t="s">
        <v>25</v>
      </c>
      <c r="D396" t="s">
        <v>35</v>
      </c>
      <c r="E396" t="s">
        <v>7644</v>
      </c>
      <c r="F396">
        <v>3</v>
      </c>
      <c r="G396" s="15">
        <v>2710000</v>
      </c>
      <c r="H396" s="14">
        <v>0.13075929750140999</v>
      </c>
      <c r="I396" s="27">
        <f t="shared" si="6"/>
        <v>2355642.3037711792</v>
      </c>
      <c r="J396">
        <v>4.5</v>
      </c>
      <c r="K396" t="b">
        <v>0</v>
      </c>
    </row>
    <row r="397" spans="1:11" ht="16" x14ac:dyDescent="0.2">
      <c r="A397" s="16">
        <v>44813</v>
      </c>
      <c r="B397" t="str">
        <f>B396</f>
        <v>Family</v>
      </c>
      <c r="C397" t="s">
        <v>34</v>
      </c>
      <c r="D397" t="s">
        <v>50</v>
      </c>
      <c r="E397" t="s">
        <v>99</v>
      </c>
      <c r="F397">
        <v>4</v>
      </c>
      <c r="G397" s="15">
        <v>2710000</v>
      </c>
      <c r="H397" s="14">
        <v>0.13075929750140999</v>
      </c>
      <c r="I397" s="27">
        <f t="shared" si="6"/>
        <v>2355642.3037711792</v>
      </c>
      <c r="J397">
        <v>3.4</v>
      </c>
      <c r="K397" t="b">
        <v>1</v>
      </c>
    </row>
    <row r="398" spans="1:11" ht="16" x14ac:dyDescent="0.2">
      <c r="A398" s="16">
        <v>44813</v>
      </c>
      <c r="B398" t="s">
        <v>18</v>
      </c>
      <c r="C398" t="s">
        <v>39</v>
      </c>
      <c r="D398" t="s">
        <v>20</v>
      </c>
      <c r="E398" t="s">
        <v>7641</v>
      </c>
      <c r="F398">
        <v>1</v>
      </c>
      <c r="G398" s="15">
        <v>2710000</v>
      </c>
      <c r="H398" s="14">
        <v>0.13075929750140999</v>
      </c>
      <c r="I398" s="27">
        <f t="shared" si="6"/>
        <v>2355642.3037711792</v>
      </c>
      <c r="J398">
        <v>3.8</v>
      </c>
      <c r="K398" t="b">
        <v>1</v>
      </c>
    </row>
    <row r="399" spans="1:11" ht="16" x14ac:dyDescent="0.2">
      <c r="A399" s="16">
        <v>44813</v>
      </c>
      <c r="B399" t="s">
        <v>45</v>
      </c>
      <c r="C399" t="s">
        <v>34</v>
      </c>
      <c r="D399" t="s">
        <v>50</v>
      </c>
      <c r="E399" t="s">
        <v>7638</v>
      </c>
      <c r="F399">
        <v>2</v>
      </c>
      <c r="G399" s="15">
        <v>2710000</v>
      </c>
      <c r="H399" s="14">
        <v>0.13075929750140999</v>
      </c>
      <c r="I399" s="27">
        <f t="shared" si="6"/>
        <v>2355642.3037711792</v>
      </c>
      <c r="J399">
        <v>4.3</v>
      </c>
      <c r="K399" t="b">
        <v>0</v>
      </c>
    </row>
    <row r="400" spans="1:11" ht="16" x14ac:dyDescent="0.2">
      <c r="A400" s="16">
        <v>44813</v>
      </c>
      <c r="B400" t="s">
        <v>29</v>
      </c>
      <c r="C400" t="s">
        <v>39</v>
      </c>
      <c r="D400" t="s">
        <v>46</v>
      </c>
      <c r="E400" t="s">
        <v>99</v>
      </c>
      <c r="F400">
        <v>5</v>
      </c>
      <c r="G400" s="15">
        <v>2710000</v>
      </c>
      <c r="H400" s="14">
        <v>0.13075929750140999</v>
      </c>
      <c r="I400" s="27">
        <f t="shared" si="6"/>
        <v>2355642.3037711792</v>
      </c>
      <c r="J400">
        <v>4.2</v>
      </c>
      <c r="K400" t="b">
        <v>1</v>
      </c>
    </row>
    <row r="401" spans="1:11" ht="16" x14ac:dyDescent="0.2">
      <c r="A401" s="16">
        <v>44813</v>
      </c>
      <c r="B401" t="s">
        <v>18</v>
      </c>
      <c r="C401" t="s">
        <v>34</v>
      </c>
      <c r="D401" t="s">
        <v>35</v>
      </c>
      <c r="E401" t="s">
        <v>7642</v>
      </c>
      <c r="F401">
        <v>1</v>
      </c>
      <c r="G401" s="15">
        <v>2710000</v>
      </c>
      <c r="H401" s="14">
        <v>0.13075929750140999</v>
      </c>
      <c r="I401" s="27">
        <f t="shared" si="6"/>
        <v>2355642.3037711792</v>
      </c>
      <c r="J401">
        <v>5</v>
      </c>
      <c r="K401" t="b">
        <v>1</v>
      </c>
    </row>
    <row r="402" spans="1:11" ht="16" x14ac:dyDescent="0.2">
      <c r="A402" s="16">
        <v>44814</v>
      </c>
      <c r="B402" t="s">
        <v>45</v>
      </c>
      <c r="C402" t="s">
        <v>45</v>
      </c>
      <c r="D402" t="s">
        <v>20</v>
      </c>
      <c r="E402" t="s">
        <v>7643</v>
      </c>
      <c r="F402">
        <v>1</v>
      </c>
      <c r="G402" s="15">
        <v>2710000</v>
      </c>
      <c r="H402" s="14">
        <v>0.13075929750140999</v>
      </c>
      <c r="I402" s="27">
        <f t="shared" si="6"/>
        <v>2355642.3037711792</v>
      </c>
      <c r="J402">
        <v>4.5</v>
      </c>
      <c r="K402" t="b">
        <v>0</v>
      </c>
    </row>
    <row r="403" spans="1:11" ht="16" x14ac:dyDescent="0.2">
      <c r="A403" s="16">
        <v>44814</v>
      </c>
      <c r="B403" t="s">
        <v>29</v>
      </c>
      <c r="C403" t="s">
        <v>45</v>
      </c>
      <c r="D403" t="s">
        <v>35</v>
      </c>
      <c r="E403" t="str">
        <f>E402</f>
        <v>TP. HCM</v>
      </c>
      <c r="F403">
        <v>4</v>
      </c>
      <c r="G403" s="15">
        <v>2710000</v>
      </c>
      <c r="H403" s="14">
        <v>0.13075929750140999</v>
      </c>
      <c r="I403" s="27">
        <f t="shared" si="6"/>
        <v>2355642.3037711792</v>
      </c>
      <c r="J403">
        <v>3.6</v>
      </c>
      <c r="K403" t="b">
        <v>0</v>
      </c>
    </row>
    <row r="404" spans="1:11" ht="16" x14ac:dyDescent="0.2">
      <c r="A404" s="16">
        <v>44814</v>
      </c>
      <c r="B404" t="s">
        <v>18</v>
      </c>
      <c r="C404" t="s">
        <v>34</v>
      </c>
      <c r="D404" t="s">
        <v>20</v>
      </c>
      <c r="E404" t="s">
        <v>7643</v>
      </c>
      <c r="F404">
        <v>2</v>
      </c>
      <c r="G404" s="15">
        <v>2710000</v>
      </c>
      <c r="H404" s="14">
        <v>0.13075929750140999</v>
      </c>
      <c r="I404" s="27">
        <f t="shared" si="6"/>
        <v>2355642.3037711792</v>
      </c>
      <c r="J404">
        <v>4</v>
      </c>
      <c r="K404" t="b">
        <v>0</v>
      </c>
    </row>
    <row r="405" spans="1:11" ht="16" x14ac:dyDescent="0.2">
      <c r="A405" s="16">
        <v>44814</v>
      </c>
      <c r="B405" t="s">
        <v>29</v>
      </c>
      <c r="C405" t="s">
        <v>45</v>
      </c>
      <c r="D405" t="s">
        <v>20</v>
      </c>
      <c r="E405" t="s">
        <v>7641</v>
      </c>
      <c r="F405">
        <v>1</v>
      </c>
      <c r="G405" s="15">
        <v>2710000</v>
      </c>
      <c r="H405" s="14">
        <v>0.13075929750140999</v>
      </c>
      <c r="I405" s="27">
        <f t="shared" si="6"/>
        <v>2355642.3037711792</v>
      </c>
      <c r="J405">
        <v>5</v>
      </c>
      <c r="K405" t="b">
        <v>0</v>
      </c>
    </row>
    <row r="406" spans="1:11" ht="16" x14ac:dyDescent="0.2">
      <c r="A406" s="16">
        <v>44814</v>
      </c>
      <c r="B406" t="s">
        <v>45</v>
      </c>
      <c r="C406" t="s">
        <v>34</v>
      </c>
      <c r="D406" t="s">
        <v>50</v>
      </c>
      <c r="E406" t="s">
        <v>7640</v>
      </c>
      <c r="F406">
        <v>1</v>
      </c>
      <c r="G406" s="15">
        <v>2710000</v>
      </c>
      <c r="H406" s="14">
        <v>0.13075929750140999</v>
      </c>
      <c r="I406" s="27">
        <f t="shared" si="6"/>
        <v>2355642.3037711792</v>
      </c>
      <c r="J406">
        <v>3.9</v>
      </c>
      <c r="K406" t="b">
        <v>1</v>
      </c>
    </row>
    <row r="407" spans="1:11" ht="16" x14ac:dyDescent="0.2">
      <c r="A407" s="16">
        <v>44814</v>
      </c>
      <c r="B407" t="s">
        <v>18</v>
      </c>
      <c r="C407" t="s">
        <v>45</v>
      </c>
      <c r="D407" t="s">
        <v>50</v>
      </c>
      <c r="E407" t="s">
        <v>7641</v>
      </c>
      <c r="F407">
        <v>1</v>
      </c>
      <c r="G407" s="15">
        <v>2710000</v>
      </c>
      <c r="H407" s="14">
        <v>0.13075929750140999</v>
      </c>
      <c r="I407" s="27">
        <f t="shared" si="6"/>
        <v>2355642.3037711792</v>
      </c>
      <c r="J407">
        <v>5</v>
      </c>
      <c r="K407" t="b">
        <v>1</v>
      </c>
    </row>
    <row r="408" spans="1:11" ht="16" x14ac:dyDescent="0.2">
      <c r="A408" s="16">
        <v>44815</v>
      </c>
      <c r="B408" t="s">
        <v>33</v>
      </c>
      <c r="C408" t="s">
        <v>19</v>
      </c>
      <c r="D408" t="s">
        <v>50</v>
      </c>
      <c r="E408" t="str">
        <f>E407</f>
        <v>Phú Quốc</v>
      </c>
      <c r="F408">
        <v>2</v>
      </c>
      <c r="G408" s="15">
        <v>2710000</v>
      </c>
      <c r="H408" s="14">
        <v>0.13075929750140999</v>
      </c>
      <c r="I408" s="27">
        <f t="shared" si="6"/>
        <v>2355642.3037711792</v>
      </c>
      <c r="J408">
        <v>4.0999999999999996</v>
      </c>
      <c r="K408" t="b">
        <v>1</v>
      </c>
    </row>
    <row r="409" spans="1:11" ht="16" x14ac:dyDescent="0.2">
      <c r="A409" s="16">
        <v>44815</v>
      </c>
      <c r="B409" t="s">
        <v>18</v>
      </c>
      <c r="C409" t="s">
        <v>45</v>
      </c>
      <c r="D409" t="s">
        <v>20</v>
      </c>
      <c r="E409" t="s">
        <v>7642</v>
      </c>
      <c r="F409">
        <v>1</v>
      </c>
      <c r="G409" s="15">
        <v>2710000</v>
      </c>
      <c r="H409" s="14">
        <v>0.13075929750140999</v>
      </c>
      <c r="I409" s="27">
        <f t="shared" si="6"/>
        <v>2355642.3037711792</v>
      </c>
      <c r="J409">
        <v>4.5999999999999996</v>
      </c>
      <c r="K409" t="b">
        <v>1</v>
      </c>
    </row>
    <row r="410" spans="1:11" ht="16" x14ac:dyDescent="0.2">
      <c r="A410" s="16">
        <v>44815</v>
      </c>
      <c r="B410" t="s">
        <v>45</v>
      </c>
      <c r="C410" t="s">
        <v>34</v>
      </c>
      <c r="D410" t="s">
        <v>20</v>
      </c>
      <c r="E410" t="s">
        <v>7638</v>
      </c>
      <c r="F410">
        <v>2</v>
      </c>
      <c r="G410" s="15">
        <v>2710000</v>
      </c>
      <c r="H410" s="14">
        <v>0.13075929750140999</v>
      </c>
      <c r="I410" s="27">
        <f t="shared" si="6"/>
        <v>2355642.3037711792</v>
      </c>
      <c r="J410">
        <v>4.5</v>
      </c>
      <c r="K410" t="b">
        <v>1</v>
      </c>
    </row>
    <row r="411" spans="1:11" ht="16" x14ac:dyDescent="0.2">
      <c r="A411" s="16">
        <v>44816</v>
      </c>
      <c r="B411" t="s">
        <v>33</v>
      </c>
      <c r="C411" t="s">
        <v>19</v>
      </c>
      <c r="D411" t="s">
        <v>20</v>
      </c>
      <c r="E411" t="s">
        <v>7637</v>
      </c>
      <c r="F411">
        <v>3</v>
      </c>
      <c r="G411" s="15">
        <v>2710000</v>
      </c>
      <c r="H411" s="14">
        <v>0.13075929750140999</v>
      </c>
      <c r="I411" s="27">
        <f t="shared" si="6"/>
        <v>2355642.3037711792</v>
      </c>
      <c r="J411">
        <v>3.9</v>
      </c>
      <c r="K411" t="b">
        <v>1</v>
      </c>
    </row>
    <row r="412" spans="1:11" ht="16" x14ac:dyDescent="0.2">
      <c r="A412" s="16">
        <v>44816</v>
      </c>
      <c r="B412" t="s">
        <v>33</v>
      </c>
      <c r="C412" t="s">
        <v>34</v>
      </c>
      <c r="D412" t="s">
        <v>35</v>
      </c>
      <c r="E412" t="s">
        <v>7642</v>
      </c>
      <c r="F412">
        <v>4</v>
      </c>
      <c r="G412" s="15">
        <v>2710000</v>
      </c>
      <c r="H412" s="14">
        <v>0.13075929750140999</v>
      </c>
      <c r="I412" s="27">
        <f t="shared" si="6"/>
        <v>2355642.3037711792</v>
      </c>
      <c r="J412">
        <v>4.8</v>
      </c>
      <c r="K412" t="b">
        <v>1</v>
      </c>
    </row>
    <row r="413" spans="1:11" ht="16" x14ac:dyDescent="0.2">
      <c r="A413" s="16">
        <v>44816</v>
      </c>
      <c r="B413" t="s">
        <v>45</v>
      </c>
      <c r="C413" t="s">
        <v>45</v>
      </c>
      <c r="D413" t="s">
        <v>20</v>
      </c>
      <c r="E413" t="s">
        <v>7642</v>
      </c>
      <c r="F413">
        <v>2</v>
      </c>
      <c r="G413" s="15">
        <v>2710000</v>
      </c>
      <c r="H413" s="14">
        <v>0.13075929750140999</v>
      </c>
      <c r="I413" s="27">
        <f t="shared" si="6"/>
        <v>2355642.3037711792</v>
      </c>
      <c r="J413">
        <v>3.6</v>
      </c>
      <c r="K413" t="b">
        <v>1</v>
      </c>
    </row>
    <row r="414" spans="1:11" ht="16" x14ac:dyDescent="0.2">
      <c r="A414" s="16">
        <v>44816</v>
      </c>
      <c r="B414" t="s">
        <v>45</v>
      </c>
      <c r="C414" t="s">
        <v>19</v>
      </c>
      <c r="D414" t="s">
        <v>20</v>
      </c>
      <c r="E414" t="s">
        <v>7640</v>
      </c>
      <c r="F414">
        <v>3</v>
      </c>
      <c r="G414" s="15">
        <v>2710000</v>
      </c>
      <c r="H414" s="14">
        <v>0.13075929750140999</v>
      </c>
      <c r="I414" s="27">
        <f t="shared" si="6"/>
        <v>2355642.3037711792</v>
      </c>
      <c r="J414">
        <v>4.5</v>
      </c>
      <c r="K414" t="b">
        <v>0</v>
      </c>
    </row>
    <row r="415" spans="1:11" ht="16" x14ac:dyDescent="0.2">
      <c r="A415" s="16">
        <v>44817</v>
      </c>
      <c r="B415" t="s">
        <v>33</v>
      </c>
      <c r="C415" t="s">
        <v>45</v>
      </c>
      <c r="D415" t="s">
        <v>20</v>
      </c>
      <c r="E415" t="str">
        <f>E414</f>
        <v>Hội An</v>
      </c>
      <c r="F415">
        <v>1</v>
      </c>
      <c r="G415" s="15">
        <v>2710000</v>
      </c>
      <c r="H415" s="14">
        <v>0.13075929750140999</v>
      </c>
      <c r="I415" s="27">
        <f t="shared" si="6"/>
        <v>2355642.3037711792</v>
      </c>
      <c r="J415">
        <v>4.2</v>
      </c>
      <c r="K415" t="b">
        <v>0</v>
      </c>
    </row>
    <row r="416" spans="1:11" ht="16" x14ac:dyDescent="0.2">
      <c r="A416" s="16">
        <v>44817</v>
      </c>
      <c r="B416" t="s">
        <v>33</v>
      </c>
      <c r="C416" t="s">
        <v>19</v>
      </c>
      <c r="D416" t="s">
        <v>20</v>
      </c>
      <c r="E416" t="s">
        <v>7644</v>
      </c>
      <c r="F416">
        <v>1</v>
      </c>
      <c r="G416" s="15">
        <v>2710000</v>
      </c>
      <c r="H416" s="14">
        <v>0.13075929750140999</v>
      </c>
      <c r="I416" s="27">
        <f t="shared" si="6"/>
        <v>2355642.3037711792</v>
      </c>
      <c r="J416">
        <v>4.9000000000000004</v>
      </c>
      <c r="K416" t="b">
        <v>1</v>
      </c>
    </row>
    <row r="417" spans="1:11" ht="16" x14ac:dyDescent="0.2">
      <c r="A417" s="16">
        <v>44817</v>
      </c>
      <c r="B417" t="str">
        <f>B416</f>
        <v>Student</v>
      </c>
      <c r="C417" t="s">
        <v>19</v>
      </c>
      <c r="D417" t="s">
        <v>20</v>
      </c>
      <c r="E417" t="str">
        <f>E416</f>
        <v>Hạ Long</v>
      </c>
      <c r="F417">
        <v>1</v>
      </c>
      <c r="G417" s="15">
        <v>2710000</v>
      </c>
      <c r="H417" s="14">
        <v>0.13075929750140999</v>
      </c>
      <c r="I417" s="27">
        <f t="shared" si="6"/>
        <v>2355642.3037711792</v>
      </c>
      <c r="J417">
        <v>4.3</v>
      </c>
      <c r="K417" t="b">
        <v>0</v>
      </c>
    </row>
    <row r="418" spans="1:11" ht="16" x14ac:dyDescent="0.2">
      <c r="A418" s="16">
        <v>44817</v>
      </c>
      <c r="B418" t="s">
        <v>33</v>
      </c>
      <c r="C418" t="s">
        <v>39</v>
      </c>
      <c r="D418" t="s">
        <v>20</v>
      </c>
      <c r="E418" t="s">
        <v>7641</v>
      </c>
      <c r="F418">
        <v>2</v>
      </c>
      <c r="G418" s="15">
        <v>2710000</v>
      </c>
      <c r="H418" s="14">
        <v>0.13075929750140999</v>
      </c>
      <c r="I418" s="27">
        <f t="shared" si="6"/>
        <v>2355642.3037711792</v>
      </c>
      <c r="J418">
        <v>3.4</v>
      </c>
      <c r="K418" t="b">
        <v>1</v>
      </c>
    </row>
    <row r="419" spans="1:11" ht="16" x14ac:dyDescent="0.2">
      <c r="A419" s="16">
        <v>44818</v>
      </c>
      <c r="B419" t="s">
        <v>18</v>
      </c>
      <c r="C419" t="s">
        <v>45</v>
      </c>
      <c r="D419" t="s">
        <v>50</v>
      </c>
      <c r="E419" t="s">
        <v>7641</v>
      </c>
      <c r="F419">
        <v>2</v>
      </c>
      <c r="G419" s="15">
        <v>2710000</v>
      </c>
      <c r="H419" s="14">
        <v>0.13075929750140999</v>
      </c>
      <c r="I419" s="27">
        <f t="shared" si="6"/>
        <v>2355642.3037711792</v>
      </c>
      <c r="J419">
        <v>3.6</v>
      </c>
      <c r="K419" t="b">
        <v>0</v>
      </c>
    </row>
    <row r="420" spans="1:11" ht="16" x14ac:dyDescent="0.2">
      <c r="A420" s="16">
        <v>44818</v>
      </c>
      <c r="B420" t="s">
        <v>45</v>
      </c>
      <c r="C420" t="s">
        <v>45</v>
      </c>
      <c r="D420" t="s">
        <v>50</v>
      </c>
      <c r="E420" t="s">
        <v>57</v>
      </c>
      <c r="F420">
        <v>4</v>
      </c>
      <c r="G420" s="15">
        <v>2710000</v>
      </c>
      <c r="H420" s="14">
        <v>0.13075929750140999</v>
      </c>
      <c r="I420" s="27">
        <f t="shared" si="6"/>
        <v>2355642.3037711792</v>
      </c>
      <c r="J420">
        <v>4.8</v>
      </c>
      <c r="K420" t="b">
        <v>1</v>
      </c>
    </row>
    <row r="421" spans="1:11" ht="16" x14ac:dyDescent="0.2">
      <c r="A421" s="16">
        <v>44818</v>
      </c>
      <c r="B421" t="s">
        <v>18</v>
      </c>
      <c r="C421" t="s">
        <v>39</v>
      </c>
      <c r="D421" t="s">
        <v>20</v>
      </c>
      <c r="E421" t="s">
        <v>7637</v>
      </c>
      <c r="F421">
        <v>3</v>
      </c>
      <c r="G421" s="15">
        <v>2710000</v>
      </c>
      <c r="H421" s="14">
        <v>0.13075929750140999</v>
      </c>
      <c r="I421" s="27">
        <f t="shared" si="6"/>
        <v>2355642.3037711792</v>
      </c>
      <c r="J421">
        <v>3.5</v>
      </c>
      <c r="K421" t="b">
        <v>1</v>
      </c>
    </row>
    <row r="422" spans="1:11" ht="16" x14ac:dyDescent="0.2">
      <c r="A422" s="16">
        <v>44819</v>
      </c>
      <c r="B422" t="s">
        <v>33</v>
      </c>
      <c r="C422" t="s">
        <v>45</v>
      </c>
      <c r="D422" t="s">
        <v>50</v>
      </c>
      <c r="E422" t="s">
        <v>7637</v>
      </c>
      <c r="F422">
        <v>2</v>
      </c>
      <c r="G422" s="15">
        <v>2710000</v>
      </c>
      <c r="H422" s="14">
        <v>0.13075929750140999</v>
      </c>
      <c r="I422" s="27">
        <f t="shared" si="6"/>
        <v>2355642.3037711792</v>
      </c>
      <c r="J422">
        <v>4.4000000000000004</v>
      </c>
      <c r="K422" t="b">
        <v>1</v>
      </c>
    </row>
    <row r="423" spans="1:11" ht="16" x14ac:dyDescent="0.2">
      <c r="A423" s="16">
        <v>44819</v>
      </c>
      <c r="B423" t="str">
        <f>B422</f>
        <v>Student</v>
      </c>
      <c r="C423" t="s">
        <v>34</v>
      </c>
      <c r="D423" t="s">
        <v>50</v>
      </c>
      <c r="E423" t="s">
        <v>7638</v>
      </c>
      <c r="F423">
        <v>5</v>
      </c>
      <c r="G423" s="15">
        <v>2710000</v>
      </c>
      <c r="H423" s="14">
        <v>0.13075929750140999</v>
      </c>
      <c r="I423" s="27">
        <f t="shared" si="6"/>
        <v>2355642.3037711792</v>
      </c>
      <c r="J423">
        <v>4</v>
      </c>
      <c r="K423" t="b">
        <v>0</v>
      </c>
    </row>
    <row r="424" spans="1:11" ht="16" x14ac:dyDescent="0.2">
      <c r="A424" s="16">
        <v>44819</v>
      </c>
      <c r="B424" t="s">
        <v>33</v>
      </c>
      <c r="C424" t="s">
        <v>19</v>
      </c>
      <c r="D424" t="s">
        <v>50</v>
      </c>
      <c r="E424" t="s">
        <v>7642</v>
      </c>
      <c r="F424">
        <v>1</v>
      </c>
      <c r="G424" s="15">
        <v>2710000</v>
      </c>
      <c r="H424" s="14">
        <v>0.13075929750140999</v>
      </c>
      <c r="I424" s="27">
        <f t="shared" si="6"/>
        <v>2355642.3037711792</v>
      </c>
      <c r="J424">
        <v>4.5999999999999996</v>
      </c>
      <c r="K424" t="b">
        <v>1</v>
      </c>
    </row>
    <row r="425" spans="1:11" ht="16" x14ac:dyDescent="0.2">
      <c r="A425" s="16">
        <v>44819</v>
      </c>
      <c r="B425" t="s">
        <v>33</v>
      </c>
      <c r="C425" t="s">
        <v>34</v>
      </c>
      <c r="D425" t="s">
        <v>50</v>
      </c>
      <c r="E425" t="s">
        <v>57</v>
      </c>
      <c r="F425">
        <v>2</v>
      </c>
      <c r="G425" s="15">
        <v>2710000</v>
      </c>
      <c r="H425" s="14">
        <v>0.13075929750140999</v>
      </c>
      <c r="I425" s="27">
        <f t="shared" si="6"/>
        <v>2355642.3037711792</v>
      </c>
      <c r="J425">
        <v>3.6</v>
      </c>
      <c r="K425" t="b">
        <v>1</v>
      </c>
    </row>
    <row r="426" spans="1:11" ht="16" x14ac:dyDescent="0.2">
      <c r="A426" s="16">
        <v>44820</v>
      </c>
      <c r="B426" t="s">
        <v>45</v>
      </c>
      <c r="C426" t="s">
        <v>45</v>
      </c>
      <c r="D426" t="str">
        <f>D425</f>
        <v>Agent</v>
      </c>
      <c r="E426" t="s">
        <v>57</v>
      </c>
      <c r="F426">
        <v>2</v>
      </c>
      <c r="G426" s="15">
        <v>2710000</v>
      </c>
      <c r="H426" s="14">
        <v>0.13075929750140999</v>
      </c>
      <c r="I426" s="27">
        <f t="shared" si="6"/>
        <v>2355642.3037711792</v>
      </c>
      <c r="J426">
        <v>3.9</v>
      </c>
      <c r="K426" t="b">
        <v>1</v>
      </c>
    </row>
    <row r="427" spans="1:11" ht="16" x14ac:dyDescent="0.2">
      <c r="A427" s="16">
        <v>44820</v>
      </c>
      <c r="B427" t="s">
        <v>18</v>
      </c>
      <c r="C427" t="s">
        <v>39</v>
      </c>
      <c r="D427" t="s">
        <v>35</v>
      </c>
      <c r="E427" t="s">
        <v>57</v>
      </c>
      <c r="F427">
        <v>2</v>
      </c>
      <c r="G427" s="15">
        <v>2710000</v>
      </c>
      <c r="H427" s="14">
        <v>0.13075929750140999</v>
      </c>
      <c r="I427" s="27">
        <f t="shared" si="6"/>
        <v>2355642.3037711792</v>
      </c>
      <c r="J427">
        <v>3.4</v>
      </c>
      <c r="K427" t="b">
        <v>1</v>
      </c>
    </row>
    <row r="428" spans="1:11" ht="16" x14ac:dyDescent="0.2">
      <c r="A428" s="16">
        <v>44820</v>
      </c>
      <c r="B428" t="s">
        <v>45</v>
      </c>
      <c r="C428" t="s">
        <v>68</v>
      </c>
      <c r="D428" t="s">
        <v>20</v>
      </c>
      <c r="E428" t="s">
        <v>7643</v>
      </c>
      <c r="F428">
        <v>2</v>
      </c>
      <c r="G428" s="15">
        <v>2710000</v>
      </c>
      <c r="H428" s="14">
        <v>0.13075929750140999</v>
      </c>
      <c r="I428" s="27">
        <f t="shared" si="6"/>
        <v>2355642.3037711792</v>
      </c>
      <c r="J428">
        <v>3.7</v>
      </c>
      <c r="K428" t="b">
        <v>1</v>
      </c>
    </row>
    <row r="429" spans="1:11" ht="16" x14ac:dyDescent="0.2">
      <c r="A429" s="16">
        <v>44821</v>
      </c>
      <c r="B429" t="s">
        <v>18</v>
      </c>
      <c r="C429" t="s">
        <v>19</v>
      </c>
      <c r="D429" t="s">
        <v>35</v>
      </c>
      <c r="E429" t="s">
        <v>7637</v>
      </c>
      <c r="F429">
        <v>1</v>
      </c>
      <c r="G429" s="15">
        <v>2710000</v>
      </c>
      <c r="H429" s="14">
        <v>0.13075929750140999</v>
      </c>
      <c r="I429" s="27">
        <f t="shared" si="6"/>
        <v>2355642.3037711792</v>
      </c>
      <c r="J429">
        <v>3.8</v>
      </c>
      <c r="K429" t="b">
        <v>1</v>
      </c>
    </row>
    <row r="430" spans="1:11" ht="16" x14ac:dyDescent="0.2">
      <c r="A430" s="16">
        <v>44821</v>
      </c>
      <c r="B430" t="s">
        <v>45</v>
      </c>
      <c r="C430" t="s">
        <v>45</v>
      </c>
      <c r="D430" t="s">
        <v>50</v>
      </c>
      <c r="E430" t="str">
        <f>E429</f>
        <v>Đà Nẵng</v>
      </c>
      <c r="F430">
        <v>1</v>
      </c>
      <c r="G430" s="15">
        <v>2710000</v>
      </c>
      <c r="H430" s="14">
        <v>0.13075929750140999</v>
      </c>
      <c r="I430" s="27">
        <f t="shared" si="6"/>
        <v>2355642.3037711792</v>
      </c>
      <c r="J430">
        <v>3.5</v>
      </c>
      <c r="K430" t="b">
        <v>0</v>
      </c>
    </row>
    <row r="431" spans="1:11" ht="16" x14ac:dyDescent="0.2">
      <c r="A431" s="16">
        <v>44822</v>
      </c>
      <c r="B431" t="s">
        <v>33</v>
      </c>
      <c r="C431" t="s">
        <v>34</v>
      </c>
      <c r="D431" t="s">
        <v>20</v>
      </c>
      <c r="E431" t="s">
        <v>7640</v>
      </c>
      <c r="F431">
        <v>3</v>
      </c>
      <c r="G431" s="15">
        <v>2710000</v>
      </c>
      <c r="H431" s="14">
        <v>0.13075929750140999</v>
      </c>
      <c r="I431" s="27">
        <f t="shared" si="6"/>
        <v>2355642.3037711792</v>
      </c>
      <c r="J431">
        <v>4.4000000000000004</v>
      </c>
      <c r="K431" t="b">
        <v>0</v>
      </c>
    </row>
    <row r="432" spans="1:11" ht="16" x14ac:dyDescent="0.2">
      <c r="A432" s="16">
        <v>44822</v>
      </c>
      <c r="B432" t="s">
        <v>18</v>
      </c>
      <c r="C432" t="s">
        <v>34</v>
      </c>
      <c r="D432" t="s">
        <v>20</v>
      </c>
      <c r="E432" t="s">
        <v>7638</v>
      </c>
      <c r="F432">
        <v>1</v>
      </c>
      <c r="G432" s="15">
        <v>2710000</v>
      </c>
      <c r="H432" s="14">
        <v>0.13075929750140999</v>
      </c>
      <c r="I432" s="27">
        <f t="shared" si="6"/>
        <v>2355642.3037711792</v>
      </c>
      <c r="J432">
        <v>3.7</v>
      </c>
      <c r="K432" t="b">
        <v>1</v>
      </c>
    </row>
    <row r="433" spans="1:11" ht="16" x14ac:dyDescent="0.2">
      <c r="A433" s="16">
        <v>44823</v>
      </c>
      <c r="B433" t="s">
        <v>29</v>
      </c>
      <c r="C433" t="s">
        <v>45</v>
      </c>
      <c r="D433" t="s">
        <v>50</v>
      </c>
      <c r="E433" t="s">
        <v>7642</v>
      </c>
      <c r="F433">
        <v>4</v>
      </c>
      <c r="G433" s="15">
        <v>2710000</v>
      </c>
      <c r="H433" s="14">
        <v>0.13075929750140999</v>
      </c>
      <c r="I433" s="27">
        <f t="shared" si="6"/>
        <v>2355642.3037711792</v>
      </c>
      <c r="J433">
        <v>4.3</v>
      </c>
      <c r="K433" t="b">
        <v>1</v>
      </c>
    </row>
    <row r="434" spans="1:11" ht="16" x14ac:dyDescent="0.2">
      <c r="A434" s="16">
        <v>44823</v>
      </c>
      <c r="B434" t="s">
        <v>29</v>
      </c>
      <c r="C434" t="s">
        <v>45</v>
      </c>
      <c r="D434" t="s">
        <v>20</v>
      </c>
      <c r="E434" t="s">
        <v>57</v>
      </c>
      <c r="F434">
        <v>4</v>
      </c>
      <c r="G434" s="15">
        <v>2710000</v>
      </c>
      <c r="H434" s="14">
        <v>0.13075929750140999</v>
      </c>
      <c r="I434" s="27">
        <f t="shared" si="6"/>
        <v>2355642.3037711792</v>
      </c>
      <c r="J434">
        <v>4</v>
      </c>
      <c r="K434" t="b">
        <v>0</v>
      </c>
    </row>
    <row r="435" spans="1:11" ht="16" x14ac:dyDescent="0.2">
      <c r="A435" s="16">
        <v>44823</v>
      </c>
      <c r="B435" t="s">
        <v>18</v>
      </c>
      <c r="C435" t="s">
        <v>39</v>
      </c>
      <c r="D435" t="s">
        <v>20</v>
      </c>
      <c r="E435" t="s">
        <v>7643</v>
      </c>
      <c r="F435">
        <v>4</v>
      </c>
      <c r="G435" s="15">
        <v>2710000</v>
      </c>
      <c r="H435" s="14">
        <v>0.13075929750140999</v>
      </c>
      <c r="I435" s="27">
        <f t="shared" si="6"/>
        <v>2355642.3037711792</v>
      </c>
      <c r="J435">
        <v>3.6</v>
      </c>
      <c r="K435" t="b">
        <v>0</v>
      </c>
    </row>
    <row r="436" spans="1:11" ht="16" x14ac:dyDescent="0.2">
      <c r="A436" s="16">
        <v>44823</v>
      </c>
      <c r="B436" t="s">
        <v>33</v>
      </c>
      <c r="C436" t="s">
        <v>25</v>
      </c>
      <c r="D436" t="s">
        <v>50</v>
      </c>
      <c r="E436" t="s">
        <v>57</v>
      </c>
      <c r="F436">
        <v>2</v>
      </c>
      <c r="G436" s="15">
        <v>2710000</v>
      </c>
      <c r="H436" s="14">
        <v>0.13075929750140999</v>
      </c>
      <c r="I436" s="27">
        <f t="shared" si="6"/>
        <v>2355642.3037711792</v>
      </c>
      <c r="J436">
        <v>3.8</v>
      </c>
      <c r="K436" t="b">
        <v>0</v>
      </c>
    </row>
    <row r="437" spans="1:11" ht="16" x14ac:dyDescent="0.2">
      <c r="A437" s="16">
        <v>44824</v>
      </c>
      <c r="B437" t="s">
        <v>33</v>
      </c>
      <c r="C437" t="s">
        <v>45</v>
      </c>
      <c r="D437" t="s">
        <v>20</v>
      </c>
      <c r="E437" t="s">
        <v>7637</v>
      </c>
      <c r="F437">
        <v>4</v>
      </c>
      <c r="G437" s="15">
        <v>2710000</v>
      </c>
      <c r="H437" s="14">
        <v>0.13075929750140999</v>
      </c>
      <c r="I437" s="27">
        <f t="shared" si="6"/>
        <v>2355642.3037711792</v>
      </c>
      <c r="J437">
        <v>4.4000000000000004</v>
      </c>
      <c r="K437" t="b">
        <v>0</v>
      </c>
    </row>
    <row r="438" spans="1:11" ht="16" x14ac:dyDescent="0.2">
      <c r="A438" s="16">
        <v>44825</v>
      </c>
      <c r="B438" t="s">
        <v>18</v>
      </c>
      <c r="C438" t="s">
        <v>19</v>
      </c>
      <c r="D438" t="s">
        <v>20</v>
      </c>
      <c r="E438" t="s">
        <v>57</v>
      </c>
      <c r="F438">
        <v>2</v>
      </c>
      <c r="G438" s="15">
        <v>2710000</v>
      </c>
      <c r="H438" s="14">
        <v>0.13075929750140999</v>
      </c>
      <c r="I438" s="27">
        <f t="shared" si="6"/>
        <v>2355642.3037711792</v>
      </c>
      <c r="J438">
        <v>4.7</v>
      </c>
      <c r="K438" t="b">
        <v>1</v>
      </c>
    </row>
    <row r="439" spans="1:11" ht="16" x14ac:dyDescent="0.2">
      <c r="A439" s="16">
        <v>44826</v>
      </c>
      <c r="B439" t="s">
        <v>18</v>
      </c>
      <c r="C439" t="s">
        <v>19</v>
      </c>
      <c r="D439" t="s">
        <v>35</v>
      </c>
      <c r="E439" t="s">
        <v>7638</v>
      </c>
      <c r="F439">
        <v>2</v>
      </c>
      <c r="G439" s="15">
        <v>2710000</v>
      </c>
      <c r="H439" s="14">
        <v>0.13075929750140999</v>
      </c>
      <c r="I439" s="27">
        <f t="shared" si="6"/>
        <v>2355642.3037711792</v>
      </c>
      <c r="J439">
        <v>3.5</v>
      </c>
      <c r="K439" t="b">
        <v>1</v>
      </c>
    </row>
    <row r="440" spans="1:11" ht="16" x14ac:dyDescent="0.2">
      <c r="A440" s="16">
        <v>44826</v>
      </c>
      <c r="B440" t="s">
        <v>33</v>
      </c>
      <c r="C440" t="s">
        <v>34</v>
      </c>
      <c r="D440" t="s">
        <v>50</v>
      </c>
      <c r="E440" t="s">
        <v>7639</v>
      </c>
      <c r="F440">
        <v>1</v>
      </c>
      <c r="G440" s="15">
        <v>2710000</v>
      </c>
      <c r="H440" s="14">
        <v>0.13075929750140999</v>
      </c>
      <c r="I440" s="27">
        <f t="shared" si="6"/>
        <v>2355642.3037711792</v>
      </c>
      <c r="J440">
        <v>3.9</v>
      </c>
      <c r="K440" t="b">
        <v>1</v>
      </c>
    </row>
    <row r="441" spans="1:11" ht="16" x14ac:dyDescent="0.2">
      <c r="A441" s="16">
        <v>44826</v>
      </c>
      <c r="B441" t="s">
        <v>29</v>
      </c>
      <c r="C441" t="s">
        <v>25</v>
      </c>
      <c r="D441" t="s">
        <v>35</v>
      </c>
      <c r="E441" t="s">
        <v>7638</v>
      </c>
      <c r="F441">
        <v>2</v>
      </c>
      <c r="G441" s="15">
        <v>2710000</v>
      </c>
      <c r="H441" s="14">
        <v>0.13075929750140999</v>
      </c>
      <c r="I441" s="27">
        <f t="shared" si="6"/>
        <v>2355642.3037711792</v>
      </c>
      <c r="J441">
        <v>4.2</v>
      </c>
      <c r="K441" t="b">
        <v>1</v>
      </c>
    </row>
    <row r="442" spans="1:11" ht="16" x14ac:dyDescent="0.2">
      <c r="A442" s="16">
        <v>44826</v>
      </c>
      <c r="B442" t="s">
        <v>18</v>
      </c>
      <c r="C442" t="s">
        <v>45</v>
      </c>
      <c r="D442" t="s">
        <v>20</v>
      </c>
      <c r="E442" t="s">
        <v>57</v>
      </c>
      <c r="F442">
        <v>1</v>
      </c>
      <c r="G442" s="15">
        <v>2710000</v>
      </c>
      <c r="H442" s="14">
        <v>0.13075929750140999</v>
      </c>
      <c r="I442" s="27">
        <f t="shared" si="6"/>
        <v>2355642.3037711792</v>
      </c>
      <c r="J442">
        <v>4.8</v>
      </c>
      <c r="K442" t="b">
        <v>1</v>
      </c>
    </row>
    <row r="443" spans="1:11" ht="16" x14ac:dyDescent="0.2">
      <c r="A443" s="16">
        <v>44827</v>
      </c>
      <c r="B443" t="s">
        <v>45</v>
      </c>
      <c r="C443" t="s">
        <v>34</v>
      </c>
      <c r="D443" t="s">
        <v>20</v>
      </c>
      <c r="E443" t="s">
        <v>7638</v>
      </c>
      <c r="F443">
        <v>2</v>
      </c>
      <c r="G443" s="15">
        <v>2710000</v>
      </c>
      <c r="H443" s="14">
        <v>0.13075929750140999</v>
      </c>
      <c r="I443" s="27">
        <f t="shared" si="6"/>
        <v>2355642.3037711792</v>
      </c>
      <c r="J443">
        <v>4.5</v>
      </c>
      <c r="K443" t="b">
        <v>0</v>
      </c>
    </row>
    <row r="444" spans="1:11" ht="16" x14ac:dyDescent="0.2">
      <c r="A444" s="16">
        <v>44827</v>
      </c>
      <c r="B444" t="str">
        <f>B443</f>
        <v>Family</v>
      </c>
      <c r="C444" t="s">
        <v>34</v>
      </c>
      <c r="D444" t="s">
        <v>35</v>
      </c>
      <c r="E444" t="s">
        <v>7642</v>
      </c>
      <c r="F444">
        <v>1</v>
      </c>
      <c r="G444" s="15">
        <v>2710000</v>
      </c>
      <c r="H444" s="14">
        <v>0.13075929750140999</v>
      </c>
      <c r="I444" s="27">
        <f t="shared" si="6"/>
        <v>2355642.3037711792</v>
      </c>
      <c r="J444">
        <v>4.5999999999999996</v>
      </c>
      <c r="K444" t="b">
        <v>1</v>
      </c>
    </row>
    <row r="445" spans="1:11" ht="16" x14ac:dyDescent="0.2">
      <c r="A445" s="16">
        <v>44827</v>
      </c>
      <c r="B445" t="s">
        <v>45</v>
      </c>
      <c r="C445" t="s">
        <v>34</v>
      </c>
      <c r="D445" t="s">
        <v>50</v>
      </c>
      <c r="E445" t="s">
        <v>7639</v>
      </c>
      <c r="F445">
        <v>3</v>
      </c>
      <c r="G445" s="15">
        <v>2710000</v>
      </c>
      <c r="H445" s="14">
        <v>0.13075929750140999</v>
      </c>
      <c r="I445" s="27">
        <f t="shared" si="6"/>
        <v>2355642.3037711792</v>
      </c>
      <c r="J445">
        <v>3.6</v>
      </c>
      <c r="K445" t="b">
        <v>1</v>
      </c>
    </row>
    <row r="446" spans="1:11" ht="16" x14ac:dyDescent="0.2">
      <c r="A446" s="16">
        <v>44827</v>
      </c>
      <c r="B446" t="s">
        <v>33</v>
      </c>
      <c r="C446" t="s">
        <v>68</v>
      </c>
      <c r="D446" t="str">
        <f>D445</f>
        <v>Agent</v>
      </c>
      <c r="E446" t="s">
        <v>7643</v>
      </c>
      <c r="F446">
        <v>2</v>
      </c>
      <c r="G446" s="15">
        <v>2710000</v>
      </c>
      <c r="H446" s="14">
        <v>0.13075929750140999</v>
      </c>
      <c r="I446" s="27">
        <f t="shared" si="6"/>
        <v>2355642.3037711792</v>
      </c>
      <c r="J446">
        <v>4.4000000000000004</v>
      </c>
      <c r="K446" t="b">
        <v>1</v>
      </c>
    </row>
    <row r="447" spans="1:11" ht="16" x14ac:dyDescent="0.2">
      <c r="A447" s="16">
        <v>44827</v>
      </c>
      <c r="B447" t="s">
        <v>29</v>
      </c>
      <c r="C447" t="s">
        <v>34</v>
      </c>
      <c r="D447" t="s">
        <v>50</v>
      </c>
      <c r="E447" t="s">
        <v>7642</v>
      </c>
      <c r="F447">
        <v>2</v>
      </c>
      <c r="G447" s="15">
        <v>2710000</v>
      </c>
      <c r="H447" s="14">
        <v>0.13075929750140999</v>
      </c>
      <c r="I447" s="27">
        <f t="shared" si="6"/>
        <v>2355642.3037711792</v>
      </c>
      <c r="J447">
        <v>4.0999999999999996</v>
      </c>
      <c r="K447" t="b">
        <v>1</v>
      </c>
    </row>
    <row r="448" spans="1:11" ht="16" x14ac:dyDescent="0.2">
      <c r="A448" s="16">
        <v>44827</v>
      </c>
      <c r="B448" t="s">
        <v>18</v>
      </c>
      <c r="C448" t="s">
        <v>45</v>
      </c>
      <c r="D448" t="s">
        <v>35</v>
      </c>
      <c r="E448" t="s">
        <v>7637</v>
      </c>
      <c r="F448">
        <v>4</v>
      </c>
      <c r="G448" s="15">
        <v>2710000</v>
      </c>
      <c r="H448" s="14">
        <v>0.13075929750140999</v>
      </c>
      <c r="I448" s="27">
        <f t="shared" si="6"/>
        <v>2355642.3037711792</v>
      </c>
      <c r="J448">
        <v>3.5</v>
      </c>
      <c r="K448" t="b">
        <v>0</v>
      </c>
    </row>
    <row r="449" spans="1:11" ht="16" x14ac:dyDescent="0.2">
      <c r="A449" s="16">
        <v>44828</v>
      </c>
      <c r="B449" t="s">
        <v>45</v>
      </c>
      <c r="C449" t="s">
        <v>34</v>
      </c>
      <c r="D449" t="s">
        <v>35</v>
      </c>
      <c r="E449" t="s">
        <v>7637</v>
      </c>
      <c r="F449">
        <v>1</v>
      </c>
      <c r="G449" s="15">
        <v>2710000</v>
      </c>
      <c r="H449" s="14">
        <v>0.13075929750140999</v>
      </c>
      <c r="I449" s="27">
        <f t="shared" si="6"/>
        <v>2355642.3037711792</v>
      </c>
      <c r="J449">
        <v>3.9</v>
      </c>
      <c r="K449" t="b">
        <v>1</v>
      </c>
    </row>
    <row r="450" spans="1:11" ht="16" x14ac:dyDescent="0.2">
      <c r="A450" s="16">
        <v>44828</v>
      </c>
      <c r="B450" t="str">
        <f>B449</f>
        <v>Family</v>
      </c>
      <c r="C450" t="s">
        <v>25</v>
      </c>
      <c r="D450" t="s">
        <v>50</v>
      </c>
      <c r="E450" t="s">
        <v>7641</v>
      </c>
      <c r="F450">
        <v>2</v>
      </c>
      <c r="G450" s="15">
        <v>2710000</v>
      </c>
      <c r="H450" s="14">
        <v>0.13075929750140999</v>
      </c>
      <c r="I450" s="27">
        <f t="shared" si="6"/>
        <v>2355642.3037711792</v>
      </c>
      <c r="J450">
        <v>4.2</v>
      </c>
      <c r="K450" t="b">
        <v>1</v>
      </c>
    </row>
    <row r="451" spans="1:11" ht="16" x14ac:dyDescent="0.2">
      <c r="A451" s="16">
        <v>44829</v>
      </c>
      <c r="B451" t="s">
        <v>45</v>
      </c>
      <c r="C451" t="s">
        <v>19</v>
      </c>
      <c r="D451" t="s">
        <v>35</v>
      </c>
      <c r="E451" t="s">
        <v>7642</v>
      </c>
      <c r="F451">
        <v>2</v>
      </c>
      <c r="G451" s="15">
        <v>2710000</v>
      </c>
      <c r="H451" s="14">
        <v>0.13075929750140999</v>
      </c>
      <c r="I451" s="27">
        <f t="shared" ref="I451:I514" si="7">G451-G451*H451</f>
        <v>2355642.3037711792</v>
      </c>
      <c r="J451">
        <v>4.5</v>
      </c>
      <c r="K451" t="b">
        <v>1</v>
      </c>
    </row>
    <row r="452" spans="1:11" ht="16" x14ac:dyDescent="0.2">
      <c r="A452" s="16">
        <v>44829</v>
      </c>
      <c r="B452" t="s">
        <v>18</v>
      </c>
      <c r="C452" t="s">
        <v>19</v>
      </c>
      <c r="D452" t="s">
        <v>20</v>
      </c>
      <c r="E452" t="s">
        <v>57</v>
      </c>
      <c r="F452">
        <v>2</v>
      </c>
      <c r="G452" s="15">
        <v>2710000</v>
      </c>
      <c r="H452" s="14">
        <v>0.13075929750140999</v>
      </c>
      <c r="I452" s="27">
        <f t="shared" si="7"/>
        <v>2355642.3037711792</v>
      </c>
      <c r="J452">
        <v>3.9</v>
      </c>
      <c r="K452" t="b">
        <v>1</v>
      </c>
    </row>
    <row r="453" spans="1:11" ht="16" x14ac:dyDescent="0.2">
      <c r="A453" s="16">
        <v>44829</v>
      </c>
      <c r="B453" t="s">
        <v>45</v>
      </c>
      <c r="C453" t="s">
        <v>25</v>
      </c>
      <c r="D453" t="s">
        <v>35</v>
      </c>
      <c r="E453" t="s">
        <v>7642</v>
      </c>
      <c r="F453">
        <v>4</v>
      </c>
      <c r="G453" s="15">
        <v>2710000</v>
      </c>
      <c r="H453" s="14">
        <v>0.13075929750140999</v>
      </c>
      <c r="I453" s="27">
        <f t="shared" si="7"/>
        <v>2355642.3037711792</v>
      </c>
      <c r="J453">
        <v>3.6</v>
      </c>
      <c r="K453" t="b">
        <v>0</v>
      </c>
    </row>
    <row r="454" spans="1:11" ht="16" x14ac:dyDescent="0.2">
      <c r="A454" s="16">
        <v>44829</v>
      </c>
      <c r="B454" t="s">
        <v>45</v>
      </c>
      <c r="C454" t="s">
        <v>34</v>
      </c>
      <c r="D454" t="s">
        <v>35</v>
      </c>
      <c r="E454" t="s">
        <v>7640</v>
      </c>
      <c r="F454">
        <v>3</v>
      </c>
      <c r="G454" s="15">
        <v>2710000</v>
      </c>
      <c r="H454" s="14">
        <v>0.13075929750140999</v>
      </c>
      <c r="I454" s="27">
        <f t="shared" si="7"/>
        <v>2355642.3037711792</v>
      </c>
      <c r="J454">
        <v>4.4000000000000004</v>
      </c>
      <c r="K454" t="b">
        <v>0</v>
      </c>
    </row>
    <row r="455" spans="1:11" ht="16" x14ac:dyDescent="0.2">
      <c r="A455" s="16">
        <v>44831</v>
      </c>
      <c r="B455" t="s">
        <v>33</v>
      </c>
      <c r="C455" t="s">
        <v>45</v>
      </c>
      <c r="D455" t="s">
        <v>20</v>
      </c>
      <c r="E455" t="s">
        <v>7637</v>
      </c>
      <c r="F455">
        <v>1</v>
      </c>
      <c r="G455" s="15">
        <v>2710000</v>
      </c>
      <c r="H455" s="14">
        <v>0.13075929750140999</v>
      </c>
      <c r="I455" s="27">
        <f t="shared" si="7"/>
        <v>2355642.3037711792</v>
      </c>
      <c r="J455">
        <v>4.4000000000000004</v>
      </c>
      <c r="K455" t="b">
        <v>1</v>
      </c>
    </row>
    <row r="456" spans="1:11" ht="16" x14ac:dyDescent="0.2">
      <c r="A456" s="16">
        <v>44831</v>
      </c>
      <c r="B456" t="s">
        <v>45</v>
      </c>
      <c r="C456" t="s">
        <v>34</v>
      </c>
      <c r="D456" t="s">
        <v>20</v>
      </c>
      <c r="E456" t="s">
        <v>7644</v>
      </c>
      <c r="F456">
        <v>1</v>
      </c>
      <c r="G456" s="15">
        <v>2710000</v>
      </c>
      <c r="H456" s="14">
        <v>0.13075929750140999</v>
      </c>
      <c r="I456" s="27">
        <f t="shared" si="7"/>
        <v>2355642.3037711792</v>
      </c>
      <c r="J456">
        <v>4</v>
      </c>
      <c r="K456" t="b">
        <v>1</v>
      </c>
    </row>
    <row r="457" spans="1:11" ht="16" x14ac:dyDescent="0.2">
      <c r="A457" s="16">
        <v>44833</v>
      </c>
      <c r="B457" t="s">
        <v>33</v>
      </c>
      <c r="C457" t="s">
        <v>19</v>
      </c>
      <c r="D457" t="s">
        <v>20</v>
      </c>
      <c r="E457" t="s">
        <v>7640</v>
      </c>
      <c r="F457">
        <v>4</v>
      </c>
      <c r="G457" s="15">
        <v>2710000</v>
      </c>
      <c r="H457" s="14">
        <v>0.13075929750140999</v>
      </c>
      <c r="I457" s="27">
        <f t="shared" si="7"/>
        <v>2355642.3037711792</v>
      </c>
      <c r="J457">
        <v>4.8</v>
      </c>
      <c r="K457" t="b">
        <v>0</v>
      </c>
    </row>
    <row r="458" spans="1:11" ht="16" x14ac:dyDescent="0.2">
      <c r="A458" s="16">
        <v>44833</v>
      </c>
      <c r="B458" t="s">
        <v>45</v>
      </c>
      <c r="C458" t="s">
        <v>19</v>
      </c>
      <c r="D458" t="s">
        <v>50</v>
      </c>
      <c r="E458" t="s">
        <v>7641</v>
      </c>
      <c r="F458">
        <v>1</v>
      </c>
      <c r="G458" s="15">
        <v>2710000</v>
      </c>
      <c r="H458" s="14">
        <v>0.13075929750140999</v>
      </c>
      <c r="I458" s="27">
        <f t="shared" si="7"/>
        <v>2355642.3037711792</v>
      </c>
      <c r="J458">
        <v>4.2</v>
      </c>
      <c r="K458" t="b">
        <v>1</v>
      </c>
    </row>
    <row r="459" spans="1:11" ht="16" x14ac:dyDescent="0.2">
      <c r="A459" s="16">
        <v>44834</v>
      </c>
      <c r="B459" t="s">
        <v>29</v>
      </c>
      <c r="C459" t="s">
        <v>19</v>
      </c>
      <c r="D459" t="s">
        <v>50</v>
      </c>
      <c r="E459" t="s">
        <v>7638</v>
      </c>
      <c r="F459">
        <v>2</v>
      </c>
      <c r="G459" s="15">
        <v>2710000</v>
      </c>
      <c r="H459" s="14">
        <v>0.13075929750140999</v>
      </c>
      <c r="I459" s="27">
        <f t="shared" si="7"/>
        <v>2355642.3037711792</v>
      </c>
      <c r="J459">
        <v>3.9</v>
      </c>
      <c r="K459" t="b">
        <v>1</v>
      </c>
    </row>
    <row r="460" spans="1:11" ht="16" x14ac:dyDescent="0.2">
      <c r="A460" s="16">
        <v>44835</v>
      </c>
      <c r="B460" t="s">
        <v>33</v>
      </c>
      <c r="C460" t="s">
        <v>45</v>
      </c>
      <c r="D460" t="s">
        <v>20</v>
      </c>
      <c r="E460" t="s">
        <v>7639</v>
      </c>
      <c r="F460">
        <v>2</v>
      </c>
      <c r="G460" s="15">
        <v>2710000</v>
      </c>
      <c r="H460" s="14">
        <v>0.13075929750140999</v>
      </c>
      <c r="I460" s="27">
        <f t="shared" si="7"/>
        <v>2355642.3037711792</v>
      </c>
      <c r="J460">
        <v>3.8</v>
      </c>
      <c r="K460" t="b">
        <v>1</v>
      </c>
    </row>
    <row r="461" spans="1:11" ht="16" x14ac:dyDescent="0.2">
      <c r="A461" s="16">
        <v>44835</v>
      </c>
      <c r="B461" t="s">
        <v>18</v>
      </c>
      <c r="C461" t="s">
        <v>25</v>
      </c>
      <c r="D461" t="s">
        <v>35</v>
      </c>
      <c r="E461" t="s">
        <v>7640</v>
      </c>
      <c r="F461">
        <v>1</v>
      </c>
      <c r="G461" s="15">
        <v>2710000</v>
      </c>
      <c r="H461" s="14">
        <v>0.13075929750140999</v>
      </c>
      <c r="I461" s="27">
        <f t="shared" si="7"/>
        <v>2355642.3037711792</v>
      </c>
      <c r="J461">
        <v>4</v>
      </c>
      <c r="K461" t="b">
        <v>1</v>
      </c>
    </row>
    <row r="462" spans="1:11" ht="16" x14ac:dyDescent="0.2">
      <c r="A462" s="16">
        <v>44837</v>
      </c>
      <c r="B462" t="s">
        <v>45</v>
      </c>
      <c r="C462" t="s">
        <v>68</v>
      </c>
      <c r="D462" t="s">
        <v>50</v>
      </c>
      <c r="E462" t="s">
        <v>7641</v>
      </c>
      <c r="F462">
        <v>4</v>
      </c>
      <c r="G462" s="15">
        <v>2710000</v>
      </c>
      <c r="H462" s="14">
        <v>0.13075929750140999</v>
      </c>
      <c r="I462" s="27">
        <f t="shared" si="7"/>
        <v>2355642.3037711792</v>
      </c>
      <c r="J462">
        <v>4.3</v>
      </c>
      <c r="K462" t="b">
        <v>1</v>
      </c>
    </row>
    <row r="463" spans="1:11" ht="16" x14ac:dyDescent="0.2">
      <c r="A463" s="16">
        <v>44838</v>
      </c>
      <c r="B463" t="s">
        <v>29</v>
      </c>
      <c r="C463" t="s">
        <v>25</v>
      </c>
      <c r="D463" t="s">
        <v>20</v>
      </c>
      <c r="E463" t="s">
        <v>7639</v>
      </c>
      <c r="F463">
        <v>2</v>
      </c>
      <c r="G463" s="15">
        <v>2710000</v>
      </c>
      <c r="H463" s="14">
        <v>0.13075929750140999</v>
      </c>
      <c r="I463" s="27">
        <f t="shared" si="7"/>
        <v>2355642.3037711792</v>
      </c>
      <c r="J463">
        <v>4.9000000000000004</v>
      </c>
      <c r="K463" t="b">
        <v>1</v>
      </c>
    </row>
    <row r="464" spans="1:11" ht="16" x14ac:dyDescent="0.2">
      <c r="A464" s="16">
        <v>44838</v>
      </c>
      <c r="B464" t="s">
        <v>45</v>
      </c>
      <c r="C464" t="s">
        <v>34</v>
      </c>
      <c r="D464" t="s">
        <v>20</v>
      </c>
      <c r="E464" t="s">
        <v>7642</v>
      </c>
      <c r="F464">
        <v>2</v>
      </c>
      <c r="G464" s="15">
        <v>2710000</v>
      </c>
      <c r="H464" s="14">
        <v>0.13075929750140999</v>
      </c>
      <c r="I464" s="27">
        <f t="shared" si="7"/>
        <v>2355642.3037711792</v>
      </c>
      <c r="J464">
        <v>4</v>
      </c>
      <c r="K464" t="b">
        <v>0</v>
      </c>
    </row>
    <row r="465" spans="1:11" ht="16" x14ac:dyDescent="0.2">
      <c r="A465" s="16">
        <v>44838</v>
      </c>
      <c r="B465" t="s">
        <v>45</v>
      </c>
      <c r="C465" t="s">
        <v>19</v>
      </c>
      <c r="D465" t="s">
        <v>20</v>
      </c>
      <c r="E465" t="s">
        <v>7641</v>
      </c>
      <c r="F465">
        <v>2</v>
      </c>
      <c r="G465" s="15">
        <v>2710000</v>
      </c>
      <c r="H465" s="14">
        <v>0.13075929750140999</v>
      </c>
      <c r="I465" s="27">
        <f t="shared" si="7"/>
        <v>2355642.3037711792</v>
      </c>
      <c r="J465">
        <v>4.5</v>
      </c>
      <c r="K465" t="b">
        <v>0</v>
      </c>
    </row>
    <row r="466" spans="1:11" ht="16" x14ac:dyDescent="0.2">
      <c r="A466" s="16">
        <v>44839</v>
      </c>
      <c r="B466" t="s">
        <v>18</v>
      </c>
      <c r="C466" t="s">
        <v>45</v>
      </c>
      <c r="D466" t="s">
        <v>20</v>
      </c>
      <c r="E466" t="s">
        <v>7637</v>
      </c>
      <c r="F466">
        <v>2</v>
      </c>
      <c r="G466" s="15">
        <v>2710000</v>
      </c>
      <c r="H466" s="14">
        <v>0.13075929750140999</v>
      </c>
      <c r="I466" s="27">
        <f t="shared" si="7"/>
        <v>2355642.3037711792</v>
      </c>
      <c r="J466">
        <v>4.5999999999999996</v>
      </c>
      <c r="K466" t="b">
        <v>0</v>
      </c>
    </row>
    <row r="467" spans="1:11" ht="16" x14ac:dyDescent="0.2">
      <c r="A467" s="16">
        <v>44840</v>
      </c>
      <c r="B467" t="s">
        <v>18</v>
      </c>
      <c r="C467" t="s">
        <v>19</v>
      </c>
      <c r="D467" t="s">
        <v>46</v>
      </c>
      <c r="E467" t="s">
        <v>7642</v>
      </c>
      <c r="F467">
        <v>1</v>
      </c>
      <c r="G467" s="15">
        <v>2710000</v>
      </c>
      <c r="H467" s="14">
        <v>0.13075929750140999</v>
      </c>
      <c r="I467" s="27">
        <f t="shared" si="7"/>
        <v>2355642.3037711792</v>
      </c>
      <c r="J467">
        <v>4</v>
      </c>
      <c r="K467" t="b">
        <v>0</v>
      </c>
    </row>
    <row r="468" spans="1:11" ht="16" x14ac:dyDescent="0.2">
      <c r="A468" s="16">
        <v>44841</v>
      </c>
      <c r="B468" t="s">
        <v>45</v>
      </c>
      <c r="C468" t="s">
        <v>19</v>
      </c>
      <c r="D468" t="s">
        <v>20</v>
      </c>
      <c r="E468" t="s">
        <v>7644</v>
      </c>
      <c r="F468">
        <v>1</v>
      </c>
      <c r="G468" s="15">
        <v>2710000</v>
      </c>
      <c r="H468" s="14">
        <v>0.13075929750140999</v>
      </c>
      <c r="I468" s="27">
        <f t="shared" si="7"/>
        <v>2355642.3037711792</v>
      </c>
      <c r="J468">
        <v>4.2</v>
      </c>
      <c r="K468" t="b">
        <v>1</v>
      </c>
    </row>
    <row r="469" spans="1:11" ht="16" x14ac:dyDescent="0.2">
      <c r="A469" s="16">
        <v>44841</v>
      </c>
      <c r="B469" t="s">
        <v>45</v>
      </c>
      <c r="C469" t="s">
        <v>39</v>
      </c>
      <c r="D469" t="s">
        <v>50</v>
      </c>
      <c r="E469" t="s">
        <v>57</v>
      </c>
      <c r="F469">
        <v>3</v>
      </c>
      <c r="G469" s="15">
        <v>2710000</v>
      </c>
      <c r="H469" s="14">
        <v>0.13075929750140999</v>
      </c>
      <c r="I469" s="27">
        <f t="shared" si="7"/>
        <v>2355642.3037711792</v>
      </c>
      <c r="J469">
        <v>4.4000000000000004</v>
      </c>
      <c r="K469" t="b">
        <v>1</v>
      </c>
    </row>
    <row r="470" spans="1:11" ht="16" x14ac:dyDescent="0.2">
      <c r="A470" s="16">
        <v>44842</v>
      </c>
      <c r="B470" t="s">
        <v>33</v>
      </c>
      <c r="C470" t="s">
        <v>25</v>
      </c>
      <c r="D470" t="s">
        <v>20</v>
      </c>
      <c r="E470" t="s">
        <v>7644</v>
      </c>
      <c r="F470">
        <v>1</v>
      </c>
      <c r="G470" s="15">
        <v>2710000</v>
      </c>
      <c r="H470" s="14">
        <v>0.13075929750140999</v>
      </c>
      <c r="I470" s="27">
        <f t="shared" si="7"/>
        <v>2355642.3037711792</v>
      </c>
      <c r="J470">
        <v>4</v>
      </c>
      <c r="K470" t="b">
        <v>1</v>
      </c>
    </row>
    <row r="471" spans="1:11" ht="16" x14ac:dyDescent="0.2">
      <c r="A471" s="16">
        <v>44842</v>
      </c>
      <c r="B471" t="s">
        <v>45</v>
      </c>
      <c r="C471" t="s">
        <v>19</v>
      </c>
      <c r="D471" t="s">
        <v>50</v>
      </c>
      <c r="E471" t="s">
        <v>7640</v>
      </c>
      <c r="F471">
        <v>1</v>
      </c>
      <c r="G471" s="15">
        <v>2710000</v>
      </c>
      <c r="H471" s="14">
        <v>0.13075929750140999</v>
      </c>
      <c r="I471" s="27">
        <f t="shared" si="7"/>
        <v>2355642.3037711792</v>
      </c>
      <c r="J471">
        <v>5</v>
      </c>
      <c r="K471" t="b">
        <v>0</v>
      </c>
    </row>
    <row r="472" spans="1:11" ht="16" x14ac:dyDescent="0.2">
      <c r="A472" s="16">
        <v>44843</v>
      </c>
      <c r="B472" t="s">
        <v>18</v>
      </c>
      <c r="C472" t="s">
        <v>68</v>
      </c>
      <c r="D472" t="s">
        <v>20</v>
      </c>
      <c r="E472" t="s">
        <v>7641</v>
      </c>
      <c r="F472">
        <v>1</v>
      </c>
      <c r="G472" s="15">
        <v>2710000</v>
      </c>
      <c r="H472" s="14">
        <v>0.13075929750140999</v>
      </c>
      <c r="I472" s="27">
        <f t="shared" si="7"/>
        <v>2355642.3037711792</v>
      </c>
      <c r="J472">
        <v>4.3</v>
      </c>
      <c r="K472" t="b">
        <v>1</v>
      </c>
    </row>
    <row r="473" spans="1:11" ht="16" x14ac:dyDescent="0.2">
      <c r="A473" s="16">
        <v>44843</v>
      </c>
      <c r="B473" t="s">
        <v>45</v>
      </c>
      <c r="C473" t="s">
        <v>19</v>
      </c>
      <c r="D473" t="s">
        <v>20</v>
      </c>
      <c r="E473" t="s">
        <v>7637</v>
      </c>
      <c r="F473">
        <v>1</v>
      </c>
      <c r="G473" s="15">
        <v>2710000</v>
      </c>
      <c r="H473" s="14">
        <v>0.13075929750140999</v>
      </c>
      <c r="I473" s="27">
        <f t="shared" si="7"/>
        <v>2355642.3037711792</v>
      </c>
      <c r="J473">
        <v>4.5</v>
      </c>
      <c r="K473" t="b">
        <v>1</v>
      </c>
    </row>
    <row r="474" spans="1:11" ht="16" x14ac:dyDescent="0.2">
      <c r="A474" s="16">
        <v>44844</v>
      </c>
      <c r="B474" t="s">
        <v>45</v>
      </c>
      <c r="C474" t="s">
        <v>34</v>
      </c>
      <c r="D474" t="s">
        <v>20</v>
      </c>
      <c r="E474" t="s">
        <v>7641</v>
      </c>
      <c r="F474">
        <v>1</v>
      </c>
      <c r="G474" s="15">
        <v>2710000</v>
      </c>
      <c r="H474" s="14">
        <v>0.13075929750140999</v>
      </c>
      <c r="I474" s="27">
        <f t="shared" si="7"/>
        <v>2355642.3037711792</v>
      </c>
      <c r="J474">
        <v>3.7</v>
      </c>
      <c r="K474" t="b">
        <v>1</v>
      </c>
    </row>
    <row r="475" spans="1:11" ht="16" x14ac:dyDescent="0.2">
      <c r="A475" s="16">
        <v>44844</v>
      </c>
      <c r="B475" t="s">
        <v>18</v>
      </c>
      <c r="C475" t="s">
        <v>19</v>
      </c>
      <c r="D475" t="s">
        <v>20</v>
      </c>
      <c r="E475" t="s">
        <v>7640</v>
      </c>
      <c r="F475">
        <v>1</v>
      </c>
      <c r="G475" s="15">
        <v>2710000</v>
      </c>
      <c r="H475" s="14">
        <v>0.13075929750140999</v>
      </c>
      <c r="I475" s="27">
        <f t="shared" si="7"/>
        <v>2355642.3037711792</v>
      </c>
      <c r="J475">
        <v>4.4000000000000004</v>
      </c>
      <c r="K475" t="b">
        <v>1</v>
      </c>
    </row>
    <row r="476" spans="1:11" ht="16" x14ac:dyDescent="0.2">
      <c r="A476" s="16">
        <v>44845</v>
      </c>
      <c r="B476" t="s">
        <v>45</v>
      </c>
      <c r="C476" t="s">
        <v>68</v>
      </c>
      <c r="D476" t="s">
        <v>20</v>
      </c>
      <c r="E476" t="s">
        <v>7641</v>
      </c>
      <c r="F476">
        <v>1</v>
      </c>
      <c r="G476" s="15">
        <v>2710000</v>
      </c>
      <c r="H476" s="14">
        <v>0.13075929750140999</v>
      </c>
      <c r="I476" s="27">
        <f t="shared" si="7"/>
        <v>2355642.3037711792</v>
      </c>
      <c r="J476">
        <v>4.4000000000000004</v>
      </c>
      <c r="K476" t="b">
        <v>1</v>
      </c>
    </row>
    <row r="477" spans="1:11" ht="16" x14ac:dyDescent="0.2">
      <c r="A477" s="16">
        <v>44845</v>
      </c>
      <c r="B477" t="s">
        <v>29</v>
      </c>
      <c r="C477" t="s">
        <v>45</v>
      </c>
      <c r="D477" t="s">
        <v>20</v>
      </c>
      <c r="E477" t="s">
        <v>7644</v>
      </c>
      <c r="F477">
        <v>1</v>
      </c>
      <c r="G477" s="15">
        <v>2710000</v>
      </c>
      <c r="H477" s="14">
        <v>0.13075929750140999</v>
      </c>
      <c r="I477" s="27">
        <f t="shared" si="7"/>
        <v>2355642.3037711792</v>
      </c>
      <c r="J477">
        <v>4.4000000000000004</v>
      </c>
      <c r="K477" t="b">
        <v>0</v>
      </c>
    </row>
    <row r="478" spans="1:11" ht="16" x14ac:dyDescent="0.2">
      <c r="A478" s="16">
        <v>44845</v>
      </c>
      <c r="B478" t="s">
        <v>33</v>
      </c>
      <c r="C478" t="s">
        <v>25</v>
      </c>
      <c r="D478" t="s">
        <v>35</v>
      </c>
      <c r="E478" t="s">
        <v>7637</v>
      </c>
      <c r="F478">
        <v>3</v>
      </c>
      <c r="G478" s="15">
        <v>2710000</v>
      </c>
      <c r="H478" s="14">
        <v>0.13075929750140999</v>
      </c>
      <c r="I478" s="27">
        <f t="shared" si="7"/>
        <v>2355642.3037711792</v>
      </c>
      <c r="J478">
        <v>3.4</v>
      </c>
      <c r="K478" t="b">
        <v>1</v>
      </c>
    </row>
    <row r="479" spans="1:11" ht="16" x14ac:dyDescent="0.2">
      <c r="A479" s="16">
        <v>44845</v>
      </c>
      <c r="B479" t="s">
        <v>45</v>
      </c>
      <c r="C479" t="s">
        <v>34</v>
      </c>
      <c r="D479" t="s">
        <v>35</v>
      </c>
      <c r="E479" t="s">
        <v>7639</v>
      </c>
      <c r="F479">
        <v>1</v>
      </c>
      <c r="G479" s="15">
        <v>2710000</v>
      </c>
      <c r="H479" s="14">
        <v>0.13075929750140999</v>
      </c>
      <c r="I479" s="27">
        <f t="shared" si="7"/>
        <v>2355642.3037711792</v>
      </c>
      <c r="J479">
        <v>4.7</v>
      </c>
      <c r="K479" t="b">
        <v>1</v>
      </c>
    </row>
    <row r="480" spans="1:11" ht="16" x14ac:dyDescent="0.2">
      <c r="A480" s="16">
        <v>44845</v>
      </c>
      <c r="B480" t="s">
        <v>33</v>
      </c>
      <c r="C480" t="s">
        <v>19</v>
      </c>
      <c r="D480" t="s">
        <v>20</v>
      </c>
      <c r="E480" t="s">
        <v>99</v>
      </c>
      <c r="F480">
        <v>3</v>
      </c>
      <c r="G480" s="15">
        <v>2710000</v>
      </c>
      <c r="H480" s="14">
        <v>0.13075929750140999</v>
      </c>
      <c r="I480" s="27">
        <f t="shared" si="7"/>
        <v>2355642.3037711792</v>
      </c>
      <c r="J480">
        <v>3.8</v>
      </c>
      <c r="K480" t="b">
        <v>1</v>
      </c>
    </row>
    <row r="481" spans="1:11" ht="16" x14ac:dyDescent="0.2">
      <c r="A481" s="16">
        <v>44846</v>
      </c>
      <c r="B481" t="s">
        <v>29</v>
      </c>
      <c r="C481" t="s">
        <v>34</v>
      </c>
      <c r="D481" t="s">
        <v>46</v>
      </c>
      <c r="E481" t="s">
        <v>7642</v>
      </c>
      <c r="F481">
        <v>1</v>
      </c>
      <c r="G481" s="15">
        <v>2710000</v>
      </c>
      <c r="H481" s="14">
        <v>0.13075929750140999</v>
      </c>
      <c r="I481" s="27">
        <f t="shared" si="7"/>
        <v>2355642.3037711792</v>
      </c>
      <c r="J481">
        <v>4.4000000000000004</v>
      </c>
      <c r="K481" t="b">
        <v>1</v>
      </c>
    </row>
    <row r="482" spans="1:11" ht="16" x14ac:dyDescent="0.2">
      <c r="A482" s="16">
        <v>44846</v>
      </c>
      <c r="B482" t="s">
        <v>18</v>
      </c>
      <c r="C482" t="s">
        <v>45</v>
      </c>
      <c r="D482" t="s">
        <v>50</v>
      </c>
      <c r="E482" t="s">
        <v>7640</v>
      </c>
      <c r="F482">
        <v>2</v>
      </c>
      <c r="G482" s="15">
        <v>2710000</v>
      </c>
      <c r="H482" s="14">
        <v>0.13075929750140999</v>
      </c>
      <c r="I482" s="27">
        <f t="shared" si="7"/>
        <v>2355642.3037711792</v>
      </c>
      <c r="J482">
        <v>3.8</v>
      </c>
      <c r="K482" t="b">
        <v>0</v>
      </c>
    </row>
    <row r="483" spans="1:11" ht="16" x14ac:dyDescent="0.2">
      <c r="A483" s="16">
        <v>44847</v>
      </c>
      <c r="B483" t="s">
        <v>33</v>
      </c>
      <c r="C483" t="s">
        <v>45</v>
      </c>
      <c r="D483" t="s">
        <v>20</v>
      </c>
      <c r="E483" t="s">
        <v>7641</v>
      </c>
      <c r="F483">
        <v>1</v>
      </c>
      <c r="G483" s="15">
        <v>2710000</v>
      </c>
      <c r="H483" s="14">
        <v>0.13075929750140999</v>
      </c>
      <c r="I483" s="27">
        <f t="shared" si="7"/>
        <v>2355642.3037711792</v>
      </c>
      <c r="J483">
        <v>4.2</v>
      </c>
      <c r="K483" t="b">
        <v>1</v>
      </c>
    </row>
    <row r="484" spans="1:11" ht="16" x14ac:dyDescent="0.2">
      <c r="A484" s="16">
        <v>44847</v>
      </c>
      <c r="B484" t="s">
        <v>33</v>
      </c>
      <c r="C484" t="s">
        <v>25</v>
      </c>
      <c r="D484" t="s">
        <v>50</v>
      </c>
      <c r="E484" t="s">
        <v>57</v>
      </c>
      <c r="F484">
        <v>1</v>
      </c>
      <c r="G484" s="15">
        <v>2710000</v>
      </c>
      <c r="H484" s="14">
        <v>0.13075929750140999</v>
      </c>
      <c r="I484" s="27">
        <f t="shared" si="7"/>
        <v>2355642.3037711792</v>
      </c>
      <c r="J484">
        <v>3.9</v>
      </c>
      <c r="K484" t="b">
        <v>1</v>
      </c>
    </row>
    <row r="485" spans="1:11" ht="16" x14ac:dyDescent="0.2">
      <c r="A485" s="16">
        <v>44847</v>
      </c>
      <c r="B485" t="s">
        <v>45</v>
      </c>
      <c r="C485" t="s">
        <v>19</v>
      </c>
      <c r="D485" t="str">
        <f>D484</f>
        <v>Agent</v>
      </c>
      <c r="E485" t="s">
        <v>7638</v>
      </c>
      <c r="F485">
        <v>2</v>
      </c>
      <c r="G485" s="15">
        <v>2710000</v>
      </c>
      <c r="H485" s="14">
        <v>0.13075929750140999</v>
      </c>
      <c r="I485" s="27">
        <f t="shared" si="7"/>
        <v>2355642.3037711792</v>
      </c>
      <c r="J485">
        <v>3.7</v>
      </c>
      <c r="K485" t="b">
        <v>1</v>
      </c>
    </row>
    <row r="486" spans="1:11" ht="16" x14ac:dyDescent="0.2">
      <c r="A486" s="16">
        <v>44848</v>
      </c>
      <c r="B486" t="s">
        <v>18</v>
      </c>
      <c r="C486" t="s">
        <v>68</v>
      </c>
      <c r="D486" t="s">
        <v>35</v>
      </c>
      <c r="E486" t="s">
        <v>99</v>
      </c>
      <c r="F486">
        <v>4</v>
      </c>
      <c r="G486" s="15">
        <v>2710000</v>
      </c>
      <c r="H486" s="14">
        <v>0.13075929750140999</v>
      </c>
      <c r="I486" s="27">
        <f t="shared" si="7"/>
        <v>2355642.3037711792</v>
      </c>
      <c r="J486">
        <v>4.2</v>
      </c>
      <c r="K486" t="b">
        <v>1</v>
      </c>
    </row>
    <row r="487" spans="1:11" ht="16" x14ac:dyDescent="0.2">
      <c r="A487" s="16">
        <v>44848</v>
      </c>
      <c r="B487" t="s">
        <v>45</v>
      </c>
      <c r="C487" t="s">
        <v>19</v>
      </c>
      <c r="D487" t="s">
        <v>50</v>
      </c>
      <c r="E487" t="s">
        <v>57</v>
      </c>
      <c r="F487">
        <v>2</v>
      </c>
      <c r="G487" s="15">
        <v>2710000</v>
      </c>
      <c r="H487" s="14">
        <v>0.13075929750140999</v>
      </c>
      <c r="I487" s="27">
        <f t="shared" si="7"/>
        <v>2355642.3037711792</v>
      </c>
      <c r="J487">
        <v>4.5999999999999996</v>
      </c>
      <c r="K487" t="b">
        <v>1</v>
      </c>
    </row>
    <row r="488" spans="1:11" ht="16" x14ac:dyDescent="0.2">
      <c r="A488" s="16">
        <v>44848</v>
      </c>
      <c r="B488" t="s">
        <v>33</v>
      </c>
      <c r="C488" t="s">
        <v>25</v>
      </c>
      <c r="D488" t="s">
        <v>35</v>
      </c>
      <c r="E488" t="s">
        <v>7641</v>
      </c>
      <c r="F488">
        <v>2</v>
      </c>
      <c r="G488" s="15">
        <v>2710000</v>
      </c>
      <c r="H488" s="14">
        <v>0.13075929750140999</v>
      </c>
      <c r="I488" s="27">
        <f t="shared" si="7"/>
        <v>2355642.3037711792</v>
      </c>
      <c r="J488">
        <v>3.8</v>
      </c>
      <c r="K488" t="b">
        <v>1</v>
      </c>
    </row>
    <row r="489" spans="1:11" ht="16" x14ac:dyDescent="0.2">
      <c r="A489" s="16">
        <v>44848</v>
      </c>
      <c r="B489" t="str">
        <f>B488</f>
        <v>Student</v>
      </c>
      <c r="C489" t="s">
        <v>45</v>
      </c>
      <c r="D489" t="s">
        <v>20</v>
      </c>
      <c r="E489" t="s">
        <v>7640</v>
      </c>
      <c r="F489">
        <v>3</v>
      </c>
      <c r="G489" s="15">
        <v>2710000</v>
      </c>
      <c r="H489" s="14">
        <v>0.13075929750140999</v>
      </c>
      <c r="I489" s="27">
        <f t="shared" si="7"/>
        <v>2355642.3037711792</v>
      </c>
      <c r="J489">
        <v>4.5999999999999996</v>
      </c>
      <c r="K489" t="b">
        <v>1</v>
      </c>
    </row>
    <row r="490" spans="1:11" ht="16" x14ac:dyDescent="0.2">
      <c r="A490" s="16">
        <v>44848</v>
      </c>
      <c r="B490" t="s">
        <v>33</v>
      </c>
      <c r="C490" t="s">
        <v>45</v>
      </c>
      <c r="D490" t="s">
        <v>20</v>
      </c>
      <c r="E490" t="s">
        <v>7639</v>
      </c>
      <c r="F490">
        <v>1</v>
      </c>
      <c r="G490" s="15">
        <v>2710000</v>
      </c>
      <c r="H490" s="14">
        <v>0.13075929750140999</v>
      </c>
      <c r="I490" s="27">
        <f t="shared" si="7"/>
        <v>2355642.3037711792</v>
      </c>
      <c r="J490">
        <v>4.0999999999999996</v>
      </c>
      <c r="K490" t="b">
        <v>1</v>
      </c>
    </row>
    <row r="491" spans="1:11" ht="16" x14ac:dyDescent="0.2">
      <c r="A491" s="16">
        <v>44849</v>
      </c>
      <c r="B491" t="s">
        <v>45</v>
      </c>
      <c r="C491" t="s">
        <v>19</v>
      </c>
      <c r="D491" t="s">
        <v>50</v>
      </c>
      <c r="E491" t="s">
        <v>7639</v>
      </c>
      <c r="F491">
        <v>1</v>
      </c>
      <c r="G491" s="15">
        <v>2710000</v>
      </c>
      <c r="H491" s="14">
        <v>0.13075929750140999</v>
      </c>
      <c r="I491" s="27">
        <f t="shared" si="7"/>
        <v>2355642.3037711792</v>
      </c>
      <c r="J491">
        <v>4.3</v>
      </c>
      <c r="K491" t="b">
        <v>1</v>
      </c>
    </row>
    <row r="492" spans="1:11" ht="16" x14ac:dyDescent="0.2">
      <c r="A492" s="16">
        <v>44849</v>
      </c>
      <c r="B492" t="s">
        <v>33</v>
      </c>
      <c r="C492" t="s">
        <v>34</v>
      </c>
      <c r="D492" t="s">
        <v>20</v>
      </c>
      <c r="E492" t="s">
        <v>7642</v>
      </c>
      <c r="F492">
        <v>4</v>
      </c>
      <c r="G492" s="15">
        <v>2710000</v>
      </c>
      <c r="H492" s="14">
        <v>0.13075929750140999</v>
      </c>
      <c r="I492" s="27">
        <f t="shared" si="7"/>
        <v>2355642.3037711792</v>
      </c>
      <c r="J492">
        <v>3.4</v>
      </c>
      <c r="K492" t="b">
        <v>1</v>
      </c>
    </row>
    <row r="493" spans="1:11" ht="16" x14ac:dyDescent="0.2">
      <c r="A493" s="16">
        <v>44849</v>
      </c>
      <c r="B493" t="s">
        <v>33</v>
      </c>
      <c r="C493" t="s">
        <v>19</v>
      </c>
      <c r="D493" t="s">
        <v>20</v>
      </c>
      <c r="E493" t="str">
        <f>E492</f>
        <v>Huế</v>
      </c>
      <c r="F493">
        <v>2</v>
      </c>
      <c r="G493" s="15">
        <v>2710000</v>
      </c>
      <c r="H493" s="14">
        <v>0.13075929750140999</v>
      </c>
      <c r="I493" s="27">
        <f t="shared" si="7"/>
        <v>2355642.3037711792</v>
      </c>
      <c r="J493">
        <v>5</v>
      </c>
      <c r="K493" t="b">
        <v>0</v>
      </c>
    </row>
    <row r="494" spans="1:11" ht="16" x14ac:dyDescent="0.2">
      <c r="A494" s="16">
        <v>44849</v>
      </c>
      <c r="B494" t="s">
        <v>45</v>
      </c>
      <c r="C494" t="s">
        <v>25</v>
      </c>
      <c r="D494" t="s">
        <v>50</v>
      </c>
      <c r="E494" t="s">
        <v>7640</v>
      </c>
      <c r="F494">
        <v>3</v>
      </c>
      <c r="G494" s="15">
        <v>2710000</v>
      </c>
      <c r="H494" s="14">
        <v>0.13075929750140999</v>
      </c>
      <c r="I494" s="27">
        <f t="shared" si="7"/>
        <v>2355642.3037711792</v>
      </c>
      <c r="J494">
        <v>4.8</v>
      </c>
      <c r="K494" t="b">
        <v>0</v>
      </c>
    </row>
    <row r="495" spans="1:11" ht="16" x14ac:dyDescent="0.2">
      <c r="A495" s="16">
        <v>44850</v>
      </c>
      <c r="B495" t="s">
        <v>45</v>
      </c>
      <c r="C495" t="s">
        <v>19</v>
      </c>
      <c r="D495" t="s">
        <v>35</v>
      </c>
      <c r="E495" t="s">
        <v>7640</v>
      </c>
      <c r="F495">
        <v>4</v>
      </c>
      <c r="G495" s="15">
        <v>2710000</v>
      </c>
      <c r="H495" s="14">
        <v>0.13075929750140999</v>
      </c>
      <c r="I495" s="27">
        <f t="shared" si="7"/>
        <v>2355642.3037711792</v>
      </c>
      <c r="J495">
        <v>4.3</v>
      </c>
      <c r="K495" t="b">
        <v>1</v>
      </c>
    </row>
    <row r="496" spans="1:11" ht="16" x14ac:dyDescent="0.2">
      <c r="A496" s="16">
        <v>44850</v>
      </c>
      <c r="B496" t="s">
        <v>33</v>
      </c>
      <c r="C496" t="s">
        <v>34</v>
      </c>
      <c r="D496" t="s">
        <v>35</v>
      </c>
      <c r="E496" t="s">
        <v>7637</v>
      </c>
      <c r="F496">
        <v>2</v>
      </c>
      <c r="G496" s="15">
        <v>2710000</v>
      </c>
      <c r="H496" s="14">
        <v>0.13075929750140999</v>
      </c>
      <c r="I496" s="27">
        <f t="shared" si="7"/>
        <v>2355642.3037711792</v>
      </c>
      <c r="J496">
        <v>4.0999999999999996</v>
      </c>
      <c r="K496" t="b">
        <v>1</v>
      </c>
    </row>
    <row r="497" spans="1:11" ht="16" x14ac:dyDescent="0.2">
      <c r="A497" s="16">
        <v>44851</v>
      </c>
      <c r="B497" t="s">
        <v>33</v>
      </c>
      <c r="C497" t="s">
        <v>45</v>
      </c>
      <c r="D497" t="str">
        <f>D496</f>
        <v>Mobile App</v>
      </c>
      <c r="E497" t="s">
        <v>7638</v>
      </c>
      <c r="F497">
        <v>4</v>
      </c>
      <c r="G497" s="15">
        <v>2710000</v>
      </c>
      <c r="H497" s="14">
        <v>0.13075929750140999</v>
      </c>
      <c r="I497" s="27">
        <f t="shared" si="7"/>
        <v>2355642.3037711792</v>
      </c>
      <c r="J497">
        <v>4.4000000000000004</v>
      </c>
      <c r="K497" t="b">
        <v>1</v>
      </c>
    </row>
    <row r="498" spans="1:11" ht="16" x14ac:dyDescent="0.2">
      <c r="A498" s="16">
        <v>44852</v>
      </c>
      <c r="B498" t="s">
        <v>18</v>
      </c>
      <c r="C498" t="s">
        <v>45</v>
      </c>
      <c r="D498" t="s">
        <v>35</v>
      </c>
      <c r="E498" t="s">
        <v>7637</v>
      </c>
      <c r="F498">
        <v>1</v>
      </c>
      <c r="G498" s="15">
        <v>2710000</v>
      </c>
      <c r="H498" s="14">
        <v>0.13075929750140999</v>
      </c>
      <c r="I498" s="27">
        <f t="shared" si="7"/>
        <v>2355642.3037711792</v>
      </c>
      <c r="J498">
        <v>4.0999999999999996</v>
      </c>
      <c r="K498" t="b">
        <v>0</v>
      </c>
    </row>
    <row r="499" spans="1:11" ht="16" x14ac:dyDescent="0.2">
      <c r="A499" s="16">
        <v>44852</v>
      </c>
      <c r="B499" t="s">
        <v>45</v>
      </c>
      <c r="C499" t="s">
        <v>34</v>
      </c>
      <c r="D499" t="s">
        <v>35</v>
      </c>
      <c r="E499" t="s">
        <v>7644</v>
      </c>
      <c r="F499">
        <v>2</v>
      </c>
      <c r="G499" s="15">
        <v>2710000</v>
      </c>
      <c r="H499" s="14">
        <v>0.13075929750140999</v>
      </c>
      <c r="I499" s="27">
        <f t="shared" si="7"/>
        <v>2355642.3037711792</v>
      </c>
      <c r="J499">
        <v>3.9</v>
      </c>
      <c r="K499" t="b">
        <v>0</v>
      </c>
    </row>
    <row r="500" spans="1:11" ht="16" x14ac:dyDescent="0.2">
      <c r="A500" s="16">
        <v>44853</v>
      </c>
      <c r="B500" t="s">
        <v>33</v>
      </c>
      <c r="C500" t="s">
        <v>19</v>
      </c>
      <c r="D500" t="s">
        <v>20</v>
      </c>
      <c r="E500" t="s">
        <v>7637</v>
      </c>
      <c r="F500">
        <v>2</v>
      </c>
      <c r="G500" s="15">
        <v>2710000</v>
      </c>
      <c r="H500" s="14">
        <v>0.13075929750140999</v>
      </c>
      <c r="I500" s="27">
        <f t="shared" si="7"/>
        <v>2355642.3037711792</v>
      </c>
      <c r="J500">
        <v>4.2</v>
      </c>
      <c r="K500" t="b">
        <v>1</v>
      </c>
    </row>
    <row r="501" spans="1:11" ht="16" x14ac:dyDescent="0.2">
      <c r="A501" s="16">
        <v>44854</v>
      </c>
      <c r="B501" t="s">
        <v>18</v>
      </c>
      <c r="C501" t="s">
        <v>34</v>
      </c>
      <c r="D501" t="s">
        <v>50</v>
      </c>
      <c r="E501" t="s">
        <v>7640</v>
      </c>
      <c r="F501">
        <v>2</v>
      </c>
      <c r="G501" s="15">
        <v>2710000</v>
      </c>
      <c r="H501" s="14">
        <v>0.13075929750140999</v>
      </c>
      <c r="I501" s="27">
        <f t="shared" si="7"/>
        <v>2355642.3037711792</v>
      </c>
      <c r="J501">
        <v>3.8</v>
      </c>
      <c r="K501" t="b">
        <v>1</v>
      </c>
    </row>
    <row r="502" spans="1:11" ht="16" x14ac:dyDescent="0.2">
      <c r="A502" s="16">
        <v>44855</v>
      </c>
      <c r="B502" t="s">
        <v>45</v>
      </c>
      <c r="C502" t="s">
        <v>34</v>
      </c>
      <c r="D502" t="s">
        <v>35</v>
      </c>
      <c r="E502" t="s">
        <v>7643</v>
      </c>
      <c r="F502">
        <v>4</v>
      </c>
      <c r="G502" s="15">
        <v>2710000</v>
      </c>
      <c r="H502" s="14">
        <v>0.13075929750140999</v>
      </c>
      <c r="I502" s="27">
        <f t="shared" si="7"/>
        <v>2355642.3037711792</v>
      </c>
      <c r="J502">
        <v>4.3</v>
      </c>
      <c r="K502" t="b">
        <v>1</v>
      </c>
    </row>
    <row r="503" spans="1:11" ht="16" x14ac:dyDescent="0.2">
      <c r="A503" s="16">
        <v>44855</v>
      </c>
      <c r="B503" t="s">
        <v>18</v>
      </c>
      <c r="C503" t="s">
        <v>39</v>
      </c>
      <c r="D503" t="s">
        <v>46</v>
      </c>
      <c r="E503" t="s">
        <v>7643</v>
      </c>
      <c r="F503">
        <v>1</v>
      </c>
      <c r="G503" s="15">
        <v>2710000</v>
      </c>
      <c r="H503" s="14">
        <v>0.13075929750140999</v>
      </c>
      <c r="I503" s="27">
        <f t="shared" si="7"/>
        <v>2355642.3037711792</v>
      </c>
      <c r="J503">
        <v>4</v>
      </c>
      <c r="K503" t="b">
        <v>0</v>
      </c>
    </row>
    <row r="504" spans="1:11" ht="16" x14ac:dyDescent="0.2">
      <c r="A504" s="16">
        <v>44856</v>
      </c>
      <c r="B504" t="s">
        <v>45</v>
      </c>
      <c r="C504" t="s">
        <v>19</v>
      </c>
      <c r="D504" t="s">
        <v>20</v>
      </c>
      <c r="E504" t="s">
        <v>7644</v>
      </c>
      <c r="F504">
        <v>2</v>
      </c>
      <c r="G504" s="15">
        <v>2710000</v>
      </c>
      <c r="H504" s="14">
        <v>0.13075929750140999</v>
      </c>
      <c r="I504" s="27">
        <f t="shared" si="7"/>
        <v>2355642.3037711792</v>
      </c>
      <c r="J504">
        <v>4.9000000000000004</v>
      </c>
      <c r="K504" t="b">
        <v>1</v>
      </c>
    </row>
    <row r="505" spans="1:11" ht="16" x14ac:dyDescent="0.2">
      <c r="A505" s="16">
        <v>44856</v>
      </c>
      <c r="B505" t="s">
        <v>29</v>
      </c>
      <c r="C505" t="s">
        <v>39</v>
      </c>
      <c r="D505" t="s">
        <v>50</v>
      </c>
      <c r="E505" t="s">
        <v>7637</v>
      </c>
      <c r="F505">
        <v>2</v>
      </c>
      <c r="G505" s="15">
        <v>2710000</v>
      </c>
      <c r="H505" s="14">
        <v>0.13075929750140999</v>
      </c>
      <c r="I505" s="27">
        <f t="shared" si="7"/>
        <v>2355642.3037711792</v>
      </c>
      <c r="J505">
        <v>3.7</v>
      </c>
      <c r="K505" t="b">
        <v>1</v>
      </c>
    </row>
    <row r="506" spans="1:11" ht="16" x14ac:dyDescent="0.2">
      <c r="A506" s="16">
        <v>44856</v>
      </c>
      <c r="B506" t="s">
        <v>18</v>
      </c>
      <c r="C506" t="s">
        <v>34</v>
      </c>
      <c r="D506" t="s">
        <v>46</v>
      </c>
      <c r="E506" t="str">
        <f>E505</f>
        <v>Đà Nẵng</v>
      </c>
      <c r="F506">
        <v>1</v>
      </c>
      <c r="G506" s="15">
        <v>2710000</v>
      </c>
      <c r="H506" s="14">
        <v>0.13075929750140999</v>
      </c>
      <c r="I506" s="27">
        <f t="shared" si="7"/>
        <v>2355642.3037711792</v>
      </c>
      <c r="J506">
        <v>4.0999999999999996</v>
      </c>
      <c r="K506" t="b">
        <v>0</v>
      </c>
    </row>
    <row r="507" spans="1:11" ht="16" x14ac:dyDescent="0.2">
      <c r="A507" s="16">
        <v>44857</v>
      </c>
      <c r="B507" t="s">
        <v>33</v>
      </c>
      <c r="C507" t="s">
        <v>34</v>
      </c>
      <c r="D507" t="s">
        <v>35</v>
      </c>
      <c r="E507" t="s">
        <v>7639</v>
      </c>
      <c r="F507">
        <v>4</v>
      </c>
      <c r="G507" s="15">
        <v>2710000</v>
      </c>
      <c r="H507" s="14">
        <v>0.13075929750140999</v>
      </c>
      <c r="I507" s="27">
        <f t="shared" si="7"/>
        <v>2355642.3037711792</v>
      </c>
      <c r="J507">
        <v>4.3</v>
      </c>
      <c r="K507" t="b">
        <v>1</v>
      </c>
    </row>
    <row r="508" spans="1:11" ht="16" x14ac:dyDescent="0.2">
      <c r="A508" s="16">
        <v>44857</v>
      </c>
      <c r="B508" t="s">
        <v>29</v>
      </c>
      <c r="C508" t="s">
        <v>68</v>
      </c>
      <c r="D508" t="s">
        <v>50</v>
      </c>
      <c r="E508" t="s">
        <v>7640</v>
      </c>
      <c r="F508">
        <v>2</v>
      </c>
      <c r="G508" s="15">
        <v>2710000</v>
      </c>
      <c r="H508" s="14">
        <v>0.13075929750140999</v>
      </c>
      <c r="I508" s="27">
        <f t="shared" si="7"/>
        <v>2355642.3037711792</v>
      </c>
      <c r="J508">
        <v>4.8</v>
      </c>
      <c r="K508" t="b">
        <v>1</v>
      </c>
    </row>
    <row r="509" spans="1:11" ht="16" x14ac:dyDescent="0.2">
      <c r="A509" s="16">
        <v>44858</v>
      </c>
      <c r="B509" t="s">
        <v>29</v>
      </c>
      <c r="C509" t="s">
        <v>25</v>
      </c>
      <c r="D509" t="str">
        <f>D508</f>
        <v>Agent</v>
      </c>
      <c r="E509" t="s">
        <v>7637</v>
      </c>
      <c r="F509">
        <v>1</v>
      </c>
      <c r="G509" s="15">
        <v>2710000</v>
      </c>
      <c r="H509" s="14">
        <v>0.13075929750140999</v>
      </c>
      <c r="I509" s="27">
        <f t="shared" si="7"/>
        <v>2355642.3037711792</v>
      </c>
      <c r="J509">
        <v>4.3</v>
      </c>
      <c r="K509" t="b">
        <v>0</v>
      </c>
    </row>
    <row r="510" spans="1:11" ht="16" x14ac:dyDescent="0.2">
      <c r="A510" s="16">
        <v>44858</v>
      </c>
      <c r="B510" t="s">
        <v>33</v>
      </c>
      <c r="C510" t="s">
        <v>19</v>
      </c>
      <c r="D510" t="s">
        <v>46</v>
      </c>
      <c r="E510" t="s">
        <v>7640</v>
      </c>
      <c r="F510">
        <v>1</v>
      </c>
      <c r="G510" s="15">
        <v>2710000</v>
      </c>
      <c r="H510" s="14">
        <v>0.13075929750140999</v>
      </c>
      <c r="I510" s="27">
        <f t="shared" si="7"/>
        <v>2355642.3037711792</v>
      </c>
      <c r="J510">
        <v>4.2</v>
      </c>
      <c r="K510" t="b">
        <v>0</v>
      </c>
    </row>
    <row r="511" spans="1:11" ht="16" x14ac:dyDescent="0.2">
      <c r="A511" s="16">
        <v>44859</v>
      </c>
      <c r="B511" t="s">
        <v>33</v>
      </c>
      <c r="C511" t="s">
        <v>25</v>
      </c>
      <c r="D511" t="s">
        <v>35</v>
      </c>
      <c r="E511" t="s">
        <v>7641</v>
      </c>
      <c r="F511">
        <v>3</v>
      </c>
      <c r="G511" s="15">
        <v>2710000</v>
      </c>
      <c r="H511" s="14">
        <v>0.13075929750140999</v>
      </c>
      <c r="I511" s="27">
        <f t="shared" si="7"/>
        <v>2355642.3037711792</v>
      </c>
      <c r="J511">
        <v>3.8</v>
      </c>
      <c r="K511" t="b">
        <v>0</v>
      </c>
    </row>
    <row r="512" spans="1:11" ht="16" x14ac:dyDescent="0.2">
      <c r="A512" s="16">
        <v>44859</v>
      </c>
      <c r="B512" t="s">
        <v>18</v>
      </c>
      <c r="C512" t="s">
        <v>39</v>
      </c>
      <c r="D512" t="s">
        <v>20</v>
      </c>
      <c r="E512" t="s">
        <v>7639</v>
      </c>
      <c r="F512">
        <v>3</v>
      </c>
      <c r="G512" s="15">
        <v>2710000</v>
      </c>
      <c r="H512" s="14">
        <v>0.13075929750140999</v>
      </c>
      <c r="I512" s="27">
        <f t="shared" si="7"/>
        <v>2355642.3037711792</v>
      </c>
      <c r="J512">
        <v>4.7</v>
      </c>
      <c r="K512" t="b">
        <v>0</v>
      </c>
    </row>
    <row r="513" spans="1:11" ht="16" x14ac:dyDescent="0.2">
      <c r="A513" s="16">
        <v>44859</v>
      </c>
      <c r="B513" t="s">
        <v>18</v>
      </c>
      <c r="C513" t="s">
        <v>34</v>
      </c>
      <c r="D513" t="s">
        <v>20</v>
      </c>
      <c r="E513" t="s">
        <v>7641</v>
      </c>
      <c r="F513">
        <v>3</v>
      </c>
      <c r="G513" s="15">
        <v>2710000</v>
      </c>
      <c r="H513" s="14">
        <v>0.13075929750140999</v>
      </c>
      <c r="I513" s="27">
        <f t="shared" si="7"/>
        <v>2355642.3037711792</v>
      </c>
      <c r="J513">
        <v>4.9000000000000004</v>
      </c>
      <c r="K513" t="b">
        <v>1</v>
      </c>
    </row>
    <row r="514" spans="1:11" ht="16" x14ac:dyDescent="0.2">
      <c r="A514" s="16">
        <v>44860</v>
      </c>
      <c r="B514" t="s">
        <v>18</v>
      </c>
      <c r="C514" t="s">
        <v>45</v>
      </c>
      <c r="D514" t="s">
        <v>20</v>
      </c>
      <c r="E514" t="s">
        <v>7642</v>
      </c>
      <c r="F514">
        <v>4</v>
      </c>
      <c r="G514" s="15">
        <v>2710000</v>
      </c>
      <c r="H514" s="14">
        <v>0.13075929750140999</v>
      </c>
      <c r="I514" s="27">
        <f t="shared" si="7"/>
        <v>2355642.3037711792</v>
      </c>
      <c r="J514">
        <v>4.4000000000000004</v>
      </c>
      <c r="K514" t="b">
        <v>1</v>
      </c>
    </row>
    <row r="515" spans="1:11" ht="16" x14ac:dyDescent="0.2">
      <c r="A515" s="16">
        <v>44860</v>
      </c>
      <c r="B515" t="s">
        <v>33</v>
      </c>
      <c r="C515" t="s">
        <v>34</v>
      </c>
      <c r="D515" t="s">
        <v>20</v>
      </c>
      <c r="E515" t="s">
        <v>7643</v>
      </c>
      <c r="F515">
        <v>1</v>
      </c>
      <c r="G515" s="15">
        <v>2710000</v>
      </c>
      <c r="H515" s="14">
        <v>0.13075929750140999</v>
      </c>
      <c r="I515" s="27">
        <f t="shared" ref="I515:I578" si="8">G515-G515*H515</f>
        <v>2355642.3037711792</v>
      </c>
      <c r="J515">
        <v>4.0999999999999996</v>
      </c>
      <c r="K515" t="b">
        <v>0</v>
      </c>
    </row>
    <row r="516" spans="1:11" ht="16" x14ac:dyDescent="0.2">
      <c r="A516" s="16">
        <v>44861</v>
      </c>
      <c r="B516" t="s">
        <v>45</v>
      </c>
      <c r="C516" t="s">
        <v>25</v>
      </c>
      <c r="D516" t="s">
        <v>20</v>
      </c>
      <c r="E516" t="s">
        <v>7637</v>
      </c>
      <c r="F516">
        <v>1</v>
      </c>
      <c r="G516" s="15">
        <v>2710000</v>
      </c>
      <c r="H516" s="14">
        <v>0.13075929750140999</v>
      </c>
      <c r="I516" s="27">
        <f t="shared" si="8"/>
        <v>2355642.3037711792</v>
      </c>
      <c r="J516">
        <v>4</v>
      </c>
      <c r="K516" t="b">
        <v>1</v>
      </c>
    </row>
    <row r="517" spans="1:11" ht="16" x14ac:dyDescent="0.2">
      <c r="A517" s="16">
        <v>44861</v>
      </c>
      <c r="B517" t="s">
        <v>45</v>
      </c>
      <c r="C517" t="s">
        <v>19</v>
      </c>
      <c r="D517" t="s">
        <v>50</v>
      </c>
      <c r="E517" t="s">
        <v>57</v>
      </c>
      <c r="F517">
        <v>1</v>
      </c>
      <c r="G517" s="15">
        <v>2710000</v>
      </c>
      <c r="H517" s="14">
        <v>0.13075929750140999</v>
      </c>
      <c r="I517" s="27">
        <f t="shared" si="8"/>
        <v>2355642.3037711792</v>
      </c>
      <c r="J517">
        <v>3.8</v>
      </c>
      <c r="K517" t="b">
        <v>1</v>
      </c>
    </row>
    <row r="518" spans="1:11" ht="16" x14ac:dyDescent="0.2">
      <c r="A518" s="16">
        <v>44862</v>
      </c>
      <c r="B518" t="str">
        <f>B517</f>
        <v>Family</v>
      </c>
      <c r="C518" t="s">
        <v>45</v>
      </c>
      <c r="D518" t="s">
        <v>50</v>
      </c>
      <c r="E518" t="s">
        <v>7640</v>
      </c>
      <c r="F518">
        <v>2</v>
      </c>
      <c r="G518" s="15">
        <v>2710000</v>
      </c>
      <c r="H518" s="14">
        <v>0.13075929750140999</v>
      </c>
      <c r="I518" s="27">
        <f t="shared" si="8"/>
        <v>2355642.3037711792</v>
      </c>
      <c r="J518">
        <v>4.9000000000000004</v>
      </c>
      <c r="K518" t="b">
        <v>0</v>
      </c>
    </row>
    <row r="519" spans="1:11" ht="16" x14ac:dyDescent="0.2">
      <c r="A519" s="16">
        <v>44862</v>
      </c>
      <c r="B519" t="s">
        <v>45</v>
      </c>
      <c r="C519" t="s">
        <v>19</v>
      </c>
      <c r="D519" t="s">
        <v>50</v>
      </c>
      <c r="E519" t="s">
        <v>7637</v>
      </c>
      <c r="F519">
        <v>4</v>
      </c>
      <c r="G519" s="15">
        <v>2710000</v>
      </c>
      <c r="H519" s="14">
        <v>0.13075929750140999</v>
      </c>
      <c r="I519" s="27">
        <f t="shared" si="8"/>
        <v>2355642.3037711792</v>
      </c>
      <c r="J519">
        <v>4.0999999999999996</v>
      </c>
      <c r="K519" t="b">
        <v>0</v>
      </c>
    </row>
    <row r="520" spans="1:11" ht="16" x14ac:dyDescent="0.2">
      <c r="A520" s="16">
        <v>44862</v>
      </c>
      <c r="B520" t="s">
        <v>18</v>
      </c>
      <c r="C520" t="s">
        <v>19</v>
      </c>
      <c r="D520" t="s">
        <v>35</v>
      </c>
      <c r="E520" t="s">
        <v>99</v>
      </c>
      <c r="F520">
        <v>2</v>
      </c>
      <c r="G520" s="15">
        <v>2710000</v>
      </c>
      <c r="H520" s="14">
        <v>0.13075929750140999</v>
      </c>
      <c r="I520" s="27">
        <f t="shared" si="8"/>
        <v>2355642.3037711792</v>
      </c>
      <c r="J520">
        <v>5</v>
      </c>
      <c r="K520" t="b">
        <v>1</v>
      </c>
    </row>
    <row r="521" spans="1:11" ht="16" x14ac:dyDescent="0.2">
      <c r="A521" s="16">
        <v>44863</v>
      </c>
      <c r="B521" t="s">
        <v>45</v>
      </c>
      <c r="C521" t="s">
        <v>45</v>
      </c>
      <c r="D521" t="s">
        <v>50</v>
      </c>
      <c r="E521" t="s">
        <v>7644</v>
      </c>
      <c r="F521">
        <v>2</v>
      </c>
      <c r="G521" s="15">
        <v>2710000</v>
      </c>
      <c r="H521" s="14">
        <v>0.13075929750140999</v>
      </c>
      <c r="I521" s="27">
        <f t="shared" si="8"/>
        <v>2355642.3037711792</v>
      </c>
      <c r="J521">
        <v>4</v>
      </c>
      <c r="K521" t="b">
        <v>1</v>
      </c>
    </row>
    <row r="522" spans="1:11" ht="16" x14ac:dyDescent="0.2">
      <c r="A522" s="16">
        <v>44863</v>
      </c>
      <c r="B522" t="s">
        <v>45</v>
      </c>
      <c r="C522" t="s">
        <v>25</v>
      </c>
      <c r="D522" t="s">
        <v>35</v>
      </c>
      <c r="E522" t="s">
        <v>7641</v>
      </c>
      <c r="F522">
        <v>1</v>
      </c>
      <c r="G522" s="15">
        <v>2710000</v>
      </c>
      <c r="H522" s="14">
        <v>0.13075929750140999</v>
      </c>
      <c r="I522" s="27">
        <f t="shared" si="8"/>
        <v>2355642.3037711792</v>
      </c>
      <c r="J522">
        <v>4.2</v>
      </c>
      <c r="K522" t="b">
        <v>0</v>
      </c>
    </row>
    <row r="523" spans="1:11" ht="16" x14ac:dyDescent="0.2">
      <c r="A523" s="16">
        <v>44864</v>
      </c>
      <c r="B523" t="s">
        <v>18</v>
      </c>
      <c r="C523" t="s">
        <v>34</v>
      </c>
      <c r="D523" t="s">
        <v>20</v>
      </c>
      <c r="E523" t="s">
        <v>7643</v>
      </c>
      <c r="F523">
        <v>3</v>
      </c>
      <c r="G523" s="15">
        <v>2710000</v>
      </c>
      <c r="H523" s="14">
        <v>0.13075929750140999</v>
      </c>
      <c r="I523" s="27">
        <f t="shared" si="8"/>
        <v>2355642.3037711792</v>
      </c>
      <c r="J523">
        <v>4</v>
      </c>
      <c r="K523" t="b">
        <v>1</v>
      </c>
    </row>
    <row r="524" spans="1:11" ht="16" x14ac:dyDescent="0.2">
      <c r="A524" s="16">
        <v>44864</v>
      </c>
      <c r="B524" t="s">
        <v>45</v>
      </c>
      <c r="C524" t="s">
        <v>25</v>
      </c>
      <c r="D524" t="s">
        <v>20</v>
      </c>
      <c r="E524" t="s">
        <v>7637</v>
      </c>
      <c r="F524">
        <v>2</v>
      </c>
      <c r="G524" s="15">
        <v>2710000</v>
      </c>
      <c r="H524" s="14">
        <v>0.13075929750140999</v>
      </c>
      <c r="I524" s="27">
        <f t="shared" si="8"/>
        <v>2355642.3037711792</v>
      </c>
      <c r="J524">
        <v>4.3</v>
      </c>
      <c r="K524" t="b">
        <v>0</v>
      </c>
    </row>
    <row r="525" spans="1:11" ht="16" x14ac:dyDescent="0.2">
      <c r="A525" s="16">
        <v>44865</v>
      </c>
      <c r="B525" t="s">
        <v>45</v>
      </c>
      <c r="C525" t="s">
        <v>34</v>
      </c>
      <c r="D525" t="s">
        <v>20</v>
      </c>
      <c r="E525" t="s">
        <v>7642</v>
      </c>
      <c r="F525">
        <v>3</v>
      </c>
      <c r="G525" s="15">
        <v>2710000</v>
      </c>
      <c r="H525" s="14">
        <v>0.13075929750140999</v>
      </c>
      <c r="I525" s="27">
        <f t="shared" si="8"/>
        <v>2355642.3037711792</v>
      </c>
      <c r="J525">
        <v>4.4000000000000004</v>
      </c>
      <c r="K525" t="b">
        <v>1</v>
      </c>
    </row>
    <row r="526" spans="1:11" ht="16" x14ac:dyDescent="0.2">
      <c r="A526" s="16">
        <v>44866</v>
      </c>
      <c r="B526" t="s">
        <v>29</v>
      </c>
      <c r="C526" t="s">
        <v>34</v>
      </c>
      <c r="D526" t="s">
        <v>50</v>
      </c>
      <c r="E526" t="s">
        <v>7641</v>
      </c>
      <c r="F526">
        <v>3</v>
      </c>
      <c r="G526" s="15">
        <v>2710000</v>
      </c>
      <c r="H526" s="14">
        <v>0.13075929750140999</v>
      </c>
      <c r="I526" s="27">
        <f t="shared" si="8"/>
        <v>2355642.3037711792</v>
      </c>
      <c r="J526">
        <v>4.5</v>
      </c>
      <c r="K526" t="b">
        <v>1</v>
      </c>
    </row>
    <row r="527" spans="1:11" ht="16" x14ac:dyDescent="0.2">
      <c r="A527" s="16">
        <v>44866</v>
      </c>
      <c r="B527" t="s">
        <v>18</v>
      </c>
      <c r="C527" t="s">
        <v>34</v>
      </c>
      <c r="D527" t="s">
        <v>20</v>
      </c>
      <c r="E527" t="s">
        <v>7642</v>
      </c>
      <c r="F527">
        <v>1</v>
      </c>
      <c r="G527" s="15">
        <v>2710000</v>
      </c>
      <c r="H527" s="14">
        <v>0.13075929750140999</v>
      </c>
      <c r="I527" s="27">
        <f t="shared" si="8"/>
        <v>2355642.3037711792</v>
      </c>
      <c r="J527">
        <v>4.2</v>
      </c>
      <c r="K527" t="b">
        <v>0</v>
      </c>
    </row>
    <row r="528" spans="1:11" ht="16" x14ac:dyDescent="0.2">
      <c r="A528" s="16">
        <v>44867</v>
      </c>
      <c r="B528" t="s">
        <v>18</v>
      </c>
      <c r="C528" t="s">
        <v>19</v>
      </c>
      <c r="D528" t="s">
        <v>20</v>
      </c>
      <c r="E528" t="s">
        <v>7640</v>
      </c>
      <c r="F528">
        <v>1</v>
      </c>
      <c r="G528" s="15">
        <v>2710000</v>
      </c>
      <c r="H528" s="14">
        <v>0.13075929750140999</v>
      </c>
      <c r="I528" s="27">
        <f t="shared" si="8"/>
        <v>2355642.3037711792</v>
      </c>
      <c r="J528">
        <v>4.4000000000000004</v>
      </c>
      <c r="K528" t="b">
        <v>0</v>
      </c>
    </row>
    <row r="529" spans="1:11" ht="16" x14ac:dyDescent="0.2">
      <c r="A529" s="16">
        <v>44867</v>
      </c>
      <c r="B529" t="s">
        <v>45</v>
      </c>
      <c r="C529" t="s">
        <v>19</v>
      </c>
      <c r="D529" t="s">
        <v>50</v>
      </c>
      <c r="E529" t="str">
        <f>E528</f>
        <v>Hội An</v>
      </c>
      <c r="F529">
        <v>2</v>
      </c>
      <c r="G529" s="15">
        <v>2710000</v>
      </c>
      <c r="H529" s="14">
        <v>0.13075929750140999</v>
      </c>
      <c r="I529" s="27">
        <f t="shared" si="8"/>
        <v>2355642.3037711792</v>
      </c>
      <c r="J529">
        <v>3.8</v>
      </c>
      <c r="K529" t="b">
        <v>1</v>
      </c>
    </row>
    <row r="530" spans="1:11" ht="16" x14ac:dyDescent="0.2">
      <c r="A530" s="16">
        <v>44868</v>
      </c>
      <c r="B530" t="s">
        <v>33</v>
      </c>
      <c r="C530" t="s">
        <v>45</v>
      </c>
      <c r="D530" t="s">
        <v>50</v>
      </c>
      <c r="E530" t="s">
        <v>7637</v>
      </c>
      <c r="F530">
        <v>4</v>
      </c>
      <c r="G530" s="15">
        <v>2710000</v>
      </c>
      <c r="H530" s="14">
        <v>0.13075929750140999</v>
      </c>
      <c r="I530" s="27">
        <f t="shared" si="8"/>
        <v>2355642.3037711792</v>
      </c>
      <c r="J530">
        <v>4.4000000000000004</v>
      </c>
      <c r="K530" t="b">
        <v>1</v>
      </c>
    </row>
    <row r="531" spans="1:11" ht="16" x14ac:dyDescent="0.2">
      <c r="A531" s="16">
        <v>44868</v>
      </c>
      <c r="B531" t="s">
        <v>29</v>
      </c>
      <c r="C531" t="s">
        <v>34</v>
      </c>
      <c r="D531" t="s">
        <v>50</v>
      </c>
      <c r="E531" t="s">
        <v>7644</v>
      </c>
      <c r="F531">
        <v>1</v>
      </c>
      <c r="G531" s="15">
        <v>2710000</v>
      </c>
      <c r="H531" s="14">
        <v>0.13075929750140999</v>
      </c>
      <c r="I531" s="27">
        <f t="shared" si="8"/>
        <v>2355642.3037711792</v>
      </c>
      <c r="J531">
        <v>4</v>
      </c>
      <c r="K531" t="b">
        <v>1</v>
      </c>
    </row>
    <row r="532" spans="1:11" ht="16" x14ac:dyDescent="0.2">
      <c r="A532" s="16">
        <v>44868</v>
      </c>
      <c r="B532" t="s">
        <v>29</v>
      </c>
      <c r="C532" t="s">
        <v>25</v>
      </c>
      <c r="D532" t="s">
        <v>35</v>
      </c>
      <c r="E532" t="s">
        <v>7639</v>
      </c>
      <c r="F532">
        <v>2</v>
      </c>
      <c r="G532" s="15">
        <v>2710000</v>
      </c>
      <c r="H532" s="14">
        <v>0.13075929750140999</v>
      </c>
      <c r="I532" s="27">
        <f t="shared" si="8"/>
        <v>2355642.3037711792</v>
      </c>
      <c r="J532">
        <v>3.5</v>
      </c>
      <c r="K532" t="b">
        <v>1</v>
      </c>
    </row>
    <row r="533" spans="1:11" ht="16" x14ac:dyDescent="0.2">
      <c r="A533" s="16">
        <v>44869</v>
      </c>
      <c r="B533" t="s">
        <v>18</v>
      </c>
      <c r="C533" t="s">
        <v>34</v>
      </c>
      <c r="D533" t="s">
        <v>50</v>
      </c>
      <c r="E533" t="s">
        <v>7642</v>
      </c>
      <c r="F533">
        <v>1</v>
      </c>
      <c r="G533" s="15">
        <v>2710000</v>
      </c>
      <c r="H533" s="14">
        <v>0.13075929750140999</v>
      </c>
      <c r="I533" s="27">
        <f t="shared" si="8"/>
        <v>2355642.3037711792</v>
      </c>
      <c r="J533">
        <v>4.9000000000000004</v>
      </c>
      <c r="K533" t="b">
        <v>0</v>
      </c>
    </row>
    <row r="534" spans="1:11" ht="16" x14ac:dyDescent="0.2">
      <c r="A534" s="16">
        <v>44869</v>
      </c>
      <c r="B534" t="s">
        <v>45</v>
      </c>
      <c r="C534" t="s">
        <v>45</v>
      </c>
      <c r="D534" t="s">
        <v>20</v>
      </c>
      <c r="E534" t="s">
        <v>7644</v>
      </c>
      <c r="F534">
        <v>2</v>
      </c>
      <c r="G534" s="15">
        <v>2710000</v>
      </c>
      <c r="H534" s="14">
        <v>0.13075929750140999</v>
      </c>
      <c r="I534" s="27">
        <f t="shared" si="8"/>
        <v>2355642.3037711792</v>
      </c>
      <c r="J534">
        <v>4.5</v>
      </c>
      <c r="K534" t="b">
        <v>1</v>
      </c>
    </row>
    <row r="535" spans="1:11" ht="16" x14ac:dyDescent="0.2">
      <c r="A535" s="16">
        <v>44870</v>
      </c>
      <c r="B535" t="s">
        <v>45</v>
      </c>
      <c r="C535" t="s">
        <v>19</v>
      </c>
      <c r="D535" t="s">
        <v>35</v>
      </c>
      <c r="E535" t="s">
        <v>7643</v>
      </c>
      <c r="F535">
        <v>2</v>
      </c>
      <c r="G535" s="15">
        <v>2710000</v>
      </c>
      <c r="H535" s="14">
        <v>0.13075929750140999</v>
      </c>
      <c r="I535" s="27">
        <f t="shared" si="8"/>
        <v>2355642.3037711792</v>
      </c>
      <c r="J535">
        <v>4.0999999999999996</v>
      </c>
      <c r="K535" t="b">
        <v>1</v>
      </c>
    </row>
    <row r="536" spans="1:11" ht="16" x14ac:dyDescent="0.2">
      <c r="A536" s="16">
        <v>44870</v>
      </c>
      <c r="B536" t="s">
        <v>33</v>
      </c>
      <c r="C536" t="s">
        <v>68</v>
      </c>
      <c r="D536" t="s">
        <v>20</v>
      </c>
      <c r="E536" t="s">
        <v>57</v>
      </c>
      <c r="F536">
        <v>3</v>
      </c>
      <c r="G536" s="15">
        <v>2710000</v>
      </c>
      <c r="H536" s="14">
        <v>0.13075929750140999</v>
      </c>
      <c r="I536" s="27">
        <f t="shared" si="8"/>
        <v>2355642.3037711792</v>
      </c>
      <c r="J536">
        <v>4.7</v>
      </c>
      <c r="K536" t="b">
        <v>1</v>
      </c>
    </row>
    <row r="537" spans="1:11" ht="16" x14ac:dyDescent="0.2">
      <c r="A537" s="16">
        <v>44871</v>
      </c>
      <c r="B537" t="s">
        <v>33</v>
      </c>
      <c r="C537" t="s">
        <v>34</v>
      </c>
      <c r="D537" t="s">
        <v>50</v>
      </c>
      <c r="E537" t="s">
        <v>7639</v>
      </c>
      <c r="F537">
        <v>2</v>
      </c>
      <c r="G537" s="15">
        <v>2710000</v>
      </c>
      <c r="H537" s="14">
        <v>0.13075929750140999</v>
      </c>
      <c r="I537" s="27">
        <f t="shared" si="8"/>
        <v>2355642.3037711792</v>
      </c>
      <c r="J537">
        <v>4.5</v>
      </c>
      <c r="K537" t="b">
        <v>1</v>
      </c>
    </row>
    <row r="538" spans="1:11" ht="16" x14ac:dyDescent="0.2">
      <c r="A538" s="16">
        <v>44871</v>
      </c>
      <c r="B538" t="s">
        <v>18</v>
      </c>
      <c r="C538" t="s">
        <v>34</v>
      </c>
      <c r="D538" t="str">
        <f>D537</f>
        <v>Agent</v>
      </c>
      <c r="E538" t="s">
        <v>7637</v>
      </c>
      <c r="F538">
        <v>1</v>
      </c>
      <c r="G538" s="15">
        <v>2710000</v>
      </c>
      <c r="H538" s="14">
        <v>0.13075929750140999</v>
      </c>
      <c r="I538" s="27">
        <f t="shared" si="8"/>
        <v>2355642.3037711792</v>
      </c>
      <c r="J538">
        <v>3.2</v>
      </c>
      <c r="K538" t="b">
        <v>1</v>
      </c>
    </row>
    <row r="539" spans="1:11" ht="16" x14ac:dyDescent="0.2">
      <c r="A539" s="16">
        <v>44872</v>
      </c>
      <c r="B539" t="s">
        <v>18</v>
      </c>
      <c r="C539" t="s">
        <v>45</v>
      </c>
      <c r="D539" t="s">
        <v>20</v>
      </c>
      <c r="E539" t="s">
        <v>7642</v>
      </c>
      <c r="F539">
        <v>3</v>
      </c>
      <c r="G539" s="15">
        <v>2710000</v>
      </c>
      <c r="H539" s="14">
        <v>0.13075929750140999</v>
      </c>
      <c r="I539" s="27">
        <f t="shared" si="8"/>
        <v>2355642.3037711792</v>
      </c>
      <c r="J539">
        <v>4.5999999999999996</v>
      </c>
      <c r="K539" t="b">
        <v>1</v>
      </c>
    </row>
    <row r="540" spans="1:11" ht="16" x14ac:dyDescent="0.2">
      <c r="A540" s="16">
        <v>44873</v>
      </c>
      <c r="B540" t="s">
        <v>33</v>
      </c>
      <c r="C540" t="s">
        <v>45</v>
      </c>
      <c r="D540" t="s">
        <v>20</v>
      </c>
      <c r="E540" t="s">
        <v>7641</v>
      </c>
      <c r="F540">
        <v>1</v>
      </c>
      <c r="G540" s="15">
        <v>2710000</v>
      </c>
      <c r="H540" s="14">
        <v>0.13075929750140999</v>
      </c>
      <c r="I540" s="27">
        <f t="shared" si="8"/>
        <v>2355642.3037711792</v>
      </c>
      <c r="J540">
        <v>4.5999999999999996</v>
      </c>
      <c r="K540" t="b">
        <v>1</v>
      </c>
    </row>
    <row r="541" spans="1:11" ht="16" x14ac:dyDescent="0.2">
      <c r="A541" s="16">
        <v>44874</v>
      </c>
      <c r="B541" t="s">
        <v>18</v>
      </c>
      <c r="C541" t="s">
        <v>68</v>
      </c>
      <c r="D541" t="s">
        <v>35</v>
      </c>
      <c r="E541" t="s">
        <v>7640</v>
      </c>
      <c r="F541">
        <v>4</v>
      </c>
      <c r="G541" s="15">
        <v>2710000</v>
      </c>
      <c r="H541" s="14">
        <v>0.13075929750140999</v>
      </c>
      <c r="I541" s="27">
        <f t="shared" si="8"/>
        <v>2355642.3037711792</v>
      </c>
      <c r="J541">
        <v>3.7</v>
      </c>
      <c r="K541" t="b">
        <v>1</v>
      </c>
    </row>
    <row r="542" spans="1:11" ht="16" x14ac:dyDescent="0.2">
      <c r="A542" s="16">
        <v>44874</v>
      </c>
      <c r="B542" t="s">
        <v>18</v>
      </c>
      <c r="C542" t="s">
        <v>19</v>
      </c>
      <c r="D542" t="s">
        <v>50</v>
      </c>
      <c r="E542" t="s">
        <v>99</v>
      </c>
      <c r="F542">
        <v>3</v>
      </c>
      <c r="G542" s="15">
        <v>2710000</v>
      </c>
      <c r="H542" s="14">
        <v>0.13075929750140999</v>
      </c>
      <c r="I542" s="27">
        <f t="shared" si="8"/>
        <v>2355642.3037711792</v>
      </c>
      <c r="J542">
        <v>4.5999999999999996</v>
      </c>
      <c r="K542" t="b">
        <v>1</v>
      </c>
    </row>
    <row r="543" spans="1:11" ht="16" x14ac:dyDescent="0.2">
      <c r="A543" s="16">
        <v>44875</v>
      </c>
      <c r="B543" t="s">
        <v>45</v>
      </c>
      <c r="C543" t="s">
        <v>19</v>
      </c>
      <c r="D543" t="s">
        <v>20</v>
      </c>
      <c r="E543" t="s">
        <v>7638</v>
      </c>
      <c r="F543">
        <v>2</v>
      </c>
      <c r="G543" s="15">
        <v>2710000</v>
      </c>
      <c r="H543" s="14">
        <v>0.13075929750140999</v>
      </c>
      <c r="I543" s="27">
        <f t="shared" si="8"/>
        <v>2355642.3037711792</v>
      </c>
      <c r="J543">
        <v>3.9</v>
      </c>
      <c r="K543" t="b">
        <v>1</v>
      </c>
    </row>
    <row r="544" spans="1:11" ht="16" x14ac:dyDescent="0.2">
      <c r="A544" s="16">
        <v>44875</v>
      </c>
      <c r="B544" t="s">
        <v>29</v>
      </c>
      <c r="C544" t="s">
        <v>45</v>
      </c>
      <c r="D544" t="s">
        <v>20</v>
      </c>
      <c r="E544" t="s">
        <v>7642</v>
      </c>
      <c r="F544">
        <v>3</v>
      </c>
      <c r="G544" s="15">
        <v>2710000</v>
      </c>
      <c r="H544" s="14">
        <v>0.13075929750140999</v>
      </c>
      <c r="I544" s="27">
        <f t="shared" si="8"/>
        <v>2355642.3037711792</v>
      </c>
      <c r="J544">
        <v>4.8</v>
      </c>
      <c r="K544" t="b">
        <v>0</v>
      </c>
    </row>
    <row r="545" spans="1:11" ht="16" x14ac:dyDescent="0.2">
      <c r="A545" s="16">
        <v>44876</v>
      </c>
      <c r="B545" t="s">
        <v>33</v>
      </c>
      <c r="C545" t="s">
        <v>68</v>
      </c>
      <c r="D545" t="str">
        <f>D544</f>
        <v>Website</v>
      </c>
      <c r="E545" t="s">
        <v>7637</v>
      </c>
      <c r="F545">
        <v>3</v>
      </c>
      <c r="G545" s="15">
        <v>2710000</v>
      </c>
      <c r="H545" s="14">
        <v>0.13075929750140999</v>
      </c>
      <c r="I545" s="27">
        <f t="shared" si="8"/>
        <v>2355642.3037711792</v>
      </c>
      <c r="J545">
        <v>4.2</v>
      </c>
      <c r="K545" t="b">
        <v>1</v>
      </c>
    </row>
    <row r="546" spans="1:11" ht="16" x14ac:dyDescent="0.2">
      <c r="A546" s="16">
        <v>44877</v>
      </c>
      <c r="B546" t="s">
        <v>18</v>
      </c>
      <c r="C546" t="s">
        <v>45</v>
      </c>
      <c r="D546" t="str">
        <f>D545</f>
        <v>Website</v>
      </c>
      <c r="E546" t="s">
        <v>57</v>
      </c>
      <c r="F546">
        <v>2</v>
      </c>
      <c r="G546" s="15">
        <v>2710000</v>
      </c>
      <c r="H546" s="14">
        <v>0.13075929750140999</v>
      </c>
      <c r="I546" s="27">
        <f t="shared" si="8"/>
        <v>2355642.3037711792</v>
      </c>
      <c r="J546">
        <v>4.0999999999999996</v>
      </c>
      <c r="K546" t="b">
        <v>0</v>
      </c>
    </row>
    <row r="547" spans="1:11" ht="16" x14ac:dyDescent="0.2">
      <c r="A547" s="16">
        <v>44877</v>
      </c>
      <c r="B547" t="s">
        <v>45</v>
      </c>
      <c r="C547" t="s">
        <v>45</v>
      </c>
      <c r="D547" t="s">
        <v>35</v>
      </c>
      <c r="E547" t="str">
        <f>E546</f>
        <v>Nha Trang</v>
      </c>
      <c r="F547">
        <v>2</v>
      </c>
      <c r="G547" s="15">
        <v>2710000</v>
      </c>
      <c r="H547" s="14">
        <v>0.13075929750140999</v>
      </c>
      <c r="I547" s="27">
        <f t="shared" si="8"/>
        <v>2355642.3037711792</v>
      </c>
      <c r="J547">
        <v>4.5999999999999996</v>
      </c>
      <c r="K547" t="b">
        <v>1</v>
      </c>
    </row>
    <row r="548" spans="1:11" ht="16" x14ac:dyDescent="0.2">
      <c r="A548" s="16">
        <v>44877</v>
      </c>
      <c r="B548" t="s">
        <v>18</v>
      </c>
      <c r="C548" t="s">
        <v>19</v>
      </c>
      <c r="D548" t="s">
        <v>20</v>
      </c>
      <c r="E548" t="s">
        <v>7643</v>
      </c>
      <c r="F548">
        <v>1</v>
      </c>
      <c r="G548" s="15">
        <v>2710000</v>
      </c>
      <c r="H548" s="14">
        <v>0.13075929750140999</v>
      </c>
      <c r="I548" s="27">
        <f t="shared" si="8"/>
        <v>2355642.3037711792</v>
      </c>
      <c r="J548">
        <v>4.3</v>
      </c>
      <c r="K548" t="b">
        <v>1</v>
      </c>
    </row>
    <row r="549" spans="1:11" ht="16" x14ac:dyDescent="0.2">
      <c r="A549" s="16">
        <v>44878</v>
      </c>
      <c r="B549" t="s">
        <v>33</v>
      </c>
      <c r="C549" t="s">
        <v>45</v>
      </c>
      <c r="D549" t="s">
        <v>20</v>
      </c>
      <c r="E549" t="s">
        <v>7639</v>
      </c>
      <c r="F549">
        <v>1</v>
      </c>
      <c r="G549" s="15">
        <v>2710000</v>
      </c>
      <c r="H549" s="14">
        <v>0.13075929750140999</v>
      </c>
      <c r="I549" s="27">
        <f t="shared" si="8"/>
        <v>2355642.3037711792</v>
      </c>
      <c r="J549">
        <v>4.5</v>
      </c>
      <c r="K549" t="b">
        <v>0</v>
      </c>
    </row>
    <row r="550" spans="1:11" ht="16" x14ac:dyDescent="0.2">
      <c r="A550" s="16">
        <v>44878</v>
      </c>
      <c r="B550" t="s">
        <v>18</v>
      </c>
      <c r="C550" t="s">
        <v>39</v>
      </c>
      <c r="D550" t="s">
        <v>20</v>
      </c>
      <c r="E550" t="s">
        <v>7642</v>
      </c>
      <c r="F550">
        <v>5</v>
      </c>
      <c r="G550" s="15">
        <v>2710000</v>
      </c>
      <c r="H550" s="14">
        <v>0.13075929750140999</v>
      </c>
      <c r="I550" s="27">
        <f t="shared" si="8"/>
        <v>2355642.3037711792</v>
      </c>
      <c r="J550">
        <v>3.7</v>
      </c>
      <c r="K550" t="b">
        <v>0</v>
      </c>
    </row>
    <row r="551" spans="1:11" ht="16" x14ac:dyDescent="0.2">
      <c r="A551" s="16">
        <v>44879</v>
      </c>
      <c r="B551" t="s">
        <v>45</v>
      </c>
      <c r="C551" t="s">
        <v>34</v>
      </c>
      <c r="D551" t="s">
        <v>20</v>
      </c>
      <c r="E551" t="s">
        <v>7642</v>
      </c>
      <c r="F551">
        <v>2</v>
      </c>
      <c r="G551" s="15">
        <v>2710000</v>
      </c>
      <c r="H551" s="14">
        <v>0.13075929750140999</v>
      </c>
      <c r="I551" s="27">
        <f t="shared" si="8"/>
        <v>2355642.3037711792</v>
      </c>
      <c r="J551">
        <v>5</v>
      </c>
      <c r="K551" t="b">
        <v>1</v>
      </c>
    </row>
    <row r="552" spans="1:11" ht="16" x14ac:dyDescent="0.2">
      <c r="A552" s="16">
        <v>44879</v>
      </c>
      <c r="B552" t="s">
        <v>29</v>
      </c>
      <c r="C552" t="s">
        <v>34</v>
      </c>
      <c r="D552" t="s">
        <v>35</v>
      </c>
      <c r="E552" t="s">
        <v>7642</v>
      </c>
      <c r="F552">
        <v>2</v>
      </c>
      <c r="G552" s="15">
        <v>2710000</v>
      </c>
      <c r="H552" s="14">
        <v>0.13075929750140999</v>
      </c>
      <c r="I552" s="27">
        <f t="shared" si="8"/>
        <v>2355642.3037711792</v>
      </c>
      <c r="J552">
        <v>5</v>
      </c>
      <c r="K552" t="b">
        <v>1</v>
      </c>
    </row>
    <row r="553" spans="1:11" ht="16" x14ac:dyDescent="0.2">
      <c r="A553" s="16">
        <v>44879</v>
      </c>
      <c r="B553" t="s">
        <v>18</v>
      </c>
      <c r="C553" t="s">
        <v>19</v>
      </c>
      <c r="D553" t="s">
        <v>35</v>
      </c>
      <c r="E553" t="s">
        <v>57</v>
      </c>
      <c r="F553">
        <v>1</v>
      </c>
      <c r="G553" s="15">
        <v>2710000</v>
      </c>
      <c r="H553" s="14">
        <v>0.13075929750140999</v>
      </c>
      <c r="I553" s="27">
        <f t="shared" si="8"/>
        <v>2355642.3037711792</v>
      </c>
      <c r="J553">
        <v>3.4</v>
      </c>
      <c r="K553" t="b">
        <v>1</v>
      </c>
    </row>
    <row r="554" spans="1:11" ht="16" x14ac:dyDescent="0.2">
      <c r="A554" s="16">
        <v>44880</v>
      </c>
      <c r="B554" t="s">
        <v>18</v>
      </c>
      <c r="C554" t="s">
        <v>45</v>
      </c>
      <c r="D554" t="s">
        <v>20</v>
      </c>
      <c r="E554" t="s">
        <v>7637</v>
      </c>
      <c r="F554">
        <v>1</v>
      </c>
      <c r="G554" s="15">
        <v>2710000</v>
      </c>
      <c r="H554" s="14">
        <v>0.13075929750140999</v>
      </c>
      <c r="I554" s="27">
        <f t="shared" si="8"/>
        <v>2355642.3037711792</v>
      </c>
      <c r="J554">
        <v>4.5999999999999996</v>
      </c>
      <c r="K554" t="b">
        <v>1</v>
      </c>
    </row>
    <row r="555" spans="1:11" ht="16" x14ac:dyDescent="0.2">
      <c r="A555" s="16">
        <v>44881</v>
      </c>
      <c r="B555" t="s">
        <v>29</v>
      </c>
      <c r="C555" t="s">
        <v>19</v>
      </c>
      <c r="D555" t="s">
        <v>20</v>
      </c>
      <c r="E555" t="s">
        <v>7637</v>
      </c>
      <c r="F555">
        <v>1</v>
      </c>
      <c r="G555" s="15">
        <v>2710000</v>
      </c>
      <c r="H555" s="14">
        <v>0.13075929750140999</v>
      </c>
      <c r="I555" s="27">
        <f t="shared" si="8"/>
        <v>2355642.3037711792</v>
      </c>
      <c r="J555">
        <v>4.0999999999999996</v>
      </c>
      <c r="K555" t="b">
        <v>0</v>
      </c>
    </row>
    <row r="556" spans="1:11" ht="16" x14ac:dyDescent="0.2">
      <c r="A556" s="16">
        <v>44881</v>
      </c>
      <c r="B556" t="s">
        <v>45</v>
      </c>
      <c r="C556" t="s">
        <v>39</v>
      </c>
      <c r="D556" t="s">
        <v>35</v>
      </c>
      <c r="E556" t="s">
        <v>7638</v>
      </c>
      <c r="F556">
        <v>4</v>
      </c>
      <c r="G556" s="15">
        <v>2710000</v>
      </c>
      <c r="H556" s="14">
        <v>0.13075929750140999</v>
      </c>
      <c r="I556" s="27">
        <f t="shared" si="8"/>
        <v>2355642.3037711792</v>
      </c>
      <c r="J556">
        <v>4.5</v>
      </c>
      <c r="K556" t="b">
        <v>1</v>
      </c>
    </row>
    <row r="557" spans="1:11" ht="16" x14ac:dyDescent="0.2">
      <c r="A557" s="16">
        <v>44882</v>
      </c>
      <c r="B557" t="s">
        <v>45</v>
      </c>
      <c r="C557" t="s">
        <v>34</v>
      </c>
      <c r="D557" t="s">
        <v>50</v>
      </c>
      <c r="E557" t="s">
        <v>7642</v>
      </c>
      <c r="F557">
        <v>2</v>
      </c>
      <c r="G557" s="15">
        <v>2710000</v>
      </c>
      <c r="H557" s="14">
        <v>0.13075929750140999</v>
      </c>
      <c r="I557" s="27">
        <f t="shared" si="8"/>
        <v>2355642.3037711792</v>
      </c>
      <c r="J557">
        <v>3.7</v>
      </c>
      <c r="K557" t="b">
        <v>1</v>
      </c>
    </row>
    <row r="558" spans="1:11" ht="16" x14ac:dyDescent="0.2">
      <c r="A558" s="16">
        <v>44882</v>
      </c>
      <c r="B558" t="s">
        <v>33</v>
      </c>
      <c r="C558" t="s">
        <v>34</v>
      </c>
      <c r="D558" t="s">
        <v>50</v>
      </c>
      <c r="E558" t="s">
        <v>7638</v>
      </c>
      <c r="F558">
        <v>2</v>
      </c>
      <c r="G558" s="15">
        <v>2710000</v>
      </c>
      <c r="H558" s="14">
        <v>0.13075929750140999</v>
      </c>
      <c r="I558" s="27">
        <f t="shared" si="8"/>
        <v>2355642.3037711792</v>
      </c>
      <c r="J558">
        <v>4.3</v>
      </c>
      <c r="K558" t="b">
        <v>1</v>
      </c>
    </row>
    <row r="559" spans="1:11" ht="16" x14ac:dyDescent="0.2">
      <c r="A559" s="16">
        <v>44882</v>
      </c>
      <c r="B559" t="s">
        <v>45</v>
      </c>
      <c r="C559" t="s">
        <v>45</v>
      </c>
      <c r="D559" t="s">
        <v>20</v>
      </c>
      <c r="E559" t="s">
        <v>57</v>
      </c>
      <c r="F559">
        <v>1</v>
      </c>
      <c r="G559" s="15">
        <v>2710000</v>
      </c>
      <c r="H559" s="14">
        <v>0.13075929750140999</v>
      </c>
      <c r="I559" s="27">
        <f t="shared" si="8"/>
        <v>2355642.3037711792</v>
      </c>
      <c r="J559">
        <v>3.7</v>
      </c>
      <c r="K559" t="b">
        <v>1</v>
      </c>
    </row>
    <row r="560" spans="1:11" ht="16" x14ac:dyDescent="0.2">
      <c r="A560" s="16">
        <v>44883</v>
      </c>
      <c r="B560" t="s">
        <v>29</v>
      </c>
      <c r="C560" t="s">
        <v>68</v>
      </c>
      <c r="D560" t="s">
        <v>50</v>
      </c>
      <c r="E560" t="s">
        <v>7641</v>
      </c>
      <c r="F560">
        <v>1</v>
      </c>
      <c r="G560" s="15">
        <v>2710000</v>
      </c>
      <c r="H560" s="14">
        <v>0.13075929750140999</v>
      </c>
      <c r="I560" s="27">
        <f t="shared" si="8"/>
        <v>2355642.3037711792</v>
      </c>
      <c r="J560">
        <v>5</v>
      </c>
      <c r="K560" t="b">
        <v>0</v>
      </c>
    </row>
    <row r="561" spans="1:11" ht="16" x14ac:dyDescent="0.2">
      <c r="A561" s="16">
        <v>44883</v>
      </c>
      <c r="B561" t="s">
        <v>18</v>
      </c>
      <c r="C561" t="s">
        <v>68</v>
      </c>
      <c r="D561" t="s">
        <v>46</v>
      </c>
      <c r="E561" t="s">
        <v>7641</v>
      </c>
      <c r="F561">
        <v>1</v>
      </c>
      <c r="G561" s="15">
        <v>2710000</v>
      </c>
      <c r="H561" s="14">
        <v>0.13075929750140999</v>
      </c>
      <c r="I561" s="27">
        <f t="shared" si="8"/>
        <v>2355642.3037711792</v>
      </c>
      <c r="J561">
        <v>5</v>
      </c>
      <c r="K561" t="b">
        <v>1</v>
      </c>
    </row>
    <row r="562" spans="1:11" ht="16" x14ac:dyDescent="0.2">
      <c r="A562" s="16">
        <v>44883</v>
      </c>
      <c r="B562" t="s">
        <v>33</v>
      </c>
      <c r="C562" t="s">
        <v>19</v>
      </c>
      <c r="D562" t="s">
        <v>20</v>
      </c>
      <c r="E562" t="s">
        <v>7641</v>
      </c>
      <c r="F562">
        <v>1</v>
      </c>
      <c r="G562" s="15">
        <v>2710000</v>
      </c>
      <c r="H562" s="14">
        <v>0.13075929750140999</v>
      </c>
      <c r="I562" s="27">
        <f t="shared" si="8"/>
        <v>2355642.3037711792</v>
      </c>
      <c r="J562">
        <v>4.5</v>
      </c>
      <c r="K562" t="b">
        <v>1</v>
      </c>
    </row>
    <row r="563" spans="1:11" ht="16" x14ac:dyDescent="0.2">
      <c r="A563" s="16">
        <v>44883</v>
      </c>
      <c r="B563" t="s">
        <v>45</v>
      </c>
      <c r="C563" t="s">
        <v>39</v>
      </c>
      <c r="D563" t="s">
        <v>20</v>
      </c>
      <c r="E563" t="s">
        <v>7642</v>
      </c>
      <c r="F563">
        <v>4</v>
      </c>
      <c r="G563" s="15">
        <v>2710000</v>
      </c>
      <c r="H563" s="14">
        <v>0.13075929750140999</v>
      </c>
      <c r="I563" s="27">
        <f t="shared" si="8"/>
        <v>2355642.3037711792</v>
      </c>
      <c r="J563">
        <v>4.5</v>
      </c>
      <c r="K563" t="b">
        <v>1</v>
      </c>
    </row>
    <row r="564" spans="1:11" ht="16" x14ac:dyDescent="0.2">
      <c r="A564" s="16">
        <v>44885</v>
      </c>
      <c r="B564" t="str">
        <f>B563</f>
        <v>Family</v>
      </c>
      <c r="C564" t="s">
        <v>45</v>
      </c>
      <c r="D564" t="s">
        <v>20</v>
      </c>
      <c r="E564" t="s">
        <v>7641</v>
      </c>
      <c r="F564">
        <v>1</v>
      </c>
      <c r="G564" s="15">
        <v>2710000</v>
      </c>
      <c r="H564" s="14">
        <v>0.13075929750140999</v>
      </c>
      <c r="I564" s="27">
        <f t="shared" si="8"/>
        <v>2355642.3037711792</v>
      </c>
      <c r="J564">
        <v>4.2</v>
      </c>
      <c r="K564" t="b">
        <v>1</v>
      </c>
    </row>
    <row r="565" spans="1:11" ht="16" x14ac:dyDescent="0.2">
      <c r="A565" s="16">
        <v>44885</v>
      </c>
      <c r="B565" t="s">
        <v>29</v>
      </c>
      <c r="C565" t="s">
        <v>34</v>
      </c>
      <c r="D565" t="s">
        <v>50</v>
      </c>
      <c r="E565" t="s">
        <v>7644</v>
      </c>
      <c r="F565">
        <v>3</v>
      </c>
      <c r="G565" s="15">
        <v>2710000</v>
      </c>
      <c r="H565" s="14">
        <v>0.13075929750140999</v>
      </c>
      <c r="I565" s="27">
        <f t="shared" si="8"/>
        <v>2355642.3037711792</v>
      </c>
      <c r="J565">
        <v>3.7</v>
      </c>
      <c r="K565" t="b">
        <v>1</v>
      </c>
    </row>
    <row r="566" spans="1:11" ht="16" x14ac:dyDescent="0.2">
      <c r="A566" s="16">
        <v>44886</v>
      </c>
      <c r="B566" t="s">
        <v>29</v>
      </c>
      <c r="C566" t="s">
        <v>19</v>
      </c>
      <c r="D566" t="s">
        <v>20</v>
      </c>
      <c r="E566" t="s">
        <v>7644</v>
      </c>
      <c r="F566">
        <v>4</v>
      </c>
      <c r="G566" s="15">
        <v>2710000</v>
      </c>
      <c r="H566" s="14">
        <v>0.13075929750140999</v>
      </c>
      <c r="I566" s="27">
        <f t="shared" si="8"/>
        <v>2355642.3037711792</v>
      </c>
      <c r="J566">
        <v>3.7</v>
      </c>
      <c r="K566" t="b">
        <v>1</v>
      </c>
    </row>
    <row r="567" spans="1:11" ht="16" x14ac:dyDescent="0.2">
      <c r="A567" s="16">
        <v>44886</v>
      </c>
      <c r="B567" t="s">
        <v>45</v>
      </c>
      <c r="C567" t="s">
        <v>39</v>
      </c>
      <c r="D567" t="s">
        <v>20</v>
      </c>
      <c r="E567" t="s">
        <v>7637</v>
      </c>
      <c r="F567">
        <v>1</v>
      </c>
      <c r="G567" s="15">
        <v>2710000</v>
      </c>
      <c r="H567" s="14">
        <v>0.13075929750140999</v>
      </c>
      <c r="I567" s="27">
        <f t="shared" si="8"/>
        <v>2355642.3037711792</v>
      </c>
      <c r="J567">
        <v>3.8</v>
      </c>
      <c r="K567" t="b">
        <v>1</v>
      </c>
    </row>
    <row r="568" spans="1:11" ht="16" x14ac:dyDescent="0.2">
      <c r="A568" s="16">
        <v>44887</v>
      </c>
      <c r="B568" t="s">
        <v>18</v>
      </c>
      <c r="C568" t="s">
        <v>45</v>
      </c>
      <c r="D568" t="s">
        <v>20</v>
      </c>
      <c r="E568" t="s">
        <v>7642</v>
      </c>
      <c r="F568">
        <v>2</v>
      </c>
      <c r="G568" s="15">
        <v>2710000</v>
      </c>
      <c r="H568" s="14">
        <v>0.13075929750140999</v>
      </c>
      <c r="I568" s="27">
        <f t="shared" si="8"/>
        <v>2355642.3037711792</v>
      </c>
      <c r="J568">
        <v>4.4000000000000004</v>
      </c>
      <c r="K568" t="b">
        <v>0</v>
      </c>
    </row>
    <row r="569" spans="1:11" ht="16" x14ac:dyDescent="0.2">
      <c r="A569" s="16">
        <v>44888</v>
      </c>
      <c r="B569" t="s">
        <v>18</v>
      </c>
      <c r="C569" t="s">
        <v>68</v>
      </c>
      <c r="D569" t="s">
        <v>20</v>
      </c>
      <c r="E569" t="s">
        <v>7640</v>
      </c>
      <c r="F569">
        <v>1</v>
      </c>
      <c r="G569" s="15">
        <v>2710000</v>
      </c>
      <c r="H569" s="14">
        <v>0.13075929750140999</v>
      </c>
      <c r="I569" s="27">
        <f t="shared" si="8"/>
        <v>2355642.3037711792</v>
      </c>
      <c r="J569">
        <v>4.3</v>
      </c>
      <c r="K569" t="b">
        <v>1</v>
      </c>
    </row>
    <row r="570" spans="1:11" ht="16" x14ac:dyDescent="0.2">
      <c r="A570" s="16">
        <v>44888</v>
      </c>
      <c r="B570" t="s">
        <v>29</v>
      </c>
      <c r="C570" t="s">
        <v>45</v>
      </c>
      <c r="D570" t="s">
        <v>35</v>
      </c>
      <c r="E570" t="s">
        <v>57</v>
      </c>
      <c r="F570">
        <v>2</v>
      </c>
      <c r="G570" s="15">
        <v>2710000</v>
      </c>
      <c r="H570" s="14">
        <v>0.13075929750140999</v>
      </c>
      <c r="I570" s="27">
        <f t="shared" si="8"/>
        <v>2355642.3037711792</v>
      </c>
      <c r="J570">
        <v>4.9000000000000004</v>
      </c>
      <c r="K570" t="b">
        <v>1</v>
      </c>
    </row>
    <row r="571" spans="1:11" ht="16" x14ac:dyDescent="0.2">
      <c r="A571" s="16">
        <v>44889</v>
      </c>
      <c r="B571" t="s">
        <v>33</v>
      </c>
      <c r="C571" t="s">
        <v>34</v>
      </c>
      <c r="D571" t="s">
        <v>20</v>
      </c>
      <c r="E571" t="s">
        <v>7641</v>
      </c>
      <c r="F571">
        <v>2</v>
      </c>
      <c r="G571" s="15">
        <v>2710000</v>
      </c>
      <c r="H571" s="14">
        <v>0.13075929750140999</v>
      </c>
      <c r="I571" s="27">
        <f t="shared" si="8"/>
        <v>2355642.3037711792</v>
      </c>
      <c r="J571">
        <v>4.2</v>
      </c>
      <c r="K571" t="b">
        <v>1</v>
      </c>
    </row>
    <row r="572" spans="1:11" ht="16" x14ac:dyDescent="0.2">
      <c r="A572" s="16">
        <v>44890</v>
      </c>
      <c r="B572" t="s">
        <v>33</v>
      </c>
      <c r="C572" t="s">
        <v>39</v>
      </c>
      <c r="D572" t="s">
        <v>50</v>
      </c>
      <c r="E572" t="s">
        <v>57</v>
      </c>
      <c r="F572">
        <v>3</v>
      </c>
      <c r="G572" s="15">
        <v>2710000</v>
      </c>
      <c r="H572" s="14">
        <v>0.13075929750140999</v>
      </c>
      <c r="I572" s="27">
        <f t="shared" si="8"/>
        <v>2355642.3037711792</v>
      </c>
      <c r="J572">
        <v>4.0999999999999996</v>
      </c>
      <c r="K572" t="b">
        <v>1</v>
      </c>
    </row>
    <row r="573" spans="1:11" ht="16" x14ac:dyDescent="0.2">
      <c r="A573" s="16">
        <v>44890</v>
      </c>
      <c r="B573" t="s">
        <v>18</v>
      </c>
      <c r="C573" t="s">
        <v>34</v>
      </c>
      <c r="D573" t="s">
        <v>20</v>
      </c>
      <c r="E573" t="str">
        <f>E572</f>
        <v>Nha Trang</v>
      </c>
      <c r="F573">
        <v>1</v>
      </c>
      <c r="G573" s="15">
        <v>2710000</v>
      </c>
      <c r="H573" s="14">
        <v>0.13075929750140999</v>
      </c>
      <c r="I573" s="27">
        <f t="shared" si="8"/>
        <v>2355642.3037711792</v>
      </c>
      <c r="J573">
        <v>4.2</v>
      </c>
      <c r="K573" t="b">
        <v>1</v>
      </c>
    </row>
    <row r="574" spans="1:11" ht="16" x14ac:dyDescent="0.2">
      <c r="A574" s="16">
        <v>44891</v>
      </c>
      <c r="B574" t="s">
        <v>18</v>
      </c>
      <c r="C574" t="s">
        <v>19</v>
      </c>
      <c r="D574" t="s">
        <v>20</v>
      </c>
      <c r="E574" t="s">
        <v>7639</v>
      </c>
      <c r="F574">
        <v>3</v>
      </c>
      <c r="G574" s="15">
        <v>2710000</v>
      </c>
      <c r="H574" s="14">
        <v>0.13075929750140999</v>
      </c>
      <c r="I574" s="27">
        <f t="shared" si="8"/>
        <v>2355642.3037711792</v>
      </c>
      <c r="J574">
        <v>3.6</v>
      </c>
      <c r="K574" t="b">
        <v>1</v>
      </c>
    </row>
    <row r="575" spans="1:11" ht="16" x14ac:dyDescent="0.2">
      <c r="A575" s="16">
        <v>44891</v>
      </c>
      <c r="B575" t="s">
        <v>18</v>
      </c>
      <c r="C575" t="s">
        <v>45</v>
      </c>
      <c r="D575" t="s">
        <v>46</v>
      </c>
      <c r="E575" t="str">
        <f>E574</f>
        <v>Hà Nội</v>
      </c>
      <c r="F575">
        <v>4</v>
      </c>
      <c r="G575" s="15">
        <v>2710000</v>
      </c>
      <c r="H575" s="14">
        <v>0.13075929750140999</v>
      </c>
      <c r="I575" s="27">
        <f t="shared" si="8"/>
        <v>2355642.3037711792</v>
      </c>
      <c r="J575">
        <v>4.0999999999999996</v>
      </c>
      <c r="K575" t="b">
        <v>0</v>
      </c>
    </row>
    <row r="576" spans="1:11" ht="16" x14ac:dyDescent="0.2">
      <c r="A576" s="16">
        <v>44891</v>
      </c>
      <c r="B576" t="s">
        <v>29</v>
      </c>
      <c r="C576" t="s">
        <v>45</v>
      </c>
      <c r="D576" t="s">
        <v>35</v>
      </c>
      <c r="E576" t="s">
        <v>7644</v>
      </c>
      <c r="F576">
        <v>1</v>
      </c>
      <c r="G576" s="15">
        <v>2710000</v>
      </c>
      <c r="H576" s="14">
        <v>0.13075929750140999</v>
      </c>
      <c r="I576" s="27">
        <f t="shared" si="8"/>
        <v>2355642.3037711792</v>
      </c>
      <c r="J576">
        <v>4.0999999999999996</v>
      </c>
      <c r="K576" t="b">
        <v>0</v>
      </c>
    </row>
    <row r="577" spans="1:11" ht="16" x14ac:dyDescent="0.2">
      <c r="A577" s="16">
        <v>44892</v>
      </c>
      <c r="B577" t="s">
        <v>29</v>
      </c>
      <c r="C577" t="s">
        <v>34</v>
      </c>
      <c r="D577" t="s">
        <v>20</v>
      </c>
      <c r="E577" t="s">
        <v>57</v>
      </c>
      <c r="F577">
        <v>1</v>
      </c>
      <c r="G577" s="15">
        <v>2710000</v>
      </c>
      <c r="H577" s="14">
        <v>0.13075929750140999</v>
      </c>
      <c r="I577" s="27">
        <f t="shared" si="8"/>
        <v>2355642.3037711792</v>
      </c>
      <c r="J577">
        <v>4.0999999999999996</v>
      </c>
      <c r="K577" t="b">
        <v>0</v>
      </c>
    </row>
    <row r="578" spans="1:11" ht="16" x14ac:dyDescent="0.2">
      <c r="A578" s="16">
        <v>44892</v>
      </c>
      <c r="B578" t="s">
        <v>18</v>
      </c>
      <c r="C578" t="s">
        <v>19</v>
      </c>
      <c r="D578" t="s">
        <v>50</v>
      </c>
      <c r="E578" t="s">
        <v>7638</v>
      </c>
      <c r="F578">
        <v>3</v>
      </c>
      <c r="G578" s="15">
        <v>2710000</v>
      </c>
      <c r="H578" s="14">
        <v>0.13075929750140999</v>
      </c>
      <c r="I578" s="27">
        <f t="shared" si="8"/>
        <v>2355642.3037711792</v>
      </c>
      <c r="J578">
        <v>4.5999999999999996</v>
      </c>
      <c r="K578" t="b">
        <v>0</v>
      </c>
    </row>
    <row r="579" spans="1:11" ht="16" x14ac:dyDescent="0.2">
      <c r="A579" s="16">
        <v>44894</v>
      </c>
      <c r="B579" t="s">
        <v>45</v>
      </c>
      <c r="C579" t="s">
        <v>45</v>
      </c>
      <c r="D579" t="s">
        <v>35</v>
      </c>
      <c r="E579" t="s">
        <v>7643</v>
      </c>
      <c r="F579">
        <v>2</v>
      </c>
      <c r="G579" s="15">
        <v>2710000</v>
      </c>
      <c r="H579" s="14">
        <v>0.13075929750140999</v>
      </c>
      <c r="I579" s="27">
        <f t="shared" ref="I579:I642" si="9">G579-G579*H579</f>
        <v>2355642.3037711792</v>
      </c>
      <c r="J579">
        <v>4.5</v>
      </c>
      <c r="K579" t="b">
        <v>1</v>
      </c>
    </row>
    <row r="580" spans="1:11" ht="16" x14ac:dyDescent="0.2">
      <c r="A580" s="16">
        <v>44894</v>
      </c>
      <c r="B580" t="s">
        <v>45</v>
      </c>
      <c r="C580" t="s">
        <v>19</v>
      </c>
      <c r="D580" t="s">
        <v>50</v>
      </c>
      <c r="E580" t="s">
        <v>7643</v>
      </c>
      <c r="F580">
        <v>3</v>
      </c>
      <c r="G580" s="15">
        <v>2710000</v>
      </c>
      <c r="H580" s="14">
        <v>0.13075929750140999</v>
      </c>
      <c r="I580" s="27">
        <f t="shared" si="9"/>
        <v>2355642.3037711792</v>
      </c>
      <c r="J580">
        <v>4.2</v>
      </c>
      <c r="K580" t="b">
        <v>1</v>
      </c>
    </row>
    <row r="581" spans="1:11" ht="16" x14ac:dyDescent="0.2">
      <c r="A581" s="16">
        <v>44895</v>
      </c>
      <c r="B581" t="s">
        <v>33</v>
      </c>
      <c r="C581" t="s">
        <v>19</v>
      </c>
      <c r="D581" t="s">
        <v>20</v>
      </c>
      <c r="E581" t="s">
        <v>7641</v>
      </c>
      <c r="F581">
        <v>3</v>
      </c>
      <c r="G581" s="15">
        <v>2710000</v>
      </c>
      <c r="H581" s="14">
        <v>0.13075929750140999</v>
      </c>
      <c r="I581" s="27">
        <f t="shared" si="9"/>
        <v>2355642.3037711792</v>
      </c>
      <c r="J581">
        <v>3.8</v>
      </c>
      <c r="K581" t="b">
        <v>1</v>
      </c>
    </row>
    <row r="582" spans="1:11" ht="16" x14ac:dyDescent="0.2">
      <c r="A582" s="16">
        <v>44896</v>
      </c>
      <c r="B582" t="s">
        <v>18</v>
      </c>
      <c r="C582" t="s">
        <v>19</v>
      </c>
      <c r="D582" t="s">
        <v>20</v>
      </c>
      <c r="E582" t="s">
        <v>7640</v>
      </c>
      <c r="F582">
        <v>2</v>
      </c>
      <c r="G582" s="15">
        <v>2710000</v>
      </c>
      <c r="H582" s="14">
        <v>0.13075929750140999</v>
      </c>
      <c r="I582" s="27">
        <f t="shared" si="9"/>
        <v>2355642.3037711792</v>
      </c>
      <c r="J582">
        <v>4.8</v>
      </c>
      <c r="K582" t="b">
        <v>0</v>
      </c>
    </row>
    <row r="583" spans="1:11" ht="16" x14ac:dyDescent="0.2">
      <c r="A583" s="16">
        <v>44896</v>
      </c>
      <c r="B583" t="s">
        <v>18</v>
      </c>
      <c r="C583" t="s">
        <v>34</v>
      </c>
      <c r="D583" t="s">
        <v>20</v>
      </c>
      <c r="E583" t="s">
        <v>7643</v>
      </c>
      <c r="F583">
        <v>4</v>
      </c>
      <c r="G583" s="15">
        <v>2710000</v>
      </c>
      <c r="H583" s="14">
        <v>0.13075929750140999</v>
      </c>
      <c r="I583" s="27">
        <f t="shared" si="9"/>
        <v>2355642.3037711792</v>
      </c>
      <c r="J583">
        <v>3.8</v>
      </c>
      <c r="K583" t="b">
        <v>1</v>
      </c>
    </row>
    <row r="584" spans="1:11" ht="16" x14ac:dyDescent="0.2">
      <c r="A584" s="16">
        <v>44897</v>
      </c>
      <c r="B584" t="s">
        <v>29</v>
      </c>
      <c r="C584" t="s">
        <v>25</v>
      </c>
      <c r="D584" t="s">
        <v>50</v>
      </c>
      <c r="E584" t="s">
        <v>7641</v>
      </c>
      <c r="F584">
        <v>2</v>
      </c>
      <c r="G584" s="15">
        <v>2710000</v>
      </c>
      <c r="H584" s="14">
        <v>0.13075929750140999</v>
      </c>
      <c r="I584" s="27">
        <f t="shared" si="9"/>
        <v>2355642.3037711792</v>
      </c>
      <c r="J584">
        <v>4.2</v>
      </c>
      <c r="K584" t="b">
        <v>0</v>
      </c>
    </row>
    <row r="585" spans="1:11" ht="16" x14ac:dyDescent="0.2">
      <c r="A585" s="16">
        <v>44897</v>
      </c>
      <c r="B585" t="s">
        <v>45</v>
      </c>
      <c r="C585" t="s">
        <v>34</v>
      </c>
      <c r="D585" t="s">
        <v>50</v>
      </c>
      <c r="E585" t="s">
        <v>7642</v>
      </c>
      <c r="F585">
        <v>2</v>
      </c>
      <c r="G585" s="15">
        <v>2710000</v>
      </c>
      <c r="H585" s="14">
        <v>0.13075929750140999</v>
      </c>
      <c r="I585" s="27">
        <f t="shared" si="9"/>
        <v>2355642.3037711792</v>
      </c>
      <c r="J585">
        <v>3.9</v>
      </c>
      <c r="K585" t="b">
        <v>1</v>
      </c>
    </row>
    <row r="586" spans="1:11" ht="16" x14ac:dyDescent="0.2">
      <c r="A586" s="16">
        <v>44897</v>
      </c>
      <c r="B586" t="s">
        <v>18</v>
      </c>
      <c r="C586" t="s">
        <v>34</v>
      </c>
      <c r="D586" t="s">
        <v>20</v>
      </c>
      <c r="E586" t="s">
        <v>7644</v>
      </c>
      <c r="F586">
        <v>3</v>
      </c>
      <c r="G586" s="15">
        <v>2710000</v>
      </c>
      <c r="H586" s="14">
        <v>0.13075929750140999</v>
      </c>
      <c r="I586" s="27">
        <f t="shared" si="9"/>
        <v>2355642.3037711792</v>
      </c>
      <c r="J586">
        <v>4.7</v>
      </c>
      <c r="K586" t="b">
        <v>1</v>
      </c>
    </row>
    <row r="587" spans="1:11" ht="16" x14ac:dyDescent="0.2">
      <c r="A587" s="16">
        <v>44897</v>
      </c>
      <c r="B587" t="s">
        <v>29</v>
      </c>
      <c r="C587" t="s">
        <v>19</v>
      </c>
      <c r="D587" t="s">
        <v>20</v>
      </c>
      <c r="E587" t="s">
        <v>99</v>
      </c>
      <c r="F587">
        <v>2</v>
      </c>
      <c r="G587" s="15">
        <v>2710000</v>
      </c>
      <c r="H587" s="14">
        <v>0.13075929750140999</v>
      </c>
      <c r="I587" s="27">
        <f t="shared" si="9"/>
        <v>2355642.3037711792</v>
      </c>
      <c r="J587">
        <v>4.5999999999999996</v>
      </c>
      <c r="K587" t="b">
        <v>1</v>
      </c>
    </row>
    <row r="588" spans="1:11" ht="16" x14ac:dyDescent="0.2">
      <c r="A588" s="16">
        <v>44900</v>
      </c>
      <c r="B588" t="s">
        <v>45</v>
      </c>
      <c r="C588" t="s">
        <v>34</v>
      </c>
      <c r="D588" t="s">
        <v>50</v>
      </c>
      <c r="E588" t="s">
        <v>99</v>
      </c>
      <c r="F588">
        <v>1</v>
      </c>
      <c r="G588" s="15">
        <v>2710000</v>
      </c>
      <c r="H588" s="14">
        <v>0.13075929750140999</v>
      </c>
      <c r="I588" s="27">
        <f t="shared" si="9"/>
        <v>2355642.3037711792</v>
      </c>
      <c r="J588">
        <v>4.4000000000000004</v>
      </c>
      <c r="K588" t="b">
        <v>1</v>
      </c>
    </row>
    <row r="589" spans="1:11" ht="16" x14ac:dyDescent="0.2">
      <c r="A589" s="16">
        <v>44900</v>
      </c>
      <c r="B589" t="s">
        <v>45</v>
      </c>
      <c r="C589" t="s">
        <v>68</v>
      </c>
      <c r="D589" t="s">
        <v>50</v>
      </c>
      <c r="E589" t="s">
        <v>7637</v>
      </c>
      <c r="F589">
        <v>3</v>
      </c>
      <c r="G589" s="15">
        <v>2710000</v>
      </c>
      <c r="H589" s="14">
        <v>0.13075929750140999</v>
      </c>
      <c r="I589" s="27">
        <f t="shared" si="9"/>
        <v>2355642.3037711792</v>
      </c>
      <c r="J589">
        <v>3.8</v>
      </c>
      <c r="K589" t="b">
        <v>1</v>
      </c>
    </row>
    <row r="590" spans="1:11" ht="16" x14ac:dyDescent="0.2">
      <c r="A590" s="16">
        <v>44902</v>
      </c>
      <c r="B590" t="s">
        <v>18</v>
      </c>
      <c r="C590" t="s">
        <v>68</v>
      </c>
      <c r="D590" t="s">
        <v>20</v>
      </c>
      <c r="E590" t="s">
        <v>99</v>
      </c>
      <c r="F590">
        <v>1</v>
      </c>
      <c r="G590" s="15">
        <v>2710000</v>
      </c>
      <c r="H590" s="14">
        <v>0.13075929750140999</v>
      </c>
      <c r="I590" s="27">
        <f t="shared" si="9"/>
        <v>2355642.3037711792</v>
      </c>
      <c r="J590">
        <v>4</v>
      </c>
      <c r="K590" t="b">
        <v>0</v>
      </c>
    </row>
    <row r="591" spans="1:11" ht="16" x14ac:dyDescent="0.2">
      <c r="A591" s="16">
        <v>44902</v>
      </c>
      <c r="B591" t="s">
        <v>29</v>
      </c>
      <c r="C591" t="s">
        <v>34</v>
      </c>
      <c r="D591" t="s">
        <v>35</v>
      </c>
      <c r="E591" t="s">
        <v>7642</v>
      </c>
      <c r="F591">
        <v>1</v>
      </c>
      <c r="G591" s="15">
        <v>2710000</v>
      </c>
      <c r="H591" s="14">
        <v>0.13075929750140999</v>
      </c>
      <c r="I591" s="27">
        <f t="shared" si="9"/>
        <v>2355642.3037711792</v>
      </c>
      <c r="J591">
        <v>4.5</v>
      </c>
      <c r="K591" t="b">
        <v>0</v>
      </c>
    </row>
    <row r="592" spans="1:11" ht="16" x14ac:dyDescent="0.2">
      <c r="A592" s="16">
        <v>44902</v>
      </c>
      <c r="B592" t="s">
        <v>18</v>
      </c>
      <c r="C592" t="s">
        <v>25</v>
      </c>
      <c r="D592" t="s">
        <v>35</v>
      </c>
      <c r="E592" t="s">
        <v>7639</v>
      </c>
      <c r="F592">
        <v>3</v>
      </c>
      <c r="G592" s="15">
        <v>2710000</v>
      </c>
      <c r="H592" s="14">
        <v>0.13075929750140999</v>
      </c>
      <c r="I592" s="27">
        <f t="shared" si="9"/>
        <v>2355642.3037711792</v>
      </c>
      <c r="J592">
        <v>4</v>
      </c>
      <c r="K592" t="b">
        <v>0</v>
      </c>
    </row>
    <row r="593" spans="1:11" ht="16" x14ac:dyDescent="0.2">
      <c r="A593" s="16">
        <v>44903</v>
      </c>
      <c r="B593" t="s">
        <v>45</v>
      </c>
      <c r="C593" t="s">
        <v>39</v>
      </c>
      <c r="D593" t="s">
        <v>50</v>
      </c>
      <c r="E593" t="s">
        <v>7639</v>
      </c>
      <c r="F593">
        <v>3</v>
      </c>
      <c r="G593" s="15">
        <v>2710000</v>
      </c>
      <c r="H593" s="14">
        <v>0.13075929750140999</v>
      </c>
      <c r="I593" s="27">
        <f t="shared" si="9"/>
        <v>2355642.3037711792</v>
      </c>
      <c r="J593">
        <v>4</v>
      </c>
      <c r="K593" t="b">
        <v>1</v>
      </c>
    </row>
    <row r="594" spans="1:11" ht="16" x14ac:dyDescent="0.2">
      <c r="A594" s="16">
        <v>44906</v>
      </c>
      <c r="B594" t="s">
        <v>45</v>
      </c>
      <c r="C594" t="s">
        <v>34</v>
      </c>
      <c r="D594" t="s">
        <v>20</v>
      </c>
      <c r="E594" t="s">
        <v>57</v>
      </c>
      <c r="F594">
        <v>3</v>
      </c>
      <c r="G594" s="15">
        <v>2710000</v>
      </c>
      <c r="H594" s="14">
        <v>0.13075929750140999</v>
      </c>
      <c r="I594" s="27">
        <f t="shared" si="9"/>
        <v>2355642.3037711792</v>
      </c>
      <c r="J594">
        <v>3.9</v>
      </c>
      <c r="K594" t="b">
        <v>1</v>
      </c>
    </row>
    <row r="595" spans="1:11" ht="16" x14ac:dyDescent="0.2">
      <c r="A595" s="16">
        <v>44906</v>
      </c>
      <c r="B595" t="str">
        <f>B594</f>
        <v>Family</v>
      </c>
      <c r="C595" t="s">
        <v>45</v>
      </c>
      <c r="D595" t="s">
        <v>50</v>
      </c>
      <c r="E595" t="s">
        <v>7638</v>
      </c>
      <c r="F595">
        <v>3</v>
      </c>
      <c r="G595" s="15">
        <v>2710000</v>
      </c>
      <c r="H595" s="14">
        <v>0.13075929750140999</v>
      </c>
      <c r="I595" s="27">
        <f t="shared" si="9"/>
        <v>2355642.3037711792</v>
      </c>
      <c r="J595">
        <v>3.8</v>
      </c>
      <c r="K595" t="b">
        <v>1</v>
      </c>
    </row>
    <row r="596" spans="1:11" ht="16" x14ac:dyDescent="0.2">
      <c r="A596" s="16">
        <v>44907</v>
      </c>
      <c r="B596" t="s">
        <v>18</v>
      </c>
      <c r="C596" t="s">
        <v>19</v>
      </c>
      <c r="D596" t="s">
        <v>20</v>
      </c>
      <c r="E596" t="s">
        <v>7640</v>
      </c>
      <c r="F596">
        <v>2</v>
      </c>
      <c r="G596" s="15">
        <v>2710000</v>
      </c>
      <c r="H596" s="14">
        <v>0.13075929750140999</v>
      </c>
      <c r="I596" s="27">
        <f t="shared" si="9"/>
        <v>2355642.3037711792</v>
      </c>
      <c r="J596">
        <v>4.8</v>
      </c>
      <c r="K596" t="b">
        <v>1</v>
      </c>
    </row>
    <row r="597" spans="1:11" ht="16" x14ac:dyDescent="0.2">
      <c r="A597" s="16">
        <v>44907</v>
      </c>
      <c r="B597" t="s">
        <v>45</v>
      </c>
      <c r="C597" t="s">
        <v>45</v>
      </c>
      <c r="D597" t="s">
        <v>20</v>
      </c>
      <c r="E597" t="s">
        <v>7644</v>
      </c>
      <c r="F597">
        <v>3</v>
      </c>
      <c r="G597" s="15">
        <v>2710000</v>
      </c>
      <c r="H597" s="14">
        <v>0.13075929750140999</v>
      </c>
      <c r="I597" s="27">
        <f t="shared" si="9"/>
        <v>2355642.3037711792</v>
      </c>
      <c r="J597">
        <v>4.5999999999999996</v>
      </c>
      <c r="K597" t="b">
        <v>1</v>
      </c>
    </row>
    <row r="598" spans="1:11" ht="16" x14ac:dyDescent="0.2">
      <c r="A598" s="16">
        <v>44907</v>
      </c>
      <c r="B598" t="s">
        <v>18</v>
      </c>
      <c r="C598" t="s">
        <v>34</v>
      </c>
      <c r="D598" t="s">
        <v>20</v>
      </c>
      <c r="E598" t="s">
        <v>7643</v>
      </c>
      <c r="F598">
        <v>3</v>
      </c>
      <c r="G598" s="15">
        <v>2710000</v>
      </c>
      <c r="H598" s="14">
        <v>0.13075929750140999</v>
      </c>
      <c r="I598" s="27">
        <f t="shared" si="9"/>
        <v>2355642.3037711792</v>
      </c>
      <c r="J598">
        <v>4.3</v>
      </c>
      <c r="K598" t="b">
        <v>1</v>
      </c>
    </row>
    <row r="599" spans="1:11" ht="16" x14ac:dyDescent="0.2">
      <c r="A599" s="16">
        <v>44907</v>
      </c>
      <c r="B599" t="s">
        <v>45</v>
      </c>
      <c r="C599" t="s">
        <v>19</v>
      </c>
      <c r="D599" t="s">
        <v>50</v>
      </c>
      <c r="E599" t="s">
        <v>7640</v>
      </c>
      <c r="F599">
        <v>3</v>
      </c>
      <c r="G599" s="15">
        <v>2710000</v>
      </c>
      <c r="H599" s="14">
        <v>0.13075929750140999</v>
      </c>
      <c r="I599" s="27">
        <f t="shared" si="9"/>
        <v>2355642.3037711792</v>
      </c>
      <c r="J599">
        <v>4.0999999999999996</v>
      </c>
      <c r="K599" t="b">
        <v>1</v>
      </c>
    </row>
    <row r="600" spans="1:11" ht="16" x14ac:dyDescent="0.2">
      <c r="A600" s="16">
        <v>44911</v>
      </c>
      <c r="B600" t="s">
        <v>33</v>
      </c>
      <c r="C600" t="s">
        <v>19</v>
      </c>
      <c r="D600" t="s">
        <v>20</v>
      </c>
      <c r="E600" t="s">
        <v>57</v>
      </c>
      <c r="F600">
        <v>2</v>
      </c>
      <c r="G600" s="15">
        <v>2710000</v>
      </c>
      <c r="H600" s="14">
        <v>0.13075929750140999</v>
      </c>
      <c r="I600" s="27">
        <f t="shared" si="9"/>
        <v>2355642.3037711792</v>
      </c>
      <c r="J600">
        <v>4.5999999999999996</v>
      </c>
      <c r="K600" t="b">
        <v>1</v>
      </c>
    </row>
    <row r="601" spans="1:11" ht="16" x14ac:dyDescent="0.2">
      <c r="A601" s="16">
        <v>44911</v>
      </c>
      <c r="B601" t="s">
        <v>33</v>
      </c>
      <c r="C601" t="s">
        <v>19</v>
      </c>
      <c r="D601" t="s">
        <v>35</v>
      </c>
      <c r="E601" t="s">
        <v>7639</v>
      </c>
      <c r="F601">
        <v>3</v>
      </c>
      <c r="G601" s="15">
        <v>2710000</v>
      </c>
      <c r="H601" s="14">
        <v>0.13075929750140999</v>
      </c>
      <c r="I601" s="27">
        <f t="shared" si="9"/>
        <v>2355642.3037711792</v>
      </c>
      <c r="J601">
        <v>4.4000000000000004</v>
      </c>
      <c r="K601" t="b">
        <v>1</v>
      </c>
    </row>
    <row r="602" spans="1:11" ht="16" x14ac:dyDescent="0.2">
      <c r="A602" s="16">
        <v>44911</v>
      </c>
      <c r="B602" t="s">
        <v>33</v>
      </c>
      <c r="C602" t="s">
        <v>34</v>
      </c>
      <c r="D602" t="s">
        <v>20</v>
      </c>
      <c r="E602" t="s">
        <v>7640</v>
      </c>
      <c r="F602">
        <v>1</v>
      </c>
      <c r="G602" s="15">
        <v>2710000</v>
      </c>
      <c r="H602" s="14">
        <v>0.13075929750140999</v>
      </c>
      <c r="I602" s="27">
        <f t="shared" si="9"/>
        <v>2355642.3037711792</v>
      </c>
      <c r="J602">
        <v>3.9</v>
      </c>
      <c r="K602" t="b">
        <v>1</v>
      </c>
    </row>
    <row r="603" spans="1:11" ht="16" x14ac:dyDescent="0.2">
      <c r="A603" s="16">
        <v>44912</v>
      </c>
      <c r="B603" t="s">
        <v>18</v>
      </c>
      <c r="C603" t="s">
        <v>39</v>
      </c>
      <c r="D603" t="s">
        <v>46</v>
      </c>
      <c r="E603" t="s">
        <v>7637</v>
      </c>
      <c r="F603">
        <v>2</v>
      </c>
      <c r="G603" s="15">
        <v>2710000</v>
      </c>
      <c r="H603" s="14">
        <v>0.13075929750140999</v>
      </c>
      <c r="I603" s="27">
        <f t="shared" si="9"/>
        <v>2355642.3037711792</v>
      </c>
      <c r="J603">
        <v>4.8</v>
      </c>
      <c r="K603" t="b">
        <v>1</v>
      </c>
    </row>
    <row r="604" spans="1:11" ht="16" x14ac:dyDescent="0.2">
      <c r="A604" s="16">
        <v>44912</v>
      </c>
      <c r="B604" t="s">
        <v>33</v>
      </c>
      <c r="C604" t="s">
        <v>34</v>
      </c>
      <c r="D604" t="s">
        <v>20</v>
      </c>
      <c r="E604" t="s">
        <v>57</v>
      </c>
      <c r="F604">
        <v>2</v>
      </c>
      <c r="G604" s="15">
        <v>2710000</v>
      </c>
      <c r="H604" s="14">
        <v>0.13075929750140999</v>
      </c>
      <c r="I604" s="27">
        <f t="shared" si="9"/>
        <v>2355642.3037711792</v>
      </c>
      <c r="J604">
        <v>3.2</v>
      </c>
      <c r="K604" t="b">
        <v>1</v>
      </c>
    </row>
    <row r="605" spans="1:11" ht="16" x14ac:dyDescent="0.2">
      <c r="A605" s="16">
        <v>44913</v>
      </c>
      <c r="B605" t="s">
        <v>33</v>
      </c>
      <c r="C605" t="s">
        <v>19</v>
      </c>
      <c r="D605" t="s">
        <v>20</v>
      </c>
      <c r="E605" t="s">
        <v>7637</v>
      </c>
      <c r="F605">
        <v>2</v>
      </c>
      <c r="G605" s="15">
        <v>2710000</v>
      </c>
      <c r="H605" s="14">
        <v>0.13075929750140999</v>
      </c>
      <c r="I605" s="27">
        <f t="shared" si="9"/>
        <v>2355642.3037711792</v>
      </c>
      <c r="J605">
        <v>5</v>
      </c>
      <c r="K605" t="b">
        <v>0</v>
      </c>
    </row>
    <row r="606" spans="1:11" ht="16" x14ac:dyDescent="0.2">
      <c r="A606" s="16">
        <v>44913</v>
      </c>
      <c r="B606" t="s">
        <v>18</v>
      </c>
      <c r="C606" t="s">
        <v>19</v>
      </c>
      <c r="D606" t="s">
        <v>35</v>
      </c>
      <c r="E606" t="s">
        <v>7642</v>
      </c>
      <c r="F606">
        <v>4</v>
      </c>
      <c r="G606" s="15">
        <v>2710000</v>
      </c>
      <c r="H606" s="14">
        <v>0.13075929750140999</v>
      </c>
      <c r="I606" s="27">
        <f t="shared" si="9"/>
        <v>2355642.3037711792</v>
      </c>
      <c r="J606">
        <v>4.5</v>
      </c>
      <c r="K606" t="b">
        <v>1</v>
      </c>
    </row>
    <row r="607" spans="1:11" ht="16" x14ac:dyDescent="0.2">
      <c r="A607" s="16">
        <v>44913</v>
      </c>
      <c r="B607" t="s">
        <v>18</v>
      </c>
      <c r="C607" t="s">
        <v>19</v>
      </c>
      <c r="D607" t="s">
        <v>20</v>
      </c>
      <c r="E607" t="s">
        <v>7638</v>
      </c>
      <c r="F607">
        <v>4</v>
      </c>
      <c r="G607" s="15">
        <v>2710000</v>
      </c>
      <c r="H607" s="14">
        <v>0.13075929750140999</v>
      </c>
      <c r="I607" s="27">
        <f t="shared" si="9"/>
        <v>2355642.3037711792</v>
      </c>
      <c r="J607">
        <v>3.9</v>
      </c>
      <c r="K607" t="b">
        <v>1</v>
      </c>
    </row>
    <row r="608" spans="1:11" ht="16" x14ac:dyDescent="0.2">
      <c r="A608" s="16">
        <v>44914</v>
      </c>
      <c r="B608" t="s">
        <v>45</v>
      </c>
      <c r="C608" t="s">
        <v>45</v>
      </c>
      <c r="D608" t="str">
        <f>D607</f>
        <v>Website</v>
      </c>
      <c r="E608" t="s">
        <v>7644</v>
      </c>
      <c r="F608">
        <v>2</v>
      </c>
      <c r="G608" s="15">
        <v>2710000</v>
      </c>
      <c r="H608" s="14">
        <v>0.13075929750140999</v>
      </c>
      <c r="I608" s="27">
        <f t="shared" si="9"/>
        <v>2355642.3037711792</v>
      </c>
      <c r="J608">
        <v>5</v>
      </c>
      <c r="K608" t="b">
        <v>1</v>
      </c>
    </row>
    <row r="609" spans="1:11" ht="16" x14ac:dyDescent="0.2">
      <c r="A609" s="16">
        <v>44914</v>
      </c>
      <c r="B609" t="s">
        <v>29</v>
      </c>
      <c r="C609" t="s">
        <v>34</v>
      </c>
      <c r="D609" t="s">
        <v>20</v>
      </c>
      <c r="E609" t="s">
        <v>7642</v>
      </c>
      <c r="F609">
        <v>5</v>
      </c>
      <c r="G609" s="15">
        <v>2710000</v>
      </c>
      <c r="H609" s="14">
        <v>0.13075929750140999</v>
      </c>
      <c r="I609" s="27">
        <f t="shared" si="9"/>
        <v>2355642.3037711792</v>
      </c>
      <c r="J609">
        <v>3.5</v>
      </c>
      <c r="K609" t="b">
        <v>0</v>
      </c>
    </row>
    <row r="610" spans="1:11" ht="16" x14ac:dyDescent="0.2">
      <c r="A610" s="16">
        <v>44914</v>
      </c>
      <c r="B610" t="s">
        <v>45</v>
      </c>
      <c r="C610" t="s">
        <v>68</v>
      </c>
      <c r="D610" t="s">
        <v>20</v>
      </c>
      <c r="E610" t="s">
        <v>7637</v>
      </c>
      <c r="F610">
        <v>1</v>
      </c>
      <c r="G610" s="15">
        <v>2710000</v>
      </c>
      <c r="H610" s="14">
        <v>0.13075929750140999</v>
      </c>
      <c r="I610" s="27">
        <f t="shared" si="9"/>
        <v>2355642.3037711792</v>
      </c>
      <c r="J610">
        <v>4</v>
      </c>
      <c r="K610" t="b">
        <v>1</v>
      </c>
    </row>
    <row r="611" spans="1:11" ht="16" x14ac:dyDescent="0.2">
      <c r="A611" s="16">
        <v>44914</v>
      </c>
      <c r="B611" t="s">
        <v>45</v>
      </c>
      <c r="C611" t="s">
        <v>19</v>
      </c>
      <c r="D611" t="s">
        <v>50</v>
      </c>
      <c r="E611" t="s">
        <v>7638</v>
      </c>
      <c r="F611">
        <v>1</v>
      </c>
      <c r="G611" s="15">
        <v>2710000</v>
      </c>
      <c r="H611" s="14">
        <v>0.13075929750140999</v>
      </c>
      <c r="I611" s="27">
        <f t="shared" si="9"/>
        <v>2355642.3037711792</v>
      </c>
      <c r="J611">
        <v>4.2</v>
      </c>
      <c r="K611" t="b">
        <v>1</v>
      </c>
    </row>
    <row r="612" spans="1:11" ht="16" x14ac:dyDescent="0.2">
      <c r="A612" s="16">
        <v>44915</v>
      </c>
      <c r="B612" t="s">
        <v>33</v>
      </c>
      <c r="C612" t="s">
        <v>45</v>
      </c>
      <c r="D612" t="s">
        <v>35</v>
      </c>
      <c r="E612" t="s">
        <v>7637</v>
      </c>
      <c r="F612">
        <v>1</v>
      </c>
      <c r="G612" s="15">
        <v>2710000</v>
      </c>
      <c r="H612" s="14">
        <v>0.13075929750140999</v>
      </c>
      <c r="I612" s="27">
        <f t="shared" si="9"/>
        <v>2355642.3037711792</v>
      </c>
      <c r="J612">
        <v>3.4</v>
      </c>
      <c r="K612" t="b">
        <v>0</v>
      </c>
    </row>
    <row r="613" spans="1:11" ht="16" x14ac:dyDescent="0.2">
      <c r="A613" s="16">
        <v>44917</v>
      </c>
      <c r="B613" t="s">
        <v>45</v>
      </c>
      <c r="C613" t="s">
        <v>68</v>
      </c>
      <c r="D613" t="s">
        <v>35</v>
      </c>
      <c r="E613" t="s">
        <v>7644</v>
      </c>
      <c r="F613">
        <v>4</v>
      </c>
      <c r="G613" s="15">
        <v>2710000</v>
      </c>
      <c r="H613" s="14">
        <v>0.13075929750140999</v>
      </c>
      <c r="I613" s="27">
        <f t="shared" si="9"/>
        <v>2355642.3037711792</v>
      </c>
      <c r="J613">
        <v>5</v>
      </c>
      <c r="K613" t="b">
        <v>1</v>
      </c>
    </row>
    <row r="614" spans="1:11" ht="16" x14ac:dyDescent="0.2">
      <c r="A614" s="16">
        <v>44917</v>
      </c>
      <c r="B614" t="s">
        <v>45</v>
      </c>
      <c r="C614" t="s">
        <v>19</v>
      </c>
      <c r="D614" t="s">
        <v>20</v>
      </c>
      <c r="E614" t="s">
        <v>7643</v>
      </c>
      <c r="F614">
        <v>1</v>
      </c>
      <c r="G614" s="15">
        <v>2710000</v>
      </c>
      <c r="H614" s="14">
        <v>0.13075929750140999</v>
      </c>
      <c r="I614" s="27">
        <f t="shared" si="9"/>
        <v>2355642.3037711792</v>
      </c>
      <c r="J614">
        <v>3.8</v>
      </c>
      <c r="K614" t="b">
        <v>1</v>
      </c>
    </row>
    <row r="615" spans="1:11" ht="16" x14ac:dyDescent="0.2">
      <c r="A615" s="16">
        <v>44917</v>
      </c>
      <c r="B615" t="s">
        <v>45</v>
      </c>
      <c r="C615" t="s">
        <v>39</v>
      </c>
      <c r="D615" t="s">
        <v>20</v>
      </c>
      <c r="E615" t="s">
        <v>7637</v>
      </c>
      <c r="F615">
        <v>2</v>
      </c>
      <c r="G615" s="15">
        <v>2710000</v>
      </c>
      <c r="H615" s="14">
        <v>0.13075929750140999</v>
      </c>
      <c r="I615" s="27">
        <f t="shared" si="9"/>
        <v>2355642.3037711792</v>
      </c>
      <c r="J615">
        <v>4.8</v>
      </c>
      <c r="K615" t="b">
        <v>0</v>
      </c>
    </row>
    <row r="616" spans="1:11" ht="16" x14ac:dyDescent="0.2">
      <c r="A616" s="16">
        <v>44917</v>
      </c>
      <c r="B616" t="s">
        <v>33</v>
      </c>
      <c r="C616" t="s">
        <v>25</v>
      </c>
      <c r="D616" t="s">
        <v>20</v>
      </c>
      <c r="E616" t="s">
        <v>7638</v>
      </c>
      <c r="F616">
        <v>2</v>
      </c>
      <c r="G616" s="15">
        <v>2710000</v>
      </c>
      <c r="H616" s="14">
        <v>0.13075929750140999</v>
      </c>
      <c r="I616" s="27">
        <f t="shared" si="9"/>
        <v>2355642.3037711792</v>
      </c>
      <c r="J616">
        <v>4.4000000000000004</v>
      </c>
      <c r="K616" t="b">
        <v>0</v>
      </c>
    </row>
    <row r="617" spans="1:11" ht="16" x14ac:dyDescent="0.2">
      <c r="A617" s="16">
        <v>44918</v>
      </c>
      <c r="B617" t="s">
        <v>29</v>
      </c>
      <c r="C617" t="s">
        <v>34</v>
      </c>
      <c r="D617" t="s">
        <v>20</v>
      </c>
      <c r="E617" t="s">
        <v>7638</v>
      </c>
      <c r="F617">
        <v>1</v>
      </c>
      <c r="G617" s="15">
        <v>2710000</v>
      </c>
      <c r="H617" s="14">
        <v>0.13075929750140999</v>
      </c>
      <c r="I617" s="27">
        <f t="shared" si="9"/>
        <v>2355642.3037711792</v>
      </c>
      <c r="J617">
        <v>3.9</v>
      </c>
      <c r="K617" t="b">
        <v>1</v>
      </c>
    </row>
    <row r="618" spans="1:11" ht="16" x14ac:dyDescent="0.2">
      <c r="A618" s="16">
        <v>44918</v>
      </c>
      <c r="B618" t="s">
        <v>29</v>
      </c>
      <c r="C618" t="s">
        <v>19</v>
      </c>
      <c r="D618" t="s">
        <v>35</v>
      </c>
      <c r="E618" t="s">
        <v>7642</v>
      </c>
      <c r="F618">
        <v>2</v>
      </c>
      <c r="G618" s="15">
        <v>2710000</v>
      </c>
      <c r="H618" s="14">
        <v>0.13075929750140999</v>
      </c>
      <c r="I618" s="27">
        <f t="shared" si="9"/>
        <v>2355642.3037711792</v>
      </c>
      <c r="J618">
        <v>4</v>
      </c>
      <c r="K618" t="b">
        <v>1</v>
      </c>
    </row>
    <row r="619" spans="1:11" ht="16" x14ac:dyDescent="0.2">
      <c r="A619" s="16">
        <v>44918</v>
      </c>
      <c r="B619" t="s">
        <v>29</v>
      </c>
      <c r="C619" t="s">
        <v>68</v>
      </c>
      <c r="D619" t="s">
        <v>50</v>
      </c>
      <c r="E619" t="s">
        <v>7644</v>
      </c>
      <c r="F619">
        <v>4</v>
      </c>
      <c r="G619" s="15">
        <v>2710000</v>
      </c>
      <c r="H619" s="14">
        <v>0.13075929750140999</v>
      </c>
      <c r="I619" s="27">
        <f t="shared" si="9"/>
        <v>2355642.3037711792</v>
      </c>
      <c r="J619">
        <v>3.6</v>
      </c>
      <c r="K619" t="b">
        <v>0</v>
      </c>
    </row>
    <row r="620" spans="1:11" ht="16" x14ac:dyDescent="0.2">
      <c r="A620" s="16">
        <v>44919</v>
      </c>
      <c r="B620" t="s">
        <v>45</v>
      </c>
      <c r="C620" t="s">
        <v>39</v>
      </c>
      <c r="D620" t="s">
        <v>20</v>
      </c>
      <c r="E620" t="s">
        <v>99</v>
      </c>
      <c r="F620">
        <v>1</v>
      </c>
      <c r="G620" s="15">
        <v>2710000</v>
      </c>
      <c r="H620" s="14">
        <v>0.13075929750140999</v>
      </c>
      <c r="I620" s="27">
        <f t="shared" si="9"/>
        <v>2355642.3037711792</v>
      </c>
      <c r="J620">
        <v>3.8</v>
      </c>
      <c r="K620" t="b">
        <v>1</v>
      </c>
    </row>
    <row r="621" spans="1:11" ht="16" x14ac:dyDescent="0.2">
      <c r="A621" s="16">
        <v>44919</v>
      </c>
      <c r="B621" t="s">
        <v>33</v>
      </c>
      <c r="C621" t="s">
        <v>39</v>
      </c>
      <c r="D621" t="s">
        <v>35</v>
      </c>
      <c r="E621" t="s">
        <v>7637</v>
      </c>
      <c r="F621">
        <v>3</v>
      </c>
      <c r="G621" s="15">
        <v>2710000</v>
      </c>
      <c r="H621" s="14">
        <v>0.13075929750140999</v>
      </c>
      <c r="I621" s="27">
        <f t="shared" si="9"/>
        <v>2355642.3037711792</v>
      </c>
      <c r="J621">
        <v>3.7</v>
      </c>
      <c r="K621" t="b">
        <v>0</v>
      </c>
    </row>
    <row r="622" spans="1:11" ht="16" x14ac:dyDescent="0.2">
      <c r="A622" s="16">
        <v>44919</v>
      </c>
      <c r="B622" t="s">
        <v>18</v>
      </c>
      <c r="C622" t="s">
        <v>19</v>
      </c>
      <c r="D622" t="s">
        <v>50</v>
      </c>
      <c r="E622" t="s">
        <v>7641</v>
      </c>
      <c r="F622">
        <v>3</v>
      </c>
      <c r="G622" s="15">
        <v>2710000</v>
      </c>
      <c r="H622" s="14">
        <v>0.13075929750140999</v>
      </c>
      <c r="I622" s="27">
        <f t="shared" si="9"/>
        <v>2355642.3037711792</v>
      </c>
      <c r="J622">
        <v>3.7</v>
      </c>
      <c r="K622" t="b">
        <v>1</v>
      </c>
    </row>
    <row r="623" spans="1:11" ht="16" x14ac:dyDescent="0.2">
      <c r="A623" s="16">
        <v>44919</v>
      </c>
      <c r="B623" t="s">
        <v>18</v>
      </c>
      <c r="C623" t="s">
        <v>34</v>
      </c>
      <c r="D623" t="s">
        <v>20</v>
      </c>
      <c r="E623" t="s">
        <v>7641</v>
      </c>
      <c r="F623">
        <v>2</v>
      </c>
      <c r="G623" s="15">
        <v>2710000</v>
      </c>
      <c r="H623" s="14">
        <v>0.13075929750140999</v>
      </c>
      <c r="I623" s="27">
        <f t="shared" si="9"/>
        <v>2355642.3037711792</v>
      </c>
      <c r="J623">
        <v>4.5</v>
      </c>
      <c r="K623" t="b">
        <v>0</v>
      </c>
    </row>
    <row r="624" spans="1:11" ht="16" x14ac:dyDescent="0.2">
      <c r="A624" s="16">
        <v>44921</v>
      </c>
      <c r="B624" t="s">
        <v>29</v>
      </c>
      <c r="C624" t="s">
        <v>19</v>
      </c>
      <c r="D624" t="s">
        <v>50</v>
      </c>
      <c r="E624" t="s">
        <v>7641</v>
      </c>
      <c r="F624">
        <v>2</v>
      </c>
      <c r="G624" s="15">
        <v>2710000</v>
      </c>
      <c r="H624" s="14">
        <v>0.13075929750140999</v>
      </c>
      <c r="I624" s="27">
        <f t="shared" si="9"/>
        <v>2355642.3037711792</v>
      </c>
      <c r="J624">
        <v>4.2</v>
      </c>
      <c r="K624" t="b">
        <v>1</v>
      </c>
    </row>
    <row r="625" spans="1:11" ht="16" x14ac:dyDescent="0.2">
      <c r="A625" s="16">
        <v>44921</v>
      </c>
      <c r="B625" t="s">
        <v>29</v>
      </c>
      <c r="C625" t="s">
        <v>25</v>
      </c>
      <c r="D625" t="s">
        <v>20</v>
      </c>
      <c r="E625" t="s">
        <v>99</v>
      </c>
      <c r="F625">
        <v>2</v>
      </c>
      <c r="G625" s="15">
        <v>2710000</v>
      </c>
      <c r="H625" s="14">
        <v>0.13075929750140999</v>
      </c>
      <c r="I625" s="27">
        <f t="shared" si="9"/>
        <v>2355642.3037711792</v>
      </c>
      <c r="J625">
        <v>4.5</v>
      </c>
      <c r="K625" t="b">
        <v>1</v>
      </c>
    </row>
    <row r="626" spans="1:11" ht="16" x14ac:dyDescent="0.2">
      <c r="A626" s="16">
        <v>44922</v>
      </c>
      <c r="B626" t="s">
        <v>33</v>
      </c>
      <c r="C626" t="s">
        <v>19</v>
      </c>
      <c r="D626" t="s">
        <v>20</v>
      </c>
      <c r="E626" t="s">
        <v>7641</v>
      </c>
      <c r="F626">
        <v>3</v>
      </c>
      <c r="G626" s="15">
        <v>2710000</v>
      </c>
      <c r="H626" s="14">
        <v>0.13075929750140999</v>
      </c>
      <c r="I626" s="27">
        <f t="shared" si="9"/>
        <v>2355642.3037711792</v>
      </c>
      <c r="J626">
        <v>4</v>
      </c>
      <c r="K626" t="b">
        <v>1</v>
      </c>
    </row>
    <row r="627" spans="1:11" ht="16" x14ac:dyDescent="0.2">
      <c r="A627" s="16">
        <v>44922</v>
      </c>
      <c r="B627" t="s">
        <v>45</v>
      </c>
      <c r="C627" t="s">
        <v>45</v>
      </c>
      <c r="D627" t="s">
        <v>20</v>
      </c>
      <c r="E627" t="s">
        <v>7639</v>
      </c>
      <c r="F627">
        <v>1</v>
      </c>
      <c r="G627" s="15">
        <v>2710000</v>
      </c>
      <c r="H627" s="14">
        <v>0.13075929750140999</v>
      </c>
      <c r="I627" s="27">
        <f t="shared" si="9"/>
        <v>2355642.3037711792</v>
      </c>
      <c r="J627">
        <v>4.5</v>
      </c>
      <c r="K627" t="b">
        <v>0</v>
      </c>
    </row>
    <row r="628" spans="1:11" ht="16" x14ac:dyDescent="0.2">
      <c r="A628" s="16">
        <v>44923</v>
      </c>
      <c r="B628" t="s">
        <v>45</v>
      </c>
      <c r="C628" t="s">
        <v>45</v>
      </c>
      <c r="D628" t="s">
        <v>20</v>
      </c>
      <c r="E628" t="s">
        <v>57</v>
      </c>
      <c r="F628">
        <v>2</v>
      </c>
      <c r="G628" s="15">
        <v>2710000</v>
      </c>
      <c r="H628" s="14">
        <v>0.13075929750140999</v>
      </c>
      <c r="I628" s="27">
        <f t="shared" si="9"/>
        <v>2355642.3037711792</v>
      </c>
      <c r="J628">
        <v>5</v>
      </c>
      <c r="K628" t="b">
        <v>1</v>
      </c>
    </row>
    <row r="629" spans="1:11" ht="16" x14ac:dyDescent="0.2">
      <c r="A629" s="16">
        <v>44924</v>
      </c>
      <c r="B629" t="s">
        <v>33</v>
      </c>
      <c r="C629" t="s">
        <v>45</v>
      </c>
      <c r="D629" t="s">
        <v>50</v>
      </c>
      <c r="E629" t="s">
        <v>7641</v>
      </c>
      <c r="F629">
        <v>5</v>
      </c>
      <c r="G629" s="15">
        <v>2710000</v>
      </c>
      <c r="H629" s="14">
        <v>0.13075929750140999</v>
      </c>
      <c r="I629" s="27">
        <f t="shared" si="9"/>
        <v>2355642.3037711792</v>
      </c>
      <c r="J629">
        <v>3.9</v>
      </c>
      <c r="K629" t="b">
        <v>0</v>
      </c>
    </row>
    <row r="630" spans="1:11" ht="16" x14ac:dyDescent="0.2">
      <c r="A630" s="16">
        <v>44925</v>
      </c>
      <c r="B630" t="s">
        <v>45</v>
      </c>
      <c r="C630" t="s">
        <v>39</v>
      </c>
      <c r="D630" t="s">
        <v>35</v>
      </c>
      <c r="E630" t="s">
        <v>7642</v>
      </c>
      <c r="F630">
        <v>1</v>
      </c>
      <c r="G630" s="15">
        <v>2710000</v>
      </c>
      <c r="H630" s="14">
        <v>0.13075929750140999</v>
      </c>
      <c r="I630" s="27">
        <f t="shared" si="9"/>
        <v>2355642.3037711792</v>
      </c>
      <c r="J630">
        <v>3.6</v>
      </c>
      <c r="K630" t="b">
        <v>1</v>
      </c>
    </row>
    <row r="631" spans="1:11" ht="16" x14ac:dyDescent="0.2">
      <c r="A631" s="16">
        <v>44925</v>
      </c>
      <c r="B631" t="s">
        <v>45</v>
      </c>
      <c r="C631" t="s">
        <v>34</v>
      </c>
      <c r="D631" t="s">
        <v>50</v>
      </c>
      <c r="E631" t="s">
        <v>57</v>
      </c>
      <c r="F631">
        <v>1</v>
      </c>
      <c r="G631" s="15">
        <v>2710000</v>
      </c>
      <c r="H631" s="14">
        <v>0.13075929750140999</v>
      </c>
      <c r="I631" s="27">
        <f t="shared" si="9"/>
        <v>2355642.3037711792</v>
      </c>
      <c r="J631">
        <v>4.2</v>
      </c>
      <c r="K631" t="b">
        <v>1</v>
      </c>
    </row>
    <row r="632" spans="1:11" ht="16" x14ac:dyDescent="0.2">
      <c r="A632" s="16">
        <v>44925</v>
      </c>
      <c r="B632" t="s">
        <v>45</v>
      </c>
      <c r="C632" t="s">
        <v>39</v>
      </c>
      <c r="D632" t="s">
        <v>35</v>
      </c>
      <c r="E632" t="s">
        <v>57</v>
      </c>
      <c r="F632">
        <v>4</v>
      </c>
      <c r="G632" s="15">
        <v>2710000</v>
      </c>
      <c r="H632" s="14">
        <v>0.13075929750140999</v>
      </c>
      <c r="I632" s="27">
        <f t="shared" si="9"/>
        <v>2355642.3037711792</v>
      </c>
      <c r="J632">
        <v>4.0999999999999996</v>
      </c>
      <c r="K632" t="b">
        <v>1</v>
      </c>
    </row>
    <row r="633" spans="1:11" ht="16" x14ac:dyDescent="0.2">
      <c r="A633" s="16">
        <v>44926</v>
      </c>
      <c r="B633" t="s">
        <v>45</v>
      </c>
      <c r="C633" t="s">
        <v>39</v>
      </c>
      <c r="D633" t="s">
        <v>35</v>
      </c>
      <c r="E633" t="s">
        <v>7637</v>
      </c>
      <c r="F633">
        <v>4</v>
      </c>
      <c r="G633" s="15">
        <v>2710000</v>
      </c>
      <c r="H633" s="14">
        <v>0.13075929750140999</v>
      </c>
      <c r="I633" s="27">
        <f t="shared" si="9"/>
        <v>2355642.3037711792</v>
      </c>
      <c r="J633">
        <v>4.3</v>
      </c>
      <c r="K633" t="b">
        <v>1</v>
      </c>
    </row>
    <row r="634" spans="1:11" ht="16" x14ac:dyDescent="0.2">
      <c r="A634" s="16">
        <v>44927</v>
      </c>
      <c r="B634" t="s">
        <v>45</v>
      </c>
      <c r="C634" t="s">
        <v>45</v>
      </c>
      <c r="D634" t="s">
        <v>50</v>
      </c>
      <c r="E634" t="s">
        <v>7638</v>
      </c>
      <c r="F634">
        <v>3</v>
      </c>
      <c r="G634" s="15">
        <v>2710000</v>
      </c>
      <c r="H634" s="14">
        <v>0.13075929750140999</v>
      </c>
      <c r="I634" s="27">
        <f t="shared" si="9"/>
        <v>2355642.3037711792</v>
      </c>
      <c r="J634">
        <v>3.5</v>
      </c>
      <c r="K634" t="b">
        <v>1</v>
      </c>
    </row>
    <row r="635" spans="1:11" ht="16" x14ac:dyDescent="0.2">
      <c r="A635" s="16">
        <v>44928</v>
      </c>
      <c r="B635" t="s">
        <v>45</v>
      </c>
      <c r="C635" t="s">
        <v>25</v>
      </c>
      <c r="D635" t="s">
        <v>35</v>
      </c>
      <c r="E635" t="s">
        <v>7640</v>
      </c>
      <c r="F635">
        <v>1</v>
      </c>
      <c r="G635" s="15">
        <v>2710000</v>
      </c>
      <c r="H635" s="14">
        <v>0.13075929750140999</v>
      </c>
      <c r="I635" s="27">
        <f t="shared" si="9"/>
        <v>2355642.3037711792</v>
      </c>
      <c r="J635">
        <v>4.8</v>
      </c>
      <c r="K635" t="b">
        <v>0</v>
      </c>
    </row>
    <row r="636" spans="1:11" ht="16" x14ac:dyDescent="0.2">
      <c r="A636" s="16">
        <v>44928</v>
      </c>
      <c r="B636" t="s">
        <v>33</v>
      </c>
      <c r="C636" t="s">
        <v>39</v>
      </c>
      <c r="D636" t="s">
        <v>20</v>
      </c>
      <c r="E636" t="s">
        <v>7642</v>
      </c>
      <c r="F636">
        <v>3</v>
      </c>
      <c r="G636" s="15">
        <v>2710000</v>
      </c>
      <c r="H636" s="14">
        <v>0.13075929750140999</v>
      </c>
      <c r="I636" s="27">
        <f t="shared" si="9"/>
        <v>2355642.3037711792</v>
      </c>
      <c r="J636">
        <v>4.7</v>
      </c>
      <c r="K636" t="b">
        <v>0</v>
      </c>
    </row>
    <row r="637" spans="1:11" ht="16" x14ac:dyDescent="0.2">
      <c r="A637" s="16">
        <v>44929</v>
      </c>
      <c r="B637" t="s">
        <v>45</v>
      </c>
      <c r="C637" t="s">
        <v>45</v>
      </c>
      <c r="D637" t="s">
        <v>20</v>
      </c>
      <c r="E637" t="s">
        <v>7639</v>
      </c>
      <c r="F637">
        <v>3</v>
      </c>
      <c r="G637" s="15">
        <v>2710000</v>
      </c>
      <c r="H637" s="14">
        <v>0.13075929750140999</v>
      </c>
      <c r="I637" s="27">
        <f t="shared" si="9"/>
        <v>2355642.3037711792</v>
      </c>
      <c r="J637">
        <v>4.3</v>
      </c>
      <c r="K637" t="b">
        <v>0</v>
      </c>
    </row>
    <row r="638" spans="1:11" ht="16" x14ac:dyDescent="0.2">
      <c r="A638" s="16">
        <v>44929</v>
      </c>
      <c r="B638" t="s">
        <v>45</v>
      </c>
      <c r="C638" t="s">
        <v>39</v>
      </c>
      <c r="D638" t="s">
        <v>20</v>
      </c>
      <c r="E638" t="s">
        <v>7637</v>
      </c>
      <c r="F638">
        <v>1</v>
      </c>
      <c r="G638" s="15">
        <v>2710000</v>
      </c>
      <c r="H638" s="14">
        <v>0.13075929750140999</v>
      </c>
      <c r="I638" s="27">
        <f t="shared" si="9"/>
        <v>2355642.3037711792</v>
      </c>
      <c r="J638">
        <v>3.9</v>
      </c>
      <c r="K638" t="b">
        <v>1</v>
      </c>
    </row>
    <row r="639" spans="1:11" ht="16" x14ac:dyDescent="0.2">
      <c r="A639" s="16">
        <v>44931</v>
      </c>
      <c r="B639" t="s">
        <v>33</v>
      </c>
      <c r="C639" t="s">
        <v>34</v>
      </c>
      <c r="D639" t="s">
        <v>50</v>
      </c>
      <c r="E639" t="s">
        <v>7644</v>
      </c>
      <c r="F639">
        <v>3</v>
      </c>
      <c r="G639" s="15">
        <v>2710000</v>
      </c>
      <c r="H639" s="14">
        <v>0.13075929750140999</v>
      </c>
      <c r="I639" s="27">
        <f t="shared" si="9"/>
        <v>2355642.3037711792</v>
      </c>
      <c r="J639">
        <v>4.0999999999999996</v>
      </c>
      <c r="K639" t="b">
        <v>1</v>
      </c>
    </row>
    <row r="640" spans="1:11" ht="16" x14ac:dyDescent="0.2">
      <c r="A640" s="16">
        <v>44931</v>
      </c>
      <c r="B640" t="s">
        <v>29</v>
      </c>
      <c r="C640" t="s">
        <v>34</v>
      </c>
      <c r="D640" t="s">
        <v>50</v>
      </c>
      <c r="E640" t="s">
        <v>7637</v>
      </c>
      <c r="F640">
        <v>2</v>
      </c>
      <c r="G640" s="15">
        <v>2710000</v>
      </c>
      <c r="H640" s="14">
        <v>0.13075929750140999</v>
      </c>
      <c r="I640" s="27">
        <f t="shared" si="9"/>
        <v>2355642.3037711792</v>
      </c>
      <c r="J640">
        <v>3.2</v>
      </c>
      <c r="K640" t="b">
        <v>0</v>
      </c>
    </row>
    <row r="641" spans="1:11" ht="16" x14ac:dyDescent="0.2">
      <c r="A641" s="16">
        <v>44932</v>
      </c>
      <c r="B641" t="s">
        <v>45</v>
      </c>
      <c r="C641" t="s">
        <v>25</v>
      </c>
      <c r="D641" t="s">
        <v>20</v>
      </c>
      <c r="E641" t="s">
        <v>7640</v>
      </c>
      <c r="F641">
        <v>1</v>
      </c>
      <c r="G641" s="15">
        <v>2710000</v>
      </c>
      <c r="H641" s="14">
        <v>0.13075929750140999</v>
      </c>
      <c r="I641" s="27">
        <f t="shared" si="9"/>
        <v>2355642.3037711792</v>
      </c>
      <c r="J641">
        <v>4.5999999999999996</v>
      </c>
      <c r="K641" t="b">
        <v>1</v>
      </c>
    </row>
    <row r="642" spans="1:11" ht="16" x14ac:dyDescent="0.2">
      <c r="A642" s="16">
        <v>44932</v>
      </c>
      <c r="B642" t="s">
        <v>18</v>
      </c>
      <c r="C642" t="s">
        <v>39</v>
      </c>
      <c r="D642" t="s">
        <v>50</v>
      </c>
      <c r="E642" t="s">
        <v>7638</v>
      </c>
      <c r="F642">
        <v>2</v>
      </c>
      <c r="G642" s="15">
        <v>2710000</v>
      </c>
      <c r="H642" s="14">
        <v>0.13075929750140999</v>
      </c>
      <c r="I642" s="27">
        <f t="shared" si="9"/>
        <v>2355642.3037711792</v>
      </c>
      <c r="J642">
        <v>4</v>
      </c>
      <c r="K642" t="b">
        <v>0</v>
      </c>
    </row>
    <row r="643" spans="1:11" ht="16" x14ac:dyDescent="0.2">
      <c r="A643" s="16">
        <v>44933</v>
      </c>
      <c r="B643" t="s">
        <v>33</v>
      </c>
      <c r="C643" t="s">
        <v>19</v>
      </c>
      <c r="D643" t="s">
        <v>50</v>
      </c>
      <c r="E643" t="s">
        <v>7638</v>
      </c>
      <c r="F643">
        <v>2</v>
      </c>
      <c r="G643" s="15">
        <v>2710000</v>
      </c>
      <c r="H643" s="14">
        <v>0.13075929750140999</v>
      </c>
      <c r="I643" s="27">
        <f t="shared" ref="I643:I706" si="10">G643-G643*H643</f>
        <v>2355642.3037711792</v>
      </c>
      <c r="J643">
        <v>4.3</v>
      </c>
      <c r="K643" t="b">
        <v>0</v>
      </c>
    </row>
    <row r="644" spans="1:11" ht="16" x14ac:dyDescent="0.2">
      <c r="A644" s="16">
        <v>44934</v>
      </c>
      <c r="B644" t="s">
        <v>45</v>
      </c>
      <c r="C644" t="s">
        <v>19</v>
      </c>
      <c r="D644" t="s">
        <v>50</v>
      </c>
      <c r="E644" t="s">
        <v>7639</v>
      </c>
      <c r="F644">
        <v>3</v>
      </c>
      <c r="G644" s="15">
        <v>2710000</v>
      </c>
      <c r="H644" s="14">
        <v>0.13075929750140999</v>
      </c>
      <c r="I644" s="27">
        <f t="shared" si="10"/>
        <v>2355642.3037711792</v>
      </c>
      <c r="J644">
        <v>4.3</v>
      </c>
      <c r="K644" t="b">
        <v>1</v>
      </c>
    </row>
    <row r="645" spans="1:11" ht="16" x14ac:dyDescent="0.2">
      <c r="A645" s="16">
        <v>44934</v>
      </c>
      <c r="B645" t="s">
        <v>18</v>
      </c>
      <c r="C645" t="s">
        <v>19</v>
      </c>
      <c r="D645" t="s">
        <v>20</v>
      </c>
      <c r="E645" t="s">
        <v>7643</v>
      </c>
      <c r="F645">
        <v>3</v>
      </c>
      <c r="G645" s="15">
        <v>2710000</v>
      </c>
      <c r="H645" s="14">
        <v>0.13075929750140999</v>
      </c>
      <c r="I645" s="27">
        <f t="shared" si="10"/>
        <v>2355642.3037711792</v>
      </c>
      <c r="J645">
        <v>3.8</v>
      </c>
      <c r="K645" t="b">
        <v>1</v>
      </c>
    </row>
    <row r="646" spans="1:11" ht="16" x14ac:dyDescent="0.2">
      <c r="A646" s="16">
        <v>44934</v>
      </c>
      <c r="B646" t="s">
        <v>18</v>
      </c>
      <c r="C646" t="s">
        <v>19</v>
      </c>
      <c r="D646" t="s">
        <v>20</v>
      </c>
      <c r="E646" t="s">
        <v>7643</v>
      </c>
      <c r="F646">
        <v>1</v>
      </c>
      <c r="G646" s="15">
        <v>2710000</v>
      </c>
      <c r="H646" s="14">
        <v>0.13075929750140999</v>
      </c>
      <c r="I646" s="27">
        <f t="shared" si="10"/>
        <v>2355642.3037711792</v>
      </c>
      <c r="J646">
        <v>4.5</v>
      </c>
      <c r="K646" t="b">
        <v>1</v>
      </c>
    </row>
    <row r="647" spans="1:11" ht="16" x14ac:dyDescent="0.2">
      <c r="A647" s="16">
        <v>44934</v>
      </c>
      <c r="B647" t="str">
        <f>B646</f>
        <v>Young Professional</v>
      </c>
      <c r="C647" t="s">
        <v>39</v>
      </c>
      <c r="D647" t="s">
        <v>20</v>
      </c>
      <c r="E647" t="s">
        <v>7640</v>
      </c>
      <c r="F647">
        <v>1</v>
      </c>
      <c r="G647" s="15">
        <v>2710000</v>
      </c>
      <c r="H647" s="14">
        <v>0.13075929750140999</v>
      </c>
      <c r="I647" s="27">
        <f t="shared" si="10"/>
        <v>2355642.3037711792</v>
      </c>
      <c r="J647">
        <v>3.5</v>
      </c>
      <c r="K647" t="b">
        <v>0</v>
      </c>
    </row>
    <row r="648" spans="1:11" ht="16" x14ac:dyDescent="0.2">
      <c r="A648" s="16">
        <v>44935</v>
      </c>
      <c r="B648" t="str">
        <f>B647</f>
        <v>Young Professional</v>
      </c>
      <c r="C648" t="s">
        <v>19</v>
      </c>
      <c r="D648" t="s">
        <v>50</v>
      </c>
      <c r="E648" t="s">
        <v>7640</v>
      </c>
      <c r="F648">
        <v>1</v>
      </c>
      <c r="G648" s="15">
        <v>2710000</v>
      </c>
      <c r="H648" s="14">
        <v>0.13075929750140999</v>
      </c>
      <c r="I648" s="27">
        <f t="shared" si="10"/>
        <v>2355642.3037711792</v>
      </c>
      <c r="J648">
        <v>4.2</v>
      </c>
      <c r="K648" t="b">
        <v>0</v>
      </c>
    </row>
    <row r="649" spans="1:11" ht="16" x14ac:dyDescent="0.2">
      <c r="A649" s="16">
        <v>44935</v>
      </c>
      <c r="B649" t="s">
        <v>33</v>
      </c>
      <c r="C649" t="s">
        <v>39</v>
      </c>
      <c r="D649" t="s">
        <v>35</v>
      </c>
      <c r="E649" t="str">
        <f>E648</f>
        <v>Hội An</v>
      </c>
      <c r="F649">
        <v>1</v>
      </c>
      <c r="G649" s="15">
        <v>2710000</v>
      </c>
      <c r="H649" s="14">
        <v>0.13075929750140999</v>
      </c>
      <c r="I649" s="27">
        <f t="shared" si="10"/>
        <v>2355642.3037711792</v>
      </c>
      <c r="J649">
        <v>5</v>
      </c>
      <c r="K649" t="b">
        <v>1</v>
      </c>
    </row>
    <row r="650" spans="1:11" ht="16" x14ac:dyDescent="0.2">
      <c r="A650" s="16">
        <v>44936</v>
      </c>
      <c r="B650" t="s">
        <v>45</v>
      </c>
      <c r="C650" t="s">
        <v>19</v>
      </c>
      <c r="D650" t="s">
        <v>35</v>
      </c>
      <c r="E650" t="s">
        <v>99</v>
      </c>
      <c r="F650">
        <v>1</v>
      </c>
      <c r="G650" s="15">
        <v>2710000</v>
      </c>
      <c r="H650" s="14">
        <v>0.13075929750140999</v>
      </c>
      <c r="I650" s="27">
        <f t="shared" si="10"/>
        <v>2355642.3037711792</v>
      </c>
      <c r="J650">
        <v>5</v>
      </c>
      <c r="K650" t="b">
        <v>1</v>
      </c>
    </row>
    <row r="651" spans="1:11" ht="16" x14ac:dyDescent="0.2">
      <c r="A651" s="16">
        <v>44936</v>
      </c>
      <c r="B651" t="s">
        <v>45</v>
      </c>
      <c r="C651" t="s">
        <v>34</v>
      </c>
      <c r="D651" t="s">
        <v>20</v>
      </c>
      <c r="E651" t="s">
        <v>7644</v>
      </c>
      <c r="F651">
        <v>1</v>
      </c>
      <c r="G651" s="15">
        <v>2710000</v>
      </c>
      <c r="H651" s="14">
        <v>0.13075929750140999</v>
      </c>
      <c r="I651" s="27">
        <f t="shared" si="10"/>
        <v>2355642.3037711792</v>
      </c>
      <c r="J651">
        <v>4.2</v>
      </c>
      <c r="K651" t="b">
        <v>0</v>
      </c>
    </row>
    <row r="652" spans="1:11" ht="16" x14ac:dyDescent="0.2">
      <c r="A652" s="16">
        <v>44936</v>
      </c>
      <c r="B652" t="s">
        <v>18</v>
      </c>
      <c r="C652" t="s">
        <v>34</v>
      </c>
      <c r="D652" t="s">
        <v>35</v>
      </c>
      <c r="E652" t="s">
        <v>7637</v>
      </c>
      <c r="F652">
        <v>1</v>
      </c>
      <c r="G652" s="15">
        <v>2710000</v>
      </c>
      <c r="H652" s="14">
        <v>0.13075929750140999</v>
      </c>
      <c r="I652" s="27">
        <f t="shared" si="10"/>
        <v>2355642.3037711792</v>
      </c>
      <c r="J652">
        <v>3.9</v>
      </c>
      <c r="K652" t="b">
        <v>1</v>
      </c>
    </row>
    <row r="653" spans="1:11" ht="16" x14ac:dyDescent="0.2">
      <c r="A653" s="16">
        <v>44938</v>
      </c>
      <c r="B653" t="s">
        <v>45</v>
      </c>
      <c r="C653" t="s">
        <v>19</v>
      </c>
      <c r="D653" t="s">
        <v>50</v>
      </c>
      <c r="E653" t="s">
        <v>7637</v>
      </c>
      <c r="F653">
        <v>3</v>
      </c>
      <c r="G653" s="15">
        <v>2710000</v>
      </c>
      <c r="H653" s="14">
        <v>0.13075929750140999</v>
      </c>
      <c r="I653" s="27">
        <f t="shared" si="10"/>
        <v>2355642.3037711792</v>
      </c>
      <c r="J653">
        <v>3.8</v>
      </c>
      <c r="K653" t="b">
        <v>1</v>
      </c>
    </row>
    <row r="654" spans="1:11" ht="16" x14ac:dyDescent="0.2">
      <c r="A654" s="16">
        <v>44938</v>
      </c>
      <c r="B654" t="s">
        <v>45</v>
      </c>
      <c r="C654" t="s">
        <v>19</v>
      </c>
      <c r="D654" t="s">
        <v>20</v>
      </c>
      <c r="E654" t="str">
        <f>E653</f>
        <v>Đà Nẵng</v>
      </c>
      <c r="F654">
        <v>5</v>
      </c>
      <c r="G654" s="15">
        <v>2710000</v>
      </c>
      <c r="H654" s="14">
        <v>0.13075929750140999</v>
      </c>
      <c r="I654" s="27">
        <f t="shared" si="10"/>
        <v>2355642.3037711792</v>
      </c>
      <c r="J654">
        <v>4.2</v>
      </c>
      <c r="K654" t="b">
        <v>1</v>
      </c>
    </row>
    <row r="655" spans="1:11" ht="16" x14ac:dyDescent="0.2">
      <c r="A655" s="16">
        <v>44939</v>
      </c>
      <c r="B655" t="s">
        <v>29</v>
      </c>
      <c r="C655" t="s">
        <v>34</v>
      </c>
      <c r="D655" t="s">
        <v>35</v>
      </c>
      <c r="E655" t="s">
        <v>99</v>
      </c>
      <c r="F655">
        <v>2</v>
      </c>
      <c r="G655" s="15">
        <v>2710000</v>
      </c>
      <c r="H655" s="14">
        <v>0.13075929750140999</v>
      </c>
      <c r="I655" s="27">
        <f t="shared" si="10"/>
        <v>2355642.3037711792</v>
      </c>
      <c r="J655">
        <v>4.7</v>
      </c>
      <c r="K655" t="b">
        <v>1</v>
      </c>
    </row>
    <row r="656" spans="1:11" ht="16" x14ac:dyDescent="0.2">
      <c r="A656" s="16">
        <v>44939</v>
      </c>
      <c r="B656" t="s">
        <v>29</v>
      </c>
      <c r="C656" t="s">
        <v>45</v>
      </c>
      <c r="D656" t="s">
        <v>46</v>
      </c>
      <c r="E656" t="s">
        <v>7644</v>
      </c>
      <c r="F656">
        <v>1</v>
      </c>
      <c r="G656" s="15">
        <v>2710000</v>
      </c>
      <c r="H656" s="14">
        <v>0.13075929750140999</v>
      </c>
      <c r="I656" s="27">
        <f t="shared" si="10"/>
        <v>2355642.3037711792</v>
      </c>
      <c r="J656">
        <v>3.8</v>
      </c>
      <c r="K656" t="b">
        <v>1</v>
      </c>
    </row>
    <row r="657" spans="1:11" ht="16" x14ac:dyDescent="0.2">
      <c r="A657" s="16">
        <v>44939</v>
      </c>
      <c r="B657" t="s">
        <v>45</v>
      </c>
      <c r="C657" t="s">
        <v>19</v>
      </c>
      <c r="D657" t="s">
        <v>35</v>
      </c>
      <c r="E657" t="s">
        <v>7644</v>
      </c>
      <c r="F657">
        <v>1</v>
      </c>
      <c r="G657" s="15">
        <v>2710000</v>
      </c>
      <c r="H657" s="14">
        <v>0.13075929750140999</v>
      </c>
      <c r="I657" s="27">
        <f t="shared" si="10"/>
        <v>2355642.3037711792</v>
      </c>
      <c r="J657">
        <v>3.9</v>
      </c>
      <c r="K657" t="b">
        <v>0</v>
      </c>
    </row>
    <row r="658" spans="1:11" ht="16" x14ac:dyDescent="0.2">
      <c r="A658" s="16">
        <v>44939</v>
      </c>
      <c r="B658" t="s">
        <v>18</v>
      </c>
      <c r="C658" t="s">
        <v>25</v>
      </c>
      <c r="D658" t="s">
        <v>20</v>
      </c>
      <c r="E658" t="s">
        <v>7639</v>
      </c>
      <c r="F658">
        <v>3</v>
      </c>
      <c r="G658" s="15">
        <v>2710000</v>
      </c>
      <c r="H658" s="14">
        <v>0.13075929750140999</v>
      </c>
      <c r="I658" s="27">
        <f t="shared" si="10"/>
        <v>2355642.3037711792</v>
      </c>
      <c r="J658">
        <v>4.7</v>
      </c>
      <c r="K658" t="b">
        <v>0</v>
      </c>
    </row>
    <row r="659" spans="1:11" ht="16" x14ac:dyDescent="0.2">
      <c r="A659" s="16">
        <v>44940</v>
      </c>
      <c r="B659" t="s">
        <v>33</v>
      </c>
      <c r="C659" t="s">
        <v>34</v>
      </c>
      <c r="D659" t="s">
        <v>50</v>
      </c>
      <c r="E659" t="s">
        <v>7637</v>
      </c>
      <c r="F659">
        <v>4</v>
      </c>
      <c r="G659" s="15">
        <v>2710000</v>
      </c>
      <c r="H659" s="14">
        <v>0.13075929750140999</v>
      </c>
      <c r="I659" s="27">
        <f t="shared" si="10"/>
        <v>2355642.3037711792</v>
      </c>
      <c r="J659">
        <v>3.2</v>
      </c>
      <c r="K659" t="b">
        <v>1</v>
      </c>
    </row>
    <row r="660" spans="1:11" ht="16" x14ac:dyDescent="0.2">
      <c r="A660" s="16">
        <v>44940</v>
      </c>
      <c r="B660" t="s">
        <v>33</v>
      </c>
      <c r="C660" t="s">
        <v>45</v>
      </c>
      <c r="D660" t="s">
        <v>50</v>
      </c>
      <c r="E660" t="s">
        <v>57</v>
      </c>
      <c r="F660">
        <v>4</v>
      </c>
      <c r="G660" s="15">
        <v>2710000</v>
      </c>
      <c r="H660" s="14">
        <v>0.13075929750140999</v>
      </c>
      <c r="I660" s="27">
        <f t="shared" si="10"/>
        <v>2355642.3037711792</v>
      </c>
      <c r="J660">
        <v>3.7</v>
      </c>
      <c r="K660" t="b">
        <v>1</v>
      </c>
    </row>
    <row r="661" spans="1:11" ht="16" x14ac:dyDescent="0.2">
      <c r="A661" s="16">
        <v>44940</v>
      </c>
      <c r="B661" t="s">
        <v>33</v>
      </c>
      <c r="C661" t="s">
        <v>34</v>
      </c>
      <c r="D661" t="s">
        <v>20</v>
      </c>
      <c r="E661" t="s">
        <v>7639</v>
      </c>
      <c r="F661">
        <v>3</v>
      </c>
      <c r="G661" s="15">
        <v>2710000</v>
      </c>
      <c r="H661" s="14">
        <v>0.13075929750140999</v>
      </c>
      <c r="I661" s="27">
        <f t="shared" si="10"/>
        <v>2355642.3037711792</v>
      </c>
      <c r="J661">
        <v>3.8</v>
      </c>
      <c r="K661" t="b">
        <v>1</v>
      </c>
    </row>
    <row r="662" spans="1:11" ht="16" x14ac:dyDescent="0.2">
      <c r="A662" s="16">
        <v>44941</v>
      </c>
      <c r="B662" t="s">
        <v>33</v>
      </c>
      <c r="C662" t="s">
        <v>34</v>
      </c>
      <c r="D662" t="s">
        <v>50</v>
      </c>
      <c r="E662" t="s">
        <v>7640</v>
      </c>
      <c r="F662">
        <v>2</v>
      </c>
      <c r="G662" s="15">
        <v>2710000</v>
      </c>
      <c r="H662" s="14">
        <v>0.13075929750140999</v>
      </c>
      <c r="I662" s="27">
        <f t="shared" si="10"/>
        <v>2355642.3037711792</v>
      </c>
      <c r="J662">
        <v>5</v>
      </c>
      <c r="K662" t="b">
        <v>1</v>
      </c>
    </row>
    <row r="663" spans="1:11" ht="16" x14ac:dyDescent="0.2">
      <c r="A663" s="16">
        <v>44941</v>
      </c>
      <c r="B663" t="s">
        <v>29</v>
      </c>
      <c r="C663" t="s">
        <v>19</v>
      </c>
      <c r="D663" t="s">
        <v>20</v>
      </c>
      <c r="E663" t="s">
        <v>7638</v>
      </c>
      <c r="F663">
        <v>2</v>
      </c>
      <c r="G663" s="15">
        <v>2710000</v>
      </c>
      <c r="H663" s="14">
        <v>0.13075929750140999</v>
      </c>
      <c r="I663" s="27">
        <f t="shared" si="10"/>
        <v>2355642.3037711792</v>
      </c>
      <c r="J663">
        <v>4.4000000000000004</v>
      </c>
      <c r="K663" t="b">
        <v>1</v>
      </c>
    </row>
    <row r="664" spans="1:11" ht="16" x14ac:dyDescent="0.2">
      <c r="A664" s="16">
        <v>44942</v>
      </c>
      <c r="B664" t="s">
        <v>45</v>
      </c>
      <c r="C664" t="s">
        <v>34</v>
      </c>
      <c r="D664" t="s">
        <v>35</v>
      </c>
      <c r="E664" t="s">
        <v>7644</v>
      </c>
      <c r="F664">
        <v>2</v>
      </c>
      <c r="G664" s="15">
        <v>2710000</v>
      </c>
      <c r="H664" s="14">
        <v>0.13075929750140999</v>
      </c>
      <c r="I664" s="27">
        <f t="shared" si="10"/>
        <v>2355642.3037711792</v>
      </c>
      <c r="J664">
        <v>4.2</v>
      </c>
      <c r="K664" t="b">
        <v>1</v>
      </c>
    </row>
    <row r="665" spans="1:11" ht="16" x14ac:dyDescent="0.2">
      <c r="A665" s="16">
        <v>44942</v>
      </c>
      <c r="B665" t="s">
        <v>29</v>
      </c>
      <c r="C665" t="s">
        <v>25</v>
      </c>
      <c r="D665" t="s">
        <v>20</v>
      </c>
      <c r="E665" t="str">
        <f>E664</f>
        <v>Hạ Long</v>
      </c>
      <c r="F665">
        <v>3</v>
      </c>
      <c r="G665" s="15">
        <v>2710000</v>
      </c>
      <c r="H665" s="14">
        <v>0.13075929750140999</v>
      </c>
      <c r="I665" s="27">
        <f t="shared" si="10"/>
        <v>2355642.3037711792</v>
      </c>
      <c r="J665">
        <v>4</v>
      </c>
      <c r="K665" t="b">
        <v>1</v>
      </c>
    </row>
    <row r="666" spans="1:11" ht="16" x14ac:dyDescent="0.2">
      <c r="A666" s="16">
        <v>44942</v>
      </c>
      <c r="B666" t="s">
        <v>18</v>
      </c>
      <c r="C666" t="s">
        <v>34</v>
      </c>
      <c r="D666" t="s">
        <v>50</v>
      </c>
      <c r="E666" t="s">
        <v>7642</v>
      </c>
      <c r="F666">
        <v>5</v>
      </c>
      <c r="G666" s="15">
        <v>2710000</v>
      </c>
      <c r="H666" s="14">
        <v>0.13075929750140999</v>
      </c>
      <c r="I666" s="27">
        <f t="shared" si="10"/>
        <v>2355642.3037711792</v>
      </c>
      <c r="J666">
        <v>3.7</v>
      </c>
      <c r="K666" t="b">
        <v>1</v>
      </c>
    </row>
    <row r="667" spans="1:11" ht="16" x14ac:dyDescent="0.2">
      <c r="A667" s="16">
        <v>44942</v>
      </c>
      <c r="B667" t="s">
        <v>18</v>
      </c>
      <c r="C667" t="s">
        <v>45</v>
      </c>
      <c r="D667" t="s">
        <v>50</v>
      </c>
      <c r="E667" t="s">
        <v>7639</v>
      </c>
      <c r="F667">
        <v>1</v>
      </c>
      <c r="G667" s="15">
        <v>2710000</v>
      </c>
      <c r="H667" s="14">
        <v>0.13075929750140999</v>
      </c>
      <c r="I667" s="27">
        <f t="shared" si="10"/>
        <v>2355642.3037711792</v>
      </c>
      <c r="J667">
        <v>4.5999999999999996</v>
      </c>
      <c r="K667" t="b">
        <v>1</v>
      </c>
    </row>
    <row r="668" spans="1:11" ht="16" x14ac:dyDescent="0.2">
      <c r="A668" s="16">
        <v>44943</v>
      </c>
      <c r="B668" t="s">
        <v>18</v>
      </c>
      <c r="C668" t="s">
        <v>34</v>
      </c>
      <c r="D668" t="s">
        <v>20</v>
      </c>
      <c r="E668" t="s">
        <v>7643</v>
      </c>
      <c r="F668">
        <v>4</v>
      </c>
      <c r="G668" s="15">
        <v>2710000</v>
      </c>
      <c r="H668" s="14">
        <v>0.13075929750140999</v>
      </c>
      <c r="I668" s="27">
        <f t="shared" si="10"/>
        <v>2355642.3037711792</v>
      </c>
      <c r="J668">
        <v>3.3</v>
      </c>
      <c r="K668" t="b">
        <v>1</v>
      </c>
    </row>
    <row r="669" spans="1:11" ht="16" x14ac:dyDescent="0.2">
      <c r="A669" s="16">
        <v>44944</v>
      </c>
      <c r="B669" t="s">
        <v>18</v>
      </c>
      <c r="C669" t="s">
        <v>45</v>
      </c>
      <c r="D669" t="s">
        <v>35</v>
      </c>
      <c r="E669" t="s">
        <v>7640</v>
      </c>
      <c r="F669">
        <v>1</v>
      </c>
      <c r="G669" s="15">
        <v>2710000</v>
      </c>
      <c r="H669" s="14">
        <v>0.13075929750140999</v>
      </c>
      <c r="I669" s="27">
        <f t="shared" si="10"/>
        <v>2355642.3037711792</v>
      </c>
      <c r="J669">
        <v>4.3</v>
      </c>
      <c r="K669" t="b">
        <v>0</v>
      </c>
    </row>
    <row r="670" spans="1:11" ht="16" x14ac:dyDescent="0.2">
      <c r="A670" s="16">
        <v>44944</v>
      </c>
      <c r="B670" t="s">
        <v>45</v>
      </c>
      <c r="C670" t="s">
        <v>25</v>
      </c>
      <c r="D670" t="s">
        <v>20</v>
      </c>
      <c r="E670" t="s">
        <v>7643</v>
      </c>
      <c r="F670">
        <v>4</v>
      </c>
      <c r="G670" s="15">
        <v>2710000</v>
      </c>
      <c r="H670" s="14">
        <v>0.13075929750140999</v>
      </c>
      <c r="I670" s="27">
        <f t="shared" si="10"/>
        <v>2355642.3037711792</v>
      </c>
      <c r="J670">
        <v>4.3</v>
      </c>
      <c r="K670" t="b">
        <v>0</v>
      </c>
    </row>
    <row r="671" spans="1:11" ht="16" x14ac:dyDescent="0.2">
      <c r="A671" s="16">
        <v>44944</v>
      </c>
      <c r="B671" t="str">
        <f>B670</f>
        <v>Family</v>
      </c>
      <c r="C671" t="s">
        <v>19</v>
      </c>
      <c r="D671" t="s">
        <v>20</v>
      </c>
      <c r="E671" t="s">
        <v>7638</v>
      </c>
      <c r="F671">
        <v>4</v>
      </c>
      <c r="G671" s="15">
        <v>2710000</v>
      </c>
      <c r="H671" s="14">
        <v>0.13075929750140999</v>
      </c>
      <c r="I671" s="27">
        <f t="shared" si="10"/>
        <v>2355642.3037711792</v>
      </c>
      <c r="J671">
        <v>4.5</v>
      </c>
      <c r="K671" t="b">
        <v>1</v>
      </c>
    </row>
    <row r="672" spans="1:11" ht="16" x14ac:dyDescent="0.2">
      <c r="A672" s="16">
        <v>44945</v>
      </c>
      <c r="B672" t="s">
        <v>18</v>
      </c>
      <c r="C672" t="s">
        <v>45</v>
      </c>
      <c r="D672" t="s">
        <v>35</v>
      </c>
      <c r="E672" t="s">
        <v>7641</v>
      </c>
      <c r="F672">
        <v>1</v>
      </c>
      <c r="G672" s="15">
        <v>2710000</v>
      </c>
      <c r="H672" s="14">
        <v>0.13075929750140999</v>
      </c>
      <c r="I672" s="27">
        <f t="shared" si="10"/>
        <v>2355642.3037711792</v>
      </c>
      <c r="J672">
        <v>4.7</v>
      </c>
      <c r="K672" t="b">
        <v>1</v>
      </c>
    </row>
    <row r="673" spans="1:11" ht="16" x14ac:dyDescent="0.2">
      <c r="A673" s="16">
        <v>44947</v>
      </c>
      <c r="B673" t="s">
        <v>45</v>
      </c>
      <c r="C673" t="s">
        <v>19</v>
      </c>
      <c r="D673" t="s">
        <v>20</v>
      </c>
      <c r="E673" t="str">
        <f>E672</f>
        <v>Phú Quốc</v>
      </c>
      <c r="F673">
        <v>3</v>
      </c>
      <c r="G673" s="15">
        <v>2710000</v>
      </c>
      <c r="H673" s="14">
        <v>0.13075929750140999</v>
      </c>
      <c r="I673" s="27">
        <f t="shared" si="10"/>
        <v>2355642.3037711792</v>
      </c>
      <c r="J673">
        <v>4.0999999999999996</v>
      </c>
      <c r="K673" t="b">
        <v>1</v>
      </c>
    </row>
    <row r="674" spans="1:11" ht="16" x14ac:dyDescent="0.2">
      <c r="A674" s="16">
        <v>44947</v>
      </c>
      <c r="B674" t="s">
        <v>29</v>
      </c>
      <c r="C674" t="s">
        <v>34</v>
      </c>
      <c r="D674" t="s">
        <v>20</v>
      </c>
      <c r="E674" t="s">
        <v>57</v>
      </c>
      <c r="F674">
        <v>2</v>
      </c>
      <c r="G674" s="15">
        <v>2710000</v>
      </c>
      <c r="H674" s="14">
        <v>0.13075929750140999</v>
      </c>
      <c r="I674" s="27">
        <f t="shared" si="10"/>
        <v>2355642.3037711792</v>
      </c>
      <c r="J674">
        <v>4.5</v>
      </c>
      <c r="K674" t="b">
        <v>0</v>
      </c>
    </row>
    <row r="675" spans="1:11" ht="16" x14ac:dyDescent="0.2">
      <c r="A675" s="16">
        <v>44948</v>
      </c>
      <c r="B675" t="s">
        <v>18</v>
      </c>
      <c r="C675" t="s">
        <v>34</v>
      </c>
      <c r="D675" t="s">
        <v>35</v>
      </c>
      <c r="E675" t="s">
        <v>99</v>
      </c>
      <c r="F675">
        <v>3</v>
      </c>
      <c r="G675" s="15">
        <v>2710000</v>
      </c>
      <c r="H675" s="14">
        <v>0.13075929750140999</v>
      </c>
      <c r="I675" s="27">
        <f t="shared" si="10"/>
        <v>2355642.3037711792</v>
      </c>
      <c r="J675">
        <v>5</v>
      </c>
      <c r="K675" t="b">
        <v>0</v>
      </c>
    </row>
    <row r="676" spans="1:11" ht="16" x14ac:dyDescent="0.2">
      <c r="A676" s="16">
        <v>44949</v>
      </c>
      <c r="B676" t="s">
        <v>45</v>
      </c>
      <c r="C676" t="s">
        <v>19</v>
      </c>
      <c r="D676" t="s">
        <v>50</v>
      </c>
      <c r="E676" t="s">
        <v>7637</v>
      </c>
      <c r="F676">
        <v>1</v>
      </c>
      <c r="G676" s="15">
        <v>2710000</v>
      </c>
      <c r="H676" s="14">
        <v>0.13075929750140999</v>
      </c>
      <c r="I676" s="27">
        <f t="shared" si="10"/>
        <v>2355642.3037711792</v>
      </c>
      <c r="J676">
        <v>4.3</v>
      </c>
      <c r="K676" t="b">
        <v>0</v>
      </c>
    </row>
    <row r="677" spans="1:11" ht="16" x14ac:dyDescent="0.2">
      <c r="A677" s="16">
        <v>44949</v>
      </c>
      <c r="B677" t="s">
        <v>33</v>
      </c>
      <c r="C677" t="s">
        <v>34</v>
      </c>
      <c r="D677" t="s">
        <v>35</v>
      </c>
      <c r="E677" t="s">
        <v>99</v>
      </c>
      <c r="F677">
        <v>4</v>
      </c>
      <c r="G677" s="15">
        <v>2710000</v>
      </c>
      <c r="H677" s="14">
        <v>0.13075929750140999</v>
      </c>
      <c r="I677" s="27">
        <f t="shared" si="10"/>
        <v>2355642.3037711792</v>
      </c>
      <c r="J677">
        <v>3.9</v>
      </c>
      <c r="K677" t="b">
        <v>0</v>
      </c>
    </row>
    <row r="678" spans="1:11" ht="16" x14ac:dyDescent="0.2">
      <c r="A678" s="16">
        <v>44949</v>
      </c>
      <c r="B678" t="s">
        <v>45</v>
      </c>
      <c r="C678" t="s">
        <v>45</v>
      </c>
      <c r="D678" t="s">
        <v>20</v>
      </c>
      <c r="E678" t="s">
        <v>7642</v>
      </c>
      <c r="F678">
        <v>1</v>
      </c>
      <c r="G678" s="15">
        <v>2710000</v>
      </c>
      <c r="H678" s="14">
        <v>0.13075929750140999</v>
      </c>
      <c r="I678" s="27">
        <f t="shared" si="10"/>
        <v>2355642.3037711792</v>
      </c>
      <c r="J678">
        <v>4.7</v>
      </c>
      <c r="K678" t="b">
        <v>1</v>
      </c>
    </row>
    <row r="679" spans="1:11" ht="16" x14ac:dyDescent="0.2">
      <c r="A679" s="16">
        <v>44949</v>
      </c>
      <c r="B679" t="s">
        <v>29</v>
      </c>
      <c r="C679" t="s">
        <v>34</v>
      </c>
      <c r="D679" t="s">
        <v>35</v>
      </c>
      <c r="E679" t="s">
        <v>7640</v>
      </c>
      <c r="F679">
        <v>1</v>
      </c>
      <c r="G679" s="15">
        <v>2710000</v>
      </c>
      <c r="H679" s="14">
        <v>0.13075929750140999</v>
      </c>
      <c r="I679" s="27">
        <f t="shared" si="10"/>
        <v>2355642.3037711792</v>
      </c>
      <c r="J679">
        <v>4.8</v>
      </c>
      <c r="K679" t="b">
        <v>0</v>
      </c>
    </row>
    <row r="680" spans="1:11" ht="16" x14ac:dyDescent="0.2">
      <c r="A680" s="16">
        <v>44949</v>
      </c>
      <c r="B680" t="s">
        <v>45</v>
      </c>
      <c r="C680" t="s">
        <v>45</v>
      </c>
      <c r="D680" t="s">
        <v>20</v>
      </c>
      <c r="E680" t="s">
        <v>7642</v>
      </c>
      <c r="F680">
        <v>1</v>
      </c>
      <c r="G680" s="15">
        <v>2710000</v>
      </c>
      <c r="H680" s="14">
        <v>0.13075929750140999</v>
      </c>
      <c r="I680" s="27">
        <f t="shared" si="10"/>
        <v>2355642.3037711792</v>
      </c>
      <c r="J680">
        <v>3.7</v>
      </c>
      <c r="K680" t="b">
        <v>1</v>
      </c>
    </row>
    <row r="681" spans="1:11" ht="16" x14ac:dyDescent="0.2">
      <c r="A681" s="16">
        <v>44950</v>
      </c>
      <c r="B681" t="s">
        <v>33</v>
      </c>
      <c r="C681" t="s">
        <v>19</v>
      </c>
      <c r="D681" t="s">
        <v>20</v>
      </c>
      <c r="E681" t="s">
        <v>7641</v>
      </c>
      <c r="F681">
        <v>1</v>
      </c>
      <c r="G681" s="15">
        <v>2710000</v>
      </c>
      <c r="H681" s="14">
        <v>0.13075929750140999</v>
      </c>
      <c r="I681" s="27">
        <f t="shared" si="10"/>
        <v>2355642.3037711792</v>
      </c>
      <c r="J681">
        <v>5</v>
      </c>
      <c r="K681" t="b">
        <v>1</v>
      </c>
    </row>
    <row r="682" spans="1:11" ht="16" x14ac:dyDescent="0.2">
      <c r="A682" s="16">
        <v>44951</v>
      </c>
      <c r="B682" t="s">
        <v>33</v>
      </c>
      <c r="C682" t="s">
        <v>34</v>
      </c>
      <c r="D682" t="s">
        <v>20</v>
      </c>
      <c r="E682" t="s">
        <v>7638</v>
      </c>
      <c r="F682">
        <v>2</v>
      </c>
      <c r="G682" s="15">
        <v>2710000</v>
      </c>
      <c r="H682" s="14">
        <v>0.13075929750140999</v>
      </c>
      <c r="I682" s="27">
        <f t="shared" si="10"/>
        <v>2355642.3037711792</v>
      </c>
      <c r="J682">
        <v>4.7</v>
      </c>
      <c r="K682" t="b">
        <v>1</v>
      </c>
    </row>
    <row r="683" spans="1:11" ht="16" x14ac:dyDescent="0.2">
      <c r="A683" s="16">
        <v>44951</v>
      </c>
      <c r="B683" t="str">
        <f>B682</f>
        <v>Student</v>
      </c>
      <c r="C683" t="s">
        <v>34</v>
      </c>
      <c r="D683" t="s">
        <v>20</v>
      </c>
      <c r="E683" t="s">
        <v>99</v>
      </c>
      <c r="F683">
        <v>1</v>
      </c>
      <c r="G683" s="15">
        <v>2710000</v>
      </c>
      <c r="H683" s="14">
        <v>0.13075929750140999</v>
      </c>
      <c r="I683" s="27">
        <f t="shared" si="10"/>
        <v>2355642.3037711792</v>
      </c>
      <c r="J683">
        <v>3.9</v>
      </c>
      <c r="K683" t="b">
        <v>0</v>
      </c>
    </row>
    <row r="684" spans="1:11" ht="16" x14ac:dyDescent="0.2">
      <c r="A684" s="16">
        <v>44951</v>
      </c>
      <c r="B684" t="s">
        <v>45</v>
      </c>
      <c r="C684" t="s">
        <v>19</v>
      </c>
      <c r="D684" t="s">
        <v>20</v>
      </c>
      <c r="E684" t="s">
        <v>7639</v>
      </c>
      <c r="F684">
        <v>1</v>
      </c>
      <c r="G684" s="15">
        <v>2710000</v>
      </c>
      <c r="H684" s="14">
        <v>0.13075929750140999</v>
      </c>
      <c r="I684" s="27">
        <f t="shared" si="10"/>
        <v>2355642.3037711792</v>
      </c>
      <c r="J684">
        <v>3.9</v>
      </c>
      <c r="K684" t="b">
        <v>1</v>
      </c>
    </row>
    <row r="685" spans="1:11" ht="16" x14ac:dyDescent="0.2">
      <c r="A685" s="16">
        <v>44951</v>
      </c>
      <c r="B685" t="s">
        <v>29</v>
      </c>
      <c r="C685" t="s">
        <v>39</v>
      </c>
      <c r="D685" t="str">
        <f>D684</f>
        <v>Website</v>
      </c>
      <c r="E685" t="s">
        <v>7641</v>
      </c>
      <c r="F685">
        <v>2</v>
      </c>
      <c r="G685" s="15">
        <v>2710000</v>
      </c>
      <c r="H685" s="14">
        <v>0.13075929750140999</v>
      </c>
      <c r="I685" s="27">
        <f t="shared" si="10"/>
        <v>2355642.3037711792</v>
      </c>
      <c r="J685">
        <v>3.9</v>
      </c>
      <c r="K685" t="b">
        <v>1</v>
      </c>
    </row>
    <row r="686" spans="1:11" ht="16" x14ac:dyDescent="0.2">
      <c r="A686" s="16">
        <v>44951</v>
      </c>
      <c r="B686" t="s">
        <v>18</v>
      </c>
      <c r="C686" t="s">
        <v>45</v>
      </c>
      <c r="D686" t="s">
        <v>20</v>
      </c>
      <c r="E686" t="s">
        <v>7641</v>
      </c>
      <c r="F686">
        <v>3</v>
      </c>
      <c r="G686" s="15">
        <v>2710000</v>
      </c>
      <c r="H686" s="14">
        <v>0.13075929750140999</v>
      </c>
      <c r="I686" s="27">
        <f t="shared" si="10"/>
        <v>2355642.3037711792</v>
      </c>
      <c r="J686">
        <v>3.8</v>
      </c>
      <c r="K686" t="b">
        <v>1</v>
      </c>
    </row>
    <row r="687" spans="1:11" ht="16" x14ac:dyDescent="0.2">
      <c r="A687" s="16">
        <v>44952</v>
      </c>
      <c r="B687" t="s">
        <v>18</v>
      </c>
      <c r="C687" t="s">
        <v>39</v>
      </c>
      <c r="D687" t="s">
        <v>20</v>
      </c>
      <c r="E687" t="str">
        <f>E686</f>
        <v>Phú Quốc</v>
      </c>
      <c r="F687">
        <v>3</v>
      </c>
      <c r="G687" s="15">
        <v>2710000</v>
      </c>
      <c r="H687" s="14">
        <v>0.13075929750140999</v>
      </c>
      <c r="I687" s="27">
        <f t="shared" si="10"/>
        <v>2355642.3037711792</v>
      </c>
      <c r="J687">
        <v>4.4000000000000004</v>
      </c>
      <c r="K687" t="b">
        <v>1</v>
      </c>
    </row>
    <row r="688" spans="1:11" ht="16" x14ac:dyDescent="0.2">
      <c r="A688" s="16">
        <v>44953</v>
      </c>
      <c r="B688" t="s">
        <v>18</v>
      </c>
      <c r="C688" t="s">
        <v>25</v>
      </c>
      <c r="D688" t="s">
        <v>50</v>
      </c>
      <c r="E688" t="s">
        <v>7642</v>
      </c>
      <c r="F688">
        <v>2</v>
      </c>
      <c r="G688" s="15">
        <v>2710000</v>
      </c>
      <c r="H688" s="14">
        <v>0.13075929750140999</v>
      </c>
      <c r="I688" s="27">
        <f t="shared" si="10"/>
        <v>2355642.3037711792</v>
      </c>
      <c r="J688">
        <v>4.8</v>
      </c>
      <c r="K688" t="b">
        <v>0</v>
      </c>
    </row>
    <row r="689" spans="1:11" ht="16" x14ac:dyDescent="0.2">
      <c r="A689" s="16">
        <v>44953</v>
      </c>
      <c r="B689" t="s">
        <v>45</v>
      </c>
      <c r="C689" t="s">
        <v>25</v>
      </c>
      <c r="D689" t="s">
        <v>20</v>
      </c>
      <c r="E689" t="s">
        <v>7640</v>
      </c>
      <c r="F689">
        <v>1</v>
      </c>
      <c r="G689" s="15">
        <v>2710000</v>
      </c>
      <c r="H689" s="14">
        <v>0.13075929750140999</v>
      </c>
      <c r="I689" s="27">
        <f t="shared" si="10"/>
        <v>2355642.3037711792</v>
      </c>
      <c r="J689">
        <v>5</v>
      </c>
      <c r="K689" t="b">
        <v>1</v>
      </c>
    </row>
    <row r="690" spans="1:11" ht="16" x14ac:dyDescent="0.2">
      <c r="A690" s="16">
        <v>44955</v>
      </c>
      <c r="B690" t="s">
        <v>33</v>
      </c>
      <c r="C690" t="s">
        <v>68</v>
      </c>
      <c r="D690" t="s">
        <v>50</v>
      </c>
      <c r="E690" t="s">
        <v>57</v>
      </c>
      <c r="F690">
        <v>3</v>
      </c>
      <c r="G690" s="15">
        <v>2710000</v>
      </c>
      <c r="H690" s="14">
        <v>0.13075929750140999</v>
      </c>
      <c r="I690" s="27">
        <f t="shared" si="10"/>
        <v>2355642.3037711792</v>
      </c>
      <c r="J690">
        <v>4.4000000000000004</v>
      </c>
      <c r="K690" t="b">
        <v>1</v>
      </c>
    </row>
    <row r="691" spans="1:11" ht="16" x14ac:dyDescent="0.2">
      <c r="A691" s="16">
        <v>44955</v>
      </c>
      <c r="B691" t="s">
        <v>29</v>
      </c>
      <c r="C691" t="s">
        <v>45</v>
      </c>
      <c r="D691" t="s">
        <v>50</v>
      </c>
      <c r="E691" t="s">
        <v>7643</v>
      </c>
      <c r="F691">
        <v>2</v>
      </c>
      <c r="G691" s="15">
        <v>2710000</v>
      </c>
      <c r="H691" s="14">
        <v>0.13075929750140999</v>
      </c>
      <c r="I691" s="27">
        <f t="shared" si="10"/>
        <v>2355642.3037711792</v>
      </c>
      <c r="J691">
        <v>3.5</v>
      </c>
      <c r="K691" t="b">
        <v>1</v>
      </c>
    </row>
    <row r="692" spans="1:11" ht="16" x14ac:dyDescent="0.2">
      <c r="A692" s="16">
        <v>44956</v>
      </c>
      <c r="B692" t="s">
        <v>18</v>
      </c>
      <c r="C692" t="s">
        <v>34</v>
      </c>
      <c r="D692" t="s">
        <v>20</v>
      </c>
      <c r="E692" t="str">
        <f>E691</f>
        <v>TP. HCM</v>
      </c>
      <c r="F692">
        <v>3</v>
      </c>
      <c r="G692" s="15">
        <v>2710000</v>
      </c>
      <c r="H692" s="14">
        <v>0.13075929750140999</v>
      </c>
      <c r="I692" s="27">
        <f t="shared" si="10"/>
        <v>2355642.3037711792</v>
      </c>
      <c r="J692">
        <v>3.7</v>
      </c>
      <c r="K692" t="b">
        <v>0</v>
      </c>
    </row>
    <row r="693" spans="1:11" ht="16" x14ac:dyDescent="0.2">
      <c r="A693" s="16">
        <v>44956</v>
      </c>
      <c r="B693" t="s">
        <v>18</v>
      </c>
      <c r="C693" t="s">
        <v>45</v>
      </c>
      <c r="D693" t="s">
        <v>20</v>
      </c>
      <c r="E693" t="s">
        <v>7644</v>
      </c>
      <c r="F693">
        <v>4</v>
      </c>
      <c r="G693" s="15">
        <v>2710000</v>
      </c>
      <c r="H693" s="14">
        <v>0.13075929750140999</v>
      </c>
      <c r="I693" s="27">
        <f t="shared" si="10"/>
        <v>2355642.3037711792</v>
      </c>
      <c r="J693">
        <v>4</v>
      </c>
      <c r="K693" t="b">
        <v>1</v>
      </c>
    </row>
    <row r="694" spans="1:11" ht="16" x14ac:dyDescent="0.2">
      <c r="A694" s="16">
        <v>44956</v>
      </c>
      <c r="B694" t="s">
        <v>45</v>
      </c>
      <c r="C694" t="s">
        <v>45</v>
      </c>
      <c r="D694" t="s">
        <v>20</v>
      </c>
      <c r="E694" t="s">
        <v>7639</v>
      </c>
      <c r="F694">
        <v>2</v>
      </c>
      <c r="G694" s="15">
        <v>2710000</v>
      </c>
      <c r="H694" s="14">
        <v>0.13075929750140999</v>
      </c>
      <c r="I694" s="27">
        <f t="shared" si="10"/>
        <v>2355642.3037711792</v>
      </c>
      <c r="J694">
        <v>3.9</v>
      </c>
      <c r="K694" t="b">
        <v>1</v>
      </c>
    </row>
    <row r="695" spans="1:11" ht="16" x14ac:dyDescent="0.2">
      <c r="A695" s="16">
        <v>44956</v>
      </c>
      <c r="B695" t="s">
        <v>33</v>
      </c>
      <c r="C695" t="s">
        <v>39</v>
      </c>
      <c r="D695" t="s">
        <v>20</v>
      </c>
      <c r="E695" t="s">
        <v>7638</v>
      </c>
      <c r="F695">
        <v>1</v>
      </c>
      <c r="G695" s="15">
        <v>2710000</v>
      </c>
      <c r="H695" s="14">
        <v>0.13075929750140999</v>
      </c>
      <c r="I695" s="27">
        <f t="shared" si="10"/>
        <v>2355642.3037711792</v>
      </c>
      <c r="J695">
        <v>3</v>
      </c>
      <c r="K695" t="b">
        <v>1</v>
      </c>
    </row>
    <row r="696" spans="1:11" ht="16" x14ac:dyDescent="0.2">
      <c r="A696" s="16">
        <v>44959</v>
      </c>
      <c r="B696" t="s">
        <v>33</v>
      </c>
      <c r="C696" t="s">
        <v>34</v>
      </c>
      <c r="D696" t="s">
        <v>46</v>
      </c>
      <c r="E696" t="s">
        <v>99</v>
      </c>
      <c r="F696">
        <v>3</v>
      </c>
      <c r="G696" s="15">
        <v>2710000</v>
      </c>
      <c r="H696" s="14">
        <v>0.13075929750140999</v>
      </c>
      <c r="I696" s="27">
        <f t="shared" si="10"/>
        <v>2355642.3037711792</v>
      </c>
      <c r="J696">
        <v>4.0999999999999996</v>
      </c>
      <c r="K696" t="b">
        <v>0</v>
      </c>
    </row>
    <row r="697" spans="1:11" ht="16" x14ac:dyDescent="0.2">
      <c r="A697" s="16">
        <v>44960</v>
      </c>
      <c r="B697" t="s">
        <v>45</v>
      </c>
      <c r="C697" t="s">
        <v>68</v>
      </c>
      <c r="D697" t="s">
        <v>20</v>
      </c>
      <c r="E697" t="s">
        <v>7639</v>
      </c>
      <c r="F697">
        <v>1</v>
      </c>
      <c r="G697" s="15">
        <v>2710000</v>
      </c>
      <c r="H697" s="14">
        <v>0.13075929750140999</v>
      </c>
      <c r="I697" s="27">
        <f t="shared" si="10"/>
        <v>2355642.3037711792</v>
      </c>
      <c r="J697">
        <v>4.3</v>
      </c>
      <c r="K697" t="b">
        <v>1</v>
      </c>
    </row>
    <row r="698" spans="1:11" ht="16" x14ac:dyDescent="0.2">
      <c r="A698" s="16">
        <v>44960</v>
      </c>
      <c r="B698" t="s">
        <v>18</v>
      </c>
      <c r="C698" t="s">
        <v>34</v>
      </c>
      <c r="D698" t="s">
        <v>35</v>
      </c>
      <c r="E698" t="s">
        <v>7639</v>
      </c>
      <c r="F698">
        <v>1</v>
      </c>
      <c r="G698" s="15">
        <v>2710000</v>
      </c>
      <c r="H698" s="14">
        <v>0.13075929750140999</v>
      </c>
      <c r="I698" s="27">
        <f t="shared" si="10"/>
        <v>2355642.3037711792</v>
      </c>
      <c r="J698">
        <v>4.2</v>
      </c>
      <c r="K698" t="b">
        <v>1</v>
      </c>
    </row>
    <row r="699" spans="1:11" ht="16" x14ac:dyDescent="0.2">
      <c r="A699" s="16">
        <v>44960</v>
      </c>
      <c r="B699" t="s">
        <v>29</v>
      </c>
      <c r="C699" t="s">
        <v>34</v>
      </c>
      <c r="D699" t="s">
        <v>50</v>
      </c>
      <c r="E699" t="s">
        <v>7644</v>
      </c>
      <c r="F699">
        <v>1</v>
      </c>
      <c r="G699" s="15">
        <v>2710000</v>
      </c>
      <c r="H699" s="14">
        <v>0.13075929750140999</v>
      </c>
      <c r="I699" s="27">
        <f t="shared" si="10"/>
        <v>2355642.3037711792</v>
      </c>
      <c r="J699">
        <v>3.5</v>
      </c>
      <c r="K699" t="b">
        <v>1</v>
      </c>
    </row>
    <row r="700" spans="1:11" ht="16" x14ac:dyDescent="0.2">
      <c r="A700" s="16">
        <v>44961</v>
      </c>
      <c r="B700" t="s">
        <v>45</v>
      </c>
      <c r="C700" t="s">
        <v>39</v>
      </c>
      <c r="D700" t="s">
        <v>50</v>
      </c>
      <c r="E700" t="s">
        <v>7638</v>
      </c>
      <c r="F700">
        <v>1</v>
      </c>
      <c r="G700" s="15">
        <v>2710000</v>
      </c>
      <c r="H700" s="14">
        <v>0.13075929750140999</v>
      </c>
      <c r="I700" s="27">
        <f t="shared" si="10"/>
        <v>2355642.3037711792</v>
      </c>
      <c r="J700">
        <v>4</v>
      </c>
      <c r="K700" t="b">
        <v>1</v>
      </c>
    </row>
    <row r="701" spans="1:11" ht="16" x14ac:dyDescent="0.2">
      <c r="A701" s="16">
        <v>44961</v>
      </c>
      <c r="B701" t="s">
        <v>18</v>
      </c>
      <c r="C701" t="s">
        <v>45</v>
      </c>
      <c r="D701" t="s">
        <v>20</v>
      </c>
      <c r="E701" t="str">
        <f>E700</f>
        <v>Đà Lạt</v>
      </c>
      <c r="F701">
        <v>2</v>
      </c>
      <c r="G701" s="15">
        <v>2710000</v>
      </c>
      <c r="H701" s="14">
        <v>0.13075929750140999</v>
      </c>
      <c r="I701" s="27">
        <f t="shared" si="10"/>
        <v>2355642.3037711792</v>
      </c>
      <c r="J701">
        <v>4.2</v>
      </c>
      <c r="K701" t="b">
        <v>1</v>
      </c>
    </row>
    <row r="702" spans="1:11" ht="16" x14ac:dyDescent="0.2">
      <c r="A702" s="16">
        <v>44961</v>
      </c>
      <c r="B702" t="s">
        <v>18</v>
      </c>
      <c r="C702" t="s">
        <v>45</v>
      </c>
      <c r="D702" t="s">
        <v>20</v>
      </c>
      <c r="E702" t="s">
        <v>7643</v>
      </c>
      <c r="F702">
        <v>4</v>
      </c>
      <c r="G702" s="15">
        <v>2710000</v>
      </c>
      <c r="H702" s="14">
        <v>0.13075929750140999</v>
      </c>
      <c r="I702" s="27">
        <f t="shared" si="10"/>
        <v>2355642.3037711792</v>
      </c>
      <c r="J702">
        <v>5</v>
      </c>
      <c r="K702" t="b">
        <v>1</v>
      </c>
    </row>
    <row r="703" spans="1:11" ht="16" x14ac:dyDescent="0.2">
      <c r="A703" s="16">
        <v>44962</v>
      </c>
      <c r="B703" t="s">
        <v>29</v>
      </c>
      <c r="C703" t="s">
        <v>25</v>
      </c>
      <c r="D703" t="str">
        <f>D702</f>
        <v>Website</v>
      </c>
      <c r="E703" t="s">
        <v>57</v>
      </c>
      <c r="F703">
        <v>1</v>
      </c>
      <c r="G703" s="15">
        <v>2710000</v>
      </c>
      <c r="H703" s="14">
        <v>0.13075929750140999</v>
      </c>
      <c r="I703" s="27">
        <f t="shared" si="10"/>
        <v>2355642.3037711792</v>
      </c>
      <c r="J703">
        <v>4.5999999999999996</v>
      </c>
      <c r="K703" t="b">
        <v>0</v>
      </c>
    </row>
    <row r="704" spans="1:11" ht="16" x14ac:dyDescent="0.2">
      <c r="A704" s="16">
        <v>44962</v>
      </c>
      <c r="B704" t="s">
        <v>45</v>
      </c>
      <c r="C704" t="s">
        <v>19</v>
      </c>
      <c r="D704" t="s">
        <v>20</v>
      </c>
      <c r="E704" t="s">
        <v>7638</v>
      </c>
      <c r="F704">
        <v>4</v>
      </c>
      <c r="G704" s="15">
        <v>2710000</v>
      </c>
      <c r="H704" s="14">
        <v>0.13075929750140999</v>
      </c>
      <c r="I704" s="27">
        <f t="shared" si="10"/>
        <v>2355642.3037711792</v>
      </c>
      <c r="J704">
        <v>4.0999999999999996</v>
      </c>
      <c r="K704" t="b">
        <v>1</v>
      </c>
    </row>
    <row r="705" spans="1:11" ht="16" x14ac:dyDescent="0.2">
      <c r="A705" s="16">
        <v>44962</v>
      </c>
      <c r="B705" t="s">
        <v>45</v>
      </c>
      <c r="C705" t="s">
        <v>68</v>
      </c>
      <c r="D705" t="s">
        <v>50</v>
      </c>
      <c r="E705" t="s">
        <v>7640</v>
      </c>
      <c r="F705">
        <v>2</v>
      </c>
      <c r="G705" s="15">
        <v>2710000</v>
      </c>
      <c r="H705" s="14">
        <v>0.13075929750140999</v>
      </c>
      <c r="I705" s="27">
        <f t="shared" si="10"/>
        <v>2355642.3037711792</v>
      </c>
      <c r="J705">
        <v>3.6</v>
      </c>
      <c r="K705" t="b">
        <v>0</v>
      </c>
    </row>
    <row r="706" spans="1:11" ht="16" x14ac:dyDescent="0.2">
      <c r="A706" s="16">
        <v>44962</v>
      </c>
      <c r="B706" t="s">
        <v>29</v>
      </c>
      <c r="C706" t="s">
        <v>34</v>
      </c>
      <c r="D706" t="s">
        <v>20</v>
      </c>
      <c r="E706" t="s">
        <v>7640</v>
      </c>
      <c r="F706">
        <v>1</v>
      </c>
      <c r="G706" s="15">
        <v>2710000</v>
      </c>
      <c r="H706" s="14">
        <v>0.13075929750140999</v>
      </c>
      <c r="I706" s="27">
        <f t="shared" si="10"/>
        <v>2355642.3037711792</v>
      </c>
      <c r="J706">
        <v>3.5</v>
      </c>
      <c r="K706" t="b">
        <v>0</v>
      </c>
    </row>
    <row r="707" spans="1:11" ht="16" x14ac:dyDescent="0.2">
      <c r="A707" s="16">
        <v>44963</v>
      </c>
      <c r="B707" t="s">
        <v>33</v>
      </c>
      <c r="C707" t="s">
        <v>25</v>
      </c>
      <c r="D707" t="s">
        <v>35</v>
      </c>
      <c r="E707" t="s">
        <v>7644</v>
      </c>
      <c r="F707">
        <v>1</v>
      </c>
      <c r="G707" s="15">
        <v>2710000</v>
      </c>
      <c r="H707" s="14">
        <v>0.13075929750140999</v>
      </c>
      <c r="I707" s="27">
        <f t="shared" ref="I707:I770" si="11">G707-G707*H707</f>
        <v>2355642.3037711792</v>
      </c>
      <c r="J707">
        <v>3.7</v>
      </c>
      <c r="K707" t="b">
        <v>1</v>
      </c>
    </row>
    <row r="708" spans="1:11" ht="16" x14ac:dyDescent="0.2">
      <c r="A708" s="16">
        <v>44964</v>
      </c>
      <c r="B708" t="s">
        <v>33</v>
      </c>
      <c r="C708" t="s">
        <v>19</v>
      </c>
      <c r="D708" t="s">
        <v>20</v>
      </c>
      <c r="E708" t="s">
        <v>7644</v>
      </c>
      <c r="F708">
        <v>1</v>
      </c>
      <c r="G708" s="15">
        <v>2710000</v>
      </c>
      <c r="H708" s="14">
        <v>0.13075929750140999</v>
      </c>
      <c r="I708" s="27">
        <f t="shared" si="11"/>
        <v>2355642.3037711792</v>
      </c>
      <c r="J708">
        <v>4.5999999999999996</v>
      </c>
      <c r="K708" t="b">
        <v>0</v>
      </c>
    </row>
    <row r="709" spans="1:11" ht="16" x14ac:dyDescent="0.2">
      <c r="A709" s="16">
        <v>44964</v>
      </c>
      <c r="B709" t="str">
        <f>B708</f>
        <v>Student</v>
      </c>
      <c r="C709" t="s">
        <v>68</v>
      </c>
      <c r="D709" t="s">
        <v>20</v>
      </c>
      <c r="E709" t="s">
        <v>57</v>
      </c>
      <c r="F709">
        <v>3</v>
      </c>
      <c r="G709" s="15">
        <v>2710000</v>
      </c>
      <c r="H709" s="14">
        <v>0.13075929750140999</v>
      </c>
      <c r="I709" s="27">
        <f t="shared" si="11"/>
        <v>2355642.3037711792</v>
      </c>
      <c r="J709">
        <v>4.0999999999999996</v>
      </c>
      <c r="K709" t="b">
        <v>0</v>
      </c>
    </row>
    <row r="710" spans="1:11" ht="16" x14ac:dyDescent="0.2">
      <c r="A710" s="16">
        <v>44965</v>
      </c>
      <c r="B710" t="s">
        <v>45</v>
      </c>
      <c r="C710" t="s">
        <v>19</v>
      </c>
      <c r="D710" t="s">
        <v>50</v>
      </c>
      <c r="E710" t="s">
        <v>7638</v>
      </c>
      <c r="F710">
        <v>3</v>
      </c>
      <c r="G710" s="15">
        <v>2710000</v>
      </c>
      <c r="H710" s="14">
        <v>0.13075929750140999</v>
      </c>
      <c r="I710" s="27">
        <f t="shared" si="11"/>
        <v>2355642.3037711792</v>
      </c>
      <c r="J710">
        <v>4.7</v>
      </c>
      <c r="K710" t="b">
        <v>1</v>
      </c>
    </row>
    <row r="711" spans="1:11" ht="16" x14ac:dyDescent="0.2">
      <c r="A711" s="16">
        <v>44966</v>
      </c>
      <c r="B711" t="s">
        <v>45</v>
      </c>
      <c r="C711" t="s">
        <v>34</v>
      </c>
      <c r="D711" t="s">
        <v>50</v>
      </c>
      <c r="E711" t="s">
        <v>7644</v>
      </c>
      <c r="F711">
        <v>3</v>
      </c>
      <c r="G711" s="15">
        <v>2710000</v>
      </c>
      <c r="H711" s="14">
        <v>0.13075929750140999</v>
      </c>
      <c r="I711" s="27">
        <f t="shared" si="11"/>
        <v>2355642.3037711792</v>
      </c>
      <c r="J711">
        <v>3.2</v>
      </c>
      <c r="K711" t="b">
        <v>1</v>
      </c>
    </row>
    <row r="712" spans="1:11" ht="16" x14ac:dyDescent="0.2">
      <c r="A712" s="16">
        <v>44966</v>
      </c>
      <c r="B712" t="s">
        <v>18</v>
      </c>
      <c r="C712" t="s">
        <v>25</v>
      </c>
      <c r="D712" t="s">
        <v>35</v>
      </c>
      <c r="E712" t="s">
        <v>7644</v>
      </c>
      <c r="F712">
        <v>1</v>
      </c>
      <c r="G712" s="15">
        <v>2710000</v>
      </c>
      <c r="H712" s="14">
        <v>0.13075929750140999</v>
      </c>
      <c r="I712" s="27">
        <f t="shared" si="11"/>
        <v>2355642.3037711792</v>
      </c>
      <c r="J712">
        <v>4.3</v>
      </c>
      <c r="K712" t="b">
        <v>1</v>
      </c>
    </row>
    <row r="713" spans="1:11" ht="16" x14ac:dyDescent="0.2">
      <c r="A713" s="16">
        <v>44967</v>
      </c>
      <c r="B713" t="s">
        <v>29</v>
      </c>
      <c r="C713" t="s">
        <v>68</v>
      </c>
      <c r="D713" t="s">
        <v>50</v>
      </c>
      <c r="E713" t="s">
        <v>7644</v>
      </c>
      <c r="F713">
        <v>4</v>
      </c>
      <c r="G713" s="15">
        <v>2710000</v>
      </c>
      <c r="H713" s="14">
        <v>0.13075929750140999</v>
      </c>
      <c r="I713" s="27">
        <f t="shared" si="11"/>
        <v>2355642.3037711792</v>
      </c>
      <c r="J713">
        <v>5</v>
      </c>
      <c r="K713" t="b">
        <v>1</v>
      </c>
    </row>
    <row r="714" spans="1:11" ht="16" x14ac:dyDescent="0.2">
      <c r="A714" s="16">
        <v>44967</v>
      </c>
      <c r="B714" t="s">
        <v>18</v>
      </c>
      <c r="C714" t="s">
        <v>68</v>
      </c>
      <c r="D714" t="s">
        <v>50</v>
      </c>
      <c r="E714" t="s">
        <v>7644</v>
      </c>
      <c r="F714">
        <v>5</v>
      </c>
      <c r="G714" s="15">
        <v>2710000</v>
      </c>
      <c r="H714" s="14">
        <v>0.13075929750140999</v>
      </c>
      <c r="I714" s="27">
        <f t="shared" si="11"/>
        <v>2355642.3037711792</v>
      </c>
      <c r="J714">
        <v>4.2</v>
      </c>
      <c r="K714" t="b">
        <v>1</v>
      </c>
    </row>
    <row r="715" spans="1:11" ht="16" x14ac:dyDescent="0.2">
      <c r="A715" s="16">
        <v>44968</v>
      </c>
      <c r="B715" t="s">
        <v>18</v>
      </c>
      <c r="C715" t="s">
        <v>19</v>
      </c>
      <c r="D715" t="s">
        <v>50</v>
      </c>
      <c r="E715" t="s">
        <v>7644</v>
      </c>
      <c r="F715">
        <v>1</v>
      </c>
      <c r="G715" s="15">
        <v>2710000</v>
      </c>
      <c r="H715" s="14">
        <v>0.13075929750140999</v>
      </c>
      <c r="I715" s="27">
        <f t="shared" si="11"/>
        <v>2355642.3037711792</v>
      </c>
      <c r="J715">
        <v>3.7</v>
      </c>
      <c r="K715" t="b">
        <v>1</v>
      </c>
    </row>
    <row r="716" spans="1:11" ht="16" x14ac:dyDescent="0.2">
      <c r="A716" s="16">
        <v>44968</v>
      </c>
      <c r="B716" t="s">
        <v>18</v>
      </c>
      <c r="C716" t="s">
        <v>45</v>
      </c>
      <c r="D716" t="s">
        <v>50</v>
      </c>
      <c r="E716" t="s">
        <v>57</v>
      </c>
      <c r="F716">
        <v>2</v>
      </c>
      <c r="G716" s="15">
        <v>2710000</v>
      </c>
      <c r="H716" s="14">
        <v>0.13075929750140999</v>
      </c>
      <c r="I716" s="27">
        <f t="shared" si="11"/>
        <v>2355642.3037711792</v>
      </c>
      <c r="J716">
        <v>4.4000000000000004</v>
      </c>
      <c r="K716" t="b">
        <v>1</v>
      </c>
    </row>
    <row r="717" spans="1:11" ht="16" x14ac:dyDescent="0.2">
      <c r="A717" s="16">
        <v>44968</v>
      </c>
      <c r="B717" t="s">
        <v>33</v>
      </c>
      <c r="C717" t="s">
        <v>39</v>
      </c>
      <c r="D717" t="s">
        <v>35</v>
      </c>
      <c r="E717" t="s">
        <v>57</v>
      </c>
      <c r="F717">
        <v>2</v>
      </c>
      <c r="G717" s="15">
        <v>2710000</v>
      </c>
      <c r="H717" s="14">
        <v>0.13075929750140999</v>
      </c>
      <c r="I717" s="27">
        <f t="shared" si="11"/>
        <v>2355642.3037711792</v>
      </c>
      <c r="J717">
        <v>4</v>
      </c>
      <c r="K717" t="b">
        <v>1</v>
      </c>
    </row>
    <row r="718" spans="1:11" ht="16" x14ac:dyDescent="0.2">
      <c r="A718" s="16">
        <v>44969</v>
      </c>
      <c r="B718" t="s">
        <v>18</v>
      </c>
      <c r="C718" t="s">
        <v>68</v>
      </c>
      <c r="D718" t="s">
        <v>20</v>
      </c>
      <c r="E718" t="s">
        <v>7642</v>
      </c>
      <c r="F718">
        <v>1</v>
      </c>
      <c r="G718" s="15">
        <v>2710000</v>
      </c>
      <c r="H718" s="14">
        <v>0.13075929750140999</v>
      </c>
      <c r="I718" s="27">
        <f t="shared" si="11"/>
        <v>2355642.3037711792</v>
      </c>
      <c r="J718">
        <v>4.4000000000000004</v>
      </c>
      <c r="K718" t="b">
        <v>1</v>
      </c>
    </row>
    <row r="719" spans="1:11" ht="16" x14ac:dyDescent="0.2">
      <c r="A719" s="16">
        <v>44969</v>
      </c>
      <c r="B719" t="s">
        <v>18</v>
      </c>
      <c r="C719" t="s">
        <v>68</v>
      </c>
      <c r="D719" t="s">
        <v>35</v>
      </c>
      <c r="E719" t="s">
        <v>7642</v>
      </c>
      <c r="F719">
        <v>1</v>
      </c>
      <c r="G719" s="15">
        <v>2710000</v>
      </c>
      <c r="H719" s="14">
        <v>0.13075929750140999</v>
      </c>
      <c r="I719" s="27">
        <f t="shared" si="11"/>
        <v>2355642.3037711792</v>
      </c>
      <c r="J719">
        <v>3.3</v>
      </c>
      <c r="K719" t="b">
        <v>1</v>
      </c>
    </row>
    <row r="720" spans="1:11" ht="16" x14ac:dyDescent="0.2">
      <c r="A720" s="16">
        <v>44969</v>
      </c>
      <c r="B720" t="s">
        <v>29</v>
      </c>
      <c r="C720" t="s">
        <v>19</v>
      </c>
      <c r="D720" t="s">
        <v>20</v>
      </c>
      <c r="E720" t="s">
        <v>7641</v>
      </c>
      <c r="F720">
        <v>4</v>
      </c>
      <c r="G720" s="15">
        <v>2710000</v>
      </c>
      <c r="H720" s="14">
        <v>0.13075929750140999</v>
      </c>
      <c r="I720" s="27">
        <f t="shared" si="11"/>
        <v>2355642.3037711792</v>
      </c>
      <c r="J720">
        <v>4.3</v>
      </c>
      <c r="K720" t="b">
        <v>1</v>
      </c>
    </row>
    <row r="721" spans="1:11" ht="16" x14ac:dyDescent="0.2">
      <c r="A721" s="16">
        <v>44970</v>
      </c>
      <c r="B721" t="s">
        <v>18</v>
      </c>
      <c r="C721" t="s">
        <v>45</v>
      </c>
      <c r="D721" t="s">
        <v>50</v>
      </c>
      <c r="E721" t="s">
        <v>7643</v>
      </c>
      <c r="F721">
        <v>1</v>
      </c>
      <c r="G721" s="15">
        <v>2710000</v>
      </c>
      <c r="H721" s="14">
        <v>0.13075929750140999</v>
      </c>
      <c r="I721" s="27">
        <f t="shared" si="11"/>
        <v>2355642.3037711792</v>
      </c>
      <c r="J721">
        <v>3.7</v>
      </c>
      <c r="K721" t="b">
        <v>1</v>
      </c>
    </row>
    <row r="722" spans="1:11" ht="16" x14ac:dyDescent="0.2">
      <c r="A722" s="16">
        <v>44970</v>
      </c>
      <c r="B722" t="s">
        <v>33</v>
      </c>
      <c r="C722" t="s">
        <v>39</v>
      </c>
      <c r="D722" t="s">
        <v>50</v>
      </c>
      <c r="E722" t="s">
        <v>99</v>
      </c>
      <c r="F722">
        <v>1</v>
      </c>
      <c r="G722" s="15">
        <v>2710000</v>
      </c>
      <c r="H722" s="14">
        <v>0.13075929750140999</v>
      </c>
      <c r="I722" s="27">
        <f t="shared" si="11"/>
        <v>2355642.3037711792</v>
      </c>
      <c r="J722">
        <v>4.5</v>
      </c>
      <c r="K722" t="b">
        <v>1</v>
      </c>
    </row>
    <row r="723" spans="1:11" ht="16" x14ac:dyDescent="0.2">
      <c r="A723" s="16">
        <v>44970</v>
      </c>
      <c r="B723" t="s">
        <v>45</v>
      </c>
      <c r="C723" t="s">
        <v>25</v>
      </c>
      <c r="D723" t="s">
        <v>35</v>
      </c>
      <c r="E723" t="s">
        <v>7643</v>
      </c>
      <c r="F723">
        <v>4</v>
      </c>
      <c r="G723" s="15">
        <v>2710000</v>
      </c>
      <c r="H723" s="14">
        <v>0.13075929750140999</v>
      </c>
      <c r="I723" s="27">
        <f t="shared" si="11"/>
        <v>2355642.3037711792</v>
      </c>
      <c r="J723">
        <v>4.0999999999999996</v>
      </c>
      <c r="K723" t="b">
        <v>1</v>
      </c>
    </row>
    <row r="724" spans="1:11" ht="16" x14ac:dyDescent="0.2">
      <c r="A724" s="16">
        <v>44970</v>
      </c>
      <c r="B724" t="s">
        <v>45</v>
      </c>
      <c r="C724" t="s">
        <v>19</v>
      </c>
      <c r="D724" t="s">
        <v>35</v>
      </c>
      <c r="E724" t="s">
        <v>7638</v>
      </c>
      <c r="F724">
        <v>1</v>
      </c>
      <c r="G724" s="15">
        <v>2710000</v>
      </c>
      <c r="H724" s="14">
        <v>0.13075929750140999</v>
      </c>
      <c r="I724" s="27">
        <f t="shared" si="11"/>
        <v>2355642.3037711792</v>
      </c>
      <c r="J724">
        <v>3.8</v>
      </c>
      <c r="K724" t="b">
        <v>0</v>
      </c>
    </row>
    <row r="725" spans="1:11" ht="16" x14ac:dyDescent="0.2">
      <c r="A725" s="16">
        <v>44971</v>
      </c>
      <c r="B725" t="s">
        <v>18</v>
      </c>
      <c r="C725" t="s">
        <v>25</v>
      </c>
      <c r="D725" t="s">
        <v>50</v>
      </c>
      <c r="E725" t="s">
        <v>7638</v>
      </c>
      <c r="F725">
        <v>1</v>
      </c>
      <c r="G725" s="15">
        <v>2710000</v>
      </c>
      <c r="H725" s="14">
        <v>0.13075929750140999</v>
      </c>
      <c r="I725" s="27">
        <f t="shared" si="11"/>
        <v>2355642.3037711792</v>
      </c>
      <c r="J725">
        <v>4.7</v>
      </c>
      <c r="K725" t="b">
        <v>0</v>
      </c>
    </row>
    <row r="726" spans="1:11" ht="16" x14ac:dyDescent="0.2">
      <c r="A726" s="16">
        <v>44971</v>
      </c>
      <c r="B726" t="s">
        <v>33</v>
      </c>
      <c r="C726" t="s">
        <v>34</v>
      </c>
      <c r="D726" t="s">
        <v>35</v>
      </c>
      <c r="E726" t="s">
        <v>7642</v>
      </c>
      <c r="F726">
        <v>3</v>
      </c>
      <c r="G726" s="15">
        <v>2710000</v>
      </c>
      <c r="H726" s="14">
        <v>0.13075929750140999</v>
      </c>
      <c r="I726" s="27">
        <f t="shared" si="11"/>
        <v>2355642.3037711792</v>
      </c>
      <c r="J726">
        <v>4.5</v>
      </c>
      <c r="K726" t="b">
        <v>1</v>
      </c>
    </row>
    <row r="727" spans="1:11" ht="16" x14ac:dyDescent="0.2">
      <c r="A727" s="16">
        <v>44973</v>
      </c>
      <c r="B727" t="str">
        <f>B726</f>
        <v>Student</v>
      </c>
      <c r="C727" t="s">
        <v>19</v>
      </c>
      <c r="D727" t="s">
        <v>50</v>
      </c>
      <c r="E727" t="s">
        <v>57</v>
      </c>
      <c r="F727">
        <v>3</v>
      </c>
      <c r="G727" s="15">
        <v>2710000</v>
      </c>
      <c r="H727" s="14">
        <v>0.13075929750140999</v>
      </c>
      <c r="I727" s="27">
        <f t="shared" si="11"/>
        <v>2355642.3037711792</v>
      </c>
      <c r="J727">
        <v>5</v>
      </c>
      <c r="K727" t="b">
        <v>1</v>
      </c>
    </row>
    <row r="728" spans="1:11" ht="16" x14ac:dyDescent="0.2">
      <c r="A728" s="16">
        <v>44973</v>
      </c>
      <c r="B728" t="s">
        <v>45</v>
      </c>
      <c r="C728" t="s">
        <v>34</v>
      </c>
      <c r="D728" t="s">
        <v>20</v>
      </c>
      <c r="E728" t="s">
        <v>7643</v>
      </c>
      <c r="F728">
        <v>2</v>
      </c>
      <c r="G728" s="15">
        <v>2710000</v>
      </c>
      <c r="H728" s="14">
        <v>0.13075929750140999</v>
      </c>
      <c r="I728" s="27">
        <f t="shared" si="11"/>
        <v>2355642.3037711792</v>
      </c>
      <c r="J728">
        <v>4.3</v>
      </c>
      <c r="K728" t="b">
        <v>1</v>
      </c>
    </row>
    <row r="729" spans="1:11" ht="16" x14ac:dyDescent="0.2">
      <c r="A729" s="16">
        <v>44973</v>
      </c>
      <c r="B729" t="s">
        <v>18</v>
      </c>
      <c r="C729" t="s">
        <v>39</v>
      </c>
      <c r="D729" t="s">
        <v>20</v>
      </c>
      <c r="E729" t="s">
        <v>7637</v>
      </c>
      <c r="F729">
        <v>5</v>
      </c>
      <c r="G729" s="15">
        <v>2710000</v>
      </c>
      <c r="H729" s="14">
        <v>0.13075929750140999</v>
      </c>
      <c r="I729" s="27">
        <f t="shared" si="11"/>
        <v>2355642.3037711792</v>
      </c>
      <c r="J729">
        <v>3.9</v>
      </c>
      <c r="K729" t="b">
        <v>1</v>
      </c>
    </row>
    <row r="730" spans="1:11" ht="16" x14ac:dyDescent="0.2">
      <c r="A730" s="16">
        <v>44974</v>
      </c>
      <c r="B730" t="s">
        <v>45</v>
      </c>
      <c r="C730" t="s">
        <v>25</v>
      </c>
      <c r="D730" t="s">
        <v>20</v>
      </c>
      <c r="E730" t="s">
        <v>7637</v>
      </c>
      <c r="F730">
        <v>4</v>
      </c>
      <c r="G730" s="15">
        <v>2710000</v>
      </c>
      <c r="H730" s="14">
        <v>0.13075929750140999</v>
      </c>
      <c r="I730" s="27">
        <f t="shared" si="11"/>
        <v>2355642.3037711792</v>
      </c>
      <c r="J730">
        <v>3.6</v>
      </c>
      <c r="K730" t="b">
        <v>1</v>
      </c>
    </row>
    <row r="731" spans="1:11" ht="16" x14ac:dyDescent="0.2">
      <c r="A731" s="16">
        <v>44974</v>
      </c>
      <c r="B731" t="s">
        <v>18</v>
      </c>
      <c r="C731" t="s">
        <v>39</v>
      </c>
      <c r="D731" t="s">
        <v>20</v>
      </c>
      <c r="E731" t="s">
        <v>7644</v>
      </c>
      <c r="F731">
        <v>4</v>
      </c>
      <c r="G731" s="15">
        <v>2710000</v>
      </c>
      <c r="H731" s="14">
        <v>0.13075929750140999</v>
      </c>
      <c r="I731" s="27">
        <f t="shared" si="11"/>
        <v>2355642.3037711792</v>
      </c>
      <c r="J731">
        <v>4.5999999999999996</v>
      </c>
      <c r="K731" t="b">
        <v>1</v>
      </c>
    </row>
    <row r="732" spans="1:11" ht="16" x14ac:dyDescent="0.2">
      <c r="A732" s="16">
        <v>44974</v>
      </c>
      <c r="B732" t="s">
        <v>29</v>
      </c>
      <c r="C732" t="s">
        <v>45</v>
      </c>
      <c r="D732" t="s">
        <v>20</v>
      </c>
      <c r="E732" t="s">
        <v>7639</v>
      </c>
      <c r="F732">
        <v>2</v>
      </c>
      <c r="G732" s="15">
        <v>2710000</v>
      </c>
      <c r="H732" s="14">
        <v>0.13075929750140999</v>
      </c>
      <c r="I732" s="27">
        <f t="shared" si="11"/>
        <v>2355642.3037711792</v>
      </c>
      <c r="J732">
        <v>3.9</v>
      </c>
      <c r="K732" t="b">
        <v>0</v>
      </c>
    </row>
    <row r="733" spans="1:11" ht="16" x14ac:dyDescent="0.2">
      <c r="A733" s="16">
        <v>44975</v>
      </c>
      <c r="B733" t="s">
        <v>29</v>
      </c>
      <c r="C733" t="s">
        <v>45</v>
      </c>
      <c r="D733" t="s">
        <v>20</v>
      </c>
      <c r="E733" t="s">
        <v>57</v>
      </c>
      <c r="F733">
        <v>1</v>
      </c>
      <c r="G733" s="15">
        <v>2710000</v>
      </c>
      <c r="H733" s="14">
        <v>0.13075929750140999</v>
      </c>
      <c r="I733" s="27">
        <f t="shared" si="11"/>
        <v>2355642.3037711792</v>
      </c>
      <c r="J733">
        <v>3.8</v>
      </c>
      <c r="K733" t="b">
        <v>1</v>
      </c>
    </row>
    <row r="734" spans="1:11" ht="16" x14ac:dyDescent="0.2">
      <c r="A734" s="16">
        <v>44976</v>
      </c>
      <c r="B734" t="s">
        <v>18</v>
      </c>
      <c r="C734" t="s">
        <v>39</v>
      </c>
      <c r="D734" t="s">
        <v>50</v>
      </c>
      <c r="E734" t="s">
        <v>7640</v>
      </c>
      <c r="F734">
        <v>1</v>
      </c>
      <c r="G734" s="15">
        <v>2710000</v>
      </c>
      <c r="H734" s="14">
        <v>0.13075929750140999</v>
      </c>
      <c r="I734" s="27">
        <f t="shared" si="11"/>
        <v>2355642.3037711792</v>
      </c>
      <c r="J734">
        <v>4.2</v>
      </c>
      <c r="K734" t="b">
        <v>1</v>
      </c>
    </row>
    <row r="735" spans="1:11" ht="16" x14ac:dyDescent="0.2">
      <c r="A735" s="16">
        <v>44977</v>
      </c>
      <c r="B735" t="s">
        <v>18</v>
      </c>
      <c r="C735" t="s">
        <v>34</v>
      </c>
      <c r="D735" t="s">
        <v>20</v>
      </c>
      <c r="E735" t="s">
        <v>7637</v>
      </c>
      <c r="F735">
        <v>3</v>
      </c>
      <c r="G735" s="15">
        <v>2710000</v>
      </c>
      <c r="H735" s="14">
        <v>0.13075929750140999</v>
      </c>
      <c r="I735" s="27">
        <f t="shared" si="11"/>
        <v>2355642.3037711792</v>
      </c>
      <c r="J735">
        <v>4.7</v>
      </c>
      <c r="K735" t="b">
        <v>1</v>
      </c>
    </row>
    <row r="736" spans="1:11" ht="16" x14ac:dyDescent="0.2">
      <c r="A736" s="16">
        <v>44977</v>
      </c>
      <c r="B736" t="s">
        <v>45</v>
      </c>
      <c r="C736" t="s">
        <v>68</v>
      </c>
      <c r="D736" t="s">
        <v>35</v>
      </c>
      <c r="E736" t="s">
        <v>99</v>
      </c>
      <c r="F736">
        <v>3</v>
      </c>
      <c r="G736" s="15">
        <v>2710000</v>
      </c>
      <c r="H736" s="14">
        <v>0.13075929750140999</v>
      </c>
      <c r="I736" s="27">
        <f t="shared" si="11"/>
        <v>2355642.3037711792</v>
      </c>
      <c r="J736">
        <v>4.3</v>
      </c>
      <c r="K736" t="b">
        <v>1</v>
      </c>
    </row>
    <row r="737" spans="1:11" ht="16" x14ac:dyDescent="0.2">
      <c r="A737" s="16">
        <v>44977</v>
      </c>
      <c r="B737" t="s">
        <v>45</v>
      </c>
      <c r="C737" t="s">
        <v>39</v>
      </c>
      <c r="D737" t="s">
        <v>20</v>
      </c>
      <c r="E737" t="s">
        <v>57</v>
      </c>
      <c r="F737">
        <v>2</v>
      </c>
      <c r="G737" s="15">
        <v>2710000</v>
      </c>
      <c r="H737" s="14">
        <v>0.13075929750140999</v>
      </c>
      <c r="I737" s="27">
        <f t="shared" si="11"/>
        <v>2355642.3037711792</v>
      </c>
      <c r="J737">
        <v>3.9</v>
      </c>
      <c r="K737" t="b">
        <v>1</v>
      </c>
    </row>
    <row r="738" spans="1:11" ht="16" x14ac:dyDescent="0.2">
      <c r="A738" s="16">
        <v>44977</v>
      </c>
      <c r="B738" t="s">
        <v>45</v>
      </c>
      <c r="C738" t="s">
        <v>19</v>
      </c>
      <c r="D738" t="s">
        <v>20</v>
      </c>
      <c r="E738" t="s">
        <v>7640</v>
      </c>
      <c r="F738">
        <v>3</v>
      </c>
      <c r="G738" s="15">
        <v>2710000</v>
      </c>
      <c r="H738" s="14">
        <v>0.13075929750140999</v>
      </c>
      <c r="I738" s="27">
        <f t="shared" si="11"/>
        <v>2355642.3037711792</v>
      </c>
      <c r="J738">
        <v>3.7</v>
      </c>
      <c r="K738" t="b">
        <v>0</v>
      </c>
    </row>
    <row r="739" spans="1:11" ht="16" x14ac:dyDescent="0.2">
      <c r="A739" s="16">
        <v>44978</v>
      </c>
      <c r="B739" t="s">
        <v>45</v>
      </c>
      <c r="C739" t="s">
        <v>39</v>
      </c>
      <c r="D739" t="s">
        <v>35</v>
      </c>
      <c r="E739" t="s">
        <v>7640</v>
      </c>
      <c r="F739">
        <v>1</v>
      </c>
      <c r="G739" s="15">
        <v>2710000</v>
      </c>
      <c r="H739" s="14">
        <v>0.13075929750140999</v>
      </c>
      <c r="I739" s="27">
        <f t="shared" si="11"/>
        <v>2355642.3037711792</v>
      </c>
      <c r="J739">
        <v>4.9000000000000004</v>
      </c>
      <c r="K739" t="b">
        <v>1</v>
      </c>
    </row>
    <row r="740" spans="1:11" ht="16" x14ac:dyDescent="0.2">
      <c r="A740" s="16">
        <v>44978</v>
      </c>
      <c r="B740" t="s">
        <v>33</v>
      </c>
      <c r="C740" t="s">
        <v>25</v>
      </c>
      <c r="D740" t="s">
        <v>20</v>
      </c>
      <c r="E740" t="s">
        <v>7640</v>
      </c>
      <c r="F740">
        <v>4</v>
      </c>
      <c r="G740" s="15">
        <v>2710000</v>
      </c>
      <c r="H740" s="14">
        <v>0.13075929750140999</v>
      </c>
      <c r="I740" s="27">
        <f t="shared" si="11"/>
        <v>2355642.3037711792</v>
      </c>
      <c r="J740">
        <v>3.5</v>
      </c>
      <c r="K740" t="b">
        <v>1</v>
      </c>
    </row>
    <row r="741" spans="1:11" ht="16" x14ac:dyDescent="0.2">
      <c r="A741" s="16">
        <v>44979</v>
      </c>
      <c r="B741" t="s">
        <v>33</v>
      </c>
      <c r="C741" t="s">
        <v>45</v>
      </c>
      <c r="D741" t="s">
        <v>20</v>
      </c>
      <c r="E741" t="s">
        <v>7641</v>
      </c>
      <c r="F741">
        <v>3</v>
      </c>
      <c r="G741" s="15">
        <v>2710000</v>
      </c>
      <c r="H741" s="14">
        <v>0.13075929750140999</v>
      </c>
      <c r="I741" s="27">
        <f t="shared" si="11"/>
        <v>2355642.3037711792</v>
      </c>
      <c r="J741">
        <v>4.7</v>
      </c>
      <c r="K741" t="b">
        <v>1</v>
      </c>
    </row>
    <row r="742" spans="1:11" ht="16" x14ac:dyDescent="0.2">
      <c r="A742" s="16">
        <v>44979</v>
      </c>
      <c r="B742" t="s">
        <v>45</v>
      </c>
      <c r="C742" t="s">
        <v>34</v>
      </c>
      <c r="D742" t="s">
        <v>20</v>
      </c>
      <c r="E742" t="s">
        <v>7638</v>
      </c>
      <c r="F742">
        <v>2</v>
      </c>
      <c r="G742" s="15">
        <v>2710000</v>
      </c>
      <c r="H742" s="14">
        <v>0.13075929750140999</v>
      </c>
      <c r="I742" s="27">
        <f t="shared" si="11"/>
        <v>2355642.3037711792</v>
      </c>
      <c r="J742">
        <v>4</v>
      </c>
      <c r="K742" t="b">
        <v>0</v>
      </c>
    </row>
    <row r="743" spans="1:11" ht="16" x14ac:dyDescent="0.2">
      <c r="A743" s="16">
        <v>44979</v>
      </c>
      <c r="B743" t="s">
        <v>33</v>
      </c>
      <c r="C743" t="s">
        <v>45</v>
      </c>
      <c r="D743" t="s">
        <v>20</v>
      </c>
      <c r="E743" t="s">
        <v>7637</v>
      </c>
      <c r="F743">
        <v>4</v>
      </c>
      <c r="G743" s="15">
        <v>2710000</v>
      </c>
      <c r="H743" s="14">
        <v>0.13075929750140999</v>
      </c>
      <c r="I743" s="27">
        <f t="shared" si="11"/>
        <v>2355642.3037711792</v>
      </c>
      <c r="J743">
        <v>4.0999999999999996</v>
      </c>
      <c r="K743" t="b">
        <v>0</v>
      </c>
    </row>
    <row r="744" spans="1:11" ht="16" x14ac:dyDescent="0.2">
      <c r="A744" s="16">
        <v>44979</v>
      </c>
      <c r="B744" t="s">
        <v>29</v>
      </c>
      <c r="C744" t="s">
        <v>68</v>
      </c>
      <c r="D744" t="s">
        <v>35</v>
      </c>
      <c r="E744" t="s">
        <v>57</v>
      </c>
      <c r="F744">
        <v>2</v>
      </c>
      <c r="G744" s="15">
        <v>2710000</v>
      </c>
      <c r="H744" s="14">
        <v>0.13075929750140999</v>
      </c>
      <c r="I744" s="27">
        <f t="shared" si="11"/>
        <v>2355642.3037711792</v>
      </c>
      <c r="J744">
        <v>3.4</v>
      </c>
      <c r="K744" t="b">
        <v>1</v>
      </c>
    </row>
    <row r="745" spans="1:11" ht="16" x14ac:dyDescent="0.2">
      <c r="A745" s="16">
        <v>44979</v>
      </c>
      <c r="B745" t="s">
        <v>33</v>
      </c>
      <c r="C745" t="s">
        <v>45</v>
      </c>
      <c r="D745" t="s">
        <v>35</v>
      </c>
      <c r="E745" t="s">
        <v>7637</v>
      </c>
      <c r="F745">
        <v>5</v>
      </c>
      <c r="G745" s="15">
        <v>2710000</v>
      </c>
      <c r="H745" s="14">
        <v>0.13075929750140999</v>
      </c>
      <c r="I745" s="27">
        <f t="shared" si="11"/>
        <v>2355642.3037711792</v>
      </c>
      <c r="J745">
        <v>4.3</v>
      </c>
      <c r="K745" t="b">
        <v>1</v>
      </c>
    </row>
    <row r="746" spans="1:11" ht="16" x14ac:dyDescent="0.2">
      <c r="A746" s="16">
        <v>44979</v>
      </c>
      <c r="B746" t="s">
        <v>29</v>
      </c>
      <c r="C746" t="s">
        <v>68</v>
      </c>
      <c r="D746" t="s">
        <v>20</v>
      </c>
      <c r="E746" t="s">
        <v>7641</v>
      </c>
      <c r="F746">
        <v>4</v>
      </c>
      <c r="G746" s="15">
        <v>2710000</v>
      </c>
      <c r="H746" s="14">
        <v>0.13075929750140999</v>
      </c>
      <c r="I746" s="27">
        <f t="shared" si="11"/>
        <v>2355642.3037711792</v>
      </c>
      <c r="J746">
        <v>3.7</v>
      </c>
      <c r="K746" t="b">
        <v>1</v>
      </c>
    </row>
    <row r="747" spans="1:11" ht="16" x14ac:dyDescent="0.2">
      <c r="A747" s="16">
        <v>44979</v>
      </c>
      <c r="B747" t="s">
        <v>29</v>
      </c>
      <c r="C747" t="s">
        <v>39</v>
      </c>
      <c r="D747" t="s">
        <v>50</v>
      </c>
      <c r="E747" t="s">
        <v>7638</v>
      </c>
      <c r="F747">
        <v>1</v>
      </c>
      <c r="G747" s="15">
        <v>2710000</v>
      </c>
      <c r="H747" s="14">
        <v>0.13075929750140999</v>
      </c>
      <c r="I747" s="27">
        <f t="shared" si="11"/>
        <v>2355642.3037711792</v>
      </c>
      <c r="J747">
        <v>4</v>
      </c>
      <c r="K747" t="b">
        <v>1</v>
      </c>
    </row>
    <row r="748" spans="1:11" ht="16" x14ac:dyDescent="0.2">
      <c r="A748" s="16">
        <v>44980</v>
      </c>
      <c r="B748" t="s">
        <v>29</v>
      </c>
      <c r="C748" t="s">
        <v>45</v>
      </c>
      <c r="D748" t="s">
        <v>35</v>
      </c>
      <c r="E748" t="s">
        <v>7638</v>
      </c>
      <c r="F748">
        <v>4</v>
      </c>
      <c r="G748" s="15">
        <v>2710000</v>
      </c>
      <c r="H748" s="14">
        <v>0.13075929750140999</v>
      </c>
      <c r="I748" s="27">
        <f t="shared" si="11"/>
        <v>2355642.3037711792</v>
      </c>
      <c r="J748">
        <v>4</v>
      </c>
      <c r="K748" t="b">
        <v>0</v>
      </c>
    </row>
    <row r="749" spans="1:11" ht="16" x14ac:dyDescent="0.2">
      <c r="A749" s="16">
        <v>44980</v>
      </c>
      <c r="B749" t="s">
        <v>18</v>
      </c>
      <c r="C749" t="s">
        <v>34</v>
      </c>
      <c r="D749" t="s">
        <v>20</v>
      </c>
      <c r="E749" t="s">
        <v>7639</v>
      </c>
      <c r="F749">
        <v>3</v>
      </c>
      <c r="G749" s="15">
        <v>2710000</v>
      </c>
      <c r="H749" s="14">
        <v>0.13075929750140999</v>
      </c>
      <c r="I749" s="27">
        <f t="shared" si="11"/>
        <v>2355642.3037711792</v>
      </c>
      <c r="J749">
        <v>3.9</v>
      </c>
      <c r="K749" t="b">
        <v>1</v>
      </c>
    </row>
    <row r="750" spans="1:11" ht="16" x14ac:dyDescent="0.2">
      <c r="A750" s="16">
        <v>44980</v>
      </c>
      <c r="B750" t="s">
        <v>18</v>
      </c>
      <c r="C750" t="s">
        <v>19</v>
      </c>
      <c r="D750" t="str">
        <f>D749</f>
        <v>Website</v>
      </c>
      <c r="E750" t="s">
        <v>7644</v>
      </c>
      <c r="F750">
        <v>1</v>
      </c>
      <c r="G750" s="15">
        <v>2710000</v>
      </c>
      <c r="H750" s="14">
        <v>0.13075929750140999</v>
      </c>
      <c r="I750" s="27">
        <f t="shared" si="11"/>
        <v>2355642.3037711792</v>
      </c>
      <c r="J750">
        <v>4.5999999999999996</v>
      </c>
      <c r="K750" t="b">
        <v>1</v>
      </c>
    </row>
    <row r="751" spans="1:11" ht="16" x14ac:dyDescent="0.2">
      <c r="A751" s="16">
        <v>44981</v>
      </c>
      <c r="B751" t="s">
        <v>45</v>
      </c>
      <c r="C751" t="s">
        <v>68</v>
      </c>
      <c r="D751" t="s">
        <v>35</v>
      </c>
      <c r="E751" t="str">
        <f>E750</f>
        <v>Hạ Long</v>
      </c>
      <c r="F751">
        <v>2</v>
      </c>
      <c r="G751" s="15">
        <v>2710000</v>
      </c>
      <c r="H751" s="14">
        <v>0.13075929750140999</v>
      </c>
      <c r="I751" s="27">
        <f t="shared" si="11"/>
        <v>2355642.3037711792</v>
      </c>
      <c r="J751">
        <v>4.3</v>
      </c>
      <c r="K751" t="b">
        <v>1</v>
      </c>
    </row>
    <row r="752" spans="1:11" ht="16" x14ac:dyDescent="0.2">
      <c r="A752" s="16">
        <v>44982</v>
      </c>
      <c r="B752" t="s">
        <v>18</v>
      </c>
      <c r="C752" t="s">
        <v>39</v>
      </c>
      <c r="D752" t="s">
        <v>35</v>
      </c>
      <c r="E752" t="s">
        <v>7638</v>
      </c>
      <c r="F752">
        <v>1</v>
      </c>
      <c r="G752" s="15">
        <v>2710000</v>
      </c>
      <c r="H752" s="14">
        <v>0.13075929750140999</v>
      </c>
      <c r="I752" s="27">
        <f t="shared" si="11"/>
        <v>2355642.3037711792</v>
      </c>
      <c r="J752">
        <v>3.7</v>
      </c>
      <c r="K752" t="b">
        <v>0</v>
      </c>
    </row>
    <row r="753" spans="1:11" ht="16" x14ac:dyDescent="0.2">
      <c r="A753" s="16">
        <v>44982</v>
      </c>
      <c r="B753" t="s">
        <v>45</v>
      </c>
      <c r="C753" t="s">
        <v>19</v>
      </c>
      <c r="D753" t="s">
        <v>20</v>
      </c>
      <c r="E753" t="s">
        <v>7639</v>
      </c>
      <c r="F753">
        <v>5</v>
      </c>
      <c r="G753" s="15">
        <v>2710000</v>
      </c>
      <c r="H753" s="14">
        <v>0.13075929750140999</v>
      </c>
      <c r="I753" s="27">
        <f t="shared" si="11"/>
        <v>2355642.3037711792</v>
      </c>
      <c r="J753">
        <v>5</v>
      </c>
      <c r="K753" t="b">
        <v>0</v>
      </c>
    </row>
    <row r="754" spans="1:11" ht="16" x14ac:dyDescent="0.2">
      <c r="A754" s="16">
        <v>44983</v>
      </c>
      <c r="B754" t="str">
        <f>B753</f>
        <v>Family</v>
      </c>
      <c r="C754" t="s">
        <v>25</v>
      </c>
      <c r="D754" t="s">
        <v>35</v>
      </c>
      <c r="E754" t="s">
        <v>7642</v>
      </c>
      <c r="F754">
        <v>2</v>
      </c>
      <c r="G754" s="15">
        <v>2710000</v>
      </c>
      <c r="H754" s="14">
        <v>0.13075929750140999</v>
      </c>
      <c r="I754" s="27">
        <f t="shared" si="11"/>
        <v>2355642.3037711792</v>
      </c>
      <c r="J754">
        <v>4.8</v>
      </c>
      <c r="K754" t="b">
        <v>0</v>
      </c>
    </row>
    <row r="755" spans="1:11" ht="16" x14ac:dyDescent="0.2">
      <c r="A755" s="16">
        <v>44983</v>
      </c>
      <c r="B755" t="s">
        <v>18</v>
      </c>
      <c r="C755" t="s">
        <v>68</v>
      </c>
      <c r="D755" t="s">
        <v>35</v>
      </c>
      <c r="E755" t="s">
        <v>7639</v>
      </c>
      <c r="F755">
        <v>4</v>
      </c>
      <c r="G755" s="15">
        <v>2710000</v>
      </c>
      <c r="H755" s="14">
        <v>0.13075929750140999</v>
      </c>
      <c r="I755" s="27">
        <f t="shared" si="11"/>
        <v>2355642.3037711792</v>
      </c>
      <c r="J755">
        <v>3.7</v>
      </c>
      <c r="K755" t="b">
        <v>1</v>
      </c>
    </row>
    <row r="756" spans="1:11" ht="16" x14ac:dyDescent="0.2">
      <c r="A756" s="16">
        <v>44983</v>
      </c>
      <c r="B756" t="s">
        <v>33</v>
      </c>
      <c r="C756" t="s">
        <v>19</v>
      </c>
      <c r="D756" t="s">
        <v>20</v>
      </c>
      <c r="E756" t="s">
        <v>7641</v>
      </c>
      <c r="F756">
        <v>1</v>
      </c>
      <c r="G756" s="15">
        <v>2710000</v>
      </c>
      <c r="H756" s="14">
        <v>0.13075929750140999</v>
      </c>
      <c r="I756" s="27">
        <f t="shared" si="11"/>
        <v>2355642.3037711792</v>
      </c>
      <c r="J756">
        <v>4.2</v>
      </c>
      <c r="K756" t="b">
        <v>1</v>
      </c>
    </row>
    <row r="757" spans="1:11" ht="16" x14ac:dyDescent="0.2">
      <c r="A757" s="16">
        <v>44984</v>
      </c>
      <c r="B757" t="s">
        <v>29</v>
      </c>
      <c r="C757" t="s">
        <v>25</v>
      </c>
      <c r="D757" t="s">
        <v>46</v>
      </c>
      <c r="E757" t="s">
        <v>7641</v>
      </c>
      <c r="F757">
        <v>3</v>
      </c>
      <c r="G757" s="15">
        <v>2710000</v>
      </c>
      <c r="H757" s="14">
        <v>0.13075929750140999</v>
      </c>
      <c r="I757" s="27">
        <f t="shared" si="11"/>
        <v>2355642.3037711792</v>
      </c>
      <c r="J757">
        <v>3.9</v>
      </c>
      <c r="K757" t="b">
        <v>1</v>
      </c>
    </row>
    <row r="758" spans="1:11" ht="16" x14ac:dyDescent="0.2">
      <c r="A758" s="16">
        <v>44984</v>
      </c>
      <c r="B758" t="s">
        <v>45</v>
      </c>
      <c r="C758" t="s">
        <v>34</v>
      </c>
      <c r="D758" t="s">
        <v>20</v>
      </c>
      <c r="E758" t="s">
        <v>99</v>
      </c>
      <c r="F758">
        <v>1</v>
      </c>
      <c r="G758" s="15">
        <v>2710000</v>
      </c>
      <c r="H758" s="14">
        <v>0.13075929750140999</v>
      </c>
      <c r="I758" s="27">
        <f t="shared" si="11"/>
        <v>2355642.3037711792</v>
      </c>
      <c r="J758">
        <v>4.0999999999999996</v>
      </c>
      <c r="K758" t="b">
        <v>1</v>
      </c>
    </row>
    <row r="759" spans="1:11" ht="16" x14ac:dyDescent="0.2">
      <c r="A759" s="16">
        <v>44984</v>
      </c>
      <c r="B759" t="s">
        <v>18</v>
      </c>
      <c r="C759" t="s">
        <v>45</v>
      </c>
      <c r="D759" t="s">
        <v>35</v>
      </c>
      <c r="E759" t="s">
        <v>7638</v>
      </c>
      <c r="F759">
        <v>1</v>
      </c>
      <c r="G759" s="15">
        <v>2710000</v>
      </c>
      <c r="H759" s="14">
        <v>0.13075929750140999</v>
      </c>
      <c r="I759" s="27">
        <f t="shared" si="11"/>
        <v>2355642.3037711792</v>
      </c>
      <c r="J759">
        <v>3.9</v>
      </c>
      <c r="K759" t="b">
        <v>1</v>
      </c>
    </row>
    <row r="760" spans="1:11" ht="16" x14ac:dyDescent="0.2">
      <c r="A760" s="16">
        <v>44986</v>
      </c>
      <c r="B760" t="s">
        <v>18</v>
      </c>
      <c r="C760" t="s">
        <v>19</v>
      </c>
      <c r="D760" t="s">
        <v>20</v>
      </c>
      <c r="E760" t="s">
        <v>7641</v>
      </c>
      <c r="F760">
        <v>4</v>
      </c>
      <c r="G760" s="15">
        <v>2710000</v>
      </c>
      <c r="H760" s="14">
        <v>0.13075929750140999</v>
      </c>
      <c r="I760" s="27">
        <f t="shared" si="11"/>
        <v>2355642.3037711792</v>
      </c>
      <c r="J760">
        <v>3.8</v>
      </c>
      <c r="K760" t="b">
        <v>1</v>
      </c>
    </row>
    <row r="761" spans="1:11" ht="16" x14ac:dyDescent="0.2">
      <c r="A761" s="16">
        <v>44986</v>
      </c>
      <c r="B761" t="s">
        <v>33</v>
      </c>
      <c r="C761" t="s">
        <v>34</v>
      </c>
      <c r="D761" t="str">
        <f>D760</f>
        <v>Website</v>
      </c>
      <c r="E761" t="s">
        <v>7643</v>
      </c>
      <c r="F761">
        <v>3</v>
      </c>
      <c r="G761" s="15">
        <v>2710000</v>
      </c>
      <c r="H761" s="14">
        <v>0.13075929750140999</v>
      </c>
      <c r="I761" s="27">
        <f t="shared" si="11"/>
        <v>2355642.3037711792</v>
      </c>
      <c r="J761">
        <v>4.4000000000000004</v>
      </c>
      <c r="K761" t="b">
        <v>1</v>
      </c>
    </row>
    <row r="762" spans="1:11" ht="16" x14ac:dyDescent="0.2">
      <c r="A762" s="16">
        <v>44987</v>
      </c>
      <c r="B762" t="s">
        <v>18</v>
      </c>
      <c r="C762" t="s">
        <v>25</v>
      </c>
      <c r="D762" t="s">
        <v>20</v>
      </c>
      <c r="E762" t="str">
        <f>E761</f>
        <v>TP. HCM</v>
      </c>
      <c r="F762">
        <v>3</v>
      </c>
      <c r="G762" s="15">
        <v>2710000</v>
      </c>
      <c r="H762" s="14">
        <v>0.13075929750140999</v>
      </c>
      <c r="I762" s="27">
        <f t="shared" si="11"/>
        <v>2355642.3037711792</v>
      </c>
      <c r="J762">
        <v>4.8</v>
      </c>
      <c r="K762" t="b">
        <v>0</v>
      </c>
    </row>
    <row r="763" spans="1:11" ht="16" x14ac:dyDescent="0.2">
      <c r="A763" s="16">
        <v>44988</v>
      </c>
      <c r="B763" t="s">
        <v>18</v>
      </c>
      <c r="C763" t="s">
        <v>34</v>
      </c>
      <c r="D763" t="s">
        <v>20</v>
      </c>
      <c r="E763" t="s">
        <v>7644</v>
      </c>
      <c r="F763">
        <v>2</v>
      </c>
      <c r="G763" s="15">
        <v>2710000</v>
      </c>
      <c r="H763" s="14">
        <v>0.13075929750140999</v>
      </c>
      <c r="I763" s="27">
        <f t="shared" si="11"/>
        <v>2355642.3037711792</v>
      </c>
      <c r="J763">
        <v>4</v>
      </c>
      <c r="K763" t="b">
        <v>0</v>
      </c>
    </row>
    <row r="764" spans="1:11" ht="16" x14ac:dyDescent="0.2">
      <c r="A764" s="16">
        <v>44990</v>
      </c>
      <c r="B764" t="s">
        <v>45</v>
      </c>
      <c r="C764" t="s">
        <v>45</v>
      </c>
      <c r="D764" t="s">
        <v>20</v>
      </c>
      <c r="E764" t="s">
        <v>7640</v>
      </c>
      <c r="F764">
        <v>2</v>
      </c>
      <c r="G764" s="15">
        <v>2710000</v>
      </c>
      <c r="H764" s="14">
        <v>0.13075929750140999</v>
      </c>
      <c r="I764" s="27">
        <f t="shared" si="11"/>
        <v>2355642.3037711792</v>
      </c>
      <c r="J764">
        <v>3.6</v>
      </c>
      <c r="K764" t="b">
        <v>0</v>
      </c>
    </row>
    <row r="765" spans="1:11" ht="16" x14ac:dyDescent="0.2">
      <c r="A765" s="16">
        <v>44991</v>
      </c>
      <c r="B765" t="s">
        <v>18</v>
      </c>
      <c r="C765" t="s">
        <v>68</v>
      </c>
      <c r="D765" t="s">
        <v>20</v>
      </c>
      <c r="E765" t="s">
        <v>57</v>
      </c>
      <c r="F765">
        <v>2</v>
      </c>
      <c r="G765" s="15">
        <v>2710000</v>
      </c>
      <c r="H765" s="14">
        <v>0.13075929750140999</v>
      </c>
      <c r="I765" s="27">
        <f t="shared" si="11"/>
        <v>2355642.3037711792</v>
      </c>
      <c r="J765">
        <v>4.0999999999999996</v>
      </c>
      <c r="K765" t="b">
        <v>1</v>
      </c>
    </row>
    <row r="766" spans="1:11" ht="16" x14ac:dyDescent="0.2">
      <c r="A766" s="16">
        <v>44992</v>
      </c>
      <c r="B766" t="s">
        <v>33</v>
      </c>
      <c r="C766" t="s">
        <v>34</v>
      </c>
      <c r="D766" t="s">
        <v>50</v>
      </c>
      <c r="E766" t="s">
        <v>7642</v>
      </c>
      <c r="F766">
        <v>5</v>
      </c>
      <c r="G766" s="15">
        <v>2710000</v>
      </c>
      <c r="H766" s="14">
        <v>0.13075929750140999</v>
      </c>
      <c r="I766" s="27">
        <f t="shared" si="11"/>
        <v>2355642.3037711792</v>
      </c>
      <c r="J766">
        <v>4.4000000000000004</v>
      </c>
      <c r="K766" t="b">
        <v>1</v>
      </c>
    </row>
    <row r="767" spans="1:11" ht="16" x14ac:dyDescent="0.2">
      <c r="A767" s="16">
        <v>44992</v>
      </c>
      <c r="B767" t="s">
        <v>18</v>
      </c>
      <c r="C767" t="s">
        <v>45</v>
      </c>
      <c r="D767" t="s">
        <v>20</v>
      </c>
      <c r="E767" t="s">
        <v>7644</v>
      </c>
      <c r="F767">
        <v>2</v>
      </c>
      <c r="G767" s="15">
        <v>2710000</v>
      </c>
      <c r="H767" s="14">
        <v>0.13075929750140999</v>
      </c>
      <c r="I767" s="27">
        <f t="shared" si="11"/>
        <v>2355642.3037711792</v>
      </c>
      <c r="J767">
        <v>3</v>
      </c>
      <c r="K767" t="b">
        <v>0</v>
      </c>
    </row>
    <row r="768" spans="1:11" ht="16" x14ac:dyDescent="0.2">
      <c r="A768" s="16">
        <v>44992</v>
      </c>
      <c r="B768" t="s">
        <v>18</v>
      </c>
      <c r="C768" t="s">
        <v>45</v>
      </c>
      <c r="D768" t="s">
        <v>50</v>
      </c>
      <c r="E768" t="s">
        <v>7642</v>
      </c>
      <c r="F768">
        <v>3</v>
      </c>
      <c r="G768" s="15">
        <v>2710000</v>
      </c>
      <c r="H768" s="14">
        <v>0.13075929750140999</v>
      </c>
      <c r="I768" s="27">
        <f t="shared" si="11"/>
        <v>2355642.3037711792</v>
      </c>
      <c r="J768">
        <v>4.5999999999999996</v>
      </c>
      <c r="K768" t="b">
        <v>1</v>
      </c>
    </row>
    <row r="769" spans="1:11" ht="16" x14ac:dyDescent="0.2">
      <c r="A769" s="16">
        <v>44993</v>
      </c>
      <c r="B769" t="s">
        <v>29</v>
      </c>
      <c r="C769" t="s">
        <v>68</v>
      </c>
      <c r="D769" t="s">
        <v>20</v>
      </c>
      <c r="E769" t="s">
        <v>7641</v>
      </c>
      <c r="F769">
        <v>2</v>
      </c>
      <c r="G769" s="15">
        <v>2710000</v>
      </c>
      <c r="H769" s="14">
        <v>0.13075929750140999</v>
      </c>
      <c r="I769" s="27">
        <f t="shared" si="11"/>
        <v>2355642.3037711792</v>
      </c>
      <c r="J769">
        <v>4.0999999999999996</v>
      </c>
      <c r="K769" t="b">
        <v>0</v>
      </c>
    </row>
    <row r="770" spans="1:11" ht="16" x14ac:dyDescent="0.2">
      <c r="A770" s="16">
        <v>44994</v>
      </c>
      <c r="B770" t="s">
        <v>45</v>
      </c>
      <c r="C770" t="s">
        <v>25</v>
      </c>
      <c r="D770" t="s">
        <v>20</v>
      </c>
      <c r="E770" t="s">
        <v>7641</v>
      </c>
      <c r="F770">
        <v>3</v>
      </c>
      <c r="G770" s="15">
        <v>2710000</v>
      </c>
      <c r="H770" s="14">
        <v>0.13075929750140999</v>
      </c>
      <c r="I770" s="27">
        <f t="shared" si="11"/>
        <v>2355642.3037711792</v>
      </c>
      <c r="J770">
        <v>4.0999999999999996</v>
      </c>
      <c r="K770" t="b">
        <v>1</v>
      </c>
    </row>
    <row r="771" spans="1:11" ht="16" x14ac:dyDescent="0.2">
      <c r="A771" s="16">
        <v>44994</v>
      </c>
      <c r="B771" t="s">
        <v>33</v>
      </c>
      <c r="C771" t="s">
        <v>25</v>
      </c>
      <c r="D771" t="s">
        <v>50</v>
      </c>
      <c r="E771" t="s">
        <v>7639</v>
      </c>
      <c r="F771">
        <v>1</v>
      </c>
      <c r="G771" s="15">
        <v>2710000</v>
      </c>
      <c r="H771" s="14">
        <v>0.13075929750140999</v>
      </c>
      <c r="I771" s="27">
        <f t="shared" ref="I771:I834" si="12">G771-G771*H771</f>
        <v>2355642.3037711792</v>
      </c>
      <c r="J771">
        <v>3.7</v>
      </c>
      <c r="K771" t="b">
        <v>0</v>
      </c>
    </row>
    <row r="772" spans="1:11" ht="16" x14ac:dyDescent="0.2">
      <c r="A772" s="16">
        <v>44995</v>
      </c>
      <c r="B772" t="s">
        <v>45</v>
      </c>
      <c r="C772" t="s">
        <v>19</v>
      </c>
      <c r="D772" t="s">
        <v>50</v>
      </c>
      <c r="E772" t="s">
        <v>7637</v>
      </c>
      <c r="F772">
        <v>4</v>
      </c>
      <c r="G772" s="15">
        <v>2710000</v>
      </c>
      <c r="H772" s="14">
        <v>0.13075929750140999</v>
      </c>
      <c r="I772" s="27">
        <f t="shared" si="12"/>
        <v>2355642.3037711792</v>
      </c>
      <c r="J772">
        <v>4.5</v>
      </c>
      <c r="K772" t="b">
        <v>0</v>
      </c>
    </row>
    <row r="773" spans="1:11" ht="16" x14ac:dyDescent="0.2">
      <c r="A773" s="16">
        <v>44995</v>
      </c>
      <c r="B773" t="s">
        <v>29</v>
      </c>
      <c r="C773" t="s">
        <v>39</v>
      </c>
      <c r="D773" t="str">
        <f>D772</f>
        <v>Agent</v>
      </c>
      <c r="E773" t="s">
        <v>57</v>
      </c>
      <c r="F773">
        <v>2</v>
      </c>
      <c r="G773" s="15">
        <v>2710000</v>
      </c>
      <c r="H773" s="14">
        <v>0.13075929750140999</v>
      </c>
      <c r="I773" s="27">
        <f t="shared" si="12"/>
        <v>2355642.3037711792</v>
      </c>
      <c r="J773">
        <v>3.8</v>
      </c>
      <c r="K773" t="b">
        <v>0</v>
      </c>
    </row>
    <row r="774" spans="1:11" ht="16" x14ac:dyDescent="0.2">
      <c r="A774" s="16">
        <v>44995</v>
      </c>
      <c r="B774" t="s">
        <v>29</v>
      </c>
      <c r="C774" t="s">
        <v>19</v>
      </c>
      <c r="D774" t="s">
        <v>50</v>
      </c>
      <c r="E774" t="s">
        <v>57</v>
      </c>
      <c r="F774">
        <v>2</v>
      </c>
      <c r="G774" s="15">
        <v>2710000</v>
      </c>
      <c r="H774" s="14">
        <v>0.13075929750140999</v>
      </c>
      <c r="I774" s="27">
        <f t="shared" si="12"/>
        <v>2355642.3037711792</v>
      </c>
      <c r="J774">
        <v>5</v>
      </c>
      <c r="K774" t="b">
        <v>1</v>
      </c>
    </row>
    <row r="775" spans="1:11" ht="16" x14ac:dyDescent="0.2">
      <c r="A775" s="16">
        <v>44995</v>
      </c>
      <c r="B775" t="s">
        <v>33</v>
      </c>
      <c r="C775" t="s">
        <v>45</v>
      </c>
      <c r="D775" t="s">
        <v>20</v>
      </c>
      <c r="E775" t="s">
        <v>7637</v>
      </c>
      <c r="F775">
        <v>3</v>
      </c>
      <c r="G775" s="15">
        <v>2710000</v>
      </c>
      <c r="H775" s="14">
        <v>0.13075929750140999</v>
      </c>
      <c r="I775" s="27">
        <f t="shared" si="12"/>
        <v>2355642.3037711792</v>
      </c>
      <c r="J775">
        <v>3.9</v>
      </c>
      <c r="K775" t="b">
        <v>1</v>
      </c>
    </row>
    <row r="776" spans="1:11" ht="16" x14ac:dyDescent="0.2">
      <c r="A776" s="16">
        <v>44996</v>
      </c>
      <c r="B776" t="s">
        <v>33</v>
      </c>
      <c r="C776" t="s">
        <v>19</v>
      </c>
      <c r="D776" t="s">
        <v>20</v>
      </c>
      <c r="E776" t="s">
        <v>7644</v>
      </c>
      <c r="F776">
        <v>1</v>
      </c>
      <c r="G776" s="15">
        <v>2710000</v>
      </c>
      <c r="H776" s="14">
        <v>0.13075929750140999</v>
      </c>
      <c r="I776" s="27">
        <f t="shared" si="12"/>
        <v>2355642.3037711792</v>
      </c>
      <c r="J776">
        <v>3.5</v>
      </c>
      <c r="K776" t="b">
        <v>1</v>
      </c>
    </row>
    <row r="777" spans="1:11" ht="16" x14ac:dyDescent="0.2">
      <c r="A777" s="16">
        <v>44996</v>
      </c>
      <c r="B777" t="s">
        <v>18</v>
      </c>
      <c r="C777" t="s">
        <v>25</v>
      </c>
      <c r="D777" t="s">
        <v>20</v>
      </c>
      <c r="E777" t="str">
        <f>E776</f>
        <v>Hạ Long</v>
      </c>
      <c r="F777">
        <v>3</v>
      </c>
      <c r="G777" s="15">
        <v>2710000</v>
      </c>
      <c r="H777" s="14">
        <v>0.13075929750140999</v>
      </c>
      <c r="I777" s="27">
        <f t="shared" si="12"/>
        <v>2355642.3037711792</v>
      </c>
      <c r="J777">
        <v>4.4000000000000004</v>
      </c>
      <c r="K777" t="b">
        <v>0</v>
      </c>
    </row>
    <row r="778" spans="1:11" ht="16" x14ac:dyDescent="0.2">
      <c r="A778" s="16">
        <v>44997</v>
      </c>
      <c r="B778" t="s">
        <v>29</v>
      </c>
      <c r="C778" t="s">
        <v>25</v>
      </c>
      <c r="D778" t="s">
        <v>20</v>
      </c>
      <c r="E778" t="s">
        <v>7640</v>
      </c>
      <c r="F778">
        <v>3</v>
      </c>
      <c r="G778" s="15">
        <v>2710000</v>
      </c>
      <c r="H778" s="14">
        <v>0.13075929750140999</v>
      </c>
      <c r="I778" s="27">
        <f t="shared" si="12"/>
        <v>2355642.3037711792</v>
      </c>
      <c r="J778">
        <v>4.2</v>
      </c>
      <c r="K778" t="b">
        <v>0</v>
      </c>
    </row>
    <row r="779" spans="1:11" ht="16" x14ac:dyDescent="0.2">
      <c r="A779" s="16">
        <v>44998</v>
      </c>
      <c r="B779" t="s">
        <v>45</v>
      </c>
      <c r="C779" t="s">
        <v>39</v>
      </c>
      <c r="D779" t="s">
        <v>50</v>
      </c>
      <c r="E779" t="s">
        <v>7642</v>
      </c>
      <c r="F779">
        <v>2</v>
      </c>
      <c r="G779" s="15">
        <v>2710000</v>
      </c>
      <c r="H779" s="14">
        <v>0.13075929750140999</v>
      </c>
      <c r="I779" s="27">
        <f t="shared" si="12"/>
        <v>2355642.3037711792</v>
      </c>
      <c r="J779">
        <v>3.7</v>
      </c>
      <c r="K779" t="b">
        <v>0</v>
      </c>
    </row>
    <row r="780" spans="1:11" ht="16" x14ac:dyDescent="0.2">
      <c r="A780" s="16">
        <v>44999</v>
      </c>
      <c r="B780" t="s">
        <v>29</v>
      </c>
      <c r="C780" t="s">
        <v>34</v>
      </c>
      <c r="D780" t="s">
        <v>46</v>
      </c>
      <c r="E780" t="s">
        <v>7638</v>
      </c>
      <c r="F780">
        <v>3</v>
      </c>
      <c r="G780" s="15">
        <v>2710000</v>
      </c>
      <c r="H780" s="14">
        <v>0.13075929750140999</v>
      </c>
      <c r="I780" s="27">
        <f t="shared" si="12"/>
        <v>2355642.3037711792</v>
      </c>
      <c r="J780">
        <v>5</v>
      </c>
      <c r="K780" t="b">
        <v>1</v>
      </c>
    </row>
    <row r="781" spans="1:11" ht="16" x14ac:dyDescent="0.2">
      <c r="A781" s="16">
        <v>44999</v>
      </c>
      <c r="B781" t="s">
        <v>33</v>
      </c>
      <c r="C781" t="s">
        <v>34</v>
      </c>
      <c r="D781" t="s">
        <v>20</v>
      </c>
      <c r="E781" t="s">
        <v>57</v>
      </c>
      <c r="F781">
        <v>1</v>
      </c>
      <c r="G781" s="15">
        <v>2710000</v>
      </c>
      <c r="H781" s="14">
        <v>0.13075929750140999</v>
      </c>
      <c r="I781" s="27">
        <f t="shared" si="12"/>
        <v>2355642.3037711792</v>
      </c>
      <c r="J781">
        <v>3.7</v>
      </c>
      <c r="K781" t="b">
        <v>0</v>
      </c>
    </row>
    <row r="782" spans="1:11" ht="16" x14ac:dyDescent="0.2">
      <c r="A782" s="16">
        <v>45000</v>
      </c>
      <c r="B782" t="s">
        <v>33</v>
      </c>
      <c r="C782" t="s">
        <v>19</v>
      </c>
      <c r="D782" t="s">
        <v>35</v>
      </c>
      <c r="E782" t="s">
        <v>7639</v>
      </c>
      <c r="F782">
        <v>1</v>
      </c>
      <c r="G782" s="15">
        <v>2710000</v>
      </c>
      <c r="H782" s="14">
        <v>0.13075929750140999</v>
      </c>
      <c r="I782" s="27">
        <f t="shared" si="12"/>
        <v>2355642.3037711792</v>
      </c>
      <c r="J782">
        <v>4.5</v>
      </c>
      <c r="K782" t="b">
        <v>0</v>
      </c>
    </row>
    <row r="783" spans="1:11" ht="16" x14ac:dyDescent="0.2">
      <c r="A783" s="16">
        <v>45000</v>
      </c>
      <c r="B783" t="s">
        <v>29</v>
      </c>
      <c r="C783" t="s">
        <v>68</v>
      </c>
      <c r="D783" t="s">
        <v>20</v>
      </c>
      <c r="E783" t="s">
        <v>7640</v>
      </c>
      <c r="F783">
        <v>1</v>
      </c>
      <c r="G783" s="15">
        <v>2710000</v>
      </c>
      <c r="H783" s="14">
        <v>0.13075929750140999</v>
      </c>
      <c r="I783" s="27">
        <f t="shared" si="12"/>
        <v>2355642.3037711792</v>
      </c>
      <c r="J783">
        <v>4.7</v>
      </c>
      <c r="K783" t="b">
        <v>1</v>
      </c>
    </row>
    <row r="784" spans="1:11" ht="16" x14ac:dyDescent="0.2">
      <c r="A784" s="16">
        <v>45000</v>
      </c>
      <c r="B784" t="s">
        <v>33</v>
      </c>
      <c r="C784" t="s">
        <v>19</v>
      </c>
      <c r="D784" t="s">
        <v>20</v>
      </c>
      <c r="E784" t="s">
        <v>99</v>
      </c>
      <c r="F784">
        <v>3</v>
      </c>
      <c r="G784" s="15">
        <v>2710000</v>
      </c>
      <c r="H784" s="14">
        <v>0.13075929750140999</v>
      </c>
      <c r="I784" s="27">
        <f t="shared" si="12"/>
        <v>2355642.3037711792</v>
      </c>
      <c r="J784">
        <v>4.2</v>
      </c>
      <c r="K784" t="b">
        <v>1</v>
      </c>
    </row>
    <row r="785" spans="1:11" ht="16" x14ac:dyDescent="0.2">
      <c r="A785" s="16">
        <v>45001</v>
      </c>
      <c r="B785" t="s">
        <v>45</v>
      </c>
      <c r="C785" t="s">
        <v>34</v>
      </c>
      <c r="D785" t="s">
        <v>20</v>
      </c>
      <c r="E785" t="s">
        <v>7638</v>
      </c>
      <c r="F785">
        <v>4</v>
      </c>
      <c r="G785" s="15">
        <v>2710000</v>
      </c>
      <c r="H785" s="14">
        <v>0.13075929750140999</v>
      </c>
      <c r="I785" s="27">
        <f t="shared" si="12"/>
        <v>2355642.3037711792</v>
      </c>
      <c r="J785">
        <v>4.0999999999999996</v>
      </c>
      <c r="K785" t="b">
        <v>1</v>
      </c>
    </row>
    <row r="786" spans="1:11" ht="16" x14ac:dyDescent="0.2">
      <c r="A786" s="16">
        <v>45001</v>
      </c>
      <c r="B786" t="s">
        <v>45</v>
      </c>
      <c r="C786" t="s">
        <v>45</v>
      </c>
      <c r="D786" t="s">
        <v>20</v>
      </c>
      <c r="E786" t="s">
        <v>7638</v>
      </c>
      <c r="F786">
        <v>2</v>
      </c>
      <c r="G786" s="15">
        <v>2710000</v>
      </c>
      <c r="H786" s="14">
        <v>0.13075929750140999</v>
      </c>
      <c r="I786" s="27">
        <f t="shared" si="12"/>
        <v>2355642.3037711792</v>
      </c>
      <c r="J786">
        <v>5</v>
      </c>
      <c r="K786" t="b">
        <v>0</v>
      </c>
    </row>
    <row r="787" spans="1:11" ht="16" x14ac:dyDescent="0.2">
      <c r="A787" s="16">
        <v>45002</v>
      </c>
      <c r="B787" t="s">
        <v>18</v>
      </c>
      <c r="C787" t="s">
        <v>25</v>
      </c>
      <c r="D787" t="s">
        <v>35</v>
      </c>
      <c r="E787" t="s">
        <v>57</v>
      </c>
      <c r="F787">
        <v>1</v>
      </c>
      <c r="G787" s="15">
        <v>2710000</v>
      </c>
      <c r="H787" s="14">
        <v>0.13075929750140999</v>
      </c>
      <c r="I787" s="27">
        <f t="shared" si="12"/>
        <v>2355642.3037711792</v>
      </c>
      <c r="J787">
        <v>3.9</v>
      </c>
      <c r="K787" t="b">
        <v>0</v>
      </c>
    </row>
    <row r="788" spans="1:11" ht="16" x14ac:dyDescent="0.2">
      <c r="A788" s="16">
        <v>45002</v>
      </c>
      <c r="B788" t="s">
        <v>18</v>
      </c>
      <c r="C788" t="s">
        <v>68</v>
      </c>
      <c r="D788" t="s">
        <v>20</v>
      </c>
      <c r="E788" t="s">
        <v>99</v>
      </c>
      <c r="F788">
        <v>1</v>
      </c>
      <c r="G788" s="15">
        <v>2710000</v>
      </c>
      <c r="H788" s="14">
        <v>0.13075929750140999</v>
      </c>
      <c r="I788" s="27">
        <f t="shared" si="12"/>
        <v>2355642.3037711792</v>
      </c>
      <c r="J788">
        <v>3.8</v>
      </c>
      <c r="K788" t="b">
        <v>1</v>
      </c>
    </row>
    <row r="789" spans="1:11" ht="16" x14ac:dyDescent="0.2">
      <c r="A789" s="16">
        <v>45002</v>
      </c>
      <c r="B789" t="s">
        <v>45</v>
      </c>
      <c r="C789" t="s">
        <v>34</v>
      </c>
      <c r="D789" t="s">
        <v>20</v>
      </c>
      <c r="E789" t="s">
        <v>7637</v>
      </c>
      <c r="F789">
        <v>4</v>
      </c>
      <c r="G789" s="15">
        <v>2710000</v>
      </c>
      <c r="H789" s="14">
        <v>0.13075929750140999</v>
      </c>
      <c r="I789" s="27">
        <f t="shared" si="12"/>
        <v>2355642.3037711792</v>
      </c>
      <c r="J789">
        <v>3.7</v>
      </c>
      <c r="K789" t="b">
        <v>1</v>
      </c>
    </row>
    <row r="790" spans="1:11" ht="16" x14ac:dyDescent="0.2">
      <c r="A790" s="16">
        <v>45002</v>
      </c>
      <c r="B790" t="s">
        <v>45</v>
      </c>
      <c r="C790" t="s">
        <v>19</v>
      </c>
      <c r="D790" t="s">
        <v>20</v>
      </c>
      <c r="E790" t="s">
        <v>99</v>
      </c>
      <c r="F790">
        <v>1</v>
      </c>
      <c r="G790" s="15">
        <v>2710000</v>
      </c>
      <c r="H790" s="14">
        <v>0.13075929750140999</v>
      </c>
      <c r="I790" s="27">
        <f t="shared" si="12"/>
        <v>2355642.3037711792</v>
      </c>
      <c r="J790">
        <v>4.2</v>
      </c>
      <c r="K790" t="b">
        <v>1</v>
      </c>
    </row>
    <row r="791" spans="1:11" ht="16" x14ac:dyDescent="0.2">
      <c r="A791" s="16">
        <v>45002</v>
      </c>
      <c r="B791" t="s">
        <v>45</v>
      </c>
      <c r="C791" t="s">
        <v>19</v>
      </c>
      <c r="D791" t="s">
        <v>50</v>
      </c>
      <c r="E791" t="s">
        <v>7639</v>
      </c>
      <c r="F791">
        <v>1</v>
      </c>
      <c r="G791" s="15">
        <v>2710000</v>
      </c>
      <c r="H791" s="14">
        <v>0.13075929750140999</v>
      </c>
      <c r="I791" s="27">
        <f t="shared" si="12"/>
        <v>2355642.3037711792</v>
      </c>
      <c r="J791">
        <v>4.7</v>
      </c>
      <c r="K791" t="b">
        <v>1</v>
      </c>
    </row>
    <row r="792" spans="1:11" ht="16" x14ac:dyDescent="0.2">
      <c r="A792" s="16">
        <v>45004</v>
      </c>
      <c r="B792" t="s">
        <v>18</v>
      </c>
      <c r="C792" t="s">
        <v>19</v>
      </c>
      <c r="D792" t="s">
        <v>20</v>
      </c>
      <c r="E792" t="s">
        <v>57</v>
      </c>
      <c r="F792">
        <v>2</v>
      </c>
      <c r="G792" s="15">
        <v>2710000</v>
      </c>
      <c r="H792" s="14">
        <v>0.13075929750140999</v>
      </c>
      <c r="I792" s="27">
        <f t="shared" si="12"/>
        <v>2355642.3037711792</v>
      </c>
      <c r="J792">
        <v>3.8</v>
      </c>
      <c r="K792" t="b">
        <v>1</v>
      </c>
    </row>
    <row r="793" spans="1:11" ht="16" x14ac:dyDescent="0.2">
      <c r="A793" s="16">
        <v>45004</v>
      </c>
      <c r="B793" t="s">
        <v>33</v>
      </c>
      <c r="C793" t="s">
        <v>45</v>
      </c>
      <c r="D793" t="s">
        <v>20</v>
      </c>
      <c r="E793" t="s">
        <v>7641</v>
      </c>
      <c r="F793">
        <v>1</v>
      </c>
      <c r="G793" s="15">
        <v>2710000</v>
      </c>
      <c r="H793" s="14">
        <v>0.13075929750140999</v>
      </c>
      <c r="I793" s="27">
        <f t="shared" si="12"/>
        <v>2355642.3037711792</v>
      </c>
      <c r="J793">
        <v>3.7</v>
      </c>
      <c r="K793" t="b">
        <v>1</v>
      </c>
    </row>
    <row r="794" spans="1:11" ht="16" x14ac:dyDescent="0.2">
      <c r="A794" s="16">
        <v>45005</v>
      </c>
      <c r="B794" t="s">
        <v>18</v>
      </c>
      <c r="C794" t="s">
        <v>34</v>
      </c>
      <c r="D794" t="s">
        <v>50</v>
      </c>
      <c r="E794" t="s">
        <v>7644</v>
      </c>
      <c r="F794">
        <v>2</v>
      </c>
      <c r="G794" s="15">
        <v>2710000</v>
      </c>
      <c r="H794" s="14">
        <v>0.13075929750140999</v>
      </c>
      <c r="I794" s="27">
        <f t="shared" si="12"/>
        <v>2355642.3037711792</v>
      </c>
      <c r="J794">
        <v>3.8</v>
      </c>
      <c r="K794" t="b">
        <v>0</v>
      </c>
    </row>
    <row r="795" spans="1:11" ht="16" x14ac:dyDescent="0.2">
      <c r="A795" s="16">
        <v>45005</v>
      </c>
      <c r="B795" t="s">
        <v>29</v>
      </c>
      <c r="C795" t="s">
        <v>25</v>
      </c>
      <c r="D795" t="str">
        <f>D794</f>
        <v>Agent</v>
      </c>
      <c r="E795" t="s">
        <v>7641</v>
      </c>
      <c r="F795">
        <v>1</v>
      </c>
      <c r="G795" s="15">
        <v>2710000</v>
      </c>
      <c r="H795" s="14">
        <v>0.13075929750140999</v>
      </c>
      <c r="I795" s="27">
        <f t="shared" si="12"/>
        <v>2355642.3037711792</v>
      </c>
      <c r="J795">
        <v>3</v>
      </c>
      <c r="K795" t="b">
        <v>1</v>
      </c>
    </row>
    <row r="796" spans="1:11" ht="16" x14ac:dyDescent="0.2">
      <c r="A796" s="16">
        <v>45006</v>
      </c>
      <c r="B796" t="s">
        <v>29</v>
      </c>
      <c r="C796" t="s">
        <v>34</v>
      </c>
      <c r="D796" t="str">
        <f>D795</f>
        <v>Agent</v>
      </c>
      <c r="E796" t="str">
        <f>E795</f>
        <v>Phú Quốc</v>
      </c>
      <c r="F796">
        <v>1</v>
      </c>
      <c r="G796" s="15">
        <v>2710000</v>
      </c>
      <c r="H796" s="14">
        <v>0.13075929750140999</v>
      </c>
      <c r="I796" s="27">
        <f t="shared" si="12"/>
        <v>2355642.3037711792</v>
      </c>
      <c r="J796">
        <v>3.7</v>
      </c>
      <c r="K796" t="b">
        <v>1</v>
      </c>
    </row>
    <row r="797" spans="1:11" ht="16" x14ac:dyDescent="0.2">
      <c r="A797" s="16">
        <v>45006</v>
      </c>
      <c r="B797" t="s">
        <v>45</v>
      </c>
      <c r="C797" t="s">
        <v>25</v>
      </c>
      <c r="D797" t="s">
        <v>35</v>
      </c>
      <c r="E797" t="s">
        <v>7644</v>
      </c>
      <c r="F797">
        <v>1</v>
      </c>
      <c r="G797" s="15">
        <v>2710000</v>
      </c>
      <c r="H797" s="14">
        <v>0.13075929750140999</v>
      </c>
      <c r="I797" s="27">
        <f t="shared" si="12"/>
        <v>2355642.3037711792</v>
      </c>
      <c r="J797">
        <v>3.7</v>
      </c>
      <c r="K797" t="b">
        <v>1</v>
      </c>
    </row>
    <row r="798" spans="1:11" ht="16" x14ac:dyDescent="0.2">
      <c r="A798" s="16">
        <v>45006</v>
      </c>
      <c r="B798" t="s">
        <v>45</v>
      </c>
      <c r="C798" t="s">
        <v>19</v>
      </c>
      <c r="D798" t="s">
        <v>20</v>
      </c>
      <c r="E798" t="s">
        <v>7639</v>
      </c>
      <c r="F798">
        <v>2</v>
      </c>
      <c r="G798" s="15">
        <v>2710000</v>
      </c>
      <c r="H798" s="14">
        <v>0.13075929750140999</v>
      </c>
      <c r="I798" s="27">
        <f t="shared" si="12"/>
        <v>2355642.3037711792</v>
      </c>
      <c r="J798">
        <v>4.9000000000000004</v>
      </c>
      <c r="K798" t="b">
        <v>0</v>
      </c>
    </row>
    <row r="799" spans="1:11" ht="16" x14ac:dyDescent="0.2">
      <c r="A799" s="16">
        <v>45007</v>
      </c>
      <c r="B799" t="s">
        <v>18</v>
      </c>
      <c r="C799" t="s">
        <v>45</v>
      </c>
      <c r="D799" t="s">
        <v>50</v>
      </c>
      <c r="E799" t="s">
        <v>7640</v>
      </c>
      <c r="F799">
        <v>3</v>
      </c>
      <c r="G799" s="15">
        <v>2710000</v>
      </c>
      <c r="H799" s="14">
        <v>0.13075929750140999</v>
      </c>
      <c r="I799" s="27">
        <f t="shared" si="12"/>
        <v>2355642.3037711792</v>
      </c>
      <c r="J799">
        <v>3.5</v>
      </c>
      <c r="K799" t="b">
        <v>0</v>
      </c>
    </row>
    <row r="800" spans="1:11" ht="16" x14ac:dyDescent="0.2">
      <c r="A800" s="16">
        <v>45007</v>
      </c>
      <c r="B800" t="s">
        <v>45</v>
      </c>
      <c r="C800" t="s">
        <v>34</v>
      </c>
      <c r="D800" t="s">
        <v>50</v>
      </c>
      <c r="E800" t="s">
        <v>7640</v>
      </c>
      <c r="F800">
        <v>2</v>
      </c>
      <c r="G800" s="15">
        <v>2710000</v>
      </c>
      <c r="H800" s="14">
        <v>0.13075929750140999</v>
      </c>
      <c r="I800" s="27">
        <f t="shared" si="12"/>
        <v>2355642.3037711792</v>
      </c>
      <c r="J800">
        <v>3.9</v>
      </c>
      <c r="K800" t="b">
        <v>1</v>
      </c>
    </row>
    <row r="801" spans="1:11" ht="16" x14ac:dyDescent="0.2">
      <c r="A801" s="16">
        <v>45007</v>
      </c>
      <c r="B801" t="s">
        <v>29</v>
      </c>
      <c r="C801" t="s">
        <v>34</v>
      </c>
      <c r="D801" t="str">
        <f>D800</f>
        <v>Agent</v>
      </c>
      <c r="E801" t="s">
        <v>7638</v>
      </c>
      <c r="F801">
        <v>1</v>
      </c>
      <c r="G801" s="15">
        <v>2710000</v>
      </c>
      <c r="H801" s="14">
        <v>0.13075929750140999</v>
      </c>
      <c r="I801" s="27">
        <f t="shared" si="12"/>
        <v>2355642.3037711792</v>
      </c>
      <c r="J801">
        <v>3.3</v>
      </c>
      <c r="K801" t="b">
        <v>1</v>
      </c>
    </row>
    <row r="802" spans="1:11" ht="16" x14ac:dyDescent="0.2">
      <c r="A802" s="16">
        <v>45008</v>
      </c>
      <c r="B802" t="s">
        <v>18</v>
      </c>
      <c r="C802" t="s">
        <v>25</v>
      </c>
      <c r="D802" t="s">
        <v>20</v>
      </c>
      <c r="E802" t="s">
        <v>7642</v>
      </c>
      <c r="F802">
        <v>2</v>
      </c>
      <c r="G802" s="15">
        <v>2710000</v>
      </c>
      <c r="H802" s="14">
        <v>0.13075929750140999</v>
      </c>
      <c r="I802" s="27">
        <f t="shared" si="12"/>
        <v>2355642.3037711792</v>
      </c>
      <c r="J802">
        <v>3.6</v>
      </c>
      <c r="K802" t="b">
        <v>0</v>
      </c>
    </row>
    <row r="803" spans="1:11" ht="16" x14ac:dyDescent="0.2">
      <c r="A803" s="16">
        <v>45008</v>
      </c>
      <c r="B803" t="s">
        <v>33</v>
      </c>
      <c r="C803" t="s">
        <v>34</v>
      </c>
      <c r="D803" t="s">
        <v>35</v>
      </c>
      <c r="E803" t="s">
        <v>7640</v>
      </c>
      <c r="F803">
        <v>1</v>
      </c>
      <c r="G803" s="15">
        <v>2710000</v>
      </c>
      <c r="H803" s="14">
        <v>0.13075929750140999</v>
      </c>
      <c r="I803" s="27">
        <f t="shared" si="12"/>
        <v>2355642.3037711792</v>
      </c>
      <c r="J803">
        <v>3.2</v>
      </c>
      <c r="K803" t="b">
        <v>1</v>
      </c>
    </row>
    <row r="804" spans="1:11" ht="16" x14ac:dyDescent="0.2">
      <c r="A804" s="16">
        <v>45008</v>
      </c>
      <c r="B804" t="s">
        <v>29</v>
      </c>
      <c r="C804" t="s">
        <v>34</v>
      </c>
      <c r="D804" t="s">
        <v>20</v>
      </c>
      <c r="E804" t="s">
        <v>7643</v>
      </c>
      <c r="F804">
        <v>1</v>
      </c>
      <c r="G804" s="15">
        <v>2710000</v>
      </c>
      <c r="H804" s="14">
        <v>0.13075929750140999</v>
      </c>
      <c r="I804" s="27">
        <f t="shared" si="12"/>
        <v>2355642.3037711792</v>
      </c>
      <c r="J804">
        <v>4.3</v>
      </c>
      <c r="K804" t="b">
        <v>1</v>
      </c>
    </row>
    <row r="805" spans="1:11" ht="16" x14ac:dyDescent="0.2">
      <c r="A805" s="16">
        <v>45009</v>
      </c>
      <c r="B805" t="s">
        <v>29</v>
      </c>
      <c r="C805" t="s">
        <v>19</v>
      </c>
      <c r="D805" t="s">
        <v>50</v>
      </c>
      <c r="E805" t="s">
        <v>7643</v>
      </c>
      <c r="F805">
        <v>2</v>
      </c>
      <c r="G805" s="15">
        <v>2710000</v>
      </c>
      <c r="H805" s="14">
        <v>0.13075929750140999</v>
      </c>
      <c r="I805" s="27">
        <f t="shared" si="12"/>
        <v>2355642.3037711792</v>
      </c>
      <c r="J805">
        <v>4.0999999999999996</v>
      </c>
      <c r="K805" t="b">
        <v>1</v>
      </c>
    </row>
    <row r="806" spans="1:11" ht="16" x14ac:dyDescent="0.2">
      <c r="A806" s="16">
        <v>45009</v>
      </c>
      <c r="B806" t="s">
        <v>45</v>
      </c>
      <c r="C806" t="s">
        <v>19</v>
      </c>
      <c r="D806" t="s">
        <v>20</v>
      </c>
      <c r="E806" t="s">
        <v>7637</v>
      </c>
      <c r="F806">
        <v>1</v>
      </c>
      <c r="G806" s="15">
        <v>2710000</v>
      </c>
      <c r="H806" s="14">
        <v>0.13075929750140999</v>
      </c>
      <c r="I806" s="27">
        <f t="shared" si="12"/>
        <v>2355642.3037711792</v>
      </c>
      <c r="J806">
        <v>3.8</v>
      </c>
      <c r="K806" t="b">
        <v>1</v>
      </c>
    </row>
    <row r="807" spans="1:11" ht="16" x14ac:dyDescent="0.2">
      <c r="A807" s="16">
        <v>45009</v>
      </c>
      <c r="B807" t="s">
        <v>45</v>
      </c>
      <c r="C807" t="s">
        <v>34</v>
      </c>
      <c r="D807" t="s">
        <v>35</v>
      </c>
      <c r="E807" t="s">
        <v>7637</v>
      </c>
      <c r="F807">
        <v>4</v>
      </c>
      <c r="G807" s="15">
        <v>2710000</v>
      </c>
      <c r="H807" s="14">
        <v>0.13075929750140999</v>
      </c>
      <c r="I807" s="27">
        <f t="shared" si="12"/>
        <v>2355642.3037711792</v>
      </c>
      <c r="J807">
        <v>4</v>
      </c>
      <c r="K807" t="b">
        <v>1</v>
      </c>
    </row>
    <row r="808" spans="1:11" ht="16" x14ac:dyDescent="0.2">
      <c r="A808" s="16">
        <v>45009</v>
      </c>
      <c r="B808" t="s">
        <v>29</v>
      </c>
      <c r="C808" t="s">
        <v>25</v>
      </c>
      <c r="D808" t="s">
        <v>20</v>
      </c>
      <c r="E808" t="str">
        <f>E807</f>
        <v>Đà Nẵng</v>
      </c>
      <c r="F808">
        <v>1</v>
      </c>
      <c r="G808" s="15">
        <v>2710000</v>
      </c>
      <c r="H808" s="14">
        <v>0.13075929750140999</v>
      </c>
      <c r="I808" s="27">
        <f t="shared" si="12"/>
        <v>2355642.3037711792</v>
      </c>
      <c r="J808">
        <v>4.2</v>
      </c>
      <c r="K808" t="b">
        <v>1</v>
      </c>
    </row>
    <row r="809" spans="1:11" ht="16" x14ac:dyDescent="0.2">
      <c r="A809" s="16">
        <v>45009</v>
      </c>
      <c r="B809" t="s">
        <v>33</v>
      </c>
      <c r="C809" t="s">
        <v>45</v>
      </c>
      <c r="D809" t="s">
        <v>35</v>
      </c>
      <c r="E809" t="s">
        <v>7643</v>
      </c>
      <c r="F809">
        <v>2</v>
      </c>
      <c r="G809" s="15">
        <v>2710000</v>
      </c>
      <c r="H809" s="14">
        <v>0.13075929750140999</v>
      </c>
      <c r="I809" s="27">
        <f t="shared" si="12"/>
        <v>2355642.3037711792</v>
      </c>
      <c r="J809">
        <v>3.7</v>
      </c>
      <c r="K809" t="b">
        <v>1</v>
      </c>
    </row>
    <row r="810" spans="1:11" ht="16" x14ac:dyDescent="0.2">
      <c r="A810" s="16">
        <v>45010</v>
      </c>
      <c r="B810" t="s">
        <v>18</v>
      </c>
      <c r="C810" t="s">
        <v>34</v>
      </c>
      <c r="D810" t="s">
        <v>35</v>
      </c>
      <c r="E810" t="s">
        <v>7637</v>
      </c>
      <c r="F810">
        <v>3</v>
      </c>
      <c r="G810" s="15">
        <v>2710000</v>
      </c>
      <c r="H810" s="14">
        <v>0.13075929750140999</v>
      </c>
      <c r="I810" s="27">
        <f t="shared" si="12"/>
        <v>2355642.3037711792</v>
      </c>
      <c r="J810">
        <v>4.4000000000000004</v>
      </c>
      <c r="K810" t="b">
        <v>1</v>
      </c>
    </row>
    <row r="811" spans="1:11" ht="16" x14ac:dyDescent="0.2">
      <c r="A811" s="16">
        <v>45011</v>
      </c>
      <c r="B811" t="s">
        <v>45</v>
      </c>
      <c r="C811" t="s">
        <v>34</v>
      </c>
      <c r="D811" t="s">
        <v>20</v>
      </c>
      <c r="E811" t="s">
        <v>7638</v>
      </c>
      <c r="F811">
        <v>3</v>
      </c>
      <c r="G811" s="15">
        <v>2710000</v>
      </c>
      <c r="H811" s="14">
        <v>0.13075929750140999</v>
      </c>
      <c r="I811" s="27">
        <f t="shared" si="12"/>
        <v>2355642.3037711792</v>
      </c>
      <c r="J811">
        <v>4.3</v>
      </c>
      <c r="K811" t="b">
        <v>0</v>
      </c>
    </row>
    <row r="812" spans="1:11" ht="16" x14ac:dyDescent="0.2">
      <c r="A812" s="16">
        <v>45011</v>
      </c>
      <c r="B812" t="s">
        <v>18</v>
      </c>
      <c r="C812" t="s">
        <v>19</v>
      </c>
      <c r="D812" t="s">
        <v>20</v>
      </c>
      <c r="E812" t="s">
        <v>7641</v>
      </c>
      <c r="F812">
        <v>3</v>
      </c>
      <c r="G812" s="15">
        <v>2710000</v>
      </c>
      <c r="H812" s="14">
        <v>0.13075929750140999</v>
      </c>
      <c r="I812" s="27">
        <f t="shared" si="12"/>
        <v>2355642.3037711792</v>
      </c>
      <c r="J812">
        <v>4.4000000000000004</v>
      </c>
      <c r="K812" t="b">
        <v>1</v>
      </c>
    </row>
    <row r="813" spans="1:11" ht="16" x14ac:dyDescent="0.2">
      <c r="A813" s="16">
        <v>45011</v>
      </c>
      <c r="B813" t="s">
        <v>18</v>
      </c>
      <c r="C813" t="s">
        <v>45</v>
      </c>
      <c r="D813" t="s">
        <v>50</v>
      </c>
      <c r="E813" t="s">
        <v>7639</v>
      </c>
      <c r="F813">
        <v>1</v>
      </c>
      <c r="G813" s="15">
        <v>2710000</v>
      </c>
      <c r="H813" s="14">
        <v>0.13075929750140999</v>
      </c>
      <c r="I813" s="27">
        <f t="shared" si="12"/>
        <v>2355642.3037711792</v>
      </c>
      <c r="J813">
        <v>4.8</v>
      </c>
      <c r="K813" t="b">
        <v>0</v>
      </c>
    </row>
    <row r="814" spans="1:11" ht="16" x14ac:dyDescent="0.2">
      <c r="A814" s="16">
        <v>45012</v>
      </c>
      <c r="B814" t="s">
        <v>18</v>
      </c>
      <c r="C814" t="s">
        <v>34</v>
      </c>
      <c r="D814" t="s">
        <v>20</v>
      </c>
      <c r="E814" t="s">
        <v>7639</v>
      </c>
      <c r="F814">
        <v>1</v>
      </c>
      <c r="G814" s="15">
        <v>2710000</v>
      </c>
      <c r="H814" s="14">
        <v>0.13075929750140999</v>
      </c>
      <c r="I814" s="27">
        <f t="shared" si="12"/>
        <v>2355642.3037711792</v>
      </c>
      <c r="J814">
        <v>4.2</v>
      </c>
      <c r="K814" t="b">
        <v>1</v>
      </c>
    </row>
    <row r="815" spans="1:11" ht="16" x14ac:dyDescent="0.2">
      <c r="A815" s="16">
        <v>45012</v>
      </c>
      <c r="B815" t="s">
        <v>33</v>
      </c>
      <c r="C815" t="s">
        <v>45</v>
      </c>
      <c r="D815" t="s">
        <v>50</v>
      </c>
      <c r="E815" t="s">
        <v>7644</v>
      </c>
      <c r="F815">
        <v>2</v>
      </c>
      <c r="G815" s="15">
        <v>2710000</v>
      </c>
      <c r="H815" s="14">
        <v>0.13075929750140999</v>
      </c>
      <c r="I815" s="27">
        <f t="shared" si="12"/>
        <v>2355642.3037711792</v>
      </c>
      <c r="J815">
        <v>4.2</v>
      </c>
      <c r="K815" t="b">
        <v>1</v>
      </c>
    </row>
    <row r="816" spans="1:11" ht="16" x14ac:dyDescent="0.2">
      <c r="A816" s="16">
        <v>45012</v>
      </c>
      <c r="B816" t="s">
        <v>18</v>
      </c>
      <c r="C816" t="s">
        <v>19</v>
      </c>
      <c r="D816" t="s">
        <v>35</v>
      </c>
      <c r="E816" t="s">
        <v>99</v>
      </c>
      <c r="F816">
        <v>3</v>
      </c>
      <c r="G816" s="15">
        <v>2710000</v>
      </c>
      <c r="H816" s="14">
        <v>0.13075929750140999</v>
      </c>
      <c r="I816" s="27">
        <f t="shared" si="12"/>
        <v>2355642.3037711792</v>
      </c>
      <c r="J816">
        <v>4.5</v>
      </c>
      <c r="K816" t="b">
        <v>1</v>
      </c>
    </row>
    <row r="817" spans="1:11" ht="16" x14ac:dyDescent="0.2">
      <c r="A817" s="16">
        <v>45013</v>
      </c>
      <c r="B817" t="s">
        <v>18</v>
      </c>
      <c r="C817" t="s">
        <v>68</v>
      </c>
      <c r="D817" t="s">
        <v>20</v>
      </c>
      <c r="E817" t="s">
        <v>7643</v>
      </c>
      <c r="F817">
        <v>2</v>
      </c>
      <c r="G817" s="15">
        <v>2710000</v>
      </c>
      <c r="H817" s="14">
        <v>0.13075929750140999</v>
      </c>
      <c r="I817" s="27">
        <f t="shared" si="12"/>
        <v>2355642.3037711792</v>
      </c>
      <c r="J817">
        <v>4.2</v>
      </c>
      <c r="K817" t="b">
        <v>1</v>
      </c>
    </row>
    <row r="818" spans="1:11" ht="16" x14ac:dyDescent="0.2">
      <c r="A818" s="16">
        <v>45013</v>
      </c>
      <c r="B818" t="s">
        <v>45</v>
      </c>
      <c r="C818" t="s">
        <v>34</v>
      </c>
      <c r="D818" t="s">
        <v>50</v>
      </c>
      <c r="E818" t="s">
        <v>7642</v>
      </c>
      <c r="F818">
        <v>1</v>
      </c>
      <c r="G818" s="15">
        <v>2710000</v>
      </c>
      <c r="H818" s="14">
        <v>0.13075929750140999</v>
      </c>
      <c r="I818" s="27">
        <f t="shared" si="12"/>
        <v>2355642.3037711792</v>
      </c>
      <c r="J818">
        <v>4.7</v>
      </c>
      <c r="K818" t="b">
        <v>1</v>
      </c>
    </row>
    <row r="819" spans="1:11" ht="16" x14ac:dyDescent="0.2">
      <c r="A819" s="16">
        <v>45013</v>
      </c>
      <c r="B819" t="s">
        <v>45</v>
      </c>
      <c r="C819" t="s">
        <v>34</v>
      </c>
      <c r="D819" t="s">
        <v>50</v>
      </c>
      <c r="E819" t="str">
        <f>E818</f>
        <v>Huế</v>
      </c>
      <c r="F819">
        <v>4</v>
      </c>
      <c r="G819" s="15">
        <v>2710000</v>
      </c>
      <c r="H819" s="14">
        <v>0.13075929750140999</v>
      </c>
      <c r="I819" s="27">
        <f t="shared" si="12"/>
        <v>2355642.3037711792</v>
      </c>
      <c r="J819">
        <v>3.9</v>
      </c>
      <c r="K819" t="b">
        <v>1</v>
      </c>
    </row>
    <row r="820" spans="1:11" ht="16" x14ac:dyDescent="0.2">
      <c r="A820" s="16">
        <v>45014</v>
      </c>
      <c r="B820" t="s">
        <v>29</v>
      </c>
      <c r="C820" t="s">
        <v>45</v>
      </c>
      <c r="D820" t="s">
        <v>20</v>
      </c>
      <c r="E820" t="s">
        <v>7642</v>
      </c>
      <c r="F820">
        <v>4</v>
      </c>
      <c r="G820" s="15">
        <v>2710000</v>
      </c>
      <c r="H820" s="14">
        <v>0.13075929750140999</v>
      </c>
      <c r="I820" s="27">
        <f t="shared" si="12"/>
        <v>2355642.3037711792</v>
      </c>
      <c r="J820">
        <v>4.0999999999999996</v>
      </c>
      <c r="K820" t="b">
        <v>1</v>
      </c>
    </row>
    <row r="821" spans="1:11" ht="16" x14ac:dyDescent="0.2">
      <c r="A821" s="16">
        <v>45016</v>
      </c>
      <c r="B821" t="s">
        <v>45</v>
      </c>
      <c r="C821" t="s">
        <v>39</v>
      </c>
      <c r="D821" t="s">
        <v>50</v>
      </c>
      <c r="E821" t="s">
        <v>7643</v>
      </c>
      <c r="F821">
        <v>4</v>
      </c>
      <c r="G821" s="15">
        <v>2710000</v>
      </c>
      <c r="H821" s="14">
        <v>0.13075929750140999</v>
      </c>
      <c r="I821" s="27">
        <f t="shared" si="12"/>
        <v>2355642.3037711792</v>
      </c>
      <c r="J821">
        <v>3.8</v>
      </c>
      <c r="K821" t="b">
        <v>1</v>
      </c>
    </row>
    <row r="822" spans="1:11" ht="16" x14ac:dyDescent="0.2">
      <c r="A822" s="16">
        <v>45016</v>
      </c>
      <c r="B822" t="s">
        <v>18</v>
      </c>
      <c r="C822" t="s">
        <v>34</v>
      </c>
      <c r="D822" t="s">
        <v>20</v>
      </c>
      <c r="E822" t="s">
        <v>7637</v>
      </c>
      <c r="F822">
        <v>1</v>
      </c>
      <c r="G822" s="15">
        <v>2710000</v>
      </c>
      <c r="H822" s="14">
        <v>0.13075929750140999</v>
      </c>
      <c r="I822" s="27">
        <f t="shared" si="12"/>
        <v>2355642.3037711792</v>
      </c>
      <c r="J822">
        <v>4.0999999999999996</v>
      </c>
      <c r="K822" t="b">
        <v>1</v>
      </c>
    </row>
    <row r="823" spans="1:11" ht="16" x14ac:dyDescent="0.2">
      <c r="A823" s="16">
        <v>45017</v>
      </c>
      <c r="B823" t="s">
        <v>33</v>
      </c>
      <c r="C823" t="s">
        <v>19</v>
      </c>
      <c r="D823" t="s">
        <v>20</v>
      </c>
      <c r="E823" t="s">
        <v>7642</v>
      </c>
      <c r="F823">
        <v>2</v>
      </c>
      <c r="G823" s="15">
        <v>2710000</v>
      </c>
      <c r="H823" s="14">
        <v>0.13075929750140999</v>
      </c>
      <c r="I823" s="27">
        <f t="shared" si="12"/>
        <v>2355642.3037711792</v>
      </c>
      <c r="J823">
        <v>4.2</v>
      </c>
      <c r="K823" t="b">
        <v>1</v>
      </c>
    </row>
    <row r="824" spans="1:11" ht="16" x14ac:dyDescent="0.2">
      <c r="A824" s="16">
        <v>45018</v>
      </c>
      <c r="B824" t="s">
        <v>18</v>
      </c>
      <c r="C824" t="s">
        <v>34</v>
      </c>
      <c r="D824" t="s">
        <v>20</v>
      </c>
      <c r="E824" t="s">
        <v>7638</v>
      </c>
      <c r="F824">
        <v>1</v>
      </c>
      <c r="G824" s="15">
        <v>2710000</v>
      </c>
      <c r="H824" s="14">
        <v>0.13075929750140999</v>
      </c>
      <c r="I824" s="27">
        <f t="shared" si="12"/>
        <v>2355642.3037711792</v>
      </c>
      <c r="J824">
        <v>4.3</v>
      </c>
      <c r="K824" t="b">
        <v>1</v>
      </c>
    </row>
    <row r="825" spans="1:11" ht="16" x14ac:dyDescent="0.2">
      <c r="A825" s="16">
        <v>45018</v>
      </c>
      <c r="B825" t="s">
        <v>33</v>
      </c>
      <c r="C825" t="s">
        <v>19</v>
      </c>
      <c r="D825" t="s">
        <v>20</v>
      </c>
      <c r="E825" t="s">
        <v>99</v>
      </c>
      <c r="F825">
        <v>1</v>
      </c>
      <c r="G825" s="15">
        <v>2710000</v>
      </c>
      <c r="H825" s="14">
        <v>0.13075929750140999</v>
      </c>
      <c r="I825" s="27">
        <f t="shared" si="12"/>
        <v>2355642.3037711792</v>
      </c>
      <c r="J825">
        <v>4.0999999999999996</v>
      </c>
      <c r="K825" t="b">
        <v>1</v>
      </c>
    </row>
    <row r="826" spans="1:11" ht="16" x14ac:dyDescent="0.2">
      <c r="A826" s="16">
        <v>45018</v>
      </c>
      <c r="B826" t="s">
        <v>18</v>
      </c>
      <c r="C826" t="s">
        <v>19</v>
      </c>
      <c r="D826" t="s">
        <v>35</v>
      </c>
      <c r="E826" t="s">
        <v>7643</v>
      </c>
      <c r="F826">
        <v>4</v>
      </c>
      <c r="G826" s="15">
        <v>2710000</v>
      </c>
      <c r="H826" s="14">
        <v>0.13075929750140999</v>
      </c>
      <c r="I826" s="27">
        <f t="shared" si="12"/>
        <v>2355642.3037711792</v>
      </c>
      <c r="J826">
        <v>4.5</v>
      </c>
      <c r="K826" t="b">
        <v>1</v>
      </c>
    </row>
    <row r="827" spans="1:11" ht="16" x14ac:dyDescent="0.2">
      <c r="A827" s="16">
        <v>45019</v>
      </c>
      <c r="B827" t="s">
        <v>18</v>
      </c>
      <c r="C827" t="s">
        <v>45</v>
      </c>
      <c r="D827" t="s">
        <v>50</v>
      </c>
      <c r="E827" t="s">
        <v>7640</v>
      </c>
      <c r="F827">
        <v>5</v>
      </c>
      <c r="G827" s="15">
        <v>2710000</v>
      </c>
      <c r="H827" s="14">
        <v>0.13075929750140999</v>
      </c>
      <c r="I827" s="27">
        <f t="shared" si="12"/>
        <v>2355642.3037711792</v>
      </c>
      <c r="J827">
        <v>4.5</v>
      </c>
      <c r="K827" t="b">
        <v>0</v>
      </c>
    </row>
    <row r="828" spans="1:11" ht="16" x14ac:dyDescent="0.2">
      <c r="A828" s="16">
        <v>45019</v>
      </c>
      <c r="B828" t="s">
        <v>33</v>
      </c>
      <c r="C828" t="s">
        <v>34</v>
      </c>
      <c r="D828" t="s">
        <v>50</v>
      </c>
      <c r="E828" t="str">
        <f>E827</f>
        <v>Hội An</v>
      </c>
      <c r="F828">
        <v>1</v>
      </c>
      <c r="G828" s="15">
        <v>2710000</v>
      </c>
      <c r="H828" s="14">
        <v>0.13075929750140999</v>
      </c>
      <c r="I828" s="27">
        <f t="shared" si="12"/>
        <v>2355642.3037711792</v>
      </c>
      <c r="J828">
        <v>3.7</v>
      </c>
      <c r="K828" t="b">
        <v>1</v>
      </c>
    </row>
    <row r="829" spans="1:11" ht="16" x14ac:dyDescent="0.2">
      <c r="A829" s="16">
        <v>45019</v>
      </c>
      <c r="B829" t="s">
        <v>45</v>
      </c>
      <c r="C829" t="s">
        <v>34</v>
      </c>
      <c r="D829" t="s">
        <v>20</v>
      </c>
      <c r="E829" t="s">
        <v>7640</v>
      </c>
      <c r="F829">
        <v>1</v>
      </c>
      <c r="G829" s="15">
        <v>2710000</v>
      </c>
      <c r="H829" s="14">
        <v>0.13075929750140999</v>
      </c>
      <c r="I829" s="27">
        <f t="shared" si="12"/>
        <v>2355642.3037711792</v>
      </c>
      <c r="J829">
        <v>3.6</v>
      </c>
      <c r="K829" t="b">
        <v>1</v>
      </c>
    </row>
    <row r="830" spans="1:11" ht="16" x14ac:dyDescent="0.2">
      <c r="A830" s="16">
        <v>45019</v>
      </c>
      <c r="B830" t="s">
        <v>33</v>
      </c>
      <c r="C830" t="s">
        <v>34</v>
      </c>
      <c r="D830" t="s">
        <v>50</v>
      </c>
      <c r="E830" t="s">
        <v>7638</v>
      </c>
      <c r="F830">
        <v>4</v>
      </c>
      <c r="G830" s="15">
        <v>2710000</v>
      </c>
      <c r="H830" s="14">
        <v>0.13075929750140999</v>
      </c>
      <c r="I830" s="27">
        <f t="shared" si="12"/>
        <v>2355642.3037711792</v>
      </c>
      <c r="J830">
        <v>4.5</v>
      </c>
      <c r="K830" t="b">
        <v>1</v>
      </c>
    </row>
    <row r="831" spans="1:11" ht="16" x14ac:dyDescent="0.2">
      <c r="A831" s="16">
        <v>45020</v>
      </c>
      <c r="B831" t="s">
        <v>33</v>
      </c>
      <c r="C831" t="s">
        <v>34</v>
      </c>
      <c r="D831" t="s">
        <v>50</v>
      </c>
      <c r="E831" t="s">
        <v>7640</v>
      </c>
      <c r="F831">
        <v>1</v>
      </c>
      <c r="G831" s="15">
        <v>2710000</v>
      </c>
      <c r="H831" s="14">
        <v>0.13075929750140999</v>
      </c>
      <c r="I831" s="27">
        <f t="shared" si="12"/>
        <v>2355642.3037711792</v>
      </c>
      <c r="J831">
        <v>4.5999999999999996</v>
      </c>
      <c r="K831" t="b">
        <v>0</v>
      </c>
    </row>
    <row r="832" spans="1:11" ht="16" x14ac:dyDescent="0.2">
      <c r="A832" s="16">
        <v>45020</v>
      </c>
      <c r="B832" t="s">
        <v>18</v>
      </c>
      <c r="C832" t="s">
        <v>25</v>
      </c>
      <c r="D832" t="s">
        <v>20</v>
      </c>
      <c r="E832" t="s">
        <v>7637</v>
      </c>
      <c r="F832">
        <v>1</v>
      </c>
      <c r="G832" s="15">
        <v>2710000</v>
      </c>
      <c r="H832" s="14">
        <v>0.13075929750140999</v>
      </c>
      <c r="I832" s="27">
        <f t="shared" si="12"/>
        <v>2355642.3037711792</v>
      </c>
      <c r="J832">
        <v>4.7</v>
      </c>
      <c r="K832" t="b">
        <v>1</v>
      </c>
    </row>
    <row r="833" spans="1:11" ht="16" x14ac:dyDescent="0.2">
      <c r="A833" s="16">
        <v>45020</v>
      </c>
      <c r="B833" t="s">
        <v>45</v>
      </c>
      <c r="C833" t="s">
        <v>19</v>
      </c>
      <c r="D833" t="s">
        <v>20</v>
      </c>
      <c r="E833" t="s">
        <v>57</v>
      </c>
      <c r="F833">
        <v>2</v>
      </c>
      <c r="G833" s="15">
        <v>2710000</v>
      </c>
      <c r="H833" s="14">
        <v>0.13075929750140999</v>
      </c>
      <c r="I833" s="27">
        <f t="shared" si="12"/>
        <v>2355642.3037711792</v>
      </c>
      <c r="J833">
        <v>4.7</v>
      </c>
      <c r="K833" t="b">
        <v>1</v>
      </c>
    </row>
    <row r="834" spans="1:11" ht="16" x14ac:dyDescent="0.2">
      <c r="A834" s="16">
        <v>45021</v>
      </c>
      <c r="B834" t="s">
        <v>29</v>
      </c>
      <c r="C834" t="s">
        <v>34</v>
      </c>
      <c r="D834" t="s">
        <v>20</v>
      </c>
      <c r="E834" t="s">
        <v>7638</v>
      </c>
      <c r="F834">
        <v>4</v>
      </c>
      <c r="G834" s="15">
        <v>2710000</v>
      </c>
      <c r="H834" s="14">
        <v>0.13075929750140999</v>
      </c>
      <c r="I834" s="27">
        <f t="shared" si="12"/>
        <v>2355642.3037711792</v>
      </c>
      <c r="J834">
        <v>4.5999999999999996</v>
      </c>
      <c r="K834" t="b">
        <v>0</v>
      </c>
    </row>
    <row r="835" spans="1:11" ht="16" x14ac:dyDescent="0.2">
      <c r="A835" s="16">
        <v>45021</v>
      </c>
      <c r="B835" t="s">
        <v>45</v>
      </c>
      <c r="C835" t="s">
        <v>45</v>
      </c>
      <c r="D835" t="s">
        <v>20</v>
      </c>
      <c r="E835" t="s">
        <v>7642</v>
      </c>
      <c r="F835">
        <v>2</v>
      </c>
      <c r="G835" s="15">
        <v>2710000</v>
      </c>
      <c r="H835" s="14">
        <v>0.13075929750140999</v>
      </c>
      <c r="I835" s="27">
        <f t="shared" ref="I835:I898" si="13">G835-G835*H835</f>
        <v>2355642.3037711792</v>
      </c>
      <c r="J835">
        <v>5</v>
      </c>
      <c r="K835" t="b">
        <v>1</v>
      </c>
    </row>
    <row r="836" spans="1:11" ht="16" x14ac:dyDescent="0.2">
      <c r="A836" s="16">
        <v>45022</v>
      </c>
      <c r="B836" t="s">
        <v>18</v>
      </c>
      <c r="C836" t="s">
        <v>45</v>
      </c>
      <c r="D836" t="s">
        <v>35</v>
      </c>
      <c r="E836" t="s">
        <v>7638</v>
      </c>
      <c r="F836">
        <v>4</v>
      </c>
      <c r="G836" s="15">
        <v>2710000</v>
      </c>
      <c r="H836" s="14">
        <v>0.13075929750140999</v>
      </c>
      <c r="I836" s="27">
        <f t="shared" si="13"/>
        <v>2355642.3037711792</v>
      </c>
      <c r="J836">
        <v>4.4000000000000004</v>
      </c>
      <c r="K836" t="b">
        <v>1</v>
      </c>
    </row>
    <row r="837" spans="1:11" ht="16" x14ac:dyDescent="0.2">
      <c r="A837" s="16">
        <v>45022</v>
      </c>
      <c r="B837" t="s">
        <v>18</v>
      </c>
      <c r="C837" t="s">
        <v>34</v>
      </c>
      <c r="D837" t="s">
        <v>50</v>
      </c>
      <c r="E837" t="s">
        <v>7643</v>
      </c>
      <c r="F837">
        <v>1</v>
      </c>
      <c r="G837" s="15">
        <v>2710000</v>
      </c>
      <c r="H837" s="14">
        <v>0.13075929750140999</v>
      </c>
      <c r="I837" s="27">
        <f t="shared" si="13"/>
        <v>2355642.3037711792</v>
      </c>
      <c r="J837">
        <v>3</v>
      </c>
      <c r="K837" t="b">
        <v>1</v>
      </c>
    </row>
    <row r="838" spans="1:11" ht="16" x14ac:dyDescent="0.2">
      <c r="A838" s="16">
        <v>45024</v>
      </c>
      <c r="B838" t="s">
        <v>18</v>
      </c>
      <c r="C838" t="s">
        <v>19</v>
      </c>
      <c r="D838" t="s">
        <v>20</v>
      </c>
      <c r="E838" t="s">
        <v>7642</v>
      </c>
      <c r="F838">
        <v>1</v>
      </c>
      <c r="G838" s="15">
        <v>2710000</v>
      </c>
      <c r="H838" s="14">
        <v>0.13075929750140999</v>
      </c>
      <c r="I838" s="27">
        <f t="shared" si="13"/>
        <v>2355642.3037711792</v>
      </c>
      <c r="J838">
        <v>4.2</v>
      </c>
      <c r="K838" t="b">
        <v>1</v>
      </c>
    </row>
    <row r="839" spans="1:11" ht="16" x14ac:dyDescent="0.2">
      <c r="A839" s="16">
        <v>45025</v>
      </c>
      <c r="B839" t="s">
        <v>45</v>
      </c>
      <c r="C839" t="s">
        <v>34</v>
      </c>
      <c r="D839" t="s">
        <v>20</v>
      </c>
      <c r="E839" t="str">
        <f>E838</f>
        <v>Huế</v>
      </c>
      <c r="F839">
        <v>1</v>
      </c>
      <c r="G839" s="15">
        <v>2710000</v>
      </c>
      <c r="H839" s="14">
        <v>0.13075929750140999</v>
      </c>
      <c r="I839" s="27">
        <f t="shared" si="13"/>
        <v>2355642.3037711792</v>
      </c>
      <c r="J839">
        <v>3.6</v>
      </c>
      <c r="K839" t="b">
        <v>1</v>
      </c>
    </row>
    <row r="840" spans="1:11" ht="16" x14ac:dyDescent="0.2">
      <c r="A840" s="16">
        <v>45025</v>
      </c>
      <c r="B840" t="s">
        <v>29</v>
      </c>
      <c r="C840" t="s">
        <v>45</v>
      </c>
      <c r="D840" t="s">
        <v>50</v>
      </c>
      <c r="E840" t="s">
        <v>7639</v>
      </c>
      <c r="F840">
        <v>2</v>
      </c>
      <c r="G840" s="15">
        <v>2710000</v>
      </c>
      <c r="H840" s="14">
        <v>0.13075929750140999</v>
      </c>
      <c r="I840" s="27">
        <f t="shared" si="13"/>
        <v>2355642.3037711792</v>
      </c>
      <c r="J840">
        <v>4.9000000000000004</v>
      </c>
      <c r="K840" t="b">
        <v>1</v>
      </c>
    </row>
    <row r="841" spans="1:11" ht="16" x14ac:dyDescent="0.2">
      <c r="A841" s="16">
        <v>45025</v>
      </c>
      <c r="B841" t="s">
        <v>33</v>
      </c>
      <c r="C841" t="s">
        <v>34</v>
      </c>
      <c r="D841" t="s">
        <v>50</v>
      </c>
      <c r="E841" t="s">
        <v>7641</v>
      </c>
      <c r="F841">
        <v>2</v>
      </c>
      <c r="G841" s="15">
        <v>2710000</v>
      </c>
      <c r="H841" s="14">
        <v>0.13075929750140999</v>
      </c>
      <c r="I841" s="27">
        <f t="shared" si="13"/>
        <v>2355642.3037711792</v>
      </c>
      <c r="J841">
        <v>4.7</v>
      </c>
      <c r="K841" t="b">
        <v>1</v>
      </c>
    </row>
    <row r="842" spans="1:11" ht="16" x14ac:dyDescent="0.2">
      <c r="A842" s="16">
        <v>45026</v>
      </c>
      <c r="B842" t="s">
        <v>45</v>
      </c>
      <c r="C842" t="s">
        <v>25</v>
      </c>
      <c r="D842" t="s">
        <v>20</v>
      </c>
      <c r="E842" t="s">
        <v>99</v>
      </c>
      <c r="F842">
        <v>3</v>
      </c>
      <c r="G842" s="15">
        <v>2710000</v>
      </c>
      <c r="H842" s="14">
        <v>0.13075929750140999</v>
      </c>
      <c r="I842" s="27">
        <f t="shared" si="13"/>
        <v>2355642.3037711792</v>
      </c>
      <c r="J842">
        <v>3.7</v>
      </c>
      <c r="K842" t="b">
        <v>0</v>
      </c>
    </row>
    <row r="843" spans="1:11" ht="16" x14ac:dyDescent="0.2">
      <c r="A843" s="16">
        <v>45027</v>
      </c>
      <c r="B843" t="s">
        <v>45</v>
      </c>
      <c r="C843" t="s">
        <v>19</v>
      </c>
      <c r="D843" t="str">
        <f>D842</f>
        <v>Website</v>
      </c>
      <c r="E843" t="s">
        <v>7644</v>
      </c>
      <c r="F843">
        <v>2</v>
      </c>
      <c r="G843" s="15">
        <v>2710000</v>
      </c>
      <c r="H843" s="14">
        <v>0.13075929750140999</v>
      </c>
      <c r="I843" s="27">
        <f t="shared" si="13"/>
        <v>2355642.3037711792</v>
      </c>
      <c r="J843">
        <v>4.2</v>
      </c>
      <c r="K843" t="b">
        <v>0</v>
      </c>
    </row>
    <row r="844" spans="1:11" ht="16" x14ac:dyDescent="0.2">
      <c r="A844" s="16">
        <v>45028</v>
      </c>
      <c r="B844" t="s">
        <v>18</v>
      </c>
      <c r="C844" t="s">
        <v>19</v>
      </c>
      <c r="D844" t="s">
        <v>50</v>
      </c>
      <c r="E844" t="s">
        <v>7637</v>
      </c>
      <c r="F844">
        <v>5</v>
      </c>
      <c r="G844" s="15">
        <v>2710000</v>
      </c>
      <c r="H844" s="14">
        <v>0.13075929750140999</v>
      </c>
      <c r="I844" s="27">
        <f t="shared" si="13"/>
        <v>2355642.3037711792</v>
      </c>
      <c r="J844">
        <v>4.3</v>
      </c>
      <c r="K844" t="b">
        <v>1</v>
      </c>
    </row>
    <row r="845" spans="1:11" ht="16" x14ac:dyDescent="0.2">
      <c r="A845" s="16">
        <v>45028</v>
      </c>
      <c r="B845" t="s">
        <v>18</v>
      </c>
      <c r="C845" t="s">
        <v>68</v>
      </c>
      <c r="D845" t="s">
        <v>35</v>
      </c>
      <c r="E845" t="s">
        <v>7638</v>
      </c>
      <c r="F845">
        <v>1</v>
      </c>
      <c r="G845" s="15">
        <v>2710000</v>
      </c>
      <c r="H845" s="14">
        <v>0.13075929750140999</v>
      </c>
      <c r="I845" s="27">
        <f t="shared" si="13"/>
        <v>2355642.3037711792</v>
      </c>
      <c r="J845">
        <v>5</v>
      </c>
      <c r="K845" t="b">
        <v>1</v>
      </c>
    </row>
    <row r="846" spans="1:11" ht="16" x14ac:dyDescent="0.2">
      <c r="A846" s="16">
        <v>45029</v>
      </c>
      <c r="B846" t="s">
        <v>18</v>
      </c>
      <c r="C846" t="s">
        <v>34</v>
      </c>
      <c r="D846" t="s">
        <v>46</v>
      </c>
      <c r="E846" t="s">
        <v>7643</v>
      </c>
      <c r="F846">
        <v>3</v>
      </c>
      <c r="G846" s="15">
        <v>2710000</v>
      </c>
      <c r="H846" s="14">
        <v>0.13075929750140999</v>
      </c>
      <c r="I846" s="27">
        <f t="shared" si="13"/>
        <v>2355642.3037711792</v>
      </c>
      <c r="J846">
        <v>4.8</v>
      </c>
      <c r="K846" t="b">
        <v>1</v>
      </c>
    </row>
    <row r="847" spans="1:11" ht="16" x14ac:dyDescent="0.2">
      <c r="A847" s="16">
        <v>45029</v>
      </c>
      <c r="B847" t="s">
        <v>45</v>
      </c>
      <c r="C847" t="s">
        <v>25</v>
      </c>
      <c r="D847" t="s">
        <v>35</v>
      </c>
      <c r="E847" t="s">
        <v>7643</v>
      </c>
      <c r="F847">
        <v>3</v>
      </c>
      <c r="G847" s="15">
        <v>2710000</v>
      </c>
      <c r="H847" s="14">
        <v>0.13075929750140999</v>
      </c>
      <c r="I847" s="27">
        <f t="shared" si="13"/>
        <v>2355642.3037711792</v>
      </c>
      <c r="J847">
        <v>4.5</v>
      </c>
      <c r="K847" t="b">
        <v>1</v>
      </c>
    </row>
    <row r="848" spans="1:11" ht="16" x14ac:dyDescent="0.2">
      <c r="A848" s="16">
        <v>45030</v>
      </c>
      <c r="B848" t="s">
        <v>33</v>
      </c>
      <c r="C848" t="s">
        <v>34</v>
      </c>
      <c r="D848" t="s">
        <v>35</v>
      </c>
      <c r="E848" t="s">
        <v>7642</v>
      </c>
      <c r="F848">
        <v>1</v>
      </c>
      <c r="G848" s="15">
        <v>2710000</v>
      </c>
      <c r="H848" s="14">
        <v>0.13075929750140999</v>
      </c>
      <c r="I848" s="27">
        <f t="shared" si="13"/>
        <v>2355642.3037711792</v>
      </c>
      <c r="J848">
        <v>4.4000000000000004</v>
      </c>
      <c r="K848" t="b">
        <v>0</v>
      </c>
    </row>
    <row r="849" spans="1:11" ht="16" x14ac:dyDescent="0.2">
      <c r="A849" s="16">
        <v>45034</v>
      </c>
      <c r="B849" t="s">
        <v>45</v>
      </c>
      <c r="C849" t="s">
        <v>25</v>
      </c>
      <c r="D849" t="s">
        <v>20</v>
      </c>
      <c r="E849" t="s">
        <v>7637</v>
      </c>
      <c r="F849">
        <v>3</v>
      </c>
      <c r="G849" s="15">
        <v>2710000</v>
      </c>
      <c r="H849" s="14">
        <v>0.13075929750140999</v>
      </c>
      <c r="I849" s="27">
        <f t="shared" si="13"/>
        <v>2355642.3037711792</v>
      </c>
      <c r="J849">
        <v>4.3</v>
      </c>
      <c r="K849" t="b">
        <v>1</v>
      </c>
    </row>
    <row r="850" spans="1:11" ht="16" x14ac:dyDescent="0.2">
      <c r="A850" s="16">
        <v>45034</v>
      </c>
      <c r="B850" t="s">
        <v>45</v>
      </c>
      <c r="C850" t="s">
        <v>34</v>
      </c>
      <c r="D850" t="s">
        <v>20</v>
      </c>
      <c r="E850" t="s">
        <v>57</v>
      </c>
      <c r="F850">
        <v>1</v>
      </c>
      <c r="G850" s="15">
        <v>2710000</v>
      </c>
      <c r="H850" s="14">
        <v>0.13075929750140999</v>
      </c>
      <c r="I850" s="27">
        <f t="shared" si="13"/>
        <v>2355642.3037711792</v>
      </c>
      <c r="J850">
        <v>4.4000000000000004</v>
      </c>
      <c r="K850" t="b">
        <v>1</v>
      </c>
    </row>
    <row r="851" spans="1:11" ht="16" x14ac:dyDescent="0.2">
      <c r="A851" s="16">
        <v>45035</v>
      </c>
      <c r="B851" t="s">
        <v>33</v>
      </c>
      <c r="C851" t="s">
        <v>34</v>
      </c>
      <c r="D851" t="s">
        <v>20</v>
      </c>
      <c r="E851" t="s">
        <v>7637</v>
      </c>
      <c r="F851">
        <v>4</v>
      </c>
      <c r="G851" s="15">
        <v>2710000</v>
      </c>
      <c r="H851" s="14">
        <v>0.13075929750140999</v>
      </c>
      <c r="I851" s="27">
        <f t="shared" si="13"/>
        <v>2355642.3037711792</v>
      </c>
      <c r="J851">
        <v>4.4000000000000004</v>
      </c>
      <c r="K851" t="b">
        <v>1</v>
      </c>
    </row>
    <row r="852" spans="1:11" ht="16" x14ac:dyDescent="0.2">
      <c r="A852" s="16">
        <v>45036</v>
      </c>
      <c r="B852" t="s">
        <v>29</v>
      </c>
      <c r="C852" t="s">
        <v>39</v>
      </c>
      <c r="D852" t="s">
        <v>50</v>
      </c>
      <c r="E852" t="s">
        <v>7640</v>
      </c>
      <c r="F852">
        <v>4</v>
      </c>
      <c r="G852" s="15">
        <v>2710000</v>
      </c>
      <c r="H852" s="14">
        <v>0.13075929750140999</v>
      </c>
      <c r="I852" s="27">
        <f t="shared" si="13"/>
        <v>2355642.3037711792</v>
      </c>
      <c r="J852">
        <v>4.0999999999999996</v>
      </c>
      <c r="K852" t="b">
        <v>1</v>
      </c>
    </row>
    <row r="853" spans="1:11" ht="16" x14ac:dyDescent="0.2">
      <c r="A853" s="16">
        <v>45036</v>
      </c>
      <c r="B853" t="s">
        <v>18</v>
      </c>
      <c r="C853" t="s">
        <v>25</v>
      </c>
      <c r="D853" t="s">
        <v>50</v>
      </c>
      <c r="E853" t="s">
        <v>7640</v>
      </c>
      <c r="F853">
        <v>4</v>
      </c>
      <c r="G853" s="15">
        <v>2710000</v>
      </c>
      <c r="H853" s="14">
        <v>0.13075929750140999</v>
      </c>
      <c r="I853" s="27">
        <f t="shared" si="13"/>
        <v>2355642.3037711792</v>
      </c>
      <c r="J853">
        <v>4.0999999999999996</v>
      </c>
      <c r="K853" t="b">
        <v>1</v>
      </c>
    </row>
    <row r="854" spans="1:11" ht="16" x14ac:dyDescent="0.2">
      <c r="A854" s="16">
        <v>45036</v>
      </c>
      <c r="B854" t="s">
        <v>33</v>
      </c>
      <c r="C854" t="s">
        <v>45</v>
      </c>
      <c r="D854" t="s">
        <v>50</v>
      </c>
      <c r="E854" t="s">
        <v>7641</v>
      </c>
      <c r="F854">
        <v>1</v>
      </c>
      <c r="G854" s="15">
        <v>2710000</v>
      </c>
      <c r="H854" s="14">
        <v>0.13075929750140999</v>
      </c>
      <c r="I854" s="27">
        <f t="shared" si="13"/>
        <v>2355642.3037711792</v>
      </c>
      <c r="J854">
        <v>4.3</v>
      </c>
      <c r="K854" t="b">
        <v>1</v>
      </c>
    </row>
    <row r="855" spans="1:11" ht="16" x14ac:dyDescent="0.2">
      <c r="A855" s="16">
        <v>45037</v>
      </c>
      <c r="B855" t="s">
        <v>45</v>
      </c>
      <c r="C855" t="s">
        <v>68</v>
      </c>
      <c r="D855" t="s">
        <v>20</v>
      </c>
      <c r="E855" t="s">
        <v>7644</v>
      </c>
      <c r="F855">
        <v>1</v>
      </c>
      <c r="G855" s="15">
        <v>2710000</v>
      </c>
      <c r="H855" s="14">
        <v>0.13075929750140999</v>
      </c>
      <c r="I855" s="27">
        <f t="shared" si="13"/>
        <v>2355642.3037711792</v>
      </c>
      <c r="J855">
        <v>3.7</v>
      </c>
      <c r="K855" t="b">
        <v>1</v>
      </c>
    </row>
    <row r="856" spans="1:11" ht="16" x14ac:dyDescent="0.2">
      <c r="A856" s="16">
        <v>45037</v>
      </c>
      <c r="B856" t="s">
        <v>18</v>
      </c>
      <c r="C856" t="s">
        <v>34</v>
      </c>
      <c r="D856" t="s">
        <v>50</v>
      </c>
      <c r="E856" t="s">
        <v>7638</v>
      </c>
      <c r="F856">
        <v>1</v>
      </c>
      <c r="G856" s="15">
        <v>2710000</v>
      </c>
      <c r="H856" s="14">
        <v>0.13075929750140999</v>
      </c>
      <c r="I856" s="27">
        <f t="shared" si="13"/>
        <v>2355642.3037711792</v>
      </c>
      <c r="J856">
        <v>3.4</v>
      </c>
      <c r="K856" t="b">
        <v>1</v>
      </c>
    </row>
    <row r="857" spans="1:11" ht="16" x14ac:dyDescent="0.2">
      <c r="A857" s="16">
        <v>45038</v>
      </c>
      <c r="B857" t="s">
        <v>18</v>
      </c>
      <c r="C857" t="s">
        <v>34</v>
      </c>
      <c r="D857" t="str">
        <f>D856</f>
        <v>Agent</v>
      </c>
      <c r="E857" t="s">
        <v>7644</v>
      </c>
      <c r="F857">
        <v>1</v>
      </c>
      <c r="G857" s="15">
        <v>2710000</v>
      </c>
      <c r="H857" s="14">
        <v>0.13075929750140999</v>
      </c>
      <c r="I857" s="27">
        <f t="shared" si="13"/>
        <v>2355642.3037711792</v>
      </c>
      <c r="J857">
        <v>4</v>
      </c>
      <c r="K857" t="b">
        <v>1</v>
      </c>
    </row>
    <row r="858" spans="1:11" ht="16" x14ac:dyDescent="0.2">
      <c r="A858" s="16">
        <v>45038</v>
      </c>
      <c r="B858" t="s">
        <v>45</v>
      </c>
      <c r="C858" t="s">
        <v>25</v>
      </c>
      <c r="D858" t="s">
        <v>50</v>
      </c>
      <c r="E858" t="s">
        <v>7641</v>
      </c>
      <c r="F858">
        <v>3</v>
      </c>
      <c r="G858" s="15">
        <v>2710000</v>
      </c>
      <c r="H858" s="14">
        <v>0.13075929750140999</v>
      </c>
      <c r="I858" s="27">
        <f t="shared" si="13"/>
        <v>2355642.3037711792</v>
      </c>
      <c r="J858">
        <v>4.2</v>
      </c>
      <c r="K858" t="b">
        <v>1</v>
      </c>
    </row>
    <row r="859" spans="1:11" ht="16" x14ac:dyDescent="0.2">
      <c r="A859" s="16">
        <v>45039</v>
      </c>
      <c r="B859" t="s">
        <v>29</v>
      </c>
      <c r="C859" t="s">
        <v>25</v>
      </c>
      <c r="D859" t="s">
        <v>35</v>
      </c>
      <c r="E859" t="s">
        <v>7637</v>
      </c>
      <c r="F859">
        <v>2</v>
      </c>
      <c r="G859" s="15">
        <v>2710000</v>
      </c>
      <c r="H859" s="14">
        <v>0.13075929750140999</v>
      </c>
      <c r="I859" s="27">
        <f t="shared" si="13"/>
        <v>2355642.3037711792</v>
      </c>
      <c r="J859">
        <v>4.3</v>
      </c>
      <c r="K859" t="b">
        <v>1</v>
      </c>
    </row>
    <row r="860" spans="1:11" ht="16" x14ac:dyDescent="0.2">
      <c r="A860" s="16">
        <v>45039</v>
      </c>
      <c r="B860" t="s">
        <v>33</v>
      </c>
      <c r="C860" t="s">
        <v>39</v>
      </c>
      <c r="D860" t="s">
        <v>20</v>
      </c>
      <c r="E860" t="s">
        <v>7638</v>
      </c>
      <c r="F860">
        <v>1</v>
      </c>
      <c r="G860" s="15">
        <v>2710000</v>
      </c>
      <c r="H860" s="14">
        <v>0.13075929750140999</v>
      </c>
      <c r="I860" s="27">
        <f t="shared" si="13"/>
        <v>2355642.3037711792</v>
      </c>
      <c r="J860">
        <v>3.7</v>
      </c>
      <c r="K860" t="b">
        <v>1</v>
      </c>
    </row>
    <row r="861" spans="1:11" ht="16" x14ac:dyDescent="0.2">
      <c r="A861" s="16">
        <v>45039</v>
      </c>
      <c r="B861" t="s">
        <v>45</v>
      </c>
      <c r="C861" t="s">
        <v>45</v>
      </c>
      <c r="D861" t="s">
        <v>50</v>
      </c>
      <c r="E861" t="s">
        <v>7640</v>
      </c>
      <c r="F861">
        <v>3</v>
      </c>
      <c r="G861" s="15">
        <v>2710000</v>
      </c>
      <c r="H861" s="14">
        <v>0.13075929750140999</v>
      </c>
      <c r="I861" s="27">
        <f t="shared" si="13"/>
        <v>2355642.3037711792</v>
      </c>
      <c r="J861">
        <v>3.8</v>
      </c>
      <c r="K861" t="b">
        <v>0</v>
      </c>
    </row>
    <row r="862" spans="1:11" ht="16" x14ac:dyDescent="0.2">
      <c r="A862" s="16">
        <v>45039</v>
      </c>
      <c r="B862" t="s">
        <v>18</v>
      </c>
      <c r="C862" t="s">
        <v>45</v>
      </c>
      <c r="D862" t="s">
        <v>35</v>
      </c>
      <c r="E862" t="s">
        <v>99</v>
      </c>
      <c r="F862">
        <v>1</v>
      </c>
      <c r="G862" s="15">
        <v>2710000</v>
      </c>
      <c r="H862" s="14">
        <v>0.13075929750140999</v>
      </c>
      <c r="I862" s="27">
        <f t="shared" si="13"/>
        <v>2355642.3037711792</v>
      </c>
      <c r="J862">
        <v>4</v>
      </c>
      <c r="K862" t="b">
        <v>1</v>
      </c>
    </row>
    <row r="863" spans="1:11" ht="16" x14ac:dyDescent="0.2">
      <c r="A863" s="16">
        <v>45040</v>
      </c>
      <c r="B863" t="s">
        <v>33</v>
      </c>
      <c r="C863" t="s">
        <v>45</v>
      </c>
      <c r="D863" t="s">
        <v>20</v>
      </c>
      <c r="E863" t="s">
        <v>7641</v>
      </c>
      <c r="F863">
        <v>4</v>
      </c>
      <c r="G863" s="15">
        <v>2710000</v>
      </c>
      <c r="H863" s="14">
        <v>0.13075929750140999</v>
      </c>
      <c r="I863" s="27">
        <f t="shared" si="13"/>
        <v>2355642.3037711792</v>
      </c>
      <c r="J863">
        <v>3.1</v>
      </c>
      <c r="K863" t="b">
        <v>0</v>
      </c>
    </row>
    <row r="864" spans="1:11" ht="16" x14ac:dyDescent="0.2">
      <c r="A864" s="16">
        <v>45040</v>
      </c>
      <c r="B864" t="s">
        <v>18</v>
      </c>
      <c r="C864" t="s">
        <v>34</v>
      </c>
      <c r="D864" t="s">
        <v>35</v>
      </c>
      <c r="E864" t="s">
        <v>7638</v>
      </c>
      <c r="F864">
        <v>3</v>
      </c>
      <c r="G864" s="15">
        <v>2710000</v>
      </c>
      <c r="H864" s="14">
        <v>0.13075929750140999</v>
      </c>
      <c r="I864" s="27">
        <f t="shared" si="13"/>
        <v>2355642.3037711792</v>
      </c>
      <c r="J864">
        <v>4.4000000000000004</v>
      </c>
      <c r="K864" t="b">
        <v>0</v>
      </c>
    </row>
    <row r="865" spans="1:11" ht="16" x14ac:dyDescent="0.2">
      <c r="A865" s="16">
        <v>45041</v>
      </c>
      <c r="B865" t="s">
        <v>29</v>
      </c>
      <c r="C865" t="s">
        <v>45</v>
      </c>
      <c r="D865" t="s">
        <v>50</v>
      </c>
      <c r="E865" t="s">
        <v>7641</v>
      </c>
      <c r="F865">
        <v>1</v>
      </c>
      <c r="G865" s="15">
        <v>2710000</v>
      </c>
      <c r="H865" s="14">
        <v>0.13075929750140999</v>
      </c>
      <c r="I865" s="27">
        <f t="shared" si="13"/>
        <v>2355642.3037711792</v>
      </c>
      <c r="J865">
        <v>4.9000000000000004</v>
      </c>
      <c r="K865" t="b">
        <v>0</v>
      </c>
    </row>
    <row r="866" spans="1:11" ht="16" x14ac:dyDescent="0.2">
      <c r="A866" s="16">
        <v>45041</v>
      </c>
      <c r="B866" t="s">
        <v>18</v>
      </c>
      <c r="C866" t="s">
        <v>68</v>
      </c>
      <c r="D866" t="s">
        <v>20</v>
      </c>
      <c r="E866" t="s">
        <v>7642</v>
      </c>
      <c r="F866">
        <v>1</v>
      </c>
      <c r="G866" s="15">
        <v>2710000</v>
      </c>
      <c r="H866" s="14">
        <v>0.13075929750140999</v>
      </c>
      <c r="I866" s="27">
        <f t="shared" si="13"/>
        <v>2355642.3037711792</v>
      </c>
      <c r="J866">
        <v>5</v>
      </c>
      <c r="K866" t="b">
        <v>1</v>
      </c>
    </row>
    <row r="867" spans="1:11" ht="16" x14ac:dyDescent="0.2">
      <c r="A867" s="16">
        <v>45042</v>
      </c>
      <c r="B867" t="s">
        <v>45</v>
      </c>
      <c r="C867" t="s">
        <v>45</v>
      </c>
      <c r="D867" t="s">
        <v>20</v>
      </c>
      <c r="E867" t="s">
        <v>7637</v>
      </c>
      <c r="F867">
        <v>3</v>
      </c>
      <c r="G867" s="15">
        <v>2710000</v>
      </c>
      <c r="H867" s="14">
        <v>0.13075929750140999</v>
      </c>
      <c r="I867" s="27">
        <f t="shared" si="13"/>
        <v>2355642.3037711792</v>
      </c>
      <c r="J867">
        <v>4.5</v>
      </c>
      <c r="K867" t="b">
        <v>0</v>
      </c>
    </row>
    <row r="868" spans="1:11" ht="16" x14ac:dyDescent="0.2">
      <c r="A868" s="16">
        <v>45043</v>
      </c>
      <c r="B868" t="s">
        <v>29</v>
      </c>
      <c r="C868" t="s">
        <v>45</v>
      </c>
      <c r="D868" t="s">
        <v>50</v>
      </c>
      <c r="E868" t="s">
        <v>7641</v>
      </c>
      <c r="F868">
        <v>1</v>
      </c>
      <c r="G868" s="15">
        <v>2710000</v>
      </c>
      <c r="H868" s="14">
        <v>0.13075929750140999</v>
      </c>
      <c r="I868" s="27">
        <f t="shared" si="13"/>
        <v>2355642.3037711792</v>
      </c>
      <c r="J868">
        <v>4.4000000000000004</v>
      </c>
      <c r="K868" t="b">
        <v>1</v>
      </c>
    </row>
    <row r="869" spans="1:11" ht="16" x14ac:dyDescent="0.2">
      <c r="A869" s="16">
        <v>45044</v>
      </c>
      <c r="B869" t="s">
        <v>45</v>
      </c>
      <c r="C869" t="s">
        <v>45</v>
      </c>
      <c r="D869" t="s">
        <v>35</v>
      </c>
      <c r="E869" t="s">
        <v>7637</v>
      </c>
      <c r="F869">
        <v>3</v>
      </c>
      <c r="G869" s="15">
        <v>2710000</v>
      </c>
      <c r="H869" s="14">
        <v>0.13075929750140999</v>
      </c>
      <c r="I869" s="27">
        <f t="shared" si="13"/>
        <v>2355642.3037711792</v>
      </c>
      <c r="J869">
        <v>4.0999999999999996</v>
      </c>
      <c r="K869" t="b">
        <v>1</v>
      </c>
    </row>
    <row r="870" spans="1:11" ht="16" x14ac:dyDescent="0.2">
      <c r="A870" s="16">
        <v>45044</v>
      </c>
      <c r="B870" t="s">
        <v>45</v>
      </c>
      <c r="C870" t="s">
        <v>34</v>
      </c>
      <c r="D870" t="s">
        <v>20</v>
      </c>
      <c r="E870" t="s">
        <v>57</v>
      </c>
      <c r="F870">
        <v>2</v>
      </c>
      <c r="G870" s="15">
        <v>2710000</v>
      </c>
      <c r="H870" s="14">
        <v>0.13075929750140999</v>
      </c>
      <c r="I870" s="27">
        <f t="shared" si="13"/>
        <v>2355642.3037711792</v>
      </c>
      <c r="J870">
        <v>4.3</v>
      </c>
      <c r="K870" t="b">
        <v>1</v>
      </c>
    </row>
    <row r="871" spans="1:11" ht="16" x14ac:dyDescent="0.2">
      <c r="A871" s="16">
        <v>45044</v>
      </c>
      <c r="B871" t="s">
        <v>18</v>
      </c>
      <c r="C871" t="s">
        <v>19</v>
      </c>
      <c r="D871" t="s">
        <v>35</v>
      </c>
      <c r="E871" t="s">
        <v>7644</v>
      </c>
      <c r="F871">
        <v>1</v>
      </c>
      <c r="G871" s="15">
        <v>2710000</v>
      </c>
      <c r="H871" s="14">
        <v>0.13075929750140999</v>
      </c>
      <c r="I871" s="27">
        <f t="shared" si="13"/>
        <v>2355642.3037711792</v>
      </c>
      <c r="J871">
        <v>3.2</v>
      </c>
      <c r="K871" t="b">
        <v>1</v>
      </c>
    </row>
    <row r="872" spans="1:11" ht="16" x14ac:dyDescent="0.2">
      <c r="A872" s="16">
        <v>45044</v>
      </c>
      <c r="B872" t="s">
        <v>29</v>
      </c>
      <c r="C872" t="s">
        <v>39</v>
      </c>
      <c r="D872" t="s">
        <v>35</v>
      </c>
      <c r="E872" t="s">
        <v>7637</v>
      </c>
      <c r="F872">
        <v>2</v>
      </c>
      <c r="G872" s="15">
        <v>2710000</v>
      </c>
      <c r="H872" s="14">
        <v>0.13075929750140999</v>
      </c>
      <c r="I872" s="27">
        <f t="shared" si="13"/>
        <v>2355642.3037711792</v>
      </c>
      <c r="J872">
        <v>4.2</v>
      </c>
      <c r="K872" t="b">
        <v>1</v>
      </c>
    </row>
    <row r="873" spans="1:11" ht="16" x14ac:dyDescent="0.2">
      <c r="A873" s="16">
        <v>45045</v>
      </c>
      <c r="B873" t="s">
        <v>33</v>
      </c>
      <c r="C873" t="s">
        <v>19</v>
      </c>
      <c r="D873" t="s">
        <v>20</v>
      </c>
      <c r="E873" t="s">
        <v>7637</v>
      </c>
      <c r="F873">
        <v>2</v>
      </c>
      <c r="G873" s="15">
        <v>2710000</v>
      </c>
      <c r="H873" s="14">
        <v>0.13075929750140999</v>
      </c>
      <c r="I873" s="27">
        <f t="shared" si="13"/>
        <v>2355642.3037711792</v>
      </c>
      <c r="J873">
        <v>5</v>
      </c>
      <c r="K873" t="b">
        <v>1</v>
      </c>
    </row>
    <row r="874" spans="1:11" ht="16" x14ac:dyDescent="0.2">
      <c r="A874" s="16">
        <v>45046</v>
      </c>
      <c r="B874" t="s">
        <v>45</v>
      </c>
      <c r="C874" t="s">
        <v>19</v>
      </c>
      <c r="D874" t="s">
        <v>20</v>
      </c>
      <c r="E874" t="s">
        <v>7641</v>
      </c>
      <c r="F874">
        <v>3</v>
      </c>
      <c r="G874" s="15">
        <v>2710000</v>
      </c>
      <c r="H874" s="14">
        <v>0.13075929750140999</v>
      </c>
      <c r="I874" s="27">
        <f t="shared" si="13"/>
        <v>2355642.3037711792</v>
      </c>
      <c r="J874">
        <v>4.5999999999999996</v>
      </c>
      <c r="K874" t="b">
        <v>1</v>
      </c>
    </row>
    <row r="875" spans="1:11" ht="16" x14ac:dyDescent="0.2">
      <c r="A875" s="16">
        <v>45046</v>
      </c>
      <c r="B875" t="str">
        <f>B874</f>
        <v>Family</v>
      </c>
      <c r="C875" t="s">
        <v>68</v>
      </c>
      <c r="D875" t="s">
        <v>50</v>
      </c>
      <c r="E875" t="s">
        <v>57</v>
      </c>
      <c r="F875">
        <v>4</v>
      </c>
      <c r="G875" s="15">
        <v>2710000</v>
      </c>
      <c r="H875" s="14">
        <v>0.13075929750140999</v>
      </c>
      <c r="I875" s="27">
        <f t="shared" si="13"/>
        <v>2355642.3037711792</v>
      </c>
      <c r="J875">
        <v>4.5</v>
      </c>
      <c r="K875" t="b">
        <v>1</v>
      </c>
    </row>
    <row r="876" spans="1:11" ht="16" x14ac:dyDescent="0.2">
      <c r="A876" s="16">
        <v>45046</v>
      </c>
      <c r="B876" t="s">
        <v>18</v>
      </c>
      <c r="C876" t="s">
        <v>19</v>
      </c>
      <c r="D876" t="s">
        <v>50</v>
      </c>
      <c r="E876" t="s">
        <v>7640</v>
      </c>
      <c r="F876">
        <v>1</v>
      </c>
      <c r="G876" s="15">
        <v>2710000</v>
      </c>
      <c r="H876" s="14">
        <v>0.13075929750140999</v>
      </c>
      <c r="I876" s="27">
        <f t="shared" si="13"/>
        <v>2355642.3037711792</v>
      </c>
      <c r="J876">
        <v>4</v>
      </c>
      <c r="K876" t="b">
        <v>1</v>
      </c>
    </row>
    <row r="877" spans="1:11" ht="16" x14ac:dyDescent="0.2">
      <c r="A877" s="16">
        <v>45047</v>
      </c>
      <c r="B877" t="s">
        <v>18</v>
      </c>
      <c r="C877" t="s">
        <v>45</v>
      </c>
      <c r="D877" t="s">
        <v>50</v>
      </c>
      <c r="E877" t="s">
        <v>7641</v>
      </c>
      <c r="F877">
        <v>1</v>
      </c>
      <c r="G877" s="15">
        <v>2710000</v>
      </c>
      <c r="H877" s="14">
        <v>0.13075929750140999</v>
      </c>
      <c r="I877" s="27">
        <f t="shared" si="13"/>
        <v>2355642.3037711792</v>
      </c>
      <c r="J877">
        <v>4.0999999999999996</v>
      </c>
      <c r="K877" t="b">
        <v>0</v>
      </c>
    </row>
    <row r="878" spans="1:11" ht="16" x14ac:dyDescent="0.2">
      <c r="A878" s="16">
        <v>45048</v>
      </c>
      <c r="B878" t="s">
        <v>29</v>
      </c>
      <c r="C878" t="s">
        <v>19</v>
      </c>
      <c r="D878" t="s">
        <v>20</v>
      </c>
      <c r="E878" t="s">
        <v>7639</v>
      </c>
      <c r="F878">
        <v>3</v>
      </c>
      <c r="G878" s="15">
        <v>2710000</v>
      </c>
      <c r="H878" s="14">
        <v>0.13075929750140999</v>
      </c>
      <c r="I878" s="27">
        <f t="shared" si="13"/>
        <v>2355642.3037711792</v>
      </c>
      <c r="J878">
        <v>4.5</v>
      </c>
      <c r="K878" t="b">
        <v>1</v>
      </c>
    </row>
    <row r="879" spans="1:11" ht="16" x14ac:dyDescent="0.2">
      <c r="A879" s="16">
        <v>45048</v>
      </c>
      <c r="B879" t="s">
        <v>45</v>
      </c>
      <c r="C879" t="s">
        <v>68</v>
      </c>
      <c r="D879" t="s">
        <v>35</v>
      </c>
      <c r="E879" t="s">
        <v>7644</v>
      </c>
      <c r="F879">
        <v>4</v>
      </c>
      <c r="G879" s="15">
        <v>2710000</v>
      </c>
      <c r="H879" s="14">
        <v>0.13075929750140999</v>
      </c>
      <c r="I879" s="27">
        <f t="shared" si="13"/>
        <v>2355642.3037711792</v>
      </c>
      <c r="J879">
        <v>3.8</v>
      </c>
      <c r="K879" t="b">
        <v>1</v>
      </c>
    </row>
    <row r="880" spans="1:11" ht="16" x14ac:dyDescent="0.2">
      <c r="A880" s="16">
        <v>45048</v>
      </c>
      <c r="B880" t="s">
        <v>45</v>
      </c>
      <c r="C880" t="s">
        <v>34</v>
      </c>
      <c r="D880" t="s">
        <v>50</v>
      </c>
      <c r="E880" t="s">
        <v>7638</v>
      </c>
      <c r="F880">
        <v>1</v>
      </c>
      <c r="G880" s="15">
        <v>2710000</v>
      </c>
      <c r="H880" s="14">
        <v>0.13075929750140999</v>
      </c>
      <c r="I880" s="27">
        <f t="shared" si="13"/>
        <v>2355642.3037711792</v>
      </c>
      <c r="J880">
        <v>3.9</v>
      </c>
      <c r="K880" t="b">
        <v>0</v>
      </c>
    </row>
    <row r="881" spans="1:11" ht="16" x14ac:dyDescent="0.2">
      <c r="A881" s="16">
        <v>45049</v>
      </c>
      <c r="B881" t="s">
        <v>45</v>
      </c>
      <c r="C881" t="s">
        <v>45</v>
      </c>
      <c r="D881" t="s">
        <v>35</v>
      </c>
      <c r="E881" t="s">
        <v>7638</v>
      </c>
      <c r="F881">
        <v>2</v>
      </c>
      <c r="G881" s="15">
        <v>2710000</v>
      </c>
      <c r="H881" s="14">
        <v>0.13075929750140999</v>
      </c>
      <c r="I881" s="27">
        <f t="shared" si="13"/>
        <v>2355642.3037711792</v>
      </c>
      <c r="J881">
        <v>3</v>
      </c>
      <c r="K881" t="b">
        <v>0</v>
      </c>
    </row>
    <row r="882" spans="1:11" ht="16" x14ac:dyDescent="0.2">
      <c r="A882" s="16">
        <v>45050</v>
      </c>
      <c r="B882" t="s">
        <v>18</v>
      </c>
      <c r="C882" t="s">
        <v>34</v>
      </c>
      <c r="D882" t="s">
        <v>35</v>
      </c>
      <c r="E882" t="s">
        <v>99</v>
      </c>
      <c r="F882">
        <v>3</v>
      </c>
      <c r="G882" s="15">
        <v>2710000</v>
      </c>
      <c r="H882" s="14">
        <v>0.13075929750140999</v>
      </c>
      <c r="I882" s="27">
        <f t="shared" si="13"/>
        <v>2355642.3037711792</v>
      </c>
      <c r="J882">
        <v>4.5999999999999996</v>
      </c>
      <c r="K882" t="b">
        <v>1</v>
      </c>
    </row>
    <row r="883" spans="1:11" ht="16" x14ac:dyDescent="0.2">
      <c r="A883" s="16">
        <v>45050</v>
      </c>
      <c r="B883" t="s">
        <v>29</v>
      </c>
      <c r="C883" t="s">
        <v>34</v>
      </c>
      <c r="D883" t="s">
        <v>50</v>
      </c>
      <c r="E883" t="s">
        <v>7639</v>
      </c>
      <c r="F883">
        <v>1</v>
      </c>
      <c r="G883" s="15">
        <v>2710000</v>
      </c>
      <c r="H883" s="14">
        <v>0.13075929750140999</v>
      </c>
      <c r="I883" s="27">
        <f t="shared" si="13"/>
        <v>2355642.3037711792</v>
      </c>
      <c r="J883">
        <v>4.2</v>
      </c>
      <c r="K883" t="b">
        <v>0</v>
      </c>
    </row>
    <row r="884" spans="1:11" ht="16" x14ac:dyDescent="0.2">
      <c r="A884" s="16">
        <v>45050</v>
      </c>
      <c r="B884" t="s">
        <v>45</v>
      </c>
      <c r="C884" t="s">
        <v>19</v>
      </c>
      <c r="D884" t="s">
        <v>50</v>
      </c>
      <c r="E884" t="s">
        <v>7643</v>
      </c>
      <c r="F884">
        <v>2</v>
      </c>
      <c r="G884" s="15">
        <v>2710000</v>
      </c>
      <c r="H884" s="14">
        <v>0.13075929750140999</v>
      </c>
      <c r="I884" s="27">
        <f t="shared" si="13"/>
        <v>2355642.3037711792</v>
      </c>
      <c r="J884">
        <v>3.5</v>
      </c>
      <c r="K884" t="b">
        <v>1</v>
      </c>
    </row>
    <row r="885" spans="1:11" ht="16" x14ac:dyDescent="0.2">
      <c r="A885" s="16">
        <v>45051</v>
      </c>
      <c r="B885" t="s">
        <v>29</v>
      </c>
      <c r="C885" t="s">
        <v>45</v>
      </c>
      <c r="D885" t="s">
        <v>20</v>
      </c>
      <c r="E885" t="s">
        <v>7637</v>
      </c>
      <c r="F885">
        <v>3</v>
      </c>
      <c r="G885" s="15">
        <v>2710000</v>
      </c>
      <c r="H885" s="14">
        <v>0.13075929750140999</v>
      </c>
      <c r="I885" s="27">
        <f t="shared" si="13"/>
        <v>2355642.3037711792</v>
      </c>
      <c r="J885">
        <v>4.4000000000000004</v>
      </c>
      <c r="K885" t="b">
        <v>0</v>
      </c>
    </row>
    <row r="886" spans="1:11" ht="16" x14ac:dyDescent="0.2">
      <c r="A886" s="16">
        <v>45052</v>
      </c>
      <c r="B886" t="s">
        <v>29</v>
      </c>
      <c r="C886" t="s">
        <v>45</v>
      </c>
      <c r="D886" t="s">
        <v>35</v>
      </c>
      <c r="E886" t="s">
        <v>7640</v>
      </c>
      <c r="F886">
        <v>1</v>
      </c>
      <c r="G886" s="15">
        <v>2710000</v>
      </c>
      <c r="H886" s="14">
        <v>0.13075929750140999</v>
      </c>
      <c r="I886" s="27">
        <f t="shared" si="13"/>
        <v>2355642.3037711792</v>
      </c>
      <c r="J886">
        <v>4</v>
      </c>
      <c r="K886" t="b">
        <v>1</v>
      </c>
    </row>
    <row r="887" spans="1:11" ht="16" x14ac:dyDescent="0.2">
      <c r="A887" s="16">
        <v>45052</v>
      </c>
      <c r="B887" t="s">
        <v>45</v>
      </c>
      <c r="C887" t="s">
        <v>34</v>
      </c>
      <c r="D887" t="s">
        <v>20</v>
      </c>
      <c r="E887" t="s">
        <v>7638</v>
      </c>
      <c r="F887">
        <v>3</v>
      </c>
      <c r="G887" s="15">
        <v>2710000</v>
      </c>
      <c r="H887" s="14">
        <v>0.13075929750140999</v>
      </c>
      <c r="I887" s="27">
        <f t="shared" si="13"/>
        <v>2355642.3037711792</v>
      </c>
      <c r="J887">
        <v>4.9000000000000004</v>
      </c>
      <c r="K887" t="b">
        <v>1</v>
      </c>
    </row>
    <row r="888" spans="1:11" ht="16" x14ac:dyDescent="0.2">
      <c r="A888" s="16">
        <v>45053</v>
      </c>
      <c r="B888" t="s">
        <v>33</v>
      </c>
      <c r="C888" t="s">
        <v>45</v>
      </c>
      <c r="D888" t="s">
        <v>20</v>
      </c>
      <c r="E888" t="s">
        <v>7644</v>
      </c>
      <c r="F888">
        <v>5</v>
      </c>
      <c r="G888" s="15">
        <v>2710000</v>
      </c>
      <c r="H888" s="14">
        <v>0.13075929750140999</v>
      </c>
      <c r="I888" s="27">
        <f t="shared" si="13"/>
        <v>2355642.3037711792</v>
      </c>
      <c r="J888">
        <v>4.7</v>
      </c>
      <c r="K888" t="b">
        <v>1</v>
      </c>
    </row>
    <row r="889" spans="1:11" ht="16" x14ac:dyDescent="0.2">
      <c r="A889" s="16">
        <v>45054</v>
      </c>
      <c r="B889" t="s">
        <v>33</v>
      </c>
      <c r="C889" t="s">
        <v>25</v>
      </c>
      <c r="D889" t="s">
        <v>50</v>
      </c>
      <c r="E889" t="s">
        <v>7641</v>
      </c>
      <c r="F889">
        <v>4</v>
      </c>
      <c r="G889" s="15">
        <v>2710000</v>
      </c>
      <c r="H889" s="14">
        <v>0.13075929750140999</v>
      </c>
      <c r="I889" s="27">
        <f t="shared" si="13"/>
        <v>2355642.3037711792</v>
      </c>
      <c r="J889">
        <v>3.2</v>
      </c>
      <c r="K889" t="b">
        <v>0</v>
      </c>
    </row>
    <row r="890" spans="1:11" ht="16" x14ac:dyDescent="0.2">
      <c r="A890" s="16">
        <v>45054</v>
      </c>
      <c r="B890" t="s">
        <v>18</v>
      </c>
      <c r="C890" t="s">
        <v>34</v>
      </c>
      <c r="D890" t="str">
        <f>D889</f>
        <v>Agent</v>
      </c>
      <c r="E890" t="s">
        <v>7637</v>
      </c>
      <c r="F890">
        <v>1</v>
      </c>
      <c r="G890" s="15">
        <v>2710000</v>
      </c>
      <c r="H890" s="14">
        <v>0.13075929750140999</v>
      </c>
      <c r="I890" s="27">
        <f t="shared" si="13"/>
        <v>2355642.3037711792</v>
      </c>
      <c r="J890">
        <v>3.9</v>
      </c>
      <c r="K890" t="b">
        <v>0</v>
      </c>
    </row>
    <row r="891" spans="1:11" ht="16" x14ac:dyDescent="0.2">
      <c r="A891" s="16">
        <v>45054</v>
      </c>
      <c r="B891" t="s">
        <v>33</v>
      </c>
      <c r="C891" t="s">
        <v>25</v>
      </c>
      <c r="D891" t="s">
        <v>35</v>
      </c>
      <c r="E891" t="s">
        <v>7642</v>
      </c>
      <c r="F891">
        <v>1</v>
      </c>
      <c r="G891" s="15">
        <v>2710000</v>
      </c>
      <c r="H891" s="14">
        <v>0.13075929750140999</v>
      </c>
      <c r="I891" s="27">
        <f t="shared" si="13"/>
        <v>2355642.3037711792</v>
      </c>
      <c r="J891">
        <v>4.3</v>
      </c>
      <c r="K891" t="b">
        <v>1</v>
      </c>
    </row>
    <row r="892" spans="1:11" ht="16" x14ac:dyDescent="0.2">
      <c r="A892" s="16">
        <v>45055</v>
      </c>
      <c r="B892" t="s">
        <v>33</v>
      </c>
      <c r="C892" t="s">
        <v>19</v>
      </c>
      <c r="D892" t="s">
        <v>50</v>
      </c>
      <c r="E892" t="s">
        <v>7641</v>
      </c>
      <c r="F892">
        <v>2</v>
      </c>
      <c r="G892" s="15">
        <v>2710000</v>
      </c>
      <c r="H892" s="14">
        <v>0.13075929750140999</v>
      </c>
      <c r="I892" s="27">
        <f t="shared" si="13"/>
        <v>2355642.3037711792</v>
      </c>
      <c r="J892">
        <v>4.0999999999999996</v>
      </c>
      <c r="K892" t="b">
        <v>1</v>
      </c>
    </row>
    <row r="893" spans="1:11" ht="16" x14ac:dyDescent="0.2">
      <c r="A893" s="16">
        <v>45055</v>
      </c>
      <c r="B893" t="s">
        <v>33</v>
      </c>
      <c r="C893" t="s">
        <v>45</v>
      </c>
      <c r="D893" t="s">
        <v>50</v>
      </c>
      <c r="E893" t="s">
        <v>7639</v>
      </c>
      <c r="F893">
        <v>2</v>
      </c>
      <c r="G893" s="15">
        <v>2710000</v>
      </c>
      <c r="H893" s="14">
        <v>0.13075929750140999</v>
      </c>
      <c r="I893" s="27">
        <f t="shared" si="13"/>
        <v>2355642.3037711792</v>
      </c>
      <c r="J893">
        <v>4</v>
      </c>
      <c r="K893" t="b">
        <v>0</v>
      </c>
    </row>
    <row r="894" spans="1:11" ht="16" x14ac:dyDescent="0.2">
      <c r="A894" s="16">
        <v>45056</v>
      </c>
      <c r="B894" t="s">
        <v>33</v>
      </c>
      <c r="C894" t="s">
        <v>45</v>
      </c>
      <c r="D894" t="s">
        <v>35</v>
      </c>
      <c r="E894" t="s">
        <v>7640</v>
      </c>
      <c r="F894">
        <v>1</v>
      </c>
      <c r="G894" s="15">
        <v>2710000</v>
      </c>
      <c r="H894" s="14">
        <v>0.13075929750140999</v>
      </c>
      <c r="I894" s="27">
        <f t="shared" si="13"/>
        <v>2355642.3037711792</v>
      </c>
      <c r="J894">
        <v>3.7</v>
      </c>
      <c r="K894" t="b">
        <v>1</v>
      </c>
    </row>
    <row r="895" spans="1:11" ht="16" x14ac:dyDescent="0.2">
      <c r="A895" s="16">
        <v>45056</v>
      </c>
      <c r="B895" t="s">
        <v>45</v>
      </c>
      <c r="C895" t="s">
        <v>19</v>
      </c>
      <c r="D895" t="s">
        <v>50</v>
      </c>
      <c r="E895" t="s">
        <v>7637</v>
      </c>
      <c r="F895">
        <v>1</v>
      </c>
      <c r="G895" s="15">
        <v>2710000</v>
      </c>
      <c r="H895" s="14">
        <v>0.13075929750140999</v>
      </c>
      <c r="I895" s="27">
        <f t="shared" si="13"/>
        <v>2355642.3037711792</v>
      </c>
      <c r="J895">
        <v>4.5</v>
      </c>
      <c r="K895" t="b">
        <v>0</v>
      </c>
    </row>
    <row r="896" spans="1:11" ht="16" x14ac:dyDescent="0.2">
      <c r="A896" s="16">
        <v>45057</v>
      </c>
      <c r="B896" t="s">
        <v>33</v>
      </c>
      <c r="C896" t="s">
        <v>34</v>
      </c>
      <c r="D896" t="s">
        <v>35</v>
      </c>
      <c r="E896" t="str">
        <f>E895</f>
        <v>Đà Nẵng</v>
      </c>
      <c r="F896">
        <v>4</v>
      </c>
      <c r="G896" s="15">
        <v>2710000</v>
      </c>
      <c r="H896" s="14">
        <v>0.13075929750140999</v>
      </c>
      <c r="I896" s="27">
        <f t="shared" si="13"/>
        <v>2355642.3037711792</v>
      </c>
      <c r="J896">
        <v>4</v>
      </c>
      <c r="K896" t="b">
        <v>1</v>
      </c>
    </row>
    <row r="897" spans="1:11" ht="16" x14ac:dyDescent="0.2">
      <c r="A897" s="16">
        <v>45057</v>
      </c>
      <c r="B897" t="s">
        <v>45</v>
      </c>
      <c r="C897" t="s">
        <v>34</v>
      </c>
      <c r="D897" t="s">
        <v>50</v>
      </c>
      <c r="E897" t="s">
        <v>7640</v>
      </c>
      <c r="F897">
        <v>1</v>
      </c>
      <c r="G897" s="15">
        <v>2710000</v>
      </c>
      <c r="H897" s="14">
        <v>0.13075929750140999</v>
      </c>
      <c r="I897" s="27">
        <f t="shared" si="13"/>
        <v>2355642.3037711792</v>
      </c>
      <c r="J897">
        <v>3.6</v>
      </c>
      <c r="K897" t="b">
        <v>1</v>
      </c>
    </row>
    <row r="898" spans="1:11" ht="16" x14ac:dyDescent="0.2">
      <c r="A898" s="16">
        <v>45058</v>
      </c>
      <c r="B898" t="s">
        <v>18</v>
      </c>
      <c r="C898" t="s">
        <v>34</v>
      </c>
      <c r="D898" t="s">
        <v>20</v>
      </c>
      <c r="E898" t="s">
        <v>7642</v>
      </c>
      <c r="F898">
        <v>2</v>
      </c>
      <c r="G898" s="15">
        <v>2710000</v>
      </c>
      <c r="H898" s="14">
        <v>0.13075929750140999</v>
      </c>
      <c r="I898" s="27">
        <f t="shared" si="13"/>
        <v>2355642.3037711792</v>
      </c>
      <c r="J898">
        <v>4.5999999999999996</v>
      </c>
      <c r="K898" t="b">
        <v>0</v>
      </c>
    </row>
    <row r="899" spans="1:11" ht="16" x14ac:dyDescent="0.2">
      <c r="A899" s="16">
        <v>45058</v>
      </c>
      <c r="B899" t="s">
        <v>45</v>
      </c>
      <c r="C899" t="s">
        <v>34</v>
      </c>
      <c r="D899" t="s">
        <v>20</v>
      </c>
      <c r="E899" t="s">
        <v>7643</v>
      </c>
      <c r="F899">
        <v>1</v>
      </c>
      <c r="G899" s="15">
        <v>2710000</v>
      </c>
      <c r="H899" s="14">
        <v>0.13075929750140999</v>
      </c>
      <c r="I899" s="27">
        <f t="shared" ref="I899:I962" si="14">G899-G899*H899</f>
        <v>2355642.3037711792</v>
      </c>
      <c r="J899">
        <v>4.2</v>
      </c>
      <c r="K899" t="b">
        <v>1</v>
      </c>
    </row>
    <row r="900" spans="1:11" ht="16" x14ac:dyDescent="0.2">
      <c r="A900" s="16">
        <v>45058</v>
      </c>
      <c r="B900" t="s">
        <v>18</v>
      </c>
      <c r="C900" t="s">
        <v>19</v>
      </c>
      <c r="D900" t="s">
        <v>20</v>
      </c>
      <c r="E900" t="s">
        <v>7640</v>
      </c>
      <c r="F900">
        <v>1</v>
      </c>
      <c r="G900" s="15">
        <v>2710000</v>
      </c>
      <c r="H900" s="14">
        <v>0.13075929750140999</v>
      </c>
      <c r="I900" s="27">
        <f t="shared" si="14"/>
        <v>2355642.3037711792</v>
      </c>
      <c r="J900">
        <v>5</v>
      </c>
      <c r="K900" t="b">
        <v>1</v>
      </c>
    </row>
    <row r="901" spans="1:11" ht="16" x14ac:dyDescent="0.2">
      <c r="A901" s="16">
        <v>45058</v>
      </c>
      <c r="B901" t="s">
        <v>45</v>
      </c>
      <c r="C901" t="s">
        <v>34</v>
      </c>
      <c r="D901" t="s">
        <v>50</v>
      </c>
      <c r="E901" t="s">
        <v>57</v>
      </c>
      <c r="F901">
        <v>3</v>
      </c>
      <c r="G901" s="15">
        <v>2710000</v>
      </c>
      <c r="H901" s="14">
        <v>0.13075929750140999</v>
      </c>
      <c r="I901" s="27">
        <f t="shared" si="14"/>
        <v>2355642.3037711792</v>
      </c>
      <c r="J901">
        <v>4.5999999999999996</v>
      </c>
      <c r="K901" t="b">
        <v>1</v>
      </c>
    </row>
    <row r="902" spans="1:11" ht="16" x14ac:dyDescent="0.2">
      <c r="A902" s="16">
        <v>45059</v>
      </c>
      <c r="B902" t="s">
        <v>29</v>
      </c>
      <c r="C902" t="s">
        <v>34</v>
      </c>
      <c r="D902" t="s">
        <v>20</v>
      </c>
      <c r="E902" t="s">
        <v>7637</v>
      </c>
      <c r="F902">
        <v>3</v>
      </c>
      <c r="G902" s="15">
        <v>2710000</v>
      </c>
      <c r="H902" s="14">
        <v>0.13075929750140999</v>
      </c>
      <c r="I902" s="27">
        <f t="shared" si="14"/>
        <v>2355642.3037711792</v>
      </c>
      <c r="J902">
        <v>5</v>
      </c>
      <c r="K902" t="b">
        <v>0</v>
      </c>
    </row>
    <row r="903" spans="1:11" ht="16" x14ac:dyDescent="0.2">
      <c r="A903" s="16">
        <v>45059</v>
      </c>
      <c r="B903" t="s">
        <v>18</v>
      </c>
      <c r="C903" t="s">
        <v>34</v>
      </c>
      <c r="D903" t="s">
        <v>35</v>
      </c>
      <c r="E903" t="s">
        <v>99</v>
      </c>
      <c r="F903">
        <v>4</v>
      </c>
      <c r="G903" s="15">
        <v>2710000</v>
      </c>
      <c r="H903" s="14">
        <v>0.13075929750140999</v>
      </c>
      <c r="I903" s="27">
        <f t="shared" si="14"/>
        <v>2355642.3037711792</v>
      </c>
      <c r="J903">
        <v>3.9</v>
      </c>
      <c r="K903" t="b">
        <v>1</v>
      </c>
    </row>
    <row r="904" spans="1:11" ht="16" x14ac:dyDescent="0.2">
      <c r="A904" s="16">
        <v>45061</v>
      </c>
      <c r="B904" t="s">
        <v>33</v>
      </c>
      <c r="C904" t="s">
        <v>34</v>
      </c>
      <c r="D904" t="s">
        <v>20</v>
      </c>
      <c r="E904" t="s">
        <v>7637</v>
      </c>
      <c r="F904">
        <v>1</v>
      </c>
      <c r="G904" s="15">
        <v>2710000</v>
      </c>
      <c r="H904" s="14">
        <v>0.13075929750140999</v>
      </c>
      <c r="I904" s="27">
        <f t="shared" si="14"/>
        <v>2355642.3037711792</v>
      </c>
      <c r="J904">
        <v>4.2</v>
      </c>
      <c r="K904" t="b">
        <v>0</v>
      </c>
    </row>
    <row r="905" spans="1:11" ht="16" x14ac:dyDescent="0.2">
      <c r="A905" s="16">
        <v>45061</v>
      </c>
      <c r="B905" t="s">
        <v>18</v>
      </c>
      <c r="C905" t="s">
        <v>68</v>
      </c>
      <c r="D905" t="s">
        <v>20</v>
      </c>
      <c r="E905" t="s">
        <v>7644</v>
      </c>
      <c r="F905">
        <v>1</v>
      </c>
      <c r="G905" s="15">
        <v>2710000</v>
      </c>
      <c r="H905" s="14">
        <v>0.13075929750140999</v>
      </c>
      <c r="I905" s="27">
        <f t="shared" si="14"/>
        <v>2355642.3037711792</v>
      </c>
      <c r="J905">
        <v>4.7</v>
      </c>
      <c r="K905" t="b">
        <v>1</v>
      </c>
    </row>
    <row r="906" spans="1:11" ht="16" x14ac:dyDescent="0.2">
      <c r="A906" s="16">
        <v>45062</v>
      </c>
      <c r="B906" t="s">
        <v>33</v>
      </c>
      <c r="C906" t="s">
        <v>45</v>
      </c>
      <c r="D906" t="s">
        <v>20</v>
      </c>
      <c r="E906" t="s">
        <v>7637</v>
      </c>
      <c r="F906">
        <v>2</v>
      </c>
      <c r="G906" s="15">
        <v>2710000</v>
      </c>
      <c r="H906" s="14">
        <v>0.13075929750140999</v>
      </c>
      <c r="I906" s="27">
        <f t="shared" si="14"/>
        <v>2355642.3037711792</v>
      </c>
      <c r="J906">
        <v>3.3</v>
      </c>
      <c r="K906" t="b">
        <v>1</v>
      </c>
    </row>
    <row r="907" spans="1:11" ht="16" x14ac:dyDescent="0.2">
      <c r="A907" s="16">
        <v>45062</v>
      </c>
      <c r="B907" t="s">
        <v>45</v>
      </c>
      <c r="C907" t="s">
        <v>39</v>
      </c>
      <c r="D907" t="s">
        <v>35</v>
      </c>
      <c r="E907" t="s">
        <v>7641</v>
      </c>
      <c r="F907">
        <v>1</v>
      </c>
      <c r="G907" s="15">
        <v>2710000</v>
      </c>
      <c r="H907" s="14">
        <v>0.13075929750140999</v>
      </c>
      <c r="I907" s="27">
        <f t="shared" si="14"/>
        <v>2355642.3037711792</v>
      </c>
      <c r="J907">
        <v>4.4000000000000004</v>
      </c>
      <c r="K907" t="b">
        <v>1</v>
      </c>
    </row>
    <row r="908" spans="1:11" ht="16" x14ac:dyDescent="0.2">
      <c r="A908" s="16">
        <v>45062</v>
      </c>
      <c r="B908" t="s">
        <v>33</v>
      </c>
      <c r="C908" t="s">
        <v>34</v>
      </c>
      <c r="D908" t="s">
        <v>20</v>
      </c>
      <c r="E908" t="s">
        <v>7642</v>
      </c>
      <c r="F908">
        <v>1</v>
      </c>
      <c r="G908" s="15">
        <v>2710000</v>
      </c>
      <c r="H908" s="14">
        <v>0.13075929750140999</v>
      </c>
      <c r="I908" s="27">
        <f t="shared" si="14"/>
        <v>2355642.3037711792</v>
      </c>
      <c r="J908">
        <v>3.8</v>
      </c>
      <c r="K908" t="b">
        <v>1</v>
      </c>
    </row>
    <row r="909" spans="1:11" ht="16" x14ac:dyDescent="0.2">
      <c r="A909" s="16">
        <v>45063</v>
      </c>
      <c r="B909" t="str">
        <f>B908</f>
        <v>Student</v>
      </c>
      <c r="C909" t="s">
        <v>68</v>
      </c>
      <c r="D909" t="s">
        <v>20</v>
      </c>
      <c r="E909" t="s">
        <v>7639</v>
      </c>
      <c r="F909">
        <v>3</v>
      </c>
      <c r="G909" s="15">
        <v>2710000</v>
      </c>
      <c r="H909" s="14">
        <v>0.13075929750140999</v>
      </c>
      <c r="I909" s="27">
        <f t="shared" si="14"/>
        <v>2355642.3037711792</v>
      </c>
      <c r="J909">
        <v>4.5999999999999996</v>
      </c>
      <c r="K909" t="b">
        <v>1</v>
      </c>
    </row>
    <row r="910" spans="1:11" ht="16" x14ac:dyDescent="0.2">
      <c r="A910" s="16">
        <v>45063</v>
      </c>
      <c r="B910" t="s">
        <v>18</v>
      </c>
      <c r="C910" t="s">
        <v>34</v>
      </c>
      <c r="D910" t="s">
        <v>35</v>
      </c>
      <c r="E910" t="s">
        <v>7642</v>
      </c>
      <c r="F910">
        <v>2</v>
      </c>
      <c r="G910" s="15">
        <v>2710000</v>
      </c>
      <c r="H910" s="14">
        <v>0.13075929750140999</v>
      </c>
      <c r="I910" s="27">
        <f t="shared" si="14"/>
        <v>2355642.3037711792</v>
      </c>
      <c r="J910">
        <v>4.3</v>
      </c>
      <c r="K910" t="b">
        <v>1</v>
      </c>
    </row>
    <row r="911" spans="1:11" ht="16" x14ac:dyDescent="0.2">
      <c r="A911" s="16">
        <v>45063</v>
      </c>
      <c r="B911" t="s">
        <v>18</v>
      </c>
      <c r="C911" t="s">
        <v>68</v>
      </c>
      <c r="D911" t="s">
        <v>20</v>
      </c>
      <c r="E911" t="s">
        <v>7638</v>
      </c>
      <c r="F911">
        <v>1</v>
      </c>
      <c r="G911" s="15">
        <v>2710000</v>
      </c>
      <c r="H911" s="14">
        <v>0.13075929750140999</v>
      </c>
      <c r="I911" s="27">
        <f t="shared" si="14"/>
        <v>2355642.3037711792</v>
      </c>
      <c r="J911">
        <v>4</v>
      </c>
      <c r="K911" t="b">
        <v>0</v>
      </c>
    </row>
    <row r="912" spans="1:11" ht="16" x14ac:dyDescent="0.2">
      <c r="A912" s="16">
        <v>45066</v>
      </c>
      <c r="B912" t="s">
        <v>45</v>
      </c>
      <c r="C912" t="s">
        <v>34</v>
      </c>
      <c r="D912" t="s">
        <v>20</v>
      </c>
      <c r="E912" t="s">
        <v>57</v>
      </c>
      <c r="F912">
        <v>2</v>
      </c>
      <c r="G912" s="15">
        <v>2710000</v>
      </c>
      <c r="H912" s="14">
        <v>0.13075929750140999</v>
      </c>
      <c r="I912" s="27">
        <f t="shared" si="14"/>
        <v>2355642.3037711792</v>
      </c>
      <c r="J912">
        <v>4.0999999999999996</v>
      </c>
      <c r="K912" t="b">
        <v>1</v>
      </c>
    </row>
    <row r="913" spans="1:11" ht="16" x14ac:dyDescent="0.2">
      <c r="A913" s="16">
        <v>45066</v>
      </c>
      <c r="B913" t="s">
        <v>18</v>
      </c>
      <c r="C913" t="s">
        <v>45</v>
      </c>
      <c r="D913" t="s">
        <v>50</v>
      </c>
      <c r="E913" t="s">
        <v>7641</v>
      </c>
      <c r="F913">
        <v>3</v>
      </c>
      <c r="G913" s="15">
        <v>2710000</v>
      </c>
      <c r="H913" s="14">
        <v>0.13075929750140999</v>
      </c>
      <c r="I913" s="27">
        <f t="shared" si="14"/>
        <v>2355642.3037711792</v>
      </c>
      <c r="J913">
        <v>4.4000000000000004</v>
      </c>
      <c r="K913" t="b">
        <v>1</v>
      </c>
    </row>
    <row r="914" spans="1:11" ht="16" x14ac:dyDescent="0.2">
      <c r="A914" s="16">
        <v>45066</v>
      </c>
      <c r="B914" t="s">
        <v>18</v>
      </c>
      <c r="C914" t="s">
        <v>19</v>
      </c>
      <c r="D914" t="s">
        <v>35</v>
      </c>
      <c r="E914" t="s">
        <v>57</v>
      </c>
      <c r="F914">
        <v>1</v>
      </c>
      <c r="G914" s="15">
        <v>2710000</v>
      </c>
      <c r="H914" s="14">
        <v>0.13075929750140999</v>
      </c>
      <c r="I914" s="27">
        <f t="shared" si="14"/>
        <v>2355642.3037711792</v>
      </c>
      <c r="J914">
        <v>4.2</v>
      </c>
      <c r="K914" t="b">
        <v>0</v>
      </c>
    </row>
    <row r="915" spans="1:11" ht="16" x14ac:dyDescent="0.2">
      <c r="A915" s="16">
        <v>45066</v>
      </c>
      <c r="B915" t="s">
        <v>45</v>
      </c>
      <c r="C915" t="s">
        <v>19</v>
      </c>
      <c r="D915" t="s">
        <v>20</v>
      </c>
      <c r="E915" t="s">
        <v>7640</v>
      </c>
      <c r="F915">
        <v>4</v>
      </c>
      <c r="G915" s="15">
        <v>2710000</v>
      </c>
      <c r="H915" s="14">
        <v>0.13075929750140999</v>
      </c>
      <c r="I915" s="27">
        <f t="shared" si="14"/>
        <v>2355642.3037711792</v>
      </c>
      <c r="J915">
        <v>4.4000000000000004</v>
      </c>
      <c r="K915" t="b">
        <v>1</v>
      </c>
    </row>
    <row r="916" spans="1:11" ht="16" x14ac:dyDescent="0.2">
      <c r="A916" s="16">
        <v>45067</v>
      </c>
      <c r="B916" t="s">
        <v>29</v>
      </c>
      <c r="C916" t="s">
        <v>45</v>
      </c>
      <c r="D916" t="s">
        <v>20</v>
      </c>
      <c r="E916" t="s">
        <v>7639</v>
      </c>
      <c r="F916">
        <v>1</v>
      </c>
      <c r="G916" s="15">
        <v>2710000</v>
      </c>
      <c r="H916" s="14">
        <v>0.13075929750140999</v>
      </c>
      <c r="I916" s="27">
        <f t="shared" si="14"/>
        <v>2355642.3037711792</v>
      </c>
      <c r="J916">
        <v>4.4000000000000004</v>
      </c>
      <c r="K916" t="b">
        <v>0</v>
      </c>
    </row>
    <row r="917" spans="1:11" ht="16" x14ac:dyDescent="0.2">
      <c r="A917" s="16">
        <v>45067</v>
      </c>
      <c r="B917" t="s">
        <v>18</v>
      </c>
      <c r="C917" t="s">
        <v>34</v>
      </c>
      <c r="D917" t="s">
        <v>35</v>
      </c>
      <c r="E917" t="s">
        <v>7643</v>
      </c>
      <c r="F917">
        <v>4</v>
      </c>
      <c r="G917" s="15">
        <v>2710000</v>
      </c>
      <c r="H917" s="14">
        <v>0.13075929750140999</v>
      </c>
      <c r="I917" s="27">
        <f t="shared" si="14"/>
        <v>2355642.3037711792</v>
      </c>
      <c r="J917">
        <v>3.6</v>
      </c>
      <c r="K917" t="b">
        <v>1</v>
      </c>
    </row>
    <row r="918" spans="1:11" ht="16" x14ac:dyDescent="0.2">
      <c r="A918" s="16">
        <v>45067</v>
      </c>
      <c r="B918" t="s">
        <v>45</v>
      </c>
      <c r="C918" t="s">
        <v>34</v>
      </c>
      <c r="D918" t="s">
        <v>50</v>
      </c>
      <c r="E918" t="s">
        <v>99</v>
      </c>
      <c r="F918">
        <v>2</v>
      </c>
      <c r="G918" s="15">
        <v>2710000</v>
      </c>
      <c r="H918" s="14">
        <v>0.13075929750140999</v>
      </c>
      <c r="I918" s="27">
        <f t="shared" si="14"/>
        <v>2355642.3037711792</v>
      </c>
      <c r="J918">
        <v>3.4</v>
      </c>
      <c r="K918" t="b">
        <v>0</v>
      </c>
    </row>
    <row r="919" spans="1:11" ht="16" x14ac:dyDescent="0.2">
      <c r="A919" s="16">
        <v>45068</v>
      </c>
      <c r="B919" t="s">
        <v>18</v>
      </c>
      <c r="C919" t="s">
        <v>25</v>
      </c>
      <c r="D919" t="s">
        <v>50</v>
      </c>
      <c r="E919" t="s">
        <v>7644</v>
      </c>
      <c r="F919">
        <v>2</v>
      </c>
      <c r="G919" s="15">
        <v>2710000</v>
      </c>
      <c r="H919" s="14">
        <v>0.13075929750140999</v>
      </c>
      <c r="I919" s="27">
        <f t="shared" si="14"/>
        <v>2355642.3037711792</v>
      </c>
      <c r="J919">
        <v>4.3</v>
      </c>
      <c r="K919" t="b">
        <v>1</v>
      </c>
    </row>
    <row r="920" spans="1:11" ht="16" x14ac:dyDescent="0.2">
      <c r="A920" s="16">
        <v>45068</v>
      </c>
      <c r="B920" t="s">
        <v>33</v>
      </c>
      <c r="C920" t="s">
        <v>39</v>
      </c>
      <c r="D920" t="s">
        <v>50</v>
      </c>
      <c r="E920" t="s">
        <v>7639</v>
      </c>
      <c r="F920">
        <v>2</v>
      </c>
      <c r="G920" s="15">
        <v>2710000</v>
      </c>
      <c r="H920" s="14">
        <v>0.13075929750140999</v>
      </c>
      <c r="I920" s="27">
        <f t="shared" si="14"/>
        <v>2355642.3037711792</v>
      </c>
      <c r="J920">
        <v>4.0999999999999996</v>
      </c>
      <c r="K920" t="b">
        <v>1</v>
      </c>
    </row>
    <row r="921" spans="1:11" ht="16" x14ac:dyDescent="0.2">
      <c r="A921" s="16">
        <v>45070</v>
      </c>
      <c r="B921" t="s">
        <v>33</v>
      </c>
      <c r="C921" t="s">
        <v>19</v>
      </c>
      <c r="D921" t="s">
        <v>50</v>
      </c>
      <c r="E921" t="s">
        <v>7639</v>
      </c>
      <c r="F921">
        <v>1</v>
      </c>
      <c r="G921" s="15">
        <v>2710000</v>
      </c>
      <c r="H921" s="14">
        <v>0.13075929750140999</v>
      </c>
      <c r="I921" s="27">
        <f t="shared" si="14"/>
        <v>2355642.3037711792</v>
      </c>
      <c r="J921">
        <v>5</v>
      </c>
      <c r="K921" t="b">
        <v>1</v>
      </c>
    </row>
    <row r="922" spans="1:11" ht="16" x14ac:dyDescent="0.2">
      <c r="A922" s="16">
        <v>45070</v>
      </c>
      <c r="B922" t="s">
        <v>33</v>
      </c>
      <c r="C922" t="s">
        <v>68</v>
      </c>
      <c r="D922" t="s">
        <v>20</v>
      </c>
      <c r="E922" t="s">
        <v>99</v>
      </c>
      <c r="F922">
        <v>3</v>
      </c>
      <c r="G922" s="15">
        <v>2710000</v>
      </c>
      <c r="H922" s="14">
        <v>0.13075929750140999</v>
      </c>
      <c r="I922" s="27">
        <f t="shared" si="14"/>
        <v>2355642.3037711792</v>
      </c>
      <c r="J922">
        <v>4.0999999999999996</v>
      </c>
      <c r="K922" t="b">
        <v>1</v>
      </c>
    </row>
    <row r="923" spans="1:11" ht="16" x14ac:dyDescent="0.2">
      <c r="A923" s="16">
        <v>45070</v>
      </c>
      <c r="B923" t="s">
        <v>29</v>
      </c>
      <c r="C923" t="s">
        <v>34</v>
      </c>
      <c r="D923" t="s">
        <v>20</v>
      </c>
      <c r="E923" t="s">
        <v>7640</v>
      </c>
      <c r="F923">
        <v>2</v>
      </c>
      <c r="G923" s="15">
        <v>2710000</v>
      </c>
      <c r="H923" s="14">
        <v>0.13075929750140999</v>
      </c>
      <c r="I923" s="27">
        <f t="shared" si="14"/>
        <v>2355642.3037711792</v>
      </c>
      <c r="J923">
        <v>5</v>
      </c>
      <c r="K923" t="b">
        <v>1</v>
      </c>
    </row>
    <row r="924" spans="1:11" ht="16" x14ac:dyDescent="0.2">
      <c r="A924" s="16">
        <v>45071</v>
      </c>
      <c r="B924" t="str">
        <f>B923</f>
        <v>Corporate</v>
      </c>
      <c r="C924" t="s">
        <v>45</v>
      </c>
      <c r="D924" t="s">
        <v>20</v>
      </c>
      <c r="E924" t="s">
        <v>7642</v>
      </c>
      <c r="F924">
        <v>1</v>
      </c>
      <c r="G924" s="15">
        <v>2710000</v>
      </c>
      <c r="H924" s="14">
        <v>0.13075929750140999</v>
      </c>
      <c r="I924" s="27">
        <f t="shared" si="14"/>
        <v>2355642.3037711792</v>
      </c>
      <c r="J924">
        <v>4.4000000000000004</v>
      </c>
      <c r="K924" t="b">
        <v>1</v>
      </c>
    </row>
    <row r="925" spans="1:11" ht="16" x14ac:dyDescent="0.2">
      <c r="A925" s="16">
        <v>45071</v>
      </c>
      <c r="B925" t="s">
        <v>45</v>
      </c>
      <c r="C925" t="s">
        <v>45</v>
      </c>
      <c r="D925" t="s">
        <v>50</v>
      </c>
      <c r="E925" t="s">
        <v>7643</v>
      </c>
      <c r="F925">
        <v>3</v>
      </c>
      <c r="G925" s="15">
        <v>2710000</v>
      </c>
      <c r="H925" s="14">
        <v>0.13075929750140999</v>
      </c>
      <c r="I925" s="27">
        <f t="shared" si="14"/>
        <v>2355642.3037711792</v>
      </c>
      <c r="J925">
        <v>4.8</v>
      </c>
      <c r="K925" t="b">
        <v>0</v>
      </c>
    </row>
    <row r="926" spans="1:11" ht="16" x14ac:dyDescent="0.2">
      <c r="A926" s="16">
        <v>45071</v>
      </c>
      <c r="B926" t="s">
        <v>33</v>
      </c>
      <c r="C926" t="s">
        <v>68</v>
      </c>
      <c r="D926" t="s">
        <v>20</v>
      </c>
      <c r="E926" t="s">
        <v>7643</v>
      </c>
      <c r="F926">
        <v>4</v>
      </c>
      <c r="G926" s="15">
        <v>2710000</v>
      </c>
      <c r="H926" s="14">
        <v>0.13075929750140999</v>
      </c>
      <c r="I926" s="27">
        <f t="shared" si="14"/>
        <v>2355642.3037711792</v>
      </c>
      <c r="J926">
        <v>4.5999999999999996</v>
      </c>
      <c r="K926" t="b">
        <v>1</v>
      </c>
    </row>
    <row r="927" spans="1:11" ht="16" x14ac:dyDescent="0.2">
      <c r="A927" s="16">
        <v>45072</v>
      </c>
      <c r="B927" t="s">
        <v>33</v>
      </c>
      <c r="C927" t="s">
        <v>19</v>
      </c>
      <c r="D927" t="s">
        <v>20</v>
      </c>
      <c r="E927" t="s">
        <v>7643</v>
      </c>
      <c r="F927">
        <v>1</v>
      </c>
      <c r="G927" s="15">
        <v>2710000</v>
      </c>
      <c r="H927" s="14">
        <v>0.13075929750140999</v>
      </c>
      <c r="I927" s="27">
        <f t="shared" si="14"/>
        <v>2355642.3037711792</v>
      </c>
      <c r="J927">
        <v>3.4</v>
      </c>
      <c r="K927" t="b">
        <v>1</v>
      </c>
    </row>
    <row r="928" spans="1:11" ht="16" x14ac:dyDescent="0.2">
      <c r="A928" s="16">
        <v>45072</v>
      </c>
      <c r="B928" t="s">
        <v>33</v>
      </c>
      <c r="C928" t="s">
        <v>68</v>
      </c>
      <c r="D928" t="s">
        <v>46</v>
      </c>
      <c r="E928" t="s">
        <v>99</v>
      </c>
      <c r="F928">
        <v>1</v>
      </c>
      <c r="G928" s="15">
        <v>2710000</v>
      </c>
      <c r="H928" s="14">
        <v>0.13075929750140999</v>
      </c>
      <c r="I928" s="27">
        <f t="shared" si="14"/>
        <v>2355642.3037711792</v>
      </c>
      <c r="J928">
        <v>4.4000000000000004</v>
      </c>
      <c r="K928" t="b">
        <v>1</v>
      </c>
    </row>
    <row r="929" spans="1:11" ht="16" x14ac:dyDescent="0.2">
      <c r="A929" s="16">
        <v>45073</v>
      </c>
      <c r="B929" t="s">
        <v>45</v>
      </c>
      <c r="C929" t="s">
        <v>25</v>
      </c>
      <c r="D929" t="s">
        <v>46</v>
      </c>
      <c r="E929" t="s">
        <v>7641</v>
      </c>
      <c r="F929">
        <v>2</v>
      </c>
      <c r="G929" s="15">
        <v>2710000</v>
      </c>
      <c r="H929" s="14">
        <v>0.13075929750140999</v>
      </c>
      <c r="I929" s="27">
        <f t="shared" si="14"/>
        <v>2355642.3037711792</v>
      </c>
      <c r="J929">
        <v>3.8</v>
      </c>
      <c r="K929" t="b">
        <v>1</v>
      </c>
    </row>
    <row r="930" spans="1:11" ht="16" x14ac:dyDescent="0.2">
      <c r="A930" s="16">
        <v>45074</v>
      </c>
      <c r="B930" t="s">
        <v>45</v>
      </c>
      <c r="C930" t="s">
        <v>45</v>
      </c>
      <c r="D930" t="s">
        <v>20</v>
      </c>
      <c r="E930" t="s">
        <v>7640</v>
      </c>
      <c r="F930">
        <v>2</v>
      </c>
      <c r="G930" s="15">
        <v>2710000</v>
      </c>
      <c r="H930" s="14">
        <v>0.13075929750140999</v>
      </c>
      <c r="I930" s="27">
        <f t="shared" si="14"/>
        <v>2355642.3037711792</v>
      </c>
      <c r="J930">
        <v>4.3</v>
      </c>
      <c r="K930" t="b">
        <v>1</v>
      </c>
    </row>
    <row r="931" spans="1:11" ht="16" x14ac:dyDescent="0.2">
      <c r="A931" s="16">
        <v>45074</v>
      </c>
      <c r="B931" t="s">
        <v>29</v>
      </c>
      <c r="C931" t="s">
        <v>45</v>
      </c>
      <c r="D931" t="s">
        <v>20</v>
      </c>
      <c r="E931" t="s">
        <v>7640</v>
      </c>
      <c r="F931">
        <v>1</v>
      </c>
      <c r="G931" s="15">
        <v>2710000</v>
      </c>
      <c r="H931" s="14">
        <v>0.13075929750140999</v>
      </c>
      <c r="I931" s="27">
        <f t="shared" si="14"/>
        <v>2355642.3037711792</v>
      </c>
      <c r="J931">
        <v>4.8</v>
      </c>
      <c r="K931" t="b">
        <v>1</v>
      </c>
    </row>
    <row r="932" spans="1:11" ht="16" x14ac:dyDescent="0.2">
      <c r="A932" s="16">
        <v>45074</v>
      </c>
      <c r="B932" t="s">
        <v>45</v>
      </c>
      <c r="C932" t="s">
        <v>34</v>
      </c>
      <c r="D932" t="s">
        <v>50</v>
      </c>
      <c r="E932" t="s">
        <v>99</v>
      </c>
      <c r="F932">
        <v>1</v>
      </c>
      <c r="G932" s="15">
        <v>2710000</v>
      </c>
      <c r="H932" s="14">
        <v>0.13075929750140999</v>
      </c>
      <c r="I932" s="27">
        <f t="shared" si="14"/>
        <v>2355642.3037711792</v>
      </c>
      <c r="J932">
        <v>4</v>
      </c>
      <c r="K932" t="b">
        <v>1</v>
      </c>
    </row>
    <row r="933" spans="1:11" ht="16" x14ac:dyDescent="0.2">
      <c r="A933" s="16">
        <v>45075</v>
      </c>
      <c r="B933" t="str">
        <f>B932</f>
        <v>Family</v>
      </c>
      <c r="C933" t="s">
        <v>19</v>
      </c>
      <c r="D933" t="s">
        <v>20</v>
      </c>
      <c r="E933" t="s">
        <v>57</v>
      </c>
      <c r="F933">
        <v>2</v>
      </c>
      <c r="G933" s="15">
        <v>2710000</v>
      </c>
      <c r="H933" s="14">
        <v>0.13075929750140999</v>
      </c>
      <c r="I933" s="27">
        <f t="shared" si="14"/>
        <v>2355642.3037711792</v>
      </c>
      <c r="J933">
        <v>4.0999999999999996</v>
      </c>
      <c r="K933" t="b">
        <v>1</v>
      </c>
    </row>
    <row r="934" spans="1:11" ht="16" x14ac:dyDescent="0.2">
      <c r="A934" s="16">
        <v>45075</v>
      </c>
      <c r="B934" t="s">
        <v>45</v>
      </c>
      <c r="C934" t="s">
        <v>25</v>
      </c>
      <c r="D934" t="str">
        <f>D933</f>
        <v>Website</v>
      </c>
      <c r="E934" t="s">
        <v>7640</v>
      </c>
      <c r="F934">
        <v>2</v>
      </c>
      <c r="G934" s="15">
        <v>2710000</v>
      </c>
      <c r="H934" s="14">
        <v>0.13075929750140999</v>
      </c>
      <c r="I934" s="27">
        <f t="shared" si="14"/>
        <v>2355642.3037711792</v>
      </c>
      <c r="J934">
        <v>4</v>
      </c>
      <c r="K934" t="b">
        <v>0</v>
      </c>
    </row>
    <row r="935" spans="1:11" ht="16" x14ac:dyDescent="0.2">
      <c r="A935" s="16">
        <v>45075</v>
      </c>
      <c r="B935" t="s">
        <v>18</v>
      </c>
      <c r="C935" t="s">
        <v>45</v>
      </c>
      <c r="D935" t="s">
        <v>46</v>
      </c>
      <c r="E935" t="s">
        <v>7638</v>
      </c>
      <c r="F935">
        <v>3</v>
      </c>
      <c r="G935" s="15">
        <v>2710000</v>
      </c>
      <c r="H935" s="14">
        <v>0.13075929750140999</v>
      </c>
      <c r="I935" s="27">
        <f t="shared" si="14"/>
        <v>2355642.3037711792</v>
      </c>
      <c r="J935">
        <v>4.5999999999999996</v>
      </c>
      <c r="K935" t="b">
        <v>1</v>
      </c>
    </row>
    <row r="936" spans="1:11" ht="16" x14ac:dyDescent="0.2">
      <c r="A936" s="16">
        <v>45076</v>
      </c>
      <c r="B936" t="s">
        <v>18</v>
      </c>
      <c r="C936" t="s">
        <v>45</v>
      </c>
      <c r="D936" t="s">
        <v>20</v>
      </c>
      <c r="E936" t="s">
        <v>57</v>
      </c>
      <c r="F936">
        <v>1</v>
      </c>
      <c r="G936" s="15">
        <v>2710000</v>
      </c>
      <c r="H936" s="14">
        <v>0.13075929750140999</v>
      </c>
      <c r="I936" s="27">
        <f t="shared" si="14"/>
        <v>2355642.3037711792</v>
      </c>
      <c r="J936">
        <v>3.4</v>
      </c>
      <c r="K936" t="b">
        <v>0</v>
      </c>
    </row>
    <row r="937" spans="1:11" ht="16" x14ac:dyDescent="0.2">
      <c r="A937" s="16">
        <v>45076</v>
      </c>
      <c r="B937" t="s">
        <v>45</v>
      </c>
      <c r="C937" t="s">
        <v>34</v>
      </c>
      <c r="D937" t="s">
        <v>50</v>
      </c>
      <c r="E937" t="s">
        <v>7638</v>
      </c>
      <c r="F937">
        <v>2</v>
      </c>
      <c r="G937" s="15">
        <v>2710000</v>
      </c>
      <c r="H937" s="14">
        <v>0.13075929750140999</v>
      </c>
      <c r="I937" s="27">
        <f t="shared" si="14"/>
        <v>2355642.3037711792</v>
      </c>
      <c r="J937">
        <v>3.8</v>
      </c>
      <c r="K937" t="b">
        <v>1</v>
      </c>
    </row>
    <row r="938" spans="1:11" ht="16" x14ac:dyDescent="0.2">
      <c r="A938" s="16">
        <v>45077</v>
      </c>
      <c r="B938" t="str">
        <f>B937</f>
        <v>Family</v>
      </c>
      <c r="C938" t="s">
        <v>45</v>
      </c>
      <c r="D938" t="s">
        <v>20</v>
      </c>
      <c r="E938" t="s">
        <v>99</v>
      </c>
      <c r="F938">
        <v>1</v>
      </c>
      <c r="G938" s="15">
        <v>2710000</v>
      </c>
      <c r="H938" s="14">
        <v>0.13075929750140999</v>
      </c>
      <c r="I938" s="27">
        <f t="shared" si="14"/>
        <v>2355642.3037711792</v>
      </c>
      <c r="J938">
        <v>4.5</v>
      </c>
      <c r="K938" t="b">
        <v>0</v>
      </c>
    </row>
    <row r="939" spans="1:11" ht="16" x14ac:dyDescent="0.2">
      <c r="A939" s="16">
        <v>45078</v>
      </c>
      <c r="B939" t="s">
        <v>18</v>
      </c>
      <c r="C939" t="s">
        <v>25</v>
      </c>
      <c r="D939" t="s">
        <v>20</v>
      </c>
      <c r="E939" t="s">
        <v>99</v>
      </c>
      <c r="F939">
        <v>2</v>
      </c>
      <c r="G939" s="15">
        <v>2710000</v>
      </c>
      <c r="H939" s="14">
        <v>0.13075929750140999</v>
      </c>
      <c r="I939" s="27">
        <f t="shared" si="14"/>
        <v>2355642.3037711792</v>
      </c>
      <c r="J939">
        <v>3.9</v>
      </c>
      <c r="K939" t="b">
        <v>1</v>
      </c>
    </row>
    <row r="940" spans="1:11" ht="16" x14ac:dyDescent="0.2">
      <c r="A940" s="16">
        <v>45078</v>
      </c>
      <c r="B940" t="s">
        <v>18</v>
      </c>
      <c r="C940" t="s">
        <v>68</v>
      </c>
      <c r="D940" t="s">
        <v>35</v>
      </c>
      <c r="E940" t="s">
        <v>57</v>
      </c>
      <c r="F940">
        <v>1</v>
      </c>
      <c r="G940" s="15">
        <v>2710000</v>
      </c>
      <c r="H940" s="14">
        <v>0.13075929750140999</v>
      </c>
      <c r="I940" s="27">
        <f t="shared" si="14"/>
        <v>2355642.3037711792</v>
      </c>
      <c r="J940">
        <v>3.8</v>
      </c>
      <c r="K940" t="b">
        <v>1</v>
      </c>
    </row>
    <row r="941" spans="1:11" ht="16" x14ac:dyDescent="0.2">
      <c r="A941" s="16">
        <v>45078</v>
      </c>
      <c r="B941" t="s">
        <v>45</v>
      </c>
      <c r="C941" t="s">
        <v>45</v>
      </c>
      <c r="D941" t="s">
        <v>50</v>
      </c>
      <c r="E941" t="s">
        <v>7644</v>
      </c>
      <c r="F941">
        <v>1</v>
      </c>
      <c r="G941" s="15">
        <v>2710000</v>
      </c>
      <c r="H941" s="14">
        <v>0.13075929750140999</v>
      </c>
      <c r="I941" s="27">
        <f t="shared" si="14"/>
        <v>2355642.3037711792</v>
      </c>
      <c r="J941">
        <v>4</v>
      </c>
      <c r="K941" t="b">
        <v>1</v>
      </c>
    </row>
    <row r="942" spans="1:11" ht="16" x14ac:dyDescent="0.2">
      <c r="A942" s="16">
        <v>45078</v>
      </c>
      <c r="B942" t="s">
        <v>45</v>
      </c>
      <c r="C942" t="s">
        <v>45</v>
      </c>
      <c r="D942" t="s">
        <v>20</v>
      </c>
      <c r="E942" t="str">
        <f>E941</f>
        <v>Hạ Long</v>
      </c>
      <c r="F942">
        <v>1</v>
      </c>
      <c r="G942" s="15">
        <v>2710000</v>
      </c>
      <c r="H942" s="14">
        <v>0.13075929750140999</v>
      </c>
      <c r="I942" s="27">
        <f t="shared" si="14"/>
        <v>2355642.3037711792</v>
      </c>
      <c r="J942">
        <v>4.0999999999999996</v>
      </c>
      <c r="K942" t="b">
        <v>1</v>
      </c>
    </row>
    <row r="943" spans="1:11" ht="16" x14ac:dyDescent="0.2">
      <c r="A943" s="16">
        <v>45079</v>
      </c>
      <c r="B943" t="s">
        <v>18</v>
      </c>
      <c r="C943" t="s">
        <v>68</v>
      </c>
      <c r="D943" t="s">
        <v>20</v>
      </c>
      <c r="E943" t="s">
        <v>7641</v>
      </c>
      <c r="F943">
        <v>2</v>
      </c>
      <c r="G943" s="15">
        <v>2710000</v>
      </c>
      <c r="H943" s="14">
        <v>0.13075929750140999</v>
      </c>
      <c r="I943" s="27">
        <f t="shared" si="14"/>
        <v>2355642.3037711792</v>
      </c>
      <c r="J943">
        <v>4.4000000000000004</v>
      </c>
      <c r="K943" t="b">
        <v>1</v>
      </c>
    </row>
    <row r="944" spans="1:11" ht="16" x14ac:dyDescent="0.2">
      <c r="A944" s="16">
        <v>45079</v>
      </c>
      <c r="B944" t="s">
        <v>18</v>
      </c>
      <c r="C944" t="s">
        <v>39</v>
      </c>
      <c r="D944" t="s">
        <v>35</v>
      </c>
      <c r="E944" t="s">
        <v>7642</v>
      </c>
      <c r="F944">
        <v>1</v>
      </c>
      <c r="G944" s="15">
        <v>2710000</v>
      </c>
      <c r="H944" s="14">
        <v>0.13075929750140999</v>
      </c>
      <c r="I944" s="27">
        <f t="shared" si="14"/>
        <v>2355642.3037711792</v>
      </c>
      <c r="J944">
        <v>4.2</v>
      </c>
      <c r="K944" t="b">
        <v>0</v>
      </c>
    </row>
    <row r="945" spans="1:11" ht="16" x14ac:dyDescent="0.2">
      <c r="A945" s="16">
        <v>45079</v>
      </c>
      <c r="B945" t="str">
        <f>B944</f>
        <v>Young Professional</v>
      </c>
      <c r="C945" t="s">
        <v>34</v>
      </c>
      <c r="D945" t="s">
        <v>50</v>
      </c>
      <c r="E945" t="s">
        <v>99</v>
      </c>
      <c r="F945">
        <v>3</v>
      </c>
      <c r="G945" s="15">
        <v>2710000</v>
      </c>
      <c r="H945" s="14">
        <v>0.13075929750140999</v>
      </c>
      <c r="I945" s="27">
        <f t="shared" si="14"/>
        <v>2355642.3037711792</v>
      </c>
      <c r="J945">
        <v>4.4000000000000004</v>
      </c>
      <c r="K945" t="b">
        <v>0</v>
      </c>
    </row>
    <row r="946" spans="1:11" ht="16" x14ac:dyDescent="0.2">
      <c r="A946" s="16">
        <v>45080</v>
      </c>
      <c r="B946" t="s">
        <v>45</v>
      </c>
      <c r="C946" t="s">
        <v>25</v>
      </c>
      <c r="D946" t="s">
        <v>35</v>
      </c>
      <c r="E946" t="s">
        <v>99</v>
      </c>
      <c r="F946">
        <v>1</v>
      </c>
      <c r="G946" s="15">
        <v>2710000</v>
      </c>
      <c r="H946" s="14">
        <v>0.13075929750140999</v>
      </c>
      <c r="I946" s="27">
        <f t="shared" si="14"/>
        <v>2355642.3037711792</v>
      </c>
      <c r="J946">
        <v>4.0999999999999996</v>
      </c>
      <c r="K946" t="b">
        <v>1</v>
      </c>
    </row>
    <row r="947" spans="1:11" ht="16" x14ac:dyDescent="0.2">
      <c r="A947" s="16">
        <v>45082</v>
      </c>
      <c r="B947" t="s">
        <v>33</v>
      </c>
      <c r="C947" t="s">
        <v>68</v>
      </c>
      <c r="D947" t="s">
        <v>50</v>
      </c>
      <c r="E947" t="str">
        <f>E946</f>
        <v>Sa Pa</v>
      </c>
      <c r="F947">
        <v>2</v>
      </c>
      <c r="G947" s="15">
        <v>2710000</v>
      </c>
      <c r="H947" s="14">
        <v>0.13075929750140999</v>
      </c>
      <c r="I947" s="27">
        <f t="shared" si="14"/>
        <v>2355642.3037711792</v>
      </c>
      <c r="J947">
        <v>4.2</v>
      </c>
      <c r="K947" t="b">
        <v>0</v>
      </c>
    </row>
    <row r="948" spans="1:11" ht="16" x14ac:dyDescent="0.2">
      <c r="A948" s="16">
        <v>45082</v>
      </c>
      <c r="B948" t="s">
        <v>45</v>
      </c>
      <c r="C948" t="s">
        <v>39</v>
      </c>
      <c r="D948" t="s">
        <v>35</v>
      </c>
      <c r="E948" t="s">
        <v>7642</v>
      </c>
      <c r="F948">
        <v>1</v>
      </c>
      <c r="G948" s="15">
        <v>2710000</v>
      </c>
      <c r="H948" s="14">
        <v>0.13075929750140999</v>
      </c>
      <c r="I948" s="27">
        <f t="shared" si="14"/>
        <v>2355642.3037711792</v>
      </c>
      <c r="J948">
        <v>4.3</v>
      </c>
      <c r="K948" t="b">
        <v>1</v>
      </c>
    </row>
    <row r="949" spans="1:11" ht="16" x14ac:dyDescent="0.2">
      <c r="A949" s="16">
        <v>45082</v>
      </c>
      <c r="B949" t="s">
        <v>33</v>
      </c>
      <c r="C949" t="s">
        <v>34</v>
      </c>
      <c r="D949" t="s">
        <v>20</v>
      </c>
      <c r="E949" t="str">
        <f>E948</f>
        <v>Huế</v>
      </c>
      <c r="F949">
        <v>4</v>
      </c>
      <c r="G949" s="15">
        <v>2710000</v>
      </c>
      <c r="H949" s="14">
        <v>0.13075929750140999</v>
      </c>
      <c r="I949" s="27">
        <f t="shared" si="14"/>
        <v>2355642.3037711792</v>
      </c>
      <c r="J949">
        <v>4.0999999999999996</v>
      </c>
      <c r="K949" t="b">
        <v>1</v>
      </c>
    </row>
    <row r="950" spans="1:11" ht="16" x14ac:dyDescent="0.2">
      <c r="A950" s="16">
        <v>45083</v>
      </c>
      <c r="B950" t="s">
        <v>18</v>
      </c>
      <c r="C950" t="s">
        <v>19</v>
      </c>
      <c r="D950" t="s">
        <v>20</v>
      </c>
      <c r="E950" t="s">
        <v>99</v>
      </c>
      <c r="F950">
        <v>1</v>
      </c>
      <c r="G950" s="15">
        <v>2710000</v>
      </c>
      <c r="H950" s="14">
        <v>0.13075929750140999</v>
      </c>
      <c r="I950" s="27">
        <f t="shared" si="14"/>
        <v>2355642.3037711792</v>
      </c>
      <c r="J950">
        <v>4.7</v>
      </c>
      <c r="K950" t="b">
        <v>0</v>
      </c>
    </row>
    <row r="951" spans="1:11" ht="16" x14ac:dyDescent="0.2">
      <c r="A951" s="16">
        <v>45085</v>
      </c>
      <c r="B951" t="s">
        <v>45</v>
      </c>
      <c r="C951" t="s">
        <v>34</v>
      </c>
      <c r="D951" t="s">
        <v>20</v>
      </c>
      <c r="E951" t="s">
        <v>7644</v>
      </c>
      <c r="F951">
        <v>1</v>
      </c>
      <c r="G951" s="15">
        <v>2710000</v>
      </c>
      <c r="H951" s="14">
        <v>0.13075929750140999</v>
      </c>
      <c r="I951" s="27">
        <f t="shared" si="14"/>
        <v>2355642.3037711792</v>
      </c>
      <c r="J951">
        <v>4.5999999999999996</v>
      </c>
      <c r="K951" t="b">
        <v>1</v>
      </c>
    </row>
    <row r="952" spans="1:11" ht="16" x14ac:dyDescent="0.2">
      <c r="A952" s="16">
        <v>45086</v>
      </c>
      <c r="B952" t="s">
        <v>45</v>
      </c>
      <c r="C952" t="s">
        <v>34</v>
      </c>
      <c r="D952" t="s">
        <v>20</v>
      </c>
      <c r="E952" t="str">
        <f>E951</f>
        <v>Hạ Long</v>
      </c>
      <c r="F952">
        <v>3</v>
      </c>
      <c r="G952" s="15">
        <v>2710000</v>
      </c>
      <c r="H952" s="14">
        <v>0.13075929750140999</v>
      </c>
      <c r="I952" s="27">
        <f t="shared" si="14"/>
        <v>2355642.3037711792</v>
      </c>
      <c r="J952">
        <v>4.4000000000000004</v>
      </c>
      <c r="K952" t="b">
        <v>0</v>
      </c>
    </row>
    <row r="953" spans="1:11" ht="16" x14ac:dyDescent="0.2">
      <c r="A953" s="16">
        <v>45086</v>
      </c>
      <c r="B953" t="s">
        <v>18</v>
      </c>
      <c r="C953" t="s">
        <v>34</v>
      </c>
      <c r="D953" t="s">
        <v>20</v>
      </c>
      <c r="E953" t="s">
        <v>57</v>
      </c>
      <c r="F953">
        <v>3</v>
      </c>
      <c r="G953" s="15">
        <v>2710000</v>
      </c>
      <c r="H953" s="14">
        <v>0.13075929750140999</v>
      </c>
      <c r="I953" s="27">
        <f t="shared" si="14"/>
        <v>2355642.3037711792</v>
      </c>
      <c r="J953">
        <v>3.7</v>
      </c>
      <c r="K953" t="b">
        <v>0</v>
      </c>
    </row>
    <row r="954" spans="1:11" ht="16" x14ac:dyDescent="0.2">
      <c r="A954" s="16">
        <v>45086</v>
      </c>
      <c r="B954" t="s">
        <v>33</v>
      </c>
      <c r="C954" t="s">
        <v>34</v>
      </c>
      <c r="D954" t="s">
        <v>50</v>
      </c>
      <c r="E954" t="s">
        <v>7638</v>
      </c>
      <c r="F954">
        <v>2</v>
      </c>
      <c r="G954" s="15">
        <v>2710000</v>
      </c>
      <c r="H954" s="14">
        <v>0.13075929750140999</v>
      </c>
      <c r="I954" s="27">
        <f t="shared" si="14"/>
        <v>2355642.3037711792</v>
      </c>
      <c r="J954">
        <v>3.9</v>
      </c>
      <c r="K954" t="b">
        <v>1</v>
      </c>
    </row>
    <row r="955" spans="1:11" ht="16" x14ac:dyDescent="0.2">
      <c r="A955" s="16">
        <v>45087</v>
      </c>
      <c r="B955" t="s">
        <v>18</v>
      </c>
      <c r="C955" t="s">
        <v>25</v>
      </c>
      <c r="D955" t="s">
        <v>50</v>
      </c>
      <c r="E955" t="s">
        <v>7637</v>
      </c>
      <c r="F955">
        <v>1</v>
      </c>
      <c r="G955" s="15">
        <v>2710000</v>
      </c>
      <c r="H955" s="14">
        <v>0.13075929750140999</v>
      </c>
      <c r="I955" s="27">
        <f t="shared" si="14"/>
        <v>2355642.3037711792</v>
      </c>
      <c r="J955">
        <v>4.5</v>
      </c>
      <c r="K955" t="b">
        <v>1</v>
      </c>
    </row>
    <row r="956" spans="1:11" ht="16" x14ac:dyDescent="0.2">
      <c r="A956" s="16">
        <v>45088</v>
      </c>
      <c r="B956" t="s">
        <v>33</v>
      </c>
      <c r="C956" t="s">
        <v>39</v>
      </c>
      <c r="D956" t="s">
        <v>35</v>
      </c>
      <c r="E956" t="s">
        <v>7643</v>
      </c>
      <c r="F956">
        <v>2</v>
      </c>
      <c r="G956" s="15">
        <v>2710000</v>
      </c>
      <c r="H956" s="14">
        <v>0.13075929750140999</v>
      </c>
      <c r="I956" s="27">
        <f t="shared" si="14"/>
        <v>2355642.3037711792</v>
      </c>
      <c r="J956">
        <v>4.3</v>
      </c>
      <c r="K956" t="b">
        <v>0</v>
      </c>
    </row>
    <row r="957" spans="1:11" ht="16" x14ac:dyDescent="0.2">
      <c r="A957" s="16">
        <v>45088</v>
      </c>
      <c r="B957" t="s">
        <v>29</v>
      </c>
      <c r="C957" t="s">
        <v>25</v>
      </c>
      <c r="D957" t="s">
        <v>20</v>
      </c>
      <c r="E957" t="s">
        <v>7642</v>
      </c>
      <c r="F957">
        <v>1</v>
      </c>
      <c r="G957" s="15">
        <v>2710000</v>
      </c>
      <c r="H957" s="14">
        <v>0.13075929750140999</v>
      </c>
      <c r="I957" s="27">
        <f t="shared" si="14"/>
        <v>2355642.3037711792</v>
      </c>
      <c r="J957">
        <v>4.3</v>
      </c>
      <c r="K957" t="b">
        <v>0</v>
      </c>
    </row>
    <row r="958" spans="1:11" ht="16" x14ac:dyDescent="0.2">
      <c r="A958" s="16">
        <v>45088</v>
      </c>
      <c r="B958" t="s">
        <v>45</v>
      </c>
      <c r="C958" t="s">
        <v>19</v>
      </c>
      <c r="D958" t="s">
        <v>50</v>
      </c>
      <c r="E958" t="s">
        <v>7637</v>
      </c>
      <c r="F958">
        <v>1</v>
      </c>
      <c r="G958" s="15">
        <v>2710000</v>
      </c>
      <c r="H958" s="14">
        <v>0.13075929750140999</v>
      </c>
      <c r="I958" s="27">
        <f t="shared" si="14"/>
        <v>2355642.3037711792</v>
      </c>
      <c r="J958">
        <v>4.3</v>
      </c>
      <c r="K958" t="b">
        <v>0</v>
      </c>
    </row>
    <row r="959" spans="1:11" ht="16" x14ac:dyDescent="0.2">
      <c r="A959" s="16">
        <v>45088</v>
      </c>
      <c r="B959" t="s">
        <v>18</v>
      </c>
      <c r="C959" t="s">
        <v>19</v>
      </c>
      <c r="D959" t="s">
        <v>50</v>
      </c>
      <c r="E959" t="s">
        <v>7639</v>
      </c>
      <c r="F959">
        <v>2</v>
      </c>
      <c r="G959" s="15">
        <v>2710000</v>
      </c>
      <c r="H959" s="14">
        <v>0.13075929750140999</v>
      </c>
      <c r="I959" s="27">
        <f t="shared" si="14"/>
        <v>2355642.3037711792</v>
      </c>
      <c r="J959">
        <v>4.5999999999999996</v>
      </c>
      <c r="K959" t="b">
        <v>1</v>
      </c>
    </row>
    <row r="960" spans="1:11" ht="16" x14ac:dyDescent="0.2">
      <c r="A960" s="16">
        <v>45088</v>
      </c>
      <c r="B960" t="s">
        <v>29</v>
      </c>
      <c r="C960" t="s">
        <v>19</v>
      </c>
      <c r="D960" t="s">
        <v>50</v>
      </c>
      <c r="E960" t="s">
        <v>7641</v>
      </c>
      <c r="F960">
        <v>1</v>
      </c>
      <c r="G960" s="15">
        <v>2710000</v>
      </c>
      <c r="H960" s="14">
        <v>0.13075929750140999</v>
      </c>
      <c r="I960" s="27">
        <f t="shared" si="14"/>
        <v>2355642.3037711792</v>
      </c>
      <c r="J960">
        <v>3.4</v>
      </c>
      <c r="K960" t="b">
        <v>0</v>
      </c>
    </row>
    <row r="961" spans="1:11" ht="16" x14ac:dyDescent="0.2">
      <c r="A961" s="16">
        <v>45089</v>
      </c>
      <c r="B961" t="s">
        <v>33</v>
      </c>
      <c r="C961" t="s">
        <v>25</v>
      </c>
      <c r="D961" t="s">
        <v>20</v>
      </c>
      <c r="E961" t="s">
        <v>7641</v>
      </c>
      <c r="F961">
        <v>3</v>
      </c>
      <c r="G961" s="15">
        <v>2710000</v>
      </c>
      <c r="H961" s="14">
        <v>0.13075929750140999</v>
      </c>
      <c r="I961" s="27">
        <f t="shared" si="14"/>
        <v>2355642.3037711792</v>
      </c>
      <c r="J961">
        <v>5</v>
      </c>
      <c r="K961" t="b">
        <v>0</v>
      </c>
    </row>
    <row r="962" spans="1:11" ht="16" x14ac:dyDescent="0.2">
      <c r="A962" s="16">
        <v>45089</v>
      </c>
      <c r="B962" t="s">
        <v>18</v>
      </c>
      <c r="C962" t="s">
        <v>25</v>
      </c>
      <c r="D962" t="s">
        <v>20</v>
      </c>
      <c r="E962" t="s">
        <v>7641</v>
      </c>
      <c r="F962">
        <v>1</v>
      </c>
      <c r="G962" s="15">
        <v>2710000</v>
      </c>
      <c r="H962" s="14">
        <v>0.13075929750140999</v>
      </c>
      <c r="I962" s="27">
        <f t="shared" si="14"/>
        <v>2355642.3037711792</v>
      </c>
      <c r="J962">
        <v>3.5</v>
      </c>
      <c r="K962" t="b">
        <v>1</v>
      </c>
    </row>
    <row r="963" spans="1:11" ht="16" x14ac:dyDescent="0.2">
      <c r="A963" s="16">
        <v>45089</v>
      </c>
      <c r="B963" t="s">
        <v>33</v>
      </c>
      <c r="C963" t="s">
        <v>39</v>
      </c>
      <c r="D963" t="s">
        <v>20</v>
      </c>
      <c r="E963" t="s">
        <v>99</v>
      </c>
      <c r="F963">
        <v>2</v>
      </c>
      <c r="G963" s="15">
        <v>2710000</v>
      </c>
      <c r="H963" s="14">
        <v>0.13075929750140999</v>
      </c>
      <c r="I963" s="27">
        <f t="shared" ref="I963:I1026" si="15">G963-G963*H963</f>
        <v>2355642.3037711792</v>
      </c>
      <c r="J963">
        <v>4.3</v>
      </c>
      <c r="K963" t="b">
        <v>1</v>
      </c>
    </row>
    <row r="964" spans="1:11" ht="16" x14ac:dyDescent="0.2">
      <c r="A964" s="16">
        <v>45090</v>
      </c>
      <c r="B964" t="s">
        <v>33</v>
      </c>
      <c r="C964" t="s">
        <v>19</v>
      </c>
      <c r="D964" t="s">
        <v>20</v>
      </c>
      <c r="E964" t="s">
        <v>7640</v>
      </c>
      <c r="F964">
        <v>4</v>
      </c>
      <c r="G964" s="15">
        <v>2710000</v>
      </c>
      <c r="H964" s="14">
        <v>0.13075929750140999</v>
      </c>
      <c r="I964" s="27">
        <f t="shared" si="15"/>
        <v>2355642.3037711792</v>
      </c>
      <c r="J964">
        <v>4.8</v>
      </c>
      <c r="K964" t="b">
        <v>1</v>
      </c>
    </row>
    <row r="965" spans="1:11" ht="16" x14ac:dyDescent="0.2">
      <c r="A965" s="16">
        <v>45091</v>
      </c>
      <c r="B965" t="str">
        <f>B964</f>
        <v>Student</v>
      </c>
      <c r="C965" t="s">
        <v>34</v>
      </c>
      <c r="D965" t="s">
        <v>20</v>
      </c>
      <c r="E965" t="s">
        <v>7641</v>
      </c>
      <c r="F965">
        <v>2</v>
      </c>
      <c r="G965" s="15">
        <v>2710000</v>
      </c>
      <c r="H965" s="14">
        <v>0.13075929750140999</v>
      </c>
      <c r="I965" s="27">
        <f t="shared" si="15"/>
        <v>2355642.3037711792</v>
      </c>
      <c r="J965">
        <v>4.5</v>
      </c>
      <c r="K965" t="b">
        <v>1</v>
      </c>
    </row>
    <row r="966" spans="1:11" ht="16" x14ac:dyDescent="0.2">
      <c r="A966" s="16">
        <v>45091</v>
      </c>
      <c r="B966" t="str">
        <f>B965</f>
        <v>Student</v>
      </c>
      <c r="C966" t="s">
        <v>68</v>
      </c>
      <c r="D966" t="s">
        <v>35</v>
      </c>
      <c r="E966" t="s">
        <v>7640</v>
      </c>
      <c r="F966">
        <v>2</v>
      </c>
      <c r="G966" s="15">
        <v>2710000</v>
      </c>
      <c r="H966" s="14">
        <v>0.13075929750140999</v>
      </c>
      <c r="I966" s="27">
        <f t="shared" si="15"/>
        <v>2355642.3037711792</v>
      </c>
      <c r="J966">
        <v>4.3</v>
      </c>
      <c r="K966" t="b">
        <v>1</v>
      </c>
    </row>
    <row r="967" spans="1:11" ht="16" x14ac:dyDescent="0.2">
      <c r="A967" s="16">
        <v>45091</v>
      </c>
      <c r="B967" t="s">
        <v>18</v>
      </c>
      <c r="C967" t="s">
        <v>45</v>
      </c>
      <c r="D967" t="s">
        <v>50</v>
      </c>
      <c r="E967" t="s">
        <v>7640</v>
      </c>
      <c r="F967">
        <v>1</v>
      </c>
      <c r="G967" s="15">
        <v>2710000</v>
      </c>
      <c r="H967" s="14">
        <v>0.13075929750140999</v>
      </c>
      <c r="I967" s="27">
        <f t="shared" si="15"/>
        <v>2355642.3037711792</v>
      </c>
      <c r="J967">
        <v>4.4000000000000004</v>
      </c>
      <c r="K967" t="b">
        <v>1</v>
      </c>
    </row>
    <row r="968" spans="1:11" ht="16" x14ac:dyDescent="0.2">
      <c r="A968" s="16">
        <v>45091</v>
      </c>
      <c r="B968" t="s">
        <v>18</v>
      </c>
      <c r="C968" t="s">
        <v>34</v>
      </c>
      <c r="D968" t="s">
        <v>20</v>
      </c>
      <c r="E968" t="s">
        <v>7637</v>
      </c>
      <c r="F968">
        <v>4</v>
      </c>
      <c r="G968" s="15">
        <v>2710000</v>
      </c>
      <c r="H968" s="14">
        <v>0.13075929750140999</v>
      </c>
      <c r="I968" s="27">
        <f t="shared" si="15"/>
        <v>2355642.3037711792</v>
      </c>
      <c r="J968">
        <v>4.5</v>
      </c>
      <c r="K968" t="b">
        <v>0</v>
      </c>
    </row>
    <row r="969" spans="1:11" ht="16" x14ac:dyDescent="0.2">
      <c r="A969" s="16">
        <v>45091</v>
      </c>
      <c r="B969" t="s">
        <v>33</v>
      </c>
      <c r="C969" t="s">
        <v>25</v>
      </c>
      <c r="D969" t="s">
        <v>46</v>
      </c>
      <c r="E969" t="s">
        <v>7644</v>
      </c>
      <c r="F969">
        <v>3</v>
      </c>
      <c r="G969" s="15">
        <v>2710000</v>
      </c>
      <c r="H969" s="14">
        <v>0.13075929750140999</v>
      </c>
      <c r="I969" s="27">
        <f t="shared" si="15"/>
        <v>2355642.3037711792</v>
      </c>
      <c r="J969">
        <v>4.5999999999999996</v>
      </c>
      <c r="K969" t="b">
        <v>0</v>
      </c>
    </row>
    <row r="970" spans="1:11" ht="16" x14ac:dyDescent="0.2">
      <c r="A970" s="16">
        <v>45092</v>
      </c>
      <c r="B970" t="s">
        <v>45</v>
      </c>
      <c r="C970" t="s">
        <v>19</v>
      </c>
      <c r="D970" t="s">
        <v>20</v>
      </c>
      <c r="E970" t="s">
        <v>7641</v>
      </c>
      <c r="F970">
        <v>3</v>
      </c>
      <c r="G970" s="15">
        <v>2710000</v>
      </c>
      <c r="H970" s="14">
        <v>0.13075929750140999</v>
      </c>
      <c r="I970" s="27">
        <f t="shared" si="15"/>
        <v>2355642.3037711792</v>
      </c>
      <c r="J970">
        <v>4.5</v>
      </c>
      <c r="K970" t="b">
        <v>1</v>
      </c>
    </row>
    <row r="971" spans="1:11" ht="16" x14ac:dyDescent="0.2">
      <c r="A971" s="16">
        <v>45093</v>
      </c>
      <c r="B971" t="s">
        <v>33</v>
      </c>
      <c r="C971" t="s">
        <v>34</v>
      </c>
      <c r="D971" t="s">
        <v>20</v>
      </c>
      <c r="E971" t="s">
        <v>7644</v>
      </c>
      <c r="F971">
        <v>4</v>
      </c>
      <c r="G971" s="15">
        <v>2710000</v>
      </c>
      <c r="H971" s="14">
        <v>0.13075929750140999</v>
      </c>
      <c r="I971" s="27">
        <f t="shared" si="15"/>
        <v>2355642.3037711792</v>
      </c>
      <c r="J971">
        <v>3.8</v>
      </c>
      <c r="K971" t="b">
        <v>1</v>
      </c>
    </row>
    <row r="972" spans="1:11" ht="16" x14ac:dyDescent="0.2">
      <c r="A972" s="16">
        <v>45093</v>
      </c>
      <c r="B972" t="s">
        <v>33</v>
      </c>
      <c r="C972" t="s">
        <v>19</v>
      </c>
      <c r="D972" t="s">
        <v>20</v>
      </c>
      <c r="E972" t="s">
        <v>7641</v>
      </c>
      <c r="F972">
        <v>2</v>
      </c>
      <c r="G972" s="15">
        <v>2710000</v>
      </c>
      <c r="H972" s="14">
        <v>0.13075929750140999</v>
      </c>
      <c r="I972" s="27">
        <f t="shared" si="15"/>
        <v>2355642.3037711792</v>
      </c>
      <c r="J972">
        <v>4</v>
      </c>
      <c r="K972" t="b">
        <v>0</v>
      </c>
    </row>
    <row r="973" spans="1:11" ht="16" x14ac:dyDescent="0.2">
      <c r="A973" s="16">
        <v>45094</v>
      </c>
      <c r="B973" t="s">
        <v>18</v>
      </c>
      <c r="C973" t="s">
        <v>45</v>
      </c>
      <c r="D973" t="s">
        <v>20</v>
      </c>
      <c r="E973" t="s">
        <v>7643</v>
      </c>
      <c r="F973">
        <v>2</v>
      </c>
      <c r="G973" s="15">
        <v>2710000</v>
      </c>
      <c r="H973" s="14">
        <v>0.13075929750140999</v>
      </c>
      <c r="I973" s="27">
        <f t="shared" si="15"/>
        <v>2355642.3037711792</v>
      </c>
      <c r="J973">
        <v>4.3</v>
      </c>
      <c r="K973" t="b">
        <v>1</v>
      </c>
    </row>
    <row r="974" spans="1:11" ht="16" x14ac:dyDescent="0.2">
      <c r="A974" s="16">
        <v>45094</v>
      </c>
      <c r="B974" t="s">
        <v>45</v>
      </c>
      <c r="C974" t="s">
        <v>25</v>
      </c>
      <c r="D974" t="s">
        <v>20</v>
      </c>
      <c r="E974" t="s">
        <v>7639</v>
      </c>
      <c r="F974">
        <v>1</v>
      </c>
      <c r="G974" s="15">
        <v>2710000</v>
      </c>
      <c r="H974" s="14">
        <v>0.13075929750140999</v>
      </c>
      <c r="I974" s="27">
        <f t="shared" si="15"/>
        <v>2355642.3037711792</v>
      </c>
      <c r="J974">
        <v>4.2</v>
      </c>
      <c r="K974" t="b">
        <v>0</v>
      </c>
    </row>
    <row r="975" spans="1:11" ht="16" x14ac:dyDescent="0.2">
      <c r="A975" s="16">
        <v>45094</v>
      </c>
      <c r="B975" t="s">
        <v>45</v>
      </c>
      <c r="C975" t="s">
        <v>45</v>
      </c>
      <c r="D975" t="s">
        <v>20</v>
      </c>
      <c r="E975" t="s">
        <v>7640</v>
      </c>
      <c r="F975">
        <v>5</v>
      </c>
      <c r="G975" s="15">
        <v>2710000</v>
      </c>
      <c r="H975" s="14">
        <v>0.13075929750140999</v>
      </c>
      <c r="I975" s="27">
        <f t="shared" si="15"/>
        <v>2355642.3037711792</v>
      </c>
      <c r="J975">
        <v>3.8</v>
      </c>
      <c r="K975" t="b">
        <v>0</v>
      </c>
    </row>
    <row r="976" spans="1:11" ht="16" x14ac:dyDescent="0.2">
      <c r="A976" s="16">
        <v>45096</v>
      </c>
      <c r="B976" t="s">
        <v>33</v>
      </c>
      <c r="C976" t="s">
        <v>45</v>
      </c>
      <c r="D976" t="s">
        <v>20</v>
      </c>
      <c r="E976" t="s">
        <v>7637</v>
      </c>
      <c r="F976">
        <v>1</v>
      </c>
      <c r="G976" s="15">
        <v>2710000</v>
      </c>
      <c r="H976" s="14">
        <v>0.13075929750140999</v>
      </c>
      <c r="I976" s="27">
        <f t="shared" si="15"/>
        <v>2355642.3037711792</v>
      </c>
      <c r="J976">
        <v>4.3</v>
      </c>
      <c r="K976" t="b">
        <v>0</v>
      </c>
    </row>
    <row r="977" spans="1:11" ht="16" x14ac:dyDescent="0.2">
      <c r="A977" s="16">
        <v>45096</v>
      </c>
      <c r="B977" t="s">
        <v>45</v>
      </c>
      <c r="C977" t="s">
        <v>39</v>
      </c>
      <c r="D977" t="s">
        <v>20</v>
      </c>
      <c r="E977" t="s">
        <v>7637</v>
      </c>
      <c r="F977">
        <v>2</v>
      </c>
      <c r="G977" s="15">
        <v>2710000</v>
      </c>
      <c r="H977" s="14">
        <v>0.13075929750140999</v>
      </c>
      <c r="I977" s="27">
        <f t="shared" si="15"/>
        <v>2355642.3037711792</v>
      </c>
      <c r="J977">
        <v>3.6</v>
      </c>
      <c r="K977" t="b">
        <v>1</v>
      </c>
    </row>
    <row r="978" spans="1:11" ht="16" x14ac:dyDescent="0.2">
      <c r="A978" s="16">
        <v>45096</v>
      </c>
      <c r="B978" t="s">
        <v>18</v>
      </c>
      <c r="C978" t="s">
        <v>34</v>
      </c>
      <c r="D978" t="s">
        <v>50</v>
      </c>
      <c r="E978" t="s">
        <v>7644</v>
      </c>
      <c r="F978">
        <v>1</v>
      </c>
      <c r="G978" s="15">
        <v>2710000</v>
      </c>
      <c r="H978" s="14">
        <v>0.13075929750140999</v>
      </c>
      <c r="I978" s="27">
        <f t="shared" si="15"/>
        <v>2355642.3037711792</v>
      </c>
      <c r="J978">
        <v>3.3</v>
      </c>
      <c r="K978" t="b">
        <v>1</v>
      </c>
    </row>
    <row r="979" spans="1:11" ht="16" x14ac:dyDescent="0.2">
      <c r="A979" s="16">
        <v>45096</v>
      </c>
      <c r="B979" t="s">
        <v>29</v>
      </c>
      <c r="C979" t="s">
        <v>19</v>
      </c>
      <c r="D979" t="s">
        <v>20</v>
      </c>
      <c r="E979" t="s">
        <v>57</v>
      </c>
      <c r="F979">
        <v>2</v>
      </c>
      <c r="G979" s="15">
        <v>2710000</v>
      </c>
      <c r="H979" s="14">
        <v>0.13075929750140999</v>
      </c>
      <c r="I979" s="27">
        <f t="shared" si="15"/>
        <v>2355642.3037711792</v>
      </c>
      <c r="J979">
        <v>3.8</v>
      </c>
      <c r="K979" t="b">
        <v>1</v>
      </c>
    </row>
    <row r="980" spans="1:11" ht="16" x14ac:dyDescent="0.2">
      <c r="A980" s="16">
        <v>45097</v>
      </c>
      <c r="B980" t="s">
        <v>18</v>
      </c>
      <c r="C980" t="s">
        <v>25</v>
      </c>
      <c r="D980" t="s">
        <v>35</v>
      </c>
      <c r="E980" t="s">
        <v>99</v>
      </c>
      <c r="F980">
        <v>4</v>
      </c>
      <c r="G980" s="15">
        <v>2710000</v>
      </c>
      <c r="H980" s="14">
        <v>0.13075929750140999</v>
      </c>
      <c r="I980" s="27">
        <f t="shared" si="15"/>
        <v>2355642.3037711792</v>
      </c>
      <c r="J980">
        <v>4.5</v>
      </c>
      <c r="K980" t="b">
        <v>1</v>
      </c>
    </row>
    <row r="981" spans="1:11" ht="16" x14ac:dyDescent="0.2">
      <c r="A981" s="16">
        <v>45097</v>
      </c>
      <c r="B981" t="s">
        <v>45</v>
      </c>
      <c r="C981" t="s">
        <v>19</v>
      </c>
      <c r="D981" t="s">
        <v>20</v>
      </c>
      <c r="E981" t="s">
        <v>99</v>
      </c>
      <c r="F981">
        <v>2</v>
      </c>
      <c r="G981" s="15">
        <v>2710000</v>
      </c>
      <c r="H981" s="14">
        <v>0.13075929750140999</v>
      </c>
      <c r="I981" s="27">
        <f t="shared" si="15"/>
        <v>2355642.3037711792</v>
      </c>
      <c r="J981">
        <v>5</v>
      </c>
      <c r="K981" t="b">
        <v>1</v>
      </c>
    </row>
    <row r="982" spans="1:11" ht="16" x14ac:dyDescent="0.2">
      <c r="A982" s="16">
        <v>45098</v>
      </c>
      <c r="B982" t="s">
        <v>18</v>
      </c>
      <c r="C982" t="s">
        <v>19</v>
      </c>
      <c r="D982" t="s">
        <v>20</v>
      </c>
      <c r="E982" t="s">
        <v>7644</v>
      </c>
      <c r="F982">
        <v>4</v>
      </c>
      <c r="G982" s="15">
        <v>2710000</v>
      </c>
      <c r="H982" s="14">
        <v>0.13075929750140999</v>
      </c>
      <c r="I982" s="27">
        <f t="shared" si="15"/>
        <v>2355642.3037711792</v>
      </c>
      <c r="J982">
        <v>3.5</v>
      </c>
      <c r="K982" t="b">
        <v>1</v>
      </c>
    </row>
    <row r="983" spans="1:11" ht="16" x14ac:dyDescent="0.2">
      <c r="A983" s="16">
        <v>45098</v>
      </c>
      <c r="B983" t="s">
        <v>33</v>
      </c>
      <c r="C983" t="s">
        <v>25</v>
      </c>
      <c r="D983" t="s">
        <v>20</v>
      </c>
      <c r="E983" t="s">
        <v>57</v>
      </c>
      <c r="F983">
        <v>2</v>
      </c>
      <c r="G983" s="15">
        <v>2710000</v>
      </c>
      <c r="H983" s="14">
        <v>0.13075929750140999</v>
      </c>
      <c r="I983" s="27">
        <f t="shared" si="15"/>
        <v>2355642.3037711792</v>
      </c>
      <c r="J983">
        <v>4.7</v>
      </c>
      <c r="K983" t="b">
        <v>0</v>
      </c>
    </row>
    <row r="984" spans="1:11" ht="16" x14ac:dyDescent="0.2">
      <c r="A984" s="16">
        <v>45098</v>
      </c>
      <c r="B984" t="s">
        <v>45</v>
      </c>
      <c r="C984" t="s">
        <v>19</v>
      </c>
      <c r="D984" t="s">
        <v>20</v>
      </c>
      <c r="E984" t="str">
        <f>E983</f>
        <v>Nha Trang</v>
      </c>
      <c r="F984">
        <v>2</v>
      </c>
      <c r="G984" s="15">
        <v>2710000</v>
      </c>
      <c r="H984" s="14">
        <v>0.13075929750140999</v>
      </c>
      <c r="I984" s="27">
        <f t="shared" si="15"/>
        <v>2355642.3037711792</v>
      </c>
      <c r="J984">
        <v>4</v>
      </c>
      <c r="K984" t="b">
        <v>1</v>
      </c>
    </row>
    <row r="985" spans="1:11" ht="16" x14ac:dyDescent="0.2">
      <c r="A985" s="16">
        <v>45099</v>
      </c>
      <c r="B985" t="s">
        <v>33</v>
      </c>
      <c r="C985" t="s">
        <v>19</v>
      </c>
      <c r="D985" t="s">
        <v>20</v>
      </c>
      <c r="E985" t="s">
        <v>7644</v>
      </c>
      <c r="F985">
        <v>4</v>
      </c>
      <c r="G985" s="15">
        <v>2710000</v>
      </c>
      <c r="H985" s="14">
        <v>0.13075929750140999</v>
      </c>
      <c r="I985" s="27">
        <f t="shared" si="15"/>
        <v>2355642.3037711792</v>
      </c>
      <c r="J985">
        <v>3.5</v>
      </c>
      <c r="K985" t="b">
        <v>0</v>
      </c>
    </row>
    <row r="986" spans="1:11" ht="16" x14ac:dyDescent="0.2">
      <c r="A986" s="16">
        <v>45099</v>
      </c>
      <c r="B986" t="s">
        <v>18</v>
      </c>
      <c r="C986" t="s">
        <v>39</v>
      </c>
      <c r="D986" t="s">
        <v>35</v>
      </c>
      <c r="E986" t="s">
        <v>7638</v>
      </c>
      <c r="F986">
        <v>2</v>
      </c>
      <c r="G986" s="15">
        <v>2710000</v>
      </c>
      <c r="H986" s="14">
        <v>0.13075929750140999</v>
      </c>
      <c r="I986" s="27">
        <f t="shared" si="15"/>
        <v>2355642.3037711792</v>
      </c>
      <c r="J986">
        <v>3.9</v>
      </c>
      <c r="K986" t="b">
        <v>1</v>
      </c>
    </row>
    <row r="987" spans="1:11" ht="16" x14ac:dyDescent="0.2">
      <c r="A987" s="16">
        <v>45099</v>
      </c>
      <c r="B987" t="s">
        <v>18</v>
      </c>
      <c r="C987" t="s">
        <v>25</v>
      </c>
      <c r="D987" t="s">
        <v>50</v>
      </c>
      <c r="E987" t="str">
        <f>E986</f>
        <v>Đà Lạt</v>
      </c>
      <c r="F987">
        <v>3</v>
      </c>
      <c r="G987" s="15">
        <v>2710000</v>
      </c>
      <c r="H987" s="14">
        <v>0.13075929750140999</v>
      </c>
      <c r="I987" s="27">
        <f t="shared" si="15"/>
        <v>2355642.3037711792</v>
      </c>
      <c r="J987">
        <v>4.5999999999999996</v>
      </c>
      <c r="K987" t="b">
        <v>0</v>
      </c>
    </row>
    <row r="988" spans="1:11" ht="16" x14ac:dyDescent="0.2">
      <c r="A988" s="16">
        <v>45099</v>
      </c>
      <c r="B988" t="s">
        <v>29</v>
      </c>
      <c r="C988" t="s">
        <v>25</v>
      </c>
      <c r="D988" t="s">
        <v>35</v>
      </c>
      <c r="E988" t="s">
        <v>7644</v>
      </c>
      <c r="F988">
        <v>1</v>
      </c>
      <c r="G988" s="15">
        <v>2710000</v>
      </c>
      <c r="H988" s="14">
        <v>0.13075929750140999</v>
      </c>
      <c r="I988" s="27">
        <f t="shared" si="15"/>
        <v>2355642.3037711792</v>
      </c>
      <c r="J988">
        <v>3.9</v>
      </c>
      <c r="K988" t="b">
        <v>0</v>
      </c>
    </row>
    <row r="989" spans="1:11" ht="16" x14ac:dyDescent="0.2">
      <c r="A989" s="16">
        <v>45100</v>
      </c>
      <c r="B989" t="s">
        <v>18</v>
      </c>
      <c r="C989" t="s">
        <v>19</v>
      </c>
      <c r="D989" t="s">
        <v>20</v>
      </c>
      <c r="E989" t="s">
        <v>7644</v>
      </c>
      <c r="F989">
        <v>2</v>
      </c>
      <c r="G989" s="15">
        <v>2710000</v>
      </c>
      <c r="H989" s="14">
        <v>0.13075929750140999</v>
      </c>
      <c r="I989" s="27">
        <f t="shared" si="15"/>
        <v>2355642.3037711792</v>
      </c>
      <c r="J989">
        <v>4.8</v>
      </c>
      <c r="K989" t="b">
        <v>1</v>
      </c>
    </row>
    <row r="990" spans="1:11" ht="16" x14ac:dyDescent="0.2">
      <c r="A990" s="16">
        <v>45101</v>
      </c>
      <c r="B990" t="s">
        <v>33</v>
      </c>
      <c r="C990" t="s">
        <v>25</v>
      </c>
      <c r="D990" t="s">
        <v>50</v>
      </c>
      <c r="E990" t="s">
        <v>7642</v>
      </c>
      <c r="F990">
        <v>2</v>
      </c>
      <c r="G990" s="15">
        <v>2710000</v>
      </c>
      <c r="H990" s="14">
        <v>0.13075929750140999</v>
      </c>
      <c r="I990" s="27">
        <f t="shared" si="15"/>
        <v>2355642.3037711792</v>
      </c>
      <c r="J990">
        <v>4.0999999999999996</v>
      </c>
      <c r="K990" t="b">
        <v>0</v>
      </c>
    </row>
    <row r="991" spans="1:11" ht="16" x14ac:dyDescent="0.2">
      <c r="A991" s="16">
        <v>45102</v>
      </c>
      <c r="B991" t="s">
        <v>45</v>
      </c>
      <c r="C991" t="s">
        <v>34</v>
      </c>
      <c r="D991" t="s">
        <v>20</v>
      </c>
      <c r="E991" t="s">
        <v>7640</v>
      </c>
      <c r="F991">
        <v>2</v>
      </c>
      <c r="G991" s="15">
        <v>2710000</v>
      </c>
      <c r="H991" s="14">
        <v>0.13075929750140999</v>
      </c>
      <c r="I991" s="27">
        <f t="shared" si="15"/>
        <v>2355642.3037711792</v>
      </c>
      <c r="J991">
        <v>5</v>
      </c>
      <c r="K991" t="b">
        <v>0</v>
      </c>
    </row>
    <row r="992" spans="1:11" ht="16" x14ac:dyDescent="0.2">
      <c r="A992" s="16">
        <v>45104</v>
      </c>
      <c r="B992" t="s">
        <v>18</v>
      </c>
      <c r="C992" t="s">
        <v>34</v>
      </c>
      <c r="D992" t="s">
        <v>50</v>
      </c>
      <c r="E992" t="s">
        <v>7642</v>
      </c>
      <c r="F992">
        <v>1</v>
      </c>
      <c r="G992" s="15">
        <v>2710000</v>
      </c>
      <c r="H992" s="14">
        <v>0.13075929750140999</v>
      </c>
      <c r="I992" s="27">
        <f t="shared" si="15"/>
        <v>2355642.3037711792</v>
      </c>
      <c r="J992">
        <v>4.3</v>
      </c>
      <c r="K992" t="b">
        <v>1</v>
      </c>
    </row>
    <row r="993" spans="1:11" ht="16" x14ac:dyDescent="0.2">
      <c r="A993" s="16">
        <v>45104</v>
      </c>
      <c r="B993" t="s">
        <v>29</v>
      </c>
      <c r="C993" t="s">
        <v>25</v>
      </c>
      <c r="D993" t="s">
        <v>35</v>
      </c>
      <c r="E993" t="s">
        <v>7640</v>
      </c>
      <c r="F993">
        <v>1</v>
      </c>
      <c r="G993" s="15">
        <v>2710000</v>
      </c>
      <c r="H993" s="14">
        <v>0.13075929750140999</v>
      </c>
      <c r="I993" s="27">
        <f t="shared" si="15"/>
        <v>2355642.3037711792</v>
      </c>
      <c r="J993">
        <v>4.0999999999999996</v>
      </c>
      <c r="K993" t="b">
        <v>0</v>
      </c>
    </row>
    <row r="994" spans="1:11" ht="16" x14ac:dyDescent="0.2">
      <c r="A994" s="16">
        <v>45105</v>
      </c>
      <c r="B994" t="s">
        <v>45</v>
      </c>
      <c r="C994" t="s">
        <v>34</v>
      </c>
      <c r="D994" t="s">
        <v>20</v>
      </c>
      <c r="E994" t="s">
        <v>7637</v>
      </c>
      <c r="F994">
        <v>5</v>
      </c>
      <c r="G994" s="15">
        <v>2710000</v>
      </c>
      <c r="H994" s="14">
        <v>0.13075929750140999</v>
      </c>
      <c r="I994" s="27">
        <f t="shared" si="15"/>
        <v>2355642.3037711792</v>
      </c>
      <c r="J994">
        <v>4.0999999999999996</v>
      </c>
      <c r="K994" t="b">
        <v>1</v>
      </c>
    </row>
    <row r="995" spans="1:11" ht="16" x14ac:dyDescent="0.2">
      <c r="A995" s="16">
        <v>45105</v>
      </c>
      <c r="B995" t="s">
        <v>33</v>
      </c>
      <c r="C995" t="s">
        <v>45</v>
      </c>
      <c r="D995" t="s">
        <v>35</v>
      </c>
      <c r="E995" t="s">
        <v>7641</v>
      </c>
      <c r="F995">
        <v>2</v>
      </c>
      <c r="G995" s="15">
        <v>2710000</v>
      </c>
      <c r="H995" s="14">
        <v>0.13075929750140999</v>
      </c>
      <c r="I995" s="27">
        <f t="shared" si="15"/>
        <v>2355642.3037711792</v>
      </c>
      <c r="J995">
        <v>4.2</v>
      </c>
      <c r="K995" t="b">
        <v>1</v>
      </c>
    </row>
    <row r="996" spans="1:11" ht="16" x14ac:dyDescent="0.2">
      <c r="A996" s="16">
        <v>45105</v>
      </c>
      <c r="B996" t="s">
        <v>18</v>
      </c>
      <c r="C996" t="s">
        <v>34</v>
      </c>
      <c r="D996" t="s">
        <v>35</v>
      </c>
      <c r="E996" t="s">
        <v>7640</v>
      </c>
      <c r="F996">
        <v>2</v>
      </c>
      <c r="G996" s="15">
        <v>2710000</v>
      </c>
      <c r="H996" s="14">
        <v>0.13075929750140999</v>
      </c>
      <c r="I996" s="27">
        <f t="shared" si="15"/>
        <v>2355642.3037711792</v>
      </c>
      <c r="J996">
        <v>4.3</v>
      </c>
      <c r="K996" t="b">
        <v>1</v>
      </c>
    </row>
    <row r="997" spans="1:11" ht="16" x14ac:dyDescent="0.2">
      <c r="A997" s="16">
        <v>45105</v>
      </c>
      <c r="B997" t="s">
        <v>33</v>
      </c>
      <c r="C997" t="s">
        <v>34</v>
      </c>
      <c r="D997" t="s">
        <v>50</v>
      </c>
      <c r="E997" t="s">
        <v>7639</v>
      </c>
      <c r="F997">
        <v>2</v>
      </c>
      <c r="G997" s="15">
        <v>2710000</v>
      </c>
      <c r="H997" s="14">
        <v>0.13075929750140999</v>
      </c>
      <c r="I997" s="27">
        <f t="shared" si="15"/>
        <v>2355642.3037711792</v>
      </c>
      <c r="J997">
        <v>4.2</v>
      </c>
      <c r="K997" t="b">
        <v>0</v>
      </c>
    </row>
    <row r="998" spans="1:11" ht="16" x14ac:dyDescent="0.2">
      <c r="A998" s="16">
        <v>45105</v>
      </c>
      <c r="B998" t="s">
        <v>18</v>
      </c>
      <c r="C998" t="s">
        <v>19</v>
      </c>
      <c r="D998" t="s">
        <v>35</v>
      </c>
      <c r="E998" t="s">
        <v>7644</v>
      </c>
      <c r="F998">
        <v>2</v>
      </c>
      <c r="G998" s="15">
        <v>2710000</v>
      </c>
      <c r="H998" s="14">
        <v>0.13075929750140999</v>
      </c>
      <c r="I998" s="27">
        <f t="shared" si="15"/>
        <v>2355642.3037711792</v>
      </c>
      <c r="J998">
        <v>4.3</v>
      </c>
      <c r="K998" t="b">
        <v>1</v>
      </c>
    </row>
    <row r="999" spans="1:11" ht="16" x14ac:dyDescent="0.2">
      <c r="A999" s="16">
        <v>45105</v>
      </c>
      <c r="B999" t="s">
        <v>33</v>
      </c>
      <c r="C999" t="s">
        <v>19</v>
      </c>
      <c r="D999" t="s">
        <v>20</v>
      </c>
      <c r="E999" t="s">
        <v>57</v>
      </c>
      <c r="F999">
        <v>2</v>
      </c>
      <c r="G999" s="15">
        <v>2710000</v>
      </c>
      <c r="H999" s="14">
        <v>0.13075929750140999</v>
      </c>
      <c r="I999" s="27">
        <f t="shared" si="15"/>
        <v>2355642.3037711792</v>
      </c>
      <c r="J999">
        <v>4.4000000000000004</v>
      </c>
      <c r="K999" t="b">
        <v>1</v>
      </c>
    </row>
    <row r="1000" spans="1:11" ht="16" x14ac:dyDescent="0.2">
      <c r="A1000" s="16">
        <v>45107</v>
      </c>
      <c r="B1000" t="s">
        <v>33</v>
      </c>
      <c r="C1000" t="s">
        <v>19</v>
      </c>
      <c r="D1000" t="s">
        <v>20</v>
      </c>
      <c r="E1000" t="s">
        <v>7639</v>
      </c>
      <c r="F1000">
        <v>4</v>
      </c>
      <c r="G1000" s="15">
        <v>2710000</v>
      </c>
      <c r="H1000" s="14">
        <v>0.13075929750140999</v>
      </c>
      <c r="I1000" s="27">
        <f t="shared" si="15"/>
        <v>2355642.3037711792</v>
      </c>
      <c r="J1000">
        <v>3.6</v>
      </c>
      <c r="K1000" t="b">
        <v>1</v>
      </c>
    </row>
    <row r="1001" spans="1:11" ht="16" x14ac:dyDescent="0.2">
      <c r="A1001" s="16">
        <v>45109</v>
      </c>
      <c r="B1001" t="s">
        <v>33</v>
      </c>
      <c r="C1001" t="s">
        <v>25</v>
      </c>
      <c r="D1001" t="s">
        <v>50</v>
      </c>
      <c r="E1001" t="s">
        <v>7643</v>
      </c>
      <c r="F1001">
        <v>1</v>
      </c>
      <c r="G1001" s="15">
        <v>2710000</v>
      </c>
      <c r="H1001" s="14">
        <v>0.13075929750140999</v>
      </c>
      <c r="I1001" s="27">
        <f t="shared" si="15"/>
        <v>2355642.3037711792</v>
      </c>
      <c r="J1001">
        <v>3.8</v>
      </c>
      <c r="K1001" t="b">
        <v>1</v>
      </c>
    </row>
    <row r="1002" spans="1:11" ht="16" x14ac:dyDescent="0.2">
      <c r="A1002" s="16">
        <v>45109</v>
      </c>
      <c r="B1002" t="s">
        <v>33</v>
      </c>
      <c r="C1002" t="s">
        <v>45</v>
      </c>
      <c r="D1002" t="s">
        <v>50</v>
      </c>
      <c r="E1002" t="s">
        <v>7642</v>
      </c>
      <c r="F1002">
        <v>2</v>
      </c>
      <c r="G1002" s="15">
        <v>2710000</v>
      </c>
      <c r="H1002" s="14">
        <v>0.13075929750140999</v>
      </c>
      <c r="I1002" s="27">
        <f t="shared" si="15"/>
        <v>2355642.3037711792</v>
      </c>
      <c r="J1002">
        <v>4.8</v>
      </c>
      <c r="K1002" t="b">
        <v>0</v>
      </c>
    </row>
    <row r="1003" spans="1:11" ht="16" x14ac:dyDescent="0.2">
      <c r="A1003" s="16">
        <v>45109</v>
      </c>
      <c r="B1003" t="s">
        <v>33</v>
      </c>
      <c r="C1003" t="s">
        <v>25</v>
      </c>
      <c r="D1003" t="s">
        <v>20</v>
      </c>
      <c r="E1003" t="s">
        <v>7643</v>
      </c>
      <c r="F1003">
        <v>2</v>
      </c>
      <c r="G1003" s="15">
        <v>2710000</v>
      </c>
      <c r="H1003" s="14">
        <v>0.13075929750140999</v>
      </c>
      <c r="I1003" s="27">
        <f t="shared" si="15"/>
        <v>2355642.3037711792</v>
      </c>
      <c r="J1003">
        <v>4.7</v>
      </c>
      <c r="K1003" t="b">
        <v>1</v>
      </c>
    </row>
    <row r="1004" spans="1:11" ht="16" x14ac:dyDescent="0.2">
      <c r="A1004" s="16">
        <v>45109</v>
      </c>
      <c r="B1004" t="s">
        <v>29</v>
      </c>
      <c r="C1004" t="s">
        <v>34</v>
      </c>
      <c r="D1004" t="s">
        <v>20</v>
      </c>
      <c r="E1004" t="s">
        <v>7641</v>
      </c>
      <c r="F1004">
        <v>1</v>
      </c>
      <c r="G1004" s="15">
        <v>2710000</v>
      </c>
      <c r="H1004" s="14">
        <v>0.13075929750140999</v>
      </c>
      <c r="I1004" s="27">
        <f t="shared" si="15"/>
        <v>2355642.3037711792</v>
      </c>
      <c r="J1004">
        <v>4.0999999999999996</v>
      </c>
      <c r="K1004" t="b">
        <v>1</v>
      </c>
    </row>
    <row r="1005" spans="1:11" ht="16" x14ac:dyDescent="0.2">
      <c r="A1005" s="16">
        <v>45110</v>
      </c>
      <c r="B1005" t="s">
        <v>29</v>
      </c>
      <c r="C1005" t="s">
        <v>25</v>
      </c>
      <c r="D1005" t="s">
        <v>20</v>
      </c>
      <c r="E1005" t="s">
        <v>7638</v>
      </c>
      <c r="F1005">
        <v>4</v>
      </c>
      <c r="G1005" s="15">
        <v>2710000</v>
      </c>
      <c r="H1005" s="14">
        <v>0.13075929750140999</v>
      </c>
      <c r="I1005" s="27">
        <f t="shared" si="15"/>
        <v>2355642.3037711792</v>
      </c>
      <c r="J1005">
        <v>4</v>
      </c>
      <c r="K1005" t="b">
        <v>0</v>
      </c>
    </row>
    <row r="1006" spans="1:11" ht="16" x14ac:dyDescent="0.2">
      <c r="A1006" s="16">
        <v>45110</v>
      </c>
      <c r="B1006" t="s">
        <v>33</v>
      </c>
      <c r="C1006" t="s">
        <v>45</v>
      </c>
      <c r="D1006" t="s">
        <v>20</v>
      </c>
      <c r="E1006" t="s">
        <v>7644</v>
      </c>
      <c r="F1006">
        <v>2</v>
      </c>
      <c r="G1006" s="15">
        <v>2710000</v>
      </c>
      <c r="H1006" s="14">
        <v>0.13075929750140999</v>
      </c>
      <c r="I1006" s="27">
        <f t="shared" si="15"/>
        <v>2355642.3037711792</v>
      </c>
      <c r="J1006">
        <v>5</v>
      </c>
      <c r="K1006" t="b">
        <v>0</v>
      </c>
    </row>
    <row r="1007" spans="1:11" ht="16" x14ac:dyDescent="0.2">
      <c r="A1007" s="16">
        <v>45110</v>
      </c>
      <c r="B1007" t="s">
        <v>29</v>
      </c>
      <c r="C1007" t="s">
        <v>68</v>
      </c>
      <c r="D1007" t="s">
        <v>50</v>
      </c>
      <c r="E1007" t="s">
        <v>7642</v>
      </c>
      <c r="F1007">
        <v>3</v>
      </c>
      <c r="G1007" s="15">
        <v>2710000</v>
      </c>
      <c r="H1007" s="14">
        <v>0.13075929750140999</v>
      </c>
      <c r="I1007" s="27">
        <f t="shared" si="15"/>
        <v>2355642.3037711792</v>
      </c>
      <c r="J1007">
        <v>4.3</v>
      </c>
      <c r="K1007" t="b">
        <v>0</v>
      </c>
    </row>
    <row r="1008" spans="1:11" ht="16" x14ac:dyDescent="0.2">
      <c r="A1008" s="16">
        <v>45110</v>
      </c>
      <c r="B1008" t="s">
        <v>18</v>
      </c>
      <c r="C1008" t="s">
        <v>34</v>
      </c>
      <c r="D1008" t="s">
        <v>20</v>
      </c>
      <c r="E1008" t="s">
        <v>7642</v>
      </c>
      <c r="F1008">
        <v>2</v>
      </c>
      <c r="G1008" s="15">
        <v>2710000</v>
      </c>
      <c r="H1008" s="14">
        <v>0.13075929750140999</v>
      </c>
      <c r="I1008" s="27">
        <f t="shared" si="15"/>
        <v>2355642.3037711792</v>
      </c>
      <c r="J1008">
        <v>4.4000000000000004</v>
      </c>
      <c r="K1008" t="b">
        <v>0</v>
      </c>
    </row>
    <row r="1009" spans="1:11" ht="16" x14ac:dyDescent="0.2">
      <c r="A1009" s="16">
        <v>45111</v>
      </c>
      <c r="B1009" t="s">
        <v>33</v>
      </c>
      <c r="C1009" t="s">
        <v>19</v>
      </c>
      <c r="D1009" t="s">
        <v>20</v>
      </c>
      <c r="E1009" t="s">
        <v>57</v>
      </c>
      <c r="F1009">
        <v>1</v>
      </c>
      <c r="G1009" s="15">
        <v>2710000</v>
      </c>
      <c r="H1009" s="14">
        <v>0.13075929750140999</v>
      </c>
      <c r="I1009" s="27">
        <f t="shared" si="15"/>
        <v>2355642.3037711792</v>
      </c>
      <c r="J1009">
        <v>4.4000000000000004</v>
      </c>
      <c r="K1009" t="b">
        <v>1</v>
      </c>
    </row>
    <row r="1010" spans="1:11" ht="16" x14ac:dyDescent="0.2">
      <c r="A1010" s="16">
        <v>45113</v>
      </c>
      <c r="B1010" t="s">
        <v>29</v>
      </c>
      <c r="C1010" t="s">
        <v>34</v>
      </c>
      <c r="D1010" t="s">
        <v>20</v>
      </c>
      <c r="E1010" t="s">
        <v>57</v>
      </c>
      <c r="F1010">
        <v>1</v>
      </c>
      <c r="G1010" s="15">
        <v>2710000</v>
      </c>
      <c r="H1010" s="14">
        <v>0.13075929750140999</v>
      </c>
      <c r="I1010" s="27">
        <f t="shared" si="15"/>
        <v>2355642.3037711792</v>
      </c>
      <c r="J1010">
        <v>4.4000000000000004</v>
      </c>
      <c r="K1010" t="b">
        <v>0</v>
      </c>
    </row>
    <row r="1011" spans="1:11" ht="16" x14ac:dyDescent="0.2">
      <c r="A1011" s="16">
        <v>45113</v>
      </c>
      <c r="B1011" t="s">
        <v>45</v>
      </c>
      <c r="C1011" t="s">
        <v>25</v>
      </c>
      <c r="D1011" t="s">
        <v>20</v>
      </c>
      <c r="E1011" t="s">
        <v>99</v>
      </c>
      <c r="F1011">
        <v>1</v>
      </c>
      <c r="G1011" s="15">
        <v>2710000</v>
      </c>
      <c r="H1011" s="14">
        <v>0.13075929750140999</v>
      </c>
      <c r="I1011" s="27">
        <f t="shared" si="15"/>
        <v>2355642.3037711792</v>
      </c>
      <c r="J1011">
        <v>4</v>
      </c>
      <c r="K1011" t="b">
        <v>0</v>
      </c>
    </row>
    <row r="1012" spans="1:11" ht="16" x14ac:dyDescent="0.2">
      <c r="A1012" s="16">
        <v>45113</v>
      </c>
      <c r="B1012" t="s">
        <v>29</v>
      </c>
      <c r="C1012" t="s">
        <v>19</v>
      </c>
      <c r="D1012" t="s">
        <v>35</v>
      </c>
      <c r="E1012" t="s">
        <v>7644</v>
      </c>
      <c r="F1012">
        <v>2</v>
      </c>
      <c r="G1012" s="15">
        <v>2710000</v>
      </c>
      <c r="H1012" s="14">
        <v>0.13075929750140999</v>
      </c>
      <c r="I1012" s="27">
        <f t="shared" si="15"/>
        <v>2355642.3037711792</v>
      </c>
      <c r="J1012">
        <v>4.7</v>
      </c>
      <c r="K1012" t="b">
        <v>1</v>
      </c>
    </row>
    <row r="1013" spans="1:11" ht="16" x14ac:dyDescent="0.2">
      <c r="A1013" s="16">
        <v>45114</v>
      </c>
      <c r="B1013" t="s">
        <v>33</v>
      </c>
      <c r="C1013" t="s">
        <v>34</v>
      </c>
      <c r="D1013" t="s">
        <v>20</v>
      </c>
      <c r="E1013" t="s">
        <v>7640</v>
      </c>
      <c r="F1013">
        <v>2</v>
      </c>
      <c r="G1013" s="15">
        <v>2710000</v>
      </c>
      <c r="H1013" s="14">
        <v>0.13075929750140999</v>
      </c>
      <c r="I1013" s="27">
        <f t="shared" si="15"/>
        <v>2355642.3037711792</v>
      </c>
      <c r="J1013">
        <v>4.5</v>
      </c>
      <c r="K1013" t="b">
        <v>0</v>
      </c>
    </row>
    <row r="1014" spans="1:11" ht="16" x14ac:dyDescent="0.2">
      <c r="A1014" s="16">
        <v>45114</v>
      </c>
      <c r="B1014" t="s">
        <v>18</v>
      </c>
      <c r="C1014" t="s">
        <v>39</v>
      </c>
      <c r="D1014" t="s">
        <v>20</v>
      </c>
      <c r="E1014" t="s">
        <v>7638</v>
      </c>
      <c r="F1014">
        <v>2</v>
      </c>
      <c r="G1014" s="15">
        <v>2710000</v>
      </c>
      <c r="H1014" s="14">
        <v>0.13075929750140999</v>
      </c>
      <c r="I1014" s="27">
        <f t="shared" si="15"/>
        <v>2355642.3037711792</v>
      </c>
      <c r="J1014">
        <v>4.9000000000000004</v>
      </c>
      <c r="K1014" t="b">
        <v>1</v>
      </c>
    </row>
    <row r="1015" spans="1:11" ht="16" x14ac:dyDescent="0.2">
      <c r="A1015" s="16">
        <v>45114</v>
      </c>
      <c r="B1015" t="s">
        <v>29</v>
      </c>
      <c r="C1015" t="s">
        <v>25</v>
      </c>
      <c r="D1015" t="s">
        <v>20</v>
      </c>
      <c r="E1015" t="s">
        <v>57</v>
      </c>
      <c r="F1015">
        <v>2</v>
      </c>
      <c r="G1015" s="15">
        <v>2710000</v>
      </c>
      <c r="H1015" s="14">
        <v>0.13075929750140999</v>
      </c>
      <c r="I1015" s="27">
        <f t="shared" si="15"/>
        <v>2355642.3037711792</v>
      </c>
      <c r="J1015">
        <v>4.2</v>
      </c>
      <c r="K1015" t="b">
        <v>1</v>
      </c>
    </row>
    <row r="1016" spans="1:11" ht="16" x14ac:dyDescent="0.2">
      <c r="A1016" s="16">
        <v>45114</v>
      </c>
      <c r="B1016" t="s">
        <v>45</v>
      </c>
      <c r="C1016" t="s">
        <v>39</v>
      </c>
      <c r="D1016" t="s">
        <v>20</v>
      </c>
      <c r="E1016" t="s">
        <v>7640</v>
      </c>
      <c r="F1016">
        <v>3</v>
      </c>
      <c r="G1016" s="15">
        <v>2710000</v>
      </c>
      <c r="H1016" s="14">
        <v>0.13075929750140999</v>
      </c>
      <c r="I1016" s="27">
        <f t="shared" si="15"/>
        <v>2355642.3037711792</v>
      </c>
      <c r="J1016">
        <v>4.2</v>
      </c>
      <c r="K1016" t="b">
        <v>1</v>
      </c>
    </row>
    <row r="1017" spans="1:11" ht="16" x14ac:dyDescent="0.2">
      <c r="A1017" s="16">
        <v>45114</v>
      </c>
      <c r="B1017" t="s">
        <v>45</v>
      </c>
      <c r="C1017" t="s">
        <v>45</v>
      </c>
      <c r="D1017" t="s">
        <v>50</v>
      </c>
      <c r="E1017" t="s">
        <v>57</v>
      </c>
      <c r="F1017">
        <v>2</v>
      </c>
      <c r="G1017" s="15">
        <v>2710000</v>
      </c>
      <c r="H1017" s="14">
        <v>0.13075929750140999</v>
      </c>
      <c r="I1017" s="27">
        <f t="shared" si="15"/>
        <v>2355642.3037711792</v>
      </c>
      <c r="J1017">
        <v>4.2</v>
      </c>
      <c r="K1017" t="b">
        <v>0</v>
      </c>
    </row>
    <row r="1018" spans="1:11" ht="16" x14ac:dyDescent="0.2">
      <c r="A1018" s="16">
        <v>45114</v>
      </c>
      <c r="B1018" t="s">
        <v>33</v>
      </c>
      <c r="C1018" t="s">
        <v>39</v>
      </c>
      <c r="D1018" t="s">
        <v>20</v>
      </c>
      <c r="E1018" t="s">
        <v>57</v>
      </c>
      <c r="F1018">
        <v>1</v>
      </c>
      <c r="G1018" s="15">
        <v>2710000</v>
      </c>
      <c r="H1018" s="14">
        <v>0.13075929750140999</v>
      </c>
      <c r="I1018" s="27">
        <f t="shared" si="15"/>
        <v>2355642.3037711792</v>
      </c>
      <c r="J1018">
        <v>3.9</v>
      </c>
      <c r="K1018" t="b">
        <v>0</v>
      </c>
    </row>
    <row r="1019" spans="1:11" ht="16" x14ac:dyDescent="0.2">
      <c r="A1019" s="16">
        <v>45115</v>
      </c>
      <c r="B1019" t="s">
        <v>18</v>
      </c>
      <c r="C1019" t="s">
        <v>25</v>
      </c>
      <c r="D1019" t="s">
        <v>50</v>
      </c>
      <c r="E1019" t="s">
        <v>57</v>
      </c>
      <c r="F1019">
        <v>1</v>
      </c>
      <c r="G1019" s="15">
        <v>2710000</v>
      </c>
      <c r="H1019" s="14">
        <v>0.13075929750140999</v>
      </c>
      <c r="I1019" s="27">
        <f t="shared" si="15"/>
        <v>2355642.3037711792</v>
      </c>
      <c r="J1019">
        <v>4.5</v>
      </c>
      <c r="K1019" t="b">
        <v>0</v>
      </c>
    </row>
    <row r="1020" spans="1:11" ht="16" x14ac:dyDescent="0.2">
      <c r="A1020" s="16">
        <v>45116</v>
      </c>
      <c r="B1020" t="s">
        <v>29</v>
      </c>
      <c r="C1020" t="s">
        <v>34</v>
      </c>
      <c r="D1020" t="str">
        <f>D1019</f>
        <v>Agent</v>
      </c>
      <c r="E1020" t="s">
        <v>7644</v>
      </c>
      <c r="F1020">
        <v>1</v>
      </c>
      <c r="G1020" s="15">
        <v>2710000</v>
      </c>
      <c r="H1020" s="14">
        <v>0.13075929750140999</v>
      </c>
      <c r="I1020" s="27">
        <f t="shared" si="15"/>
        <v>2355642.3037711792</v>
      </c>
      <c r="J1020">
        <v>4.9000000000000004</v>
      </c>
      <c r="K1020" t="b">
        <v>0</v>
      </c>
    </row>
    <row r="1021" spans="1:11" ht="16" x14ac:dyDescent="0.2">
      <c r="A1021" s="16">
        <v>45117</v>
      </c>
      <c r="B1021" t="s">
        <v>18</v>
      </c>
      <c r="C1021" t="s">
        <v>34</v>
      </c>
      <c r="D1021" t="s">
        <v>20</v>
      </c>
      <c r="E1021" t="s">
        <v>7644</v>
      </c>
      <c r="F1021">
        <v>2</v>
      </c>
      <c r="G1021" s="15">
        <v>2710000</v>
      </c>
      <c r="H1021" s="14">
        <v>0.13075929750140999</v>
      </c>
      <c r="I1021" s="27">
        <f t="shared" si="15"/>
        <v>2355642.3037711792</v>
      </c>
      <c r="J1021">
        <v>5</v>
      </c>
      <c r="K1021" t="b">
        <v>1</v>
      </c>
    </row>
    <row r="1022" spans="1:11" ht="16" x14ac:dyDescent="0.2">
      <c r="A1022" s="16">
        <v>45117</v>
      </c>
      <c r="B1022" t="s">
        <v>45</v>
      </c>
      <c r="C1022" t="s">
        <v>25</v>
      </c>
      <c r="D1022" t="str">
        <f>D1021</f>
        <v>Website</v>
      </c>
      <c r="E1022" t="s">
        <v>7637</v>
      </c>
      <c r="F1022">
        <v>1</v>
      </c>
      <c r="G1022" s="15">
        <v>2710000</v>
      </c>
      <c r="H1022" s="14">
        <v>0.13075929750140999</v>
      </c>
      <c r="I1022" s="27">
        <f t="shared" si="15"/>
        <v>2355642.3037711792</v>
      </c>
      <c r="J1022">
        <v>4.4000000000000004</v>
      </c>
      <c r="K1022" t="b">
        <v>1</v>
      </c>
    </row>
    <row r="1023" spans="1:11" ht="16" x14ac:dyDescent="0.2">
      <c r="A1023" s="16">
        <v>45118</v>
      </c>
      <c r="B1023" t="s">
        <v>33</v>
      </c>
      <c r="C1023" t="s">
        <v>34</v>
      </c>
      <c r="D1023" t="s">
        <v>20</v>
      </c>
      <c r="E1023" t="s">
        <v>7643</v>
      </c>
      <c r="F1023">
        <v>2</v>
      </c>
      <c r="G1023" s="15">
        <v>2710000</v>
      </c>
      <c r="H1023" s="14">
        <v>0.13075929750140999</v>
      </c>
      <c r="I1023" s="27">
        <f t="shared" si="15"/>
        <v>2355642.3037711792</v>
      </c>
      <c r="J1023">
        <v>4.2</v>
      </c>
      <c r="K1023" t="b">
        <v>0</v>
      </c>
    </row>
    <row r="1024" spans="1:11" ht="16" x14ac:dyDescent="0.2">
      <c r="A1024" s="16">
        <v>45119</v>
      </c>
      <c r="B1024" t="s">
        <v>18</v>
      </c>
      <c r="C1024" t="s">
        <v>39</v>
      </c>
      <c r="D1024" t="s">
        <v>50</v>
      </c>
      <c r="E1024" t="s">
        <v>7644</v>
      </c>
      <c r="F1024">
        <v>2</v>
      </c>
      <c r="G1024" s="15">
        <v>2710000</v>
      </c>
      <c r="H1024" s="14">
        <v>0.13075929750140999</v>
      </c>
      <c r="I1024" s="27">
        <f t="shared" si="15"/>
        <v>2355642.3037711792</v>
      </c>
      <c r="J1024">
        <v>4</v>
      </c>
      <c r="K1024" t="b">
        <v>1</v>
      </c>
    </row>
    <row r="1025" spans="1:11" ht="16" x14ac:dyDescent="0.2">
      <c r="A1025" s="16">
        <v>45119</v>
      </c>
      <c r="B1025" t="s">
        <v>45</v>
      </c>
      <c r="C1025" t="s">
        <v>34</v>
      </c>
      <c r="D1025" t="s">
        <v>20</v>
      </c>
      <c r="E1025" t="s">
        <v>7641</v>
      </c>
      <c r="F1025">
        <v>3</v>
      </c>
      <c r="G1025" s="15">
        <v>2710000</v>
      </c>
      <c r="H1025" s="14">
        <v>0.13075929750140999</v>
      </c>
      <c r="I1025" s="27">
        <f t="shared" si="15"/>
        <v>2355642.3037711792</v>
      </c>
      <c r="J1025">
        <v>4</v>
      </c>
      <c r="K1025" t="b">
        <v>0</v>
      </c>
    </row>
    <row r="1026" spans="1:11" ht="16" x14ac:dyDescent="0.2">
      <c r="A1026" s="16">
        <v>45119</v>
      </c>
      <c r="B1026" t="s">
        <v>29</v>
      </c>
      <c r="C1026" t="s">
        <v>25</v>
      </c>
      <c r="D1026" t="s">
        <v>20</v>
      </c>
      <c r="E1026" t="s">
        <v>7640</v>
      </c>
      <c r="F1026">
        <v>1</v>
      </c>
      <c r="G1026" s="15">
        <v>2710000</v>
      </c>
      <c r="H1026" s="14">
        <v>0.13075929750140999</v>
      </c>
      <c r="I1026" s="27">
        <f t="shared" si="15"/>
        <v>2355642.3037711792</v>
      </c>
      <c r="J1026">
        <v>3.9</v>
      </c>
      <c r="K1026" t="b">
        <v>1</v>
      </c>
    </row>
    <row r="1027" spans="1:11" ht="16" x14ac:dyDescent="0.2">
      <c r="A1027" s="16">
        <v>45120</v>
      </c>
      <c r="B1027" t="s">
        <v>18</v>
      </c>
      <c r="C1027" t="s">
        <v>34</v>
      </c>
      <c r="D1027" t="s">
        <v>20</v>
      </c>
      <c r="E1027" t="s">
        <v>7643</v>
      </c>
      <c r="F1027">
        <v>2</v>
      </c>
      <c r="G1027" s="15">
        <v>2710000</v>
      </c>
      <c r="H1027" s="14">
        <v>0.13075929750140999</v>
      </c>
      <c r="I1027" s="27">
        <f t="shared" ref="I1027:I1090" si="16">G1027-G1027*H1027</f>
        <v>2355642.3037711792</v>
      </c>
      <c r="J1027">
        <v>3.2</v>
      </c>
      <c r="K1027" t="b">
        <v>0</v>
      </c>
    </row>
    <row r="1028" spans="1:11" ht="16" x14ac:dyDescent="0.2">
      <c r="A1028" s="16">
        <v>45120</v>
      </c>
      <c r="B1028" t="s">
        <v>45</v>
      </c>
      <c r="C1028" t="s">
        <v>34</v>
      </c>
      <c r="D1028" t="s">
        <v>35</v>
      </c>
      <c r="E1028" t="s">
        <v>7638</v>
      </c>
      <c r="F1028">
        <v>2</v>
      </c>
      <c r="G1028" s="15">
        <v>2710000</v>
      </c>
      <c r="H1028" s="14">
        <v>0.13075929750140999</v>
      </c>
      <c r="I1028" s="27">
        <f t="shared" si="16"/>
        <v>2355642.3037711792</v>
      </c>
      <c r="J1028">
        <v>3.6</v>
      </c>
      <c r="K1028" t="b">
        <v>1</v>
      </c>
    </row>
    <row r="1029" spans="1:11" ht="16" x14ac:dyDescent="0.2">
      <c r="A1029" s="16">
        <v>45120</v>
      </c>
      <c r="B1029" t="s">
        <v>18</v>
      </c>
      <c r="C1029" t="s">
        <v>25</v>
      </c>
      <c r="D1029" t="s">
        <v>20</v>
      </c>
      <c r="E1029" t="s">
        <v>57</v>
      </c>
      <c r="F1029">
        <v>4</v>
      </c>
      <c r="G1029" s="15">
        <v>2710000</v>
      </c>
      <c r="H1029" s="14">
        <v>0.13075929750140999</v>
      </c>
      <c r="I1029" s="27">
        <f t="shared" si="16"/>
        <v>2355642.3037711792</v>
      </c>
      <c r="J1029">
        <v>4.4000000000000004</v>
      </c>
      <c r="K1029" t="b">
        <v>0</v>
      </c>
    </row>
    <row r="1030" spans="1:11" ht="16" x14ac:dyDescent="0.2">
      <c r="A1030" s="16">
        <v>45121</v>
      </c>
      <c r="B1030" t="s">
        <v>45</v>
      </c>
      <c r="C1030" t="s">
        <v>19</v>
      </c>
      <c r="D1030" t="s">
        <v>20</v>
      </c>
      <c r="E1030" t="str">
        <f>E1029</f>
        <v>Nha Trang</v>
      </c>
      <c r="F1030">
        <v>2</v>
      </c>
      <c r="G1030" s="15">
        <v>2710000</v>
      </c>
      <c r="H1030" s="14">
        <v>0.13075929750140999</v>
      </c>
      <c r="I1030" s="27">
        <f t="shared" si="16"/>
        <v>2355642.3037711792</v>
      </c>
      <c r="J1030">
        <v>3.8</v>
      </c>
      <c r="K1030" t="b">
        <v>1</v>
      </c>
    </row>
    <row r="1031" spans="1:11" ht="16" x14ac:dyDescent="0.2">
      <c r="A1031" s="16">
        <v>45122</v>
      </c>
      <c r="B1031" t="s">
        <v>33</v>
      </c>
      <c r="C1031" t="s">
        <v>45</v>
      </c>
      <c r="D1031" t="s">
        <v>20</v>
      </c>
      <c r="E1031" t="s">
        <v>57</v>
      </c>
      <c r="F1031">
        <v>2</v>
      </c>
      <c r="G1031" s="15">
        <v>2710000</v>
      </c>
      <c r="H1031" s="14">
        <v>0.13075929750140999</v>
      </c>
      <c r="I1031" s="27">
        <f t="shared" si="16"/>
        <v>2355642.3037711792</v>
      </c>
      <c r="J1031">
        <v>4.5</v>
      </c>
      <c r="K1031" t="b">
        <v>0</v>
      </c>
    </row>
    <row r="1032" spans="1:11" ht="16" x14ac:dyDescent="0.2">
      <c r="A1032" s="16">
        <v>45123</v>
      </c>
      <c r="B1032" t="s">
        <v>18</v>
      </c>
      <c r="C1032" t="s">
        <v>25</v>
      </c>
      <c r="D1032" t="s">
        <v>20</v>
      </c>
      <c r="E1032" t="s">
        <v>7643</v>
      </c>
      <c r="F1032">
        <v>2</v>
      </c>
      <c r="G1032" s="15">
        <v>2710000</v>
      </c>
      <c r="H1032" s="14">
        <v>0.13075929750140999</v>
      </c>
      <c r="I1032" s="27">
        <f t="shared" si="16"/>
        <v>2355642.3037711792</v>
      </c>
      <c r="J1032">
        <v>4</v>
      </c>
      <c r="K1032" t="b">
        <v>0</v>
      </c>
    </row>
    <row r="1033" spans="1:11" ht="16" x14ac:dyDescent="0.2">
      <c r="A1033" s="16">
        <v>45124</v>
      </c>
      <c r="B1033" t="s">
        <v>33</v>
      </c>
      <c r="C1033" t="s">
        <v>34</v>
      </c>
      <c r="D1033" t="s">
        <v>50</v>
      </c>
      <c r="E1033" t="s">
        <v>7642</v>
      </c>
      <c r="F1033">
        <v>2</v>
      </c>
      <c r="G1033" s="15">
        <v>2710000</v>
      </c>
      <c r="H1033" s="14">
        <v>0.13075929750140999</v>
      </c>
      <c r="I1033" s="27">
        <f t="shared" si="16"/>
        <v>2355642.3037711792</v>
      </c>
      <c r="J1033">
        <v>3.8</v>
      </c>
      <c r="K1033" t="b">
        <v>1</v>
      </c>
    </row>
    <row r="1034" spans="1:11" ht="16" x14ac:dyDescent="0.2">
      <c r="A1034" s="16">
        <v>45125</v>
      </c>
      <c r="B1034" t="s">
        <v>45</v>
      </c>
      <c r="C1034" t="s">
        <v>19</v>
      </c>
      <c r="D1034" t="s">
        <v>35</v>
      </c>
      <c r="E1034" t="s">
        <v>57</v>
      </c>
      <c r="F1034">
        <v>2</v>
      </c>
      <c r="G1034" s="15">
        <v>2710000</v>
      </c>
      <c r="H1034" s="14">
        <v>0.13075929750140999</v>
      </c>
      <c r="I1034" s="27">
        <f t="shared" si="16"/>
        <v>2355642.3037711792</v>
      </c>
      <c r="J1034">
        <v>4.5999999999999996</v>
      </c>
      <c r="K1034" t="b">
        <v>1</v>
      </c>
    </row>
    <row r="1035" spans="1:11" ht="16" x14ac:dyDescent="0.2">
      <c r="A1035" s="16">
        <v>45125</v>
      </c>
      <c r="B1035" t="s">
        <v>18</v>
      </c>
      <c r="C1035" t="s">
        <v>45</v>
      </c>
      <c r="D1035" t="s">
        <v>20</v>
      </c>
      <c r="E1035" t="s">
        <v>57</v>
      </c>
      <c r="F1035">
        <v>2</v>
      </c>
      <c r="G1035" s="15">
        <v>2710000</v>
      </c>
      <c r="H1035" s="14">
        <v>0.13075929750140999</v>
      </c>
      <c r="I1035" s="27">
        <f t="shared" si="16"/>
        <v>2355642.3037711792</v>
      </c>
      <c r="J1035">
        <v>4.3</v>
      </c>
      <c r="K1035" t="b">
        <v>1</v>
      </c>
    </row>
    <row r="1036" spans="1:11" ht="16" x14ac:dyDescent="0.2">
      <c r="A1036" s="16">
        <v>45125</v>
      </c>
      <c r="B1036" t="s">
        <v>18</v>
      </c>
      <c r="C1036" t="s">
        <v>45</v>
      </c>
      <c r="D1036" t="s">
        <v>20</v>
      </c>
      <c r="E1036" t="s">
        <v>7641</v>
      </c>
      <c r="F1036">
        <v>1</v>
      </c>
      <c r="G1036" s="15">
        <v>2710000</v>
      </c>
      <c r="H1036" s="14">
        <v>0.13075929750140999</v>
      </c>
      <c r="I1036" s="27">
        <f t="shared" si="16"/>
        <v>2355642.3037711792</v>
      </c>
      <c r="J1036">
        <v>4.2</v>
      </c>
      <c r="K1036" t="b">
        <v>0</v>
      </c>
    </row>
    <row r="1037" spans="1:11" ht="16" x14ac:dyDescent="0.2">
      <c r="A1037" s="16">
        <v>45125</v>
      </c>
      <c r="B1037" t="s">
        <v>18</v>
      </c>
      <c r="C1037" t="s">
        <v>25</v>
      </c>
      <c r="D1037" t="str">
        <f>D1036</f>
        <v>Website</v>
      </c>
      <c r="E1037" t="s">
        <v>7644</v>
      </c>
      <c r="F1037">
        <v>1</v>
      </c>
      <c r="G1037" s="15">
        <v>2710000</v>
      </c>
      <c r="H1037" s="14">
        <v>0.13075929750140999</v>
      </c>
      <c r="I1037" s="27">
        <f t="shared" si="16"/>
        <v>2355642.3037711792</v>
      </c>
      <c r="J1037">
        <v>4</v>
      </c>
      <c r="K1037" t="b">
        <v>0</v>
      </c>
    </row>
    <row r="1038" spans="1:11" ht="16" x14ac:dyDescent="0.2">
      <c r="A1038" s="16">
        <v>45125</v>
      </c>
      <c r="B1038" t="s">
        <v>45</v>
      </c>
      <c r="C1038" t="s">
        <v>25</v>
      </c>
      <c r="D1038" t="s">
        <v>35</v>
      </c>
      <c r="E1038" t="s">
        <v>7638</v>
      </c>
      <c r="F1038">
        <v>1</v>
      </c>
      <c r="G1038" s="15">
        <v>2710000</v>
      </c>
      <c r="H1038" s="14">
        <v>0.13075929750140999</v>
      </c>
      <c r="I1038" s="27">
        <f t="shared" si="16"/>
        <v>2355642.3037711792</v>
      </c>
      <c r="J1038">
        <v>4.7</v>
      </c>
      <c r="K1038" t="b">
        <v>1</v>
      </c>
    </row>
    <row r="1039" spans="1:11" ht="16" x14ac:dyDescent="0.2">
      <c r="A1039" s="16">
        <v>45126</v>
      </c>
      <c r="B1039" t="s">
        <v>33</v>
      </c>
      <c r="C1039" t="s">
        <v>19</v>
      </c>
      <c r="D1039" t="s">
        <v>20</v>
      </c>
      <c r="E1039" t="s">
        <v>7641</v>
      </c>
      <c r="F1039">
        <v>1</v>
      </c>
      <c r="G1039" s="15">
        <v>2710000</v>
      </c>
      <c r="H1039" s="14">
        <v>0.13075929750140999</v>
      </c>
      <c r="I1039" s="27">
        <f t="shared" si="16"/>
        <v>2355642.3037711792</v>
      </c>
      <c r="J1039">
        <v>5</v>
      </c>
      <c r="K1039" t="b">
        <v>1</v>
      </c>
    </row>
    <row r="1040" spans="1:11" ht="16" x14ac:dyDescent="0.2">
      <c r="A1040" s="16">
        <v>45127</v>
      </c>
      <c r="B1040" t="s">
        <v>45</v>
      </c>
      <c r="C1040" t="s">
        <v>34</v>
      </c>
      <c r="D1040" t="s">
        <v>50</v>
      </c>
      <c r="E1040" t="s">
        <v>7640</v>
      </c>
      <c r="F1040">
        <v>1</v>
      </c>
      <c r="G1040" s="15">
        <v>2710000</v>
      </c>
      <c r="H1040" s="14">
        <v>0.13075929750140999</v>
      </c>
      <c r="I1040" s="27">
        <f t="shared" si="16"/>
        <v>2355642.3037711792</v>
      </c>
      <c r="J1040">
        <v>4.3</v>
      </c>
      <c r="K1040" t="b">
        <v>1</v>
      </c>
    </row>
    <row r="1041" spans="1:11" ht="16" x14ac:dyDescent="0.2">
      <c r="A1041" s="16">
        <v>45129</v>
      </c>
      <c r="B1041" t="s">
        <v>18</v>
      </c>
      <c r="C1041" t="s">
        <v>25</v>
      </c>
      <c r="D1041" t="s">
        <v>50</v>
      </c>
      <c r="E1041" t="s">
        <v>7644</v>
      </c>
      <c r="F1041">
        <v>1</v>
      </c>
      <c r="G1041" s="15">
        <v>2710000</v>
      </c>
      <c r="H1041" s="14">
        <v>0.13075929750140999</v>
      </c>
      <c r="I1041" s="27">
        <f t="shared" si="16"/>
        <v>2355642.3037711792</v>
      </c>
      <c r="J1041">
        <v>4.2</v>
      </c>
      <c r="K1041" t="b">
        <v>0</v>
      </c>
    </row>
    <row r="1042" spans="1:11" ht="16" x14ac:dyDescent="0.2">
      <c r="A1042" s="16">
        <v>45129</v>
      </c>
      <c r="B1042" t="s">
        <v>45</v>
      </c>
      <c r="C1042" t="s">
        <v>19</v>
      </c>
      <c r="D1042" t="s">
        <v>35</v>
      </c>
      <c r="E1042" t="s">
        <v>7639</v>
      </c>
      <c r="F1042">
        <v>2</v>
      </c>
      <c r="G1042" s="15">
        <v>2710000</v>
      </c>
      <c r="H1042" s="14">
        <v>0.13075929750140999</v>
      </c>
      <c r="I1042" s="27">
        <f t="shared" si="16"/>
        <v>2355642.3037711792</v>
      </c>
      <c r="J1042">
        <v>3.5</v>
      </c>
      <c r="K1042" t="b">
        <v>1</v>
      </c>
    </row>
    <row r="1043" spans="1:11" ht="16" x14ac:dyDescent="0.2">
      <c r="A1043" s="16">
        <v>45129</v>
      </c>
      <c r="B1043" t="str">
        <f>B1042</f>
        <v>Family</v>
      </c>
      <c r="C1043" t="s">
        <v>25</v>
      </c>
      <c r="D1043" t="s">
        <v>20</v>
      </c>
      <c r="E1043" t="s">
        <v>7643</v>
      </c>
      <c r="F1043">
        <v>2</v>
      </c>
      <c r="G1043" s="15">
        <v>2710000</v>
      </c>
      <c r="H1043" s="14">
        <v>0.13075929750140999</v>
      </c>
      <c r="I1043" s="27">
        <f t="shared" si="16"/>
        <v>2355642.3037711792</v>
      </c>
      <c r="J1043">
        <v>4.2</v>
      </c>
      <c r="K1043" t="b">
        <v>1</v>
      </c>
    </row>
    <row r="1044" spans="1:11" ht="16" x14ac:dyDescent="0.2">
      <c r="A1044" s="16">
        <v>45130</v>
      </c>
      <c r="B1044" t="s">
        <v>33</v>
      </c>
      <c r="C1044" t="s">
        <v>34</v>
      </c>
      <c r="D1044" t="s">
        <v>20</v>
      </c>
      <c r="E1044" t="str">
        <f>E1043</f>
        <v>TP. HCM</v>
      </c>
      <c r="F1044">
        <v>1</v>
      </c>
      <c r="G1044" s="15">
        <v>2710000</v>
      </c>
      <c r="H1044" s="14">
        <v>0.13075929750140999</v>
      </c>
      <c r="I1044" s="27">
        <f t="shared" si="16"/>
        <v>2355642.3037711792</v>
      </c>
      <c r="J1044">
        <v>4.5</v>
      </c>
      <c r="K1044" t="b">
        <v>0</v>
      </c>
    </row>
    <row r="1045" spans="1:11" ht="16" x14ac:dyDescent="0.2">
      <c r="A1045" s="16">
        <v>45131</v>
      </c>
      <c r="B1045" t="s">
        <v>45</v>
      </c>
      <c r="C1045" t="s">
        <v>34</v>
      </c>
      <c r="D1045" t="s">
        <v>50</v>
      </c>
      <c r="E1045" t="s">
        <v>7642</v>
      </c>
      <c r="F1045">
        <v>2</v>
      </c>
      <c r="G1045" s="15">
        <v>2710000</v>
      </c>
      <c r="H1045" s="14">
        <v>0.13075929750140999</v>
      </c>
      <c r="I1045" s="27">
        <f t="shared" si="16"/>
        <v>2355642.3037711792</v>
      </c>
      <c r="J1045">
        <v>4.5</v>
      </c>
      <c r="K1045" t="b">
        <v>1</v>
      </c>
    </row>
    <row r="1046" spans="1:11" ht="16" x14ac:dyDescent="0.2">
      <c r="A1046" s="16">
        <v>45131</v>
      </c>
      <c r="B1046" t="s">
        <v>33</v>
      </c>
      <c r="C1046" t="s">
        <v>34</v>
      </c>
      <c r="D1046" t="s">
        <v>20</v>
      </c>
      <c r="E1046" t="s">
        <v>57</v>
      </c>
      <c r="F1046">
        <v>4</v>
      </c>
      <c r="G1046" s="15">
        <v>2710000</v>
      </c>
      <c r="H1046" s="14">
        <v>0.13075929750140999</v>
      </c>
      <c r="I1046" s="27">
        <f t="shared" si="16"/>
        <v>2355642.3037711792</v>
      </c>
      <c r="J1046">
        <v>4.7</v>
      </c>
      <c r="K1046" t="b">
        <v>1</v>
      </c>
    </row>
    <row r="1047" spans="1:11" ht="16" x14ac:dyDescent="0.2">
      <c r="A1047" s="16">
        <v>45132</v>
      </c>
      <c r="B1047" t="s">
        <v>33</v>
      </c>
      <c r="C1047" t="s">
        <v>68</v>
      </c>
      <c r="D1047" t="str">
        <f>D1046</f>
        <v>Website</v>
      </c>
      <c r="E1047" t="s">
        <v>7638</v>
      </c>
      <c r="F1047">
        <v>4</v>
      </c>
      <c r="G1047" s="15">
        <v>2710000</v>
      </c>
      <c r="H1047" s="14">
        <v>0.13075929750140999</v>
      </c>
      <c r="I1047" s="27">
        <f t="shared" si="16"/>
        <v>2355642.3037711792</v>
      </c>
      <c r="J1047">
        <v>4.9000000000000004</v>
      </c>
      <c r="K1047" t="b">
        <v>0</v>
      </c>
    </row>
    <row r="1048" spans="1:11" ht="16" x14ac:dyDescent="0.2">
      <c r="A1048" s="16">
        <v>45132</v>
      </c>
      <c r="B1048" t="str">
        <f>B1047</f>
        <v>Student</v>
      </c>
      <c r="C1048" t="s">
        <v>19</v>
      </c>
      <c r="D1048" t="s">
        <v>35</v>
      </c>
      <c r="E1048" t="s">
        <v>7637</v>
      </c>
      <c r="F1048">
        <v>1</v>
      </c>
      <c r="G1048" s="15">
        <v>2710000</v>
      </c>
      <c r="H1048" s="14">
        <v>0.13075929750140999</v>
      </c>
      <c r="I1048" s="27">
        <f t="shared" si="16"/>
        <v>2355642.3037711792</v>
      </c>
      <c r="J1048">
        <v>3.3</v>
      </c>
      <c r="K1048" t="b">
        <v>1</v>
      </c>
    </row>
    <row r="1049" spans="1:11" ht="16" x14ac:dyDescent="0.2">
      <c r="A1049" s="16">
        <v>45133</v>
      </c>
      <c r="B1049" t="s">
        <v>29</v>
      </c>
      <c r="C1049" t="s">
        <v>68</v>
      </c>
      <c r="D1049" t="s">
        <v>35</v>
      </c>
      <c r="E1049" t="s">
        <v>7642</v>
      </c>
      <c r="F1049">
        <v>2</v>
      </c>
      <c r="G1049" s="15">
        <v>2710000</v>
      </c>
      <c r="H1049" s="14">
        <v>0.13075929750140999</v>
      </c>
      <c r="I1049" s="27">
        <f t="shared" si="16"/>
        <v>2355642.3037711792</v>
      </c>
      <c r="J1049">
        <v>4.9000000000000004</v>
      </c>
      <c r="K1049" t="b">
        <v>1</v>
      </c>
    </row>
    <row r="1050" spans="1:11" ht="16" x14ac:dyDescent="0.2">
      <c r="A1050" s="16">
        <v>45133</v>
      </c>
      <c r="B1050" t="s">
        <v>18</v>
      </c>
      <c r="C1050" t="s">
        <v>19</v>
      </c>
      <c r="D1050" t="s">
        <v>35</v>
      </c>
      <c r="E1050" t="s">
        <v>7640</v>
      </c>
      <c r="F1050">
        <v>2</v>
      </c>
      <c r="G1050" s="15">
        <v>2710000</v>
      </c>
      <c r="H1050" s="14">
        <v>0.13075929750140999</v>
      </c>
      <c r="I1050" s="27">
        <f t="shared" si="16"/>
        <v>2355642.3037711792</v>
      </c>
      <c r="J1050">
        <v>4.2</v>
      </c>
      <c r="K1050" t="b">
        <v>0</v>
      </c>
    </row>
    <row r="1051" spans="1:11" ht="16" x14ac:dyDescent="0.2">
      <c r="A1051" s="16">
        <v>45134</v>
      </c>
      <c r="B1051" t="s">
        <v>45</v>
      </c>
      <c r="C1051" t="s">
        <v>34</v>
      </c>
      <c r="D1051" t="s">
        <v>20</v>
      </c>
      <c r="E1051" t="s">
        <v>7639</v>
      </c>
      <c r="F1051">
        <v>3</v>
      </c>
      <c r="G1051" s="15">
        <v>2710000</v>
      </c>
      <c r="H1051" s="14">
        <v>0.13075929750140999</v>
      </c>
      <c r="I1051" s="27">
        <f t="shared" si="16"/>
        <v>2355642.3037711792</v>
      </c>
      <c r="J1051">
        <v>4.2</v>
      </c>
      <c r="K1051" t="b">
        <v>0</v>
      </c>
    </row>
    <row r="1052" spans="1:11" ht="16" x14ac:dyDescent="0.2">
      <c r="A1052" s="16">
        <v>45134</v>
      </c>
      <c r="B1052" t="s">
        <v>45</v>
      </c>
      <c r="C1052" t="s">
        <v>34</v>
      </c>
      <c r="D1052" t="s">
        <v>20</v>
      </c>
      <c r="E1052" t="s">
        <v>7640</v>
      </c>
      <c r="F1052">
        <v>1</v>
      </c>
      <c r="G1052" s="15">
        <v>2710000</v>
      </c>
      <c r="H1052" s="14">
        <v>0.13075929750140999</v>
      </c>
      <c r="I1052" s="27">
        <f t="shared" si="16"/>
        <v>2355642.3037711792</v>
      </c>
      <c r="J1052">
        <v>4.0999999999999996</v>
      </c>
      <c r="K1052" t="b">
        <v>1</v>
      </c>
    </row>
    <row r="1053" spans="1:11" ht="16" x14ac:dyDescent="0.2">
      <c r="A1053" s="16">
        <v>45135</v>
      </c>
      <c r="B1053" t="s">
        <v>45</v>
      </c>
      <c r="C1053" t="s">
        <v>25</v>
      </c>
      <c r="D1053" t="s">
        <v>35</v>
      </c>
      <c r="E1053" t="s">
        <v>57</v>
      </c>
      <c r="F1053">
        <v>1</v>
      </c>
      <c r="G1053" s="15">
        <v>2710000</v>
      </c>
      <c r="H1053" s="14">
        <v>0.13075929750140999</v>
      </c>
      <c r="I1053" s="27">
        <f t="shared" si="16"/>
        <v>2355642.3037711792</v>
      </c>
      <c r="J1053">
        <v>4.2</v>
      </c>
      <c r="K1053" t="b">
        <v>0</v>
      </c>
    </row>
    <row r="1054" spans="1:11" ht="16" x14ac:dyDescent="0.2">
      <c r="A1054" s="16">
        <v>45136</v>
      </c>
      <c r="B1054" t="s">
        <v>33</v>
      </c>
      <c r="C1054" t="s">
        <v>34</v>
      </c>
      <c r="D1054" t="s">
        <v>20</v>
      </c>
      <c r="E1054" t="s">
        <v>7637</v>
      </c>
      <c r="F1054">
        <v>1</v>
      </c>
      <c r="G1054" s="15">
        <v>2710000</v>
      </c>
      <c r="H1054" s="14">
        <v>0.13075929750140999</v>
      </c>
      <c r="I1054" s="27">
        <f t="shared" si="16"/>
        <v>2355642.3037711792</v>
      </c>
      <c r="J1054">
        <v>3.8</v>
      </c>
      <c r="K1054" t="b">
        <v>0</v>
      </c>
    </row>
    <row r="1055" spans="1:11" ht="16" x14ac:dyDescent="0.2">
      <c r="A1055" s="16">
        <v>45136</v>
      </c>
      <c r="B1055" t="s">
        <v>18</v>
      </c>
      <c r="C1055" t="s">
        <v>39</v>
      </c>
      <c r="D1055" t="s">
        <v>35</v>
      </c>
      <c r="E1055" t="s">
        <v>7637</v>
      </c>
      <c r="F1055">
        <v>2</v>
      </c>
      <c r="G1055" s="15">
        <v>2710000</v>
      </c>
      <c r="H1055" s="14">
        <v>0.13075929750140999</v>
      </c>
      <c r="I1055" s="27">
        <f t="shared" si="16"/>
        <v>2355642.3037711792</v>
      </c>
      <c r="J1055">
        <v>4.8</v>
      </c>
      <c r="K1055" t="b">
        <v>0</v>
      </c>
    </row>
    <row r="1056" spans="1:11" ht="16" x14ac:dyDescent="0.2">
      <c r="A1056" s="16">
        <v>45136</v>
      </c>
      <c r="B1056" t="s">
        <v>33</v>
      </c>
      <c r="C1056" t="s">
        <v>45</v>
      </c>
      <c r="D1056" t="s">
        <v>35</v>
      </c>
      <c r="E1056" t="s">
        <v>7638</v>
      </c>
      <c r="F1056">
        <v>2</v>
      </c>
      <c r="G1056" s="15">
        <v>2710000</v>
      </c>
      <c r="H1056" s="14">
        <v>0.13075929750140999</v>
      </c>
      <c r="I1056" s="27">
        <f t="shared" si="16"/>
        <v>2355642.3037711792</v>
      </c>
      <c r="J1056">
        <v>4.5</v>
      </c>
      <c r="K1056" t="b">
        <v>1</v>
      </c>
    </row>
    <row r="1057" spans="1:11" ht="16" x14ac:dyDescent="0.2">
      <c r="A1057" s="16">
        <v>45138</v>
      </c>
      <c r="B1057" t="s">
        <v>45</v>
      </c>
      <c r="C1057" t="s">
        <v>19</v>
      </c>
      <c r="D1057" t="s">
        <v>20</v>
      </c>
      <c r="E1057" t="s">
        <v>7644</v>
      </c>
      <c r="F1057">
        <v>3</v>
      </c>
      <c r="G1057" s="15">
        <v>2710000</v>
      </c>
      <c r="H1057" s="14">
        <v>0.13075929750140999</v>
      </c>
      <c r="I1057" s="27">
        <f t="shared" si="16"/>
        <v>2355642.3037711792</v>
      </c>
      <c r="J1057">
        <v>3.8</v>
      </c>
      <c r="K1057" t="b">
        <v>1</v>
      </c>
    </row>
    <row r="1058" spans="1:11" ht="16" x14ac:dyDescent="0.2">
      <c r="A1058" s="16">
        <v>45138</v>
      </c>
      <c r="B1058" t="s">
        <v>29</v>
      </c>
      <c r="C1058" t="s">
        <v>45</v>
      </c>
      <c r="D1058" t="s">
        <v>20</v>
      </c>
      <c r="E1058" t="s">
        <v>7640</v>
      </c>
      <c r="F1058">
        <v>1</v>
      </c>
      <c r="G1058" s="15">
        <v>2710000</v>
      </c>
      <c r="H1058" s="14">
        <v>0.13075929750140999</v>
      </c>
      <c r="I1058" s="27">
        <f t="shared" si="16"/>
        <v>2355642.3037711792</v>
      </c>
      <c r="J1058">
        <v>4.2</v>
      </c>
      <c r="K1058" t="b">
        <v>1</v>
      </c>
    </row>
    <row r="1059" spans="1:11" ht="16" x14ac:dyDescent="0.2">
      <c r="A1059" s="16">
        <v>45138</v>
      </c>
      <c r="B1059" t="s">
        <v>18</v>
      </c>
      <c r="C1059" t="s">
        <v>45</v>
      </c>
      <c r="D1059" t="s">
        <v>20</v>
      </c>
      <c r="E1059" t="s">
        <v>7637</v>
      </c>
      <c r="F1059">
        <v>3</v>
      </c>
      <c r="G1059" s="15">
        <v>2710000</v>
      </c>
      <c r="H1059" s="14">
        <v>0.13075929750140999</v>
      </c>
      <c r="I1059" s="27">
        <f t="shared" si="16"/>
        <v>2355642.3037711792</v>
      </c>
      <c r="J1059">
        <v>3.3</v>
      </c>
      <c r="K1059" t="b">
        <v>1</v>
      </c>
    </row>
    <row r="1060" spans="1:11" ht="16" x14ac:dyDescent="0.2">
      <c r="A1060" s="16">
        <v>45139</v>
      </c>
      <c r="B1060" t="s">
        <v>33</v>
      </c>
      <c r="C1060" t="s">
        <v>34</v>
      </c>
      <c r="D1060" t="s">
        <v>50</v>
      </c>
      <c r="E1060" t="s">
        <v>99</v>
      </c>
      <c r="F1060">
        <v>1</v>
      </c>
      <c r="G1060" s="15">
        <v>2710000</v>
      </c>
      <c r="H1060" s="14">
        <v>0.13075929750140999</v>
      </c>
      <c r="I1060" s="27">
        <f t="shared" si="16"/>
        <v>2355642.3037711792</v>
      </c>
      <c r="J1060">
        <v>4.4000000000000004</v>
      </c>
      <c r="K1060" t="b">
        <v>1</v>
      </c>
    </row>
    <row r="1061" spans="1:11" ht="16" x14ac:dyDescent="0.2">
      <c r="A1061" s="16">
        <v>45139</v>
      </c>
      <c r="B1061" t="str">
        <f>B1060</f>
        <v>Student</v>
      </c>
      <c r="C1061" t="s">
        <v>39</v>
      </c>
      <c r="D1061" t="s">
        <v>35</v>
      </c>
      <c r="E1061" t="s">
        <v>7637</v>
      </c>
      <c r="F1061">
        <v>4</v>
      </c>
      <c r="G1061" s="15">
        <v>2710000</v>
      </c>
      <c r="H1061" s="14">
        <v>0.13075929750140999</v>
      </c>
      <c r="I1061" s="27">
        <f t="shared" si="16"/>
        <v>2355642.3037711792</v>
      </c>
      <c r="J1061">
        <v>4</v>
      </c>
      <c r="K1061" t="b">
        <v>0</v>
      </c>
    </row>
    <row r="1062" spans="1:11" ht="16" x14ac:dyDescent="0.2">
      <c r="A1062" s="16">
        <v>45140</v>
      </c>
      <c r="B1062" t="s">
        <v>33</v>
      </c>
      <c r="C1062" t="s">
        <v>19</v>
      </c>
      <c r="D1062" t="s">
        <v>20</v>
      </c>
      <c r="E1062" t="s">
        <v>7640</v>
      </c>
      <c r="F1062">
        <v>1</v>
      </c>
      <c r="G1062" s="15">
        <v>2710000</v>
      </c>
      <c r="H1062" s="14">
        <v>0.13075929750140999</v>
      </c>
      <c r="I1062" s="27">
        <f t="shared" si="16"/>
        <v>2355642.3037711792</v>
      </c>
      <c r="J1062">
        <v>3.7</v>
      </c>
      <c r="K1062" t="b">
        <v>0</v>
      </c>
    </row>
    <row r="1063" spans="1:11" ht="16" x14ac:dyDescent="0.2">
      <c r="A1063" s="16">
        <v>45140</v>
      </c>
      <c r="B1063" t="s">
        <v>45</v>
      </c>
      <c r="C1063" t="s">
        <v>39</v>
      </c>
      <c r="D1063" t="s">
        <v>20</v>
      </c>
      <c r="E1063" t="s">
        <v>99</v>
      </c>
      <c r="F1063">
        <v>2</v>
      </c>
      <c r="G1063" s="15">
        <v>2710000</v>
      </c>
      <c r="H1063" s="14">
        <v>0.13075929750140999</v>
      </c>
      <c r="I1063" s="27">
        <f t="shared" si="16"/>
        <v>2355642.3037711792</v>
      </c>
      <c r="J1063">
        <v>3.7</v>
      </c>
      <c r="K1063" t="b">
        <v>0</v>
      </c>
    </row>
    <row r="1064" spans="1:11" ht="16" x14ac:dyDescent="0.2">
      <c r="A1064" s="16">
        <v>45141</v>
      </c>
      <c r="B1064" t="s">
        <v>29</v>
      </c>
      <c r="C1064" t="s">
        <v>19</v>
      </c>
      <c r="D1064" t="s">
        <v>20</v>
      </c>
      <c r="E1064" t="s">
        <v>7639</v>
      </c>
      <c r="F1064">
        <v>3</v>
      </c>
      <c r="G1064" s="15">
        <v>2710000</v>
      </c>
      <c r="H1064" s="14">
        <v>0.13075929750140999</v>
      </c>
      <c r="I1064" s="27">
        <f t="shared" si="16"/>
        <v>2355642.3037711792</v>
      </c>
      <c r="J1064">
        <v>4.2</v>
      </c>
      <c r="K1064" t="b">
        <v>0</v>
      </c>
    </row>
    <row r="1065" spans="1:11" ht="16" x14ac:dyDescent="0.2">
      <c r="A1065" s="16">
        <v>45141</v>
      </c>
      <c r="B1065" t="s">
        <v>45</v>
      </c>
      <c r="C1065" t="s">
        <v>34</v>
      </c>
      <c r="D1065" t="s">
        <v>20</v>
      </c>
      <c r="E1065" t="s">
        <v>7637</v>
      </c>
      <c r="F1065">
        <v>3</v>
      </c>
      <c r="G1065" s="15">
        <v>2710000</v>
      </c>
      <c r="H1065" s="14">
        <v>0.13075929750140999</v>
      </c>
      <c r="I1065" s="27">
        <f t="shared" si="16"/>
        <v>2355642.3037711792</v>
      </c>
      <c r="J1065">
        <v>4</v>
      </c>
      <c r="K1065" t="b">
        <v>0</v>
      </c>
    </row>
    <row r="1066" spans="1:11" ht="16" x14ac:dyDescent="0.2">
      <c r="A1066" s="16">
        <v>45142</v>
      </c>
      <c r="B1066" t="s">
        <v>29</v>
      </c>
      <c r="C1066" t="s">
        <v>68</v>
      </c>
      <c r="D1066" t="str">
        <f>D1065</f>
        <v>Website</v>
      </c>
      <c r="E1066" t="s">
        <v>7638</v>
      </c>
      <c r="F1066">
        <v>3</v>
      </c>
      <c r="G1066" s="15">
        <v>2710000</v>
      </c>
      <c r="H1066" s="14">
        <v>0.13075929750140999</v>
      </c>
      <c r="I1066" s="27">
        <f t="shared" si="16"/>
        <v>2355642.3037711792</v>
      </c>
      <c r="J1066">
        <v>4.2</v>
      </c>
      <c r="K1066" t="b">
        <v>1</v>
      </c>
    </row>
    <row r="1067" spans="1:11" ht="16" x14ac:dyDescent="0.2">
      <c r="A1067" s="16">
        <v>45142</v>
      </c>
      <c r="B1067" t="s">
        <v>29</v>
      </c>
      <c r="C1067" t="s">
        <v>39</v>
      </c>
      <c r="D1067" t="s">
        <v>20</v>
      </c>
      <c r="E1067" t="s">
        <v>7639</v>
      </c>
      <c r="F1067">
        <v>1</v>
      </c>
      <c r="G1067" s="15">
        <v>2710000</v>
      </c>
      <c r="H1067" s="14">
        <v>0.13075929750140999</v>
      </c>
      <c r="I1067" s="27">
        <f t="shared" si="16"/>
        <v>2355642.3037711792</v>
      </c>
      <c r="J1067">
        <v>4.7</v>
      </c>
      <c r="K1067" t="b">
        <v>0</v>
      </c>
    </row>
    <row r="1068" spans="1:11" ht="16" x14ac:dyDescent="0.2">
      <c r="A1068" s="16">
        <v>45143</v>
      </c>
      <c r="B1068" t="s">
        <v>45</v>
      </c>
      <c r="C1068" t="s">
        <v>25</v>
      </c>
      <c r="D1068" t="s">
        <v>20</v>
      </c>
      <c r="E1068" t="s">
        <v>57</v>
      </c>
      <c r="F1068">
        <v>2</v>
      </c>
      <c r="G1068" s="15">
        <v>2710000</v>
      </c>
      <c r="H1068" s="14">
        <v>0.13075929750140999</v>
      </c>
      <c r="I1068" s="27">
        <f t="shared" si="16"/>
        <v>2355642.3037711792</v>
      </c>
      <c r="J1068">
        <v>4.8</v>
      </c>
      <c r="K1068" t="b">
        <v>1</v>
      </c>
    </row>
    <row r="1069" spans="1:11" ht="16" x14ac:dyDescent="0.2">
      <c r="A1069" s="16">
        <v>45143</v>
      </c>
      <c r="B1069" t="s">
        <v>18</v>
      </c>
      <c r="C1069" t="s">
        <v>45</v>
      </c>
      <c r="D1069" t="s">
        <v>50</v>
      </c>
      <c r="E1069" t="s">
        <v>7644</v>
      </c>
      <c r="F1069">
        <v>3</v>
      </c>
      <c r="G1069" s="15">
        <v>2710000</v>
      </c>
      <c r="H1069" s="14">
        <v>0.13075929750140999</v>
      </c>
      <c r="I1069" s="27">
        <f t="shared" si="16"/>
        <v>2355642.3037711792</v>
      </c>
      <c r="J1069">
        <v>4.5</v>
      </c>
      <c r="K1069" t="b">
        <v>0</v>
      </c>
    </row>
    <row r="1070" spans="1:11" ht="16" x14ac:dyDescent="0.2">
      <c r="A1070" s="16">
        <v>45144</v>
      </c>
      <c r="B1070" t="s">
        <v>18</v>
      </c>
      <c r="C1070" t="s">
        <v>45</v>
      </c>
      <c r="D1070" t="s">
        <v>35</v>
      </c>
      <c r="E1070" t="s">
        <v>7644</v>
      </c>
      <c r="F1070">
        <v>2</v>
      </c>
      <c r="G1070" s="15">
        <v>2710000</v>
      </c>
      <c r="H1070" s="14">
        <v>0.13075929750140999</v>
      </c>
      <c r="I1070" s="27">
        <f t="shared" si="16"/>
        <v>2355642.3037711792</v>
      </c>
      <c r="J1070">
        <v>4.3</v>
      </c>
      <c r="K1070" t="b">
        <v>0</v>
      </c>
    </row>
    <row r="1071" spans="1:11" ht="16" x14ac:dyDescent="0.2">
      <c r="A1071" s="16">
        <v>45144</v>
      </c>
      <c r="B1071" t="s">
        <v>18</v>
      </c>
      <c r="C1071" t="s">
        <v>45</v>
      </c>
      <c r="D1071" t="s">
        <v>35</v>
      </c>
      <c r="E1071" t="s">
        <v>7642</v>
      </c>
      <c r="F1071">
        <v>1</v>
      </c>
      <c r="G1071" s="15">
        <v>2710000</v>
      </c>
      <c r="H1071" s="14">
        <v>0.13075929750140999</v>
      </c>
      <c r="I1071" s="27">
        <f t="shared" si="16"/>
        <v>2355642.3037711792</v>
      </c>
      <c r="J1071">
        <v>4.0999999999999996</v>
      </c>
      <c r="K1071" t="b">
        <v>0</v>
      </c>
    </row>
    <row r="1072" spans="1:11" ht="16" x14ac:dyDescent="0.2">
      <c r="A1072" s="16">
        <v>45145</v>
      </c>
      <c r="B1072" t="s">
        <v>33</v>
      </c>
      <c r="C1072" t="s">
        <v>19</v>
      </c>
      <c r="D1072" t="s">
        <v>20</v>
      </c>
      <c r="E1072" t="s">
        <v>7643</v>
      </c>
      <c r="F1072">
        <v>2</v>
      </c>
      <c r="G1072" s="15">
        <v>2710000</v>
      </c>
      <c r="H1072" s="14">
        <v>0.13075929750140999</v>
      </c>
      <c r="I1072" s="27">
        <f t="shared" si="16"/>
        <v>2355642.3037711792</v>
      </c>
      <c r="J1072">
        <v>3.8</v>
      </c>
      <c r="K1072" t="b">
        <v>0</v>
      </c>
    </row>
    <row r="1073" spans="1:11" ht="16" x14ac:dyDescent="0.2">
      <c r="A1073" s="16">
        <v>45146</v>
      </c>
      <c r="B1073" t="s">
        <v>18</v>
      </c>
      <c r="C1073" t="s">
        <v>39</v>
      </c>
      <c r="D1073" t="s">
        <v>35</v>
      </c>
      <c r="E1073" t="s">
        <v>7637</v>
      </c>
      <c r="F1073">
        <v>1</v>
      </c>
      <c r="G1073" s="15">
        <v>2710000</v>
      </c>
      <c r="H1073" s="14">
        <v>0.13075929750140999</v>
      </c>
      <c r="I1073" s="27">
        <f t="shared" si="16"/>
        <v>2355642.3037711792</v>
      </c>
      <c r="J1073">
        <v>4.9000000000000004</v>
      </c>
      <c r="K1073" t="b">
        <v>0</v>
      </c>
    </row>
    <row r="1074" spans="1:11" ht="16" x14ac:dyDescent="0.2">
      <c r="A1074" s="16">
        <v>45146</v>
      </c>
      <c r="B1074" t="s">
        <v>18</v>
      </c>
      <c r="C1074" t="s">
        <v>45</v>
      </c>
      <c r="D1074" t="s">
        <v>20</v>
      </c>
      <c r="E1074" t="s">
        <v>7642</v>
      </c>
      <c r="F1074">
        <v>1</v>
      </c>
      <c r="G1074" s="15">
        <v>2710000</v>
      </c>
      <c r="H1074" s="14">
        <v>0.13075929750140999</v>
      </c>
      <c r="I1074" s="27">
        <f t="shared" si="16"/>
        <v>2355642.3037711792</v>
      </c>
      <c r="J1074">
        <v>3.4</v>
      </c>
      <c r="K1074" t="b">
        <v>1</v>
      </c>
    </row>
    <row r="1075" spans="1:11" ht="16" x14ac:dyDescent="0.2">
      <c r="A1075" s="16">
        <v>45146</v>
      </c>
      <c r="B1075" t="s">
        <v>18</v>
      </c>
      <c r="C1075" t="s">
        <v>45</v>
      </c>
      <c r="D1075" t="s">
        <v>50</v>
      </c>
      <c r="E1075" t="s">
        <v>57</v>
      </c>
      <c r="F1075">
        <v>1</v>
      </c>
      <c r="G1075" s="15">
        <v>2710000</v>
      </c>
      <c r="H1075" s="14">
        <v>0.13075929750140999</v>
      </c>
      <c r="I1075" s="27">
        <f t="shared" si="16"/>
        <v>2355642.3037711792</v>
      </c>
      <c r="J1075">
        <v>4.7</v>
      </c>
      <c r="K1075" t="b">
        <v>1</v>
      </c>
    </row>
    <row r="1076" spans="1:11" ht="16" x14ac:dyDescent="0.2">
      <c r="A1076" s="16">
        <v>45147</v>
      </c>
      <c r="B1076" t="s">
        <v>45</v>
      </c>
      <c r="C1076" t="s">
        <v>19</v>
      </c>
      <c r="D1076" t="s">
        <v>20</v>
      </c>
      <c r="E1076" t="s">
        <v>99</v>
      </c>
      <c r="F1076">
        <v>1</v>
      </c>
      <c r="G1076" s="15">
        <v>2710000</v>
      </c>
      <c r="H1076" s="14">
        <v>0.13075929750140999</v>
      </c>
      <c r="I1076" s="27">
        <f t="shared" si="16"/>
        <v>2355642.3037711792</v>
      </c>
      <c r="J1076">
        <v>3.6</v>
      </c>
      <c r="K1076" t="b">
        <v>1</v>
      </c>
    </row>
    <row r="1077" spans="1:11" ht="16" x14ac:dyDescent="0.2">
      <c r="A1077" s="16">
        <v>45148</v>
      </c>
      <c r="B1077" t="s">
        <v>18</v>
      </c>
      <c r="C1077" t="s">
        <v>45</v>
      </c>
      <c r="D1077" t="s">
        <v>50</v>
      </c>
      <c r="E1077" t="s">
        <v>7637</v>
      </c>
      <c r="F1077">
        <v>1</v>
      </c>
      <c r="G1077" s="15">
        <v>2710000</v>
      </c>
      <c r="H1077" s="14">
        <v>0.13075929750140999</v>
      </c>
      <c r="I1077" s="27">
        <f t="shared" si="16"/>
        <v>2355642.3037711792</v>
      </c>
      <c r="J1077">
        <v>4.4000000000000004</v>
      </c>
      <c r="K1077" t="b">
        <v>1</v>
      </c>
    </row>
    <row r="1078" spans="1:11" ht="16" x14ac:dyDescent="0.2">
      <c r="A1078" s="16">
        <v>45148</v>
      </c>
      <c r="B1078" t="s">
        <v>18</v>
      </c>
      <c r="C1078" t="s">
        <v>34</v>
      </c>
      <c r="D1078" t="s">
        <v>20</v>
      </c>
      <c r="E1078" t="s">
        <v>99</v>
      </c>
      <c r="F1078">
        <v>1</v>
      </c>
      <c r="G1078" s="15">
        <v>2710000</v>
      </c>
      <c r="H1078" s="14">
        <v>0.13075929750140999</v>
      </c>
      <c r="I1078" s="27">
        <f t="shared" si="16"/>
        <v>2355642.3037711792</v>
      </c>
      <c r="J1078">
        <v>4.5999999999999996</v>
      </c>
      <c r="K1078" t="b">
        <v>1</v>
      </c>
    </row>
    <row r="1079" spans="1:11" ht="16" x14ac:dyDescent="0.2">
      <c r="A1079" s="16">
        <v>45148</v>
      </c>
      <c r="B1079" t="s">
        <v>45</v>
      </c>
      <c r="C1079" t="s">
        <v>25</v>
      </c>
      <c r="D1079" t="s">
        <v>50</v>
      </c>
      <c r="E1079" t="s">
        <v>7639</v>
      </c>
      <c r="F1079">
        <v>4</v>
      </c>
      <c r="G1079" s="15">
        <v>2710000</v>
      </c>
      <c r="H1079" s="14">
        <v>0.13075929750140999</v>
      </c>
      <c r="I1079" s="27">
        <f t="shared" si="16"/>
        <v>2355642.3037711792</v>
      </c>
      <c r="J1079">
        <v>4.7</v>
      </c>
      <c r="K1079" t="b">
        <v>1</v>
      </c>
    </row>
    <row r="1080" spans="1:11" ht="16" x14ac:dyDescent="0.2">
      <c r="A1080" s="16">
        <v>45148</v>
      </c>
      <c r="B1080" t="s">
        <v>18</v>
      </c>
      <c r="C1080" t="s">
        <v>19</v>
      </c>
      <c r="D1080" t="str">
        <f>D1079</f>
        <v>Agent</v>
      </c>
      <c r="E1080" t="s">
        <v>7639</v>
      </c>
      <c r="F1080">
        <v>2</v>
      </c>
      <c r="G1080" s="15">
        <v>2710000</v>
      </c>
      <c r="H1080" s="14">
        <v>0.13075929750140999</v>
      </c>
      <c r="I1080" s="27">
        <f t="shared" si="16"/>
        <v>2355642.3037711792</v>
      </c>
      <c r="J1080">
        <v>4.4000000000000004</v>
      </c>
      <c r="K1080" t="b">
        <v>1</v>
      </c>
    </row>
    <row r="1081" spans="1:11" ht="16" x14ac:dyDescent="0.2">
      <c r="A1081" s="16">
        <v>45149</v>
      </c>
      <c r="B1081" t="s">
        <v>18</v>
      </c>
      <c r="C1081" t="s">
        <v>19</v>
      </c>
      <c r="D1081" t="s">
        <v>20</v>
      </c>
      <c r="E1081" t="s">
        <v>7637</v>
      </c>
      <c r="F1081">
        <v>1</v>
      </c>
      <c r="G1081" s="15">
        <v>2710000</v>
      </c>
      <c r="H1081" s="14">
        <v>0.13075929750140999</v>
      </c>
      <c r="I1081" s="27">
        <f t="shared" si="16"/>
        <v>2355642.3037711792</v>
      </c>
      <c r="J1081">
        <v>4.5999999999999996</v>
      </c>
      <c r="K1081" t="b">
        <v>0</v>
      </c>
    </row>
    <row r="1082" spans="1:11" ht="16" x14ac:dyDescent="0.2">
      <c r="A1082" s="16">
        <v>45150</v>
      </c>
      <c r="B1082" t="s">
        <v>45</v>
      </c>
      <c r="C1082" t="s">
        <v>68</v>
      </c>
      <c r="D1082" t="s">
        <v>20</v>
      </c>
      <c r="E1082" t="s">
        <v>7641</v>
      </c>
      <c r="F1082">
        <v>2</v>
      </c>
      <c r="G1082" s="15">
        <v>2710000</v>
      </c>
      <c r="H1082" s="14">
        <v>0.13075929750140999</v>
      </c>
      <c r="I1082" s="27">
        <f t="shared" si="16"/>
        <v>2355642.3037711792</v>
      </c>
      <c r="J1082">
        <v>4.4000000000000004</v>
      </c>
      <c r="K1082" t="b">
        <v>1</v>
      </c>
    </row>
    <row r="1083" spans="1:11" ht="16" x14ac:dyDescent="0.2">
      <c r="A1083" s="16">
        <v>45150</v>
      </c>
      <c r="B1083" t="s">
        <v>45</v>
      </c>
      <c r="C1083" t="s">
        <v>19</v>
      </c>
      <c r="D1083" t="s">
        <v>20</v>
      </c>
      <c r="E1083" t="s">
        <v>7637</v>
      </c>
      <c r="F1083">
        <v>1</v>
      </c>
      <c r="G1083" s="15">
        <v>2710000</v>
      </c>
      <c r="H1083" s="14">
        <v>0.13075929750140999</v>
      </c>
      <c r="I1083" s="27">
        <f t="shared" si="16"/>
        <v>2355642.3037711792</v>
      </c>
      <c r="J1083">
        <v>5</v>
      </c>
      <c r="K1083" t="b">
        <v>1</v>
      </c>
    </row>
    <row r="1084" spans="1:11" ht="16" x14ac:dyDescent="0.2">
      <c r="A1084" s="16">
        <v>45150</v>
      </c>
      <c r="B1084" t="s">
        <v>18</v>
      </c>
      <c r="C1084" t="s">
        <v>25</v>
      </c>
      <c r="D1084" t="s">
        <v>35</v>
      </c>
      <c r="E1084" t="s">
        <v>7643</v>
      </c>
      <c r="F1084">
        <v>1</v>
      </c>
      <c r="G1084" s="15">
        <v>2710000</v>
      </c>
      <c r="H1084" s="14">
        <v>0.13075929750140999</v>
      </c>
      <c r="I1084" s="27">
        <f t="shared" si="16"/>
        <v>2355642.3037711792</v>
      </c>
      <c r="J1084">
        <v>4.8</v>
      </c>
      <c r="K1084" t="b">
        <v>1</v>
      </c>
    </row>
    <row r="1085" spans="1:11" ht="16" x14ac:dyDescent="0.2">
      <c r="A1085" s="16">
        <v>45151</v>
      </c>
      <c r="B1085" t="s">
        <v>18</v>
      </c>
      <c r="C1085" t="s">
        <v>45</v>
      </c>
      <c r="D1085" t="s">
        <v>20</v>
      </c>
      <c r="E1085" t="str">
        <f>E1084</f>
        <v>TP. HCM</v>
      </c>
      <c r="F1085">
        <v>1</v>
      </c>
      <c r="G1085" s="15">
        <v>2710000</v>
      </c>
      <c r="H1085" s="14">
        <v>0.13075929750140999</v>
      </c>
      <c r="I1085" s="27">
        <f t="shared" si="16"/>
        <v>2355642.3037711792</v>
      </c>
      <c r="J1085">
        <v>4.0999999999999996</v>
      </c>
      <c r="K1085" t="b">
        <v>1</v>
      </c>
    </row>
    <row r="1086" spans="1:11" ht="16" x14ac:dyDescent="0.2">
      <c r="A1086" s="16">
        <v>45153</v>
      </c>
      <c r="B1086" t="s">
        <v>18</v>
      </c>
      <c r="C1086" t="s">
        <v>25</v>
      </c>
      <c r="D1086" t="s">
        <v>20</v>
      </c>
      <c r="E1086" t="s">
        <v>7637</v>
      </c>
      <c r="F1086">
        <v>2</v>
      </c>
      <c r="G1086" s="15">
        <v>2710000</v>
      </c>
      <c r="H1086" s="14">
        <v>0.13075929750140999</v>
      </c>
      <c r="I1086" s="27">
        <f t="shared" si="16"/>
        <v>2355642.3037711792</v>
      </c>
      <c r="J1086">
        <v>4.3</v>
      </c>
      <c r="K1086" t="b">
        <v>0</v>
      </c>
    </row>
    <row r="1087" spans="1:11" ht="16" x14ac:dyDescent="0.2">
      <c r="A1087" s="16">
        <v>45153</v>
      </c>
      <c r="B1087" t="s">
        <v>33</v>
      </c>
      <c r="C1087" t="s">
        <v>34</v>
      </c>
      <c r="D1087" t="s">
        <v>50</v>
      </c>
      <c r="E1087" t="str">
        <f>E1086</f>
        <v>Đà Nẵng</v>
      </c>
      <c r="F1087">
        <v>1</v>
      </c>
      <c r="G1087" s="15">
        <v>2710000</v>
      </c>
      <c r="H1087" s="14">
        <v>0.13075929750140999</v>
      </c>
      <c r="I1087" s="27">
        <f t="shared" si="16"/>
        <v>2355642.3037711792</v>
      </c>
      <c r="J1087">
        <v>3.6</v>
      </c>
      <c r="K1087" t="b">
        <v>1</v>
      </c>
    </row>
    <row r="1088" spans="1:11" ht="16" x14ac:dyDescent="0.2">
      <c r="A1088" s="16">
        <v>45154</v>
      </c>
      <c r="B1088" t="s">
        <v>33</v>
      </c>
      <c r="C1088" t="s">
        <v>19</v>
      </c>
      <c r="D1088" t="s">
        <v>35</v>
      </c>
      <c r="E1088" t="s">
        <v>7637</v>
      </c>
      <c r="F1088">
        <v>2</v>
      </c>
      <c r="G1088" s="15">
        <v>2710000</v>
      </c>
      <c r="H1088" s="14">
        <v>0.13075929750140999</v>
      </c>
      <c r="I1088" s="27">
        <f t="shared" si="16"/>
        <v>2355642.3037711792</v>
      </c>
      <c r="J1088">
        <v>4.5999999999999996</v>
      </c>
      <c r="K1088" t="b">
        <v>1</v>
      </c>
    </row>
    <row r="1089" spans="1:11" ht="16" x14ac:dyDescent="0.2">
      <c r="A1089" s="16">
        <v>45154</v>
      </c>
      <c r="B1089" t="s">
        <v>45</v>
      </c>
      <c r="C1089" t="s">
        <v>39</v>
      </c>
      <c r="D1089" t="s">
        <v>20</v>
      </c>
      <c r="E1089" t="s">
        <v>7641</v>
      </c>
      <c r="F1089">
        <v>4</v>
      </c>
      <c r="G1089" s="15">
        <v>2710000</v>
      </c>
      <c r="H1089" s="14">
        <v>0.13075929750140999</v>
      </c>
      <c r="I1089" s="27">
        <f t="shared" si="16"/>
        <v>2355642.3037711792</v>
      </c>
      <c r="J1089">
        <v>4.2</v>
      </c>
      <c r="K1089" t="b">
        <v>0</v>
      </c>
    </row>
    <row r="1090" spans="1:11" ht="16" x14ac:dyDescent="0.2">
      <c r="A1090" s="16">
        <v>45155</v>
      </c>
      <c r="B1090" t="str">
        <f>B1089</f>
        <v>Family</v>
      </c>
      <c r="C1090" t="s">
        <v>34</v>
      </c>
      <c r="D1090" t="s">
        <v>20</v>
      </c>
      <c r="E1090" t="s">
        <v>7644</v>
      </c>
      <c r="F1090">
        <v>1</v>
      </c>
      <c r="G1090" s="15">
        <v>2710000</v>
      </c>
      <c r="H1090" s="14">
        <v>0.13075929750140999</v>
      </c>
      <c r="I1090" s="27">
        <f t="shared" si="16"/>
        <v>2355642.3037711792</v>
      </c>
      <c r="J1090">
        <v>4.8</v>
      </c>
      <c r="K1090" t="b">
        <v>1</v>
      </c>
    </row>
    <row r="1091" spans="1:11" ht="16" x14ac:dyDescent="0.2">
      <c r="A1091" s="16">
        <v>45155</v>
      </c>
      <c r="B1091" t="s">
        <v>18</v>
      </c>
      <c r="C1091" t="s">
        <v>34</v>
      </c>
      <c r="D1091" t="s">
        <v>35</v>
      </c>
      <c r="E1091" t="s">
        <v>7638</v>
      </c>
      <c r="F1091">
        <v>5</v>
      </c>
      <c r="G1091" s="15">
        <v>2710000</v>
      </c>
      <c r="H1091" s="14">
        <v>0.13075929750140999</v>
      </c>
      <c r="I1091" s="27">
        <f t="shared" ref="I1091:I1154" si="17">G1091-G1091*H1091</f>
        <v>2355642.3037711792</v>
      </c>
      <c r="J1091">
        <v>4.9000000000000004</v>
      </c>
      <c r="K1091" t="b">
        <v>1</v>
      </c>
    </row>
    <row r="1092" spans="1:11" ht="16" x14ac:dyDescent="0.2">
      <c r="A1092" s="16">
        <v>45155</v>
      </c>
      <c r="B1092" t="s">
        <v>33</v>
      </c>
      <c r="C1092" t="s">
        <v>39</v>
      </c>
      <c r="D1092" t="s">
        <v>35</v>
      </c>
      <c r="E1092" t="s">
        <v>7642</v>
      </c>
      <c r="F1092">
        <v>3</v>
      </c>
      <c r="G1092" s="15">
        <v>2710000</v>
      </c>
      <c r="H1092" s="14">
        <v>0.13075929750140999</v>
      </c>
      <c r="I1092" s="27">
        <f t="shared" si="17"/>
        <v>2355642.3037711792</v>
      </c>
      <c r="J1092">
        <v>4.8</v>
      </c>
      <c r="K1092" t="b">
        <v>0</v>
      </c>
    </row>
    <row r="1093" spans="1:11" ht="16" x14ac:dyDescent="0.2">
      <c r="A1093" s="16">
        <v>45155</v>
      </c>
      <c r="B1093" t="str">
        <f>B1092</f>
        <v>Student</v>
      </c>
      <c r="C1093" t="s">
        <v>45</v>
      </c>
      <c r="D1093" t="s">
        <v>50</v>
      </c>
      <c r="E1093" t="s">
        <v>7643</v>
      </c>
      <c r="F1093">
        <v>2</v>
      </c>
      <c r="G1093" s="15">
        <v>2710000</v>
      </c>
      <c r="H1093" s="14">
        <v>0.13075929750140999</v>
      </c>
      <c r="I1093" s="27">
        <f t="shared" si="17"/>
        <v>2355642.3037711792</v>
      </c>
      <c r="J1093">
        <v>4.5999999999999996</v>
      </c>
      <c r="K1093" t="b">
        <v>0</v>
      </c>
    </row>
    <row r="1094" spans="1:11" ht="16" x14ac:dyDescent="0.2">
      <c r="A1094" s="16">
        <v>45156</v>
      </c>
      <c r="B1094" t="s">
        <v>33</v>
      </c>
      <c r="C1094" t="s">
        <v>34</v>
      </c>
      <c r="D1094" t="s">
        <v>20</v>
      </c>
      <c r="E1094" t="str">
        <f>E1093</f>
        <v>TP. HCM</v>
      </c>
      <c r="F1094">
        <v>2</v>
      </c>
      <c r="G1094" s="15">
        <v>2710000</v>
      </c>
      <c r="H1094" s="14">
        <v>0.13075929750140999</v>
      </c>
      <c r="I1094" s="27">
        <f t="shared" si="17"/>
        <v>2355642.3037711792</v>
      </c>
      <c r="J1094">
        <v>4.5</v>
      </c>
      <c r="K1094" t="b">
        <v>1</v>
      </c>
    </row>
    <row r="1095" spans="1:11" ht="16" x14ac:dyDescent="0.2">
      <c r="A1095" s="16">
        <v>45157</v>
      </c>
      <c r="B1095" t="s">
        <v>45</v>
      </c>
      <c r="C1095" t="s">
        <v>45</v>
      </c>
      <c r="D1095" t="s">
        <v>50</v>
      </c>
      <c r="E1095" t="s">
        <v>57</v>
      </c>
      <c r="F1095">
        <v>1</v>
      </c>
      <c r="G1095" s="15">
        <v>2710000</v>
      </c>
      <c r="H1095" s="14">
        <v>0.13075929750140999</v>
      </c>
      <c r="I1095" s="27">
        <f t="shared" si="17"/>
        <v>2355642.3037711792</v>
      </c>
      <c r="J1095">
        <v>4</v>
      </c>
      <c r="K1095" t="b">
        <v>0</v>
      </c>
    </row>
    <row r="1096" spans="1:11" ht="16" x14ac:dyDescent="0.2">
      <c r="A1096" s="16">
        <v>45157</v>
      </c>
      <c r="B1096" t="s">
        <v>45</v>
      </c>
      <c r="C1096" t="s">
        <v>19</v>
      </c>
      <c r="D1096" t="s">
        <v>20</v>
      </c>
      <c r="E1096" t="s">
        <v>7641</v>
      </c>
      <c r="F1096">
        <v>3</v>
      </c>
      <c r="G1096" s="15">
        <v>2710000</v>
      </c>
      <c r="H1096" s="14">
        <v>0.13075929750140999</v>
      </c>
      <c r="I1096" s="27">
        <f t="shared" si="17"/>
        <v>2355642.3037711792</v>
      </c>
      <c r="J1096">
        <v>4.3</v>
      </c>
      <c r="K1096" t="b">
        <v>0</v>
      </c>
    </row>
    <row r="1097" spans="1:11" ht="16" x14ac:dyDescent="0.2">
      <c r="A1097" s="16">
        <v>45158</v>
      </c>
      <c r="B1097" t="s">
        <v>29</v>
      </c>
      <c r="C1097" t="s">
        <v>34</v>
      </c>
      <c r="D1097" t="s">
        <v>20</v>
      </c>
      <c r="E1097" t="s">
        <v>99</v>
      </c>
      <c r="F1097">
        <v>4</v>
      </c>
      <c r="G1097" s="15">
        <v>2710000</v>
      </c>
      <c r="H1097" s="14">
        <v>0.13075929750140999</v>
      </c>
      <c r="I1097" s="27">
        <f t="shared" si="17"/>
        <v>2355642.3037711792</v>
      </c>
      <c r="J1097">
        <v>3.8</v>
      </c>
      <c r="K1097" t="b">
        <v>1</v>
      </c>
    </row>
    <row r="1098" spans="1:11" ht="16" x14ac:dyDescent="0.2">
      <c r="A1098" s="16">
        <v>45158</v>
      </c>
      <c r="B1098" t="s">
        <v>18</v>
      </c>
      <c r="C1098" t="s">
        <v>45</v>
      </c>
      <c r="D1098" t="s">
        <v>20</v>
      </c>
      <c r="E1098" t="s">
        <v>57</v>
      </c>
      <c r="F1098">
        <v>3</v>
      </c>
      <c r="G1098" s="15">
        <v>2710000</v>
      </c>
      <c r="H1098" s="14">
        <v>0.13075929750140999</v>
      </c>
      <c r="I1098" s="27">
        <f t="shared" si="17"/>
        <v>2355642.3037711792</v>
      </c>
      <c r="J1098">
        <v>4</v>
      </c>
      <c r="K1098" t="b">
        <v>0</v>
      </c>
    </row>
    <row r="1099" spans="1:11" ht="16" x14ac:dyDescent="0.2">
      <c r="A1099" s="16">
        <v>45158</v>
      </c>
      <c r="B1099" t="s">
        <v>18</v>
      </c>
      <c r="C1099" t="s">
        <v>25</v>
      </c>
      <c r="D1099" t="s">
        <v>20</v>
      </c>
      <c r="E1099" t="s">
        <v>7639</v>
      </c>
      <c r="F1099">
        <v>1</v>
      </c>
      <c r="G1099" s="15">
        <v>2710000</v>
      </c>
      <c r="H1099" s="14">
        <v>0.13075929750140999</v>
      </c>
      <c r="I1099" s="27">
        <f t="shared" si="17"/>
        <v>2355642.3037711792</v>
      </c>
      <c r="J1099">
        <v>4.0999999999999996</v>
      </c>
      <c r="K1099" t="b">
        <v>1</v>
      </c>
    </row>
    <row r="1100" spans="1:11" ht="16" x14ac:dyDescent="0.2">
      <c r="A1100" s="16">
        <v>45158</v>
      </c>
      <c r="B1100" t="s">
        <v>33</v>
      </c>
      <c r="C1100" t="s">
        <v>34</v>
      </c>
      <c r="D1100" t="s">
        <v>50</v>
      </c>
      <c r="E1100" t="s">
        <v>7642</v>
      </c>
      <c r="F1100">
        <v>1</v>
      </c>
      <c r="G1100" s="15">
        <v>2710000</v>
      </c>
      <c r="H1100" s="14">
        <v>0.13075929750140999</v>
      </c>
      <c r="I1100" s="27">
        <f t="shared" si="17"/>
        <v>2355642.3037711792</v>
      </c>
      <c r="J1100">
        <v>4.9000000000000004</v>
      </c>
      <c r="K1100" t="b">
        <v>1</v>
      </c>
    </row>
    <row r="1101" spans="1:11" ht="16" x14ac:dyDescent="0.2">
      <c r="A1101" s="16">
        <v>45160</v>
      </c>
      <c r="B1101" t="s">
        <v>45</v>
      </c>
      <c r="C1101" t="s">
        <v>34</v>
      </c>
      <c r="D1101" t="s">
        <v>20</v>
      </c>
      <c r="E1101" t="s">
        <v>99</v>
      </c>
      <c r="F1101">
        <v>1</v>
      </c>
      <c r="G1101" s="15">
        <v>2710000</v>
      </c>
      <c r="H1101" s="14">
        <v>0.13075929750140999</v>
      </c>
      <c r="I1101" s="27">
        <f t="shared" si="17"/>
        <v>2355642.3037711792</v>
      </c>
      <c r="J1101">
        <v>4.0999999999999996</v>
      </c>
      <c r="K1101" t="b">
        <v>1</v>
      </c>
    </row>
    <row r="1102" spans="1:11" ht="16" x14ac:dyDescent="0.2">
      <c r="A1102" s="16">
        <v>45160</v>
      </c>
      <c r="B1102" t="s">
        <v>33</v>
      </c>
      <c r="C1102" t="s">
        <v>34</v>
      </c>
      <c r="D1102" t="s">
        <v>20</v>
      </c>
      <c r="E1102" t="s">
        <v>7637</v>
      </c>
      <c r="F1102">
        <v>1</v>
      </c>
      <c r="G1102" s="15">
        <v>2710000</v>
      </c>
      <c r="H1102" s="14">
        <v>0.13075929750140999</v>
      </c>
      <c r="I1102" s="27">
        <f t="shared" si="17"/>
        <v>2355642.3037711792</v>
      </c>
      <c r="J1102">
        <v>4.8</v>
      </c>
      <c r="K1102" t="b">
        <v>1</v>
      </c>
    </row>
    <row r="1103" spans="1:11" ht="16" x14ac:dyDescent="0.2">
      <c r="A1103" s="16">
        <v>45160</v>
      </c>
      <c r="B1103" t="s">
        <v>33</v>
      </c>
      <c r="C1103" t="s">
        <v>34</v>
      </c>
      <c r="D1103" t="s">
        <v>35</v>
      </c>
      <c r="E1103" t="s">
        <v>7638</v>
      </c>
      <c r="F1103">
        <v>1</v>
      </c>
      <c r="G1103" s="15">
        <v>2710000</v>
      </c>
      <c r="H1103" s="14">
        <v>0.13075929750140999</v>
      </c>
      <c r="I1103" s="27">
        <f t="shared" si="17"/>
        <v>2355642.3037711792</v>
      </c>
      <c r="J1103">
        <v>4</v>
      </c>
      <c r="K1103" t="b">
        <v>0</v>
      </c>
    </row>
    <row r="1104" spans="1:11" ht="16" x14ac:dyDescent="0.2">
      <c r="A1104" s="16">
        <v>45161</v>
      </c>
      <c r="B1104" t="s">
        <v>45</v>
      </c>
      <c r="C1104" t="s">
        <v>68</v>
      </c>
      <c r="D1104" t="s">
        <v>50</v>
      </c>
      <c r="E1104" t="s">
        <v>7644</v>
      </c>
      <c r="F1104">
        <v>1</v>
      </c>
      <c r="G1104" s="15">
        <v>2710000</v>
      </c>
      <c r="H1104" s="14">
        <v>0.13075929750140999</v>
      </c>
      <c r="I1104" s="27">
        <f t="shared" si="17"/>
        <v>2355642.3037711792</v>
      </c>
      <c r="J1104">
        <v>3.5</v>
      </c>
      <c r="K1104" t="b">
        <v>0</v>
      </c>
    </row>
    <row r="1105" spans="1:11" ht="16" x14ac:dyDescent="0.2">
      <c r="A1105" s="16">
        <v>45161</v>
      </c>
      <c r="B1105" t="s">
        <v>18</v>
      </c>
      <c r="C1105" t="s">
        <v>45</v>
      </c>
      <c r="D1105" t="s">
        <v>35</v>
      </c>
      <c r="E1105" t="s">
        <v>57</v>
      </c>
      <c r="F1105">
        <v>1</v>
      </c>
      <c r="G1105" s="15">
        <v>2710000</v>
      </c>
      <c r="H1105" s="14">
        <v>0.13075929750140999</v>
      </c>
      <c r="I1105" s="27">
        <f t="shared" si="17"/>
        <v>2355642.3037711792</v>
      </c>
      <c r="J1105">
        <v>4.0999999999999996</v>
      </c>
      <c r="K1105" t="b">
        <v>1</v>
      </c>
    </row>
    <row r="1106" spans="1:11" ht="16" x14ac:dyDescent="0.2">
      <c r="A1106" s="16">
        <v>45162</v>
      </c>
      <c r="B1106" t="s">
        <v>29</v>
      </c>
      <c r="C1106" t="s">
        <v>34</v>
      </c>
      <c r="D1106" t="s">
        <v>20</v>
      </c>
      <c r="E1106" t="s">
        <v>7644</v>
      </c>
      <c r="F1106">
        <v>2</v>
      </c>
      <c r="G1106" s="15">
        <v>2710000</v>
      </c>
      <c r="H1106" s="14">
        <v>0.13075929750140999</v>
      </c>
      <c r="I1106" s="27">
        <f t="shared" si="17"/>
        <v>2355642.3037711792</v>
      </c>
      <c r="J1106">
        <v>4.4000000000000004</v>
      </c>
      <c r="K1106" t="b">
        <v>0</v>
      </c>
    </row>
    <row r="1107" spans="1:11" ht="16" x14ac:dyDescent="0.2">
      <c r="A1107" s="16">
        <v>45162</v>
      </c>
      <c r="B1107" t="s">
        <v>45</v>
      </c>
      <c r="C1107" t="s">
        <v>45</v>
      </c>
      <c r="D1107" t="s">
        <v>35</v>
      </c>
      <c r="E1107" t="s">
        <v>7639</v>
      </c>
      <c r="F1107">
        <v>2</v>
      </c>
      <c r="G1107" s="15">
        <v>2710000</v>
      </c>
      <c r="H1107" s="14">
        <v>0.13075929750140999</v>
      </c>
      <c r="I1107" s="27">
        <f t="shared" si="17"/>
        <v>2355642.3037711792</v>
      </c>
      <c r="J1107">
        <v>3.4</v>
      </c>
      <c r="K1107" t="b">
        <v>1</v>
      </c>
    </row>
    <row r="1108" spans="1:11" ht="16" x14ac:dyDescent="0.2">
      <c r="A1108" s="16">
        <v>45162</v>
      </c>
      <c r="B1108" t="s">
        <v>18</v>
      </c>
      <c r="C1108" t="s">
        <v>39</v>
      </c>
      <c r="D1108" t="s">
        <v>20</v>
      </c>
      <c r="E1108" t="s">
        <v>7637</v>
      </c>
      <c r="F1108">
        <v>1</v>
      </c>
      <c r="G1108" s="15">
        <v>2710000</v>
      </c>
      <c r="H1108" s="14">
        <v>0.13075929750140999</v>
      </c>
      <c r="I1108" s="27">
        <f t="shared" si="17"/>
        <v>2355642.3037711792</v>
      </c>
      <c r="J1108">
        <v>3.9</v>
      </c>
      <c r="K1108" t="b">
        <v>0</v>
      </c>
    </row>
    <row r="1109" spans="1:11" ht="16" x14ac:dyDescent="0.2">
      <c r="A1109" s="16">
        <v>45162</v>
      </c>
      <c r="B1109" t="s">
        <v>33</v>
      </c>
      <c r="C1109" t="s">
        <v>39</v>
      </c>
      <c r="D1109" t="s">
        <v>20</v>
      </c>
      <c r="E1109" t="s">
        <v>7638</v>
      </c>
      <c r="F1109">
        <v>1</v>
      </c>
      <c r="G1109" s="15">
        <v>2710000</v>
      </c>
      <c r="H1109" s="14">
        <v>0.13075929750140999</v>
      </c>
      <c r="I1109" s="27">
        <f t="shared" si="17"/>
        <v>2355642.3037711792</v>
      </c>
      <c r="J1109">
        <v>5</v>
      </c>
      <c r="K1109" t="b">
        <v>0</v>
      </c>
    </row>
    <row r="1110" spans="1:11" ht="16" x14ac:dyDescent="0.2">
      <c r="A1110" s="16">
        <v>45163</v>
      </c>
      <c r="B1110" t="s">
        <v>45</v>
      </c>
      <c r="C1110" t="s">
        <v>45</v>
      </c>
      <c r="D1110" t="s">
        <v>20</v>
      </c>
      <c r="E1110" t="s">
        <v>7637</v>
      </c>
      <c r="F1110">
        <v>2</v>
      </c>
      <c r="G1110" s="15">
        <v>2710000</v>
      </c>
      <c r="H1110" s="14">
        <v>0.13075929750140999</v>
      </c>
      <c r="I1110" s="27">
        <f t="shared" si="17"/>
        <v>2355642.3037711792</v>
      </c>
      <c r="J1110">
        <v>4.0999999999999996</v>
      </c>
      <c r="K1110" t="b">
        <v>1</v>
      </c>
    </row>
    <row r="1111" spans="1:11" ht="16" x14ac:dyDescent="0.2">
      <c r="A1111" s="16">
        <v>45163</v>
      </c>
      <c r="B1111" t="s">
        <v>29</v>
      </c>
      <c r="C1111" t="s">
        <v>39</v>
      </c>
      <c r="D1111" t="s">
        <v>35</v>
      </c>
      <c r="E1111" t="s">
        <v>7641</v>
      </c>
      <c r="F1111">
        <v>1</v>
      </c>
      <c r="G1111" s="15">
        <v>2710000</v>
      </c>
      <c r="H1111" s="14">
        <v>0.13075929750140999</v>
      </c>
      <c r="I1111" s="27">
        <f t="shared" si="17"/>
        <v>2355642.3037711792</v>
      </c>
      <c r="J1111">
        <v>4.5999999999999996</v>
      </c>
      <c r="K1111" t="b">
        <v>0</v>
      </c>
    </row>
    <row r="1112" spans="1:11" ht="16" x14ac:dyDescent="0.2">
      <c r="A1112" s="16">
        <v>45163</v>
      </c>
      <c r="B1112" t="s">
        <v>45</v>
      </c>
      <c r="C1112" t="s">
        <v>68</v>
      </c>
      <c r="D1112" t="s">
        <v>35</v>
      </c>
      <c r="E1112" t="s">
        <v>99</v>
      </c>
      <c r="F1112">
        <v>2</v>
      </c>
      <c r="G1112" s="15">
        <v>2710000</v>
      </c>
      <c r="H1112" s="14">
        <v>0.13075929750140999</v>
      </c>
      <c r="I1112" s="27">
        <f t="shared" si="17"/>
        <v>2355642.3037711792</v>
      </c>
      <c r="J1112">
        <v>4.3</v>
      </c>
      <c r="K1112" t="b">
        <v>1</v>
      </c>
    </row>
    <row r="1113" spans="1:11" ht="16" x14ac:dyDescent="0.2">
      <c r="A1113" s="16">
        <v>45163</v>
      </c>
      <c r="B1113" t="s">
        <v>18</v>
      </c>
      <c r="C1113" t="s">
        <v>25</v>
      </c>
      <c r="D1113" t="s">
        <v>20</v>
      </c>
      <c r="E1113" t="s">
        <v>7643</v>
      </c>
      <c r="F1113">
        <v>1</v>
      </c>
      <c r="G1113" s="15">
        <v>2710000</v>
      </c>
      <c r="H1113" s="14">
        <v>0.13075929750140999</v>
      </c>
      <c r="I1113" s="27">
        <f t="shared" si="17"/>
        <v>2355642.3037711792</v>
      </c>
      <c r="J1113">
        <v>4.8</v>
      </c>
      <c r="K1113" t="b">
        <v>1</v>
      </c>
    </row>
    <row r="1114" spans="1:11" ht="16" x14ac:dyDescent="0.2">
      <c r="A1114" s="16">
        <v>45164</v>
      </c>
      <c r="B1114" t="s">
        <v>45</v>
      </c>
      <c r="C1114" t="s">
        <v>25</v>
      </c>
      <c r="D1114" t="str">
        <f>D1113</f>
        <v>Website</v>
      </c>
      <c r="E1114" t="s">
        <v>7639</v>
      </c>
      <c r="F1114">
        <v>1</v>
      </c>
      <c r="G1114" s="15">
        <v>2710000</v>
      </c>
      <c r="H1114" s="14">
        <v>0.13075929750140999</v>
      </c>
      <c r="I1114" s="27">
        <f t="shared" si="17"/>
        <v>2355642.3037711792</v>
      </c>
      <c r="J1114">
        <v>3.4</v>
      </c>
      <c r="K1114" t="b">
        <v>0</v>
      </c>
    </row>
    <row r="1115" spans="1:11" ht="16" x14ac:dyDescent="0.2">
      <c r="A1115" s="16">
        <v>45165</v>
      </c>
      <c r="B1115" t="s">
        <v>29</v>
      </c>
      <c r="C1115" t="s">
        <v>39</v>
      </c>
      <c r="D1115" t="s">
        <v>46</v>
      </c>
      <c r="E1115" t="s">
        <v>7640</v>
      </c>
      <c r="F1115">
        <v>1</v>
      </c>
      <c r="G1115" s="15">
        <v>2710000</v>
      </c>
      <c r="H1115" s="14">
        <v>0.13075929750140999</v>
      </c>
      <c r="I1115" s="27">
        <f t="shared" si="17"/>
        <v>2355642.3037711792</v>
      </c>
      <c r="J1115">
        <v>3.4</v>
      </c>
      <c r="K1115" t="b">
        <v>0</v>
      </c>
    </row>
    <row r="1116" spans="1:11" ht="16" x14ac:dyDescent="0.2">
      <c r="A1116" s="16">
        <v>45166</v>
      </c>
      <c r="B1116" t="s">
        <v>18</v>
      </c>
      <c r="C1116" t="s">
        <v>45</v>
      </c>
      <c r="D1116" t="s">
        <v>20</v>
      </c>
      <c r="E1116" t="s">
        <v>7640</v>
      </c>
      <c r="F1116">
        <v>2</v>
      </c>
      <c r="G1116" s="15">
        <v>2710000</v>
      </c>
      <c r="H1116" s="14">
        <v>0.13075929750140999</v>
      </c>
      <c r="I1116" s="27">
        <f t="shared" si="17"/>
        <v>2355642.3037711792</v>
      </c>
      <c r="J1116">
        <v>3.1</v>
      </c>
      <c r="K1116" t="b">
        <v>1</v>
      </c>
    </row>
    <row r="1117" spans="1:11" ht="16" x14ac:dyDescent="0.2">
      <c r="A1117" s="16">
        <v>45166</v>
      </c>
      <c r="B1117" t="s">
        <v>18</v>
      </c>
      <c r="C1117" t="s">
        <v>19</v>
      </c>
      <c r="D1117" t="s">
        <v>20</v>
      </c>
      <c r="E1117" t="str">
        <f>E1116</f>
        <v>Hội An</v>
      </c>
      <c r="F1117">
        <v>1</v>
      </c>
      <c r="G1117" s="15">
        <v>2710000</v>
      </c>
      <c r="H1117" s="14">
        <v>0.13075929750140999</v>
      </c>
      <c r="I1117" s="27">
        <f t="shared" si="17"/>
        <v>2355642.3037711792</v>
      </c>
      <c r="J1117">
        <v>4.7</v>
      </c>
      <c r="K1117" t="b">
        <v>0</v>
      </c>
    </row>
    <row r="1118" spans="1:11" ht="16" x14ac:dyDescent="0.2">
      <c r="A1118" s="16">
        <v>45166</v>
      </c>
      <c r="B1118" t="s">
        <v>45</v>
      </c>
      <c r="C1118" t="s">
        <v>45</v>
      </c>
      <c r="D1118" t="s">
        <v>20</v>
      </c>
      <c r="E1118" t="s">
        <v>7638</v>
      </c>
      <c r="F1118">
        <v>1</v>
      </c>
      <c r="G1118" s="15">
        <v>2710000</v>
      </c>
      <c r="H1118" s="14">
        <v>0.13075929750140999</v>
      </c>
      <c r="I1118" s="27">
        <f t="shared" si="17"/>
        <v>2355642.3037711792</v>
      </c>
      <c r="J1118">
        <v>3.9</v>
      </c>
      <c r="K1118" t="b">
        <v>0</v>
      </c>
    </row>
    <row r="1119" spans="1:11" ht="16" x14ac:dyDescent="0.2">
      <c r="A1119" s="16">
        <v>45167</v>
      </c>
      <c r="B1119" t="s">
        <v>29</v>
      </c>
      <c r="C1119" t="s">
        <v>45</v>
      </c>
      <c r="D1119" t="s">
        <v>50</v>
      </c>
      <c r="E1119" t="s">
        <v>7643</v>
      </c>
      <c r="F1119">
        <v>3</v>
      </c>
      <c r="G1119" s="15">
        <v>2710000</v>
      </c>
      <c r="H1119" s="14">
        <v>0.13075929750140999</v>
      </c>
      <c r="I1119" s="27">
        <f t="shared" si="17"/>
        <v>2355642.3037711792</v>
      </c>
      <c r="J1119">
        <v>4.4000000000000004</v>
      </c>
      <c r="K1119" t="b">
        <v>1</v>
      </c>
    </row>
    <row r="1120" spans="1:11" ht="16" x14ac:dyDescent="0.2">
      <c r="A1120" s="16">
        <v>45167</v>
      </c>
      <c r="B1120" t="s">
        <v>45</v>
      </c>
      <c r="C1120" t="s">
        <v>34</v>
      </c>
      <c r="D1120" t="s">
        <v>50</v>
      </c>
      <c r="E1120" t="s">
        <v>7640</v>
      </c>
      <c r="F1120">
        <v>1</v>
      </c>
      <c r="G1120" s="15">
        <v>2710000</v>
      </c>
      <c r="H1120" s="14">
        <v>0.13075929750140999</v>
      </c>
      <c r="I1120" s="27">
        <f t="shared" si="17"/>
        <v>2355642.3037711792</v>
      </c>
      <c r="J1120">
        <v>3.9</v>
      </c>
      <c r="K1120" t="b">
        <v>1</v>
      </c>
    </row>
    <row r="1121" spans="1:11" ht="16" x14ac:dyDescent="0.2">
      <c r="A1121" s="16">
        <v>45168</v>
      </c>
      <c r="B1121" t="s">
        <v>45</v>
      </c>
      <c r="C1121" t="s">
        <v>68</v>
      </c>
      <c r="D1121" t="s">
        <v>35</v>
      </c>
      <c r="E1121" t="s">
        <v>7642</v>
      </c>
      <c r="F1121">
        <v>3</v>
      </c>
      <c r="G1121" s="15">
        <v>2710000</v>
      </c>
      <c r="H1121" s="14">
        <v>0.13075929750140999</v>
      </c>
      <c r="I1121" s="27">
        <f t="shared" si="17"/>
        <v>2355642.3037711792</v>
      </c>
      <c r="J1121">
        <v>4.7</v>
      </c>
      <c r="K1121" t="b">
        <v>0</v>
      </c>
    </row>
    <row r="1122" spans="1:11" ht="16" x14ac:dyDescent="0.2">
      <c r="A1122" s="16">
        <v>45168</v>
      </c>
      <c r="B1122" t="s">
        <v>29</v>
      </c>
      <c r="C1122" t="s">
        <v>68</v>
      </c>
      <c r="D1122" t="s">
        <v>20</v>
      </c>
      <c r="E1122" t="s">
        <v>7640</v>
      </c>
      <c r="F1122">
        <v>1</v>
      </c>
      <c r="G1122" s="15">
        <v>2710000</v>
      </c>
      <c r="H1122" s="14">
        <v>0.13075929750140999</v>
      </c>
      <c r="I1122" s="27">
        <f t="shared" si="17"/>
        <v>2355642.3037711792</v>
      </c>
      <c r="J1122">
        <v>4.2</v>
      </c>
      <c r="K1122" t="b">
        <v>0</v>
      </c>
    </row>
    <row r="1123" spans="1:11" ht="16" x14ac:dyDescent="0.2">
      <c r="A1123" s="16">
        <v>45168</v>
      </c>
      <c r="B1123" t="s">
        <v>18</v>
      </c>
      <c r="C1123" t="s">
        <v>25</v>
      </c>
      <c r="D1123" t="s">
        <v>35</v>
      </c>
      <c r="E1123" t="s">
        <v>7644</v>
      </c>
      <c r="F1123">
        <v>2</v>
      </c>
      <c r="G1123" s="15">
        <v>2710000</v>
      </c>
      <c r="H1123" s="14">
        <v>0.13075929750140999</v>
      </c>
      <c r="I1123" s="27">
        <f t="shared" si="17"/>
        <v>2355642.3037711792</v>
      </c>
      <c r="J1123">
        <v>3.4</v>
      </c>
      <c r="K1123" t="b">
        <v>0</v>
      </c>
    </row>
    <row r="1124" spans="1:11" ht="16" x14ac:dyDescent="0.2">
      <c r="A1124" s="16">
        <v>45170</v>
      </c>
      <c r="B1124" t="s">
        <v>45</v>
      </c>
      <c r="C1124" t="s">
        <v>25</v>
      </c>
      <c r="D1124" t="s">
        <v>50</v>
      </c>
      <c r="E1124" t="s">
        <v>7637</v>
      </c>
      <c r="F1124">
        <v>4</v>
      </c>
      <c r="G1124" s="15">
        <v>2710000</v>
      </c>
      <c r="H1124" s="14">
        <v>0.13075929750140999</v>
      </c>
      <c r="I1124" s="27">
        <f t="shared" si="17"/>
        <v>2355642.3037711792</v>
      </c>
      <c r="J1124">
        <v>4.7</v>
      </c>
      <c r="K1124" t="b">
        <v>1</v>
      </c>
    </row>
    <row r="1125" spans="1:11" ht="16" x14ac:dyDescent="0.2">
      <c r="A1125" s="16">
        <v>45170</v>
      </c>
      <c r="B1125" t="s">
        <v>45</v>
      </c>
      <c r="C1125" t="s">
        <v>45</v>
      </c>
      <c r="D1125" t="s">
        <v>35</v>
      </c>
      <c r="E1125" t="str">
        <f>E1124</f>
        <v>Đà Nẵng</v>
      </c>
      <c r="F1125">
        <v>2</v>
      </c>
      <c r="G1125" s="15">
        <v>2710000</v>
      </c>
      <c r="H1125" s="14">
        <v>0.13075929750140999</v>
      </c>
      <c r="I1125" s="27">
        <f t="shared" si="17"/>
        <v>2355642.3037711792</v>
      </c>
      <c r="J1125">
        <v>4.4000000000000004</v>
      </c>
      <c r="K1125" t="b">
        <v>1</v>
      </c>
    </row>
    <row r="1126" spans="1:11" ht="16" x14ac:dyDescent="0.2">
      <c r="A1126" s="16">
        <v>45171</v>
      </c>
      <c r="B1126" t="s">
        <v>18</v>
      </c>
      <c r="C1126" t="s">
        <v>19</v>
      </c>
      <c r="D1126" t="s">
        <v>35</v>
      </c>
      <c r="E1126" t="s">
        <v>57</v>
      </c>
      <c r="F1126">
        <v>3</v>
      </c>
      <c r="G1126" s="15">
        <v>2710000</v>
      </c>
      <c r="H1126" s="14">
        <v>0.13075929750140999</v>
      </c>
      <c r="I1126" s="27">
        <f t="shared" si="17"/>
        <v>2355642.3037711792</v>
      </c>
      <c r="J1126">
        <v>5</v>
      </c>
      <c r="K1126" t="b">
        <v>0</v>
      </c>
    </row>
    <row r="1127" spans="1:11" ht="16" x14ac:dyDescent="0.2">
      <c r="A1127" s="16">
        <v>45172</v>
      </c>
      <c r="B1127" t="s">
        <v>29</v>
      </c>
      <c r="C1127" t="s">
        <v>19</v>
      </c>
      <c r="D1127" t="s">
        <v>20</v>
      </c>
      <c r="E1127" t="s">
        <v>7637</v>
      </c>
      <c r="F1127">
        <v>2</v>
      </c>
      <c r="G1127" s="15">
        <v>2710000</v>
      </c>
      <c r="H1127" s="14">
        <v>0.13075929750140999</v>
      </c>
      <c r="I1127" s="27">
        <f t="shared" si="17"/>
        <v>2355642.3037711792</v>
      </c>
      <c r="J1127">
        <v>5</v>
      </c>
      <c r="K1127" t="b">
        <v>0</v>
      </c>
    </row>
    <row r="1128" spans="1:11" ht="16" x14ac:dyDescent="0.2">
      <c r="A1128" s="16">
        <v>45172</v>
      </c>
      <c r="B1128" t="s">
        <v>45</v>
      </c>
      <c r="C1128" t="s">
        <v>39</v>
      </c>
      <c r="D1128" t="s">
        <v>20</v>
      </c>
      <c r="E1128" t="s">
        <v>57</v>
      </c>
      <c r="F1128">
        <v>1</v>
      </c>
      <c r="G1128" s="15">
        <v>2710000</v>
      </c>
      <c r="H1128" s="14">
        <v>0.13075929750140999</v>
      </c>
      <c r="I1128" s="27">
        <f t="shared" si="17"/>
        <v>2355642.3037711792</v>
      </c>
      <c r="J1128">
        <v>4.5</v>
      </c>
      <c r="K1128" t="b">
        <v>1</v>
      </c>
    </row>
    <row r="1129" spans="1:11" ht="16" x14ac:dyDescent="0.2">
      <c r="A1129" s="16">
        <v>45173</v>
      </c>
      <c r="B1129" t="s">
        <v>29</v>
      </c>
      <c r="C1129" t="s">
        <v>34</v>
      </c>
      <c r="D1129" t="s">
        <v>20</v>
      </c>
      <c r="E1129" t="s">
        <v>7644</v>
      </c>
      <c r="F1129">
        <v>2</v>
      </c>
      <c r="G1129" s="15">
        <v>2710000</v>
      </c>
      <c r="H1129" s="14">
        <v>0.13075929750140999</v>
      </c>
      <c r="I1129" s="27">
        <f t="shared" si="17"/>
        <v>2355642.3037711792</v>
      </c>
      <c r="J1129">
        <v>4.2</v>
      </c>
      <c r="K1129" t="b">
        <v>0</v>
      </c>
    </row>
    <row r="1130" spans="1:11" ht="16" x14ac:dyDescent="0.2">
      <c r="A1130" s="16">
        <v>45173</v>
      </c>
      <c r="B1130" t="s">
        <v>29</v>
      </c>
      <c r="C1130" t="s">
        <v>25</v>
      </c>
      <c r="D1130" t="s">
        <v>20</v>
      </c>
      <c r="E1130" t="s">
        <v>7640</v>
      </c>
      <c r="F1130">
        <v>2</v>
      </c>
      <c r="G1130" s="15">
        <v>2710000</v>
      </c>
      <c r="H1130" s="14">
        <v>0.13075929750140999</v>
      </c>
      <c r="I1130" s="27">
        <f t="shared" si="17"/>
        <v>2355642.3037711792</v>
      </c>
      <c r="J1130">
        <v>4.5</v>
      </c>
      <c r="K1130" t="b">
        <v>1</v>
      </c>
    </row>
    <row r="1131" spans="1:11" ht="16" x14ac:dyDescent="0.2">
      <c r="A1131" s="16">
        <v>45173</v>
      </c>
      <c r="B1131" t="s">
        <v>45</v>
      </c>
      <c r="C1131" t="s">
        <v>34</v>
      </c>
      <c r="D1131" t="s">
        <v>20</v>
      </c>
      <c r="E1131" t="s">
        <v>7641</v>
      </c>
      <c r="F1131">
        <v>1</v>
      </c>
      <c r="G1131" s="15">
        <v>2710000</v>
      </c>
      <c r="H1131" s="14">
        <v>0.13075929750140999</v>
      </c>
      <c r="I1131" s="27">
        <f t="shared" si="17"/>
        <v>2355642.3037711792</v>
      </c>
      <c r="J1131">
        <v>3.6</v>
      </c>
      <c r="K1131" t="b">
        <v>1</v>
      </c>
    </row>
    <row r="1132" spans="1:11" ht="16" x14ac:dyDescent="0.2">
      <c r="A1132" s="16">
        <v>45174</v>
      </c>
      <c r="B1132" t="s">
        <v>33</v>
      </c>
      <c r="C1132" t="s">
        <v>34</v>
      </c>
      <c r="D1132" t="s">
        <v>20</v>
      </c>
      <c r="E1132" t="s">
        <v>7641</v>
      </c>
      <c r="F1132">
        <v>3</v>
      </c>
      <c r="G1132" s="15">
        <v>2710000</v>
      </c>
      <c r="H1132" s="14">
        <v>0.13075929750140999</v>
      </c>
      <c r="I1132" s="27">
        <f t="shared" si="17"/>
        <v>2355642.3037711792</v>
      </c>
      <c r="J1132">
        <v>4.2</v>
      </c>
      <c r="K1132" t="b">
        <v>0</v>
      </c>
    </row>
    <row r="1133" spans="1:11" ht="16" x14ac:dyDescent="0.2">
      <c r="A1133" s="16">
        <v>45174</v>
      </c>
      <c r="B1133" t="s">
        <v>45</v>
      </c>
      <c r="C1133" t="s">
        <v>34</v>
      </c>
      <c r="D1133" t="s">
        <v>20</v>
      </c>
      <c r="E1133" t="s">
        <v>7641</v>
      </c>
      <c r="F1133">
        <v>2</v>
      </c>
      <c r="G1133" s="15">
        <v>2710000</v>
      </c>
      <c r="H1133" s="14">
        <v>0.13075929750140999</v>
      </c>
      <c r="I1133" s="27">
        <f t="shared" si="17"/>
        <v>2355642.3037711792</v>
      </c>
      <c r="J1133">
        <v>4.0999999999999996</v>
      </c>
      <c r="K1133" t="b">
        <v>1</v>
      </c>
    </row>
    <row r="1134" spans="1:11" ht="16" x14ac:dyDescent="0.2">
      <c r="A1134" s="16">
        <v>45176</v>
      </c>
      <c r="B1134" t="s">
        <v>33</v>
      </c>
      <c r="C1134" t="s">
        <v>45</v>
      </c>
      <c r="D1134" t="s">
        <v>35</v>
      </c>
      <c r="E1134" t="s">
        <v>7640</v>
      </c>
      <c r="F1134">
        <v>1</v>
      </c>
      <c r="G1134" s="15">
        <v>2710000</v>
      </c>
      <c r="H1134" s="14">
        <v>0.13075929750140999</v>
      </c>
      <c r="I1134" s="27">
        <f t="shared" si="17"/>
        <v>2355642.3037711792</v>
      </c>
      <c r="J1134">
        <v>4.5999999999999996</v>
      </c>
      <c r="K1134" t="b">
        <v>0</v>
      </c>
    </row>
    <row r="1135" spans="1:11" ht="16" x14ac:dyDescent="0.2">
      <c r="A1135" s="16">
        <v>45177</v>
      </c>
      <c r="B1135" t="s">
        <v>18</v>
      </c>
      <c r="C1135" t="s">
        <v>34</v>
      </c>
      <c r="D1135" t="s">
        <v>20</v>
      </c>
      <c r="E1135" t="s">
        <v>7644</v>
      </c>
      <c r="F1135">
        <v>2</v>
      </c>
      <c r="G1135" s="15">
        <v>2710000</v>
      </c>
      <c r="H1135" s="14">
        <v>0.13075929750140999</v>
      </c>
      <c r="I1135" s="27">
        <f t="shared" si="17"/>
        <v>2355642.3037711792</v>
      </c>
      <c r="J1135">
        <v>4.2</v>
      </c>
      <c r="K1135" t="b">
        <v>1</v>
      </c>
    </row>
    <row r="1136" spans="1:11" ht="16" x14ac:dyDescent="0.2">
      <c r="A1136" s="16">
        <v>45178</v>
      </c>
      <c r="B1136" t="s">
        <v>33</v>
      </c>
      <c r="C1136" t="s">
        <v>68</v>
      </c>
      <c r="D1136" t="s">
        <v>20</v>
      </c>
      <c r="E1136" t="s">
        <v>7641</v>
      </c>
      <c r="F1136">
        <v>2</v>
      </c>
      <c r="G1136" s="15">
        <v>2710000</v>
      </c>
      <c r="H1136" s="14">
        <v>0.13075929750140999</v>
      </c>
      <c r="I1136" s="27">
        <f t="shared" si="17"/>
        <v>2355642.3037711792</v>
      </c>
      <c r="J1136">
        <v>4</v>
      </c>
      <c r="K1136" t="b">
        <v>1</v>
      </c>
    </row>
    <row r="1137" spans="1:11" ht="16" x14ac:dyDescent="0.2">
      <c r="A1137" s="16">
        <v>45179</v>
      </c>
      <c r="B1137" t="s">
        <v>33</v>
      </c>
      <c r="C1137" t="s">
        <v>34</v>
      </c>
      <c r="D1137" t="s">
        <v>20</v>
      </c>
      <c r="E1137" t="s">
        <v>57</v>
      </c>
      <c r="F1137">
        <v>2</v>
      </c>
      <c r="G1137" s="15">
        <v>2710000</v>
      </c>
      <c r="H1137" s="14">
        <v>0.13075929750140999</v>
      </c>
      <c r="I1137" s="27">
        <f t="shared" si="17"/>
        <v>2355642.3037711792</v>
      </c>
      <c r="J1137">
        <v>4.3</v>
      </c>
      <c r="K1137" t="b">
        <v>0</v>
      </c>
    </row>
    <row r="1138" spans="1:11" ht="16" x14ac:dyDescent="0.2">
      <c r="A1138" s="16">
        <v>45180</v>
      </c>
      <c r="B1138" t="s">
        <v>18</v>
      </c>
      <c r="C1138" t="s">
        <v>25</v>
      </c>
      <c r="D1138" t="s">
        <v>35</v>
      </c>
      <c r="E1138" t="s">
        <v>7640</v>
      </c>
      <c r="F1138">
        <v>1</v>
      </c>
      <c r="G1138" s="15">
        <v>2710000</v>
      </c>
      <c r="H1138" s="14">
        <v>0.13075929750140999</v>
      </c>
      <c r="I1138" s="27">
        <f t="shared" si="17"/>
        <v>2355642.3037711792</v>
      </c>
      <c r="J1138">
        <v>4.5999999999999996</v>
      </c>
      <c r="K1138" t="b">
        <v>1</v>
      </c>
    </row>
    <row r="1139" spans="1:11" ht="16" x14ac:dyDescent="0.2">
      <c r="A1139" s="16">
        <v>45181</v>
      </c>
      <c r="B1139" t="s">
        <v>29</v>
      </c>
      <c r="C1139" t="s">
        <v>34</v>
      </c>
      <c r="D1139" t="s">
        <v>20</v>
      </c>
      <c r="E1139" t="s">
        <v>7639</v>
      </c>
      <c r="F1139">
        <v>1</v>
      </c>
      <c r="G1139" s="15">
        <v>2710000</v>
      </c>
      <c r="H1139" s="14">
        <v>0.13075929750140999</v>
      </c>
      <c r="I1139" s="27">
        <f t="shared" si="17"/>
        <v>2355642.3037711792</v>
      </c>
      <c r="J1139">
        <v>4.0999999999999996</v>
      </c>
      <c r="K1139" t="b">
        <v>0</v>
      </c>
    </row>
    <row r="1140" spans="1:11" ht="16" x14ac:dyDescent="0.2">
      <c r="A1140" s="16">
        <v>45182</v>
      </c>
      <c r="B1140" t="s">
        <v>33</v>
      </c>
      <c r="C1140" t="s">
        <v>34</v>
      </c>
      <c r="D1140" t="s">
        <v>20</v>
      </c>
      <c r="E1140" t="s">
        <v>7644</v>
      </c>
      <c r="F1140">
        <v>1</v>
      </c>
      <c r="G1140" s="15">
        <v>2710000</v>
      </c>
      <c r="H1140" s="14">
        <v>0.13075929750140999</v>
      </c>
      <c r="I1140" s="27">
        <f t="shared" si="17"/>
        <v>2355642.3037711792</v>
      </c>
      <c r="J1140">
        <v>3</v>
      </c>
      <c r="K1140" t="b">
        <v>1</v>
      </c>
    </row>
    <row r="1141" spans="1:11" ht="16" x14ac:dyDescent="0.2">
      <c r="A1141" s="16">
        <v>45182</v>
      </c>
      <c r="B1141" t="str">
        <f>B1140</f>
        <v>Student</v>
      </c>
      <c r="C1141" t="s">
        <v>34</v>
      </c>
      <c r="D1141" t="s">
        <v>20</v>
      </c>
      <c r="E1141" t="s">
        <v>7640</v>
      </c>
      <c r="F1141">
        <v>1</v>
      </c>
      <c r="G1141" s="15">
        <v>2710000</v>
      </c>
      <c r="H1141" s="14">
        <v>0.13075929750140999</v>
      </c>
      <c r="I1141" s="27">
        <f t="shared" si="17"/>
        <v>2355642.3037711792</v>
      </c>
      <c r="J1141">
        <v>4.4000000000000004</v>
      </c>
      <c r="K1141" t="b">
        <v>0</v>
      </c>
    </row>
    <row r="1142" spans="1:11" ht="16" x14ac:dyDescent="0.2">
      <c r="A1142" s="16">
        <v>45183</v>
      </c>
      <c r="B1142" t="s">
        <v>33</v>
      </c>
      <c r="C1142" t="s">
        <v>45</v>
      </c>
      <c r="D1142" t="s">
        <v>20</v>
      </c>
      <c r="E1142" t="s">
        <v>7641</v>
      </c>
      <c r="F1142">
        <v>1</v>
      </c>
      <c r="G1142" s="15">
        <v>2710000</v>
      </c>
      <c r="H1142" s="14">
        <v>0.13075929750140999</v>
      </c>
      <c r="I1142" s="27">
        <f t="shared" si="17"/>
        <v>2355642.3037711792</v>
      </c>
      <c r="J1142">
        <v>4.2</v>
      </c>
      <c r="K1142" t="b">
        <v>1</v>
      </c>
    </row>
    <row r="1143" spans="1:11" ht="16" x14ac:dyDescent="0.2">
      <c r="A1143" s="16">
        <v>45183</v>
      </c>
      <c r="B1143" t="s">
        <v>18</v>
      </c>
      <c r="C1143" t="s">
        <v>45</v>
      </c>
      <c r="D1143" t="s">
        <v>20</v>
      </c>
      <c r="E1143" t="s">
        <v>7639</v>
      </c>
      <c r="F1143">
        <v>2</v>
      </c>
      <c r="G1143" s="15">
        <v>2710000</v>
      </c>
      <c r="H1143" s="14">
        <v>0.13075929750140999</v>
      </c>
      <c r="I1143" s="27">
        <f t="shared" si="17"/>
        <v>2355642.3037711792</v>
      </c>
      <c r="J1143">
        <v>3.8</v>
      </c>
      <c r="K1143" t="b">
        <v>1</v>
      </c>
    </row>
    <row r="1144" spans="1:11" ht="16" x14ac:dyDescent="0.2">
      <c r="A1144" s="16">
        <v>45183</v>
      </c>
      <c r="B1144" t="s">
        <v>18</v>
      </c>
      <c r="C1144" t="s">
        <v>19</v>
      </c>
      <c r="D1144" t="s">
        <v>50</v>
      </c>
      <c r="E1144" t="str">
        <f>E1143</f>
        <v>Hà Nội</v>
      </c>
      <c r="F1144">
        <v>1</v>
      </c>
      <c r="G1144" s="15">
        <v>2710000</v>
      </c>
      <c r="H1144" s="14">
        <v>0.13075929750140999</v>
      </c>
      <c r="I1144" s="27">
        <f t="shared" si="17"/>
        <v>2355642.3037711792</v>
      </c>
      <c r="J1144">
        <v>4.5</v>
      </c>
      <c r="K1144" t="b">
        <v>0</v>
      </c>
    </row>
    <row r="1145" spans="1:11" ht="16" x14ac:dyDescent="0.2">
      <c r="A1145" s="16">
        <v>45184</v>
      </c>
      <c r="B1145" t="s">
        <v>45</v>
      </c>
      <c r="C1145" t="s">
        <v>19</v>
      </c>
      <c r="D1145" t="s">
        <v>50</v>
      </c>
      <c r="E1145" t="s">
        <v>7638</v>
      </c>
      <c r="F1145">
        <v>1</v>
      </c>
      <c r="G1145" s="15">
        <v>2710000</v>
      </c>
      <c r="H1145" s="14">
        <v>0.13075929750140999</v>
      </c>
      <c r="I1145" s="27">
        <f t="shared" si="17"/>
        <v>2355642.3037711792</v>
      </c>
      <c r="J1145">
        <v>4.3</v>
      </c>
      <c r="K1145" t="b">
        <v>1</v>
      </c>
    </row>
    <row r="1146" spans="1:11" ht="16" x14ac:dyDescent="0.2">
      <c r="A1146" s="16">
        <v>45184</v>
      </c>
      <c r="B1146" t="s">
        <v>45</v>
      </c>
      <c r="C1146" t="s">
        <v>25</v>
      </c>
      <c r="D1146" t="s">
        <v>50</v>
      </c>
      <c r="E1146" t="s">
        <v>99</v>
      </c>
      <c r="F1146">
        <v>1</v>
      </c>
      <c r="G1146" s="15">
        <v>2710000</v>
      </c>
      <c r="H1146" s="14">
        <v>0.13075929750140999</v>
      </c>
      <c r="I1146" s="27">
        <f t="shared" si="17"/>
        <v>2355642.3037711792</v>
      </c>
      <c r="J1146">
        <v>3.4</v>
      </c>
      <c r="K1146" t="b">
        <v>0</v>
      </c>
    </row>
    <row r="1147" spans="1:11" ht="16" x14ac:dyDescent="0.2">
      <c r="A1147" s="16">
        <v>45185</v>
      </c>
      <c r="B1147" t="s">
        <v>33</v>
      </c>
      <c r="C1147" t="s">
        <v>39</v>
      </c>
      <c r="D1147" t="s">
        <v>35</v>
      </c>
      <c r="E1147" t="s">
        <v>7638</v>
      </c>
      <c r="F1147">
        <v>2</v>
      </c>
      <c r="G1147" s="15">
        <v>2710000</v>
      </c>
      <c r="H1147" s="14">
        <v>0.13075929750140999</v>
      </c>
      <c r="I1147" s="27">
        <f t="shared" si="17"/>
        <v>2355642.3037711792</v>
      </c>
      <c r="J1147">
        <v>3.7</v>
      </c>
      <c r="K1147" t="b">
        <v>1</v>
      </c>
    </row>
    <row r="1148" spans="1:11" ht="16" x14ac:dyDescent="0.2">
      <c r="A1148" s="16">
        <v>45185</v>
      </c>
      <c r="B1148" t="s">
        <v>33</v>
      </c>
      <c r="C1148" t="s">
        <v>45</v>
      </c>
      <c r="D1148" t="s">
        <v>20</v>
      </c>
      <c r="E1148" t="s">
        <v>7638</v>
      </c>
      <c r="F1148">
        <v>1</v>
      </c>
      <c r="G1148" s="15">
        <v>2710000</v>
      </c>
      <c r="H1148" s="14">
        <v>0.13075929750140999</v>
      </c>
      <c r="I1148" s="27">
        <f t="shared" si="17"/>
        <v>2355642.3037711792</v>
      </c>
      <c r="J1148">
        <v>3.6</v>
      </c>
      <c r="K1148" t="b">
        <v>1</v>
      </c>
    </row>
    <row r="1149" spans="1:11" ht="16" x14ac:dyDescent="0.2">
      <c r="A1149" s="16">
        <v>45185</v>
      </c>
      <c r="B1149" t="s">
        <v>29</v>
      </c>
      <c r="C1149" t="s">
        <v>34</v>
      </c>
      <c r="D1149" t="s">
        <v>20</v>
      </c>
      <c r="E1149" t="s">
        <v>7640</v>
      </c>
      <c r="F1149">
        <v>1</v>
      </c>
      <c r="G1149" s="15">
        <v>2710000</v>
      </c>
      <c r="H1149" s="14">
        <v>0.13075929750140999</v>
      </c>
      <c r="I1149" s="27">
        <f t="shared" si="17"/>
        <v>2355642.3037711792</v>
      </c>
      <c r="J1149">
        <v>4.2</v>
      </c>
      <c r="K1149" t="b">
        <v>1</v>
      </c>
    </row>
    <row r="1150" spans="1:11" ht="16" x14ac:dyDescent="0.2">
      <c r="A1150" s="16">
        <v>45187</v>
      </c>
      <c r="B1150" t="s">
        <v>18</v>
      </c>
      <c r="C1150" t="s">
        <v>19</v>
      </c>
      <c r="D1150" t="s">
        <v>20</v>
      </c>
      <c r="E1150" t="s">
        <v>7641</v>
      </c>
      <c r="F1150">
        <v>2</v>
      </c>
      <c r="G1150" s="15">
        <v>2710000</v>
      </c>
      <c r="H1150" s="14">
        <v>0.13075929750140999</v>
      </c>
      <c r="I1150" s="27">
        <f t="shared" si="17"/>
        <v>2355642.3037711792</v>
      </c>
      <c r="J1150">
        <v>3.3</v>
      </c>
      <c r="K1150" t="b">
        <v>0</v>
      </c>
    </row>
    <row r="1151" spans="1:11" ht="16" x14ac:dyDescent="0.2">
      <c r="A1151" s="16">
        <v>45188</v>
      </c>
      <c r="B1151" t="s">
        <v>29</v>
      </c>
      <c r="C1151" t="s">
        <v>68</v>
      </c>
      <c r="D1151" t="s">
        <v>20</v>
      </c>
      <c r="E1151" t="s">
        <v>7641</v>
      </c>
      <c r="F1151">
        <v>1</v>
      </c>
      <c r="G1151" s="15">
        <v>2710000</v>
      </c>
      <c r="H1151" s="14">
        <v>0.13075929750140999</v>
      </c>
      <c r="I1151" s="27">
        <f t="shared" si="17"/>
        <v>2355642.3037711792</v>
      </c>
      <c r="J1151">
        <v>3.9</v>
      </c>
      <c r="K1151" t="b">
        <v>1</v>
      </c>
    </row>
    <row r="1152" spans="1:11" ht="16" x14ac:dyDescent="0.2">
      <c r="A1152" s="16">
        <v>45188</v>
      </c>
      <c r="B1152" t="s">
        <v>18</v>
      </c>
      <c r="C1152" t="s">
        <v>34</v>
      </c>
      <c r="D1152" t="s">
        <v>20</v>
      </c>
      <c r="E1152" t="s">
        <v>7643</v>
      </c>
      <c r="F1152">
        <v>1</v>
      </c>
      <c r="G1152" s="15">
        <v>2710000</v>
      </c>
      <c r="H1152" s="14">
        <v>0.13075929750140999</v>
      </c>
      <c r="I1152" s="27">
        <f t="shared" si="17"/>
        <v>2355642.3037711792</v>
      </c>
      <c r="J1152">
        <v>3.5</v>
      </c>
      <c r="K1152" t="b">
        <v>0</v>
      </c>
    </row>
    <row r="1153" spans="1:11" ht="16" x14ac:dyDescent="0.2">
      <c r="A1153" s="16">
        <v>45189</v>
      </c>
      <c r="B1153" t="str">
        <f>B1152</f>
        <v>Young Professional</v>
      </c>
      <c r="C1153" t="s">
        <v>25</v>
      </c>
      <c r="D1153" t="s">
        <v>20</v>
      </c>
      <c r="E1153" t="s">
        <v>57</v>
      </c>
      <c r="F1153">
        <v>3</v>
      </c>
      <c r="G1153" s="15">
        <v>2710000</v>
      </c>
      <c r="H1153" s="14">
        <v>0.13075929750140999</v>
      </c>
      <c r="I1153" s="27">
        <f t="shared" si="17"/>
        <v>2355642.3037711792</v>
      </c>
      <c r="J1153">
        <v>4.0999999999999996</v>
      </c>
      <c r="K1153" t="b">
        <v>0</v>
      </c>
    </row>
    <row r="1154" spans="1:11" ht="16" x14ac:dyDescent="0.2">
      <c r="A1154" s="16">
        <v>45189</v>
      </c>
      <c r="B1154" t="s">
        <v>29</v>
      </c>
      <c r="C1154" t="s">
        <v>25</v>
      </c>
      <c r="D1154" t="s">
        <v>20</v>
      </c>
      <c r="E1154" t="s">
        <v>7640</v>
      </c>
      <c r="F1154">
        <v>2</v>
      </c>
      <c r="G1154" s="15">
        <v>2710000</v>
      </c>
      <c r="H1154" s="14">
        <v>0.13075929750140999</v>
      </c>
      <c r="I1154" s="27">
        <f t="shared" si="17"/>
        <v>2355642.3037711792</v>
      </c>
      <c r="J1154">
        <v>4.9000000000000004</v>
      </c>
      <c r="K1154" t="b">
        <v>0</v>
      </c>
    </row>
    <row r="1155" spans="1:11" ht="16" x14ac:dyDescent="0.2">
      <c r="A1155" s="16">
        <v>45189</v>
      </c>
      <c r="B1155" t="s">
        <v>18</v>
      </c>
      <c r="C1155" t="s">
        <v>19</v>
      </c>
      <c r="D1155" t="s">
        <v>35</v>
      </c>
      <c r="E1155" t="s">
        <v>7643</v>
      </c>
      <c r="F1155">
        <v>1</v>
      </c>
      <c r="G1155" s="15">
        <v>2710000</v>
      </c>
      <c r="H1155" s="14">
        <v>0.13075929750140999</v>
      </c>
      <c r="I1155" s="27">
        <f t="shared" ref="I1155:I1218" si="18">G1155-G1155*H1155</f>
        <v>2355642.3037711792</v>
      </c>
      <c r="J1155">
        <v>5</v>
      </c>
      <c r="K1155" t="b">
        <v>1</v>
      </c>
    </row>
    <row r="1156" spans="1:11" ht="16" x14ac:dyDescent="0.2">
      <c r="A1156" s="16">
        <v>45191</v>
      </c>
      <c r="B1156" t="s">
        <v>18</v>
      </c>
      <c r="C1156" t="s">
        <v>19</v>
      </c>
      <c r="D1156" t="s">
        <v>20</v>
      </c>
      <c r="E1156" t="s">
        <v>7644</v>
      </c>
      <c r="F1156">
        <v>4</v>
      </c>
      <c r="G1156" s="15">
        <v>2710000</v>
      </c>
      <c r="H1156" s="14">
        <v>0.13075929750140999</v>
      </c>
      <c r="I1156" s="27">
        <f t="shared" si="18"/>
        <v>2355642.3037711792</v>
      </c>
      <c r="J1156">
        <v>4.0999999999999996</v>
      </c>
      <c r="K1156" t="b">
        <v>1</v>
      </c>
    </row>
    <row r="1157" spans="1:11" ht="16" x14ac:dyDescent="0.2">
      <c r="A1157" s="16">
        <v>45191</v>
      </c>
      <c r="B1157" t="s">
        <v>29</v>
      </c>
      <c r="C1157" t="s">
        <v>39</v>
      </c>
      <c r="D1157" t="s">
        <v>50</v>
      </c>
      <c r="E1157" t="s">
        <v>7639</v>
      </c>
      <c r="F1157">
        <v>1</v>
      </c>
      <c r="G1157" s="15">
        <v>2710000</v>
      </c>
      <c r="H1157" s="14">
        <v>0.13075929750140999</v>
      </c>
      <c r="I1157" s="27">
        <f t="shared" si="18"/>
        <v>2355642.3037711792</v>
      </c>
      <c r="J1157">
        <v>4.5</v>
      </c>
      <c r="K1157" t="b">
        <v>0</v>
      </c>
    </row>
    <row r="1158" spans="1:11" ht="16" x14ac:dyDescent="0.2">
      <c r="A1158" s="16">
        <v>45192</v>
      </c>
      <c r="B1158" t="s">
        <v>45</v>
      </c>
      <c r="C1158" t="s">
        <v>19</v>
      </c>
      <c r="D1158" t="s">
        <v>50</v>
      </c>
      <c r="E1158" t="s">
        <v>7639</v>
      </c>
      <c r="F1158">
        <v>2</v>
      </c>
      <c r="G1158" s="15">
        <v>2710000</v>
      </c>
      <c r="H1158" s="14">
        <v>0.13075929750140999</v>
      </c>
      <c r="I1158" s="27">
        <f t="shared" si="18"/>
        <v>2355642.3037711792</v>
      </c>
      <c r="J1158">
        <v>4.0999999999999996</v>
      </c>
      <c r="K1158" t="b">
        <v>1</v>
      </c>
    </row>
    <row r="1159" spans="1:11" ht="16" x14ac:dyDescent="0.2">
      <c r="A1159" s="16">
        <v>45193</v>
      </c>
      <c r="B1159" t="s">
        <v>45</v>
      </c>
      <c r="C1159" t="s">
        <v>39</v>
      </c>
      <c r="D1159" t="s">
        <v>50</v>
      </c>
      <c r="E1159" t="s">
        <v>7638</v>
      </c>
      <c r="F1159">
        <v>3</v>
      </c>
      <c r="G1159" s="15">
        <v>2710000</v>
      </c>
      <c r="H1159" s="14">
        <v>0.13075929750140999</v>
      </c>
      <c r="I1159" s="27">
        <f t="shared" si="18"/>
        <v>2355642.3037711792</v>
      </c>
      <c r="J1159">
        <v>4.7</v>
      </c>
      <c r="K1159" t="b">
        <v>1</v>
      </c>
    </row>
    <row r="1160" spans="1:11" ht="16" x14ac:dyDescent="0.2">
      <c r="A1160" s="16">
        <v>45193</v>
      </c>
      <c r="B1160" t="s">
        <v>33</v>
      </c>
      <c r="C1160" t="s">
        <v>45</v>
      </c>
      <c r="D1160" t="s">
        <v>20</v>
      </c>
      <c r="E1160" t="s">
        <v>7638</v>
      </c>
      <c r="F1160">
        <v>1</v>
      </c>
      <c r="G1160" s="15">
        <v>2710000</v>
      </c>
      <c r="H1160" s="14">
        <v>0.13075929750140999</v>
      </c>
      <c r="I1160" s="27">
        <f t="shared" si="18"/>
        <v>2355642.3037711792</v>
      </c>
      <c r="J1160">
        <v>4</v>
      </c>
      <c r="K1160" t="b">
        <v>1</v>
      </c>
    </row>
    <row r="1161" spans="1:11" ht="16" x14ac:dyDescent="0.2">
      <c r="A1161" s="16">
        <v>45193</v>
      </c>
      <c r="B1161" t="s">
        <v>33</v>
      </c>
      <c r="C1161" t="s">
        <v>45</v>
      </c>
      <c r="D1161" t="s">
        <v>35</v>
      </c>
      <c r="E1161" t="s">
        <v>7638</v>
      </c>
      <c r="F1161">
        <v>1</v>
      </c>
      <c r="G1161" s="15">
        <v>2710000</v>
      </c>
      <c r="H1161" s="14">
        <v>0.13075929750140999</v>
      </c>
      <c r="I1161" s="27">
        <f t="shared" si="18"/>
        <v>2355642.3037711792</v>
      </c>
      <c r="J1161">
        <v>4.5</v>
      </c>
      <c r="K1161" t="b">
        <v>1</v>
      </c>
    </row>
    <row r="1162" spans="1:11" ht="16" x14ac:dyDescent="0.2">
      <c r="A1162" s="16">
        <v>45194</v>
      </c>
      <c r="B1162" t="s">
        <v>45</v>
      </c>
      <c r="C1162" t="s">
        <v>45</v>
      </c>
      <c r="D1162" t="str">
        <f>D1161</f>
        <v>Mobile App</v>
      </c>
      <c r="E1162" t="s">
        <v>7639</v>
      </c>
      <c r="F1162">
        <v>4</v>
      </c>
      <c r="G1162" s="15">
        <v>2710000</v>
      </c>
      <c r="H1162" s="14">
        <v>0.13075929750140999</v>
      </c>
      <c r="I1162" s="27">
        <f t="shared" si="18"/>
        <v>2355642.3037711792</v>
      </c>
      <c r="J1162">
        <v>4.5999999999999996</v>
      </c>
      <c r="K1162" t="b">
        <v>1</v>
      </c>
    </row>
    <row r="1163" spans="1:11" ht="16" x14ac:dyDescent="0.2">
      <c r="A1163" s="16">
        <v>45194</v>
      </c>
      <c r="B1163" t="s">
        <v>45</v>
      </c>
      <c r="C1163" t="s">
        <v>25</v>
      </c>
      <c r="D1163" t="s">
        <v>20</v>
      </c>
      <c r="E1163" t="s">
        <v>57</v>
      </c>
      <c r="F1163">
        <v>3</v>
      </c>
      <c r="G1163" s="15">
        <v>2710000</v>
      </c>
      <c r="H1163" s="14">
        <v>0.13075929750140999</v>
      </c>
      <c r="I1163" s="27">
        <f t="shared" si="18"/>
        <v>2355642.3037711792</v>
      </c>
      <c r="J1163">
        <v>4.0999999999999996</v>
      </c>
      <c r="K1163" t="b">
        <v>1</v>
      </c>
    </row>
    <row r="1164" spans="1:11" ht="16" x14ac:dyDescent="0.2">
      <c r="A1164" s="16">
        <v>45194</v>
      </c>
      <c r="B1164" t="s">
        <v>33</v>
      </c>
      <c r="C1164" t="s">
        <v>19</v>
      </c>
      <c r="D1164" t="s">
        <v>46</v>
      </c>
      <c r="E1164" t="s">
        <v>7637</v>
      </c>
      <c r="F1164">
        <v>1</v>
      </c>
      <c r="G1164" s="15">
        <v>2710000</v>
      </c>
      <c r="H1164" s="14">
        <v>0.13075929750140999</v>
      </c>
      <c r="I1164" s="27">
        <f t="shared" si="18"/>
        <v>2355642.3037711792</v>
      </c>
      <c r="J1164">
        <v>3.9</v>
      </c>
      <c r="K1164" t="b">
        <v>0</v>
      </c>
    </row>
    <row r="1165" spans="1:11" ht="16" x14ac:dyDescent="0.2">
      <c r="A1165" s="16">
        <v>45194</v>
      </c>
      <c r="B1165" t="s">
        <v>45</v>
      </c>
      <c r="C1165" t="s">
        <v>19</v>
      </c>
      <c r="D1165" t="s">
        <v>46</v>
      </c>
      <c r="E1165" t="s">
        <v>7640</v>
      </c>
      <c r="F1165">
        <v>3</v>
      </c>
      <c r="G1165" s="15">
        <v>2710000</v>
      </c>
      <c r="H1165" s="14">
        <v>0.13075929750140999</v>
      </c>
      <c r="I1165" s="27">
        <f t="shared" si="18"/>
        <v>2355642.3037711792</v>
      </c>
      <c r="J1165">
        <v>4.2</v>
      </c>
      <c r="K1165" t="b">
        <v>1</v>
      </c>
    </row>
    <row r="1166" spans="1:11" ht="16" x14ac:dyDescent="0.2">
      <c r="A1166" s="16">
        <v>45194</v>
      </c>
      <c r="B1166" t="s">
        <v>29</v>
      </c>
      <c r="C1166" t="s">
        <v>39</v>
      </c>
      <c r="D1166" t="s">
        <v>20</v>
      </c>
      <c r="E1166" t="s">
        <v>7637</v>
      </c>
      <c r="F1166">
        <v>4</v>
      </c>
      <c r="G1166" s="15">
        <v>2710000</v>
      </c>
      <c r="H1166" s="14">
        <v>0.13075929750140999</v>
      </c>
      <c r="I1166" s="27">
        <f t="shared" si="18"/>
        <v>2355642.3037711792</v>
      </c>
      <c r="J1166">
        <v>4.2</v>
      </c>
      <c r="K1166" t="b">
        <v>1</v>
      </c>
    </row>
    <row r="1167" spans="1:11" ht="16" x14ac:dyDescent="0.2">
      <c r="A1167" s="16">
        <v>45194</v>
      </c>
      <c r="B1167" t="s">
        <v>45</v>
      </c>
      <c r="C1167" t="s">
        <v>45</v>
      </c>
      <c r="D1167" t="s">
        <v>20</v>
      </c>
      <c r="E1167" t="s">
        <v>7639</v>
      </c>
      <c r="F1167">
        <v>1</v>
      </c>
      <c r="G1167" s="15">
        <v>2710000</v>
      </c>
      <c r="H1167" s="14">
        <v>0.13075929750140999</v>
      </c>
      <c r="I1167" s="27">
        <f t="shared" si="18"/>
        <v>2355642.3037711792</v>
      </c>
      <c r="J1167">
        <v>3.9</v>
      </c>
      <c r="K1167" t="b">
        <v>1</v>
      </c>
    </row>
    <row r="1168" spans="1:11" ht="16" x14ac:dyDescent="0.2">
      <c r="A1168" s="16">
        <v>45195</v>
      </c>
      <c r="B1168" t="s">
        <v>45</v>
      </c>
      <c r="C1168" t="s">
        <v>39</v>
      </c>
      <c r="D1168" t="s">
        <v>20</v>
      </c>
      <c r="E1168" t="s">
        <v>57</v>
      </c>
      <c r="F1168">
        <v>2</v>
      </c>
      <c r="G1168" s="15">
        <v>2710000</v>
      </c>
      <c r="H1168" s="14">
        <v>0.13075929750140999</v>
      </c>
      <c r="I1168" s="27">
        <f t="shared" si="18"/>
        <v>2355642.3037711792</v>
      </c>
      <c r="J1168">
        <v>3.9</v>
      </c>
      <c r="K1168" t="b">
        <v>1</v>
      </c>
    </row>
    <row r="1169" spans="1:11" ht="16" x14ac:dyDescent="0.2">
      <c r="A1169" s="16">
        <v>45195</v>
      </c>
      <c r="B1169" t="s">
        <v>33</v>
      </c>
      <c r="C1169" t="s">
        <v>45</v>
      </c>
      <c r="D1169" t="s">
        <v>35</v>
      </c>
      <c r="E1169" t="s">
        <v>7643</v>
      </c>
      <c r="F1169">
        <v>1</v>
      </c>
      <c r="G1169" s="15">
        <v>2710000</v>
      </c>
      <c r="H1169" s="14">
        <v>0.13075929750140999</v>
      </c>
      <c r="I1169" s="27">
        <f t="shared" si="18"/>
        <v>2355642.3037711792</v>
      </c>
      <c r="J1169">
        <v>3.8</v>
      </c>
      <c r="K1169" t="b">
        <v>0</v>
      </c>
    </row>
    <row r="1170" spans="1:11" ht="16" x14ac:dyDescent="0.2">
      <c r="A1170" s="16">
        <v>45195</v>
      </c>
      <c r="B1170" t="s">
        <v>33</v>
      </c>
      <c r="C1170" t="s">
        <v>19</v>
      </c>
      <c r="D1170" t="s">
        <v>20</v>
      </c>
      <c r="E1170" t="s">
        <v>7641</v>
      </c>
      <c r="F1170">
        <v>2</v>
      </c>
      <c r="G1170" s="15">
        <v>2710000</v>
      </c>
      <c r="H1170" s="14">
        <v>0.13075929750140999</v>
      </c>
      <c r="I1170" s="27">
        <f t="shared" si="18"/>
        <v>2355642.3037711792</v>
      </c>
      <c r="J1170">
        <v>3.8</v>
      </c>
      <c r="K1170" t="b">
        <v>1</v>
      </c>
    </row>
    <row r="1171" spans="1:11" ht="16" x14ac:dyDescent="0.2">
      <c r="A1171" s="16">
        <v>45195</v>
      </c>
      <c r="B1171" t="s">
        <v>18</v>
      </c>
      <c r="C1171" t="s">
        <v>45</v>
      </c>
      <c r="D1171" t="s">
        <v>20</v>
      </c>
      <c r="E1171" t="s">
        <v>7644</v>
      </c>
      <c r="F1171">
        <v>2</v>
      </c>
      <c r="G1171" s="15">
        <v>2710000</v>
      </c>
      <c r="H1171" s="14">
        <v>0.13075929750140999</v>
      </c>
      <c r="I1171" s="27">
        <f t="shared" si="18"/>
        <v>2355642.3037711792</v>
      </c>
      <c r="J1171">
        <v>4.0999999999999996</v>
      </c>
      <c r="K1171" t="b">
        <v>0</v>
      </c>
    </row>
    <row r="1172" spans="1:11" ht="16" x14ac:dyDescent="0.2">
      <c r="A1172" s="16">
        <v>45195</v>
      </c>
      <c r="B1172" t="s">
        <v>45</v>
      </c>
      <c r="C1172" t="s">
        <v>19</v>
      </c>
      <c r="D1172" t="s">
        <v>20</v>
      </c>
      <c r="E1172" t="s">
        <v>57</v>
      </c>
      <c r="F1172">
        <v>1</v>
      </c>
      <c r="G1172" s="15">
        <v>2710000</v>
      </c>
      <c r="H1172" s="14">
        <v>0.13075929750140999</v>
      </c>
      <c r="I1172" s="27">
        <f t="shared" si="18"/>
        <v>2355642.3037711792</v>
      </c>
      <c r="J1172">
        <v>3.3</v>
      </c>
      <c r="K1172" t="b">
        <v>0</v>
      </c>
    </row>
    <row r="1173" spans="1:11" ht="16" x14ac:dyDescent="0.2">
      <c r="A1173" s="16">
        <v>45196</v>
      </c>
      <c r="B1173" t="s">
        <v>29</v>
      </c>
      <c r="C1173" t="s">
        <v>34</v>
      </c>
      <c r="D1173" t="s">
        <v>35</v>
      </c>
      <c r="E1173" t="s">
        <v>7640</v>
      </c>
      <c r="F1173">
        <v>1</v>
      </c>
      <c r="G1173" s="15">
        <v>2710000</v>
      </c>
      <c r="H1173" s="14">
        <v>0.13075929750140999</v>
      </c>
      <c r="I1173" s="27">
        <f t="shared" si="18"/>
        <v>2355642.3037711792</v>
      </c>
      <c r="J1173">
        <v>4.7</v>
      </c>
      <c r="K1173" t="b">
        <v>1</v>
      </c>
    </row>
    <row r="1174" spans="1:11" ht="16" x14ac:dyDescent="0.2">
      <c r="A1174" s="16">
        <v>45197</v>
      </c>
      <c r="B1174" t="s">
        <v>18</v>
      </c>
      <c r="C1174" t="s">
        <v>25</v>
      </c>
      <c r="D1174" t="s">
        <v>20</v>
      </c>
      <c r="E1174" t="s">
        <v>7639</v>
      </c>
      <c r="F1174">
        <v>2</v>
      </c>
      <c r="G1174" s="15">
        <v>2710000</v>
      </c>
      <c r="H1174" s="14">
        <v>0.13075929750140999</v>
      </c>
      <c r="I1174" s="27">
        <f t="shared" si="18"/>
        <v>2355642.3037711792</v>
      </c>
      <c r="J1174">
        <v>3.9</v>
      </c>
      <c r="K1174" t="b">
        <v>0</v>
      </c>
    </row>
    <row r="1175" spans="1:11" ht="16" x14ac:dyDescent="0.2">
      <c r="A1175" s="16">
        <v>45197</v>
      </c>
      <c r="B1175" t="s">
        <v>18</v>
      </c>
      <c r="C1175" t="s">
        <v>19</v>
      </c>
      <c r="D1175" t="s">
        <v>20</v>
      </c>
      <c r="E1175" t="s">
        <v>99</v>
      </c>
      <c r="F1175">
        <v>1</v>
      </c>
      <c r="G1175" s="15">
        <v>2710000</v>
      </c>
      <c r="H1175" s="14">
        <v>0.13075929750140999</v>
      </c>
      <c r="I1175" s="27">
        <f t="shared" si="18"/>
        <v>2355642.3037711792</v>
      </c>
      <c r="J1175">
        <v>4.5999999999999996</v>
      </c>
      <c r="K1175" t="b">
        <v>1</v>
      </c>
    </row>
    <row r="1176" spans="1:11" ht="16" x14ac:dyDescent="0.2">
      <c r="A1176" s="16">
        <v>45197</v>
      </c>
      <c r="B1176" t="s">
        <v>45</v>
      </c>
      <c r="C1176" t="s">
        <v>34</v>
      </c>
      <c r="D1176" t="s">
        <v>50</v>
      </c>
      <c r="E1176" t="s">
        <v>7640</v>
      </c>
      <c r="F1176">
        <v>3</v>
      </c>
      <c r="G1176" s="15">
        <v>2710000</v>
      </c>
      <c r="H1176" s="14">
        <v>0.13075929750140999</v>
      </c>
      <c r="I1176" s="27">
        <f t="shared" si="18"/>
        <v>2355642.3037711792</v>
      </c>
      <c r="J1176">
        <v>4.0999999999999996</v>
      </c>
      <c r="K1176" t="b">
        <v>1</v>
      </c>
    </row>
    <row r="1177" spans="1:11" ht="16" x14ac:dyDescent="0.2">
      <c r="A1177" s="16">
        <v>45198</v>
      </c>
      <c r="B1177" t="s">
        <v>18</v>
      </c>
      <c r="C1177" t="s">
        <v>19</v>
      </c>
      <c r="D1177" t="s">
        <v>50</v>
      </c>
      <c r="E1177" t="s">
        <v>99</v>
      </c>
      <c r="F1177">
        <v>1</v>
      </c>
      <c r="G1177" s="15">
        <v>2710000</v>
      </c>
      <c r="H1177" s="14">
        <v>0.13075929750140999</v>
      </c>
      <c r="I1177" s="27">
        <f t="shared" si="18"/>
        <v>2355642.3037711792</v>
      </c>
      <c r="J1177">
        <v>4.4000000000000004</v>
      </c>
      <c r="K1177" t="b">
        <v>0</v>
      </c>
    </row>
    <row r="1178" spans="1:11" ht="16" x14ac:dyDescent="0.2">
      <c r="A1178" s="16">
        <v>45198</v>
      </c>
      <c r="B1178" t="s">
        <v>45</v>
      </c>
      <c r="C1178" t="s">
        <v>34</v>
      </c>
      <c r="D1178" t="s">
        <v>20</v>
      </c>
      <c r="E1178" t="s">
        <v>7637</v>
      </c>
      <c r="F1178">
        <v>2</v>
      </c>
      <c r="G1178" s="15">
        <v>2710000</v>
      </c>
      <c r="H1178" s="14">
        <v>0.13075929750140999</v>
      </c>
      <c r="I1178" s="27">
        <f t="shared" si="18"/>
        <v>2355642.3037711792</v>
      </c>
      <c r="J1178">
        <v>4.5999999999999996</v>
      </c>
      <c r="K1178" t="b">
        <v>1</v>
      </c>
    </row>
    <row r="1179" spans="1:11" ht="16" x14ac:dyDescent="0.2">
      <c r="A1179" s="16">
        <v>45198</v>
      </c>
      <c r="B1179" t="s">
        <v>45</v>
      </c>
      <c r="C1179" t="s">
        <v>39</v>
      </c>
      <c r="D1179" t="s">
        <v>50</v>
      </c>
      <c r="E1179" t="s">
        <v>7637</v>
      </c>
      <c r="F1179">
        <v>2</v>
      </c>
      <c r="G1179" s="15">
        <v>2710000</v>
      </c>
      <c r="H1179" s="14">
        <v>0.13075929750140999</v>
      </c>
      <c r="I1179" s="27">
        <f t="shared" si="18"/>
        <v>2355642.3037711792</v>
      </c>
      <c r="J1179">
        <v>4</v>
      </c>
      <c r="K1179" t="b">
        <v>1</v>
      </c>
    </row>
    <row r="1180" spans="1:11" ht="16" x14ac:dyDescent="0.2">
      <c r="A1180" s="16">
        <v>45199</v>
      </c>
      <c r="B1180" t="s">
        <v>18</v>
      </c>
      <c r="C1180" t="s">
        <v>39</v>
      </c>
      <c r="D1180" t="s">
        <v>20</v>
      </c>
      <c r="E1180" t="s">
        <v>57</v>
      </c>
      <c r="F1180">
        <v>3</v>
      </c>
      <c r="G1180" s="15">
        <v>2710000</v>
      </c>
      <c r="H1180" s="14">
        <v>0.13075929750140999</v>
      </c>
      <c r="I1180" s="27">
        <f t="shared" si="18"/>
        <v>2355642.3037711792</v>
      </c>
      <c r="J1180">
        <v>4.0999999999999996</v>
      </c>
      <c r="K1180" t="b">
        <v>1</v>
      </c>
    </row>
    <row r="1181" spans="1:11" ht="16" x14ac:dyDescent="0.2">
      <c r="A1181" s="16">
        <v>45199</v>
      </c>
      <c r="B1181" t="s">
        <v>18</v>
      </c>
      <c r="C1181" t="s">
        <v>19</v>
      </c>
      <c r="D1181" t="s">
        <v>50</v>
      </c>
      <c r="E1181" t="s">
        <v>7638</v>
      </c>
      <c r="F1181">
        <v>3</v>
      </c>
      <c r="G1181" s="15">
        <v>2710000</v>
      </c>
      <c r="H1181" s="14">
        <v>0.13075929750140999</v>
      </c>
      <c r="I1181" s="27">
        <f t="shared" si="18"/>
        <v>2355642.3037711792</v>
      </c>
      <c r="J1181">
        <v>3.8</v>
      </c>
      <c r="K1181" t="b">
        <v>1</v>
      </c>
    </row>
    <row r="1182" spans="1:11" ht="16" x14ac:dyDescent="0.2">
      <c r="A1182" s="16">
        <v>45199</v>
      </c>
      <c r="B1182" t="s">
        <v>18</v>
      </c>
      <c r="C1182" t="s">
        <v>34</v>
      </c>
      <c r="D1182" t="s">
        <v>35</v>
      </c>
      <c r="E1182" t="s">
        <v>7641</v>
      </c>
      <c r="F1182">
        <v>2</v>
      </c>
      <c r="G1182" s="15">
        <v>2710000</v>
      </c>
      <c r="H1182" s="14">
        <v>0.13075929750140999</v>
      </c>
      <c r="I1182" s="27">
        <f t="shared" si="18"/>
        <v>2355642.3037711792</v>
      </c>
      <c r="J1182">
        <v>4</v>
      </c>
      <c r="K1182" t="b">
        <v>0</v>
      </c>
    </row>
    <row r="1183" spans="1:11" ht="16" x14ac:dyDescent="0.2">
      <c r="A1183" s="16">
        <v>45200</v>
      </c>
      <c r="B1183" t="s">
        <v>33</v>
      </c>
      <c r="C1183" t="s">
        <v>68</v>
      </c>
      <c r="D1183" t="s">
        <v>20</v>
      </c>
      <c r="E1183" t="s">
        <v>7641</v>
      </c>
      <c r="F1183">
        <v>1</v>
      </c>
      <c r="G1183" s="15">
        <v>2710000</v>
      </c>
      <c r="H1183" s="14">
        <v>0.13075929750140999</v>
      </c>
      <c r="I1183" s="27">
        <f t="shared" si="18"/>
        <v>2355642.3037711792</v>
      </c>
      <c r="J1183">
        <v>3.1</v>
      </c>
      <c r="K1183" t="b">
        <v>0</v>
      </c>
    </row>
    <row r="1184" spans="1:11" ht="16" x14ac:dyDescent="0.2">
      <c r="A1184" s="16">
        <v>45200</v>
      </c>
      <c r="B1184" t="s">
        <v>18</v>
      </c>
      <c r="C1184" t="s">
        <v>68</v>
      </c>
      <c r="D1184" t="s">
        <v>20</v>
      </c>
      <c r="E1184" t="s">
        <v>7641</v>
      </c>
      <c r="F1184">
        <v>4</v>
      </c>
      <c r="G1184" s="15">
        <v>2710000</v>
      </c>
      <c r="H1184" s="14">
        <v>0.13075929750140999</v>
      </c>
      <c r="I1184" s="27">
        <f t="shared" si="18"/>
        <v>2355642.3037711792</v>
      </c>
      <c r="J1184">
        <v>4.3</v>
      </c>
      <c r="K1184" t="b">
        <v>1</v>
      </c>
    </row>
    <row r="1185" spans="1:11" ht="16" x14ac:dyDescent="0.2">
      <c r="A1185" s="16">
        <v>45202</v>
      </c>
      <c r="B1185" t="s">
        <v>45</v>
      </c>
      <c r="C1185" t="s">
        <v>19</v>
      </c>
      <c r="D1185" t="s">
        <v>35</v>
      </c>
      <c r="E1185" t="s">
        <v>7641</v>
      </c>
      <c r="F1185">
        <v>2</v>
      </c>
      <c r="G1185" s="15">
        <v>2710000</v>
      </c>
      <c r="H1185" s="14">
        <v>0.13075929750140999</v>
      </c>
      <c r="I1185" s="27">
        <f t="shared" si="18"/>
        <v>2355642.3037711792</v>
      </c>
      <c r="J1185">
        <v>5</v>
      </c>
      <c r="K1185" t="b">
        <v>1</v>
      </c>
    </row>
    <row r="1186" spans="1:11" ht="16" x14ac:dyDescent="0.2">
      <c r="A1186" s="16">
        <v>45202</v>
      </c>
      <c r="B1186" t="str">
        <f>B1185</f>
        <v>Family</v>
      </c>
      <c r="C1186" t="s">
        <v>25</v>
      </c>
      <c r="D1186" t="s">
        <v>50</v>
      </c>
      <c r="E1186" t="s">
        <v>7638</v>
      </c>
      <c r="F1186">
        <v>1</v>
      </c>
      <c r="G1186" s="15">
        <v>2710000</v>
      </c>
      <c r="H1186" s="14">
        <v>0.13075929750140999</v>
      </c>
      <c r="I1186" s="27">
        <f t="shared" si="18"/>
        <v>2355642.3037711792</v>
      </c>
      <c r="J1186">
        <v>4.4000000000000004</v>
      </c>
      <c r="K1186" t="b">
        <v>1</v>
      </c>
    </row>
    <row r="1187" spans="1:11" ht="16" x14ac:dyDescent="0.2">
      <c r="A1187" s="16">
        <v>45203</v>
      </c>
      <c r="B1187" t="s">
        <v>45</v>
      </c>
      <c r="C1187" t="s">
        <v>25</v>
      </c>
      <c r="D1187" t="s">
        <v>46</v>
      </c>
      <c r="E1187" t="s">
        <v>57</v>
      </c>
      <c r="F1187">
        <v>3</v>
      </c>
      <c r="G1187" s="15">
        <v>2710000</v>
      </c>
      <c r="H1187" s="14">
        <v>0.13075929750140999</v>
      </c>
      <c r="I1187" s="27">
        <f t="shared" si="18"/>
        <v>2355642.3037711792</v>
      </c>
      <c r="J1187">
        <v>4.3</v>
      </c>
      <c r="K1187" t="b">
        <v>1</v>
      </c>
    </row>
    <row r="1188" spans="1:11" ht="16" x14ac:dyDescent="0.2">
      <c r="A1188" s="16">
        <v>45203</v>
      </c>
      <c r="B1188" t="s">
        <v>18</v>
      </c>
      <c r="C1188" t="s">
        <v>25</v>
      </c>
      <c r="D1188" t="s">
        <v>50</v>
      </c>
      <c r="E1188" t="s">
        <v>7644</v>
      </c>
      <c r="F1188">
        <v>4</v>
      </c>
      <c r="G1188" s="15">
        <v>2710000</v>
      </c>
      <c r="H1188" s="14">
        <v>0.13075929750140999</v>
      </c>
      <c r="I1188" s="27">
        <f t="shared" si="18"/>
        <v>2355642.3037711792</v>
      </c>
      <c r="J1188">
        <v>4.3</v>
      </c>
      <c r="K1188" t="b">
        <v>1</v>
      </c>
    </row>
    <row r="1189" spans="1:11" ht="16" x14ac:dyDescent="0.2">
      <c r="A1189" s="16">
        <v>45203</v>
      </c>
      <c r="B1189" t="s">
        <v>29</v>
      </c>
      <c r="C1189" t="s">
        <v>34</v>
      </c>
      <c r="D1189" t="s">
        <v>50</v>
      </c>
      <c r="E1189" t="s">
        <v>7641</v>
      </c>
      <c r="F1189">
        <v>1</v>
      </c>
      <c r="G1189" s="15">
        <v>2710000</v>
      </c>
      <c r="H1189" s="14">
        <v>0.13075929750140999</v>
      </c>
      <c r="I1189" s="27">
        <f t="shared" si="18"/>
        <v>2355642.3037711792</v>
      </c>
      <c r="J1189">
        <v>4.0999999999999996</v>
      </c>
      <c r="K1189" t="b">
        <v>1</v>
      </c>
    </row>
    <row r="1190" spans="1:11" ht="16" x14ac:dyDescent="0.2">
      <c r="A1190" s="16">
        <v>45203</v>
      </c>
      <c r="B1190" t="s">
        <v>33</v>
      </c>
      <c r="C1190" t="s">
        <v>34</v>
      </c>
      <c r="D1190" t="s">
        <v>20</v>
      </c>
      <c r="E1190" t="s">
        <v>7644</v>
      </c>
      <c r="F1190">
        <v>1</v>
      </c>
      <c r="G1190" s="15">
        <v>2710000</v>
      </c>
      <c r="H1190" s="14">
        <v>0.13075929750140999</v>
      </c>
      <c r="I1190" s="27">
        <f t="shared" si="18"/>
        <v>2355642.3037711792</v>
      </c>
      <c r="J1190">
        <v>3.5</v>
      </c>
      <c r="K1190" t="b">
        <v>0</v>
      </c>
    </row>
    <row r="1191" spans="1:11" ht="16" x14ac:dyDescent="0.2">
      <c r="A1191" s="16">
        <v>45203</v>
      </c>
      <c r="B1191" t="s">
        <v>45</v>
      </c>
      <c r="C1191" t="s">
        <v>19</v>
      </c>
      <c r="D1191" t="s">
        <v>50</v>
      </c>
      <c r="E1191" t="s">
        <v>57</v>
      </c>
      <c r="F1191">
        <v>4</v>
      </c>
      <c r="G1191" s="15">
        <v>2710000</v>
      </c>
      <c r="H1191" s="14">
        <v>0.13075929750140999</v>
      </c>
      <c r="I1191" s="27">
        <f t="shared" si="18"/>
        <v>2355642.3037711792</v>
      </c>
      <c r="J1191">
        <v>3.7</v>
      </c>
      <c r="K1191" t="b">
        <v>1</v>
      </c>
    </row>
    <row r="1192" spans="1:11" ht="16" x14ac:dyDescent="0.2">
      <c r="A1192" s="16">
        <v>45204</v>
      </c>
      <c r="B1192" t="s">
        <v>29</v>
      </c>
      <c r="C1192" t="s">
        <v>34</v>
      </c>
      <c r="D1192" t="s">
        <v>50</v>
      </c>
      <c r="E1192" t="s">
        <v>57</v>
      </c>
      <c r="F1192">
        <v>1</v>
      </c>
      <c r="G1192" s="15">
        <v>2710000</v>
      </c>
      <c r="H1192" s="14">
        <v>0.13075929750140999</v>
      </c>
      <c r="I1192" s="27">
        <f t="shared" si="18"/>
        <v>2355642.3037711792</v>
      </c>
      <c r="J1192">
        <v>4.2</v>
      </c>
      <c r="K1192" t="b">
        <v>1</v>
      </c>
    </row>
    <row r="1193" spans="1:11" ht="16" x14ac:dyDescent="0.2">
      <c r="A1193" s="16">
        <v>45205</v>
      </c>
      <c r="B1193" t="s">
        <v>45</v>
      </c>
      <c r="C1193" t="s">
        <v>19</v>
      </c>
      <c r="D1193" t="s">
        <v>20</v>
      </c>
      <c r="E1193" t="s">
        <v>7644</v>
      </c>
      <c r="F1193">
        <v>3</v>
      </c>
      <c r="G1193" s="15">
        <v>2710000</v>
      </c>
      <c r="H1193" s="14">
        <v>0.13075929750140999</v>
      </c>
      <c r="I1193" s="27">
        <f t="shared" si="18"/>
        <v>2355642.3037711792</v>
      </c>
      <c r="J1193">
        <v>3.5</v>
      </c>
      <c r="K1193" t="b">
        <v>1</v>
      </c>
    </row>
    <row r="1194" spans="1:11" ht="16" x14ac:dyDescent="0.2">
      <c r="A1194" s="16">
        <v>45205</v>
      </c>
      <c r="B1194" t="s">
        <v>45</v>
      </c>
      <c r="C1194" t="s">
        <v>25</v>
      </c>
      <c r="D1194" t="s">
        <v>50</v>
      </c>
      <c r="E1194" t="s">
        <v>57</v>
      </c>
      <c r="F1194">
        <v>3</v>
      </c>
      <c r="G1194" s="15">
        <v>2710000</v>
      </c>
      <c r="H1194" s="14">
        <v>0.13075929750140999</v>
      </c>
      <c r="I1194" s="27">
        <f t="shared" si="18"/>
        <v>2355642.3037711792</v>
      </c>
      <c r="J1194">
        <v>4.2</v>
      </c>
      <c r="K1194" t="b">
        <v>1</v>
      </c>
    </row>
    <row r="1195" spans="1:11" ht="16" x14ac:dyDescent="0.2">
      <c r="A1195" s="16">
        <v>45207</v>
      </c>
      <c r="B1195" t="s">
        <v>33</v>
      </c>
      <c r="C1195" t="s">
        <v>45</v>
      </c>
      <c r="D1195" t="s">
        <v>20</v>
      </c>
      <c r="E1195" t="s">
        <v>7640</v>
      </c>
      <c r="F1195">
        <v>5</v>
      </c>
      <c r="G1195" s="15">
        <v>2710000</v>
      </c>
      <c r="H1195" s="14">
        <v>0.13075929750140999</v>
      </c>
      <c r="I1195" s="27">
        <f t="shared" si="18"/>
        <v>2355642.3037711792</v>
      </c>
      <c r="J1195">
        <v>3.5</v>
      </c>
      <c r="K1195" t="b">
        <v>1</v>
      </c>
    </row>
    <row r="1196" spans="1:11" ht="16" x14ac:dyDescent="0.2">
      <c r="A1196" s="16">
        <v>45208</v>
      </c>
      <c r="B1196" t="s">
        <v>29</v>
      </c>
      <c r="C1196" t="s">
        <v>19</v>
      </c>
      <c r="D1196" t="s">
        <v>50</v>
      </c>
      <c r="E1196" t="str">
        <f>E1195</f>
        <v>Hội An</v>
      </c>
      <c r="F1196">
        <v>1</v>
      </c>
      <c r="G1196" s="15">
        <v>2710000</v>
      </c>
      <c r="H1196" s="14">
        <v>0.13075929750140999</v>
      </c>
      <c r="I1196" s="27">
        <f t="shared" si="18"/>
        <v>2355642.3037711792</v>
      </c>
      <c r="J1196">
        <v>4.5999999999999996</v>
      </c>
      <c r="K1196" t="b">
        <v>1</v>
      </c>
    </row>
    <row r="1197" spans="1:11" ht="16" x14ac:dyDescent="0.2">
      <c r="A1197" s="16">
        <v>45210</v>
      </c>
      <c r="B1197" t="s">
        <v>33</v>
      </c>
      <c r="C1197" t="s">
        <v>39</v>
      </c>
      <c r="D1197" t="s">
        <v>50</v>
      </c>
      <c r="E1197" t="s">
        <v>7637</v>
      </c>
      <c r="F1197">
        <v>1</v>
      </c>
      <c r="G1197" s="15">
        <v>2710000</v>
      </c>
      <c r="H1197" s="14">
        <v>0.13075929750140999</v>
      </c>
      <c r="I1197" s="27">
        <f t="shared" si="18"/>
        <v>2355642.3037711792</v>
      </c>
      <c r="J1197">
        <v>3.9</v>
      </c>
      <c r="K1197" t="b">
        <v>0</v>
      </c>
    </row>
    <row r="1198" spans="1:11" ht="16" x14ac:dyDescent="0.2">
      <c r="A1198" s="16">
        <v>45210</v>
      </c>
      <c r="B1198" t="s">
        <v>33</v>
      </c>
      <c r="C1198" t="s">
        <v>34</v>
      </c>
      <c r="D1198" t="s">
        <v>35</v>
      </c>
      <c r="E1198" t="s">
        <v>7637</v>
      </c>
      <c r="F1198">
        <v>1</v>
      </c>
      <c r="G1198" s="15">
        <v>2710000</v>
      </c>
      <c r="H1198" s="14">
        <v>0.13075929750140999</v>
      </c>
      <c r="I1198" s="27">
        <f t="shared" si="18"/>
        <v>2355642.3037711792</v>
      </c>
      <c r="J1198">
        <v>4.4000000000000004</v>
      </c>
      <c r="K1198" t="b">
        <v>1</v>
      </c>
    </row>
    <row r="1199" spans="1:11" ht="16" x14ac:dyDescent="0.2">
      <c r="A1199" s="16">
        <v>45211</v>
      </c>
      <c r="B1199" t="s">
        <v>29</v>
      </c>
      <c r="C1199" t="s">
        <v>19</v>
      </c>
      <c r="D1199" t="s">
        <v>35</v>
      </c>
      <c r="E1199" t="s">
        <v>7641</v>
      </c>
      <c r="F1199">
        <v>1</v>
      </c>
      <c r="G1199" s="15">
        <v>2710000</v>
      </c>
      <c r="H1199" s="14">
        <v>0.13075929750140999</v>
      </c>
      <c r="I1199" s="27">
        <f t="shared" si="18"/>
        <v>2355642.3037711792</v>
      </c>
      <c r="J1199">
        <v>3.4</v>
      </c>
      <c r="K1199" t="b">
        <v>1</v>
      </c>
    </row>
    <row r="1200" spans="1:11" ht="16" x14ac:dyDescent="0.2">
      <c r="A1200" s="16">
        <v>45211</v>
      </c>
      <c r="B1200" t="s">
        <v>29</v>
      </c>
      <c r="C1200" t="s">
        <v>19</v>
      </c>
      <c r="D1200" t="s">
        <v>20</v>
      </c>
      <c r="E1200" t="s">
        <v>7638</v>
      </c>
      <c r="F1200">
        <v>2</v>
      </c>
      <c r="G1200" s="15">
        <v>2710000</v>
      </c>
      <c r="H1200" s="14">
        <v>0.13075929750140999</v>
      </c>
      <c r="I1200" s="27">
        <f t="shared" si="18"/>
        <v>2355642.3037711792</v>
      </c>
      <c r="J1200">
        <v>3.6</v>
      </c>
      <c r="K1200" t="b">
        <v>0</v>
      </c>
    </row>
    <row r="1201" spans="1:11" ht="16" x14ac:dyDescent="0.2">
      <c r="A1201" s="16">
        <v>45211</v>
      </c>
      <c r="B1201" t="s">
        <v>18</v>
      </c>
      <c r="C1201" t="s">
        <v>25</v>
      </c>
      <c r="D1201" t="s">
        <v>50</v>
      </c>
      <c r="E1201" t="s">
        <v>7642</v>
      </c>
      <c r="F1201">
        <v>1</v>
      </c>
      <c r="G1201" s="15">
        <v>2710000</v>
      </c>
      <c r="H1201" s="14">
        <v>0.13075929750140999</v>
      </c>
      <c r="I1201" s="27">
        <f t="shared" si="18"/>
        <v>2355642.3037711792</v>
      </c>
      <c r="J1201">
        <v>3</v>
      </c>
      <c r="K1201" t="b">
        <v>0</v>
      </c>
    </row>
    <row r="1202" spans="1:11" ht="16" x14ac:dyDescent="0.2">
      <c r="A1202" s="16">
        <v>45212</v>
      </c>
      <c r="B1202" t="s">
        <v>29</v>
      </c>
      <c r="C1202" t="s">
        <v>34</v>
      </c>
      <c r="D1202" t="s">
        <v>20</v>
      </c>
      <c r="E1202" t="s">
        <v>7644</v>
      </c>
      <c r="F1202">
        <v>1</v>
      </c>
      <c r="G1202" s="15">
        <v>2710000</v>
      </c>
      <c r="H1202" s="14">
        <v>0.13075929750140999</v>
      </c>
      <c r="I1202" s="27">
        <f t="shared" si="18"/>
        <v>2355642.3037711792</v>
      </c>
      <c r="J1202">
        <v>3.8</v>
      </c>
      <c r="K1202" t="b">
        <v>0</v>
      </c>
    </row>
    <row r="1203" spans="1:11" ht="16" x14ac:dyDescent="0.2">
      <c r="A1203" s="16">
        <v>45212</v>
      </c>
      <c r="B1203" t="s">
        <v>33</v>
      </c>
      <c r="C1203" t="s">
        <v>39</v>
      </c>
      <c r="D1203" t="s">
        <v>35</v>
      </c>
      <c r="E1203" t="s">
        <v>7642</v>
      </c>
      <c r="F1203">
        <v>1</v>
      </c>
      <c r="G1203" s="15">
        <v>2710000</v>
      </c>
      <c r="H1203" s="14">
        <v>0.13075929750140999</v>
      </c>
      <c r="I1203" s="27">
        <f t="shared" si="18"/>
        <v>2355642.3037711792</v>
      </c>
      <c r="J1203">
        <v>4.2</v>
      </c>
      <c r="K1203" t="b">
        <v>0</v>
      </c>
    </row>
    <row r="1204" spans="1:11" ht="16" x14ac:dyDescent="0.2">
      <c r="A1204" s="16">
        <v>45212</v>
      </c>
      <c r="B1204" t="s">
        <v>45</v>
      </c>
      <c r="C1204" t="s">
        <v>19</v>
      </c>
      <c r="D1204" t="s">
        <v>50</v>
      </c>
      <c r="E1204" t="s">
        <v>7639</v>
      </c>
      <c r="F1204">
        <v>1</v>
      </c>
      <c r="G1204" s="15">
        <v>2710000</v>
      </c>
      <c r="H1204" s="14">
        <v>0.13075929750140999</v>
      </c>
      <c r="I1204" s="27">
        <f t="shared" si="18"/>
        <v>2355642.3037711792</v>
      </c>
      <c r="J1204">
        <v>4.5</v>
      </c>
      <c r="K1204" t="b">
        <v>1</v>
      </c>
    </row>
    <row r="1205" spans="1:11" ht="16" x14ac:dyDescent="0.2">
      <c r="A1205" s="16">
        <v>45213</v>
      </c>
      <c r="B1205" t="s">
        <v>29</v>
      </c>
      <c r="C1205" t="s">
        <v>34</v>
      </c>
      <c r="D1205" t="s">
        <v>20</v>
      </c>
      <c r="E1205" t="s">
        <v>7638</v>
      </c>
      <c r="F1205">
        <v>2</v>
      </c>
      <c r="G1205" s="15">
        <v>2710000</v>
      </c>
      <c r="H1205" s="14">
        <v>0.13075929750140999</v>
      </c>
      <c r="I1205" s="27">
        <f t="shared" si="18"/>
        <v>2355642.3037711792</v>
      </c>
      <c r="J1205">
        <v>4</v>
      </c>
      <c r="K1205" t="b">
        <v>1</v>
      </c>
    </row>
    <row r="1206" spans="1:11" ht="16" x14ac:dyDescent="0.2">
      <c r="A1206" s="16">
        <v>45213</v>
      </c>
      <c r="B1206" t="s">
        <v>18</v>
      </c>
      <c r="C1206" t="s">
        <v>25</v>
      </c>
      <c r="D1206" t="s">
        <v>20</v>
      </c>
      <c r="E1206" t="s">
        <v>7639</v>
      </c>
      <c r="F1206">
        <v>4</v>
      </c>
      <c r="G1206" s="15">
        <v>2710000</v>
      </c>
      <c r="H1206" s="14">
        <v>0.13075929750140999</v>
      </c>
      <c r="I1206" s="27">
        <f t="shared" si="18"/>
        <v>2355642.3037711792</v>
      </c>
      <c r="J1206">
        <v>4.2</v>
      </c>
      <c r="K1206" t="b">
        <v>1</v>
      </c>
    </row>
    <row r="1207" spans="1:11" ht="16" x14ac:dyDescent="0.2">
      <c r="A1207" s="16">
        <v>45213</v>
      </c>
      <c r="B1207" t="s">
        <v>33</v>
      </c>
      <c r="C1207" t="s">
        <v>68</v>
      </c>
      <c r="D1207" t="s">
        <v>20</v>
      </c>
      <c r="E1207" t="s">
        <v>7642</v>
      </c>
      <c r="F1207">
        <v>2</v>
      </c>
      <c r="G1207" s="15">
        <v>2710000</v>
      </c>
      <c r="H1207" s="14">
        <v>0.13075929750140999</v>
      </c>
      <c r="I1207" s="27">
        <f t="shared" si="18"/>
        <v>2355642.3037711792</v>
      </c>
      <c r="J1207">
        <v>4.0999999999999996</v>
      </c>
      <c r="K1207" t="b">
        <v>0</v>
      </c>
    </row>
    <row r="1208" spans="1:11" ht="16" x14ac:dyDescent="0.2">
      <c r="A1208" s="16">
        <v>45214</v>
      </c>
      <c r="B1208" t="s">
        <v>45</v>
      </c>
      <c r="C1208" t="s">
        <v>45</v>
      </c>
      <c r="D1208" t="s">
        <v>20</v>
      </c>
      <c r="E1208" t="s">
        <v>57</v>
      </c>
      <c r="F1208">
        <v>3</v>
      </c>
      <c r="G1208" s="15">
        <v>2710000</v>
      </c>
      <c r="H1208" s="14">
        <v>0.13075929750140999</v>
      </c>
      <c r="I1208" s="27">
        <f t="shared" si="18"/>
        <v>2355642.3037711792</v>
      </c>
      <c r="J1208">
        <v>4.5</v>
      </c>
      <c r="K1208" t="b">
        <v>0</v>
      </c>
    </row>
    <row r="1209" spans="1:11" ht="16" x14ac:dyDescent="0.2">
      <c r="A1209" s="16">
        <v>45214</v>
      </c>
      <c r="B1209" t="s">
        <v>18</v>
      </c>
      <c r="C1209" t="s">
        <v>68</v>
      </c>
      <c r="D1209" t="s">
        <v>50</v>
      </c>
      <c r="E1209" t="str">
        <f>E1208</f>
        <v>Nha Trang</v>
      </c>
      <c r="F1209">
        <v>2</v>
      </c>
      <c r="G1209" s="15">
        <v>2710000</v>
      </c>
      <c r="H1209" s="14">
        <v>0.13075929750140999</v>
      </c>
      <c r="I1209" s="27">
        <f t="shared" si="18"/>
        <v>2355642.3037711792</v>
      </c>
      <c r="J1209">
        <v>4.0999999999999996</v>
      </c>
      <c r="K1209" t="b">
        <v>1</v>
      </c>
    </row>
    <row r="1210" spans="1:11" ht="16" x14ac:dyDescent="0.2">
      <c r="A1210" s="16">
        <v>45214</v>
      </c>
      <c r="B1210" t="s">
        <v>45</v>
      </c>
      <c r="C1210" t="s">
        <v>19</v>
      </c>
      <c r="D1210" t="s">
        <v>20</v>
      </c>
      <c r="E1210" t="s">
        <v>7637</v>
      </c>
      <c r="F1210">
        <v>2</v>
      </c>
      <c r="G1210" s="15">
        <v>2710000</v>
      </c>
      <c r="H1210" s="14">
        <v>0.13075929750140999</v>
      </c>
      <c r="I1210" s="27">
        <f t="shared" si="18"/>
        <v>2355642.3037711792</v>
      </c>
      <c r="J1210">
        <v>4.9000000000000004</v>
      </c>
      <c r="K1210" t="b">
        <v>1</v>
      </c>
    </row>
    <row r="1211" spans="1:11" ht="16" x14ac:dyDescent="0.2">
      <c r="A1211" s="16">
        <v>45214</v>
      </c>
      <c r="B1211" t="s">
        <v>33</v>
      </c>
      <c r="C1211" t="s">
        <v>19</v>
      </c>
      <c r="D1211" t="s">
        <v>50</v>
      </c>
      <c r="E1211" t="s">
        <v>57</v>
      </c>
      <c r="F1211">
        <v>4</v>
      </c>
      <c r="G1211" s="15">
        <v>2710000</v>
      </c>
      <c r="H1211" s="14">
        <v>0.13075929750140999</v>
      </c>
      <c r="I1211" s="27">
        <f t="shared" si="18"/>
        <v>2355642.3037711792</v>
      </c>
      <c r="J1211">
        <v>4.3</v>
      </c>
      <c r="K1211" t="b">
        <v>0</v>
      </c>
    </row>
    <row r="1212" spans="1:11" ht="16" x14ac:dyDescent="0.2">
      <c r="A1212" s="16">
        <v>45214</v>
      </c>
      <c r="B1212" t="s">
        <v>33</v>
      </c>
      <c r="C1212" t="s">
        <v>45</v>
      </c>
      <c r="D1212" t="s">
        <v>35</v>
      </c>
      <c r="E1212" t="s">
        <v>7640</v>
      </c>
      <c r="F1212">
        <v>3</v>
      </c>
      <c r="G1212" s="15">
        <v>2710000</v>
      </c>
      <c r="H1212" s="14">
        <v>0.13075929750140999</v>
      </c>
      <c r="I1212" s="27">
        <f t="shared" si="18"/>
        <v>2355642.3037711792</v>
      </c>
      <c r="J1212">
        <v>5</v>
      </c>
      <c r="K1212" t="b">
        <v>1</v>
      </c>
    </row>
    <row r="1213" spans="1:11" ht="16" x14ac:dyDescent="0.2">
      <c r="A1213" s="16">
        <v>45215</v>
      </c>
      <c r="B1213" t="s">
        <v>18</v>
      </c>
      <c r="C1213" t="s">
        <v>45</v>
      </c>
      <c r="D1213" t="s">
        <v>35</v>
      </c>
      <c r="E1213" t="s">
        <v>57</v>
      </c>
      <c r="F1213">
        <v>3</v>
      </c>
      <c r="G1213" s="15">
        <v>2710000</v>
      </c>
      <c r="H1213" s="14">
        <v>0.13075929750140999</v>
      </c>
      <c r="I1213" s="27">
        <f t="shared" si="18"/>
        <v>2355642.3037711792</v>
      </c>
      <c r="J1213">
        <v>5</v>
      </c>
      <c r="K1213" t="b">
        <v>1</v>
      </c>
    </row>
    <row r="1214" spans="1:11" ht="16" x14ac:dyDescent="0.2">
      <c r="A1214" s="16">
        <v>45215</v>
      </c>
      <c r="B1214" t="s">
        <v>33</v>
      </c>
      <c r="C1214" t="s">
        <v>45</v>
      </c>
      <c r="D1214" t="s">
        <v>20</v>
      </c>
      <c r="E1214" t="s">
        <v>7637</v>
      </c>
      <c r="F1214">
        <v>1</v>
      </c>
      <c r="G1214" s="15">
        <v>2710000</v>
      </c>
      <c r="H1214" s="14">
        <v>0.13075929750140999</v>
      </c>
      <c r="I1214" s="27">
        <f t="shared" si="18"/>
        <v>2355642.3037711792</v>
      </c>
      <c r="J1214">
        <v>3.6</v>
      </c>
      <c r="K1214" t="b">
        <v>1</v>
      </c>
    </row>
    <row r="1215" spans="1:11" ht="16" x14ac:dyDescent="0.2">
      <c r="A1215" s="16">
        <v>45216</v>
      </c>
      <c r="B1215" t="s">
        <v>18</v>
      </c>
      <c r="C1215" t="s">
        <v>34</v>
      </c>
      <c r="D1215" t="s">
        <v>20</v>
      </c>
      <c r="E1215" t="s">
        <v>7641</v>
      </c>
      <c r="F1215">
        <v>1</v>
      </c>
      <c r="G1215" s="15">
        <v>2710000</v>
      </c>
      <c r="H1215" s="14">
        <v>0.13075929750140999</v>
      </c>
      <c r="I1215" s="27">
        <f t="shared" si="18"/>
        <v>2355642.3037711792</v>
      </c>
      <c r="J1215">
        <v>4.4000000000000004</v>
      </c>
      <c r="K1215" t="b">
        <v>0</v>
      </c>
    </row>
    <row r="1216" spans="1:11" ht="16" x14ac:dyDescent="0.2">
      <c r="A1216" s="16">
        <v>45217</v>
      </c>
      <c r="B1216" t="s">
        <v>45</v>
      </c>
      <c r="C1216" t="s">
        <v>25</v>
      </c>
      <c r="D1216" t="s">
        <v>46</v>
      </c>
      <c r="E1216" t="s">
        <v>7639</v>
      </c>
      <c r="F1216">
        <v>1</v>
      </c>
      <c r="G1216" s="15">
        <v>2710000</v>
      </c>
      <c r="H1216" s="14">
        <v>0.13075929750140999</v>
      </c>
      <c r="I1216" s="27">
        <f t="shared" si="18"/>
        <v>2355642.3037711792</v>
      </c>
      <c r="J1216">
        <v>4.4000000000000004</v>
      </c>
      <c r="K1216" t="b">
        <v>0</v>
      </c>
    </row>
    <row r="1217" spans="1:11" ht="16" x14ac:dyDescent="0.2">
      <c r="A1217" s="16">
        <v>45217</v>
      </c>
      <c r="B1217" t="s">
        <v>45</v>
      </c>
      <c r="C1217" t="s">
        <v>45</v>
      </c>
      <c r="D1217" t="s">
        <v>50</v>
      </c>
      <c r="E1217" t="s">
        <v>99</v>
      </c>
      <c r="F1217">
        <v>4</v>
      </c>
      <c r="G1217" s="15">
        <v>2710000</v>
      </c>
      <c r="H1217" s="14">
        <v>0.13075929750140999</v>
      </c>
      <c r="I1217" s="27">
        <f t="shared" si="18"/>
        <v>2355642.3037711792</v>
      </c>
      <c r="J1217">
        <v>5</v>
      </c>
      <c r="K1217" t="b">
        <v>1</v>
      </c>
    </row>
    <row r="1218" spans="1:11" ht="16" x14ac:dyDescent="0.2">
      <c r="A1218" s="16">
        <v>45218</v>
      </c>
      <c r="B1218" t="s">
        <v>18</v>
      </c>
      <c r="C1218" t="s">
        <v>68</v>
      </c>
      <c r="D1218" t="s">
        <v>20</v>
      </c>
      <c r="E1218" t="s">
        <v>7643</v>
      </c>
      <c r="F1218">
        <v>2</v>
      </c>
      <c r="G1218" s="15">
        <v>2710000</v>
      </c>
      <c r="H1218" s="14">
        <v>0.13075929750140999</v>
      </c>
      <c r="I1218" s="27">
        <f t="shared" si="18"/>
        <v>2355642.3037711792</v>
      </c>
      <c r="J1218">
        <v>4</v>
      </c>
      <c r="K1218" t="b">
        <v>1</v>
      </c>
    </row>
    <row r="1219" spans="1:11" ht="16" x14ac:dyDescent="0.2">
      <c r="A1219" s="16">
        <v>45218</v>
      </c>
      <c r="B1219" t="str">
        <f>B1218</f>
        <v>Young Professional</v>
      </c>
      <c r="C1219" t="s">
        <v>39</v>
      </c>
      <c r="D1219" t="s">
        <v>50</v>
      </c>
      <c r="E1219" t="str">
        <f>E1218</f>
        <v>TP. HCM</v>
      </c>
      <c r="F1219">
        <v>4</v>
      </c>
      <c r="G1219" s="15">
        <v>2710000</v>
      </c>
      <c r="H1219" s="14">
        <v>0.13075929750140999</v>
      </c>
      <c r="I1219" s="27">
        <f t="shared" ref="I1219:I1282" si="19">G1219-G1219*H1219</f>
        <v>2355642.3037711792</v>
      </c>
      <c r="J1219">
        <v>4.3</v>
      </c>
      <c r="K1219" t="b">
        <v>1</v>
      </c>
    </row>
    <row r="1220" spans="1:11" ht="16" x14ac:dyDescent="0.2">
      <c r="A1220" s="16">
        <v>45219</v>
      </c>
      <c r="B1220" t="s">
        <v>45</v>
      </c>
      <c r="C1220" t="s">
        <v>34</v>
      </c>
      <c r="D1220" t="s">
        <v>35</v>
      </c>
      <c r="E1220" t="s">
        <v>7644</v>
      </c>
      <c r="F1220">
        <v>1</v>
      </c>
      <c r="G1220" s="15">
        <v>2710000</v>
      </c>
      <c r="H1220" s="14">
        <v>0.13075929750140999</v>
      </c>
      <c r="I1220" s="27">
        <f t="shared" si="19"/>
        <v>2355642.3037711792</v>
      </c>
      <c r="J1220">
        <v>4.2</v>
      </c>
      <c r="K1220" t="b">
        <v>0</v>
      </c>
    </row>
    <row r="1221" spans="1:11" ht="16" x14ac:dyDescent="0.2">
      <c r="A1221" s="16">
        <v>45220</v>
      </c>
      <c r="B1221" t="s">
        <v>18</v>
      </c>
      <c r="C1221" t="s">
        <v>34</v>
      </c>
      <c r="D1221" t="s">
        <v>20</v>
      </c>
      <c r="E1221" t="s">
        <v>57</v>
      </c>
      <c r="F1221">
        <v>1</v>
      </c>
      <c r="G1221" s="15">
        <v>2710000</v>
      </c>
      <c r="H1221" s="14">
        <v>0.13075929750140999</v>
      </c>
      <c r="I1221" s="27">
        <f t="shared" si="19"/>
        <v>2355642.3037711792</v>
      </c>
      <c r="J1221">
        <v>4.4000000000000004</v>
      </c>
      <c r="K1221" t="b">
        <v>1</v>
      </c>
    </row>
    <row r="1222" spans="1:11" ht="16" x14ac:dyDescent="0.2">
      <c r="A1222" s="16">
        <v>45220</v>
      </c>
      <c r="B1222" t="s">
        <v>45</v>
      </c>
      <c r="C1222" t="s">
        <v>25</v>
      </c>
      <c r="D1222" t="s">
        <v>35</v>
      </c>
      <c r="E1222" t="s">
        <v>7637</v>
      </c>
      <c r="F1222">
        <v>3</v>
      </c>
      <c r="G1222" s="15">
        <v>2710000</v>
      </c>
      <c r="H1222" s="14">
        <v>0.13075929750140999</v>
      </c>
      <c r="I1222" s="27">
        <f t="shared" si="19"/>
        <v>2355642.3037711792</v>
      </c>
      <c r="J1222">
        <v>4.5999999999999996</v>
      </c>
      <c r="K1222" t="b">
        <v>0</v>
      </c>
    </row>
    <row r="1223" spans="1:11" ht="16" x14ac:dyDescent="0.2">
      <c r="A1223" s="16">
        <v>45220</v>
      </c>
      <c r="B1223" t="s">
        <v>45</v>
      </c>
      <c r="C1223" t="s">
        <v>45</v>
      </c>
      <c r="D1223" t="s">
        <v>50</v>
      </c>
      <c r="E1223" t="s">
        <v>57</v>
      </c>
      <c r="F1223">
        <v>1</v>
      </c>
      <c r="G1223" s="15">
        <v>2710000</v>
      </c>
      <c r="H1223" s="14">
        <v>0.13075929750140999</v>
      </c>
      <c r="I1223" s="27">
        <f t="shared" si="19"/>
        <v>2355642.3037711792</v>
      </c>
      <c r="J1223">
        <v>3.8</v>
      </c>
      <c r="K1223" t="b">
        <v>1</v>
      </c>
    </row>
    <row r="1224" spans="1:11" ht="16" x14ac:dyDescent="0.2">
      <c r="A1224" s="16">
        <v>45221</v>
      </c>
      <c r="B1224" t="s">
        <v>29</v>
      </c>
      <c r="C1224" t="s">
        <v>19</v>
      </c>
      <c r="D1224" t="s">
        <v>35</v>
      </c>
      <c r="E1224" t="s">
        <v>57</v>
      </c>
      <c r="F1224">
        <v>2</v>
      </c>
      <c r="G1224" s="15">
        <v>2710000</v>
      </c>
      <c r="H1224" s="14">
        <v>0.13075929750140999</v>
      </c>
      <c r="I1224" s="27">
        <f t="shared" si="19"/>
        <v>2355642.3037711792</v>
      </c>
      <c r="J1224">
        <v>4.2</v>
      </c>
      <c r="K1224" t="b">
        <v>1</v>
      </c>
    </row>
    <row r="1225" spans="1:11" ht="16" x14ac:dyDescent="0.2">
      <c r="A1225" s="16">
        <v>45223</v>
      </c>
      <c r="B1225" t="s">
        <v>18</v>
      </c>
      <c r="C1225" t="s">
        <v>19</v>
      </c>
      <c r="D1225" t="s">
        <v>20</v>
      </c>
      <c r="E1225" t="s">
        <v>57</v>
      </c>
      <c r="F1225">
        <v>3</v>
      </c>
      <c r="G1225" s="15">
        <v>2710000</v>
      </c>
      <c r="H1225" s="14">
        <v>0.13075929750140999</v>
      </c>
      <c r="I1225" s="27">
        <f t="shared" si="19"/>
        <v>2355642.3037711792</v>
      </c>
      <c r="J1225">
        <v>3.6</v>
      </c>
      <c r="K1225" t="b">
        <v>1</v>
      </c>
    </row>
    <row r="1226" spans="1:11" ht="16" x14ac:dyDescent="0.2">
      <c r="A1226" s="16">
        <v>45224</v>
      </c>
      <c r="B1226" t="s">
        <v>45</v>
      </c>
      <c r="C1226" t="s">
        <v>39</v>
      </c>
      <c r="D1226" t="str">
        <f>D1225</f>
        <v>Website</v>
      </c>
      <c r="E1226" t="s">
        <v>7637</v>
      </c>
      <c r="F1226">
        <v>3</v>
      </c>
      <c r="G1226" s="15">
        <v>2710000</v>
      </c>
      <c r="H1226" s="14">
        <v>0.13075929750140999</v>
      </c>
      <c r="I1226" s="27">
        <f t="shared" si="19"/>
        <v>2355642.3037711792</v>
      </c>
      <c r="J1226">
        <v>5</v>
      </c>
      <c r="K1226" t="b">
        <v>1</v>
      </c>
    </row>
    <row r="1227" spans="1:11" ht="16" x14ac:dyDescent="0.2">
      <c r="A1227" s="16">
        <v>45225</v>
      </c>
      <c r="B1227" t="s">
        <v>33</v>
      </c>
      <c r="C1227" t="s">
        <v>34</v>
      </c>
      <c r="D1227" t="s">
        <v>35</v>
      </c>
      <c r="E1227" t="s">
        <v>7641</v>
      </c>
      <c r="F1227">
        <v>3</v>
      </c>
      <c r="G1227" s="15">
        <v>2710000</v>
      </c>
      <c r="H1227" s="14">
        <v>0.13075929750140999</v>
      </c>
      <c r="I1227" s="27">
        <f t="shared" si="19"/>
        <v>2355642.3037711792</v>
      </c>
      <c r="J1227">
        <v>4.5999999999999996</v>
      </c>
      <c r="K1227" t="b">
        <v>1</v>
      </c>
    </row>
    <row r="1228" spans="1:11" ht="16" x14ac:dyDescent="0.2">
      <c r="A1228" s="16">
        <v>45225</v>
      </c>
      <c r="B1228" t="s">
        <v>45</v>
      </c>
      <c r="C1228" t="s">
        <v>34</v>
      </c>
      <c r="D1228" t="s">
        <v>20</v>
      </c>
      <c r="E1228" t="s">
        <v>7640</v>
      </c>
      <c r="F1228">
        <v>1</v>
      </c>
      <c r="G1228" s="15">
        <v>2710000</v>
      </c>
      <c r="H1228" s="14">
        <v>0.13075929750140999</v>
      </c>
      <c r="I1228" s="27">
        <f t="shared" si="19"/>
        <v>2355642.3037711792</v>
      </c>
      <c r="J1228">
        <v>4.0999999999999996</v>
      </c>
      <c r="K1228" t="b">
        <v>1</v>
      </c>
    </row>
    <row r="1229" spans="1:11" ht="16" x14ac:dyDescent="0.2">
      <c r="A1229" s="16">
        <v>45226</v>
      </c>
      <c r="B1229" t="s">
        <v>45</v>
      </c>
      <c r="C1229" t="s">
        <v>45</v>
      </c>
      <c r="D1229" t="str">
        <f>D1228</f>
        <v>Website</v>
      </c>
      <c r="E1229" t="str">
        <f>E1228</f>
        <v>Hội An</v>
      </c>
      <c r="F1229">
        <v>4</v>
      </c>
      <c r="G1229" s="15">
        <v>2710000</v>
      </c>
      <c r="H1229" s="14">
        <v>0.13075929750140999</v>
      </c>
      <c r="I1229" s="27">
        <f t="shared" si="19"/>
        <v>2355642.3037711792</v>
      </c>
      <c r="J1229">
        <v>4.9000000000000004</v>
      </c>
      <c r="K1229" t="b">
        <v>0</v>
      </c>
    </row>
    <row r="1230" spans="1:11" ht="16" x14ac:dyDescent="0.2">
      <c r="A1230" s="16">
        <v>45226</v>
      </c>
      <c r="B1230" t="s">
        <v>33</v>
      </c>
      <c r="C1230" t="s">
        <v>34</v>
      </c>
      <c r="D1230" t="str">
        <f>D1229</f>
        <v>Website</v>
      </c>
      <c r="E1230" t="str">
        <f>E1229</f>
        <v>Hội An</v>
      </c>
      <c r="F1230">
        <v>1</v>
      </c>
      <c r="G1230" s="15">
        <v>2710000</v>
      </c>
      <c r="H1230" s="14">
        <v>0.13075929750140999</v>
      </c>
      <c r="I1230" s="27">
        <f t="shared" si="19"/>
        <v>2355642.3037711792</v>
      </c>
      <c r="J1230">
        <v>4.5</v>
      </c>
      <c r="K1230" t="b">
        <v>1</v>
      </c>
    </row>
    <row r="1231" spans="1:11" ht="16" x14ac:dyDescent="0.2">
      <c r="A1231" s="16">
        <v>45227</v>
      </c>
      <c r="B1231" t="s">
        <v>45</v>
      </c>
      <c r="C1231" t="s">
        <v>34</v>
      </c>
      <c r="D1231" t="s">
        <v>20</v>
      </c>
      <c r="E1231" t="s">
        <v>7637</v>
      </c>
      <c r="F1231">
        <v>3</v>
      </c>
      <c r="G1231" s="15">
        <v>2710000</v>
      </c>
      <c r="H1231" s="14">
        <v>0.13075929750140999</v>
      </c>
      <c r="I1231" s="27">
        <f t="shared" si="19"/>
        <v>2355642.3037711792</v>
      </c>
      <c r="J1231">
        <v>4.3</v>
      </c>
      <c r="K1231" t="b">
        <v>1</v>
      </c>
    </row>
    <row r="1232" spans="1:11" ht="16" x14ac:dyDescent="0.2">
      <c r="A1232" s="16">
        <v>45227</v>
      </c>
      <c r="B1232" t="str">
        <f>B1231</f>
        <v>Family</v>
      </c>
      <c r="C1232" t="s">
        <v>34</v>
      </c>
      <c r="D1232" t="s">
        <v>20</v>
      </c>
      <c r="E1232" t="s">
        <v>7638</v>
      </c>
      <c r="F1232">
        <v>3</v>
      </c>
      <c r="G1232" s="15">
        <v>2710000</v>
      </c>
      <c r="H1232" s="14">
        <v>0.13075929750140999</v>
      </c>
      <c r="I1232" s="27">
        <f t="shared" si="19"/>
        <v>2355642.3037711792</v>
      </c>
      <c r="J1232">
        <v>4.2</v>
      </c>
      <c r="K1232" t="b">
        <v>1</v>
      </c>
    </row>
    <row r="1233" spans="1:11" ht="16" x14ac:dyDescent="0.2">
      <c r="A1233" s="16">
        <v>45227</v>
      </c>
      <c r="B1233" t="s">
        <v>29</v>
      </c>
      <c r="C1233" t="s">
        <v>34</v>
      </c>
      <c r="D1233" t="s">
        <v>20</v>
      </c>
      <c r="E1233" t="s">
        <v>7641</v>
      </c>
      <c r="F1233">
        <v>2</v>
      </c>
      <c r="G1233" s="15">
        <v>2710000</v>
      </c>
      <c r="H1233" s="14">
        <v>0.13075929750140999</v>
      </c>
      <c r="I1233" s="27">
        <f t="shared" si="19"/>
        <v>2355642.3037711792</v>
      </c>
      <c r="J1233">
        <v>4.0999999999999996</v>
      </c>
      <c r="K1233" t="b">
        <v>1</v>
      </c>
    </row>
    <row r="1234" spans="1:11" ht="16" x14ac:dyDescent="0.2">
      <c r="A1234" s="16">
        <v>45227</v>
      </c>
      <c r="B1234" t="s">
        <v>29</v>
      </c>
      <c r="C1234" t="s">
        <v>19</v>
      </c>
      <c r="D1234" t="s">
        <v>20</v>
      </c>
      <c r="E1234" t="s">
        <v>7642</v>
      </c>
      <c r="F1234">
        <v>2</v>
      </c>
      <c r="G1234" s="15">
        <v>2710000</v>
      </c>
      <c r="H1234" s="14">
        <v>0.13075929750140999</v>
      </c>
      <c r="I1234" s="27">
        <f t="shared" si="19"/>
        <v>2355642.3037711792</v>
      </c>
      <c r="J1234">
        <v>4.2</v>
      </c>
      <c r="K1234" t="b">
        <v>1</v>
      </c>
    </row>
    <row r="1235" spans="1:11" ht="16" x14ac:dyDescent="0.2">
      <c r="A1235" s="16">
        <v>45228</v>
      </c>
      <c r="B1235" t="s">
        <v>45</v>
      </c>
      <c r="C1235" t="s">
        <v>19</v>
      </c>
      <c r="D1235" t="s">
        <v>20</v>
      </c>
      <c r="E1235" t="s">
        <v>7639</v>
      </c>
      <c r="F1235">
        <v>1</v>
      </c>
      <c r="G1235" s="15">
        <v>2710000</v>
      </c>
      <c r="H1235" s="14">
        <v>0.13075929750140999</v>
      </c>
      <c r="I1235" s="27">
        <f t="shared" si="19"/>
        <v>2355642.3037711792</v>
      </c>
      <c r="J1235">
        <v>4.2</v>
      </c>
      <c r="K1235" t="b">
        <v>1</v>
      </c>
    </row>
    <row r="1236" spans="1:11" ht="16" x14ac:dyDescent="0.2">
      <c r="A1236" s="16">
        <v>45229</v>
      </c>
      <c r="B1236" t="s">
        <v>45</v>
      </c>
      <c r="C1236" t="s">
        <v>34</v>
      </c>
      <c r="D1236" t="s">
        <v>20</v>
      </c>
      <c r="E1236" t="s">
        <v>7641</v>
      </c>
      <c r="F1236">
        <v>2</v>
      </c>
      <c r="G1236" s="15">
        <v>2710000</v>
      </c>
      <c r="H1236" s="14">
        <v>0.13075929750140999</v>
      </c>
      <c r="I1236" s="27">
        <f t="shared" si="19"/>
        <v>2355642.3037711792</v>
      </c>
      <c r="J1236">
        <v>4.4000000000000004</v>
      </c>
      <c r="K1236" t="b">
        <v>0</v>
      </c>
    </row>
    <row r="1237" spans="1:11" ht="16" x14ac:dyDescent="0.2">
      <c r="A1237" s="16">
        <v>45229</v>
      </c>
      <c r="B1237" t="s">
        <v>45</v>
      </c>
      <c r="C1237" t="s">
        <v>39</v>
      </c>
      <c r="D1237" t="s">
        <v>20</v>
      </c>
      <c r="E1237" t="s">
        <v>7644</v>
      </c>
      <c r="F1237">
        <v>4</v>
      </c>
      <c r="G1237" s="15">
        <v>2710000</v>
      </c>
      <c r="H1237" s="14">
        <v>0.13075929750140999</v>
      </c>
      <c r="I1237" s="27">
        <f t="shared" si="19"/>
        <v>2355642.3037711792</v>
      </c>
      <c r="J1237">
        <v>4.2</v>
      </c>
      <c r="K1237" t="b">
        <v>1</v>
      </c>
    </row>
    <row r="1238" spans="1:11" ht="16" x14ac:dyDescent="0.2">
      <c r="A1238" s="16">
        <v>45229</v>
      </c>
      <c r="B1238" t="s">
        <v>18</v>
      </c>
      <c r="C1238" t="s">
        <v>19</v>
      </c>
      <c r="D1238" t="s">
        <v>20</v>
      </c>
      <c r="E1238" t="s">
        <v>7644</v>
      </c>
      <c r="F1238">
        <v>2</v>
      </c>
      <c r="G1238" s="15">
        <v>2710000</v>
      </c>
      <c r="H1238" s="14">
        <v>0.13075929750140999</v>
      </c>
      <c r="I1238" s="27">
        <f t="shared" si="19"/>
        <v>2355642.3037711792</v>
      </c>
      <c r="J1238">
        <v>4.5</v>
      </c>
      <c r="K1238" t="b">
        <v>0</v>
      </c>
    </row>
    <row r="1239" spans="1:11" ht="16" x14ac:dyDescent="0.2">
      <c r="A1239" s="16">
        <v>45229</v>
      </c>
      <c r="B1239" t="s">
        <v>33</v>
      </c>
      <c r="C1239" t="s">
        <v>25</v>
      </c>
      <c r="D1239" t="s">
        <v>35</v>
      </c>
      <c r="E1239" t="str">
        <f>E1238</f>
        <v>Hạ Long</v>
      </c>
      <c r="F1239">
        <v>1</v>
      </c>
      <c r="G1239" s="15">
        <v>2710000</v>
      </c>
      <c r="H1239" s="14">
        <v>0.13075929750140999</v>
      </c>
      <c r="I1239" s="27">
        <f t="shared" si="19"/>
        <v>2355642.3037711792</v>
      </c>
      <c r="J1239">
        <v>3.9</v>
      </c>
      <c r="K1239" t="b">
        <v>0</v>
      </c>
    </row>
    <row r="1240" spans="1:11" ht="16" x14ac:dyDescent="0.2">
      <c r="A1240" s="16">
        <v>45229</v>
      </c>
      <c r="B1240" t="str">
        <f>B1239</f>
        <v>Student</v>
      </c>
      <c r="C1240" t="s">
        <v>68</v>
      </c>
      <c r="D1240" t="s">
        <v>35</v>
      </c>
      <c r="E1240" t="s">
        <v>7641</v>
      </c>
      <c r="F1240">
        <v>1</v>
      </c>
      <c r="G1240" s="15">
        <v>2710000</v>
      </c>
      <c r="H1240" s="14">
        <v>0.13075929750140999</v>
      </c>
      <c r="I1240" s="27">
        <f t="shared" si="19"/>
        <v>2355642.3037711792</v>
      </c>
      <c r="J1240">
        <v>4.9000000000000004</v>
      </c>
      <c r="K1240" t="b">
        <v>0</v>
      </c>
    </row>
    <row r="1241" spans="1:11" ht="16" x14ac:dyDescent="0.2">
      <c r="A1241" s="16">
        <v>45230</v>
      </c>
      <c r="B1241" t="s">
        <v>33</v>
      </c>
      <c r="C1241" t="s">
        <v>39</v>
      </c>
      <c r="D1241" t="s">
        <v>35</v>
      </c>
      <c r="E1241" t="s">
        <v>57</v>
      </c>
      <c r="F1241">
        <v>2</v>
      </c>
      <c r="G1241" s="15">
        <v>2710000</v>
      </c>
      <c r="H1241" s="14">
        <v>0.13075929750140999</v>
      </c>
      <c r="I1241" s="27">
        <f t="shared" si="19"/>
        <v>2355642.3037711792</v>
      </c>
      <c r="J1241">
        <v>3.2</v>
      </c>
      <c r="K1241" t="b">
        <v>0</v>
      </c>
    </row>
    <row r="1242" spans="1:11" ht="16" x14ac:dyDescent="0.2">
      <c r="A1242" s="16">
        <v>45230</v>
      </c>
      <c r="B1242" t="s">
        <v>45</v>
      </c>
      <c r="C1242" t="s">
        <v>34</v>
      </c>
      <c r="D1242" t="s">
        <v>35</v>
      </c>
      <c r="E1242" t="s">
        <v>7642</v>
      </c>
      <c r="F1242">
        <v>1</v>
      </c>
      <c r="G1242" s="15">
        <v>2710000</v>
      </c>
      <c r="H1242" s="14">
        <v>0.13075929750140999</v>
      </c>
      <c r="I1242" s="27">
        <f t="shared" si="19"/>
        <v>2355642.3037711792</v>
      </c>
      <c r="J1242">
        <v>4.5999999999999996</v>
      </c>
      <c r="K1242" t="b">
        <v>1</v>
      </c>
    </row>
    <row r="1243" spans="1:11" ht="16" x14ac:dyDescent="0.2">
      <c r="A1243" s="16">
        <v>45230</v>
      </c>
      <c r="B1243" t="s">
        <v>45</v>
      </c>
      <c r="C1243" t="s">
        <v>45</v>
      </c>
      <c r="D1243" t="s">
        <v>50</v>
      </c>
      <c r="E1243" t="s">
        <v>7637</v>
      </c>
      <c r="F1243">
        <v>3</v>
      </c>
      <c r="G1243" s="15">
        <v>2710000</v>
      </c>
      <c r="H1243" s="14">
        <v>0.13075929750140999</v>
      </c>
      <c r="I1243" s="27">
        <f t="shared" si="19"/>
        <v>2355642.3037711792</v>
      </c>
      <c r="J1243">
        <v>3.8</v>
      </c>
      <c r="K1243" t="b">
        <v>0</v>
      </c>
    </row>
    <row r="1244" spans="1:11" ht="16" x14ac:dyDescent="0.2">
      <c r="A1244" s="16">
        <v>45230</v>
      </c>
      <c r="B1244" t="s">
        <v>45</v>
      </c>
      <c r="C1244" t="s">
        <v>68</v>
      </c>
      <c r="D1244" t="s">
        <v>20</v>
      </c>
      <c r="E1244" t="s">
        <v>7638</v>
      </c>
      <c r="F1244">
        <v>4</v>
      </c>
      <c r="G1244" s="15">
        <v>2710000</v>
      </c>
      <c r="H1244" s="14">
        <v>0.13075929750140999</v>
      </c>
      <c r="I1244" s="27">
        <f t="shared" si="19"/>
        <v>2355642.3037711792</v>
      </c>
      <c r="J1244">
        <v>4.3</v>
      </c>
      <c r="K1244" t="b">
        <v>1</v>
      </c>
    </row>
    <row r="1245" spans="1:11" ht="16" x14ac:dyDescent="0.2">
      <c r="A1245" s="16">
        <v>45231</v>
      </c>
      <c r="B1245" t="s">
        <v>45</v>
      </c>
      <c r="C1245" t="s">
        <v>45</v>
      </c>
      <c r="D1245" t="s">
        <v>35</v>
      </c>
      <c r="E1245" t="s">
        <v>57</v>
      </c>
      <c r="F1245">
        <v>2</v>
      </c>
      <c r="G1245" s="15">
        <v>2710000</v>
      </c>
      <c r="H1245" s="14">
        <v>0.13075929750140999</v>
      </c>
      <c r="I1245" s="27">
        <f t="shared" si="19"/>
        <v>2355642.3037711792</v>
      </c>
      <c r="J1245">
        <v>3.8</v>
      </c>
      <c r="K1245" t="b">
        <v>0</v>
      </c>
    </row>
    <row r="1246" spans="1:11" ht="16" x14ac:dyDescent="0.2">
      <c r="A1246" s="16">
        <v>45232</v>
      </c>
      <c r="B1246" t="s">
        <v>33</v>
      </c>
      <c r="C1246" t="s">
        <v>45</v>
      </c>
      <c r="D1246" t="s">
        <v>50</v>
      </c>
      <c r="E1246" t="s">
        <v>7643</v>
      </c>
      <c r="F1246">
        <v>1</v>
      </c>
      <c r="G1246" s="15">
        <v>2710000</v>
      </c>
      <c r="H1246" s="14">
        <v>0.13075929750140999</v>
      </c>
      <c r="I1246" s="27">
        <f t="shared" si="19"/>
        <v>2355642.3037711792</v>
      </c>
      <c r="J1246">
        <v>3.7</v>
      </c>
      <c r="K1246" t="b">
        <v>1</v>
      </c>
    </row>
    <row r="1247" spans="1:11" ht="16" x14ac:dyDescent="0.2">
      <c r="A1247" s="16">
        <v>45232</v>
      </c>
      <c r="B1247" t="s">
        <v>33</v>
      </c>
      <c r="C1247" t="s">
        <v>34</v>
      </c>
      <c r="D1247" t="s">
        <v>20</v>
      </c>
      <c r="E1247" t="s">
        <v>57</v>
      </c>
      <c r="F1247">
        <v>3</v>
      </c>
      <c r="G1247" s="15">
        <v>2710000</v>
      </c>
      <c r="H1247" s="14">
        <v>0.13075929750140999</v>
      </c>
      <c r="I1247" s="27">
        <f t="shared" si="19"/>
        <v>2355642.3037711792</v>
      </c>
      <c r="J1247">
        <v>5</v>
      </c>
      <c r="K1247" t="b">
        <v>1</v>
      </c>
    </row>
    <row r="1248" spans="1:11" ht="16" x14ac:dyDescent="0.2">
      <c r="A1248" s="16">
        <v>45233</v>
      </c>
      <c r="B1248" t="s">
        <v>33</v>
      </c>
      <c r="C1248" t="s">
        <v>68</v>
      </c>
      <c r="D1248" t="s">
        <v>35</v>
      </c>
      <c r="E1248" t="s">
        <v>7641</v>
      </c>
      <c r="F1248">
        <v>2</v>
      </c>
      <c r="G1248" s="15">
        <v>2710000</v>
      </c>
      <c r="H1248" s="14">
        <v>0.13075929750140999</v>
      </c>
      <c r="I1248" s="27">
        <f t="shared" si="19"/>
        <v>2355642.3037711792</v>
      </c>
      <c r="J1248">
        <v>4.5999999999999996</v>
      </c>
      <c r="K1248" t="b">
        <v>0</v>
      </c>
    </row>
    <row r="1249" spans="1:11" ht="16" x14ac:dyDescent="0.2">
      <c r="A1249" s="16">
        <v>45234</v>
      </c>
      <c r="B1249" t="s">
        <v>29</v>
      </c>
      <c r="C1249" t="s">
        <v>39</v>
      </c>
      <c r="D1249" t="s">
        <v>20</v>
      </c>
      <c r="E1249" t="s">
        <v>7641</v>
      </c>
      <c r="F1249">
        <v>4</v>
      </c>
      <c r="G1249" s="15">
        <v>2710000</v>
      </c>
      <c r="H1249" s="14">
        <v>0.13075929750140999</v>
      </c>
      <c r="I1249" s="27">
        <f t="shared" si="19"/>
        <v>2355642.3037711792</v>
      </c>
      <c r="J1249">
        <v>4.2</v>
      </c>
      <c r="K1249" t="b">
        <v>1</v>
      </c>
    </row>
    <row r="1250" spans="1:11" ht="16" x14ac:dyDescent="0.2">
      <c r="A1250" s="16">
        <v>45234</v>
      </c>
      <c r="B1250" t="s">
        <v>29</v>
      </c>
      <c r="C1250" t="s">
        <v>25</v>
      </c>
      <c r="D1250" t="s">
        <v>20</v>
      </c>
      <c r="E1250" t="s">
        <v>7644</v>
      </c>
      <c r="F1250">
        <v>4</v>
      </c>
      <c r="G1250" s="15">
        <v>2710000</v>
      </c>
      <c r="H1250" s="14">
        <v>0.13075929750140999</v>
      </c>
      <c r="I1250" s="27">
        <f t="shared" si="19"/>
        <v>2355642.3037711792</v>
      </c>
      <c r="J1250">
        <v>3.9</v>
      </c>
      <c r="K1250" t="b">
        <v>1</v>
      </c>
    </row>
    <row r="1251" spans="1:11" ht="16" x14ac:dyDescent="0.2">
      <c r="A1251" s="16">
        <v>45235</v>
      </c>
      <c r="B1251" t="s">
        <v>18</v>
      </c>
      <c r="C1251" t="s">
        <v>34</v>
      </c>
      <c r="D1251" t="s">
        <v>20</v>
      </c>
      <c r="E1251" t="s">
        <v>7643</v>
      </c>
      <c r="F1251">
        <v>2</v>
      </c>
      <c r="G1251" s="15">
        <v>2710000</v>
      </c>
      <c r="H1251" s="14">
        <v>0.13075929750140999</v>
      </c>
      <c r="I1251" s="27">
        <f t="shared" si="19"/>
        <v>2355642.3037711792</v>
      </c>
      <c r="J1251">
        <v>4.4000000000000004</v>
      </c>
      <c r="K1251" t="b">
        <v>1</v>
      </c>
    </row>
    <row r="1252" spans="1:11" ht="16" x14ac:dyDescent="0.2">
      <c r="A1252" s="16">
        <v>45235</v>
      </c>
      <c r="B1252" t="s">
        <v>33</v>
      </c>
      <c r="C1252" t="s">
        <v>34</v>
      </c>
      <c r="D1252" t="s">
        <v>20</v>
      </c>
      <c r="E1252" t="s">
        <v>99</v>
      </c>
      <c r="F1252">
        <v>2</v>
      </c>
      <c r="G1252" s="15">
        <v>2710000</v>
      </c>
      <c r="H1252" s="14">
        <v>0.13075929750140999</v>
      </c>
      <c r="I1252" s="27">
        <f t="shared" si="19"/>
        <v>2355642.3037711792</v>
      </c>
      <c r="J1252">
        <v>4.2</v>
      </c>
      <c r="K1252" t="b">
        <v>1</v>
      </c>
    </row>
    <row r="1253" spans="1:11" ht="16" x14ac:dyDescent="0.2">
      <c r="A1253" s="16">
        <v>45235</v>
      </c>
      <c r="B1253" t="s">
        <v>18</v>
      </c>
      <c r="C1253" t="s">
        <v>34</v>
      </c>
      <c r="D1253" t="s">
        <v>35</v>
      </c>
      <c r="E1253" t="s">
        <v>57</v>
      </c>
      <c r="F1253">
        <v>1</v>
      </c>
      <c r="G1253" s="15">
        <v>2710000</v>
      </c>
      <c r="H1253" s="14">
        <v>0.13075929750140999</v>
      </c>
      <c r="I1253" s="27">
        <f t="shared" si="19"/>
        <v>2355642.3037711792</v>
      </c>
      <c r="J1253">
        <v>4.4000000000000004</v>
      </c>
      <c r="K1253" t="b">
        <v>0</v>
      </c>
    </row>
    <row r="1254" spans="1:11" ht="16" x14ac:dyDescent="0.2">
      <c r="A1254" s="16">
        <v>45236</v>
      </c>
      <c r="B1254" t="s">
        <v>18</v>
      </c>
      <c r="C1254" t="s">
        <v>19</v>
      </c>
      <c r="D1254" t="s">
        <v>50</v>
      </c>
      <c r="E1254" t="s">
        <v>7643</v>
      </c>
      <c r="F1254">
        <v>2</v>
      </c>
      <c r="G1254" s="15">
        <v>2710000</v>
      </c>
      <c r="H1254" s="14">
        <v>0.13075929750140999</v>
      </c>
      <c r="I1254" s="27">
        <f t="shared" si="19"/>
        <v>2355642.3037711792</v>
      </c>
      <c r="J1254">
        <v>3.5</v>
      </c>
      <c r="K1254" t="b">
        <v>0</v>
      </c>
    </row>
    <row r="1255" spans="1:11" ht="16" x14ac:dyDescent="0.2">
      <c r="A1255" s="16">
        <v>45236</v>
      </c>
      <c r="B1255" t="s">
        <v>45</v>
      </c>
      <c r="C1255" t="s">
        <v>34</v>
      </c>
      <c r="D1255" t="s">
        <v>20</v>
      </c>
      <c r="E1255" t="s">
        <v>7642</v>
      </c>
      <c r="F1255">
        <v>1</v>
      </c>
      <c r="G1255" s="15">
        <v>2710000</v>
      </c>
      <c r="H1255" s="14">
        <v>0.13075929750140999</v>
      </c>
      <c r="I1255" s="27">
        <f t="shared" si="19"/>
        <v>2355642.3037711792</v>
      </c>
      <c r="J1255">
        <v>4.2</v>
      </c>
      <c r="K1255" t="b">
        <v>1</v>
      </c>
    </row>
    <row r="1256" spans="1:11" ht="16" x14ac:dyDescent="0.2">
      <c r="A1256" s="16">
        <v>45237</v>
      </c>
      <c r="B1256" t="s">
        <v>33</v>
      </c>
      <c r="C1256" t="s">
        <v>45</v>
      </c>
      <c r="D1256" t="s">
        <v>20</v>
      </c>
      <c r="E1256" t="s">
        <v>7639</v>
      </c>
      <c r="F1256">
        <v>1</v>
      </c>
      <c r="G1256" s="15">
        <v>2710000</v>
      </c>
      <c r="H1256" s="14">
        <v>0.13075929750140999</v>
      </c>
      <c r="I1256" s="27">
        <f t="shared" si="19"/>
        <v>2355642.3037711792</v>
      </c>
      <c r="J1256">
        <v>3.9</v>
      </c>
      <c r="K1256" t="b">
        <v>1</v>
      </c>
    </row>
    <row r="1257" spans="1:11" ht="16" x14ac:dyDescent="0.2">
      <c r="A1257" s="16">
        <v>45237</v>
      </c>
      <c r="B1257" t="s">
        <v>18</v>
      </c>
      <c r="C1257" t="s">
        <v>34</v>
      </c>
      <c r="D1257" t="s">
        <v>20</v>
      </c>
      <c r="E1257" t="s">
        <v>7638</v>
      </c>
      <c r="F1257">
        <v>1</v>
      </c>
      <c r="G1257" s="15">
        <v>2710000</v>
      </c>
      <c r="H1257" s="14">
        <v>0.13075929750140999</v>
      </c>
      <c r="I1257" s="27">
        <f t="shared" si="19"/>
        <v>2355642.3037711792</v>
      </c>
      <c r="J1257">
        <v>3.6</v>
      </c>
      <c r="K1257" t="b">
        <v>1</v>
      </c>
    </row>
    <row r="1258" spans="1:11" ht="16" x14ac:dyDescent="0.2">
      <c r="A1258" s="16">
        <v>45237</v>
      </c>
      <c r="B1258" t="s">
        <v>18</v>
      </c>
      <c r="C1258" t="s">
        <v>19</v>
      </c>
      <c r="D1258" t="str">
        <f>D1257</f>
        <v>Website</v>
      </c>
      <c r="E1258" t="s">
        <v>7637</v>
      </c>
      <c r="F1258">
        <v>4</v>
      </c>
      <c r="G1258" s="15">
        <v>2710000</v>
      </c>
      <c r="H1258" s="14">
        <v>0.13075929750140999</v>
      </c>
      <c r="I1258" s="27">
        <f t="shared" si="19"/>
        <v>2355642.3037711792</v>
      </c>
      <c r="J1258">
        <v>3.7</v>
      </c>
      <c r="K1258" t="b">
        <v>1</v>
      </c>
    </row>
    <row r="1259" spans="1:11" ht="16" x14ac:dyDescent="0.2">
      <c r="A1259" s="16">
        <v>45238</v>
      </c>
      <c r="B1259" t="s">
        <v>18</v>
      </c>
      <c r="C1259" t="s">
        <v>34</v>
      </c>
      <c r="D1259" t="s">
        <v>20</v>
      </c>
      <c r="E1259" t="s">
        <v>7637</v>
      </c>
      <c r="F1259">
        <v>3</v>
      </c>
      <c r="G1259" s="15">
        <v>2710000</v>
      </c>
      <c r="H1259" s="14">
        <v>0.13075929750140999</v>
      </c>
      <c r="I1259" s="27">
        <f t="shared" si="19"/>
        <v>2355642.3037711792</v>
      </c>
      <c r="J1259">
        <v>4.0999999999999996</v>
      </c>
      <c r="K1259" t="b">
        <v>0</v>
      </c>
    </row>
    <row r="1260" spans="1:11" ht="16" x14ac:dyDescent="0.2">
      <c r="A1260" s="16">
        <v>45238</v>
      </c>
      <c r="B1260" t="s">
        <v>18</v>
      </c>
      <c r="C1260" t="s">
        <v>45</v>
      </c>
      <c r="D1260" t="s">
        <v>35</v>
      </c>
      <c r="E1260" t="s">
        <v>7637</v>
      </c>
      <c r="F1260">
        <v>4</v>
      </c>
      <c r="G1260" s="15">
        <v>2710000</v>
      </c>
      <c r="H1260" s="14">
        <v>0.13075929750140999</v>
      </c>
      <c r="I1260" s="27">
        <f t="shared" si="19"/>
        <v>2355642.3037711792</v>
      </c>
      <c r="J1260">
        <v>4.2</v>
      </c>
      <c r="K1260" t="b">
        <v>1</v>
      </c>
    </row>
    <row r="1261" spans="1:11" ht="16" x14ac:dyDescent="0.2">
      <c r="A1261" s="16">
        <v>45239</v>
      </c>
      <c r="B1261" t="s">
        <v>45</v>
      </c>
      <c r="C1261" t="s">
        <v>39</v>
      </c>
      <c r="D1261" t="s">
        <v>50</v>
      </c>
      <c r="E1261" t="s">
        <v>7637</v>
      </c>
      <c r="F1261">
        <v>1</v>
      </c>
      <c r="G1261" s="15">
        <v>2710000</v>
      </c>
      <c r="H1261" s="14">
        <v>0.13075929750140999</v>
      </c>
      <c r="I1261" s="27">
        <f t="shared" si="19"/>
        <v>2355642.3037711792</v>
      </c>
      <c r="J1261">
        <v>3.9</v>
      </c>
      <c r="K1261" t="b">
        <v>1</v>
      </c>
    </row>
    <row r="1262" spans="1:11" ht="16" x14ac:dyDescent="0.2">
      <c r="A1262" s="16">
        <v>45239</v>
      </c>
      <c r="B1262" t="s">
        <v>33</v>
      </c>
      <c r="C1262" t="s">
        <v>25</v>
      </c>
      <c r="D1262" t="s">
        <v>50</v>
      </c>
      <c r="E1262" t="s">
        <v>7637</v>
      </c>
      <c r="F1262">
        <v>2</v>
      </c>
      <c r="G1262" s="15">
        <v>2710000</v>
      </c>
      <c r="H1262" s="14">
        <v>0.13075929750140999</v>
      </c>
      <c r="I1262" s="27">
        <f t="shared" si="19"/>
        <v>2355642.3037711792</v>
      </c>
      <c r="J1262">
        <v>3.4</v>
      </c>
      <c r="K1262" t="b">
        <v>1</v>
      </c>
    </row>
    <row r="1263" spans="1:11" ht="16" x14ac:dyDescent="0.2">
      <c r="A1263" s="16">
        <v>45240</v>
      </c>
      <c r="B1263" t="s">
        <v>33</v>
      </c>
      <c r="C1263" t="s">
        <v>68</v>
      </c>
      <c r="D1263" t="s">
        <v>35</v>
      </c>
      <c r="E1263" t="s">
        <v>7640</v>
      </c>
      <c r="F1263">
        <v>1</v>
      </c>
      <c r="G1263" s="15">
        <v>2710000</v>
      </c>
      <c r="H1263" s="14">
        <v>0.13075929750140999</v>
      </c>
      <c r="I1263" s="27">
        <f t="shared" si="19"/>
        <v>2355642.3037711792</v>
      </c>
      <c r="J1263">
        <v>4</v>
      </c>
      <c r="K1263" t="b">
        <v>0</v>
      </c>
    </row>
    <row r="1264" spans="1:11" ht="16" x14ac:dyDescent="0.2">
      <c r="A1264" s="16">
        <v>45241</v>
      </c>
      <c r="B1264" t="str">
        <f>B1263</f>
        <v>Student</v>
      </c>
      <c r="C1264" t="s">
        <v>25</v>
      </c>
      <c r="D1264" t="s">
        <v>35</v>
      </c>
      <c r="E1264" t="s">
        <v>7637</v>
      </c>
      <c r="F1264">
        <v>1</v>
      </c>
      <c r="G1264" s="15">
        <v>2710000</v>
      </c>
      <c r="H1264" s="14">
        <v>0.13075929750140999</v>
      </c>
      <c r="I1264" s="27">
        <f t="shared" si="19"/>
        <v>2355642.3037711792</v>
      </c>
      <c r="J1264">
        <v>3.3</v>
      </c>
      <c r="K1264" t="b">
        <v>0</v>
      </c>
    </row>
    <row r="1265" spans="1:11" ht="16" x14ac:dyDescent="0.2">
      <c r="A1265" s="16">
        <v>45241</v>
      </c>
      <c r="B1265" t="s">
        <v>33</v>
      </c>
      <c r="C1265" t="s">
        <v>34</v>
      </c>
      <c r="D1265" t="s">
        <v>35</v>
      </c>
      <c r="E1265" t="s">
        <v>99</v>
      </c>
      <c r="F1265">
        <v>3</v>
      </c>
      <c r="G1265" s="15">
        <v>2710000</v>
      </c>
      <c r="H1265" s="14">
        <v>0.13075929750140999</v>
      </c>
      <c r="I1265" s="27">
        <f t="shared" si="19"/>
        <v>2355642.3037711792</v>
      </c>
      <c r="J1265">
        <v>4</v>
      </c>
      <c r="K1265" t="b">
        <v>1</v>
      </c>
    </row>
    <row r="1266" spans="1:11" ht="16" x14ac:dyDescent="0.2">
      <c r="A1266" s="16">
        <v>45241</v>
      </c>
      <c r="B1266" t="s">
        <v>33</v>
      </c>
      <c r="C1266" t="s">
        <v>34</v>
      </c>
      <c r="D1266" t="s">
        <v>50</v>
      </c>
      <c r="E1266" t="s">
        <v>7637</v>
      </c>
      <c r="F1266">
        <v>1</v>
      </c>
      <c r="G1266" s="15">
        <v>2710000</v>
      </c>
      <c r="H1266" s="14">
        <v>0.13075929750140999</v>
      </c>
      <c r="I1266" s="27">
        <f t="shared" si="19"/>
        <v>2355642.3037711792</v>
      </c>
      <c r="J1266">
        <v>4.4000000000000004</v>
      </c>
      <c r="K1266" t="b">
        <v>1</v>
      </c>
    </row>
    <row r="1267" spans="1:11" ht="16" x14ac:dyDescent="0.2">
      <c r="A1267" s="16">
        <v>45241</v>
      </c>
      <c r="B1267" t="s">
        <v>33</v>
      </c>
      <c r="C1267" t="s">
        <v>25</v>
      </c>
      <c r="D1267" t="s">
        <v>35</v>
      </c>
      <c r="E1267" t="s">
        <v>7637</v>
      </c>
      <c r="F1267">
        <v>1</v>
      </c>
      <c r="G1267" s="15">
        <v>2710000</v>
      </c>
      <c r="H1267" s="14">
        <v>0.13075929750140999</v>
      </c>
      <c r="I1267" s="27">
        <f t="shared" si="19"/>
        <v>2355642.3037711792</v>
      </c>
      <c r="J1267">
        <v>3.3</v>
      </c>
      <c r="K1267" t="b">
        <v>1</v>
      </c>
    </row>
    <row r="1268" spans="1:11" ht="16" x14ac:dyDescent="0.2">
      <c r="A1268" s="16">
        <v>45241</v>
      </c>
      <c r="B1268" t="s">
        <v>33</v>
      </c>
      <c r="C1268" t="s">
        <v>39</v>
      </c>
      <c r="D1268" t="str">
        <f>D1267</f>
        <v>Mobile App</v>
      </c>
      <c r="E1268" t="s">
        <v>7642</v>
      </c>
      <c r="F1268">
        <v>2</v>
      </c>
      <c r="G1268" s="15">
        <v>2710000</v>
      </c>
      <c r="H1268" s="14">
        <v>0.13075929750140999</v>
      </c>
      <c r="I1268" s="27">
        <f t="shared" si="19"/>
        <v>2355642.3037711792</v>
      </c>
      <c r="J1268">
        <v>4.3</v>
      </c>
      <c r="K1268" t="b">
        <v>1</v>
      </c>
    </row>
    <row r="1269" spans="1:11" ht="16" x14ac:dyDescent="0.2">
      <c r="A1269" s="16">
        <v>45242</v>
      </c>
      <c r="B1269" t="s">
        <v>45</v>
      </c>
      <c r="C1269" t="s">
        <v>68</v>
      </c>
      <c r="D1269" t="s">
        <v>50</v>
      </c>
      <c r="E1269" t="s">
        <v>7643</v>
      </c>
      <c r="F1269">
        <v>1</v>
      </c>
      <c r="G1269" s="15">
        <v>2710000</v>
      </c>
      <c r="H1269" s="14">
        <v>0.13075929750140999</v>
      </c>
      <c r="I1269" s="27">
        <f t="shared" si="19"/>
        <v>2355642.3037711792</v>
      </c>
      <c r="J1269">
        <v>4.7</v>
      </c>
      <c r="K1269" t="b">
        <v>1</v>
      </c>
    </row>
    <row r="1270" spans="1:11" ht="16" x14ac:dyDescent="0.2">
      <c r="A1270" s="16">
        <v>45243</v>
      </c>
      <c r="B1270" t="s">
        <v>29</v>
      </c>
      <c r="C1270" t="s">
        <v>19</v>
      </c>
      <c r="D1270" t="s">
        <v>35</v>
      </c>
      <c r="E1270" t="s">
        <v>7640</v>
      </c>
      <c r="F1270">
        <v>3</v>
      </c>
      <c r="G1270" s="15">
        <v>2710000</v>
      </c>
      <c r="H1270" s="14">
        <v>0.13075929750140999</v>
      </c>
      <c r="I1270" s="27">
        <f t="shared" si="19"/>
        <v>2355642.3037711792</v>
      </c>
      <c r="J1270">
        <v>3.9</v>
      </c>
      <c r="K1270" t="b">
        <v>1</v>
      </c>
    </row>
    <row r="1271" spans="1:11" ht="16" x14ac:dyDescent="0.2">
      <c r="A1271" s="16">
        <v>45244</v>
      </c>
      <c r="B1271" t="s">
        <v>33</v>
      </c>
      <c r="C1271" t="s">
        <v>19</v>
      </c>
      <c r="D1271" t="s">
        <v>50</v>
      </c>
      <c r="E1271" t="s">
        <v>7637</v>
      </c>
      <c r="F1271">
        <v>1</v>
      </c>
      <c r="G1271" s="15">
        <v>2710000</v>
      </c>
      <c r="H1271" s="14">
        <v>0.13075929750140999</v>
      </c>
      <c r="I1271" s="27">
        <f t="shared" si="19"/>
        <v>2355642.3037711792</v>
      </c>
      <c r="J1271">
        <v>4.5999999999999996</v>
      </c>
      <c r="K1271" t="b">
        <v>1</v>
      </c>
    </row>
    <row r="1272" spans="1:11" ht="16" x14ac:dyDescent="0.2">
      <c r="A1272" s="16">
        <v>45245</v>
      </c>
      <c r="B1272" t="s">
        <v>18</v>
      </c>
      <c r="C1272" t="s">
        <v>45</v>
      </c>
      <c r="D1272" t="s">
        <v>20</v>
      </c>
      <c r="E1272" t="s">
        <v>7643</v>
      </c>
      <c r="F1272">
        <v>1</v>
      </c>
      <c r="G1272" s="15">
        <v>2710000</v>
      </c>
      <c r="H1272" s="14">
        <v>0.13075929750140999</v>
      </c>
      <c r="I1272" s="27">
        <f t="shared" si="19"/>
        <v>2355642.3037711792</v>
      </c>
      <c r="J1272">
        <v>3.6</v>
      </c>
      <c r="K1272" t="b">
        <v>1</v>
      </c>
    </row>
    <row r="1273" spans="1:11" ht="16" x14ac:dyDescent="0.2">
      <c r="A1273" s="16">
        <v>45245</v>
      </c>
      <c r="B1273" t="s">
        <v>29</v>
      </c>
      <c r="C1273" t="s">
        <v>45</v>
      </c>
      <c r="D1273" t="s">
        <v>20</v>
      </c>
      <c r="E1273" t="s">
        <v>7637</v>
      </c>
      <c r="F1273">
        <v>1</v>
      </c>
      <c r="G1273" s="15">
        <v>2710000</v>
      </c>
      <c r="H1273" s="14">
        <v>0.13075929750140999</v>
      </c>
      <c r="I1273" s="27">
        <f t="shared" si="19"/>
        <v>2355642.3037711792</v>
      </c>
      <c r="J1273">
        <v>4.3</v>
      </c>
      <c r="K1273" t="b">
        <v>0</v>
      </c>
    </row>
    <row r="1274" spans="1:11" ht="16" x14ac:dyDescent="0.2">
      <c r="A1274" s="16">
        <v>45246</v>
      </c>
      <c r="B1274" t="s">
        <v>18</v>
      </c>
      <c r="C1274" t="s">
        <v>25</v>
      </c>
      <c r="D1274" t="s">
        <v>50</v>
      </c>
      <c r="E1274" t="s">
        <v>99</v>
      </c>
      <c r="F1274">
        <v>2</v>
      </c>
      <c r="G1274" s="15">
        <v>2710000</v>
      </c>
      <c r="H1274" s="14">
        <v>0.13075929750140999</v>
      </c>
      <c r="I1274" s="27">
        <f t="shared" si="19"/>
        <v>2355642.3037711792</v>
      </c>
      <c r="J1274">
        <v>4.2</v>
      </c>
      <c r="K1274" t="b">
        <v>0</v>
      </c>
    </row>
    <row r="1275" spans="1:11" ht="16" x14ac:dyDescent="0.2">
      <c r="A1275" s="16">
        <v>45247</v>
      </c>
      <c r="B1275" t="s">
        <v>45</v>
      </c>
      <c r="C1275" t="s">
        <v>19</v>
      </c>
      <c r="D1275" t="s">
        <v>50</v>
      </c>
      <c r="E1275" t="s">
        <v>57</v>
      </c>
      <c r="F1275">
        <v>1</v>
      </c>
      <c r="G1275" s="15">
        <v>2710000</v>
      </c>
      <c r="H1275" s="14">
        <v>0.13075929750140999</v>
      </c>
      <c r="I1275" s="27">
        <f t="shared" si="19"/>
        <v>2355642.3037711792</v>
      </c>
      <c r="J1275">
        <v>4.3</v>
      </c>
      <c r="K1275" t="b">
        <v>1</v>
      </c>
    </row>
    <row r="1276" spans="1:11" ht="16" x14ac:dyDescent="0.2">
      <c r="A1276" s="16">
        <v>45247</v>
      </c>
      <c r="B1276" t="s">
        <v>18</v>
      </c>
      <c r="C1276" t="s">
        <v>34</v>
      </c>
      <c r="D1276" t="s">
        <v>20</v>
      </c>
      <c r="E1276" t="s">
        <v>7640</v>
      </c>
      <c r="F1276">
        <v>3</v>
      </c>
      <c r="G1276" s="15">
        <v>2710000</v>
      </c>
      <c r="H1276" s="14">
        <v>0.13075929750140999</v>
      </c>
      <c r="I1276" s="27">
        <f t="shared" si="19"/>
        <v>2355642.3037711792</v>
      </c>
      <c r="J1276">
        <v>3.8</v>
      </c>
      <c r="K1276" t="b">
        <v>1</v>
      </c>
    </row>
    <row r="1277" spans="1:11" ht="16" x14ac:dyDescent="0.2">
      <c r="A1277" s="16">
        <v>45247</v>
      </c>
      <c r="B1277" t="s">
        <v>33</v>
      </c>
      <c r="C1277" t="s">
        <v>34</v>
      </c>
      <c r="D1277" t="s">
        <v>20</v>
      </c>
      <c r="E1277" t="str">
        <f>E1276</f>
        <v>Hội An</v>
      </c>
      <c r="F1277">
        <v>5</v>
      </c>
      <c r="G1277" s="15">
        <v>2710000</v>
      </c>
      <c r="H1277" s="14">
        <v>0.13075929750140999</v>
      </c>
      <c r="I1277" s="27">
        <f t="shared" si="19"/>
        <v>2355642.3037711792</v>
      </c>
      <c r="J1277">
        <v>4.0999999999999996</v>
      </c>
      <c r="K1277" t="b">
        <v>0</v>
      </c>
    </row>
    <row r="1278" spans="1:11" ht="16" x14ac:dyDescent="0.2">
      <c r="A1278" s="16">
        <v>45247</v>
      </c>
      <c r="B1278" t="s">
        <v>45</v>
      </c>
      <c r="C1278" t="s">
        <v>19</v>
      </c>
      <c r="D1278" t="s">
        <v>20</v>
      </c>
      <c r="E1278" t="s">
        <v>7639</v>
      </c>
      <c r="F1278">
        <v>3</v>
      </c>
      <c r="G1278" s="15">
        <v>2710000</v>
      </c>
      <c r="H1278" s="14">
        <v>0.13075929750140999</v>
      </c>
      <c r="I1278" s="27">
        <f t="shared" si="19"/>
        <v>2355642.3037711792</v>
      </c>
      <c r="J1278">
        <v>4.2</v>
      </c>
      <c r="K1278" t="b">
        <v>1</v>
      </c>
    </row>
    <row r="1279" spans="1:11" ht="16" x14ac:dyDescent="0.2">
      <c r="A1279" s="16">
        <v>45247</v>
      </c>
      <c r="B1279" t="s">
        <v>45</v>
      </c>
      <c r="C1279" t="s">
        <v>39</v>
      </c>
      <c r="D1279" t="s">
        <v>20</v>
      </c>
      <c r="E1279" t="s">
        <v>7641</v>
      </c>
      <c r="F1279">
        <v>2</v>
      </c>
      <c r="G1279" s="15">
        <v>2710000</v>
      </c>
      <c r="H1279" s="14">
        <v>0.13075929750140999</v>
      </c>
      <c r="I1279" s="27">
        <f t="shared" si="19"/>
        <v>2355642.3037711792</v>
      </c>
      <c r="J1279">
        <v>3.6</v>
      </c>
      <c r="K1279" t="b">
        <v>1</v>
      </c>
    </row>
    <row r="1280" spans="1:11" ht="16" x14ac:dyDescent="0.2">
      <c r="A1280" s="16">
        <v>45249</v>
      </c>
      <c r="B1280" t="s">
        <v>18</v>
      </c>
      <c r="C1280" t="s">
        <v>45</v>
      </c>
      <c r="D1280" t="s">
        <v>20</v>
      </c>
      <c r="E1280" t="s">
        <v>7638</v>
      </c>
      <c r="F1280">
        <v>3</v>
      </c>
      <c r="G1280" s="15">
        <v>2710000</v>
      </c>
      <c r="H1280" s="14">
        <v>0.13075929750140999</v>
      </c>
      <c r="I1280" s="27">
        <f t="shared" si="19"/>
        <v>2355642.3037711792</v>
      </c>
      <c r="J1280">
        <v>3.8</v>
      </c>
      <c r="K1280" t="b">
        <v>0</v>
      </c>
    </row>
    <row r="1281" spans="1:11" ht="16" x14ac:dyDescent="0.2">
      <c r="A1281" s="16">
        <v>45249</v>
      </c>
      <c r="B1281" t="s">
        <v>18</v>
      </c>
      <c r="C1281" t="s">
        <v>34</v>
      </c>
      <c r="D1281" t="s">
        <v>20</v>
      </c>
      <c r="E1281" t="s">
        <v>7643</v>
      </c>
      <c r="F1281">
        <v>4</v>
      </c>
      <c r="G1281" s="15">
        <v>2710000</v>
      </c>
      <c r="H1281" s="14">
        <v>0.13075929750140999</v>
      </c>
      <c r="I1281" s="27">
        <f t="shared" si="19"/>
        <v>2355642.3037711792</v>
      </c>
      <c r="J1281">
        <v>4.5</v>
      </c>
      <c r="K1281" t="b">
        <v>1</v>
      </c>
    </row>
    <row r="1282" spans="1:11" ht="16" x14ac:dyDescent="0.2">
      <c r="A1282" s="16">
        <v>45249</v>
      </c>
      <c r="B1282" t="s">
        <v>45</v>
      </c>
      <c r="C1282" t="s">
        <v>34</v>
      </c>
      <c r="D1282" t="s">
        <v>35</v>
      </c>
      <c r="E1282" t="s">
        <v>7641</v>
      </c>
      <c r="F1282">
        <v>1</v>
      </c>
      <c r="G1282" s="15">
        <v>2710000</v>
      </c>
      <c r="H1282" s="14">
        <v>0.13075929750140999</v>
      </c>
      <c r="I1282" s="27">
        <f t="shared" si="19"/>
        <v>2355642.3037711792</v>
      </c>
      <c r="J1282">
        <v>4</v>
      </c>
      <c r="K1282" t="b">
        <v>0</v>
      </c>
    </row>
    <row r="1283" spans="1:11" ht="16" x14ac:dyDescent="0.2">
      <c r="A1283" s="16">
        <v>45249</v>
      </c>
      <c r="B1283" t="s">
        <v>29</v>
      </c>
      <c r="C1283" t="s">
        <v>19</v>
      </c>
      <c r="D1283" t="s">
        <v>50</v>
      </c>
      <c r="E1283" t="s">
        <v>7638</v>
      </c>
      <c r="F1283">
        <v>1</v>
      </c>
      <c r="G1283" s="15">
        <v>2710000</v>
      </c>
      <c r="H1283" s="14">
        <v>0.13075929750140999</v>
      </c>
      <c r="I1283" s="27">
        <f t="shared" ref="I1283:I1346" si="20">G1283-G1283*H1283</f>
        <v>2355642.3037711792</v>
      </c>
      <c r="J1283">
        <v>4.5999999999999996</v>
      </c>
      <c r="K1283" t="b">
        <v>0</v>
      </c>
    </row>
    <row r="1284" spans="1:11" ht="16" x14ac:dyDescent="0.2">
      <c r="A1284" s="16">
        <v>45249</v>
      </c>
      <c r="B1284" t="s">
        <v>18</v>
      </c>
      <c r="C1284" t="s">
        <v>19</v>
      </c>
      <c r="D1284" t="str">
        <f>D1283</f>
        <v>Agent</v>
      </c>
      <c r="E1284" t="s">
        <v>7641</v>
      </c>
      <c r="F1284">
        <v>4</v>
      </c>
      <c r="G1284" s="15">
        <v>2710000</v>
      </c>
      <c r="H1284" s="14">
        <v>0.13075929750140999</v>
      </c>
      <c r="I1284" s="27">
        <f t="shared" si="20"/>
        <v>2355642.3037711792</v>
      </c>
      <c r="J1284">
        <v>4.0999999999999996</v>
      </c>
      <c r="K1284" t="b">
        <v>1</v>
      </c>
    </row>
    <row r="1285" spans="1:11" ht="16" x14ac:dyDescent="0.2">
      <c r="A1285" s="16">
        <v>45249</v>
      </c>
      <c r="B1285" t="s">
        <v>18</v>
      </c>
      <c r="C1285" t="s">
        <v>45</v>
      </c>
      <c r="D1285" t="s">
        <v>35</v>
      </c>
      <c r="E1285" t="s">
        <v>7641</v>
      </c>
      <c r="F1285">
        <v>1</v>
      </c>
      <c r="G1285" s="15">
        <v>2710000</v>
      </c>
      <c r="H1285" s="14">
        <v>0.13075929750140999</v>
      </c>
      <c r="I1285" s="27">
        <f t="shared" si="20"/>
        <v>2355642.3037711792</v>
      </c>
      <c r="J1285">
        <v>5</v>
      </c>
      <c r="K1285" t="b">
        <v>1</v>
      </c>
    </row>
    <row r="1286" spans="1:11" ht="16" x14ac:dyDescent="0.2">
      <c r="A1286" s="16">
        <v>45249</v>
      </c>
      <c r="B1286" t="s">
        <v>18</v>
      </c>
      <c r="C1286" t="s">
        <v>25</v>
      </c>
      <c r="D1286" t="s">
        <v>50</v>
      </c>
      <c r="E1286" t="s">
        <v>7641</v>
      </c>
      <c r="F1286">
        <v>1</v>
      </c>
      <c r="G1286" s="15">
        <v>2710000</v>
      </c>
      <c r="H1286" s="14">
        <v>0.13075929750140999</v>
      </c>
      <c r="I1286" s="27">
        <f t="shared" si="20"/>
        <v>2355642.3037711792</v>
      </c>
      <c r="J1286">
        <v>4.7</v>
      </c>
      <c r="K1286" t="b">
        <v>1</v>
      </c>
    </row>
    <row r="1287" spans="1:11" ht="16" x14ac:dyDescent="0.2">
      <c r="A1287" s="16">
        <v>45249</v>
      </c>
      <c r="B1287" t="s">
        <v>29</v>
      </c>
      <c r="C1287" t="s">
        <v>34</v>
      </c>
      <c r="D1287" t="s">
        <v>20</v>
      </c>
      <c r="E1287" t="s">
        <v>7644</v>
      </c>
      <c r="F1287">
        <v>2</v>
      </c>
      <c r="G1287" s="15">
        <v>2710000</v>
      </c>
      <c r="H1287" s="14">
        <v>0.13075929750140999</v>
      </c>
      <c r="I1287" s="27">
        <f t="shared" si="20"/>
        <v>2355642.3037711792</v>
      </c>
      <c r="J1287">
        <v>3.5</v>
      </c>
      <c r="K1287" t="b">
        <v>1</v>
      </c>
    </row>
    <row r="1288" spans="1:11" ht="16" x14ac:dyDescent="0.2">
      <c r="A1288" s="16">
        <v>45249</v>
      </c>
      <c r="B1288" t="s">
        <v>18</v>
      </c>
      <c r="C1288" t="s">
        <v>34</v>
      </c>
      <c r="D1288" t="s">
        <v>35</v>
      </c>
      <c r="E1288" t="s">
        <v>57</v>
      </c>
      <c r="F1288">
        <v>2</v>
      </c>
      <c r="G1288" s="15">
        <v>2710000</v>
      </c>
      <c r="H1288" s="14">
        <v>0.13075929750140999</v>
      </c>
      <c r="I1288" s="27">
        <f t="shared" si="20"/>
        <v>2355642.3037711792</v>
      </c>
      <c r="J1288">
        <v>4</v>
      </c>
      <c r="K1288" t="b">
        <v>1</v>
      </c>
    </row>
    <row r="1289" spans="1:11" ht="16" x14ac:dyDescent="0.2">
      <c r="A1289" s="16">
        <v>45250</v>
      </c>
      <c r="B1289" t="s">
        <v>18</v>
      </c>
      <c r="C1289" t="s">
        <v>34</v>
      </c>
      <c r="D1289" t="s">
        <v>35</v>
      </c>
      <c r="E1289" t="s">
        <v>99</v>
      </c>
      <c r="F1289">
        <v>1</v>
      </c>
      <c r="G1289" s="15">
        <v>2710000</v>
      </c>
      <c r="H1289" s="14">
        <v>0.13075929750140999</v>
      </c>
      <c r="I1289" s="27">
        <f t="shared" si="20"/>
        <v>2355642.3037711792</v>
      </c>
      <c r="J1289">
        <v>4.0999999999999996</v>
      </c>
      <c r="K1289" t="b">
        <v>1</v>
      </c>
    </row>
    <row r="1290" spans="1:11" ht="16" x14ac:dyDescent="0.2">
      <c r="A1290" s="16">
        <v>45250</v>
      </c>
      <c r="B1290" t="s">
        <v>45</v>
      </c>
      <c r="C1290" t="s">
        <v>19</v>
      </c>
      <c r="D1290" t="s">
        <v>20</v>
      </c>
      <c r="E1290" t="s">
        <v>7644</v>
      </c>
      <c r="F1290">
        <v>4</v>
      </c>
      <c r="G1290" s="15">
        <v>2710000</v>
      </c>
      <c r="H1290" s="14">
        <v>0.13075929750140999</v>
      </c>
      <c r="I1290" s="27">
        <f t="shared" si="20"/>
        <v>2355642.3037711792</v>
      </c>
      <c r="J1290">
        <v>5</v>
      </c>
      <c r="K1290" t="b">
        <v>1</v>
      </c>
    </row>
    <row r="1291" spans="1:11" ht="16" x14ac:dyDescent="0.2">
      <c r="A1291" s="16">
        <v>45250</v>
      </c>
      <c r="B1291" t="s">
        <v>45</v>
      </c>
      <c r="C1291" t="s">
        <v>19</v>
      </c>
      <c r="D1291" t="s">
        <v>35</v>
      </c>
      <c r="E1291" t="s">
        <v>7641</v>
      </c>
      <c r="F1291">
        <v>1</v>
      </c>
      <c r="G1291" s="15">
        <v>2710000</v>
      </c>
      <c r="H1291" s="14">
        <v>0.13075929750140999</v>
      </c>
      <c r="I1291" s="27">
        <f t="shared" si="20"/>
        <v>2355642.3037711792</v>
      </c>
      <c r="J1291">
        <v>4.3</v>
      </c>
      <c r="K1291" t="b">
        <v>1</v>
      </c>
    </row>
    <row r="1292" spans="1:11" ht="16" x14ac:dyDescent="0.2">
      <c r="A1292" s="16">
        <v>45251</v>
      </c>
      <c r="B1292" t="s">
        <v>45</v>
      </c>
      <c r="C1292" t="s">
        <v>19</v>
      </c>
      <c r="D1292" t="s">
        <v>50</v>
      </c>
      <c r="E1292" t="s">
        <v>99</v>
      </c>
      <c r="F1292">
        <v>1</v>
      </c>
      <c r="G1292" s="15">
        <v>2710000</v>
      </c>
      <c r="H1292" s="14">
        <v>0.13075929750140999</v>
      </c>
      <c r="I1292" s="27">
        <f t="shared" si="20"/>
        <v>2355642.3037711792</v>
      </c>
      <c r="J1292">
        <v>4.2</v>
      </c>
      <c r="K1292" t="b">
        <v>0</v>
      </c>
    </row>
    <row r="1293" spans="1:11" ht="16" x14ac:dyDescent="0.2">
      <c r="A1293" s="16">
        <v>45251</v>
      </c>
      <c r="B1293" t="s">
        <v>29</v>
      </c>
      <c r="C1293" t="s">
        <v>34</v>
      </c>
      <c r="D1293" t="s">
        <v>20</v>
      </c>
      <c r="E1293" t="s">
        <v>7644</v>
      </c>
      <c r="F1293">
        <v>1</v>
      </c>
      <c r="G1293" s="15">
        <v>2710000</v>
      </c>
      <c r="H1293" s="14">
        <v>0.13075929750140999</v>
      </c>
      <c r="I1293" s="27">
        <f t="shared" si="20"/>
        <v>2355642.3037711792</v>
      </c>
      <c r="J1293">
        <v>4.4000000000000004</v>
      </c>
      <c r="K1293" t="b">
        <v>1</v>
      </c>
    </row>
    <row r="1294" spans="1:11" ht="16" x14ac:dyDescent="0.2">
      <c r="A1294" s="16">
        <v>45252</v>
      </c>
      <c r="B1294" t="s">
        <v>29</v>
      </c>
      <c r="C1294" t="s">
        <v>34</v>
      </c>
      <c r="D1294" t="s">
        <v>50</v>
      </c>
      <c r="E1294" t="s">
        <v>7640</v>
      </c>
      <c r="F1294">
        <v>1</v>
      </c>
      <c r="G1294" s="15">
        <v>2710000</v>
      </c>
      <c r="H1294" s="14">
        <v>0.13075929750140999</v>
      </c>
      <c r="I1294" s="27">
        <f t="shared" si="20"/>
        <v>2355642.3037711792</v>
      </c>
      <c r="J1294">
        <v>4.0999999999999996</v>
      </c>
      <c r="K1294" t="b">
        <v>1</v>
      </c>
    </row>
    <row r="1295" spans="1:11" ht="16" x14ac:dyDescent="0.2">
      <c r="A1295" s="16">
        <v>45253</v>
      </c>
      <c r="B1295" t="s">
        <v>18</v>
      </c>
      <c r="C1295" t="s">
        <v>39</v>
      </c>
      <c r="D1295" t="s">
        <v>35</v>
      </c>
      <c r="E1295" t="s">
        <v>99</v>
      </c>
      <c r="F1295">
        <v>3</v>
      </c>
      <c r="G1295" s="15">
        <v>2710000</v>
      </c>
      <c r="H1295" s="14">
        <v>0.13075929750140999</v>
      </c>
      <c r="I1295" s="27">
        <f t="shared" si="20"/>
        <v>2355642.3037711792</v>
      </c>
      <c r="J1295">
        <v>3.8</v>
      </c>
      <c r="K1295" t="b">
        <v>0</v>
      </c>
    </row>
    <row r="1296" spans="1:11" ht="16" x14ac:dyDescent="0.2">
      <c r="A1296" s="16">
        <v>45253</v>
      </c>
      <c r="B1296" t="s">
        <v>33</v>
      </c>
      <c r="C1296" t="s">
        <v>19</v>
      </c>
      <c r="D1296" t="s">
        <v>20</v>
      </c>
      <c r="E1296" t="s">
        <v>7644</v>
      </c>
      <c r="F1296">
        <v>1</v>
      </c>
      <c r="G1296" s="15">
        <v>2710000</v>
      </c>
      <c r="H1296" s="14">
        <v>0.13075929750140999</v>
      </c>
      <c r="I1296" s="27">
        <f t="shared" si="20"/>
        <v>2355642.3037711792</v>
      </c>
      <c r="J1296">
        <v>3.9</v>
      </c>
      <c r="K1296" t="b">
        <v>0</v>
      </c>
    </row>
    <row r="1297" spans="1:11" ht="16" x14ac:dyDescent="0.2">
      <c r="A1297" s="16">
        <v>45253</v>
      </c>
      <c r="B1297" t="s">
        <v>18</v>
      </c>
      <c r="C1297" t="s">
        <v>45</v>
      </c>
      <c r="D1297" t="s">
        <v>35</v>
      </c>
      <c r="E1297" t="s">
        <v>7641</v>
      </c>
      <c r="F1297">
        <v>1</v>
      </c>
      <c r="G1297" s="15">
        <v>2710000</v>
      </c>
      <c r="H1297" s="14">
        <v>0.13075929750140999</v>
      </c>
      <c r="I1297" s="27">
        <f t="shared" si="20"/>
        <v>2355642.3037711792</v>
      </c>
      <c r="J1297">
        <v>3.8</v>
      </c>
      <c r="K1297" t="b">
        <v>0</v>
      </c>
    </row>
    <row r="1298" spans="1:11" ht="16" x14ac:dyDescent="0.2">
      <c r="A1298" s="16">
        <v>45253</v>
      </c>
      <c r="B1298" t="s">
        <v>33</v>
      </c>
      <c r="C1298" t="s">
        <v>45</v>
      </c>
      <c r="D1298" t="s">
        <v>50</v>
      </c>
      <c r="E1298" t="s">
        <v>7638</v>
      </c>
      <c r="F1298">
        <v>3</v>
      </c>
      <c r="G1298" s="15">
        <v>2710000</v>
      </c>
      <c r="H1298" s="14">
        <v>0.13075929750140999</v>
      </c>
      <c r="I1298" s="27">
        <f t="shared" si="20"/>
        <v>2355642.3037711792</v>
      </c>
      <c r="J1298">
        <v>3.9</v>
      </c>
      <c r="K1298" t="b">
        <v>1</v>
      </c>
    </row>
    <row r="1299" spans="1:11" ht="16" x14ac:dyDescent="0.2">
      <c r="A1299" s="16">
        <v>45254</v>
      </c>
      <c r="B1299" t="s">
        <v>45</v>
      </c>
      <c r="C1299" t="s">
        <v>34</v>
      </c>
      <c r="D1299" t="s">
        <v>20</v>
      </c>
      <c r="E1299" t="s">
        <v>7642</v>
      </c>
      <c r="F1299">
        <v>1</v>
      </c>
      <c r="G1299" s="15">
        <v>2710000</v>
      </c>
      <c r="H1299" s="14">
        <v>0.13075929750140999</v>
      </c>
      <c r="I1299" s="27">
        <f t="shared" si="20"/>
        <v>2355642.3037711792</v>
      </c>
      <c r="J1299">
        <v>4</v>
      </c>
      <c r="K1299" t="b">
        <v>1</v>
      </c>
    </row>
    <row r="1300" spans="1:11" ht="16" x14ac:dyDescent="0.2">
      <c r="A1300" s="16">
        <v>45254</v>
      </c>
      <c r="B1300" t="s">
        <v>18</v>
      </c>
      <c r="C1300" t="s">
        <v>19</v>
      </c>
      <c r="D1300" t="s">
        <v>20</v>
      </c>
      <c r="E1300" t="str">
        <f>E1299</f>
        <v>Huế</v>
      </c>
      <c r="F1300">
        <v>3</v>
      </c>
      <c r="G1300" s="15">
        <v>2710000</v>
      </c>
      <c r="H1300" s="14">
        <v>0.13075929750140999</v>
      </c>
      <c r="I1300" s="27">
        <f t="shared" si="20"/>
        <v>2355642.3037711792</v>
      </c>
      <c r="J1300">
        <v>4.5999999999999996</v>
      </c>
      <c r="K1300" t="b">
        <v>0</v>
      </c>
    </row>
    <row r="1301" spans="1:11" ht="16" x14ac:dyDescent="0.2">
      <c r="A1301" s="16">
        <v>45254</v>
      </c>
      <c r="B1301" t="s">
        <v>18</v>
      </c>
      <c r="C1301" t="s">
        <v>34</v>
      </c>
      <c r="D1301" t="s">
        <v>20</v>
      </c>
      <c r="E1301" t="s">
        <v>7638</v>
      </c>
      <c r="F1301">
        <v>3</v>
      </c>
      <c r="G1301" s="15">
        <v>2710000</v>
      </c>
      <c r="H1301" s="14">
        <v>0.13075929750140999</v>
      </c>
      <c r="I1301" s="27">
        <f t="shared" si="20"/>
        <v>2355642.3037711792</v>
      </c>
      <c r="J1301">
        <v>5</v>
      </c>
      <c r="K1301" t="b">
        <v>0</v>
      </c>
    </row>
    <row r="1302" spans="1:11" ht="16" x14ac:dyDescent="0.2">
      <c r="A1302" s="16">
        <v>45255</v>
      </c>
      <c r="B1302" t="s">
        <v>33</v>
      </c>
      <c r="C1302" t="s">
        <v>19</v>
      </c>
      <c r="D1302" t="s">
        <v>50</v>
      </c>
      <c r="E1302" t="s">
        <v>99</v>
      </c>
      <c r="F1302">
        <v>3</v>
      </c>
      <c r="G1302" s="15">
        <v>2710000</v>
      </c>
      <c r="H1302" s="14">
        <v>0.13075929750140999</v>
      </c>
      <c r="I1302" s="27">
        <f t="shared" si="20"/>
        <v>2355642.3037711792</v>
      </c>
      <c r="J1302">
        <v>4.3</v>
      </c>
      <c r="K1302" t="b">
        <v>0</v>
      </c>
    </row>
    <row r="1303" spans="1:11" ht="16" x14ac:dyDescent="0.2">
      <c r="A1303" s="16">
        <v>45255</v>
      </c>
      <c r="B1303" t="s">
        <v>29</v>
      </c>
      <c r="C1303" t="s">
        <v>25</v>
      </c>
      <c r="D1303" t="s">
        <v>20</v>
      </c>
      <c r="E1303" t="s">
        <v>57</v>
      </c>
      <c r="F1303">
        <v>4</v>
      </c>
      <c r="G1303" s="15">
        <v>2710000</v>
      </c>
      <c r="H1303" s="14">
        <v>0.13075929750140999</v>
      </c>
      <c r="I1303" s="27">
        <f t="shared" si="20"/>
        <v>2355642.3037711792</v>
      </c>
      <c r="J1303">
        <v>4.4000000000000004</v>
      </c>
      <c r="K1303" t="b">
        <v>0</v>
      </c>
    </row>
    <row r="1304" spans="1:11" ht="16" x14ac:dyDescent="0.2">
      <c r="A1304" s="16">
        <v>45256</v>
      </c>
      <c r="B1304" t="s">
        <v>45</v>
      </c>
      <c r="C1304" t="s">
        <v>68</v>
      </c>
      <c r="D1304" t="s">
        <v>20</v>
      </c>
      <c r="E1304" t="s">
        <v>7640</v>
      </c>
      <c r="F1304">
        <v>1</v>
      </c>
      <c r="G1304" s="15">
        <v>2710000</v>
      </c>
      <c r="H1304" s="14">
        <v>0.13075929750140999</v>
      </c>
      <c r="I1304" s="27">
        <f t="shared" si="20"/>
        <v>2355642.3037711792</v>
      </c>
      <c r="J1304">
        <v>3.9</v>
      </c>
      <c r="K1304" t="b">
        <v>1</v>
      </c>
    </row>
    <row r="1305" spans="1:11" ht="16" x14ac:dyDescent="0.2">
      <c r="A1305" s="16">
        <v>45256</v>
      </c>
      <c r="B1305" t="s">
        <v>33</v>
      </c>
      <c r="C1305" t="s">
        <v>34</v>
      </c>
      <c r="D1305" t="s">
        <v>20</v>
      </c>
      <c r="E1305" t="s">
        <v>7639</v>
      </c>
      <c r="F1305">
        <v>1</v>
      </c>
      <c r="G1305" s="15">
        <v>2710000</v>
      </c>
      <c r="H1305" s="14">
        <v>0.13075929750140999</v>
      </c>
      <c r="I1305" s="27">
        <f t="shared" si="20"/>
        <v>2355642.3037711792</v>
      </c>
      <c r="J1305">
        <v>3.6</v>
      </c>
      <c r="K1305" t="b">
        <v>1</v>
      </c>
    </row>
    <row r="1306" spans="1:11" ht="16" x14ac:dyDescent="0.2">
      <c r="A1306" s="16">
        <v>45257</v>
      </c>
      <c r="B1306" t="s">
        <v>29</v>
      </c>
      <c r="C1306" t="s">
        <v>45</v>
      </c>
      <c r="D1306" t="s">
        <v>50</v>
      </c>
      <c r="E1306" t="s">
        <v>7643</v>
      </c>
      <c r="F1306">
        <v>2</v>
      </c>
      <c r="G1306" s="15">
        <v>2710000</v>
      </c>
      <c r="H1306" s="14">
        <v>0.13075929750140999</v>
      </c>
      <c r="I1306" s="27">
        <f t="shared" si="20"/>
        <v>2355642.3037711792</v>
      </c>
      <c r="J1306">
        <v>4.5</v>
      </c>
      <c r="K1306" t="b">
        <v>1</v>
      </c>
    </row>
    <row r="1307" spans="1:11" ht="16" x14ac:dyDescent="0.2">
      <c r="A1307" s="16">
        <v>45257</v>
      </c>
      <c r="B1307" t="s">
        <v>18</v>
      </c>
      <c r="C1307" t="s">
        <v>19</v>
      </c>
      <c r="D1307" t="s">
        <v>20</v>
      </c>
      <c r="E1307" t="s">
        <v>7640</v>
      </c>
      <c r="F1307">
        <v>2</v>
      </c>
      <c r="G1307" s="15">
        <v>2710000</v>
      </c>
      <c r="H1307" s="14">
        <v>0.13075929750140999</v>
      </c>
      <c r="I1307" s="27">
        <f t="shared" si="20"/>
        <v>2355642.3037711792</v>
      </c>
      <c r="J1307">
        <v>3.9</v>
      </c>
      <c r="K1307" t="b">
        <v>1</v>
      </c>
    </row>
    <row r="1308" spans="1:11" ht="16" x14ac:dyDescent="0.2">
      <c r="A1308" s="16">
        <v>45257</v>
      </c>
      <c r="B1308" t="s">
        <v>18</v>
      </c>
      <c r="C1308" t="s">
        <v>45</v>
      </c>
      <c r="D1308" t="s">
        <v>35</v>
      </c>
      <c r="E1308" t="str">
        <f>E1307</f>
        <v>Hội An</v>
      </c>
      <c r="F1308">
        <v>2</v>
      </c>
      <c r="G1308" s="15">
        <v>2710000</v>
      </c>
      <c r="H1308" s="14">
        <v>0.13075929750140999</v>
      </c>
      <c r="I1308" s="27">
        <f t="shared" si="20"/>
        <v>2355642.3037711792</v>
      </c>
      <c r="J1308">
        <v>4.5</v>
      </c>
      <c r="K1308" t="b">
        <v>1</v>
      </c>
    </row>
    <row r="1309" spans="1:11" ht="16" x14ac:dyDescent="0.2">
      <c r="A1309" s="16">
        <v>45258</v>
      </c>
      <c r="B1309" t="s">
        <v>45</v>
      </c>
      <c r="C1309" t="s">
        <v>34</v>
      </c>
      <c r="D1309" t="s">
        <v>20</v>
      </c>
      <c r="E1309" t="s">
        <v>7640</v>
      </c>
      <c r="F1309">
        <v>2</v>
      </c>
      <c r="G1309" s="15">
        <v>2710000</v>
      </c>
      <c r="H1309" s="14">
        <v>0.13075929750140999</v>
      </c>
      <c r="I1309" s="27">
        <f t="shared" si="20"/>
        <v>2355642.3037711792</v>
      </c>
      <c r="J1309">
        <v>3.8</v>
      </c>
      <c r="K1309" t="b">
        <v>0</v>
      </c>
    </row>
    <row r="1310" spans="1:11" ht="16" x14ac:dyDescent="0.2">
      <c r="A1310" s="16">
        <v>45258</v>
      </c>
      <c r="B1310" t="s">
        <v>45</v>
      </c>
      <c r="C1310" t="s">
        <v>68</v>
      </c>
      <c r="D1310" t="s">
        <v>50</v>
      </c>
      <c r="E1310" t="str">
        <f>E1309</f>
        <v>Hội An</v>
      </c>
      <c r="F1310">
        <v>2</v>
      </c>
      <c r="G1310" s="15">
        <v>2710000</v>
      </c>
      <c r="H1310" s="14">
        <v>0.13075929750140999</v>
      </c>
      <c r="I1310" s="27">
        <f t="shared" si="20"/>
        <v>2355642.3037711792</v>
      </c>
      <c r="J1310">
        <v>4.5</v>
      </c>
      <c r="K1310" t="b">
        <v>1</v>
      </c>
    </row>
    <row r="1311" spans="1:11" ht="16" x14ac:dyDescent="0.2">
      <c r="A1311" s="16">
        <v>45258</v>
      </c>
      <c r="B1311" t="s">
        <v>33</v>
      </c>
      <c r="C1311" t="s">
        <v>68</v>
      </c>
      <c r="D1311" t="s">
        <v>35</v>
      </c>
      <c r="E1311" t="s">
        <v>7639</v>
      </c>
      <c r="F1311">
        <v>2</v>
      </c>
      <c r="G1311" s="15">
        <v>2710000</v>
      </c>
      <c r="H1311" s="14">
        <v>0.13075929750140999</v>
      </c>
      <c r="I1311" s="27">
        <f t="shared" si="20"/>
        <v>2355642.3037711792</v>
      </c>
      <c r="J1311">
        <v>4.2</v>
      </c>
      <c r="K1311" t="b">
        <v>1</v>
      </c>
    </row>
    <row r="1312" spans="1:11" ht="16" x14ac:dyDescent="0.2">
      <c r="A1312" s="16">
        <v>45258</v>
      </c>
      <c r="B1312" t="s">
        <v>33</v>
      </c>
      <c r="C1312" t="s">
        <v>25</v>
      </c>
      <c r="D1312" t="s">
        <v>20</v>
      </c>
      <c r="E1312" t="s">
        <v>7637</v>
      </c>
      <c r="F1312">
        <v>2</v>
      </c>
      <c r="G1312" s="15">
        <v>2710000</v>
      </c>
      <c r="H1312" s="14">
        <v>0.13075929750140999</v>
      </c>
      <c r="I1312" s="27">
        <f t="shared" si="20"/>
        <v>2355642.3037711792</v>
      </c>
      <c r="J1312">
        <v>4.4000000000000004</v>
      </c>
      <c r="K1312" t="b">
        <v>1</v>
      </c>
    </row>
    <row r="1313" spans="1:11" ht="16" x14ac:dyDescent="0.2">
      <c r="A1313" s="16">
        <v>45259</v>
      </c>
      <c r="B1313" t="s">
        <v>29</v>
      </c>
      <c r="C1313" t="s">
        <v>34</v>
      </c>
      <c r="D1313" t="s">
        <v>20</v>
      </c>
      <c r="E1313" t="s">
        <v>99</v>
      </c>
      <c r="F1313">
        <v>1</v>
      </c>
      <c r="G1313" s="15">
        <v>2710000</v>
      </c>
      <c r="H1313" s="14">
        <v>0.13075929750140999</v>
      </c>
      <c r="I1313" s="27">
        <f t="shared" si="20"/>
        <v>2355642.3037711792</v>
      </c>
      <c r="J1313">
        <v>4.2</v>
      </c>
      <c r="K1313" t="b">
        <v>0</v>
      </c>
    </row>
    <row r="1314" spans="1:11" ht="16" x14ac:dyDescent="0.2">
      <c r="A1314" s="16">
        <v>45261</v>
      </c>
      <c r="B1314" t="s">
        <v>33</v>
      </c>
      <c r="C1314" t="s">
        <v>19</v>
      </c>
      <c r="D1314" t="s">
        <v>50</v>
      </c>
      <c r="E1314" t="s">
        <v>7639</v>
      </c>
      <c r="F1314">
        <v>1</v>
      </c>
      <c r="G1314" s="15">
        <v>2710000</v>
      </c>
      <c r="H1314" s="14">
        <v>0.13075929750140999</v>
      </c>
      <c r="I1314" s="27">
        <f t="shared" si="20"/>
        <v>2355642.3037711792</v>
      </c>
      <c r="J1314">
        <v>4.3</v>
      </c>
      <c r="K1314" t="b">
        <v>0</v>
      </c>
    </row>
    <row r="1315" spans="1:11" ht="16" x14ac:dyDescent="0.2">
      <c r="A1315" s="16">
        <v>45261</v>
      </c>
      <c r="B1315" t="s">
        <v>18</v>
      </c>
      <c r="C1315" t="s">
        <v>45</v>
      </c>
      <c r="D1315" t="s">
        <v>20</v>
      </c>
      <c r="E1315" t="s">
        <v>7640</v>
      </c>
      <c r="F1315">
        <v>2</v>
      </c>
      <c r="G1315" s="15">
        <v>2710000</v>
      </c>
      <c r="H1315" s="14">
        <v>0.13075929750140999</v>
      </c>
      <c r="I1315" s="27">
        <f t="shared" si="20"/>
        <v>2355642.3037711792</v>
      </c>
      <c r="J1315">
        <v>3.8</v>
      </c>
      <c r="K1315" t="b">
        <v>0</v>
      </c>
    </row>
    <row r="1316" spans="1:11" ht="16" x14ac:dyDescent="0.2">
      <c r="A1316" s="16">
        <v>45262</v>
      </c>
      <c r="B1316" t="s">
        <v>45</v>
      </c>
      <c r="C1316" t="s">
        <v>34</v>
      </c>
      <c r="D1316" t="s">
        <v>20</v>
      </c>
      <c r="E1316" t="s">
        <v>7644</v>
      </c>
      <c r="F1316">
        <v>3</v>
      </c>
      <c r="G1316" s="15">
        <v>2710000</v>
      </c>
      <c r="H1316" s="14">
        <v>0.13075929750140999</v>
      </c>
      <c r="I1316" s="27">
        <f t="shared" si="20"/>
        <v>2355642.3037711792</v>
      </c>
      <c r="J1316">
        <v>4.5</v>
      </c>
      <c r="K1316" t="b">
        <v>1</v>
      </c>
    </row>
    <row r="1317" spans="1:11" ht="16" x14ac:dyDescent="0.2">
      <c r="A1317" s="16">
        <v>45262</v>
      </c>
      <c r="B1317" t="s">
        <v>29</v>
      </c>
      <c r="C1317" t="s">
        <v>34</v>
      </c>
      <c r="D1317" t="s">
        <v>20</v>
      </c>
      <c r="E1317" t="s">
        <v>7639</v>
      </c>
      <c r="F1317">
        <v>3</v>
      </c>
      <c r="G1317" s="15">
        <v>2710000</v>
      </c>
      <c r="H1317" s="14">
        <v>0.13075929750140999</v>
      </c>
      <c r="I1317" s="27">
        <f t="shared" si="20"/>
        <v>2355642.3037711792</v>
      </c>
      <c r="J1317">
        <v>3.8</v>
      </c>
      <c r="K1317" t="b">
        <v>0</v>
      </c>
    </row>
    <row r="1318" spans="1:11" ht="16" x14ac:dyDescent="0.2">
      <c r="A1318" s="16">
        <v>45262</v>
      </c>
      <c r="B1318" t="s">
        <v>45</v>
      </c>
      <c r="C1318" t="s">
        <v>45</v>
      </c>
      <c r="D1318" t="s">
        <v>20</v>
      </c>
      <c r="E1318" t="s">
        <v>7641</v>
      </c>
      <c r="F1318">
        <v>1</v>
      </c>
      <c r="G1318" s="15">
        <v>2710000</v>
      </c>
      <c r="H1318" s="14">
        <v>0.13075929750140999</v>
      </c>
      <c r="I1318" s="27">
        <f t="shared" si="20"/>
        <v>2355642.3037711792</v>
      </c>
      <c r="J1318">
        <v>4.8</v>
      </c>
      <c r="K1318" t="b">
        <v>1</v>
      </c>
    </row>
    <row r="1319" spans="1:11" ht="16" x14ac:dyDescent="0.2">
      <c r="A1319" s="16">
        <v>45263</v>
      </c>
      <c r="B1319" t="s">
        <v>18</v>
      </c>
      <c r="C1319" t="s">
        <v>39</v>
      </c>
      <c r="D1319" t="str">
        <f>D1318</f>
        <v>Website</v>
      </c>
      <c r="E1319" t="s">
        <v>7644</v>
      </c>
      <c r="F1319">
        <v>3</v>
      </c>
      <c r="G1319" s="15">
        <v>2710000</v>
      </c>
      <c r="H1319" s="14">
        <v>0.13075929750140999</v>
      </c>
      <c r="I1319" s="27">
        <f t="shared" si="20"/>
        <v>2355642.3037711792</v>
      </c>
      <c r="J1319">
        <v>4</v>
      </c>
      <c r="K1319" t="b">
        <v>0</v>
      </c>
    </row>
    <row r="1320" spans="1:11" ht="16" x14ac:dyDescent="0.2">
      <c r="A1320" s="16">
        <v>45266</v>
      </c>
      <c r="B1320" t="s">
        <v>29</v>
      </c>
      <c r="C1320" t="s">
        <v>19</v>
      </c>
      <c r="D1320" t="s">
        <v>50</v>
      </c>
      <c r="E1320" t="s">
        <v>7643</v>
      </c>
      <c r="F1320">
        <v>1</v>
      </c>
      <c r="G1320" s="15">
        <v>2710000</v>
      </c>
      <c r="H1320" s="14">
        <v>0.13075929750140999</v>
      </c>
      <c r="I1320" s="27">
        <f t="shared" si="20"/>
        <v>2355642.3037711792</v>
      </c>
      <c r="J1320">
        <v>3.9</v>
      </c>
      <c r="K1320" t="b">
        <v>1</v>
      </c>
    </row>
    <row r="1321" spans="1:11" ht="16" x14ac:dyDescent="0.2">
      <c r="A1321" s="16">
        <v>45266</v>
      </c>
      <c r="B1321" t="s">
        <v>18</v>
      </c>
      <c r="C1321" t="s">
        <v>19</v>
      </c>
      <c r="D1321" t="s">
        <v>20</v>
      </c>
      <c r="E1321" t="s">
        <v>7638</v>
      </c>
      <c r="F1321">
        <v>4</v>
      </c>
      <c r="G1321" s="15">
        <v>2710000</v>
      </c>
      <c r="H1321" s="14">
        <v>0.13075929750140999</v>
      </c>
      <c r="I1321" s="27">
        <f t="shared" si="20"/>
        <v>2355642.3037711792</v>
      </c>
      <c r="J1321">
        <v>4.4000000000000004</v>
      </c>
      <c r="K1321" t="b">
        <v>1</v>
      </c>
    </row>
    <row r="1322" spans="1:11" ht="16" x14ac:dyDescent="0.2">
      <c r="A1322" s="16">
        <v>45266</v>
      </c>
      <c r="B1322" t="s">
        <v>33</v>
      </c>
      <c r="C1322" t="s">
        <v>45</v>
      </c>
      <c r="D1322" t="s">
        <v>20</v>
      </c>
      <c r="E1322" t="s">
        <v>7643</v>
      </c>
      <c r="F1322">
        <v>2</v>
      </c>
      <c r="G1322" s="15">
        <v>2710000</v>
      </c>
      <c r="H1322" s="14">
        <v>0.13075929750140999</v>
      </c>
      <c r="I1322" s="27">
        <f t="shared" si="20"/>
        <v>2355642.3037711792</v>
      </c>
      <c r="J1322">
        <v>5</v>
      </c>
      <c r="K1322" t="b">
        <v>1</v>
      </c>
    </row>
    <row r="1323" spans="1:11" ht="16" x14ac:dyDescent="0.2">
      <c r="A1323" s="16">
        <v>45267</v>
      </c>
      <c r="B1323" t="s">
        <v>29</v>
      </c>
      <c r="C1323" t="s">
        <v>45</v>
      </c>
      <c r="D1323" t="s">
        <v>20</v>
      </c>
      <c r="E1323" t="s">
        <v>57</v>
      </c>
      <c r="F1323">
        <v>2</v>
      </c>
      <c r="G1323" s="15">
        <v>2710000</v>
      </c>
      <c r="H1323" s="14">
        <v>0.13075929750140999</v>
      </c>
      <c r="I1323" s="27">
        <f t="shared" si="20"/>
        <v>2355642.3037711792</v>
      </c>
      <c r="J1323">
        <v>3.9</v>
      </c>
      <c r="K1323" t="b">
        <v>0</v>
      </c>
    </row>
    <row r="1324" spans="1:11" ht="16" x14ac:dyDescent="0.2">
      <c r="A1324" s="16">
        <v>45268</v>
      </c>
      <c r="B1324" t="s">
        <v>33</v>
      </c>
      <c r="C1324" t="s">
        <v>25</v>
      </c>
      <c r="D1324" t="s">
        <v>20</v>
      </c>
      <c r="E1324" t="s">
        <v>7639</v>
      </c>
      <c r="F1324">
        <v>1</v>
      </c>
      <c r="G1324" s="15">
        <v>2710000</v>
      </c>
      <c r="H1324" s="14">
        <v>0.13075929750140999</v>
      </c>
      <c r="I1324" s="27">
        <f t="shared" si="20"/>
        <v>2355642.3037711792</v>
      </c>
      <c r="J1324">
        <v>4.5</v>
      </c>
      <c r="K1324" t="b">
        <v>1</v>
      </c>
    </row>
    <row r="1325" spans="1:11" ht="16" x14ac:dyDescent="0.2">
      <c r="A1325" s="16">
        <v>45269</v>
      </c>
      <c r="B1325" t="s">
        <v>45</v>
      </c>
      <c r="C1325" t="s">
        <v>39</v>
      </c>
      <c r="D1325" t="s">
        <v>20</v>
      </c>
      <c r="E1325" t="s">
        <v>99</v>
      </c>
      <c r="F1325">
        <v>2</v>
      </c>
      <c r="G1325" s="15">
        <v>2710000</v>
      </c>
      <c r="H1325" s="14">
        <v>0.13075929750140999</v>
      </c>
      <c r="I1325" s="27">
        <f t="shared" si="20"/>
        <v>2355642.3037711792</v>
      </c>
      <c r="J1325">
        <v>4.5999999999999996</v>
      </c>
      <c r="K1325" t="b">
        <v>1</v>
      </c>
    </row>
    <row r="1326" spans="1:11" ht="16" x14ac:dyDescent="0.2">
      <c r="A1326" s="16">
        <v>45269</v>
      </c>
      <c r="B1326" t="s">
        <v>18</v>
      </c>
      <c r="C1326" t="s">
        <v>45</v>
      </c>
      <c r="D1326" t="s">
        <v>20</v>
      </c>
      <c r="E1326" t="s">
        <v>7637</v>
      </c>
      <c r="F1326">
        <v>3</v>
      </c>
      <c r="G1326" s="15">
        <v>2710000</v>
      </c>
      <c r="H1326" s="14">
        <v>0.13075929750140999</v>
      </c>
      <c r="I1326" s="27">
        <f t="shared" si="20"/>
        <v>2355642.3037711792</v>
      </c>
      <c r="J1326">
        <v>4.4000000000000004</v>
      </c>
      <c r="K1326" t="b">
        <v>1</v>
      </c>
    </row>
    <row r="1327" spans="1:11" ht="16" x14ac:dyDescent="0.2">
      <c r="A1327" s="16">
        <v>45270</v>
      </c>
      <c r="B1327" t="s">
        <v>18</v>
      </c>
      <c r="C1327" t="s">
        <v>25</v>
      </c>
      <c r="D1327" t="s">
        <v>20</v>
      </c>
      <c r="E1327" t="s">
        <v>7644</v>
      </c>
      <c r="F1327">
        <v>1</v>
      </c>
      <c r="G1327" s="15">
        <v>2710000</v>
      </c>
      <c r="H1327" s="14">
        <v>0.13075929750140999</v>
      </c>
      <c r="I1327" s="27">
        <f t="shared" si="20"/>
        <v>2355642.3037711792</v>
      </c>
      <c r="J1327">
        <v>4.5</v>
      </c>
      <c r="K1327" t="b">
        <v>1</v>
      </c>
    </row>
    <row r="1328" spans="1:11" ht="16" x14ac:dyDescent="0.2">
      <c r="A1328" s="16">
        <v>45270</v>
      </c>
      <c r="B1328" t="s">
        <v>18</v>
      </c>
      <c r="C1328" t="s">
        <v>45</v>
      </c>
      <c r="D1328" t="s">
        <v>20</v>
      </c>
      <c r="E1328" t="s">
        <v>7641</v>
      </c>
      <c r="F1328">
        <v>3</v>
      </c>
      <c r="G1328" s="15">
        <v>2710000</v>
      </c>
      <c r="H1328" s="14">
        <v>0.13075929750140999</v>
      </c>
      <c r="I1328" s="27">
        <f t="shared" si="20"/>
        <v>2355642.3037711792</v>
      </c>
      <c r="J1328">
        <v>4.4000000000000004</v>
      </c>
      <c r="K1328" t="b">
        <v>0</v>
      </c>
    </row>
    <row r="1329" spans="1:11" ht="16" x14ac:dyDescent="0.2">
      <c r="A1329" s="16">
        <v>45270</v>
      </c>
      <c r="B1329" t="s">
        <v>45</v>
      </c>
      <c r="C1329" t="s">
        <v>34</v>
      </c>
      <c r="D1329" t="s">
        <v>20</v>
      </c>
      <c r="E1329" t="s">
        <v>7637</v>
      </c>
      <c r="F1329">
        <v>4</v>
      </c>
      <c r="G1329" s="15">
        <v>2710000</v>
      </c>
      <c r="H1329" s="14">
        <v>0.13075929750140999</v>
      </c>
      <c r="I1329" s="27">
        <f t="shared" si="20"/>
        <v>2355642.3037711792</v>
      </c>
      <c r="J1329">
        <v>4.9000000000000004</v>
      </c>
      <c r="K1329" t="b">
        <v>0</v>
      </c>
    </row>
    <row r="1330" spans="1:11" ht="16" x14ac:dyDescent="0.2">
      <c r="A1330" s="16">
        <v>45270</v>
      </c>
      <c r="B1330" t="s">
        <v>45</v>
      </c>
      <c r="C1330" t="s">
        <v>19</v>
      </c>
      <c r="D1330" t="s">
        <v>50</v>
      </c>
      <c r="E1330" t="s">
        <v>7640</v>
      </c>
      <c r="F1330">
        <v>1</v>
      </c>
      <c r="G1330" s="15">
        <v>2710000</v>
      </c>
      <c r="H1330" s="14">
        <v>0.13075929750140999</v>
      </c>
      <c r="I1330" s="27">
        <f t="shared" si="20"/>
        <v>2355642.3037711792</v>
      </c>
      <c r="J1330">
        <v>4</v>
      </c>
      <c r="K1330" t="b">
        <v>0</v>
      </c>
    </row>
    <row r="1331" spans="1:11" ht="16" x14ac:dyDescent="0.2">
      <c r="A1331" s="16">
        <v>45272</v>
      </c>
      <c r="B1331" t="s">
        <v>18</v>
      </c>
      <c r="C1331" t="s">
        <v>39</v>
      </c>
      <c r="D1331" t="s">
        <v>20</v>
      </c>
      <c r="E1331" t="s">
        <v>7637</v>
      </c>
      <c r="F1331">
        <v>2</v>
      </c>
      <c r="G1331" s="15">
        <v>2710000</v>
      </c>
      <c r="H1331" s="14">
        <v>0.13075929750140999</v>
      </c>
      <c r="I1331" s="27">
        <f t="shared" si="20"/>
        <v>2355642.3037711792</v>
      </c>
      <c r="J1331">
        <v>4.8</v>
      </c>
      <c r="K1331" t="b">
        <v>0</v>
      </c>
    </row>
    <row r="1332" spans="1:11" ht="16" x14ac:dyDescent="0.2">
      <c r="A1332" s="16">
        <v>45272</v>
      </c>
      <c r="B1332" t="s">
        <v>45</v>
      </c>
      <c r="C1332" t="s">
        <v>25</v>
      </c>
      <c r="D1332" t="s">
        <v>20</v>
      </c>
      <c r="E1332" t="s">
        <v>7641</v>
      </c>
      <c r="F1332">
        <v>2</v>
      </c>
      <c r="G1332" s="15">
        <v>2710000</v>
      </c>
      <c r="H1332" s="14">
        <v>0.13075929750140999</v>
      </c>
      <c r="I1332" s="27">
        <f t="shared" si="20"/>
        <v>2355642.3037711792</v>
      </c>
      <c r="J1332">
        <v>3.7</v>
      </c>
      <c r="K1332" t="b">
        <v>0</v>
      </c>
    </row>
    <row r="1333" spans="1:11" ht="16" x14ac:dyDescent="0.2">
      <c r="A1333" s="16">
        <v>45272</v>
      </c>
      <c r="B1333" t="s">
        <v>45</v>
      </c>
      <c r="C1333" t="s">
        <v>45</v>
      </c>
      <c r="D1333" t="s">
        <v>50</v>
      </c>
      <c r="E1333" t="s">
        <v>7644</v>
      </c>
      <c r="F1333">
        <v>3</v>
      </c>
      <c r="G1333" s="15">
        <v>2710000</v>
      </c>
      <c r="H1333" s="14">
        <v>0.13075929750140999</v>
      </c>
      <c r="I1333" s="27">
        <f t="shared" si="20"/>
        <v>2355642.3037711792</v>
      </c>
      <c r="J1333">
        <v>4.3</v>
      </c>
      <c r="K1333" t="b">
        <v>1</v>
      </c>
    </row>
    <row r="1334" spans="1:11" ht="16" x14ac:dyDescent="0.2">
      <c r="A1334" s="16">
        <v>45273</v>
      </c>
      <c r="B1334" t="s">
        <v>33</v>
      </c>
      <c r="C1334" t="s">
        <v>19</v>
      </c>
      <c r="D1334" t="s">
        <v>20</v>
      </c>
      <c r="E1334" t="s">
        <v>7639</v>
      </c>
      <c r="F1334">
        <v>2</v>
      </c>
      <c r="G1334" s="15">
        <v>2710000</v>
      </c>
      <c r="H1334" s="14">
        <v>0.13075929750140999</v>
      </c>
      <c r="I1334" s="27">
        <f t="shared" si="20"/>
        <v>2355642.3037711792</v>
      </c>
      <c r="J1334">
        <v>4.5</v>
      </c>
      <c r="K1334" t="b">
        <v>1</v>
      </c>
    </row>
    <row r="1335" spans="1:11" ht="16" x14ac:dyDescent="0.2">
      <c r="A1335" s="16">
        <v>45273</v>
      </c>
      <c r="B1335" t="s">
        <v>18</v>
      </c>
      <c r="C1335" t="s">
        <v>19</v>
      </c>
      <c r="D1335" t="str">
        <f>D1334</f>
        <v>Website</v>
      </c>
      <c r="E1335" t="s">
        <v>57</v>
      </c>
      <c r="F1335">
        <v>3</v>
      </c>
      <c r="G1335" s="15">
        <v>2710000</v>
      </c>
      <c r="H1335" s="14">
        <v>0.13075929750140999</v>
      </c>
      <c r="I1335" s="27">
        <f t="shared" si="20"/>
        <v>2355642.3037711792</v>
      </c>
      <c r="J1335">
        <v>4</v>
      </c>
      <c r="K1335" t="b">
        <v>0</v>
      </c>
    </row>
    <row r="1336" spans="1:11" ht="16" x14ac:dyDescent="0.2">
      <c r="A1336" s="16">
        <v>45273</v>
      </c>
      <c r="B1336" t="s">
        <v>18</v>
      </c>
      <c r="C1336" t="s">
        <v>34</v>
      </c>
      <c r="D1336" t="s">
        <v>35</v>
      </c>
      <c r="E1336" t="s">
        <v>99</v>
      </c>
      <c r="F1336">
        <v>2</v>
      </c>
      <c r="G1336" s="15">
        <v>2710000</v>
      </c>
      <c r="H1336" s="14">
        <v>0.13075929750140999</v>
      </c>
      <c r="I1336" s="27">
        <f t="shared" si="20"/>
        <v>2355642.3037711792</v>
      </c>
      <c r="J1336">
        <v>4</v>
      </c>
      <c r="K1336" t="b">
        <v>1</v>
      </c>
    </row>
    <row r="1337" spans="1:11" ht="16" x14ac:dyDescent="0.2">
      <c r="A1337" s="16">
        <v>45274</v>
      </c>
      <c r="B1337" t="s">
        <v>18</v>
      </c>
      <c r="C1337" t="s">
        <v>19</v>
      </c>
      <c r="D1337" t="s">
        <v>35</v>
      </c>
      <c r="E1337" t="s">
        <v>7637</v>
      </c>
      <c r="F1337">
        <v>1</v>
      </c>
      <c r="G1337" s="15">
        <v>2710000</v>
      </c>
      <c r="H1337" s="14">
        <v>0.13075929750140999</v>
      </c>
      <c r="I1337" s="27">
        <f t="shared" si="20"/>
        <v>2355642.3037711792</v>
      </c>
      <c r="J1337">
        <v>3.2</v>
      </c>
      <c r="K1337" t="b">
        <v>1</v>
      </c>
    </row>
    <row r="1338" spans="1:11" ht="16" x14ac:dyDescent="0.2">
      <c r="A1338" s="16">
        <v>45274</v>
      </c>
      <c r="B1338" t="s">
        <v>18</v>
      </c>
      <c r="C1338" t="s">
        <v>34</v>
      </c>
      <c r="D1338" t="s">
        <v>20</v>
      </c>
      <c r="E1338" t="s">
        <v>7643</v>
      </c>
      <c r="F1338">
        <v>2</v>
      </c>
      <c r="G1338" s="15">
        <v>2710000</v>
      </c>
      <c r="H1338" s="14">
        <v>0.13075929750140999</v>
      </c>
      <c r="I1338" s="27">
        <f t="shared" si="20"/>
        <v>2355642.3037711792</v>
      </c>
      <c r="J1338">
        <v>4.4000000000000004</v>
      </c>
      <c r="K1338" t="b">
        <v>1</v>
      </c>
    </row>
    <row r="1339" spans="1:11" ht="16" x14ac:dyDescent="0.2">
      <c r="A1339" s="16">
        <v>45276</v>
      </c>
      <c r="B1339" t="s">
        <v>18</v>
      </c>
      <c r="C1339" t="s">
        <v>34</v>
      </c>
      <c r="D1339" t="s">
        <v>20</v>
      </c>
      <c r="E1339" t="s">
        <v>7641</v>
      </c>
      <c r="F1339">
        <v>2</v>
      </c>
      <c r="G1339" s="15">
        <v>2710000</v>
      </c>
      <c r="H1339" s="14">
        <v>0.13075929750140999</v>
      </c>
      <c r="I1339" s="27">
        <f t="shared" si="20"/>
        <v>2355642.3037711792</v>
      </c>
      <c r="J1339">
        <v>4.0999999999999996</v>
      </c>
      <c r="K1339" t="b">
        <v>0</v>
      </c>
    </row>
    <row r="1340" spans="1:11" ht="16" x14ac:dyDescent="0.2">
      <c r="A1340" s="16">
        <v>45276</v>
      </c>
      <c r="B1340" t="s">
        <v>29</v>
      </c>
      <c r="C1340" t="s">
        <v>25</v>
      </c>
      <c r="D1340" t="s">
        <v>20</v>
      </c>
      <c r="E1340" t="s">
        <v>7639</v>
      </c>
      <c r="F1340">
        <v>3</v>
      </c>
      <c r="G1340" s="15">
        <v>2710000</v>
      </c>
      <c r="H1340" s="14">
        <v>0.13075929750140999</v>
      </c>
      <c r="I1340" s="27">
        <f t="shared" si="20"/>
        <v>2355642.3037711792</v>
      </c>
      <c r="J1340">
        <v>4.5</v>
      </c>
      <c r="K1340" t="b">
        <v>0</v>
      </c>
    </row>
    <row r="1341" spans="1:11" ht="16" x14ac:dyDescent="0.2">
      <c r="A1341" s="16">
        <v>45277</v>
      </c>
      <c r="B1341" t="s">
        <v>33</v>
      </c>
      <c r="C1341" t="s">
        <v>25</v>
      </c>
      <c r="D1341" t="s">
        <v>20</v>
      </c>
      <c r="E1341" t="s">
        <v>7638</v>
      </c>
      <c r="F1341">
        <v>1</v>
      </c>
      <c r="G1341" s="15">
        <v>2710000</v>
      </c>
      <c r="H1341" s="14">
        <v>0.13075929750140999</v>
      </c>
      <c r="I1341" s="27">
        <f t="shared" si="20"/>
        <v>2355642.3037711792</v>
      </c>
      <c r="J1341">
        <v>4.2</v>
      </c>
      <c r="K1341" t="b">
        <v>0</v>
      </c>
    </row>
    <row r="1342" spans="1:11" ht="16" x14ac:dyDescent="0.2">
      <c r="A1342" s="16">
        <v>45277</v>
      </c>
      <c r="B1342" t="str">
        <f>B1341</f>
        <v>Student</v>
      </c>
      <c r="C1342" t="s">
        <v>34</v>
      </c>
      <c r="D1342" t="s">
        <v>50</v>
      </c>
      <c r="E1342" t="str">
        <f>E1341</f>
        <v>Đà Lạt</v>
      </c>
      <c r="F1342">
        <v>2</v>
      </c>
      <c r="G1342" s="15">
        <v>2710000</v>
      </c>
      <c r="H1342" s="14">
        <v>0.13075929750140999</v>
      </c>
      <c r="I1342" s="27">
        <f t="shared" si="20"/>
        <v>2355642.3037711792</v>
      </c>
      <c r="J1342">
        <v>4</v>
      </c>
      <c r="K1342" t="b">
        <v>1</v>
      </c>
    </row>
    <row r="1343" spans="1:11" ht="16" x14ac:dyDescent="0.2">
      <c r="A1343" s="16">
        <v>45277</v>
      </c>
      <c r="B1343" t="s">
        <v>33</v>
      </c>
      <c r="C1343" t="s">
        <v>19</v>
      </c>
      <c r="D1343" t="s">
        <v>20</v>
      </c>
      <c r="E1343" t="s">
        <v>7642</v>
      </c>
      <c r="F1343">
        <v>2</v>
      </c>
      <c r="G1343" s="15">
        <v>2710000</v>
      </c>
      <c r="H1343" s="14">
        <v>0.13075929750140999</v>
      </c>
      <c r="I1343" s="27">
        <f t="shared" si="20"/>
        <v>2355642.3037711792</v>
      </c>
      <c r="J1343">
        <v>4.5999999999999996</v>
      </c>
      <c r="K1343" t="b">
        <v>1</v>
      </c>
    </row>
    <row r="1344" spans="1:11" ht="16" x14ac:dyDescent="0.2">
      <c r="A1344" s="16">
        <v>45278</v>
      </c>
      <c r="B1344" t="s">
        <v>18</v>
      </c>
      <c r="C1344" t="s">
        <v>19</v>
      </c>
      <c r="D1344" t="s">
        <v>20</v>
      </c>
      <c r="E1344" t="s">
        <v>7644</v>
      </c>
      <c r="F1344">
        <v>1</v>
      </c>
      <c r="G1344" s="15">
        <v>2710000</v>
      </c>
      <c r="H1344" s="14">
        <v>0.13075929750140999</v>
      </c>
      <c r="I1344" s="27">
        <f t="shared" si="20"/>
        <v>2355642.3037711792</v>
      </c>
      <c r="J1344">
        <v>4.2</v>
      </c>
      <c r="K1344" t="b">
        <v>1</v>
      </c>
    </row>
    <row r="1345" spans="1:11" ht="16" x14ac:dyDescent="0.2">
      <c r="A1345" s="16">
        <v>45278</v>
      </c>
      <c r="B1345" t="s">
        <v>29</v>
      </c>
      <c r="C1345" t="s">
        <v>34</v>
      </c>
      <c r="D1345" t="s">
        <v>50</v>
      </c>
      <c r="E1345" t="s">
        <v>7644</v>
      </c>
      <c r="F1345">
        <v>1</v>
      </c>
      <c r="G1345" s="15">
        <v>2710000</v>
      </c>
      <c r="H1345" s="14">
        <v>0.13075929750140999</v>
      </c>
      <c r="I1345" s="27">
        <f t="shared" si="20"/>
        <v>2355642.3037711792</v>
      </c>
      <c r="J1345">
        <v>4.7</v>
      </c>
      <c r="K1345" t="b">
        <v>1</v>
      </c>
    </row>
    <row r="1346" spans="1:11" ht="16" x14ac:dyDescent="0.2">
      <c r="A1346" s="16">
        <v>45279</v>
      </c>
      <c r="B1346" t="s">
        <v>45</v>
      </c>
      <c r="C1346" t="s">
        <v>34</v>
      </c>
      <c r="D1346" t="s">
        <v>20</v>
      </c>
      <c r="E1346" t="s">
        <v>99</v>
      </c>
      <c r="F1346">
        <v>2</v>
      </c>
      <c r="G1346" s="15">
        <v>2710000</v>
      </c>
      <c r="H1346" s="14">
        <v>0.13075929750140999</v>
      </c>
      <c r="I1346" s="27">
        <f t="shared" si="20"/>
        <v>2355642.3037711792</v>
      </c>
      <c r="J1346">
        <v>4.2</v>
      </c>
      <c r="K1346" t="b">
        <v>1</v>
      </c>
    </row>
    <row r="1347" spans="1:11" ht="16" x14ac:dyDescent="0.2">
      <c r="A1347" s="16">
        <v>45279</v>
      </c>
      <c r="B1347" t="s">
        <v>29</v>
      </c>
      <c r="C1347" t="s">
        <v>25</v>
      </c>
      <c r="D1347" t="s">
        <v>35</v>
      </c>
      <c r="E1347" t="s">
        <v>7641</v>
      </c>
      <c r="F1347">
        <v>1</v>
      </c>
      <c r="G1347" s="15">
        <v>2710000</v>
      </c>
      <c r="H1347" s="14">
        <v>0.13075929750140999</v>
      </c>
      <c r="I1347" s="27">
        <f t="shared" ref="I1347:I1410" si="21">G1347-G1347*H1347</f>
        <v>2355642.3037711792</v>
      </c>
      <c r="J1347">
        <v>4.7</v>
      </c>
      <c r="K1347" t="b">
        <v>1</v>
      </c>
    </row>
    <row r="1348" spans="1:11" ht="16" x14ac:dyDescent="0.2">
      <c r="A1348" s="16">
        <v>45280</v>
      </c>
      <c r="B1348" t="s">
        <v>18</v>
      </c>
      <c r="C1348" t="s">
        <v>34</v>
      </c>
      <c r="D1348" t="s">
        <v>46</v>
      </c>
      <c r="E1348" t="str">
        <f>E1347</f>
        <v>Phú Quốc</v>
      </c>
      <c r="F1348">
        <v>1</v>
      </c>
      <c r="G1348" s="15">
        <v>2710000</v>
      </c>
      <c r="H1348" s="14">
        <v>0.13075929750140999</v>
      </c>
      <c r="I1348" s="27">
        <f t="shared" si="21"/>
        <v>2355642.3037711792</v>
      </c>
      <c r="J1348">
        <v>4.0999999999999996</v>
      </c>
      <c r="K1348" t="b">
        <v>1</v>
      </c>
    </row>
    <row r="1349" spans="1:11" ht="16" x14ac:dyDescent="0.2">
      <c r="A1349" s="16">
        <v>45280</v>
      </c>
      <c r="B1349" t="s">
        <v>18</v>
      </c>
      <c r="C1349" t="s">
        <v>19</v>
      </c>
      <c r="D1349" t="s">
        <v>20</v>
      </c>
      <c r="E1349" t="str">
        <f>E1348</f>
        <v>Phú Quốc</v>
      </c>
      <c r="F1349">
        <v>2</v>
      </c>
      <c r="G1349" s="15">
        <v>2710000</v>
      </c>
      <c r="H1349" s="14">
        <v>0.13075929750140999</v>
      </c>
      <c r="I1349" s="27">
        <f t="shared" si="21"/>
        <v>2355642.3037711792</v>
      </c>
      <c r="J1349">
        <v>4.5</v>
      </c>
      <c r="K1349" t="b">
        <v>1</v>
      </c>
    </row>
    <row r="1350" spans="1:11" ht="16" x14ac:dyDescent="0.2">
      <c r="A1350" s="16">
        <v>45281</v>
      </c>
      <c r="B1350" t="s">
        <v>29</v>
      </c>
      <c r="C1350" t="s">
        <v>19</v>
      </c>
      <c r="D1350" t="s">
        <v>20</v>
      </c>
      <c r="E1350" t="s">
        <v>57</v>
      </c>
      <c r="F1350">
        <v>3</v>
      </c>
      <c r="G1350" s="15">
        <v>2710000</v>
      </c>
      <c r="H1350" s="14">
        <v>0.13075929750140999</v>
      </c>
      <c r="I1350" s="27">
        <f t="shared" si="21"/>
        <v>2355642.3037711792</v>
      </c>
      <c r="J1350">
        <v>4.5</v>
      </c>
      <c r="K1350" t="b">
        <v>1</v>
      </c>
    </row>
    <row r="1351" spans="1:11" ht="16" x14ac:dyDescent="0.2">
      <c r="A1351" s="16">
        <v>45281</v>
      </c>
      <c r="B1351" t="s">
        <v>18</v>
      </c>
      <c r="C1351" t="s">
        <v>19</v>
      </c>
      <c r="D1351" t="s">
        <v>50</v>
      </c>
      <c r="E1351" t="s">
        <v>7641</v>
      </c>
      <c r="F1351">
        <v>4</v>
      </c>
      <c r="G1351" s="15">
        <v>2710000</v>
      </c>
      <c r="H1351" s="14">
        <v>0.13075929750140999</v>
      </c>
      <c r="I1351" s="27">
        <f t="shared" si="21"/>
        <v>2355642.3037711792</v>
      </c>
      <c r="J1351">
        <v>4.0999999999999996</v>
      </c>
      <c r="K1351" t="b">
        <v>0</v>
      </c>
    </row>
    <row r="1352" spans="1:11" ht="16" x14ac:dyDescent="0.2">
      <c r="A1352" s="16">
        <v>45281</v>
      </c>
      <c r="B1352" t="s">
        <v>45</v>
      </c>
      <c r="C1352" t="s">
        <v>34</v>
      </c>
      <c r="D1352" t="s">
        <v>20</v>
      </c>
      <c r="E1352" t="s">
        <v>7643</v>
      </c>
      <c r="F1352">
        <v>1</v>
      </c>
      <c r="G1352" s="15">
        <v>2710000</v>
      </c>
      <c r="H1352" s="14">
        <v>0.13075929750140999</v>
      </c>
      <c r="I1352" s="27">
        <f t="shared" si="21"/>
        <v>2355642.3037711792</v>
      </c>
      <c r="J1352">
        <v>4.0999999999999996</v>
      </c>
      <c r="K1352" t="b">
        <v>0</v>
      </c>
    </row>
    <row r="1353" spans="1:11" ht="16" x14ac:dyDescent="0.2">
      <c r="A1353" s="16">
        <v>45282</v>
      </c>
      <c r="B1353" t="s">
        <v>29</v>
      </c>
      <c r="C1353" t="s">
        <v>25</v>
      </c>
      <c r="D1353" t="s">
        <v>20</v>
      </c>
      <c r="E1353" t="s">
        <v>7641</v>
      </c>
      <c r="F1353">
        <v>3</v>
      </c>
      <c r="G1353" s="15">
        <v>2710000</v>
      </c>
      <c r="H1353" s="14">
        <v>0.13075929750140999</v>
      </c>
      <c r="I1353" s="27">
        <f t="shared" si="21"/>
        <v>2355642.3037711792</v>
      </c>
      <c r="J1353">
        <v>4</v>
      </c>
      <c r="K1353" t="b">
        <v>0</v>
      </c>
    </row>
    <row r="1354" spans="1:11" ht="16" x14ac:dyDescent="0.2">
      <c r="A1354" s="16">
        <v>45282</v>
      </c>
      <c r="B1354" t="s">
        <v>18</v>
      </c>
      <c r="C1354" t="s">
        <v>19</v>
      </c>
      <c r="D1354" t="s">
        <v>20</v>
      </c>
      <c r="E1354" t="s">
        <v>7641</v>
      </c>
      <c r="F1354">
        <v>3</v>
      </c>
      <c r="G1354" s="15">
        <v>2710000</v>
      </c>
      <c r="H1354" s="14">
        <v>0.13075929750140999</v>
      </c>
      <c r="I1354" s="27">
        <f t="shared" si="21"/>
        <v>2355642.3037711792</v>
      </c>
      <c r="J1354">
        <v>4</v>
      </c>
      <c r="K1354" t="b">
        <v>0</v>
      </c>
    </row>
    <row r="1355" spans="1:11" ht="16" x14ac:dyDescent="0.2">
      <c r="A1355" s="16">
        <v>45283</v>
      </c>
      <c r="B1355" t="s">
        <v>33</v>
      </c>
      <c r="C1355" t="s">
        <v>39</v>
      </c>
      <c r="D1355" t="s">
        <v>50</v>
      </c>
      <c r="E1355" t="s">
        <v>7640</v>
      </c>
      <c r="F1355">
        <v>2</v>
      </c>
      <c r="G1355" s="15">
        <v>2710000</v>
      </c>
      <c r="H1355" s="14">
        <v>0.13075929750140999</v>
      </c>
      <c r="I1355" s="27">
        <f t="shared" si="21"/>
        <v>2355642.3037711792</v>
      </c>
      <c r="J1355">
        <v>4</v>
      </c>
      <c r="K1355" t="b">
        <v>1</v>
      </c>
    </row>
    <row r="1356" spans="1:11" ht="16" x14ac:dyDescent="0.2">
      <c r="A1356" s="16">
        <v>45284</v>
      </c>
      <c r="B1356" t="str">
        <f>B1355</f>
        <v>Student</v>
      </c>
      <c r="C1356" t="s">
        <v>25</v>
      </c>
      <c r="D1356" t="s">
        <v>50</v>
      </c>
      <c r="E1356" t="s">
        <v>7643</v>
      </c>
      <c r="F1356">
        <v>1</v>
      </c>
      <c r="G1356" s="15">
        <v>2710000</v>
      </c>
      <c r="H1356" s="14">
        <v>0.13075929750140999</v>
      </c>
      <c r="I1356" s="27">
        <f t="shared" si="21"/>
        <v>2355642.3037711792</v>
      </c>
      <c r="J1356">
        <v>3.7</v>
      </c>
      <c r="K1356" t="b">
        <v>1</v>
      </c>
    </row>
    <row r="1357" spans="1:11" ht="16" x14ac:dyDescent="0.2">
      <c r="A1357" s="16">
        <v>45284</v>
      </c>
      <c r="B1357" t="s">
        <v>18</v>
      </c>
      <c r="C1357" t="s">
        <v>45</v>
      </c>
      <c r="D1357" t="s">
        <v>35</v>
      </c>
      <c r="E1357" t="s">
        <v>7641</v>
      </c>
      <c r="F1357">
        <v>1</v>
      </c>
      <c r="G1357" s="15">
        <v>2710000</v>
      </c>
      <c r="H1357" s="14">
        <v>0.13075929750140999</v>
      </c>
      <c r="I1357" s="27">
        <f t="shared" si="21"/>
        <v>2355642.3037711792</v>
      </c>
      <c r="J1357">
        <v>5</v>
      </c>
      <c r="K1357" t="b">
        <v>1</v>
      </c>
    </row>
    <row r="1358" spans="1:11" ht="16" x14ac:dyDescent="0.2">
      <c r="A1358" s="16">
        <v>45285</v>
      </c>
      <c r="B1358" t="s">
        <v>18</v>
      </c>
      <c r="C1358" t="s">
        <v>19</v>
      </c>
      <c r="D1358" t="str">
        <f>D1357</f>
        <v>Mobile App</v>
      </c>
      <c r="E1358" t="s">
        <v>7643</v>
      </c>
      <c r="F1358">
        <v>3</v>
      </c>
      <c r="G1358" s="15">
        <v>2710000</v>
      </c>
      <c r="H1358" s="14">
        <v>0.13075929750140999</v>
      </c>
      <c r="I1358" s="27">
        <f t="shared" si="21"/>
        <v>2355642.3037711792</v>
      </c>
      <c r="J1358">
        <v>4.3</v>
      </c>
      <c r="K1358" t="b">
        <v>0</v>
      </c>
    </row>
    <row r="1359" spans="1:11" ht="16" x14ac:dyDescent="0.2">
      <c r="A1359" s="16">
        <v>45285</v>
      </c>
      <c r="B1359" t="s">
        <v>45</v>
      </c>
      <c r="C1359" t="s">
        <v>19</v>
      </c>
      <c r="D1359" t="s">
        <v>50</v>
      </c>
      <c r="E1359" t="s">
        <v>99</v>
      </c>
      <c r="F1359">
        <v>2</v>
      </c>
      <c r="G1359" s="15">
        <v>2710000</v>
      </c>
      <c r="H1359" s="14">
        <v>0.13075929750140999</v>
      </c>
      <c r="I1359" s="27">
        <f t="shared" si="21"/>
        <v>2355642.3037711792</v>
      </c>
      <c r="J1359">
        <v>4.0999999999999996</v>
      </c>
      <c r="K1359" t="b">
        <v>1</v>
      </c>
    </row>
    <row r="1360" spans="1:11" ht="16" x14ac:dyDescent="0.2">
      <c r="A1360" s="16">
        <v>45286</v>
      </c>
      <c r="B1360" t="s">
        <v>33</v>
      </c>
      <c r="C1360" t="s">
        <v>19</v>
      </c>
      <c r="D1360" t="s">
        <v>35</v>
      </c>
      <c r="E1360" t="s">
        <v>7638</v>
      </c>
      <c r="F1360">
        <v>3</v>
      </c>
      <c r="G1360" s="15">
        <v>2710000</v>
      </c>
      <c r="H1360" s="14">
        <v>0.13075929750140999</v>
      </c>
      <c r="I1360" s="27">
        <f t="shared" si="21"/>
        <v>2355642.3037711792</v>
      </c>
      <c r="J1360">
        <v>4.3</v>
      </c>
      <c r="K1360" t="b">
        <v>0</v>
      </c>
    </row>
    <row r="1361" spans="1:11" ht="16" x14ac:dyDescent="0.2">
      <c r="A1361" s="16">
        <v>45286</v>
      </c>
      <c r="B1361" t="s">
        <v>45</v>
      </c>
      <c r="C1361" t="s">
        <v>25</v>
      </c>
      <c r="D1361" t="s">
        <v>20</v>
      </c>
      <c r="E1361" t="s">
        <v>7637</v>
      </c>
      <c r="F1361">
        <v>3</v>
      </c>
      <c r="G1361" s="15">
        <v>2710000</v>
      </c>
      <c r="H1361" s="14">
        <v>0.13075929750140999</v>
      </c>
      <c r="I1361" s="27">
        <f t="shared" si="21"/>
        <v>2355642.3037711792</v>
      </c>
      <c r="J1361">
        <v>4.4000000000000004</v>
      </c>
      <c r="K1361" t="b">
        <v>1</v>
      </c>
    </row>
    <row r="1362" spans="1:11" ht="16" x14ac:dyDescent="0.2">
      <c r="A1362" s="16">
        <v>45286</v>
      </c>
      <c r="B1362" t="s">
        <v>18</v>
      </c>
      <c r="C1362" t="s">
        <v>34</v>
      </c>
      <c r="D1362" t="s">
        <v>50</v>
      </c>
      <c r="E1362" t="s">
        <v>7640</v>
      </c>
      <c r="F1362">
        <v>3</v>
      </c>
      <c r="G1362" s="15">
        <v>2710000</v>
      </c>
      <c r="H1362" s="14">
        <v>0.13075929750140999</v>
      </c>
      <c r="I1362" s="27">
        <f t="shared" si="21"/>
        <v>2355642.3037711792</v>
      </c>
      <c r="J1362">
        <v>4.3</v>
      </c>
      <c r="K1362" t="b">
        <v>0</v>
      </c>
    </row>
    <row r="1363" spans="1:11" ht="16" x14ac:dyDescent="0.2">
      <c r="A1363" s="16">
        <v>45287</v>
      </c>
      <c r="B1363" t="s">
        <v>18</v>
      </c>
      <c r="C1363" t="s">
        <v>39</v>
      </c>
      <c r="D1363" t="s">
        <v>35</v>
      </c>
      <c r="E1363" t="s">
        <v>7640</v>
      </c>
      <c r="F1363">
        <v>3</v>
      </c>
      <c r="G1363" s="15">
        <v>2710000</v>
      </c>
      <c r="H1363" s="14">
        <v>0.13075929750140999</v>
      </c>
      <c r="I1363" s="27">
        <f t="shared" si="21"/>
        <v>2355642.3037711792</v>
      </c>
      <c r="J1363">
        <v>3.7</v>
      </c>
      <c r="K1363" t="b">
        <v>0</v>
      </c>
    </row>
    <row r="1364" spans="1:11" ht="16" x14ac:dyDescent="0.2">
      <c r="A1364" s="16">
        <v>45287</v>
      </c>
      <c r="B1364" t="s">
        <v>45</v>
      </c>
      <c r="C1364" t="s">
        <v>68</v>
      </c>
      <c r="D1364" t="s">
        <v>20</v>
      </c>
      <c r="E1364" t="s">
        <v>7640</v>
      </c>
      <c r="F1364">
        <v>3</v>
      </c>
      <c r="G1364" s="15">
        <v>2710000</v>
      </c>
      <c r="H1364" s="14">
        <v>0.13075929750140999</v>
      </c>
      <c r="I1364" s="27">
        <f t="shared" si="21"/>
        <v>2355642.3037711792</v>
      </c>
      <c r="J1364">
        <v>4.4000000000000004</v>
      </c>
      <c r="K1364" t="b">
        <v>0</v>
      </c>
    </row>
    <row r="1365" spans="1:11" ht="16" x14ac:dyDescent="0.2">
      <c r="A1365" s="16">
        <v>45288</v>
      </c>
      <c r="B1365" t="s">
        <v>45</v>
      </c>
      <c r="C1365" t="s">
        <v>34</v>
      </c>
      <c r="D1365" t="s">
        <v>50</v>
      </c>
      <c r="E1365" t="s">
        <v>57</v>
      </c>
      <c r="F1365">
        <v>3</v>
      </c>
      <c r="G1365" s="15">
        <v>2710000</v>
      </c>
      <c r="H1365" s="14">
        <v>0.13075929750140999</v>
      </c>
      <c r="I1365" s="27">
        <f t="shared" si="21"/>
        <v>2355642.3037711792</v>
      </c>
      <c r="J1365">
        <v>5</v>
      </c>
      <c r="K1365" t="b">
        <v>1</v>
      </c>
    </row>
    <row r="1366" spans="1:11" ht="16" x14ac:dyDescent="0.2">
      <c r="A1366" s="16">
        <v>45288</v>
      </c>
      <c r="B1366" t="s">
        <v>18</v>
      </c>
      <c r="C1366" t="s">
        <v>34</v>
      </c>
      <c r="D1366" t="s">
        <v>50</v>
      </c>
      <c r="E1366" t="s">
        <v>7639</v>
      </c>
      <c r="F1366">
        <v>3</v>
      </c>
      <c r="G1366" s="15">
        <v>2710000</v>
      </c>
      <c r="H1366" s="14">
        <v>0.13075929750140999</v>
      </c>
      <c r="I1366" s="27">
        <f t="shared" si="21"/>
        <v>2355642.3037711792</v>
      </c>
      <c r="J1366">
        <v>4.2</v>
      </c>
      <c r="K1366" t="b">
        <v>0</v>
      </c>
    </row>
    <row r="1367" spans="1:11" ht="16" x14ac:dyDescent="0.2">
      <c r="A1367" s="16">
        <v>45289</v>
      </c>
      <c r="B1367" t="s">
        <v>33</v>
      </c>
      <c r="C1367" t="s">
        <v>68</v>
      </c>
      <c r="D1367" t="s">
        <v>35</v>
      </c>
      <c r="E1367" t="s">
        <v>7644</v>
      </c>
      <c r="F1367">
        <v>1</v>
      </c>
      <c r="G1367" s="15">
        <v>2710000</v>
      </c>
      <c r="H1367" s="14">
        <v>0.13075929750140999</v>
      </c>
      <c r="I1367" s="27">
        <f t="shared" si="21"/>
        <v>2355642.3037711792</v>
      </c>
      <c r="J1367">
        <v>4.5</v>
      </c>
      <c r="K1367" t="b">
        <v>0</v>
      </c>
    </row>
    <row r="1368" spans="1:11" ht="16" x14ac:dyDescent="0.2">
      <c r="A1368" s="16">
        <v>45290</v>
      </c>
      <c r="B1368" t="s">
        <v>45</v>
      </c>
      <c r="C1368" t="s">
        <v>45</v>
      </c>
      <c r="D1368" t="s">
        <v>35</v>
      </c>
      <c r="E1368" t="s">
        <v>7643</v>
      </c>
      <c r="F1368">
        <v>2</v>
      </c>
      <c r="G1368" s="15">
        <v>2710000</v>
      </c>
      <c r="H1368" s="14">
        <v>0.13075929750140999</v>
      </c>
      <c r="I1368" s="27">
        <f t="shared" si="21"/>
        <v>2355642.3037711792</v>
      </c>
      <c r="J1368">
        <v>3.9</v>
      </c>
      <c r="K1368" t="b">
        <v>0</v>
      </c>
    </row>
    <row r="1369" spans="1:11" ht="16" x14ac:dyDescent="0.2">
      <c r="A1369" s="16">
        <v>45290</v>
      </c>
      <c r="B1369" t="s">
        <v>33</v>
      </c>
      <c r="C1369" t="s">
        <v>68</v>
      </c>
      <c r="D1369" t="s">
        <v>20</v>
      </c>
      <c r="E1369" t="s">
        <v>7643</v>
      </c>
      <c r="F1369">
        <v>2</v>
      </c>
      <c r="G1369" s="15">
        <v>2710000</v>
      </c>
      <c r="H1369" s="14">
        <v>0.13075929750140999</v>
      </c>
      <c r="I1369" s="27">
        <f t="shared" si="21"/>
        <v>2355642.3037711792</v>
      </c>
      <c r="J1369">
        <v>4.7</v>
      </c>
      <c r="K1369" t="b">
        <v>0</v>
      </c>
    </row>
    <row r="1370" spans="1:11" ht="16" x14ac:dyDescent="0.2">
      <c r="A1370" s="16">
        <v>45291</v>
      </c>
      <c r="B1370" t="str">
        <f>B1369</f>
        <v>Student</v>
      </c>
      <c r="C1370" t="s">
        <v>34</v>
      </c>
      <c r="D1370" t="s">
        <v>20</v>
      </c>
      <c r="E1370" t="s">
        <v>99</v>
      </c>
      <c r="F1370">
        <v>2</v>
      </c>
      <c r="G1370" s="15">
        <v>2710000</v>
      </c>
      <c r="H1370" s="14">
        <v>0.13075929750140999</v>
      </c>
      <c r="I1370" s="27">
        <f t="shared" si="21"/>
        <v>2355642.3037711792</v>
      </c>
      <c r="J1370">
        <v>4.8</v>
      </c>
      <c r="K1370" t="b">
        <v>1</v>
      </c>
    </row>
    <row r="1371" spans="1:11" ht="16" x14ac:dyDescent="0.2">
      <c r="A1371" s="16">
        <v>45291</v>
      </c>
      <c r="B1371" t="s">
        <v>45</v>
      </c>
      <c r="C1371" t="s">
        <v>45</v>
      </c>
      <c r="D1371" t="s">
        <v>20</v>
      </c>
      <c r="E1371" t="s">
        <v>7643</v>
      </c>
      <c r="F1371">
        <v>2</v>
      </c>
      <c r="G1371" s="15">
        <v>2710000</v>
      </c>
      <c r="H1371" s="14">
        <v>0.13075929750140999</v>
      </c>
      <c r="I1371" s="27">
        <f t="shared" si="21"/>
        <v>2355642.3037711792</v>
      </c>
      <c r="J1371">
        <v>4.9000000000000004</v>
      </c>
      <c r="K1371" t="b">
        <v>1</v>
      </c>
    </row>
    <row r="1372" spans="1:11" ht="16" x14ac:dyDescent="0.2">
      <c r="A1372" s="16">
        <v>45291</v>
      </c>
      <c r="B1372" t="str">
        <f>B1371</f>
        <v>Family</v>
      </c>
      <c r="C1372" t="s">
        <v>68</v>
      </c>
      <c r="D1372" t="s">
        <v>35</v>
      </c>
      <c r="E1372" t="s">
        <v>7638</v>
      </c>
      <c r="F1372">
        <v>1</v>
      </c>
      <c r="G1372" s="15">
        <v>2710000</v>
      </c>
      <c r="H1372" s="14">
        <v>0.13075929750140999</v>
      </c>
      <c r="I1372" s="27">
        <f t="shared" si="21"/>
        <v>2355642.3037711792</v>
      </c>
      <c r="J1372">
        <v>3.6</v>
      </c>
      <c r="K1372" t="b">
        <v>1</v>
      </c>
    </row>
    <row r="1373" spans="1:11" ht="16" x14ac:dyDescent="0.2">
      <c r="A1373" s="16">
        <v>45292</v>
      </c>
      <c r="B1373" t="s">
        <v>45</v>
      </c>
      <c r="C1373" t="s">
        <v>39</v>
      </c>
      <c r="D1373" t="s">
        <v>20</v>
      </c>
      <c r="E1373" t="s">
        <v>7640</v>
      </c>
      <c r="F1373">
        <v>2</v>
      </c>
      <c r="G1373" s="15">
        <v>2710000</v>
      </c>
      <c r="H1373" s="14">
        <v>0.13075929750140999</v>
      </c>
      <c r="I1373" s="27">
        <f t="shared" si="21"/>
        <v>2355642.3037711792</v>
      </c>
      <c r="J1373">
        <v>4.8</v>
      </c>
      <c r="K1373" t="b">
        <v>0</v>
      </c>
    </row>
    <row r="1374" spans="1:11" ht="16" x14ac:dyDescent="0.2">
      <c r="A1374" s="16">
        <v>45292</v>
      </c>
      <c r="B1374" t="s">
        <v>45</v>
      </c>
      <c r="C1374" t="s">
        <v>34</v>
      </c>
      <c r="D1374" t="s">
        <v>50</v>
      </c>
      <c r="E1374" t="s">
        <v>7639</v>
      </c>
      <c r="F1374">
        <v>4</v>
      </c>
      <c r="G1374" s="15">
        <v>2710000</v>
      </c>
      <c r="H1374" s="14">
        <v>0.13075929750140999</v>
      </c>
      <c r="I1374" s="27">
        <f t="shared" si="21"/>
        <v>2355642.3037711792</v>
      </c>
      <c r="J1374">
        <v>3.9</v>
      </c>
      <c r="K1374" t="b">
        <v>1</v>
      </c>
    </row>
    <row r="1375" spans="1:11" ht="16" x14ac:dyDescent="0.2">
      <c r="A1375" s="16">
        <v>45293</v>
      </c>
      <c r="B1375" t="s">
        <v>33</v>
      </c>
      <c r="C1375" t="s">
        <v>25</v>
      </c>
      <c r="D1375" t="s">
        <v>50</v>
      </c>
      <c r="E1375" t="s">
        <v>99</v>
      </c>
      <c r="F1375">
        <v>3</v>
      </c>
      <c r="G1375" s="15">
        <v>2710000</v>
      </c>
      <c r="H1375" s="14">
        <v>0.13075929750140999</v>
      </c>
      <c r="I1375" s="27">
        <f t="shared" si="21"/>
        <v>2355642.3037711792</v>
      </c>
      <c r="J1375">
        <v>4</v>
      </c>
      <c r="K1375" t="b">
        <v>0</v>
      </c>
    </row>
    <row r="1376" spans="1:11" ht="16" x14ac:dyDescent="0.2">
      <c r="A1376" s="16">
        <v>45293</v>
      </c>
      <c r="B1376" t="s">
        <v>18</v>
      </c>
      <c r="C1376" t="s">
        <v>45</v>
      </c>
      <c r="D1376" t="s">
        <v>20</v>
      </c>
      <c r="E1376" t="s">
        <v>99</v>
      </c>
      <c r="F1376">
        <v>3</v>
      </c>
      <c r="G1376" s="15">
        <v>2710000</v>
      </c>
      <c r="H1376" s="14">
        <v>0.13075929750140999</v>
      </c>
      <c r="I1376" s="27">
        <f t="shared" si="21"/>
        <v>2355642.3037711792</v>
      </c>
      <c r="J1376">
        <v>4.4000000000000004</v>
      </c>
      <c r="K1376" t="b">
        <v>1</v>
      </c>
    </row>
    <row r="1377" spans="1:11" ht="16" x14ac:dyDescent="0.2">
      <c r="A1377" s="16">
        <v>45293</v>
      </c>
      <c r="B1377" t="s">
        <v>29</v>
      </c>
      <c r="C1377" t="s">
        <v>19</v>
      </c>
      <c r="D1377" t="s">
        <v>50</v>
      </c>
      <c r="E1377" t="s">
        <v>99</v>
      </c>
      <c r="F1377">
        <v>3</v>
      </c>
      <c r="G1377" s="15">
        <v>2710000</v>
      </c>
      <c r="H1377" s="14">
        <v>0.13075929750140999</v>
      </c>
      <c r="I1377" s="27">
        <f t="shared" si="21"/>
        <v>2355642.3037711792</v>
      </c>
      <c r="J1377">
        <v>4.0999999999999996</v>
      </c>
      <c r="K1377" t="b">
        <v>1</v>
      </c>
    </row>
    <row r="1378" spans="1:11" ht="16" x14ac:dyDescent="0.2">
      <c r="A1378" s="16">
        <v>45293</v>
      </c>
      <c r="B1378" t="s">
        <v>18</v>
      </c>
      <c r="C1378" t="s">
        <v>68</v>
      </c>
      <c r="D1378" t="s">
        <v>35</v>
      </c>
      <c r="E1378" t="s">
        <v>7639</v>
      </c>
      <c r="F1378">
        <v>2</v>
      </c>
      <c r="G1378" s="15">
        <v>2710000</v>
      </c>
      <c r="H1378" s="14">
        <v>0.13075929750140999</v>
      </c>
      <c r="I1378" s="27">
        <f t="shared" si="21"/>
        <v>2355642.3037711792</v>
      </c>
      <c r="J1378">
        <v>3.8</v>
      </c>
      <c r="K1378" t="b">
        <v>1</v>
      </c>
    </row>
    <row r="1379" spans="1:11" ht="16" x14ac:dyDescent="0.2">
      <c r="A1379" s="16">
        <v>45294</v>
      </c>
      <c r="B1379" t="s">
        <v>18</v>
      </c>
      <c r="C1379" t="s">
        <v>39</v>
      </c>
      <c r="D1379" t="s">
        <v>20</v>
      </c>
      <c r="E1379" t="s">
        <v>99</v>
      </c>
      <c r="F1379">
        <v>2</v>
      </c>
      <c r="G1379" s="15">
        <v>2710000</v>
      </c>
      <c r="H1379" s="14">
        <v>0.13075929750140999</v>
      </c>
      <c r="I1379" s="27">
        <f t="shared" si="21"/>
        <v>2355642.3037711792</v>
      </c>
      <c r="J1379">
        <v>4.2</v>
      </c>
      <c r="K1379" t="b">
        <v>0</v>
      </c>
    </row>
    <row r="1380" spans="1:11" ht="16" x14ac:dyDescent="0.2">
      <c r="A1380" s="16">
        <v>45295</v>
      </c>
      <c r="B1380" t="s">
        <v>45</v>
      </c>
      <c r="C1380" t="s">
        <v>68</v>
      </c>
      <c r="D1380" t="s">
        <v>20</v>
      </c>
      <c r="E1380" t="s">
        <v>7639</v>
      </c>
      <c r="F1380">
        <v>2</v>
      </c>
      <c r="G1380" s="15">
        <v>2710000</v>
      </c>
      <c r="H1380" s="14">
        <v>0.13075929750140999</v>
      </c>
      <c r="I1380" s="27">
        <f t="shared" si="21"/>
        <v>2355642.3037711792</v>
      </c>
      <c r="J1380">
        <v>3.5</v>
      </c>
      <c r="K1380" t="b">
        <v>0</v>
      </c>
    </row>
    <row r="1381" spans="1:11" ht="16" x14ac:dyDescent="0.2">
      <c r="A1381" s="16">
        <v>45295</v>
      </c>
      <c r="B1381" t="s">
        <v>18</v>
      </c>
      <c r="C1381" t="s">
        <v>45</v>
      </c>
      <c r="D1381" t="s">
        <v>20</v>
      </c>
      <c r="E1381" t="str">
        <f>E1380</f>
        <v>Hà Nội</v>
      </c>
      <c r="F1381">
        <v>1</v>
      </c>
      <c r="G1381" s="15">
        <v>2710000</v>
      </c>
      <c r="H1381" s="14">
        <v>0.13075929750140999</v>
      </c>
      <c r="I1381" s="27">
        <f t="shared" si="21"/>
        <v>2355642.3037711792</v>
      </c>
      <c r="J1381">
        <v>4.7</v>
      </c>
      <c r="K1381" t="b">
        <v>1</v>
      </c>
    </row>
    <row r="1382" spans="1:11" ht="16" x14ac:dyDescent="0.2">
      <c r="A1382" s="16">
        <v>45295</v>
      </c>
      <c r="B1382" t="s">
        <v>18</v>
      </c>
      <c r="C1382" t="s">
        <v>34</v>
      </c>
      <c r="D1382" t="s">
        <v>20</v>
      </c>
      <c r="E1382" t="s">
        <v>7641</v>
      </c>
      <c r="F1382">
        <v>1</v>
      </c>
      <c r="G1382" s="15">
        <v>2710000</v>
      </c>
      <c r="H1382" s="14">
        <v>0.13075929750140999</v>
      </c>
      <c r="I1382" s="27">
        <f t="shared" si="21"/>
        <v>2355642.3037711792</v>
      </c>
      <c r="J1382">
        <v>4.5</v>
      </c>
      <c r="K1382" t="b">
        <v>1</v>
      </c>
    </row>
    <row r="1383" spans="1:11" ht="16" x14ac:dyDescent="0.2">
      <c r="A1383" s="16">
        <v>45295</v>
      </c>
      <c r="B1383" t="str">
        <f>B1382</f>
        <v>Young Professional</v>
      </c>
      <c r="C1383" t="s">
        <v>45</v>
      </c>
      <c r="D1383" t="s">
        <v>50</v>
      </c>
      <c r="E1383" t="s">
        <v>7638</v>
      </c>
      <c r="F1383">
        <v>1</v>
      </c>
      <c r="G1383" s="15">
        <v>2710000</v>
      </c>
      <c r="H1383" s="14">
        <v>0.13075929750140999</v>
      </c>
      <c r="I1383" s="27">
        <f t="shared" si="21"/>
        <v>2355642.3037711792</v>
      </c>
      <c r="J1383">
        <v>3.5</v>
      </c>
      <c r="K1383" t="b">
        <v>1</v>
      </c>
    </row>
    <row r="1384" spans="1:11" ht="16" x14ac:dyDescent="0.2">
      <c r="A1384" s="16">
        <v>45296</v>
      </c>
      <c r="B1384" t="s">
        <v>45</v>
      </c>
      <c r="C1384" t="s">
        <v>19</v>
      </c>
      <c r="D1384" t="s">
        <v>46</v>
      </c>
      <c r="E1384" t="s">
        <v>7638</v>
      </c>
      <c r="F1384">
        <v>2</v>
      </c>
      <c r="G1384" s="15">
        <v>2710000</v>
      </c>
      <c r="H1384" s="14">
        <v>0.13075929750140999</v>
      </c>
      <c r="I1384" s="27">
        <f t="shared" si="21"/>
        <v>2355642.3037711792</v>
      </c>
      <c r="J1384">
        <v>3.4</v>
      </c>
      <c r="K1384" t="b">
        <v>1</v>
      </c>
    </row>
    <row r="1385" spans="1:11" ht="16" x14ac:dyDescent="0.2">
      <c r="A1385" s="16">
        <v>45296</v>
      </c>
      <c r="B1385" t="s">
        <v>18</v>
      </c>
      <c r="C1385" t="s">
        <v>19</v>
      </c>
      <c r="D1385" t="s">
        <v>20</v>
      </c>
      <c r="E1385" t="s">
        <v>7644</v>
      </c>
      <c r="F1385">
        <v>1</v>
      </c>
      <c r="G1385" s="15">
        <v>2710000</v>
      </c>
      <c r="H1385" s="14">
        <v>0.13075929750140999</v>
      </c>
      <c r="I1385" s="27">
        <f t="shared" si="21"/>
        <v>2355642.3037711792</v>
      </c>
      <c r="J1385">
        <v>3.9</v>
      </c>
      <c r="K1385" t="b">
        <v>0</v>
      </c>
    </row>
    <row r="1386" spans="1:11" ht="16" x14ac:dyDescent="0.2">
      <c r="A1386" s="16">
        <v>45297</v>
      </c>
      <c r="B1386" t="s">
        <v>33</v>
      </c>
      <c r="C1386" t="s">
        <v>45</v>
      </c>
      <c r="D1386" t="s">
        <v>20</v>
      </c>
      <c r="E1386" t="s">
        <v>7638</v>
      </c>
      <c r="F1386">
        <v>1</v>
      </c>
      <c r="G1386" s="15">
        <v>2710000</v>
      </c>
      <c r="H1386" s="14">
        <v>0.13075929750140999</v>
      </c>
      <c r="I1386" s="27">
        <f t="shared" si="21"/>
        <v>2355642.3037711792</v>
      </c>
      <c r="J1386">
        <v>3.9</v>
      </c>
      <c r="K1386" t="b">
        <v>1</v>
      </c>
    </row>
    <row r="1387" spans="1:11" ht="16" x14ac:dyDescent="0.2">
      <c r="A1387" s="16">
        <v>45297</v>
      </c>
      <c r="B1387" t="s">
        <v>33</v>
      </c>
      <c r="C1387" t="s">
        <v>34</v>
      </c>
      <c r="D1387" t="s">
        <v>50</v>
      </c>
      <c r="E1387" t="s">
        <v>7644</v>
      </c>
      <c r="F1387">
        <v>2</v>
      </c>
      <c r="G1387" s="15">
        <v>2710000</v>
      </c>
      <c r="H1387" s="14">
        <v>0.13075929750140999</v>
      </c>
      <c r="I1387" s="27">
        <f t="shared" si="21"/>
        <v>2355642.3037711792</v>
      </c>
      <c r="J1387">
        <v>3.4</v>
      </c>
      <c r="K1387" t="b">
        <v>1</v>
      </c>
    </row>
    <row r="1388" spans="1:11" ht="16" x14ac:dyDescent="0.2">
      <c r="A1388" s="16">
        <v>45297</v>
      </c>
      <c r="B1388" t="s">
        <v>29</v>
      </c>
      <c r="C1388" t="s">
        <v>45</v>
      </c>
      <c r="D1388" t="s">
        <v>50</v>
      </c>
      <c r="E1388" t="s">
        <v>7643</v>
      </c>
      <c r="F1388">
        <v>4</v>
      </c>
      <c r="G1388" s="15">
        <v>2710000</v>
      </c>
      <c r="H1388" s="14">
        <v>0.13075929750140999</v>
      </c>
      <c r="I1388" s="27">
        <f t="shared" si="21"/>
        <v>2355642.3037711792</v>
      </c>
      <c r="J1388">
        <v>4.4000000000000004</v>
      </c>
      <c r="K1388" t="b">
        <v>1</v>
      </c>
    </row>
    <row r="1389" spans="1:11" ht="16" x14ac:dyDescent="0.2">
      <c r="A1389" s="16">
        <v>45298</v>
      </c>
      <c r="B1389" t="s">
        <v>18</v>
      </c>
      <c r="C1389" t="s">
        <v>25</v>
      </c>
      <c r="D1389" t="s">
        <v>46</v>
      </c>
      <c r="E1389" t="s">
        <v>7637</v>
      </c>
      <c r="F1389">
        <v>1</v>
      </c>
      <c r="G1389" s="15">
        <v>2710000</v>
      </c>
      <c r="H1389" s="14">
        <v>0.13075929750140999</v>
      </c>
      <c r="I1389" s="27">
        <f t="shared" si="21"/>
        <v>2355642.3037711792</v>
      </c>
      <c r="J1389">
        <v>5</v>
      </c>
      <c r="K1389" t="b">
        <v>1</v>
      </c>
    </row>
    <row r="1390" spans="1:11" ht="16" x14ac:dyDescent="0.2">
      <c r="A1390" s="16">
        <v>45300</v>
      </c>
      <c r="B1390" t="s">
        <v>45</v>
      </c>
      <c r="C1390" t="s">
        <v>45</v>
      </c>
      <c r="D1390" t="s">
        <v>35</v>
      </c>
      <c r="E1390" t="s">
        <v>7640</v>
      </c>
      <c r="F1390">
        <v>1</v>
      </c>
      <c r="G1390" s="15">
        <v>2710000</v>
      </c>
      <c r="H1390" s="14">
        <v>0.13075929750140999</v>
      </c>
      <c r="I1390" s="27">
        <f t="shared" si="21"/>
        <v>2355642.3037711792</v>
      </c>
      <c r="J1390">
        <v>3.8</v>
      </c>
      <c r="K1390" t="b">
        <v>0</v>
      </c>
    </row>
    <row r="1391" spans="1:11" ht="16" x14ac:dyDescent="0.2">
      <c r="A1391" s="16">
        <v>45300</v>
      </c>
      <c r="B1391" t="s">
        <v>33</v>
      </c>
      <c r="C1391" t="s">
        <v>19</v>
      </c>
      <c r="D1391" t="s">
        <v>35</v>
      </c>
      <c r="E1391" t="s">
        <v>7642</v>
      </c>
      <c r="F1391">
        <v>1</v>
      </c>
      <c r="G1391" s="15">
        <v>2710000</v>
      </c>
      <c r="H1391" s="14">
        <v>0.13075929750140999</v>
      </c>
      <c r="I1391" s="27">
        <f t="shared" si="21"/>
        <v>2355642.3037711792</v>
      </c>
      <c r="J1391">
        <v>4</v>
      </c>
      <c r="K1391" t="b">
        <v>1</v>
      </c>
    </row>
    <row r="1392" spans="1:11" ht="16" x14ac:dyDescent="0.2">
      <c r="A1392" s="16">
        <v>45300</v>
      </c>
      <c r="B1392" t="s">
        <v>45</v>
      </c>
      <c r="C1392" t="s">
        <v>34</v>
      </c>
      <c r="D1392" t="s">
        <v>50</v>
      </c>
      <c r="E1392" t="s">
        <v>7637</v>
      </c>
      <c r="F1392">
        <v>3</v>
      </c>
      <c r="G1392" s="15">
        <v>2710000</v>
      </c>
      <c r="H1392" s="14">
        <v>0.13075929750140999</v>
      </c>
      <c r="I1392" s="27">
        <f t="shared" si="21"/>
        <v>2355642.3037711792</v>
      </c>
      <c r="J1392">
        <v>4.3</v>
      </c>
      <c r="K1392" t="b">
        <v>1</v>
      </c>
    </row>
    <row r="1393" spans="1:11" ht="16" x14ac:dyDescent="0.2">
      <c r="A1393" s="16">
        <v>45300</v>
      </c>
      <c r="B1393" t="s">
        <v>29</v>
      </c>
      <c r="C1393" t="s">
        <v>34</v>
      </c>
      <c r="D1393" t="s">
        <v>35</v>
      </c>
      <c r="E1393" t="s">
        <v>99</v>
      </c>
      <c r="F1393">
        <v>1</v>
      </c>
      <c r="G1393" s="15">
        <v>2710000</v>
      </c>
      <c r="H1393" s="14">
        <v>0.13075929750140999</v>
      </c>
      <c r="I1393" s="27">
        <f t="shared" si="21"/>
        <v>2355642.3037711792</v>
      </c>
      <c r="J1393">
        <v>3.6</v>
      </c>
      <c r="K1393" t="b">
        <v>0</v>
      </c>
    </row>
    <row r="1394" spans="1:11" ht="16" x14ac:dyDescent="0.2">
      <c r="A1394" s="16">
        <v>45300</v>
      </c>
      <c r="B1394" t="s">
        <v>18</v>
      </c>
      <c r="C1394" t="s">
        <v>45</v>
      </c>
      <c r="D1394" t="str">
        <f>D1393</f>
        <v>Mobile App</v>
      </c>
      <c r="E1394" t="s">
        <v>7644</v>
      </c>
      <c r="F1394">
        <v>3</v>
      </c>
      <c r="G1394" s="15">
        <v>2710000</v>
      </c>
      <c r="H1394" s="14">
        <v>0.13075929750140999</v>
      </c>
      <c r="I1394" s="27">
        <f t="shared" si="21"/>
        <v>2355642.3037711792</v>
      </c>
      <c r="J1394">
        <v>4.5999999999999996</v>
      </c>
      <c r="K1394" t="b">
        <v>1</v>
      </c>
    </row>
    <row r="1395" spans="1:11" ht="16" x14ac:dyDescent="0.2">
      <c r="A1395" s="16">
        <v>45300</v>
      </c>
      <c r="B1395" t="s">
        <v>45</v>
      </c>
      <c r="C1395" t="s">
        <v>34</v>
      </c>
      <c r="D1395" t="s">
        <v>20</v>
      </c>
      <c r="E1395" t="str">
        <f>E1394</f>
        <v>Hạ Long</v>
      </c>
      <c r="F1395">
        <v>2</v>
      </c>
      <c r="G1395" s="15">
        <v>2710000</v>
      </c>
      <c r="H1395" s="14">
        <v>0.13075929750140999</v>
      </c>
      <c r="I1395" s="27">
        <f t="shared" si="21"/>
        <v>2355642.3037711792</v>
      </c>
      <c r="J1395">
        <v>4.3</v>
      </c>
      <c r="K1395" t="b">
        <v>0</v>
      </c>
    </row>
    <row r="1396" spans="1:11" ht="16" x14ac:dyDescent="0.2">
      <c r="A1396" s="16">
        <v>45300</v>
      </c>
      <c r="B1396" t="s">
        <v>33</v>
      </c>
      <c r="C1396" t="s">
        <v>39</v>
      </c>
      <c r="D1396" t="s">
        <v>50</v>
      </c>
      <c r="E1396" t="s">
        <v>7643</v>
      </c>
      <c r="F1396">
        <v>3</v>
      </c>
      <c r="G1396" s="15">
        <v>2710000</v>
      </c>
      <c r="H1396" s="14">
        <v>0.13075929750140999</v>
      </c>
      <c r="I1396" s="27">
        <f t="shared" si="21"/>
        <v>2355642.3037711792</v>
      </c>
      <c r="J1396">
        <v>4</v>
      </c>
      <c r="K1396" t="b">
        <v>1</v>
      </c>
    </row>
    <row r="1397" spans="1:11" ht="16" x14ac:dyDescent="0.2">
      <c r="A1397" s="16">
        <v>45301</v>
      </c>
      <c r="B1397" t="s">
        <v>18</v>
      </c>
      <c r="C1397" t="s">
        <v>19</v>
      </c>
      <c r="D1397" t="s">
        <v>35</v>
      </c>
      <c r="E1397" t="s">
        <v>7641</v>
      </c>
      <c r="F1397">
        <v>1</v>
      </c>
      <c r="G1397" s="15">
        <v>2710000</v>
      </c>
      <c r="H1397" s="14">
        <v>0.13075929750140999</v>
      </c>
      <c r="I1397" s="27">
        <f t="shared" si="21"/>
        <v>2355642.3037711792</v>
      </c>
      <c r="J1397">
        <v>4.3</v>
      </c>
      <c r="K1397" t="b">
        <v>1</v>
      </c>
    </row>
    <row r="1398" spans="1:11" ht="16" x14ac:dyDescent="0.2">
      <c r="A1398" s="16">
        <v>45301</v>
      </c>
      <c r="B1398" t="s">
        <v>33</v>
      </c>
      <c r="C1398" t="s">
        <v>25</v>
      </c>
      <c r="D1398" t="s">
        <v>35</v>
      </c>
      <c r="E1398" t="s">
        <v>7638</v>
      </c>
      <c r="F1398">
        <v>1</v>
      </c>
      <c r="G1398" s="15">
        <v>2710000</v>
      </c>
      <c r="H1398" s="14">
        <v>0.13075929750140999</v>
      </c>
      <c r="I1398" s="27">
        <f t="shared" si="21"/>
        <v>2355642.3037711792</v>
      </c>
      <c r="J1398">
        <v>4.4000000000000004</v>
      </c>
      <c r="K1398" t="b">
        <v>1</v>
      </c>
    </row>
    <row r="1399" spans="1:11" ht="16" x14ac:dyDescent="0.2">
      <c r="A1399" s="16">
        <v>45301</v>
      </c>
      <c r="B1399" t="s">
        <v>33</v>
      </c>
      <c r="C1399" t="s">
        <v>25</v>
      </c>
      <c r="D1399" t="s">
        <v>35</v>
      </c>
      <c r="E1399" t="s">
        <v>7641</v>
      </c>
      <c r="F1399">
        <v>3</v>
      </c>
      <c r="G1399" s="15">
        <v>2710000</v>
      </c>
      <c r="H1399" s="14">
        <v>0.13075929750140999</v>
      </c>
      <c r="I1399" s="27">
        <f t="shared" si="21"/>
        <v>2355642.3037711792</v>
      </c>
      <c r="J1399">
        <v>3.7</v>
      </c>
      <c r="K1399" t="b">
        <v>1</v>
      </c>
    </row>
    <row r="1400" spans="1:11" ht="16" x14ac:dyDescent="0.2">
      <c r="A1400" s="16">
        <v>45302</v>
      </c>
      <c r="B1400" t="s">
        <v>45</v>
      </c>
      <c r="C1400" t="s">
        <v>25</v>
      </c>
      <c r="D1400" t="s">
        <v>50</v>
      </c>
      <c r="E1400" t="s">
        <v>57</v>
      </c>
      <c r="F1400">
        <v>3</v>
      </c>
      <c r="G1400" s="15">
        <v>2710000</v>
      </c>
      <c r="H1400" s="14">
        <v>0.13075929750140999</v>
      </c>
      <c r="I1400" s="27">
        <f t="shared" si="21"/>
        <v>2355642.3037711792</v>
      </c>
      <c r="J1400">
        <v>4.8</v>
      </c>
      <c r="K1400" t="b">
        <v>1</v>
      </c>
    </row>
    <row r="1401" spans="1:11" ht="16" x14ac:dyDescent="0.2">
      <c r="A1401" s="16">
        <v>45302</v>
      </c>
      <c r="B1401" t="s">
        <v>45</v>
      </c>
      <c r="C1401" t="s">
        <v>19</v>
      </c>
      <c r="D1401" t="s">
        <v>35</v>
      </c>
      <c r="E1401" t="s">
        <v>7640</v>
      </c>
      <c r="F1401">
        <v>2</v>
      </c>
      <c r="G1401" s="15">
        <v>2710000</v>
      </c>
      <c r="H1401" s="14">
        <v>0.13075929750140999</v>
      </c>
      <c r="I1401" s="27">
        <f t="shared" si="21"/>
        <v>2355642.3037711792</v>
      </c>
      <c r="J1401">
        <v>3.4</v>
      </c>
      <c r="K1401" t="b">
        <v>1</v>
      </c>
    </row>
    <row r="1402" spans="1:11" ht="16" x14ac:dyDescent="0.2">
      <c r="A1402" s="16">
        <v>45302</v>
      </c>
      <c r="B1402" t="s">
        <v>45</v>
      </c>
      <c r="C1402" t="s">
        <v>39</v>
      </c>
      <c r="D1402" t="s">
        <v>35</v>
      </c>
      <c r="E1402" t="s">
        <v>57</v>
      </c>
      <c r="F1402">
        <v>1</v>
      </c>
      <c r="G1402" s="15">
        <v>2710000</v>
      </c>
      <c r="H1402" s="14">
        <v>0.13075929750140999</v>
      </c>
      <c r="I1402" s="27">
        <f t="shared" si="21"/>
        <v>2355642.3037711792</v>
      </c>
      <c r="J1402">
        <v>4.3</v>
      </c>
      <c r="K1402" t="b">
        <v>1</v>
      </c>
    </row>
    <row r="1403" spans="1:11" ht="16" x14ac:dyDescent="0.2">
      <c r="A1403" s="16">
        <v>45302</v>
      </c>
      <c r="B1403" t="s">
        <v>45</v>
      </c>
      <c r="C1403" t="s">
        <v>68</v>
      </c>
      <c r="D1403" t="s">
        <v>50</v>
      </c>
      <c r="E1403" t="s">
        <v>57</v>
      </c>
      <c r="F1403">
        <v>3</v>
      </c>
      <c r="G1403" s="15">
        <v>2710000</v>
      </c>
      <c r="H1403" s="14">
        <v>0.13075929750140999</v>
      </c>
      <c r="I1403" s="27">
        <f t="shared" si="21"/>
        <v>2355642.3037711792</v>
      </c>
      <c r="J1403">
        <v>4.2</v>
      </c>
      <c r="K1403" t="b">
        <v>1</v>
      </c>
    </row>
    <row r="1404" spans="1:11" ht="16" x14ac:dyDescent="0.2">
      <c r="A1404" s="16">
        <v>45302</v>
      </c>
      <c r="B1404" t="s">
        <v>29</v>
      </c>
      <c r="C1404" t="s">
        <v>34</v>
      </c>
      <c r="D1404" t="s">
        <v>50</v>
      </c>
      <c r="E1404" t="s">
        <v>7641</v>
      </c>
      <c r="F1404">
        <v>1</v>
      </c>
      <c r="G1404" s="15">
        <v>2710000</v>
      </c>
      <c r="H1404" s="14">
        <v>0.13075929750140999</v>
      </c>
      <c r="I1404" s="27">
        <f t="shared" si="21"/>
        <v>2355642.3037711792</v>
      </c>
      <c r="J1404">
        <v>3.2</v>
      </c>
      <c r="K1404" t="b">
        <v>0</v>
      </c>
    </row>
    <row r="1405" spans="1:11" ht="16" x14ac:dyDescent="0.2">
      <c r="A1405" s="16">
        <v>45303</v>
      </c>
      <c r="B1405" t="s">
        <v>33</v>
      </c>
      <c r="C1405" t="s">
        <v>25</v>
      </c>
      <c r="D1405" t="s">
        <v>20</v>
      </c>
      <c r="E1405" t="str">
        <f>E1404</f>
        <v>Phú Quốc</v>
      </c>
      <c r="F1405">
        <v>1</v>
      </c>
      <c r="G1405" s="15">
        <v>2710000</v>
      </c>
      <c r="H1405" s="14">
        <v>0.13075929750140999</v>
      </c>
      <c r="I1405" s="27">
        <f t="shared" si="21"/>
        <v>2355642.3037711792</v>
      </c>
      <c r="J1405">
        <v>4.7</v>
      </c>
      <c r="K1405" t="b">
        <v>1</v>
      </c>
    </row>
    <row r="1406" spans="1:11" ht="16" x14ac:dyDescent="0.2">
      <c r="A1406" s="16">
        <v>45304</v>
      </c>
      <c r="B1406" t="s">
        <v>45</v>
      </c>
      <c r="C1406" t="s">
        <v>25</v>
      </c>
      <c r="D1406" t="s">
        <v>50</v>
      </c>
      <c r="E1406" t="s">
        <v>57</v>
      </c>
      <c r="F1406">
        <v>2</v>
      </c>
      <c r="G1406" s="15">
        <v>2710000</v>
      </c>
      <c r="H1406" s="14">
        <v>0.13075929750140999</v>
      </c>
      <c r="I1406" s="27">
        <f t="shared" si="21"/>
        <v>2355642.3037711792</v>
      </c>
      <c r="J1406">
        <v>3.7</v>
      </c>
      <c r="K1406" t="b">
        <v>1</v>
      </c>
    </row>
    <row r="1407" spans="1:11" ht="16" x14ac:dyDescent="0.2">
      <c r="A1407" s="16">
        <v>45305</v>
      </c>
      <c r="B1407" t="s">
        <v>45</v>
      </c>
      <c r="C1407" t="s">
        <v>68</v>
      </c>
      <c r="D1407" t="s">
        <v>20</v>
      </c>
      <c r="E1407" t="s">
        <v>7642</v>
      </c>
      <c r="F1407">
        <v>1</v>
      </c>
      <c r="G1407" s="15">
        <v>2710000</v>
      </c>
      <c r="H1407" s="14">
        <v>0.13075929750140999</v>
      </c>
      <c r="I1407" s="27">
        <f t="shared" si="21"/>
        <v>2355642.3037711792</v>
      </c>
      <c r="J1407">
        <v>4.5</v>
      </c>
      <c r="K1407" t="b">
        <v>0</v>
      </c>
    </row>
    <row r="1408" spans="1:11" ht="16" x14ac:dyDescent="0.2">
      <c r="A1408" s="16">
        <v>45305</v>
      </c>
      <c r="B1408" t="s">
        <v>29</v>
      </c>
      <c r="C1408" t="s">
        <v>34</v>
      </c>
      <c r="D1408" t="s">
        <v>50</v>
      </c>
      <c r="E1408" t="s">
        <v>7642</v>
      </c>
      <c r="F1408">
        <v>1</v>
      </c>
      <c r="G1408" s="15">
        <v>2710000</v>
      </c>
      <c r="H1408" s="14">
        <v>0.13075929750140999</v>
      </c>
      <c r="I1408" s="27">
        <f t="shared" si="21"/>
        <v>2355642.3037711792</v>
      </c>
      <c r="J1408">
        <v>4</v>
      </c>
      <c r="K1408" t="b">
        <v>1</v>
      </c>
    </row>
    <row r="1409" spans="1:11" ht="16" x14ac:dyDescent="0.2">
      <c r="A1409" s="16">
        <v>45305</v>
      </c>
      <c r="B1409" t="s">
        <v>45</v>
      </c>
      <c r="C1409" t="s">
        <v>68</v>
      </c>
      <c r="D1409" t="s">
        <v>20</v>
      </c>
      <c r="E1409" t="s">
        <v>7641</v>
      </c>
      <c r="F1409">
        <v>1</v>
      </c>
      <c r="G1409" s="15">
        <v>2710000</v>
      </c>
      <c r="H1409" s="14">
        <v>0.13075929750140999</v>
      </c>
      <c r="I1409" s="27">
        <f t="shared" si="21"/>
        <v>2355642.3037711792</v>
      </c>
      <c r="J1409">
        <v>4.3</v>
      </c>
      <c r="K1409" t="b">
        <v>1</v>
      </c>
    </row>
    <row r="1410" spans="1:11" ht="16" x14ac:dyDescent="0.2">
      <c r="A1410" s="16">
        <v>45305</v>
      </c>
      <c r="B1410" t="s">
        <v>18</v>
      </c>
      <c r="C1410" t="s">
        <v>19</v>
      </c>
      <c r="D1410" t="s">
        <v>50</v>
      </c>
      <c r="E1410" t="s">
        <v>7644</v>
      </c>
      <c r="F1410">
        <v>3</v>
      </c>
      <c r="G1410" s="15">
        <v>2710000</v>
      </c>
      <c r="H1410" s="14">
        <v>0.13075929750140999</v>
      </c>
      <c r="I1410" s="27">
        <f t="shared" si="21"/>
        <v>2355642.3037711792</v>
      </c>
      <c r="J1410">
        <v>4.0999999999999996</v>
      </c>
      <c r="K1410" t="b">
        <v>1</v>
      </c>
    </row>
    <row r="1411" spans="1:11" ht="16" x14ac:dyDescent="0.2">
      <c r="A1411" s="16">
        <v>45305</v>
      </c>
      <c r="B1411" t="s">
        <v>18</v>
      </c>
      <c r="C1411" t="s">
        <v>34</v>
      </c>
      <c r="D1411" t="s">
        <v>50</v>
      </c>
      <c r="E1411" t="s">
        <v>7638</v>
      </c>
      <c r="F1411">
        <v>2</v>
      </c>
      <c r="G1411" s="15">
        <v>2710000</v>
      </c>
      <c r="H1411" s="14">
        <v>0.13075929750140999</v>
      </c>
      <c r="I1411" s="27">
        <f t="shared" ref="I1411:I1474" si="22">G1411-G1411*H1411</f>
        <v>2355642.3037711792</v>
      </c>
      <c r="J1411">
        <v>5</v>
      </c>
      <c r="K1411" t="b">
        <v>1</v>
      </c>
    </row>
    <row r="1412" spans="1:11" ht="16" x14ac:dyDescent="0.2">
      <c r="A1412" s="16">
        <v>45305</v>
      </c>
      <c r="B1412" t="s">
        <v>29</v>
      </c>
      <c r="C1412" t="s">
        <v>45</v>
      </c>
      <c r="D1412" t="s">
        <v>35</v>
      </c>
      <c r="E1412" t="s">
        <v>99</v>
      </c>
      <c r="F1412">
        <v>1</v>
      </c>
      <c r="G1412" s="15">
        <v>2710000</v>
      </c>
      <c r="H1412" s="14">
        <v>0.13075929750140999</v>
      </c>
      <c r="I1412" s="27">
        <f t="shared" si="22"/>
        <v>2355642.3037711792</v>
      </c>
      <c r="J1412">
        <v>3</v>
      </c>
      <c r="K1412" t="b">
        <v>1</v>
      </c>
    </row>
    <row r="1413" spans="1:11" ht="16" x14ac:dyDescent="0.2">
      <c r="A1413" s="16">
        <v>45305</v>
      </c>
      <c r="B1413" t="s">
        <v>18</v>
      </c>
      <c r="C1413" t="s">
        <v>25</v>
      </c>
      <c r="D1413" t="s">
        <v>20</v>
      </c>
      <c r="E1413" t="s">
        <v>7644</v>
      </c>
      <c r="F1413">
        <v>1</v>
      </c>
      <c r="G1413" s="15">
        <v>2710000</v>
      </c>
      <c r="H1413" s="14">
        <v>0.13075929750140999</v>
      </c>
      <c r="I1413" s="27">
        <f t="shared" si="22"/>
        <v>2355642.3037711792</v>
      </c>
      <c r="J1413">
        <v>4.5</v>
      </c>
      <c r="K1413" t="b">
        <v>1</v>
      </c>
    </row>
    <row r="1414" spans="1:11" ht="16" x14ac:dyDescent="0.2">
      <c r="A1414" s="16">
        <v>45306</v>
      </c>
      <c r="B1414" t="s">
        <v>33</v>
      </c>
      <c r="C1414" t="s">
        <v>45</v>
      </c>
      <c r="D1414" t="s">
        <v>20</v>
      </c>
      <c r="E1414" t="s">
        <v>7644</v>
      </c>
      <c r="F1414">
        <v>5</v>
      </c>
      <c r="G1414" s="15">
        <v>2710000</v>
      </c>
      <c r="H1414" s="14">
        <v>0.13075929750140999</v>
      </c>
      <c r="I1414" s="27">
        <f t="shared" si="22"/>
        <v>2355642.3037711792</v>
      </c>
      <c r="J1414">
        <v>4</v>
      </c>
      <c r="K1414" t="b">
        <v>1</v>
      </c>
    </row>
    <row r="1415" spans="1:11" ht="16" x14ac:dyDescent="0.2">
      <c r="A1415" s="16">
        <v>45307</v>
      </c>
      <c r="B1415" t="s">
        <v>45</v>
      </c>
      <c r="C1415" t="s">
        <v>68</v>
      </c>
      <c r="D1415" t="s">
        <v>35</v>
      </c>
      <c r="E1415" t="s">
        <v>7644</v>
      </c>
      <c r="F1415">
        <v>2</v>
      </c>
      <c r="G1415" s="15">
        <v>2710000</v>
      </c>
      <c r="H1415" s="14">
        <v>0.13075929750140999</v>
      </c>
      <c r="I1415" s="27">
        <f t="shared" si="22"/>
        <v>2355642.3037711792</v>
      </c>
      <c r="J1415">
        <v>4.5</v>
      </c>
      <c r="K1415" t="b">
        <v>1</v>
      </c>
    </row>
    <row r="1416" spans="1:11" ht="16" x14ac:dyDescent="0.2">
      <c r="A1416" s="16">
        <v>45307</v>
      </c>
      <c r="B1416" t="s">
        <v>18</v>
      </c>
      <c r="C1416" t="s">
        <v>19</v>
      </c>
      <c r="D1416" t="s">
        <v>20</v>
      </c>
      <c r="E1416" t="s">
        <v>7639</v>
      </c>
      <c r="F1416">
        <v>2</v>
      </c>
      <c r="G1416" s="15">
        <v>2710000</v>
      </c>
      <c r="H1416" s="14">
        <v>0.13075929750140999</v>
      </c>
      <c r="I1416" s="27">
        <f t="shared" si="22"/>
        <v>2355642.3037711792</v>
      </c>
      <c r="J1416">
        <v>4.0999999999999996</v>
      </c>
      <c r="K1416" t="b">
        <v>1</v>
      </c>
    </row>
    <row r="1417" spans="1:11" ht="16" x14ac:dyDescent="0.2">
      <c r="A1417" s="16">
        <v>45307</v>
      </c>
      <c r="B1417" t="s">
        <v>45</v>
      </c>
      <c r="C1417" t="s">
        <v>25</v>
      </c>
      <c r="D1417" t="s">
        <v>20</v>
      </c>
      <c r="E1417" t="s">
        <v>57</v>
      </c>
      <c r="F1417">
        <v>1</v>
      </c>
      <c r="G1417" s="15">
        <v>2710000</v>
      </c>
      <c r="H1417" s="14">
        <v>0.13075929750140999</v>
      </c>
      <c r="I1417" s="27">
        <f t="shared" si="22"/>
        <v>2355642.3037711792</v>
      </c>
      <c r="J1417">
        <v>4.7</v>
      </c>
      <c r="K1417" t="b">
        <v>0</v>
      </c>
    </row>
    <row r="1418" spans="1:11" ht="16" x14ac:dyDescent="0.2">
      <c r="A1418" s="16">
        <v>45307</v>
      </c>
      <c r="B1418" t="s">
        <v>45</v>
      </c>
      <c r="C1418" t="s">
        <v>25</v>
      </c>
      <c r="D1418" t="s">
        <v>20</v>
      </c>
      <c r="E1418" t="s">
        <v>7638</v>
      </c>
      <c r="F1418">
        <v>1</v>
      </c>
      <c r="G1418" s="15">
        <v>2710000</v>
      </c>
      <c r="H1418" s="14">
        <v>0.13075929750140999</v>
      </c>
      <c r="I1418" s="27">
        <f t="shared" si="22"/>
        <v>2355642.3037711792</v>
      </c>
      <c r="J1418">
        <v>4.4000000000000004</v>
      </c>
      <c r="K1418" t="b">
        <v>1</v>
      </c>
    </row>
    <row r="1419" spans="1:11" ht="16" x14ac:dyDescent="0.2">
      <c r="A1419" s="16">
        <v>45307</v>
      </c>
      <c r="B1419" t="s">
        <v>18</v>
      </c>
      <c r="C1419" t="s">
        <v>25</v>
      </c>
      <c r="D1419" t="s">
        <v>35</v>
      </c>
      <c r="E1419" t="s">
        <v>7637</v>
      </c>
      <c r="F1419">
        <v>2</v>
      </c>
      <c r="G1419" s="15">
        <v>2710000</v>
      </c>
      <c r="H1419" s="14">
        <v>0.13075929750140999</v>
      </c>
      <c r="I1419" s="27">
        <f t="shared" si="22"/>
        <v>2355642.3037711792</v>
      </c>
      <c r="J1419">
        <v>4.4000000000000004</v>
      </c>
      <c r="K1419" t="b">
        <v>0</v>
      </c>
    </row>
    <row r="1420" spans="1:11" ht="16" x14ac:dyDescent="0.2">
      <c r="A1420" s="16">
        <v>45308</v>
      </c>
      <c r="B1420" t="s">
        <v>18</v>
      </c>
      <c r="C1420" t="s">
        <v>34</v>
      </c>
      <c r="D1420" t="s">
        <v>20</v>
      </c>
      <c r="E1420" t="s">
        <v>7638</v>
      </c>
      <c r="F1420">
        <v>1</v>
      </c>
      <c r="G1420" s="15">
        <v>2710000</v>
      </c>
      <c r="H1420" s="14">
        <v>0.13075929750140999</v>
      </c>
      <c r="I1420" s="27">
        <f t="shared" si="22"/>
        <v>2355642.3037711792</v>
      </c>
      <c r="J1420">
        <v>5</v>
      </c>
      <c r="K1420" t="b">
        <v>1</v>
      </c>
    </row>
    <row r="1421" spans="1:11" ht="16" x14ac:dyDescent="0.2">
      <c r="A1421" s="16">
        <v>45309</v>
      </c>
      <c r="B1421" t="s">
        <v>18</v>
      </c>
      <c r="C1421" t="s">
        <v>34</v>
      </c>
      <c r="D1421" t="s">
        <v>50</v>
      </c>
      <c r="E1421" t="s">
        <v>7637</v>
      </c>
      <c r="F1421">
        <v>4</v>
      </c>
      <c r="G1421" s="15">
        <v>2710000</v>
      </c>
      <c r="H1421" s="14">
        <v>0.13075929750140999</v>
      </c>
      <c r="I1421" s="27">
        <f t="shared" si="22"/>
        <v>2355642.3037711792</v>
      </c>
      <c r="J1421">
        <v>3.8</v>
      </c>
      <c r="K1421" t="b">
        <v>0</v>
      </c>
    </row>
    <row r="1422" spans="1:11" ht="16" x14ac:dyDescent="0.2">
      <c r="A1422" s="16">
        <v>45310</v>
      </c>
      <c r="B1422" t="s">
        <v>45</v>
      </c>
      <c r="C1422" t="s">
        <v>25</v>
      </c>
      <c r="D1422" t="s">
        <v>50</v>
      </c>
      <c r="E1422" t="str">
        <f>E1421</f>
        <v>Đà Nẵng</v>
      </c>
      <c r="F1422">
        <v>2</v>
      </c>
      <c r="G1422" s="15">
        <v>2710000</v>
      </c>
      <c r="H1422" s="14">
        <v>0.13075929750140999</v>
      </c>
      <c r="I1422" s="27">
        <f t="shared" si="22"/>
        <v>2355642.3037711792</v>
      </c>
      <c r="J1422">
        <v>4.5999999999999996</v>
      </c>
      <c r="K1422" t="b">
        <v>0</v>
      </c>
    </row>
    <row r="1423" spans="1:11" ht="16" x14ac:dyDescent="0.2">
      <c r="A1423" s="16">
        <v>45310</v>
      </c>
      <c r="B1423" t="s">
        <v>18</v>
      </c>
      <c r="C1423" t="s">
        <v>34</v>
      </c>
      <c r="D1423" t="s">
        <v>20</v>
      </c>
      <c r="E1423" t="s">
        <v>99</v>
      </c>
      <c r="F1423">
        <v>5</v>
      </c>
      <c r="G1423" s="15">
        <v>2710000</v>
      </c>
      <c r="H1423" s="14">
        <v>0.13075929750140999</v>
      </c>
      <c r="I1423" s="27">
        <f t="shared" si="22"/>
        <v>2355642.3037711792</v>
      </c>
      <c r="J1423">
        <v>3.9</v>
      </c>
      <c r="K1423" t="b">
        <v>1</v>
      </c>
    </row>
    <row r="1424" spans="1:11" ht="16" x14ac:dyDescent="0.2">
      <c r="A1424" s="16">
        <v>45310</v>
      </c>
      <c r="B1424" t="s">
        <v>33</v>
      </c>
      <c r="C1424" t="s">
        <v>34</v>
      </c>
      <c r="D1424" t="s">
        <v>35</v>
      </c>
      <c r="E1424" t="s">
        <v>7637</v>
      </c>
      <c r="F1424">
        <v>1</v>
      </c>
      <c r="G1424" s="15">
        <v>2710000</v>
      </c>
      <c r="H1424" s="14">
        <v>0.13075929750140999</v>
      </c>
      <c r="I1424" s="27">
        <f t="shared" si="22"/>
        <v>2355642.3037711792</v>
      </c>
      <c r="J1424">
        <v>3.8</v>
      </c>
      <c r="K1424" t="b">
        <v>1</v>
      </c>
    </row>
    <row r="1425" spans="1:11" ht="16" x14ac:dyDescent="0.2">
      <c r="A1425" s="16">
        <v>45310</v>
      </c>
      <c r="B1425" t="s">
        <v>45</v>
      </c>
      <c r="C1425" t="s">
        <v>45</v>
      </c>
      <c r="D1425" t="s">
        <v>20</v>
      </c>
      <c r="E1425" t="str">
        <f>E1424</f>
        <v>Đà Nẵng</v>
      </c>
      <c r="F1425">
        <v>1</v>
      </c>
      <c r="G1425" s="15">
        <v>2710000</v>
      </c>
      <c r="H1425" s="14">
        <v>0.13075929750140999</v>
      </c>
      <c r="I1425" s="27">
        <f t="shared" si="22"/>
        <v>2355642.3037711792</v>
      </c>
      <c r="J1425">
        <v>3.6</v>
      </c>
      <c r="K1425" t="b">
        <v>1</v>
      </c>
    </row>
    <row r="1426" spans="1:11" ht="16" x14ac:dyDescent="0.2">
      <c r="A1426" s="16">
        <v>45311</v>
      </c>
      <c r="B1426" t="s">
        <v>45</v>
      </c>
      <c r="C1426" t="s">
        <v>25</v>
      </c>
      <c r="D1426" t="s">
        <v>35</v>
      </c>
      <c r="E1426" t="s">
        <v>7641</v>
      </c>
      <c r="F1426">
        <v>2</v>
      </c>
      <c r="G1426" s="15">
        <v>2710000</v>
      </c>
      <c r="H1426" s="14">
        <v>0.13075929750140999</v>
      </c>
      <c r="I1426" s="27">
        <f t="shared" si="22"/>
        <v>2355642.3037711792</v>
      </c>
      <c r="J1426">
        <v>3.8</v>
      </c>
      <c r="K1426" t="b">
        <v>1</v>
      </c>
    </row>
    <row r="1427" spans="1:11" ht="16" x14ac:dyDescent="0.2">
      <c r="A1427" s="16">
        <v>45311</v>
      </c>
      <c r="B1427" t="s">
        <v>33</v>
      </c>
      <c r="C1427" t="s">
        <v>34</v>
      </c>
      <c r="D1427" t="s">
        <v>20</v>
      </c>
      <c r="E1427" t="s">
        <v>7641</v>
      </c>
      <c r="F1427">
        <v>1</v>
      </c>
      <c r="G1427" s="15">
        <v>2710000</v>
      </c>
      <c r="H1427" s="14">
        <v>0.13075929750140999</v>
      </c>
      <c r="I1427" s="27">
        <f t="shared" si="22"/>
        <v>2355642.3037711792</v>
      </c>
      <c r="J1427">
        <v>4.4000000000000004</v>
      </c>
      <c r="K1427" t="b">
        <v>1</v>
      </c>
    </row>
    <row r="1428" spans="1:11" ht="16" x14ac:dyDescent="0.2">
      <c r="A1428" s="16">
        <v>45311</v>
      </c>
      <c r="B1428" t="s">
        <v>45</v>
      </c>
      <c r="C1428" t="s">
        <v>19</v>
      </c>
      <c r="D1428" t="s">
        <v>35</v>
      </c>
      <c r="E1428" t="s">
        <v>7643</v>
      </c>
      <c r="F1428">
        <v>2</v>
      </c>
      <c r="G1428" s="15">
        <v>2710000</v>
      </c>
      <c r="H1428" s="14">
        <v>0.13075929750140999</v>
      </c>
      <c r="I1428" s="27">
        <f t="shared" si="22"/>
        <v>2355642.3037711792</v>
      </c>
      <c r="J1428">
        <v>4.0999999999999996</v>
      </c>
      <c r="K1428" t="b">
        <v>1</v>
      </c>
    </row>
    <row r="1429" spans="1:11" ht="16" x14ac:dyDescent="0.2">
      <c r="A1429" s="16">
        <v>45311</v>
      </c>
      <c r="B1429" t="s">
        <v>45</v>
      </c>
      <c r="C1429" t="s">
        <v>34</v>
      </c>
      <c r="D1429" t="s">
        <v>35</v>
      </c>
      <c r="E1429" t="s">
        <v>99</v>
      </c>
      <c r="F1429">
        <v>2</v>
      </c>
      <c r="G1429" s="15">
        <v>2710000</v>
      </c>
      <c r="H1429" s="14">
        <v>0.13075929750140999</v>
      </c>
      <c r="I1429" s="27">
        <f t="shared" si="22"/>
        <v>2355642.3037711792</v>
      </c>
      <c r="J1429">
        <v>3.7</v>
      </c>
      <c r="K1429" t="b">
        <v>1</v>
      </c>
    </row>
    <row r="1430" spans="1:11" ht="16" x14ac:dyDescent="0.2">
      <c r="A1430" s="16">
        <v>45311</v>
      </c>
      <c r="B1430" t="s">
        <v>33</v>
      </c>
      <c r="C1430" t="s">
        <v>45</v>
      </c>
      <c r="D1430" t="s">
        <v>20</v>
      </c>
      <c r="E1430" t="s">
        <v>7637</v>
      </c>
      <c r="F1430">
        <v>1</v>
      </c>
      <c r="G1430" s="15">
        <v>2710000</v>
      </c>
      <c r="H1430" s="14">
        <v>0.13075929750140999</v>
      </c>
      <c r="I1430" s="27">
        <f t="shared" si="22"/>
        <v>2355642.3037711792</v>
      </c>
      <c r="J1430">
        <v>4</v>
      </c>
      <c r="K1430" t="b">
        <v>1</v>
      </c>
    </row>
    <row r="1431" spans="1:11" ht="16" x14ac:dyDescent="0.2">
      <c r="A1431" s="16">
        <v>45311</v>
      </c>
      <c r="B1431" t="s">
        <v>18</v>
      </c>
      <c r="C1431" t="s">
        <v>45</v>
      </c>
      <c r="D1431" t="s">
        <v>50</v>
      </c>
      <c r="E1431" t="s">
        <v>7641</v>
      </c>
      <c r="F1431">
        <v>1</v>
      </c>
      <c r="G1431" s="15">
        <v>2710000</v>
      </c>
      <c r="H1431" s="14">
        <v>0.13075929750140999</v>
      </c>
      <c r="I1431" s="27">
        <f t="shared" si="22"/>
        <v>2355642.3037711792</v>
      </c>
      <c r="J1431">
        <v>4</v>
      </c>
      <c r="K1431" t="b">
        <v>0</v>
      </c>
    </row>
    <row r="1432" spans="1:11" ht="16" x14ac:dyDescent="0.2">
      <c r="A1432" s="16">
        <v>45311</v>
      </c>
      <c r="B1432" t="s">
        <v>29</v>
      </c>
      <c r="C1432" t="s">
        <v>45</v>
      </c>
      <c r="D1432" t="s">
        <v>20</v>
      </c>
      <c r="E1432" t="s">
        <v>7640</v>
      </c>
      <c r="F1432">
        <v>1</v>
      </c>
      <c r="G1432" s="15">
        <v>2710000</v>
      </c>
      <c r="H1432" s="14">
        <v>0.13075929750140999</v>
      </c>
      <c r="I1432" s="27">
        <f t="shared" si="22"/>
        <v>2355642.3037711792</v>
      </c>
      <c r="J1432">
        <v>4.2</v>
      </c>
      <c r="K1432" t="b">
        <v>1</v>
      </c>
    </row>
    <row r="1433" spans="1:11" ht="16" x14ac:dyDescent="0.2">
      <c r="A1433" s="16">
        <v>45311</v>
      </c>
      <c r="B1433" t="s">
        <v>18</v>
      </c>
      <c r="C1433" t="s">
        <v>25</v>
      </c>
      <c r="D1433" t="s">
        <v>46</v>
      </c>
      <c r="E1433" t="s">
        <v>7642</v>
      </c>
      <c r="F1433">
        <v>2</v>
      </c>
      <c r="G1433" s="15">
        <v>2710000</v>
      </c>
      <c r="H1433" s="14">
        <v>0.13075929750140999</v>
      </c>
      <c r="I1433" s="27">
        <f t="shared" si="22"/>
        <v>2355642.3037711792</v>
      </c>
      <c r="J1433">
        <v>4.5999999999999996</v>
      </c>
      <c r="K1433" t="b">
        <v>0</v>
      </c>
    </row>
    <row r="1434" spans="1:11" ht="16" x14ac:dyDescent="0.2">
      <c r="A1434" s="16">
        <v>45312</v>
      </c>
      <c r="B1434" t="s">
        <v>45</v>
      </c>
      <c r="C1434" t="s">
        <v>68</v>
      </c>
      <c r="D1434" t="s">
        <v>20</v>
      </c>
      <c r="E1434" t="s">
        <v>7641</v>
      </c>
      <c r="F1434">
        <v>5</v>
      </c>
      <c r="G1434" s="15">
        <v>2710000</v>
      </c>
      <c r="H1434" s="14">
        <v>0.13075929750140999</v>
      </c>
      <c r="I1434" s="27">
        <f t="shared" si="22"/>
        <v>2355642.3037711792</v>
      </c>
      <c r="J1434">
        <v>4.0999999999999996</v>
      </c>
      <c r="K1434" t="b">
        <v>0</v>
      </c>
    </row>
    <row r="1435" spans="1:11" ht="16" x14ac:dyDescent="0.2">
      <c r="A1435" s="16">
        <v>45313</v>
      </c>
      <c r="B1435" t="s">
        <v>29</v>
      </c>
      <c r="C1435" t="s">
        <v>39</v>
      </c>
      <c r="D1435" t="s">
        <v>50</v>
      </c>
      <c r="E1435" t="str">
        <f>E1434</f>
        <v>Phú Quốc</v>
      </c>
      <c r="F1435">
        <v>2</v>
      </c>
      <c r="G1435" s="15">
        <v>2710000</v>
      </c>
      <c r="H1435" s="14">
        <v>0.13075929750140999</v>
      </c>
      <c r="I1435" s="27">
        <f t="shared" si="22"/>
        <v>2355642.3037711792</v>
      </c>
      <c r="J1435">
        <v>4.9000000000000004</v>
      </c>
      <c r="K1435" t="b">
        <v>0</v>
      </c>
    </row>
    <row r="1436" spans="1:11" ht="16" x14ac:dyDescent="0.2">
      <c r="A1436" s="16">
        <v>45313</v>
      </c>
      <c r="B1436" t="s">
        <v>45</v>
      </c>
      <c r="C1436" t="s">
        <v>34</v>
      </c>
      <c r="D1436" t="s">
        <v>50</v>
      </c>
      <c r="E1436" t="s">
        <v>7641</v>
      </c>
      <c r="F1436">
        <v>2</v>
      </c>
      <c r="G1436" s="15">
        <v>2710000</v>
      </c>
      <c r="H1436" s="14">
        <v>0.13075929750140999</v>
      </c>
      <c r="I1436" s="27">
        <f t="shared" si="22"/>
        <v>2355642.3037711792</v>
      </c>
      <c r="J1436">
        <v>4.4000000000000004</v>
      </c>
      <c r="K1436" t="b">
        <v>1</v>
      </c>
    </row>
    <row r="1437" spans="1:11" ht="16" x14ac:dyDescent="0.2">
      <c r="A1437" s="16">
        <v>45313</v>
      </c>
      <c r="B1437" t="s">
        <v>18</v>
      </c>
      <c r="C1437" t="s">
        <v>45</v>
      </c>
      <c r="D1437" t="s">
        <v>20</v>
      </c>
      <c r="E1437" t="str">
        <f>E1436</f>
        <v>Phú Quốc</v>
      </c>
      <c r="F1437">
        <v>3</v>
      </c>
      <c r="G1437" s="15">
        <v>2710000</v>
      </c>
      <c r="H1437" s="14">
        <v>0.13075929750140999</v>
      </c>
      <c r="I1437" s="27">
        <f t="shared" si="22"/>
        <v>2355642.3037711792</v>
      </c>
      <c r="J1437">
        <v>3.8</v>
      </c>
      <c r="K1437" t="b">
        <v>1</v>
      </c>
    </row>
    <row r="1438" spans="1:11" ht="16" x14ac:dyDescent="0.2">
      <c r="A1438" s="16">
        <v>45313</v>
      </c>
      <c r="B1438" t="s">
        <v>45</v>
      </c>
      <c r="C1438" t="s">
        <v>25</v>
      </c>
      <c r="D1438" t="str">
        <f>D1437</f>
        <v>Website</v>
      </c>
      <c r="E1438" t="s">
        <v>7640</v>
      </c>
      <c r="F1438">
        <v>2</v>
      </c>
      <c r="G1438" s="15">
        <v>2710000</v>
      </c>
      <c r="H1438" s="14">
        <v>0.13075929750140999</v>
      </c>
      <c r="I1438" s="27">
        <f t="shared" si="22"/>
        <v>2355642.3037711792</v>
      </c>
      <c r="J1438">
        <v>4.0999999999999996</v>
      </c>
      <c r="K1438" t="b">
        <v>0</v>
      </c>
    </row>
    <row r="1439" spans="1:11" ht="16" x14ac:dyDescent="0.2">
      <c r="A1439" s="16">
        <v>45313</v>
      </c>
      <c r="B1439" t="s">
        <v>45</v>
      </c>
      <c r="C1439" t="s">
        <v>39</v>
      </c>
      <c r="D1439" t="s">
        <v>20</v>
      </c>
      <c r="E1439" t="str">
        <f>E1438</f>
        <v>Hội An</v>
      </c>
      <c r="F1439">
        <v>2</v>
      </c>
      <c r="G1439" s="15">
        <v>2710000</v>
      </c>
      <c r="H1439" s="14">
        <v>0.13075929750140999</v>
      </c>
      <c r="I1439" s="27">
        <f t="shared" si="22"/>
        <v>2355642.3037711792</v>
      </c>
      <c r="J1439">
        <v>4.4000000000000004</v>
      </c>
      <c r="K1439" t="b">
        <v>1</v>
      </c>
    </row>
    <row r="1440" spans="1:11" ht="16" x14ac:dyDescent="0.2">
      <c r="A1440" s="16">
        <v>45313</v>
      </c>
      <c r="B1440" t="s">
        <v>45</v>
      </c>
      <c r="C1440" t="s">
        <v>25</v>
      </c>
      <c r="D1440" t="s">
        <v>35</v>
      </c>
      <c r="E1440" t="s">
        <v>7637</v>
      </c>
      <c r="F1440">
        <v>1</v>
      </c>
      <c r="G1440" s="15">
        <v>2710000</v>
      </c>
      <c r="H1440" s="14">
        <v>0.13075929750140999</v>
      </c>
      <c r="I1440" s="27">
        <f t="shared" si="22"/>
        <v>2355642.3037711792</v>
      </c>
      <c r="J1440">
        <v>3.7</v>
      </c>
      <c r="K1440" t="b">
        <v>0</v>
      </c>
    </row>
    <row r="1441" spans="1:11" ht="16" x14ac:dyDescent="0.2">
      <c r="A1441" s="16">
        <v>45313</v>
      </c>
      <c r="B1441" t="s">
        <v>18</v>
      </c>
      <c r="C1441" t="s">
        <v>19</v>
      </c>
      <c r="D1441" t="s">
        <v>20</v>
      </c>
      <c r="E1441" t="s">
        <v>7641</v>
      </c>
      <c r="F1441">
        <v>5</v>
      </c>
      <c r="G1441" s="15">
        <v>2710000</v>
      </c>
      <c r="H1441" s="14">
        <v>0.13075929750140999</v>
      </c>
      <c r="I1441" s="27">
        <f t="shared" si="22"/>
        <v>2355642.3037711792</v>
      </c>
      <c r="J1441">
        <v>5</v>
      </c>
      <c r="K1441" t="b">
        <v>1</v>
      </c>
    </row>
    <row r="1442" spans="1:11" ht="16" x14ac:dyDescent="0.2">
      <c r="A1442" s="16">
        <v>45313</v>
      </c>
      <c r="B1442" t="s">
        <v>33</v>
      </c>
      <c r="C1442" t="s">
        <v>34</v>
      </c>
      <c r="D1442" t="s">
        <v>20</v>
      </c>
      <c r="E1442" t="s">
        <v>7637</v>
      </c>
      <c r="F1442">
        <v>2</v>
      </c>
      <c r="G1442" s="15">
        <v>2710000</v>
      </c>
      <c r="H1442" s="14">
        <v>0.13075929750140999</v>
      </c>
      <c r="I1442" s="27">
        <f t="shared" si="22"/>
        <v>2355642.3037711792</v>
      </c>
      <c r="J1442">
        <v>4.9000000000000004</v>
      </c>
      <c r="K1442" t="b">
        <v>0</v>
      </c>
    </row>
    <row r="1443" spans="1:11" ht="16" x14ac:dyDescent="0.2">
      <c r="A1443" s="16">
        <v>45315</v>
      </c>
      <c r="B1443" t="s">
        <v>18</v>
      </c>
      <c r="C1443" t="s">
        <v>45</v>
      </c>
      <c r="D1443" t="s">
        <v>20</v>
      </c>
      <c r="E1443" t="s">
        <v>99</v>
      </c>
      <c r="F1443">
        <v>2</v>
      </c>
      <c r="G1443" s="15">
        <v>2710000</v>
      </c>
      <c r="H1443" s="14">
        <v>0.13075929750140999</v>
      </c>
      <c r="I1443" s="27">
        <f t="shared" si="22"/>
        <v>2355642.3037711792</v>
      </c>
      <c r="J1443">
        <v>4.5</v>
      </c>
      <c r="K1443" t="b">
        <v>0</v>
      </c>
    </row>
    <row r="1444" spans="1:11" ht="16" x14ac:dyDescent="0.2">
      <c r="A1444" s="16">
        <v>45316</v>
      </c>
      <c r="B1444" t="s">
        <v>18</v>
      </c>
      <c r="C1444" t="s">
        <v>19</v>
      </c>
      <c r="D1444" t="s">
        <v>20</v>
      </c>
      <c r="E1444" t="s">
        <v>7642</v>
      </c>
      <c r="F1444">
        <v>1</v>
      </c>
      <c r="G1444" s="15">
        <v>2710000</v>
      </c>
      <c r="H1444" s="14">
        <v>0.13075929750140999</v>
      </c>
      <c r="I1444" s="27">
        <f t="shared" si="22"/>
        <v>2355642.3037711792</v>
      </c>
      <c r="J1444">
        <v>5</v>
      </c>
      <c r="K1444" t="b">
        <v>0</v>
      </c>
    </row>
    <row r="1445" spans="1:11" ht="16" x14ac:dyDescent="0.2">
      <c r="A1445" s="16">
        <v>45316</v>
      </c>
      <c r="B1445" t="s">
        <v>18</v>
      </c>
      <c r="C1445" t="s">
        <v>25</v>
      </c>
      <c r="D1445" t="s">
        <v>20</v>
      </c>
      <c r="E1445" t="s">
        <v>7638</v>
      </c>
      <c r="F1445">
        <v>3</v>
      </c>
      <c r="G1445" s="15">
        <v>2710000</v>
      </c>
      <c r="H1445" s="14">
        <v>0.13075929750140999</v>
      </c>
      <c r="I1445" s="27">
        <f t="shared" si="22"/>
        <v>2355642.3037711792</v>
      </c>
      <c r="J1445">
        <v>3.3</v>
      </c>
      <c r="K1445" t="b">
        <v>1</v>
      </c>
    </row>
    <row r="1446" spans="1:11" ht="16" x14ac:dyDescent="0.2">
      <c r="A1446" s="16">
        <v>45317</v>
      </c>
      <c r="B1446" t="s">
        <v>33</v>
      </c>
      <c r="C1446" t="s">
        <v>34</v>
      </c>
      <c r="D1446" t="s">
        <v>35</v>
      </c>
      <c r="E1446" t="s">
        <v>7641</v>
      </c>
      <c r="F1446">
        <v>3</v>
      </c>
      <c r="G1446" s="15">
        <v>2710000</v>
      </c>
      <c r="H1446" s="14">
        <v>0.13075929750140999</v>
      </c>
      <c r="I1446" s="27">
        <f t="shared" si="22"/>
        <v>2355642.3037711792</v>
      </c>
      <c r="J1446">
        <v>4.8</v>
      </c>
      <c r="K1446" t="b">
        <v>0</v>
      </c>
    </row>
    <row r="1447" spans="1:11" ht="16" x14ac:dyDescent="0.2">
      <c r="A1447" s="16">
        <v>45317</v>
      </c>
      <c r="B1447" t="s">
        <v>18</v>
      </c>
      <c r="C1447" t="s">
        <v>19</v>
      </c>
      <c r="D1447" t="s">
        <v>20</v>
      </c>
      <c r="E1447" t="s">
        <v>7637</v>
      </c>
      <c r="F1447">
        <v>1</v>
      </c>
      <c r="G1447" s="15">
        <v>2710000</v>
      </c>
      <c r="H1447" s="14">
        <v>0.13075929750140999</v>
      </c>
      <c r="I1447" s="27">
        <f t="shared" si="22"/>
        <v>2355642.3037711792</v>
      </c>
      <c r="J1447">
        <v>3.4</v>
      </c>
      <c r="K1447" t="b">
        <v>0</v>
      </c>
    </row>
    <row r="1448" spans="1:11" ht="16" x14ac:dyDescent="0.2">
      <c r="A1448" s="16">
        <v>45317</v>
      </c>
      <c r="B1448" t="s">
        <v>45</v>
      </c>
      <c r="C1448" t="s">
        <v>19</v>
      </c>
      <c r="D1448" t="s">
        <v>50</v>
      </c>
      <c r="E1448" t="s">
        <v>7644</v>
      </c>
      <c r="F1448">
        <v>2</v>
      </c>
      <c r="G1448" s="15">
        <v>2710000</v>
      </c>
      <c r="H1448" s="14">
        <v>0.13075929750140999</v>
      </c>
      <c r="I1448" s="27">
        <f t="shared" si="22"/>
        <v>2355642.3037711792</v>
      </c>
      <c r="J1448">
        <v>4.0999999999999996</v>
      </c>
      <c r="K1448" t="b">
        <v>0</v>
      </c>
    </row>
    <row r="1449" spans="1:11" ht="16" x14ac:dyDescent="0.2">
      <c r="A1449" s="16">
        <v>45318</v>
      </c>
      <c r="B1449" t="s">
        <v>33</v>
      </c>
      <c r="C1449" t="s">
        <v>68</v>
      </c>
      <c r="D1449" t="s">
        <v>20</v>
      </c>
      <c r="E1449" t="s">
        <v>7643</v>
      </c>
      <c r="F1449">
        <v>2</v>
      </c>
      <c r="G1449" s="15">
        <v>2710000</v>
      </c>
      <c r="H1449" s="14">
        <v>0.13075929750140999</v>
      </c>
      <c r="I1449" s="27">
        <f t="shared" si="22"/>
        <v>2355642.3037711792</v>
      </c>
      <c r="J1449">
        <v>4.5</v>
      </c>
      <c r="K1449" t="b">
        <v>1</v>
      </c>
    </row>
    <row r="1450" spans="1:11" ht="16" x14ac:dyDescent="0.2">
      <c r="A1450" s="16">
        <v>45318</v>
      </c>
      <c r="B1450" t="s">
        <v>33</v>
      </c>
      <c r="C1450" t="s">
        <v>45</v>
      </c>
      <c r="D1450" t="s">
        <v>20</v>
      </c>
      <c r="E1450" t="s">
        <v>7637</v>
      </c>
      <c r="F1450">
        <v>2</v>
      </c>
      <c r="G1450" s="15">
        <v>2710000</v>
      </c>
      <c r="H1450" s="14">
        <v>0.13075929750140999</v>
      </c>
      <c r="I1450" s="27">
        <f t="shared" si="22"/>
        <v>2355642.3037711792</v>
      </c>
      <c r="J1450">
        <v>4.4000000000000004</v>
      </c>
      <c r="K1450" t="b">
        <v>1</v>
      </c>
    </row>
    <row r="1451" spans="1:11" ht="16" x14ac:dyDescent="0.2">
      <c r="A1451" s="16">
        <v>45318</v>
      </c>
      <c r="B1451" t="s">
        <v>18</v>
      </c>
      <c r="C1451" t="s">
        <v>45</v>
      </c>
      <c r="D1451" t="s">
        <v>50</v>
      </c>
      <c r="E1451" t="s">
        <v>7643</v>
      </c>
      <c r="F1451">
        <v>4</v>
      </c>
      <c r="G1451" s="15">
        <v>2710000</v>
      </c>
      <c r="H1451" s="14">
        <v>0.13075929750140999</v>
      </c>
      <c r="I1451" s="27">
        <f t="shared" si="22"/>
        <v>2355642.3037711792</v>
      </c>
      <c r="J1451">
        <v>5</v>
      </c>
      <c r="K1451" t="b">
        <v>0</v>
      </c>
    </row>
    <row r="1452" spans="1:11" ht="16" x14ac:dyDescent="0.2">
      <c r="A1452" s="16">
        <v>45318</v>
      </c>
      <c r="B1452" t="s">
        <v>29</v>
      </c>
      <c r="C1452" t="s">
        <v>34</v>
      </c>
      <c r="D1452" t="s">
        <v>20</v>
      </c>
      <c r="E1452" t="s">
        <v>7638</v>
      </c>
      <c r="F1452">
        <v>1</v>
      </c>
      <c r="G1452" s="15">
        <v>2710000</v>
      </c>
      <c r="H1452" s="14">
        <v>0.13075929750140999</v>
      </c>
      <c r="I1452" s="27">
        <f t="shared" si="22"/>
        <v>2355642.3037711792</v>
      </c>
      <c r="J1452">
        <v>5</v>
      </c>
      <c r="K1452" t="b">
        <v>0</v>
      </c>
    </row>
    <row r="1453" spans="1:11" ht="16" x14ac:dyDescent="0.2">
      <c r="A1453" s="16">
        <v>45319</v>
      </c>
      <c r="B1453" t="s">
        <v>45</v>
      </c>
      <c r="C1453" t="s">
        <v>34</v>
      </c>
      <c r="D1453" t="s">
        <v>50</v>
      </c>
      <c r="E1453" t="s">
        <v>99</v>
      </c>
      <c r="F1453">
        <v>2</v>
      </c>
      <c r="G1453" s="15">
        <v>2710000</v>
      </c>
      <c r="H1453" s="14">
        <v>0.13075929750140999</v>
      </c>
      <c r="I1453" s="27">
        <f t="shared" si="22"/>
        <v>2355642.3037711792</v>
      </c>
      <c r="J1453">
        <v>4.2</v>
      </c>
      <c r="K1453" t="b">
        <v>0</v>
      </c>
    </row>
    <row r="1454" spans="1:11" ht="16" x14ac:dyDescent="0.2">
      <c r="A1454" s="16">
        <v>45319</v>
      </c>
      <c r="B1454" t="s">
        <v>45</v>
      </c>
      <c r="C1454" t="s">
        <v>19</v>
      </c>
      <c r="D1454" t="s">
        <v>35</v>
      </c>
      <c r="E1454" t="s">
        <v>7638</v>
      </c>
      <c r="F1454">
        <v>2</v>
      </c>
      <c r="G1454" s="15">
        <v>2710000</v>
      </c>
      <c r="H1454" s="14">
        <v>0.13075929750140999</v>
      </c>
      <c r="I1454" s="27">
        <f t="shared" si="22"/>
        <v>2355642.3037711792</v>
      </c>
      <c r="J1454">
        <v>4.8</v>
      </c>
      <c r="K1454" t="b">
        <v>1</v>
      </c>
    </row>
    <row r="1455" spans="1:11" ht="16" x14ac:dyDescent="0.2">
      <c r="A1455" s="16">
        <v>45319</v>
      </c>
      <c r="B1455" t="s">
        <v>18</v>
      </c>
      <c r="C1455" t="s">
        <v>68</v>
      </c>
      <c r="D1455" t="str">
        <f>D1454</f>
        <v>Mobile App</v>
      </c>
      <c r="E1455" t="s">
        <v>7641</v>
      </c>
      <c r="F1455">
        <v>2</v>
      </c>
      <c r="G1455" s="15">
        <v>2710000</v>
      </c>
      <c r="H1455" s="14">
        <v>0.13075929750140999</v>
      </c>
      <c r="I1455" s="27">
        <f t="shared" si="22"/>
        <v>2355642.3037711792</v>
      </c>
      <c r="J1455">
        <v>5</v>
      </c>
      <c r="K1455" t="b">
        <v>0</v>
      </c>
    </row>
    <row r="1456" spans="1:11" ht="16" x14ac:dyDescent="0.2">
      <c r="A1456" s="16">
        <v>45319</v>
      </c>
      <c r="B1456" t="s">
        <v>45</v>
      </c>
      <c r="C1456" t="s">
        <v>68</v>
      </c>
      <c r="D1456" t="s">
        <v>20</v>
      </c>
      <c r="E1456" t="s">
        <v>7641</v>
      </c>
      <c r="F1456">
        <v>2</v>
      </c>
      <c r="G1456" s="15">
        <v>2710000</v>
      </c>
      <c r="H1456" s="14">
        <v>0.13075929750140999</v>
      </c>
      <c r="I1456" s="27">
        <f t="shared" si="22"/>
        <v>2355642.3037711792</v>
      </c>
      <c r="J1456">
        <v>4.2</v>
      </c>
      <c r="K1456" t="b">
        <v>1</v>
      </c>
    </row>
    <row r="1457" spans="1:11" ht="16" x14ac:dyDescent="0.2">
      <c r="A1457" s="16">
        <v>45319</v>
      </c>
      <c r="B1457" t="s">
        <v>33</v>
      </c>
      <c r="C1457" t="s">
        <v>25</v>
      </c>
      <c r="D1457" t="s">
        <v>35</v>
      </c>
      <c r="E1457" t="s">
        <v>7641</v>
      </c>
      <c r="F1457">
        <v>1</v>
      </c>
      <c r="G1457" s="15">
        <v>2710000</v>
      </c>
      <c r="H1457" s="14">
        <v>0.13075929750140999</v>
      </c>
      <c r="I1457" s="27">
        <f t="shared" si="22"/>
        <v>2355642.3037711792</v>
      </c>
      <c r="J1457">
        <v>4.0999999999999996</v>
      </c>
      <c r="K1457" t="b">
        <v>0</v>
      </c>
    </row>
    <row r="1458" spans="1:11" ht="16" x14ac:dyDescent="0.2">
      <c r="A1458" s="16">
        <v>45320</v>
      </c>
      <c r="B1458" t="s">
        <v>18</v>
      </c>
      <c r="C1458" t="s">
        <v>39</v>
      </c>
      <c r="D1458" t="s">
        <v>20</v>
      </c>
      <c r="E1458" t="s">
        <v>7643</v>
      </c>
      <c r="F1458">
        <v>2</v>
      </c>
      <c r="G1458" s="15">
        <v>2710000</v>
      </c>
      <c r="H1458" s="14">
        <v>0.13075929750140999</v>
      </c>
      <c r="I1458" s="27">
        <f t="shared" si="22"/>
        <v>2355642.3037711792</v>
      </c>
      <c r="J1458">
        <v>4.2</v>
      </c>
      <c r="K1458" t="b">
        <v>1</v>
      </c>
    </row>
    <row r="1459" spans="1:11" ht="16" x14ac:dyDescent="0.2">
      <c r="A1459" s="16">
        <v>45320</v>
      </c>
      <c r="B1459" t="s">
        <v>45</v>
      </c>
      <c r="C1459" t="s">
        <v>34</v>
      </c>
      <c r="D1459" t="s">
        <v>50</v>
      </c>
      <c r="E1459" t="s">
        <v>57</v>
      </c>
      <c r="F1459">
        <v>2</v>
      </c>
      <c r="G1459" s="15">
        <v>2710000</v>
      </c>
      <c r="H1459" s="14">
        <v>0.13075929750140999</v>
      </c>
      <c r="I1459" s="27">
        <f t="shared" si="22"/>
        <v>2355642.3037711792</v>
      </c>
      <c r="J1459">
        <v>4.7</v>
      </c>
      <c r="K1459" t="b">
        <v>0</v>
      </c>
    </row>
    <row r="1460" spans="1:11" ht="16" x14ac:dyDescent="0.2">
      <c r="A1460" s="16">
        <v>45321</v>
      </c>
      <c r="B1460" t="s">
        <v>45</v>
      </c>
      <c r="C1460" t="s">
        <v>19</v>
      </c>
      <c r="D1460" t="s">
        <v>20</v>
      </c>
      <c r="E1460" t="s">
        <v>99</v>
      </c>
      <c r="F1460">
        <v>1</v>
      </c>
      <c r="G1460" s="15">
        <v>2710000</v>
      </c>
      <c r="H1460" s="14">
        <v>0.13075929750140999</v>
      </c>
      <c r="I1460" s="27">
        <f t="shared" si="22"/>
        <v>2355642.3037711792</v>
      </c>
      <c r="J1460">
        <v>4.4000000000000004</v>
      </c>
      <c r="K1460" t="b">
        <v>0</v>
      </c>
    </row>
    <row r="1461" spans="1:11" ht="16" x14ac:dyDescent="0.2">
      <c r="A1461" s="16">
        <v>45321</v>
      </c>
      <c r="B1461" t="s">
        <v>18</v>
      </c>
      <c r="C1461" t="s">
        <v>19</v>
      </c>
      <c r="D1461" t="s">
        <v>50</v>
      </c>
      <c r="E1461" t="s">
        <v>57</v>
      </c>
      <c r="F1461">
        <v>1</v>
      </c>
      <c r="G1461" s="15">
        <v>2710000</v>
      </c>
      <c r="H1461" s="14">
        <v>0.13075929750140999</v>
      </c>
      <c r="I1461" s="27">
        <f t="shared" si="22"/>
        <v>2355642.3037711792</v>
      </c>
      <c r="J1461">
        <v>4.5</v>
      </c>
      <c r="K1461" t="b">
        <v>1</v>
      </c>
    </row>
    <row r="1462" spans="1:11" ht="16" x14ac:dyDescent="0.2">
      <c r="A1462" s="16">
        <v>45321</v>
      </c>
      <c r="B1462" t="str">
        <f>B1461</f>
        <v>Young Professional</v>
      </c>
      <c r="C1462" t="s">
        <v>19</v>
      </c>
      <c r="D1462" t="s">
        <v>20</v>
      </c>
      <c r="E1462" t="s">
        <v>7638</v>
      </c>
      <c r="F1462">
        <v>1</v>
      </c>
      <c r="G1462" s="15">
        <v>2710000</v>
      </c>
      <c r="H1462" s="14">
        <v>0.13075929750140999</v>
      </c>
      <c r="I1462" s="27">
        <f t="shared" si="22"/>
        <v>2355642.3037711792</v>
      </c>
      <c r="J1462">
        <v>4.5</v>
      </c>
      <c r="K1462" t="b">
        <v>1</v>
      </c>
    </row>
    <row r="1463" spans="1:11" ht="16" x14ac:dyDescent="0.2">
      <c r="A1463" s="16">
        <v>45322</v>
      </c>
      <c r="B1463" t="s">
        <v>33</v>
      </c>
      <c r="C1463" t="s">
        <v>39</v>
      </c>
      <c r="D1463" t="s">
        <v>20</v>
      </c>
      <c r="E1463" t="s">
        <v>99</v>
      </c>
      <c r="F1463">
        <v>1</v>
      </c>
      <c r="G1463" s="15">
        <v>2710000</v>
      </c>
      <c r="H1463" s="14">
        <v>0.13075929750140999</v>
      </c>
      <c r="I1463" s="27">
        <f t="shared" si="22"/>
        <v>2355642.3037711792</v>
      </c>
      <c r="J1463">
        <v>3.5</v>
      </c>
      <c r="K1463" t="b">
        <v>0</v>
      </c>
    </row>
    <row r="1464" spans="1:11" ht="16" x14ac:dyDescent="0.2">
      <c r="A1464" s="16">
        <v>45324</v>
      </c>
      <c r="B1464" t="s">
        <v>45</v>
      </c>
      <c r="C1464" t="s">
        <v>68</v>
      </c>
      <c r="D1464" t="s">
        <v>20</v>
      </c>
      <c r="E1464" t="s">
        <v>7639</v>
      </c>
      <c r="F1464">
        <v>2</v>
      </c>
      <c r="G1464" s="15">
        <v>2710000</v>
      </c>
      <c r="H1464" s="14">
        <v>0.13075929750140999</v>
      </c>
      <c r="I1464" s="27">
        <f t="shared" si="22"/>
        <v>2355642.3037711792</v>
      </c>
      <c r="J1464">
        <v>3.8</v>
      </c>
      <c r="K1464" t="b">
        <v>1</v>
      </c>
    </row>
    <row r="1465" spans="1:11" ht="16" x14ac:dyDescent="0.2">
      <c r="A1465" s="16">
        <v>45324</v>
      </c>
      <c r="B1465" t="s">
        <v>45</v>
      </c>
      <c r="C1465" t="s">
        <v>45</v>
      </c>
      <c r="D1465" t="s">
        <v>35</v>
      </c>
      <c r="E1465" t="s">
        <v>7641</v>
      </c>
      <c r="F1465">
        <v>4</v>
      </c>
      <c r="G1465" s="15">
        <v>2710000</v>
      </c>
      <c r="H1465" s="14">
        <v>0.13075929750140999</v>
      </c>
      <c r="I1465" s="27">
        <f t="shared" si="22"/>
        <v>2355642.3037711792</v>
      </c>
      <c r="J1465">
        <v>3.7</v>
      </c>
      <c r="K1465" t="b">
        <v>0</v>
      </c>
    </row>
    <row r="1466" spans="1:11" ht="16" x14ac:dyDescent="0.2">
      <c r="A1466" s="16">
        <v>45325</v>
      </c>
      <c r="B1466" t="s">
        <v>45</v>
      </c>
      <c r="C1466" t="s">
        <v>45</v>
      </c>
      <c r="D1466" t="s">
        <v>35</v>
      </c>
      <c r="E1466" t="s">
        <v>7642</v>
      </c>
      <c r="F1466">
        <v>1</v>
      </c>
      <c r="G1466" s="15">
        <v>2710000</v>
      </c>
      <c r="H1466" s="14">
        <v>0.13075929750140999</v>
      </c>
      <c r="I1466" s="27">
        <f t="shared" si="22"/>
        <v>2355642.3037711792</v>
      </c>
      <c r="J1466">
        <v>4</v>
      </c>
      <c r="K1466" t="b">
        <v>0</v>
      </c>
    </row>
    <row r="1467" spans="1:11" ht="16" x14ac:dyDescent="0.2">
      <c r="A1467" s="16">
        <v>45325</v>
      </c>
      <c r="B1467" t="s">
        <v>18</v>
      </c>
      <c r="C1467" t="s">
        <v>19</v>
      </c>
      <c r="D1467" t="s">
        <v>20</v>
      </c>
      <c r="E1467" t="s">
        <v>7642</v>
      </c>
      <c r="F1467">
        <v>4</v>
      </c>
      <c r="G1467" s="15">
        <v>2710000</v>
      </c>
      <c r="H1467" s="14">
        <v>0.13075929750140999</v>
      </c>
      <c r="I1467" s="27">
        <f t="shared" si="22"/>
        <v>2355642.3037711792</v>
      </c>
      <c r="J1467">
        <v>4.8</v>
      </c>
      <c r="K1467" t="b">
        <v>1</v>
      </c>
    </row>
    <row r="1468" spans="1:11" ht="16" x14ac:dyDescent="0.2">
      <c r="A1468" s="16">
        <v>45326</v>
      </c>
      <c r="B1468" t="s">
        <v>29</v>
      </c>
      <c r="C1468" t="s">
        <v>25</v>
      </c>
      <c r="D1468" t="s">
        <v>20</v>
      </c>
      <c r="E1468" t="s">
        <v>7637</v>
      </c>
      <c r="F1468">
        <v>1</v>
      </c>
      <c r="G1468" s="15">
        <v>2710000</v>
      </c>
      <c r="H1468" s="14">
        <v>0.13075929750140999</v>
      </c>
      <c r="I1468" s="27">
        <f t="shared" si="22"/>
        <v>2355642.3037711792</v>
      </c>
      <c r="J1468">
        <v>4</v>
      </c>
      <c r="K1468" t="b">
        <v>1</v>
      </c>
    </row>
    <row r="1469" spans="1:11" ht="16" x14ac:dyDescent="0.2">
      <c r="A1469" s="16">
        <v>45327</v>
      </c>
      <c r="B1469" t="s">
        <v>29</v>
      </c>
      <c r="C1469" t="s">
        <v>19</v>
      </c>
      <c r="D1469" t="s">
        <v>20</v>
      </c>
      <c r="E1469" t="s">
        <v>7639</v>
      </c>
      <c r="F1469">
        <v>1</v>
      </c>
      <c r="G1469" s="15">
        <v>2710000</v>
      </c>
      <c r="H1469" s="14">
        <v>0.13075929750140999</v>
      </c>
      <c r="I1469" s="27">
        <f t="shared" si="22"/>
        <v>2355642.3037711792</v>
      </c>
      <c r="J1469">
        <v>4.3</v>
      </c>
      <c r="K1469" t="b">
        <v>1</v>
      </c>
    </row>
    <row r="1470" spans="1:11" ht="16" x14ac:dyDescent="0.2">
      <c r="A1470" s="16">
        <v>45327</v>
      </c>
      <c r="B1470" t="s">
        <v>18</v>
      </c>
      <c r="C1470" t="s">
        <v>39</v>
      </c>
      <c r="D1470" t="s">
        <v>20</v>
      </c>
      <c r="E1470" t="str">
        <f>E1469</f>
        <v>Hà Nội</v>
      </c>
      <c r="F1470">
        <v>1</v>
      </c>
      <c r="G1470" s="15">
        <v>2710000</v>
      </c>
      <c r="H1470" s="14">
        <v>0.13075929750140999</v>
      </c>
      <c r="I1470" s="27">
        <f t="shared" si="22"/>
        <v>2355642.3037711792</v>
      </c>
      <c r="J1470">
        <v>4.3</v>
      </c>
      <c r="K1470" t="b">
        <v>0</v>
      </c>
    </row>
    <row r="1471" spans="1:11" ht="16" x14ac:dyDescent="0.2">
      <c r="A1471" s="16">
        <v>45329</v>
      </c>
      <c r="B1471" t="s">
        <v>18</v>
      </c>
      <c r="C1471" t="s">
        <v>39</v>
      </c>
      <c r="D1471" t="str">
        <f>D1470</f>
        <v>Website</v>
      </c>
      <c r="E1471" t="s">
        <v>7639</v>
      </c>
      <c r="F1471">
        <v>1</v>
      </c>
      <c r="G1471" s="15">
        <v>2710000</v>
      </c>
      <c r="H1471" s="14">
        <v>0.13075929750140999</v>
      </c>
      <c r="I1471" s="27">
        <f t="shared" si="22"/>
        <v>2355642.3037711792</v>
      </c>
      <c r="J1471">
        <v>4.4000000000000004</v>
      </c>
      <c r="K1471" t="b">
        <v>1</v>
      </c>
    </row>
    <row r="1472" spans="1:11" ht="16" x14ac:dyDescent="0.2">
      <c r="A1472" s="16">
        <v>45329</v>
      </c>
      <c r="B1472" t="s">
        <v>33</v>
      </c>
      <c r="C1472" t="s">
        <v>34</v>
      </c>
      <c r="D1472" t="s">
        <v>50</v>
      </c>
      <c r="E1472" t="s">
        <v>57</v>
      </c>
      <c r="F1472">
        <v>2</v>
      </c>
      <c r="G1472" s="15">
        <v>2710000</v>
      </c>
      <c r="H1472" s="14">
        <v>0.13075929750140999</v>
      </c>
      <c r="I1472" s="27">
        <f t="shared" si="22"/>
        <v>2355642.3037711792</v>
      </c>
      <c r="J1472">
        <v>5</v>
      </c>
      <c r="K1472" t="b">
        <v>1</v>
      </c>
    </row>
    <row r="1473" spans="1:11" ht="16" x14ac:dyDescent="0.2">
      <c r="A1473" s="16">
        <v>45329</v>
      </c>
      <c r="B1473" t="s">
        <v>45</v>
      </c>
      <c r="C1473" t="s">
        <v>68</v>
      </c>
      <c r="D1473" t="s">
        <v>50</v>
      </c>
      <c r="E1473" t="s">
        <v>7642</v>
      </c>
      <c r="F1473">
        <v>1</v>
      </c>
      <c r="G1473" s="15">
        <v>2710000</v>
      </c>
      <c r="H1473" s="14">
        <v>0.13075929750140999</v>
      </c>
      <c r="I1473" s="27">
        <f t="shared" si="22"/>
        <v>2355642.3037711792</v>
      </c>
      <c r="J1473">
        <v>4.2</v>
      </c>
      <c r="K1473" t="b">
        <v>1</v>
      </c>
    </row>
    <row r="1474" spans="1:11" ht="16" x14ac:dyDescent="0.2">
      <c r="A1474" s="16">
        <v>45329</v>
      </c>
      <c r="B1474" t="s">
        <v>33</v>
      </c>
      <c r="C1474" t="s">
        <v>25</v>
      </c>
      <c r="D1474" t="s">
        <v>35</v>
      </c>
      <c r="E1474" t="s">
        <v>7644</v>
      </c>
      <c r="F1474">
        <v>1</v>
      </c>
      <c r="G1474" s="15">
        <v>2710000</v>
      </c>
      <c r="H1474" s="14">
        <v>0.13075929750140999</v>
      </c>
      <c r="I1474" s="27">
        <f t="shared" si="22"/>
        <v>2355642.3037711792</v>
      </c>
      <c r="J1474">
        <v>4.3</v>
      </c>
      <c r="K1474" t="b">
        <v>1</v>
      </c>
    </row>
    <row r="1475" spans="1:11" ht="16" x14ac:dyDescent="0.2">
      <c r="A1475" s="16">
        <v>45330</v>
      </c>
      <c r="B1475" t="s">
        <v>18</v>
      </c>
      <c r="C1475" t="s">
        <v>45</v>
      </c>
      <c r="D1475" t="s">
        <v>20</v>
      </c>
      <c r="E1475" t="s">
        <v>7639</v>
      </c>
      <c r="F1475">
        <v>3</v>
      </c>
      <c r="G1475" s="15">
        <v>2710000</v>
      </c>
      <c r="H1475" s="14">
        <v>0.13075929750140999</v>
      </c>
      <c r="I1475" s="27">
        <f t="shared" ref="I1475:I1538" si="23">G1475-G1475*H1475</f>
        <v>2355642.3037711792</v>
      </c>
      <c r="J1475">
        <v>4.3</v>
      </c>
      <c r="K1475" t="b">
        <v>1</v>
      </c>
    </row>
    <row r="1476" spans="1:11" ht="16" x14ac:dyDescent="0.2">
      <c r="A1476" s="16">
        <v>45330</v>
      </c>
      <c r="B1476" t="s">
        <v>33</v>
      </c>
      <c r="C1476" t="s">
        <v>25</v>
      </c>
      <c r="D1476" t="s">
        <v>50</v>
      </c>
      <c r="E1476" t="s">
        <v>99</v>
      </c>
      <c r="F1476">
        <v>1</v>
      </c>
      <c r="G1476" s="15">
        <v>2710000</v>
      </c>
      <c r="H1476" s="14">
        <v>0.13075929750140999</v>
      </c>
      <c r="I1476" s="27">
        <f t="shared" si="23"/>
        <v>2355642.3037711792</v>
      </c>
      <c r="J1476">
        <v>4</v>
      </c>
      <c r="K1476" t="b">
        <v>0</v>
      </c>
    </row>
    <row r="1477" spans="1:11" ht="16" x14ac:dyDescent="0.2">
      <c r="A1477" s="16">
        <v>45330</v>
      </c>
      <c r="B1477" t="s">
        <v>45</v>
      </c>
      <c r="C1477" t="s">
        <v>19</v>
      </c>
      <c r="D1477" t="str">
        <f>D1476</f>
        <v>Agent</v>
      </c>
      <c r="E1477" t="s">
        <v>7640</v>
      </c>
      <c r="F1477">
        <v>1</v>
      </c>
      <c r="G1477" s="15">
        <v>2710000</v>
      </c>
      <c r="H1477" s="14">
        <v>0.13075929750140999</v>
      </c>
      <c r="I1477" s="27">
        <f t="shared" si="23"/>
        <v>2355642.3037711792</v>
      </c>
      <c r="J1477">
        <v>3.6</v>
      </c>
      <c r="K1477" t="b">
        <v>1</v>
      </c>
    </row>
    <row r="1478" spans="1:11" ht="16" x14ac:dyDescent="0.2">
      <c r="A1478" s="16">
        <v>45331</v>
      </c>
      <c r="B1478" t="s">
        <v>45</v>
      </c>
      <c r="C1478" t="s">
        <v>34</v>
      </c>
      <c r="D1478" t="s">
        <v>35</v>
      </c>
      <c r="E1478" t="s">
        <v>7639</v>
      </c>
      <c r="F1478">
        <v>1</v>
      </c>
      <c r="G1478" s="15">
        <v>2710000</v>
      </c>
      <c r="H1478" s="14">
        <v>0.13075929750140999</v>
      </c>
      <c r="I1478" s="27">
        <f t="shared" si="23"/>
        <v>2355642.3037711792</v>
      </c>
      <c r="J1478">
        <v>4.5</v>
      </c>
      <c r="K1478" t="b">
        <v>1</v>
      </c>
    </row>
    <row r="1479" spans="1:11" ht="16" x14ac:dyDescent="0.2">
      <c r="A1479" s="16">
        <v>45331</v>
      </c>
      <c r="B1479" t="s">
        <v>45</v>
      </c>
      <c r="C1479" t="s">
        <v>25</v>
      </c>
      <c r="D1479" t="s">
        <v>35</v>
      </c>
      <c r="E1479" t="s">
        <v>7641</v>
      </c>
      <c r="F1479">
        <v>1</v>
      </c>
      <c r="G1479" s="15">
        <v>2710000</v>
      </c>
      <c r="H1479" s="14">
        <v>0.13075929750140999</v>
      </c>
      <c r="I1479" s="27">
        <f t="shared" si="23"/>
        <v>2355642.3037711792</v>
      </c>
      <c r="J1479">
        <v>3.6</v>
      </c>
      <c r="K1479" t="b">
        <v>0</v>
      </c>
    </row>
    <row r="1480" spans="1:11" ht="16" x14ac:dyDescent="0.2">
      <c r="A1480" s="16">
        <v>45332</v>
      </c>
      <c r="B1480" t="s">
        <v>33</v>
      </c>
      <c r="C1480" t="s">
        <v>19</v>
      </c>
      <c r="D1480" t="s">
        <v>50</v>
      </c>
      <c r="E1480" t="str">
        <f>E1479</f>
        <v>Phú Quốc</v>
      </c>
      <c r="F1480">
        <v>2</v>
      </c>
      <c r="G1480" s="15">
        <v>2710000</v>
      </c>
      <c r="H1480" s="14">
        <v>0.13075929750140999</v>
      </c>
      <c r="I1480" s="27">
        <f t="shared" si="23"/>
        <v>2355642.3037711792</v>
      </c>
      <c r="J1480">
        <v>3.9</v>
      </c>
      <c r="K1480" t="b">
        <v>1</v>
      </c>
    </row>
    <row r="1481" spans="1:11" ht="16" x14ac:dyDescent="0.2">
      <c r="A1481" s="16">
        <v>45332</v>
      </c>
      <c r="B1481" t="str">
        <f>B1480</f>
        <v>Student</v>
      </c>
      <c r="C1481" t="s">
        <v>25</v>
      </c>
      <c r="D1481" t="s">
        <v>20</v>
      </c>
      <c r="E1481" t="s">
        <v>7639</v>
      </c>
      <c r="F1481">
        <v>2</v>
      </c>
      <c r="G1481" s="15">
        <v>2710000</v>
      </c>
      <c r="H1481" s="14">
        <v>0.13075929750140999</v>
      </c>
      <c r="I1481" s="27">
        <f t="shared" si="23"/>
        <v>2355642.3037711792</v>
      </c>
      <c r="J1481">
        <v>4.5999999999999996</v>
      </c>
      <c r="K1481" t="b">
        <v>0</v>
      </c>
    </row>
    <row r="1482" spans="1:11" ht="16" x14ac:dyDescent="0.2">
      <c r="A1482" s="16">
        <v>45332</v>
      </c>
      <c r="B1482" t="s">
        <v>45</v>
      </c>
      <c r="C1482" t="s">
        <v>25</v>
      </c>
      <c r="D1482" t="s">
        <v>50</v>
      </c>
      <c r="E1482" t="s">
        <v>7644</v>
      </c>
      <c r="F1482">
        <v>1</v>
      </c>
      <c r="G1482" s="15">
        <v>2710000</v>
      </c>
      <c r="H1482" s="14">
        <v>0.13075929750140999</v>
      </c>
      <c r="I1482" s="27">
        <f t="shared" si="23"/>
        <v>2355642.3037711792</v>
      </c>
      <c r="J1482">
        <v>4.0999999999999996</v>
      </c>
      <c r="K1482" t="b">
        <v>1</v>
      </c>
    </row>
    <row r="1483" spans="1:11" ht="16" x14ac:dyDescent="0.2">
      <c r="A1483" s="16">
        <v>45332</v>
      </c>
      <c r="B1483" t="s">
        <v>29</v>
      </c>
      <c r="C1483" t="s">
        <v>19</v>
      </c>
      <c r="D1483" t="s">
        <v>20</v>
      </c>
      <c r="E1483" t="s">
        <v>7642</v>
      </c>
      <c r="F1483">
        <v>1</v>
      </c>
      <c r="G1483" s="15">
        <v>2710000</v>
      </c>
      <c r="H1483" s="14">
        <v>0.13075929750140999</v>
      </c>
      <c r="I1483" s="27">
        <f t="shared" si="23"/>
        <v>2355642.3037711792</v>
      </c>
      <c r="J1483">
        <v>4.5</v>
      </c>
      <c r="K1483" t="b">
        <v>1</v>
      </c>
    </row>
    <row r="1484" spans="1:11" ht="16" x14ac:dyDescent="0.2">
      <c r="A1484" s="16">
        <v>45332</v>
      </c>
      <c r="B1484" t="s">
        <v>33</v>
      </c>
      <c r="C1484" t="s">
        <v>19</v>
      </c>
      <c r="D1484" t="s">
        <v>50</v>
      </c>
      <c r="E1484" t="s">
        <v>99</v>
      </c>
      <c r="F1484">
        <v>1</v>
      </c>
      <c r="G1484" s="15">
        <v>2710000</v>
      </c>
      <c r="H1484" s="14">
        <v>0.13075929750140999</v>
      </c>
      <c r="I1484" s="27">
        <f t="shared" si="23"/>
        <v>2355642.3037711792</v>
      </c>
      <c r="J1484">
        <v>4.4000000000000004</v>
      </c>
      <c r="K1484" t="b">
        <v>0</v>
      </c>
    </row>
    <row r="1485" spans="1:11" ht="16" x14ac:dyDescent="0.2">
      <c r="A1485" s="16">
        <v>45332</v>
      </c>
      <c r="B1485" t="s">
        <v>18</v>
      </c>
      <c r="C1485" t="s">
        <v>25</v>
      </c>
      <c r="D1485" t="s">
        <v>20</v>
      </c>
      <c r="E1485" t="s">
        <v>7638</v>
      </c>
      <c r="F1485">
        <v>1</v>
      </c>
      <c r="G1485" s="15">
        <v>2710000</v>
      </c>
      <c r="H1485" s="14">
        <v>0.13075929750140999</v>
      </c>
      <c r="I1485" s="27">
        <f t="shared" si="23"/>
        <v>2355642.3037711792</v>
      </c>
      <c r="J1485">
        <v>4.2</v>
      </c>
      <c r="K1485" t="b">
        <v>0</v>
      </c>
    </row>
    <row r="1486" spans="1:11" ht="16" x14ac:dyDescent="0.2">
      <c r="A1486" s="16">
        <v>45332</v>
      </c>
      <c r="B1486" t="s">
        <v>45</v>
      </c>
      <c r="C1486" t="s">
        <v>39</v>
      </c>
      <c r="D1486" t="s">
        <v>50</v>
      </c>
      <c r="E1486" t="s">
        <v>57</v>
      </c>
      <c r="F1486">
        <v>3</v>
      </c>
      <c r="G1486" s="15">
        <v>2710000</v>
      </c>
      <c r="H1486" s="14">
        <v>0.13075929750140999</v>
      </c>
      <c r="I1486" s="27">
        <f t="shared" si="23"/>
        <v>2355642.3037711792</v>
      </c>
      <c r="J1486">
        <v>4.4000000000000004</v>
      </c>
      <c r="K1486" t="b">
        <v>0</v>
      </c>
    </row>
    <row r="1487" spans="1:11" ht="16" x14ac:dyDescent="0.2">
      <c r="A1487" s="16">
        <v>45332</v>
      </c>
      <c r="B1487" t="s">
        <v>45</v>
      </c>
      <c r="C1487" t="s">
        <v>39</v>
      </c>
      <c r="D1487" t="str">
        <f>D1486</f>
        <v>Agent</v>
      </c>
      <c r="E1487" t="str">
        <f>E1486</f>
        <v>Nha Trang</v>
      </c>
      <c r="F1487">
        <v>1</v>
      </c>
      <c r="G1487" s="15">
        <v>2710000</v>
      </c>
      <c r="H1487" s="14">
        <v>0.13075929750140999</v>
      </c>
      <c r="I1487" s="27">
        <f t="shared" si="23"/>
        <v>2355642.3037711792</v>
      </c>
      <c r="J1487">
        <v>4</v>
      </c>
      <c r="K1487" t="b">
        <v>0</v>
      </c>
    </row>
    <row r="1488" spans="1:11" ht="16" x14ac:dyDescent="0.2">
      <c r="A1488" s="16">
        <v>45333</v>
      </c>
      <c r="B1488" t="s">
        <v>33</v>
      </c>
      <c r="C1488" t="s">
        <v>25</v>
      </c>
      <c r="D1488" t="s">
        <v>20</v>
      </c>
      <c r="E1488" t="s">
        <v>7644</v>
      </c>
      <c r="F1488">
        <v>1</v>
      </c>
      <c r="G1488" s="15">
        <v>2710000</v>
      </c>
      <c r="H1488" s="14">
        <v>0.13075929750140999</v>
      </c>
      <c r="I1488" s="27">
        <f t="shared" si="23"/>
        <v>2355642.3037711792</v>
      </c>
      <c r="J1488">
        <v>4.5</v>
      </c>
      <c r="K1488" t="b">
        <v>1</v>
      </c>
    </row>
    <row r="1489" spans="1:11" ht="16" x14ac:dyDescent="0.2">
      <c r="A1489" s="16">
        <v>45333</v>
      </c>
      <c r="B1489" t="s">
        <v>18</v>
      </c>
      <c r="C1489" t="s">
        <v>34</v>
      </c>
      <c r="D1489" t="s">
        <v>35</v>
      </c>
      <c r="E1489" t="s">
        <v>7640</v>
      </c>
      <c r="F1489">
        <v>3</v>
      </c>
      <c r="G1489" s="15">
        <v>2710000</v>
      </c>
      <c r="H1489" s="14">
        <v>0.13075929750140999</v>
      </c>
      <c r="I1489" s="27">
        <f t="shared" si="23"/>
        <v>2355642.3037711792</v>
      </c>
      <c r="J1489">
        <v>4.5</v>
      </c>
      <c r="K1489" t="b">
        <v>1</v>
      </c>
    </row>
    <row r="1490" spans="1:11" ht="16" x14ac:dyDescent="0.2">
      <c r="A1490" s="16">
        <v>45334</v>
      </c>
      <c r="B1490" t="s">
        <v>45</v>
      </c>
      <c r="C1490" t="s">
        <v>19</v>
      </c>
      <c r="D1490" t="s">
        <v>20</v>
      </c>
      <c r="E1490" t="s">
        <v>99</v>
      </c>
      <c r="F1490">
        <v>1</v>
      </c>
      <c r="G1490" s="15">
        <v>2710000</v>
      </c>
      <c r="H1490" s="14">
        <v>0.13075929750140999</v>
      </c>
      <c r="I1490" s="27">
        <f t="shared" si="23"/>
        <v>2355642.3037711792</v>
      </c>
      <c r="J1490">
        <v>4.5</v>
      </c>
      <c r="K1490" t="b">
        <v>1</v>
      </c>
    </row>
    <row r="1491" spans="1:11" ht="16" x14ac:dyDescent="0.2">
      <c r="A1491" s="16">
        <v>45335</v>
      </c>
      <c r="B1491" t="s">
        <v>45</v>
      </c>
      <c r="C1491" t="s">
        <v>68</v>
      </c>
      <c r="D1491" t="s">
        <v>20</v>
      </c>
      <c r="E1491" t="s">
        <v>7642</v>
      </c>
      <c r="F1491">
        <v>4</v>
      </c>
      <c r="G1491" s="15">
        <v>2710000</v>
      </c>
      <c r="H1491" s="14">
        <v>0.13075929750140999</v>
      </c>
      <c r="I1491" s="27">
        <f t="shared" si="23"/>
        <v>2355642.3037711792</v>
      </c>
      <c r="J1491">
        <v>3.9</v>
      </c>
      <c r="K1491" t="b">
        <v>0</v>
      </c>
    </row>
    <row r="1492" spans="1:11" ht="16" x14ac:dyDescent="0.2">
      <c r="A1492" s="16">
        <v>45335</v>
      </c>
      <c r="B1492" t="s">
        <v>29</v>
      </c>
      <c r="C1492" t="s">
        <v>45</v>
      </c>
      <c r="D1492" t="s">
        <v>46</v>
      </c>
      <c r="E1492" t="s">
        <v>7642</v>
      </c>
      <c r="F1492">
        <v>4</v>
      </c>
      <c r="G1492" s="15">
        <v>2710000</v>
      </c>
      <c r="H1492" s="14">
        <v>0.13075929750140999</v>
      </c>
      <c r="I1492" s="27">
        <f t="shared" si="23"/>
        <v>2355642.3037711792</v>
      </c>
      <c r="J1492">
        <v>4</v>
      </c>
      <c r="K1492" t="b">
        <v>1</v>
      </c>
    </row>
    <row r="1493" spans="1:11" ht="16" x14ac:dyDescent="0.2">
      <c r="A1493" s="16">
        <v>45335</v>
      </c>
      <c r="B1493" t="s">
        <v>18</v>
      </c>
      <c r="C1493" t="s">
        <v>19</v>
      </c>
      <c r="D1493" t="s">
        <v>20</v>
      </c>
      <c r="E1493" t="s">
        <v>99</v>
      </c>
      <c r="F1493">
        <v>2</v>
      </c>
      <c r="G1493" s="15">
        <v>2710000</v>
      </c>
      <c r="H1493" s="14">
        <v>0.13075929750140999</v>
      </c>
      <c r="I1493" s="27">
        <f t="shared" si="23"/>
        <v>2355642.3037711792</v>
      </c>
      <c r="J1493">
        <v>4.2</v>
      </c>
      <c r="K1493" t="b">
        <v>1</v>
      </c>
    </row>
    <row r="1494" spans="1:11" ht="16" x14ac:dyDescent="0.2">
      <c r="A1494" s="16">
        <v>45335</v>
      </c>
      <c r="B1494" t="s">
        <v>45</v>
      </c>
      <c r="C1494" t="s">
        <v>19</v>
      </c>
      <c r="D1494" t="s">
        <v>20</v>
      </c>
      <c r="E1494" t="s">
        <v>7638</v>
      </c>
      <c r="F1494">
        <v>1</v>
      </c>
      <c r="G1494" s="15">
        <v>2710000</v>
      </c>
      <c r="H1494" s="14">
        <v>0.13075929750140999</v>
      </c>
      <c r="I1494" s="27">
        <f t="shared" si="23"/>
        <v>2355642.3037711792</v>
      </c>
      <c r="J1494">
        <v>3.9</v>
      </c>
      <c r="K1494" t="b">
        <v>1</v>
      </c>
    </row>
    <row r="1495" spans="1:11" ht="16" x14ac:dyDescent="0.2">
      <c r="A1495" s="16">
        <v>45335</v>
      </c>
      <c r="B1495" t="s">
        <v>29</v>
      </c>
      <c r="C1495" t="s">
        <v>45</v>
      </c>
      <c r="D1495" t="s">
        <v>35</v>
      </c>
      <c r="E1495" t="s">
        <v>7637</v>
      </c>
      <c r="F1495">
        <v>5</v>
      </c>
      <c r="G1495" s="15">
        <v>2710000</v>
      </c>
      <c r="H1495" s="14">
        <v>0.13075929750140999</v>
      </c>
      <c r="I1495" s="27">
        <f t="shared" si="23"/>
        <v>2355642.3037711792</v>
      </c>
      <c r="J1495">
        <v>4</v>
      </c>
      <c r="K1495" t="b">
        <v>0</v>
      </c>
    </row>
    <row r="1496" spans="1:11" ht="16" x14ac:dyDescent="0.2">
      <c r="A1496" s="16">
        <v>45336</v>
      </c>
      <c r="B1496" t="s">
        <v>45</v>
      </c>
      <c r="C1496" t="s">
        <v>34</v>
      </c>
      <c r="D1496" t="s">
        <v>35</v>
      </c>
      <c r="E1496" t="s">
        <v>7641</v>
      </c>
      <c r="F1496">
        <v>3</v>
      </c>
      <c r="G1496" s="15">
        <v>2710000</v>
      </c>
      <c r="H1496" s="14">
        <v>0.13075929750140999</v>
      </c>
      <c r="I1496" s="27">
        <f t="shared" si="23"/>
        <v>2355642.3037711792</v>
      </c>
      <c r="J1496">
        <v>3.4</v>
      </c>
      <c r="K1496" t="b">
        <v>1</v>
      </c>
    </row>
    <row r="1497" spans="1:11" ht="16" x14ac:dyDescent="0.2">
      <c r="A1497" s="16">
        <v>45336</v>
      </c>
      <c r="B1497" t="s">
        <v>33</v>
      </c>
      <c r="C1497" t="s">
        <v>39</v>
      </c>
      <c r="D1497" t="s">
        <v>20</v>
      </c>
      <c r="E1497" t="s">
        <v>7642</v>
      </c>
      <c r="F1497">
        <v>2</v>
      </c>
      <c r="G1497" s="15">
        <v>2710000</v>
      </c>
      <c r="H1497" s="14">
        <v>0.13075929750140999</v>
      </c>
      <c r="I1497" s="27">
        <f t="shared" si="23"/>
        <v>2355642.3037711792</v>
      </c>
      <c r="J1497">
        <v>3.6</v>
      </c>
      <c r="K1497" t="b">
        <v>0</v>
      </c>
    </row>
    <row r="1498" spans="1:11" ht="16" x14ac:dyDescent="0.2">
      <c r="A1498" s="16">
        <v>45336</v>
      </c>
      <c r="B1498" t="s">
        <v>45</v>
      </c>
      <c r="C1498" t="s">
        <v>45</v>
      </c>
      <c r="D1498" t="s">
        <v>35</v>
      </c>
      <c r="E1498" t="s">
        <v>7643</v>
      </c>
      <c r="F1498">
        <v>2</v>
      </c>
      <c r="G1498" s="15">
        <v>2710000</v>
      </c>
      <c r="H1498" s="14">
        <v>0.13075929750140999</v>
      </c>
      <c r="I1498" s="27">
        <f t="shared" si="23"/>
        <v>2355642.3037711792</v>
      </c>
      <c r="J1498">
        <v>4.2</v>
      </c>
      <c r="K1498" t="b">
        <v>1</v>
      </c>
    </row>
    <row r="1499" spans="1:11" ht="16" x14ac:dyDescent="0.2">
      <c r="A1499" s="16">
        <v>45336</v>
      </c>
      <c r="B1499" t="s">
        <v>33</v>
      </c>
      <c r="C1499" t="s">
        <v>34</v>
      </c>
      <c r="D1499" t="s">
        <v>50</v>
      </c>
      <c r="E1499" t="s">
        <v>7644</v>
      </c>
      <c r="F1499">
        <v>1</v>
      </c>
      <c r="G1499" s="15">
        <v>2710000</v>
      </c>
      <c r="H1499" s="14">
        <v>0.13075929750140999</v>
      </c>
      <c r="I1499" s="27">
        <f t="shared" si="23"/>
        <v>2355642.3037711792</v>
      </c>
      <c r="J1499">
        <v>4.3</v>
      </c>
      <c r="K1499" t="b">
        <v>0</v>
      </c>
    </row>
    <row r="1500" spans="1:11" ht="16" x14ac:dyDescent="0.2">
      <c r="A1500" s="16">
        <v>45336</v>
      </c>
      <c r="B1500" t="s">
        <v>33</v>
      </c>
      <c r="C1500" t="s">
        <v>19</v>
      </c>
      <c r="D1500" t="s">
        <v>35</v>
      </c>
      <c r="E1500" t="str">
        <f>E1499</f>
        <v>Hạ Long</v>
      </c>
      <c r="F1500">
        <v>2</v>
      </c>
      <c r="G1500" s="15">
        <v>2710000</v>
      </c>
      <c r="H1500" s="14">
        <v>0.13075929750140999</v>
      </c>
      <c r="I1500" s="27">
        <f t="shared" si="23"/>
        <v>2355642.3037711792</v>
      </c>
      <c r="J1500">
        <v>4.0999999999999996</v>
      </c>
      <c r="K1500" t="b">
        <v>1</v>
      </c>
    </row>
    <row r="1501" spans="1:11" ht="16" x14ac:dyDescent="0.2">
      <c r="A1501" s="16">
        <v>45337</v>
      </c>
      <c r="B1501" t="s">
        <v>18</v>
      </c>
      <c r="C1501" t="s">
        <v>34</v>
      </c>
      <c r="D1501" t="s">
        <v>20</v>
      </c>
      <c r="E1501" t="s">
        <v>7640</v>
      </c>
      <c r="F1501">
        <v>4</v>
      </c>
      <c r="G1501" s="15">
        <v>2710000</v>
      </c>
      <c r="H1501" s="14">
        <v>0.13075929750140999</v>
      </c>
      <c r="I1501" s="27">
        <f t="shared" si="23"/>
        <v>2355642.3037711792</v>
      </c>
      <c r="J1501">
        <v>4</v>
      </c>
      <c r="K1501" t="b">
        <v>1</v>
      </c>
    </row>
    <row r="1502" spans="1:11" ht="16" x14ac:dyDescent="0.2">
      <c r="A1502" s="16">
        <v>45337</v>
      </c>
      <c r="B1502" t="s">
        <v>18</v>
      </c>
      <c r="C1502" t="s">
        <v>19</v>
      </c>
      <c r="D1502" t="s">
        <v>20</v>
      </c>
      <c r="E1502" t="s">
        <v>7644</v>
      </c>
      <c r="F1502">
        <v>2</v>
      </c>
      <c r="G1502" s="15">
        <v>2710000</v>
      </c>
      <c r="H1502" s="14">
        <v>0.13075929750140999</v>
      </c>
      <c r="I1502" s="27">
        <f t="shared" si="23"/>
        <v>2355642.3037711792</v>
      </c>
      <c r="J1502">
        <v>4.4000000000000004</v>
      </c>
      <c r="K1502" t="b">
        <v>0</v>
      </c>
    </row>
    <row r="1503" spans="1:11" ht="16" x14ac:dyDescent="0.2">
      <c r="A1503" s="16">
        <v>45337</v>
      </c>
      <c r="B1503" t="s">
        <v>45</v>
      </c>
      <c r="C1503" t="s">
        <v>19</v>
      </c>
      <c r="D1503" t="s">
        <v>20</v>
      </c>
      <c r="E1503" t="s">
        <v>7643</v>
      </c>
      <c r="F1503">
        <v>1</v>
      </c>
      <c r="G1503" s="15">
        <v>2710000</v>
      </c>
      <c r="H1503" s="14">
        <v>0.13075929750140999</v>
      </c>
      <c r="I1503" s="27">
        <f t="shared" si="23"/>
        <v>2355642.3037711792</v>
      </c>
      <c r="J1503">
        <v>4.2</v>
      </c>
      <c r="K1503" t="b">
        <v>1</v>
      </c>
    </row>
    <row r="1504" spans="1:11" ht="16" x14ac:dyDescent="0.2">
      <c r="A1504" s="16">
        <v>45338</v>
      </c>
      <c r="B1504" t="s">
        <v>18</v>
      </c>
      <c r="C1504" t="s">
        <v>19</v>
      </c>
      <c r="D1504" t="s">
        <v>35</v>
      </c>
      <c r="E1504" t="s">
        <v>7644</v>
      </c>
      <c r="F1504">
        <v>2</v>
      </c>
      <c r="G1504" s="15">
        <v>2710000</v>
      </c>
      <c r="H1504" s="14">
        <v>0.13075929750140999</v>
      </c>
      <c r="I1504" s="27">
        <f t="shared" si="23"/>
        <v>2355642.3037711792</v>
      </c>
      <c r="J1504">
        <v>4.5</v>
      </c>
      <c r="K1504" t="b">
        <v>1</v>
      </c>
    </row>
    <row r="1505" spans="1:11" ht="16" x14ac:dyDescent="0.2">
      <c r="A1505" s="16">
        <v>45338</v>
      </c>
      <c r="B1505" t="s">
        <v>45</v>
      </c>
      <c r="C1505" t="s">
        <v>45</v>
      </c>
      <c r="D1505" t="s">
        <v>20</v>
      </c>
      <c r="E1505" t="s">
        <v>7639</v>
      </c>
      <c r="F1505">
        <v>2</v>
      </c>
      <c r="G1505" s="15">
        <v>2710000</v>
      </c>
      <c r="H1505" s="14">
        <v>0.13075929750140999</v>
      </c>
      <c r="I1505" s="27">
        <f t="shared" si="23"/>
        <v>2355642.3037711792</v>
      </c>
      <c r="J1505">
        <v>4.3</v>
      </c>
      <c r="K1505" t="b">
        <v>1</v>
      </c>
    </row>
    <row r="1506" spans="1:11" ht="16" x14ac:dyDescent="0.2">
      <c r="A1506" s="16">
        <v>45338</v>
      </c>
      <c r="B1506" t="str">
        <f>B1505</f>
        <v>Family</v>
      </c>
      <c r="C1506" t="s">
        <v>25</v>
      </c>
      <c r="D1506" t="s">
        <v>20</v>
      </c>
      <c r="E1506" t="s">
        <v>7638</v>
      </c>
      <c r="F1506">
        <v>2</v>
      </c>
      <c r="G1506" s="15">
        <v>2710000</v>
      </c>
      <c r="H1506" s="14">
        <v>0.13075929750140999</v>
      </c>
      <c r="I1506" s="27">
        <f t="shared" si="23"/>
        <v>2355642.3037711792</v>
      </c>
      <c r="J1506">
        <v>4.7</v>
      </c>
      <c r="K1506" t="b">
        <v>0</v>
      </c>
    </row>
    <row r="1507" spans="1:11" ht="16" x14ac:dyDescent="0.2">
      <c r="A1507" s="16">
        <v>45340</v>
      </c>
      <c r="B1507" t="s">
        <v>45</v>
      </c>
      <c r="C1507" t="s">
        <v>25</v>
      </c>
      <c r="D1507" t="s">
        <v>20</v>
      </c>
      <c r="E1507" t="s">
        <v>7641</v>
      </c>
      <c r="F1507">
        <v>1</v>
      </c>
      <c r="G1507" s="15">
        <v>2710000</v>
      </c>
      <c r="H1507" s="14">
        <v>0.13075929750140999</v>
      </c>
      <c r="I1507" s="27">
        <f t="shared" si="23"/>
        <v>2355642.3037711792</v>
      </c>
      <c r="J1507">
        <v>3.2</v>
      </c>
      <c r="K1507" t="b">
        <v>0</v>
      </c>
    </row>
    <row r="1508" spans="1:11" ht="16" x14ac:dyDescent="0.2">
      <c r="A1508" s="16">
        <v>45340</v>
      </c>
      <c r="B1508" t="s">
        <v>33</v>
      </c>
      <c r="C1508" t="s">
        <v>34</v>
      </c>
      <c r="D1508" t="s">
        <v>20</v>
      </c>
      <c r="E1508" t="s">
        <v>99</v>
      </c>
      <c r="F1508">
        <v>1</v>
      </c>
      <c r="G1508" s="15">
        <v>2710000</v>
      </c>
      <c r="H1508" s="14">
        <v>0.13075929750140999</v>
      </c>
      <c r="I1508" s="27">
        <f t="shared" si="23"/>
        <v>2355642.3037711792</v>
      </c>
      <c r="J1508">
        <v>4.2</v>
      </c>
      <c r="K1508" t="b">
        <v>1</v>
      </c>
    </row>
    <row r="1509" spans="1:11" ht="16" x14ac:dyDescent="0.2">
      <c r="A1509" s="16">
        <v>45340</v>
      </c>
      <c r="B1509" t="s">
        <v>18</v>
      </c>
      <c r="C1509" t="s">
        <v>19</v>
      </c>
      <c r="D1509" t="s">
        <v>20</v>
      </c>
      <c r="E1509" t="s">
        <v>7637</v>
      </c>
      <c r="F1509">
        <v>2</v>
      </c>
      <c r="G1509" s="15">
        <v>2710000</v>
      </c>
      <c r="H1509" s="14">
        <v>0.13075929750140999</v>
      </c>
      <c r="I1509" s="27">
        <f t="shared" si="23"/>
        <v>2355642.3037711792</v>
      </c>
      <c r="J1509">
        <v>4.5999999999999996</v>
      </c>
      <c r="K1509" t="b">
        <v>1</v>
      </c>
    </row>
    <row r="1510" spans="1:11" ht="16" x14ac:dyDescent="0.2">
      <c r="A1510" s="16">
        <v>45341</v>
      </c>
      <c r="B1510" t="s">
        <v>33</v>
      </c>
      <c r="C1510" t="s">
        <v>68</v>
      </c>
      <c r="D1510" t="s">
        <v>20</v>
      </c>
      <c r="E1510" t="s">
        <v>7643</v>
      </c>
      <c r="F1510">
        <v>4</v>
      </c>
      <c r="G1510" s="15">
        <v>2710000</v>
      </c>
      <c r="H1510" s="14">
        <v>0.13075929750140999</v>
      </c>
      <c r="I1510" s="27">
        <f t="shared" si="23"/>
        <v>2355642.3037711792</v>
      </c>
      <c r="J1510">
        <v>3.8</v>
      </c>
      <c r="K1510" t="b">
        <v>1</v>
      </c>
    </row>
    <row r="1511" spans="1:11" ht="16" x14ac:dyDescent="0.2">
      <c r="A1511" s="16">
        <v>45341</v>
      </c>
      <c r="B1511" t="s">
        <v>45</v>
      </c>
      <c r="C1511" t="s">
        <v>68</v>
      </c>
      <c r="D1511" t="s">
        <v>20</v>
      </c>
      <c r="E1511" t="s">
        <v>7642</v>
      </c>
      <c r="F1511">
        <v>1</v>
      </c>
      <c r="G1511" s="15">
        <v>2710000</v>
      </c>
      <c r="H1511" s="14">
        <v>0.13075929750140999</v>
      </c>
      <c r="I1511" s="27">
        <f t="shared" si="23"/>
        <v>2355642.3037711792</v>
      </c>
      <c r="J1511">
        <v>4.0999999999999996</v>
      </c>
      <c r="K1511" t="b">
        <v>0</v>
      </c>
    </row>
    <row r="1512" spans="1:11" ht="16" x14ac:dyDescent="0.2">
      <c r="A1512" s="16">
        <v>45342</v>
      </c>
      <c r="B1512" t="s">
        <v>29</v>
      </c>
      <c r="C1512" t="s">
        <v>39</v>
      </c>
      <c r="D1512" t="s">
        <v>20</v>
      </c>
      <c r="E1512" t="s">
        <v>57</v>
      </c>
      <c r="F1512">
        <v>4</v>
      </c>
      <c r="G1512" s="15">
        <v>2710000</v>
      </c>
      <c r="H1512" s="14">
        <v>0.13075929750140999</v>
      </c>
      <c r="I1512" s="27">
        <f t="shared" si="23"/>
        <v>2355642.3037711792</v>
      </c>
      <c r="J1512">
        <v>4.5</v>
      </c>
      <c r="K1512" t="b">
        <v>0</v>
      </c>
    </row>
    <row r="1513" spans="1:11" ht="16" x14ac:dyDescent="0.2">
      <c r="A1513" s="16">
        <v>45342</v>
      </c>
      <c r="B1513" t="s">
        <v>18</v>
      </c>
      <c r="C1513" t="s">
        <v>34</v>
      </c>
      <c r="D1513" t="s">
        <v>20</v>
      </c>
      <c r="E1513" t="s">
        <v>7643</v>
      </c>
      <c r="F1513">
        <v>1</v>
      </c>
      <c r="G1513" s="15">
        <v>2710000</v>
      </c>
      <c r="H1513" s="14">
        <v>0.13075929750140999</v>
      </c>
      <c r="I1513" s="27">
        <f t="shared" si="23"/>
        <v>2355642.3037711792</v>
      </c>
      <c r="J1513">
        <v>4.0999999999999996</v>
      </c>
      <c r="K1513" t="b">
        <v>0</v>
      </c>
    </row>
    <row r="1514" spans="1:11" ht="16" x14ac:dyDescent="0.2">
      <c r="A1514" s="16">
        <v>45342</v>
      </c>
      <c r="B1514" t="s">
        <v>29</v>
      </c>
      <c r="C1514" t="s">
        <v>68</v>
      </c>
      <c r="D1514" t="s">
        <v>20</v>
      </c>
      <c r="E1514" t="s">
        <v>7639</v>
      </c>
      <c r="F1514">
        <v>1</v>
      </c>
      <c r="G1514" s="15">
        <v>2710000</v>
      </c>
      <c r="H1514" s="14">
        <v>0.13075929750140999</v>
      </c>
      <c r="I1514" s="27">
        <f t="shared" si="23"/>
        <v>2355642.3037711792</v>
      </c>
      <c r="J1514">
        <v>4.7</v>
      </c>
      <c r="K1514" t="b">
        <v>0</v>
      </c>
    </row>
    <row r="1515" spans="1:11" ht="16" x14ac:dyDescent="0.2">
      <c r="A1515" s="16">
        <v>45342</v>
      </c>
      <c r="B1515" t="s">
        <v>33</v>
      </c>
      <c r="C1515" t="s">
        <v>34</v>
      </c>
      <c r="D1515" t="s">
        <v>20</v>
      </c>
      <c r="E1515" t="s">
        <v>7643</v>
      </c>
      <c r="F1515">
        <v>1</v>
      </c>
      <c r="G1515" s="15">
        <v>2710000</v>
      </c>
      <c r="H1515" s="14">
        <v>0.13075929750140999</v>
      </c>
      <c r="I1515" s="27">
        <f t="shared" si="23"/>
        <v>2355642.3037711792</v>
      </c>
      <c r="J1515">
        <v>4.3</v>
      </c>
      <c r="K1515" t="b">
        <v>1</v>
      </c>
    </row>
    <row r="1516" spans="1:11" ht="16" x14ac:dyDescent="0.2">
      <c r="A1516" s="16">
        <v>45342</v>
      </c>
      <c r="B1516" t="s">
        <v>18</v>
      </c>
      <c r="C1516" t="s">
        <v>19</v>
      </c>
      <c r="D1516" t="s">
        <v>50</v>
      </c>
      <c r="E1516" t="s">
        <v>7642</v>
      </c>
      <c r="F1516">
        <v>1</v>
      </c>
      <c r="G1516" s="15">
        <v>2710000</v>
      </c>
      <c r="H1516" s="14">
        <v>0.13075929750140999</v>
      </c>
      <c r="I1516" s="27">
        <f t="shared" si="23"/>
        <v>2355642.3037711792</v>
      </c>
      <c r="J1516">
        <v>3.8</v>
      </c>
      <c r="K1516" t="b">
        <v>1</v>
      </c>
    </row>
    <row r="1517" spans="1:11" ht="16" x14ac:dyDescent="0.2">
      <c r="A1517" s="16">
        <v>45343</v>
      </c>
      <c r="B1517" t="s">
        <v>18</v>
      </c>
      <c r="C1517" t="s">
        <v>68</v>
      </c>
      <c r="D1517" t="s">
        <v>35</v>
      </c>
      <c r="E1517" t="s">
        <v>57</v>
      </c>
      <c r="F1517">
        <v>3</v>
      </c>
      <c r="G1517" s="15">
        <v>2710000</v>
      </c>
      <c r="H1517" s="14">
        <v>0.13075929750140999</v>
      </c>
      <c r="I1517" s="27">
        <f t="shared" si="23"/>
        <v>2355642.3037711792</v>
      </c>
      <c r="J1517">
        <v>4.5</v>
      </c>
      <c r="K1517" t="b">
        <v>0</v>
      </c>
    </row>
    <row r="1518" spans="1:11" ht="16" x14ac:dyDescent="0.2">
      <c r="A1518" s="16">
        <v>45343</v>
      </c>
      <c r="B1518" t="s">
        <v>18</v>
      </c>
      <c r="C1518" t="s">
        <v>34</v>
      </c>
      <c r="D1518" t="s">
        <v>50</v>
      </c>
      <c r="E1518" t="s">
        <v>7637</v>
      </c>
      <c r="F1518">
        <v>2</v>
      </c>
      <c r="G1518" s="15">
        <v>2710000</v>
      </c>
      <c r="H1518" s="14">
        <v>0.13075929750140999</v>
      </c>
      <c r="I1518" s="27">
        <f t="shared" si="23"/>
        <v>2355642.3037711792</v>
      </c>
      <c r="J1518">
        <v>4.9000000000000004</v>
      </c>
      <c r="K1518" t="b">
        <v>1</v>
      </c>
    </row>
    <row r="1519" spans="1:11" ht="16" x14ac:dyDescent="0.2">
      <c r="A1519" s="16">
        <v>45343</v>
      </c>
      <c r="B1519" t="s">
        <v>45</v>
      </c>
      <c r="C1519" t="s">
        <v>19</v>
      </c>
      <c r="D1519" t="s">
        <v>35</v>
      </c>
      <c r="E1519" t="s">
        <v>7642</v>
      </c>
      <c r="F1519">
        <v>1</v>
      </c>
      <c r="G1519" s="15">
        <v>2710000</v>
      </c>
      <c r="H1519" s="14">
        <v>0.13075929750140999</v>
      </c>
      <c r="I1519" s="27">
        <f t="shared" si="23"/>
        <v>2355642.3037711792</v>
      </c>
      <c r="J1519">
        <v>4.5</v>
      </c>
      <c r="K1519" t="b">
        <v>0</v>
      </c>
    </row>
    <row r="1520" spans="1:11" ht="16" x14ac:dyDescent="0.2">
      <c r="A1520" s="16">
        <v>45343</v>
      </c>
      <c r="B1520" t="s">
        <v>18</v>
      </c>
      <c r="C1520" t="s">
        <v>19</v>
      </c>
      <c r="D1520" t="s">
        <v>35</v>
      </c>
      <c r="E1520" t="s">
        <v>7644</v>
      </c>
      <c r="F1520">
        <v>2</v>
      </c>
      <c r="G1520" s="15">
        <v>2710000</v>
      </c>
      <c r="H1520" s="14">
        <v>0.13075929750140999</v>
      </c>
      <c r="I1520" s="27">
        <f t="shared" si="23"/>
        <v>2355642.3037711792</v>
      </c>
      <c r="J1520">
        <v>3.6</v>
      </c>
      <c r="K1520" t="b">
        <v>0</v>
      </c>
    </row>
    <row r="1521" spans="1:11" ht="16" x14ac:dyDescent="0.2">
      <c r="A1521" s="16">
        <v>45343</v>
      </c>
      <c r="B1521" t="s">
        <v>33</v>
      </c>
      <c r="C1521" t="s">
        <v>34</v>
      </c>
      <c r="D1521" t="s">
        <v>20</v>
      </c>
      <c r="E1521" t="s">
        <v>7637</v>
      </c>
      <c r="F1521">
        <v>4</v>
      </c>
      <c r="G1521" s="15">
        <v>2710000</v>
      </c>
      <c r="H1521" s="14">
        <v>0.13075929750140999</v>
      </c>
      <c r="I1521" s="27">
        <f t="shared" si="23"/>
        <v>2355642.3037711792</v>
      </c>
      <c r="J1521">
        <v>3.2</v>
      </c>
      <c r="K1521" t="b">
        <v>0</v>
      </c>
    </row>
    <row r="1522" spans="1:11" ht="16" x14ac:dyDescent="0.2">
      <c r="A1522" s="16">
        <v>45343</v>
      </c>
      <c r="B1522" t="s">
        <v>33</v>
      </c>
      <c r="C1522" t="s">
        <v>68</v>
      </c>
      <c r="D1522" t="s">
        <v>20</v>
      </c>
      <c r="E1522" t="s">
        <v>7638</v>
      </c>
      <c r="F1522">
        <v>1</v>
      </c>
      <c r="G1522" s="15">
        <v>2710000</v>
      </c>
      <c r="H1522" s="14">
        <v>0.13075929750140999</v>
      </c>
      <c r="I1522" s="27">
        <f t="shared" si="23"/>
        <v>2355642.3037711792</v>
      </c>
      <c r="J1522">
        <v>4.3</v>
      </c>
      <c r="K1522" t="b">
        <v>1</v>
      </c>
    </row>
    <row r="1523" spans="1:11" ht="16" x14ac:dyDescent="0.2">
      <c r="A1523" s="16">
        <v>45344</v>
      </c>
      <c r="B1523" t="s">
        <v>33</v>
      </c>
      <c r="C1523" t="s">
        <v>68</v>
      </c>
      <c r="D1523" t="s">
        <v>50</v>
      </c>
      <c r="E1523" t="s">
        <v>7639</v>
      </c>
      <c r="F1523">
        <v>2</v>
      </c>
      <c r="G1523" s="15">
        <v>2710000</v>
      </c>
      <c r="H1523" s="14">
        <v>0.13075929750140999</v>
      </c>
      <c r="I1523" s="27">
        <f t="shared" si="23"/>
        <v>2355642.3037711792</v>
      </c>
      <c r="J1523">
        <v>4</v>
      </c>
      <c r="K1523" t="b">
        <v>0</v>
      </c>
    </row>
    <row r="1524" spans="1:11" ht="16" x14ac:dyDescent="0.2">
      <c r="A1524" s="16">
        <v>45344</v>
      </c>
      <c r="B1524" t="s">
        <v>18</v>
      </c>
      <c r="C1524" t="s">
        <v>34</v>
      </c>
      <c r="D1524" t="s">
        <v>20</v>
      </c>
      <c r="E1524" t="s">
        <v>7640</v>
      </c>
      <c r="F1524">
        <v>1</v>
      </c>
      <c r="G1524" s="15">
        <v>2710000</v>
      </c>
      <c r="H1524" s="14">
        <v>0.13075929750140999</v>
      </c>
      <c r="I1524" s="27">
        <f t="shared" si="23"/>
        <v>2355642.3037711792</v>
      </c>
      <c r="J1524">
        <v>4.0999999999999996</v>
      </c>
      <c r="K1524" t="b">
        <v>0</v>
      </c>
    </row>
    <row r="1525" spans="1:11" ht="16" x14ac:dyDescent="0.2">
      <c r="A1525" s="16">
        <v>45344</v>
      </c>
      <c r="B1525" t="s">
        <v>33</v>
      </c>
      <c r="C1525" t="s">
        <v>19</v>
      </c>
      <c r="D1525" t="s">
        <v>35</v>
      </c>
      <c r="E1525" t="s">
        <v>7639</v>
      </c>
      <c r="F1525">
        <v>3</v>
      </c>
      <c r="G1525" s="15">
        <v>2710000</v>
      </c>
      <c r="H1525" s="14">
        <v>0.13075929750140999</v>
      </c>
      <c r="I1525" s="27">
        <f t="shared" si="23"/>
        <v>2355642.3037711792</v>
      </c>
      <c r="J1525">
        <v>4.3</v>
      </c>
      <c r="K1525" t="b">
        <v>0</v>
      </c>
    </row>
    <row r="1526" spans="1:11" ht="16" x14ac:dyDescent="0.2">
      <c r="A1526" s="16">
        <v>45345</v>
      </c>
      <c r="B1526" t="s">
        <v>45</v>
      </c>
      <c r="C1526" t="s">
        <v>25</v>
      </c>
      <c r="D1526" t="s">
        <v>20</v>
      </c>
      <c r="E1526" t="s">
        <v>7641</v>
      </c>
      <c r="F1526">
        <v>1</v>
      </c>
      <c r="G1526" s="15">
        <v>2710000</v>
      </c>
      <c r="H1526" s="14">
        <v>0.13075929750140999</v>
      </c>
      <c r="I1526" s="27">
        <f t="shared" si="23"/>
        <v>2355642.3037711792</v>
      </c>
      <c r="J1526">
        <v>4</v>
      </c>
      <c r="K1526" t="b">
        <v>0</v>
      </c>
    </row>
    <row r="1527" spans="1:11" ht="16" x14ac:dyDescent="0.2">
      <c r="A1527" s="16">
        <v>45346</v>
      </c>
      <c r="B1527" t="s">
        <v>29</v>
      </c>
      <c r="C1527" t="s">
        <v>34</v>
      </c>
      <c r="D1527" t="s">
        <v>20</v>
      </c>
      <c r="E1527" t="s">
        <v>7642</v>
      </c>
      <c r="F1527">
        <v>2</v>
      </c>
      <c r="G1527" s="15">
        <v>2710000</v>
      </c>
      <c r="H1527" s="14">
        <v>0.13075929750140999</v>
      </c>
      <c r="I1527" s="27">
        <f t="shared" si="23"/>
        <v>2355642.3037711792</v>
      </c>
      <c r="J1527">
        <v>3.5</v>
      </c>
      <c r="K1527" t="b">
        <v>1</v>
      </c>
    </row>
    <row r="1528" spans="1:11" ht="16" x14ac:dyDescent="0.2">
      <c r="A1528" s="16">
        <v>45346</v>
      </c>
      <c r="B1528" t="s">
        <v>18</v>
      </c>
      <c r="C1528" t="s">
        <v>19</v>
      </c>
      <c r="D1528" t="s">
        <v>20</v>
      </c>
      <c r="E1528" t="s">
        <v>7638</v>
      </c>
      <c r="F1528">
        <v>4</v>
      </c>
      <c r="G1528" s="15">
        <v>2710000</v>
      </c>
      <c r="H1528" s="14">
        <v>0.13075929750140999</v>
      </c>
      <c r="I1528" s="27">
        <f t="shared" si="23"/>
        <v>2355642.3037711792</v>
      </c>
      <c r="J1528">
        <v>5</v>
      </c>
      <c r="K1528" t="b">
        <v>1</v>
      </c>
    </row>
    <row r="1529" spans="1:11" ht="16" x14ac:dyDescent="0.2">
      <c r="A1529" s="16">
        <v>45347</v>
      </c>
      <c r="B1529" t="s">
        <v>33</v>
      </c>
      <c r="C1529" t="s">
        <v>19</v>
      </c>
      <c r="D1529" t="s">
        <v>20</v>
      </c>
      <c r="E1529" t="s">
        <v>57</v>
      </c>
      <c r="F1529">
        <v>1</v>
      </c>
      <c r="G1529" s="15">
        <v>2710000</v>
      </c>
      <c r="H1529" s="14">
        <v>0.13075929750140999</v>
      </c>
      <c r="I1529" s="27">
        <f t="shared" si="23"/>
        <v>2355642.3037711792</v>
      </c>
      <c r="J1529">
        <v>3.6</v>
      </c>
      <c r="K1529" t="b">
        <v>0</v>
      </c>
    </row>
    <row r="1530" spans="1:11" ht="16" x14ac:dyDescent="0.2">
      <c r="A1530" s="16">
        <v>45347</v>
      </c>
      <c r="B1530" t="s">
        <v>45</v>
      </c>
      <c r="C1530" t="s">
        <v>34</v>
      </c>
      <c r="D1530" t="s">
        <v>35</v>
      </c>
      <c r="E1530" t="s">
        <v>7644</v>
      </c>
      <c r="F1530">
        <v>1</v>
      </c>
      <c r="G1530" s="15">
        <v>2710000</v>
      </c>
      <c r="H1530" s="14">
        <v>0.13075929750140999</v>
      </c>
      <c r="I1530" s="27">
        <f t="shared" si="23"/>
        <v>2355642.3037711792</v>
      </c>
      <c r="J1530">
        <v>4.9000000000000004</v>
      </c>
      <c r="K1530" t="b">
        <v>1</v>
      </c>
    </row>
    <row r="1531" spans="1:11" ht="16" x14ac:dyDescent="0.2">
      <c r="A1531" s="16">
        <v>45347</v>
      </c>
      <c r="B1531" t="s">
        <v>33</v>
      </c>
      <c r="C1531" t="s">
        <v>25</v>
      </c>
      <c r="D1531" t="s">
        <v>50</v>
      </c>
      <c r="E1531" t="s">
        <v>57</v>
      </c>
      <c r="F1531">
        <v>1</v>
      </c>
      <c r="G1531" s="15">
        <v>2710000</v>
      </c>
      <c r="H1531" s="14">
        <v>0.13075929750140999</v>
      </c>
      <c r="I1531" s="27">
        <f t="shared" si="23"/>
        <v>2355642.3037711792</v>
      </c>
      <c r="J1531">
        <v>4.3</v>
      </c>
      <c r="K1531" t="b">
        <v>0</v>
      </c>
    </row>
    <row r="1532" spans="1:11" ht="16" x14ac:dyDescent="0.2">
      <c r="A1532" s="16">
        <v>45347</v>
      </c>
      <c r="B1532" t="s">
        <v>18</v>
      </c>
      <c r="C1532" t="s">
        <v>39</v>
      </c>
      <c r="D1532" t="s">
        <v>35</v>
      </c>
      <c r="E1532" t="s">
        <v>7637</v>
      </c>
      <c r="F1532">
        <v>1</v>
      </c>
      <c r="G1532" s="15">
        <v>2710000</v>
      </c>
      <c r="H1532" s="14">
        <v>0.13075929750140999</v>
      </c>
      <c r="I1532" s="27">
        <f t="shared" si="23"/>
        <v>2355642.3037711792</v>
      </c>
      <c r="J1532">
        <v>4.7</v>
      </c>
      <c r="K1532" t="b">
        <v>0</v>
      </c>
    </row>
    <row r="1533" spans="1:11" ht="16" x14ac:dyDescent="0.2">
      <c r="A1533" s="16">
        <v>45347</v>
      </c>
      <c r="B1533" t="s">
        <v>18</v>
      </c>
      <c r="C1533" t="s">
        <v>45</v>
      </c>
      <c r="D1533" t="s">
        <v>20</v>
      </c>
      <c r="E1533" t="s">
        <v>57</v>
      </c>
      <c r="F1533">
        <v>1</v>
      </c>
      <c r="G1533" s="15">
        <v>2710000</v>
      </c>
      <c r="H1533" s="14">
        <v>0.13075929750140999</v>
      </c>
      <c r="I1533" s="27">
        <f t="shared" si="23"/>
        <v>2355642.3037711792</v>
      </c>
      <c r="J1533">
        <v>4.0999999999999996</v>
      </c>
      <c r="K1533" t="b">
        <v>1</v>
      </c>
    </row>
    <row r="1534" spans="1:11" ht="16" x14ac:dyDescent="0.2">
      <c r="A1534" s="16">
        <v>45349</v>
      </c>
      <c r="B1534" t="s">
        <v>18</v>
      </c>
      <c r="C1534" t="s">
        <v>34</v>
      </c>
      <c r="D1534" t="s">
        <v>20</v>
      </c>
      <c r="E1534" t="s">
        <v>7638</v>
      </c>
      <c r="F1534">
        <v>3</v>
      </c>
      <c r="G1534" s="15">
        <v>2710000</v>
      </c>
      <c r="H1534" s="14">
        <v>0.13075929750140999</v>
      </c>
      <c r="I1534" s="27">
        <f t="shared" si="23"/>
        <v>2355642.3037711792</v>
      </c>
      <c r="J1534">
        <v>3.6</v>
      </c>
      <c r="K1534" t="b">
        <v>0</v>
      </c>
    </row>
    <row r="1535" spans="1:11" ht="16" x14ac:dyDescent="0.2">
      <c r="A1535" s="16">
        <v>45349</v>
      </c>
      <c r="B1535" t="s">
        <v>29</v>
      </c>
      <c r="C1535" t="s">
        <v>34</v>
      </c>
      <c r="D1535" t="s">
        <v>50</v>
      </c>
      <c r="E1535" t="s">
        <v>7641</v>
      </c>
      <c r="F1535">
        <v>2</v>
      </c>
      <c r="G1535" s="15">
        <v>2710000</v>
      </c>
      <c r="H1535" s="14">
        <v>0.13075929750140999</v>
      </c>
      <c r="I1535" s="27">
        <f t="shared" si="23"/>
        <v>2355642.3037711792</v>
      </c>
      <c r="J1535">
        <v>4</v>
      </c>
      <c r="K1535" t="b">
        <v>0</v>
      </c>
    </row>
    <row r="1536" spans="1:11" ht="16" x14ac:dyDescent="0.2">
      <c r="A1536" s="16">
        <v>45349</v>
      </c>
      <c r="B1536" t="s">
        <v>45</v>
      </c>
      <c r="C1536" t="s">
        <v>39</v>
      </c>
      <c r="D1536" t="s">
        <v>20</v>
      </c>
      <c r="E1536" t="s">
        <v>99</v>
      </c>
      <c r="F1536">
        <v>2</v>
      </c>
      <c r="G1536" s="15">
        <v>2710000</v>
      </c>
      <c r="H1536" s="14">
        <v>0.13075929750140999</v>
      </c>
      <c r="I1536" s="27">
        <f t="shared" si="23"/>
        <v>2355642.3037711792</v>
      </c>
      <c r="J1536">
        <v>4.0999999999999996</v>
      </c>
      <c r="K1536" t="b">
        <v>0</v>
      </c>
    </row>
    <row r="1537" spans="1:11" ht="16" x14ac:dyDescent="0.2">
      <c r="A1537" s="16">
        <v>45350</v>
      </c>
      <c r="B1537" t="s">
        <v>18</v>
      </c>
      <c r="C1537" t="s">
        <v>19</v>
      </c>
      <c r="D1537" t="s">
        <v>50</v>
      </c>
      <c r="E1537" t="s">
        <v>7640</v>
      </c>
      <c r="F1537">
        <v>1</v>
      </c>
      <c r="G1537" s="15">
        <v>2710000</v>
      </c>
      <c r="H1537" s="14">
        <v>0.13075929750140999</v>
      </c>
      <c r="I1537" s="27">
        <f t="shared" si="23"/>
        <v>2355642.3037711792</v>
      </c>
      <c r="J1537">
        <v>4.2</v>
      </c>
      <c r="K1537" t="b">
        <v>0</v>
      </c>
    </row>
    <row r="1538" spans="1:11" ht="16" x14ac:dyDescent="0.2">
      <c r="A1538" s="16">
        <v>45350</v>
      </c>
      <c r="B1538" t="s">
        <v>33</v>
      </c>
      <c r="C1538" t="s">
        <v>34</v>
      </c>
      <c r="D1538" t="s">
        <v>35</v>
      </c>
      <c r="E1538" t="s">
        <v>7640</v>
      </c>
      <c r="F1538">
        <v>2</v>
      </c>
      <c r="G1538" s="15">
        <v>2710000</v>
      </c>
      <c r="H1538" s="14">
        <v>0.13075929750140999</v>
      </c>
      <c r="I1538" s="27">
        <f t="shared" si="23"/>
        <v>2355642.3037711792</v>
      </c>
      <c r="J1538">
        <v>4.3</v>
      </c>
      <c r="K1538" t="b">
        <v>1</v>
      </c>
    </row>
    <row r="1539" spans="1:11" ht="16" x14ac:dyDescent="0.2">
      <c r="A1539" s="16">
        <v>45350</v>
      </c>
      <c r="B1539" t="s">
        <v>18</v>
      </c>
      <c r="C1539" t="s">
        <v>34</v>
      </c>
      <c r="D1539" t="s">
        <v>35</v>
      </c>
      <c r="E1539" t="s">
        <v>7641</v>
      </c>
      <c r="F1539">
        <v>3</v>
      </c>
      <c r="G1539" s="15">
        <v>2710000</v>
      </c>
      <c r="H1539" s="14">
        <v>0.13075929750140999</v>
      </c>
      <c r="I1539" s="27">
        <f t="shared" ref="I1539:I1602" si="24">G1539-G1539*H1539</f>
        <v>2355642.3037711792</v>
      </c>
      <c r="J1539">
        <v>3.8</v>
      </c>
      <c r="K1539" t="b">
        <v>0</v>
      </c>
    </row>
    <row r="1540" spans="1:11" ht="16" x14ac:dyDescent="0.2">
      <c r="A1540" s="16">
        <v>45352</v>
      </c>
      <c r="B1540" t="s">
        <v>45</v>
      </c>
      <c r="C1540" t="s">
        <v>34</v>
      </c>
      <c r="D1540" t="s">
        <v>35</v>
      </c>
      <c r="E1540" t="s">
        <v>7638</v>
      </c>
      <c r="F1540">
        <v>1</v>
      </c>
      <c r="G1540" s="15">
        <v>2710000</v>
      </c>
      <c r="H1540" s="14">
        <v>0.13075929750140999</v>
      </c>
      <c r="I1540" s="27">
        <f t="shared" si="24"/>
        <v>2355642.3037711792</v>
      </c>
      <c r="J1540">
        <v>4.7</v>
      </c>
      <c r="K1540" t="b">
        <v>1</v>
      </c>
    </row>
    <row r="1541" spans="1:11" ht="16" x14ac:dyDescent="0.2">
      <c r="A1541" s="16">
        <v>45352</v>
      </c>
      <c r="B1541" t="s">
        <v>45</v>
      </c>
      <c r="C1541" t="s">
        <v>19</v>
      </c>
      <c r="D1541" t="s">
        <v>50</v>
      </c>
      <c r="E1541" t="s">
        <v>7640</v>
      </c>
      <c r="F1541">
        <v>3</v>
      </c>
      <c r="G1541" s="15">
        <v>2710000</v>
      </c>
      <c r="H1541" s="14">
        <v>0.13075929750140999</v>
      </c>
      <c r="I1541" s="27">
        <f t="shared" si="24"/>
        <v>2355642.3037711792</v>
      </c>
      <c r="J1541">
        <v>4.0999999999999996</v>
      </c>
      <c r="K1541" t="b">
        <v>0</v>
      </c>
    </row>
    <row r="1542" spans="1:11" ht="16" x14ac:dyDescent="0.2">
      <c r="A1542" s="16">
        <v>45353</v>
      </c>
      <c r="B1542" t="str">
        <f>B1541</f>
        <v>Family</v>
      </c>
      <c r="C1542" t="s">
        <v>19</v>
      </c>
      <c r="D1542" t="s">
        <v>20</v>
      </c>
      <c r="E1542" t="s">
        <v>7642</v>
      </c>
      <c r="F1542">
        <v>3</v>
      </c>
      <c r="G1542" s="15">
        <v>2710000</v>
      </c>
      <c r="H1542" s="14">
        <v>0.13075929750140999</v>
      </c>
      <c r="I1542" s="27">
        <f t="shared" si="24"/>
        <v>2355642.3037711792</v>
      </c>
      <c r="J1542">
        <v>4.5</v>
      </c>
      <c r="K1542" t="b">
        <v>1</v>
      </c>
    </row>
    <row r="1543" spans="1:11" ht="16" x14ac:dyDescent="0.2">
      <c r="A1543" s="16">
        <v>45353</v>
      </c>
      <c r="B1543" t="s">
        <v>33</v>
      </c>
      <c r="C1543" t="s">
        <v>34</v>
      </c>
      <c r="D1543" t="s">
        <v>20</v>
      </c>
      <c r="E1543" t="s">
        <v>99</v>
      </c>
      <c r="F1543">
        <v>1</v>
      </c>
      <c r="G1543" s="15">
        <v>2710000</v>
      </c>
      <c r="H1543" s="14">
        <v>0.13075929750140999</v>
      </c>
      <c r="I1543" s="27">
        <f t="shared" si="24"/>
        <v>2355642.3037711792</v>
      </c>
      <c r="J1543">
        <v>4.5</v>
      </c>
      <c r="K1543" t="b">
        <v>1</v>
      </c>
    </row>
    <row r="1544" spans="1:11" ht="16" x14ac:dyDescent="0.2">
      <c r="A1544" s="16">
        <v>45353</v>
      </c>
      <c r="B1544" t="s">
        <v>18</v>
      </c>
      <c r="C1544" t="s">
        <v>25</v>
      </c>
      <c r="D1544" t="s">
        <v>20</v>
      </c>
      <c r="E1544" t="s">
        <v>99</v>
      </c>
      <c r="F1544">
        <v>1</v>
      </c>
      <c r="G1544" s="15">
        <v>2710000</v>
      </c>
      <c r="H1544" s="14">
        <v>0.13075929750140999</v>
      </c>
      <c r="I1544" s="27">
        <f t="shared" si="24"/>
        <v>2355642.3037711792</v>
      </c>
      <c r="J1544">
        <v>4.4000000000000004</v>
      </c>
      <c r="K1544" t="b">
        <v>0</v>
      </c>
    </row>
    <row r="1545" spans="1:11" ht="16" x14ac:dyDescent="0.2">
      <c r="A1545" s="16">
        <v>45353</v>
      </c>
      <c r="B1545" t="s">
        <v>45</v>
      </c>
      <c r="C1545" t="s">
        <v>34</v>
      </c>
      <c r="D1545" t="s">
        <v>20</v>
      </c>
      <c r="E1545" t="s">
        <v>99</v>
      </c>
      <c r="F1545">
        <v>1</v>
      </c>
      <c r="G1545" s="15">
        <v>2710000</v>
      </c>
      <c r="H1545" s="14">
        <v>0.13075929750140999</v>
      </c>
      <c r="I1545" s="27">
        <f t="shared" si="24"/>
        <v>2355642.3037711792</v>
      </c>
      <c r="J1545">
        <v>3.9</v>
      </c>
      <c r="K1545" t="b">
        <v>1</v>
      </c>
    </row>
    <row r="1546" spans="1:11" ht="16" x14ac:dyDescent="0.2">
      <c r="A1546" s="16">
        <v>45353</v>
      </c>
      <c r="B1546" t="s">
        <v>45</v>
      </c>
      <c r="C1546" t="s">
        <v>34</v>
      </c>
      <c r="D1546" t="s">
        <v>20</v>
      </c>
      <c r="E1546" t="s">
        <v>7639</v>
      </c>
      <c r="F1546">
        <v>1</v>
      </c>
      <c r="G1546" s="15">
        <v>2710000</v>
      </c>
      <c r="H1546" s="14">
        <v>0.13075929750140999</v>
      </c>
      <c r="I1546" s="27">
        <f t="shared" si="24"/>
        <v>2355642.3037711792</v>
      </c>
      <c r="J1546">
        <v>4.4000000000000004</v>
      </c>
      <c r="K1546" t="b">
        <v>1</v>
      </c>
    </row>
    <row r="1547" spans="1:11" ht="16" x14ac:dyDescent="0.2">
      <c r="A1547" s="16">
        <v>45353</v>
      </c>
      <c r="B1547" t="str">
        <f>B1546</f>
        <v>Family</v>
      </c>
      <c r="C1547" t="s">
        <v>45</v>
      </c>
      <c r="D1547" t="s">
        <v>35</v>
      </c>
      <c r="E1547" t="s">
        <v>7643</v>
      </c>
      <c r="F1547">
        <v>2</v>
      </c>
      <c r="G1547" s="15">
        <v>2710000</v>
      </c>
      <c r="H1547" s="14">
        <v>0.13075929750140999</v>
      </c>
      <c r="I1547" s="27">
        <f t="shared" si="24"/>
        <v>2355642.3037711792</v>
      </c>
      <c r="J1547">
        <v>3.6</v>
      </c>
      <c r="K1547" t="b">
        <v>0</v>
      </c>
    </row>
    <row r="1548" spans="1:11" ht="16" x14ac:dyDescent="0.2">
      <c r="A1548" s="16">
        <v>45354</v>
      </c>
      <c r="B1548" t="s">
        <v>45</v>
      </c>
      <c r="C1548" t="s">
        <v>25</v>
      </c>
      <c r="D1548" t="s">
        <v>35</v>
      </c>
      <c r="E1548" t="s">
        <v>99</v>
      </c>
      <c r="F1548">
        <v>1</v>
      </c>
      <c r="G1548" s="15">
        <v>2710000</v>
      </c>
      <c r="H1548" s="14">
        <v>0.13075929750140999</v>
      </c>
      <c r="I1548" s="27">
        <f t="shared" si="24"/>
        <v>2355642.3037711792</v>
      </c>
      <c r="J1548">
        <v>4.7</v>
      </c>
      <c r="K1548" t="b">
        <v>1</v>
      </c>
    </row>
    <row r="1549" spans="1:11" ht="16" x14ac:dyDescent="0.2">
      <c r="A1549" s="16">
        <v>45354</v>
      </c>
      <c r="B1549" t="s">
        <v>18</v>
      </c>
      <c r="C1549" t="s">
        <v>34</v>
      </c>
      <c r="D1549" t="s">
        <v>35</v>
      </c>
      <c r="E1549" t="s">
        <v>7640</v>
      </c>
      <c r="F1549">
        <v>2</v>
      </c>
      <c r="G1549" s="15">
        <v>2710000</v>
      </c>
      <c r="H1549" s="14">
        <v>0.13075929750140999</v>
      </c>
      <c r="I1549" s="27">
        <f t="shared" si="24"/>
        <v>2355642.3037711792</v>
      </c>
      <c r="J1549">
        <v>4.5999999999999996</v>
      </c>
      <c r="K1549" t="b">
        <v>0</v>
      </c>
    </row>
    <row r="1550" spans="1:11" ht="16" x14ac:dyDescent="0.2">
      <c r="A1550" s="16">
        <v>45354</v>
      </c>
      <c r="B1550" t="s">
        <v>18</v>
      </c>
      <c r="C1550" t="s">
        <v>25</v>
      </c>
      <c r="D1550" t="s">
        <v>20</v>
      </c>
      <c r="E1550" t="s">
        <v>7640</v>
      </c>
      <c r="F1550">
        <v>2</v>
      </c>
      <c r="G1550" s="15">
        <v>2710000</v>
      </c>
      <c r="H1550" s="14">
        <v>0.13075929750140999</v>
      </c>
      <c r="I1550" s="27">
        <f t="shared" si="24"/>
        <v>2355642.3037711792</v>
      </c>
      <c r="J1550">
        <v>4.4000000000000004</v>
      </c>
      <c r="K1550" t="b">
        <v>1</v>
      </c>
    </row>
    <row r="1551" spans="1:11" ht="16" x14ac:dyDescent="0.2">
      <c r="A1551" s="16">
        <v>45354</v>
      </c>
      <c r="B1551" t="s">
        <v>45</v>
      </c>
      <c r="C1551" t="s">
        <v>39</v>
      </c>
      <c r="D1551" t="s">
        <v>20</v>
      </c>
      <c r="E1551" t="s">
        <v>7638</v>
      </c>
      <c r="F1551">
        <v>3</v>
      </c>
      <c r="G1551" s="15">
        <v>2710000</v>
      </c>
      <c r="H1551" s="14">
        <v>0.13075929750140999</v>
      </c>
      <c r="I1551" s="27">
        <f t="shared" si="24"/>
        <v>2355642.3037711792</v>
      </c>
      <c r="J1551">
        <v>3.9</v>
      </c>
      <c r="K1551" t="b">
        <v>0</v>
      </c>
    </row>
    <row r="1552" spans="1:11" ht="16" x14ac:dyDescent="0.2">
      <c r="A1552" s="16">
        <v>45354</v>
      </c>
      <c r="B1552" t="s">
        <v>45</v>
      </c>
      <c r="C1552" t="s">
        <v>19</v>
      </c>
      <c r="D1552" t="s">
        <v>20</v>
      </c>
      <c r="E1552" t="s">
        <v>7641</v>
      </c>
      <c r="F1552">
        <v>1</v>
      </c>
      <c r="G1552" s="15">
        <v>2710000</v>
      </c>
      <c r="H1552" s="14">
        <v>0.13075929750140999</v>
      </c>
      <c r="I1552" s="27">
        <f t="shared" si="24"/>
        <v>2355642.3037711792</v>
      </c>
      <c r="J1552">
        <v>3.7</v>
      </c>
      <c r="K1552" t="b">
        <v>0</v>
      </c>
    </row>
    <row r="1553" spans="1:11" ht="16" x14ac:dyDescent="0.2">
      <c r="A1553" s="16">
        <v>45355</v>
      </c>
      <c r="B1553" t="s">
        <v>29</v>
      </c>
      <c r="C1553" t="s">
        <v>19</v>
      </c>
      <c r="D1553" t="s">
        <v>35</v>
      </c>
      <c r="E1553" t="str">
        <f>E1552</f>
        <v>Phú Quốc</v>
      </c>
      <c r="F1553">
        <v>2</v>
      </c>
      <c r="G1553" s="15">
        <v>2710000</v>
      </c>
      <c r="H1553" s="14">
        <v>0.13075929750140999</v>
      </c>
      <c r="I1553" s="27">
        <f t="shared" si="24"/>
        <v>2355642.3037711792</v>
      </c>
      <c r="J1553">
        <v>3.9</v>
      </c>
      <c r="K1553" t="b">
        <v>0</v>
      </c>
    </row>
    <row r="1554" spans="1:11" ht="16" x14ac:dyDescent="0.2">
      <c r="A1554" s="16">
        <v>45355</v>
      </c>
      <c r="B1554" t="s">
        <v>45</v>
      </c>
      <c r="C1554" t="s">
        <v>34</v>
      </c>
      <c r="D1554" t="s">
        <v>20</v>
      </c>
      <c r="E1554" t="s">
        <v>57</v>
      </c>
      <c r="F1554">
        <v>1</v>
      </c>
      <c r="G1554" s="15">
        <v>2710000</v>
      </c>
      <c r="H1554" s="14">
        <v>0.13075929750140999</v>
      </c>
      <c r="I1554" s="27">
        <f t="shared" si="24"/>
        <v>2355642.3037711792</v>
      </c>
      <c r="J1554">
        <v>3.6</v>
      </c>
      <c r="K1554" t="b">
        <v>0</v>
      </c>
    </row>
    <row r="1555" spans="1:11" ht="16" x14ac:dyDescent="0.2">
      <c r="A1555" s="16">
        <v>45355</v>
      </c>
      <c r="B1555" t="s">
        <v>18</v>
      </c>
      <c r="C1555" t="s">
        <v>39</v>
      </c>
      <c r="D1555" t="s">
        <v>50</v>
      </c>
      <c r="E1555" t="s">
        <v>7643</v>
      </c>
      <c r="F1555">
        <v>4</v>
      </c>
      <c r="G1555" s="15">
        <v>2710000</v>
      </c>
      <c r="H1555" s="14">
        <v>0.13075929750140999</v>
      </c>
      <c r="I1555" s="27">
        <f t="shared" si="24"/>
        <v>2355642.3037711792</v>
      </c>
      <c r="J1555">
        <v>4</v>
      </c>
      <c r="K1555" t="b">
        <v>1</v>
      </c>
    </row>
    <row r="1556" spans="1:11" ht="16" x14ac:dyDescent="0.2">
      <c r="A1556" s="16">
        <v>45355</v>
      </c>
      <c r="B1556" t="s">
        <v>18</v>
      </c>
      <c r="C1556" t="s">
        <v>25</v>
      </c>
      <c r="D1556" t="s">
        <v>20</v>
      </c>
      <c r="E1556" t="s">
        <v>7637</v>
      </c>
      <c r="F1556">
        <v>1</v>
      </c>
      <c r="G1556" s="15">
        <v>2710000</v>
      </c>
      <c r="H1556" s="14">
        <v>0.13075929750140999</v>
      </c>
      <c r="I1556" s="27">
        <f t="shared" si="24"/>
        <v>2355642.3037711792</v>
      </c>
      <c r="J1556">
        <v>3</v>
      </c>
      <c r="K1556" t="b">
        <v>0</v>
      </c>
    </row>
    <row r="1557" spans="1:11" ht="16" x14ac:dyDescent="0.2">
      <c r="A1557" s="16">
        <v>45355</v>
      </c>
      <c r="B1557" t="s">
        <v>18</v>
      </c>
      <c r="C1557" t="s">
        <v>39</v>
      </c>
      <c r="D1557" t="s">
        <v>20</v>
      </c>
      <c r="E1557" t="s">
        <v>7637</v>
      </c>
      <c r="F1557">
        <v>3</v>
      </c>
      <c r="G1557" s="15">
        <v>2710000</v>
      </c>
      <c r="H1557" s="14">
        <v>0.13075929750140999</v>
      </c>
      <c r="I1557" s="27">
        <f t="shared" si="24"/>
        <v>2355642.3037711792</v>
      </c>
      <c r="J1557">
        <v>4.7</v>
      </c>
      <c r="K1557" t="b">
        <v>0</v>
      </c>
    </row>
    <row r="1558" spans="1:11" ht="16" x14ac:dyDescent="0.2">
      <c r="A1558" s="16">
        <v>45356</v>
      </c>
      <c r="B1558" t="s">
        <v>29</v>
      </c>
      <c r="C1558" t="s">
        <v>68</v>
      </c>
      <c r="D1558" t="s">
        <v>50</v>
      </c>
      <c r="E1558" t="s">
        <v>7638</v>
      </c>
      <c r="F1558">
        <v>3</v>
      </c>
      <c r="G1558" s="15">
        <v>2710000</v>
      </c>
      <c r="H1558" s="14">
        <v>0.13075929750140999</v>
      </c>
      <c r="I1558" s="27">
        <f t="shared" si="24"/>
        <v>2355642.3037711792</v>
      </c>
      <c r="J1558">
        <v>3.5</v>
      </c>
      <c r="K1558" t="b">
        <v>1</v>
      </c>
    </row>
    <row r="1559" spans="1:11" ht="16" x14ac:dyDescent="0.2">
      <c r="A1559" s="16">
        <v>45356</v>
      </c>
      <c r="B1559" t="s">
        <v>45</v>
      </c>
      <c r="C1559" t="s">
        <v>68</v>
      </c>
      <c r="D1559" t="s">
        <v>46</v>
      </c>
      <c r="E1559" t="s">
        <v>7643</v>
      </c>
      <c r="F1559">
        <v>1</v>
      </c>
      <c r="G1559" s="15">
        <v>2710000</v>
      </c>
      <c r="H1559" s="14">
        <v>0.13075929750140999</v>
      </c>
      <c r="I1559" s="27">
        <f t="shared" si="24"/>
        <v>2355642.3037711792</v>
      </c>
      <c r="J1559">
        <v>3.8</v>
      </c>
      <c r="K1559" t="b">
        <v>1</v>
      </c>
    </row>
    <row r="1560" spans="1:11" ht="16" x14ac:dyDescent="0.2">
      <c r="A1560" s="16">
        <v>45356</v>
      </c>
      <c r="B1560" t="s">
        <v>33</v>
      </c>
      <c r="C1560" t="s">
        <v>45</v>
      </c>
      <c r="D1560" t="s">
        <v>20</v>
      </c>
      <c r="E1560" t="s">
        <v>7639</v>
      </c>
      <c r="F1560">
        <v>4</v>
      </c>
      <c r="G1560" s="15">
        <v>2710000</v>
      </c>
      <c r="H1560" s="14">
        <v>0.13075929750140999</v>
      </c>
      <c r="I1560" s="27">
        <f t="shared" si="24"/>
        <v>2355642.3037711792</v>
      </c>
      <c r="J1560">
        <v>4.3</v>
      </c>
      <c r="K1560" t="b">
        <v>0</v>
      </c>
    </row>
    <row r="1561" spans="1:11" ht="16" x14ac:dyDescent="0.2">
      <c r="A1561" s="16">
        <v>45357</v>
      </c>
      <c r="B1561" t="s">
        <v>18</v>
      </c>
      <c r="C1561" t="s">
        <v>34</v>
      </c>
      <c r="D1561" t="s">
        <v>20</v>
      </c>
      <c r="E1561" t="s">
        <v>7637</v>
      </c>
      <c r="F1561">
        <v>1</v>
      </c>
      <c r="G1561" s="15">
        <v>2710000</v>
      </c>
      <c r="H1561" s="14">
        <v>0.13075929750140999</v>
      </c>
      <c r="I1561" s="27">
        <f t="shared" si="24"/>
        <v>2355642.3037711792</v>
      </c>
      <c r="J1561">
        <v>4.5999999999999996</v>
      </c>
      <c r="K1561" t="b">
        <v>1</v>
      </c>
    </row>
    <row r="1562" spans="1:11" ht="16" x14ac:dyDescent="0.2">
      <c r="A1562" s="16">
        <v>45358</v>
      </c>
      <c r="B1562" t="str">
        <f>B1561</f>
        <v>Young Professional</v>
      </c>
      <c r="C1562" t="s">
        <v>25</v>
      </c>
      <c r="D1562" t="s">
        <v>20</v>
      </c>
      <c r="E1562" t="s">
        <v>7640</v>
      </c>
      <c r="F1562">
        <v>1</v>
      </c>
      <c r="G1562" s="15">
        <v>2710000</v>
      </c>
      <c r="H1562" s="14">
        <v>0.13075929750140999</v>
      </c>
      <c r="I1562" s="27">
        <f t="shared" si="24"/>
        <v>2355642.3037711792</v>
      </c>
      <c r="J1562">
        <v>3.8</v>
      </c>
      <c r="K1562" t="b">
        <v>0</v>
      </c>
    </row>
    <row r="1563" spans="1:11" ht="16" x14ac:dyDescent="0.2">
      <c r="A1563" s="16">
        <v>45358</v>
      </c>
      <c r="B1563" t="s">
        <v>18</v>
      </c>
      <c r="C1563" t="s">
        <v>68</v>
      </c>
      <c r="D1563" t="s">
        <v>20</v>
      </c>
      <c r="E1563" t="s">
        <v>7643</v>
      </c>
      <c r="F1563">
        <v>2</v>
      </c>
      <c r="G1563" s="15">
        <v>2710000</v>
      </c>
      <c r="H1563" s="14">
        <v>0.13075929750140999</v>
      </c>
      <c r="I1563" s="27">
        <f t="shared" si="24"/>
        <v>2355642.3037711792</v>
      </c>
      <c r="J1563">
        <v>4.3</v>
      </c>
      <c r="K1563" t="b">
        <v>1</v>
      </c>
    </row>
    <row r="1564" spans="1:11" ht="16" x14ac:dyDescent="0.2">
      <c r="A1564" s="16">
        <v>45358</v>
      </c>
      <c r="B1564" t="s">
        <v>45</v>
      </c>
      <c r="C1564" t="s">
        <v>39</v>
      </c>
      <c r="D1564" t="s">
        <v>50</v>
      </c>
      <c r="E1564" t="s">
        <v>7637</v>
      </c>
      <c r="F1564">
        <v>1</v>
      </c>
      <c r="G1564" s="15">
        <v>2710000</v>
      </c>
      <c r="H1564" s="14">
        <v>0.13075929750140999</v>
      </c>
      <c r="I1564" s="27">
        <f t="shared" si="24"/>
        <v>2355642.3037711792</v>
      </c>
      <c r="J1564">
        <v>4.8</v>
      </c>
      <c r="K1564" t="b">
        <v>0</v>
      </c>
    </row>
    <row r="1565" spans="1:11" ht="16" x14ac:dyDescent="0.2">
      <c r="A1565" s="16">
        <v>45359</v>
      </c>
      <c r="B1565" t="s">
        <v>45</v>
      </c>
      <c r="C1565" t="s">
        <v>25</v>
      </c>
      <c r="D1565" t="s">
        <v>20</v>
      </c>
      <c r="E1565" t="s">
        <v>7641</v>
      </c>
      <c r="F1565">
        <v>1</v>
      </c>
      <c r="G1565" s="15">
        <v>2710000</v>
      </c>
      <c r="H1565" s="14">
        <v>0.13075929750140999</v>
      </c>
      <c r="I1565" s="27">
        <f t="shared" si="24"/>
        <v>2355642.3037711792</v>
      </c>
      <c r="J1565">
        <v>4.4000000000000004</v>
      </c>
      <c r="K1565" t="b">
        <v>1</v>
      </c>
    </row>
    <row r="1566" spans="1:11" ht="16" x14ac:dyDescent="0.2">
      <c r="A1566" s="16">
        <v>45359</v>
      </c>
      <c r="B1566" t="s">
        <v>45</v>
      </c>
      <c r="C1566" t="s">
        <v>25</v>
      </c>
      <c r="D1566" t="s">
        <v>20</v>
      </c>
      <c r="E1566" t="s">
        <v>7644</v>
      </c>
      <c r="F1566">
        <v>2</v>
      </c>
      <c r="G1566" s="15">
        <v>2710000</v>
      </c>
      <c r="H1566" s="14">
        <v>0.13075929750140999</v>
      </c>
      <c r="I1566" s="27">
        <f t="shared" si="24"/>
        <v>2355642.3037711792</v>
      </c>
      <c r="J1566">
        <v>4.9000000000000004</v>
      </c>
      <c r="K1566" t="b">
        <v>1</v>
      </c>
    </row>
    <row r="1567" spans="1:11" ht="16" x14ac:dyDescent="0.2">
      <c r="A1567" s="16">
        <v>45360</v>
      </c>
      <c r="B1567" t="s">
        <v>18</v>
      </c>
      <c r="C1567" t="s">
        <v>68</v>
      </c>
      <c r="D1567" t="s">
        <v>35</v>
      </c>
      <c r="E1567" t="s">
        <v>7640</v>
      </c>
      <c r="F1567">
        <v>1</v>
      </c>
      <c r="G1567" s="15">
        <v>2710000</v>
      </c>
      <c r="H1567" s="14">
        <v>0.13075929750140999</v>
      </c>
      <c r="I1567" s="27">
        <f t="shared" si="24"/>
        <v>2355642.3037711792</v>
      </c>
      <c r="J1567">
        <v>4.4000000000000004</v>
      </c>
      <c r="K1567" t="b">
        <v>1</v>
      </c>
    </row>
    <row r="1568" spans="1:11" ht="16" x14ac:dyDescent="0.2">
      <c r="A1568" s="16">
        <v>45360</v>
      </c>
      <c r="B1568" t="s">
        <v>33</v>
      </c>
      <c r="C1568" t="s">
        <v>19</v>
      </c>
      <c r="D1568" t="s">
        <v>50</v>
      </c>
      <c r="E1568" t="s">
        <v>57</v>
      </c>
      <c r="F1568">
        <v>2</v>
      </c>
      <c r="G1568" s="15">
        <v>2710000</v>
      </c>
      <c r="H1568" s="14">
        <v>0.13075929750140999</v>
      </c>
      <c r="I1568" s="27">
        <f t="shared" si="24"/>
        <v>2355642.3037711792</v>
      </c>
      <c r="J1568">
        <v>4.5</v>
      </c>
      <c r="K1568" t="b">
        <v>0</v>
      </c>
    </row>
    <row r="1569" spans="1:11" ht="16" x14ac:dyDescent="0.2">
      <c r="A1569" s="16">
        <v>45360</v>
      </c>
      <c r="B1569" t="s">
        <v>33</v>
      </c>
      <c r="C1569" t="s">
        <v>25</v>
      </c>
      <c r="D1569" t="s">
        <v>20</v>
      </c>
      <c r="E1569" t="s">
        <v>7644</v>
      </c>
      <c r="F1569">
        <v>2</v>
      </c>
      <c r="G1569" s="15">
        <v>2710000</v>
      </c>
      <c r="H1569" s="14">
        <v>0.13075929750140999</v>
      </c>
      <c r="I1569" s="27">
        <f t="shared" si="24"/>
        <v>2355642.3037711792</v>
      </c>
      <c r="J1569">
        <v>4.3</v>
      </c>
      <c r="K1569" t="b">
        <v>1</v>
      </c>
    </row>
    <row r="1570" spans="1:11" ht="16" x14ac:dyDescent="0.2">
      <c r="A1570" s="16">
        <v>45360</v>
      </c>
      <c r="B1570" t="s">
        <v>33</v>
      </c>
      <c r="C1570" t="s">
        <v>34</v>
      </c>
      <c r="D1570" t="s">
        <v>35</v>
      </c>
      <c r="E1570" t="s">
        <v>99</v>
      </c>
      <c r="F1570">
        <v>1</v>
      </c>
      <c r="G1570" s="15">
        <v>2710000</v>
      </c>
      <c r="H1570" s="14">
        <v>0.13075929750140999</v>
      </c>
      <c r="I1570" s="27">
        <f t="shared" si="24"/>
        <v>2355642.3037711792</v>
      </c>
      <c r="J1570">
        <v>3.7</v>
      </c>
      <c r="K1570" t="b">
        <v>0</v>
      </c>
    </row>
    <row r="1571" spans="1:11" ht="16" x14ac:dyDescent="0.2">
      <c r="A1571" s="16">
        <v>45360</v>
      </c>
      <c r="B1571" t="s">
        <v>18</v>
      </c>
      <c r="C1571" t="s">
        <v>45</v>
      </c>
      <c r="D1571" t="s">
        <v>35</v>
      </c>
      <c r="E1571" t="s">
        <v>7639</v>
      </c>
      <c r="F1571">
        <v>4</v>
      </c>
      <c r="G1571" s="15">
        <v>2710000</v>
      </c>
      <c r="H1571" s="14">
        <v>0.13075929750140999</v>
      </c>
      <c r="I1571" s="27">
        <f t="shared" si="24"/>
        <v>2355642.3037711792</v>
      </c>
      <c r="J1571">
        <v>4.5</v>
      </c>
      <c r="K1571" t="b">
        <v>0</v>
      </c>
    </row>
    <row r="1572" spans="1:11" ht="16" x14ac:dyDescent="0.2">
      <c r="A1572" s="16">
        <v>45360</v>
      </c>
      <c r="B1572" t="s">
        <v>45</v>
      </c>
      <c r="C1572" t="s">
        <v>45</v>
      </c>
      <c r="D1572" t="s">
        <v>20</v>
      </c>
      <c r="E1572" t="s">
        <v>7644</v>
      </c>
      <c r="F1572">
        <v>4</v>
      </c>
      <c r="G1572" s="15">
        <v>2710000</v>
      </c>
      <c r="H1572" s="14">
        <v>0.13075929750140999</v>
      </c>
      <c r="I1572" s="27">
        <f t="shared" si="24"/>
        <v>2355642.3037711792</v>
      </c>
      <c r="J1572">
        <v>4.0999999999999996</v>
      </c>
      <c r="K1572" t="b">
        <v>0</v>
      </c>
    </row>
    <row r="1573" spans="1:11" ht="16" x14ac:dyDescent="0.2">
      <c r="A1573" s="16">
        <v>45361</v>
      </c>
      <c r="B1573" t="s">
        <v>33</v>
      </c>
      <c r="C1573" t="s">
        <v>34</v>
      </c>
      <c r="D1573" t="str">
        <f>D1572</f>
        <v>Website</v>
      </c>
      <c r="E1573" t="s">
        <v>99</v>
      </c>
      <c r="F1573">
        <v>2</v>
      </c>
      <c r="G1573" s="15">
        <v>2710000</v>
      </c>
      <c r="H1573" s="14">
        <v>0.13075929750140999</v>
      </c>
      <c r="I1573" s="27">
        <f t="shared" si="24"/>
        <v>2355642.3037711792</v>
      </c>
      <c r="J1573">
        <v>4.5999999999999996</v>
      </c>
      <c r="K1573" t="b">
        <v>0</v>
      </c>
    </row>
    <row r="1574" spans="1:11" ht="16" x14ac:dyDescent="0.2">
      <c r="A1574" s="16">
        <v>45361</v>
      </c>
      <c r="B1574" t="s">
        <v>45</v>
      </c>
      <c r="C1574" t="s">
        <v>39</v>
      </c>
      <c r="D1574" t="s">
        <v>50</v>
      </c>
      <c r="E1574" t="s">
        <v>7637</v>
      </c>
      <c r="F1574">
        <v>1</v>
      </c>
      <c r="G1574" s="15">
        <v>2710000</v>
      </c>
      <c r="H1574" s="14">
        <v>0.13075929750140999</v>
      </c>
      <c r="I1574" s="27">
        <f t="shared" si="24"/>
        <v>2355642.3037711792</v>
      </c>
      <c r="J1574">
        <v>3.6</v>
      </c>
      <c r="K1574" t="b">
        <v>0</v>
      </c>
    </row>
    <row r="1575" spans="1:11" ht="16" x14ac:dyDescent="0.2">
      <c r="A1575" s="16">
        <v>45361</v>
      </c>
      <c r="B1575" t="s">
        <v>45</v>
      </c>
      <c r="C1575" t="s">
        <v>25</v>
      </c>
      <c r="D1575" t="s">
        <v>20</v>
      </c>
      <c r="E1575" t="s">
        <v>7639</v>
      </c>
      <c r="F1575">
        <v>1</v>
      </c>
      <c r="G1575" s="15">
        <v>2710000</v>
      </c>
      <c r="H1575" s="14">
        <v>0.13075929750140999</v>
      </c>
      <c r="I1575" s="27">
        <f t="shared" si="24"/>
        <v>2355642.3037711792</v>
      </c>
      <c r="J1575">
        <v>4.2</v>
      </c>
      <c r="K1575" t="b">
        <v>1</v>
      </c>
    </row>
    <row r="1576" spans="1:11" ht="16" x14ac:dyDescent="0.2">
      <c r="A1576" s="16">
        <v>45361</v>
      </c>
      <c r="B1576" t="s">
        <v>18</v>
      </c>
      <c r="C1576" t="s">
        <v>34</v>
      </c>
      <c r="D1576" t="s">
        <v>20</v>
      </c>
      <c r="E1576" t="s">
        <v>57</v>
      </c>
      <c r="F1576">
        <v>2</v>
      </c>
      <c r="G1576" s="15">
        <v>2710000</v>
      </c>
      <c r="H1576" s="14">
        <v>0.13075929750140999</v>
      </c>
      <c r="I1576" s="27">
        <f t="shared" si="24"/>
        <v>2355642.3037711792</v>
      </c>
      <c r="J1576">
        <v>4.7</v>
      </c>
      <c r="K1576" t="b">
        <v>0</v>
      </c>
    </row>
    <row r="1577" spans="1:11" ht="16" x14ac:dyDescent="0.2">
      <c r="A1577" s="16">
        <v>45362</v>
      </c>
      <c r="B1577" t="s">
        <v>18</v>
      </c>
      <c r="C1577" t="s">
        <v>34</v>
      </c>
      <c r="D1577" t="s">
        <v>35</v>
      </c>
      <c r="E1577" t="s">
        <v>7642</v>
      </c>
      <c r="F1577">
        <v>5</v>
      </c>
      <c r="G1577" s="15">
        <v>2710000</v>
      </c>
      <c r="H1577" s="14">
        <v>0.13075929750140999</v>
      </c>
      <c r="I1577" s="27">
        <f t="shared" si="24"/>
        <v>2355642.3037711792</v>
      </c>
      <c r="J1577">
        <v>4.5</v>
      </c>
      <c r="K1577" t="b">
        <v>0</v>
      </c>
    </row>
    <row r="1578" spans="1:11" ht="16" x14ac:dyDescent="0.2">
      <c r="A1578" s="16">
        <v>45362</v>
      </c>
      <c r="B1578" t="s">
        <v>45</v>
      </c>
      <c r="C1578" t="s">
        <v>19</v>
      </c>
      <c r="D1578" t="s">
        <v>50</v>
      </c>
      <c r="E1578" t="s">
        <v>7638</v>
      </c>
      <c r="F1578">
        <v>2</v>
      </c>
      <c r="G1578" s="15">
        <v>2710000</v>
      </c>
      <c r="H1578" s="14">
        <v>0.13075929750140999</v>
      </c>
      <c r="I1578" s="27">
        <f t="shared" si="24"/>
        <v>2355642.3037711792</v>
      </c>
      <c r="J1578">
        <v>5</v>
      </c>
      <c r="K1578" t="b">
        <v>0</v>
      </c>
    </row>
    <row r="1579" spans="1:11" ht="16" x14ac:dyDescent="0.2">
      <c r="A1579" s="16">
        <v>45362</v>
      </c>
      <c r="B1579" t="s">
        <v>33</v>
      </c>
      <c r="C1579" t="s">
        <v>19</v>
      </c>
      <c r="D1579" t="s">
        <v>20</v>
      </c>
      <c r="E1579" t="s">
        <v>99</v>
      </c>
      <c r="F1579">
        <v>2</v>
      </c>
      <c r="G1579" s="15">
        <v>2710000</v>
      </c>
      <c r="H1579" s="14">
        <v>0.13075929750140999</v>
      </c>
      <c r="I1579" s="27">
        <f t="shared" si="24"/>
        <v>2355642.3037711792</v>
      </c>
      <c r="J1579">
        <v>4.7</v>
      </c>
      <c r="K1579" t="b">
        <v>1</v>
      </c>
    </row>
    <row r="1580" spans="1:11" ht="16" x14ac:dyDescent="0.2">
      <c r="A1580" s="16">
        <v>45362</v>
      </c>
      <c r="B1580" t="s">
        <v>45</v>
      </c>
      <c r="C1580" t="s">
        <v>68</v>
      </c>
      <c r="D1580" t="s">
        <v>50</v>
      </c>
      <c r="E1580" t="s">
        <v>7642</v>
      </c>
      <c r="F1580">
        <v>3</v>
      </c>
      <c r="G1580" s="15">
        <v>2710000</v>
      </c>
      <c r="H1580" s="14">
        <v>0.13075929750140999</v>
      </c>
      <c r="I1580" s="27">
        <f t="shared" si="24"/>
        <v>2355642.3037711792</v>
      </c>
      <c r="J1580">
        <v>4.5</v>
      </c>
      <c r="K1580" t="b">
        <v>0</v>
      </c>
    </row>
    <row r="1581" spans="1:11" ht="16" x14ac:dyDescent="0.2">
      <c r="A1581" s="16">
        <v>45362</v>
      </c>
      <c r="B1581" t="s">
        <v>45</v>
      </c>
      <c r="C1581" t="s">
        <v>34</v>
      </c>
      <c r="D1581" t="s">
        <v>20</v>
      </c>
      <c r="E1581" t="s">
        <v>7643</v>
      </c>
      <c r="F1581">
        <v>3</v>
      </c>
      <c r="G1581" s="15">
        <v>2710000</v>
      </c>
      <c r="H1581" s="14">
        <v>0.13075929750140999</v>
      </c>
      <c r="I1581" s="27">
        <f t="shared" si="24"/>
        <v>2355642.3037711792</v>
      </c>
      <c r="J1581">
        <v>4.4000000000000004</v>
      </c>
      <c r="K1581" t="b">
        <v>1</v>
      </c>
    </row>
    <row r="1582" spans="1:11" ht="16" x14ac:dyDescent="0.2">
      <c r="A1582" s="16">
        <v>45362</v>
      </c>
      <c r="B1582" t="s">
        <v>29</v>
      </c>
      <c r="C1582" t="s">
        <v>39</v>
      </c>
      <c r="D1582" t="s">
        <v>20</v>
      </c>
      <c r="E1582" t="s">
        <v>7637</v>
      </c>
      <c r="F1582">
        <v>4</v>
      </c>
      <c r="G1582" s="15">
        <v>2710000</v>
      </c>
      <c r="H1582" s="14">
        <v>0.13075929750140999</v>
      </c>
      <c r="I1582" s="27">
        <f t="shared" si="24"/>
        <v>2355642.3037711792</v>
      </c>
      <c r="J1582">
        <v>4.9000000000000004</v>
      </c>
      <c r="K1582" t="b">
        <v>1</v>
      </c>
    </row>
    <row r="1583" spans="1:11" ht="16" x14ac:dyDescent="0.2">
      <c r="A1583" s="16">
        <v>45363</v>
      </c>
      <c r="B1583" t="s">
        <v>18</v>
      </c>
      <c r="C1583" t="s">
        <v>19</v>
      </c>
      <c r="D1583" t="s">
        <v>50</v>
      </c>
      <c r="E1583" t="s">
        <v>7644</v>
      </c>
      <c r="F1583">
        <v>1</v>
      </c>
      <c r="G1583" s="15">
        <v>2710000</v>
      </c>
      <c r="H1583" s="14">
        <v>0.13075929750140999</v>
      </c>
      <c r="I1583" s="27">
        <f t="shared" si="24"/>
        <v>2355642.3037711792</v>
      </c>
      <c r="J1583">
        <v>4.0999999999999996</v>
      </c>
      <c r="K1583" t="b">
        <v>0</v>
      </c>
    </row>
    <row r="1584" spans="1:11" ht="16" x14ac:dyDescent="0.2">
      <c r="A1584" s="16">
        <v>45363</v>
      </c>
      <c r="B1584" t="s">
        <v>45</v>
      </c>
      <c r="C1584" t="s">
        <v>68</v>
      </c>
      <c r="D1584" t="s">
        <v>20</v>
      </c>
      <c r="E1584" t="s">
        <v>7638</v>
      </c>
      <c r="F1584">
        <v>4</v>
      </c>
      <c r="G1584" s="15">
        <v>2710000</v>
      </c>
      <c r="H1584" s="14">
        <v>0.13075929750140999</v>
      </c>
      <c r="I1584" s="27">
        <f t="shared" si="24"/>
        <v>2355642.3037711792</v>
      </c>
      <c r="J1584">
        <v>5</v>
      </c>
      <c r="K1584" t="b">
        <v>0</v>
      </c>
    </row>
    <row r="1585" spans="1:11" ht="16" x14ac:dyDescent="0.2">
      <c r="A1585" s="16">
        <v>45364</v>
      </c>
      <c r="B1585" t="s">
        <v>45</v>
      </c>
      <c r="C1585" t="s">
        <v>34</v>
      </c>
      <c r="D1585" t="s">
        <v>20</v>
      </c>
      <c r="E1585" t="s">
        <v>57</v>
      </c>
      <c r="F1585">
        <v>3</v>
      </c>
      <c r="G1585" s="15">
        <v>2710000</v>
      </c>
      <c r="H1585" s="14">
        <v>0.13075929750140999</v>
      </c>
      <c r="I1585" s="27">
        <f t="shared" si="24"/>
        <v>2355642.3037711792</v>
      </c>
      <c r="J1585">
        <v>4.3</v>
      </c>
      <c r="K1585" t="b">
        <v>1</v>
      </c>
    </row>
    <row r="1586" spans="1:11" ht="16" x14ac:dyDescent="0.2">
      <c r="A1586" s="16">
        <v>45364</v>
      </c>
      <c r="B1586" t="s">
        <v>45</v>
      </c>
      <c r="C1586" t="s">
        <v>19</v>
      </c>
      <c r="D1586" t="s">
        <v>20</v>
      </c>
      <c r="E1586" t="str">
        <f>E1585</f>
        <v>Nha Trang</v>
      </c>
      <c r="F1586">
        <v>1</v>
      </c>
      <c r="G1586" s="15">
        <v>2710000</v>
      </c>
      <c r="H1586" s="14">
        <v>0.13075929750140999</v>
      </c>
      <c r="I1586" s="27">
        <f t="shared" si="24"/>
        <v>2355642.3037711792</v>
      </c>
      <c r="J1586">
        <v>4.2</v>
      </c>
      <c r="K1586" t="b">
        <v>1</v>
      </c>
    </row>
    <row r="1587" spans="1:11" ht="16" x14ac:dyDescent="0.2">
      <c r="A1587" s="16">
        <v>45364</v>
      </c>
      <c r="B1587" t="s">
        <v>33</v>
      </c>
      <c r="C1587" t="s">
        <v>34</v>
      </c>
      <c r="D1587" t="s">
        <v>20</v>
      </c>
      <c r="E1587" t="s">
        <v>7641</v>
      </c>
      <c r="F1587">
        <v>3</v>
      </c>
      <c r="G1587" s="15">
        <v>2710000</v>
      </c>
      <c r="H1587" s="14">
        <v>0.13075929750140999</v>
      </c>
      <c r="I1587" s="27">
        <f t="shared" si="24"/>
        <v>2355642.3037711792</v>
      </c>
      <c r="J1587">
        <v>4.5</v>
      </c>
      <c r="K1587" t="b">
        <v>1</v>
      </c>
    </row>
    <row r="1588" spans="1:11" ht="16" x14ac:dyDescent="0.2">
      <c r="A1588" s="16">
        <v>45365</v>
      </c>
      <c r="B1588" t="s">
        <v>45</v>
      </c>
      <c r="C1588" t="s">
        <v>34</v>
      </c>
      <c r="D1588" t="s">
        <v>35</v>
      </c>
      <c r="E1588" t="s">
        <v>7643</v>
      </c>
      <c r="F1588">
        <v>1</v>
      </c>
      <c r="G1588" s="15">
        <v>2710000</v>
      </c>
      <c r="H1588" s="14">
        <v>0.13075929750140999</v>
      </c>
      <c r="I1588" s="27">
        <f t="shared" si="24"/>
        <v>2355642.3037711792</v>
      </c>
      <c r="J1588">
        <v>4.3</v>
      </c>
      <c r="K1588" t="b">
        <v>0</v>
      </c>
    </row>
    <row r="1589" spans="1:11" ht="16" x14ac:dyDescent="0.2">
      <c r="A1589" s="16">
        <v>45366</v>
      </c>
      <c r="B1589" t="s">
        <v>33</v>
      </c>
      <c r="C1589" t="s">
        <v>39</v>
      </c>
      <c r="D1589" t="s">
        <v>50</v>
      </c>
      <c r="E1589" t="s">
        <v>7637</v>
      </c>
      <c r="F1589">
        <v>3</v>
      </c>
      <c r="G1589" s="15">
        <v>2710000</v>
      </c>
      <c r="H1589" s="14">
        <v>0.13075929750140999</v>
      </c>
      <c r="I1589" s="27">
        <f t="shared" si="24"/>
        <v>2355642.3037711792</v>
      </c>
      <c r="J1589">
        <v>4.7</v>
      </c>
      <c r="K1589" t="b">
        <v>0</v>
      </c>
    </row>
    <row r="1590" spans="1:11" ht="16" x14ac:dyDescent="0.2">
      <c r="A1590" s="16">
        <v>45366</v>
      </c>
      <c r="B1590" t="s">
        <v>18</v>
      </c>
      <c r="C1590" t="s">
        <v>25</v>
      </c>
      <c r="D1590" t="s">
        <v>20</v>
      </c>
      <c r="E1590" t="s">
        <v>7640</v>
      </c>
      <c r="F1590">
        <v>1</v>
      </c>
      <c r="G1590" s="15">
        <v>2710000</v>
      </c>
      <c r="H1590" s="14">
        <v>0.13075929750140999</v>
      </c>
      <c r="I1590" s="27">
        <f t="shared" si="24"/>
        <v>2355642.3037711792</v>
      </c>
      <c r="J1590">
        <v>3.9</v>
      </c>
      <c r="K1590" t="b">
        <v>0</v>
      </c>
    </row>
    <row r="1591" spans="1:11" ht="16" x14ac:dyDescent="0.2">
      <c r="A1591" s="16">
        <v>45366</v>
      </c>
      <c r="B1591" t="str">
        <f>B1590</f>
        <v>Young Professional</v>
      </c>
      <c r="C1591" t="s">
        <v>19</v>
      </c>
      <c r="D1591" t="s">
        <v>20</v>
      </c>
      <c r="E1591" t="s">
        <v>7637</v>
      </c>
      <c r="F1591">
        <v>3</v>
      </c>
      <c r="G1591" s="15">
        <v>2710000</v>
      </c>
      <c r="H1591" s="14">
        <v>0.13075929750140999</v>
      </c>
      <c r="I1591" s="27">
        <f t="shared" si="24"/>
        <v>2355642.3037711792</v>
      </c>
      <c r="J1591">
        <v>4.0999999999999996</v>
      </c>
      <c r="K1591" t="b">
        <v>0</v>
      </c>
    </row>
    <row r="1592" spans="1:11" ht="16" x14ac:dyDescent="0.2">
      <c r="A1592" s="16">
        <v>45367</v>
      </c>
      <c r="B1592" t="s">
        <v>29</v>
      </c>
      <c r="C1592" t="s">
        <v>19</v>
      </c>
      <c r="D1592" t="s">
        <v>50</v>
      </c>
      <c r="E1592" t="s">
        <v>99</v>
      </c>
      <c r="F1592">
        <v>1</v>
      </c>
      <c r="G1592" s="15">
        <v>2710000</v>
      </c>
      <c r="H1592" s="14">
        <v>0.13075929750140999</v>
      </c>
      <c r="I1592" s="27">
        <f t="shared" si="24"/>
        <v>2355642.3037711792</v>
      </c>
      <c r="J1592">
        <v>4.2</v>
      </c>
      <c r="K1592" t="b">
        <v>0</v>
      </c>
    </row>
    <row r="1593" spans="1:11" ht="16" x14ac:dyDescent="0.2">
      <c r="A1593" s="16">
        <v>45367</v>
      </c>
      <c r="B1593" t="s">
        <v>29</v>
      </c>
      <c r="C1593" t="s">
        <v>25</v>
      </c>
      <c r="D1593" t="s">
        <v>50</v>
      </c>
      <c r="E1593" t="s">
        <v>7643</v>
      </c>
      <c r="F1593">
        <v>1</v>
      </c>
      <c r="G1593" s="15">
        <v>2710000</v>
      </c>
      <c r="H1593" s="14">
        <v>0.13075929750140999</v>
      </c>
      <c r="I1593" s="27">
        <f t="shared" si="24"/>
        <v>2355642.3037711792</v>
      </c>
      <c r="J1593">
        <v>4.4000000000000004</v>
      </c>
      <c r="K1593" t="b">
        <v>1</v>
      </c>
    </row>
    <row r="1594" spans="1:11" ht="16" x14ac:dyDescent="0.2">
      <c r="A1594" s="16">
        <v>45368</v>
      </c>
      <c r="B1594" t="s">
        <v>18</v>
      </c>
      <c r="C1594" t="s">
        <v>19</v>
      </c>
      <c r="D1594" t="s">
        <v>20</v>
      </c>
      <c r="E1594" t="s">
        <v>7639</v>
      </c>
      <c r="F1594">
        <v>1</v>
      </c>
      <c r="G1594" s="15">
        <v>2710000</v>
      </c>
      <c r="H1594" s="14">
        <v>0.13075929750140999</v>
      </c>
      <c r="I1594" s="27">
        <f t="shared" si="24"/>
        <v>2355642.3037711792</v>
      </c>
      <c r="J1594">
        <v>4</v>
      </c>
      <c r="K1594" t="b">
        <v>0</v>
      </c>
    </row>
    <row r="1595" spans="1:11" ht="16" x14ac:dyDescent="0.2">
      <c r="A1595" s="16">
        <v>45368</v>
      </c>
      <c r="B1595" t="s">
        <v>33</v>
      </c>
      <c r="C1595" t="s">
        <v>68</v>
      </c>
      <c r="D1595" t="s">
        <v>35</v>
      </c>
      <c r="E1595" t="s">
        <v>7643</v>
      </c>
      <c r="F1595">
        <v>1</v>
      </c>
      <c r="G1595" s="15">
        <v>2710000</v>
      </c>
      <c r="H1595" s="14">
        <v>0.13075929750140999</v>
      </c>
      <c r="I1595" s="27">
        <f t="shared" si="24"/>
        <v>2355642.3037711792</v>
      </c>
      <c r="J1595">
        <v>3.9</v>
      </c>
      <c r="K1595" t="b">
        <v>1</v>
      </c>
    </row>
    <row r="1596" spans="1:11" ht="16" x14ac:dyDescent="0.2">
      <c r="A1596" s="16">
        <v>45368</v>
      </c>
      <c r="B1596" t="s">
        <v>18</v>
      </c>
      <c r="C1596" t="s">
        <v>45</v>
      </c>
      <c r="D1596" t="s">
        <v>35</v>
      </c>
      <c r="E1596" t="s">
        <v>7638</v>
      </c>
      <c r="F1596">
        <v>2</v>
      </c>
      <c r="G1596" s="15">
        <v>2710000</v>
      </c>
      <c r="H1596" s="14">
        <v>0.13075929750140999</v>
      </c>
      <c r="I1596" s="27">
        <f t="shared" si="24"/>
        <v>2355642.3037711792</v>
      </c>
      <c r="J1596">
        <v>4.0999999999999996</v>
      </c>
      <c r="K1596" t="b">
        <v>0</v>
      </c>
    </row>
    <row r="1597" spans="1:11" ht="16" x14ac:dyDescent="0.2">
      <c r="A1597" s="16">
        <v>45369</v>
      </c>
      <c r="B1597" t="s">
        <v>45</v>
      </c>
      <c r="C1597" t="s">
        <v>19</v>
      </c>
      <c r="D1597" t="s">
        <v>20</v>
      </c>
      <c r="E1597" t="s">
        <v>7642</v>
      </c>
      <c r="F1597">
        <v>2</v>
      </c>
      <c r="G1597" s="15">
        <v>2710000</v>
      </c>
      <c r="H1597" s="14">
        <v>0.13075929750140999</v>
      </c>
      <c r="I1597" s="27">
        <f t="shared" si="24"/>
        <v>2355642.3037711792</v>
      </c>
      <c r="J1597">
        <v>4</v>
      </c>
      <c r="K1597" t="b">
        <v>1</v>
      </c>
    </row>
    <row r="1598" spans="1:11" ht="16" x14ac:dyDescent="0.2">
      <c r="A1598" s="16">
        <v>45369</v>
      </c>
      <c r="B1598" t="s">
        <v>18</v>
      </c>
      <c r="C1598" t="s">
        <v>34</v>
      </c>
      <c r="D1598" t="s">
        <v>50</v>
      </c>
      <c r="E1598" t="s">
        <v>57</v>
      </c>
      <c r="F1598">
        <v>2</v>
      </c>
      <c r="G1598" s="15">
        <v>2710000</v>
      </c>
      <c r="H1598" s="14">
        <v>0.13075929750140999</v>
      </c>
      <c r="I1598" s="27">
        <f t="shared" si="24"/>
        <v>2355642.3037711792</v>
      </c>
      <c r="J1598">
        <v>4.0999999999999996</v>
      </c>
      <c r="K1598" t="b">
        <v>0</v>
      </c>
    </row>
    <row r="1599" spans="1:11" ht="16" x14ac:dyDescent="0.2">
      <c r="A1599" s="16">
        <v>45369</v>
      </c>
      <c r="B1599" t="s">
        <v>33</v>
      </c>
      <c r="C1599" t="s">
        <v>25</v>
      </c>
      <c r="D1599" t="s">
        <v>20</v>
      </c>
      <c r="E1599" t="s">
        <v>7639</v>
      </c>
      <c r="F1599">
        <v>2</v>
      </c>
      <c r="G1599" s="15">
        <v>2710000</v>
      </c>
      <c r="H1599" s="14">
        <v>0.13075929750140999</v>
      </c>
      <c r="I1599" s="27">
        <f t="shared" si="24"/>
        <v>2355642.3037711792</v>
      </c>
      <c r="J1599">
        <v>5</v>
      </c>
      <c r="K1599" t="b">
        <v>1</v>
      </c>
    </row>
    <row r="1600" spans="1:11" ht="16" x14ac:dyDescent="0.2">
      <c r="A1600" s="16">
        <v>45369</v>
      </c>
      <c r="B1600" t="s">
        <v>18</v>
      </c>
      <c r="C1600" t="s">
        <v>68</v>
      </c>
      <c r="D1600" t="s">
        <v>20</v>
      </c>
      <c r="E1600" t="s">
        <v>7640</v>
      </c>
      <c r="F1600">
        <v>1</v>
      </c>
      <c r="G1600" s="15">
        <v>2710000</v>
      </c>
      <c r="H1600" s="14">
        <v>0.13075929750140999</v>
      </c>
      <c r="I1600" s="27">
        <f t="shared" si="24"/>
        <v>2355642.3037711792</v>
      </c>
      <c r="J1600">
        <v>3.8</v>
      </c>
      <c r="K1600" t="b">
        <v>1</v>
      </c>
    </row>
    <row r="1601" spans="1:11" ht="16" x14ac:dyDescent="0.2">
      <c r="A1601" s="16">
        <v>45370</v>
      </c>
      <c r="B1601" t="s">
        <v>18</v>
      </c>
      <c r="C1601" t="s">
        <v>19</v>
      </c>
      <c r="D1601" t="s">
        <v>20</v>
      </c>
      <c r="E1601" t="s">
        <v>7643</v>
      </c>
      <c r="F1601">
        <v>1</v>
      </c>
      <c r="G1601" s="15">
        <v>2710000</v>
      </c>
      <c r="H1601" s="14">
        <v>0.13075929750140999</v>
      </c>
      <c r="I1601" s="27">
        <f t="shared" si="24"/>
        <v>2355642.3037711792</v>
      </c>
      <c r="J1601">
        <v>4.3</v>
      </c>
      <c r="K1601" t="b">
        <v>1</v>
      </c>
    </row>
    <row r="1602" spans="1:11" ht="16" x14ac:dyDescent="0.2">
      <c r="A1602" s="16">
        <v>45370</v>
      </c>
      <c r="B1602" t="s">
        <v>33</v>
      </c>
      <c r="C1602" t="s">
        <v>34</v>
      </c>
      <c r="D1602" t="s">
        <v>50</v>
      </c>
      <c r="E1602" t="s">
        <v>7640</v>
      </c>
      <c r="F1602">
        <v>3</v>
      </c>
      <c r="G1602" s="15">
        <v>2710000</v>
      </c>
      <c r="H1602" s="14">
        <v>0.13075929750140999</v>
      </c>
      <c r="I1602" s="27">
        <f t="shared" si="24"/>
        <v>2355642.3037711792</v>
      </c>
      <c r="J1602">
        <v>4.9000000000000004</v>
      </c>
      <c r="K1602" t="b">
        <v>1</v>
      </c>
    </row>
    <row r="1603" spans="1:11" ht="16" x14ac:dyDescent="0.2">
      <c r="A1603" s="16">
        <v>45370</v>
      </c>
      <c r="B1603" t="s">
        <v>18</v>
      </c>
      <c r="C1603" t="s">
        <v>19</v>
      </c>
      <c r="D1603" t="s">
        <v>50</v>
      </c>
      <c r="E1603" t="s">
        <v>7641</v>
      </c>
      <c r="F1603">
        <v>4</v>
      </c>
      <c r="G1603" s="15">
        <v>2710000</v>
      </c>
      <c r="H1603" s="14">
        <v>0.13075929750140999</v>
      </c>
      <c r="I1603" s="27">
        <f t="shared" ref="I1603:I1666" si="25">G1603-G1603*H1603</f>
        <v>2355642.3037711792</v>
      </c>
      <c r="J1603">
        <v>4.2</v>
      </c>
      <c r="K1603" t="b">
        <v>1</v>
      </c>
    </row>
    <row r="1604" spans="1:11" ht="16" x14ac:dyDescent="0.2">
      <c r="A1604" s="16">
        <v>45371</v>
      </c>
      <c r="B1604" t="s">
        <v>18</v>
      </c>
      <c r="C1604" t="s">
        <v>39</v>
      </c>
      <c r="D1604" t="s">
        <v>20</v>
      </c>
      <c r="E1604" t="s">
        <v>7641</v>
      </c>
      <c r="F1604">
        <v>4</v>
      </c>
      <c r="G1604" s="15">
        <v>2710000</v>
      </c>
      <c r="H1604" s="14">
        <v>0.13075929750140999</v>
      </c>
      <c r="I1604" s="27">
        <f t="shared" si="25"/>
        <v>2355642.3037711792</v>
      </c>
      <c r="J1604">
        <v>3.9</v>
      </c>
      <c r="K1604" t="b">
        <v>1</v>
      </c>
    </row>
    <row r="1605" spans="1:11" ht="16" x14ac:dyDescent="0.2">
      <c r="A1605" s="16">
        <v>45371</v>
      </c>
      <c r="B1605" t="s">
        <v>45</v>
      </c>
      <c r="C1605" t="s">
        <v>25</v>
      </c>
      <c r="D1605" t="s">
        <v>20</v>
      </c>
      <c r="E1605" t="s">
        <v>7641</v>
      </c>
      <c r="F1605">
        <v>1</v>
      </c>
      <c r="G1605" s="15">
        <v>2710000</v>
      </c>
      <c r="H1605" s="14">
        <v>0.13075929750140999</v>
      </c>
      <c r="I1605" s="27">
        <f t="shared" si="25"/>
        <v>2355642.3037711792</v>
      </c>
      <c r="J1605">
        <v>5</v>
      </c>
      <c r="K1605" t="b">
        <v>0</v>
      </c>
    </row>
    <row r="1606" spans="1:11" ht="16" x14ac:dyDescent="0.2">
      <c r="A1606" s="16">
        <v>45371</v>
      </c>
      <c r="B1606" t="s">
        <v>45</v>
      </c>
      <c r="C1606" t="s">
        <v>19</v>
      </c>
      <c r="D1606" t="s">
        <v>20</v>
      </c>
      <c r="E1606" t="s">
        <v>7644</v>
      </c>
      <c r="F1606">
        <v>1</v>
      </c>
      <c r="G1606" s="15">
        <v>2710000</v>
      </c>
      <c r="H1606" s="14">
        <v>0.13075929750140999</v>
      </c>
      <c r="I1606" s="27">
        <f t="shared" si="25"/>
        <v>2355642.3037711792</v>
      </c>
      <c r="J1606">
        <v>4.0999999999999996</v>
      </c>
      <c r="K1606" t="b">
        <v>0</v>
      </c>
    </row>
    <row r="1607" spans="1:11" ht="16" x14ac:dyDescent="0.2">
      <c r="A1607" s="16">
        <v>45371</v>
      </c>
      <c r="B1607" t="s">
        <v>18</v>
      </c>
      <c r="C1607" t="s">
        <v>45</v>
      </c>
      <c r="D1607" t="s">
        <v>35</v>
      </c>
      <c r="E1607" t="s">
        <v>7644</v>
      </c>
      <c r="F1607">
        <v>1</v>
      </c>
      <c r="G1607" s="15">
        <v>2710000</v>
      </c>
      <c r="H1607" s="14">
        <v>0.13075929750140999</v>
      </c>
      <c r="I1607" s="27">
        <f t="shared" si="25"/>
        <v>2355642.3037711792</v>
      </c>
      <c r="J1607">
        <v>4.0999999999999996</v>
      </c>
      <c r="K1607" t="b">
        <v>1</v>
      </c>
    </row>
    <row r="1608" spans="1:11" ht="16" x14ac:dyDescent="0.2">
      <c r="A1608" s="16">
        <v>45371</v>
      </c>
      <c r="B1608" t="s">
        <v>33</v>
      </c>
      <c r="C1608" t="s">
        <v>45</v>
      </c>
      <c r="D1608" t="s">
        <v>20</v>
      </c>
      <c r="E1608" t="s">
        <v>7639</v>
      </c>
      <c r="F1608">
        <v>2</v>
      </c>
      <c r="G1608" s="15">
        <v>2710000</v>
      </c>
      <c r="H1608" s="14">
        <v>0.13075929750140999</v>
      </c>
      <c r="I1608" s="27">
        <f t="shared" si="25"/>
        <v>2355642.3037711792</v>
      </c>
      <c r="J1608">
        <v>4.4000000000000004</v>
      </c>
      <c r="K1608" t="b">
        <v>1</v>
      </c>
    </row>
    <row r="1609" spans="1:11" ht="16" x14ac:dyDescent="0.2">
      <c r="A1609" s="16">
        <v>45371</v>
      </c>
      <c r="B1609" t="s">
        <v>29</v>
      </c>
      <c r="C1609" t="s">
        <v>34</v>
      </c>
      <c r="D1609" t="s">
        <v>20</v>
      </c>
      <c r="E1609" t="s">
        <v>7639</v>
      </c>
      <c r="F1609">
        <v>1</v>
      </c>
      <c r="G1609" s="15">
        <v>2710000</v>
      </c>
      <c r="H1609" s="14">
        <v>0.13075929750140999</v>
      </c>
      <c r="I1609" s="27">
        <f t="shared" si="25"/>
        <v>2355642.3037711792</v>
      </c>
      <c r="J1609">
        <v>4.2</v>
      </c>
      <c r="K1609" t="b">
        <v>0</v>
      </c>
    </row>
    <row r="1610" spans="1:11" ht="16" x14ac:dyDescent="0.2">
      <c r="A1610" s="16">
        <v>45372</v>
      </c>
      <c r="B1610" t="s">
        <v>18</v>
      </c>
      <c r="C1610" t="s">
        <v>45</v>
      </c>
      <c r="D1610" t="s">
        <v>35</v>
      </c>
      <c r="E1610" t="s">
        <v>7643</v>
      </c>
      <c r="F1610">
        <v>5</v>
      </c>
      <c r="G1610" s="15">
        <v>2710000</v>
      </c>
      <c r="H1610" s="14">
        <v>0.13075929750140999</v>
      </c>
      <c r="I1610" s="27">
        <f t="shared" si="25"/>
        <v>2355642.3037711792</v>
      </c>
      <c r="J1610">
        <v>4.7</v>
      </c>
      <c r="K1610" t="b">
        <v>1</v>
      </c>
    </row>
    <row r="1611" spans="1:11" ht="16" x14ac:dyDescent="0.2">
      <c r="A1611" s="16">
        <v>45372</v>
      </c>
      <c r="B1611" t="s">
        <v>45</v>
      </c>
      <c r="C1611" t="s">
        <v>45</v>
      </c>
      <c r="D1611" t="s">
        <v>20</v>
      </c>
      <c r="E1611" t="s">
        <v>7641</v>
      </c>
      <c r="F1611">
        <v>5</v>
      </c>
      <c r="G1611" s="15">
        <v>2710000</v>
      </c>
      <c r="H1611" s="14">
        <v>0.13075929750140999</v>
      </c>
      <c r="I1611" s="27">
        <f t="shared" si="25"/>
        <v>2355642.3037711792</v>
      </c>
      <c r="J1611">
        <v>5</v>
      </c>
      <c r="K1611" t="b">
        <v>0</v>
      </c>
    </row>
    <row r="1612" spans="1:11" ht="16" x14ac:dyDescent="0.2">
      <c r="A1612" s="16">
        <v>45372</v>
      </c>
      <c r="B1612" t="s">
        <v>33</v>
      </c>
      <c r="C1612" t="s">
        <v>19</v>
      </c>
      <c r="D1612" t="s">
        <v>50</v>
      </c>
      <c r="E1612" t="s">
        <v>57</v>
      </c>
      <c r="F1612">
        <v>1</v>
      </c>
      <c r="G1612" s="15">
        <v>2710000</v>
      </c>
      <c r="H1612" s="14">
        <v>0.13075929750140999</v>
      </c>
      <c r="I1612" s="27">
        <f t="shared" si="25"/>
        <v>2355642.3037711792</v>
      </c>
      <c r="J1612">
        <v>4.4000000000000004</v>
      </c>
      <c r="K1612" t="b">
        <v>1</v>
      </c>
    </row>
    <row r="1613" spans="1:11" ht="16" x14ac:dyDescent="0.2">
      <c r="A1613" s="16">
        <v>45372</v>
      </c>
      <c r="B1613" t="s">
        <v>18</v>
      </c>
      <c r="C1613" t="s">
        <v>19</v>
      </c>
      <c r="D1613" t="s">
        <v>35</v>
      </c>
      <c r="E1613" t="s">
        <v>7643</v>
      </c>
      <c r="F1613">
        <v>2</v>
      </c>
      <c r="G1613" s="15">
        <v>2710000</v>
      </c>
      <c r="H1613" s="14">
        <v>0.13075929750140999</v>
      </c>
      <c r="I1613" s="27">
        <f t="shared" si="25"/>
        <v>2355642.3037711792</v>
      </c>
      <c r="J1613">
        <v>4.2</v>
      </c>
      <c r="K1613" t="b">
        <v>1</v>
      </c>
    </row>
    <row r="1614" spans="1:11" ht="16" x14ac:dyDescent="0.2">
      <c r="A1614" s="16">
        <v>45373</v>
      </c>
      <c r="B1614" t="s">
        <v>29</v>
      </c>
      <c r="C1614" t="s">
        <v>39</v>
      </c>
      <c r="D1614" t="s">
        <v>35</v>
      </c>
      <c r="E1614" t="s">
        <v>7640</v>
      </c>
      <c r="F1614">
        <v>3</v>
      </c>
      <c r="G1614" s="15">
        <v>2710000</v>
      </c>
      <c r="H1614" s="14">
        <v>0.13075929750140999</v>
      </c>
      <c r="I1614" s="27">
        <f t="shared" si="25"/>
        <v>2355642.3037711792</v>
      </c>
      <c r="J1614">
        <v>4.2</v>
      </c>
      <c r="K1614" t="b">
        <v>0</v>
      </c>
    </row>
    <row r="1615" spans="1:11" ht="16" x14ac:dyDescent="0.2">
      <c r="A1615" s="16">
        <v>45373</v>
      </c>
      <c r="B1615" t="s">
        <v>29</v>
      </c>
      <c r="C1615" t="s">
        <v>25</v>
      </c>
      <c r="D1615" t="s">
        <v>50</v>
      </c>
      <c r="E1615" t="s">
        <v>7643</v>
      </c>
      <c r="F1615">
        <v>1</v>
      </c>
      <c r="G1615" s="15">
        <v>2710000</v>
      </c>
      <c r="H1615" s="14">
        <v>0.13075929750140999</v>
      </c>
      <c r="I1615" s="27">
        <f t="shared" si="25"/>
        <v>2355642.3037711792</v>
      </c>
      <c r="J1615">
        <v>4.2</v>
      </c>
      <c r="K1615" t="b">
        <v>1</v>
      </c>
    </row>
    <row r="1616" spans="1:11" ht="16" x14ac:dyDescent="0.2">
      <c r="A1616" s="16">
        <v>45373</v>
      </c>
      <c r="B1616" t="s">
        <v>45</v>
      </c>
      <c r="C1616" t="s">
        <v>19</v>
      </c>
      <c r="D1616" t="s">
        <v>20</v>
      </c>
      <c r="E1616" t="s">
        <v>7641</v>
      </c>
      <c r="F1616">
        <v>3</v>
      </c>
      <c r="G1616" s="15">
        <v>2710000</v>
      </c>
      <c r="H1616" s="14">
        <v>0.13075929750140999</v>
      </c>
      <c r="I1616" s="27">
        <f t="shared" si="25"/>
        <v>2355642.3037711792</v>
      </c>
      <c r="J1616">
        <v>4.4000000000000004</v>
      </c>
      <c r="K1616" t="b">
        <v>0</v>
      </c>
    </row>
    <row r="1617" spans="1:11" ht="16" x14ac:dyDescent="0.2">
      <c r="A1617" s="16">
        <v>45373</v>
      </c>
      <c r="B1617" t="s">
        <v>29</v>
      </c>
      <c r="C1617" t="s">
        <v>19</v>
      </c>
      <c r="D1617" t="s">
        <v>20</v>
      </c>
      <c r="E1617" t="s">
        <v>7643</v>
      </c>
      <c r="F1617">
        <v>1</v>
      </c>
      <c r="G1617" s="15">
        <v>2710000</v>
      </c>
      <c r="H1617" s="14">
        <v>0.13075929750140999</v>
      </c>
      <c r="I1617" s="27">
        <f t="shared" si="25"/>
        <v>2355642.3037711792</v>
      </c>
      <c r="J1617">
        <v>3</v>
      </c>
      <c r="K1617" t="b">
        <v>0</v>
      </c>
    </row>
    <row r="1618" spans="1:11" ht="16" x14ac:dyDescent="0.2">
      <c r="A1618" s="16">
        <v>45374</v>
      </c>
      <c r="B1618" t="s">
        <v>33</v>
      </c>
      <c r="C1618" t="s">
        <v>45</v>
      </c>
      <c r="D1618" t="s">
        <v>20</v>
      </c>
      <c r="E1618" t="s">
        <v>57</v>
      </c>
      <c r="F1618">
        <v>4</v>
      </c>
      <c r="G1618" s="15">
        <v>2710000</v>
      </c>
      <c r="H1618" s="14">
        <v>0.13075929750140999</v>
      </c>
      <c r="I1618" s="27">
        <f t="shared" si="25"/>
        <v>2355642.3037711792</v>
      </c>
      <c r="J1618">
        <v>4.2</v>
      </c>
      <c r="K1618" t="b">
        <v>1</v>
      </c>
    </row>
    <row r="1619" spans="1:11" ht="16" x14ac:dyDescent="0.2">
      <c r="A1619" s="16">
        <v>45374</v>
      </c>
      <c r="B1619" t="s">
        <v>33</v>
      </c>
      <c r="C1619" t="s">
        <v>68</v>
      </c>
      <c r="D1619" t="s">
        <v>50</v>
      </c>
      <c r="E1619" t="str">
        <f>E1618</f>
        <v>Nha Trang</v>
      </c>
      <c r="F1619">
        <v>2</v>
      </c>
      <c r="G1619" s="15">
        <v>2710000</v>
      </c>
      <c r="H1619" s="14">
        <v>0.13075929750140999</v>
      </c>
      <c r="I1619" s="27">
        <f t="shared" si="25"/>
        <v>2355642.3037711792</v>
      </c>
      <c r="J1619">
        <v>4.5999999999999996</v>
      </c>
      <c r="K1619" t="b">
        <v>0</v>
      </c>
    </row>
    <row r="1620" spans="1:11" ht="16" x14ac:dyDescent="0.2">
      <c r="A1620" s="16">
        <v>45374</v>
      </c>
      <c r="B1620" t="s">
        <v>18</v>
      </c>
      <c r="C1620" t="s">
        <v>34</v>
      </c>
      <c r="D1620" t="s">
        <v>35</v>
      </c>
      <c r="E1620" t="s">
        <v>7638</v>
      </c>
      <c r="F1620">
        <v>1</v>
      </c>
      <c r="G1620" s="15">
        <v>2710000</v>
      </c>
      <c r="H1620" s="14">
        <v>0.13075929750140999</v>
      </c>
      <c r="I1620" s="27">
        <f t="shared" si="25"/>
        <v>2355642.3037711792</v>
      </c>
      <c r="J1620">
        <v>5</v>
      </c>
      <c r="K1620" t="b">
        <v>0</v>
      </c>
    </row>
    <row r="1621" spans="1:11" ht="16" x14ac:dyDescent="0.2">
      <c r="A1621" s="16">
        <v>45374</v>
      </c>
      <c r="B1621" t="s">
        <v>29</v>
      </c>
      <c r="C1621" t="s">
        <v>45</v>
      </c>
      <c r="D1621" t="s">
        <v>50</v>
      </c>
      <c r="E1621" t="s">
        <v>7639</v>
      </c>
      <c r="F1621">
        <v>2</v>
      </c>
      <c r="G1621" s="15">
        <v>2710000</v>
      </c>
      <c r="H1621" s="14">
        <v>0.13075929750140999</v>
      </c>
      <c r="I1621" s="27">
        <f t="shared" si="25"/>
        <v>2355642.3037711792</v>
      </c>
      <c r="J1621">
        <v>4.9000000000000004</v>
      </c>
      <c r="K1621" t="b">
        <v>1</v>
      </c>
    </row>
    <row r="1622" spans="1:11" ht="16" x14ac:dyDescent="0.2">
      <c r="A1622" s="16">
        <v>45375</v>
      </c>
      <c r="B1622" t="s">
        <v>45</v>
      </c>
      <c r="C1622" t="s">
        <v>34</v>
      </c>
      <c r="D1622" t="s">
        <v>35</v>
      </c>
      <c r="E1622" t="s">
        <v>7637</v>
      </c>
      <c r="F1622">
        <v>1</v>
      </c>
      <c r="G1622" s="15">
        <v>2710000</v>
      </c>
      <c r="H1622" s="14">
        <v>0.13075929750140999</v>
      </c>
      <c r="I1622" s="27">
        <f t="shared" si="25"/>
        <v>2355642.3037711792</v>
      </c>
      <c r="J1622">
        <v>4.0999999999999996</v>
      </c>
      <c r="K1622" t="b">
        <v>1</v>
      </c>
    </row>
    <row r="1623" spans="1:11" ht="16" x14ac:dyDescent="0.2">
      <c r="A1623" s="16">
        <v>45375</v>
      </c>
      <c r="B1623" t="s">
        <v>33</v>
      </c>
      <c r="C1623" t="s">
        <v>25</v>
      </c>
      <c r="D1623" t="str">
        <f>D1622</f>
        <v>Mobile App</v>
      </c>
      <c r="E1623" t="s">
        <v>7640</v>
      </c>
      <c r="F1623">
        <v>2</v>
      </c>
      <c r="G1623" s="15">
        <v>2710000</v>
      </c>
      <c r="H1623" s="14">
        <v>0.13075929750140999</v>
      </c>
      <c r="I1623" s="27">
        <f t="shared" si="25"/>
        <v>2355642.3037711792</v>
      </c>
      <c r="J1623">
        <v>3.9</v>
      </c>
      <c r="K1623" t="b">
        <v>0</v>
      </c>
    </row>
    <row r="1624" spans="1:11" ht="16" x14ac:dyDescent="0.2">
      <c r="A1624" s="16">
        <v>45375</v>
      </c>
      <c r="B1624" t="s">
        <v>33</v>
      </c>
      <c r="C1624" t="s">
        <v>19</v>
      </c>
      <c r="D1624" t="s">
        <v>20</v>
      </c>
      <c r="E1624" t="s">
        <v>7641</v>
      </c>
      <c r="F1624">
        <v>2</v>
      </c>
      <c r="G1624" s="15">
        <v>2710000</v>
      </c>
      <c r="H1624" s="14">
        <v>0.13075929750140999</v>
      </c>
      <c r="I1624" s="27">
        <f t="shared" si="25"/>
        <v>2355642.3037711792</v>
      </c>
      <c r="J1624">
        <v>4.5999999999999996</v>
      </c>
      <c r="K1624" t="b">
        <v>1</v>
      </c>
    </row>
    <row r="1625" spans="1:11" ht="16" x14ac:dyDescent="0.2">
      <c r="A1625" s="16">
        <v>45375</v>
      </c>
      <c r="B1625" t="s">
        <v>33</v>
      </c>
      <c r="C1625" t="s">
        <v>39</v>
      </c>
      <c r="D1625" t="s">
        <v>35</v>
      </c>
      <c r="E1625" t="s">
        <v>7641</v>
      </c>
      <c r="F1625">
        <v>1</v>
      </c>
      <c r="G1625" s="15">
        <v>2710000</v>
      </c>
      <c r="H1625" s="14">
        <v>0.13075929750140999</v>
      </c>
      <c r="I1625" s="27">
        <f t="shared" si="25"/>
        <v>2355642.3037711792</v>
      </c>
      <c r="J1625">
        <v>4.0999999999999996</v>
      </c>
      <c r="K1625" t="b">
        <v>1</v>
      </c>
    </row>
    <row r="1626" spans="1:11" ht="16" x14ac:dyDescent="0.2">
      <c r="A1626" s="16">
        <v>45376</v>
      </c>
      <c r="B1626" t="s">
        <v>45</v>
      </c>
      <c r="C1626" t="s">
        <v>68</v>
      </c>
      <c r="D1626" t="s">
        <v>50</v>
      </c>
      <c r="E1626" t="s">
        <v>7639</v>
      </c>
      <c r="F1626">
        <v>1</v>
      </c>
      <c r="G1626" s="15">
        <v>2710000</v>
      </c>
      <c r="H1626" s="14">
        <v>0.13075929750140999</v>
      </c>
      <c r="I1626" s="27">
        <f t="shared" si="25"/>
        <v>2355642.3037711792</v>
      </c>
      <c r="J1626">
        <v>3.9</v>
      </c>
      <c r="K1626" t="b">
        <v>0</v>
      </c>
    </row>
    <row r="1627" spans="1:11" ht="16" x14ac:dyDescent="0.2">
      <c r="A1627" s="16">
        <v>45376</v>
      </c>
      <c r="B1627" t="s">
        <v>18</v>
      </c>
      <c r="C1627" t="s">
        <v>39</v>
      </c>
      <c r="D1627" t="s">
        <v>20</v>
      </c>
      <c r="E1627" t="s">
        <v>57</v>
      </c>
      <c r="F1627">
        <v>3</v>
      </c>
      <c r="G1627" s="15">
        <v>2710000</v>
      </c>
      <c r="H1627" s="14">
        <v>0.13075929750140999</v>
      </c>
      <c r="I1627" s="27">
        <f t="shared" si="25"/>
        <v>2355642.3037711792</v>
      </c>
      <c r="J1627">
        <v>4.2</v>
      </c>
      <c r="K1627" t="b">
        <v>1</v>
      </c>
    </row>
    <row r="1628" spans="1:11" ht="16" x14ac:dyDescent="0.2">
      <c r="A1628" s="16">
        <v>45376</v>
      </c>
      <c r="B1628" t="s">
        <v>33</v>
      </c>
      <c r="C1628" t="s">
        <v>45</v>
      </c>
      <c r="D1628" t="s">
        <v>50</v>
      </c>
      <c r="E1628" t="s">
        <v>57</v>
      </c>
      <c r="F1628">
        <v>2</v>
      </c>
      <c r="G1628" s="15">
        <v>2710000</v>
      </c>
      <c r="H1628" s="14">
        <v>0.13075929750140999</v>
      </c>
      <c r="I1628" s="27">
        <f t="shared" si="25"/>
        <v>2355642.3037711792</v>
      </c>
      <c r="J1628">
        <v>4.5</v>
      </c>
      <c r="K1628" t="b">
        <v>0</v>
      </c>
    </row>
    <row r="1629" spans="1:11" ht="16" x14ac:dyDescent="0.2">
      <c r="A1629" s="16">
        <v>45376</v>
      </c>
      <c r="B1629" t="s">
        <v>33</v>
      </c>
      <c r="C1629" t="s">
        <v>34</v>
      </c>
      <c r="D1629" t="s">
        <v>46</v>
      </c>
      <c r="E1629" t="s">
        <v>7644</v>
      </c>
      <c r="F1629">
        <v>1</v>
      </c>
      <c r="G1629" s="15">
        <v>2710000</v>
      </c>
      <c r="H1629" s="14">
        <v>0.13075929750140999</v>
      </c>
      <c r="I1629" s="27">
        <f t="shared" si="25"/>
        <v>2355642.3037711792</v>
      </c>
      <c r="J1629">
        <v>3.9</v>
      </c>
      <c r="K1629" t="b">
        <v>1</v>
      </c>
    </row>
    <row r="1630" spans="1:11" ht="16" x14ac:dyDescent="0.2">
      <c r="A1630" s="16">
        <v>45376</v>
      </c>
      <c r="B1630" t="s">
        <v>45</v>
      </c>
      <c r="C1630" t="s">
        <v>34</v>
      </c>
      <c r="D1630" t="s">
        <v>35</v>
      </c>
      <c r="E1630" t="s">
        <v>57</v>
      </c>
      <c r="F1630">
        <v>3</v>
      </c>
      <c r="G1630" s="15">
        <v>2710000</v>
      </c>
      <c r="H1630" s="14">
        <v>0.13075929750140999</v>
      </c>
      <c r="I1630" s="27">
        <f t="shared" si="25"/>
        <v>2355642.3037711792</v>
      </c>
      <c r="J1630">
        <v>3.7</v>
      </c>
      <c r="K1630" t="b">
        <v>1</v>
      </c>
    </row>
    <row r="1631" spans="1:11" ht="16" x14ac:dyDescent="0.2">
      <c r="A1631" s="16">
        <v>45377</v>
      </c>
      <c r="B1631" t="s">
        <v>29</v>
      </c>
      <c r="C1631" t="s">
        <v>19</v>
      </c>
      <c r="D1631" t="s">
        <v>35</v>
      </c>
      <c r="E1631" t="s">
        <v>7637</v>
      </c>
      <c r="F1631">
        <v>2</v>
      </c>
      <c r="G1631" s="15">
        <v>2710000</v>
      </c>
      <c r="H1631" s="14">
        <v>0.13075929750140999</v>
      </c>
      <c r="I1631" s="27">
        <f t="shared" si="25"/>
        <v>2355642.3037711792</v>
      </c>
      <c r="J1631">
        <v>4.3</v>
      </c>
      <c r="K1631" t="b">
        <v>0</v>
      </c>
    </row>
    <row r="1632" spans="1:11" ht="16" x14ac:dyDescent="0.2">
      <c r="A1632" s="16">
        <v>45377</v>
      </c>
      <c r="B1632" t="s">
        <v>18</v>
      </c>
      <c r="C1632" t="s">
        <v>34</v>
      </c>
      <c r="D1632" t="s">
        <v>50</v>
      </c>
      <c r="E1632" t="s">
        <v>7638</v>
      </c>
      <c r="F1632">
        <v>1</v>
      </c>
      <c r="G1632" s="15">
        <v>2710000</v>
      </c>
      <c r="H1632" s="14">
        <v>0.13075929750140999</v>
      </c>
      <c r="I1632" s="27">
        <f t="shared" si="25"/>
        <v>2355642.3037711792</v>
      </c>
      <c r="J1632">
        <v>3.8</v>
      </c>
      <c r="K1632" t="b">
        <v>0</v>
      </c>
    </row>
    <row r="1633" spans="1:11" ht="16" x14ac:dyDescent="0.2">
      <c r="A1633" s="16">
        <v>45377</v>
      </c>
      <c r="B1633" t="s">
        <v>29</v>
      </c>
      <c r="C1633" t="s">
        <v>34</v>
      </c>
      <c r="D1633" t="str">
        <f>D1632</f>
        <v>Agent</v>
      </c>
      <c r="E1633" t="s">
        <v>7643</v>
      </c>
      <c r="F1633">
        <v>4</v>
      </c>
      <c r="G1633" s="15">
        <v>2710000</v>
      </c>
      <c r="H1633" s="14">
        <v>0.13075929750140999</v>
      </c>
      <c r="I1633" s="27">
        <f t="shared" si="25"/>
        <v>2355642.3037711792</v>
      </c>
      <c r="J1633">
        <v>4.7</v>
      </c>
      <c r="K1633" t="b">
        <v>0</v>
      </c>
    </row>
    <row r="1634" spans="1:11" ht="16" x14ac:dyDescent="0.2">
      <c r="A1634" s="16">
        <v>45378</v>
      </c>
      <c r="B1634" t="s">
        <v>29</v>
      </c>
      <c r="C1634" t="s">
        <v>19</v>
      </c>
      <c r="D1634" t="s">
        <v>20</v>
      </c>
      <c r="E1634" t="s">
        <v>7639</v>
      </c>
      <c r="F1634">
        <v>2</v>
      </c>
      <c r="G1634" s="15">
        <v>2710000</v>
      </c>
      <c r="H1634" s="14">
        <v>0.13075929750140999</v>
      </c>
      <c r="I1634" s="27">
        <f t="shared" si="25"/>
        <v>2355642.3037711792</v>
      </c>
      <c r="J1634">
        <v>4.5</v>
      </c>
      <c r="K1634" t="b">
        <v>0</v>
      </c>
    </row>
    <row r="1635" spans="1:11" ht="16" x14ac:dyDescent="0.2">
      <c r="A1635" s="16">
        <v>45378</v>
      </c>
      <c r="B1635" t="s">
        <v>18</v>
      </c>
      <c r="C1635" t="s">
        <v>34</v>
      </c>
      <c r="D1635" t="s">
        <v>20</v>
      </c>
      <c r="E1635" t="s">
        <v>7641</v>
      </c>
      <c r="F1635">
        <v>2</v>
      </c>
      <c r="G1635" s="15">
        <v>2710000</v>
      </c>
      <c r="H1635" s="14">
        <v>0.13075929750140999</v>
      </c>
      <c r="I1635" s="27">
        <f t="shared" si="25"/>
        <v>2355642.3037711792</v>
      </c>
      <c r="J1635">
        <v>3.8</v>
      </c>
      <c r="K1635" t="b">
        <v>1</v>
      </c>
    </row>
    <row r="1636" spans="1:11" ht="16" x14ac:dyDescent="0.2">
      <c r="A1636" s="16">
        <v>45378</v>
      </c>
      <c r="B1636" t="s">
        <v>18</v>
      </c>
      <c r="C1636" t="s">
        <v>19</v>
      </c>
      <c r="D1636" t="s">
        <v>50</v>
      </c>
      <c r="E1636" t="s">
        <v>7640</v>
      </c>
      <c r="F1636">
        <v>1</v>
      </c>
      <c r="G1636" s="15">
        <v>2710000</v>
      </c>
      <c r="H1636" s="14">
        <v>0.13075929750140999</v>
      </c>
      <c r="I1636" s="27">
        <f t="shared" si="25"/>
        <v>2355642.3037711792</v>
      </c>
      <c r="J1636">
        <v>4.5</v>
      </c>
      <c r="K1636" t="b">
        <v>0</v>
      </c>
    </row>
    <row r="1637" spans="1:11" ht="16" x14ac:dyDescent="0.2">
      <c r="A1637" s="16">
        <v>45378</v>
      </c>
      <c r="B1637" t="s">
        <v>45</v>
      </c>
      <c r="C1637" t="s">
        <v>19</v>
      </c>
      <c r="D1637" t="s">
        <v>35</v>
      </c>
      <c r="E1637" t="s">
        <v>7643</v>
      </c>
      <c r="F1637">
        <v>2</v>
      </c>
      <c r="G1637" s="15">
        <v>2710000</v>
      </c>
      <c r="H1637" s="14">
        <v>0.13075929750140999</v>
      </c>
      <c r="I1637" s="27">
        <f t="shared" si="25"/>
        <v>2355642.3037711792</v>
      </c>
      <c r="J1637">
        <v>3.2</v>
      </c>
      <c r="K1637" t="b">
        <v>1</v>
      </c>
    </row>
    <row r="1638" spans="1:11" ht="16" x14ac:dyDescent="0.2">
      <c r="A1638" s="16">
        <v>45378</v>
      </c>
      <c r="B1638" t="s">
        <v>18</v>
      </c>
      <c r="C1638" t="s">
        <v>34</v>
      </c>
      <c r="D1638" t="s">
        <v>20</v>
      </c>
      <c r="E1638" t="s">
        <v>7640</v>
      </c>
      <c r="F1638">
        <v>5</v>
      </c>
      <c r="G1638" s="15">
        <v>2710000</v>
      </c>
      <c r="H1638" s="14">
        <v>0.13075929750140999</v>
      </c>
      <c r="I1638" s="27">
        <f t="shared" si="25"/>
        <v>2355642.3037711792</v>
      </c>
      <c r="J1638">
        <v>3.5</v>
      </c>
      <c r="K1638" t="b">
        <v>0</v>
      </c>
    </row>
    <row r="1639" spans="1:11" ht="16" x14ac:dyDescent="0.2">
      <c r="A1639" s="16">
        <v>45378</v>
      </c>
      <c r="B1639" t="s">
        <v>45</v>
      </c>
      <c r="C1639" t="s">
        <v>19</v>
      </c>
      <c r="D1639" t="s">
        <v>20</v>
      </c>
      <c r="E1639" t="s">
        <v>7643</v>
      </c>
      <c r="F1639">
        <v>1</v>
      </c>
      <c r="G1639" s="15">
        <v>2710000</v>
      </c>
      <c r="H1639" s="14">
        <v>0.13075929750140999</v>
      </c>
      <c r="I1639" s="27">
        <f t="shared" si="25"/>
        <v>2355642.3037711792</v>
      </c>
      <c r="J1639">
        <v>4.4000000000000004</v>
      </c>
      <c r="K1639" t="b">
        <v>0</v>
      </c>
    </row>
    <row r="1640" spans="1:11" ht="16" x14ac:dyDescent="0.2">
      <c r="A1640" s="16">
        <v>45379</v>
      </c>
      <c r="B1640" t="s">
        <v>45</v>
      </c>
      <c r="C1640" t="s">
        <v>45</v>
      </c>
      <c r="D1640" t="s">
        <v>20</v>
      </c>
      <c r="E1640" t="s">
        <v>7638</v>
      </c>
      <c r="F1640">
        <v>4</v>
      </c>
      <c r="G1640" s="15">
        <v>2710000</v>
      </c>
      <c r="H1640" s="14">
        <v>0.13075929750140999</v>
      </c>
      <c r="I1640" s="27">
        <f t="shared" si="25"/>
        <v>2355642.3037711792</v>
      </c>
      <c r="J1640">
        <v>4</v>
      </c>
      <c r="K1640" t="b">
        <v>1</v>
      </c>
    </row>
    <row r="1641" spans="1:11" ht="16" x14ac:dyDescent="0.2">
      <c r="A1641" s="16">
        <v>45379</v>
      </c>
      <c r="B1641" t="s">
        <v>33</v>
      </c>
      <c r="C1641" t="s">
        <v>34</v>
      </c>
      <c r="D1641" t="s">
        <v>20</v>
      </c>
      <c r="E1641" t="s">
        <v>7637</v>
      </c>
      <c r="F1641">
        <v>1</v>
      </c>
      <c r="G1641" s="15">
        <v>2710000</v>
      </c>
      <c r="H1641" s="14">
        <v>0.13075929750140999</v>
      </c>
      <c r="I1641" s="27">
        <f t="shared" si="25"/>
        <v>2355642.3037711792</v>
      </c>
      <c r="J1641">
        <v>4.5999999999999996</v>
      </c>
      <c r="K1641" t="b">
        <v>1</v>
      </c>
    </row>
    <row r="1642" spans="1:11" ht="16" x14ac:dyDescent="0.2">
      <c r="A1642" s="16">
        <v>45380</v>
      </c>
      <c r="B1642" t="s">
        <v>45</v>
      </c>
      <c r="C1642" t="s">
        <v>34</v>
      </c>
      <c r="D1642" t="s">
        <v>20</v>
      </c>
      <c r="E1642" t="s">
        <v>7644</v>
      </c>
      <c r="F1642">
        <v>1</v>
      </c>
      <c r="G1642" s="15">
        <v>2710000</v>
      </c>
      <c r="H1642" s="14">
        <v>0.13075929750140999</v>
      </c>
      <c r="I1642" s="27">
        <f t="shared" si="25"/>
        <v>2355642.3037711792</v>
      </c>
      <c r="J1642">
        <v>4.7</v>
      </c>
      <c r="K1642" t="b">
        <v>0</v>
      </c>
    </row>
    <row r="1643" spans="1:11" ht="16" x14ac:dyDescent="0.2">
      <c r="A1643" s="16">
        <v>45380</v>
      </c>
      <c r="B1643" t="str">
        <f>B1642</f>
        <v>Family</v>
      </c>
      <c r="C1643" t="s">
        <v>39</v>
      </c>
      <c r="D1643" t="s">
        <v>50</v>
      </c>
      <c r="E1643" t="s">
        <v>7642</v>
      </c>
      <c r="F1643">
        <v>3</v>
      </c>
      <c r="G1643" s="15">
        <v>2710000</v>
      </c>
      <c r="H1643" s="14">
        <v>0.13075929750140999</v>
      </c>
      <c r="I1643" s="27">
        <f t="shared" si="25"/>
        <v>2355642.3037711792</v>
      </c>
      <c r="J1643">
        <v>4</v>
      </c>
      <c r="K1643" t="b">
        <v>1</v>
      </c>
    </row>
    <row r="1644" spans="1:11" ht="16" x14ac:dyDescent="0.2">
      <c r="A1644" s="16">
        <v>45380</v>
      </c>
      <c r="B1644" t="s">
        <v>18</v>
      </c>
      <c r="C1644" t="s">
        <v>39</v>
      </c>
      <c r="D1644" t="s">
        <v>20</v>
      </c>
      <c r="E1644" t="s">
        <v>7639</v>
      </c>
      <c r="F1644">
        <v>1</v>
      </c>
      <c r="G1644" s="15">
        <v>2710000</v>
      </c>
      <c r="H1644" s="14">
        <v>0.13075929750140999</v>
      </c>
      <c r="I1644" s="27">
        <f t="shared" si="25"/>
        <v>2355642.3037711792</v>
      </c>
      <c r="J1644">
        <v>3.5</v>
      </c>
      <c r="K1644" t="b">
        <v>0</v>
      </c>
    </row>
    <row r="1645" spans="1:11" ht="16" x14ac:dyDescent="0.2">
      <c r="A1645" s="16">
        <v>45380</v>
      </c>
      <c r="B1645" t="s">
        <v>18</v>
      </c>
      <c r="C1645" t="s">
        <v>19</v>
      </c>
      <c r="D1645" t="s">
        <v>35</v>
      </c>
      <c r="E1645" t="str">
        <f>E1644</f>
        <v>Hà Nội</v>
      </c>
      <c r="F1645">
        <v>2</v>
      </c>
      <c r="G1645" s="15">
        <v>2710000</v>
      </c>
      <c r="H1645" s="14">
        <v>0.13075929750140999</v>
      </c>
      <c r="I1645" s="27">
        <f t="shared" si="25"/>
        <v>2355642.3037711792</v>
      </c>
      <c r="J1645">
        <v>4.7</v>
      </c>
      <c r="K1645" t="b">
        <v>1</v>
      </c>
    </row>
    <row r="1646" spans="1:11" ht="16" x14ac:dyDescent="0.2">
      <c r="A1646" s="16">
        <v>45380</v>
      </c>
      <c r="B1646" t="s">
        <v>18</v>
      </c>
      <c r="C1646" t="s">
        <v>45</v>
      </c>
      <c r="D1646" t="s">
        <v>35</v>
      </c>
      <c r="E1646" t="s">
        <v>7643</v>
      </c>
      <c r="F1646">
        <v>2</v>
      </c>
      <c r="G1646" s="15">
        <v>2710000</v>
      </c>
      <c r="H1646" s="14">
        <v>0.13075929750140999</v>
      </c>
      <c r="I1646" s="27">
        <f t="shared" si="25"/>
        <v>2355642.3037711792</v>
      </c>
      <c r="J1646">
        <v>4.7</v>
      </c>
      <c r="K1646" t="b">
        <v>1</v>
      </c>
    </row>
    <row r="1647" spans="1:11" ht="16" x14ac:dyDescent="0.2">
      <c r="A1647" s="16">
        <v>45380</v>
      </c>
      <c r="B1647" t="s">
        <v>29</v>
      </c>
      <c r="C1647" t="s">
        <v>39</v>
      </c>
      <c r="D1647" t="s">
        <v>20</v>
      </c>
      <c r="E1647" t="s">
        <v>7643</v>
      </c>
      <c r="F1647">
        <v>4</v>
      </c>
      <c r="G1647" s="15">
        <v>2710000</v>
      </c>
      <c r="H1647" s="14">
        <v>0.13075929750140999</v>
      </c>
      <c r="I1647" s="27">
        <f t="shared" si="25"/>
        <v>2355642.3037711792</v>
      </c>
      <c r="J1647">
        <v>5</v>
      </c>
      <c r="K1647" t="b">
        <v>0</v>
      </c>
    </row>
    <row r="1648" spans="1:11" ht="16" x14ac:dyDescent="0.2">
      <c r="A1648" s="16">
        <v>45381</v>
      </c>
      <c r="B1648" t="s">
        <v>45</v>
      </c>
      <c r="C1648" t="s">
        <v>45</v>
      </c>
      <c r="D1648" t="s">
        <v>35</v>
      </c>
      <c r="E1648" t="s">
        <v>7643</v>
      </c>
      <c r="F1648">
        <v>3</v>
      </c>
      <c r="G1648" s="15">
        <v>2710000</v>
      </c>
      <c r="H1648" s="14">
        <v>0.13075929750140999</v>
      </c>
      <c r="I1648" s="27">
        <f t="shared" si="25"/>
        <v>2355642.3037711792</v>
      </c>
      <c r="J1648">
        <v>4.0999999999999996</v>
      </c>
      <c r="K1648" t="b">
        <v>1</v>
      </c>
    </row>
    <row r="1649" spans="1:11" ht="16" x14ac:dyDescent="0.2">
      <c r="A1649" s="16">
        <v>45381</v>
      </c>
      <c r="B1649" t="s">
        <v>45</v>
      </c>
      <c r="C1649" t="s">
        <v>45</v>
      </c>
      <c r="D1649" t="s">
        <v>20</v>
      </c>
      <c r="E1649" t="s">
        <v>7644</v>
      </c>
      <c r="F1649">
        <v>3</v>
      </c>
      <c r="G1649" s="15">
        <v>2710000</v>
      </c>
      <c r="H1649" s="14">
        <v>0.13075929750140999</v>
      </c>
      <c r="I1649" s="27">
        <f t="shared" si="25"/>
        <v>2355642.3037711792</v>
      </c>
      <c r="J1649">
        <v>3.9</v>
      </c>
      <c r="K1649" t="b">
        <v>0</v>
      </c>
    </row>
    <row r="1650" spans="1:11" ht="16" x14ac:dyDescent="0.2">
      <c r="A1650" s="16">
        <v>45381</v>
      </c>
      <c r="B1650" t="s">
        <v>45</v>
      </c>
      <c r="C1650" t="s">
        <v>25</v>
      </c>
      <c r="D1650" t="s">
        <v>46</v>
      </c>
      <c r="E1650" t="s">
        <v>7643</v>
      </c>
      <c r="F1650">
        <v>2</v>
      </c>
      <c r="G1650" s="15">
        <v>2710000</v>
      </c>
      <c r="H1650" s="14">
        <v>0.13075929750140999</v>
      </c>
      <c r="I1650" s="27">
        <f t="shared" si="25"/>
        <v>2355642.3037711792</v>
      </c>
      <c r="J1650">
        <v>4.5999999999999996</v>
      </c>
      <c r="K1650" t="b">
        <v>0</v>
      </c>
    </row>
    <row r="1651" spans="1:11" ht="16" x14ac:dyDescent="0.2">
      <c r="A1651" s="16">
        <v>45381</v>
      </c>
      <c r="B1651" t="s">
        <v>29</v>
      </c>
      <c r="C1651" t="s">
        <v>39</v>
      </c>
      <c r="D1651" t="s">
        <v>35</v>
      </c>
      <c r="E1651" t="s">
        <v>7638</v>
      </c>
      <c r="F1651">
        <v>2</v>
      </c>
      <c r="G1651" s="15">
        <v>2710000</v>
      </c>
      <c r="H1651" s="14">
        <v>0.13075929750140999</v>
      </c>
      <c r="I1651" s="27">
        <f t="shared" si="25"/>
        <v>2355642.3037711792</v>
      </c>
      <c r="J1651">
        <v>4.5</v>
      </c>
      <c r="K1651" t="b">
        <v>1</v>
      </c>
    </row>
    <row r="1652" spans="1:11" ht="16" x14ac:dyDescent="0.2">
      <c r="A1652" s="16">
        <v>45381</v>
      </c>
      <c r="B1652" t="s">
        <v>45</v>
      </c>
      <c r="C1652" t="s">
        <v>19</v>
      </c>
      <c r="D1652" t="s">
        <v>20</v>
      </c>
      <c r="E1652" t="s">
        <v>7638</v>
      </c>
      <c r="F1652">
        <v>1</v>
      </c>
      <c r="G1652" s="15">
        <v>2710000</v>
      </c>
      <c r="H1652" s="14">
        <v>0.13075929750140999</v>
      </c>
      <c r="I1652" s="27">
        <f t="shared" si="25"/>
        <v>2355642.3037711792</v>
      </c>
      <c r="J1652">
        <v>4.3</v>
      </c>
      <c r="K1652" t="b">
        <v>0</v>
      </c>
    </row>
    <row r="1653" spans="1:11" ht="16" x14ac:dyDescent="0.2">
      <c r="A1653" s="16">
        <v>45382</v>
      </c>
      <c r="B1653" t="s">
        <v>18</v>
      </c>
      <c r="C1653" t="s">
        <v>45</v>
      </c>
      <c r="D1653" t="s">
        <v>35</v>
      </c>
      <c r="E1653" t="s">
        <v>7637</v>
      </c>
      <c r="F1653">
        <v>3</v>
      </c>
      <c r="G1653" s="15">
        <v>2710000</v>
      </c>
      <c r="H1653" s="14">
        <v>0.13075929750140999</v>
      </c>
      <c r="I1653" s="27">
        <f t="shared" si="25"/>
        <v>2355642.3037711792</v>
      </c>
      <c r="J1653">
        <v>4.0999999999999996</v>
      </c>
      <c r="K1653" t="b">
        <v>0</v>
      </c>
    </row>
    <row r="1654" spans="1:11" ht="16" x14ac:dyDescent="0.2">
      <c r="A1654" s="16">
        <v>45382</v>
      </c>
      <c r="B1654" t="s">
        <v>18</v>
      </c>
      <c r="C1654" t="s">
        <v>34</v>
      </c>
      <c r="D1654" t="s">
        <v>46</v>
      </c>
      <c r="E1654" t="s">
        <v>7638</v>
      </c>
      <c r="F1654">
        <v>2</v>
      </c>
      <c r="G1654" s="15">
        <v>2710000</v>
      </c>
      <c r="H1654" s="14">
        <v>0.13075929750140999</v>
      </c>
      <c r="I1654" s="27">
        <f t="shared" si="25"/>
        <v>2355642.3037711792</v>
      </c>
      <c r="J1654">
        <v>3.9</v>
      </c>
      <c r="K1654" t="b">
        <v>0</v>
      </c>
    </row>
    <row r="1655" spans="1:11" ht="16" x14ac:dyDescent="0.2">
      <c r="A1655" s="16">
        <v>45382</v>
      </c>
      <c r="B1655" t="s">
        <v>18</v>
      </c>
      <c r="C1655" t="s">
        <v>68</v>
      </c>
      <c r="D1655" t="s">
        <v>20</v>
      </c>
      <c r="E1655" t="s">
        <v>7639</v>
      </c>
      <c r="F1655">
        <v>1</v>
      </c>
      <c r="G1655" s="15">
        <v>2710000</v>
      </c>
      <c r="H1655" s="14">
        <v>0.13075929750140999</v>
      </c>
      <c r="I1655" s="27">
        <f t="shared" si="25"/>
        <v>2355642.3037711792</v>
      </c>
      <c r="J1655">
        <v>3.4</v>
      </c>
      <c r="K1655" t="b">
        <v>0</v>
      </c>
    </row>
    <row r="1656" spans="1:11" ht="16" x14ac:dyDescent="0.2">
      <c r="A1656" s="16">
        <v>45382</v>
      </c>
      <c r="B1656" t="s">
        <v>45</v>
      </c>
      <c r="C1656" t="s">
        <v>68</v>
      </c>
      <c r="D1656" t="s">
        <v>20</v>
      </c>
      <c r="E1656" t="s">
        <v>7638</v>
      </c>
      <c r="F1656">
        <v>1</v>
      </c>
      <c r="G1656" s="15">
        <v>2710000</v>
      </c>
      <c r="H1656" s="14">
        <v>0.13075929750140999</v>
      </c>
      <c r="I1656" s="27">
        <f t="shared" si="25"/>
        <v>2355642.3037711792</v>
      </c>
      <c r="J1656">
        <v>4</v>
      </c>
      <c r="K1656" t="b">
        <v>1</v>
      </c>
    </row>
    <row r="1657" spans="1:11" ht="16" x14ac:dyDescent="0.2">
      <c r="A1657" s="16">
        <v>45382</v>
      </c>
      <c r="B1657" t="s">
        <v>18</v>
      </c>
      <c r="C1657" t="s">
        <v>45</v>
      </c>
      <c r="D1657" t="s">
        <v>20</v>
      </c>
      <c r="E1657" t="s">
        <v>7641</v>
      </c>
      <c r="F1657">
        <v>5</v>
      </c>
      <c r="G1657" s="15">
        <v>2710000</v>
      </c>
      <c r="H1657" s="14">
        <v>0.13075929750140999</v>
      </c>
      <c r="I1657" s="27">
        <f t="shared" si="25"/>
        <v>2355642.3037711792</v>
      </c>
      <c r="J1657">
        <v>3.6</v>
      </c>
      <c r="K1657" t="b">
        <v>0</v>
      </c>
    </row>
    <row r="1658" spans="1:11" ht="16" x14ac:dyDescent="0.2">
      <c r="A1658" s="16">
        <v>45382</v>
      </c>
      <c r="B1658" t="s">
        <v>18</v>
      </c>
      <c r="C1658" t="s">
        <v>39</v>
      </c>
      <c r="D1658" t="s">
        <v>50</v>
      </c>
      <c r="E1658" t="s">
        <v>99</v>
      </c>
      <c r="F1658">
        <v>1</v>
      </c>
      <c r="G1658" s="15">
        <v>2710000</v>
      </c>
      <c r="H1658" s="14">
        <v>0.13075929750140999</v>
      </c>
      <c r="I1658" s="27">
        <f t="shared" si="25"/>
        <v>2355642.3037711792</v>
      </c>
      <c r="J1658">
        <v>4.8</v>
      </c>
      <c r="K1658" t="b">
        <v>1</v>
      </c>
    </row>
    <row r="1659" spans="1:11" ht="16" x14ac:dyDescent="0.2">
      <c r="A1659" s="16">
        <v>45383</v>
      </c>
      <c r="B1659" t="s">
        <v>18</v>
      </c>
      <c r="C1659" t="s">
        <v>25</v>
      </c>
      <c r="D1659" t="s">
        <v>46</v>
      </c>
      <c r="E1659" t="s">
        <v>7637</v>
      </c>
      <c r="F1659">
        <v>2</v>
      </c>
      <c r="G1659" s="15">
        <v>2710000</v>
      </c>
      <c r="H1659" s="14">
        <v>0.13075929750140999</v>
      </c>
      <c r="I1659" s="27">
        <f t="shared" si="25"/>
        <v>2355642.3037711792</v>
      </c>
      <c r="J1659">
        <v>4.7</v>
      </c>
      <c r="K1659" t="b">
        <v>0</v>
      </c>
    </row>
    <row r="1660" spans="1:11" ht="16" x14ac:dyDescent="0.2">
      <c r="A1660" s="16">
        <v>45383</v>
      </c>
      <c r="B1660" t="s">
        <v>29</v>
      </c>
      <c r="C1660" t="s">
        <v>68</v>
      </c>
      <c r="D1660" t="s">
        <v>35</v>
      </c>
      <c r="E1660" t="s">
        <v>57</v>
      </c>
      <c r="F1660">
        <v>3</v>
      </c>
      <c r="G1660" s="15">
        <v>2710000</v>
      </c>
      <c r="H1660" s="14">
        <v>0.13075929750140999</v>
      </c>
      <c r="I1660" s="27">
        <f t="shared" si="25"/>
        <v>2355642.3037711792</v>
      </c>
      <c r="J1660">
        <v>3.3</v>
      </c>
      <c r="K1660" t="b">
        <v>0</v>
      </c>
    </row>
    <row r="1661" spans="1:11" ht="16" x14ac:dyDescent="0.2">
      <c r="A1661" s="16">
        <v>45384</v>
      </c>
      <c r="B1661" t="s">
        <v>33</v>
      </c>
      <c r="C1661" t="s">
        <v>34</v>
      </c>
      <c r="D1661" t="s">
        <v>35</v>
      </c>
      <c r="E1661" t="s">
        <v>7644</v>
      </c>
      <c r="F1661">
        <v>4</v>
      </c>
      <c r="G1661" s="15">
        <v>2710000</v>
      </c>
      <c r="H1661" s="14">
        <v>0.13075929750140999</v>
      </c>
      <c r="I1661" s="27">
        <f t="shared" si="25"/>
        <v>2355642.3037711792</v>
      </c>
      <c r="J1661">
        <v>4.3</v>
      </c>
      <c r="K1661" t="b">
        <v>1</v>
      </c>
    </row>
    <row r="1662" spans="1:11" ht="16" x14ac:dyDescent="0.2">
      <c r="A1662" s="16">
        <v>45384</v>
      </c>
      <c r="B1662" t="s">
        <v>45</v>
      </c>
      <c r="C1662" t="s">
        <v>25</v>
      </c>
      <c r="D1662" t="s">
        <v>35</v>
      </c>
      <c r="E1662" t="s">
        <v>7644</v>
      </c>
      <c r="F1662">
        <v>1</v>
      </c>
      <c r="G1662" s="15">
        <v>2710000</v>
      </c>
      <c r="H1662" s="14">
        <v>0.13075929750140999</v>
      </c>
      <c r="I1662" s="27">
        <f t="shared" si="25"/>
        <v>2355642.3037711792</v>
      </c>
      <c r="J1662">
        <v>4</v>
      </c>
      <c r="K1662" t="b">
        <v>0</v>
      </c>
    </row>
    <row r="1663" spans="1:11" ht="16" x14ac:dyDescent="0.2">
      <c r="A1663" s="16">
        <v>45385</v>
      </c>
      <c r="B1663" t="s">
        <v>33</v>
      </c>
      <c r="C1663" t="s">
        <v>19</v>
      </c>
      <c r="D1663" t="s">
        <v>20</v>
      </c>
      <c r="E1663" t="s">
        <v>7642</v>
      </c>
      <c r="F1663">
        <v>3</v>
      </c>
      <c r="G1663" s="15">
        <v>2710000</v>
      </c>
      <c r="H1663" s="14">
        <v>0.13075929750140999</v>
      </c>
      <c r="I1663" s="27">
        <f t="shared" si="25"/>
        <v>2355642.3037711792</v>
      </c>
      <c r="J1663">
        <v>4.0999999999999996</v>
      </c>
      <c r="K1663" t="b">
        <v>0</v>
      </c>
    </row>
    <row r="1664" spans="1:11" ht="16" x14ac:dyDescent="0.2">
      <c r="A1664" s="16">
        <v>45385</v>
      </c>
      <c r="B1664" t="s">
        <v>18</v>
      </c>
      <c r="C1664" t="s">
        <v>34</v>
      </c>
      <c r="D1664" t="s">
        <v>20</v>
      </c>
      <c r="E1664" t="s">
        <v>99</v>
      </c>
      <c r="F1664">
        <v>1</v>
      </c>
      <c r="G1664" s="15">
        <v>2710000</v>
      </c>
      <c r="H1664" s="14">
        <v>0.13075929750140999</v>
      </c>
      <c r="I1664" s="27">
        <f t="shared" si="25"/>
        <v>2355642.3037711792</v>
      </c>
      <c r="J1664">
        <v>3.2</v>
      </c>
      <c r="K1664" t="b">
        <v>1</v>
      </c>
    </row>
    <row r="1665" spans="1:11" ht="16" x14ac:dyDescent="0.2">
      <c r="A1665" s="16">
        <v>45385</v>
      </c>
      <c r="B1665" t="s">
        <v>45</v>
      </c>
      <c r="C1665" t="s">
        <v>45</v>
      </c>
      <c r="D1665" t="s">
        <v>50</v>
      </c>
      <c r="E1665" t="s">
        <v>99</v>
      </c>
      <c r="F1665">
        <v>2</v>
      </c>
      <c r="G1665" s="15">
        <v>2710000</v>
      </c>
      <c r="H1665" s="14">
        <v>0.13075929750140999</v>
      </c>
      <c r="I1665" s="27">
        <f t="shared" si="25"/>
        <v>2355642.3037711792</v>
      </c>
      <c r="J1665">
        <v>4.5999999999999996</v>
      </c>
      <c r="K1665" t="b">
        <v>1</v>
      </c>
    </row>
    <row r="1666" spans="1:11" ht="16" x14ac:dyDescent="0.2">
      <c r="A1666" s="16">
        <v>45385</v>
      </c>
      <c r="B1666" t="s">
        <v>29</v>
      </c>
      <c r="C1666" t="s">
        <v>19</v>
      </c>
      <c r="D1666" t="s">
        <v>20</v>
      </c>
      <c r="E1666" t="s">
        <v>7642</v>
      </c>
      <c r="F1666">
        <v>4</v>
      </c>
      <c r="G1666" s="15">
        <v>2710000</v>
      </c>
      <c r="H1666" s="14">
        <v>0.13075929750140999</v>
      </c>
      <c r="I1666" s="27">
        <f t="shared" si="25"/>
        <v>2355642.3037711792</v>
      </c>
      <c r="J1666">
        <v>4.5</v>
      </c>
      <c r="K1666" t="b">
        <v>1</v>
      </c>
    </row>
    <row r="1667" spans="1:11" ht="16" x14ac:dyDescent="0.2">
      <c r="A1667" s="16">
        <v>45385</v>
      </c>
      <c r="B1667" t="s">
        <v>29</v>
      </c>
      <c r="C1667" t="s">
        <v>39</v>
      </c>
      <c r="D1667" t="s">
        <v>20</v>
      </c>
      <c r="E1667" t="s">
        <v>7643</v>
      </c>
      <c r="F1667">
        <v>1</v>
      </c>
      <c r="G1667" s="15">
        <v>2710000</v>
      </c>
      <c r="H1667" s="14">
        <v>0.13075929750140999</v>
      </c>
      <c r="I1667" s="27">
        <f t="shared" ref="I1667:I1730" si="26">G1667-G1667*H1667</f>
        <v>2355642.3037711792</v>
      </c>
      <c r="J1667">
        <v>3.7</v>
      </c>
      <c r="K1667" t="b">
        <v>0</v>
      </c>
    </row>
    <row r="1668" spans="1:11" ht="16" x14ac:dyDescent="0.2">
      <c r="A1668" s="16">
        <v>45386</v>
      </c>
      <c r="B1668" t="s">
        <v>18</v>
      </c>
      <c r="C1668" t="s">
        <v>68</v>
      </c>
      <c r="D1668" t="s">
        <v>20</v>
      </c>
      <c r="E1668" t="s">
        <v>7637</v>
      </c>
      <c r="F1668">
        <v>3</v>
      </c>
      <c r="G1668" s="15">
        <v>2710000</v>
      </c>
      <c r="H1668" s="14">
        <v>0.13075929750140999</v>
      </c>
      <c r="I1668" s="27">
        <f t="shared" si="26"/>
        <v>2355642.3037711792</v>
      </c>
      <c r="J1668">
        <v>4.5</v>
      </c>
      <c r="K1668" t="b">
        <v>0</v>
      </c>
    </row>
    <row r="1669" spans="1:11" ht="16" x14ac:dyDescent="0.2">
      <c r="A1669" s="16">
        <v>45386</v>
      </c>
      <c r="B1669" t="s">
        <v>45</v>
      </c>
      <c r="C1669" t="s">
        <v>19</v>
      </c>
      <c r="D1669" t="s">
        <v>20</v>
      </c>
      <c r="E1669" t="s">
        <v>7641</v>
      </c>
      <c r="F1669">
        <v>1</v>
      </c>
      <c r="G1669" s="15">
        <v>2710000</v>
      </c>
      <c r="H1669" s="14">
        <v>0.13075929750140999</v>
      </c>
      <c r="I1669" s="27">
        <f t="shared" si="26"/>
        <v>2355642.3037711792</v>
      </c>
      <c r="J1669">
        <v>4.0999999999999996</v>
      </c>
      <c r="K1669" t="b">
        <v>0</v>
      </c>
    </row>
    <row r="1670" spans="1:11" ht="16" x14ac:dyDescent="0.2">
      <c r="A1670" s="16">
        <v>45386</v>
      </c>
      <c r="B1670" t="s">
        <v>18</v>
      </c>
      <c r="C1670" t="s">
        <v>25</v>
      </c>
      <c r="D1670" t="s">
        <v>50</v>
      </c>
      <c r="E1670" t="str">
        <f>E1669</f>
        <v>Phú Quốc</v>
      </c>
      <c r="F1670">
        <v>4</v>
      </c>
      <c r="G1670" s="15">
        <v>2710000</v>
      </c>
      <c r="H1670" s="14">
        <v>0.13075929750140999</v>
      </c>
      <c r="I1670" s="27">
        <f t="shared" si="26"/>
        <v>2355642.3037711792</v>
      </c>
      <c r="J1670">
        <v>4.7</v>
      </c>
      <c r="K1670" t="b">
        <v>0</v>
      </c>
    </row>
    <row r="1671" spans="1:11" ht="16" x14ac:dyDescent="0.2">
      <c r="A1671" s="16">
        <v>45386</v>
      </c>
      <c r="B1671" t="s">
        <v>45</v>
      </c>
      <c r="C1671" t="s">
        <v>68</v>
      </c>
      <c r="D1671" t="s">
        <v>20</v>
      </c>
      <c r="E1671" t="s">
        <v>57</v>
      </c>
      <c r="F1671">
        <v>2</v>
      </c>
      <c r="G1671" s="15">
        <v>2710000</v>
      </c>
      <c r="H1671" s="14">
        <v>0.13075929750140999</v>
      </c>
      <c r="I1671" s="27">
        <f t="shared" si="26"/>
        <v>2355642.3037711792</v>
      </c>
      <c r="J1671">
        <v>5</v>
      </c>
      <c r="K1671" t="b">
        <v>0</v>
      </c>
    </row>
    <row r="1672" spans="1:11" ht="16" x14ac:dyDescent="0.2">
      <c r="A1672" s="16">
        <v>45386</v>
      </c>
      <c r="B1672" t="s">
        <v>45</v>
      </c>
      <c r="C1672" t="s">
        <v>25</v>
      </c>
      <c r="D1672" t="s">
        <v>20</v>
      </c>
      <c r="E1672" t="s">
        <v>7640</v>
      </c>
      <c r="F1672">
        <v>1</v>
      </c>
      <c r="G1672" s="15">
        <v>2710000</v>
      </c>
      <c r="H1672" s="14">
        <v>0.13075929750140999</v>
      </c>
      <c r="I1672" s="27">
        <f t="shared" si="26"/>
        <v>2355642.3037711792</v>
      </c>
      <c r="J1672">
        <v>4.3</v>
      </c>
      <c r="K1672" t="b">
        <v>0</v>
      </c>
    </row>
    <row r="1673" spans="1:11" ht="16" x14ac:dyDescent="0.2">
      <c r="A1673" s="16">
        <v>45387</v>
      </c>
      <c r="B1673" t="s">
        <v>33</v>
      </c>
      <c r="C1673" t="s">
        <v>25</v>
      </c>
      <c r="D1673" t="s">
        <v>20</v>
      </c>
      <c r="E1673" t="s">
        <v>7644</v>
      </c>
      <c r="F1673">
        <v>2</v>
      </c>
      <c r="G1673" s="15">
        <v>2710000</v>
      </c>
      <c r="H1673" s="14">
        <v>0.13075929750140999</v>
      </c>
      <c r="I1673" s="27">
        <f t="shared" si="26"/>
        <v>2355642.3037711792</v>
      </c>
      <c r="J1673">
        <v>4.7</v>
      </c>
      <c r="K1673" t="b">
        <v>0</v>
      </c>
    </row>
    <row r="1674" spans="1:11" ht="16" x14ac:dyDescent="0.2">
      <c r="A1674" s="16">
        <v>45387</v>
      </c>
      <c r="B1674" t="s">
        <v>18</v>
      </c>
      <c r="C1674" t="s">
        <v>34</v>
      </c>
      <c r="D1674" t="s">
        <v>35</v>
      </c>
      <c r="E1674" t="s">
        <v>7640</v>
      </c>
      <c r="F1674">
        <v>1</v>
      </c>
      <c r="G1674" s="15">
        <v>2710000</v>
      </c>
      <c r="H1674" s="14">
        <v>0.13075929750140999</v>
      </c>
      <c r="I1674" s="27">
        <f t="shared" si="26"/>
        <v>2355642.3037711792</v>
      </c>
      <c r="J1674">
        <v>4.3</v>
      </c>
      <c r="K1674" t="b">
        <v>0</v>
      </c>
    </row>
    <row r="1675" spans="1:11" ht="16" x14ac:dyDescent="0.2">
      <c r="A1675" s="16">
        <v>45387</v>
      </c>
      <c r="B1675" t="str">
        <f>B1674</f>
        <v>Young Professional</v>
      </c>
      <c r="C1675" t="s">
        <v>25</v>
      </c>
      <c r="D1675" t="s">
        <v>20</v>
      </c>
      <c r="E1675" t="s">
        <v>7640</v>
      </c>
      <c r="F1675">
        <v>1</v>
      </c>
      <c r="G1675" s="15">
        <v>2710000</v>
      </c>
      <c r="H1675" s="14">
        <v>0.13075929750140999</v>
      </c>
      <c r="I1675" s="27">
        <f t="shared" si="26"/>
        <v>2355642.3037711792</v>
      </c>
      <c r="J1675">
        <v>4.0999999999999996</v>
      </c>
      <c r="K1675" t="b">
        <v>1</v>
      </c>
    </row>
    <row r="1676" spans="1:11" ht="16" x14ac:dyDescent="0.2">
      <c r="A1676" s="16">
        <v>45387</v>
      </c>
      <c r="B1676" t="s">
        <v>45</v>
      </c>
      <c r="C1676" t="s">
        <v>34</v>
      </c>
      <c r="D1676" t="s">
        <v>20</v>
      </c>
      <c r="E1676" t="s">
        <v>7640</v>
      </c>
      <c r="F1676">
        <v>2</v>
      </c>
      <c r="G1676" s="15">
        <v>2710000</v>
      </c>
      <c r="H1676" s="14">
        <v>0.13075929750140999</v>
      </c>
      <c r="I1676" s="27">
        <f t="shared" si="26"/>
        <v>2355642.3037711792</v>
      </c>
      <c r="J1676">
        <v>4</v>
      </c>
      <c r="K1676" t="b">
        <v>1</v>
      </c>
    </row>
    <row r="1677" spans="1:11" ht="16" x14ac:dyDescent="0.2">
      <c r="A1677" s="16">
        <v>45387</v>
      </c>
      <c r="B1677" t="s">
        <v>45</v>
      </c>
      <c r="C1677" t="s">
        <v>45</v>
      </c>
      <c r="D1677" t="s">
        <v>50</v>
      </c>
      <c r="E1677" t="str">
        <f>E1676</f>
        <v>Hội An</v>
      </c>
      <c r="F1677">
        <v>2</v>
      </c>
      <c r="G1677" s="15">
        <v>2710000</v>
      </c>
      <c r="H1677" s="14">
        <v>0.13075929750140999</v>
      </c>
      <c r="I1677" s="27">
        <f t="shared" si="26"/>
        <v>2355642.3037711792</v>
      </c>
      <c r="J1677">
        <v>4</v>
      </c>
      <c r="K1677" t="b">
        <v>0</v>
      </c>
    </row>
    <row r="1678" spans="1:11" ht="16" x14ac:dyDescent="0.2">
      <c r="A1678" s="16">
        <v>45387</v>
      </c>
      <c r="B1678" t="s">
        <v>45</v>
      </c>
      <c r="C1678" t="s">
        <v>68</v>
      </c>
      <c r="D1678" t="s">
        <v>46</v>
      </c>
      <c r="E1678" t="s">
        <v>7641</v>
      </c>
      <c r="F1678">
        <v>1</v>
      </c>
      <c r="G1678" s="15">
        <v>2710000</v>
      </c>
      <c r="H1678" s="14">
        <v>0.13075929750140999</v>
      </c>
      <c r="I1678" s="27">
        <f t="shared" si="26"/>
        <v>2355642.3037711792</v>
      </c>
      <c r="J1678">
        <v>4.3</v>
      </c>
      <c r="K1678" t="b">
        <v>0</v>
      </c>
    </row>
    <row r="1679" spans="1:11" ht="16" x14ac:dyDescent="0.2">
      <c r="A1679" s="16">
        <v>45387</v>
      </c>
      <c r="B1679" t="s">
        <v>18</v>
      </c>
      <c r="C1679" t="s">
        <v>25</v>
      </c>
      <c r="D1679" t="s">
        <v>50</v>
      </c>
      <c r="E1679" t="str">
        <f>E1678</f>
        <v>Phú Quốc</v>
      </c>
      <c r="F1679">
        <v>5</v>
      </c>
      <c r="G1679" s="15">
        <v>2710000</v>
      </c>
      <c r="H1679" s="14">
        <v>0.13075929750140999</v>
      </c>
      <c r="I1679" s="27">
        <f t="shared" si="26"/>
        <v>2355642.3037711792</v>
      </c>
      <c r="J1679">
        <v>4.0999999999999996</v>
      </c>
      <c r="K1679" t="b">
        <v>0</v>
      </c>
    </row>
    <row r="1680" spans="1:11" ht="16" x14ac:dyDescent="0.2">
      <c r="A1680" s="16">
        <v>45388</v>
      </c>
      <c r="B1680" t="s">
        <v>18</v>
      </c>
      <c r="C1680" t="s">
        <v>25</v>
      </c>
      <c r="D1680" t="s">
        <v>35</v>
      </c>
      <c r="E1680" t="s">
        <v>7638</v>
      </c>
      <c r="F1680">
        <v>1</v>
      </c>
      <c r="G1680" s="15">
        <v>2710000</v>
      </c>
      <c r="H1680" s="14">
        <v>0.13075929750140999</v>
      </c>
      <c r="I1680" s="27">
        <f t="shared" si="26"/>
        <v>2355642.3037711792</v>
      </c>
      <c r="J1680">
        <v>4</v>
      </c>
      <c r="K1680" t="b">
        <v>0</v>
      </c>
    </row>
    <row r="1681" spans="1:11" ht="16" x14ac:dyDescent="0.2">
      <c r="A1681" s="16">
        <v>45388</v>
      </c>
      <c r="B1681" t="s">
        <v>29</v>
      </c>
      <c r="C1681" t="s">
        <v>25</v>
      </c>
      <c r="D1681" t="s">
        <v>20</v>
      </c>
      <c r="E1681" t="s">
        <v>7642</v>
      </c>
      <c r="F1681">
        <v>2</v>
      </c>
      <c r="G1681" s="15">
        <v>2710000</v>
      </c>
      <c r="H1681" s="14">
        <v>0.13075929750140999</v>
      </c>
      <c r="I1681" s="27">
        <f t="shared" si="26"/>
        <v>2355642.3037711792</v>
      </c>
      <c r="J1681">
        <v>4.9000000000000004</v>
      </c>
      <c r="K1681" t="b">
        <v>0</v>
      </c>
    </row>
    <row r="1682" spans="1:11" ht="16" x14ac:dyDescent="0.2">
      <c r="A1682" s="16">
        <v>45388</v>
      </c>
      <c r="B1682" t="s">
        <v>45</v>
      </c>
      <c r="C1682" t="s">
        <v>25</v>
      </c>
      <c r="D1682" t="s">
        <v>35</v>
      </c>
      <c r="E1682" t="str">
        <f>E1681</f>
        <v>Huế</v>
      </c>
      <c r="F1682">
        <v>2</v>
      </c>
      <c r="G1682" s="15">
        <v>2710000</v>
      </c>
      <c r="H1682" s="14">
        <v>0.13075929750140999</v>
      </c>
      <c r="I1682" s="27">
        <f t="shared" si="26"/>
        <v>2355642.3037711792</v>
      </c>
      <c r="J1682">
        <v>4.2</v>
      </c>
      <c r="K1682" t="b">
        <v>0</v>
      </c>
    </row>
    <row r="1683" spans="1:11" ht="16" x14ac:dyDescent="0.2">
      <c r="A1683" s="16">
        <v>45388</v>
      </c>
      <c r="B1683" t="s">
        <v>18</v>
      </c>
      <c r="C1683" t="s">
        <v>19</v>
      </c>
      <c r="D1683" t="s">
        <v>50</v>
      </c>
      <c r="E1683" t="s">
        <v>7639</v>
      </c>
      <c r="F1683">
        <v>1</v>
      </c>
      <c r="G1683" s="15">
        <v>2710000</v>
      </c>
      <c r="H1683" s="14">
        <v>0.13075929750140999</v>
      </c>
      <c r="I1683" s="27">
        <f t="shared" si="26"/>
        <v>2355642.3037711792</v>
      </c>
      <c r="J1683">
        <v>4.8</v>
      </c>
      <c r="K1683" t="b">
        <v>0</v>
      </c>
    </row>
    <row r="1684" spans="1:11" ht="16" x14ac:dyDescent="0.2">
      <c r="A1684" s="16">
        <v>45389</v>
      </c>
      <c r="B1684" t="s">
        <v>45</v>
      </c>
      <c r="C1684" t="s">
        <v>68</v>
      </c>
      <c r="D1684" t="s">
        <v>50</v>
      </c>
      <c r="E1684" t="s">
        <v>57</v>
      </c>
      <c r="F1684">
        <v>1</v>
      </c>
      <c r="G1684" s="15">
        <v>2710000</v>
      </c>
      <c r="H1684" s="14">
        <v>0.13075929750140999</v>
      </c>
      <c r="I1684" s="27">
        <f t="shared" si="26"/>
        <v>2355642.3037711792</v>
      </c>
      <c r="J1684">
        <v>3.4</v>
      </c>
      <c r="K1684" t="b">
        <v>0</v>
      </c>
    </row>
    <row r="1685" spans="1:11" ht="16" x14ac:dyDescent="0.2">
      <c r="A1685" s="16">
        <v>45389</v>
      </c>
      <c r="B1685" t="s">
        <v>45</v>
      </c>
      <c r="C1685" t="s">
        <v>39</v>
      </c>
      <c r="D1685" t="s">
        <v>20</v>
      </c>
      <c r="E1685" t="s">
        <v>57</v>
      </c>
      <c r="F1685">
        <v>2</v>
      </c>
      <c r="G1685" s="15">
        <v>2710000</v>
      </c>
      <c r="H1685" s="14">
        <v>0.13075929750140999</v>
      </c>
      <c r="I1685" s="27">
        <f t="shared" si="26"/>
        <v>2355642.3037711792</v>
      </c>
      <c r="J1685">
        <v>3.5</v>
      </c>
      <c r="K1685" t="b">
        <v>1</v>
      </c>
    </row>
    <row r="1686" spans="1:11" ht="16" x14ac:dyDescent="0.2">
      <c r="A1686" s="16">
        <v>45389</v>
      </c>
      <c r="B1686" t="s">
        <v>45</v>
      </c>
      <c r="C1686" t="s">
        <v>45</v>
      </c>
      <c r="D1686" t="s">
        <v>20</v>
      </c>
      <c r="E1686" t="s">
        <v>7639</v>
      </c>
      <c r="F1686">
        <v>2</v>
      </c>
      <c r="G1686" s="15">
        <v>2710000</v>
      </c>
      <c r="H1686" s="14">
        <v>0.13075929750140999</v>
      </c>
      <c r="I1686" s="27">
        <f t="shared" si="26"/>
        <v>2355642.3037711792</v>
      </c>
      <c r="J1686">
        <v>4.5</v>
      </c>
      <c r="K1686" t="b">
        <v>0</v>
      </c>
    </row>
    <row r="1687" spans="1:11" ht="16" x14ac:dyDescent="0.2">
      <c r="A1687" s="16">
        <v>45389</v>
      </c>
      <c r="B1687" t="s">
        <v>29</v>
      </c>
      <c r="C1687" t="s">
        <v>19</v>
      </c>
      <c r="D1687" t="s">
        <v>35</v>
      </c>
      <c r="E1687" t="s">
        <v>7638</v>
      </c>
      <c r="F1687">
        <v>2</v>
      </c>
      <c r="G1687" s="15">
        <v>2710000</v>
      </c>
      <c r="H1687" s="14">
        <v>0.13075929750140999</v>
      </c>
      <c r="I1687" s="27">
        <f t="shared" si="26"/>
        <v>2355642.3037711792</v>
      </c>
      <c r="J1687">
        <v>3.6</v>
      </c>
      <c r="K1687" t="b">
        <v>1</v>
      </c>
    </row>
    <row r="1688" spans="1:11" ht="16" x14ac:dyDescent="0.2">
      <c r="A1688" s="16">
        <v>45389</v>
      </c>
      <c r="B1688" t="s">
        <v>18</v>
      </c>
      <c r="C1688" t="s">
        <v>68</v>
      </c>
      <c r="D1688" t="s">
        <v>20</v>
      </c>
      <c r="E1688" t="s">
        <v>99</v>
      </c>
      <c r="F1688">
        <v>1</v>
      </c>
      <c r="G1688" s="15">
        <v>2710000</v>
      </c>
      <c r="H1688" s="14">
        <v>0.13075929750140999</v>
      </c>
      <c r="I1688" s="27">
        <f t="shared" si="26"/>
        <v>2355642.3037711792</v>
      </c>
      <c r="J1688">
        <v>4.0999999999999996</v>
      </c>
      <c r="K1688" t="b">
        <v>0</v>
      </c>
    </row>
    <row r="1689" spans="1:11" ht="16" x14ac:dyDescent="0.2">
      <c r="A1689" s="16">
        <v>45389</v>
      </c>
      <c r="B1689" t="s">
        <v>45</v>
      </c>
      <c r="C1689" t="s">
        <v>25</v>
      </c>
      <c r="D1689" t="s">
        <v>35</v>
      </c>
      <c r="E1689" t="s">
        <v>7637</v>
      </c>
      <c r="F1689">
        <v>1</v>
      </c>
      <c r="G1689" s="15">
        <v>2710000</v>
      </c>
      <c r="H1689" s="14">
        <v>0.13075929750140999</v>
      </c>
      <c r="I1689" s="27">
        <f t="shared" si="26"/>
        <v>2355642.3037711792</v>
      </c>
      <c r="J1689">
        <v>4.3</v>
      </c>
      <c r="K1689" t="b">
        <v>1</v>
      </c>
    </row>
    <row r="1690" spans="1:11" ht="16" x14ac:dyDescent="0.2">
      <c r="A1690" s="16">
        <v>45390</v>
      </c>
      <c r="B1690" t="s">
        <v>45</v>
      </c>
      <c r="C1690" t="s">
        <v>68</v>
      </c>
      <c r="D1690" t="s">
        <v>20</v>
      </c>
      <c r="E1690" t="s">
        <v>7640</v>
      </c>
      <c r="F1690">
        <v>3</v>
      </c>
      <c r="G1690" s="15">
        <v>2710000</v>
      </c>
      <c r="H1690" s="14">
        <v>0.13075929750140999</v>
      </c>
      <c r="I1690" s="27">
        <f t="shared" si="26"/>
        <v>2355642.3037711792</v>
      </c>
      <c r="J1690">
        <v>4.2</v>
      </c>
      <c r="K1690" t="b">
        <v>1</v>
      </c>
    </row>
    <row r="1691" spans="1:11" ht="16" x14ac:dyDescent="0.2">
      <c r="A1691" s="16">
        <v>45390</v>
      </c>
      <c r="B1691" t="s">
        <v>45</v>
      </c>
      <c r="C1691" t="s">
        <v>34</v>
      </c>
      <c r="D1691" t="s">
        <v>20</v>
      </c>
      <c r="E1691" t="s">
        <v>7644</v>
      </c>
      <c r="F1691">
        <v>2</v>
      </c>
      <c r="G1691" s="15">
        <v>2710000</v>
      </c>
      <c r="H1691" s="14">
        <v>0.13075929750140999</v>
      </c>
      <c r="I1691" s="27">
        <f t="shared" si="26"/>
        <v>2355642.3037711792</v>
      </c>
      <c r="J1691">
        <v>3.8</v>
      </c>
      <c r="K1691" t="b">
        <v>0</v>
      </c>
    </row>
    <row r="1692" spans="1:11" ht="16" x14ac:dyDescent="0.2">
      <c r="A1692" s="16">
        <v>45390</v>
      </c>
      <c r="B1692" t="s">
        <v>33</v>
      </c>
      <c r="C1692" t="s">
        <v>25</v>
      </c>
      <c r="D1692" t="s">
        <v>50</v>
      </c>
      <c r="E1692" t="s">
        <v>7638</v>
      </c>
      <c r="F1692">
        <v>2</v>
      </c>
      <c r="G1692" s="15">
        <v>2710000</v>
      </c>
      <c r="H1692" s="14">
        <v>0.13075929750140999</v>
      </c>
      <c r="I1692" s="27">
        <f t="shared" si="26"/>
        <v>2355642.3037711792</v>
      </c>
      <c r="J1692">
        <v>4.0999999999999996</v>
      </c>
      <c r="K1692" t="b">
        <v>0</v>
      </c>
    </row>
    <row r="1693" spans="1:11" ht="16" x14ac:dyDescent="0.2">
      <c r="A1693" s="16">
        <v>45390</v>
      </c>
      <c r="B1693" t="s">
        <v>18</v>
      </c>
      <c r="C1693" t="s">
        <v>34</v>
      </c>
      <c r="D1693" t="s">
        <v>20</v>
      </c>
      <c r="E1693" t="s">
        <v>57</v>
      </c>
      <c r="F1693">
        <v>1</v>
      </c>
      <c r="G1693" s="15">
        <v>2710000</v>
      </c>
      <c r="H1693" s="14">
        <v>0.13075929750140999</v>
      </c>
      <c r="I1693" s="27">
        <f t="shared" si="26"/>
        <v>2355642.3037711792</v>
      </c>
      <c r="J1693">
        <v>5</v>
      </c>
      <c r="K1693" t="b">
        <v>1</v>
      </c>
    </row>
    <row r="1694" spans="1:11" ht="16" x14ac:dyDescent="0.2">
      <c r="A1694" s="16">
        <v>45390</v>
      </c>
      <c r="B1694" t="s">
        <v>45</v>
      </c>
      <c r="C1694" t="s">
        <v>25</v>
      </c>
      <c r="D1694" t="s">
        <v>50</v>
      </c>
      <c r="E1694" t="s">
        <v>7639</v>
      </c>
      <c r="F1694">
        <v>4</v>
      </c>
      <c r="G1694" s="15">
        <v>2710000</v>
      </c>
      <c r="H1694" s="14">
        <v>0.13075929750140999</v>
      </c>
      <c r="I1694" s="27">
        <f t="shared" si="26"/>
        <v>2355642.3037711792</v>
      </c>
      <c r="J1694">
        <v>4.9000000000000004</v>
      </c>
      <c r="K1694" t="b">
        <v>1</v>
      </c>
    </row>
    <row r="1695" spans="1:11" ht="16" x14ac:dyDescent="0.2">
      <c r="A1695" s="16">
        <v>45391</v>
      </c>
      <c r="B1695" t="s">
        <v>45</v>
      </c>
      <c r="C1695" t="s">
        <v>45</v>
      </c>
      <c r="D1695" t="s">
        <v>50</v>
      </c>
      <c r="E1695" t="s">
        <v>7638</v>
      </c>
      <c r="F1695">
        <v>5</v>
      </c>
      <c r="G1695" s="15">
        <v>2710000</v>
      </c>
      <c r="H1695" s="14">
        <v>0.13075929750140999</v>
      </c>
      <c r="I1695" s="27">
        <f t="shared" si="26"/>
        <v>2355642.3037711792</v>
      </c>
      <c r="J1695">
        <v>3.8</v>
      </c>
      <c r="K1695" t="b">
        <v>0</v>
      </c>
    </row>
    <row r="1696" spans="1:11" ht="16" x14ac:dyDescent="0.2">
      <c r="A1696" s="16">
        <v>45391</v>
      </c>
      <c r="B1696" t="s">
        <v>29</v>
      </c>
      <c r="C1696" t="s">
        <v>19</v>
      </c>
      <c r="D1696" t="s">
        <v>35</v>
      </c>
      <c r="E1696" t="s">
        <v>7640</v>
      </c>
      <c r="F1696">
        <v>2</v>
      </c>
      <c r="G1696" s="15">
        <v>2710000</v>
      </c>
      <c r="H1696" s="14">
        <v>0.13075929750140999</v>
      </c>
      <c r="I1696" s="27">
        <f t="shared" si="26"/>
        <v>2355642.3037711792</v>
      </c>
      <c r="J1696">
        <v>4.5999999999999996</v>
      </c>
      <c r="K1696" t="b">
        <v>0</v>
      </c>
    </row>
    <row r="1697" spans="1:11" ht="16" x14ac:dyDescent="0.2">
      <c r="A1697" s="16">
        <v>45391</v>
      </c>
      <c r="B1697" t="s">
        <v>29</v>
      </c>
      <c r="C1697" t="s">
        <v>45</v>
      </c>
      <c r="D1697" t="str">
        <f>D1696</f>
        <v>Mobile App</v>
      </c>
      <c r="E1697" t="s">
        <v>7639</v>
      </c>
      <c r="F1697">
        <v>4</v>
      </c>
      <c r="G1697" s="15">
        <v>2710000</v>
      </c>
      <c r="H1697" s="14">
        <v>0.13075929750140999</v>
      </c>
      <c r="I1697" s="27">
        <f t="shared" si="26"/>
        <v>2355642.3037711792</v>
      </c>
      <c r="J1697">
        <v>3.9</v>
      </c>
      <c r="K1697" t="b">
        <v>1</v>
      </c>
    </row>
    <row r="1698" spans="1:11" ht="16" x14ac:dyDescent="0.2">
      <c r="A1698" s="16">
        <v>45391</v>
      </c>
      <c r="B1698" t="s">
        <v>33</v>
      </c>
      <c r="C1698" t="s">
        <v>45</v>
      </c>
      <c r="D1698" t="s">
        <v>50</v>
      </c>
      <c r="E1698" t="s">
        <v>99</v>
      </c>
      <c r="F1698">
        <v>2</v>
      </c>
      <c r="G1698" s="15">
        <v>2710000</v>
      </c>
      <c r="H1698" s="14">
        <v>0.13075929750140999</v>
      </c>
      <c r="I1698" s="27">
        <f t="shared" si="26"/>
        <v>2355642.3037711792</v>
      </c>
      <c r="J1698">
        <v>3.6</v>
      </c>
      <c r="K1698" t="b">
        <v>0</v>
      </c>
    </row>
    <row r="1699" spans="1:11" ht="16" x14ac:dyDescent="0.2">
      <c r="A1699" s="16">
        <v>45391</v>
      </c>
      <c r="B1699" t="s">
        <v>45</v>
      </c>
      <c r="C1699" t="s">
        <v>34</v>
      </c>
      <c r="D1699" t="s">
        <v>35</v>
      </c>
      <c r="E1699" t="s">
        <v>7643</v>
      </c>
      <c r="F1699">
        <v>2</v>
      </c>
      <c r="G1699" s="15">
        <v>2710000</v>
      </c>
      <c r="H1699" s="14">
        <v>0.13075929750140999</v>
      </c>
      <c r="I1699" s="27">
        <f t="shared" si="26"/>
        <v>2355642.3037711792</v>
      </c>
      <c r="J1699">
        <v>4.5999999999999996</v>
      </c>
      <c r="K1699" t="b">
        <v>1</v>
      </c>
    </row>
    <row r="1700" spans="1:11" ht="16" x14ac:dyDescent="0.2">
      <c r="A1700" s="16">
        <v>45392</v>
      </c>
      <c r="B1700" t="s">
        <v>33</v>
      </c>
      <c r="C1700" t="s">
        <v>45</v>
      </c>
      <c r="D1700" t="s">
        <v>35</v>
      </c>
      <c r="E1700" t="s">
        <v>7643</v>
      </c>
      <c r="F1700">
        <v>3</v>
      </c>
      <c r="G1700" s="15">
        <v>2710000</v>
      </c>
      <c r="H1700" s="14">
        <v>0.13075929750140999</v>
      </c>
      <c r="I1700" s="27">
        <f t="shared" si="26"/>
        <v>2355642.3037711792</v>
      </c>
      <c r="J1700">
        <v>3.8</v>
      </c>
      <c r="K1700" t="b">
        <v>1</v>
      </c>
    </row>
    <row r="1701" spans="1:11" ht="16" x14ac:dyDescent="0.2">
      <c r="A1701" s="16">
        <v>45392</v>
      </c>
      <c r="B1701" t="s">
        <v>45</v>
      </c>
      <c r="C1701" t="s">
        <v>34</v>
      </c>
      <c r="D1701" t="s">
        <v>20</v>
      </c>
      <c r="E1701" t="s">
        <v>7639</v>
      </c>
      <c r="F1701">
        <v>2</v>
      </c>
      <c r="G1701" s="15">
        <v>2710000</v>
      </c>
      <c r="H1701" s="14">
        <v>0.13075929750140999</v>
      </c>
      <c r="I1701" s="27">
        <f t="shared" si="26"/>
        <v>2355642.3037711792</v>
      </c>
      <c r="J1701">
        <v>4</v>
      </c>
      <c r="K1701" t="b">
        <v>0</v>
      </c>
    </row>
    <row r="1702" spans="1:11" ht="16" x14ac:dyDescent="0.2">
      <c r="A1702" s="16">
        <v>45392</v>
      </c>
      <c r="B1702" t="s">
        <v>18</v>
      </c>
      <c r="C1702" t="s">
        <v>19</v>
      </c>
      <c r="D1702" t="s">
        <v>50</v>
      </c>
      <c r="E1702" t="s">
        <v>7642</v>
      </c>
      <c r="F1702">
        <v>1</v>
      </c>
      <c r="G1702" s="15">
        <v>2710000</v>
      </c>
      <c r="H1702" s="14">
        <v>0.13075929750140999</v>
      </c>
      <c r="I1702" s="27">
        <f t="shared" si="26"/>
        <v>2355642.3037711792</v>
      </c>
      <c r="J1702">
        <v>3.7</v>
      </c>
      <c r="K1702" t="b">
        <v>0</v>
      </c>
    </row>
    <row r="1703" spans="1:11" ht="16" x14ac:dyDescent="0.2">
      <c r="A1703" s="16">
        <v>45392</v>
      </c>
      <c r="B1703" t="s">
        <v>45</v>
      </c>
      <c r="C1703" t="s">
        <v>68</v>
      </c>
      <c r="D1703" t="s">
        <v>20</v>
      </c>
      <c r="E1703" t="s">
        <v>7641</v>
      </c>
      <c r="F1703">
        <v>1</v>
      </c>
      <c r="G1703" s="15">
        <v>2710000</v>
      </c>
      <c r="H1703" s="14">
        <v>0.13075929750140999</v>
      </c>
      <c r="I1703" s="27">
        <f t="shared" si="26"/>
        <v>2355642.3037711792</v>
      </c>
      <c r="J1703">
        <v>4.4000000000000004</v>
      </c>
      <c r="K1703" t="b">
        <v>0</v>
      </c>
    </row>
    <row r="1704" spans="1:11" ht="16" x14ac:dyDescent="0.2">
      <c r="A1704" s="16">
        <v>45392</v>
      </c>
      <c r="B1704" t="s">
        <v>18</v>
      </c>
      <c r="C1704" t="s">
        <v>45</v>
      </c>
      <c r="D1704" t="s">
        <v>20</v>
      </c>
      <c r="E1704" t="s">
        <v>7637</v>
      </c>
      <c r="F1704">
        <v>4</v>
      </c>
      <c r="G1704" s="15">
        <v>2710000</v>
      </c>
      <c r="H1704" s="14">
        <v>0.13075929750140999</v>
      </c>
      <c r="I1704" s="27">
        <f t="shared" si="26"/>
        <v>2355642.3037711792</v>
      </c>
      <c r="J1704">
        <v>4</v>
      </c>
      <c r="K1704" t="b">
        <v>0</v>
      </c>
    </row>
    <row r="1705" spans="1:11" ht="16" x14ac:dyDescent="0.2">
      <c r="A1705" s="16">
        <v>45392</v>
      </c>
      <c r="B1705" t="s">
        <v>33</v>
      </c>
      <c r="C1705" t="s">
        <v>34</v>
      </c>
      <c r="D1705" t="s">
        <v>20</v>
      </c>
      <c r="E1705" t="s">
        <v>57</v>
      </c>
      <c r="F1705">
        <v>1</v>
      </c>
      <c r="G1705" s="15">
        <v>2710000</v>
      </c>
      <c r="H1705" s="14">
        <v>0.13075929750140999</v>
      </c>
      <c r="I1705" s="27">
        <f t="shared" si="26"/>
        <v>2355642.3037711792</v>
      </c>
      <c r="J1705">
        <v>4.3</v>
      </c>
      <c r="K1705" t="b">
        <v>0</v>
      </c>
    </row>
    <row r="1706" spans="1:11" ht="16" x14ac:dyDescent="0.2">
      <c r="A1706" s="16">
        <v>45393</v>
      </c>
      <c r="B1706" t="s">
        <v>18</v>
      </c>
      <c r="C1706" t="s">
        <v>34</v>
      </c>
      <c r="D1706" t="s">
        <v>20</v>
      </c>
      <c r="E1706" t="s">
        <v>57</v>
      </c>
      <c r="F1706">
        <v>2</v>
      </c>
      <c r="G1706" s="15">
        <v>2710000</v>
      </c>
      <c r="H1706" s="14">
        <v>0.13075929750140999</v>
      </c>
      <c r="I1706" s="27">
        <f t="shared" si="26"/>
        <v>2355642.3037711792</v>
      </c>
      <c r="J1706">
        <v>2.6</v>
      </c>
      <c r="K1706" t="b">
        <v>0</v>
      </c>
    </row>
    <row r="1707" spans="1:11" ht="16" x14ac:dyDescent="0.2">
      <c r="A1707" s="16">
        <v>45393</v>
      </c>
      <c r="B1707" t="s">
        <v>45</v>
      </c>
      <c r="C1707" t="s">
        <v>45</v>
      </c>
      <c r="D1707" t="str">
        <f>D1706</f>
        <v>Website</v>
      </c>
      <c r="E1707" t="s">
        <v>7641</v>
      </c>
      <c r="F1707">
        <v>1</v>
      </c>
      <c r="G1707" s="15">
        <v>2710000</v>
      </c>
      <c r="H1707" s="14">
        <v>0.13075929750140999</v>
      </c>
      <c r="I1707" s="27">
        <f t="shared" si="26"/>
        <v>2355642.3037711792</v>
      </c>
      <c r="J1707">
        <v>4.8</v>
      </c>
      <c r="K1707" t="b">
        <v>0</v>
      </c>
    </row>
    <row r="1708" spans="1:11" ht="16" x14ac:dyDescent="0.2">
      <c r="A1708" s="16">
        <v>45393</v>
      </c>
      <c r="B1708" t="s">
        <v>33</v>
      </c>
      <c r="C1708" t="s">
        <v>25</v>
      </c>
      <c r="D1708" t="s">
        <v>20</v>
      </c>
      <c r="E1708" t="s">
        <v>7640</v>
      </c>
      <c r="F1708">
        <v>2</v>
      </c>
      <c r="G1708" s="15">
        <v>2710000</v>
      </c>
      <c r="H1708" s="14">
        <v>0.13075929750140999</v>
      </c>
      <c r="I1708" s="27">
        <f t="shared" si="26"/>
        <v>2355642.3037711792</v>
      </c>
      <c r="J1708">
        <v>4.4000000000000004</v>
      </c>
      <c r="K1708" t="b">
        <v>0</v>
      </c>
    </row>
    <row r="1709" spans="1:11" ht="16" x14ac:dyDescent="0.2">
      <c r="A1709" s="16">
        <v>45393</v>
      </c>
      <c r="B1709" t="s">
        <v>45</v>
      </c>
      <c r="C1709" t="s">
        <v>34</v>
      </c>
      <c r="D1709" t="s">
        <v>50</v>
      </c>
      <c r="E1709" t="s">
        <v>7644</v>
      </c>
      <c r="F1709">
        <v>2</v>
      </c>
      <c r="G1709" s="15">
        <v>2710000</v>
      </c>
      <c r="H1709" s="14">
        <v>0.13075929750140999</v>
      </c>
      <c r="I1709" s="27">
        <f t="shared" si="26"/>
        <v>2355642.3037711792</v>
      </c>
      <c r="J1709">
        <v>4.3</v>
      </c>
      <c r="K1709" t="b">
        <v>0</v>
      </c>
    </row>
    <row r="1710" spans="1:11" ht="16" x14ac:dyDescent="0.2">
      <c r="A1710" s="16">
        <v>45393</v>
      </c>
      <c r="B1710" t="s">
        <v>33</v>
      </c>
      <c r="C1710" t="s">
        <v>39</v>
      </c>
      <c r="D1710" t="s">
        <v>35</v>
      </c>
      <c r="E1710" t="str">
        <f>E1709</f>
        <v>Hạ Long</v>
      </c>
      <c r="F1710">
        <v>1</v>
      </c>
      <c r="G1710" s="15">
        <v>2710000</v>
      </c>
      <c r="H1710" s="14">
        <v>0.13075929750140999</v>
      </c>
      <c r="I1710" s="27">
        <f t="shared" si="26"/>
        <v>2355642.3037711792</v>
      </c>
      <c r="J1710">
        <v>5</v>
      </c>
      <c r="K1710" t="b">
        <v>1</v>
      </c>
    </row>
    <row r="1711" spans="1:11" ht="16" x14ac:dyDescent="0.2">
      <c r="A1711" s="16">
        <v>45394</v>
      </c>
      <c r="B1711" t="s">
        <v>45</v>
      </c>
      <c r="C1711" t="s">
        <v>45</v>
      </c>
      <c r="D1711" t="s">
        <v>20</v>
      </c>
      <c r="E1711" t="s">
        <v>99</v>
      </c>
      <c r="F1711">
        <v>2</v>
      </c>
      <c r="G1711" s="15">
        <v>2710000</v>
      </c>
      <c r="H1711" s="14">
        <v>0.13075929750140999</v>
      </c>
      <c r="I1711" s="27">
        <f t="shared" si="26"/>
        <v>2355642.3037711792</v>
      </c>
      <c r="J1711">
        <v>4.2</v>
      </c>
      <c r="K1711" t="b">
        <v>0</v>
      </c>
    </row>
    <row r="1712" spans="1:11" ht="16" x14ac:dyDescent="0.2">
      <c r="A1712" s="16">
        <v>45394</v>
      </c>
      <c r="B1712" t="s">
        <v>45</v>
      </c>
      <c r="C1712" t="s">
        <v>39</v>
      </c>
      <c r="D1712" t="s">
        <v>20</v>
      </c>
      <c r="E1712" t="s">
        <v>7643</v>
      </c>
      <c r="F1712">
        <v>1</v>
      </c>
      <c r="G1712" s="15">
        <v>2710000</v>
      </c>
      <c r="H1712" s="14">
        <v>0.13075929750140999</v>
      </c>
      <c r="I1712" s="27">
        <f t="shared" si="26"/>
        <v>2355642.3037711792</v>
      </c>
      <c r="J1712">
        <v>3</v>
      </c>
      <c r="K1712" t="b">
        <v>0</v>
      </c>
    </row>
    <row r="1713" spans="1:11" ht="16" x14ac:dyDescent="0.2">
      <c r="A1713" s="16">
        <v>45395</v>
      </c>
      <c r="B1713" t="s">
        <v>33</v>
      </c>
      <c r="C1713" t="s">
        <v>19</v>
      </c>
      <c r="D1713" t="s">
        <v>20</v>
      </c>
      <c r="E1713" t="s">
        <v>7641</v>
      </c>
      <c r="F1713">
        <v>2</v>
      </c>
      <c r="G1713" s="15">
        <v>2710000</v>
      </c>
      <c r="H1713" s="14">
        <v>0.13075929750140999</v>
      </c>
      <c r="I1713" s="27">
        <f t="shared" si="26"/>
        <v>2355642.3037711792</v>
      </c>
      <c r="J1713">
        <v>4.5999999999999996</v>
      </c>
      <c r="K1713" t="b">
        <v>0</v>
      </c>
    </row>
    <row r="1714" spans="1:11" ht="16" x14ac:dyDescent="0.2">
      <c r="A1714" s="16">
        <v>45395</v>
      </c>
      <c r="B1714" t="s">
        <v>29</v>
      </c>
      <c r="C1714" t="s">
        <v>19</v>
      </c>
      <c r="D1714" t="s">
        <v>50</v>
      </c>
      <c r="E1714" t="s">
        <v>7641</v>
      </c>
      <c r="F1714">
        <v>1</v>
      </c>
      <c r="G1714" s="15">
        <v>2710000</v>
      </c>
      <c r="H1714" s="14">
        <v>0.13075929750140999</v>
      </c>
      <c r="I1714" s="27">
        <f t="shared" si="26"/>
        <v>2355642.3037711792</v>
      </c>
      <c r="J1714">
        <v>4</v>
      </c>
      <c r="K1714" t="b">
        <v>0</v>
      </c>
    </row>
    <row r="1715" spans="1:11" ht="16" x14ac:dyDescent="0.2">
      <c r="A1715" s="16">
        <v>45395</v>
      </c>
      <c r="B1715" t="s">
        <v>18</v>
      </c>
      <c r="C1715" t="s">
        <v>25</v>
      </c>
      <c r="D1715" t="s">
        <v>46</v>
      </c>
      <c r="E1715" t="s">
        <v>99</v>
      </c>
      <c r="F1715">
        <v>1</v>
      </c>
      <c r="G1715" s="15">
        <v>2710000</v>
      </c>
      <c r="H1715" s="14">
        <v>0.13075929750140999</v>
      </c>
      <c r="I1715" s="27">
        <f t="shared" si="26"/>
        <v>2355642.3037711792</v>
      </c>
      <c r="J1715">
        <v>4.4000000000000004</v>
      </c>
      <c r="K1715" t="b">
        <v>0</v>
      </c>
    </row>
    <row r="1716" spans="1:11" ht="16" x14ac:dyDescent="0.2">
      <c r="A1716" s="16">
        <v>45395</v>
      </c>
      <c r="B1716" t="s">
        <v>45</v>
      </c>
      <c r="C1716" t="s">
        <v>45</v>
      </c>
      <c r="D1716" t="s">
        <v>20</v>
      </c>
      <c r="E1716" t="s">
        <v>7642</v>
      </c>
      <c r="F1716">
        <v>4</v>
      </c>
      <c r="G1716" s="15">
        <v>2710000</v>
      </c>
      <c r="H1716" s="14">
        <v>0.13075929750140999</v>
      </c>
      <c r="I1716" s="27">
        <f t="shared" si="26"/>
        <v>2355642.3037711792</v>
      </c>
      <c r="J1716">
        <v>4.5</v>
      </c>
      <c r="K1716" t="b">
        <v>0</v>
      </c>
    </row>
    <row r="1717" spans="1:11" ht="16" x14ac:dyDescent="0.2">
      <c r="A1717" s="16">
        <v>45395</v>
      </c>
      <c r="B1717" t="s">
        <v>18</v>
      </c>
      <c r="C1717" t="s">
        <v>45</v>
      </c>
      <c r="D1717" t="s">
        <v>35</v>
      </c>
      <c r="E1717" t="s">
        <v>7637</v>
      </c>
      <c r="F1717">
        <v>4</v>
      </c>
      <c r="G1717" s="15">
        <v>2710000</v>
      </c>
      <c r="H1717" s="14">
        <v>0.13075929750140999</v>
      </c>
      <c r="I1717" s="27">
        <f t="shared" si="26"/>
        <v>2355642.3037711792</v>
      </c>
      <c r="J1717">
        <v>4</v>
      </c>
      <c r="K1717" t="b">
        <v>0</v>
      </c>
    </row>
    <row r="1718" spans="1:11" ht="16" x14ac:dyDescent="0.2">
      <c r="A1718" s="16">
        <v>45396</v>
      </c>
      <c r="B1718" t="s">
        <v>45</v>
      </c>
      <c r="C1718" t="s">
        <v>19</v>
      </c>
      <c r="D1718" t="s">
        <v>50</v>
      </c>
      <c r="E1718" t="s">
        <v>7644</v>
      </c>
      <c r="F1718">
        <v>2</v>
      </c>
      <c r="G1718" s="15">
        <v>2710000</v>
      </c>
      <c r="H1718" s="14">
        <v>0.13075929750140999</v>
      </c>
      <c r="I1718" s="27">
        <f t="shared" si="26"/>
        <v>2355642.3037711792</v>
      </c>
      <c r="J1718">
        <v>4.4000000000000004</v>
      </c>
      <c r="K1718" t="b">
        <v>0</v>
      </c>
    </row>
    <row r="1719" spans="1:11" ht="16" x14ac:dyDescent="0.2">
      <c r="A1719" s="16">
        <v>45396</v>
      </c>
      <c r="B1719" t="s">
        <v>45</v>
      </c>
      <c r="C1719" t="s">
        <v>39</v>
      </c>
      <c r="D1719" t="s">
        <v>20</v>
      </c>
      <c r="E1719" t="s">
        <v>7642</v>
      </c>
      <c r="F1719">
        <v>1</v>
      </c>
      <c r="G1719" s="15">
        <v>2710000</v>
      </c>
      <c r="H1719" s="14">
        <v>0.13075929750140999</v>
      </c>
      <c r="I1719" s="27">
        <f t="shared" si="26"/>
        <v>2355642.3037711792</v>
      </c>
      <c r="J1719">
        <v>4.4000000000000004</v>
      </c>
      <c r="K1719" t="b">
        <v>0</v>
      </c>
    </row>
    <row r="1720" spans="1:11" ht="16" x14ac:dyDescent="0.2">
      <c r="A1720" s="16">
        <v>45396</v>
      </c>
      <c r="B1720" t="s">
        <v>18</v>
      </c>
      <c r="C1720" t="s">
        <v>19</v>
      </c>
      <c r="D1720" t="s">
        <v>20</v>
      </c>
      <c r="E1720" t="s">
        <v>7642</v>
      </c>
      <c r="F1720">
        <v>1</v>
      </c>
      <c r="G1720" s="15">
        <v>2710000</v>
      </c>
      <c r="H1720" s="14">
        <v>0.13075929750140999</v>
      </c>
      <c r="I1720" s="27">
        <f t="shared" si="26"/>
        <v>2355642.3037711792</v>
      </c>
      <c r="J1720">
        <v>4.9000000000000004</v>
      </c>
      <c r="K1720" t="b">
        <v>1</v>
      </c>
    </row>
    <row r="1721" spans="1:11" ht="16" x14ac:dyDescent="0.2">
      <c r="A1721" s="16">
        <v>45398</v>
      </c>
      <c r="B1721" t="s">
        <v>45</v>
      </c>
      <c r="C1721" t="s">
        <v>25</v>
      </c>
      <c r="D1721" t="s">
        <v>35</v>
      </c>
      <c r="E1721" t="s">
        <v>7644</v>
      </c>
      <c r="F1721">
        <v>1</v>
      </c>
      <c r="G1721" s="15">
        <v>2710000</v>
      </c>
      <c r="H1721" s="14">
        <v>0.13075929750140999</v>
      </c>
      <c r="I1721" s="27">
        <f t="shared" si="26"/>
        <v>2355642.3037711792</v>
      </c>
      <c r="J1721">
        <v>4.9000000000000004</v>
      </c>
      <c r="K1721" t="b">
        <v>1</v>
      </c>
    </row>
    <row r="1722" spans="1:11" ht="16" x14ac:dyDescent="0.2">
      <c r="A1722" s="16">
        <v>45398</v>
      </c>
      <c r="B1722" t="s">
        <v>29</v>
      </c>
      <c r="C1722" t="s">
        <v>34</v>
      </c>
      <c r="D1722" t="s">
        <v>20</v>
      </c>
      <c r="E1722" t="s">
        <v>57</v>
      </c>
      <c r="F1722">
        <v>1</v>
      </c>
      <c r="G1722" s="15">
        <v>2710000</v>
      </c>
      <c r="H1722" s="14">
        <v>0.13075929750140999</v>
      </c>
      <c r="I1722" s="27">
        <f t="shared" si="26"/>
        <v>2355642.3037711792</v>
      </c>
      <c r="J1722">
        <v>3.9</v>
      </c>
      <c r="K1722" t="b">
        <v>0</v>
      </c>
    </row>
    <row r="1723" spans="1:11" ht="16" x14ac:dyDescent="0.2">
      <c r="A1723" s="16">
        <v>45399</v>
      </c>
      <c r="B1723" t="s">
        <v>29</v>
      </c>
      <c r="C1723" t="s">
        <v>45</v>
      </c>
      <c r="D1723" t="s">
        <v>50</v>
      </c>
      <c r="E1723" t="s">
        <v>7640</v>
      </c>
      <c r="F1723">
        <v>3</v>
      </c>
      <c r="G1723" s="15">
        <v>2710000</v>
      </c>
      <c r="H1723" s="14">
        <v>0.13075929750140999</v>
      </c>
      <c r="I1723" s="27">
        <f t="shared" si="26"/>
        <v>2355642.3037711792</v>
      </c>
      <c r="J1723">
        <v>4.4000000000000004</v>
      </c>
      <c r="K1723" t="b">
        <v>0</v>
      </c>
    </row>
    <row r="1724" spans="1:11" ht="16" x14ac:dyDescent="0.2">
      <c r="A1724" s="16">
        <v>45399</v>
      </c>
      <c r="B1724" t="s">
        <v>18</v>
      </c>
      <c r="C1724" t="s">
        <v>34</v>
      </c>
      <c r="D1724" t="str">
        <f>D1723</f>
        <v>Agent</v>
      </c>
      <c r="E1724" t="str">
        <f>E1723</f>
        <v>Hội An</v>
      </c>
      <c r="F1724">
        <v>1</v>
      </c>
      <c r="G1724" s="15">
        <v>2710000</v>
      </c>
      <c r="H1724" s="14">
        <v>0.13075929750140999</v>
      </c>
      <c r="I1724" s="27">
        <f t="shared" si="26"/>
        <v>2355642.3037711792</v>
      </c>
      <c r="J1724">
        <v>4.7</v>
      </c>
      <c r="K1724" t="b">
        <v>1</v>
      </c>
    </row>
    <row r="1725" spans="1:11" ht="16" x14ac:dyDescent="0.2">
      <c r="A1725" s="16">
        <v>45399</v>
      </c>
      <c r="B1725" t="s">
        <v>18</v>
      </c>
      <c r="C1725" t="s">
        <v>34</v>
      </c>
      <c r="D1725" t="s">
        <v>20</v>
      </c>
      <c r="E1725" t="s">
        <v>7644</v>
      </c>
      <c r="F1725">
        <v>1</v>
      </c>
      <c r="G1725" s="15">
        <v>2710000</v>
      </c>
      <c r="H1725" s="14">
        <v>0.13075929750140999</v>
      </c>
      <c r="I1725" s="27">
        <f t="shared" si="26"/>
        <v>2355642.3037711792</v>
      </c>
      <c r="J1725">
        <v>4.2</v>
      </c>
      <c r="K1725" t="b">
        <v>1</v>
      </c>
    </row>
    <row r="1726" spans="1:11" ht="16" x14ac:dyDescent="0.2">
      <c r="A1726" s="16">
        <v>45399</v>
      </c>
      <c r="B1726" t="s">
        <v>45</v>
      </c>
      <c r="C1726" t="s">
        <v>34</v>
      </c>
      <c r="D1726" t="s">
        <v>35</v>
      </c>
      <c r="E1726" t="s">
        <v>7641</v>
      </c>
      <c r="F1726">
        <v>2</v>
      </c>
      <c r="G1726" s="15">
        <v>2710000</v>
      </c>
      <c r="H1726" s="14">
        <v>0.13075929750140999</v>
      </c>
      <c r="I1726" s="27">
        <f t="shared" si="26"/>
        <v>2355642.3037711792</v>
      </c>
      <c r="J1726">
        <v>4.8</v>
      </c>
      <c r="K1726" t="b">
        <v>1</v>
      </c>
    </row>
    <row r="1727" spans="1:11" ht="16" x14ac:dyDescent="0.2">
      <c r="A1727" s="16">
        <v>45400</v>
      </c>
      <c r="B1727" t="s">
        <v>45</v>
      </c>
      <c r="C1727" t="s">
        <v>68</v>
      </c>
      <c r="D1727" t="s">
        <v>35</v>
      </c>
      <c r="E1727" t="s">
        <v>7642</v>
      </c>
      <c r="F1727">
        <v>1</v>
      </c>
      <c r="G1727" s="15">
        <v>2710000</v>
      </c>
      <c r="H1727" s="14">
        <v>0.13075929750140999</v>
      </c>
      <c r="I1727" s="27">
        <f t="shared" si="26"/>
        <v>2355642.3037711792</v>
      </c>
      <c r="J1727">
        <v>4.3</v>
      </c>
      <c r="K1727" t="b">
        <v>0</v>
      </c>
    </row>
    <row r="1728" spans="1:11" ht="16" x14ac:dyDescent="0.2">
      <c r="A1728" s="16">
        <v>45400</v>
      </c>
      <c r="B1728" t="s">
        <v>29</v>
      </c>
      <c r="C1728" t="s">
        <v>39</v>
      </c>
      <c r="D1728" t="s">
        <v>35</v>
      </c>
      <c r="E1728" t="s">
        <v>7639</v>
      </c>
      <c r="F1728">
        <v>2</v>
      </c>
      <c r="G1728" s="15">
        <v>2710000</v>
      </c>
      <c r="H1728" s="14">
        <v>0.13075929750140999</v>
      </c>
      <c r="I1728" s="27">
        <f t="shared" si="26"/>
        <v>2355642.3037711792</v>
      </c>
      <c r="J1728">
        <v>4.0999999999999996</v>
      </c>
      <c r="K1728" t="b">
        <v>1</v>
      </c>
    </row>
    <row r="1729" spans="1:11" ht="16" x14ac:dyDescent="0.2">
      <c r="A1729" s="16">
        <v>45400</v>
      </c>
      <c r="B1729" t="s">
        <v>18</v>
      </c>
      <c r="C1729" t="s">
        <v>34</v>
      </c>
      <c r="D1729" t="s">
        <v>50</v>
      </c>
      <c r="E1729" t="s">
        <v>7642</v>
      </c>
      <c r="F1729">
        <v>1</v>
      </c>
      <c r="G1729" s="15">
        <v>2710000</v>
      </c>
      <c r="H1729" s="14">
        <v>0.13075929750140999</v>
      </c>
      <c r="I1729" s="27">
        <f t="shared" si="26"/>
        <v>2355642.3037711792</v>
      </c>
      <c r="J1729">
        <v>5</v>
      </c>
      <c r="K1729" t="b">
        <v>0</v>
      </c>
    </row>
    <row r="1730" spans="1:11" ht="16" x14ac:dyDescent="0.2">
      <c r="A1730" s="16">
        <v>45400</v>
      </c>
      <c r="B1730" t="s">
        <v>18</v>
      </c>
      <c r="C1730" t="s">
        <v>34</v>
      </c>
      <c r="D1730" t="s">
        <v>20</v>
      </c>
      <c r="E1730" t="str">
        <f>E1729</f>
        <v>Huế</v>
      </c>
      <c r="F1730">
        <v>2</v>
      </c>
      <c r="G1730" s="15">
        <v>2710000</v>
      </c>
      <c r="H1730" s="14">
        <v>0.13075929750140999</v>
      </c>
      <c r="I1730" s="27">
        <f t="shared" si="26"/>
        <v>2355642.3037711792</v>
      </c>
      <c r="J1730">
        <v>4.5</v>
      </c>
      <c r="K1730" t="b">
        <v>1</v>
      </c>
    </row>
    <row r="1731" spans="1:11" ht="16" x14ac:dyDescent="0.2">
      <c r="A1731" s="16">
        <v>45401</v>
      </c>
      <c r="B1731" t="s">
        <v>29</v>
      </c>
      <c r="C1731" t="s">
        <v>68</v>
      </c>
      <c r="D1731" t="s">
        <v>20</v>
      </c>
      <c r="E1731" t="s">
        <v>7639</v>
      </c>
      <c r="F1731">
        <v>1</v>
      </c>
      <c r="G1731" s="15">
        <v>2710000</v>
      </c>
      <c r="H1731" s="14">
        <v>0.13075929750140999</v>
      </c>
      <c r="I1731" s="27">
        <f t="shared" ref="I1731:I1794" si="27">G1731-G1731*H1731</f>
        <v>2355642.3037711792</v>
      </c>
      <c r="J1731">
        <v>4.2</v>
      </c>
      <c r="K1731" t="b">
        <v>1</v>
      </c>
    </row>
    <row r="1732" spans="1:11" ht="16" x14ac:dyDescent="0.2">
      <c r="A1732" s="16">
        <v>45402</v>
      </c>
      <c r="B1732" t="s">
        <v>45</v>
      </c>
      <c r="C1732" t="s">
        <v>39</v>
      </c>
      <c r="D1732" t="s">
        <v>20</v>
      </c>
      <c r="E1732" t="s">
        <v>7638</v>
      </c>
      <c r="F1732">
        <v>2</v>
      </c>
      <c r="G1732" s="15">
        <v>2710000</v>
      </c>
      <c r="H1732" s="14">
        <v>0.13075929750140999</v>
      </c>
      <c r="I1732" s="27">
        <f t="shared" si="27"/>
        <v>2355642.3037711792</v>
      </c>
      <c r="J1732">
        <v>3.8</v>
      </c>
      <c r="K1732" t="b">
        <v>0</v>
      </c>
    </row>
    <row r="1733" spans="1:11" ht="16" x14ac:dyDescent="0.2">
      <c r="A1733" s="16">
        <v>45402</v>
      </c>
      <c r="B1733" t="s">
        <v>18</v>
      </c>
      <c r="C1733" t="s">
        <v>19</v>
      </c>
      <c r="D1733" t="s">
        <v>20</v>
      </c>
      <c r="E1733" t="s">
        <v>99</v>
      </c>
      <c r="F1733">
        <v>1</v>
      </c>
      <c r="G1733" s="15">
        <v>2710000</v>
      </c>
      <c r="H1733" s="14">
        <v>0.13075929750140999</v>
      </c>
      <c r="I1733" s="27">
        <f t="shared" si="27"/>
        <v>2355642.3037711792</v>
      </c>
      <c r="J1733">
        <v>4.4000000000000004</v>
      </c>
      <c r="K1733" t="b">
        <v>0</v>
      </c>
    </row>
    <row r="1734" spans="1:11" ht="16" x14ac:dyDescent="0.2">
      <c r="A1734" s="16">
        <v>45402</v>
      </c>
      <c r="B1734" t="s">
        <v>29</v>
      </c>
      <c r="C1734" t="s">
        <v>34</v>
      </c>
      <c r="D1734" t="s">
        <v>20</v>
      </c>
      <c r="E1734" t="s">
        <v>7640</v>
      </c>
      <c r="F1734">
        <v>2</v>
      </c>
      <c r="G1734" s="15">
        <v>2710000</v>
      </c>
      <c r="H1734" s="14">
        <v>0.13075929750140999</v>
      </c>
      <c r="I1734" s="27">
        <f t="shared" si="27"/>
        <v>2355642.3037711792</v>
      </c>
      <c r="J1734">
        <v>4.4000000000000004</v>
      </c>
      <c r="K1734" t="b">
        <v>1</v>
      </c>
    </row>
    <row r="1735" spans="1:11" ht="16" x14ac:dyDescent="0.2">
      <c r="A1735" s="16">
        <v>45402</v>
      </c>
      <c r="B1735" t="s">
        <v>33</v>
      </c>
      <c r="C1735" t="s">
        <v>34</v>
      </c>
      <c r="D1735" t="s">
        <v>50</v>
      </c>
      <c r="E1735" t="s">
        <v>7640</v>
      </c>
      <c r="F1735">
        <v>1</v>
      </c>
      <c r="G1735" s="15">
        <v>2710000</v>
      </c>
      <c r="H1735" s="14">
        <v>0.13075929750140999</v>
      </c>
      <c r="I1735" s="27">
        <f t="shared" si="27"/>
        <v>2355642.3037711792</v>
      </c>
      <c r="J1735">
        <v>4.0999999999999996</v>
      </c>
      <c r="K1735" t="b">
        <v>1</v>
      </c>
    </row>
    <row r="1736" spans="1:11" ht="16" x14ac:dyDescent="0.2">
      <c r="A1736" s="16">
        <v>45402</v>
      </c>
      <c r="B1736" t="s">
        <v>45</v>
      </c>
      <c r="C1736" t="s">
        <v>34</v>
      </c>
      <c r="D1736" t="str">
        <f>D1735</f>
        <v>Agent</v>
      </c>
      <c r="E1736" t="s">
        <v>99</v>
      </c>
      <c r="F1736">
        <v>1</v>
      </c>
      <c r="G1736" s="15">
        <v>2710000</v>
      </c>
      <c r="H1736" s="14">
        <v>0.13075929750140999</v>
      </c>
      <c r="I1736" s="27">
        <f t="shared" si="27"/>
        <v>2355642.3037711792</v>
      </c>
      <c r="J1736">
        <v>4.2</v>
      </c>
      <c r="K1736" t="b">
        <v>1</v>
      </c>
    </row>
    <row r="1737" spans="1:11" ht="16" x14ac:dyDescent="0.2">
      <c r="A1737" s="16">
        <v>45403</v>
      </c>
      <c r="B1737" t="s">
        <v>33</v>
      </c>
      <c r="C1737" t="s">
        <v>34</v>
      </c>
      <c r="D1737" t="s">
        <v>20</v>
      </c>
      <c r="E1737" t="s">
        <v>7640</v>
      </c>
      <c r="F1737">
        <v>1</v>
      </c>
      <c r="G1737" s="15">
        <v>2710000</v>
      </c>
      <c r="H1737" s="14">
        <v>0.13075929750140999</v>
      </c>
      <c r="I1737" s="27">
        <f t="shared" si="27"/>
        <v>2355642.3037711792</v>
      </c>
      <c r="J1737">
        <v>4.2</v>
      </c>
      <c r="K1737" t="b">
        <v>0</v>
      </c>
    </row>
    <row r="1738" spans="1:11" ht="16" x14ac:dyDescent="0.2">
      <c r="A1738" s="16">
        <v>45403</v>
      </c>
      <c r="B1738" t="s">
        <v>45</v>
      </c>
      <c r="C1738" t="s">
        <v>34</v>
      </c>
      <c r="D1738" t="s">
        <v>20</v>
      </c>
      <c r="E1738" t="s">
        <v>7638</v>
      </c>
      <c r="F1738">
        <v>2</v>
      </c>
      <c r="G1738" s="15">
        <v>2710000</v>
      </c>
      <c r="H1738" s="14">
        <v>0.13075929750140999</v>
      </c>
      <c r="I1738" s="27">
        <f t="shared" si="27"/>
        <v>2355642.3037711792</v>
      </c>
      <c r="J1738">
        <v>4.0999999999999996</v>
      </c>
      <c r="K1738" t="b">
        <v>1</v>
      </c>
    </row>
    <row r="1739" spans="1:11" ht="16" x14ac:dyDescent="0.2">
      <c r="A1739" s="16">
        <v>45403</v>
      </c>
      <c r="B1739" t="s">
        <v>45</v>
      </c>
      <c r="C1739" t="s">
        <v>19</v>
      </c>
      <c r="D1739" t="s">
        <v>50</v>
      </c>
      <c r="E1739" t="s">
        <v>7644</v>
      </c>
      <c r="F1739">
        <v>3</v>
      </c>
      <c r="G1739" s="15">
        <v>2710000</v>
      </c>
      <c r="H1739" s="14">
        <v>0.13075929750140999</v>
      </c>
      <c r="I1739" s="27">
        <f t="shared" si="27"/>
        <v>2355642.3037711792</v>
      </c>
      <c r="J1739">
        <v>4</v>
      </c>
      <c r="K1739" t="b">
        <v>1</v>
      </c>
    </row>
    <row r="1740" spans="1:11" ht="16" x14ac:dyDescent="0.2">
      <c r="A1740" s="16">
        <v>45403</v>
      </c>
      <c r="B1740" t="s">
        <v>18</v>
      </c>
      <c r="C1740" t="s">
        <v>34</v>
      </c>
      <c r="D1740" t="s">
        <v>20</v>
      </c>
      <c r="E1740" t="s">
        <v>7642</v>
      </c>
      <c r="F1740">
        <v>2</v>
      </c>
      <c r="G1740" s="15">
        <v>2710000</v>
      </c>
      <c r="H1740" s="14">
        <v>0.13075929750140999</v>
      </c>
      <c r="I1740" s="27">
        <f t="shared" si="27"/>
        <v>2355642.3037711792</v>
      </c>
      <c r="J1740">
        <v>4.4000000000000004</v>
      </c>
      <c r="K1740" t="b">
        <v>0</v>
      </c>
    </row>
    <row r="1741" spans="1:11" ht="16" x14ac:dyDescent="0.2">
      <c r="A1741" s="16">
        <v>45404</v>
      </c>
      <c r="B1741" t="s">
        <v>45</v>
      </c>
      <c r="C1741" t="s">
        <v>45</v>
      </c>
      <c r="D1741" t="s">
        <v>35</v>
      </c>
      <c r="E1741" t="s">
        <v>7637</v>
      </c>
      <c r="F1741">
        <v>4</v>
      </c>
      <c r="G1741" s="15">
        <v>2710000</v>
      </c>
      <c r="H1741" s="14">
        <v>0.13075929750140999</v>
      </c>
      <c r="I1741" s="27">
        <f t="shared" si="27"/>
        <v>2355642.3037711792</v>
      </c>
      <c r="J1741">
        <v>4.8</v>
      </c>
      <c r="K1741" t="b">
        <v>0</v>
      </c>
    </row>
    <row r="1742" spans="1:11" ht="16" x14ac:dyDescent="0.2">
      <c r="A1742" s="16">
        <v>45404</v>
      </c>
      <c r="B1742" t="s">
        <v>29</v>
      </c>
      <c r="C1742" t="s">
        <v>34</v>
      </c>
      <c r="D1742" t="s">
        <v>20</v>
      </c>
      <c r="E1742" t="s">
        <v>57</v>
      </c>
      <c r="F1742">
        <v>2</v>
      </c>
      <c r="G1742" s="15">
        <v>2710000</v>
      </c>
      <c r="H1742" s="14">
        <v>0.13075929750140999</v>
      </c>
      <c r="I1742" s="27">
        <f t="shared" si="27"/>
        <v>2355642.3037711792</v>
      </c>
      <c r="J1742">
        <v>4.2</v>
      </c>
      <c r="K1742" t="b">
        <v>0</v>
      </c>
    </row>
    <row r="1743" spans="1:11" ht="16" x14ac:dyDescent="0.2">
      <c r="A1743" s="16">
        <v>45404</v>
      </c>
      <c r="B1743" t="s">
        <v>45</v>
      </c>
      <c r="C1743" t="s">
        <v>34</v>
      </c>
      <c r="D1743" t="s">
        <v>20</v>
      </c>
      <c r="E1743" t="s">
        <v>7641</v>
      </c>
      <c r="F1743">
        <v>2</v>
      </c>
      <c r="G1743" s="15">
        <v>2710000</v>
      </c>
      <c r="H1743" s="14">
        <v>0.13075929750140999</v>
      </c>
      <c r="I1743" s="27">
        <f t="shared" si="27"/>
        <v>2355642.3037711792</v>
      </c>
      <c r="J1743">
        <v>4</v>
      </c>
      <c r="K1743" t="b">
        <v>1</v>
      </c>
    </row>
    <row r="1744" spans="1:11" ht="16" x14ac:dyDescent="0.2">
      <c r="A1744" s="16">
        <v>45404</v>
      </c>
      <c r="B1744" t="s">
        <v>45</v>
      </c>
      <c r="C1744" t="s">
        <v>34</v>
      </c>
      <c r="D1744" t="s">
        <v>20</v>
      </c>
      <c r="E1744" t="s">
        <v>7637</v>
      </c>
      <c r="F1744">
        <v>1</v>
      </c>
      <c r="G1744" s="15">
        <v>2710000</v>
      </c>
      <c r="H1744" s="14">
        <v>0.13075929750140999</v>
      </c>
      <c r="I1744" s="27">
        <f t="shared" si="27"/>
        <v>2355642.3037711792</v>
      </c>
      <c r="J1744">
        <v>4.7</v>
      </c>
      <c r="K1744" t="b">
        <v>1</v>
      </c>
    </row>
    <row r="1745" spans="1:11" ht="16" x14ac:dyDescent="0.2">
      <c r="A1745" s="16">
        <v>45404</v>
      </c>
      <c r="B1745" t="s">
        <v>29</v>
      </c>
      <c r="C1745" t="s">
        <v>34</v>
      </c>
      <c r="D1745" t="s">
        <v>20</v>
      </c>
      <c r="E1745" t="str">
        <f>E1744</f>
        <v>Đà Nẵng</v>
      </c>
      <c r="F1745">
        <v>2</v>
      </c>
      <c r="G1745" s="15">
        <v>2710000</v>
      </c>
      <c r="H1745" s="14">
        <v>0.13075929750140999</v>
      </c>
      <c r="I1745" s="27">
        <f t="shared" si="27"/>
        <v>2355642.3037711792</v>
      </c>
      <c r="J1745">
        <v>4.3</v>
      </c>
      <c r="K1745" t="b">
        <v>1</v>
      </c>
    </row>
    <row r="1746" spans="1:11" ht="16" x14ac:dyDescent="0.2">
      <c r="A1746" s="16">
        <v>45405</v>
      </c>
      <c r="B1746" t="str">
        <f>B1745</f>
        <v>Corporate</v>
      </c>
      <c r="C1746" t="s">
        <v>19</v>
      </c>
      <c r="D1746" t="s">
        <v>20</v>
      </c>
      <c r="E1746" t="s">
        <v>57</v>
      </c>
      <c r="F1746">
        <v>1</v>
      </c>
      <c r="G1746" s="15">
        <v>2710000</v>
      </c>
      <c r="H1746" s="14">
        <v>0.13075929750140999</v>
      </c>
      <c r="I1746" s="27">
        <f t="shared" si="27"/>
        <v>2355642.3037711792</v>
      </c>
      <c r="J1746">
        <v>3.6</v>
      </c>
      <c r="K1746" t="b">
        <v>1</v>
      </c>
    </row>
    <row r="1747" spans="1:11" ht="16" x14ac:dyDescent="0.2">
      <c r="A1747" s="16">
        <v>45405</v>
      </c>
      <c r="B1747" t="str">
        <f>B1746</f>
        <v>Corporate</v>
      </c>
      <c r="C1747" t="s">
        <v>34</v>
      </c>
      <c r="D1747" t="s">
        <v>35</v>
      </c>
      <c r="E1747" t="s">
        <v>7638</v>
      </c>
      <c r="F1747">
        <v>4</v>
      </c>
      <c r="G1747" s="15">
        <v>2710000</v>
      </c>
      <c r="H1747" s="14">
        <v>0.13075929750140999</v>
      </c>
      <c r="I1747" s="27">
        <f t="shared" si="27"/>
        <v>2355642.3037711792</v>
      </c>
      <c r="J1747">
        <v>3.9</v>
      </c>
      <c r="K1747" t="b">
        <v>1</v>
      </c>
    </row>
    <row r="1748" spans="1:11" ht="16" x14ac:dyDescent="0.2">
      <c r="A1748" s="16">
        <v>45405</v>
      </c>
      <c r="B1748" t="s">
        <v>18</v>
      </c>
      <c r="C1748" t="s">
        <v>45</v>
      </c>
      <c r="D1748" t="s">
        <v>20</v>
      </c>
      <c r="E1748" t="s">
        <v>7643</v>
      </c>
      <c r="F1748">
        <v>2</v>
      </c>
      <c r="G1748" s="15">
        <v>2710000</v>
      </c>
      <c r="H1748" s="14">
        <v>0.13075929750140999</v>
      </c>
      <c r="I1748" s="27">
        <f t="shared" si="27"/>
        <v>2355642.3037711792</v>
      </c>
      <c r="J1748">
        <v>4.7</v>
      </c>
      <c r="K1748" t="b">
        <v>0</v>
      </c>
    </row>
    <row r="1749" spans="1:11" ht="16" x14ac:dyDescent="0.2">
      <c r="A1749" s="16">
        <v>45405</v>
      </c>
      <c r="B1749" t="s">
        <v>33</v>
      </c>
      <c r="C1749" t="s">
        <v>19</v>
      </c>
      <c r="D1749" t="s">
        <v>50</v>
      </c>
      <c r="E1749" t="s">
        <v>7642</v>
      </c>
      <c r="F1749">
        <v>1</v>
      </c>
      <c r="G1749" s="15">
        <v>2710000</v>
      </c>
      <c r="H1749" s="14">
        <v>0.13075929750140999</v>
      </c>
      <c r="I1749" s="27">
        <f t="shared" si="27"/>
        <v>2355642.3037711792</v>
      </c>
      <c r="J1749">
        <v>3.9</v>
      </c>
      <c r="K1749" t="b">
        <v>1</v>
      </c>
    </row>
    <row r="1750" spans="1:11" ht="16" x14ac:dyDescent="0.2">
      <c r="A1750" s="16">
        <v>45406</v>
      </c>
      <c r="B1750" t="s">
        <v>33</v>
      </c>
      <c r="C1750" t="s">
        <v>34</v>
      </c>
      <c r="D1750" t="s">
        <v>20</v>
      </c>
      <c r="E1750" t="s">
        <v>7638</v>
      </c>
      <c r="F1750">
        <v>1</v>
      </c>
      <c r="G1750" s="15">
        <v>2710000</v>
      </c>
      <c r="H1750" s="14">
        <v>0.13075929750140999</v>
      </c>
      <c r="I1750" s="27">
        <f t="shared" si="27"/>
        <v>2355642.3037711792</v>
      </c>
      <c r="J1750">
        <v>4.5999999999999996</v>
      </c>
      <c r="K1750" t="b">
        <v>0</v>
      </c>
    </row>
    <row r="1751" spans="1:11" ht="16" x14ac:dyDescent="0.2">
      <c r="A1751" s="16">
        <v>45406</v>
      </c>
      <c r="B1751" t="s">
        <v>29</v>
      </c>
      <c r="C1751" t="s">
        <v>25</v>
      </c>
      <c r="D1751" t="s">
        <v>20</v>
      </c>
      <c r="E1751" t="s">
        <v>7637</v>
      </c>
      <c r="F1751">
        <v>3</v>
      </c>
      <c r="G1751" s="15">
        <v>2710000</v>
      </c>
      <c r="H1751" s="14">
        <v>0.13075929750140999</v>
      </c>
      <c r="I1751" s="27">
        <f t="shared" si="27"/>
        <v>2355642.3037711792</v>
      </c>
      <c r="J1751">
        <v>4.2</v>
      </c>
      <c r="K1751" t="b">
        <v>1</v>
      </c>
    </row>
    <row r="1752" spans="1:11" ht="16" x14ac:dyDescent="0.2">
      <c r="A1752" s="16">
        <v>45406</v>
      </c>
      <c r="B1752" t="s">
        <v>45</v>
      </c>
      <c r="C1752" t="s">
        <v>39</v>
      </c>
      <c r="D1752" t="s">
        <v>20</v>
      </c>
      <c r="E1752" t="s">
        <v>7637</v>
      </c>
      <c r="F1752">
        <v>3</v>
      </c>
      <c r="G1752" s="15">
        <v>2710000</v>
      </c>
      <c r="H1752" s="14">
        <v>0.13075929750140999</v>
      </c>
      <c r="I1752" s="27">
        <f t="shared" si="27"/>
        <v>2355642.3037711792</v>
      </c>
      <c r="J1752">
        <v>3.9</v>
      </c>
      <c r="K1752" t="b">
        <v>1</v>
      </c>
    </row>
    <row r="1753" spans="1:11" ht="16" x14ac:dyDescent="0.2">
      <c r="A1753" s="16">
        <v>45406</v>
      </c>
      <c r="B1753" t="s">
        <v>33</v>
      </c>
      <c r="C1753" t="s">
        <v>45</v>
      </c>
      <c r="D1753" t="s">
        <v>20</v>
      </c>
      <c r="E1753" t="s">
        <v>7644</v>
      </c>
      <c r="F1753">
        <v>3</v>
      </c>
      <c r="G1753" s="15">
        <v>2710000</v>
      </c>
      <c r="H1753" s="14">
        <v>0.13075929750140999</v>
      </c>
      <c r="I1753" s="27">
        <f t="shared" si="27"/>
        <v>2355642.3037711792</v>
      </c>
      <c r="J1753">
        <v>4.8</v>
      </c>
      <c r="K1753" t="b">
        <v>1</v>
      </c>
    </row>
    <row r="1754" spans="1:11" ht="16" x14ac:dyDescent="0.2">
      <c r="A1754" s="16">
        <v>45407</v>
      </c>
      <c r="B1754" t="s">
        <v>18</v>
      </c>
      <c r="C1754" t="s">
        <v>39</v>
      </c>
      <c r="D1754" t="s">
        <v>50</v>
      </c>
      <c r="E1754" t="s">
        <v>7642</v>
      </c>
      <c r="F1754">
        <v>1</v>
      </c>
      <c r="G1754" s="15">
        <v>2710000</v>
      </c>
      <c r="H1754" s="14">
        <v>0.13075929750140999</v>
      </c>
      <c r="I1754" s="27">
        <f t="shared" si="27"/>
        <v>2355642.3037711792</v>
      </c>
      <c r="J1754">
        <v>4.8</v>
      </c>
      <c r="K1754" t="b">
        <v>0</v>
      </c>
    </row>
    <row r="1755" spans="1:11" ht="16" x14ac:dyDescent="0.2">
      <c r="A1755" s="16">
        <v>45407</v>
      </c>
      <c r="B1755" t="s">
        <v>45</v>
      </c>
      <c r="C1755" t="s">
        <v>34</v>
      </c>
      <c r="D1755" t="s">
        <v>35</v>
      </c>
      <c r="E1755" t="s">
        <v>7644</v>
      </c>
      <c r="F1755">
        <v>1</v>
      </c>
      <c r="G1755" s="15">
        <v>2710000</v>
      </c>
      <c r="H1755" s="14">
        <v>0.13075929750140999</v>
      </c>
      <c r="I1755" s="27">
        <f t="shared" si="27"/>
        <v>2355642.3037711792</v>
      </c>
      <c r="J1755">
        <v>5</v>
      </c>
      <c r="K1755" t="b">
        <v>0</v>
      </c>
    </row>
    <row r="1756" spans="1:11" ht="16" x14ac:dyDescent="0.2">
      <c r="A1756" s="16">
        <v>45407</v>
      </c>
      <c r="B1756" t="s">
        <v>18</v>
      </c>
      <c r="C1756" t="s">
        <v>39</v>
      </c>
      <c r="D1756" t="s">
        <v>20</v>
      </c>
      <c r="E1756" t="s">
        <v>7643</v>
      </c>
      <c r="F1756">
        <v>3</v>
      </c>
      <c r="G1756" s="15">
        <v>2710000</v>
      </c>
      <c r="H1756" s="14">
        <v>0.13075929750140999</v>
      </c>
      <c r="I1756" s="27">
        <f t="shared" si="27"/>
        <v>2355642.3037711792</v>
      </c>
      <c r="J1756">
        <v>3.9</v>
      </c>
      <c r="K1756" t="b">
        <v>0</v>
      </c>
    </row>
    <row r="1757" spans="1:11" ht="16" x14ac:dyDescent="0.2">
      <c r="A1757" s="16">
        <v>45407</v>
      </c>
      <c r="B1757" t="s">
        <v>18</v>
      </c>
      <c r="C1757" t="s">
        <v>25</v>
      </c>
      <c r="D1757" t="s">
        <v>20</v>
      </c>
      <c r="E1757" t="s">
        <v>7639</v>
      </c>
      <c r="F1757">
        <v>1</v>
      </c>
      <c r="G1757" s="15">
        <v>2710000</v>
      </c>
      <c r="H1757" s="14">
        <v>0.13075929750140999</v>
      </c>
      <c r="I1757" s="27">
        <f t="shared" si="27"/>
        <v>2355642.3037711792</v>
      </c>
      <c r="J1757">
        <v>3.5</v>
      </c>
      <c r="K1757" t="b">
        <v>0</v>
      </c>
    </row>
    <row r="1758" spans="1:11" ht="16" x14ac:dyDescent="0.2">
      <c r="A1758" s="16">
        <v>45407</v>
      </c>
      <c r="B1758" t="s">
        <v>33</v>
      </c>
      <c r="C1758" t="s">
        <v>19</v>
      </c>
      <c r="D1758" t="s">
        <v>35</v>
      </c>
      <c r="E1758" t="s">
        <v>7639</v>
      </c>
      <c r="F1758">
        <v>1</v>
      </c>
      <c r="G1758" s="15">
        <v>2710000</v>
      </c>
      <c r="H1758" s="14">
        <v>0.13075929750140999</v>
      </c>
      <c r="I1758" s="27">
        <f t="shared" si="27"/>
        <v>2355642.3037711792</v>
      </c>
      <c r="J1758">
        <v>4.8</v>
      </c>
      <c r="K1758" t="b">
        <v>0</v>
      </c>
    </row>
    <row r="1759" spans="1:11" ht="16" x14ac:dyDescent="0.2">
      <c r="A1759" s="16">
        <v>45408</v>
      </c>
      <c r="B1759" t="s">
        <v>18</v>
      </c>
      <c r="C1759" t="s">
        <v>39</v>
      </c>
      <c r="D1759" t="s">
        <v>20</v>
      </c>
      <c r="E1759" t="s">
        <v>57</v>
      </c>
      <c r="F1759">
        <v>2</v>
      </c>
      <c r="G1759" s="15">
        <v>2710000</v>
      </c>
      <c r="H1759" s="14">
        <v>0.13075929750140999</v>
      </c>
      <c r="I1759" s="27">
        <f t="shared" si="27"/>
        <v>2355642.3037711792</v>
      </c>
      <c r="J1759">
        <v>4.8</v>
      </c>
      <c r="K1759" t="b">
        <v>1</v>
      </c>
    </row>
    <row r="1760" spans="1:11" ht="16" x14ac:dyDescent="0.2">
      <c r="A1760" s="16">
        <v>45408</v>
      </c>
      <c r="B1760" t="s">
        <v>33</v>
      </c>
      <c r="C1760" t="s">
        <v>34</v>
      </c>
      <c r="D1760" t="s">
        <v>35</v>
      </c>
      <c r="E1760" t="s">
        <v>7643</v>
      </c>
      <c r="F1760">
        <v>1</v>
      </c>
      <c r="G1760" s="15">
        <v>2710000</v>
      </c>
      <c r="H1760" s="14">
        <v>0.13075929750140999</v>
      </c>
      <c r="I1760" s="27">
        <f t="shared" si="27"/>
        <v>2355642.3037711792</v>
      </c>
      <c r="J1760">
        <v>3.3</v>
      </c>
      <c r="K1760" t="b">
        <v>1</v>
      </c>
    </row>
    <row r="1761" spans="1:11" ht="16" x14ac:dyDescent="0.2">
      <c r="A1761" s="16">
        <v>45408</v>
      </c>
      <c r="B1761" t="s">
        <v>33</v>
      </c>
      <c r="C1761" t="s">
        <v>34</v>
      </c>
      <c r="D1761" t="s">
        <v>50</v>
      </c>
      <c r="E1761" t="s">
        <v>7641</v>
      </c>
      <c r="F1761">
        <v>2</v>
      </c>
      <c r="G1761" s="15">
        <v>2710000</v>
      </c>
      <c r="H1761" s="14">
        <v>0.13075929750140999</v>
      </c>
      <c r="I1761" s="27">
        <f t="shared" si="27"/>
        <v>2355642.3037711792</v>
      </c>
      <c r="J1761">
        <v>4.0999999999999996</v>
      </c>
      <c r="K1761" t="b">
        <v>0</v>
      </c>
    </row>
    <row r="1762" spans="1:11" ht="16" x14ac:dyDescent="0.2">
      <c r="A1762" s="16">
        <v>45408</v>
      </c>
      <c r="B1762" t="s">
        <v>33</v>
      </c>
      <c r="C1762" t="s">
        <v>45</v>
      </c>
      <c r="D1762" t="s">
        <v>35</v>
      </c>
      <c r="E1762" t="s">
        <v>7639</v>
      </c>
      <c r="F1762">
        <v>2</v>
      </c>
      <c r="G1762" s="15">
        <v>2710000</v>
      </c>
      <c r="H1762" s="14">
        <v>0.13075929750140999</v>
      </c>
      <c r="I1762" s="27">
        <f t="shared" si="27"/>
        <v>2355642.3037711792</v>
      </c>
      <c r="J1762">
        <v>3.3</v>
      </c>
      <c r="K1762" t="b">
        <v>0</v>
      </c>
    </row>
    <row r="1763" spans="1:11" ht="16" x14ac:dyDescent="0.2">
      <c r="A1763" s="16">
        <v>45408</v>
      </c>
      <c r="B1763" t="s">
        <v>18</v>
      </c>
      <c r="C1763" t="s">
        <v>25</v>
      </c>
      <c r="D1763" t="s">
        <v>50</v>
      </c>
      <c r="E1763" t="s">
        <v>7643</v>
      </c>
      <c r="F1763">
        <v>1</v>
      </c>
      <c r="G1763" s="15">
        <v>2710000</v>
      </c>
      <c r="H1763" s="14">
        <v>0.13075929750140999</v>
      </c>
      <c r="I1763" s="27">
        <f t="shared" si="27"/>
        <v>2355642.3037711792</v>
      </c>
      <c r="J1763">
        <v>4.5</v>
      </c>
      <c r="K1763" t="b">
        <v>1</v>
      </c>
    </row>
    <row r="1764" spans="1:11" ht="16" x14ac:dyDescent="0.2">
      <c r="A1764" s="16">
        <v>45409</v>
      </c>
      <c r="B1764" t="s">
        <v>18</v>
      </c>
      <c r="C1764" t="s">
        <v>34</v>
      </c>
      <c r="D1764" t="s">
        <v>20</v>
      </c>
      <c r="E1764" t="s">
        <v>7638</v>
      </c>
      <c r="F1764">
        <v>2</v>
      </c>
      <c r="G1764" s="15">
        <v>2710000</v>
      </c>
      <c r="H1764" s="14">
        <v>0.13075929750140999</v>
      </c>
      <c r="I1764" s="27">
        <f t="shared" si="27"/>
        <v>2355642.3037711792</v>
      </c>
      <c r="J1764">
        <v>3.8</v>
      </c>
      <c r="K1764" t="b">
        <v>1</v>
      </c>
    </row>
    <row r="1765" spans="1:11" ht="16" x14ac:dyDescent="0.2">
      <c r="A1765" s="16">
        <v>45409</v>
      </c>
      <c r="B1765" t="s">
        <v>29</v>
      </c>
      <c r="C1765" t="s">
        <v>39</v>
      </c>
      <c r="D1765" t="s">
        <v>20</v>
      </c>
      <c r="E1765" t="str">
        <f>E1764</f>
        <v>Đà Lạt</v>
      </c>
      <c r="F1765">
        <v>1</v>
      </c>
      <c r="G1765" s="15">
        <v>2710000</v>
      </c>
      <c r="H1765" s="14">
        <v>0.13075929750140999</v>
      </c>
      <c r="I1765" s="27">
        <f t="shared" si="27"/>
        <v>2355642.3037711792</v>
      </c>
      <c r="J1765">
        <v>3.7</v>
      </c>
      <c r="K1765" t="b">
        <v>0</v>
      </c>
    </row>
    <row r="1766" spans="1:11" ht="16" x14ac:dyDescent="0.2">
      <c r="A1766" s="16">
        <v>45409</v>
      </c>
      <c r="B1766" t="s">
        <v>33</v>
      </c>
      <c r="C1766" t="s">
        <v>34</v>
      </c>
      <c r="D1766" t="s">
        <v>20</v>
      </c>
      <c r="E1766" t="s">
        <v>7640</v>
      </c>
      <c r="F1766">
        <v>1</v>
      </c>
      <c r="G1766" s="15">
        <v>2710000</v>
      </c>
      <c r="H1766" s="14">
        <v>0.13075929750140999</v>
      </c>
      <c r="I1766" s="27">
        <f t="shared" si="27"/>
        <v>2355642.3037711792</v>
      </c>
      <c r="J1766">
        <v>3.9</v>
      </c>
      <c r="K1766" t="b">
        <v>1</v>
      </c>
    </row>
    <row r="1767" spans="1:11" ht="16" x14ac:dyDescent="0.2">
      <c r="A1767" s="16">
        <v>45409</v>
      </c>
      <c r="B1767" t="s">
        <v>18</v>
      </c>
      <c r="C1767" t="s">
        <v>34</v>
      </c>
      <c r="D1767" t="s">
        <v>20</v>
      </c>
      <c r="E1767" t="s">
        <v>7642</v>
      </c>
      <c r="F1767">
        <v>2</v>
      </c>
      <c r="G1767" s="15">
        <v>2710000</v>
      </c>
      <c r="H1767" s="14">
        <v>0.13075929750140999</v>
      </c>
      <c r="I1767" s="27">
        <f t="shared" si="27"/>
        <v>2355642.3037711792</v>
      </c>
      <c r="J1767">
        <v>4.0999999999999996</v>
      </c>
      <c r="K1767" t="b">
        <v>0</v>
      </c>
    </row>
    <row r="1768" spans="1:11" ht="16" x14ac:dyDescent="0.2">
      <c r="A1768" s="16">
        <v>45409</v>
      </c>
      <c r="B1768" t="s">
        <v>29</v>
      </c>
      <c r="C1768" t="s">
        <v>34</v>
      </c>
      <c r="D1768" t="s">
        <v>20</v>
      </c>
      <c r="E1768" t="s">
        <v>7638</v>
      </c>
      <c r="F1768">
        <v>2</v>
      </c>
      <c r="G1768" s="15">
        <v>2710000</v>
      </c>
      <c r="H1768" s="14">
        <v>0.13075929750140999</v>
      </c>
      <c r="I1768" s="27">
        <f t="shared" si="27"/>
        <v>2355642.3037711792</v>
      </c>
      <c r="J1768">
        <v>3.6</v>
      </c>
      <c r="K1768" t="b">
        <v>1</v>
      </c>
    </row>
    <row r="1769" spans="1:11" ht="16" x14ac:dyDescent="0.2">
      <c r="A1769" s="16">
        <v>45410</v>
      </c>
      <c r="B1769" t="s">
        <v>45</v>
      </c>
      <c r="C1769" t="s">
        <v>45</v>
      </c>
      <c r="D1769" t="s">
        <v>35</v>
      </c>
      <c r="E1769" t="s">
        <v>7640</v>
      </c>
      <c r="F1769">
        <v>1</v>
      </c>
      <c r="G1769" s="15">
        <v>2710000</v>
      </c>
      <c r="H1769" s="14">
        <v>0.13075929750140999</v>
      </c>
      <c r="I1769" s="27">
        <f t="shared" si="27"/>
        <v>2355642.3037711792</v>
      </c>
      <c r="J1769">
        <v>4.3</v>
      </c>
      <c r="K1769" t="b">
        <v>1</v>
      </c>
    </row>
    <row r="1770" spans="1:11" ht="16" x14ac:dyDescent="0.2">
      <c r="A1770" s="16">
        <v>45410</v>
      </c>
      <c r="B1770" t="s">
        <v>45</v>
      </c>
      <c r="C1770" t="s">
        <v>39</v>
      </c>
      <c r="D1770" t="s">
        <v>50</v>
      </c>
      <c r="E1770" t="s">
        <v>99</v>
      </c>
      <c r="F1770">
        <v>3</v>
      </c>
      <c r="G1770" s="15">
        <v>2710000</v>
      </c>
      <c r="H1770" s="14">
        <v>0.13075929750140999</v>
      </c>
      <c r="I1770" s="27">
        <f t="shared" si="27"/>
        <v>2355642.3037711792</v>
      </c>
      <c r="J1770">
        <v>4.3</v>
      </c>
      <c r="K1770" t="b">
        <v>0</v>
      </c>
    </row>
    <row r="1771" spans="1:11" ht="16" x14ac:dyDescent="0.2">
      <c r="A1771" s="16">
        <v>45410</v>
      </c>
      <c r="B1771" t="s">
        <v>33</v>
      </c>
      <c r="C1771" t="s">
        <v>45</v>
      </c>
      <c r="D1771" t="s">
        <v>20</v>
      </c>
      <c r="E1771" t="s">
        <v>99</v>
      </c>
      <c r="F1771">
        <v>2</v>
      </c>
      <c r="G1771" s="15">
        <v>2710000</v>
      </c>
      <c r="H1771" s="14">
        <v>0.13075929750140999</v>
      </c>
      <c r="I1771" s="27">
        <f t="shared" si="27"/>
        <v>2355642.3037711792</v>
      </c>
      <c r="J1771">
        <v>4.7</v>
      </c>
      <c r="K1771" t="b">
        <v>0</v>
      </c>
    </row>
    <row r="1772" spans="1:11" ht="16" x14ac:dyDescent="0.2">
      <c r="A1772" s="16">
        <v>45410</v>
      </c>
      <c r="B1772" t="s">
        <v>45</v>
      </c>
      <c r="C1772" t="s">
        <v>34</v>
      </c>
      <c r="D1772" t="s">
        <v>20</v>
      </c>
      <c r="E1772" t="s">
        <v>7642</v>
      </c>
      <c r="F1772">
        <v>5</v>
      </c>
      <c r="G1772" s="15">
        <v>2710000</v>
      </c>
      <c r="H1772" s="14">
        <v>0.13075929750140999</v>
      </c>
      <c r="I1772" s="27">
        <f t="shared" si="27"/>
        <v>2355642.3037711792</v>
      </c>
      <c r="J1772">
        <v>5</v>
      </c>
      <c r="K1772" t="b">
        <v>1</v>
      </c>
    </row>
    <row r="1773" spans="1:11" ht="16" x14ac:dyDescent="0.2">
      <c r="A1773" s="16">
        <v>45410</v>
      </c>
      <c r="B1773" t="s">
        <v>18</v>
      </c>
      <c r="C1773" t="s">
        <v>34</v>
      </c>
      <c r="D1773" t="s">
        <v>20</v>
      </c>
      <c r="E1773" t="s">
        <v>7640</v>
      </c>
      <c r="F1773">
        <v>2</v>
      </c>
      <c r="G1773" s="15">
        <v>2710000</v>
      </c>
      <c r="H1773" s="14">
        <v>0.13075929750140999</v>
      </c>
      <c r="I1773" s="27">
        <f t="shared" si="27"/>
        <v>2355642.3037711792</v>
      </c>
      <c r="J1773">
        <v>3.9</v>
      </c>
      <c r="K1773" t="b">
        <v>1</v>
      </c>
    </row>
    <row r="1774" spans="1:11" ht="16" x14ac:dyDescent="0.2">
      <c r="A1774" s="16">
        <v>45411</v>
      </c>
      <c r="B1774" t="s">
        <v>33</v>
      </c>
      <c r="C1774" t="s">
        <v>34</v>
      </c>
      <c r="D1774" t="str">
        <f>D1773</f>
        <v>Website</v>
      </c>
      <c r="E1774" t="s">
        <v>7639</v>
      </c>
      <c r="F1774">
        <v>3</v>
      </c>
      <c r="G1774" s="15">
        <v>2710000</v>
      </c>
      <c r="H1774" s="14">
        <v>0.13075929750140999</v>
      </c>
      <c r="I1774" s="27">
        <f t="shared" si="27"/>
        <v>2355642.3037711792</v>
      </c>
      <c r="J1774">
        <v>3.8</v>
      </c>
      <c r="K1774" t="b">
        <v>0</v>
      </c>
    </row>
    <row r="1775" spans="1:11" ht="16" x14ac:dyDescent="0.2">
      <c r="A1775" s="16">
        <v>45411</v>
      </c>
      <c r="B1775" t="s">
        <v>29</v>
      </c>
      <c r="C1775" t="s">
        <v>68</v>
      </c>
      <c r="D1775" t="s">
        <v>20</v>
      </c>
      <c r="E1775" t="s">
        <v>7644</v>
      </c>
      <c r="F1775">
        <v>3</v>
      </c>
      <c r="G1775" s="15">
        <v>2710000</v>
      </c>
      <c r="H1775" s="14">
        <v>0.13075929750140999</v>
      </c>
      <c r="I1775" s="27">
        <f t="shared" si="27"/>
        <v>2355642.3037711792</v>
      </c>
      <c r="J1775">
        <v>4.2</v>
      </c>
      <c r="K1775" t="b">
        <v>1</v>
      </c>
    </row>
    <row r="1776" spans="1:11" ht="16" x14ac:dyDescent="0.2">
      <c r="A1776" s="16">
        <v>45411</v>
      </c>
      <c r="B1776" t="s">
        <v>29</v>
      </c>
      <c r="C1776" t="s">
        <v>19</v>
      </c>
      <c r="D1776" t="s">
        <v>20</v>
      </c>
      <c r="E1776" t="s">
        <v>7639</v>
      </c>
      <c r="F1776">
        <v>1</v>
      </c>
      <c r="G1776" s="15">
        <v>2710000</v>
      </c>
      <c r="H1776" s="14">
        <v>0.13075929750140999</v>
      </c>
      <c r="I1776" s="27">
        <f t="shared" si="27"/>
        <v>2355642.3037711792</v>
      </c>
      <c r="J1776">
        <v>4.7</v>
      </c>
      <c r="K1776" t="b">
        <v>0</v>
      </c>
    </row>
    <row r="1777" spans="1:11" ht="16" x14ac:dyDescent="0.2">
      <c r="A1777" s="16">
        <v>45412</v>
      </c>
      <c r="B1777" t="s">
        <v>33</v>
      </c>
      <c r="C1777" t="s">
        <v>25</v>
      </c>
      <c r="D1777" t="s">
        <v>35</v>
      </c>
      <c r="E1777" t="s">
        <v>7643</v>
      </c>
      <c r="F1777">
        <v>1</v>
      </c>
      <c r="G1777" s="15">
        <v>2710000</v>
      </c>
      <c r="H1777" s="14">
        <v>0.13075929750140999</v>
      </c>
      <c r="I1777" s="27">
        <f t="shared" si="27"/>
        <v>2355642.3037711792</v>
      </c>
      <c r="J1777">
        <v>4.0999999999999996</v>
      </c>
      <c r="K1777" t="b">
        <v>0</v>
      </c>
    </row>
    <row r="1778" spans="1:11" ht="16" x14ac:dyDescent="0.2">
      <c r="A1778" s="16">
        <v>45412</v>
      </c>
      <c r="B1778" t="s">
        <v>18</v>
      </c>
      <c r="C1778" t="s">
        <v>25</v>
      </c>
      <c r="D1778" t="s">
        <v>20</v>
      </c>
      <c r="E1778" t="s">
        <v>7637</v>
      </c>
      <c r="F1778">
        <v>1</v>
      </c>
      <c r="G1778" s="15">
        <v>2710000</v>
      </c>
      <c r="H1778" s="14">
        <v>0.13075929750140999</v>
      </c>
      <c r="I1778" s="27">
        <f t="shared" si="27"/>
        <v>2355642.3037711792</v>
      </c>
      <c r="J1778">
        <v>4.0999999999999996</v>
      </c>
      <c r="K1778" t="b">
        <v>0</v>
      </c>
    </row>
    <row r="1779" spans="1:11" ht="16" x14ac:dyDescent="0.2">
      <c r="A1779" s="16">
        <v>45412</v>
      </c>
      <c r="B1779" t="s">
        <v>33</v>
      </c>
      <c r="C1779" t="s">
        <v>68</v>
      </c>
      <c r="D1779" t="s">
        <v>20</v>
      </c>
      <c r="E1779" t="s">
        <v>7641</v>
      </c>
      <c r="F1779">
        <v>1</v>
      </c>
      <c r="G1779" s="15">
        <v>2710000</v>
      </c>
      <c r="H1779" s="14">
        <v>0.13075929750140999</v>
      </c>
      <c r="I1779" s="27">
        <f t="shared" si="27"/>
        <v>2355642.3037711792</v>
      </c>
      <c r="J1779">
        <v>4.2</v>
      </c>
      <c r="K1779" t="b">
        <v>0</v>
      </c>
    </row>
    <row r="1780" spans="1:11" ht="16" x14ac:dyDescent="0.2">
      <c r="A1780" s="16">
        <v>45412</v>
      </c>
      <c r="B1780" t="s">
        <v>18</v>
      </c>
      <c r="C1780" t="s">
        <v>19</v>
      </c>
      <c r="D1780" t="s">
        <v>20</v>
      </c>
      <c r="E1780" t="s">
        <v>7641</v>
      </c>
      <c r="F1780">
        <v>1</v>
      </c>
      <c r="G1780" s="15">
        <v>2710000</v>
      </c>
      <c r="H1780" s="14">
        <v>0.13075929750140999</v>
      </c>
      <c r="I1780" s="27">
        <f t="shared" si="27"/>
        <v>2355642.3037711792</v>
      </c>
      <c r="J1780">
        <v>3.7</v>
      </c>
      <c r="K1780" t="b">
        <v>0</v>
      </c>
    </row>
    <row r="1781" spans="1:11" ht="16" x14ac:dyDescent="0.2">
      <c r="A1781" s="16">
        <v>45412</v>
      </c>
      <c r="B1781" t="s">
        <v>18</v>
      </c>
      <c r="C1781" t="s">
        <v>34</v>
      </c>
      <c r="D1781" t="s">
        <v>20</v>
      </c>
      <c r="E1781" t="s">
        <v>7644</v>
      </c>
      <c r="F1781">
        <v>3</v>
      </c>
      <c r="G1781" s="15">
        <v>2710000</v>
      </c>
      <c r="H1781" s="14">
        <v>0.13075929750140999</v>
      </c>
      <c r="I1781" s="27">
        <f t="shared" si="27"/>
        <v>2355642.3037711792</v>
      </c>
      <c r="J1781">
        <v>4.7</v>
      </c>
      <c r="K1781" t="b">
        <v>1</v>
      </c>
    </row>
    <row r="1782" spans="1:11" ht="16" x14ac:dyDescent="0.2">
      <c r="A1782" s="16">
        <v>45413</v>
      </c>
      <c r="B1782" t="s">
        <v>45</v>
      </c>
      <c r="C1782" t="s">
        <v>25</v>
      </c>
      <c r="D1782" t="s">
        <v>20</v>
      </c>
      <c r="E1782" t="s">
        <v>7637</v>
      </c>
      <c r="F1782">
        <v>1</v>
      </c>
      <c r="G1782" s="15">
        <v>2710000</v>
      </c>
      <c r="H1782" s="14">
        <v>0.13075929750140999</v>
      </c>
      <c r="I1782" s="27">
        <f t="shared" si="27"/>
        <v>2355642.3037711792</v>
      </c>
      <c r="J1782">
        <v>4.5</v>
      </c>
      <c r="K1782" t="b">
        <v>0</v>
      </c>
    </row>
    <row r="1783" spans="1:11" ht="16" x14ac:dyDescent="0.2">
      <c r="A1783" s="16">
        <v>45413</v>
      </c>
      <c r="B1783" t="s">
        <v>33</v>
      </c>
      <c r="C1783" t="s">
        <v>39</v>
      </c>
      <c r="D1783" t="s">
        <v>20</v>
      </c>
      <c r="E1783" t="s">
        <v>7639</v>
      </c>
      <c r="F1783">
        <v>2</v>
      </c>
      <c r="G1783" s="15">
        <v>2710000</v>
      </c>
      <c r="H1783" s="14">
        <v>0.13075929750140999</v>
      </c>
      <c r="I1783" s="27">
        <f t="shared" si="27"/>
        <v>2355642.3037711792</v>
      </c>
      <c r="J1783">
        <v>4.4000000000000004</v>
      </c>
      <c r="K1783" t="b">
        <v>1</v>
      </c>
    </row>
    <row r="1784" spans="1:11" ht="16" x14ac:dyDescent="0.2">
      <c r="A1784" s="16">
        <v>45413</v>
      </c>
      <c r="B1784" t="s">
        <v>45</v>
      </c>
      <c r="C1784" t="s">
        <v>34</v>
      </c>
      <c r="D1784" t="s">
        <v>46</v>
      </c>
      <c r="E1784" t="s">
        <v>7644</v>
      </c>
      <c r="F1784">
        <v>3</v>
      </c>
      <c r="G1784" s="15">
        <v>2710000</v>
      </c>
      <c r="H1784" s="14">
        <v>0.13075929750140999</v>
      </c>
      <c r="I1784" s="27">
        <f t="shared" si="27"/>
        <v>2355642.3037711792</v>
      </c>
      <c r="J1784">
        <v>4.3</v>
      </c>
      <c r="K1784" t="b">
        <v>0</v>
      </c>
    </row>
    <row r="1785" spans="1:11" ht="16" x14ac:dyDescent="0.2">
      <c r="A1785" s="16">
        <v>45414</v>
      </c>
      <c r="B1785" t="s">
        <v>45</v>
      </c>
      <c r="C1785" t="s">
        <v>25</v>
      </c>
      <c r="D1785" t="s">
        <v>20</v>
      </c>
      <c r="E1785" t="s">
        <v>7643</v>
      </c>
      <c r="F1785">
        <v>1</v>
      </c>
      <c r="G1785" s="15">
        <v>2710000</v>
      </c>
      <c r="H1785" s="14">
        <v>0.13075929750140999</v>
      </c>
      <c r="I1785" s="27">
        <f t="shared" si="27"/>
        <v>2355642.3037711792</v>
      </c>
      <c r="J1785">
        <v>4.4000000000000004</v>
      </c>
      <c r="K1785" t="b">
        <v>0</v>
      </c>
    </row>
    <row r="1786" spans="1:11" ht="16" x14ac:dyDescent="0.2">
      <c r="A1786" s="16">
        <v>45414</v>
      </c>
      <c r="B1786" t="s">
        <v>18</v>
      </c>
      <c r="C1786" t="s">
        <v>39</v>
      </c>
      <c r="D1786" t="s">
        <v>20</v>
      </c>
      <c r="E1786" t="s">
        <v>7643</v>
      </c>
      <c r="F1786">
        <v>1</v>
      </c>
      <c r="G1786" s="15">
        <v>2710000</v>
      </c>
      <c r="H1786" s="14">
        <v>0.13075929750140999</v>
      </c>
      <c r="I1786" s="27">
        <f t="shared" si="27"/>
        <v>2355642.3037711792</v>
      </c>
      <c r="J1786">
        <v>4.7</v>
      </c>
      <c r="K1786" t="b">
        <v>0</v>
      </c>
    </row>
    <row r="1787" spans="1:11" ht="16" x14ac:dyDescent="0.2">
      <c r="A1787" s="16">
        <v>45414</v>
      </c>
      <c r="B1787" t="s">
        <v>18</v>
      </c>
      <c r="C1787" t="s">
        <v>68</v>
      </c>
      <c r="D1787" t="s">
        <v>35</v>
      </c>
      <c r="E1787" t="s">
        <v>7637</v>
      </c>
      <c r="F1787">
        <v>1</v>
      </c>
      <c r="G1787" s="15">
        <v>2710000</v>
      </c>
      <c r="H1787" s="14">
        <v>0.13075929750140999</v>
      </c>
      <c r="I1787" s="27">
        <f t="shared" si="27"/>
        <v>2355642.3037711792</v>
      </c>
      <c r="J1787">
        <v>4.2</v>
      </c>
      <c r="K1787" t="b">
        <v>1</v>
      </c>
    </row>
    <row r="1788" spans="1:11" ht="16" x14ac:dyDescent="0.2">
      <c r="A1788" s="16">
        <v>45415</v>
      </c>
      <c r="B1788" t="s">
        <v>29</v>
      </c>
      <c r="C1788" t="s">
        <v>34</v>
      </c>
      <c r="D1788" t="s">
        <v>35</v>
      </c>
      <c r="E1788" t="s">
        <v>7641</v>
      </c>
      <c r="F1788">
        <v>2</v>
      </c>
      <c r="G1788" s="15">
        <v>2710000</v>
      </c>
      <c r="H1788" s="14">
        <v>0.13075929750140999</v>
      </c>
      <c r="I1788" s="27">
        <f t="shared" si="27"/>
        <v>2355642.3037711792</v>
      </c>
      <c r="J1788">
        <v>4.8</v>
      </c>
      <c r="K1788" t="b">
        <v>0</v>
      </c>
    </row>
    <row r="1789" spans="1:11" ht="16" x14ac:dyDescent="0.2">
      <c r="A1789" s="16">
        <v>45415</v>
      </c>
      <c r="B1789" t="s">
        <v>33</v>
      </c>
      <c r="C1789" t="s">
        <v>68</v>
      </c>
      <c r="D1789" t="s">
        <v>20</v>
      </c>
      <c r="E1789" t="s">
        <v>7637</v>
      </c>
      <c r="F1789">
        <v>4</v>
      </c>
      <c r="G1789" s="15">
        <v>2710000</v>
      </c>
      <c r="H1789" s="14">
        <v>0.13075929750140999</v>
      </c>
      <c r="I1789" s="27">
        <f t="shared" si="27"/>
        <v>2355642.3037711792</v>
      </c>
      <c r="J1789">
        <v>4.5</v>
      </c>
      <c r="K1789" t="b">
        <v>0</v>
      </c>
    </row>
    <row r="1790" spans="1:11" ht="16" x14ac:dyDescent="0.2">
      <c r="A1790" s="16">
        <v>45416</v>
      </c>
      <c r="B1790" t="s">
        <v>29</v>
      </c>
      <c r="C1790" t="s">
        <v>34</v>
      </c>
      <c r="D1790" t="s">
        <v>20</v>
      </c>
      <c r="E1790" t="s">
        <v>7644</v>
      </c>
      <c r="F1790">
        <v>1</v>
      </c>
      <c r="G1790" s="15">
        <v>2710000</v>
      </c>
      <c r="H1790" s="14">
        <v>0.13075929750140999</v>
      </c>
      <c r="I1790" s="27">
        <f t="shared" si="27"/>
        <v>2355642.3037711792</v>
      </c>
      <c r="J1790">
        <v>4.2</v>
      </c>
      <c r="K1790" t="b">
        <v>1</v>
      </c>
    </row>
    <row r="1791" spans="1:11" ht="16" x14ac:dyDescent="0.2">
      <c r="A1791" s="16">
        <v>45416</v>
      </c>
      <c r="B1791" t="s">
        <v>18</v>
      </c>
      <c r="C1791" t="s">
        <v>34</v>
      </c>
      <c r="D1791" t="s">
        <v>35</v>
      </c>
      <c r="E1791" t="s">
        <v>7641</v>
      </c>
      <c r="F1791">
        <v>1</v>
      </c>
      <c r="G1791" s="15">
        <v>2710000</v>
      </c>
      <c r="H1791" s="14">
        <v>0.13075929750140999</v>
      </c>
      <c r="I1791" s="27">
        <f t="shared" si="27"/>
        <v>2355642.3037711792</v>
      </c>
      <c r="J1791">
        <v>4.4000000000000004</v>
      </c>
      <c r="K1791" t="b">
        <v>1</v>
      </c>
    </row>
    <row r="1792" spans="1:11" ht="16" x14ac:dyDescent="0.2">
      <c r="A1792" s="16">
        <v>45416</v>
      </c>
      <c r="B1792" t="s">
        <v>18</v>
      </c>
      <c r="C1792" t="s">
        <v>34</v>
      </c>
      <c r="D1792" t="s">
        <v>20</v>
      </c>
      <c r="E1792" t="s">
        <v>7639</v>
      </c>
      <c r="F1792">
        <v>1</v>
      </c>
      <c r="G1792" s="15">
        <v>2710000</v>
      </c>
      <c r="H1792" s="14">
        <v>0.13075929750140999</v>
      </c>
      <c r="I1792" s="27">
        <f t="shared" si="27"/>
        <v>2355642.3037711792</v>
      </c>
      <c r="J1792">
        <v>3.7</v>
      </c>
      <c r="K1792" t="b">
        <v>1</v>
      </c>
    </row>
    <row r="1793" spans="1:11" ht="16" x14ac:dyDescent="0.2">
      <c r="A1793" s="16">
        <v>45416</v>
      </c>
      <c r="B1793" t="s">
        <v>33</v>
      </c>
      <c r="C1793" t="s">
        <v>25</v>
      </c>
      <c r="D1793" t="s">
        <v>50</v>
      </c>
      <c r="E1793" t="s">
        <v>7640</v>
      </c>
      <c r="F1793">
        <v>3</v>
      </c>
      <c r="G1793" s="15">
        <v>2710000</v>
      </c>
      <c r="H1793" s="14">
        <v>0.13075929750140999</v>
      </c>
      <c r="I1793" s="27">
        <f t="shared" si="27"/>
        <v>2355642.3037711792</v>
      </c>
      <c r="J1793">
        <v>5</v>
      </c>
      <c r="K1793" t="b">
        <v>0</v>
      </c>
    </row>
    <row r="1794" spans="1:11" ht="16" x14ac:dyDescent="0.2">
      <c r="A1794" s="16">
        <v>45417</v>
      </c>
      <c r="B1794" t="s">
        <v>18</v>
      </c>
      <c r="C1794" t="s">
        <v>39</v>
      </c>
      <c r="D1794" t="s">
        <v>20</v>
      </c>
      <c r="E1794" t="s">
        <v>7644</v>
      </c>
      <c r="F1794">
        <v>3</v>
      </c>
      <c r="G1794" s="15">
        <v>2710000</v>
      </c>
      <c r="H1794" s="14">
        <v>0.13075929750140999</v>
      </c>
      <c r="I1794" s="27">
        <f t="shared" si="27"/>
        <v>2355642.3037711792</v>
      </c>
      <c r="J1794">
        <v>3.1</v>
      </c>
      <c r="K1794" t="b">
        <v>0</v>
      </c>
    </row>
    <row r="1795" spans="1:11" ht="16" x14ac:dyDescent="0.2">
      <c r="A1795" s="16">
        <v>45417</v>
      </c>
      <c r="B1795" t="s">
        <v>45</v>
      </c>
      <c r="C1795" t="s">
        <v>19</v>
      </c>
      <c r="D1795" t="s">
        <v>50</v>
      </c>
      <c r="E1795" t="s">
        <v>7641</v>
      </c>
      <c r="F1795">
        <v>1</v>
      </c>
      <c r="G1795" s="15">
        <v>2710000</v>
      </c>
      <c r="H1795" s="14">
        <v>0.13075929750140999</v>
      </c>
      <c r="I1795" s="27">
        <f t="shared" ref="I1795:I1858" si="28">G1795-G1795*H1795</f>
        <v>2355642.3037711792</v>
      </c>
      <c r="J1795">
        <v>4.5</v>
      </c>
      <c r="K1795" t="b">
        <v>0</v>
      </c>
    </row>
    <row r="1796" spans="1:11" ht="16" x14ac:dyDescent="0.2">
      <c r="A1796" s="16">
        <v>45417</v>
      </c>
      <c r="B1796" t="s">
        <v>45</v>
      </c>
      <c r="C1796" t="s">
        <v>34</v>
      </c>
      <c r="D1796" t="s">
        <v>35</v>
      </c>
      <c r="E1796" t="s">
        <v>7642</v>
      </c>
      <c r="F1796">
        <v>3</v>
      </c>
      <c r="G1796" s="15">
        <v>2710000</v>
      </c>
      <c r="H1796" s="14">
        <v>0.13075929750140999</v>
      </c>
      <c r="I1796" s="27">
        <f t="shared" si="28"/>
        <v>2355642.3037711792</v>
      </c>
      <c r="J1796">
        <v>4.2</v>
      </c>
      <c r="K1796" t="b">
        <v>0</v>
      </c>
    </row>
    <row r="1797" spans="1:11" ht="16" x14ac:dyDescent="0.2">
      <c r="A1797" s="16">
        <v>45417</v>
      </c>
      <c r="B1797" t="s">
        <v>45</v>
      </c>
      <c r="C1797" t="s">
        <v>34</v>
      </c>
      <c r="D1797" t="s">
        <v>50</v>
      </c>
      <c r="E1797" t="s">
        <v>7641</v>
      </c>
      <c r="F1797">
        <v>2</v>
      </c>
      <c r="G1797" s="15">
        <v>2710000</v>
      </c>
      <c r="H1797" s="14">
        <v>0.13075929750140999</v>
      </c>
      <c r="I1797" s="27">
        <f t="shared" si="28"/>
        <v>2355642.3037711792</v>
      </c>
      <c r="J1797">
        <v>3.9</v>
      </c>
      <c r="K1797" t="b">
        <v>0</v>
      </c>
    </row>
    <row r="1798" spans="1:11" ht="16" x14ac:dyDescent="0.2">
      <c r="A1798" s="16">
        <v>45419</v>
      </c>
      <c r="B1798" t="s">
        <v>33</v>
      </c>
      <c r="C1798" t="s">
        <v>19</v>
      </c>
      <c r="D1798" t="s">
        <v>20</v>
      </c>
      <c r="E1798" t="s">
        <v>7641</v>
      </c>
      <c r="F1798">
        <v>3</v>
      </c>
      <c r="G1798" s="15">
        <v>2710000</v>
      </c>
      <c r="H1798" s="14">
        <v>0.13075929750140999</v>
      </c>
      <c r="I1798" s="27">
        <f t="shared" si="28"/>
        <v>2355642.3037711792</v>
      </c>
      <c r="J1798">
        <v>4</v>
      </c>
      <c r="K1798" t="b">
        <v>0</v>
      </c>
    </row>
    <row r="1799" spans="1:11" ht="16" x14ac:dyDescent="0.2">
      <c r="A1799" s="16">
        <v>45419</v>
      </c>
      <c r="B1799" t="s">
        <v>29</v>
      </c>
      <c r="C1799" t="s">
        <v>68</v>
      </c>
      <c r="D1799" t="s">
        <v>46</v>
      </c>
      <c r="E1799" t="s">
        <v>7644</v>
      </c>
      <c r="F1799">
        <v>1</v>
      </c>
      <c r="G1799" s="15">
        <v>2710000</v>
      </c>
      <c r="H1799" s="14">
        <v>0.13075929750140999</v>
      </c>
      <c r="I1799" s="27">
        <f t="shared" si="28"/>
        <v>2355642.3037711792</v>
      </c>
      <c r="J1799">
        <v>3.5</v>
      </c>
      <c r="K1799" t="b">
        <v>1</v>
      </c>
    </row>
    <row r="1800" spans="1:11" ht="16" x14ac:dyDescent="0.2">
      <c r="A1800" s="16">
        <v>45419</v>
      </c>
      <c r="B1800" t="s">
        <v>45</v>
      </c>
      <c r="C1800" t="s">
        <v>19</v>
      </c>
      <c r="D1800" t="s">
        <v>20</v>
      </c>
      <c r="E1800" t="s">
        <v>7639</v>
      </c>
      <c r="F1800">
        <v>3</v>
      </c>
      <c r="G1800" s="15">
        <v>2710000</v>
      </c>
      <c r="H1800" s="14">
        <v>0.13075929750140999</v>
      </c>
      <c r="I1800" s="27">
        <f t="shared" si="28"/>
        <v>2355642.3037711792</v>
      </c>
      <c r="J1800">
        <v>3.8</v>
      </c>
      <c r="K1800" t="b">
        <v>1</v>
      </c>
    </row>
    <row r="1801" spans="1:11" ht="16" x14ac:dyDescent="0.2">
      <c r="A1801" s="16">
        <v>45419</v>
      </c>
      <c r="B1801" t="s">
        <v>45</v>
      </c>
      <c r="C1801" t="s">
        <v>68</v>
      </c>
      <c r="D1801" t="s">
        <v>20</v>
      </c>
      <c r="E1801" t="s">
        <v>57</v>
      </c>
      <c r="F1801">
        <v>3</v>
      </c>
      <c r="G1801" s="15">
        <v>2710000</v>
      </c>
      <c r="H1801" s="14">
        <v>0.13075929750140999</v>
      </c>
      <c r="I1801" s="27">
        <f t="shared" si="28"/>
        <v>2355642.3037711792</v>
      </c>
      <c r="J1801">
        <v>4.3</v>
      </c>
      <c r="K1801" t="b">
        <v>1</v>
      </c>
    </row>
    <row r="1802" spans="1:11" ht="16" x14ac:dyDescent="0.2">
      <c r="A1802" s="16">
        <v>45419</v>
      </c>
      <c r="B1802" t="s">
        <v>18</v>
      </c>
      <c r="C1802" t="s">
        <v>25</v>
      </c>
      <c r="D1802" t="s">
        <v>35</v>
      </c>
      <c r="E1802" t="s">
        <v>99</v>
      </c>
      <c r="F1802">
        <v>3</v>
      </c>
      <c r="G1802" s="15">
        <v>2710000</v>
      </c>
      <c r="H1802" s="14">
        <v>0.13075929750140999</v>
      </c>
      <c r="I1802" s="27">
        <f t="shared" si="28"/>
        <v>2355642.3037711792</v>
      </c>
      <c r="J1802">
        <v>3.7</v>
      </c>
      <c r="K1802" t="b">
        <v>1</v>
      </c>
    </row>
    <row r="1803" spans="1:11" ht="16" x14ac:dyDescent="0.2">
      <c r="A1803" s="16">
        <v>45420</v>
      </c>
      <c r="B1803" t="s">
        <v>45</v>
      </c>
      <c r="C1803" t="s">
        <v>39</v>
      </c>
      <c r="D1803" t="s">
        <v>35</v>
      </c>
      <c r="E1803" t="s">
        <v>7640</v>
      </c>
      <c r="F1803">
        <v>2</v>
      </c>
      <c r="G1803" s="15">
        <v>2710000</v>
      </c>
      <c r="H1803" s="14">
        <v>0.13075929750140999</v>
      </c>
      <c r="I1803" s="27">
        <f t="shared" si="28"/>
        <v>2355642.3037711792</v>
      </c>
      <c r="J1803">
        <v>4.5999999999999996</v>
      </c>
      <c r="K1803" t="b">
        <v>0</v>
      </c>
    </row>
    <row r="1804" spans="1:11" ht="16" x14ac:dyDescent="0.2">
      <c r="A1804" s="16">
        <v>45420</v>
      </c>
      <c r="B1804" t="s">
        <v>18</v>
      </c>
      <c r="C1804" t="s">
        <v>19</v>
      </c>
      <c r="D1804" t="s">
        <v>20</v>
      </c>
      <c r="E1804" t="s">
        <v>99</v>
      </c>
      <c r="F1804">
        <v>3</v>
      </c>
      <c r="G1804" s="15">
        <v>2710000</v>
      </c>
      <c r="H1804" s="14">
        <v>0.13075929750140999</v>
      </c>
      <c r="I1804" s="27">
        <f t="shared" si="28"/>
        <v>2355642.3037711792</v>
      </c>
      <c r="J1804">
        <v>4.0999999999999996</v>
      </c>
      <c r="K1804" t="b">
        <v>1</v>
      </c>
    </row>
    <row r="1805" spans="1:11" ht="16" x14ac:dyDescent="0.2">
      <c r="A1805" s="16">
        <v>45420</v>
      </c>
      <c r="B1805" t="s">
        <v>29</v>
      </c>
      <c r="C1805" t="s">
        <v>19</v>
      </c>
      <c r="D1805" t="s">
        <v>50</v>
      </c>
      <c r="E1805" t="s">
        <v>7640</v>
      </c>
      <c r="F1805">
        <v>2</v>
      </c>
      <c r="G1805" s="15">
        <v>2710000</v>
      </c>
      <c r="H1805" s="14">
        <v>0.13075929750140999</v>
      </c>
      <c r="I1805" s="27">
        <f t="shared" si="28"/>
        <v>2355642.3037711792</v>
      </c>
      <c r="J1805">
        <v>3.3</v>
      </c>
      <c r="K1805" t="b">
        <v>0</v>
      </c>
    </row>
    <row r="1806" spans="1:11" ht="16" x14ac:dyDescent="0.2">
      <c r="A1806" s="16">
        <v>45420</v>
      </c>
      <c r="B1806" t="s">
        <v>33</v>
      </c>
      <c r="C1806" t="s">
        <v>19</v>
      </c>
      <c r="D1806" t="s">
        <v>35</v>
      </c>
      <c r="E1806" t="s">
        <v>7643</v>
      </c>
      <c r="F1806">
        <v>1</v>
      </c>
      <c r="G1806" s="15">
        <v>2710000</v>
      </c>
      <c r="H1806" s="14">
        <v>0.13075929750140999</v>
      </c>
      <c r="I1806" s="27">
        <f t="shared" si="28"/>
        <v>2355642.3037711792</v>
      </c>
      <c r="J1806">
        <v>3.3</v>
      </c>
      <c r="K1806" t="b">
        <v>1</v>
      </c>
    </row>
    <row r="1807" spans="1:11" ht="16" x14ac:dyDescent="0.2">
      <c r="A1807" s="16">
        <v>45420</v>
      </c>
      <c r="B1807" t="s">
        <v>18</v>
      </c>
      <c r="C1807" t="s">
        <v>45</v>
      </c>
      <c r="D1807" t="s">
        <v>20</v>
      </c>
      <c r="E1807" t="s">
        <v>7641</v>
      </c>
      <c r="F1807">
        <v>4</v>
      </c>
      <c r="G1807" s="15">
        <v>2710000</v>
      </c>
      <c r="H1807" s="14">
        <v>0.13075929750140999</v>
      </c>
      <c r="I1807" s="27">
        <f t="shared" si="28"/>
        <v>2355642.3037711792</v>
      </c>
      <c r="J1807">
        <v>4.4000000000000004</v>
      </c>
      <c r="K1807" t="b">
        <v>0</v>
      </c>
    </row>
    <row r="1808" spans="1:11" ht="16" x14ac:dyDescent="0.2">
      <c r="A1808" s="16">
        <v>45421</v>
      </c>
      <c r="B1808" t="s">
        <v>29</v>
      </c>
      <c r="C1808" t="s">
        <v>25</v>
      </c>
      <c r="D1808" t="s">
        <v>20</v>
      </c>
      <c r="E1808" t="s">
        <v>7643</v>
      </c>
      <c r="F1808">
        <v>2</v>
      </c>
      <c r="G1808" s="15">
        <v>2710000</v>
      </c>
      <c r="H1808" s="14">
        <v>0.13075929750140999</v>
      </c>
      <c r="I1808" s="27">
        <f t="shared" si="28"/>
        <v>2355642.3037711792</v>
      </c>
      <c r="J1808">
        <v>4.2</v>
      </c>
      <c r="K1808" t="b">
        <v>0</v>
      </c>
    </row>
    <row r="1809" spans="1:11" ht="16" x14ac:dyDescent="0.2">
      <c r="A1809" s="16">
        <v>45421</v>
      </c>
      <c r="B1809" t="s">
        <v>45</v>
      </c>
      <c r="C1809" t="s">
        <v>19</v>
      </c>
      <c r="D1809" t="s">
        <v>20</v>
      </c>
      <c r="E1809" t="str">
        <f>E1808</f>
        <v>TP. HCM</v>
      </c>
      <c r="F1809">
        <v>1</v>
      </c>
      <c r="G1809" s="15">
        <v>2710000</v>
      </c>
      <c r="H1809" s="14">
        <v>0.13075929750140999</v>
      </c>
      <c r="I1809" s="27">
        <f t="shared" si="28"/>
        <v>2355642.3037711792</v>
      </c>
      <c r="J1809">
        <v>4.4000000000000004</v>
      </c>
      <c r="K1809" t="b">
        <v>0</v>
      </c>
    </row>
    <row r="1810" spans="1:11" ht="16" x14ac:dyDescent="0.2">
      <c r="A1810" s="16">
        <v>45421</v>
      </c>
      <c r="B1810" t="s">
        <v>18</v>
      </c>
      <c r="C1810" t="s">
        <v>19</v>
      </c>
      <c r="D1810" t="s">
        <v>50</v>
      </c>
      <c r="E1810" t="s">
        <v>7640</v>
      </c>
      <c r="F1810">
        <v>2</v>
      </c>
      <c r="G1810" s="15">
        <v>2710000</v>
      </c>
      <c r="H1810" s="14">
        <v>0.13075929750140999</v>
      </c>
      <c r="I1810" s="27">
        <f t="shared" si="28"/>
        <v>2355642.3037711792</v>
      </c>
      <c r="J1810">
        <v>4.5999999999999996</v>
      </c>
      <c r="K1810" t="b">
        <v>0</v>
      </c>
    </row>
    <row r="1811" spans="1:11" ht="16" x14ac:dyDescent="0.2">
      <c r="A1811" s="16">
        <v>45422</v>
      </c>
      <c r="B1811" t="s">
        <v>33</v>
      </c>
      <c r="C1811" t="s">
        <v>45</v>
      </c>
      <c r="D1811" t="s">
        <v>50</v>
      </c>
      <c r="E1811" t="s">
        <v>7642</v>
      </c>
      <c r="F1811">
        <v>3</v>
      </c>
      <c r="G1811" s="15">
        <v>2710000</v>
      </c>
      <c r="H1811" s="14">
        <v>0.13075929750140999</v>
      </c>
      <c r="I1811" s="27">
        <f t="shared" si="28"/>
        <v>2355642.3037711792</v>
      </c>
      <c r="J1811">
        <v>4.7</v>
      </c>
      <c r="K1811" t="b">
        <v>0</v>
      </c>
    </row>
    <row r="1812" spans="1:11" ht="16" x14ac:dyDescent="0.2">
      <c r="A1812" s="16">
        <v>45422</v>
      </c>
      <c r="B1812" t="s">
        <v>33</v>
      </c>
      <c r="C1812" t="s">
        <v>39</v>
      </c>
      <c r="D1812" t="s">
        <v>20</v>
      </c>
      <c r="E1812" t="s">
        <v>7640</v>
      </c>
      <c r="F1812">
        <v>1</v>
      </c>
      <c r="G1812" s="15">
        <v>2710000</v>
      </c>
      <c r="H1812" s="14">
        <v>0.13075929750140999</v>
      </c>
      <c r="I1812" s="27">
        <f t="shared" si="28"/>
        <v>2355642.3037711792</v>
      </c>
      <c r="J1812">
        <v>4.5999999999999996</v>
      </c>
      <c r="K1812" t="b">
        <v>0</v>
      </c>
    </row>
    <row r="1813" spans="1:11" ht="16" x14ac:dyDescent="0.2">
      <c r="A1813" s="16">
        <v>45422</v>
      </c>
      <c r="B1813" t="s">
        <v>33</v>
      </c>
      <c r="C1813" t="s">
        <v>45</v>
      </c>
      <c r="D1813" t="s">
        <v>20</v>
      </c>
      <c r="E1813" t="s">
        <v>7637</v>
      </c>
      <c r="F1813">
        <v>3</v>
      </c>
      <c r="G1813" s="15">
        <v>2710000</v>
      </c>
      <c r="H1813" s="14">
        <v>0.13075929750140999</v>
      </c>
      <c r="I1813" s="27">
        <f t="shared" si="28"/>
        <v>2355642.3037711792</v>
      </c>
      <c r="J1813">
        <v>3.7</v>
      </c>
      <c r="K1813" t="b">
        <v>1</v>
      </c>
    </row>
    <row r="1814" spans="1:11" ht="16" x14ac:dyDescent="0.2">
      <c r="A1814" s="16">
        <v>45422</v>
      </c>
      <c r="B1814" t="s">
        <v>33</v>
      </c>
      <c r="C1814" t="s">
        <v>68</v>
      </c>
      <c r="D1814" t="s">
        <v>35</v>
      </c>
      <c r="E1814" t="s">
        <v>7641</v>
      </c>
      <c r="F1814">
        <v>2</v>
      </c>
      <c r="G1814" s="15">
        <v>2710000</v>
      </c>
      <c r="H1814" s="14">
        <v>0.13075929750140999</v>
      </c>
      <c r="I1814" s="27">
        <f t="shared" si="28"/>
        <v>2355642.3037711792</v>
      </c>
      <c r="J1814">
        <v>3.3</v>
      </c>
      <c r="K1814" t="b">
        <v>0</v>
      </c>
    </row>
    <row r="1815" spans="1:11" ht="16" x14ac:dyDescent="0.2">
      <c r="A1815" s="16">
        <v>45422</v>
      </c>
      <c r="B1815" t="s">
        <v>33</v>
      </c>
      <c r="C1815" t="s">
        <v>39</v>
      </c>
      <c r="D1815" t="s">
        <v>20</v>
      </c>
      <c r="E1815" t="s">
        <v>7643</v>
      </c>
      <c r="F1815">
        <v>1</v>
      </c>
      <c r="G1815" s="15">
        <v>2710000</v>
      </c>
      <c r="H1815" s="14">
        <v>0.13075929750140999</v>
      </c>
      <c r="I1815" s="27">
        <f t="shared" si="28"/>
        <v>2355642.3037711792</v>
      </c>
      <c r="J1815">
        <v>4</v>
      </c>
      <c r="K1815" t="b">
        <v>0</v>
      </c>
    </row>
    <row r="1816" spans="1:11" ht="16" x14ac:dyDescent="0.2">
      <c r="A1816" s="16">
        <v>45422</v>
      </c>
      <c r="B1816" t="s">
        <v>18</v>
      </c>
      <c r="C1816" t="s">
        <v>19</v>
      </c>
      <c r="D1816" t="s">
        <v>20</v>
      </c>
      <c r="E1816" t="s">
        <v>7644</v>
      </c>
      <c r="F1816">
        <v>1</v>
      </c>
      <c r="G1816" s="15">
        <v>2710000</v>
      </c>
      <c r="H1816" s="14">
        <v>0.13075929750140999</v>
      </c>
      <c r="I1816" s="27">
        <f t="shared" si="28"/>
        <v>2355642.3037711792</v>
      </c>
      <c r="J1816">
        <v>4</v>
      </c>
      <c r="K1816" t="b">
        <v>0</v>
      </c>
    </row>
    <row r="1817" spans="1:11" ht="16" x14ac:dyDescent="0.2">
      <c r="A1817" s="16">
        <v>45423</v>
      </c>
      <c r="B1817" t="s">
        <v>18</v>
      </c>
      <c r="C1817" t="s">
        <v>34</v>
      </c>
      <c r="D1817" t="s">
        <v>20</v>
      </c>
      <c r="E1817" t="s">
        <v>7640</v>
      </c>
      <c r="F1817">
        <v>2</v>
      </c>
      <c r="G1817" s="15">
        <v>2710000</v>
      </c>
      <c r="H1817" s="14">
        <v>0.13075929750140999</v>
      </c>
      <c r="I1817" s="27">
        <f t="shared" si="28"/>
        <v>2355642.3037711792</v>
      </c>
      <c r="J1817">
        <v>4</v>
      </c>
      <c r="K1817" t="b">
        <v>1</v>
      </c>
    </row>
    <row r="1818" spans="1:11" ht="16" x14ac:dyDescent="0.2">
      <c r="A1818" s="16">
        <v>45423</v>
      </c>
      <c r="B1818" t="s">
        <v>29</v>
      </c>
      <c r="C1818" t="s">
        <v>19</v>
      </c>
      <c r="D1818" t="s">
        <v>20</v>
      </c>
      <c r="E1818" t="s">
        <v>7640</v>
      </c>
      <c r="F1818">
        <v>3</v>
      </c>
      <c r="G1818" s="15">
        <v>2710000</v>
      </c>
      <c r="H1818" s="14">
        <v>0.13075929750140999</v>
      </c>
      <c r="I1818" s="27">
        <f t="shared" si="28"/>
        <v>2355642.3037711792</v>
      </c>
      <c r="J1818">
        <v>3</v>
      </c>
      <c r="K1818" t="b">
        <v>1</v>
      </c>
    </row>
    <row r="1819" spans="1:11" ht="16" x14ac:dyDescent="0.2">
      <c r="A1819" s="16">
        <v>45423</v>
      </c>
      <c r="B1819" t="s">
        <v>45</v>
      </c>
      <c r="C1819" t="s">
        <v>19</v>
      </c>
      <c r="D1819" t="s">
        <v>20</v>
      </c>
      <c r="E1819" t="s">
        <v>7640</v>
      </c>
      <c r="F1819">
        <v>2</v>
      </c>
      <c r="G1819" s="15">
        <v>2710000</v>
      </c>
      <c r="H1819" s="14">
        <v>0.13075929750140999</v>
      </c>
      <c r="I1819" s="27">
        <f t="shared" si="28"/>
        <v>2355642.3037711792</v>
      </c>
      <c r="J1819">
        <v>4.2</v>
      </c>
      <c r="K1819" t="b">
        <v>1</v>
      </c>
    </row>
    <row r="1820" spans="1:11" ht="16" x14ac:dyDescent="0.2">
      <c r="A1820" s="16">
        <v>45423</v>
      </c>
      <c r="B1820" t="s">
        <v>18</v>
      </c>
      <c r="C1820" t="s">
        <v>34</v>
      </c>
      <c r="D1820" t="s">
        <v>20</v>
      </c>
      <c r="E1820" t="s">
        <v>7644</v>
      </c>
      <c r="F1820">
        <v>2</v>
      </c>
      <c r="G1820" s="15">
        <v>2710000</v>
      </c>
      <c r="H1820" s="14">
        <v>0.13075929750140999</v>
      </c>
      <c r="I1820" s="27">
        <f t="shared" si="28"/>
        <v>2355642.3037711792</v>
      </c>
      <c r="J1820">
        <v>3.5</v>
      </c>
      <c r="K1820" t="b">
        <v>1</v>
      </c>
    </row>
    <row r="1821" spans="1:11" ht="16" x14ac:dyDescent="0.2">
      <c r="A1821" s="16">
        <v>45424</v>
      </c>
      <c r="B1821" t="s">
        <v>45</v>
      </c>
      <c r="C1821" t="s">
        <v>34</v>
      </c>
      <c r="D1821" t="s">
        <v>35</v>
      </c>
      <c r="E1821" t="s">
        <v>7637</v>
      </c>
      <c r="F1821">
        <v>4</v>
      </c>
      <c r="G1821" s="15">
        <v>2710000</v>
      </c>
      <c r="H1821" s="14">
        <v>0.13075929750140999</v>
      </c>
      <c r="I1821" s="27">
        <f t="shared" si="28"/>
        <v>2355642.3037711792</v>
      </c>
      <c r="J1821">
        <v>3.7</v>
      </c>
      <c r="K1821" t="b">
        <v>1</v>
      </c>
    </row>
    <row r="1822" spans="1:11" ht="16" x14ac:dyDescent="0.2">
      <c r="A1822" s="16">
        <v>45424</v>
      </c>
      <c r="B1822" t="s">
        <v>18</v>
      </c>
      <c r="C1822" t="s">
        <v>45</v>
      </c>
      <c r="D1822" t="s">
        <v>20</v>
      </c>
      <c r="E1822" t="s">
        <v>7641</v>
      </c>
      <c r="F1822">
        <v>2</v>
      </c>
      <c r="G1822" s="15">
        <v>2710000</v>
      </c>
      <c r="H1822" s="14">
        <v>0.13075929750140999</v>
      </c>
      <c r="I1822" s="27">
        <f t="shared" si="28"/>
        <v>2355642.3037711792</v>
      </c>
      <c r="J1822">
        <v>4.7</v>
      </c>
      <c r="K1822" t="b">
        <v>0</v>
      </c>
    </row>
    <row r="1823" spans="1:11" ht="16" x14ac:dyDescent="0.2">
      <c r="A1823" s="16">
        <v>45424</v>
      </c>
      <c r="B1823" t="s">
        <v>33</v>
      </c>
      <c r="C1823" t="s">
        <v>68</v>
      </c>
      <c r="D1823" t="s">
        <v>35</v>
      </c>
      <c r="E1823" t="s">
        <v>7640</v>
      </c>
      <c r="F1823">
        <v>2</v>
      </c>
      <c r="G1823" s="15">
        <v>2710000</v>
      </c>
      <c r="H1823" s="14">
        <v>0.13075929750140999</v>
      </c>
      <c r="I1823" s="27">
        <f t="shared" si="28"/>
        <v>2355642.3037711792</v>
      </c>
      <c r="J1823">
        <v>4.8</v>
      </c>
      <c r="K1823" t="b">
        <v>1</v>
      </c>
    </row>
    <row r="1824" spans="1:11" ht="16" x14ac:dyDescent="0.2">
      <c r="A1824" s="16">
        <v>45425</v>
      </c>
      <c r="B1824" t="s">
        <v>45</v>
      </c>
      <c r="C1824" t="s">
        <v>68</v>
      </c>
      <c r="D1824" t="s">
        <v>20</v>
      </c>
      <c r="E1824" t="s">
        <v>7641</v>
      </c>
      <c r="F1824">
        <v>2</v>
      </c>
      <c r="G1824" s="15">
        <v>2710000</v>
      </c>
      <c r="H1824" s="14">
        <v>0.13075929750140999</v>
      </c>
      <c r="I1824" s="27">
        <f t="shared" si="28"/>
        <v>2355642.3037711792</v>
      </c>
      <c r="J1824">
        <v>4.3</v>
      </c>
      <c r="K1824" t="b">
        <v>0</v>
      </c>
    </row>
    <row r="1825" spans="1:11" ht="16" x14ac:dyDescent="0.2">
      <c r="A1825" s="16">
        <v>45425</v>
      </c>
      <c r="B1825" t="s">
        <v>18</v>
      </c>
      <c r="C1825" t="s">
        <v>19</v>
      </c>
      <c r="D1825" t="s">
        <v>35</v>
      </c>
      <c r="E1825" t="s">
        <v>7640</v>
      </c>
      <c r="F1825">
        <v>2</v>
      </c>
      <c r="G1825" s="15">
        <v>2710000</v>
      </c>
      <c r="H1825" s="14">
        <v>0.13075929750140999</v>
      </c>
      <c r="I1825" s="27">
        <f t="shared" si="28"/>
        <v>2355642.3037711792</v>
      </c>
      <c r="J1825">
        <v>4.4000000000000004</v>
      </c>
      <c r="K1825" t="b">
        <v>1</v>
      </c>
    </row>
    <row r="1826" spans="1:11" ht="16" x14ac:dyDescent="0.2">
      <c r="A1826" s="16">
        <v>45425</v>
      </c>
      <c r="B1826" t="s">
        <v>33</v>
      </c>
      <c r="C1826" t="s">
        <v>68</v>
      </c>
      <c r="D1826" t="s">
        <v>50</v>
      </c>
      <c r="E1826" t="s">
        <v>7639</v>
      </c>
      <c r="F1826">
        <v>1</v>
      </c>
      <c r="G1826" s="15">
        <v>2710000</v>
      </c>
      <c r="H1826" s="14">
        <v>0.13075929750140999</v>
      </c>
      <c r="I1826" s="27">
        <f t="shared" si="28"/>
        <v>2355642.3037711792</v>
      </c>
      <c r="J1826">
        <v>4.3</v>
      </c>
      <c r="K1826" t="b">
        <v>1</v>
      </c>
    </row>
    <row r="1827" spans="1:11" ht="16" x14ac:dyDescent="0.2">
      <c r="A1827" s="16">
        <v>45425</v>
      </c>
      <c r="B1827" t="s">
        <v>33</v>
      </c>
      <c r="C1827" t="s">
        <v>39</v>
      </c>
      <c r="D1827" t="s">
        <v>20</v>
      </c>
      <c r="E1827" t="s">
        <v>7644</v>
      </c>
      <c r="F1827">
        <v>1</v>
      </c>
      <c r="G1827" s="15">
        <v>2710000</v>
      </c>
      <c r="H1827" s="14">
        <v>0.13075929750140999</v>
      </c>
      <c r="I1827" s="27">
        <f t="shared" si="28"/>
        <v>2355642.3037711792</v>
      </c>
      <c r="J1827">
        <v>4.5999999999999996</v>
      </c>
      <c r="K1827" t="b">
        <v>1</v>
      </c>
    </row>
    <row r="1828" spans="1:11" ht="16" x14ac:dyDescent="0.2">
      <c r="A1828" s="16">
        <v>45426</v>
      </c>
      <c r="B1828" t="s">
        <v>45</v>
      </c>
      <c r="C1828" t="s">
        <v>68</v>
      </c>
      <c r="D1828" t="s">
        <v>50</v>
      </c>
      <c r="E1828" t="s">
        <v>7642</v>
      </c>
      <c r="F1828">
        <v>2</v>
      </c>
      <c r="G1828" s="15">
        <v>2710000</v>
      </c>
      <c r="H1828" s="14">
        <v>0.13075929750140999</v>
      </c>
      <c r="I1828" s="27">
        <f t="shared" si="28"/>
        <v>2355642.3037711792</v>
      </c>
      <c r="J1828">
        <v>4.2</v>
      </c>
      <c r="K1828" t="b">
        <v>0</v>
      </c>
    </row>
    <row r="1829" spans="1:11" ht="16" x14ac:dyDescent="0.2">
      <c r="A1829" s="16">
        <v>45427</v>
      </c>
      <c r="B1829" t="s">
        <v>45</v>
      </c>
      <c r="C1829" t="s">
        <v>45</v>
      </c>
      <c r="D1829" t="s">
        <v>20</v>
      </c>
      <c r="E1829" t="s">
        <v>7639</v>
      </c>
      <c r="F1829">
        <v>2</v>
      </c>
      <c r="G1829" s="15">
        <v>2710000</v>
      </c>
      <c r="H1829" s="14">
        <v>0.13075929750140999</v>
      </c>
      <c r="I1829" s="27">
        <f t="shared" si="28"/>
        <v>2355642.3037711792</v>
      </c>
      <c r="J1829">
        <v>4</v>
      </c>
      <c r="K1829" t="b">
        <v>0</v>
      </c>
    </row>
    <row r="1830" spans="1:11" ht="16" x14ac:dyDescent="0.2">
      <c r="A1830" s="16">
        <v>45427</v>
      </c>
      <c r="B1830" t="s">
        <v>29</v>
      </c>
      <c r="C1830" t="s">
        <v>34</v>
      </c>
      <c r="D1830" t="s">
        <v>50</v>
      </c>
      <c r="E1830" t="s">
        <v>7638</v>
      </c>
      <c r="F1830">
        <v>1</v>
      </c>
      <c r="G1830" s="15">
        <v>2710000</v>
      </c>
      <c r="H1830" s="14">
        <v>0.13075929750140999</v>
      </c>
      <c r="I1830" s="27">
        <f t="shared" si="28"/>
        <v>2355642.3037711792</v>
      </c>
      <c r="J1830">
        <v>4.0999999999999996</v>
      </c>
      <c r="K1830" t="b">
        <v>0</v>
      </c>
    </row>
    <row r="1831" spans="1:11" ht="16" x14ac:dyDescent="0.2">
      <c r="A1831" s="16">
        <v>45428</v>
      </c>
      <c r="B1831" t="s">
        <v>18</v>
      </c>
      <c r="C1831" t="s">
        <v>25</v>
      </c>
      <c r="D1831" t="s">
        <v>35</v>
      </c>
      <c r="E1831" t="s">
        <v>7644</v>
      </c>
      <c r="F1831">
        <v>3</v>
      </c>
      <c r="G1831" s="15">
        <v>2710000</v>
      </c>
      <c r="H1831" s="14">
        <v>0.13075929750140999</v>
      </c>
      <c r="I1831" s="27">
        <f t="shared" si="28"/>
        <v>2355642.3037711792</v>
      </c>
      <c r="J1831">
        <v>4.3</v>
      </c>
      <c r="K1831" t="b">
        <v>1</v>
      </c>
    </row>
    <row r="1832" spans="1:11" ht="16" x14ac:dyDescent="0.2">
      <c r="A1832" s="16">
        <v>45428</v>
      </c>
      <c r="B1832" t="s">
        <v>45</v>
      </c>
      <c r="C1832" t="s">
        <v>68</v>
      </c>
      <c r="D1832" t="s">
        <v>20</v>
      </c>
      <c r="E1832" t="s">
        <v>7644</v>
      </c>
      <c r="F1832">
        <v>1</v>
      </c>
      <c r="G1832" s="15">
        <v>2710000</v>
      </c>
      <c r="H1832" s="14">
        <v>0.13075929750140999</v>
      </c>
      <c r="I1832" s="27">
        <f t="shared" si="28"/>
        <v>2355642.3037711792</v>
      </c>
      <c r="J1832">
        <v>3.8</v>
      </c>
      <c r="K1832" t="b">
        <v>1</v>
      </c>
    </row>
    <row r="1833" spans="1:11" ht="16" x14ac:dyDescent="0.2">
      <c r="A1833" s="16">
        <v>45428</v>
      </c>
      <c r="B1833" t="s">
        <v>45</v>
      </c>
      <c r="C1833" t="s">
        <v>39</v>
      </c>
      <c r="D1833" t="str">
        <f>D1832</f>
        <v>Website</v>
      </c>
      <c r="E1833" t="s">
        <v>7641</v>
      </c>
      <c r="F1833">
        <v>1</v>
      </c>
      <c r="G1833" s="15">
        <v>2710000</v>
      </c>
      <c r="H1833" s="14">
        <v>0.13075929750140999</v>
      </c>
      <c r="I1833" s="27">
        <f t="shared" si="28"/>
        <v>2355642.3037711792</v>
      </c>
      <c r="J1833">
        <v>4</v>
      </c>
      <c r="K1833" t="b">
        <v>1</v>
      </c>
    </row>
    <row r="1834" spans="1:11" ht="16" x14ac:dyDescent="0.2">
      <c r="A1834" s="16">
        <v>45428</v>
      </c>
      <c r="B1834" t="s">
        <v>33</v>
      </c>
      <c r="C1834" t="s">
        <v>19</v>
      </c>
      <c r="D1834" t="s">
        <v>50</v>
      </c>
      <c r="E1834" t="s">
        <v>7642</v>
      </c>
      <c r="F1834">
        <v>2</v>
      </c>
      <c r="G1834" s="15">
        <v>2710000</v>
      </c>
      <c r="H1834" s="14">
        <v>0.13075929750140999</v>
      </c>
      <c r="I1834" s="27">
        <f t="shared" si="28"/>
        <v>2355642.3037711792</v>
      </c>
      <c r="J1834">
        <v>3.7</v>
      </c>
      <c r="K1834" t="b">
        <v>1</v>
      </c>
    </row>
    <row r="1835" spans="1:11" ht="16" x14ac:dyDescent="0.2">
      <c r="A1835" s="16">
        <v>45429</v>
      </c>
      <c r="B1835" t="s">
        <v>18</v>
      </c>
      <c r="C1835" t="s">
        <v>45</v>
      </c>
      <c r="D1835" t="s">
        <v>20</v>
      </c>
      <c r="E1835" t="s">
        <v>7642</v>
      </c>
      <c r="F1835">
        <v>1</v>
      </c>
      <c r="G1835" s="15">
        <v>2710000</v>
      </c>
      <c r="H1835" s="14">
        <v>0.13075929750140999</v>
      </c>
      <c r="I1835" s="27">
        <f t="shared" si="28"/>
        <v>2355642.3037711792</v>
      </c>
      <c r="J1835">
        <v>4.4000000000000004</v>
      </c>
      <c r="K1835" t="b">
        <v>1</v>
      </c>
    </row>
    <row r="1836" spans="1:11" ht="16" x14ac:dyDescent="0.2">
      <c r="A1836" s="16">
        <v>45429</v>
      </c>
      <c r="B1836" t="s">
        <v>29</v>
      </c>
      <c r="C1836" t="s">
        <v>34</v>
      </c>
      <c r="D1836" t="s">
        <v>35</v>
      </c>
      <c r="E1836" t="s">
        <v>7642</v>
      </c>
      <c r="F1836">
        <v>1</v>
      </c>
      <c r="G1836" s="15">
        <v>2710000</v>
      </c>
      <c r="H1836" s="14">
        <v>0.13075929750140999</v>
      </c>
      <c r="I1836" s="27">
        <f t="shared" si="28"/>
        <v>2355642.3037711792</v>
      </c>
      <c r="J1836">
        <v>5</v>
      </c>
      <c r="K1836" t="b">
        <v>0</v>
      </c>
    </row>
    <row r="1837" spans="1:11" ht="16" x14ac:dyDescent="0.2">
      <c r="A1837" s="16">
        <v>45429</v>
      </c>
      <c r="B1837" t="s">
        <v>29</v>
      </c>
      <c r="C1837" t="s">
        <v>25</v>
      </c>
      <c r="D1837" t="s">
        <v>35</v>
      </c>
      <c r="E1837" t="s">
        <v>7641</v>
      </c>
      <c r="F1837">
        <v>4</v>
      </c>
      <c r="G1837" s="15">
        <v>2710000</v>
      </c>
      <c r="H1837" s="14">
        <v>0.13075929750140999</v>
      </c>
      <c r="I1837" s="27">
        <f t="shared" si="28"/>
        <v>2355642.3037711792</v>
      </c>
      <c r="J1837">
        <v>4.4000000000000004</v>
      </c>
      <c r="K1837" t="b">
        <v>0</v>
      </c>
    </row>
    <row r="1838" spans="1:11" ht="16" x14ac:dyDescent="0.2">
      <c r="A1838" s="16">
        <v>45429</v>
      </c>
      <c r="B1838" t="s">
        <v>29</v>
      </c>
      <c r="C1838" t="s">
        <v>34</v>
      </c>
      <c r="D1838" t="s">
        <v>35</v>
      </c>
      <c r="E1838" t="s">
        <v>7644</v>
      </c>
      <c r="F1838">
        <v>2</v>
      </c>
      <c r="G1838" s="15">
        <v>2710000</v>
      </c>
      <c r="H1838" s="14">
        <v>0.13075929750140999</v>
      </c>
      <c r="I1838" s="27">
        <f t="shared" si="28"/>
        <v>2355642.3037711792</v>
      </c>
      <c r="J1838">
        <v>3.9</v>
      </c>
      <c r="K1838" t="b">
        <v>0</v>
      </c>
    </row>
    <row r="1839" spans="1:11" ht="16" x14ac:dyDescent="0.2">
      <c r="A1839" s="16">
        <v>45429</v>
      </c>
      <c r="B1839" t="s">
        <v>33</v>
      </c>
      <c r="C1839" t="s">
        <v>34</v>
      </c>
      <c r="D1839" t="s">
        <v>35</v>
      </c>
      <c r="E1839" t="s">
        <v>7637</v>
      </c>
      <c r="F1839">
        <v>1</v>
      </c>
      <c r="G1839" s="15">
        <v>2710000</v>
      </c>
      <c r="H1839" s="14">
        <v>0.13075929750140999</v>
      </c>
      <c r="I1839" s="27">
        <f t="shared" si="28"/>
        <v>2355642.3037711792</v>
      </c>
      <c r="J1839">
        <v>3.6</v>
      </c>
      <c r="K1839" t="b">
        <v>1</v>
      </c>
    </row>
    <row r="1840" spans="1:11" ht="16" x14ac:dyDescent="0.2">
      <c r="A1840" s="16">
        <v>45429</v>
      </c>
      <c r="B1840" t="s">
        <v>45</v>
      </c>
      <c r="C1840" t="s">
        <v>19</v>
      </c>
      <c r="D1840" t="s">
        <v>20</v>
      </c>
      <c r="E1840" t="s">
        <v>7641</v>
      </c>
      <c r="F1840">
        <v>1</v>
      </c>
      <c r="G1840" s="15">
        <v>2710000</v>
      </c>
      <c r="H1840" s="14">
        <v>0.13075929750140999</v>
      </c>
      <c r="I1840" s="27">
        <f t="shared" si="28"/>
        <v>2355642.3037711792</v>
      </c>
      <c r="J1840">
        <v>4.8</v>
      </c>
      <c r="K1840" t="b">
        <v>1</v>
      </c>
    </row>
    <row r="1841" spans="1:11" ht="16" x14ac:dyDescent="0.2">
      <c r="A1841" s="16">
        <v>45430</v>
      </c>
      <c r="B1841" t="s">
        <v>18</v>
      </c>
      <c r="C1841" t="s">
        <v>34</v>
      </c>
      <c r="D1841" t="s">
        <v>20</v>
      </c>
      <c r="E1841" t="s">
        <v>99</v>
      </c>
      <c r="F1841">
        <v>4</v>
      </c>
      <c r="G1841" s="15">
        <v>2710000</v>
      </c>
      <c r="H1841" s="14">
        <v>0.13075929750140999</v>
      </c>
      <c r="I1841" s="27">
        <f t="shared" si="28"/>
        <v>2355642.3037711792</v>
      </c>
      <c r="J1841">
        <v>4.0999999999999996</v>
      </c>
      <c r="K1841" t="b">
        <v>0</v>
      </c>
    </row>
    <row r="1842" spans="1:11" ht="16" x14ac:dyDescent="0.2">
      <c r="A1842" s="16">
        <v>45430</v>
      </c>
      <c r="B1842" t="s">
        <v>18</v>
      </c>
      <c r="C1842" t="s">
        <v>34</v>
      </c>
      <c r="D1842" t="s">
        <v>35</v>
      </c>
      <c r="E1842" t="s">
        <v>7644</v>
      </c>
      <c r="F1842">
        <v>2</v>
      </c>
      <c r="G1842" s="15">
        <v>2710000</v>
      </c>
      <c r="H1842" s="14">
        <v>0.13075929750140999</v>
      </c>
      <c r="I1842" s="27">
        <f t="shared" si="28"/>
        <v>2355642.3037711792</v>
      </c>
      <c r="J1842">
        <v>3.7</v>
      </c>
      <c r="K1842" t="b">
        <v>1</v>
      </c>
    </row>
    <row r="1843" spans="1:11" ht="16" x14ac:dyDescent="0.2">
      <c r="A1843" s="16">
        <v>45431</v>
      </c>
      <c r="B1843" t="s">
        <v>18</v>
      </c>
      <c r="C1843" t="s">
        <v>39</v>
      </c>
      <c r="D1843" t="s">
        <v>35</v>
      </c>
      <c r="E1843" t="s">
        <v>7641</v>
      </c>
      <c r="F1843">
        <v>1</v>
      </c>
      <c r="G1843" s="15">
        <v>2710000</v>
      </c>
      <c r="H1843" s="14">
        <v>0.13075929750140999</v>
      </c>
      <c r="I1843" s="27">
        <f t="shared" si="28"/>
        <v>2355642.3037711792</v>
      </c>
      <c r="J1843">
        <v>3.7</v>
      </c>
      <c r="K1843" t="b">
        <v>1</v>
      </c>
    </row>
    <row r="1844" spans="1:11" ht="16" x14ac:dyDescent="0.2">
      <c r="A1844" s="16">
        <v>45431</v>
      </c>
      <c r="B1844" t="s">
        <v>45</v>
      </c>
      <c r="C1844" t="s">
        <v>68</v>
      </c>
      <c r="D1844" t="s">
        <v>20</v>
      </c>
      <c r="E1844" t="str">
        <f>E1843</f>
        <v>Phú Quốc</v>
      </c>
      <c r="F1844">
        <v>1</v>
      </c>
      <c r="G1844" s="15">
        <v>2710000</v>
      </c>
      <c r="H1844" s="14">
        <v>0.13075929750140999</v>
      </c>
      <c r="I1844" s="27">
        <f t="shared" si="28"/>
        <v>2355642.3037711792</v>
      </c>
      <c r="J1844">
        <v>3.6</v>
      </c>
      <c r="K1844" t="b">
        <v>0</v>
      </c>
    </row>
    <row r="1845" spans="1:11" ht="16" x14ac:dyDescent="0.2">
      <c r="A1845" s="16">
        <v>45431</v>
      </c>
      <c r="B1845" t="s">
        <v>18</v>
      </c>
      <c r="C1845" t="s">
        <v>68</v>
      </c>
      <c r="D1845" t="s">
        <v>50</v>
      </c>
      <c r="E1845" t="s">
        <v>7644</v>
      </c>
      <c r="F1845">
        <v>1</v>
      </c>
      <c r="G1845" s="15">
        <v>2710000</v>
      </c>
      <c r="H1845" s="14">
        <v>0.13075929750140999</v>
      </c>
      <c r="I1845" s="27">
        <f t="shared" si="28"/>
        <v>2355642.3037711792</v>
      </c>
      <c r="J1845">
        <v>4.5999999999999996</v>
      </c>
      <c r="K1845" t="b">
        <v>0</v>
      </c>
    </row>
    <row r="1846" spans="1:11" ht="16" x14ac:dyDescent="0.2">
      <c r="A1846" s="16">
        <v>45431</v>
      </c>
      <c r="B1846" t="s">
        <v>33</v>
      </c>
      <c r="C1846" t="s">
        <v>34</v>
      </c>
      <c r="D1846" t="s">
        <v>20</v>
      </c>
      <c r="E1846" t="s">
        <v>7643</v>
      </c>
      <c r="F1846">
        <v>3</v>
      </c>
      <c r="G1846" s="15">
        <v>2710000</v>
      </c>
      <c r="H1846" s="14">
        <v>0.13075929750140999</v>
      </c>
      <c r="I1846" s="27">
        <f t="shared" si="28"/>
        <v>2355642.3037711792</v>
      </c>
      <c r="J1846">
        <v>3.8</v>
      </c>
      <c r="K1846" t="b">
        <v>1</v>
      </c>
    </row>
    <row r="1847" spans="1:11" ht="16" x14ac:dyDescent="0.2">
      <c r="A1847" s="16">
        <v>45431</v>
      </c>
      <c r="B1847" t="s">
        <v>45</v>
      </c>
      <c r="C1847" t="s">
        <v>34</v>
      </c>
      <c r="D1847" t="s">
        <v>20</v>
      </c>
      <c r="E1847" t="s">
        <v>7641</v>
      </c>
      <c r="F1847">
        <v>2</v>
      </c>
      <c r="G1847" s="15">
        <v>2710000</v>
      </c>
      <c r="H1847" s="14">
        <v>0.13075929750140999</v>
      </c>
      <c r="I1847" s="27">
        <f t="shared" si="28"/>
        <v>2355642.3037711792</v>
      </c>
      <c r="J1847">
        <v>3.9</v>
      </c>
      <c r="K1847" t="b">
        <v>0</v>
      </c>
    </row>
    <row r="1848" spans="1:11" ht="16" x14ac:dyDescent="0.2">
      <c r="A1848" s="16">
        <v>45431</v>
      </c>
      <c r="B1848" t="s">
        <v>45</v>
      </c>
      <c r="C1848" t="s">
        <v>19</v>
      </c>
      <c r="D1848" t="s">
        <v>50</v>
      </c>
      <c r="E1848" t="s">
        <v>7637</v>
      </c>
      <c r="F1848">
        <v>3</v>
      </c>
      <c r="G1848" s="15">
        <v>2710000</v>
      </c>
      <c r="H1848" s="14">
        <v>0.13075929750140999</v>
      </c>
      <c r="I1848" s="27">
        <f t="shared" si="28"/>
        <v>2355642.3037711792</v>
      </c>
      <c r="J1848">
        <v>4.5</v>
      </c>
      <c r="K1848" t="b">
        <v>1</v>
      </c>
    </row>
    <row r="1849" spans="1:11" ht="16" x14ac:dyDescent="0.2">
      <c r="A1849" s="16">
        <v>45432</v>
      </c>
      <c r="B1849" t="s">
        <v>18</v>
      </c>
      <c r="C1849" t="s">
        <v>19</v>
      </c>
      <c r="D1849" t="s">
        <v>20</v>
      </c>
      <c r="E1849" t="s">
        <v>57</v>
      </c>
      <c r="F1849">
        <v>2</v>
      </c>
      <c r="G1849" s="15">
        <v>2710000</v>
      </c>
      <c r="H1849" s="14">
        <v>0.13075929750140999</v>
      </c>
      <c r="I1849" s="27">
        <f t="shared" si="28"/>
        <v>2355642.3037711792</v>
      </c>
      <c r="J1849">
        <v>4.7</v>
      </c>
      <c r="K1849" t="b">
        <v>1</v>
      </c>
    </row>
    <row r="1850" spans="1:11" ht="16" x14ac:dyDescent="0.2">
      <c r="A1850" s="16">
        <v>45432</v>
      </c>
      <c r="B1850" t="s">
        <v>18</v>
      </c>
      <c r="C1850" t="s">
        <v>34</v>
      </c>
      <c r="D1850" t="s">
        <v>20</v>
      </c>
      <c r="E1850" t="s">
        <v>57</v>
      </c>
      <c r="F1850">
        <v>5</v>
      </c>
      <c r="G1850" s="15">
        <v>2710000</v>
      </c>
      <c r="H1850" s="14">
        <v>0.13075929750140999</v>
      </c>
      <c r="I1850" s="27">
        <f t="shared" si="28"/>
        <v>2355642.3037711792</v>
      </c>
      <c r="J1850">
        <v>4.2</v>
      </c>
      <c r="K1850" t="b">
        <v>0</v>
      </c>
    </row>
    <row r="1851" spans="1:11" ht="16" x14ac:dyDescent="0.2">
      <c r="A1851" s="16">
        <v>45432</v>
      </c>
      <c r="B1851" t="s">
        <v>33</v>
      </c>
      <c r="C1851" t="s">
        <v>19</v>
      </c>
      <c r="D1851" t="s">
        <v>20</v>
      </c>
      <c r="E1851" t="s">
        <v>7641</v>
      </c>
      <c r="F1851">
        <v>2</v>
      </c>
      <c r="G1851" s="15">
        <v>2710000</v>
      </c>
      <c r="H1851" s="14">
        <v>0.13075929750140999</v>
      </c>
      <c r="I1851" s="27">
        <f t="shared" si="28"/>
        <v>2355642.3037711792</v>
      </c>
      <c r="J1851">
        <v>3.4</v>
      </c>
      <c r="K1851" t="b">
        <v>0</v>
      </c>
    </row>
    <row r="1852" spans="1:11" ht="16" x14ac:dyDescent="0.2">
      <c r="A1852" s="16">
        <v>45432</v>
      </c>
      <c r="B1852" t="s">
        <v>45</v>
      </c>
      <c r="C1852" t="s">
        <v>34</v>
      </c>
      <c r="D1852" t="s">
        <v>20</v>
      </c>
      <c r="E1852" t="s">
        <v>7637</v>
      </c>
      <c r="F1852">
        <v>1</v>
      </c>
      <c r="G1852" s="15">
        <v>2710000</v>
      </c>
      <c r="H1852" s="14">
        <v>0.13075929750140999</v>
      </c>
      <c r="I1852" s="27">
        <f t="shared" si="28"/>
        <v>2355642.3037711792</v>
      </c>
      <c r="J1852">
        <v>3.7</v>
      </c>
      <c r="K1852" t="b">
        <v>0</v>
      </c>
    </row>
    <row r="1853" spans="1:11" ht="16" x14ac:dyDescent="0.2">
      <c r="A1853" s="16">
        <v>45432</v>
      </c>
      <c r="B1853" t="s">
        <v>45</v>
      </c>
      <c r="C1853" t="s">
        <v>19</v>
      </c>
      <c r="D1853" t="s">
        <v>35</v>
      </c>
      <c r="E1853" t="s">
        <v>7639</v>
      </c>
      <c r="F1853">
        <v>1</v>
      </c>
      <c r="G1853" s="15">
        <v>2710000</v>
      </c>
      <c r="H1853" s="14">
        <v>0.13075929750140999</v>
      </c>
      <c r="I1853" s="27">
        <f t="shared" si="28"/>
        <v>2355642.3037711792</v>
      </c>
      <c r="J1853">
        <v>4.9000000000000004</v>
      </c>
      <c r="K1853" t="b">
        <v>0</v>
      </c>
    </row>
    <row r="1854" spans="1:11" ht="16" x14ac:dyDescent="0.2">
      <c r="A1854" s="16">
        <v>45433</v>
      </c>
      <c r="B1854" t="s">
        <v>18</v>
      </c>
      <c r="C1854" t="s">
        <v>39</v>
      </c>
      <c r="D1854" t="s">
        <v>50</v>
      </c>
      <c r="E1854" t="s">
        <v>7639</v>
      </c>
      <c r="F1854">
        <v>1</v>
      </c>
      <c r="G1854" s="15">
        <v>2710000</v>
      </c>
      <c r="H1854" s="14">
        <v>0.13075929750140999</v>
      </c>
      <c r="I1854" s="27">
        <f t="shared" si="28"/>
        <v>2355642.3037711792</v>
      </c>
      <c r="J1854">
        <v>4.2</v>
      </c>
      <c r="K1854" t="b">
        <v>0</v>
      </c>
    </row>
    <row r="1855" spans="1:11" ht="16" x14ac:dyDescent="0.2">
      <c r="A1855" s="16">
        <v>45433</v>
      </c>
      <c r="B1855" t="s">
        <v>29</v>
      </c>
      <c r="C1855" t="s">
        <v>19</v>
      </c>
      <c r="D1855" t="s">
        <v>35</v>
      </c>
      <c r="E1855" t="s">
        <v>7638</v>
      </c>
      <c r="F1855">
        <v>4</v>
      </c>
      <c r="G1855" s="15">
        <v>2710000</v>
      </c>
      <c r="H1855" s="14">
        <v>0.13075929750140999</v>
      </c>
      <c r="I1855" s="27">
        <f t="shared" si="28"/>
        <v>2355642.3037711792</v>
      </c>
      <c r="J1855">
        <v>4.8</v>
      </c>
      <c r="K1855" t="b">
        <v>1</v>
      </c>
    </row>
    <row r="1856" spans="1:11" ht="16" x14ac:dyDescent="0.2">
      <c r="A1856" s="16">
        <v>45433</v>
      </c>
      <c r="B1856" t="s">
        <v>45</v>
      </c>
      <c r="C1856" t="s">
        <v>19</v>
      </c>
      <c r="D1856" t="s">
        <v>20</v>
      </c>
      <c r="E1856" t="s">
        <v>7640</v>
      </c>
      <c r="F1856">
        <v>1</v>
      </c>
      <c r="G1856" s="15">
        <v>2710000</v>
      </c>
      <c r="H1856" s="14">
        <v>0.13075929750140999</v>
      </c>
      <c r="I1856" s="27">
        <f t="shared" si="28"/>
        <v>2355642.3037711792</v>
      </c>
      <c r="J1856">
        <v>3.7</v>
      </c>
      <c r="K1856" t="b">
        <v>1</v>
      </c>
    </row>
    <row r="1857" spans="1:11" ht="16" x14ac:dyDescent="0.2">
      <c r="A1857" s="16">
        <v>45433</v>
      </c>
      <c r="B1857" t="s">
        <v>29</v>
      </c>
      <c r="C1857" t="s">
        <v>39</v>
      </c>
      <c r="D1857" t="s">
        <v>50</v>
      </c>
      <c r="E1857" t="s">
        <v>7637</v>
      </c>
      <c r="F1857">
        <v>1</v>
      </c>
      <c r="G1857" s="15">
        <v>2710000</v>
      </c>
      <c r="H1857" s="14">
        <v>0.13075929750140999</v>
      </c>
      <c r="I1857" s="27">
        <f t="shared" si="28"/>
        <v>2355642.3037711792</v>
      </c>
      <c r="J1857">
        <v>4.3</v>
      </c>
      <c r="K1857" t="b">
        <v>1</v>
      </c>
    </row>
    <row r="1858" spans="1:11" ht="16" x14ac:dyDescent="0.2">
      <c r="A1858" s="16">
        <v>45433</v>
      </c>
      <c r="B1858" t="s">
        <v>18</v>
      </c>
      <c r="C1858" t="s">
        <v>19</v>
      </c>
      <c r="D1858" t="s">
        <v>50</v>
      </c>
      <c r="E1858" t="s">
        <v>57</v>
      </c>
      <c r="F1858">
        <v>2</v>
      </c>
      <c r="G1858" s="15">
        <v>2710000</v>
      </c>
      <c r="H1858" s="14">
        <v>0.13075929750140999</v>
      </c>
      <c r="I1858" s="27">
        <f t="shared" si="28"/>
        <v>2355642.3037711792</v>
      </c>
      <c r="J1858">
        <v>3.5</v>
      </c>
      <c r="K1858" t="b">
        <v>1</v>
      </c>
    </row>
    <row r="1859" spans="1:11" ht="16" x14ac:dyDescent="0.2">
      <c r="A1859" s="16">
        <v>45434</v>
      </c>
      <c r="B1859" t="s">
        <v>45</v>
      </c>
      <c r="C1859" t="s">
        <v>45</v>
      </c>
      <c r="D1859" t="s">
        <v>20</v>
      </c>
      <c r="E1859" t="s">
        <v>7643</v>
      </c>
      <c r="F1859">
        <v>3</v>
      </c>
      <c r="G1859" s="15">
        <v>2710000</v>
      </c>
      <c r="H1859" s="14">
        <v>0.13075929750140999</v>
      </c>
      <c r="I1859" s="27">
        <f t="shared" ref="I1859:I1922" si="29">G1859-G1859*H1859</f>
        <v>2355642.3037711792</v>
      </c>
      <c r="J1859">
        <v>4.0999999999999996</v>
      </c>
      <c r="K1859" t="b">
        <v>0</v>
      </c>
    </row>
    <row r="1860" spans="1:11" ht="16" x14ac:dyDescent="0.2">
      <c r="A1860" s="16">
        <v>45434</v>
      </c>
      <c r="B1860" t="s">
        <v>18</v>
      </c>
      <c r="C1860" t="s">
        <v>34</v>
      </c>
      <c r="D1860" t="s">
        <v>50</v>
      </c>
      <c r="E1860" t="s">
        <v>7641</v>
      </c>
      <c r="F1860">
        <v>4</v>
      </c>
      <c r="G1860" s="15">
        <v>2710000</v>
      </c>
      <c r="H1860" s="14">
        <v>0.13075929750140999</v>
      </c>
      <c r="I1860" s="27">
        <f t="shared" si="29"/>
        <v>2355642.3037711792</v>
      </c>
      <c r="J1860">
        <v>4</v>
      </c>
      <c r="K1860" t="b">
        <v>1</v>
      </c>
    </row>
    <row r="1861" spans="1:11" ht="16" x14ac:dyDescent="0.2">
      <c r="A1861" s="16">
        <v>45434</v>
      </c>
      <c r="B1861" t="s">
        <v>18</v>
      </c>
      <c r="C1861" t="s">
        <v>34</v>
      </c>
      <c r="D1861" t="s">
        <v>20</v>
      </c>
      <c r="E1861" t="s">
        <v>7641</v>
      </c>
      <c r="F1861">
        <v>4</v>
      </c>
      <c r="G1861" s="15">
        <v>2710000</v>
      </c>
      <c r="H1861" s="14">
        <v>0.13075929750140999</v>
      </c>
      <c r="I1861" s="27">
        <f t="shared" si="29"/>
        <v>2355642.3037711792</v>
      </c>
      <c r="J1861">
        <v>3.9</v>
      </c>
      <c r="K1861" t="b">
        <v>0</v>
      </c>
    </row>
    <row r="1862" spans="1:11" ht="16" x14ac:dyDescent="0.2">
      <c r="A1862" s="16">
        <v>45435</v>
      </c>
      <c r="B1862" t="s">
        <v>29</v>
      </c>
      <c r="C1862" t="s">
        <v>45</v>
      </c>
      <c r="D1862" t="s">
        <v>50</v>
      </c>
      <c r="E1862" t="s">
        <v>7638</v>
      </c>
      <c r="F1862">
        <v>3</v>
      </c>
      <c r="G1862" s="15">
        <v>2710000</v>
      </c>
      <c r="H1862" s="14">
        <v>0.13075929750140999</v>
      </c>
      <c r="I1862" s="27">
        <f t="shared" si="29"/>
        <v>2355642.3037711792</v>
      </c>
      <c r="J1862">
        <v>4.0999999999999996</v>
      </c>
      <c r="K1862" t="b">
        <v>0</v>
      </c>
    </row>
    <row r="1863" spans="1:11" ht="16" x14ac:dyDescent="0.2">
      <c r="A1863" s="16">
        <v>45435</v>
      </c>
      <c r="B1863" t="s">
        <v>18</v>
      </c>
      <c r="C1863" t="s">
        <v>45</v>
      </c>
      <c r="D1863" t="s">
        <v>46</v>
      </c>
      <c r="E1863" t="s">
        <v>7642</v>
      </c>
      <c r="F1863">
        <v>2</v>
      </c>
      <c r="G1863" s="15">
        <v>2710000</v>
      </c>
      <c r="H1863" s="14">
        <v>0.13075929750140999</v>
      </c>
      <c r="I1863" s="27">
        <f t="shared" si="29"/>
        <v>2355642.3037711792</v>
      </c>
      <c r="J1863">
        <v>5</v>
      </c>
      <c r="K1863" t="b">
        <v>1</v>
      </c>
    </row>
    <row r="1864" spans="1:11" ht="16" x14ac:dyDescent="0.2">
      <c r="A1864" s="16">
        <v>45435</v>
      </c>
      <c r="B1864" t="str">
        <f>B1863</f>
        <v>Young Professional</v>
      </c>
      <c r="C1864" t="s">
        <v>34</v>
      </c>
      <c r="D1864" t="s">
        <v>50</v>
      </c>
      <c r="E1864" t="s">
        <v>7638</v>
      </c>
      <c r="F1864">
        <v>2</v>
      </c>
      <c r="G1864" s="15">
        <v>2710000</v>
      </c>
      <c r="H1864" s="14">
        <v>0.13075929750140999</v>
      </c>
      <c r="I1864" s="27">
        <f t="shared" si="29"/>
        <v>2355642.3037711792</v>
      </c>
      <c r="J1864">
        <v>4.0999999999999996</v>
      </c>
      <c r="K1864" t="b">
        <v>1</v>
      </c>
    </row>
    <row r="1865" spans="1:11" ht="16" x14ac:dyDescent="0.2">
      <c r="A1865" s="16">
        <v>45435</v>
      </c>
      <c r="B1865" t="s">
        <v>33</v>
      </c>
      <c r="C1865" t="s">
        <v>39</v>
      </c>
      <c r="D1865" t="s">
        <v>20</v>
      </c>
      <c r="E1865" t="s">
        <v>7641</v>
      </c>
      <c r="F1865">
        <v>1</v>
      </c>
      <c r="G1865" s="15">
        <v>2710000</v>
      </c>
      <c r="H1865" s="14">
        <v>0.13075929750140999</v>
      </c>
      <c r="I1865" s="27">
        <f t="shared" si="29"/>
        <v>2355642.3037711792</v>
      </c>
      <c r="J1865">
        <v>4.2</v>
      </c>
      <c r="K1865" t="b">
        <v>0</v>
      </c>
    </row>
    <row r="1866" spans="1:11" ht="16" x14ac:dyDescent="0.2">
      <c r="A1866" s="16">
        <v>45436</v>
      </c>
      <c r="B1866" t="s">
        <v>33</v>
      </c>
      <c r="C1866" t="s">
        <v>45</v>
      </c>
      <c r="D1866" t="s">
        <v>20</v>
      </c>
      <c r="E1866" t="s">
        <v>7640</v>
      </c>
      <c r="F1866">
        <v>3</v>
      </c>
      <c r="G1866" s="15">
        <v>2710000</v>
      </c>
      <c r="H1866" s="14">
        <v>0.13075929750140999</v>
      </c>
      <c r="I1866" s="27">
        <f t="shared" si="29"/>
        <v>2355642.3037711792</v>
      </c>
      <c r="J1866">
        <v>4</v>
      </c>
      <c r="K1866" t="b">
        <v>0</v>
      </c>
    </row>
    <row r="1867" spans="1:11" ht="16" x14ac:dyDescent="0.2">
      <c r="A1867" s="16">
        <v>45436</v>
      </c>
      <c r="B1867" t="s">
        <v>18</v>
      </c>
      <c r="C1867" t="s">
        <v>34</v>
      </c>
      <c r="D1867" t="s">
        <v>46</v>
      </c>
      <c r="E1867" t="s">
        <v>57</v>
      </c>
      <c r="F1867">
        <v>2</v>
      </c>
      <c r="G1867" s="15">
        <v>2710000</v>
      </c>
      <c r="H1867" s="14">
        <v>0.13075929750140999</v>
      </c>
      <c r="I1867" s="27">
        <f t="shared" si="29"/>
        <v>2355642.3037711792</v>
      </c>
      <c r="J1867">
        <v>2.9</v>
      </c>
      <c r="K1867" t="b">
        <v>0</v>
      </c>
    </row>
    <row r="1868" spans="1:11" ht="16" x14ac:dyDescent="0.2">
      <c r="A1868" s="16">
        <v>45436</v>
      </c>
      <c r="B1868" t="s">
        <v>33</v>
      </c>
      <c r="C1868" t="s">
        <v>45</v>
      </c>
      <c r="D1868" t="s">
        <v>35</v>
      </c>
      <c r="E1868" t="s">
        <v>7637</v>
      </c>
      <c r="F1868">
        <v>4</v>
      </c>
      <c r="G1868" s="15">
        <v>2710000</v>
      </c>
      <c r="H1868" s="14">
        <v>0.13075929750140999</v>
      </c>
      <c r="I1868" s="27">
        <f t="shared" si="29"/>
        <v>2355642.3037711792</v>
      </c>
      <c r="J1868">
        <v>5</v>
      </c>
      <c r="K1868" t="b">
        <v>0</v>
      </c>
    </row>
    <row r="1869" spans="1:11" ht="16" x14ac:dyDescent="0.2">
      <c r="A1869" s="16">
        <v>45436</v>
      </c>
      <c r="B1869" t="s">
        <v>29</v>
      </c>
      <c r="C1869" t="s">
        <v>19</v>
      </c>
      <c r="D1869" t="s">
        <v>20</v>
      </c>
      <c r="E1869" t="s">
        <v>7637</v>
      </c>
      <c r="F1869">
        <v>1</v>
      </c>
      <c r="G1869" s="15">
        <v>2710000</v>
      </c>
      <c r="H1869" s="14">
        <v>0.13075929750140999</v>
      </c>
      <c r="I1869" s="27">
        <f t="shared" si="29"/>
        <v>2355642.3037711792</v>
      </c>
      <c r="J1869">
        <v>4.2</v>
      </c>
      <c r="K1869" t="b">
        <v>0</v>
      </c>
    </row>
    <row r="1870" spans="1:11" ht="16" x14ac:dyDescent="0.2">
      <c r="A1870" s="16">
        <v>45436</v>
      </c>
      <c r="B1870" t="s">
        <v>29</v>
      </c>
      <c r="C1870" t="s">
        <v>34</v>
      </c>
      <c r="D1870" t="s">
        <v>20</v>
      </c>
      <c r="E1870" t="s">
        <v>7641</v>
      </c>
      <c r="F1870">
        <v>1</v>
      </c>
      <c r="G1870" s="15">
        <v>2710000</v>
      </c>
      <c r="H1870" s="14">
        <v>0.13075929750140999</v>
      </c>
      <c r="I1870" s="27">
        <f t="shared" si="29"/>
        <v>2355642.3037711792</v>
      </c>
      <c r="J1870">
        <v>3.9</v>
      </c>
      <c r="K1870" t="b">
        <v>0</v>
      </c>
    </row>
    <row r="1871" spans="1:11" ht="16" x14ac:dyDescent="0.2">
      <c r="A1871" s="16">
        <v>45436</v>
      </c>
      <c r="B1871" t="s">
        <v>18</v>
      </c>
      <c r="C1871" t="s">
        <v>45</v>
      </c>
      <c r="D1871" t="s">
        <v>20</v>
      </c>
      <c r="E1871" t="s">
        <v>7638</v>
      </c>
      <c r="F1871">
        <v>2</v>
      </c>
      <c r="G1871" s="15">
        <v>2710000</v>
      </c>
      <c r="H1871" s="14">
        <v>0.13075929750140999</v>
      </c>
      <c r="I1871" s="27">
        <f t="shared" si="29"/>
        <v>2355642.3037711792</v>
      </c>
      <c r="J1871">
        <v>4.7</v>
      </c>
      <c r="K1871" t="b">
        <v>1</v>
      </c>
    </row>
    <row r="1872" spans="1:11" ht="16" x14ac:dyDescent="0.2">
      <c r="A1872" s="16">
        <v>45437</v>
      </c>
      <c r="B1872" t="s">
        <v>45</v>
      </c>
      <c r="C1872" t="s">
        <v>39</v>
      </c>
      <c r="D1872" t="s">
        <v>35</v>
      </c>
      <c r="E1872" t="s">
        <v>7642</v>
      </c>
      <c r="F1872">
        <v>2</v>
      </c>
      <c r="G1872" s="15">
        <v>2710000</v>
      </c>
      <c r="H1872" s="14">
        <v>0.13075929750140999</v>
      </c>
      <c r="I1872" s="27">
        <f t="shared" si="29"/>
        <v>2355642.3037711792</v>
      </c>
      <c r="J1872">
        <v>4.8</v>
      </c>
      <c r="K1872" t="b">
        <v>0</v>
      </c>
    </row>
    <row r="1873" spans="1:11" ht="16" x14ac:dyDescent="0.2">
      <c r="A1873" s="16">
        <v>45437</v>
      </c>
      <c r="B1873" t="s">
        <v>33</v>
      </c>
      <c r="C1873" t="s">
        <v>45</v>
      </c>
      <c r="D1873" t="s">
        <v>20</v>
      </c>
      <c r="E1873" t="s">
        <v>57</v>
      </c>
      <c r="F1873">
        <v>2</v>
      </c>
      <c r="G1873" s="15">
        <v>2710000</v>
      </c>
      <c r="H1873" s="14">
        <v>0.13075929750140999</v>
      </c>
      <c r="I1873" s="27">
        <f t="shared" si="29"/>
        <v>2355642.3037711792</v>
      </c>
      <c r="J1873">
        <v>3.9</v>
      </c>
      <c r="K1873" t="b">
        <v>1</v>
      </c>
    </row>
    <row r="1874" spans="1:11" ht="16" x14ac:dyDescent="0.2">
      <c r="A1874" s="16">
        <v>45437</v>
      </c>
      <c r="B1874" t="s">
        <v>45</v>
      </c>
      <c r="C1874" t="s">
        <v>25</v>
      </c>
      <c r="D1874" t="s">
        <v>20</v>
      </c>
      <c r="E1874" t="s">
        <v>99</v>
      </c>
      <c r="F1874">
        <v>4</v>
      </c>
      <c r="G1874" s="15">
        <v>2710000</v>
      </c>
      <c r="H1874" s="14">
        <v>0.13075929750140999</v>
      </c>
      <c r="I1874" s="27">
        <f t="shared" si="29"/>
        <v>2355642.3037711792</v>
      </c>
      <c r="J1874">
        <v>4.2</v>
      </c>
      <c r="K1874" t="b">
        <v>1</v>
      </c>
    </row>
    <row r="1875" spans="1:11" ht="16" x14ac:dyDescent="0.2">
      <c r="A1875" s="16">
        <v>45437</v>
      </c>
      <c r="B1875" t="s">
        <v>18</v>
      </c>
      <c r="C1875" t="s">
        <v>34</v>
      </c>
      <c r="D1875" t="s">
        <v>50</v>
      </c>
      <c r="E1875" t="s">
        <v>57</v>
      </c>
      <c r="F1875">
        <v>3</v>
      </c>
      <c r="G1875" s="15">
        <v>2710000</v>
      </c>
      <c r="H1875" s="14">
        <v>0.13075929750140999</v>
      </c>
      <c r="I1875" s="27">
        <f t="shared" si="29"/>
        <v>2355642.3037711792</v>
      </c>
      <c r="J1875">
        <v>4</v>
      </c>
      <c r="K1875" t="b">
        <v>0</v>
      </c>
    </row>
    <row r="1876" spans="1:11" ht="16" x14ac:dyDescent="0.2">
      <c r="A1876" s="16">
        <v>45438</v>
      </c>
      <c r="B1876" t="s">
        <v>33</v>
      </c>
      <c r="C1876" t="s">
        <v>68</v>
      </c>
      <c r="D1876" t="s">
        <v>20</v>
      </c>
      <c r="E1876" t="s">
        <v>7637</v>
      </c>
      <c r="F1876">
        <v>1</v>
      </c>
      <c r="G1876" s="15">
        <v>2710000</v>
      </c>
      <c r="H1876" s="14">
        <v>0.13075929750140999</v>
      </c>
      <c r="I1876" s="27">
        <f t="shared" si="29"/>
        <v>2355642.3037711792</v>
      </c>
      <c r="J1876">
        <v>5</v>
      </c>
      <c r="K1876" t="b">
        <v>1</v>
      </c>
    </row>
    <row r="1877" spans="1:11" ht="16" x14ac:dyDescent="0.2">
      <c r="A1877" s="16">
        <v>45438</v>
      </c>
      <c r="B1877" t="s">
        <v>18</v>
      </c>
      <c r="C1877" t="s">
        <v>19</v>
      </c>
      <c r="D1877" t="s">
        <v>35</v>
      </c>
      <c r="E1877" t="s">
        <v>7643</v>
      </c>
      <c r="F1877">
        <v>2</v>
      </c>
      <c r="G1877" s="15">
        <v>2710000</v>
      </c>
      <c r="H1877" s="14">
        <v>0.13075929750140999</v>
      </c>
      <c r="I1877" s="27">
        <f t="shared" si="29"/>
        <v>2355642.3037711792</v>
      </c>
      <c r="J1877">
        <v>4</v>
      </c>
      <c r="K1877" t="b">
        <v>0</v>
      </c>
    </row>
    <row r="1878" spans="1:11" ht="16" x14ac:dyDescent="0.2">
      <c r="A1878" s="16">
        <v>45438</v>
      </c>
      <c r="B1878" t="s">
        <v>33</v>
      </c>
      <c r="C1878" t="s">
        <v>34</v>
      </c>
      <c r="D1878" t="s">
        <v>50</v>
      </c>
      <c r="E1878" t="s">
        <v>7639</v>
      </c>
      <c r="F1878">
        <v>1</v>
      </c>
      <c r="G1878" s="15">
        <v>2710000</v>
      </c>
      <c r="H1878" s="14">
        <v>0.13075929750140999</v>
      </c>
      <c r="I1878" s="27">
        <f t="shared" si="29"/>
        <v>2355642.3037711792</v>
      </c>
      <c r="J1878">
        <v>4.5</v>
      </c>
      <c r="K1878" t="b">
        <v>0</v>
      </c>
    </row>
    <row r="1879" spans="1:11" ht="16" x14ac:dyDescent="0.2">
      <c r="A1879" s="16">
        <v>45438</v>
      </c>
      <c r="B1879" t="s">
        <v>45</v>
      </c>
      <c r="C1879" t="s">
        <v>25</v>
      </c>
      <c r="D1879" t="s">
        <v>35</v>
      </c>
      <c r="E1879" t="s">
        <v>7642</v>
      </c>
      <c r="F1879">
        <v>1</v>
      </c>
      <c r="G1879" s="15">
        <v>2710000</v>
      </c>
      <c r="H1879" s="14">
        <v>0.13075929750140999</v>
      </c>
      <c r="I1879" s="27">
        <f t="shared" si="29"/>
        <v>2355642.3037711792</v>
      </c>
      <c r="J1879">
        <v>4</v>
      </c>
      <c r="K1879" t="b">
        <v>1</v>
      </c>
    </row>
    <row r="1880" spans="1:11" ht="16" x14ac:dyDescent="0.2">
      <c r="A1880" s="16">
        <v>45438</v>
      </c>
      <c r="B1880" t="s">
        <v>29</v>
      </c>
      <c r="C1880" t="s">
        <v>34</v>
      </c>
      <c r="D1880" t="s">
        <v>20</v>
      </c>
      <c r="E1880" t="s">
        <v>7641</v>
      </c>
      <c r="F1880">
        <v>2</v>
      </c>
      <c r="G1880" s="15">
        <v>2710000</v>
      </c>
      <c r="H1880" s="14">
        <v>0.13075929750140999</v>
      </c>
      <c r="I1880" s="27">
        <f t="shared" si="29"/>
        <v>2355642.3037711792</v>
      </c>
      <c r="J1880">
        <v>3.2</v>
      </c>
      <c r="K1880" t="b">
        <v>0</v>
      </c>
    </row>
    <row r="1881" spans="1:11" ht="16" x14ac:dyDescent="0.2">
      <c r="A1881" s="16">
        <v>45438</v>
      </c>
      <c r="B1881" t="s">
        <v>33</v>
      </c>
      <c r="C1881" t="s">
        <v>25</v>
      </c>
      <c r="D1881" t="s">
        <v>35</v>
      </c>
      <c r="E1881" t="s">
        <v>7641</v>
      </c>
      <c r="F1881">
        <v>1</v>
      </c>
      <c r="G1881" s="15">
        <v>2710000</v>
      </c>
      <c r="H1881" s="14">
        <v>0.13075929750140999</v>
      </c>
      <c r="I1881" s="27">
        <f t="shared" si="29"/>
        <v>2355642.3037711792</v>
      </c>
      <c r="J1881">
        <v>4.2</v>
      </c>
      <c r="K1881" t="b">
        <v>0</v>
      </c>
    </row>
    <row r="1882" spans="1:11" ht="16" x14ac:dyDescent="0.2">
      <c r="A1882" s="16">
        <v>45438</v>
      </c>
      <c r="B1882" t="s">
        <v>18</v>
      </c>
      <c r="C1882" t="s">
        <v>34</v>
      </c>
      <c r="D1882" t="s">
        <v>50</v>
      </c>
      <c r="E1882" t="s">
        <v>99</v>
      </c>
      <c r="F1882">
        <v>3</v>
      </c>
      <c r="G1882" s="15">
        <v>2710000</v>
      </c>
      <c r="H1882" s="14">
        <v>0.13075929750140999</v>
      </c>
      <c r="I1882" s="27">
        <f t="shared" si="29"/>
        <v>2355642.3037711792</v>
      </c>
      <c r="J1882">
        <v>4.7</v>
      </c>
      <c r="K1882" t="b">
        <v>1</v>
      </c>
    </row>
    <row r="1883" spans="1:11" ht="16" x14ac:dyDescent="0.2">
      <c r="A1883" s="16">
        <v>45439</v>
      </c>
      <c r="B1883" t="s">
        <v>18</v>
      </c>
      <c r="C1883" t="s">
        <v>34</v>
      </c>
      <c r="D1883" t="s">
        <v>35</v>
      </c>
      <c r="E1883" t="s">
        <v>7637</v>
      </c>
      <c r="F1883">
        <v>1</v>
      </c>
      <c r="G1883" s="15">
        <v>2710000</v>
      </c>
      <c r="H1883" s="14">
        <v>0.13075929750140999</v>
      </c>
      <c r="I1883" s="27">
        <f t="shared" si="29"/>
        <v>2355642.3037711792</v>
      </c>
      <c r="J1883">
        <v>5</v>
      </c>
      <c r="K1883" t="b">
        <v>1</v>
      </c>
    </row>
    <row r="1884" spans="1:11" ht="16" x14ac:dyDescent="0.2">
      <c r="A1884" s="16">
        <v>45440</v>
      </c>
      <c r="B1884" t="s">
        <v>33</v>
      </c>
      <c r="C1884" t="s">
        <v>68</v>
      </c>
      <c r="D1884" t="str">
        <f>D1883</f>
        <v>Mobile App</v>
      </c>
      <c r="E1884" t="s">
        <v>7643</v>
      </c>
      <c r="F1884">
        <v>2</v>
      </c>
      <c r="G1884" s="15">
        <v>2710000</v>
      </c>
      <c r="H1884" s="14">
        <v>0.13075929750140999</v>
      </c>
      <c r="I1884" s="27">
        <f t="shared" si="29"/>
        <v>2355642.3037711792</v>
      </c>
      <c r="J1884">
        <v>4</v>
      </c>
      <c r="K1884" t="b">
        <v>1</v>
      </c>
    </row>
    <row r="1885" spans="1:11" ht="16" x14ac:dyDescent="0.2">
      <c r="A1885" s="16">
        <v>45441</v>
      </c>
      <c r="B1885" t="s">
        <v>45</v>
      </c>
      <c r="C1885" t="s">
        <v>34</v>
      </c>
      <c r="D1885" t="s">
        <v>20</v>
      </c>
      <c r="E1885" t="s">
        <v>7644</v>
      </c>
      <c r="F1885">
        <v>1</v>
      </c>
      <c r="G1885" s="15">
        <v>2710000</v>
      </c>
      <c r="H1885" s="14">
        <v>0.13075929750140999</v>
      </c>
      <c r="I1885" s="27">
        <f t="shared" si="29"/>
        <v>2355642.3037711792</v>
      </c>
      <c r="J1885">
        <v>4.4000000000000004</v>
      </c>
      <c r="K1885" t="b">
        <v>1</v>
      </c>
    </row>
    <row r="1886" spans="1:11" ht="16" x14ac:dyDescent="0.2">
      <c r="A1886" s="16">
        <v>45441</v>
      </c>
      <c r="B1886" t="s">
        <v>33</v>
      </c>
      <c r="C1886" t="s">
        <v>25</v>
      </c>
      <c r="D1886" t="s">
        <v>20</v>
      </c>
      <c r="E1886" t="s">
        <v>7642</v>
      </c>
      <c r="F1886">
        <v>1</v>
      </c>
      <c r="G1886" s="15">
        <v>2710000</v>
      </c>
      <c r="H1886" s="14">
        <v>0.13075929750140999</v>
      </c>
      <c r="I1886" s="27">
        <f t="shared" si="29"/>
        <v>2355642.3037711792</v>
      </c>
      <c r="J1886">
        <v>3.6</v>
      </c>
      <c r="K1886" t="b">
        <v>1</v>
      </c>
    </row>
    <row r="1887" spans="1:11" ht="16" x14ac:dyDescent="0.2">
      <c r="A1887" s="16">
        <v>45441</v>
      </c>
      <c r="B1887" t="s">
        <v>18</v>
      </c>
      <c r="C1887" t="s">
        <v>25</v>
      </c>
      <c r="D1887" t="s">
        <v>35</v>
      </c>
      <c r="E1887" t="s">
        <v>7644</v>
      </c>
      <c r="F1887">
        <v>3</v>
      </c>
      <c r="G1887" s="15">
        <v>2710000</v>
      </c>
      <c r="H1887" s="14">
        <v>0.13075929750140999</v>
      </c>
      <c r="I1887" s="27">
        <f t="shared" si="29"/>
        <v>2355642.3037711792</v>
      </c>
      <c r="J1887">
        <v>3.6</v>
      </c>
      <c r="K1887" t="b">
        <v>1</v>
      </c>
    </row>
    <row r="1888" spans="1:11" ht="16" x14ac:dyDescent="0.2">
      <c r="A1888" s="16">
        <v>45441</v>
      </c>
      <c r="B1888" t="s">
        <v>33</v>
      </c>
      <c r="C1888" t="s">
        <v>25</v>
      </c>
      <c r="D1888" t="s">
        <v>20</v>
      </c>
      <c r="E1888" t="s">
        <v>7644</v>
      </c>
      <c r="F1888">
        <v>1</v>
      </c>
      <c r="G1888" s="15">
        <v>2710000</v>
      </c>
      <c r="H1888" s="14">
        <v>0.13075929750140999</v>
      </c>
      <c r="I1888" s="27">
        <f t="shared" si="29"/>
        <v>2355642.3037711792</v>
      </c>
      <c r="J1888">
        <v>5</v>
      </c>
      <c r="K1888" t="b">
        <v>1</v>
      </c>
    </row>
    <row r="1889" spans="1:11" ht="16" x14ac:dyDescent="0.2">
      <c r="A1889" s="16">
        <v>45441</v>
      </c>
      <c r="B1889" t="s">
        <v>18</v>
      </c>
      <c r="C1889" t="s">
        <v>19</v>
      </c>
      <c r="D1889" t="s">
        <v>35</v>
      </c>
      <c r="E1889" t="s">
        <v>7644</v>
      </c>
      <c r="F1889">
        <v>3</v>
      </c>
      <c r="G1889" s="15">
        <v>2710000</v>
      </c>
      <c r="H1889" s="14">
        <v>0.13075929750140999</v>
      </c>
      <c r="I1889" s="27">
        <f t="shared" si="29"/>
        <v>2355642.3037711792</v>
      </c>
      <c r="J1889">
        <v>4.2</v>
      </c>
      <c r="K1889" t="b">
        <v>0</v>
      </c>
    </row>
    <row r="1890" spans="1:11" ht="16" x14ac:dyDescent="0.2">
      <c r="A1890" s="16">
        <v>45441</v>
      </c>
      <c r="B1890" t="s">
        <v>18</v>
      </c>
      <c r="C1890" t="s">
        <v>39</v>
      </c>
      <c r="D1890" t="s">
        <v>50</v>
      </c>
      <c r="E1890" t="s">
        <v>7641</v>
      </c>
      <c r="F1890">
        <v>4</v>
      </c>
      <c r="G1890" s="15">
        <v>2710000</v>
      </c>
      <c r="H1890" s="14">
        <v>0.13075929750140999</v>
      </c>
      <c r="I1890" s="27">
        <f t="shared" si="29"/>
        <v>2355642.3037711792</v>
      </c>
      <c r="J1890">
        <v>4.7</v>
      </c>
      <c r="K1890" t="b">
        <v>0</v>
      </c>
    </row>
    <row r="1891" spans="1:11" ht="16" x14ac:dyDescent="0.2">
      <c r="A1891" s="16">
        <v>45441</v>
      </c>
      <c r="B1891" t="s">
        <v>18</v>
      </c>
      <c r="C1891" t="s">
        <v>19</v>
      </c>
      <c r="D1891" t="s">
        <v>50</v>
      </c>
      <c r="E1891" t="s">
        <v>7638</v>
      </c>
      <c r="F1891">
        <v>1</v>
      </c>
      <c r="G1891" s="15">
        <v>2710000</v>
      </c>
      <c r="H1891" s="14">
        <v>0.13075929750140999</v>
      </c>
      <c r="I1891" s="27">
        <f t="shared" si="29"/>
        <v>2355642.3037711792</v>
      </c>
      <c r="J1891">
        <v>4.5999999999999996</v>
      </c>
      <c r="K1891" t="b">
        <v>1</v>
      </c>
    </row>
    <row r="1892" spans="1:11" ht="16" x14ac:dyDescent="0.2">
      <c r="A1892" s="16">
        <v>45441</v>
      </c>
      <c r="B1892" t="s">
        <v>33</v>
      </c>
      <c r="C1892" t="s">
        <v>25</v>
      </c>
      <c r="D1892" t="s">
        <v>35</v>
      </c>
      <c r="E1892" t="s">
        <v>57</v>
      </c>
      <c r="F1892">
        <v>4</v>
      </c>
      <c r="G1892" s="15">
        <v>2710000</v>
      </c>
      <c r="H1892" s="14">
        <v>0.13075929750140999</v>
      </c>
      <c r="I1892" s="27">
        <f t="shared" si="29"/>
        <v>2355642.3037711792</v>
      </c>
      <c r="J1892">
        <v>5</v>
      </c>
      <c r="K1892" t="b">
        <v>1</v>
      </c>
    </row>
    <row r="1893" spans="1:11" ht="16" x14ac:dyDescent="0.2">
      <c r="A1893" s="16">
        <v>45442</v>
      </c>
      <c r="B1893" t="s">
        <v>45</v>
      </c>
      <c r="C1893" t="s">
        <v>19</v>
      </c>
      <c r="D1893" t="s">
        <v>20</v>
      </c>
      <c r="E1893" t="s">
        <v>57</v>
      </c>
      <c r="F1893">
        <v>2</v>
      </c>
      <c r="G1893" s="15">
        <v>2710000</v>
      </c>
      <c r="H1893" s="14">
        <v>0.13075929750140999</v>
      </c>
      <c r="I1893" s="27">
        <f t="shared" si="29"/>
        <v>2355642.3037711792</v>
      </c>
      <c r="J1893">
        <v>4</v>
      </c>
      <c r="K1893" t="b">
        <v>1</v>
      </c>
    </row>
    <row r="1894" spans="1:11" ht="16" x14ac:dyDescent="0.2">
      <c r="A1894" s="16">
        <v>45442</v>
      </c>
      <c r="B1894" t="s">
        <v>18</v>
      </c>
      <c r="C1894" t="s">
        <v>34</v>
      </c>
      <c r="D1894" t="s">
        <v>20</v>
      </c>
      <c r="E1894" t="s">
        <v>7643</v>
      </c>
      <c r="F1894">
        <v>1</v>
      </c>
      <c r="G1894" s="15">
        <v>2710000</v>
      </c>
      <c r="H1894" s="14">
        <v>0.13075929750140999</v>
      </c>
      <c r="I1894" s="27">
        <f t="shared" si="29"/>
        <v>2355642.3037711792</v>
      </c>
      <c r="J1894">
        <v>4.4000000000000004</v>
      </c>
      <c r="K1894" t="b">
        <v>1</v>
      </c>
    </row>
    <row r="1895" spans="1:11" ht="16" x14ac:dyDescent="0.2">
      <c r="A1895" s="16">
        <v>45442</v>
      </c>
      <c r="B1895" t="s">
        <v>45</v>
      </c>
      <c r="C1895" t="s">
        <v>19</v>
      </c>
      <c r="D1895" t="s">
        <v>20</v>
      </c>
      <c r="E1895" t="s">
        <v>7637</v>
      </c>
      <c r="F1895">
        <v>1</v>
      </c>
      <c r="G1895" s="15">
        <v>2710000</v>
      </c>
      <c r="H1895" s="14">
        <v>0.13075929750140999</v>
      </c>
      <c r="I1895" s="27">
        <f t="shared" si="29"/>
        <v>2355642.3037711792</v>
      </c>
      <c r="J1895">
        <v>3.7</v>
      </c>
      <c r="K1895" t="b">
        <v>1</v>
      </c>
    </row>
    <row r="1896" spans="1:11" ht="16" x14ac:dyDescent="0.2">
      <c r="A1896" s="16">
        <v>45442</v>
      </c>
      <c r="B1896" t="s">
        <v>18</v>
      </c>
      <c r="C1896" t="s">
        <v>34</v>
      </c>
      <c r="D1896" t="s">
        <v>20</v>
      </c>
      <c r="E1896" t="s">
        <v>7642</v>
      </c>
      <c r="F1896">
        <v>1</v>
      </c>
      <c r="G1896" s="15">
        <v>2710000</v>
      </c>
      <c r="H1896" s="14">
        <v>0.13075929750140999</v>
      </c>
      <c r="I1896" s="27">
        <f t="shared" si="29"/>
        <v>2355642.3037711792</v>
      </c>
      <c r="J1896">
        <v>3.7</v>
      </c>
      <c r="K1896" t="b">
        <v>0</v>
      </c>
    </row>
    <row r="1897" spans="1:11" ht="16" x14ac:dyDescent="0.2">
      <c r="A1897" s="16">
        <v>45443</v>
      </c>
      <c r="B1897" t="s">
        <v>33</v>
      </c>
      <c r="C1897" t="s">
        <v>45</v>
      </c>
      <c r="D1897" t="s">
        <v>20</v>
      </c>
      <c r="E1897" t="s">
        <v>7640</v>
      </c>
      <c r="F1897">
        <v>2</v>
      </c>
      <c r="G1897" s="15">
        <v>2710000</v>
      </c>
      <c r="H1897" s="14">
        <v>0.13075929750140999</v>
      </c>
      <c r="I1897" s="27">
        <f t="shared" si="29"/>
        <v>2355642.3037711792</v>
      </c>
      <c r="J1897">
        <v>4.7</v>
      </c>
      <c r="K1897" t="b">
        <v>1</v>
      </c>
    </row>
    <row r="1898" spans="1:11" ht="16" x14ac:dyDescent="0.2">
      <c r="A1898" s="16">
        <v>45443</v>
      </c>
      <c r="B1898" t="s">
        <v>18</v>
      </c>
      <c r="C1898" t="s">
        <v>19</v>
      </c>
      <c r="D1898" t="s">
        <v>50</v>
      </c>
      <c r="E1898" t="s">
        <v>7638</v>
      </c>
      <c r="F1898">
        <v>4</v>
      </c>
      <c r="G1898" s="15">
        <v>2710000</v>
      </c>
      <c r="H1898" s="14">
        <v>0.13075929750140999</v>
      </c>
      <c r="I1898" s="27">
        <f t="shared" si="29"/>
        <v>2355642.3037711792</v>
      </c>
      <c r="J1898">
        <v>4.5999999999999996</v>
      </c>
      <c r="K1898" t="b">
        <v>0</v>
      </c>
    </row>
    <row r="1899" spans="1:11" ht="16" x14ac:dyDescent="0.2">
      <c r="A1899" s="16">
        <v>45443</v>
      </c>
      <c r="B1899" t="s">
        <v>18</v>
      </c>
      <c r="C1899" t="s">
        <v>34</v>
      </c>
      <c r="D1899" t="s">
        <v>20</v>
      </c>
      <c r="E1899" t="s">
        <v>7638</v>
      </c>
      <c r="F1899">
        <v>1</v>
      </c>
      <c r="G1899" s="15">
        <v>2710000</v>
      </c>
      <c r="H1899" s="14">
        <v>0.13075929750140999</v>
      </c>
      <c r="I1899" s="27">
        <f t="shared" si="29"/>
        <v>2355642.3037711792</v>
      </c>
      <c r="J1899">
        <v>3.8</v>
      </c>
      <c r="K1899" t="b">
        <v>1</v>
      </c>
    </row>
    <row r="1900" spans="1:11" ht="16" x14ac:dyDescent="0.2">
      <c r="A1900" s="16">
        <v>45444</v>
      </c>
      <c r="B1900" t="s">
        <v>33</v>
      </c>
      <c r="C1900" t="s">
        <v>34</v>
      </c>
      <c r="D1900" t="s">
        <v>20</v>
      </c>
      <c r="E1900" t="s">
        <v>7637</v>
      </c>
      <c r="F1900">
        <v>1</v>
      </c>
      <c r="G1900" s="15">
        <v>2710000</v>
      </c>
      <c r="H1900" s="14">
        <v>0.13075929750140999</v>
      </c>
      <c r="I1900" s="27">
        <f t="shared" si="29"/>
        <v>2355642.3037711792</v>
      </c>
      <c r="J1900">
        <v>4.3</v>
      </c>
      <c r="K1900" t="b">
        <v>0</v>
      </c>
    </row>
    <row r="1901" spans="1:11" ht="16" x14ac:dyDescent="0.2">
      <c r="A1901" s="16">
        <v>45444</v>
      </c>
      <c r="B1901" t="s">
        <v>18</v>
      </c>
      <c r="C1901" t="s">
        <v>34</v>
      </c>
      <c r="D1901" t="s">
        <v>50</v>
      </c>
      <c r="E1901" t="s">
        <v>7641</v>
      </c>
      <c r="F1901">
        <v>2</v>
      </c>
      <c r="G1901" s="15">
        <v>2710000</v>
      </c>
      <c r="H1901" s="14">
        <v>0.13075929750140999</v>
      </c>
      <c r="I1901" s="27">
        <f t="shared" si="29"/>
        <v>2355642.3037711792</v>
      </c>
      <c r="J1901">
        <v>4.3</v>
      </c>
      <c r="K1901" t="b">
        <v>0</v>
      </c>
    </row>
    <row r="1902" spans="1:11" ht="16" x14ac:dyDescent="0.2">
      <c r="A1902" s="16">
        <v>45444</v>
      </c>
      <c r="B1902" t="s">
        <v>45</v>
      </c>
      <c r="C1902" t="s">
        <v>68</v>
      </c>
      <c r="D1902" t="s">
        <v>20</v>
      </c>
      <c r="E1902" t="s">
        <v>7640</v>
      </c>
      <c r="F1902">
        <v>3</v>
      </c>
      <c r="G1902" s="15">
        <v>2710000</v>
      </c>
      <c r="H1902" s="14">
        <v>0.13075929750140999</v>
      </c>
      <c r="I1902" s="27">
        <f t="shared" si="29"/>
        <v>2355642.3037711792</v>
      </c>
      <c r="J1902">
        <v>5</v>
      </c>
      <c r="K1902" t="b">
        <v>0</v>
      </c>
    </row>
    <row r="1903" spans="1:11" ht="16" x14ac:dyDescent="0.2">
      <c r="A1903" s="16">
        <v>45444</v>
      </c>
      <c r="B1903" t="s">
        <v>33</v>
      </c>
      <c r="C1903" t="s">
        <v>68</v>
      </c>
      <c r="D1903" t="s">
        <v>50</v>
      </c>
      <c r="E1903" t="s">
        <v>7639</v>
      </c>
      <c r="F1903">
        <v>1</v>
      </c>
      <c r="G1903" s="15">
        <v>2710000</v>
      </c>
      <c r="H1903" s="14">
        <v>0.13075929750140999</v>
      </c>
      <c r="I1903" s="27">
        <f t="shared" si="29"/>
        <v>2355642.3037711792</v>
      </c>
      <c r="J1903">
        <v>5</v>
      </c>
      <c r="K1903" t="b">
        <v>0</v>
      </c>
    </row>
    <row r="1904" spans="1:11" ht="16" x14ac:dyDescent="0.2">
      <c r="A1904" s="16">
        <v>45444</v>
      </c>
      <c r="B1904" t="s">
        <v>18</v>
      </c>
      <c r="C1904" t="s">
        <v>25</v>
      </c>
      <c r="D1904" t="s">
        <v>35</v>
      </c>
      <c r="E1904" t="s">
        <v>7643</v>
      </c>
      <c r="F1904">
        <v>2</v>
      </c>
      <c r="G1904" s="15">
        <v>2710000</v>
      </c>
      <c r="H1904" s="14">
        <v>0.13075929750140999</v>
      </c>
      <c r="I1904" s="27">
        <f t="shared" si="29"/>
        <v>2355642.3037711792</v>
      </c>
      <c r="J1904">
        <v>5</v>
      </c>
      <c r="K1904" t="b">
        <v>0</v>
      </c>
    </row>
    <row r="1905" spans="1:11" ht="16" x14ac:dyDescent="0.2">
      <c r="A1905" s="16">
        <v>45444</v>
      </c>
      <c r="B1905" t="s">
        <v>45</v>
      </c>
      <c r="C1905" t="s">
        <v>25</v>
      </c>
      <c r="D1905" t="s">
        <v>20</v>
      </c>
      <c r="E1905" t="s">
        <v>7637</v>
      </c>
      <c r="F1905">
        <v>1</v>
      </c>
      <c r="G1905" s="15">
        <v>2710000</v>
      </c>
      <c r="H1905" s="14">
        <v>0.13075929750140999</v>
      </c>
      <c r="I1905" s="27">
        <f t="shared" si="29"/>
        <v>2355642.3037711792</v>
      </c>
      <c r="J1905">
        <v>3.4</v>
      </c>
      <c r="K1905" t="b">
        <v>0</v>
      </c>
    </row>
    <row r="1906" spans="1:11" ht="16" x14ac:dyDescent="0.2">
      <c r="A1906" s="16">
        <v>45444</v>
      </c>
      <c r="B1906" t="s">
        <v>45</v>
      </c>
      <c r="C1906" t="s">
        <v>19</v>
      </c>
      <c r="D1906" t="s">
        <v>50</v>
      </c>
      <c r="E1906" t="s">
        <v>7643</v>
      </c>
      <c r="F1906">
        <v>2</v>
      </c>
      <c r="G1906" s="15">
        <v>2710000</v>
      </c>
      <c r="H1906" s="14">
        <v>0.13075929750140999</v>
      </c>
      <c r="I1906" s="27">
        <f t="shared" si="29"/>
        <v>2355642.3037711792</v>
      </c>
      <c r="J1906">
        <v>4.7</v>
      </c>
      <c r="K1906" t="b">
        <v>1</v>
      </c>
    </row>
    <row r="1907" spans="1:11" ht="16" x14ac:dyDescent="0.2">
      <c r="A1907" s="16">
        <v>45445</v>
      </c>
      <c r="B1907" t="s">
        <v>18</v>
      </c>
      <c r="C1907" t="s">
        <v>45</v>
      </c>
      <c r="D1907" t="s">
        <v>46</v>
      </c>
      <c r="E1907" t="s">
        <v>7640</v>
      </c>
      <c r="F1907">
        <v>3</v>
      </c>
      <c r="G1907" s="15">
        <v>2710000</v>
      </c>
      <c r="H1907" s="14">
        <v>0.13075929750140999</v>
      </c>
      <c r="I1907" s="27">
        <f t="shared" si="29"/>
        <v>2355642.3037711792</v>
      </c>
      <c r="J1907">
        <v>4.4000000000000004</v>
      </c>
      <c r="K1907" t="b">
        <v>0</v>
      </c>
    </row>
    <row r="1908" spans="1:11" ht="16" x14ac:dyDescent="0.2">
      <c r="A1908" s="16">
        <v>45445</v>
      </c>
      <c r="B1908" t="s">
        <v>33</v>
      </c>
      <c r="C1908" t="s">
        <v>34</v>
      </c>
      <c r="D1908" t="s">
        <v>50</v>
      </c>
      <c r="E1908" t="s">
        <v>7638</v>
      </c>
      <c r="F1908">
        <v>3</v>
      </c>
      <c r="G1908" s="15">
        <v>2710000</v>
      </c>
      <c r="H1908" s="14">
        <v>0.13075929750140999</v>
      </c>
      <c r="I1908" s="27">
        <f t="shared" si="29"/>
        <v>2355642.3037711792</v>
      </c>
      <c r="J1908">
        <v>3.6</v>
      </c>
      <c r="K1908" t="b">
        <v>0</v>
      </c>
    </row>
    <row r="1909" spans="1:11" ht="16" x14ac:dyDescent="0.2">
      <c r="A1909" s="16">
        <v>45445</v>
      </c>
      <c r="B1909" t="s">
        <v>45</v>
      </c>
      <c r="C1909" t="s">
        <v>19</v>
      </c>
      <c r="D1909" t="s">
        <v>35</v>
      </c>
      <c r="E1909" t="s">
        <v>57</v>
      </c>
      <c r="F1909">
        <v>2</v>
      </c>
      <c r="G1909" s="15">
        <v>2710000</v>
      </c>
      <c r="H1909" s="14">
        <v>0.13075929750140999</v>
      </c>
      <c r="I1909" s="27">
        <f t="shared" si="29"/>
        <v>2355642.3037711792</v>
      </c>
      <c r="J1909">
        <v>4.5999999999999996</v>
      </c>
      <c r="K1909" t="b">
        <v>1</v>
      </c>
    </row>
    <row r="1910" spans="1:11" ht="16" x14ac:dyDescent="0.2">
      <c r="A1910" s="16">
        <v>45445</v>
      </c>
      <c r="B1910" t="str">
        <f>B1909</f>
        <v>Family</v>
      </c>
      <c r="C1910" t="s">
        <v>19</v>
      </c>
      <c r="D1910" t="s">
        <v>20</v>
      </c>
      <c r="E1910" t="s">
        <v>7643</v>
      </c>
      <c r="F1910">
        <v>3</v>
      </c>
      <c r="G1910" s="15">
        <v>2710000</v>
      </c>
      <c r="H1910" s="14">
        <v>0.13075929750140999</v>
      </c>
      <c r="I1910" s="27">
        <f t="shared" si="29"/>
        <v>2355642.3037711792</v>
      </c>
      <c r="J1910">
        <v>3.9</v>
      </c>
      <c r="K1910" t="b">
        <v>1</v>
      </c>
    </row>
    <row r="1911" spans="1:11" ht="16" x14ac:dyDescent="0.2">
      <c r="A1911" s="16">
        <v>45445</v>
      </c>
      <c r="B1911" t="s">
        <v>45</v>
      </c>
      <c r="C1911" t="s">
        <v>19</v>
      </c>
      <c r="D1911" t="s">
        <v>50</v>
      </c>
      <c r="E1911" t="s">
        <v>7643</v>
      </c>
      <c r="F1911">
        <v>2</v>
      </c>
      <c r="G1911" s="15">
        <v>2710000</v>
      </c>
      <c r="H1911" s="14">
        <v>0.13075929750140999</v>
      </c>
      <c r="I1911" s="27">
        <f t="shared" si="29"/>
        <v>2355642.3037711792</v>
      </c>
      <c r="J1911">
        <v>4.2</v>
      </c>
      <c r="K1911" t="b">
        <v>0</v>
      </c>
    </row>
    <row r="1912" spans="1:11" ht="16" x14ac:dyDescent="0.2">
      <c r="A1912" s="16">
        <v>45445</v>
      </c>
      <c r="B1912" t="s">
        <v>18</v>
      </c>
      <c r="C1912" t="s">
        <v>19</v>
      </c>
      <c r="D1912" t="s">
        <v>50</v>
      </c>
      <c r="E1912" t="s">
        <v>7642</v>
      </c>
      <c r="F1912">
        <v>1</v>
      </c>
      <c r="G1912" s="15">
        <v>2710000</v>
      </c>
      <c r="H1912" s="14">
        <v>0.13075929750140999</v>
      </c>
      <c r="I1912" s="27">
        <f t="shared" si="29"/>
        <v>2355642.3037711792</v>
      </c>
      <c r="J1912">
        <v>3.9</v>
      </c>
      <c r="K1912" t="b">
        <v>1</v>
      </c>
    </row>
    <row r="1913" spans="1:11" ht="16" x14ac:dyDescent="0.2">
      <c r="A1913" s="16">
        <v>45445</v>
      </c>
      <c r="B1913" t="s">
        <v>45</v>
      </c>
      <c r="C1913" t="s">
        <v>68</v>
      </c>
      <c r="D1913" t="s">
        <v>20</v>
      </c>
      <c r="E1913" t="s">
        <v>57</v>
      </c>
      <c r="F1913">
        <v>1</v>
      </c>
      <c r="G1913" s="15">
        <v>2710000</v>
      </c>
      <c r="H1913" s="14">
        <v>0.13075929750140999</v>
      </c>
      <c r="I1913" s="27">
        <f t="shared" si="29"/>
        <v>2355642.3037711792</v>
      </c>
      <c r="J1913">
        <v>4.9000000000000004</v>
      </c>
      <c r="K1913" t="b">
        <v>1</v>
      </c>
    </row>
    <row r="1914" spans="1:11" ht="16" x14ac:dyDescent="0.2">
      <c r="A1914" s="16">
        <v>45446</v>
      </c>
      <c r="B1914" t="s">
        <v>45</v>
      </c>
      <c r="C1914" t="s">
        <v>25</v>
      </c>
      <c r="D1914" t="s">
        <v>50</v>
      </c>
      <c r="E1914" t="s">
        <v>7641</v>
      </c>
      <c r="F1914">
        <v>4</v>
      </c>
      <c r="G1914" s="15">
        <v>2710000</v>
      </c>
      <c r="H1914" s="14">
        <v>0.13075929750140999</v>
      </c>
      <c r="I1914" s="27">
        <f t="shared" si="29"/>
        <v>2355642.3037711792</v>
      </c>
      <c r="J1914">
        <v>4.8</v>
      </c>
      <c r="K1914" t="b">
        <v>1</v>
      </c>
    </row>
    <row r="1915" spans="1:11" ht="16" x14ac:dyDescent="0.2">
      <c r="A1915" s="16">
        <v>45446</v>
      </c>
      <c r="B1915" t="s">
        <v>33</v>
      </c>
      <c r="C1915" t="s">
        <v>19</v>
      </c>
      <c r="D1915" t="s">
        <v>35</v>
      </c>
      <c r="E1915" t="s">
        <v>7641</v>
      </c>
      <c r="F1915">
        <v>4</v>
      </c>
      <c r="G1915" s="15">
        <v>2710000</v>
      </c>
      <c r="H1915" s="14">
        <v>0.13075929750140999</v>
      </c>
      <c r="I1915" s="27">
        <f t="shared" si="29"/>
        <v>2355642.3037711792</v>
      </c>
      <c r="J1915">
        <v>4</v>
      </c>
      <c r="K1915" t="b">
        <v>1</v>
      </c>
    </row>
    <row r="1916" spans="1:11" ht="16" x14ac:dyDescent="0.2">
      <c r="A1916" s="16">
        <v>45446</v>
      </c>
      <c r="B1916" t="s">
        <v>18</v>
      </c>
      <c r="C1916" t="s">
        <v>19</v>
      </c>
      <c r="D1916" t="s">
        <v>20</v>
      </c>
      <c r="E1916" t="s">
        <v>7643</v>
      </c>
      <c r="F1916">
        <v>2</v>
      </c>
      <c r="G1916" s="15">
        <v>2710000</v>
      </c>
      <c r="H1916" s="14">
        <v>0.13075929750140999</v>
      </c>
      <c r="I1916" s="27">
        <f t="shared" si="29"/>
        <v>2355642.3037711792</v>
      </c>
      <c r="J1916">
        <v>3.2</v>
      </c>
      <c r="K1916" t="b">
        <v>1</v>
      </c>
    </row>
    <row r="1917" spans="1:11" ht="16" x14ac:dyDescent="0.2">
      <c r="A1917" s="16">
        <v>45446</v>
      </c>
      <c r="B1917" t="s">
        <v>45</v>
      </c>
      <c r="C1917" t="s">
        <v>19</v>
      </c>
      <c r="D1917" t="s">
        <v>35</v>
      </c>
      <c r="E1917" t="s">
        <v>7640</v>
      </c>
      <c r="F1917">
        <v>2</v>
      </c>
      <c r="G1917" s="15">
        <v>2710000</v>
      </c>
      <c r="H1917" s="14">
        <v>0.13075929750140999</v>
      </c>
      <c r="I1917" s="27">
        <f t="shared" si="29"/>
        <v>2355642.3037711792</v>
      </c>
      <c r="J1917">
        <v>3.5</v>
      </c>
      <c r="K1917" t="b">
        <v>1</v>
      </c>
    </row>
    <row r="1918" spans="1:11" ht="16" x14ac:dyDescent="0.2">
      <c r="A1918" s="16">
        <v>45446</v>
      </c>
      <c r="B1918" t="s">
        <v>45</v>
      </c>
      <c r="C1918" t="s">
        <v>34</v>
      </c>
      <c r="D1918" t="s">
        <v>50</v>
      </c>
      <c r="E1918" t="s">
        <v>99</v>
      </c>
      <c r="F1918">
        <v>2</v>
      </c>
      <c r="G1918" s="15">
        <v>2710000</v>
      </c>
      <c r="H1918" s="14">
        <v>0.13075929750140999</v>
      </c>
      <c r="I1918" s="27">
        <f t="shared" si="29"/>
        <v>2355642.3037711792</v>
      </c>
      <c r="J1918">
        <v>3.2</v>
      </c>
      <c r="K1918" t="b">
        <v>1</v>
      </c>
    </row>
    <row r="1919" spans="1:11" ht="16" x14ac:dyDescent="0.2">
      <c r="A1919" s="16">
        <v>45447</v>
      </c>
      <c r="B1919" t="s">
        <v>18</v>
      </c>
      <c r="C1919" t="s">
        <v>19</v>
      </c>
      <c r="D1919" t="s">
        <v>35</v>
      </c>
      <c r="E1919" t="s">
        <v>57</v>
      </c>
      <c r="F1919">
        <v>3</v>
      </c>
      <c r="G1919" s="15">
        <v>2710000</v>
      </c>
      <c r="H1919" s="14">
        <v>0.13075929750140999</v>
      </c>
      <c r="I1919" s="27">
        <f t="shared" si="29"/>
        <v>2355642.3037711792</v>
      </c>
      <c r="J1919">
        <v>3.5</v>
      </c>
      <c r="K1919" t="b">
        <v>0</v>
      </c>
    </row>
    <row r="1920" spans="1:11" ht="16" x14ac:dyDescent="0.2">
      <c r="A1920" s="16">
        <v>45447</v>
      </c>
      <c r="B1920" t="s">
        <v>33</v>
      </c>
      <c r="C1920" t="s">
        <v>19</v>
      </c>
      <c r="D1920" t="s">
        <v>20</v>
      </c>
      <c r="E1920" t="s">
        <v>7637</v>
      </c>
      <c r="F1920">
        <v>1</v>
      </c>
      <c r="G1920" s="15">
        <v>2710000</v>
      </c>
      <c r="H1920" s="14">
        <v>0.13075929750140999</v>
      </c>
      <c r="I1920" s="27">
        <f t="shared" si="29"/>
        <v>2355642.3037711792</v>
      </c>
      <c r="J1920">
        <v>4.0999999999999996</v>
      </c>
      <c r="K1920" t="b">
        <v>0</v>
      </c>
    </row>
    <row r="1921" spans="1:11" ht="16" x14ac:dyDescent="0.2">
      <c r="A1921" s="16">
        <v>45448</v>
      </c>
      <c r="B1921" t="s">
        <v>33</v>
      </c>
      <c r="C1921" t="s">
        <v>39</v>
      </c>
      <c r="D1921" t="s">
        <v>35</v>
      </c>
      <c r="E1921" t="s">
        <v>7640</v>
      </c>
      <c r="F1921">
        <v>2</v>
      </c>
      <c r="G1921" s="15">
        <v>2710000</v>
      </c>
      <c r="H1921" s="14">
        <v>0.13075929750140999</v>
      </c>
      <c r="I1921" s="27">
        <f t="shared" si="29"/>
        <v>2355642.3037711792</v>
      </c>
      <c r="J1921">
        <v>4.8</v>
      </c>
      <c r="K1921" t="b">
        <v>1</v>
      </c>
    </row>
    <row r="1922" spans="1:11" ht="16" x14ac:dyDescent="0.2">
      <c r="A1922" s="16">
        <v>45448</v>
      </c>
      <c r="B1922" t="s">
        <v>45</v>
      </c>
      <c r="C1922" t="s">
        <v>25</v>
      </c>
      <c r="D1922" t="s">
        <v>46</v>
      </c>
      <c r="E1922" t="s">
        <v>57</v>
      </c>
      <c r="F1922">
        <v>1</v>
      </c>
      <c r="G1922" s="15">
        <v>2710000</v>
      </c>
      <c r="H1922" s="14">
        <v>0.13075929750140999</v>
      </c>
      <c r="I1922" s="27">
        <f t="shared" si="29"/>
        <v>2355642.3037711792</v>
      </c>
      <c r="J1922">
        <v>4.0999999999999996</v>
      </c>
      <c r="K1922" t="b">
        <v>1</v>
      </c>
    </row>
    <row r="1923" spans="1:11" ht="16" x14ac:dyDescent="0.2">
      <c r="A1923" s="16">
        <v>45449</v>
      </c>
      <c r="B1923" t="s">
        <v>33</v>
      </c>
      <c r="C1923" t="s">
        <v>34</v>
      </c>
      <c r="D1923" t="s">
        <v>20</v>
      </c>
      <c r="E1923" t="str">
        <f>E1922</f>
        <v>Nha Trang</v>
      </c>
      <c r="F1923">
        <v>1</v>
      </c>
      <c r="G1923" s="15">
        <v>2710000</v>
      </c>
      <c r="H1923" s="14">
        <v>0.13075929750140999</v>
      </c>
      <c r="I1923" s="27">
        <f t="shared" ref="I1923:I1986" si="30">G1923-G1923*H1923</f>
        <v>2355642.3037711792</v>
      </c>
      <c r="J1923">
        <v>4.5999999999999996</v>
      </c>
      <c r="K1923" t="b">
        <v>1</v>
      </c>
    </row>
    <row r="1924" spans="1:11" ht="16" x14ac:dyDescent="0.2">
      <c r="A1924" s="16">
        <v>45449</v>
      </c>
      <c r="B1924" t="s">
        <v>45</v>
      </c>
      <c r="C1924" t="s">
        <v>39</v>
      </c>
      <c r="D1924" t="s">
        <v>20</v>
      </c>
      <c r="E1924" t="s">
        <v>7643</v>
      </c>
      <c r="F1924">
        <v>1</v>
      </c>
      <c r="G1924" s="15">
        <v>2710000</v>
      </c>
      <c r="H1924" s="14">
        <v>0.13075929750140999</v>
      </c>
      <c r="I1924" s="27">
        <f t="shared" si="30"/>
        <v>2355642.3037711792</v>
      </c>
      <c r="J1924">
        <v>4.7</v>
      </c>
      <c r="K1924" t="b">
        <v>1</v>
      </c>
    </row>
    <row r="1925" spans="1:11" ht="16" x14ac:dyDescent="0.2">
      <c r="A1925" s="16">
        <v>45449</v>
      </c>
      <c r="B1925" t="s">
        <v>45</v>
      </c>
      <c r="C1925" t="s">
        <v>19</v>
      </c>
      <c r="D1925" t="str">
        <f>D1924</f>
        <v>Website</v>
      </c>
      <c r="E1925" t="s">
        <v>99</v>
      </c>
      <c r="F1925">
        <v>2</v>
      </c>
      <c r="G1925" s="15">
        <v>2710000</v>
      </c>
      <c r="H1925" s="14">
        <v>0.13075929750140999</v>
      </c>
      <c r="I1925" s="27">
        <f t="shared" si="30"/>
        <v>2355642.3037711792</v>
      </c>
      <c r="J1925">
        <v>3.6</v>
      </c>
      <c r="K1925" t="b">
        <v>0</v>
      </c>
    </row>
    <row r="1926" spans="1:11" ht="16" x14ac:dyDescent="0.2">
      <c r="A1926" s="16">
        <v>45450</v>
      </c>
      <c r="B1926" t="s">
        <v>29</v>
      </c>
      <c r="C1926" t="s">
        <v>19</v>
      </c>
      <c r="D1926" t="s">
        <v>50</v>
      </c>
      <c r="E1926" t="s">
        <v>7644</v>
      </c>
      <c r="F1926">
        <v>2</v>
      </c>
      <c r="G1926" s="15">
        <v>2710000</v>
      </c>
      <c r="H1926" s="14">
        <v>0.13075929750140999</v>
      </c>
      <c r="I1926" s="27">
        <f t="shared" si="30"/>
        <v>2355642.3037711792</v>
      </c>
      <c r="J1926">
        <v>3.5</v>
      </c>
      <c r="K1926" t="b">
        <v>0</v>
      </c>
    </row>
    <row r="1927" spans="1:11" ht="16" x14ac:dyDescent="0.2">
      <c r="A1927" s="16">
        <v>45450</v>
      </c>
      <c r="B1927" t="s">
        <v>18</v>
      </c>
      <c r="C1927" t="s">
        <v>68</v>
      </c>
      <c r="D1927" t="s">
        <v>20</v>
      </c>
      <c r="E1927" t="s">
        <v>7641</v>
      </c>
      <c r="F1927">
        <v>2</v>
      </c>
      <c r="G1927" s="15">
        <v>2710000</v>
      </c>
      <c r="H1927" s="14">
        <v>0.13075929750140999</v>
      </c>
      <c r="I1927" s="27">
        <f t="shared" si="30"/>
        <v>2355642.3037711792</v>
      </c>
      <c r="J1927">
        <v>4.0999999999999996</v>
      </c>
      <c r="K1927" t="b">
        <v>1</v>
      </c>
    </row>
    <row r="1928" spans="1:11" ht="16" x14ac:dyDescent="0.2">
      <c r="A1928" s="16">
        <v>45451</v>
      </c>
      <c r="B1928" t="s">
        <v>45</v>
      </c>
      <c r="C1928" t="s">
        <v>19</v>
      </c>
      <c r="D1928" t="s">
        <v>20</v>
      </c>
      <c r="E1928" t="s">
        <v>7640</v>
      </c>
      <c r="F1928">
        <v>2</v>
      </c>
      <c r="G1928" s="15">
        <v>2710000</v>
      </c>
      <c r="H1928" s="14">
        <v>0.13075929750140999</v>
      </c>
      <c r="I1928" s="27">
        <f t="shared" si="30"/>
        <v>2355642.3037711792</v>
      </c>
      <c r="J1928">
        <v>3.9</v>
      </c>
      <c r="K1928" t="b">
        <v>0</v>
      </c>
    </row>
    <row r="1929" spans="1:11" ht="16" x14ac:dyDescent="0.2">
      <c r="A1929" s="16">
        <v>45451</v>
      </c>
      <c r="B1929" t="s">
        <v>18</v>
      </c>
      <c r="C1929" t="s">
        <v>19</v>
      </c>
      <c r="D1929" t="s">
        <v>20</v>
      </c>
      <c r="E1929" t="s">
        <v>7637</v>
      </c>
      <c r="F1929">
        <v>1</v>
      </c>
      <c r="G1929" s="15">
        <v>2710000</v>
      </c>
      <c r="H1929" s="14">
        <v>0.13075929750140999</v>
      </c>
      <c r="I1929" s="27">
        <f t="shared" si="30"/>
        <v>2355642.3037711792</v>
      </c>
      <c r="J1929">
        <v>4.3</v>
      </c>
      <c r="K1929" t="b">
        <v>0</v>
      </c>
    </row>
    <row r="1930" spans="1:11" ht="16" x14ac:dyDescent="0.2">
      <c r="A1930" s="16">
        <v>45452</v>
      </c>
      <c r="B1930" t="s">
        <v>18</v>
      </c>
      <c r="C1930" t="s">
        <v>39</v>
      </c>
      <c r="D1930" t="s">
        <v>20</v>
      </c>
      <c r="E1930" t="s">
        <v>7638</v>
      </c>
      <c r="F1930">
        <v>2</v>
      </c>
      <c r="G1930" s="15">
        <v>2710000</v>
      </c>
      <c r="H1930" s="14">
        <v>0.13075929750140999</v>
      </c>
      <c r="I1930" s="27">
        <f t="shared" si="30"/>
        <v>2355642.3037711792</v>
      </c>
      <c r="J1930">
        <v>3.6</v>
      </c>
      <c r="K1930" t="b">
        <v>1</v>
      </c>
    </row>
    <row r="1931" spans="1:11" ht="16" x14ac:dyDescent="0.2">
      <c r="A1931" s="16">
        <v>45452</v>
      </c>
      <c r="B1931" t="s">
        <v>45</v>
      </c>
      <c r="C1931" t="s">
        <v>45</v>
      </c>
      <c r="D1931" t="s">
        <v>20</v>
      </c>
      <c r="E1931" t="s">
        <v>99</v>
      </c>
      <c r="F1931">
        <v>5</v>
      </c>
      <c r="G1931" s="15">
        <v>2710000</v>
      </c>
      <c r="H1931" s="14">
        <v>0.13075929750140999</v>
      </c>
      <c r="I1931" s="27">
        <f t="shared" si="30"/>
        <v>2355642.3037711792</v>
      </c>
      <c r="J1931">
        <v>4.8</v>
      </c>
      <c r="K1931" t="b">
        <v>0</v>
      </c>
    </row>
    <row r="1932" spans="1:11" ht="16" x14ac:dyDescent="0.2">
      <c r="A1932" s="16">
        <v>45452</v>
      </c>
      <c r="B1932" t="s">
        <v>45</v>
      </c>
      <c r="C1932" t="s">
        <v>34</v>
      </c>
      <c r="D1932" t="s">
        <v>50</v>
      </c>
      <c r="E1932" t="s">
        <v>99</v>
      </c>
      <c r="F1932">
        <v>1</v>
      </c>
      <c r="G1932" s="15">
        <v>2710000</v>
      </c>
      <c r="H1932" s="14">
        <v>0.13075929750140999</v>
      </c>
      <c r="I1932" s="27">
        <f t="shared" si="30"/>
        <v>2355642.3037711792</v>
      </c>
      <c r="J1932">
        <v>3.4</v>
      </c>
      <c r="K1932" t="b">
        <v>0</v>
      </c>
    </row>
    <row r="1933" spans="1:11" ht="16" x14ac:dyDescent="0.2">
      <c r="A1933" s="16">
        <v>45452</v>
      </c>
      <c r="B1933" t="s">
        <v>18</v>
      </c>
      <c r="C1933" t="s">
        <v>34</v>
      </c>
      <c r="D1933" t="s">
        <v>35</v>
      </c>
      <c r="E1933" t="s">
        <v>7643</v>
      </c>
      <c r="F1933">
        <v>1</v>
      </c>
      <c r="G1933" s="15">
        <v>2710000</v>
      </c>
      <c r="H1933" s="14">
        <v>0.13075929750140999</v>
      </c>
      <c r="I1933" s="27">
        <f t="shared" si="30"/>
        <v>2355642.3037711792</v>
      </c>
      <c r="J1933">
        <v>4.4000000000000004</v>
      </c>
      <c r="K1933" t="b">
        <v>0</v>
      </c>
    </row>
    <row r="1934" spans="1:11" ht="16" x14ac:dyDescent="0.2">
      <c r="A1934" s="16">
        <v>45452</v>
      </c>
      <c r="B1934" t="s">
        <v>29</v>
      </c>
      <c r="C1934" t="s">
        <v>34</v>
      </c>
      <c r="D1934" t="s">
        <v>20</v>
      </c>
      <c r="E1934" t="s">
        <v>7638</v>
      </c>
      <c r="F1934">
        <v>1</v>
      </c>
      <c r="G1934" s="15">
        <v>2710000</v>
      </c>
      <c r="H1934" s="14">
        <v>0.13075929750140999</v>
      </c>
      <c r="I1934" s="27">
        <f t="shared" si="30"/>
        <v>2355642.3037711792</v>
      </c>
      <c r="J1934">
        <v>4.8</v>
      </c>
      <c r="K1934" t="b">
        <v>1</v>
      </c>
    </row>
    <row r="1935" spans="1:11" ht="16" x14ac:dyDescent="0.2">
      <c r="A1935" s="16">
        <v>45452</v>
      </c>
      <c r="B1935" t="s">
        <v>45</v>
      </c>
      <c r="C1935" t="s">
        <v>19</v>
      </c>
      <c r="D1935" t="s">
        <v>50</v>
      </c>
      <c r="E1935" t="s">
        <v>7639</v>
      </c>
      <c r="F1935">
        <v>2</v>
      </c>
      <c r="G1935" s="15">
        <v>2710000</v>
      </c>
      <c r="H1935" s="14">
        <v>0.13075929750140999</v>
      </c>
      <c r="I1935" s="27">
        <f t="shared" si="30"/>
        <v>2355642.3037711792</v>
      </c>
      <c r="J1935">
        <v>3.9</v>
      </c>
      <c r="K1935" t="b">
        <v>1</v>
      </c>
    </row>
    <row r="1936" spans="1:11" ht="16" x14ac:dyDescent="0.2">
      <c r="A1936" s="16">
        <v>45452</v>
      </c>
      <c r="B1936" t="s">
        <v>18</v>
      </c>
      <c r="C1936" t="s">
        <v>19</v>
      </c>
      <c r="D1936" t="s">
        <v>20</v>
      </c>
      <c r="E1936" t="s">
        <v>7638</v>
      </c>
      <c r="F1936">
        <v>1</v>
      </c>
      <c r="G1936" s="15">
        <v>2710000</v>
      </c>
      <c r="H1936" s="14">
        <v>0.13075929750140999</v>
      </c>
      <c r="I1936" s="27">
        <f t="shared" si="30"/>
        <v>2355642.3037711792</v>
      </c>
      <c r="J1936">
        <v>4.7</v>
      </c>
      <c r="K1936" t="b">
        <v>0</v>
      </c>
    </row>
    <row r="1937" spans="1:11" ht="16" x14ac:dyDescent="0.2">
      <c r="A1937" s="16">
        <v>45452</v>
      </c>
      <c r="B1937" t="s">
        <v>18</v>
      </c>
      <c r="C1937" t="s">
        <v>34</v>
      </c>
      <c r="D1937" t="s">
        <v>50</v>
      </c>
      <c r="E1937" t="s">
        <v>7637</v>
      </c>
      <c r="F1937">
        <v>2</v>
      </c>
      <c r="G1937" s="15">
        <v>2710000</v>
      </c>
      <c r="H1937" s="14">
        <v>0.13075929750140999</v>
      </c>
      <c r="I1937" s="27">
        <f t="shared" si="30"/>
        <v>2355642.3037711792</v>
      </c>
      <c r="J1937">
        <v>4</v>
      </c>
      <c r="K1937" t="b">
        <v>1</v>
      </c>
    </row>
    <row r="1938" spans="1:11" ht="16" x14ac:dyDescent="0.2">
      <c r="A1938" s="16">
        <v>45453</v>
      </c>
      <c r="B1938" t="s">
        <v>33</v>
      </c>
      <c r="C1938" t="s">
        <v>19</v>
      </c>
      <c r="D1938" t="s">
        <v>35</v>
      </c>
      <c r="E1938" t="s">
        <v>7638</v>
      </c>
      <c r="F1938">
        <v>2</v>
      </c>
      <c r="G1938" s="15">
        <v>2710000</v>
      </c>
      <c r="H1938" s="14">
        <v>0.13075929750140999</v>
      </c>
      <c r="I1938" s="27">
        <f t="shared" si="30"/>
        <v>2355642.3037711792</v>
      </c>
      <c r="J1938">
        <v>4.7</v>
      </c>
      <c r="K1938" t="b">
        <v>0</v>
      </c>
    </row>
    <row r="1939" spans="1:11" ht="16" x14ac:dyDescent="0.2">
      <c r="A1939" s="16">
        <v>45453</v>
      </c>
      <c r="B1939" t="s">
        <v>29</v>
      </c>
      <c r="C1939" t="s">
        <v>34</v>
      </c>
      <c r="D1939" t="s">
        <v>20</v>
      </c>
      <c r="E1939" t="s">
        <v>99</v>
      </c>
      <c r="F1939">
        <v>3</v>
      </c>
      <c r="G1939" s="15">
        <v>2710000</v>
      </c>
      <c r="H1939" s="14">
        <v>0.13075929750140999</v>
      </c>
      <c r="I1939" s="27">
        <f t="shared" si="30"/>
        <v>2355642.3037711792</v>
      </c>
      <c r="J1939">
        <v>4.2</v>
      </c>
      <c r="K1939" t="b">
        <v>0</v>
      </c>
    </row>
    <row r="1940" spans="1:11" ht="16" x14ac:dyDescent="0.2">
      <c r="A1940" s="16">
        <v>45453</v>
      </c>
      <c r="B1940" t="s">
        <v>29</v>
      </c>
      <c r="C1940" t="s">
        <v>34</v>
      </c>
      <c r="D1940" t="s">
        <v>35</v>
      </c>
      <c r="E1940" t="s">
        <v>57</v>
      </c>
      <c r="F1940">
        <v>2</v>
      </c>
      <c r="G1940" s="15">
        <v>2710000</v>
      </c>
      <c r="H1940" s="14">
        <v>0.13075929750140999</v>
      </c>
      <c r="I1940" s="27">
        <f t="shared" si="30"/>
        <v>2355642.3037711792</v>
      </c>
      <c r="J1940">
        <v>3.9</v>
      </c>
      <c r="K1940" t="b">
        <v>0</v>
      </c>
    </row>
    <row r="1941" spans="1:11" ht="16" x14ac:dyDescent="0.2">
      <c r="A1941" s="16">
        <v>45453</v>
      </c>
      <c r="B1941" t="s">
        <v>18</v>
      </c>
      <c r="C1941" t="s">
        <v>19</v>
      </c>
      <c r="D1941" t="s">
        <v>35</v>
      </c>
      <c r="E1941" t="s">
        <v>99</v>
      </c>
      <c r="F1941">
        <v>2</v>
      </c>
      <c r="G1941" s="15">
        <v>2710000</v>
      </c>
      <c r="H1941" s="14">
        <v>0.13075929750140999</v>
      </c>
      <c r="I1941" s="27">
        <f t="shared" si="30"/>
        <v>2355642.3037711792</v>
      </c>
      <c r="J1941">
        <v>4.0999999999999996</v>
      </c>
      <c r="K1941" t="b">
        <v>1</v>
      </c>
    </row>
    <row r="1942" spans="1:11" ht="16" x14ac:dyDescent="0.2">
      <c r="A1942" s="16">
        <v>45453</v>
      </c>
      <c r="B1942" t="s">
        <v>18</v>
      </c>
      <c r="C1942" t="s">
        <v>34</v>
      </c>
      <c r="D1942" t="str">
        <f>D1941</f>
        <v>Mobile App</v>
      </c>
      <c r="E1942" t="s">
        <v>7639</v>
      </c>
      <c r="F1942">
        <v>1</v>
      </c>
      <c r="G1942" s="15">
        <v>2710000</v>
      </c>
      <c r="H1942" s="14">
        <v>0.13075929750140999</v>
      </c>
      <c r="I1942" s="27">
        <f t="shared" si="30"/>
        <v>2355642.3037711792</v>
      </c>
      <c r="J1942">
        <v>4.2</v>
      </c>
      <c r="K1942" t="b">
        <v>1</v>
      </c>
    </row>
    <row r="1943" spans="1:11" ht="16" x14ac:dyDescent="0.2">
      <c r="A1943" s="16">
        <v>45453</v>
      </c>
      <c r="B1943" t="s">
        <v>33</v>
      </c>
      <c r="C1943" t="s">
        <v>45</v>
      </c>
      <c r="D1943" t="str">
        <f>D1942</f>
        <v>Mobile App</v>
      </c>
      <c r="E1943" t="s">
        <v>7641</v>
      </c>
      <c r="F1943">
        <v>2</v>
      </c>
      <c r="G1943" s="15">
        <v>2710000</v>
      </c>
      <c r="H1943" s="14">
        <v>0.13075929750140999</v>
      </c>
      <c r="I1943" s="27">
        <f t="shared" si="30"/>
        <v>2355642.3037711792</v>
      </c>
      <c r="J1943">
        <v>4</v>
      </c>
      <c r="K1943" t="b">
        <v>0</v>
      </c>
    </row>
    <row r="1944" spans="1:11" ht="16" x14ac:dyDescent="0.2">
      <c r="A1944" s="16">
        <v>45454</v>
      </c>
      <c r="B1944" t="s">
        <v>33</v>
      </c>
      <c r="C1944" t="s">
        <v>19</v>
      </c>
      <c r="D1944" t="s">
        <v>35</v>
      </c>
      <c r="E1944" t="s">
        <v>7641</v>
      </c>
      <c r="F1944">
        <v>1</v>
      </c>
      <c r="G1944" s="15">
        <v>2710000</v>
      </c>
      <c r="H1944" s="14">
        <v>0.13075929750140999</v>
      </c>
      <c r="I1944" s="27">
        <f t="shared" si="30"/>
        <v>2355642.3037711792</v>
      </c>
      <c r="J1944">
        <v>5</v>
      </c>
      <c r="K1944" t="b">
        <v>1</v>
      </c>
    </row>
    <row r="1945" spans="1:11" ht="16" x14ac:dyDescent="0.2">
      <c r="A1945" s="16">
        <v>45454</v>
      </c>
      <c r="B1945" t="s">
        <v>29</v>
      </c>
      <c r="C1945" t="s">
        <v>34</v>
      </c>
      <c r="D1945" t="s">
        <v>35</v>
      </c>
      <c r="E1945" t="s">
        <v>7638</v>
      </c>
      <c r="F1945">
        <v>5</v>
      </c>
      <c r="G1945" s="15">
        <v>2710000</v>
      </c>
      <c r="H1945" s="14">
        <v>0.13075929750140999</v>
      </c>
      <c r="I1945" s="27">
        <f t="shared" si="30"/>
        <v>2355642.3037711792</v>
      </c>
      <c r="J1945">
        <v>3.8</v>
      </c>
      <c r="K1945" t="b">
        <v>1</v>
      </c>
    </row>
    <row r="1946" spans="1:11" ht="16" x14ac:dyDescent="0.2">
      <c r="A1946" s="16">
        <v>45454</v>
      </c>
      <c r="B1946" t="s">
        <v>33</v>
      </c>
      <c r="C1946" t="s">
        <v>34</v>
      </c>
      <c r="D1946" t="s">
        <v>50</v>
      </c>
      <c r="E1946" t="str">
        <f>E1945</f>
        <v>Đà Lạt</v>
      </c>
      <c r="F1946">
        <v>5</v>
      </c>
      <c r="G1946" s="15">
        <v>2710000</v>
      </c>
      <c r="H1946" s="14">
        <v>0.13075929750140999</v>
      </c>
      <c r="I1946" s="27">
        <f t="shared" si="30"/>
        <v>2355642.3037711792</v>
      </c>
      <c r="J1946">
        <v>3.8</v>
      </c>
      <c r="K1946" t="b">
        <v>0</v>
      </c>
    </row>
    <row r="1947" spans="1:11" ht="16" x14ac:dyDescent="0.2">
      <c r="A1947" s="16">
        <v>45454</v>
      </c>
      <c r="B1947" t="s">
        <v>33</v>
      </c>
      <c r="C1947" t="s">
        <v>68</v>
      </c>
      <c r="D1947" t="s">
        <v>20</v>
      </c>
      <c r="E1947" t="s">
        <v>99</v>
      </c>
      <c r="F1947">
        <v>3</v>
      </c>
      <c r="G1947" s="15">
        <v>2710000</v>
      </c>
      <c r="H1947" s="14">
        <v>0.13075929750140999</v>
      </c>
      <c r="I1947" s="27">
        <f t="shared" si="30"/>
        <v>2355642.3037711792</v>
      </c>
      <c r="J1947">
        <f>J1946</f>
        <v>3.8</v>
      </c>
      <c r="K1947" t="b">
        <v>0</v>
      </c>
    </row>
    <row r="1948" spans="1:11" ht="16" x14ac:dyDescent="0.2">
      <c r="A1948" s="16">
        <v>45455</v>
      </c>
      <c r="B1948" t="s">
        <v>45</v>
      </c>
      <c r="C1948" t="s">
        <v>25</v>
      </c>
      <c r="D1948" t="s">
        <v>20</v>
      </c>
      <c r="E1948" t="s">
        <v>7641</v>
      </c>
      <c r="F1948">
        <v>1</v>
      </c>
      <c r="G1948" s="15">
        <v>2710000</v>
      </c>
      <c r="H1948" s="14">
        <v>0.13075929750140999</v>
      </c>
      <c r="I1948" s="27">
        <f t="shared" si="30"/>
        <v>2355642.3037711792</v>
      </c>
      <c r="J1948">
        <v>3.9</v>
      </c>
      <c r="K1948" t="b">
        <v>1</v>
      </c>
    </row>
    <row r="1949" spans="1:11" ht="16" x14ac:dyDescent="0.2">
      <c r="A1949" s="16">
        <v>45455</v>
      </c>
      <c r="B1949" t="s">
        <v>45</v>
      </c>
      <c r="C1949" t="s">
        <v>39</v>
      </c>
      <c r="D1949" t="s">
        <v>50</v>
      </c>
      <c r="E1949" t="s">
        <v>7642</v>
      </c>
      <c r="F1949">
        <v>2</v>
      </c>
      <c r="G1949" s="15">
        <v>2710000</v>
      </c>
      <c r="H1949" s="14">
        <v>0.13075929750140999</v>
      </c>
      <c r="I1949" s="27">
        <f t="shared" si="30"/>
        <v>2355642.3037711792</v>
      </c>
      <c r="J1949">
        <v>3.8</v>
      </c>
      <c r="K1949" t="b">
        <v>1</v>
      </c>
    </row>
    <row r="1950" spans="1:11" ht="16" x14ac:dyDescent="0.2">
      <c r="A1950" s="16">
        <v>45455</v>
      </c>
      <c r="B1950" t="s">
        <v>18</v>
      </c>
      <c r="C1950" t="s">
        <v>19</v>
      </c>
      <c r="D1950" t="s">
        <v>20</v>
      </c>
      <c r="E1950" t="s">
        <v>7642</v>
      </c>
      <c r="F1950">
        <v>3</v>
      </c>
      <c r="G1950" s="15">
        <v>2710000</v>
      </c>
      <c r="H1950" s="14">
        <v>0.13075929750140999</v>
      </c>
      <c r="I1950" s="27">
        <f t="shared" si="30"/>
        <v>2355642.3037711792</v>
      </c>
      <c r="J1950">
        <v>4</v>
      </c>
      <c r="K1950" t="b">
        <v>0</v>
      </c>
    </row>
    <row r="1951" spans="1:11" ht="16" x14ac:dyDescent="0.2">
      <c r="A1951" s="16">
        <v>45455</v>
      </c>
      <c r="B1951" t="s">
        <v>33</v>
      </c>
      <c r="C1951" t="s">
        <v>34</v>
      </c>
      <c r="D1951" t="s">
        <v>50</v>
      </c>
      <c r="E1951" t="s">
        <v>57</v>
      </c>
      <c r="F1951">
        <v>1</v>
      </c>
      <c r="G1951" s="15">
        <v>2710000</v>
      </c>
      <c r="H1951" s="14">
        <v>0.13075929750140999</v>
      </c>
      <c r="I1951" s="27">
        <f t="shared" si="30"/>
        <v>2355642.3037711792</v>
      </c>
      <c r="J1951">
        <v>3.9</v>
      </c>
      <c r="K1951" t="b">
        <v>1</v>
      </c>
    </row>
    <row r="1952" spans="1:11" ht="16" x14ac:dyDescent="0.2">
      <c r="A1952" s="16">
        <v>45456</v>
      </c>
      <c r="B1952" t="s">
        <v>45</v>
      </c>
      <c r="C1952" t="s">
        <v>34</v>
      </c>
      <c r="D1952" t="s">
        <v>50</v>
      </c>
      <c r="E1952" t="s">
        <v>7642</v>
      </c>
      <c r="F1952">
        <v>1</v>
      </c>
      <c r="G1952" s="15">
        <v>2710000</v>
      </c>
      <c r="H1952" s="14">
        <v>0.13075929750140999</v>
      </c>
      <c r="I1952" s="27">
        <f t="shared" si="30"/>
        <v>2355642.3037711792</v>
      </c>
      <c r="J1952">
        <v>4.4000000000000004</v>
      </c>
      <c r="K1952" t="b">
        <v>1</v>
      </c>
    </row>
    <row r="1953" spans="1:11" ht="16" x14ac:dyDescent="0.2">
      <c r="A1953" s="16">
        <v>45456</v>
      </c>
      <c r="B1953" t="s">
        <v>33</v>
      </c>
      <c r="C1953" t="s">
        <v>19</v>
      </c>
      <c r="D1953" t="s">
        <v>46</v>
      </c>
      <c r="E1953" t="s">
        <v>7637</v>
      </c>
      <c r="F1953">
        <v>2</v>
      </c>
      <c r="G1953" s="15">
        <v>2710000</v>
      </c>
      <c r="H1953" s="14">
        <v>0.13075929750140999</v>
      </c>
      <c r="I1953" s="27">
        <f t="shared" si="30"/>
        <v>2355642.3037711792</v>
      </c>
      <c r="J1953">
        <v>4.2</v>
      </c>
      <c r="K1953" t="b">
        <v>0</v>
      </c>
    </row>
    <row r="1954" spans="1:11" ht="16" x14ac:dyDescent="0.2">
      <c r="A1954" s="16">
        <v>45456</v>
      </c>
      <c r="B1954" t="s">
        <v>33</v>
      </c>
      <c r="C1954" t="s">
        <v>34</v>
      </c>
      <c r="D1954" t="s">
        <v>20</v>
      </c>
      <c r="E1954" t="s">
        <v>7644</v>
      </c>
      <c r="F1954">
        <v>1</v>
      </c>
      <c r="G1954" s="15">
        <v>2710000</v>
      </c>
      <c r="H1954" s="14">
        <v>0.13075929750140999</v>
      </c>
      <c r="I1954" s="27">
        <f t="shared" si="30"/>
        <v>2355642.3037711792</v>
      </c>
      <c r="J1954">
        <v>4.5999999999999996</v>
      </c>
      <c r="K1954" t="b">
        <v>0</v>
      </c>
    </row>
    <row r="1955" spans="1:11" ht="16" x14ac:dyDescent="0.2">
      <c r="A1955" s="16">
        <v>45456</v>
      </c>
      <c r="B1955" t="s">
        <v>29</v>
      </c>
      <c r="C1955" t="s">
        <v>19</v>
      </c>
      <c r="D1955" t="s">
        <v>50</v>
      </c>
      <c r="E1955" t="s">
        <v>7637</v>
      </c>
      <c r="F1955">
        <v>2</v>
      </c>
      <c r="G1955" s="15">
        <v>2710000</v>
      </c>
      <c r="H1955" s="14">
        <v>0.13075929750140999</v>
      </c>
      <c r="I1955" s="27">
        <f t="shared" si="30"/>
        <v>2355642.3037711792</v>
      </c>
      <c r="J1955">
        <v>4.4000000000000004</v>
      </c>
      <c r="K1955" t="b">
        <v>1</v>
      </c>
    </row>
    <row r="1956" spans="1:11" ht="16" x14ac:dyDescent="0.2">
      <c r="A1956" s="16">
        <v>45457</v>
      </c>
      <c r="B1956" t="s">
        <v>29</v>
      </c>
      <c r="C1956" t="s">
        <v>68</v>
      </c>
      <c r="D1956" t="s">
        <v>20</v>
      </c>
      <c r="E1956" t="s">
        <v>57</v>
      </c>
      <c r="F1956">
        <v>2</v>
      </c>
      <c r="G1956" s="15">
        <v>2710000</v>
      </c>
      <c r="H1956" s="14">
        <v>0.13075929750140999</v>
      </c>
      <c r="I1956" s="27">
        <f t="shared" si="30"/>
        <v>2355642.3037711792</v>
      </c>
      <c r="J1956">
        <v>4.0999999999999996</v>
      </c>
      <c r="K1956" t="b">
        <v>0</v>
      </c>
    </row>
    <row r="1957" spans="1:11" ht="16" x14ac:dyDescent="0.2">
      <c r="A1957" s="16">
        <v>45457</v>
      </c>
      <c r="B1957" t="s">
        <v>29</v>
      </c>
      <c r="C1957" t="s">
        <v>45</v>
      </c>
      <c r="D1957" t="s">
        <v>50</v>
      </c>
      <c r="E1957" t="s">
        <v>7639</v>
      </c>
      <c r="F1957">
        <v>2</v>
      </c>
      <c r="G1957" s="15">
        <v>2710000</v>
      </c>
      <c r="H1957" s="14">
        <v>0.13075929750140999</v>
      </c>
      <c r="I1957" s="27">
        <f t="shared" si="30"/>
        <v>2355642.3037711792</v>
      </c>
      <c r="J1957">
        <v>4.4000000000000004</v>
      </c>
      <c r="K1957" t="b">
        <v>1</v>
      </c>
    </row>
    <row r="1958" spans="1:11" ht="16" x14ac:dyDescent="0.2">
      <c r="A1958" s="16">
        <v>45457</v>
      </c>
      <c r="B1958" t="s">
        <v>18</v>
      </c>
      <c r="C1958" t="s">
        <v>45</v>
      </c>
      <c r="D1958" t="s">
        <v>20</v>
      </c>
      <c r="E1958" t="s">
        <v>7644</v>
      </c>
      <c r="F1958">
        <v>3</v>
      </c>
      <c r="G1958" s="15">
        <v>2710000</v>
      </c>
      <c r="H1958" s="14">
        <v>0.13075929750140999</v>
      </c>
      <c r="I1958" s="27">
        <f t="shared" si="30"/>
        <v>2355642.3037711792</v>
      </c>
      <c r="J1958">
        <v>4.2</v>
      </c>
      <c r="K1958" t="b">
        <v>0</v>
      </c>
    </row>
    <row r="1959" spans="1:11" ht="16" x14ac:dyDescent="0.2">
      <c r="A1959" s="16">
        <v>45458</v>
      </c>
      <c r="B1959" t="s">
        <v>29</v>
      </c>
      <c r="C1959" t="s">
        <v>45</v>
      </c>
      <c r="D1959" t="s">
        <v>50</v>
      </c>
      <c r="E1959" t="s">
        <v>7642</v>
      </c>
      <c r="F1959">
        <v>2</v>
      </c>
      <c r="G1959" s="15">
        <v>2710000</v>
      </c>
      <c r="H1959" s="14">
        <v>0.13075929750140999</v>
      </c>
      <c r="I1959" s="27">
        <f t="shared" si="30"/>
        <v>2355642.3037711792</v>
      </c>
      <c r="J1959">
        <v>4.3</v>
      </c>
      <c r="K1959" t="b">
        <v>1</v>
      </c>
    </row>
    <row r="1960" spans="1:11" ht="16" x14ac:dyDescent="0.2">
      <c r="A1960" s="16">
        <v>45458</v>
      </c>
      <c r="B1960" t="s">
        <v>18</v>
      </c>
      <c r="C1960" t="s">
        <v>45</v>
      </c>
      <c r="D1960" t="s">
        <v>20</v>
      </c>
      <c r="E1960" t="s">
        <v>7643</v>
      </c>
      <c r="F1960">
        <v>5</v>
      </c>
      <c r="G1960" s="15">
        <v>2710000</v>
      </c>
      <c r="H1960" s="14">
        <v>0.13075929750140999</v>
      </c>
      <c r="I1960" s="27">
        <f t="shared" si="30"/>
        <v>2355642.3037711792</v>
      </c>
      <c r="J1960">
        <v>2.5</v>
      </c>
      <c r="K1960" t="b">
        <v>0</v>
      </c>
    </row>
    <row r="1961" spans="1:11" ht="16" x14ac:dyDescent="0.2">
      <c r="A1961" s="16">
        <v>45458</v>
      </c>
      <c r="B1961" t="s">
        <v>45</v>
      </c>
      <c r="C1961" t="s">
        <v>19</v>
      </c>
      <c r="D1961" t="s">
        <v>50</v>
      </c>
      <c r="E1961" t="s">
        <v>7641</v>
      </c>
      <c r="F1961">
        <v>1</v>
      </c>
      <c r="G1961" s="15">
        <v>2710000</v>
      </c>
      <c r="H1961" s="14">
        <v>0.13075929750140999</v>
      </c>
      <c r="I1961" s="27">
        <f t="shared" si="30"/>
        <v>2355642.3037711792</v>
      </c>
      <c r="J1961">
        <v>3</v>
      </c>
      <c r="K1961" t="b">
        <v>0</v>
      </c>
    </row>
    <row r="1962" spans="1:11" ht="16" x14ac:dyDescent="0.2">
      <c r="A1962" s="16">
        <v>45459</v>
      </c>
      <c r="B1962" t="s">
        <v>45</v>
      </c>
      <c r="C1962" t="s">
        <v>45</v>
      </c>
      <c r="D1962" t="s">
        <v>20</v>
      </c>
      <c r="E1962" t="s">
        <v>7644</v>
      </c>
      <c r="F1962">
        <v>4</v>
      </c>
      <c r="G1962" s="15">
        <v>2710000</v>
      </c>
      <c r="H1962" s="14">
        <v>0.13075929750140999</v>
      </c>
      <c r="I1962" s="27">
        <f t="shared" si="30"/>
        <v>2355642.3037711792</v>
      </c>
      <c r="J1962">
        <v>4.2</v>
      </c>
      <c r="K1962" t="b">
        <v>1</v>
      </c>
    </row>
    <row r="1963" spans="1:11" ht="16" x14ac:dyDescent="0.2">
      <c r="A1963" s="16">
        <v>45459</v>
      </c>
      <c r="B1963" t="s">
        <v>33</v>
      </c>
      <c r="C1963" t="s">
        <v>39</v>
      </c>
      <c r="D1963" t="str">
        <f>D1962</f>
        <v>Website</v>
      </c>
      <c r="E1963" t="str">
        <f>E1962</f>
        <v>Hạ Long</v>
      </c>
      <c r="F1963">
        <v>2</v>
      </c>
      <c r="G1963" s="15">
        <v>2710000</v>
      </c>
      <c r="H1963" s="14">
        <v>0.13075929750140999</v>
      </c>
      <c r="I1963" s="27">
        <f t="shared" si="30"/>
        <v>2355642.3037711792</v>
      </c>
      <c r="J1963">
        <v>3.9</v>
      </c>
      <c r="K1963" t="b">
        <v>1</v>
      </c>
    </row>
    <row r="1964" spans="1:11" ht="16" x14ac:dyDescent="0.2">
      <c r="A1964" s="16">
        <v>45459</v>
      </c>
      <c r="B1964" t="s">
        <v>45</v>
      </c>
      <c r="C1964" t="s">
        <v>19</v>
      </c>
      <c r="D1964" t="s">
        <v>35</v>
      </c>
      <c r="E1964" t="s">
        <v>57</v>
      </c>
      <c r="F1964">
        <v>2</v>
      </c>
      <c r="G1964" s="15">
        <v>2710000</v>
      </c>
      <c r="H1964" s="14">
        <v>0.13075929750140999</v>
      </c>
      <c r="I1964" s="27">
        <f t="shared" si="30"/>
        <v>2355642.3037711792</v>
      </c>
      <c r="J1964">
        <v>4.2</v>
      </c>
      <c r="K1964" t="b">
        <v>0</v>
      </c>
    </row>
    <row r="1965" spans="1:11" ht="16" x14ac:dyDescent="0.2">
      <c r="A1965" s="16">
        <v>45459</v>
      </c>
      <c r="B1965" t="s">
        <v>45</v>
      </c>
      <c r="C1965" t="s">
        <v>34</v>
      </c>
      <c r="D1965" t="s">
        <v>35</v>
      </c>
      <c r="E1965" t="s">
        <v>7637</v>
      </c>
      <c r="F1965">
        <v>3</v>
      </c>
      <c r="G1965" s="15">
        <v>2710000</v>
      </c>
      <c r="H1965" s="14">
        <v>0.13075929750140999</v>
      </c>
      <c r="I1965" s="27">
        <f t="shared" si="30"/>
        <v>2355642.3037711792</v>
      </c>
      <c r="J1965">
        <v>4.5</v>
      </c>
      <c r="K1965" t="b">
        <v>0</v>
      </c>
    </row>
    <row r="1966" spans="1:11" ht="16" x14ac:dyDescent="0.2">
      <c r="A1966" s="16">
        <v>45459</v>
      </c>
      <c r="B1966" t="s">
        <v>29</v>
      </c>
      <c r="C1966" t="s">
        <v>34</v>
      </c>
      <c r="D1966" t="s">
        <v>20</v>
      </c>
      <c r="E1966" t="s">
        <v>57</v>
      </c>
      <c r="F1966">
        <v>1</v>
      </c>
      <c r="G1966" s="15">
        <v>2710000</v>
      </c>
      <c r="H1966" s="14">
        <v>0.13075929750140999</v>
      </c>
      <c r="I1966" s="27">
        <f t="shared" si="30"/>
        <v>2355642.3037711792</v>
      </c>
      <c r="J1966">
        <v>3.8</v>
      </c>
      <c r="K1966" t="b">
        <v>0</v>
      </c>
    </row>
    <row r="1967" spans="1:11" ht="16" x14ac:dyDescent="0.2">
      <c r="A1967" s="16">
        <v>45460</v>
      </c>
      <c r="B1967" t="s">
        <v>45</v>
      </c>
      <c r="C1967" t="s">
        <v>34</v>
      </c>
      <c r="D1967" t="s">
        <v>20</v>
      </c>
      <c r="E1967" t="s">
        <v>7638</v>
      </c>
      <c r="F1967">
        <v>2</v>
      </c>
      <c r="G1967" s="15">
        <v>2710000</v>
      </c>
      <c r="H1967" s="14">
        <v>0.13075929750140999</v>
      </c>
      <c r="I1967" s="27">
        <f t="shared" si="30"/>
        <v>2355642.3037711792</v>
      </c>
      <c r="J1967">
        <v>4.7</v>
      </c>
      <c r="K1967" t="b">
        <v>0</v>
      </c>
    </row>
    <row r="1968" spans="1:11" ht="16" x14ac:dyDescent="0.2">
      <c r="A1968" s="16">
        <v>45460</v>
      </c>
      <c r="B1968" t="s">
        <v>45</v>
      </c>
      <c r="C1968" t="s">
        <v>25</v>
      </c>
      <c r="D1968" t="s">
        <v>50</v>
      </c>
      <c r="E1968" t="s">
        <v>7643</v>
      </c>
      <c r="F1968">
        <v>2</v>
      </c>
      <c r="G1968" s="15">
        <v>2710000</v>
      </c>
      <c r="H1968" s="14">
        <v>0.13075929750140999</v>
      </c>
      <c r="I1968" s="27">
        <f t="shared" si="30"/>
        <v>2355642.3037711792</v>
      </c>
      <c r="J1968">
        <v>4.2</v>
      </c>
      <c r="K1968" t="b">
        <v>0</v>
      </c>
    </row>
    <row r="1969" spans="1:11" ht="16" x14ac:dyDescent="0.2">
      <c r="A1969" s="16">
        <v>45460</v>
      </c>
      <c r="B1969" t="s">
        <v>45</v>
      </c>
      <c r="C1969" t="s">
        <v>39</v>
      </c>
      <c r="D1969" t="s">
        <v>20</v>
      </c>
      <c r="E1969" t="s">
        <v>99</v>
      </c>
      <c r="F1969">
        <v>1</v>
      </c>
      <c r="G1969" s="15">
        <v>2710000</v>
      </c>
      <c r="H1969" s="14">
        <v>0.13075929750140999</v>
      </c>
      <c r="I1969" s="27">
        <f t="shared" si="30"/>
        <v>2355642.3037711792</v>
      </c>
      <c r="J1969">
        <v>3</v>
      </c>
      <c r="K1969" t="b">
        <v>1</v>
      </c>
    </row>
    <row r="1970" spans="1:11" ht="16" x14ac:dyDescent="0.2">
      <c r="A1970" s="16">
        <v>45460</v>
      </c>
      <c r="B1970" t="s">
        <v>33</v>
      </c>
      <c r="C1970" t="s">
        <v>25</v>
      </c>
      <c r="D1970" t="s">
        <v>20</v>
      </c>
      <c r="E1970" t="s">
        <v>7641</v>
      </c>
      <c r="F1970">
        <v>1</v>
      </c>
      <c r="G1970" s="15">
        <v>2710000</v>
      </c>
      <c r="H1970" s="14">
        <v>0.13075929750140999</v>
      </c>
      <c r="I1970" s="27">
        <f t="shared" si="30"/>
        <v>2355642.3037711792</v>
      </c>
      <c r="J1970">
        <v>4.8</v>
      </c>
      <c r="K1970" t="b">
        <v>0</v>
      </c>
    </row>
    <row r="1971" spans="1:11" ht="16" x14ac:dyDescent="0.2">
      <c r="A1971" s="16">
        <v>45460</v>
      </c>
      <c r="B1971" t="s">
        <v>33</v>
      </c>
      <c r="C1971" t="s">
        <v>45</v>
      </c>
      <c r="D1971" t="s">
        <v>20</v>
      </c>
      <c r="E1971" t="s">
        <v>7643</v>
      </c>
      <c r="F1971">
        <v>3</v>
      </c>
      <c r="G1971" s="15">
        <v>2710000</v>
      </c>
      <c r="H1971" s="14">
        <v>0.13075929750140999</v>
      </c>
      <c r="I1971" s="27">
        <f t="shared" si="30"/>
        <v>2355642.3037711792</v>
      </c>
      <c r="J1971">
        <v>4.4000000000000004</v>
      </c>
      <c r="K1971" t="b">
        <v>1</v>
      </c>
    </row>
    <row r="1972" spans="1:11" ht="16" x14ac:dyDescent="0.2">
      <c r="A1972" s="16">
        <v>45460</v>
      </c>
      <c r="B1972" t="s">
        <v>45</v>
      </c>
      <c r="C1972" t="s">
        <v>68</v>
      </c>
      <c r="D1972" t="s">
        <v>20</v>
      </c>
      <c r="E1972" t="s">
        <v>57</v>
      </c>
      <c r="F1972">
        <v>2</v>
      </c>
      <c r="G1972" s="15">
        <v>2710000</v>
      </c>
      <c r="H1972" s="14">
        <v>0.13075929750140999</v>
      </c>
      <c r="I1972" s="27">
        <f t="shared" si="30"/>
        <v>2355642.3037711792</v>
      </c>
      <c r="J1972">
        <v>4.0999999999999996</v>
      </c>
      <c r="K1972" t="b">
        <v>0</v>
      </c>
    </row>
    <row r="1973" spans="1:11" ht="16" x14ac:dyDescent="0.2">
      <c r="A1973" s="16">
        <v>45460</v>
      </c>
      <c r="B1973" t="s">
        <v>33</v>
      </c>
      <c r="C1973" t="s">
        <v>45</v>
      </c>
      <c r="D1973" t="s">
        <v>35</v>
      </c>
      <c r="E1973" t="s">
        <v>99</v>
      </c>
      <c r="F1973">
        <v>4</v>
      </c>
      <c r="G1973" s="15">
        <v>2710000</v>
      </c>
      <c r="H1973" s="14">
        <v>0.13075929750140999</v>
      </c>
      <c r="I1973" s="27">
        <f t="shared" si="30"/>
        <v>2355642.3037711792</v>
      </c>
      <c r="J1973">
        <v>4.2</v>
      </c>
      <c r="K1973" t="b">
        <v>0</v>
      </c>
    </row>
    <row r="1974" spans="1:11" ht="16" x14ac:dyDescent="0.2">
      <c r="A1974" s="16">
        <v>45460</v>
      </c>
      <c r="B1974" t="s">
        <v>29</v>
      </c>
      <c r="C1974" t="s">
        <v>25</v>
      </c>
      <c r="D1974" t="str">
        <f>D1973</f>
        <v>Mobile App</v>
      </c>
      <c r="E1974" t="s">
        <v>7641</v>
      </c>
      <c r="F1974">
        <v>3</v>
      </c>
      <c r="G1974" s="15">
        <v>2710000</v>
      </c>
      <c r="H1974" s="14">
        <v>0.13075929750140999</v>
      </c>
      <c r="I1974" s="27">
        <f t="shared" si="30"/>
        <v>2355642.3037711792</v>
      </c>
      <c r="J1974">
        <v>3.3</v>
      </c>
      <c r="K1974" t="b">
        <v>1</v>
      </c>
    </row>
    <row r="1975" spans="1:11" ht="16" x14ac:dyDescent="0.2">
      <c r="A1975" s="16">
        <v>45460</v>
      </c>
      <c r="B1975" t="s">
        <v>45</v>
      </c>
      <c r="C1975" t="s">
        <v>19</v>
      </c>
      <c r="D1975" t="s">
        <v>20</v>
      </c>
      <c r="E1975" t="s">
        <v>7644</v>
      </c>
      <c r="F1975">
        <v>3</v>
      </c>
      <c r="G1975" s="15">
        <v>2710000</v>
      </c>
      <c r="H1975" s="14">
        <v>0.13075929750140999</v>
      </c>
      <c r="I1975" s="27">
        <f t="shared" si="30"/>
        <v>2355642.3037711792</v>
      </c>
      <c r="J1975">
        <v>4.8</v>
      </c>
      <c r="K1975" t="b">
        <v>0</v>
      </c>
    </row>
    <row r="1976" spans="1:11" ht="16" x14ac:dyDescent="0.2">
      <c r="A1976" s="16">
        <v>45461</v>
      </c>
      <c r="B1976" t="s">
        <v>45</v>
      </c>
      <c r="C1976" t="s">
        <v>68</v>
      </c>
      <c r="D1976" t="s">
        <v>50</v>
      </c>
      <c r="E1976" t="s">
        <v>7638</v>
      </c>
      <c r="F1976">
        <v>1</v>
      </c>
      <c r="G1976" s="15">
        <v>2710000</v>
      </c>
      <c r="H1976" s="14">
        <v>0.13075929750140999</v>
      </c>
      <c r="I1976" s="27">
        <f t="shared" si="30"/>
        <v>2355642.3037711792</v>
      </c>
      <c r="J1976">
        <v>3.3</v>
      </c>
      <c r="K1976" t="b">
        <v>1</v>
      </c>
    </row>
    <row r="1977" spans="1:11" ht="16" x14ac:dyDescent="0.2">
      <c r="A1977" s="16">
        <v>45461</v>
      </c>
      <c r="B1977" t="s">
        <v>45</v>
      </c>
      <c r="C1977" t="s">
        <v>34</v>
      </c>
      <c r="D1977" t="s">
        <v>20</v>
      </c>
      <c r="E1977" t="s">
        <v>7640</v>
      </c>
      <c r="F1977">
        <v>2</v>
      </c>
      <c r="G1977" s="15">
        <v>2710000</v>
      </c>
      <c r="H1977" s="14">
        <v>0.13075929750140999</v>
      </c>
      <c r="I1977" s="27">
        <f t="shared" si="30"/>
        <v>2355642.3037711792</v>
      </c>
      <c r="J1977">
        <v>4.2</v>
      </c>
      <c r="K1977" t="b">
        <v>0</v>
      </c>
    </row>
    <row r="1978" spans="1:11" ht="16" x14ac:dyDescent="0.2">
      <c r="A1978" s="16">
        <v>45461</v>
      </c>
      <c r="B1978" t="s">
        <v>45</v>
      </c>
      <c r="C1978" t="s">
        <v>25</v>
      </c>
      <c r="D1978" t="s">
        <v>35</v>
      </c>
      <c r="E1978" t="s">
        <v>7640</v>
      </c>
      <c r="F1978">
        <v>3</v>
      </c>
      <c r="G1978" s="15">
        <v>2710000</v>
      </c>
      <c r="H1978" s="14">
        <v>0.13075929750140999</v>
      </c>
      <c r="I1978" s="27">
        <f t="shared" si="30"/>
        <v>2355642.3037711792</v>
      </c>
      <c r="J1978">
        <v>4.7</v>
      </c>
      <c r="K1978" t="b">
        <v>0</v>
      </c>
    </row>
    <row r="1979" spans="1:11" ht="16" x14ac:dyDescent="0.2">
      <c r="A1979" s="16">
        <v>45462</v>
      </c>
      <c r="B1979" t="s">
        <v>29</v>
      </c>
      <c r="C1979" t="s">
        <v>34</v>
      </c>
      <c r="D1979" t="s">
        <v>50</v>
      </c>
      <c r="E1979" t="s">
        <v>7643</v>
      </c>
      <c r="F1979">
        <v>1</v>
      </c>
      <c r="G1979" s="15">
        <v>2710000</v>
      </c>
      <c r="H1979" s="14">
        <v>0.13075929750140999</v>
      </c>
      <c r="I1979" s="27">
        <f t="shared" si="30"/>
        <v>2355642.3037711792</v>
      </c>
      <c r="J1979">
        <v>4.8</v>
      </c>
      <c r="K1979" t="b">
        <v>0</v>
      </c>
    </row>
    <row r="1980" spans="1:11" ht="16" x14ac:dyDescent="0.2">
      <c r="A1980" s="16">
        <v>45462</v>
      </c>
      <c r="B1980" t="s">
        <v>45</v>
      </c>
      <c r="C1980" t="s">
        <v>34</v>
      </c>
      <c r="D1980" t="s">
        <v>35</v>
      </c>
      <c r="E1980" t="s">
        <v>7637</v>
      </c>
      <c r="F1980">
        <v>2</v>
      </c>
      <c r="G1980" s="15">
        <v>2710000</v>
      </c>
      <c r="H1980" s="14">
        <v>0.13075929750140999</v>
      </c>
      <c r="I1980" s="27">
        <f t="shared" si="30"/>
        <v>2355642.3037711792</v>
      </c>
      <c r="J1980">
        <v>4.3</v>
      </c>
      <c r="K1980" t="b">
        <v>1</v>
      </c>
    </row>
    <row r="1981" spans="1:11" ht="16" x14ac:dyDescent="0.2">
      <c r="A1981" s="16">
        <v>45462</v>
      </c>
      <c r="B1981" t="s">
        <v>29</v>
      </c>
      <c r="C1981" t="s">
        <v>68</v>
      </c>
      <c r="D1981" t="s">
        <v>50</v>
      </c>
      <c r="E1981" t="s">
        <v>57</v>
      </c>
      <c r="F1981">
        <v>3</v>
      </c>
      <c r="G1981" s="15">
        <v>2710000</v>
      </c>
      <c r="H1981" s="14">
        <v>0.13075929750140999</v>
      </c>
      <c r="I1981" s="27">
        <f t="shared" si="30"/>
        <v>2355642.3037711792</v>
      </c>
      <c r="J1981">
        <v>4.2</v>
      </c>
      <c r="K1981" t="b">
        <v>0</v>
      </c>
    </row>
    <row r="1982" spans="1:11" ht="16" x14ac:dyDescent="0.2">
      <c r="A1982" s="16">
        <v>45462</v>
      </c>
      <c r="B1982" t="s">
        <v>18</v>
      </c>
      <c r="C1982" t="s">
        <v>19</v>
      </c>
      <c r="D1982" t="s">
        <v>50</v>
      </c>
      <c r="E1982" t="s">
        <v>57</v>
      </c>
      <c r="F1982">
        <v>2</v>
      </c>
      <c r="G1982" s="15">
        <v>2710000</v>
      </c>
      <c r="H1982" s="14">
        <v>0.13075929750140999</v>
      </c>
      <c r="I1982" s="27">
        <f t="shared" si="30"/>
        <v>2355642.3037711792</v>
      </c>
      <c r="J1982">
        <v>3.7</v>
      </c>
      <c r="K1982" t="b">
        <v>0</v>
      </c>
    </row>
    <row r="1983" spans="1:11" ht="16" x14ac:dyDescent="0.2">
      <c r="A1983" s="16">
        <v>45463</v>
      </c>
      <c r="B1983" t="s">
        <v>18</v>
      </c>
      <c r="C1983" t="s">
        <v>68</v>
      </c>
      <c r="D1983" t="s">
        <v>20</v>
      </c>
      <c r="E1983" t="s">
        <v>7642</v>
      </c>
      <c r="F1983">
        <v>4</v>
      </c>
      <c r="G1983" s="15">
        <v>2710000</v>
      </c>
      <c r="H1983" s="14">
        <v>0.13075929750140999</v>
      </c>
      <c r="I1983" s="27">
        <f t="shared" si="30"/>
        <v>2355642.3037711792</v>
      </c>
      <c r="J1983">
        <v>4.5</v>
      </c>
      <c r="K1983" t="b">
        <v>1</v>
      </c>
    </row>
    <row r="1984" spans="1:11" ht="16" x14ac:dyDescent="0.2">
      <c r="A1984" s="16">
        <v>45463</v>
      </c>
      <c r="B1984" t="s">
        <v>45</v>
      </c>
      <c r="C1984" t="s">
        <v>25</v>
      </c>
      <c r="D1984" t="s">
        <v>20</v>
      </c>
      <c r="E1984" t="s">
        <v>7644</v>
      </c>
      <c r="F1984">
        <v>1</v>
      </c>
      <c r="G1984" s="15">
        <v>2710000</v>
      </c>
      <c r="H1984" s="14">
        <v>0.13075929750140999</v>
      </c>
      <c r="I1984" s="27">
        <f t="shared" si="30"/>
        <v>2355642.3037711792</v>
      </c>
      <c r="J1984">
        <v>4.5</v>
      </c>
      <c r="K1984" t="b">
        <v>1</v>
      </c>
    </row>
    <row r="1985" spans="1:11" ht="16" x14ac:dyDescent="0.2">
      <c r="A1985" s="16">
        <v>45464</v>
      </c>
      <c r="B1985" t="s">
        <v>45</v>
      </c>
      <c r="C1985" t="s">
        <v>45</v>
      </c>
      <c r="D1985" t="s">
        <v>20</v>
      </c>
      <c r="E1985" t="str">
        <f>E1984</f>
        <v>Hạ Long</v>
      </c>
      <c r="F1985">
        <v>2</v>
      </c>
      <c r="G1985" s="15">
        <v>2710000</v>
      </c>
      <c r="H1985" s="14">
        <v>0.13075929750140999</v>
      </c>
      <c r="I1985" s="27">
        <f t="shared" si="30"/>
        <v>2355642.3037711792</v>
      </c>
      <c r="J1985">
        <v>5</v>
      </c>
      <c r="K1985" t="b">
        <v>0</v>
      </c>
    </row>
    <row r="1986" spans="1:11" ht="16" x14ac:dyDescent="0.2">
      <c r="A1986" s="16">
        <v>45464</v>
      </c>
      <c r="B1986" t="s">
        <v>45</v>
      </c>
      <c r="C1986" t="s">
        <v>45</v>
      </c>
      <c r="D1986" t="s">
        <v>20</v>
      </c>
      <c r="E1986" t="s">
        <v>57</v>
      </c>
      <c r="F1986">
        <v>4</v>
      </c>
      <c r="G1986" s="15">
        <v>2710000</v>
      </c>
      <c r="H1986" s="14">
        <v>0.13075929750140999</v>
      </c>
      <c r="I1986" s="27">
        <f t="shared" si="30"/>
        <v>2355642.3037711792</v>
      </c>
      <c r="J1986">
        <v>4</v>
      </c>
      <c r="K1986" t="b">
        <v>0</v>
      </c>
    </row>
    <row r="1987" spans="1:11" ht="16" x14ac:dyDescent="0.2">
      <c r="A1987" s="16">
        <v>45464</v>
      </c>
      <c r="B1987" t="s">
        <v>33</v>
      </c>
      <c r="C1987" t="s">
        <v>68</v>
      </c>
      <c r="D1987" t="s">
        <v>20</v>
      </c>
      <c r="E1987" t="s">
        <v>7640</v>
      </c>
      <c r="F1987">
        <v>2</v>
      </c>
      <c r="G1987" s="15">
        <v>2710000</v>
      </c>
      <c r="H1987" s="14">
        <v>0.13075929750140999</v>
      </c>
      <c r="I1987" s="27">
        <f t="shared" ref="I1987:I2050" si="31">G1987-G1987*H1987</f>
        <v>2355642.3037711792</v>
      </c>
      <c r="J1987">
        <v>3.9</v>
      </c>
      <c r="K1987" t="b">
        <v>1</v>
      </c>
    </row>
    <row r="1988" spans="1:11" ht="16" x14ac:dyDescent="0.2">
      <c r="A1988" s="16">
        <v>45464</v>
      </c>
      <c r="B1988" t="s">
        <v>18</v>
      </c>
      <c r="C1988" t="s">
        <v>19</v>
      </c>
      <c r="D1988" t="s">
        <v>50</v>
      </c>
      <c r="E1988" t="s">
        <v>99</v>
      </c>
      <c r="F1988">
        <v>1</v>
      </c>
      <c r="G1988" s="15">
        <v>2710000</v>
      </c>
      <c r="H1988" s="14">
        <v>0.13075929750140999</v>
      </c>
      <c r="I1988" s="27">
        <f t="shared" si="31"/>
        <v>2355642.3037711792</v>
      </c>
      <c r="J1988">
        <v>4.3</v>
      </c>
      <c r="K1988" t="b">
        <v>1</v>
      </c>
    </row>
    <row r="1989" spans="1:11" ht="16" x14ac:dyDescent="0.2">
      <c r="A1989" s="16">
        <v>45464</v>
      </c>
      <c r="B1989" t="s">
        <v>33</v>
      </c>
      <c r="C1989" t="s">
        <v>25</v>
      </c>
      <c r="D1989" t="s">
        <v>20</v>
      </c>
      <c r="E1989" t="s">
        <v>7639</v>
      </c>
      <c r="F1989">
        <v>1</v>
      </c>
      <c r="G1989" s="15">
        <v>2710000</v>
      </c>
      <c r="H1989" s="14">
        <v>0.13075929750140999</v>
      </c>
      <c r="I1989" s="27">
        <f t="shared" si="31"/>
        <v>2355642.3037711792</v>
      </c>
      <c r="J1989">
        <v>4.0999999999999996</v>
      </c>
      <c r="K1989" t="b">
        <v>1</v>
      </c>
    </row>
    <row r="1990" spans="1:11" ht="16" x14ac:dyDescent="0.2">
      <c r="A1990" s="16">
        <v>45464</v>
      </c>
      <c r="B1990" t="s">
        <v>29</v>
      </c>
      <c r="C1990" t="s">
        <v>68</v>
      </c>
      <c r="D1990" t="s">
        <v>20</v>
      </c>
      <c r="E1990" t="s">
        <v>7641</v>
      </c>
      <c r="F1990">
        <v>2</v>
      </c>
      <c r="G1990" s="15">
        <v>2710000</v>
      </c>
      <c r="H1990" s="14">
        <v>0.13075929750140999</v>
      </c>
      <c r="I1990" s="27">
        <f t="shared" si="31"/>
        <v>2355642.3037711792</v>
      </c>
      <c r="J1990">
        <v>4.0999999999999996</v>
      </c>
      <c r="K1990" t="b">
        <v>1</v>
      </c>
    </row>
    <row r="1991" spans="1:11" ht="16" x14ac:dyDescent="0.2">
      <c r="A1991" s="16">
        <v>45464</v>
      </c>
      <c r="B1991" t="s">
        <v>18</v>
      </c>
      <c r="C1991" t="s">
        <v>19</v>
      </c>
      <c r="D1991" t="s">
        <v>50</v>
      </c>
      <c r="E1991" t="s">
        <v>7639</v>
      </c>
      <c r="F1991">
        <v>2</v>
      </c>
      <c r="G1991" s="15">
        <v>2710000</v>
      </c>
      <c r="H1991" s="14">
        <v>0.13075929750140999</v>
      </c>
      <c r="I1991" s="27">
        <f t="shared" si="31"/>
        <v>2355642.3037711792</v>
      </c>
      <c r="J1991">
        <v>4.5</v>
      </c>
      <c r="K1991" t="b">
        <v>1</v>
      </c>
    </row>
    <row r="1992" spans="1:11" ht="16" x14ac:dyDescent="0.2">
      <c r="A1992" s="16">
        <v>45465</v>
      </c>
      <c r="B1992" t="s">
        <v>33</v>
      </c>
      <c r="C1992" t="s">
        <v>19</v>
      </c>
      <c r="D1992" t="s">
        <v>20</v>
      </c>
      <c r="E1992" t="s">
        <v>7644</v>
      </c>
      <c r="F1992">
        <v>3</v>
      </c>
      <c r="G1992" s="15">
        <v>2710000</v>
      </c>
      <c r="H1992" s="14">
        <v>0.13075929750140999</v>
      </c>
      <c r="I1992" s="27">
        <f t="shared" si="31"/>
        <v>2355642.3037711792</v>
      </c>
      <c r="J1992">
        <v>4</v>
      </c>
      <c r="K1992" t="b">
        <v>0</v>
      </c>
    </row>
    <row r="1993" spans="1:11" ht="16" x14ac:dyDescent="0.2">
      <c r="A1993" s="16">
        <v>45465</v>
      </c>
      <c r="B1993" t="s">
        <v>33</v>
      </c>
      <c r="C1993" t="s">
        <v>39</v>
      </c>
      <c r="D1993" t="s">
        <v>35</v>
      </c>
      <c r="E1993" t="s">
        <v>7642</v>
      </c>
      <c r="F1993">
        <v>1</v>
      </c>
      <c r="G1993" s="15">
        <v>2710000</v>
      </c>
      <c r="H1993" s="14">
        <v>0.13075929750140999</v>
      </c>
      <c r="I1993" s="27">
        <f t="shared" si="31"/>
        <v>2355642.3037711792</v>
      </c>
      <c r="J1993">
        <v>4.0999999999999996</v>
      </c>
      <c r="K1993" t="b">
        <v>0</v>
      </c>
    </row>
    <row r="1994" spans="1:11" ht="16" x14ac:dyDescent="0.2">
      <c r="A1994" s="16">
        <v>45465</v>
      </c>
      <c r="B1994" t="s">
        <v>29</v>
      </c>
      <c r="C1994" t="s">
        <v>25</v>
      </c>
      <c r="D1994" t="s">
        <v>20</v>
      </c>
      <c r="E1994" t="s">
        <v>99</v>
      </c>
      <c r="F1994">
        <v>3</v>
      </c>
      <c r="G1994" s="15">
        <v>2710000</v>
      </c>
      <c r="H1994" s="14">
        <v>0.13075929750140999</v>
      </c>
      <c r="I1994" s="27">
        <f t="shared" si="31"/>
        <v>2355642.3037711792</v>
      </c>
      <c r="J1994">
        <v>3.7</v>
      </c>
      <c r="K1994" t="b">
        <v>1</v>
      </c>
    </row>
    <row r="1995" spans="1:11" ht="16" x14ac:dyDescent="0.2">
      <c r="A1995" s="16">
        <v>45465</v>
      </c>
      <c r="B1995" t="s">
        <v>45</v>
      </c>
      <c r="C1995" t="s">
        <v>34</v>
      </c>
      <c r="D1995" t="s">
        <v>50</v>
      </c>
      <c r="E1995" t="s">
        <v>7644</v>
      </c>
      <c r="F1995">
        <v>2</v>
      </c>
      <c r="G1995" s="15">
        <v>2710000</v>
      </c>
      <c r="H1995" s="14">
        <v>0.13075929750140999</v>
      </c>
      <c r="I1995" s="27">
        <f t="shared" si="31"/>
        <v>2355642.3037711792</v>
      </c>
      <c r="J1995">
        <v>4.5</v>
      </c>
      <c r="K1995" t="b">
        <v>1</v>
      </c>
    </row>
    <row r="1996" spans="1:11" ht="16" x14ac:dyDescent="0.2">
      <c r="A1996" s="16">
        <v>45465</v>
      </c>
      <c r="B1996" t="s">
        <v>33</v>
      </c>
      <c r="C1996" t="s">
        <v>34</v>
      </c>
      <c r="D1996" t="s">
        <v>35</v>
      </c>
      <c r="E1996" t="s">
        <v>99</v>
      </c>
      <c r="F1996">
        <v>3</v>
      </c>
      <c r="G1996" s="15">
        <v>2710000</v>
      </c>
      <c r="H1996" s="14">
        <v>0.13075929750140999</v>
      </c>
      <c r="I1996" s="27">
        <f t="shared" si="31"/>
        <v>2355642.3037711792</v>
      </c>
      <c r="J1996">
        <v>3.3</v>
      </c>
      <c r="K1996" t="b">
        <v>1</v>
      </c>
    </row>
    <row r="1997" spans="1:11" ht="16" x14ac:dyDescent="0.2">
      <c r="A1997" s="16">
        <v>45466</v>
      </c>
      <c r="B1997" t="s">
        <v>33</v>
      </c>
      <c r="C1997" t="s">
        <v>19</v>
      </c>
      <c r="D1997" t="s">
        <v>20</v>
      </c>
      <c r="E1997" t="s">
        <v>7644</v>
      </c>
      <c r="F1997">
        <v>1</v>
      </c>
      <c r="G1997" s="15">
        <v>2710000</v>
      </c>
      <c r="H1997" s="14">
        <v>0.13075929750140999</v>
      </c>
      <c r="I1997" s="27">
        <f t="shared" si="31"/>
        <v>2355642.3037711792</v>
      </c>
      <c r="J1997">
        <v>4.0999999999999996</v>
      </c>
      <c r="K1997" t="b">
        <v>0</v>
      </c>
    </row>
    <row r="1998" spans="1:11" ht="16" x14ac:dyDescent="0.2">
      <c r="A1998" s="16">
        <v>45466</v>
      </c>
      <c r="B1998" t="str">
        <f>B1997</f>
        <v>Student</v>
      </c>
      <c r="C1998" t="s">
        <v>25</v>
      </c>
      <c r="D1998" t="s">
        <v>35</v>
      </c>
      <c r="E1998" t="s">
        <v>7637</v>
      </c>
      <c r="F1998">
        <v>1</v>
      </c>
      <c r="G1998" s="15">
        <v>2710000</v>
      </c>
      <c r="H1998" s="14">
        <v>0.13075929750140999</v>
      </c>
      <c r="I1998" s="27">
        <f t="shared" si="31"/>
        <v>2355642.3037711792</v>
      </c>
      <c r="J1998">
        <v>4.5</v>
      </c>
      <c r="K1998" t="b">
        <v>0</v>
      </c>
    </row>
    <row r="1999" spans="1:11" ht="16" x14ac:dyDescent="0.2">
      <c r="A1999" s="16">
        <v>45466</v>
      </c>
      <c r="B1999" t="s">
        <v>45</v>
      </c>
      <c r="C1999" t="s">
        <v>45</v>
      </c>
      <c r="D1999" t="s">
        <v>50</v>
      </c>
      <c r="E1999" t="s">
        <v>7638</v>
      </c>
      <c r="F1999">
        <v>4</v>
      </c>
      <c r="G1999" s="15">
        <v>2710000</v>
      </c>
      <c r="H1999" s="14">
        <v>0.13075929750140999</v>
      </c>
      <c r="I1999" s="27">
        <f t="shared" si="31"/>
        <v>2355642.3037711792</v>
      </c>
      <c r="J1999">
        <v>4.0999999999999996</v>
      </c>
      <c r="K1999" t="b">
        <v>0</v>
      </c>
    </row>
    <row r="2000" spans="1:11" ht="16" x14ac:dyDescent="0.2">
      <c r="A2000" s="16">
        <v>45466</v>
      </c>
      <c r="B2000" t="s">
        <v>45</v>
      </c>
      <c r="C2000" t="s">
        <v>45</v>
      </c>
      <c r="D2000" t="s">
        <v>20</v>
      </c>
      <c r="E2000" t="s">
        <v>7640</v>
      </c>
      <c r="F2000">
        <v>1</v>
      </c>
      <c r="G2000" s="15">
        <v>2710000</v>
      </c>
      <c r="H2000" s="14">
        <v>0.13075929750140999</v>
      </c>
      <c r="I2000" s="27">
        <f t="shared" si="31"/>
        <v>2355642.3037711792</v>
      </c>
      <c r="J2000">
        <f>J1999</f>
        <v>4.0999999999999996</v>
      </c>
      <c r="K2000" t="b">
        <v>1</v>
      </c>
    </row>
    <row r="2001" spans="1:11" ht="16" x14ac:dyDescent="0.2">
      <c r="A2001" s="16">
        <v>45466</v>
      </c>
      <c r="B2001" t="s">
        <v>18</v>
      </c>
      <c r="C2001" t="s">
        <v>34</v>
      </c>
      <c r="D2001" t="s">
        <v>20</v>
      </c>
      <c r="E2001" t="s">
        <v>7644</v>
      </c>
      <c r="F2001">
        <v>1</v>
      </c>
      <c r="G2001" s="15">
        <v>2710000</v>
      </c>
      <c r="H2001" s="14">
        <v>0.13075929750140999</v>
      </c>
      <c r="I2001" s="27">
        <f t="shared" si="31"/>
        <v>2355642.3037711792</v>
      </c>
      <c r="J2001">
        <v>3.9</v>
      </c>
      <c r="K2001" t="b">
        <v>1</v>
      </c>
    </row>
    <row r="2002" spans="1:11" ht="16" x14ac:dyDescent="0.2">
      <c r="A2002" s="16">
        <v>45467</v>
      </c>
      <c r="B2002" t="s">
        <v>45</v>
      </c>
      <c r="C2002" t="s">
        <v>45</v>
      </c>
      <c r="D2002" t="s">
        <v>20</v>
      </c>
      <c r="E2002" t="s">
        <v>7643</v>
      </c>
      <c r="F2002">
        <v>4</v>
      </c>
      <c r="G2002" s="15">
        <v>2710000</v>
      </c>
      <c r="H2002" s="14">
        <v>0.13075929750140999</v>
      </c>
      <c r="I2002" s="27">
        <f t="shared" si="31"/>
        <v>2355642.3037711792</v>
      </c>
      <c r="J2002">
        <v>4.5999999999999996</v>
      </c>
      <c r="K2002" t="b">
        <v>1</v>
      </c>
    </row>
    <row r="2003" spans="1:11" ht="16" x14ac:dyDescent="0.2">
      <c r="A2003" s="16">
        <v>45468</v>
      </c>
      <c r="B2003" t="s">
        <v>29</v>
      </c>
      <c r="C2003" t="s">
        <v>25</v>
      </c>
      <c r="D2003" t="s">
        <v>35</v>
      </c>
      <c r="E2003" t="s">
        <v>57</v>
      </c>
      <c r="F2003">
        <v>1</v>
      </c>
      <c r="G2003" s="15">
        <v>2710000</v>
      </c>
      <c r="H2003" s="14">
        <v>0.13075929750140999</v>
      </c>
      <c r="I2003" s="27">
        <f t="shared" si="31"/>
        <v>2355642.3037711792</v>
      </c>
      <c r="J2003">
        <v>4.5999999999999996</v>
      </c>
      <c r="K2003" t="b">
        <v>1</v>
      </c>
    </row>
    <row r="2004" spans="1:11" ht="16" x14ac:dyDescent="0.2">
      <c r="A2004" s="16">
        <v>45469</v>
      </c>
      <c r="B2004" t="s">
        <v>29</v>
      </c>
      <c r="C2004" t="s">
        <v>68</v>
      </c>
      <c r="D2004" t="s">
        <v>20</v>
      </c>
      <c r="E2004" t="s">
        <v>7641</v>
      </c>
      <c r="F2004">
        <v>4</v>
      </c>
      <c r="G2004" s="15">
        <v>2710000</v>
      </c>
      <c r="H2004" s="14">
        <v>0.13075929750140999</v>
      </c>
      <c r="I2004" s="27">
        <f t="shared" si="31"/>
        <v>2355642.3037711792</v>
      </c>
      <c r="J2004">
        <v>4.0999999999999996</v>
      </c>
      <c r="K2004" t="b">
        <v>1</v>
      </c>
    </row>
    <row r="2005" spans="1:11" ht="16" x14ac:dyDescent="0.2">
      <c r="A2005" s="16">
        <v>45469</v>
      </c>
      <c r="B2005" t="s">
        <v>18</v>
      </c>
      <c r="C2005" t="s">
        <v>34</v>
      </c>
      <c r="D2005" t="s">
        <v>20</v>
      </c>
      <c r="E2005" t="s">
        <v>7644</v>
      </c>
      <c r="F2005">
        <v>4</v>
      </c>
      <c r="G2005" s="15">
        <v>2710000</v>
      </c>
      <c r="H2005" s="14">
        <v>0.13075929750140999</v>
      </c>
      <c r="I2005" s="27">
        <f t="shared" si="31"/>
        <v>2355642.3037711792</v>
      </c>
      <c r="J2005">
        <v>4.3</v>
      </c>
      <c r="K2005" t="b">
        <v>0</v>
      </c>
    </row>
    <row r="2006" spans="1:11" ht="16" x14ac:dyDescent="0.2">
      <c r="A2006" s="16">
        <v>45469</v>
      </c>
      <c r="B2006" t="s">
        <v>45</v>
      </c>
      <c r="C2006" t="s">
        <v>34</v>
      </c>
      <c r="D2006" t="s">
        <v>20</v>
      </c>
      <c r="E2006" t="str">
        <f>E2005</f>
        <v>Hạ Long</v>
      </c>
      <c r="F2006">
        <v>1</v>
      </c>
      <c r="G2006" s="15">
        <v>2710000</v>
      </c>
      <c r="H2006" s="14">
        <v>0.13075929750140999</v>
      </c>
      <c r="I2006" s="27">
        <f t="shared" si="31"/>
        <v>2355642.3037711792</v>
      </c>
      <c r="J2006">
        <v>4.2</v>
      </c>
      <c r="K2006" t="b">
        <v>1</v>
      </c>
    </row>
    <row r="2007" spans="1:11" ht="16" x14ac:dyDescent="0.2">
      <c r="A2007" s="16">
        <v>45470</v>
      </c>
      <c r="B2007" t="s">
        <v>18</v>
      </c>
      <c r="C2007" t="s">
        <v>19</v>
      </c>
      <c r="D2007" t="s">
        <v>50</v>
      </c>
      <c r="E2007" t="s">
        <v>7642</v>
      </c>
      <c r="F2007">
        <v>4</v>
      </c>
      <c r="G2007" s="15">
        <v>2710000</v>
      </c>
      <c r="H2007" s="14">
        <v>0.13075929750140999</v>
      </c>
      <c r="I2007" s="27">
        <f t="shared" si="31"/>
        <v>2355642.3037711792</v>
      </c>
      <c r="J2007">
        <v>4.3</v>
      </c>
      <c r="K2007" t="b">
        <v>0</v>
      </c>
    </row>
    <row r="2008" spans="1:11" ht="16" x14ac:dyDescent="0.2">
      <c r="A2008" s="16">
        <v>45471</v>
      </c>
      <c r="B2008" t="s">
        <v>45</v>
      </c>
      <c r="C2008" t="s">
        <v>19</v>
      </c>
      <c r="D2008" t="s">
        <v>50</v>
      </c>
      <c r="E2008" t="s">
        <v>99</v>
      </c>
      <c r="F2008">
        <v>2</v>
      </c>
      <c r="G2008" s="15">
        <v>2710000</v>
      </c>
      <c r="H2008" s="14">
        <v>0.13075929750140999</v>
      </c>
      <c r="I2008" s="27">
        <f t="shared" si="31"/>
        <v>2355642.3037711792</v>
      </c>
      <c r="J2008">
        <v>4.4000000000000004</v>
      </c>
      <c r="K2008" t="b">
        <v>1</v>
      </c>
    </row>
    <row r="2009" spans="1:11" ht="16" x14ac:dyDescent="0.2">
      <c r="A2009" s="16">
        <v>45471</v>
      </c>
      <c r="B2009" t="s">
        <v>45</v>
      </c>
      <c r="C2009" t="s">
        <v>34</v>
      </c>
      <c r="D2009" t="s">
        <v>50</v>
      </c>
      <c r="E2009" t="s">
        <v>57</v>
      </c>
      <c r="F2009">
        <v>2</v>
      </c>
      <c r="G2009" s="15">
        <v>2710000</v>
      </c>
      <c r="H2009" s="14">
        <v>0.13075929750140999</v>
      </c>
      <c r="I2009" s="27">
        <f t="shared" si="31"/>
        <v>2355642.3037711792</v>
      </c>
      <c r="J2009">
        <v>4.4000000000000004</v>
      </c>
      <c r="K2009" t="b">
        <v>1</v>
      </c>
    </row>
    <row r="2010" spans="1:11" ht="16" x14ac:dyDescent="0.2">
      <c r="A2010" s="16">
        <v>45471</v>
      </c>
      <c r="B2010" t="s">
        <v>45</v>
      </c>
      <c r="C2010" t="s">
        <v>39</v>
      </c>
      <c r="D2010" t="s">
        <v>50</v>
      </c>
      <c r="E2010" t="s">
        <v>7643</v>
      </c>
      <c r="F2010">
        <v>1</v>
      </c>
      <c r="G2010" s="15">
        <v>2710000</v>
      </c>
      <c r="H2010" s="14">
        <v>0.13075929750140999</v>
      </c>
      <c r="I2010" s="27">
        <f t="shared" si="31"/>
        <v>2355642.3037711792</v>
      </c>
      <c r="J2010">
        <v>3.9</v>
      </c>
      <c r="K2010" t="b">
        <v>1</v>
      </c>
    </row>
    <row r="2011" spans="1:11" ht="16" x14ac:dyDescent="0.2">
      <c r="A2011" s="16">
        <v>45472</v>
      </c>
      <c r="B2011" t="s">
        <v>33</v>
      </c>
      <c r="C2011" t="s">
        <v>39</v>
      </c>
      <c r="D2011" t="s">
        <v>50</v>
      </c>
      <c r="E2011" t="s">
        <v>57</v>
      </c>
      <c r="F2011">
        <v>1</v>
      </c>
      <c r="G2011" s="15">
        <v>2710000</v>
      </c>
      <c r="H2011" s="14">
        <v>0.13075929750140999</v>
      </c>
      <c r="I2011" s="27">
        <f t="shared" si="31"/>
        <v>2355642.3037711792</v>
      </c>
      <c r="J2011">
        <v>4.9000000000000004</v>
      </c>
      <c r="K2011" t="b">
        <v>0</v>
      </c>
    </row>
    <row r="2012" spans="1:11" ht="16" x14ac:dyDescent="0.2">
      <c r="A2012" s="16">
        <v>45472</v>
      </c>
      <c r="B2012" t="s">
        <v>18</v>
      </c>
      <c r="C2012" t="s">
        <v>19</v>
      </c>
      <c r="D2012" t="s">
        <v>20</v>
      </c>
      <c r="E2012" t="s">
        <v>7637</v>
      </c>
      <c r="F2012">
        <v>2</v>
      </c>
      <c r="G2012" s="15">
        <v>2710000</v>
      </c>
      <c r="H2012" s="14">
        <v>0.13075929750140999</v>
      </c>
      <c r="I2012" s="27">
        <f t="shared" si="31"/>
        <v>2355642.3037711792</v>
      </c>
      <c r="J2012">
        <v>4.8</v>
      </c>
      <c r="K2012" t="b">
        <v>1</v>
      </c>
    </row>
    <row r="2013" spans="1:11" ht="16" x14ac:dyDescent="0.2">
      <c r="A2013" s="16">
        <v>45472</v>
      </c>
      <c r="B2013" t="s">
        <v>18</v>
      </c>
      <c r="C2013" t="s">
        <v>45</v>
      </c>
      <c r="D2013" t="s">
        <v>20</v>
      </c>
      <c r="E2013" t="s">
        <v>99</v>
      </c>
      <c r="F2013">
        <v>5</v>
      </c>
      <c r="G2013" s="15">
        <v>2710000</v>
      </c>
      <c r="H2013" s="14">
        <v>0.13075929750140999</v>
      </c>
      <c r="I2013" s="27">
        <f t="shared" si="31"/>
        <v>2355642.3037711792</v>
      </c>
      <c r="J2013">
        <v>4.4000000000000004</v>
      </c>
      <c r="K2013" t="b">
        <v>1</v>
      </c>
    </row>
    <row r="2014" spans="1:11" ht="16" x14ac:dyDescent="0.2">
      <c r="A2014" s="16">
        <v>45473</v>
      </c>
      <c r="B2014" t="s">
        <v>29</v>
      </c>
      <c r="C2014" t="s">
        <v>34</v>
      </c>
      <c r="D2014" t="s">
        <v>50</v>
      </c>
      <c r="E2014" t="s">
        <v>7638</v>
      </c>
      <c r="F2014">
        <v>1</v>
      </c>
      <c r="G2014" s="15">
        <v>2710000</v>
      </c>
      <c r="H2014" s="14">
        <v>0.13075929750140999</v>
      </c>
      <c r="I2014" s="27">
        <f t="shared" si="31"/>
        <v>2355642.3037711792</v>
      </c>
      <c r="J2014">
        <v>4.2</v>
      </c>
      <c r="K2014" t="b">
        <v>0</v>
      </c>
    </row>
    <row r="2015" spans="1:11" ht="16" x14ac:dyDescent="0.2">
      <c r="A2015" s="16">
        <v>45473</v>
      </c>
      <c r="B2015" t="s">
        <v>29</v>
      </c>
      <c r="C2015" t="s">
        <v>34</v>
      </c>
      <c r="D2015" t="str">
        <f>D2014</f>
        <v>Agent</v>
      </c>
      <c r="E2015" t="s">
        <v>7640</v>
      </c>
      <c r="F2015">
        <v>1</v>
      </c>
      <c r="G2015" s="15">
        <v>2710000</v>
      </c>
      <c r="H2015" s="14">
        <v>0.13075929750140999</v>
      </c>
      <c r="I2015" s="27">
        <f t="shared" si="31"/>
        <v>2355642.3037711792</v>
      </c>
      <c r="J2015">
        <v>3.7</v>
      </c>
      <c r="K2015" t="b">
        <v>0</v>
      </c>
    </row>
    <row r="2016" spans="1:11" ht="16" x14ac:dyDescent="0.2">
      <c r="A2016" s="16">
        <v>45474</v>
      </c>
      <c r="B2016" t="s">
        <v>18</v>
      </c>
      <c r="C2016" t="s">
        <v>34</v>
      </c>
      <c r="D2016" t="s">
        <v>50</v>
      </c>
      <c r="E2016" t="s">
        <v>7638</v>
      </c>
      <c r="F2016">
        <v>4</v>
      </c>
      <c r="G2016" s="15">
        <v>2710000</v>
      </c>
      <c r="H2016" s="14">
        <v>0.13075929750140999</v>
      </c>
      <c r="I2016" s="27">
        <f t="shared" si="31"/>
        <v>2355642.3037711792</v>
      </c>
      <c r="J2016">
        <v>5</v>
      </c>
      <c r="K2016" t="b">
        <v>1</v>
      </c>
    </row>
    <row r="2017" spans="1:11" ht="16" x14ac:dyDescent="0.2">
      <c r="A2017" s="16">
        <v>45474</v>
      </c>
      <c r="B2017" t="s">
        <v>33</v>
      </c>
      <c r="C2017" t="s">
        <v>68</v>
      </c>
      <c r="D2017" t="s">
        <v>35</v>
      </c>
      <c r="E2017" t="s">
        <v>7641</v>
      </c>
      <c r="F2017">
        <v>2</v>
      </c>
      <c r="G2017" s="15">
        <v>2710000</v>
      </c>
      <c r="H2017" s="14">
        <v>0.13075929750140999</v>
      </c>
      <c r="I2017" s="27">
        <f t="shared" si="31"/>
        <v>2355642.3037711792</v>
      </c>
      <c r="J2017">
        <v>4.3</v>
      </c>
      <c r="K2017" t="b">
        <v>0</v>
      </c>
    </row>
    <row r="2018" spans="1:11" ht="16" x14ac:dyDescent="0.2">
      <c r="A2018" s="16">
        <v>45475</v>
      </c>
      <c r="B2018" t="s">
        <v>33</v>
      </c>
      <c r="C2018" t="s">
        <v>25</v>
      </c>
      <c r="D2018" t="s">
        <v>20</v>
      </c>
      <c r="E2018" t="s">
        <v>99</v>
      </c>
      <c r="F2018">
        <v>1</v>
      </c>
      <c r="G2018" s="15">
        <v>2710000</v>
      </c>
      <c r="H2018" s="14">
        <v>0.13075929750140999</v>
      </c>
      <c r="I2018" s="27">
        <f t="shared" si="31"/>
        <v>2355642.3037711792</v>
      </c>
      <c r="J2018">
        <v>4.4000000000000004</v>
      </c>
      <c r="K2018" t="b">
        <v>1</v>
      </c>
    </row>
    <row r="2019" spans="1:11" ht="16" x14ac:dyDescent="0.2">
      <c r="A2019" s="16">
        <v>45475</v>
      </c>
      <c r="B2019" t="s">
        <v>18</v>
      </c>
      <c r="C2019" t="s">
        <v>34</v>
      </c>
      <c r="D2019" t="s">
        <v>20</v>
      </c>
      <c r="E2019" t="s">
        <v>7639</v>
      </c>
      <c r="F2019">
        <v>1</v>
      </c>
      <c r="G2019" s="15">
        <v>2710000</v>
      </c>
      <c r="H2019" s="14">
        <v>0.13075929750140999</v>
      </c>
      <c r="I2019" s="27">
        <f t="shared" si="31"/>
        <v>2355642.3037711792</v>
      </c>
      <c r="J2019">
        <v>3.8</v>
      </c>
      <c r="K2019" t="b">
        <v>0</v>
      </c>
    </row>
    <row r="2020" spans="1:11" ht="16" x14ac:dyDescent="0.2">
      <c r="A2020" s="16">
        <v>45475</v>
      </c>
      <c r="B2020" t="s">
        <v>18</v>
      </c>
      <c r="C2020" t="s">
        <v>34</v>
      </c>
      <c r="D2020" t="s">
        <v>20</v>
      </c>
      <c r="E2020" t="s">
        <v>7639</v>
      </c>
      <c r="F2020">
        <v>1</v>
      </c>
      <c r="G2020" s="15">
        <v>2710000</v>
      </c>
      <c r="H2020" s="14">
        <v>0.13075929750140999</v>
      </c>
      <c r="I2020" s="27">
        <f t="shared" si="31"/>
        <v>2355642.3037711792</v>
      </c>
      <c r="J2020">
        <v>4.5</v>
      </c>
      <c r="K2020" t="b">
        <v>1</v>
      </c>
    </row>
    <row r="2021" spans="1:11" ht="16" x14ac:dyDescent="0.2">
      <c r="A2021" s="16">
        <v>45475</v>
      </c>
      <c r="B2021" t="s">
        <v>29</v>
      </c>
      <c r="C2021" t="s">
        <v>34</v>
      </c>
      <c r="D2021" t="s">
        <v>35</v>
      </c>
      <c r="E2021" t="s">
        <v>7637</v>
      </c>
      <c r="F2021">
        <v>2</v>
      </c>
      <c r="G2021" s="15">
        <v>2710000</v>
      </c>
      <c r="H2021" s="14">
        <v>0.13075929750140999</v>
      </c>
      <c r="I2021" s="27">
        <f t="shared" si="31"/>
        <v>2355642.3037711792</v>
      </c>
      <c r="J2021">
        <v>4.4000000000000004</v>
      </c>
      <c r="K2021" t="b">
        <v>0</v>
      </c>
    </row>
    <row r="2022" spans="1:11" ht="16" x14ac:dyDescent="0.2">
      <c r="A2022" s="16">
        <v>45476</v>
      </c>
      <c r="B2022" t="s">
        <v>45</v>
      </c>
      <c r="C2022" t="s">
        <v>39</v>
      </c>
      <c r="D2022" t="s">
        <v>20</v>
      </c>
      <c r="E2022" t="s">
        <v>7642</v>
      </c>
      <c r="F2022">
        <v>1</v>
      </c>
      <c r="G2022" s="15">
        <v>2710000</v>
      </c>
      <c r="H2022" s="14">
        <v>0.13075929750140999</v>
      </c>
      <c r="I2022" s="27">
        <f t="shared" si="31"/>
        <v>2355642.3037711792</v>
      </c>
      <c r="J2022">
        <v>4.4000000000000004</v>
      </c>
      <c r="K2022" t="b">
        <v>0</v>
      </c>
    </row>
    <row r="2023" spans="1:11" ht="16" x14ac:dyDescent="0.2">
      <c r="A2023" s="16">
        <v>45476</v>
      </c>
      <c r="B2023" t="s">
        <v>29</v>
      </c>
      <c r="C2023" t="s">
        <v>34</v>
      </c>
      <c r="D2023" t="s">
        <v>20</v>
      </c>
      <c r="E2023" t="s">
        <v>57</v>
      </c>
      <c r="F2023">
        <v>3</v>
      </c>
      <c r="G2023" s="15">
        <v>2710000</v>
      </c>
      <c r="H2023" s="14">
        <v>0.13075929750140999</v>
      </c>
      <c r="I2023" s="27">
        <f t="shared" si="31"/>
        <v>2355642.3037711792</v>
      </c>
      <c r="J2023">
        <v>4.0999999999999996</v>
      </c>
      <c r="K2023" t="b">
        <v>0</v>
      </c>
    </row>
    <row r="2024" spans="1:11" ht="16" x14ac:dyDescent="0.2">
      <c r="A2024" s="16">
        <v>45476</v>
      </c>
      <c r="B2024" t="s">
        <v>45</v>
      </c>
      <c r="C2024" t="s">
        <v>25</v>
      </c>
      <c r="D2024" t="s">
        <v>35</v>
      </c>
      <c r="E2024" t="s">
        <v>7639</v>
      </c>
      <c r="F2024">
        <v>2</v>
      </c>
      <c r="G2024" s="15">
        <v>2710000</v>
      </c>
      <c r="H2024" s="14">
        <v>0.13075929750140999</v>
      </c>
      <c r="I2024" s="27">
        <f t="shared" si="31"/>
        <v>2355642.3037711792</v>
      </c>
      <c r="J2024">
        <v>4</v>
      </c>
      <c r="K2024" t="b">
        <v>1</v>
      </c>
    </row>
    <row r="2025" spans="1:11" ht="16" x14ac:dyDescent="0.2">
      <c r="A2025" s="16">
        <v>45477</v>
      </c>
      <c r="B2025" t="s">
        <v>33</v>
      </c>
      <c r="C2025" t="s">
        <v>34</v>
      </c>
      <c r="D2025" t="s">
        <v>20</v>
      </c>
      <c r="E2025" t="s">
        <v>7638</v>
      </c>
      <c r="F2025">
        <v>1</v>
      </c>
      <c r="G2025" s="15">
        <v>2710000</v>
      </c>
      <c r="H2025" s="14">
        <v>0.13075929750140999</v>
      </c>
      <c r="I2025" s="27">
        <f t="shared" si="31"/>
        <v>2355642.3037711792</v>
      </c>
      <c r="J2025">
        <v>4.8</v>
      </c>
      <c r="K2025" t="b">
        <v>0</v>
      </c>
    </row>
    <row r="2026" spans="1:11" ht="16" x14ac:dyDescent="0.2">
      <c r="A2026" s="16">
        <v>45477</v>
      </c>
      <c r="B2026" t="s">
        <v>18</v>
      </c>
      <c r="C2026" t="s">
        <v>68</v>
      </c>
      <c r="D2026" t="s">
        <v>20</v>
      </c>
      <c r="E2026" t="s">
        <v>99</v>
      </c>
      <c r="F2026">
        <v>2</v>
      </c>
      <c r="G2026" s="15">
        <v>2710000</v>
      </c>
      <c r="H2026" s="14">
        <v>0.13075929750140999</v>
      </c>
      <c r="I2026" s="27">
        <f t="shared" si="31"/>
        <v>2355642.3037711792</v>
      </c>
      <c r="J2026">
        <v>3.8</v>
      </c>
      <c r="K2026" t="b">
        <v>1</v>
      </c>
    </row>
    <row r="2027" spans="1:11" ht="16" x14ac:dyDescent="0.2">
      <c r="A2027" s="16">
        <v>45478</v>
      </c>
      <c r="B2027" t="s">
        <v>45</v>
      </c>
      <c r="C2027" t="s">
        <v>45</v>
      </c>
      <c r="D2027" t="s">
        <v>20</v>
      </c>
      <c r="E2027" t="str">
        <f>E2026</f>
        <v>Sa Pa</v>
      </c>
      <c r="F2027">
        <v>3</v>
      </c>
      <c r="G2027" s="15">
        <v>2710000</v>
      </c>
      <c r="H2027" s="14">
        <v>0.13075929750140999</v>
      </c>
      <c r="I2027" s="27">
        <f t="shared" si="31"/>
        <v>2355642.3037711792</v>
      </c>
      <c r="J2027">
        <v>4.4000000000000004</v>
      </c>
      <c r="K2027" t="b">
        <v>1</v>
      </c>
    </row>
    <row r="2028" spans="1:11" ht="16" x14ac:dyDescent="0.2">
      <c r="A2028" s="16">
        <v>45478</v>
      </c>
      <c r="B2028" t="s">
        <v>33</v>
      </c>
      <c r="C2028" t="s">
        <v>39</v>
      </c>
      <c r="D2028" t="s">
        <v>20</v>
      </c>
      <c r="E2028" t="s">
        <v>7638</v>
      </c>
      <c r="F2028">
        <v>2</v>
      </c>
      <c r="G2028" s="15">
        <v>2710000</v>
      </c>
      <c r="H2028" s="14">
        <v>0.13075929750140999</v>
      </c>
      <c r="I2028" s="27">
        <f t="shared" si="31"/>
        <v>2355642.3037711792</v>
      </c>
      <c r="J2028">
        <v>4.4000000000000004</v>
      </c>
      <c r="K2028" t="b">
        <v>1</v>
      </c>
    </row>
    <row r="2029" spans="1:11" ht="16" x14ac:dyDescent="0.2">
      <c r="A2029" s="16">
        <v>45478</v>
      </c>
      <c r="B2029" t="s">
        <v>45</v>
      </c>
      <c r="C2029" t="s">
        <v>34</v>
      </c>
      <c r="D2029" t="s">
        <v>35</v>
      </c>
      <c r="E2029" t="s">
        <v>7639</v>
      </c>
      <c r="F2029">
        <v>1</v>
      </c>
      <c r="G2029" s="15">
        <v>2710000</v>
      </c>
      <c r="H2029" s="14">
        <v>0.13075929750140999</v>
      </c>
      <c r="I2029" s="27">
        <f t="shared" si="31"/>
        <v>2355642.3037711792</v>
      </c>
      <c r="J2029">
        <v>4.2</v>
      </c>
      <c r="K2029" t="b">
        <v>0</v>
      </c>
    </row>
    <row r="2030" spans="1:11" ht="16" x14ac:dyDescent="0.2">
      <c r="A2030" s="16">
        <v>45478</v>
      </c>
      <c r="B2030" t="s">
        <v>18</v>
      </c>
      <c r="C2030" t="s">
        <v>45</v>
      </c>
      <c r="D2030" t="s">
        <v>35</v>
      </c>
      <c r="E2030" t="s">
        <v>7641</v>
      </c>
      <c r="F2030">
        <v>2</v>
      </c>
      <c r="G2030" s="15">
        <v>2710000</v>
      </c>
      <c r="H2030" s="14">
        <v>0.13075929750140999</v>
      </c>
      <c r="I2030" s="27">
        <f t="shared" si="31"/>
        <v>2355642.3037711792</v>
      </c>
      <c r="J2030">
        <v>4.2</v>
      </c>
      <c r="K2030" t="b">
        <v>1</v>
      </c>
    </row>
    <row r="2031" spans="1:11" ht="16" x14ac:dyDescent="0.2">
      <c r="A2031" s="16">
        <v>45478</v>
      </c>
      <c r="B2031" t="s">
        <v>33</v>
      </c>
      <c r="C2031" t="s">
        <v>19</v>
      </c>
      <c r="D2031" t="s">
        <v>35</v>
      </c>
      <c r="E2031" t="s">
        <v>7639</v>
      </c>
      <c r="F2031">
        <v>1</v>
      </c>
      <c r="G2031" s="15">
        <v>2710000</v>
      </c>
      <c r="H2031" s="14">
        <v>0.13075929750140999</v>
      </c>
      <c r="I2031" s="27">
        <f t="shared" si="31"/>
        <v>2355642.3037711792</v>
      </c>
      <c r="J2031">
        <v>3.6</v>
      </c>
      <c r="K2031" t="b">
        <v>1</v>
      </c>
    </row>
    <row r="2032" spans="1:11" ht="16" x14ac:dyDescent="0.2">
      <c r="A2032" s="16">
        <v>45478</v>
      </c>
      <c r="B2032" t="s">
        <v>45</v>
      </c>
      <c r="C2032" t="s">
        <v>39</v>
      </c>
      <c r="D2032" t="s">
        <v>35</v>
      </c>
      <c r="E2032" t="s">
        <v>7637</v>
      </c>
      <c r="F2032">
        <v>2</v>
      </c>
      <c r="G2032" s="15">
        <v>2710000</v>
      </c>
      <c r="H2032" s="14">
        <v>0.13075929750140999</v>
      </c>
      <c r="I2032" s="27">
        <f t="shared" si="31"/>
        <v>2355642.3037711792</v>
      </c>
      <c r="J2032">
        <v>4.3</v>
      </c>
      <c r="K2032" t="b">
        <v>1</v>
      </c>
    </row>
    <row r="2033" spans="1:11" ht="16" x14ac:dyDescent="0.2">
      <c r="A2033" s="16">
        <v>45479</v>
      </c>
      <c r="B2033" t="s">
        <v>18</v>
      </c>
      <c r="C2033" t="s">
        <v>39</v>
      </c>
      <c r="D2033" t="s">
        <v>20</v>
      </c>
      <c r="E2033" t="s">
        <v>7641</v>
      </c>
      <c r="F2033">
        <v>1</v>
      </c>
      <c r="G2033" s="15">
        <v>2710000</v>
      </c>
      <c r="H2033" s="14">
        <v>0.13075929750140999</v>
      </c>
      <c r="I2033" s="27">
        <f t="shared" si="31"/>
        <v>2355642.3037711792</v>
      </c>
      <c r="J2033">
        <v>4.3</v>
      </c>
      <c r="K2033" t="b">
        <v>1</v>
      </c>
    </row>
    <row r="2034" spans="1:11" ht="16" x14ac:dyDescent="0.2">
      <c r="A2034" s="16">
        <v>45479</v>
      </c>
      <c r="B2034" t="s">
        <v>45</v>
      </c>
      <c r="C2034" t="s">
        <v>45</v>
      </c>
      <c r="D2034" t="s">
        <v>20</v>
      </c>
      <c r="E2034" t="s">
        <v>7641</v>
      </c>
      <c r="F2034">
        <v>2</v>
      </c>
      <c r="G2034" s="15">
        <v>2710000</v>
      </c>
      <c r="H2034" s="14">
        <v>0.13075929750140999</v>
      </c>
      <c r="I2034" s="27">
        <f t="shared" si="31"/>
        <v>2355642.3037711792</v>
      </c>
      <c r="J2034">
        <v>4</v>
      </c>
      <c r="K2034" t="b">
        <v>1</v>
      </c>
    </row>
    <row r="2035" spans="1:11" ht="16" x14ac:dyDescent="0.2">
      <c r="A2035" s="16">
        <v>45479</v>
      </c>
      <c r="B2035" t="s">
        <v>18</v>
      </c>
      <c r="C2035" t="s">
        <v>45</v>
      </c>
      <c r="D2035" t="s">
        <v>20</v>
      </c>
      <c r="E2035" t="s">
        <v>7641</v>
      </c>
      <c r="F2035">
        <v>3</v>
      </c>
      <c r="G2035" s="15">
        <v>2710000</v>
      </c>
      <c r="H2035" s="14">
        <v>0.13075929750140999</v>
      </c>
      <c r="I2035" s="27">
        <f t="shared" si="31"/>
        <v>2355642.3037711792</v>
      </c>
      <c r="J2035">
        <v>4.4000000000000004</v>
      </c>
      <c r="K2035" t="b">
        <v>1</v>
      </c>
    </row>
    <row r="2036" spans="1:11" ht="16" x14ac:dyDescent="0.2">
      <c r="A2036" s="16">
        <v>45479</v>
      </c>
      <c r="B2036" t="s">
        <v>18</v>
      </c>
      <c r="C2036" t="s">
        <v>19</v>
      </c>
      <c r="D2036" t="s">
        <v>46</v>
      </c>
      <c r="E2036" t="s">
        <v>7638</v>
      </c>
      <c r="F2036">
        <v>5</v>
      </c>
      <c r="G2036" s="15">
        <v>2710000</v>
      </c>
      <c r="H2036" s="14">
        <v>0.13075929750140999</v>
      </c>
      <c r="I2036" s="27">
        <f t="shared" si="31"/>
        <v>2355642.3037711792</v>
      </c>
      <c r="J2036">
        <v>3.6</v>
      </c>
      <c r="K2036" t="b">
        <v>1</v>
      </c>
    </row>
    <row r="2037" spans="1:11" ht="16" x14ac:dyDescent="0.2">
      <c r="A2037" s="16">
        <v>45480</v>
      </c>
      <c r="B2037" t="s">
        <v>33</v>
      </c>
      <c r="C2037" t="s">
        <v>45</v>
      </c>
      <c r="D2037" t="s">
        <v>35</v>
      </c>
      <c r="E2037" t="s">
        <v>57</v>
      </c>
      <c r="F2037">
        <v>3</v>
      </c>
      <c r="G2037" s="15">
        <v>2710000</v>
      </c>
      <c r="H2037" s="14">
        <v>0.13075929750140999</v>
      </c>
      <c r="I2037" s="27">
        <f t="shared" si="31"/>
        <v>2355642.3037711792</v>
      </c>
      <c r="J2037">
        <v>4.5</v>
      </c>
      <c r="K2037" t="b">
        <v>0</v>
      </c>
    </row>
    <row r="2038" spans="1:11" ht="16" x14ac:dyDescent="0.2">
      <c r="A2038" s="16">
        <v>45480</v>
      </c>
      <c r="B2038" t="s">
        <v>45</v>
      </c>
      <c r="C2038" t="s">
        <v>19</v>
      </c>
      <c r="D2038" t="s">
        <v>35</v>
      </c>
      <c r="E2038" t="s">
        <v>57</v>
      </c>
      <c r="F2038">
        <v>1</v>
      </c>
      <c r="G2038" s="15">
        <v>2710000</v>
      </c>
      <c r="H2038" s="14">
        <v>0.13075929750140999</v>
      </c>
      <c r="I2038" s="27">
        <f t="shared" si="31"/>
        <v>2355642.3037711792</v>
      </c>
      <c r="J2038">
        <v>4.7</v>
      </c>
      <c r="K2038" t="b">
        <v>1</v>
      </c>
    </row>
    <row r="2039" spans="1:11" ht="16" x14ac:dyDescent="0.2">
      <c r="A2039" s="16">
        <v>45481</v>
      </c>
      <c r="B2039" t="s">
        <v>29</v>
      </c>
      <c r="C2039" t="s">
        <v>45</v>
      </c>
      <c r="D2039" t="s">
        <v>50</v>
      </c>
      <c r="E2039" t="s">
        <v>7641</v>
      </c>
      <c r="F2039">
        <v>4</v>
      </c>
      <c r="G2039" s="15">
        <v>2710000</v>
      </c>
      <c r="H2039" s="14">
        <v>0.13075929750140999</v>
      </c>
      <c r="I2039" s="27">
        <f t="shared" si="31"/>
        <v>2355642.3037711792</v>
      </c>
      <c r="J2039">
        <v>3.1</v>
      </c>
      <c r="K2039" t="b">
        <v>0</v>
      </c>
    </row>
    <row r="2040" spans="1:11" ht="16" x14ac:dyDescent="0.2">
      <c r="A2040" s="16">
        <v>45481</v>
      </c>
      <c r="B2040" t="s">
        <v>18</v>
      </c>
      <c r="C2040" t="s">
        <v>34</v>
      </c>
      <c r="D2040" t="s">
        <v>20</v>
      </c>
      <c r="E2040" t="s">
        <v>7643</v>
      </c>
      <c r="F2040">
        <v>2</v>
      </c>
      <c r="G2040" s="15">
        <v>2710000</v>
      </c>
      <c r="H2040" s="14">
        <v>0.13075929750140999</v>
      </c>
      <c r="I2040" s="27">
        <f t="shared" si="31"/>
        <v>2355642.3037711792</v>
      </c>
      <c r="J2040">
        <v>4.0999999999999996</v>
      </c>
      <c r="K2040" t="b">
        <v>1</v>
      </c>
    </row>
    <row r="2041" spans="1:11" ht="16" x14ac:dyDescent="0.2">
      <c r="A2041" s="16">
        <v>45481</v>
      </c>
      <c r="B2041" t="s">
        <v>45</v>
      </c>
      <c r="C2041" t="s">
        <v>34</v>
      </c>
      <c r="D2041" t="s">
        <v>50</v>
      </c>
      <c r="E2041" t="s">
        <v>7640</v>
      </c>
      <c r="F2041">
        <v>3</v>
      </c>
      <c r="G2041" s="15">
        <v>2710000</v>
      </c>
      <c r="H2041" s="14">
        <v>0.13075929750140999</v>
      </c>
      <c r="I2041" s="27">
        <f t="shared" si="31"/>
        <v>2355642.3037711792</v>
      </c>
      <c r="J2041">
        <v>3</v>
      </c>
      <c r="K2041" t="b">
        <v>1</v>
      </c>
    </row>
    <row r="2042" spans="1:11" ht="16" x14ac:dyDescent="0.2">
      <c r="A2042" s="16">
        <v>45482</v>
      </c>
      <c r="B2042" t="s">
        <v>18</v>
      </c>
      <c r="C2042" t="s">
        <v>19</v>
      </c>
      <c r="D2042" t="s">
        <v>46</v>
      </c>
      <c r="E2042" t="s">
        <v>7644</v>
      </c>
      <c r="F2042">
        <v>2</v>
      </c>
      <c r="G2042" s="15">
        <v>2710000</v>
      </c>
      <c r="H2042" s="14">
        <v>0.13075929750140999</v>
      </c>
      <c r="I2042" s="27">
        <f t="shared" si="31"/>
        <v>2355642.3037711792</v>
      </c>
      <c r="J2042">
        <v>4.5999999999999996</v>
      </c>
      <c r="K2042" t="b">
        <v>0</v>
      </c>
    </row>
    <row r="2043" spans="1:11" ht="16" x14ac:dyDescent="0.2">
      <c r="A2043" s="16">
        <v>45482</v>
      </c>
      <c r="B2043" t="s">
        <v>45</v>
      </c>
      <c r="C2043" t="s">
        <v>25</v>
      </c>
      <c r="D2043" t="s">
        <v>50</v>
      </c>
      <c r="E2043" t="s">
        <v>7642</v>
      </c>
      <c r="F2043">
        <v>1</v>
      </c>
      <c r="G2043" s="15">
        <v>2710000</v>
      </c>
      <c r="H2043" s="14">
        <v>0.13075929750140999</v>
      </c>
      <c r="I2043" s="27">
        <f t="shared" si="31"/>
        <v>2355642.3037711792</v>
      </c>
      <c r="J2043">
        <v>3.8</v>
      </c>
      <c r="K2043" t="b">
        <v>0</v>
      </c>
    </row>
    <row r="2044" spans="1:11" ht="16" x14ac:dyDescent="0.2">
      <c r="A2044" s="16">
        <v>45483</v>
      </c>
      <c r="B2044" t="s">
        <v>18</v>
      </c>
      <c r="C2044" t="s">
        <v>68</v>
      </c>
      <c r="D2044" t="s">
        <v>20</v>
      </c>
      <c r="E2044" t="s">
        <v>7638</v>
      </c>
      <c r="F2044">
        <v>1</v>
      </c>
      <c r="G2044" s="15">
        <v>2710000</v>
      </c>
      <c r="H2044" s="14">
        <v>0.13075929750140999</v>
      </c>
      <c r="I2044" s="27">
        <f t="shared" si="31"/>
        <v>2355642.3037711792</v>
      </c>
      <c r="J2044">
        <v>3.8</v>
      </c>
      <c r="K2044" t="b">
        <v>0</v>
      </c>
    </row>
    <row r="2045" spans="1:11" ht="16" x14ac:dyDescent="0.2">
      <c r="A2045" s="16">
        <v>45483</v>
      </c>
      <c r="B2045" t="s">
        <v>45</v>
      </c>
      <c r="C2045" t="s">
        <v>34</v>
      </c>
      <c r="D2045" t="s">
        <v>50</v>
      </c>
      <c r="E2045" t="s">
        <v>7642</v>
      </c>
      <c r="F2045">
        <v>2</v>
      </c>
      <c r="G2045" s="15">
        <v>2710000</v>
      </c>
      <c r="H2045" s="14">
        <v>0.13075929750140999</v>
      </c>
      <c r="I2045" s="27">
        <f t="shared" si="31"/>
        <v>2355642.3037711792</v>
      </c>
      <c r="J2045">
        <v>4.3</v>
      </c>
      <c r="K2045" t="b">
        <v>0</v>
      </c>
    </row>
    <row r="2046" spans="1:11" ht="16" x14ac:dyDescent="0.2">
      <c r="A2046" s="16">
        <v>45483</v>
      </c>
      <c r="B2046" t="s">
        <v>33</v>
      </c>
      <c r="C2046" t="s">
        <v>25</v>
      </c>
      <c r="D2046" t="s">
        <v>20</v>
      </c>
      <c r="E2046" t="s">
        <v>7640</v>
      </c>
      <c r="F2046">
        <v>1</v>
      </c>
      <c r="G2046" s="15">
        <v>2710000</v>
      </c>
      <c r="H2046" s="14">
        <v>0.13075929750140999</v>
      </c>
      <c r="I2046" s="27">
        <f t="shared" si="31"/>
        <v>2355642.3037711792</v>
      </c>
      <c r="J2046">
        <v>3.9</v>
      </c>
      <c r="K2046" t="b">
        <v>1</v>
      </c>
    </row>
    <row r="2047" spans="1:11" ht="16" x14ac:dyDescent="0.2">
      <c r="A2047" s="16">
        <v>45483</v>
      </c>
      <c r="B2047" t="s">
        <v>45</v>
      </c>
      <c r="C2047" t="s">
        <v>39</v>
      </c>
      <c r="D2047" t="s">
        <v>50</v>
      </c>
      <c r="E2047" t="s">
        <v>99</v>
      </c>
      <c r="F2047">
        <v>4</v>
      </c>
      <c r="G2047" s="15">
        <v>2710000</v>
      </c>
      <c r="H2047" s="14">
        <v>0.13075929750140999</v>
      </c>
      <c r="I2047" s="27">
        <f t="shared" si="31"/>
        <v>2355642.3037711792</v>
      </c>
      <c r="J2047">
        <v>4.9000000000000004</v>
      </c>
      <c r="K2047" t="b">
        <v>0</v>
      </c>
    </row>
    <row r="2048" spans="1:11" ht="16" x14ac:dyDescent="0.2">
      <c r="A2048" s="16">
        <v>45483</v>
      </c>
      <c r="B2048" t="s">
        <v>45</v>
      </c>
      <c r="C2048" t="s">
        <v>34</v>
      </c>
      <c r="D2048" t="s">
        <v>50</v>
      </c>
      <c r="E2048" t="s">
        <v>7640</v>
      </c>
      <c r="F2048">
        <v>2</v>
      </c>
      <c r="G2048" s="15">
        <v>2710000</v>
      </c>
      <c r="H2048" s="14">
        <v>0.13075929750140999</v>
      </c>
      <c r="I2048" s="27">
        <f t="shared" si="31"/>
        <v>2355642.3037711792</v>
      </c>
      <c r="J2048">
        <v>5</v>
      </c>
      <c r="K2048" t="b">
        <v>0</v>
      </c>
    </row>
    <row r="2049" spans="1:11" ht="16" x14ac:dyDescent="0.2">
      <c r="A2049" s="16">
        <v>45484</v>
      </c>
      <c r="B2049" t="s">
        <v>45</v>
      </c>
      <c r="C2049" t="s">
        <v>25</v>
      </c>
      <c r="D2049" t="s">
        <v>46</v>
      </c>
      <c r="E2049" t="s">
        <v>7643</v>
      </c>
      <c r="F2049">
        <v>3</v>
      </c>
      <c r="G2049" s="15">
        <v>2710000</v>
      </c>
      <c r="H2049" s="14">
        <v>0.13075929750140999</v>
      </c>
      <c r="I2049" s="27">
        <f t="shared" si="31"/>
        <v>2355642.3037711792</v>
      </c>
      <c r="J2049">
        <v>4.5</v>
      </c>
      <c r="K2049" t="b">
        <v>1</v>
      </c>
    </row>
    <row r="2050" spans="1:11" ht="16" x14ac:dyDescent="0.2">
      <c r="A2050" s="16">
        <v>45484</v>
      </c>
      <c r="B2050" t="s">
        <v>33</v>
      </c>
      <c r="C2050" t="s">
        <v>45</v>
      </c>
      <c r="D2050" t="s">
        <v>20</v>
      </c>
      <c r="E2050" t="s">
        <v>7639</v>
      </c>
      <c r="F2050">
        <v>5</v>
      </c>
      <c r="G2050" s="15">
        <v>2710000</v>
      </c>
      <c r="H2050" s="14">
        <v>0.13075929750140999</v>
      </c>
      <c r="I2050" s="27">
        <f t="shared" si="31"/>
        <v>2355642.3037711792</v>
      </c>
      <c r="J2050">
        <v>4.5999999999999996</v>
      </c>
      <c r="K2050" t="b">
        <v>0</v>
      </c>
    </row>
    <row r="2051" spans="1:11" ht="16" x14ac:dyDescent="0.2">
      <c r="A2051" s="16">
        <v>45484</v>
      </c>
      <c r="B2051" t="s">
        <v>33</v>
      </c>
      <c r="C2051" t="s">
        <v>45</v>
      </c>
      <c r="D2051" t="s">
        <v>20</v>
      </c>
      <c r="E2051" t="s">
        <v>7643</v>
      </c>
      <c r="F2051">
        <v>1</v>
      </c>
      <c r="G2051" s="15">
        <v>2710000</v>
      </c>
      <c r="H2051" s="14">
        <v>0.13075929750140999</v>
      </c>
      <c r="I2051" s="27">
        <f t="shared" ref="I2051:I2114" si="32">G2051-G2051*H2051</f>
        <v>2355642.3037711792</v>
      </c>
      <c r="J2051">
        <v>4.3</v>
      </c>
      <c r="K2051" t="b">
        <v>1</v>
      </c>
    </row>
    <row r="2052" spans="1:11" ht="16" x14ac:dyDescent="0.2">
      <c r="A2052" s="16">
        <v>45484</v>
      </c>
      <c r="B2052" t="s">
        <v>18</v>
      </c>
      <c r="C2052" t="s">
        <v>45</v>
      </c>
      <c r="D2052" t="s">
        <v>46</v>
      </c>
      <c r="E2052" t="s">
        <v>7642</v>
      </c>
      <c r="F2052">
        <v>1</v>
      </c>
      <c r="G2052" s="15">
        <v>2710000</v>
      </c>
      <c r="H2052" s="14">
        <v>0.13075929750140999</v>
      </c>
      <c r="I2052" s="27">
        <f t="shared" si="32"/>
        <v>2355642.3037711792</v>
      </c>
      <c r="J2052">
        <v>3.4</v>
      </c>
      <c r="K2052" t="b">
        <v>0</v>
      </c>
    </row>
    <row r="2053" spans="1:11" ht="16" x14ac:dyDescent="0.2">
      <c r="A2053" s="16">
        <v>45485</v>
      </c>
      <c r="B2053" t="s">
        <v>18</v>
      </c>
      <c r="C2053" t="s">
        <v>34</v>
      </c>
      <c r="D2053" t="s">
        <v>46</v>
      </c>
      <c r="E2053" t="s">
        <v>7643</v>
      </c>
      <c r="F2053">
        <v>4</v>
      </c>
      <c r="G2053" s="15">
        <v>2710000</v>
      </c>
      <c r="H2053" s="14">
        <v>0.13075929750140999</v>
      </c>
      <c r="I2053" s="27">
        <f t="shared" si="32"/>
        <v>2355642.3037711792</v>
      </c>
      <c r="J2053">
        <v>3.8</v>
      </c>
      <c r="K2053" t="b">
        <v>1</v>
      </c>
    </row>
    <row r="2054" spans="1:11" ht="16" x14ac:dyDescent="0.2">
      <c r="A2054" s="16">
        <v>45485</v>
      </c>
      <c r="B2054" t="s">
        <v>45</v>
      </c>
      <c r="C2054" t="s">
        <v>25</v>
      </c>
      <c r="D2054" t="s">
        <v>35</v>
      </c>
      <c r="E2054" t="s">
        <v>7638</v>
      </c>
      <c r="F2054">
        <v>1</v>
      </c>
      <c r="G2054" s="15">
        <v>2710000</v>
      </c>
      <c r="H2054" s="14">
        <v>0.13075929750140999</v>
      </c>
      <c r="I2054" s="27">
        <f t="shared" si="32"/>
        <v>2355642.3037711792</v>
      </c>
      <c r="J2054">
        <v>4</v>
      </c>
      <c r="K2054" t="b">
        <v>0</v>
      </c>
    </row>
    <row r="2055" spans="1:11" ht="16" x14ac:dyDescent="0.2">
      <c r="A2055" s="16">
        <v>45485</v>
      </c>
      <c r="B2055" t="s">
        <v>18</v>
      </c>
      <c r="C2055" t="s">
        <v>39</v>
      </c>
      <c r="D2055" t="s">
        <v>20</v>
      </c>
      <c r="E2055" t="s">
        <v>7640</v>
      </c>
      <c r="F2055">
        <v>1</v>
      </c>
      <c r="G2055" s="15">
        <v>2710000</v>
      </c>
      <c r="H2055" s="14">
        <v>0.13075929750140999</v>
      </c>
      <c r="I2055" s="27">
        <f t="shared" si="32"/>
        <v>2355642.3037711792</v>
      </c>
      <c r="J2055">
        <v>4.8</v>
      </c>
      <c r="K2055" t="b">
        <v>1</v>
      </c>
    </row>
    <row r="2056" spans="1:11" ht="16" x14ac:dyDescent="0.2">
      <c r="A2056" s="16">
        <v>45485</v>
      </c>
      <c r="B2056" t="s">
        <v>18</v>
      </c>
      <c r="C2056" t="s">
        <v>39</v>
      </c>
      <c r="D2056" t="s">
        <v>20</v>
      </c>
      <c r="E2056" t="s">
        <v>7642</v>
      </c>
      <c r="F2056">
        <v>1</v>
      </c>
      <c r="G2056" s="15">
        <v>2710000</v>
      </c>
      <c r="H2056" s="14">
        <v>0.13075929750140999</v>
      </c>
      <c r="I2056" s="27">
        <f t="shared" si="32"/>
        <v>2355642.3037711792</v>
      </c>
      <c r="J2056">
        <v>4.5999999999999996</v>
      </c>
      <c r="K2056" t="b">
        <v>0</v>
      </c>
    </row>
    <row r="2057" spans="1:11" ht="16" x14ac:dyDescent="0.2">
      <c r="A2057" s="16">
        <v>45485</v>
      </c>
      <c r="B2057" t="s">
        <v>45</v>
      </c>
      <c r="C2057" t="s">
        <v>19</v>
      </c>
      <c r="D2057" t="s">
        <v>20</v>
      </c>
      <c r="E2057" t="s">
        <v>7637</v>
      </c>
      <c r="F2057">
        <v>2</v>
      </c>
      <c r="G2057" s="15">
        <v>2710000</v>
      </c>
      <c r="H2057" s="14">
        <v>0.13075929750140999</v>
      </c>
      <c r="I2057" s="27">
        <f t="shared" si="32"/>
        <v>2355642.3037711792</v>
      </c>
      <c r="J2057">
        <v>3.7</v>
      </c>
      <c r="K2057" t="b">
        <v>1</v>
      </c>
    </row>
    <row r="2058" spans="1:11" ht="16" x14ac:dyDescent="0.2">
      <c r="A2058" s="16">
        <v>45486</v>
      </c>
      <c r="B2058" t="s">
        <v>29</v>
      </c>
      <c r="C2058" t="s">
        <v>68</v>
      </c>
      <c r="D2058" t="s">
        <v>50</v>
      </c>
      <c r="E2058" t="s">
        <v>7640</v>
      </c>
      <c r="F2058">
        <v>1</v>
      </c>
      <c r="G2058" s="15">
        <v>2710000</v>
      </c>
      <c r="H2058" s="14">
        <v>0.13075929750140999</v>
      </c>
      <c r="I2058" s="27">
        <f t="shared" si="32"/>
        <v>2355642.3037711792</v>
      </c>
      <c r="J2058">
        <v>4.2</v>
      </c>
      <c r="K2058" t="b">
        <v>1</v>
      </c>
    </row>
    <row r="2059" spans="1:11" ht="16" x14ac:dyDescent="0.2">
      <c r="A2059" s="16">
        <v>45486</v>
      </c>
      <c r="B2059" t="s">
        <v>45</v>
      </c>
      <c r="C2059" t="s">
        <v>19</v>
      </c>
      <c r="D2059" t="s">
        <v>20</v>
      </c>
      <c r="E2059" t="s">
        <v>7643</v>
      </c>
      <c r="F2059">
        <v>3</v>
      </c>
      <c r="G2059" s="15">
        <v>2710000</v>
      </c>
      <c r="H2059" s="14">
        <v>0.13075929750140999</v>
      </c>
      <c r="I2059" s="27">
        <f t="shared" si="32"/>
        <v>2355642.3037711792</v>
      </c>
      <c r="J2059">
        <v>4.9000000000000004</v>
      </c>
      <c r="K2059" t="b">
        <v>1</v>
      </c>
    </row>
    <row r="2060" spans="1:11" ht="16" x14ac:dyDescent="0.2">
      <c r="A2060" s="16">
        <v>45487</v>
      </c>
      <c r="B2060" t="s">
        <v>18</v>
      </c>
      <c r="C2060" t="s">
        <v>34</v>
      </c>
      <c r="D2060" t="s">
        <v>20</v>
      </c>
      <c r="E2060" t="s">
        <v>7640</v>
      </c>
      <c r="F2060">
        <v>1</v>
      </c>
      <c r="G2060" s="15">
        <v>2710000</v>
      </c>
      <c r="H2060" s="14">
        <v>0.13075929750140999</v>
      </c>
      <c r="I2060" s="27">
        <f t="shared" si="32"/>
        <v>2355642.3037711792</v>
      </c>
      <c r="J2060">
        <v>5</v>
      </c>
      <c r="K2060" t="b">
        <v>1</v>
      </c>
    </row>
    <row r="2061" spans="1:11" ht="16" x14ac:dyDescent="0.2">
      <c r="A2061" s="16">
        <v>45487</v>
      </c>
      <c r="B2061" t="s">
        <v>45</v>
      </c>
      <c r="C2061" t="s">
        <v>19</v>
      </c>
      <c r="D2061" t="s">
        <v>50</v>
      </c>
      <c r="E2061" t="s">
        <v>7644</v>
      </c>
      <c r="F2061">
        <v>2</v>
      </c>
      <c r="G2061" s="15">
        <v>2710000</v>
      </c>
      <c r="H2061" s="14">
        <v>0.13075929750140999</v>
      </c>
      <c r="I2061" s="27">
        <f t="shared" si="32"/>
        <v>2355642.3037711792</v>
      </c>
      <c r="J2061">
        <v>4.0999999999999996</v>
      </c>
      <c r="K2061" t="b">
        <v>1</v>
      </c>
    </row>
    <row r="2062" spans="1:11" ht="16" x14ac:dyDescent="0.2">
      <c r="A2062" s="16">
        <v>45487</v>
      </c>
      <c r="B2062" t="s">
        <v>45</v>
      </c>
      <c r="C2062" t="s">
        <v>19</v>
      </c>
      <c r="D2062" t="s">
        <v>20</v>
      </c>
      <c r="E2062" t="s">
        <v>7644</v>
      </c>
      <c r="F2062">
        <v>3</v>
      </c>
      <c r="G2062" s="15">
        <v>2710000</v>
      </c>
      <c r="H2062" s="14">
        <v>0.13075929750140999</v>
      </c>
      <c r="I2062" s="27">
        <f t="shared" si="32"/>
        <v>2355642.3037711792</v>
      </c>
      <c r="J2062">
        <v>4.9000000000000004</v>
      </c>
      <c r="K2062" t="b">
        <v>1</v>
      </c>
    </row>
    <row r="2063" spans="1:11" ht="16" x14ac:dyDescent="0.2">
      <c r="A2063" s="16">
        <v>45487</v>
      </c>
      <c r="B2063" t="s">
        <v>18</v>
      </c>
      <c r="C2063" t="s">
        <v>25</v>
      </c>
      <c r="D2063" t="s">
        <v>20</v>
      </c>
      <c r="E2063" t="s">
        <v>7644</v>
      </c>
      <c r="F2063">
        <v>5</v>
      </c>
      <c r="G2063" s="15">
        <v>2710000</v>
      </c>
      <c r="H2063" s="14">
        <v>0.13075929750140999</v>
      </c>
      <c r="I2063" s="27">
        <f t="shared" si="32"/>
        <v>2355642.3037711792</v>
      </c>
      <c r="J2063">
        <v>3.7</v>
      </c>
      <c r="K2063" t="b">
        <v>0</v>
      </c>
    </row>
    <row r="2064" spans="1:11" ht="16" x14ac:dyDescent="0.2">
      <c r="A2064" s="16">
        <v>45487</v>
      </c>
      <c r="B2064" t="s">
        <v>33</v>
      </c>
      <c r="C2064" t="s">
        <v>68</v>
      </c>
      <c r="D2064" t="s">
        <v>20</v>
      </c>
      <c r="E2064" t="s">
        <v>7638</v>
      </c>
      <c r="F2064">
        <v>2</v>
      </c>
      <c r="G2064" s="15">
        <v>2710000</v>
      </c>
      <c r="H2064" s="14">
        <v>0.13075929750140999</v>
      </c>
      <c r="I2064" s="27">
        <f t="shared" si="32"/>
        <v>2355642.3037711792</v>
      </c>
      <c r="J2064">
        <v>5</v>
      </c>
      <c r="K2064" t="b">
        <v>1</v>
      </c>
    </row>
    <row r="2065" spans="1:11" ht="16" x14ac:dyDescent="0.2">
      <c r="A2065" s="16">
        <v>45487</v>
      </c>
      <c r="B2065" t="s">
        <v>29</v>
      </c>
      <c r="C2065" t="s">
        <v>19</v>
      </c>
      <c r="D2065" t="s">
        <v>50</v>
      </c>
      <c r="E2065" t="s">
        <v>57</v>
      </c>
      <c r="F2065">
        <v>1</v>
      </c>
      <c r="G2065" s="15">
        <v>2710000</v>
      </c>
      <c r="H2065" s="14">
        <v>0.13075929750140999</v>
      </c>
      <c r="I2065" s="27">
        <f t="shared" si="32"/>
        <v>2355642.3037711792</v>
      </c>
      <c r="J2065">
        <v>4</v>
      </c>
      <c r="K2065" t="b">
        <v>0</v>
      </c>
    </row>
    <row r="2066" spans="1:11" ht="16" x14ac:dyDescent="0.2">
      <c r="A2066" s="16">
        <v>45488</v>
      </c>
      <c r="B2066" t="s">
        <v>45</v>
      </c>
      <c r="C2066" t="s">
        <v>25</v>
      </c>
      <c r="D2066" t="s">
        <v>20</v>
      </c>
      <c r="E2066" t="str">
        <f>E2065</f>
        <v>Nha Trang</v>
      </c>
      <c r="F2066">
        <v>2</v>
      </c>
      <c r="G2066" s="15">
        <v>2710000</v>
      </c>
      <c r="H2066" s="14">
        <v>0.13075929750140999</v>
      </c>
      <c r="I2066" s="27">
        <f t="shared" si="32"/>
        <v>2355642.3037711792</v>
      </c>
      <c r="J2066">
        <v>3.7</v>
      </c>
      <c r="K2066" t="b">
        <v>0</v>
      </c>
    </row>
    <row r="2067" spans="1:11" ht="16" x14ac:dyDescent="0.2">
      <c r="A2067" s="16">
        <v>45488</v>
      </c>
      <c r="B2067" t="s">
        <v>45</v>
      </c>
      <c r="C2067" t="s">
        <v>25</v>
      </c>
      <c r="D2067" t="s">
        <v>20</v>
      </c>
      <c r="E2067" t="s">
        <v>7639</v>
      </c>
      <c r="F2067">
        <v>1</v>
      </c>
      <c r="G2067" s="15">
        <v>2710000</v>
      </c>
      <c r="H2067" s="14">
        <v>0.13075929750140999</v>
      </c>
      <c r="I2067" s="27">
        <f t="shared" si="32"/>
        <v>2355642.3037711792</v>
      </c>
      <c r="J2067">
        <v>4.4000000000000004</v>
      </c>
      <c r="K2067" t="b">
        <v>1</v>
      </c>
    </row>
    <row r="2068" spans="1:11" ht="16" x14ac:dyDescent="0.2">
      <c r="A2068" s="16">
        <v>45488</v>
      </c>
      <c r="B2068" t="s">
        <v>33</v>
      </c>
      <c r="C2068" t="s">
        <v>45</v>
      </c>
      <c r="D2068" t="s">
        <v>20</v>
      </c>
      <c r="E2068" t="s">
        <v>7641</v>
      </c>
      <c r="F2068">
        <v>1</v>
      </c>
      <c r="G2068" s="15">
        <v>2710000</v>
      </c>
      <c r="H2068" s="14">
        <v>0.13075929750140999</v>
      </c>
      <c r="I2068" s="27">
        <f t="shared" si="32"/>
        <v>2355642.3037711792</v>
      </c>
      <c r="J2068">
        <v>4.2</v>
      </c>
      <c r="K2068" t="b">
        <v>1</v>
      </c>
    </row>
    <row r="2069" spans="1:11" ht="16" x14ac:dyDescent="0.2">
      <c r="A2069" s="16">
        <v>45489</v>
      </c>
      <c r="B2069" t="s">
        <v>45</v>
      </c>
      <c r="C2069" t="s">
        <v>19</v>
      </c>
      <c r="D2069" t="s">
        <v>20</v>
      </c>
      <c r="E2069" t="s">
        <v>7642</v>
      </c>
      <c r="F2069">
        <v>3</v>
      </c>
      <c r="G2069" s="15">
        <v>2710000</v>
      </c>
      <c r="H2069" s="14">
        <v>0.13075929750140999</v>
      </c>
      <c r="I2069" s="27">
        <f t="shared" si="32"/>
        <v>2355642.3037711792</v>
      </c>
      <c r="J2069">
        <v>4.0999999999999996</v>
      </c>
      <c r="K2069" t="b">
        <v>1</v>
      </c>
    </row>
    <row r="2070" spans="1:11" ht="16" x14ac:dyDescent="0.2">
      <c r="A2070" s="16">
        <v>45489</v>
      </c>
      <c r="B2070" t="s">
        <v>29</v>
      </c>
      <c r="C2070" t="s">
        <v>39</v>
      </c>
      <c r="D2070" t="s">
        <v>20</v>
      </c>
      <c r="E2070" t="str">
        <f>E2069</f>
        <v>Huế</v>
      </c>
      <c r="F2070">
        <v>5</v>
      </c>
      <c r="G2070" s="15">
        <v>2710000</v>
      </c>
      <c r="H2070" s="14">
        <v>0.13075929750140999</v>
      </c>
      <c r="I2070" s="27">
        <f t="shared" si="32"/>
        <v>2355642.3037711792</v>
      </c>
      <c r="J2070">
        <v>4.5</v>
      </c>
      <c r="K2070" t="b">
        <v>1</v>
      </c>
    </row>
    <row r="2071" spans="1:11" ht="16" x14ac:dyDescent="0.2">
      <c r="A2071" s="16">
        <v>45489</v>
      </c>
      <c r="B2071" t="s">
        <v>33</v>
      </c>
      <c r="C2071" t="s">
        <v>45</v>
      </c>
      <c r="D2071" t="s">
        <v>35</v>
      </c>
      <c r="E2071" t="s">
        <v>7637</v>
      </c>
      <c r="F2071">
        <v>4</v>
      </c>
      <c r="G2071" s="15">
        <v>2710000</v>
      </c>
      <c r="H2071" s="14">
        <v>0.13075929750140999</v>
      </c>
      <c r="I2071" s="27">
        <f t="shared" si="32"/>
        <v>2355642.3037711792</v>
      </c>
      <c r="J2071">
        <v>4.4000000000000004</v>
      </c>
      <c r="K2071" t="b">
        <v>0</v>
      </c>
    </row>
    <row r="2072" spans="1:11" ht="16" x14ac:dyDescent="0.2">
      <c r="A2072" s="16">
        <v>45489</v>
      </c>
      <c r="B2072" t="s">
        <v>33</v>
      </c>
      <c r="C2072" t="s">
        <v>34</v>
      </c>
      <c r="D2072" t="s">
        <v>20</v>
      </c>
      <c r="E2072" t="s">
        <v>7644</v>
      </c>
      <c r="F2072">
        <v>1</v>
      </c>
      <c r="G2072" s="15">
        <v>2710000</v>
      </c>
      <c r="H2072" s="14">
        <v>0.13075929750140999</v>
      </c>
      <c r="I2072" s="27">
        <f t="shared" si="32"/>
        <v>2355642.3037711792</v>
      </c>
      <c r="J2072">
        <v>4.7</v>
      </c>
      <c r="K2072" t="b">
        <v>1</v>
      </c>
    </row>
    <row r="2073" spans="1:11" ht="16" x14ac:dyDescent="0.2">
      <c r="A2073" s="16">
        <v>45489</v>
      </c>
      <c r="B2073" t="s">
        <v>33</v>
      </c>
      <c r="C2073" t="s">
        <v>34</v>
      </c>
      <c r="D2073" t="s">
        <v>50</v>
      </c>
      <c r="E2073" t="s">
        <v>7639</v>
      </c>
      <c r="F2073">
        <v>1</v>
      </c>
      <c r="G2073" s="15">
        <v>2710000</v>
      </c>
      <c r="H2073" s="14">
        <v>0.13075929750140999</v>
      </c>
      <c r="I2073" s="27">
        <f t="shared" si="32"/>
        <v>2355642.3037711792</v>
      </c>
      <c r="J2073">
        <v>4.3</v>
      </c>
      <c r="K2073" t="b">
        <v>1</v>
      </c>
    </row>
    <row r="2074" spans="1:11" ht="16" x14ac:dyDescent="0.2">
      <c r="A2074" s="16">
        <v>45490</v>
      </c>
      <c r="B2074" t="s">
        <v>45</v>
      </c>
      <c r="C2074" t="s">
        <v>19</v>
      </c>
      <c r="D2074" t="s">
        <v>35</v>
      </c>
      <c r="E2074" t="s">
        <v>7637</v>
      </c>
      <c r="F2074">
        <v>2</v>
      </c>
      <c r="G2074" s="15">
        <v>2710000</v>
      </c>
      <c r="H2074" s="14">
        <v>0.13075929750140999</v>
      </c>
      <c r="I2074" s="27">
        <f t="shared" si="32"/>
        <v>2355642.3037711792</v>
      </c>
      <c r="J2074">
        <v>5</v>
      </c>
      <c r="K2074" t="b">
        <v>1</v>
      </c>
    </row>
    <row r="2075" spans="1:11" ht="16" x14ac:dyDescent="0.2">
      <c r="A2075" s="16">
        <v>45490</v>
      </c>
      <c r="B2075" t="s">
        <v>18</v>
      </c>
      <c r="C2075" t="s">
        <v>25</v>
      </c>
      <c r="D2075" t="s">
        <v>20</v>
      </c>
      <c r="E2075" t="s">
        <v>7637</v>
      </c>
      <c r="F2075">
        <v>2</v>
      </c>
      <c r="G2075" s="15">
        <v>2710000</v>
      </c>
      <c r="H2075" s="14">
        <v>0.13075929750140999</v>
      </c>
      <c r="I2075" s="27">
        <f t="shared" si="32"/>
        <v>2355642.3037711792</v>
      </c>
      <c r="J2075">
        <v>4.7</v>
      </c>
      <c r="K2075" t="b">
        <v>0</v>
      </c>
    </row>
    <row r="2076" spans="1:11" ht="16" x14ac:dyDescent="0.2">
      <c r="A2076" s="16">
        <v>45490</v>
      </c>
      <c r="B2076" t="s">
        <v>18</v>
      </c>
      <c r="C2076" t="s">
        <v>19</v>
      </c>
      <c r="D2076" t="s">
        <v>35</v>
      </c>
      <c r="E2076" t="s">
        <v>7641</v>
      </c>
      <c r="F2076">
        <v>2</v>
      </c>
      <c r="G2076" s="15">
        <v>2710000</v>
      </c>
      <c r="H2076" s="14">
        <v>0.13075929750140999</v>
      </c>
      <c r="I2076" s="27">
        <f t="shared" si="32"/>
        <v>2355642.3037711792</v>
      </c>
      <c r="J2076">
        <v>4.0999999999999996</v>
      </c>
      <c r="K2076" t="b">
        <v>1</v>
      </c>
    </row>
    <row r="2077" spans="1:11" ht="16" x14ac:dyDescent="0.2">
      <c r="A2077" s="16">
        <v>45491</v>
      </c>
      <c r="B2077" t="s">
        <v>45</v>
      </c>
      <c r="C2077" t="s">
        <v>68</v>
      </c>
      <c r="D2077" t="s">
        <v>35</v>
      </c>
      <c r="E2077" t="s">
        <v>57</v>
      </c>
      <c r="F2077">
        <v>1</v>
      </c>
      <c r="G2077" s="15">
        <v>2710000</v>
      </c>
      <c r="H2077" s="14">
        <v>0.13075929750140999</v>
      </c>
      <c r="I2077" s="27">
        <f t="shared" si="32"/>
        <v>2355642.3037711792</v>
      </c>
      <c r="J2077">
        <v>4.0999999999999996</v>
      </c>
      <c r="K2077" t="b">
        <v>1</v>
      </c>
    </row>
    <row r="2078" spans="1:11" ht="16" x14ac:dyDescent="0.2">
      <c r="A2078" s="16">
        <v>45491</v>
      </c>
      <c r="B2078" t="s">
        <v>33</v>
      </c>
      <c r="C2078" t="s">
        <v>45</v>
      </c>
      <c r="D2078" t="s">
        <v>50</v>
      </c>
      <c r="E2078" t="s">
        <v>7642</v>
      </c>
      <c r="F2078">
        <v>4</v>
      </c>
      <c r="G2078" s="15">
        <v>2710000</v>
      </c>
      <c r="H2078" s="14">
        <v>0.13075929750140999</v>
      </c>
      <c r="I2078" s="27">
        <f t="shared" si="32"/>
        <v>2355642.3037711792</v>
      </c>
      <c r="J2078">
        <v>4.5999999999999996</v>
      </c>
      <c r="K2078" t="b">
        <v>1</v>
      </c>
    </row>
    <row r="2079" spans="1:11" ht="16" x14ac:dyDescent="0.2">
      <c r="A2079" s="16">
        <v>45491</v>
      </c>
      <c r="B2079" t="s">
        <v>18</v>
      </c>
      <c r="C2079" t="s">
        <v>34</v>
      </c>
      <c r="D2079" t="s">
        <v>20</v>
      </c>
      <c r="E2079" t="s">
        <v>99</v>
      </c>
      <c r="F2079">
        <v>1</v>
      </c>
      <c r="G2079" s="15">
        <v>2710000</v>
      </c>
      <c r="H2079" s="14">
        <v>0.13075929750140999</v>
      </c>
      <c r="I2079" s="27">
        <f t="shared" si="32"/>
        <v>2355642.3037711792</v>
      </c>
      <c r="J2079">
        <v>3.3</v>
      </c>
      <c r="K2079" t="b">
        <v>0</v>
      </c>
    </row>
    <row r="2080" spans="1:11" ht="16" x14ac:dyDescent="0.2">
      <c r="A2080" s="16">
        <v>45491</v>
      </c>
      <c r="B2080" t="s">
        <v>33</v>
      </c>
      <c r="C2080" t="s">
        <v>19</v>
      </c>
      <c r="D2080" t="s">
        <v>50</v>
      </c>
      <c r="E2080" t="s">
        <v>7637</v>
      </c>
      <c r="F2080">
        <v>1</v>
      </c>
      <c r="G2080" s="15">
        <v>2710000</v>
      </c>
      <c r="H2080" s="14">
        <v>0.13075929750140999</v>
      </c>
      <c r="I2080" s="27">
        <f t="shared" si="32"/>
        <v>2355642.3037711792</v>
      </c>
      <c r="J2080">
        <v>4.2</v>
      </c>
      <c r="K2080" t="b">
        <v>1</v>
      </c>
    </row>
    <row r="2081" spans="1:11" ht="16" x14ac:dyDescent="0.2">
      <c r="A2081" s="16">
        <v>45492</v>
      </c>
      <c r="B2081" t="s">
        <v>33</v>
      </c>
      <c r="C2081" t="s">
        <v>25</v>
      </c>
      <c r="D2081" t="s">
        <v>20</v>
      </c>
      <c r="E2081" t="s">
        <v>57</v>
      </c>
      <c r="F2081">
        <v>1</v>
      </c>
      <c r="G2081" s="15">
        <v>2710000</v>
      </c>
      <c r="H2081" s="14">
        <v>0.13075929750140999</v>
      </c>
      <c r="I2081" s="27">
        <f t="shared" si="32"/>
        <v>2355642.3037711792</v>
      </c>
      <c r="J2081">
        <v>4.5999999999999996</v>
      </c>
      <c r="K2081" t="b">
        <v>1</v>
      </c>
    </row>
    <row r="2082" spans="1:11" ht="16" x14ac:dyDescent="0.2">
      <c r="A2082" s="16">
        <v>45492</v>
      </c>
      <c r="B2082" t="s">
        <v>29</v>
      </c>
      <c r="C2082" t="s">
        <v>68</v>
      </c>
      <c r="D2082" t="s">
        <v>20</v>
      </c>
      <c r="E2082" t="s">
        <v>7640</v>
      </c>
      <c r="F2082">
        <v>2</v>
      </c>
      <c r="G2082" s="15">
        <v>2710000</v>
      </c>
      <c r="H2082" s="14">
        <v>0.13075929750140999</v>
      </c>
      <c r="I2082" s="27">
        <f t="shared" si="32"/>
        <v>2355642.3037711792</v>
      </c>
      <c r="J2082">
        <v>3.9</v>
      </c>
      <c r="K2082" t="b">
        <v>0</v>
      </c>
    </row>
    <row r="2083" spans="1:11" ht="16" x14ac:dyDescent="0.2">
      <c r="A2083" s="16">
        <v>45492</v>
      </c>
      <c r="B2083" t="s">
        <v>45</v>
      </c>
      <c r="C2083" t="s">
        <v>19</v>
      </c>
      <c r="D2083" t="s">
        <v>50</v>
      </c>
      <c r="E2083" t="str">
        <f>E2082</f>
        <v>Hội An</v>
      </c>
      <c r="F2083">
        <v>2</v>
      </c>
      <c r="G2083" s="15">
        <v>2710000</v>
      </c>
      <c r="H2083" s="14">
        <v>0.13075929750140999</v>
      </c>
      <c r="I2083" s="27">
        <f t="shared" si="32"/>
        <v>2355642.3037711792</v>
      </c>
      <c r="J2083">
        <v>4.8</v>
      </c>
      <c r="K2083" t="b">
        <v>0</v>
      </c>
    </row>
    <row r="2084" spans="1:11" ht="16" x14ac:dyDescent="0.2">
      <c r="A2084" s="16">
        <v>45492</v>
      </c>
      <c r="B2084" t="s">
        <v>18</v>
      </c>
      <c r="C2084" t="s">
        <v>19</v>
      </c>
      <c r="D2084" t="s">
        <v>20</v>
      </c>
      <c r="E2084" t="s">
        <v>57</v>
      </c>
      <c r="F2084">
        <v>1</v>
      </c>
      <c r="G2084" s="15">
        <v>2710000</v>
      </c>
      <c r="H2084" s="14">
        <v>0.13075929750140999</v>
      </c>
      <c r="I2084" s="27">
        <f t="shared" si="32"/>
        <v>2355642.3037711792</v>
      </c>
      <c r="J2084">
        <v>3.9</v>
      </c>
      <c r="K2084" t="b">
        <v>0</v>
      </c>
    </row>
    <row r="2085" spans="1:11" ht="16" x14ac:dyDescent="0.2">
      <c r="A2085" s="16">
        <v>45493</v>
      </c>
      <c r="B2085" t="s">
        <v>18</v>
      </c>
      <c r="C2085" t="s">
        <v>68</v>
      </c>
      <c r="D2085" t="s">
        <v>50</v>
      </c>
      <c r="E2085" t="s">
        <v>7640</v>
      </c>
      <c r="F2085">
        <v>2</v>
      </c>
      <c r="G2085" s="15">
        <v>2710000</v>
      </c>
      <c r="H2085" s="14">
        <v>0.13075929750140999</v>
      </c>
      <c r="I2085" s="27">
        <f t="shared" si="32"/>
        <v>2355642.3037711792</v>
      </c>
      <c r="J2085">
        <v>5</v>
      </c>
      <c r="K2085" t="b">
        <v>1</v>
      </c>
    </row>
    <row r="2086" spans="1:11" ht="16" x14ac:dyDescent="0.2">
      <c r="A2086" s="16">
        <v>45494</v>
      </c>
      <c r="B2086" t="s">
        <v>33</v>
      </c>
      <c r="C2086" t="s">
        <v>45</v>
      </c>
      <c r="D2086" t="s">
        <v>20</v>
      </c>
      <c r="E2086" t="s">
        <v>7640</v>
      </c>
      <c r="F2086">
        <v>2</v>
      </c>
      <c r="G2086" s="15">
        <v>2710000</v>
      </c>
      <c r="H2086" s="14">
        <v>0.13075929750140999</v>
      </c>
      <c r="I2086" s="27">
        <f t="shared" si="32"/>
        <v>2355642.3037711792</v>
      </c>
      <c r="J2086">
        <v>3.8</v>
      </c>
      <c r="K2086" t="b">
        <v>1</v>
      </c>
    </row>
    <row r="2087" spans="1:11" ht="16" x14ac:dyDescent="0.2">
      <c r="A2087" s="16">
        <v>45494</v>
      </c>
      <c r="B2087" t="s">
        <v>33</v>
      </c>
      <c r="C2087" t="s">
        <v>34</v>
      </c>
      <c r="D2087" t="s">
        <v>35</v>
      </c>
      <c r="E2087" t="s">
        <v>7638</v>
      </c>
      <c r="F2087">
        <v>1</v>
      </c>
      <c r="G2087" s="15">
        <v>2710000</v>
      </c>
      <c r="H2087" s="14">
        <v>0.13075929750140999</v>
      </c>
      <c r="I2087" s="27">
        <f t="shared" si="32"/>
        <v>2355642.3037711792</v>
      </c>
      <c r="J2087">
        <v>3.4</v>
      </c>
      <c r="K2087" t="b">
        <v>0</v>
      </c>
    </row>
    <row r="2088" spans="1:11" ht="16" x14ac:dyDescent="0.2">
      <c r="A2088" s="16">
        <v>45494</v>
      </c>
      <c r="B2088" t="s">
        <v>29</v>
      </c>
      <c r="C2088" t="s">
        <v>45</v>
      </c>
      <c r="D2088" t="s">
        <v>20</v>
      </c>
      <c r="E2088" t="s">
        <v>7641</v>
      </c>
      <c r="F2088">
        <v>3</v>
      </c>
      <c r="G2088" s="15">
        <v>2710000</v>
      </c>
      <c r="H2088" s="14">
        <v>0.13075929750140999</v>
      </c>
      <c r="I2088" s="27">
        <f t="shared" si="32"/>
        <v>2355642.3037711792</v>
      </c>
      <c r="J2088">
        <v>3.9</v>
      </c>
      <c r="K2088" t="b">
        <v>0</v>
      </c>
    </row>
    <row r="2089" spans="1:11" ht="16" x14ac:dyDescent="0.2">
      <c r="A2089" s="16">
        <v>45495</v>
      </c>
      <c r="B2089" t="s">
        <v>18</v>
      </c>
      <c r="C2089" t="s">
        <v>68</v>
      </c>
      <c r="D2089" t="s">
        <v>35</v>
      </c>
      <c r="E2089" t="s">
        <v>7643</v>
      </c>
      <c r="F2089">
        <v>2</v>
      </c>
      <c r="G2089" s="15">
        <v>2710000</v>
      </c>
      <c r="H2089" s="14">
        <v>0.13075929750140999</v>
      </c>
      <c r="I2089" s="27">
        <f t="shared" si="32"/>
        <v>2355642.3037711792</v>
      </c>
      <c r="J2089">
        <v>4.5999999999999996</v>
      </c>
      <c r="K2089" t="b">
        <v>0</v>
      </c>
    </row>
    <row r="2090" spans="1:11" ht="16" x14ac:dyDescent="0.2">
      <c r="A2090" s="16">
        <v>45495</v>
      </c>
      <c r="B2090" t="s">
        <v>18</v>
      </c>
      <c r="C2090" t="s">
        <v>19</v>
      </c>
      <c r="D2090" t="s">
        <v>20</v>
      </c>
      <c r="E2090" t="s">
        <v>7640</v>
      </c>
      <c r="F2090">
        <v>1</v>
      </c>
      <c r="G2090" s="15">
        <v>2710000</v>
      </c>
      <c r="H2090" s="14">
        <v>0.13075929750140999</v>
      </c>
      <c r="I2090" s="27">
        <f t="shared" si="32"/>
        <v>2355642.3037711792</v>
      </c>
      <c r="J2090">
        <v>4.3</v>
      </c>
      <c r="K2090" t="b">
        <v>1</v>
      </c>
    </row>
    <row r="2091" spans="1:11" ht="16" x14ac:dyDescent="0.2">
      <c r="A2091" s="16">
        <v>45495</v>
      </c>
      <c r="B2091" t="s">
        <v>45</v>
      </c>
      <c r="C2091" t="s">
        <v>25</v>
      </c>
      <c r="D2091" t="s">
        <v>20</v>
      </c>
      <c r="E2091" t="s">
        <v>99</v>
      </c>
      <c r="F2091">
        <v>1</v>
      </c>
      <c r="G2091" s="15">
        <v>2710000</v>
      </c>
      <c r="H2091" s="14">
        <v>0.13075929750140999</v>
      </c>
      <c r="I2091" s="27">
        <f t="shared" si="32"/>
        <v>2355642.3037711792</v>
      </c>
      <c r="J2091">
        <v>4.0999999999999996</v>
      </c>
      <c r="K2091" t="b">
        <v>1</v>
      </c>
    </row>
    <row r="2092" spans="1:11" ht="16" x14ac:dyDescent="0.2">
      <c r="A2092" s="16">
        <v>45495</v>
      </c>
      <c r="B2092" t="s">
        <v>18</v>
      </c>
      <c r="C2092" t="s">
        <v>25</v>
      </c>
      <c r="D2092" t="s">
        <v>35</v>
      </c>
      <c r="E2092" t="s">
        <v>7641</v>
      </c>
      <c r="F2092">
        <v>1</v>
      </c>
      <c r="G2092" s="15">
        <v>2710000</v>
      </c>
      <c r="H2092" s="14">
        <v>0.13075929750140999</v>
      </c>
      <c r="I2092" s="27">
        <f t="shared" si="32"/>
        <v>2355642.3037711792</v>
      </c>
      <c r="J2092">
        <v>4.3</v>
      </c>
      <c r="K2092" t="b">
        <v>0</v>
      </c>
    </row>
    <row r="2093" spans="1:11" ht="16" x14ac:dyDescent="0.2">
      <c r="A2093" s="16">
        <v>45496</v>
      </c>
      <c r="B2093" t="s">
        <v>18</v>
      </c>
      <c r="C2093" t="s">
        <v>68</v>
      </c>
      <c r="D2093" t="s">
        <v>35</v>
      </c>
      <c r="E2093" t="s">
        <v>7637</v>
      </c>
      <c r="F2093">
        <v>1</v>
      </c>
      <c r="G2093" s="15">
        <v>2710000</v>
      </c>
      <c r="H2093" s="14">
        <v>0.13075929750140999</v>
      </c>
      <c r="I2093" s="27">
        <f t="shared" si="32"/>
        <v>2355642.3037711792</v>
      </c>
      <c r="J2093">
        <v>4.5</v>
      </c>
      <c r="K2093" t="b">
        <v>0</v>
      </c>
    </row>
    <row r="2094" spans="1:11" ht="16" x14ac:dyDescent="0.2">
      <c r="A2094" s="16">
        <v>45496</v>
      </c>
      <c r="B2094" t="s">
        <v>18</v>
      </c>
      <c r="C2094" t="s">
        <v>39</v>
      </c>
      <c r="D2094" t="s">
        <v>20</v>
      </c>
      <c r="E2094" t="s">
        <v>7643</v>
      </c>
      <c r="F2094">
        <v>3</v>
      </c>
      <c r="G2094" s="15">
        <v>2710000</v>
      </c>
      <c r="H2094" s="14">
        <v>0.13075929750140999</v>
      </c>
      <c r="I2094" s="27">
        <f t="shared" si="32"/>
        <v>2355642.3037711792</v>
      </c>
      <c r="J2094">
        <v>5</v>
      </c>
      <c r="K2094" t="b">
        <v>0</v>
      </c>
    </row>
    <row r="2095" spans="1:11" ht="16" x14ac:dyDescent="0.2">
      <c r="A2095" s="16">
        <v>45496</v>
      </c>
      <c r="B2095" t="s">
        <v>33</v>
      </c>
      <c r="C2095" t="s">
        <v>19</v>
      </c>
      <c r="D2095" t="s">
        <v>35</v>
      </c>
      <c r="E2095" t="s">
        <v>57</v>
      </c>
      <c r="F2095">
        <v>2</v>
      </c>
      <c r="G2095" s="15">
        <v>2710000</v>
      </c>
      <c r="H2095" s="14">
        <v>0.13075929750140999</v>
      </c>
      <c r="I2095" s="27">
        <f t="shared" si="32"/>
        <v>2355642.3037711792</v>
      </c>
      <c r="J2095">
        <v>4.4000000000000004</v>
      </c>
      <c r="K2095" t="b">
        <v>1</v>
      </c>
    </row>
    <row r="2096" spans="1:11" ht="16" x14ac:dyDescent="0.2">
      <c r="A2096" s="16">
        <v>45496</v>
      </c>
      <c r="B2096" t="s">
        <v>18</v>
      </c>
      <c r="C2096" t="s">
        <v>45</v>
      </c>
      <c r="D2096" t="s">
        <v>20</v>
      </c>
      <c r="E2096" t="s">
        <v>7644</v>
      </c>
      <c r="F2096">
        <v>2</v>
      </c>
      <c r="G2096" s="15">
        <v>2710000</v>
      </c>
      <c r="H2096" s="14">
        <v>0.13075929750140999</v>
      </c>
      <c r="I2096" s="27">
        <f t="shared" si="32"/>
        <v>2355642.3037711792</v>
      </c>
      <c r="J2096">
        <v>3.4</v>
      </c>
      <c r="K2096" t="b">
        <v>0</v>
      </c>
    </row>
    <row r="2097" spans="1:11" ht="16" x14ac:dyDescent="0.2">
      <c r="A2097" s="16">
        <v>45496</v>
      </c>
      <c r="B2097" t="s">
        <v>29</v>
      </c>
      <c r="C2097" t="s">
        <v>39</v>
      </c>
      <c r="D2097" t="s">
        <v>35</v>
      </c>
      <c r="E2097" t="s">
        <v>7637</v>
      </c>
      <c r="F2097">
        <v>1</v>
      </c>
      <c r="G2097" s="15">
        <v>2710000</v>
      </c>
      <c r="H2097" s="14">
        <v>0.13075929750140999</v>
      </c>
      <c r="I2097" s="27">
        <f t="shared" si="32"/>
        <v>2355642.3037711792</v>
      </c>
      <c r="J2097">
        <v>4.9000000000000004</v>
      </c>
      <c r="K2097" t="b">
        <v>0</v>
      </c>
    </row>
    <row r="2098" spans="1:11" ht="16" x14ac:dyDescent="0.2">
      <c r="A2098" s="16">
        <v>45496</v>
      </c>
      <c r="B2098" t="s">
        <v>18</v>
      </c>
      <c r="C2098" t="s">
        <v>68</v>
      </c>
      <c r="D2098" t="s">
        <v>20</v>
      </c>
      <c r="E2098" t="s">
        <v>7639</v>
      </c>
      <c r="F2098">
        <v>1</v>
      </c>
      <c r="G2098" s="15">
        <v>2710000</v>
      </c>
      <c r="H2098" s="14">
        <v>0.13075929750140999</v>
      </c>
      <c r="I2098" s="27">
        <f t="shared" si="32"/>
        <v>2355642.3037711792</v>
      </c>
      <c r="J2098">
        <v>3.8</v>
      </c>
      <c r="K2098" t="b">
        <v>0</v>
      </c>
    </row>
    <row r="2099" spans="1:11" ht="16" x14ac:dyDescent="0.2">
      <c r="A2099" s="16">
        <v>45497</v>
      </c>
      <c r="B2099" t="s">
        <v>45</v>
      </c>
      <c r="C2099" t="s">
        <v>34</v>
      </c>
      <c r="D2099" t="s">
        <v>20</v>
      </c>
      <c r="E2099" t="s">
        <v>7642</v>
      </c>
      <c r="F2099">
        <v>1</v>
      </c>
      <c r="G2099" s="15">
        <v>2710000</v>
      </c>
      <c r="H2099" s="14">
        <v>0.13075929750140999</v>
      </c>
      <c r="I2099" s="27">
        <f t="shared" si="32"/>
        <v>2355642.3037711792</v>
      </c>
      <c r="J2099">
        <v>5</v>
      </c>
      <c r="K2099" t="b">
        <v>0</v>
      </c>
    </row>
    <row r="2100" spans="1:11" ht="16" x14ac:dyDescent="0.2">
      <c r="A2100" s="16">
        <v>45497</v>
      </c>
      <c r="B2100" t="s">
        <v>45</v>
      </c>
      <c r="C2100" t="s">
        <v>19</v>
      </c>
      <c r="D2100" t="s">
        <v>35</v>
      </c>
      <c r="E2100" t="s">
        <v>99</v>
      </c>
      <c r="F2100">
        <v>1</v>
      </c>
      <c r="G2100" s="15">
        <v>2710000</v>
      </c>
      <c r="H2100" s="14">
        <v>0.13075929750140999</v>
      </c>
      <c r="I2100" s="27">
        <f t="shared" si="32"/>
        <v>2355642.3037711792</v>
      </c>
      <c r="J2100">
        <v>4</v>
      </c>
      <c r="K2100" t="b">
        <v>0</v>
      </c>
    </row>
    <row r="2101" spans="1:11" ht="16" x14ac:dyDescent="0.2">
      <c r="A2101" s="16">
        <v>45497</v>
      </c>
      <c r="B2101" t="s">
        <v>18</v>
      </c>
      <c r="C2101" t="s">
        <v>34</v>
      </c>
      <c r="D2101" t="s">
        <v>35</v>
      </c>
      <c r="E2101" t="s">
        <v>57</v>
      </c>
      <c r="F2101">
        <v>3</v>
      </c>
      <c r="G2101" s="15">
        <v>2710000</v>
      </c>
      <c r="H2101" s="14">
        <v>0.13075929750140999</v>
      </c>
      <c r="I2101" s="27">
        <f t="shared" si="32"/>
        <v>2355642.3037711792</v>
      </c>
      <c r="J2101">
        <v>4.4000000000000004</v>
      </c>
      <c r="K2101" t="b">
        <v>0</v>
      </c>
    </row>
    <row r="2102" spans="1:11" ht="16" x14ac:dyDescent="0.2">
      <c r="A2102" s="16">
        <v>45498</v>
      </c>
      <c r="B2102" t="s">
        <v>18</v>
      </c>
      <c r="C2102" t="s">
        <v>34</v>
      </c>
      <c r="D2102" t="s">
        <v>20</v>
      </c>
      <c r="E2102" t="s">
        <v>7638</v>
      </c>
      <c r="F2102">
        <v>2</v>
      </c>
      <c r="G2102" s="15">
        <v>2710000</v>
      </c>
      <c r="H2102" s="14">
        <v>0.13075929750140999</v>
      </c>
      <c r="I2102" s="27">
        <f t="shared" si="32"/>
        <v>2355642.3037711792</v>
      </c>
      <c r="J2102">
        <v>4.5999999999999996</v>
      </c>
      <c r="K2102" t="b">
        <v>1</v>
      </c>
    </row>
    <row r="2103" spans="1:11" ht="16" x14ac:dyDescent="0.2">
      <c r="A2103" s="16">
        <v>45498</v>
      </c>
      <c r="B2103" t="s">
        <v>18</v>
      </c>
      <c r="C2103" t="s">
        <v>45</v>
      </c>
      <c r="D2103" t="s">
        <v>20</v>
      </c>
      <c r="E2103" t="s">
        <v>7644</v>
      </c>
      <c r="F2103">
        <v>2</v>
      </c>
      <c r="G2103" s="15">
        <v>2710000</v>
      </c>
      <c r="H2103" s="14">
        <v>0.13075929750140999</v>
      </c>
      <c r="I2103" s="27">
        <f t="shared" si="32"/>
        <v>2355642.3037711792</v>
      </c>
      <c r="J2103">
        <v>4.2</v>
      </c>
      <c r="K2103" t="b">
        <v>0</v>
      </c>
    </row>
    <row r="2104" spans="1:11" ht="16" x14ac:dyDescent="0.2">
      <c r="A2104" s="16">
        <v>45498</v>
      </c>
      <c r="B2104" t="s">
        <v>33</v>
      </c>
      <c r="C2104" t="s">
        <v>45</v>
      </c>
      <c r="D2104" t="s">
        <v>50</v>
      </c>
      <c r="E2104" t="s">
        <v>7641</v>
      </c>
      <c r="F2104">
        <v>1</v>
      </c>
      <c r="G2104" s="15">
        <v>2710000</v>
      </c>
      <c r="H2104" s="14">
        <v>0.13075929750140999</v>
      </c>
      <c r="I2104" s="27">
        <f t="shared" si="32"/>
        <v>2355642.3037711792</v>
      </c>
      <c r="J2104">
        <v>3.6</v>
      </c>
      <c r="K2104" t="b">
        <v>0</v>
      </c>
    </row>
    <row r="2105" spans="1:11" ht="16" x14ac:dyDescent="0.2">
      <c r="A2105" s="16">
        <v>45499</v>
      </c>
      <c r="B2105" t="s">
        <v>45</v>
      </c>
      <c r="C2105" t="s">
        <v>34</v>
      </c>
      <c r="D2105" t="s">
        <v>35</v>
      </c>
      <c r="E2105" t="s">
        <v>57</v>
      </c>
      <c r="F2105">
        <v>2</v>
      </c>
      <c r="G2105" s="15">
        <v>2710000</v>
      </c>
      <c r="H2105" s="14">
        <v>0.13075929750140999</v>
      </c>
      <c r="I2105" s="27">
        <f t="shared" si="32"/>
        <v>2355642.3037711792</v>
      </c>
      <c r="J2105">
        <v>4.4000000000000004</v>
      </c>
      <c r="K2105" t="b">
        <v>0</v>
      </c>
    </row>
    <row r="2106" spans="1:11" ht="16" x14ac:dyDescent="0.2">
      <c r="A2106" s="16">
        <v>45499</v>
      </c>
      <c r="B2106" t="s">
        <v>33</v>
      </c>
      <c r="C2106" t="s">
        <v>45</v>
      </c>
      <c r="D2106" t="s">
        <v>50</v>
      </c>
      <c r="E2106" t="s">
        <v>7642</v>
      </c>
      <c r="F2106">
        <v>1</v>
      </c>
      <c r="G2106" s="15">
        <v>2710000</v>
      </c>
      <c r="H2106" s="14">
        <v>0.13075929750140999</v>
      </c>
      <c r="I2106" s="27">
        <f t="shared" si="32"/>
        <v>2355642.3037711792</v>
      </c>
      <c r="J2106">
        <v>4.2</v>
      </c>
      <c r="K2106" t="b">
        <v>0</v>
      </c>
    </row>
    <row r="2107" spans="1:11" ht="16" x14ac:dyDescent="0.2">
      <c r="A2107" s="16">
        <v>45500</v>
      </c>
      <c r="B2107" t="s">
        <v>45</v>
      </c>
      <c r="C2107" t="s">
        <v>45</v>
      </c>
      <c r="D2107" t="s">
        <v>20</v>
      </c>
      <c r="E2107" t="s">
        <v>7642</v>
      </c>
      <c r="F2107">
        <v>2</v>
      </c>
      <c r="G2107" s="15">
        <v>2710000</v>
      </c>
      <c r="H2107" s="14">
        <v>0.13075929750140999</v>
      </c>
      <c r="I2107" s="27">
        <f t="shared" si="32"/>
        <v>2355642.3037711792</v>
      </c>
      <c r="J2107">
        <v>3.7</v>
      </c>
      <c r="K2107" t="b">
        <v>0</v>
      </c>
    </row>
    <row r="2108" spans="1:11" ht="16" x14ac:dyDescent="0.2">
      <c r="A2108" s="16">
        <v>45500</v>
      </c>
      <c r="B2108" t="s">
        <v>33</v>
      </c>
      <c r="C2108" t="s">
        <v>45</v>
      </c>
      <c r="D2108" t="s">
        <v>20</v>
      </c>
      <c r="E2108" t="s">
        <v>7641</v>
      </c>
      <c r="F2108">
        <v>2</v>
      </c>
      <c r="G2108" s="15">
        <v>2710000</v>
      </c>
      <c r="H2108" s="14">
        <v>0.13075929750140999</v>
      </c>
      <c r="I2108" s="27">
        <f t="shared" si="32"/>
        <v>2355642.3037711792</v>
      </c>
      <c r="J2108">
        <v>4.0999999999999996</v>
      </c>
      <c r="K2108" t="b">
        <v>1</v>
      </c>
    </row>
    <row r="2109" spans="1:11" ht="16" x14ac:dyDescent="0.2">
      <c r="A2109" s="16">
        <v>45501</v>
      </c>
      <c r="B2109" t="s">
        <v>45</v>
      </c>
      <c r="C2109" t="s">
        <v>25</v>
      </c>
      <c r="D2109" t="s">
        <v>50</v>
      </c>
      <c r="E2109" t="s">
        <v>57</v>
      </c>
      <c r="F2109">
        <v>2</v>
      </c>
      <c r="G2109" s="15">
        <v>2710000</v>
      </c>
      <c r="H2109" s="14">
        <v>0.13075929750140999</v>
      </c>
      <c r="I2109" s="27">
        <f t="shared" si="32"/>
        <v>2355642.3037711792</v>
      </c>
      <c r="J2109">
        <v>3.5</v>
      </c>
      <c r="K2109" t="b">
        <v>1</v>
      </c>
    </row>
    <row r="2110" spans="1:11" ht="16" x14ac:dyDescent="0.2">
      <c r="A2110" s="16">
        <v>45502</v>
      </c>
      <c r="B2110" t="s">
        <v>33</v>
      </c>
      <c r="C2110" t="s">
        <v>25</v>
      </c>
      <c r="D2110" t="s">
        <v>20</v>
      </c>
      <c r="E2110" t="s">
        <v>7640</v>
      </c>
      <c r="F2110">
        <v>1</v>
      </c>
      <c r="G2110" s="15">
        <v>2710000</v>
      </c>
      <c r="H2110" s="14">
        <v>0.13075929750140999</v>
      </c>
      <c r="I2110" s="27">
        <f t="shared" si="32"/>
        <v>2355642.3037711792</v>
      </c>
      <c r="J2110">
        <v>4.9000000000000004</v>
      </c>
      <c r="K2110" t="b">
        <v>1</v>
      </c>
    </row>
    <row r="2111" spans="1:11" ht="16" x14ac:dyDescent="0.2">
      <c r="A2111" s="16">
        <v>45502</v>
      </c>
      <c r="B2111" t="s">
        <v>45</v>
      </c>
      <c r="C2111" t="s">
        <v>68</v>
      </c>
      <c r="D2111" t="s">
        <v>20</v>
      </c>
      <c r="E2111" t="s">
        <v>7637</v>
      </c>
      <c r="F2111">
        <v>2</v>
      </c>
      <c r="G2111" s="15">
        <v>2710000</v>
      </c>
      <c r="H2111" s="14">
        <v>0.13075929750140999</v>
      </c>
      <c r="I2111" s="27">
        <f t="shared" si="32"/>
        <v>2355642.3037711792</v>
      </c>
      <c r="J2111">
        <v>3.9</v>
      </c>
      <c r="K2111" t="b">
        <v>0</v>
      </c>
    </row>
    <row r="2112" spans="1:11" ht="16" x14ac:dyDescent="0.2">
      <c r="A2112" s="16">
        <v>45502</v>
      </c>
      <c r="B2112" t="s">
        <v>45</v>
      </c>
      <c r="C2112" t="s">
        <v>19</v>
      </c>
      <c r="D2112" t="s">
        <v>35</v>
      </c>
      <c r="E2112" t="s">
        <v>7640</v>
      </c>
      <c r="F2112">
        <v>1</v>
      </c>
      <c r="G2112" s="15">
        <v>2710000</v>
      </c>
      <c r="H2112" s="14">
        <v>0.13075929750140999</v>
      </c>
      <c r="I2112" s="27">
        <f t="shared" si="32"/>
        <v>2355642.3037711792</v>
      </c>
      <c r="J2112">
        <v>4.5999999999999996</v>
      </c>
      <c r="K2112" t="b">
        <v>0</v>
      </c>
    </row>
    <row r="2113" spans="1:11" ht="16" x14ac:dyDescent="0.2">
      <c r="A2113" s="16">
        <v>45503</v>
      </c>
      <c r="B2113" t="s">
        <v>33</v>
      </c>
      <c r="C2113" t="s">
        <v>39</v>
      </c>
      <c r="D2113" t="s">
        <v>20</v>
      </c>
      <c r="E2113" t="s">
        <v>7638</v>
      </c>
      <c r="F2113">
        <v>2</v>
      </c>
      <c r="G2113" s="15">
        <v>2710000</v>
      </c>
      <c r="H2113" s="14">
        <v>0.13075929750140999</v>
      </c>
      <c r="I2113" s="27">
        <f t="shared" si="32"/>
        <v>2355642.3037711792</v>
      </c>
      <c r="J2113">
        <v>4</v>
      </c>
      <c r="K2113" t="b">
        <v>1</v>
      </c>
    </row>
    <row r="2114" spans="1:11" ht="16" x14ac:dyDescent="0.2">
      <c r="A2114" s="16">
        <v>45503</v>
      </c>
      <c r="B2114" t="s">
        <v>18</v>
      </c>
      <c r="C2114" t="s">
        <v>19</v>
      </c>
      <c r="D2114" t="s">
        <v>35</v>
      </c>
      <c r="E2114" t="str">
        <f>E2113</f>
        <v>Đà Lạt</v>
      </c>
      <c r="F2114">
        <v>2</v>
      </c>
      <c r="G2114" s="15">
        <v>2710000</v>
      </c>
      <c r="H2114" s="14">
        <v>0.13075929750140999</v>
      </c>
      <c r="I2114" s="27">
        <f t="shared" si="32"/>
        <v>2355642.3037711792</v>
      </c>
      <c r="J2114">
        <v>4.5</v>
      </c>
      <c r="K2114" t="b">
        <v>1</v>
      </c>
    </row>
    <row r="2115" spans="1:11" ht="16" x14ac:dyDescent="0.2">
      <c r="A2115" s="16">
        <v>45503</v>
      </c>
      <c r="B2115" t="s">
        <v>45</v>
      </c>
      <c r="C2115" t="s">
        <v>34</v>
      </c>
      <c r="D2115" t="s">
        <v>20</v>
      </c>
      <c r="E2115" t="str">
        <f>E2114</f>
        <v>Đà Lạt</v>
      </c>
      <c r="F2115">
        <v>1</v>
      </c>
      <c r="G2115" s="15">
        <v>2710000</v>
      </c>
      <c r="H2115" s="14">
        <v>0.13075929750140999</v>
      </c>
      <c r="I2115" s="27">
        <f t="shared" ref="I2115:I2178" si="33">G2115-G2115*H2115</f>
        <v>2355642.3037711792</v>
      </c>
      <c r="J2115">
        <v>4</v>
      </c>
      <c r="K2115" t="b">
        <v>0</v>
      </c>
    </row>
    <row r="2116" spans="1:11" ht="16" x14ac:dyDescent="0.2">
      <c r="A2116" s="16">
        <v>45503</v>
      </c>
      <c r="B2116" t="s">
        <v>45</v>
      </c>
      <c r="C2116" t="s">
        <v>19</v>
      </c>
      <c r="D2116" t="s">
        <v>20</v>
      </c>
      <c r="E2116" t="s">
        <v>57</v>
      </c>
      <c r="F2116">
        <v>1</v>
      </c>
      <c r="G2116" s="15">
        <v>2710000</v>
      </c>
      <c r="H2116" s="14">
        <v>0.13075929750140999</v>
      </c>
      <c r="I2116" s="27">
        <f t="shared" si="33"/>
        <v>2355642.3037711792</v>
      </c>
      <c r="J2116">
        <v>4</v>
      </c>
      <c r="K2116" t="b">
        <v>0</v>
      </c>
    </row>
    <row r="2117" spans="1:11" ht="16" x14ac:dyDescent="0.2">
      <c r="A2117" s="16">
        <v>45504</v>
      </c>
      <c r="B2117" t="s">
        <v>45</v>
      </c>
      <c r="C2117" t="s">
        <v>19</v>
      </c>
      <c r="D2117" t="s">
        <v>20</v>
      </c>
      <c r="E2117" t="s">
        <v>57</v>
      </c>
      <c r="F2117">
        <v>4</v>
      </c>
      <c r="G2117" s="15">
        <v>2710000</v>
      </c>
      <c r="H2117" s="14">
        <v>0.13075929750140999</v>
      </c>
      <c r="I2117" s="27">
        <f t="shared" si="33"/>
        <v>2355642.3037711792</v>
      </c>
      <c r="J2117">
        <v>4.5</v>
      </c>
      <c r="K2117" t="b">
        <v>1</v>
      </c>
    </row>
    <row r="2118" spans="1:11" ht="16" x14ac:dyDescent="0.2">
      <c r="A2118" s="16">
        <v>45504</v>
      </c>
      <c r="B2118" t="s">
        <v>18</v>
      </c>
      <c r="C2118" t="s">
        <v>34</v>
      </c>
      <c r="D2118" t="s">
        <v>35</v>
      </c>
      <c r="E2118" t="s">
        <v>7641</v>
      </c>
      <c r="F2118">
        <v>3</v>
      </c>
      <c r="G2118" s="15">
        <v>2710000</v>
      </c>
      <c r="H2118" s="14">
        <v>0.13075929750140999</v>
      </c>
      <c r="I2118" s="27">
        <f t="shared" si="33"/>
        <v>2355642.3037711792</v>
      </c>
      <c r="J2118">
        <v>4.4000000000000004</v>
      </c>
      <c r="K2118" t="b">
        <v>0</v>
      </c>
    </row>
    <row r="2119" spans="1:11" ht="16" x14ac:dyDescent="0.2">
      <c r="A2119" s="16">
        <v>45504</v>
      </c>
      <c r="B2119" t="s">
        <v>45</v>
      </c>
      <c r="C2119" t="s">
        <v>34</v>
      </c>
      <c r="D2119" t="s">
        <v>35</v>
      </c>
      <c r="E2119" t="s">
        <v>7639</v>
      </c>
      <c r="F2119">
        <v>2</v>
      </c>
      <c r="G2119" s="15">
        <v>2710000</v>
      </c>
      <c r="H2119" s="14">
        <v>0.13075929750140999</v>
      </c>
      <c r="I2119" s="27">
        <f t="shared" si="33"/>
        <v>2355642.3037711792</v>
      </c>
      <c r="J2119">
        <v>5</v>
      </c>
      <c r="K2119" t="b">
        <v>1</v>
      </c>
    </row>
    <row r="2120" spans="1:11" ht="16" x14ac:dyDescent="0.2">
      <c r="A2120" s="16">
        <v>45504</v>
      </c>
      <c r="B2120" t="s">
        <v>45</v>
      </c>
      <c r="C2120" t="s">
        <v>19</v>
      </c>
      <c r="D2120" t="s">
        <v>50</v>
      </c>
      <c r="E2120" t="s">
        <v>7641</v>
      </c>
      <c r="F2120">
        <v>2</v>
      </c>
      <c r="G2120" s="15">
        <v>2710000</v>
      </c>
      <c r="H2120" s="14">
        <v>0.13075929750140999</v>
      </c>
      <c r="I2120" s="27">
        <f t="shared" si="33"/>
        <v>2355642.3037711792</v>
      </c>
      <c r="J2120">
        <v>4.2</v>
      </c>
      <c r="K2120" t="b">
        <v>1</v>
      </c>
    </row>
    <row r="2121" spans="1:11" ht="16" x14ac:dyDescent="0.2">
      <c r="A2121" s="16">
        <v>45504</v>
      </c>
      <c r="B2121" t="s">
        <v>29</v>
      </c>
      <c r="C2121" t="s">
        <v>39</v>
      </c>
      <c r="D2121" t="s">
        <v>35</v>
      </c>
      <c r="E2121" t="s">
        <v>7643</v>
      </c>
      <c r="F2121">
        <v>2</v>
      </c>
      <c r="G2121" s="15">
        <v>2710000</v>
      </c>
      <c r="H2121" s="14">
        <v>0.13075929750140999</v>
      </c>
      <c r="I2121" s="27">
        <f t="shared" si="33"/>
        <v>2355642.3037711792</v>
      </c>
      <c r="J2121">
        <v>3.8</v>
      </c>
      <c r="K2121" t="b">
        <v>0</v>
      </c>
    </row>
    <row r="2122" spans="1:11" ht="16" x14ac:dyDescent="0.2">
      <c r="A2122" s="16">
        <v>45504</v>
      </c>
      <c r="B2122" t="s">
        <v>45</v>
      </c>
      <c r="C2122" t="s">
        <v>19</v>
      </c>
      <c r="D2122" t="s">
        <v>20</v>
      </c>
      <c r="E2122" t="s">
        <v>57</v>
      </c>
      <c r="F2122">
        <v>2</v>
      </c>
      <c r="G2122" s="15">
        <v>2710000</v>
      </c>
      <c r="H2122" s="14">
        <v>0.13075929750140999</v>
      </c>
      <c r="I2122" s="27">
        <f t="shared" si="33"/>
        <v>2355642.3037711792</v>
      </c>
      <c r="J2122">
        <v>4.4000000000000004</v>
      </c>
      <c r="K2122" t="b">
        <v>0</v>
      </c>
    </row>
    <row r="2123" spans="1:11" ht="16" x14ac:dyDescent="0.2">
      <c r="A2123" s="16">
        <v>45504</v>
      </c>
      <c r="B2123" t="s">
        <v>18</v>
      </c>
      <c r="C2123" t="s">
        <v>19</v>
      </c>
      <c r="D2123" t="s">
        <v>20</v>
      </c>
      <c r="E2123" t="s">
        <v>7642</v>
      </c>
      <c r="F2123">
        <v>1</v>
      </c>
      <c r="G2123" s="15">
        <v>2710000</v>
      </c>
      <c r="H2123" s="14">
        <v>0.13075929750140999</v>
      </c>
      <c r="I2123" s="27">
        <f t="shared" si="33"/>
        <v>2355642.3037711792</v>
      </c>
      <c r="J2123">
        <v>4.4000000000000004</v>
      </c>
      <c r="K2123" t="b">
        <v>0</v>
      </c>
    </row>
    <row r="2124" spans="1:11" ht="16" x14ac:dyDescent="0.2">
      <c r="A2124" s="16">
        <v>45504</v>
      </c>
      <c r="B2124" t="s">
        <v>33</v>
      </c>
      <c r="C2124" t="s">
        <v>45</v>
      </c>
      <c r="D2124" t="s">
        <v>20</v>
      </c>
      <c r="E2124" t="s">
        <v>7638</v>
      </c>
      <c r="F2124">
        <v>3</v>
      </c>
      <c r="G2124" s="15">
        <v>2710000</v>
      </c>
      <c r="H2124" s="14">
        <v>0.13075929750140999</v>
      </c>
      <c r="I2124" s="27">
        <f t="shared" si="33"/>
        <v>2355642.3037711792</v>
      </c>
      <c r="J2124">
        <v>4</v>
      </c>
      <c r="K2124" t="b">
        <v>1</v>
      </c>
    </row>
    <row r="2125" spans="1:11" ht="16" x14ac:dyDescent="0.2">
      <c r="A2125" s="16">
        <v>45505</v>
      </c>
      <c r="B2125" t="s">
        <v>18</v>
      </c>
      <c r="C2125" t="s">
        <v>39</v>
      </c>
      <c r="D2125" t="s">
        <v>20</v>
      </c>
      <c r="E2125" t="s">
        <v>7638</v>
      </c>
      <c r="F2125">
        <v>4</v>
      </c>
      <c r="G2125" s="15">
        <v>2710000</v>
      </c>
      <c r="H2125" s="14">
        <v>0.13075929750140999</v>
      </c>
      <c r="I2125" s="27">
        <f t="shared" si="33"/>
        <v>2355642.3037711792</v>
      </c>
      <c r="J2125">
        <v>4.0999999999999996</v>
      </c>
      <c r="K2125" t="b">
        <v>1</v>
      </c>
    </row>
    <row r="2126" spans="1:11" ht="16" x14ac:dyDescent="0.2">
      <c r="A2126" s="16">
        <v>45505</v>
      </c>
      <c r="B2126" t="s">
        <v>45</v>
      </c>
      <c r="C2126" t="s">
        <v>45</v>
      </c>
      <c r="D2126" t="s">
        <v>50</v>
      </c>
      <c r="E2126" t="s">
        <v>99</v>
      </c>
      <c r="F2126">
        <v>4</v>
      </c>
      <c r="G2126" s="15">
        <v>2710000</v>
      </c>
      <c r="H2126" s="14">
        <v>0.13075929750140999</v>
      </c>
      <c r="I2126" s="27">
        <f t="shared" si="33"/>
        <v>2355642.3037711792</v>
      </c>
      <c r="J2126">
        <v>4.4000000000000004</v>
      </c>
      <c r="K2126" t="b">
        <v>1</v>
      </c>
    </row>
    <row r="2127" spans="1:11" ht="16" x14ac:dyDescent="0.2">
      <c r="A2127" s="16">
        <v>45505</v>
      </c>
      <c r="B2127" t="s">
        <v>33</v>
      </c>
      <c r="C2127" t="s">
        <v>34</v>
      </c>
      <c r="D2127" t="str">
        <f>D2126</f>
        <v>Agent</v>
      </c>
      <c r="E2127" t="s">
        <v>7637</v>
      </c>
      <c r="F2127">
        <v>4</v>
      </c>
      <c r="G2127" s="15">
        <v>2710000</v>
      </c>
      <c r="H2127" s="14">
        <v>0.13075929750140999</v>
      </c>
      <c r="I2127" s="27">
        <f t="shared" si="33"/>
        <v>2355642.3037711792</v>
      </c>
      <c r="J2127">
        <v>3.7</v>
      </c>
      <c r="K2127" t="b">
        <v>1</v>
      </c>
    </row>
    <row r="2128" spans="1:11" ht="16" x14ac:dyDescent="0.2">
      <c r="A2128" s="16">
        <v>45506</v>
      </c>
      <c r="B2128" t="s">
        <v>45</v>
      </c>
      <c r="C2128" t="s">
        <v>34</v>
      </c>
      <c r="D2128" t="s">
        <v>20</v>
      </c>
      <c r="E2128" t="s">
        <v>7637</v>
      </c>
      <c r="F2128">
        <v>1</v>
      </c>
      <c r="G2128" s="15">
        <v>2710000</v>
      </c>
      <c r="H2128" s="14">
        <v>0.13075929750140999</v>
      </c>
      <c r="I2128" s="27">
        <f t="shared" si="33"/>
        <v>2355642.3037711792</v>
      </c>
      <c r="J2128">
        <v>4.2</v>
      </c>
      <c r="K2128" t="b">
        <v>0</v>
      </c>
    </row>
    <row r="2129" spans="1:11" ht="16" x14ac:dyDescent="0.2">
      <c r="A2129" s="16">
        <v>45506</v>
      </c>
      <c r="B2129" t="s">
        <v>18</v>
      </c>
      <c r="C2129" t="s">
        <v>19</v>
      </c>
      <c r="D2129" t="s">
        <v>35</v>
      </c>
      <c r="E2129" t="s">
        <v>7642</v>
      </c>
      <c r="F2129">
        <v>1</v>
      </c>
      <c r="G2129" s="15">
        <v>2710000</v>
      </c>
      <c r="H2129" s="14">
        <v>0.13075929750140999</v>
      </c>
      <c r="I2129" s="27">
        <f t="shared" si="33"/>
        <v>2355642.3037711792</v>
      </c>
      <c r="J2129">
        <v>4.7</v>
      </c>
      <c r="K2129" t="b">
        <v>1</v>
      </c>
    </row>
    <row r="2130" spans="1:11" ht="16" x14ac:dyDescent="0.2">
      <c r="A2130" s="16">
        <v>45507</v>
      </c>
      <c r="B2130" t="s">
        <v>18</v>
      </c>
      <c r="C2130" t="s">
        <v>19</v>
      </c>
      <c r="D2130" t="s">
        <v>35</v>
      </c>
      <c r="E2130" t="s">
        <v>7643</v>
      </c>
      <c r="F2130">
        <v>2</v>
      </c>
      <c r="G2130" s="15">
        <v>2710000</v>
      </c>
      <c r="H2130" s="14">
        <v>0.13075929750140999</v>
      </c>
      <c r="I2130" s="27">
        <f t="shared" si="33"/>
        <v>2355642.3037711792</v>
      </c>
      <c r="J2130">
        <v>4.9000000000000004</v>
      </c>
      <c r="K2130" t="b">
        <v>1</v>
      </c>
    </row>
    <row r="2131" spans="1:11" ht="16" x14ac:dyDescent="0.2">
      <c r="A2131" s="16">
        <v>45507</v>
      </c>
      <c r="B2131" t="s">
        <v>33</v>
      </c>
      <c r="C2131" t="s">
        <v>34</v>
      </c>
      <c r="D2131" t="s">
        <v>20</v>
      </c>
      <c r="E2131" t="s">
        <v>7640</v>
      </c>
      <c r="F2131">
        <v>2</v>
      </c>
      <c r="G2131" s="15">
        <v>2710000</v>
      </c>
      <c r="H2131" s="14">
        <v>0.13075929750140999</v>
      </c>
      <c r="I2131" s="27">
        <f t="shared" si="33"/>
        <v>2355642.3037711792</v>
      </c>
      <c r="J2131">
        <v>4.2</v>
      </c>
      <c r="K2131" t="b">
        <v>1</v>
      </c>
    </row>
    <row r="2132" spans="1:11" ht="16" x14ac:dyDescent="0.2">
      <c r="A2132" s="16">
        <v>45508</v>
      </c>
      <c r="B2132" t="s">
        <v>33</v>
      </c>
      <c r="C2132" t="s">
        <v>25</v>
      </c>
      <c r="D2132" t="s">
        <v>20</v>
      </c>
      <c r="E2132" t="s">
        <v>7640</v>
      </c>
      <c r="F2132">
        <v>1</v>
      </c>
      <c r="G2132" s="15">
        <v>2710000</v>
      </c>
      <c r="H2132" s="14">
        <v>0.13075929750140999</v>
      </c>
      <c r="I2132" s="27">
        <f t="shared" si="33"/>
        <v>2355642.3037711792</v>
      </c>
      <c r="J2132">
        <v>3.9</v>
      </c>
      <c r="K2132" t="b">
        <v>1</v>
      </c>
    </row>
    <row r="2133" spans="1:11" ht="16" x14ac:dyDescent="0.2">
      <c r="A2133" s="16">
        <v>45508</v>
      </c>
      <c r="B2133" t="s">
        <v>18</v>
      </c>
      <c r="C2133" t="s">
        <v>34</v>
      </c>
      <c r="D2133" t="s">
        <v>20</v>
      </c>
      <c r="E2133" t="s">
        <v>7637</v>
      </c>
      <c r="F2133">
        <v>4</v>
      </c>
      <c r="G2133" s="15">
        <v>2710000</v>
      </c>
      <c r="H2133" s="14">
        <v>0.13075929750140999</v>
      </c>
      <c r="I2133" s="27">
        <f t="shared" si="33"/>
        <v>2355642.3037711792</v>
      </c>
      <c r="J2133">
        <v>5</v>
      </c>
      <c r="K2133" t="b">
        <v>0</v>
      </c>
    </row>
    <row r="2134" spans="1:11" ht="16" x14ac:dyDescent="0.2">
      <c r="A2134" s="16">
        <v>45508</v>
      </c>
      <c r="B2134" t="s">
        <v>18</v>
      </c>
      <c r="C2134" t="s">
        <v>25</v>
      </c>
      <c r="D2134" t="s">
        <v>35</v>
      </c>
      <c r="E2134" t="s">
        <v>7643</v>
      </c>
      <c r="F2134">
        <v>3</v>
      </c>
      <c r="G2134" s="15">
        <v>2710000</v>
      </c>
      <c r="H2134" s="14">
        <v>0.13075929750140999</v>
      </c>
      <c r="I2134" s="27">
        <f t="shared" si="33"/>
        <v>2355642.3037711792</v>
      </c>
      <c r="J2134">
        <v>3.4</v>
      </c>
      <c r="K2134" t="b">
        <v>1</v>
      </c>
    </row>
    <row r="2135" spans="1:11" ht="16" x14ac:dyDescent="0.2">
      <c r="A2135" s="16">
        <v>45508</v>
      </c>
      <c r="B2135" t="s">
        <v>29</v>
      </c>
      <c r="C2135" t="s">
        <v>25</v>
      </c>
      <c r="D2135" t="s">
        <v>20</v>
      </c>
      <c r="E2135" t="s">
        <v>7638</v>
      </c>
      <c r="F2135">
        <v>2</v>
      </c>
      <c r="G2135" s="15">
        <v>2710000</v>
      </c>
      <c r="H2135" s="14">
        <v>0.13075929750140999</v>
      </c>
      <c r="I2135" s="27">
        <f t="shared" si="33"/>
        <v>2355642.3037711792</v>
      </c>
      <c r="J2135">
        <v>4.0999999999999996</v>
      </c>
      <c r="K2135" t="b">
        <v>1</v>
      </c>
    </row>
    <row r="2136" spans="1:11" ht="16" x14ac:dyDescent="0.2">
      <c r="A2136" s="16">
        <v>45509</v>
      </c>
      <c r="B2136" t="s">
        <v>29</v>
      </c>
      <c r="C2136" t="s">
        <v>19</v>
      </c>
      <c r="D2136" t="s">
        <v>50</v>
      </c>
      <c r="E2136" t="s">
        <v>7642</v>
      </c>
      <c r="F2136">
        <v>3</v>
      </c>
      <c r="G2136" s="15">
        <v>2710000</v>
      </c>
      <c r="H2136" s="14">
        <v>0.13075929750140999</v>
      </c>
      <c r="I2136" s="27">
        <f t="shared" si="33"/>
        <v>2355642.3037711792</v>
      </c>
      <c r="J2136">
        <v>4.4000000000000004</v>
      </c>
      <c r="K2136" t="b">
        <v>0</v>
      </c>
    </row>
    <row r="2137" spans="1:11" ht="16" x14ac:dyDescent="0.2">
      <c r="A2137" s="16">
        <v>45509</v>
      </c>
      <c r="B2137" t="s">
        <v>45</v>
      </c>
      <c r="C2137" t="s">
        <v>19</v>
      </c>
      <c r="D2137" t="s">
        <v>50</v>
      </c>
      <c r="E2137" t="s">
        <v>7637</v>
      </c>
      <c r="F2137">
        <v>3</v>
      </c>
      <c r="G2137" s="15">
        <v>2710000</v>
      </c>
      <c r="H2137" s="14">
        <v>0.13075929750140999</v>
      </c>
      <c r="I2137" s="27">
        <f t="shared" si="33"/>
        <v>2355642.3037711792</v>
      </c>
      <c r="J2137">
        <v>4.5999999999999996</v>
      </c>
      <c r="K2137" t="b">
        <v>0</v>
      </c>
    </row>
    <row r="2138" spans="1:11" ht="16" x14ac:dyDescent="0.2">
      <c r="A2138" s="16">
        <v>45509</v>
      </c>
      <c r="B2138" t="s">
        <v>45</v>
      </c>
      <c r="C2138" t="s">
        <v>25</v>
      </c>
      <c r="D2138" t="s">
        <v>20</v>
      </c>
      <c r="E2138" t="s">
        <v>7638</v>
      </c>
      <c r="F2138">
        <v>1</v>
      </c>
      <c r="G2138" s="15">
        <v>2710000</v>
      </c>
      <c r="H2138" s="14">
        <v>0.13075929750140999</v>
      </c>
      <c r="I2138" s="27">
        <f t="shared" si="33"/>
        <v>2355642.3037711792</v>
      </c>
      <c r="J2138">
        <v>4</v>
      </c>
      <c r="K2138" t="b">
        <v>1</v>
      </c>
    </row>
    <row r="2139" spans="1:11" ht="16" x14ac:dyDescent="0.2">
      <c r="A2139" s="16">
        <v>45510</v>
      </c>
      <c r="B2139" t="s">
        <v>45</v>
      </c>
      <c r="C2139" t="s">
        <v>19</v>
      </c>
      <c r="D2139" t="s">
        <v>50</v>
      </c>
      <c r="E2139" t="s">
        <v>7640</v>
      </c>
      <c r="F2139">
        <v>1</v>
      </c>
      <c r="G2139" s="15">
        <v>2710000</v>
      </c>
      <c r="H2139" s="14">
        <v>0.13075929750140999</v>
      </c>
      <c r="I2139" s="27">
        <f t="shared" si="33"/>
        <v>2355642.3037711792</v>
      </c>
      <c r="J2139">
        <v>4.3</v>
      </c>
      <c r="K2139" t="b">
        <v>0</v>
      </c>
    </row>
    <row r="2140" spans="1:11" ht="16" x14ac:dyDescent="0.2">
      <c r="A2140" s="16">
        <v>45510</v>
      </c>
      <c r="B2140" t="s">
        <v>18</v>
      </c>
      <c r="C2140" t="s">
        <v>34</v>
      </c>
      <c r="D2140" t="s">
        <v>46</v>
      </c>
      <c r="E2140" t="s">
        <v>7642</v>
      </c>
      <c r="F2140">
        <v>4</v>
      </c>
      <c r="G2140" s="15">
        <v>2710000</v>
      </c>
      <c r="H2140" s="14">
        <v>0.13075929750140999</v>
      </c>
      <c r="I2140" s="27">
        <f t="shared" si="33"/>
        <v>2355642.3037711792</v>
      </c>
      <c r="J2140">
        <v>4.0999999999999996</v>
      </c>
      <c r="K2140" t="b">
        <v>1</v>
      </c>
    </row>
    <row r="2141" spans="1:11" ht="16" x14ac:dyDescent="0.2">
      <c r="A2141" s="16">
        <v>45510</v>
      </c>
      <c r="B2141" t="s">
        <v>18</v>
      </c>
      <c r="C2141" t="s">
        <v>19</v>
      </c>
      <c r="D2141" t="s">
        <v>35</v>
      </c>
      <c r="E2141" t="s">
        <v>7643</v>
      </c>
      <c r="F2141">
        <v>2</v>
      </c>
      <c r="G2141" s="15">
        <v>2710000</v>
      </c>
      <c r="H2141" s="14">
        <v>0.13075929750140999</v>
      </c>
      <c r="I2141" s="27">
        <f t="shared" si="33"/>
        <v>2355642.3037711792</v>
      </c>
      <c r="J2141">
        <v>4.0999999999999996</v>
      </c>
      <c r="K2141" t="b">
        <v>1</v>
      </c>
    </row>
    <row r="2142" spans="1:11" ht="16" x14ac:dyDescent="0.2">
      <c r="A2142" s="16">
        <v>45510</v>
      </c>
      <c r="B2142" t="s">
        <v>33</v>
      </c>
      <c r="C2142" t="s">
        <v>25</v>
      </c>
      <c r="D2142" t="s">
        <v>20</v>
      </c>
      <c r="E2142" t="s">
        <v>7641</v>
      </c>
      <c r="F2142">
        <v>3</v>
      </c>
      <c r="G2142" s="15">
        <v>2710000</v>
      </c>
      <c r="H2142" s="14">
        <v>0.13075929750140999</v>
      </c>
      <c r="I2142" s="27">
        <f t="shared" si="33"/>
        <v>2355642.3037711792</v>
      </c>
      <c r="J2142">
        <v>5</v>
      </c>
      <c r="K2142" t="b">
        <v>1</v>
      </c>
    </row>
    <row r="2143" spans="1:11" ht="16" x14ac:dyDescent="0.2">
      <c r="A2143" s="16">
        <v>45510</v>
      </c>
      <c r="B2143" t="s">
        <v>18</v>
      </c>
      <c r="C2143" t="s">
        <v>34</v>
      </c>
      <c r="D2143" t="s">
        <v>46</v>
      </c>
      <c r="E2143" t="s">
        <v>7644</v>
      </c>
      <c r="F2143">
        <v>2</v>
      </c>
      <c r="G2143" s="15">
        <v>2710000</v>
      </c>
      <c r="H2143" s="14">
        <v>0.13075929750140999</v>
      </c>
      <c r="I2143" s="27">
        <f t="shared" si="33"/>
        <v>2355642.3037711792</v>
      </c>
      <c r="J2143">
        <v>4.4000000000000004</v>
      </c>
      <c r="K2143" t="b">
        <v>1</v>
      </c>
    </row>
    <row r="2144" spans="1:11" ht="16" x14ac:dyDescent="0.2">
      <c r="A2144" s="16">
        <v>45511</v>
      </c>
      <c r="B2144" t="s">
        <v>33</v>
      </c>
      <c r="C2144" t="s">
        <v>25</v>
      </c>
      <c r="D2144" t="s">
        <v>20</v>
      </c>
      <c r="E2144" t="s">
        <v>57</v>
      </c>
      <c r="F2144">
        <v>2</v>
      </c>
      <c r="G2144" s="15">
        <v>2710000</v>
      </c>
      <c r="H2144" s="14">
        <v>0.13075929750140999</v>
      </c>
      <c r="I2144" s="27">
        <f t="shared" si="33"/>
        <v>2355642.3037711792</v>
      </c>
      <c r="J2144">
        <v>4.8</v>
      </c>
      <c r="K2144" t="b">
        <v>0</v>
      </c>
    </row>
    <row r="2145" spans="1:11" ht="16" x14ac:dyDescent="0.2">
      <c r="A2145" s="16">
        <v>45511</v>
      </c>
      <c r="B2145" t="s">
        <v>18</v>
      </c>
      <c r="C2145" t="s">
        <v>68</v>
      </c>
      <c r="D2145" t="s">
        <v>20</v>
      </c>
      <c r="E2145" t="s">
        <v>99</v>
      </c>
      <c r="F2145">
        <v>2</v>
      </c>
      <c r="G2145" s="15">
        <v>2710000</v>
      </c>
      <c r="H2145" s="14">
        <v>0.13075929750140999</v>
      </c>
      <c r="I2145" s="27">
        <f t="shared" si="33"/>
        <v>2355642.3037711792</v>
      </c>
      <c r="J2145">
        <v>4</v>
      </c>
      <c r="K2145" t="b">
        <v>1</v>
      </c>
    </row>
    <row r="2146" spans="1:11" ht="16" x14ac:dyDescent="0.2">
      <c r="A2146" s="16">
        <v>45511</v>
      </c>
      <c r="B2146" t="s">
        <v>18</v>
      </c>
      <c r="C2146" t="s">
        <v>39</v>
      </c>
      <c r="D2146" t="s">
        <v>50</v>
      </c>
      <c r="E2146" t="s">
        <v>7641</v>
      </c>
      <c r="F2146">
        <v>2</v>
      </c>
      <c r="G2146" s="15">
        <v>2710000</v>
      </c>
      <c r="H2146" s="14">
        <v>0.13075929750140999</v>
      </c>
      <c r="I2146" s="27">
        <f t="shared" si="33"/>
        <v>2355642.3037711792</v>
      </c>
      <c r="J2146">
        <v>3.9</v>
      </c>
      <c r="K2146" t="b">
        <v>1</v>
      </c>
    </row>
    <row r="2147" spans="1:11" ht="16" x14ac:dyDescent="0.2">
      <c r="A2147" s="16">
        <v>45511</v>
      </c>
      <c r="B2147" t="s">
        <v>45</v>
      </c>
      <c r="C2147" t="s">
        <v>68</v>
      </c>
      <c r="D2147" t="s">
        <v>20</v>
      </c>
      <c r="E2147" t="s">
        <v>7638</v>
      </c>
      <c r="F2147">
        <v>1</v>
      </c>
      <c r="G2147" s="15">
        <v>2710000</v>
      </c>
      <c r="H2147" s="14">
        <v>0.13075929750140999</v>
      </c>
      <c r="I2147" s="27">
        <f t="shared" si="33"/>
        <v>2355642.3037711792</v>
      </c>
      <c r="J2147">
        <v>5</v>
      </c>
      <c r="K2147" t="b">
        <v>0</v>
      </c>
    </row>
    <row r="2148" spans="1:11" ht="16" x14ac:dyDescent="0.2">
      <c r="A2148" s="16">
        <v>45512</v>
      </c>
      <c r="B2148" t="s">
        <v>33</v>
      </c>
      <c r="C2148" t="s">
        <v>19</v>
      </c>
      <c r="D2148" t="s">
        <v>35</v>
      </c>
      <c r="E2148" t="s">
        <v>7644</v>
      </c>
      <c r="F2148">
        <v>2</v>
      </c>
      <c r="G2148" s="15">
        <v>2710000</v>
      </c>
      <c r="H2148" s="14">
        <v>0.13075929750140999</v>
      </c>
      <c r="I2148" s="27">
        <f t="shared" si="33"/>
        <v>2355642.3037711792</v>
      </c>
      <c r="J2148">
        <v>3.8</v>
      </c>
      <c r="K2148" t="b">
        <v>1</v>
      </c>
    </row>
    <row r="2149" spans="1:11" ht="16" x14ac:dyDescent="0.2">
      <c r="A2149" s="16">
        <v>45512</v>
      </c>
      <c r="B2149" t="s">
        <v>33</v>
      </c>
      <c r="C2149" t="s">
        <v>19</v>
      </c>
      <c r="D2149" t="s">
        <v>20</v>
      </c>
      <c r="E2149" t="s">
        <v>7642</v>
      </c>
      <c r="F2149">
        <v>2</v>
      </c>
      <c r="G2149" s="15">
        <v>2710000</v>
      </c>
      <c r="H2149" s="14">
        <v>0.13075929750140999</v>
      </c>
      <c r="I2149" s="27">
        <f t="shared" si="33"/>
        <v>2355642.3037711792</v>
      </c>
      <c r="J2149">
        <v>4.9000000000000004</v>
      </c>
      <c r="K2149" t="b">
        <v>1</v>
      </c>
    </row>
    <row r="2150" spans="1:11" ht="16" x14ac:dyDescent="0.2">
      <c r="A2150" s="16">
        <v>45513</v>
      </c>
      <c r="B2150" t="s">
        <v>45</v>
      </c>
      <c r="C2150" t="s">
        <v>34</v>
      </c>
      <c r="D2150" t="s">
        <v>20</v>
      </c>
      <c r="E2150" t="s">
        <v>7638</v>
      </c>
      <c r="F2150">
        <v>2</v>
      </c>
      <c r="G2150" s="15">
        <v>2710000</v>
      </c>
      <c r="H2150" s="14">
        <v>0.13075929750140999</v>
      </c>
      <c r="I2150" s="27">
        <f t="shared" si="33"/>
        <v>2355642.3037711792</v>
      </c>
      <c r="J2150">
        <v>3.5</v>
      </c>
      <c r="K2150" t="b">
        <v>0</v>
      </c>
    </row>
    <row r="2151" spans="1:11" ht="16" x14ac:dyDescent="0.2">
      <c r="A2151" s="16">
        <v>45513</v>
      </c>
      <c r="B2151" t="s">
        <v>29</v>
      </c>
      <c r="C2151" t="s">
        <v>34</v>
      </c>
      <c r="D2151" t="s">
        <v>50</v>
      </c>
      <c r="E2151" t="s">
        <v>7638</v>
      </c>
      <c r="F2151">
        <v>1</v>
      </c>
      <c r="G2151" s="15">
        <v>2710000</v>
      </c>
      <c r="H2151" s="14">
        <v>0.13075929750140999</v>
      </c>
      <c r="I2151" s="27">
        <f t="shared" si="33"/>
        <v>2355642.3037711792</v>
      </c>
      <c r="J2151">
        <v>3.1</v>
      </c>
      <c r="K2151" t="b">
        <v>1</v>
      </c>
    </row>
    <row r="2152" spans="1:11" ht="16" x14ac:dyDescent="0.2">
      <c r="A2152" s="16">
        <v>45513</v>
      </c>
      <c r="B2152" t="s">
        <v>33</v>
      </c>
      <c r="C2152" t="s">
        <v>25</v>
      </c>
      <c r="D2152" t="s">
        <v>20</v>
      </c>
      <c r="E2152" t="s">
        <v>7641</v>
      </c>
      <c r="F2152">
        <v>1</v>
      </c>
      <c r="G2152" s="15">
        <v>2710000</v>
      </c>
      <c r="H2152" s="14">
        <v>0.13075929750140999</v>
      </c>
      <c r="I2152" s="27">
        <f t="shared" si="33"/>
        <v>2355642.3037711792</v>
      </c>
      <c r="J2152">
        <v>4.2</v>
      </c>
      <c r="K2152" t="b">
        <v>1</v>
      </c>
    </row>
    <row r="2153" spans="1:11" ht="16" x14ac:dyDescent="0.2">
      <c r="A2153" s="16">
        <v>45513</v>
      </c>
      <c r="B2153" t="s">
        <v>45</v>
      </c>
      <c r="C2153" t="s">
        <v>19</v>
      </c>
      <c r="D2153" t="s">
        <v>20</v>
      </c>
      <c r="E2153" t="s">
        <v>7641</v>
      </c>
      <c r="F2153">
        <v>3</v>
      </c>
      <c r="G2153" s="15">
        <v>2710000</v>
      </c>
      <c r="H2153" s="14">
        <v>0.13075929750140999</v>
      </c>
      <c r="I2153" s="27">
        <f t="shared" si="33"/>
        <v>2355642.3037711792</v>
      </c>
      <c r="J2153">
        <v>4.4000000000000004</v>
      </c>
      <c r="K2153" t="b">
        <v>0</v>
      </c>
    </row>
    <row r="2154" spans="1:11" ht="16" x14ac:dyDescent="0.2">
      <c r="A2154" s="16">
        <v>45513</v>
      </c>
      <c r="B2154" t="s">
        <v>33</v>
      </c>
      <c r="C2154" t="s">
        <v>39</v>
      </c>
      <c r="D2154" t="s">
        <v>50</v>
      </c>
      <c r="E2154" t="s">
        <v>7637</v>
      </c>
      <c r="F2154">
        <v>3</v>
      </c>
      <c r="G2154" s="15">
        <v>2710000</v>
      </c>
      <c r="H2154" s="14">
        <v>0.13075929750140999</v>
      </c>
      <c r="I2154" s="27">
        <f t="shared" si="33"/>
        <v>2355642.3037711792</v>
      </c>
      <c r="J2154">
        <v>3.3</v>
      </c>
      <c r="K2154" t="b">
        <v>1</v>
      </c>
    </row>
    <row r="2155" spans="1:11" ht="16" x14ac:dyDescent="0.2">
      <c r="A2155" s="16">
        <v>45513</v>
      </c>
      <c r="B2155" t="s">
        <v>45</v>
      </c>
      <c r="C2155" t="s">
        <v>39</v>
      </c>
      <c r="D2155" t="s">
        <v>50</v>
      </c>
      <c r="E2155" t="str">
        <f>E2154</f>
        <v>Đà Nẵng</v>
      </c>
      <c r="F2155">
        <v>2</v>
      </c>
      <c r="G2155" s="15">
        <v>2710000</v>
      </c>
      <c r="H2155" s="14">
        <v>0.13075929750140999</v>
      </c>
      <c r="I2155" s="27">
        <f t="shared" si="33"/>
        <v>2355642.3037711792</v>
      </c>
      <c r="J2155">
        <v>4.4000000000000004</v>
      </c>
      <c r="K2155" t="b">
        <v>1</v>
      </c>
    </row>
    <row r="2156" spans="1:11" ht="16" x14ac:dyDescent="0.2">
      <c r="A2156" s="16">
        <v>45514</v>
      </c>
      <c r="B2156" t="s">
        <v>45</v>
      </c>
      <c r="C2156" t="s">
        <v>25</v>
      </c>
      <c r="D2156" t="s">
        <v>20</v>
      </c>
      <c r="E2156" t="s">
        <v>7640</v>
      </c>
      <c r="F2156">
        <v>2</v>
      </c>
      <c r="G2156" s="15">
        <v>2710000</v>
      </c>
      <c r="H2156" s="14">
        <v>0.13075929750140999</v>
      </c>
      <c r="I2156" s="27">
        <f t="shared" si="33"/>
        <v>2355642.3037711792</v>
      </c>
      <c r="J2156">
        <v>4</v>
      </c>
      <c r="K2156" t="b">
        <v>1</v>
      </c>
    </row>
    <row r="2157" spans="1:11" ht="16" x14ac:dyDescent="0.2">
      <c r="A2157" s="16">
        <v>45514</v>
      </c>
      <c r="B2157" t="s">
        <v>18</v>
      </c>
      <c r="C2157" t="s">
        <v>68</v>
      </c>
      <c r="D2157" t="s">
        <v>35</v>
      </c>
      <c r="E2157" t="s">
        <v>7637</v>
      </c>
      <c r="F2157">
        <v>1</v>
      </c>
      <c r="G2157" s="15">
        <v>2710000</v>
      </c>
      <c r="H2157" s="14">
        <v>0.13075929750140999</v>
      </c>
      <c r="I2157" s="27">
        <f t="shared" si="33"/>
        <v>2355642.3037711792</v>
      </c>
      <c r="J2157">
        <v>4.3</v>
      </c>
      <c r="K2157" t="b">
        <v>1</v>
      </c>
    </row>
    <row r="2158" spans="1:11" ht="16" x14ac:dyDescent="0.2">
      <c r="A2158" s="16">
        <v>45514</v>
      </c>
      <c r="B2158" t="s">
        <v>33</v>
      </c>
      <c r="C2158" t="s">
        <v>39</v>
      </c>
      <c r="D2158" t="s">
        <v>20</v>
      </c>
      <c r="E2158" t="s">
        <v>7640</v>
      </c>
      <c r="F2158">
        <v>1</v>
      </c>
      <c r="G2158" s="15">
        <v>2710000</v>
      </c>
      <c r="H2158" s="14">
        <v>0.13075929750140999</v>
      </c>
      <c r="I2158" s="27">
        <f t="shared" si="33"/>
        <v>2355642.3037711792</v>
      </c>
      <c r="J2158">
        <v>4.0999999999999996</v>
      </c>
      <c r="K2158" t="b">
        <v>1</v>
      </c>
    </row>
    <row r="2159" spans="1:11" ht="16" x14ac:dyDescent="0.2">
      <c r="A2159" s="16">
        <v>45515</v>
      </c>
      <c r="B2159" t="s">
        <v>18</v>
      </c>
      <c r="C2159" t="s">
        <v>34</v>
      </c>
      <c r="D2159" t="s">
        <v>50</v>
      </c>
      <c r="E2159" t="s">
        <v>7642</v>
      </c>
      <c r="F2159">
        <v>3</v>
      </c>
      <c r="G2159" s="15">
        <v>2710000</v>
      </c>
      <c r="H2159" s="14">
        <v>0.13075929750140999</v>
      </c>
      <c r="I2159" s="27">
        <f t="shared" si="33"/>
        <v>2355642.3037711792</v>
      </c>
      <c r="J2159">
        <v>4.7</v>
      </c>
      <c r="K2159" t="b">
        <v>0</v>
      </c>
    </row>
    <row r="2160" spans="1:11" ht="16" x14ac:dyDescent="0.2">
      <c r="A2160" s="16">
        <v>45515</v>
      </c>
      <c r="B2160" t="s">
        <v>18</v>
      </c>
      <c r="C2160" t="s">
        <v>34</v>
      </c>
      <c r="D2160" t="s">
        <v>20</v>
      </c>
      <c r="E2160" t="s">
        <v>7642</v>
      </c>
      <c r="F2160">
        <v>1</v>
      </c>
      <c r="G2160" s="15">
        <v>2710000</v>
      </c>
      <c r="H2160" s="14">
        <v>0.13075929750140999</v>
      </c>
      <c r="I2160" s="27">
        <f t="shared" si="33"/>
        <v>2355642.3037711792</v>
      </c>
      <c r="J2160">
        <v>3.8</v>
      </c>
      <c r="K2160" t="b">
        <v>0</v>
      </c>
    </row>
    <row r="2161" spans="1:11" ht="16" x14ac:dyDescent="0.2">
      <c r="A2161" s="16">
        <v>45515</v>
      </c>
      <c r="B2161" t="s">
        <v>45</v>
      </c>
      <c r="C2161" t="s">
        <v>68</v>
      </c>
      <c r="D2161" t="s">
        <v>35</v>
      </c>
      <c r="E2161" t="s">
        <v>7642</v>
      </c>
      <c r="F2161">
        <v>1</v>
      </c>
      <c r="G2161" s="15">
        <v>2710000</v>
      </c>
      <c r="H2161" s="14">
        <v>0.13075929750140999</v>
      </c>
      <c r="I2161" s="27">
        <f t="shared" si="33"/>
        <v>2355642.3037711792</v>
      </c>
      <c r="J2161">
        <v>4.3</v>
      </c>
      <c r="K2161" t="b">
        <v>0</v>
      </c>
    </row>
    <row r="2162" spans="1:11" ht="16" x14ac:dyDescent="0.2">
      <c r="A2162" s="16">
        <v>45516</v>
      </c>
      <c r="B2162" t="s">
        <v>18</v>
      </c>
      <c r="C2162" t="s">
        <v>45</v>
      </c>
      <c r="D2162" t="s">
        <v>50</v>
      </c>
      <c r="E2162" t="s">
        <v>7638</v>
      </c>
      <c r="F2162">
        <v>3</v>
      </c>
      <c r="G2162" s="15">
        <v>2710000</v>
      </c>
      <c r="H2162" s="14">
        <v>0.13075929750140999</v>
      </c>
      <c r="I2162" s="27">
        <f t="shared" si="33"/>
        <v>2355642.3037711792</v>
      </c>
      <c r="J2162">
        <v>3.6</v>
      </c>
      <c r="K2162" t="b">
        <v>1</v>
      </c>
    </row>
    <row r="2163" spans="1:11" ht="16" x14ac:dyDescent="0.2">
      <c r="A2163" s="16">
        <v>45516</v>
      </c>
      <c r="B2163" t="s">
        <v>18</v>
      </c>
      <c r="C2163" t="s">
        <v>19</v>
      </c>
      <c r="D2163" t="s">
        <v>35</v>
      </c>
      <c r="E2163" t="s">
        <v>7644</v>
      </c>
      <c r="F2163">
        <v>3</v>
      </c>
      <c r="G2163" s="15">
        <v>2710000</v>
      </c>
      <c r="H2163" s="14">
        <v>0.13075929750140999</v>
      </c>
      <c r="I2163" s="27">
        <f t="shared" si="33"/>
        <v>2355642.3037711792</v>
      </c>
      <c r="J2163">
        <v>4.3</v>
      </c>
      <c r="K2163" t="b">
        <v>0</v>
      </c>
    </row>
    <row r="2164" spans="1:11" ht="16" x14ac:dyDescent="0.2">
      <c r="A2164" s="16">
        <v>45516</v>
      </c>
      <c r="B2164" t="s">
        <v>45</v>
      </c>
      <c r="C2164" t="s">
        <v>25</v>
      </c>
      <c r="D2164" t="s">
        <v>35</v>
      </c>
      <c r="E2164" t="s">
        <v>7640</v>
      </c>
      <c r="F2164">
        <v>2</v>
      </c>
      <c r="G2164" s="15">
        <v>2710000</v>
      </c>
      <c r="H2164" s="14">
        <v>0.13075929750140999</v>
      </c>
      <c r="I2164" s="27">
        <f t="shared" si="33"/>
        <v>2355642.3037711792</v>
      </c>
      <c r="J2164">
        <v>3.4</v>
      </c>
      <c r="K2164" t="b">
        <v>0</v>
      </c>
    </row>
    <row r="2165" spans="1:11" ht="16" x14ac:dyDescent="0.2">
      <c r="A2165" s="16">
        <v>45516</v>
      </c>
      <c r="B2165" t="s">
        <v>45</v>
      </c>
      <c r="C2165" t="s">
        <v>68</v>
      </c>
      <c r="D2165" t="s">
        <v>35</v>
      </c>
      <c r="E2165" t="s">
        <v>7637</v>
      </c>
      <c r="F2165">
        <v>2</v>
      </c>
      <c r="G2165" s="15">
        <v>2710000</v>
      </c>
      <c r="H2165" s="14">
        <v>0.13075929750140999</v>
      </c>
      <c r="I2165" s="27">
        <f t="shared" si="33"/>
        <v>2355642.3037711792</v>
      </c>
      <c r="J2165">
        <v>4</v>
      </c>
      <c r="K2165" t="b">
        <v>1</v>
      </c>
    </row>
    <row r="2166" spans="1:11" ht="16" x14ac:dyDescent="0.2">
      <c r="A2166" s="16">
        <v>45516</v>
      </c>
      <c r="B2166" t="s">
        <v>33</v>
      </c>
      <c r="C2166" t="s">
        <v>34</v>
      </c>
      <c r="D2166" t="s">
        <v>35</v>
      </c>
      <c r="E2166" t="s">
        <v>7642</v>
      </c>
      <c r="F2166">
        <v>2</v>
      </c>
      <c r="G2166" s="15">
        <v>2710000</v>
      </c>
      <c r="H2166" s="14">
        <v>0.13075929750140999</v>
      </c>
      <c r="I2166" s="27">
        <f t="shared" si="33"/>
        <v>2355642.3037711792</v>
      </c>
      <c r="J2166">
        <v>3.2</v>
      </c>
      <c r="K2166" t="b">
        <v>1</v>
      </c>
    </row>
    <row r="2167" spans="1:11" ht="16" x14ac:dyDescent="0.2">
      <c r="A2167" s="16">
        <v>45517</v>
      </c>
      <c r="B2167" t="s">
        <v>18</v>
      </c>
      <c r="C2167" t="s">
        <v>19</v>
      </c>
      <c r="D2167" t="s">
        <v>20</v>
      </c>
      <c r="E2167" t="s">
        <v>7637</v>
      </c>
      <c r="F2167">
        <v>3</v>
      </c>
      <c r="G2167" s="15">
        <v>2710000</v>
      </c>
      <c r="H2167" s="14">
        <v>0.13075929750140999</v>
      </c>
      <c r="I2167" s="27">
        <f t="shared" si="33"/>
        <v>2355642.3037711792</v>
      </c>
      <c r="J2167">
        <v>4.4000000000000004</v>
      </c>
      <c r="K2167" t="b">
        <v>0</v>
      </c>
    </row>
    <row r="2168" spans="1:11" ht="16" x14ac:dyDescent="0.2">
      <c r="A2168" s="16">
        <v>45517</v>
      </c>
      <c r="B2168" t="s">
        <v>33</v>
      </c>
      <c r="C2168" t="s">
        <v>34</v>
      </c>
      <c r="D2168" t="s">
        <v>20</v>
      </c>
      <c r="E2168" t="s">
        <v>7644</v>
      </c>
      <c r="F2168">
        <v>4</v>
      </c>
      <c r="G2168" s="15">
        <v>2710000</v>
      </c>
      <c r="H2168" s="14">
        <v>0.13075929750140999</v>
      </c>
      <c r="I2168" s="27">
        <f t="shared" si="33"/>
        <v>2355642.3037711792</v>
      </c>
      <c r="J2168">
        <v>4</v>
      </c>
      <c r="K2168" t="b">
        <v>0</v>
      </c>
    </row>
    <row r="2169" spans="1:11" ht="16" x14ac:dyDescent="0.2">
      <c r="A2169" s="16">
        <v>45517</v>
      </c>
      <c r="B2169" t="s">
        <v>29</v>
      </c>
      <c r="C2169" t="s">
        <v>34</v>
      </c>
      <c r="D2169" t="s">
        <v>20</v>
      </c>
      <c r="E2169" t="s">
        <v>7644</v>
      </c>
      <c r="F2169">
        <v>1</v>
      </c>
      <c r="G2169" s="15">
        <v>2710000</v>
      </c>
      <c r="H2169" s="14">
        <v>0.13075929750140999</v>
      </c>
      <c r="I2169" s="27">
        <f t="shared" si="33"/>
        <v>2355642.3037711792</v>
      </c>
      <c r="J2169">
        <v>4.5999999999999996</v>
      </c>
      <c r="K2169" t="b">
        <v>1</v>
      </c>
    </row>
    <row r="2170" spans="1:11" ht="16" x14ac:dyDescent="0.2">
      <c r="A2170" s="16">
        <v>45517</v>
      </c>
      <c r="B2170" t="s">
        <v>33</v>
      </c>
      <c r="C2170" t="s">
        <v>19</v>
      </c>
      <c r="D2170" t="s">
        <v>20</v>
      </c>
      <c r="E2170" t="s">
        <v>7640</v>
      </c>
      <c r="F2170">
        <v>3</v>
      </c>
      <c r="G2170" s="15">
        <v>2710000</v>
      </c>
      <c r="H2170" s="14">
        <v>0.13075929750140999</v>
      </c>
      <c r="I2170" s="27">
        <f t="shared" si="33"/>
        <v>2355642.3037711792</v>
      </c>
      <c r="J2170">
        <v>4.0999999999999996</v>
      </c>
      <c r="K2170" t="b">
        <v>1</v>
      </c>
    </row>
    <row r="2171" spans="1:11" ht="16" x14ac:dyDescent="0.2">
      <c r="A2171" s="16">
        <v>45517</v>
      </c>
      <c r="B2171" t="s">
        <v>33</v>
      </c>
      <c r="C2171" t="s">
        <v>68</v>
      </c>
      <c r="D2171" t="s">
        <v>46</v>
      </c>
      <c r="E2171" t="s">
        <v>7640</v>
      </c>
      <c r="F2171">
        <v>2</v>
      </c>
      <c r="G2171" s="15">
        <v>2710000</v>
      </c>
      <c r="H2171" s="14">
        <v>0.13075929750140999</v>
      </c>
      <c r="I2171" s="27">
        <f t="shared" si="33"/>
        <v>2355642.3037711792</v>
      </c>
      <c r="J2171">
        <v>4.0999999999999996</v>
      </c>
      <c r="K2171" t="b">
        <v>1</v>
      </c>
    </row>
    <row r="2172" spans="1:11" ht="16" x14ac:dyDescent="0.2">
      <c r="A2172" s="16">
        <v>45517</v>
      </c>
      <c r="B2172" t="s">
        <v>29</v>
      </c>
      <c r="C2172" t="s">
        <v>68</v>
      </c>
      <c r="D2172" t="s">
        <v>35</v>
      </c>
      <c r="E2172" t="s">
        <v>7638</v>
      </c>
      <c r="F2172">
        <v>1</v>
      </c>
      <c r="G2172" s="15">
        <v>2710000</v>
      </c>
      <c r="H2172" s="14">
        <v>0.13075929750140999</v>
      </c>
      <c r="I2172" s="27">
        <f t="shared" si="33"/>
        <v>2355642.3037711792</v>
      </c>
      <c r="J2172">
        <v>3.8</v>
      </c>
      <c r="K2172" t="b">
        <v>0</v>
      </c>
    </row>
    <row r="2173" spans="1:11" ht="16" x14ac:dyDescent="0.2">
      <c r="A2173" s="16">
        <v>45518</v>
      </c>
      <c r="B2173" t="s">
        <v>18</v>
      </c>
      <c r="C2173" t="s">
        <v>25</v>
      </c>
      <c r="D2173" t="s">
        <v>20</v>
      </c>
      <c r="E2173" t="str">
        <f>E2172</f>
        <v>Đà Lạt</v>
      </c>
      <c r="F2173">
        <v>2</v>
      </c>
      <c r="G2173" s="15">
        <v>2710000</v>
      </c>
      <c r="H2173" s="14">
        <v>0.13075929750140999</v>
      </c>
      <c r="I2173" s="27">
        <f t="shared" si="33"/>
        <v>2355642.3037711792</v>
      </c>
      <c r="J2173">
        <v>4.3</v>
      </c>
      <c r="K2173" t="b">
        <v>1</v>
      </c>
    </row>
    <row r="2174" spans="1:11" ht="16" x14ac:dyDescent="0.2">
      <c r="A2174" s="16">
        <v>45519</v>
      </c>
      <c r="B2174" t="s">
        <v>18</v>
      </c>
      <c r="C2174" t="s">
        <v>39</v>
      </c>
      <c r="D2174" t="s">
        <v>50</v>
      </c>
      <c r="E2174" t="s">
        <v>7637</v>
      </c>
      <c r="F2174">
        <v>1</v>
      </c>
      <c r="G2174" s="15">
        <v>2710000</v>
      </c>
      <c r="H2174" s="14">
        <v>0.13075929750140999</v>
      </c>
      <c r="I2174" s="27">
        <f t="shared" si="33"/>
        <v>2355642.3037711792</v>
      </c>
      <c r="J2174">
        <v>4</v>
      </c>
      <c r="K2174" t="b">
        <v>0</v>
      </c>
    </row>
    <row r="2175" spans="1:11" ht="16" x14ac:dyDescent="0.2">
      <c r="A2175" s="16">
        <v>45519</v>
      </c>
      <c r="B2175" t="s">
        <v>33</v>
      </c>
      <c r="C2175" t="s">
        <v>34</v>
      </c>
      <c r="D2175" t="s">
        <v>50</v>
      </c>
      <c r="E2175" t="s">
        <v>7637</v>
      </c>
      <c r="F2175">
        <v>3</v>
      </c>
      <c r="G2175" s="15">
        <v>2710000</v>
      </c>
      <c r="H2175" s="14">
        <v>0.13075929750140999</v>
      </c>
      <c r="I2175" s="27">
        <f t="shared" si="33"/>
        <v>2355642.3037711792</v>
      </c>
      <c r="J2175">
        <v>4.0999999999999996</v>
      </c>
      <c r="K2175" t="b">
        <v>1</v>
      </c>
    </row>
    <row r="2176" spans="1:11" ht="16" x14ac:dyDescent="0.2">
      <c r="A2176" s="16">
        <v>45519</v>
      </c>
      <c r="B2176" t="s">
        <v>29</v>
      </c>
      <c r="C2176" t="s">
        <v>34</v>
      </c>
      <c r="D2176" t="s">
        <v>50</v>
      </c>
      <c r="E2176" t="s">
        <v>7638</v>
      </c>
      <c r="F2176">
        <v>1</v>
      </c>
      <c r="G2176" s="15">
        <v>2710000</v>
      </c>
      <c r="H2176" s="14">
        <v>0.13075929750140999</v>
      </c>
      <c r="I2176" s="27">
        <f t="shared" si="33"/>
        <v>2355642.3037711792</v>
      </c>
      <c r="J2176">
        <v>4.0999999999999996</v>
      </c>
      <c r="K2176" t="b">
        <v>0</v>
      </c>
    </row>
    <row r="2177" spans="1:11" ht="16" x14ac:dyDescent="0.2">
      <c r="A2177" s="16">
        <v>45519</v>
      </c>
      <c r="B2177" t="s">
        <v>29</v>
      </c>
      <c r="C2177" t="s">
        <v>45</v>
      </c>
      <c r="D2177" t="s">
        <v>35</v>
      </c>
      <c r="E2177" t="s">
        <v>7638</v>
      </c>
      <c r="F2177">
        <v>1</v>
      </c>
      <c r="G2177" s="15">
        <v>2710000</v>
      </c>
      <c r="H2177" s="14">
        <v>0.13075929750140999</v>
      </c>
      <c r="I2177" s="27">
        <f t="shared" si="33"/>
        <v>2355642.3037711792</v>
      </c>
      <c r="J2177">
        <v>4.9000000000000004</v>
      </c>
      <c r="K2177" t="b">
        <v>1</v>
      </c>
    </row>
    <row r="2178" spans="1:11" ht="16" x14ac:dyDescent="0.2">
      <c r="A2178" s="16">
        <v>45519</v>
      </c>
      <c r="B2178" t="s">
        <v>33</v>
      </c>
      <c r="C2178" t="s">
        <v>19</v>
      </c>
      <c r="D2178" t="s">
        <v>20</v>
      </c>
      <c r="E2178" t="s">
        <v>7637</v>
      </c>
      <c r="F2178">
        <v>4</v>
      </c>
      <c r="G2178" s="15">
        <v>2710000</v>
      </c>
      <c r="H2178" s="14">
        <v>0.13075929750140999</v>
      </c>
      <c r="I2178" s="27">
        <f t="shared" si="33"/>
        <v>2355642.3037711792</v>
      </c>
      <c r="J2178">
        <v>4.0999999999999996</v>
      </c>
      <c r="K2178" t="b">
        <v>0</v>
      </c>
    </row>
    <row r="2179" spans="1:11" ht="16" x14ac:dyDescent="0.2">
      <c r="A2179" s="16">
        <v>45520</v>
      </c>
      <c r="B2179" t="s">
        <v>29</v>
      </c>
      <c r="C2179" t="s">
        <v>19</v>
      </c>
      <c r="D2179" t="s">
        <v>20</v>
      </c>
      <c r="E2179" t="s">
        <v>99</v>
      </c>
      <c r="F2179">
        <v>4</v>
      </c>
      <c r="G2179" s="15">
        <v>2710000</v>
      </c>
      <c r="H2179" s="14">
        <v>0.13075929750140999</v>
      </c>
      <c r="I2179" s="27">
        <f t="shared" ref="I2179:I2242" si="34">G2179-G2179*H2179</f>
        <v>2355642.3037711792</v>
      </c>
      <c r="J2179">
        <v>4.2</v>
      </c>
      <c r="K2179" t="b">
        <v>1</v>
      </c>
    </row>
    <row r="2180" spans="1:11" ht="16" x14ac:dyDescent="0.2">
      <c r="A2180" s="16">
        <v>45520</v>
      </c>
      <c r="B2180" t="str">
        <f>B2179</f>
        <v>Corporate</v>
      </c>
      <c r="C2180" t="s">
        <v>34</v>
      </c>
      <c r="D2180" t="s">
        <v>35</v>
      </c>
      <c r="E2180" t="s">
        <v>7640</v>
      </c>
      <c r="F2180">
        <v>4</v>
      </c>
      <c r="G2180" s="15">
        <v>2710000</v>
      </c>
      <c r="H2180" s="14">
        <v>0.13075929750140999</v>
      </c>
      <c r="I2180" s="27">
        <f t="shared" si="34"/>
        <v>2355642.3037711792</v>
      </c>
      <c r="J2180">
        <v>3.7</v>
      </c>
      <c r="K2180" t="b">
        <v>1</v>
      </c>
    </row>
    <row r="2181" spans="1:11" ht="16" x14ac:dyDescent="0.2">
      <c r="A2181" s="16">
        <v>45520</v>
      </c>
      <c r="B2181" t="s">
        <v>18</v>
      </c>
      <c r="C2181" t="s">
        <v>39</v>
      </c>
      <c r="D2181" t="s">
        <v>20</v>
      </c>
      <c r="E2181" t="s">
        <v>7640</v>
      </c>
      <c r="F2181">
        <v>2</v>
      </c>
      <c r="G2181" s="15">
        <v>2710000</v>
      </c>
      <c r="H2181" s="14">
        <v>0.13075929750140999</v>
      </c>
      <c r="I2181" s="27">
        <f t="shared" si="34"/>
        <v>2355642.3037711792</v>
      </c>
      <c r="J2181">
        <v>4.0999999999999996</v>
      </c>
      <c r="K2181" t="b">
        <v>1</v>
      </c>
    </row>
    <row r="2182" spans="1:11" ht="16" x14ac:dyDescent="0.2">
      <c r="A2182" s="16">
        <v>45520</v>
      </c>
      <c r="B2182" t="s">
        <v>29</v>
      </c>
      <c r="C2182" t="s">
        <v>19</v>
      </c>
      <c r="D2182" t="s">
        <v>20</v>
      </c>
      <c r="E2182" t="s">
        <v>99</v>
      </c>
      <c r="F2182">
        <v>3</v>
      </c>
      <c r="G2182" s="15">
        <v>2710000</v>
      </c>
      <c r="H2182" s="14">
        <v>0.13075929750140999</v>
      </c>
      <c r="I2182" s="27">
        <f t="shared" si="34"/>
        <v>2355642.3037711792</v>
      </c>
      <c r="J2182">
        <v>4.2</v>
      </c>
      <c r="K2182" t="b">
        <v>0</v>
      </c>
    </row>
    <row r="2183" spans="1:11" ht="16" x14ac:dyDescent="0.2">
      <c r="A2183" s="16">
        <v>45521</v>
      </c>
      <c r="B2183" t="s">
        <v>29</v>
      </c>
      <c r="C2183" t="s">
        <v>34</v>
      </c>
      <c r="D2183" t="s">
        <v>46</v>
      </c>
      <c r="E2183" t="str">
        <f>E2182</f>
        <v>Sa Pa</v>
      </c>
      <c r="F2183">
        <v>1</v>
      </c>
      <c r="G2183" s="15">
        <v>2710000</v>
      </c>
      <c r="H2183" s="14">
        <v>0.13075929750140999</v>
      </c>
      <c r="I2183" s="27">
        <f t="shared" si="34"/>
        <v>2355642.3037711792</v>
      </c>
      <c r="J2183">
        <v>3.3</v>
      </c>
      <c r="K2183" t="b">
        <v>1</v>
      </c>
    </row>
    <row r="2184" spans="1:11" ht="16" x14ac:dyDescent="0.2">
      <c r="A2184" s="16">
        <v>45521</v>
      </c>
      <c r="B2184" t="s">
        <v>33</v>
      </c>
      <c r="C2184" t="s">
        <v>68</v>
      </c>
      <c r="D2184" t="s">
        <v>20</v>
      </c>
      <c r="E2184" t="s">
        <v>57</v>
      </c>
      <c r="F2184">
        <v>2</v>
      </c>
      <c r="G2184" s="15">
        <v>2710000</v>
      </c>
      <c r="H2184" s="14">
        <v>0.13075929750140999</v>
      </c>
      <c r="I2184" s="27">
        <f t="shared" si="34"/>
        <v>2355642.3037711792</v>
      </c>
      <c r="J2184">
        <v>4.4000000000000004</v>
      </c>
      <c r="K2184" t="b">
        <v>0</v>
      </c>
    </row>
    <row r="2185" spans="1:11" ht="16" x14ac:dyDescent="0.2">
      <c r="A2185" s="16">
        <v>45521</v>
      </c>
      <c r="B2185" t="s">
        <v>45</v>
      </c>
      <c r="C2185" t="s">
        <v>68</v>
      </c>
      <c r="D2185" t="s">
        <v>35</v>
      </c>
      <c r="E2185" t="s">
        <v>7637</v>
      </c>
      <c r="F2185">
        <v>3</v>
      </c>
      <c r="G2185" s="15">
        <v>2710000</v>
      </c>
      <c r="H2185" s="14">
        <v>0.13075929750140999</v>
      </c>
      <c r="I2185" s="27">
        <f t="shared" si="34"/>
        <v>2355642.3037711792</v>
      </c>
      <c r="J2185">
        <v>4.2</v>
      </c>
      <c r="K2185" t="b">
        <v>0</v>
      </c>
    </row>
    <row r="2186" spans="1:11" ht="16" x14ac:dyDescent="0.2">
      <c r="A2186" s="16">
        <v>45522</v>
      </c>
      <c r="B2186" t="s">
        <v>18</v>
      </c>
      <c r="C2186" t="s">
        <v>34</v>
      </c>
      <c r="D2186" t="s">
        <v>20</v>
      </c>
      <c r="E2186" t="s">
        <v>57</v>
      </c>
      <c r="F2186">
        <v>2</v>
      </c>
      <c r="G2186" s="15">
        <v>2710000</v>
      </c>
      <c r="H2186" s="14">
        <v>0.13075929750140999</v>
      </c>
      <c r="I2186" s="27">
        <f t="shared" si="34"/>
        <v>2355642.3037711792</v>
      </c>
      <c r="J2186">
        <v>4</v>
      </c>
      <c r="K2186" t="b">
        <v>0</v>
      </c>
    </row>
    <row r="2187" spans="1:11" ht="16" x14ac:dyDescent="0.2">
      <c r="A2187" s="16">
        <v>45523</v>
      </c>
      <c r="B2187" t="s">
        <v>33</v>
      </c>
      <c r="C2187" t="s">
        <v>68</v>
      </c>
      <c r="D2187" t="s">
        <v>50</v>
      </c>
      <c r="E2187" t="s">
        <v>7641</v>
      </c>
      <c r="F2187">
        <v>1</v>
      </c>
      <c r="G2187" s="15">
        <v>2710000</v>
      </c>
      <c r="H2187" s="14">
        <v>0.13075929750140999</v>
      </c>
      <c r="I2187" s="27">
        <f t="shared" si="34"/>
        <v>2355642.3037711792</v>
      </c>
      <c r="J2187">
        <v>3.7</v>
      </c>
      <c r="K2187" t="b">
        <v>0</v>
      </c>
    </row>
    <row r="2188" spans="1:11" ht="16" x14ac:dyDescent="0.2">
      <c r="A2188" s="16">
        <v>45524</v>
      </c>
      <c r="B2188" t="s">
        <v>18</v>
      </c>
      <c r="C2188" t="s">
        <v>45</v>
      </c>
      <c r="D2188" t="s">
        <v>20</v>
      </c>
      <c r="E2188" t="s">
        <v>7641</v>
      </c>
      <c r="F2188">
        <v>2</v>
      </c>
      <c r="G2188" s="15">
        <v>2710000</v>
      </c>
      <c r="H2188" s="14">
        <v>0.13075929750140999</v>
      </c>
      <c r="I2188" s="27">
        <f t="shared" si="34"/>
        <v>2355642.3037711792</v>
      </c>
      <c r="J2188">
        <v>4.8</v>
      </c>
      <c r="K2188" t="b">
        <v>0</v>
      </c>
    </row>
    <row r="2189" spans="1:11" ht="16" x14ac:dyDescent="0.2">
      <c r="A2189" s="16">
        <v>45524</v>
      </c>
      <c r="B2189" t="s">
        <v>33</v>
      </c>
      <c r="C2189" t="s">
        <v>34</v>
      </c>
      <c r="D2189" t="s">
        <v>35</v>
      </c>
      <c r="E2189" t="s">
        <v>7641</v>
      </c>
      <c r="F2189">
        <v>1</v>
      </c>
      <c r="G2189" s="15">
        <v>2710000</v>
      </c>
      <c r="H2189" s="14">
        <v>0.13075929750140999</v>
      </c>
      <c r="I2189" s="27">
        <f t="shared" si="34"/>
        <v>2355642.3037711792</v>
      </c>
      <c r="J2189">
        <v>3.8</v>
      </c>
      <c r="K2189" t="b">
        <v>0</v>
      </c>
    </row>
    <row r="2190" spans="1:11" ht="16" x14ac:dyDescent="0.2">
      <c r="A2190" s="16">
        <v>45524</v>
      </c>
      <c r="B2190" t="s">
        <v>29</v>
      </c>
      <c r="C2190" t="s">
        <v>25</v>
      </c>
      <c r="D2190" t="s">
        <v>20</v>
      </c>
      <c r="E2190" t="s">
        <v>57</v>
      </c>
      <c r="F2190">
        <v>1</v>
      </c>
      <c r="G2190" s="15">
        <v>2710000</v>
      </c>
      <c r="H2190" s="14">
        <v>0.13075929750140999</v>
      </c>
      <c r="I2190" s="27">
        <f t="shared" si="34"/>
        <v>2355642.3037711792</v>
      </c>
      <c r="J2190">
        <v>4</v>
      </c>
      <c r="K2190" t="b">
        <v>0</v>
      </c>
    </row>
    <row r="2191" spans="1:11" ht="16" x14ac:dyDescent="0.2">
      <c r="A2191" s="16">
        <v>45524</v>
      </c>
      <c r="B2191" t="s">
        <v>18</v>
      </c>
      <c r="C2191" t="s">
        <v>39</v>
      </c>
      <c r="D2191" t="s">
        <v>35</v>
      </c>
      <c r="E2191" t="s">
        <v>7638</v>
      </c>
      <c r="F2191">
        <v>1</v>
      </c>
      <c r="G2191" s="15">
        <v>2710000</v>
      </c>
      <c r="H2191" s="14">
        <v>0.13075929750140999</v>
      </c>
      <c r="I2191" s="27">
        <f t="shared" si="34"/>
        <v>2355642.3037711792</v>
      </c>
      <c r="J2191">
        <v>3.7</v>
      </c>
      <c r="K2191" t="b">
        <v>0</v>
      </c>
    </row>
    <row r="2192" spans="1:11" ht="16" x14ac:dyDescent="0.2">
      <c r="A2192" s="16">
        <v>45525</v>
      </c>
      <c r="B2192" t="s">
        <v>45</v>
      </c>
      <c r="C2192" t="s">
        <v>25</v>
      </c>
      <c r="D2192" t="s">
        <v>35</v>
      </c>
      <c r="E2192" t="s">
        <v>7641</v>
      </c>
      <c r="F2192">
        <v>2</v>
      </c>
      <c r="G2192" s="15">
        <v>2710000</v>
      </c>
      <c r="H2192" s="14">
        <v>0.13075929750140999</v>
      </c>
      <c r="I2192" s="27">
        <f t="shared" si="34"/>
        <v>2355642.3037711792</v>
      </c>
      <c r="J2192">
        <v>3.7</v>
      </c>
      <c r="K2192" t="b">
        <v>1</v>
      </c>
    </row>
    <row r="2193" spans="1:11" ht="16" x14ac:dyDescent="0.2">
      <c r="A2193" s="16">
        <v>45526</v>
      </c>
      <c r="B2193" t="s">
        <v>18</v>
      </c>
      <c r="C2193" t="s">
        <v>68</v>
      </c>
      <c r="D2193" t="s">
        <v>20</v>
      </c>
      <c r="E2193" t="s">
        <v>7638</v>
      </c>
      <c r="F2193">
        <v>2</v>
      </c>
      <c r="G2193" s="15">
        <v>2710000</v>
      </c>
      <c r="H2193" s="14">
        <v>0.13075929750140999</v>
      </c>
      <c r="I2193" s="27">
        <f t="shared" si="34"/>
        <v>2355642.3037711792</v>
      </c>
      <c r="J2193">
        <v>3.9</v>
      </c>
      <c r="K2193" t="b">
        <v>0</v>
      </c>
    </row>
    <row r="2194" spans="1:11" ht="16" x14ac:dyDescent="0.2">
      <c r="A2194" s="16">
        <v>45526</v>
      </c>
      <c r="B2194" t="s">
        <v>18</v>
      </c>
      <c r="C2194" t="s">
        <v>68</v>
      </c>
      <c r="D2194" t="s">
        <v>20</v>
      </c>
      <c r="E2194" t="s">
        <v>57</v>
      </c>
      <c r="F2194">
        <v>2</v>
      </c>
      <c r="G2194" s="15">
        <v>2710000</v>
      </c>
      <c r="H2194" s="14">
        <v>0.13075929750140999</v>
      </c>
      <c r="I2194" s="27">
        <f t="shared" si="34"/>
        <v>2355642.3037711792</v>
      </c>
      <c r="J2194">
        <v>4.3</v>
      </c>
      <c r="K2194" t="b">
        <v>1</v>
      </c>
    </row>
    <row r="2195" spans="1:11" ht="16" x14ac:dyDescent="0.2">
      <c r="A2195" s="16">
        <v>45526</v>
      </c>
      <c r="B2195" t="s">
        <v>18</v>
      </c>
      <c r="C2195" t="s">
        <v>19</v>
      </c>
      <c r="D2195" t="str">
        <f>D2194</f>
        <v>Website</v>
      </c>
      <c r="E2195" t="s">
        <v>7638</v>
      </c>
      <c r="F2195">
        <v>2</v>
      </c>
      <c r="G2195" s="15">
        <v>2710000</v>
      </c>
      <c r="H2195" s="14">
        <v>0.13075929750140999</v>
      </c>
      <c r="I2195" s="27">
        <f t="shared" si="34"/>
        <v>2355642.3037711792</v>
      </c>
      <c r="J2195">
        <v>4.7</v>
      </c>
      <c r="K2195" t="b">
        <v>1</v>
      </c>
    </row>
    <row r="2196" spans="1:11" ht="16" x14ac:dyDescent="0.2">
      <c r="A2196" s="16">
        <v>45526</v>
      </c>
      <c r="B2196" t="s">
        <v>45</v>
      </c>
      <c r="C2196" t="s">
        <v>25</v>
      </c>
      <c r="D2196" t="s">
        <v>20</v>
      </c>
      <c r="E2196" t="s">
        <v>7640</v>
      </c>
      <c r="F2196">
        <v>2</v>
      </c>
      <c r="G2196" s="15">
        <v>2710000</v>
      </c>
      <c r="H2196" s="14">
        <v>0.13075929750140999</v>
      </c>
      <c r="I2196" s="27">
        <f t="shared" si="34"/>
        <v>2355642.3037711792</v>
      </c>
      <c r="J2196">
        <v>4.3</v>
      </c>
      <c r="K2196" t="b">
        <v>1</v>
      </c>
    </row>
    <row r="2197" spans="1:11" ht="16" x14ac:dyDescent="0.2">
      <c r="A2197" s="16">
        <v>45526</v>
      </c>
      <c r="B2197" t="s">
        <v>29</v>
      </c>
      <c r="C2197" t="s">
        <v>19</v>
      </c>
      <c r="D2197" t="s">
        <v>20</v>
      </c>
      <c r="E2197" t="s">
        <v>7640</v>
      </c>
      <c r="F2197">
        <v>1</v>
      </c>
      <c r="G2197" s="15">
        <v>2710000</v>
      </c>
      <c r="H2197" s="14">
        <v>0.13075929750140999</v>
      </c>
      <c r="I2197" s="27">
        <f t="shared" si="34"/>
        <v>2355642.3037711792</v>
      </c>
      <c r="J2197">
        <v>3.9</v>
      </c>
      <c r="K2197" t="b">
        <v>0</v>
      </c>
    </row>
    <row r="2198" spans="1:11" ht="16" x14ac:dyDescent="0.2">
      <c r="A2198" s="16">
        <v>45527</v>
      </c>
      <c r="B2198" t="s">
        <v>45</v>
      </c>
      <c r="C2198" t="s">
        <v>45</v>
      </c>
      <c r="D2198" t="s">
        <v>50</v>
      </c>
      <c r="E2198" t="s">
        <v>7642</v>
      </c>
      <c r="F2198">
        <v>3</v>
      </c>
      <c r="G2198" s="15">
        <v>2710000</v>
      </c>
      <c r="H2198" s="14">
        <v>0.13075929750140999</v>
      </c>
      <c r="I2198" s="27">
        <f t="shared" si="34"/>
        <v>2355642.3037711792</v>
      </c>
      <c r="J2198">
        <v>3.6</v>
      </c>
      <c r="K2198" t="b">
        <v>0</v>
      </c>
    </row>
    <row r="2199" spans="1:11" ht="16" x14ac:dyDescent="0.2">
      <c r="A2199" s="16">
        <v>45527</v>
      </c>
      <c r="B2199" t="s">
        <v>45</v>
      </c>
      <c r="C2199" t="s">
        <v>45</v>
      </c>
      <c r="D2199" t="s">
        <v>20</v>
      </c>
      <c r="E2199" t="s">
        <v>7642</v>
      </c>
      <c r="F2199">
        <v>5</v>
      </c>
      <c r="G2199" s="15">
        <v>2710000</v>
      </c>
      <c r="H2199" s="14">
        <v>0.13075929750140999</v>
      </c>
      <c r="I2199" s="27">
        <f t="shared" si="34"/>
        <v>2355642.3037711792</v>
      </c>
      <c r="J2199">
        <v>5</v>
      </c>
      <c r="K2199" t="b">
        <v>1</v>
      </c>
    </row>
    <row r="2200" spans="1:11" ht="16" x14ac:dyDescent="0.2">
      <c r="A2200" s="16">
        <v>45527</v>
      </c>
      <c r="B2200" t="s">
        <v>45</v>
      </c>
      <c r="C2200" t="s">
        <v>34</v>
      </c>
      <c r="D2200" t="s">
        <v>20</v>
      </c>
      <c r="E2200" t="s">
        <v>57</v>
      </c>
      <c r="F2200">
        <v>2</v>
      </c>
      <c r="G2200" s="15">
        <v>2710000</v>
      </c>
      <c r="H2200" s="14">
        <v>0.13075929750140999</v>
      </c>
      <c r="I2200" s="27">
        <f t="shared" si="34"/>
        <v>2355642.3037711792</v>
      </c>
      <c r="J2200">
        <v>3.7</v>
      </c>
      <c r="K2200" t="b">
        <v>1</v>
      </c>
    </row>
    <row r="2201" spans="1:11" ht="16" x14ac:dyDescent="0.2">
      <c r="A2201" s="16">
        <v>45527</v>
      </c>
      <c r="B2201" t="s">
        <v>33</v>
      </c>
      <c r="C2201" t="s">
        <v>39</v>
      </c>
      <c r="D2201" t="s">
        <v>20</v>
      </c>
      <c r="E2201" t="s">
        <v>7638</v>
      </c>
      <c r="F2201">
        <v>1</v>
      </c>
      <c r="G2201" s="15">
        <v>2710000</v>
      </c>
      <c r="H2201" s="14">
        <v>0.13075929750140999</v>
      </c>
      <c r="I2201" s="27">
        <f t="shared" si="34"/>
        <v>2355642.3037711792</v>
      </c>
      <c r="J2201">
        <v>3.4</v>
      </c>
      <c r="K2201" t="b">
        <v>1</v>
      </c>
    </row>
    <row r="2202" spans="1:11" ht="16" x14ac:dyDescent="0.2">
      <c r="A2202" s="16">
        <v>45528</v>
      </c>
      <c r="B2202" t="s">
        <v>18</v>
      </c>
      <c r="C2202" t="s">
        <v>34</v>
      </c>
      <c r="D2202" t="s">
        <v>35</v>
      </c>
      <c r="E2202" t="s">
        <v>7643</v>
      </c>
      <c r="F2202">
        <v>1</v>
      </c>
      <c r="G2202" s="15">
        <v>2710000</v>
      </c>
      <c r="H2202" s="14">
        <v>0.13075929750140999</v>
      </c>
      <c r="I2202" s="27">
        <f t="shared" si="34"/>
        <v>2355642.3037711792</v>
      </c>
      <c r="J2202">
        <v>4.0999999999999996</v>
      </c>
      <c r="K2202" t="b">
        <v>0</v>
      </c>
    </row>
    <row r="2203" spans="1:11" ht="16" x14ac:dyDescent="0.2">
      <c r="A2203" s="16">
        <v>45528</v>
      </c>
      <c r="B2203" t="s">
        <v>33</v>
      </c>
      <c r="C2203" t="s">
        <v>39</v>
      </c>
      <c r="D2203" t="s">
        <v>20</v>
      </c>
      <c r="E2203" t="s">
        <v>99</v>
      </c>
      <c r="F2203">
        <v>1</v>
      </c>
      <c r="G2203" s="15">
        <v>2710000</v>
      </c>
      <c r="H2203" s="14">
        <v>0.13075929750140999</v>
      </c>
      <c r="I2203" s="27">
        <f t="shared" si="34"/>
        <v>2355642.3037711792</v>
      </c>
      <c r="J2203">
        <v>4.3</v>
      </c>
      <c r="K2203" t="b">
        <v>1</v>
      </c>
    </row>
    <row r="2204" spans="1:11" ht="16" x14ac:dyDescent="0.2">
      <c r="A2204" s="16">
        <v>45528</v>
      </c>
      <c r="B2204" t="s">
        <v>45</v>
      </c>
      <c r="C2204" t="s">
        <v>34</v>
      </c>
      <c r="D2204" t="str">
        <f>D2203</f>
        <v>Website</v>
      </c>
      <c r="E2204" t="s">
        <v>57</v>
      </c>
      <c r="F2204">
        <v>1</v>
      </c>
      <c r="G2204" s="15">
        <v>2710000</v>
      </c>
      <c r="H2204" s="14">
        <v>0.13075929750140999</v>
      </c>
      <c r="I2204" s="27">
        <f t="shared" si="34"/>
        <v>2355642.3037711792</v>
      </c>
      <c r="J2204">
        <v>4</v>
      </c>
      <c r="K2204" t="b">
        <v>0</v>
      </c>
    </row>
    <row r="2205" spans="1:11" ht="16" x14ac:dyDescent="0.2">
      <c r="A2205" s="16">
        <v>45528</v>
      </c>
      <c r="B2205" t="s">
        <v>45</v>
      </c>
      <c r="C2205" t="s">
        <v>34</v>
      </c>
      <c r="D2205" t="s">
        <v>20</v>
      </c>
      <c r="E2205" t="s">
        <v>7641</v>
      </c>
      <c r="F2205">
        <v>2</v>
      </c>
      <c r="G2205" s="15">
        <v>2710000</v>
      </c>
      <c r="H2205" s="14">
        <v>0.13075929750140999</v>
      </c>
      <c r="I2205" s="27">
        <f t="shared" si="34"/>
        <v>2355642.3037711792</v>
      </c>
      <c r="J2205">
        <v>3.8</v>
      </c>
      <c r="K2205" t="b">
        <v>0</v>
      </c>
    </row>
    <row r="2206" spans="1:11" ht="16" x14ac:dyDescent="0.2">
      <c r="A2206" s="16">
        <v>45528</v>
      </c>
      <c r="B2206" t="s">
        <v>45</v>
      </c>
      <c r="C2206" t="s">
        <v>39</v>
      </c>
      <c r="D2206" t="s">
        <v>35</v>
      </c>
      <c r="E2206" t="s">
        <v>7642</v>
      </c>
      <c r="F2206">
        <v>4</v>
      </c>
      <c r="G2206" s="15">
        <v>2710000</v>
      </c>
      <c r="H2206" s="14">
        <v>0.13075929750140999</v>
      </c>
      <c r="I2206" s="27">
        <f t="shared" si="34"/>
        <v>2355642.3037711792</v>
      </c>
      <c r="J2206">
        <v>4.5</v>
      </c>
      <c r="K2206" t="b">
        <v>1</v>
      </c>
    </row>
    <row r="2207" spans="1:11" ht="16" x14ac:dyDescent="0.2">
      <c r="A2207" s="16">
        <v>45528</v>
      </c>
      <c r="B2207" t="s">
        <v>18</v>
      </c>
      <c r="C2207" t="s">
        <v>45</v>
      </c>
      <c r="D2207" t="s">
        <v>20</v>
      </c>
      <c r="E2207" t="str">
        <f>E2206</f>
        <v>Huế</v>
      </c>
      <c r="F2207">
        <v>4</v>
      </c>
      <c r="G2207" s="15">
        <v>2710000</v>
      </c>
      <c r="H2207" s="14">
        <v>0.13075929750140999</v>
      </c>
      <c r="I2207" s="27">
        <f t="shared" si="34"/>
        <v>2355642.3037711792</v>
      </c>
      <c r="J2207">
        <v>4</v>
      </c>
      <c r="K2207" t="b">
        <v>1</v>
      </c>
    </row>
    <row r="2208" spans="1:11" ht="16" x14ac:dyDescent="0.2">
      <c r="A2208" s="16">
        <v>45529</v>
      </c>
      <c r="B2208" t="s">
        <v>45</v>
      </c>
      <c r="C2208" t="s">
        <v>19</v>
      </c>
      <c r="D2208" t="s">
        <v>35</v>
      </c>
      <c r="E2208" t="s">
        <v>99</v>
      </c>
      <c r="F2208">
        <v>1</v>
      </c>
      <c r="G2208" s="15">
        <v>2710000</v>
      </c>
      <c r="H2208" s="14">
        <v>0.13075929750140999</v>
      </c>
      <c r="I2208" s="27">
        <f t="shared" si="34"/>
        <v>2355642.3037711792</v>
      </c>
      <c r="J2208">
        <v>4.2</v>
      </c>
      <c r="K2208" t="b">
        <v>0</v>
      </c>
    </row>
    <row r="2209" spans="1:11" ht="16" x14ac:dyDescent="0.2">
      <c r="A2209" s="16">
        <v>45529</v>
      </c>
      <c r="B2209" t="s">
        <v>18</v>
      </c>
      <c r="C2209" t="s">
        <v>45</v>
      </c>
      <c r="D2209" t="s">
        <v>50</v>
      </c>
      <c r="E2209" t="s">
        <v>7642</v>
      </c>
      <c r="F2209">
        <v>5</v>
      </c>
      <c r="G2209" s="15">
        <v>2710000</v>
      </c>
      <c r="H2209" s="14">
        <v>0.13075929750140999</v>
      </c>
      <c r="I2209" s="27">
        <f t="shared" si="34"/>
        <v>2355642.3037711792</v>
      </c>
      <c r="J2209">
        <v>4.2</v>
      </c>
      <c r="K2209" t="b">
        <v>0</v>
      </c>
    </row>
    <row r="2210" spans="1:11" ht="16" x14ac:dyDescent="0.2">
      <c r="A2210" s="16">
        <v>45529</v>
      </c>
      <c r="B2210" t="s">
        <v>33</v>
      </c>
      <c r="C2210" t="s">
        <v>45</v>
      </c>
      <c r="D2210" t="s">
        <v>20</v>
      </c>
      <c r="E2210" t="s">
        <v>7643</v>
      </c>
      <c r="F2210">
        <v>4</v>
      </c>
      <c r="G2210" s="15">
        <v>2710000</v>
      </c>
      <c r="H2210" s="14">
        <v>0.13075929750140999</v>
      </c>
      <c r="I2210" s="27">
        <f t="shared" si="34"/>
        <v>2355642.3037711792</v>
      </c>
      <c r="J2210">
        <v>4.0999999999999996</v>
      </c>
      <c r="K2210" t="b">
        <v>0</v>
      </c>
    </row>
    <row r="2211" spans="1:11" ht="16" x14ac:dyDescent="0.2">
      <c r="A2211" s="16">
        <v>45529</v>
      </c>
      <c r="B2211" t="s">
        <v>18</v>
      </c>
      <c r="C2211" t="s">
        <v>45</v>
      </c>
      <c r="D2211" t="s">
        <v>35</v>
      </c>
      <c r="E2211" t="s">
        <v>7641</v>
      </c>
      <c r="F2211">
        <v>4</v>
      </c>
      <c r="G2211" s="15">
        <v>2710000</v>
      </c>
      <c r="H2211" s="14">
        <v>0.13075929750140999</v>
      </c>
      <c r="I2211" s="27">
        <f t="shared" si="34"/>
        <v>2355642.3037711792</v>
      </c>
      <c r="J2211">
        <v>5</v>
      </c>
      <c r="K2211" t="b">
        <v>0</v>
      </c>
    </row>
    <row r="2212" spans="1:11" ht="16" x14ac:dyDescent="0.2">
      <c r="A2212" s="16">
        <v>45529</v>
      </c>
      <c r="B2212" t="s">
        <v>45</v>
      </c>
      <c r="C2212" t="s">
        <v>34</v>
      </c>
      <c r="D2212" t="s">
        <v>50</v>
      </c>
      <c r="E2212" t="s">
        <v>7641</v>
      </c>
      <c r="F2212">
        <v>3</v>
      </c>
      <c r="G2212" s="15">
        <v>2710000</v>
      </c>
      <c r="H2212" s="14">
        <v>0.13075929750140999</v>
      </c>
      <c r="I2212" s="27">
        <f t="shared" si="34"/>
        <v>2355642.3037711792</v>
      </c>
      <c r="J2212">
        <v>4</v>
      </c>
      <c r="K2212" t="b">
        <v>0</v>
      </c>
    </row>
    <row r="2213" spans="1:11" ht="16" x14ac:dyDescent="0.2">
      <c r="A2213" s="16">
        <v>45530</v>
      </c>
      <c r="B2213" t="s">
        <v>45</v>
      </c>
      <c r="C2213" t="s">
        <v>34</v>
      </c>
      <c r="D2213" t="s">
        <v>20</v>
      </c>
      <c r="E2213" t="str">
        <f>E2212</f>
        <v>Phú Quốc</v>
      </c>
      <c r="F2213">
        <v>3</v>
      </c>
      <c r="G2213" s="15">
        <v>2710000</v>
      </c>
      <c r="H2213" s="14">
        <v>0.13075929750140999</v>
      </c>
      <c r="I2213" s="27">
        <f t="shared" si="34"/>
        <v>2355642.3037711792</v>
      </c>
      <c r="J2213">
        <v>4.5999999999999996</v>
      </c>
      <c r="K2213" t="b">
        <v>0</v>
      </c>
    </row>
    <row r="2214" spans="1:11" ht="16" x14ac:dyDescent="0.2">
      <c r="A2214" s="16">
        <v>45530</v>
      </c>
      <c r="B2214" t="s">
        <v>29</v>
      </c>
      <c r="C2214" t="s">
        <v>34</v>
      </c>
      <c r="D2214" t="s">
        <v>20</v>
      </c>
      <c r="E2214" t="str">
        <f>E2213</f>
        <v>Phú Quốc</v>
      </c>
      <c r="F2214">
        <v>1</v>
      </c>
      <c r="G2214" s="15">
        <v>2710000</v>
      </c>
      <c r="H2214" s="14">
        <v>0.13075929750140999</v>
      </c>
      <c r="I2214" s="27">
        <f t="shared" si="34"/>
        <v>2355642.3037711792</v>
      </c>
      <c r="J2214">
        <v>4.3</v>
      </c>
      <c r="K2214" t="b">
        <v>1</v>
      </c>
    </row>
    <row r="2215" spans="1:11" ht="16" x14ac:dyDescent="0.2">
      <c r="A2215" s="16">
        <v>45530</v>
      </c>
      <c r="B2215" t="s">
        <v>45</v>
      </c>
      <c r="C2215" t="s">
        <v>34</v>
      </c>
      <c r="D2215" t="s">
        <v>20</v>
      </c>
      <c r="E2215" t="s">
        <v>57</v>
      </c>
      <c r="F2215">
        <v>3</v>
      </c>
      <c r="G2215" s="15">
        <v>2710000</v>
      </c>
      <c r="H2215" s="14">
        <v>0.13075929750140999</v>
      </c>
      <c r="I2215" s="27">
        <f t="shared" si="34"/>
        <v>2355642.3037711792</v>
      </c>
      <c r="J2215">
        <v>4.2</v>
      </c>
      <c r="K2215" t="b">
        <v>1</v>
      </c>
    </row>
    <row r="2216" spans="1:11" ht="16" x14ac:dyDescent="0.2">
      <c r="A2216" s="16">
        <v>45530</v>
      </c>
      <c r="B2216" t="s">
        <v>45</v>
      </c>
      <c r="C2216" t="s">
        <v>25</v>
      </c>
      <c r="D2216" t="s">
        <v>20</v>
      </c>
      <c r="E2216" t="s">
        <v>7637</v>
      </c>
      <c r="F2216">
        <v>1</v>
      </c>
      <c r="G2216" s="15">
        <v>2710000</v>
      </c>
      <c r="H2216" s="14">
        <v>0.13075929750140999</v>
      </c>
      <c r="I2216" s="27">
        <f t="shared" si="34"/>
        <v>2355642.3037711792</v>
      </c>
      <c r="J2216">
        <v>4.4000000000000004</v>
      </c>
      <c r="K2216" t="b">
        <v>0</v>
      </c>
    </row>
    <row r="2217" spans="1:11" ht="16" x14ac:dyDescent="0.2">
      <c r="A2217" s="16">
        <v>45530</v>
      </c>
      <c r="B2217" t="s">
        <v>29</v>
      </c>
      <c r="C2217" t="s">
        <v>45</v>
      </c>
      <c r="D2217" t="s">
        <v>20</v>
      </c>
      <c r="E2217" t="s">
        <v>7639</v>
      </c>
      <c r="F2217">
        <v>4</v>
      </c>
      <c r="G2217" s="15">
        <v>2710000</v>
      </c>
      <c r="H2217" s="14">
        <v>0.13075929750140999</v>
      </c>
      <c r="I2217" s="27">
        <f t="shared" si="34"/>
        <v>2355642.3037711792</v>
      </c>
      <c r="J2217">
        <v>4</v>
      </c>
      <c r="K2217" t="b">
        <v>1</v>
      </c>
    </row>
    <row r="2218" spans="1:11" ht="16" x14ac:dyDescent="0.2">
      <c r="A2218" s="16">
        <v>45531</v>
      </c>
      <c r="B2218" t="s">
        <v>18</v>
      </c>
      <c r="C2218" t="s">
        <v>45</v>
      </c>
      <c r="D2218" t="str">
        <f>D2217</f>
        <v>Website</v>
      </c>
      <c r="E2218" t="str">
        <f>E2217</f>
        <v>Hà Nội</v>
      </c>
      <c r="F2218">
        <v>3</v>
      </c>
      <c r="G2218" s="15">
        <v>2710000</v>
      </c>
      <c r="H2218" s="14">
        <v>0.13075929750140999</v>
      </c>
      <c r="I2218" s="27">
        <f t="shared" si="34"/>
        <v>2355642.3037711792</v>
      </c>
      <c r="J2218">
        <v>4.3</v>
      </c>
      <c r="K2218" t="b">
        <v>0</v>
      </c>
    </row>
    <row r="2219" spans="1:11" ht="16" x14ac:dyDescent="0.2">
      <c r="A2219" s="16">
        <v>45531</v>
      </c>
      <c r="B2219" t="s">
        <v>18</v>
      </c>
      <c r="C2219" t="s">
        <v>45</v>
      </c>
      <c r="D2219" t="s">
        <v>50</v>
      </c>
      <c r="E2219" t="s">
        <v>7642</v>
      </c>
      <c r="F2219">
        <v>3</v>
      </c>
      <c r="G2219" s="15">
        <v>2710000</v>
      </c>
      <c r="H2219" s="14">
        <v>0.13075929750140999</v>
      </c>
      <c r="I2219" s="27">
        <f t="shared" si="34"/>
        <v>2355642.3037711792</v>
      </c>
      <c r="J2219">
        <v>3.9</v>
      </c>
      <c r="K2219" t="b">
        <v>1</v>
      </c>
    </row>
    <row r="2220" spans="1:11" ht="16" x14ac:dyDescent="0.2">
      <c r="A2220" s="16">
        <v>45531</v>
      </c>
      <c r="B2220" t="s">
        <v>29</v>
      </c>
      <c r="C2220" t="s">
        <v>34</v>
      </c>
      <c r="D2220" t="str">
        <f>D2219</f>
        <v>Agent</v>
      </c>
      <c r="E2220" t="s">
        <v>7641</v>
      </c>
      <c r="F2220">
        <v>3</v>
      </c>
      <c r="G2220" s="15">
        <v>2710000</v>
      </c>
      <c r="H2220" s="14">
        <v>0.13075929750140999</v>
      </c>
      <c r="I2220" s="27">
        <f t="shared" si="34"/>
        <v>2355642.3037711792</v>
      </c>
      <c r="J2220">
        <v>4.8</v>
      </c>
      <c r="K2220" t="b">
        <v>1</v>
      </c>
    </row>
    <row r="2221" spans="1:11" ht="16" x14ac:dyDescent="0.2">
      <c r="A2221" s="16">
        <v>45532</v>
      </c>
      <c r="B2221" t="s">
        <v>29</v>
      </c>
      <c r="C2221" t="s">
        <v>45</v>
      </c>
      <c r="D2221" t="s">
        <v>50</v>
      </c>
      <c r="E2221" t="s">
        <v>7637</v>
      </c>
      <c r="F2221">
        <v>5</v>
      </c>
      <c r="G2221" s="15">
        <v>2710000</v>
      </c>
      <c r="H2221" s="14">
        <v>0.13075929750140999</v>
      </c>
      <c r="I2221" s="27">
        <f t="shared" si="34"/>
        <v>2355642.3037711792</v>
      </c>
      <c r="J2221">
        <v>4.5</v>
      </c>
      <c r="K2221" t="b">
        <v>0</v>
      </c>
    </row>
    <row r="2222" spans="1:11" ht="16" x14ac:dyDescent="0.2">
      <c r="A2222" s="16">
        <v>45532</v>
      </c>
      <c r="B2222" t="s">
        <v>45</v>
      </c>
      <c r="C2222" t="s">
        <v>19</v>
      </c>
      <c r="D2222" t="s">
        <v>35</v>
      </c>
      <c r="E2222" t="s">
        <v>7637</v>
      </c>
      <c r="F2222">
        <v>2</v>
      </c>
      <c r="G2222" s="15">
        <v>2710000</v>
      </c>
      <c r="H2222" s="14">
        <v>0.13075929750140999</v>
      </c>
      <c r="I2222" s="27">
        <f t="shared" si="34"/>
        <v>2355642.3037711792</v>
      </c>
      <c r="J2222">
        <v>4.7</v>
      </c>
      <c r="K2222" t="b">
        <v>1</v>
      </c>
    </row>
    <row r="2223" spans="1:11" ht="16" x14ac:dyDescent="0.2">
      <c r="A2223" s="16">
        <v>45532</v>
      </c>
      <c r="B2223" t="s">
        <v>33</v>
      </c>
      <c r="C2223" t="s">
        <v>45</v>
      </c>
      <c r="D2223" t="s">
        <v>35</v>
      </c>
      <c r="E2223" t="s">
        <v>7638</v>
      </c>
      <c r="F2223">
        <v>2</v>
      </c>
      <c r="G2223" s="15">
        <v>2710000</v>
      </c>
      <c r="H2223" s="14">
        <v>0.13075929750140999</v>
      </c>
      <c r="I2223" s="27">
        <f t="shared" si="34"/>
        <v>2355642.3037711792</v>
      </c>
      <c r="J2223">
        <v>3.7</v>
      </c>
      <c r="K2223" t="b">
        <v>0</v>
      </c>
    </row>
    <row r="2224" spans="1:11" ht="16" x14ac:dyDescent="0.2">
      <c r="A2224" s="16">
        <v>45532</v>
      </c>
      <c r="B2224" t="s">
        <v>45</v>
      </c>
      <c r="C2224" t="s">
        <v>34</v>
      </c>
      <c r="D2224" t="s">
        <v>20</v>
      </c>
      <c r="E2224" t="str">
        <f>E2223</f>
        <v>Đà Lạt</v>
      </c>
      <c r="F2224">
        <v>4</v>
      </c>
      <c r="G2224" s="15">
        <v>2710000</v>
      </c>
      <c r="H2224" s="14">
        <v>0.13075929750140999</v>
      </c>
      <c r="I2224" s="27">
        <f t="shared" si="34"/>
        <v>2355642.3037711792</v>
      </c>
      <c r="J2224">
        <v>4.0999999999999996</v>
      </c>
      <c r="K2224" t="b">
        <v>0</v>
      </c>
    </row>
    <row r="2225" spans="1:11" ht="16" x14ac:dyDescent="0.2">
      <c r="A2225" s="16">
        <v>45533</v>
      </c>
      <c r="B2225" t="s">
        <v>33</v>
      </c>
      <c r="C2225" t="s">
        <v>19</v>
      </c>
      <c r="D2225" t="s">
        <v>20</v>
      </c>
      <c r="E2225" t="s">
        <v>7643</v>
      </c>
      <c r="F2225">
        <v>4</v>
      </c>
      <c r="G2225" s="15">
        <v>2710000</v>
      </c>
      <c r="H2225" s="14">
        <v>0.13075929750140999</v>
      </c>
      <c r="I2225" s="27">
        <f t="shared" si="34"/>
        <v>2355642.3037711792</v>
      </c>
      <c r="J2225">
        <v>4.2</v>
      </c>
      <c r="K2225" t="b">
        <v>0</v>
      </c>
    </row>
    <row r="2226" spans="1:11" ht="16" x14ac:dyDescent="0.2">
      <c r="A2226" s="16">
        <v>45533</v>
      </c>
      <c r="B2226" t="s">
        <v>45</v>
      </c>
      <c r="C2226" t="s">
        <v>39</v>
      </c>
      <c r="D2226" t="s">
        <v>50</v>
      </c>
      <c r="E2226" t="s">
        <v>7639</v>
      </c>
      <c r="F2226">
        <v>1</v>
      </c>
      <c r="G2226" s="15">
        <v>2710000</v>
      </c>
      <c r="H2226" s="14">
        <v>0.13075929750140999</v>
      </c>
      <c r="I2226" s="27">
        <f t="shared" si="34"/>
        <v>2355642.3037711792</v>
      </c>
      <c r="J2226">
        <v>4.9000000000000004</v>
      </c>
      <c r="K2226" t="b">
        <v>0</v>
      </c>
    </row>
    <row r="2227" spans="1:11" ht="16" x14ac:dyDescent="0.2">
      <c r="A2227" s="16">
        <v>45534</v>
      </c>
      <c r="B2227" t="s">
        <v>45</v>
      </c>
      <c r="C2227" t="s">
        <v>45</v>
      </c>
      <c r="D2227" t="s">
        <v>20</v>
      </c>
      <c r="E2227" t="s">
        <v>7639</v>
      </c>
      <c r="F2227">
        <v>3</v>
      </c>
      <c r="G2227" s="15">
        <v>2710000</v>
      </c>
      <c r="H2227" s="14">
        <v>0.13075929750140999</v>
      </c>
      <c r="I2227" s="27">
        <f t="shared" si="34"/>
        <v>2355642.3037711792</v>
      </c>
      <c r="J2227">
        <v>4.5999999999999996</v>
      </c>
      <c r="K2227" t="b">
        <v>0</v>
      </c>
    </row>
    <row r="2228" spans="1:11" ht="16" x14ac:dyDescent="0.2">
      <c r="A2228" s="16">
        <v>45534</v>
      </c>
      <c r="B2228" t="s">
        <v>29</v>
      </c>
      <c r="C2228" t="s">
        <v>39</v>
      </c>
      <c r="D2228" t="s">
        <v>35</v>
      </c>
      <c r="E2228" t="s">
        <v>7644</v>
      </c>
      <c r="F2228">
        <v>3</v>
      </c>
      <c r="G2228" s="15">
        <v>2710000</v>
      </c>
      <c r="H2228" s="14">
        <v>0.13075929750140999</v>
      </c>
      <c r="I2228" s="27">
        <f t="shared" si="34"/>
        <v>2355642.3037711792</v>
      </c>
      <c r="J2228">
        <v>3.8</v>
      </c>
      <c r="K2228" t="b">
        <v>0</v>
      </c>
    </row>
    <row r="2229" spans="1:11" ht="16" x14ac:dyDescent="0.2">
      <c r="A2229" s="16">
        <v>45534</v>
      </c>
      <c r="B2229" t="s">
        <v>33</v>
      </c>
      <c r="C2229" t="s">
        <v>25</v>
      </c>
      <c r="D2229" t="s">
        <v>50</v>
      </c>
      <c r="E2229" t="s">
        <v>7638</v>
      </c>
      <c r="F2229">
        <v>2</v>
      </c>
      <c r="G2229" s="15">
        <v>2710000</v>
      </c>
      <c r="H2229" s="14">
        <v>0.13075929750140999</v>
      </c>
      <c r="I2229" s="27">
        <f t="shared" si="34"/>
        <v>2355642.3037711792</v>
      </c>
      <c r="J2229">
        <v>3.9</v>
      </c>
      <c r="K2229" t="b">
        <v>1</v>
      </c>
    </row>
    <row r="2230" spans="1:11" ht="16" x14ac:dyDescent="0.2">
      <c r="A2230" s="16">
        <v>45534</v>
      </c>
      <c r="B2230" t="s">
        <v>33</v>
      </c>
      <c r="C2230" t="s">
        <v>68</v>
      </c>
      <c r="D2230" t="s">
        <v>50</v>
      </c>
      <c r="E2230" t="s">
        <v>99</v>
      </c>
      <c r="F2230">
        <v>1</v>
      </c>
      <c r="G2230" s="15">
        <v>2710000</v>
      </c>
      <c r="H2230" s="14">
        <v>0.13075929750140999</v>
      </c>
      <c r="I2230" s="27">
        <f t="shared" si="34"/>
        <v>2355642.3037711792</v>
      </c>
      <c r="J2230">
        <v>3.3</v>
      </c>
      <c r="K2230" t="b">
        <v>0</v>
      </c>
    </row>
    <row r="2231" spans="1:11" ht="16" x14ac:dyDescent="0.2">
      <c r="A2231" s="16">
        <v>45534</v>
      </c>
      <c r="B2231" t="s">
        <v>29</v>
      </c>
      <c r="C2231" t="s">
        <v>25</v>
      </c>
      <c r="D2231" t="s">
        <v>35</v>
      </c>
      <c r="E2231" t="s">
        <v>7637</v>
      </c>
      <c r="F2231">
        <v>1</v>
      </c>
      <c r="G2231" s="15">
        <v>2710000</v>
      </c>
      <c r="H2231" s="14">
        <v>0.13075929750140999</v>
      </c>
      <c r="I2231" s="27">
        <f t="shared" si="34"/>
        <v>2355642.3037711792</v>
      </c>
      <c r="J2231">
        <v>4.0999999999999996</v>
      </c>
      <c r="K2231" t="b">
        <v>1</v>
      </c>
    </row>
    <row r="2232" spans="1:11" ht="16" x14ac:dyDescent="0.2">
      <c r="A2232" s="16">
        <v>45535</v>
      </c>
      <c r="B2232" t="s">
        <v>18</v>
      </c>
      <c r="C2232" t="s">
        <v>34</v>
      </c>
      <c r="D2232" t="s">
        <v>20</v>
      </c>
      <c r="E2232" t="s">
        <v>7643</v>
      </c>
      <c r="F2232">
        <v>2</v>
      </c>
      <c r="G2232" s="15">
        <v>2710000</v>
      </c>
      <c r="H2232" s="14">
        <v>0.13075929750140999</v>
      </c>
      <c r="I2232" s="27">
        <f t="shared" si="34"/>
        <v>2355642.3037711792</v>
      </c>
      <c r="J2232">
        <v>4.7</v>
      </c>
      <c r="K2232" t="b">
        <v>1</v>
      </c>
    </row>
    <row r="2233" spans="1:11" ht="16" x14ac:dyDescent="0.2">
      <c r="A2233" s="16">
        <v>45535</v>
      </c>
      <c r="B2233" t="s">
        <v>29</v>
      </c>
      <c r="C2233" t="s">
        <v>34</v>
      </c>
      <c r="D2233" t="s">
        <v>46</v>
      </c>
      <c r="E2233" t="s">
        <v>7639</v>
      </c>
      <c r="F2233">
        <v>2</v>
      </c>
      <c r="G2233" s="15">
        <v>2710000</v>
      </c>
      <c r="H2233" s="14">
        <v>0.13075929750140999</v>
      </c>
      <c r="I2233" s="27">
        <f t="shared" si="34"/>
        <v>2355642.3037711792</v>
      </c>
      <c r="J2233">
        <v>4.2</v>
      </c>
      <c r="K2233" t="b">
        <v>1</v>
      </c>
    </row>
    <row r="2234" spans="1:11" ht="16" x14ac:dyDescent="0.2">
      <c r="A2234" s="16">
        <v>45535</v>
      </c>
      <c r="B2234" t="s">
        <v>45</v>
      </c>
      <c r="C2234" t="s">
        <v>25</v>
      </c>
      <c r="D2234" t="s">
        <v>20</v>
      </c>
      <c r="E2234" t="s">
        <v>7641</v>
      </c>
      <c r="F2234">
        <v>4</v>
      </c>
      <c r="G2234" s="15">
        <v>2710000</v>
      </c>
      <c r="H2234" s="14">
        <v>0.13075929750140999</v>
      </c>
      <c r="I2234" s="27">
        <f t="shared" si="34"/>
        <v>2355642.3037711792</v>
      </c>
      <c r="J2234">
        <v>4.4000000000000004</v>
      </c>
      <c r="K2234" t="b">
        <v>1</v>
      </c>
    </row>
    <row r="2235" spans="1:11" ht="16" x14ac:dyDescent="0.2">
      <c r="A2235" s="16">
        <v>45535</v>
      </c>
      <c r="B2235" t="s">
        <v>29</v>
      </c>
      <c r="C2235" t="s">
        <v>19</v>
      </c>
      <c r="D2235" t="s">
        <v>20</v>
      </c>
      <c r="E2235" t="s">
        <v>57</v>
      </c>
      <c r="F2235">
        <v>4</v>
      </c>
      <c r="G2235" s="15">
        <v>2710000</v>
      </c>
      <c r="H2235" s="14">
        <v>0.13075929750140999</v>
      </c>
      <c r="I2235" s="27">
        <f t="shared" si="34"/>
        <v>2355642.3037711792</v>
      </c>
      <c r="J2235">
        <v>4.2</v>
      </c>
      <c r="K2235" t="b">
        <v>0</v>
      </c>
    </row>
    <row r="2236" spans="1:11" ht="16" x14ac:dyDescent="0.2">
      <c r="A2236" s="16">
        <v>45535</v>
      </c>
      <c r="B2236" t="s">
        <v>18</v>
      </c>
      <c r="C2236" t="s">
        <v>25</v>
      </c>
      <c r="D2236" t="s">
        <v>35</v>
      </c>
      <c r="E2236" t="s">
        <v>99</v>
      </c>
      <c r="F2236">
        <v>2</v>
      </c>
      <c r="G2236" s="15">
        <v>2710000</v>
      </c>
      <c r="H2236" s="14">
        <v>0.13075929750140999</v>
      </c>
      <c r="I2236" s="27">
        <f t="shared" si="34"/>
        <v>2355642.3037711792</v>
      </c>
      <c r="J2236">
        <v>3.6</v>
      </c>
      <c r="K2236" t="b">
        <v>1</v>
      </c>
    </row>
    <row r="2237" spans="1:11" ht="16" x14ac:dyDescent="0.2">
      <c r="A2237" s="16">
        <v>45535</v>
      </c>
      <c r="B2237" t="s">
        <v>45</v>
      </c>
      <c r="C2237" t="s">
        <v>34</v>
      </c>
      <c r="D2237" t="s">
        <v>50</v>
      </c>
      <c r="E2237" t="s">
        <v>57</v>
      </c>
      <c r="F2237">
        <v>2</v>
      </c>
      <c r="G2237" s="15">
        <v>2710000</v>
      </c>
      <c r="H2237" s="14">
        <v>0.13075929750140999</v>
      </c>
      <c r="I2237" s="27">
        <f t="shared" si="34"/>
        <v>2355642.3037711792</v>
      </c>
      <c r="J2237">
        <v>4</v>
      </c>
      <c r="K2237" t="b">
        <v>1</v>
      </c>
    </row>
    <row r="2238" spans="1:11" ht="16" x14ac:dyDescent="0.2">
      <c r="A2238" s="16">
        <v>45535</v>
      </c>
      <c r="B2238" t="s">
        <v>33</v>
      </c>
      <c r="C2238" t="s">
        <v>45</v>
      </c>
      <c r="D2238" t="s">
        <v>20</v>
      </c>
      <c r="E2238" t="s">
        <v>7643</v>
      </c>
      <c r="F2238">
        <v>2</v>
      </c>
      <c r="G2238" s="15">
        <v>2710000</v>
      </c>
      <c r="H2238" s="14">
        <v>0.13075929750140999</v>
      </c>
      <c r="I2238" s="27">
        <f t="shared" si="34"/>
        <v>2355642.3037711792</v>
      </c>
      <c r="J2238">
        <v>4.0999999999999996</v>
      </c>
      <c r="K2238" t="b">
        <v>1</v>
      </c>
    </row>
    <row r="2239" spans="1:11" ht="16" x14ac:dyDescent="0.2">
      <c r="A2239" s="16">
        <v>45535</v>
      </c>
      <c r="B2239" t="s">
        <v>29</v>
      </c>
      <c r="C2239" t="s">
        <v>45</v>
      </c>
      <c r="D2239" t="str">
        <f>D2238</f>
        <v>Website</v>
      </c>
      <c r="E2239" t="s">
        <v>7642</v>
      </c>
      <c r="F2239">
        <v>1</v>
      </c>
      <c r="G2239" s="15">
        <v>2710000</v>
      </c>
      <c r="H2239" s="14">
        <v>0.13075929750140999</v>
      </c>
      <c r="I2239" s="27">
        <f t="shared" si="34"/>
        <v>2355642.3037711792</v>
      </c>
      <c r="J2239">
        <v>4.5999999999999996</v>
      </c>
      <c r="K2239" t="b">
        <v>0</v>
      </c>
    </row>
    <row r="2240" spans="1:11" ht="16" x14ac:dyDescent="0.2">
      <c r="A2240" s="16">
        <v>45536</v>
      </c>
      <c r="B2240" t="s">
        <v>29</v>
      </c>
      <c r="C2240" t="s">
        <v>39</v>
      </c>
      <c r="D2240" t="s">
        <v>35</v>
      </c>
      <c r="E2240" t="s">
        <v>7638</v>
      </c>
      <c r="F2240">
        <v>3</v>
      </c>
      <c r="G2240" s="15">
        <v>2710000</v>
      </c>
      <c r="H2240" s="14">
        <v>0.13075929750140999</v>
      </c>
      <c r="I2240" s="27">
        <f t="shared" si="34"/>
        <v>2355642.3037711792</v>
      </c>
      <c r="J2240">
        <v>4.3</v>
      </c>
      <c r="K2240" t="b">
        <v>1</v>
      </c>
    </row>
    <row r="2241" spans="1:11" ht="16" x14ac:dyDescent="0.2">
      <c r="A2241" s="16">
        <v>45536</v>
      </c>
      <c r="B2241" t="s">
        <v>18</v>
      </c>
      <c r="C2241" t="s">
        <v>25</v>
      </c>
      <c r="D2241" t="s">
        <v>20</v>
      </c>
      <c r="E2241" t="s">
        <v>7639</v>
      </c>
      <c r="F2241">
        <v>2</v>
      </c>
      <c r="G2241" s="15">
        <v>2710000</v>
      </c>
      <c r="H2241" s="14">
        <v>0.13075929750140999</v>
      </c>
      <c r="I2241" s="27">
        <f t="shared" si="34"/>
        <v>2355642.3037711792</v>
      </c>
      <c r="J2241">
        <v>3.9</v>
      </c>
      <c r="K2241" t="b">
        <v>1</v>
      </c>
    </row>
    <row r="2242" spans="1:11" ht="16" x14ac:dyDescent="0.2">
      <c r="A2242" s="16">
        <v>45536</v>
      </c>
      <c r="B2242" t="s">
        <v>18</v>
      </c>
      <c r="C2242" t="s">
        <v>25</v>
      </c>
      <c r="D2242" t="s">
        <v>20</v>
      </c>
      <c r="E2242" t="s">
        <v>57</v>
      </c>
      <c r="F2242">
        <v>1</v>
      </c>
      <c r="G2242" s="15">
        <v>2710000</v>
      </c>
      <c r="H2242" s="14">
        <v>0.13075929750140999</v>
      </c>
      <c r="I2242" s="27">
        <f t="shared" si="34"/>
        <v>2355642.3037711792</v>
      </c>
      <c r="J2242">
        <v>4.5</v>
      </c>
      <c r="K2242" t="b">
        <v>1</v>
      </c>
    </row>
    <row r="2243" spans="1:11" ht="16" x14ac:dyDescent="0.2">
      <c r="A2243" s="16">
        <v>45537</v>
      </c>
      <c r="B2243" t="s">
        <v>45</v>
      </c>
      <c r="C2243" t="s">
        <v>34</v>
      </c>
      <c r="D2243" t="s">
        <v>35</v>
      </c>
      <c r="E2243" t="s">
        <v>7643</v>
      </c>
      <c r="F2243">
        <v>1</v>
      </c>
      <c r="G2243" s="15">
        <v>2710000</v>
      </c>
      <c r="H2243" s="14">
        <v>0.13075929750140999</v>
      </c>
      <c r="I2243" s="27">
        <f t="shared" ref="I2243:I2306" si="35">G2243-G2243*H2243</f>
        <v>2355642.3037711792</v>
      </c>
      <c r="J2243">
        <v>3.8</v>
      </c>
      <c r="K2243" t="b">
        <v>1</v>
      </c>
    </row>
    <row r="2244" spans="1:11" ht="16" x14ac:dyDescent="0.2">
      <c r="A2244" s="16">
        <v>45537</v>
      </c>
      <c r="B2244" t="s">
        <v>33</v>
      </c>
      <c r="C2244" t="s">
        <v>45</v>
      </c>
      <c r="D2244" t="s">
        <v>35</v>
      </c>
      <c r="E2244" t="s">
        <v>7640</v>
      </c>
      <c r="F2244">
        <v>1</v>
      </c>
      <c r="G2244" s="15">
        <v>2710000</v>
      </c>
      <c r="H2244" s="14">
        <v>0.13075929750140999</v>
      </c>
      <c r="I2244" s="27">
        <f t="shared" si="35"/>
        <v>2355642.3037711792</v>
      </c>
      <c r="J2244">
        <v>3.7</v>
      </c>
      <c r="K2244" t="b">
        <v>1</v>
      </c>
    </row>
    <row r="2245" spans="1:11" ht="16" x14ac:dyDescent="0.2">
      <c r="A2245" s="16">
        <v>45537</v>
      </c>
      <c r="B2245" t="s">
        <v>33</v>
      </c>
      <c r="C2245" t="s">
        <v>19</v>
      </c>
      <c r="D2245" t="s">
        <v>20</v>
      </c>
      <c r="E2245" t="s">
        <v>57</v>
      </c>
      <c r="F2245">
        <v>1</v>
      </c>
      <c r="G2245" s="15">
        <v>2710000</v>
      </c>
      <c r="H2245" s="14">
        <v>0.13075929750140999</v>
      </c>
      <c r="I2245" s="27">
        <f t="shared" si="35"/>
        <v>2355642.3037711792</v>
      </c>
      <c r="J2245">
        <v>4.5999999999999996</v>
      </c>
      <c r="K2245" t="b">
        <v>1</v>
      </c>
    </row>
    <row r="2246" spans="1:11" ht="16" x14ac:dyDescent="0.2">
      <c r="A2246" s="16">
        <v>45538</v>
      </c>
      <c r="B2246" t="s">
        <v>29</v>
      </c>
      <c r="C2246" t="s">
        <v>45</v>
      </c>
      <c r="D2246" t="s">
        <v>20</v>
      </c>
      <c r="E2246" t="s">
        <v>57</v>
      </c>
      <c r="F2246">
        <v>4</v>
      </c>
      <c r="G2246" s="15">
        <v>2710000</v>
      </c>
      <c r="H2246" s="14">
        <v>0.13075929750140999</v>
      </c>
      <c r="I2246" s="27">
        <f t="shared" si="35"/>
        <v>2355642.3037711792</v>
      </c>
      <c r="J2246">
        <v>4.2</v>
      </c>
      <c r="K2246" t="b">
        <v>0</v>
      </c>
    </row>
    <row r="2247" spans="1:11" ht="16" x14ac:dyDescent="0.2">
      <c r="A2247" s="16">
        <v>45538</v>
      </c>
      <c r="B2247" t="s">
        <v>18</v>
      </c>
      <c r="C2247" t="s">
        <v>68</v>
      </c>
      <c r="D2247" t="s">
        <v>20</v>
      </c>
      <c r="E2247" t="s">
        <v>57</v>
      </c>
      <c r="F2247">
        <v>1</v>
      </c>
      <c r="G2247" s="15">
        <v>2710000</v>
      </c>
      <c r="H2247" s="14">
        <v>0.13075929750140999</v>
      </c>
      <c r="I2247" s="27">
        <f t="shared" si="35"/>
        <v>2355642.3037711792</v>
      </c>
      <c r="J2247">
        <v>4.4000000000000004</v>
      </c>
      <c r="K2247" t="b">
        <v>0</v>
      </c>
    </row>
    <row r="2248" spans="1:11" ht="16" x14ac:dyDescent="0.2">
      <c r="A2248" s="16">
        <v>45538</v>
      </c>
      <c r="B2248" t="s">
        <v>18</v>
      </c>
      <c r="C2248" t="s">
        <v>45</v>
      </c>
      <c r="D2248" t="s">
        <v>50</v>
      </c>
      <c r="E2248" t="s">
        <v>7637</v>
      </c>
      <c r="F2248">
        <v>2</v>
      </c>
      <c r="G2248" s="15">
        <v>2710000</v>
      </c>
      <c r="H2248" s="14">
        <v>0.13075929750140999</v>
      </c>
      <c r="I2248" s="27">
        <f t="shared" si="35"/>
        <v>2355642.3037711792</v>
      </c>
      <c r="J2248">
        <v>4.5999999999999996</v>
      </c>
      <c r="K2248" t="b">
        <v>1</v>
      </c>
    </row>
    <row r="2249" spans="1:11" ht="16" x14ac:dyDescent="0.2">
      <c r="A2249" s="16">
        <v>45538</v>
      </c>
      <c r="B2249" t="s">
        <v>18</v>
      </c>
      <c r="C2249" t="s">
        <v>34</v>
      </c>
      <c r="D2249" t="s">
        <v>20</v>
      </c>
      <c r="E2249" t="s">
        <v>57</v>
      </c>
      <c r="F2249">
        <v>2</v>
      </c>
      <c r="G2249" s="15">
        <v>2710000</v>
      </c>
      <c r="H2249" s="14">
        <v>0.13075929750140999</v>
      </c>
      <c r="I2249" s="27">
        <f t="shared" si="35"/>
        <v>2355642.3037711792</v>
      </c>
      <c r="J2249">
        <v>4</v>
      </c>
      <c r="K2249" t="b">
        <v>0</v>
      </c>
    </row>
    <row r="2250" spans="1:11" ht="16" x14ac:dyDescent="0.2">
      <c r="A2250" s="16">
        <v>45538</v>
      </c>
      <c r="B2250" t="s">
        <v>29</v>
      </c>
      <c r="C2250" t="s">
        <v>68</v>
      </c>
      <c r="D2250" t="s">
        <v>35</v>
      </c>
      <c r="E2250" t="s">
        <v>57</v>
      </c>
      <c r="F2250">
        <v>1</v>
      </c>
      <c r="G2250" s="15">
        <v>2710000</v>
      </c>
      <c r="H2250" s="14">
        <v>0.13075929750140999</v>
      </c>
      <c r="I2250" s="27">
        <f t="shared" si="35"/>
        <v>2355642.3037711792</v>
      </c>
      <c r="J2250">
        <v>4.3</v>
      </c>
      <c r="K2250" t="b">
        <v>1</v>
      </c>
    </row>
    <row r="2251" spans="1:11" ht="16" x14ac:dyDescent="0.2">
      <c r="A2251" s="16">
        <v>45539</v>
      </c>
      <c r="B2251" t="s">
        <v>18</v>
      </c>
      <c r="C2251" t="s">
        <v>25</v>
      </c>
      <c r="D2251" t="s">
        <v>50</v>
      </c>
      <c r="E2251" t="s">
        <v>7638</v>
      </c>
      <c r="F2251">
        <v>2</v>
      </c>
      <c r="G2251" s="15">
        <v>2710000</v>
      </c>
      <c r="H2251" s="14">
        <v>0.13075929750140999</v>
      </c>
      <c r="I2251" s="27">
        <f t="shared" si="35"/>
        <v>2355642.3037711792</v>
      </c>
      <c r="J2251">
        <v>4.3</v>
      </c>
      <c r="K2251" t="b">
        <v>0</v>
      </c>
    </row>
    <row r="2252" spans="1:11" ht="16" x14ac:dyDescent="0.2">
      <c r="A2252" s="16">
        <v>45539</v>
      </c>
      <c r="B2252" t="s">
        <v>33</v>
      </c>
      <c r="C2252" t="s">
        <v>19</v>
      </c>
      <c r="D2252" t="s">
        <v>50</v>
      </c>
      <c r="E2252" t="s">
        <v>7637</v>
      </c>
      <c r="F2252">
        <v>2</v>
      </c>
      <c r="G2252" s="15">
        <v>2710000</v>
      </c>
      <c r="H2252" s="14">
        <v>0.13075929750140999</v>
      </c>
      <c r="I2252" s="27">
        <f t="shared" si="35"/>
        <v>2355642.3037711792</v>
      </c>
      <c r="J2252">
        <v>3.9</v>
      </c>
      <c r="K2252" t="b">
        <v>0</v>
      </c>
    </row>
    <row r="2253" spans="1:11" ht="16" x14ac:dyDescent="0.2">
      <c r="A2253" s="16">
        <v>45539</v>
      </c>
      <c r="B2253" t="s">
        <v>18</v>
      </c>
      <c r="C2253" t="s">
        <v>34</v>
      </c>
      <c r="D2253" t="s">
        <v>35</v>
      </c>
      <c r="E2253" t="s">
        <v>99</v>
      </c>
      <c r="F2253">
        <v>2</v>
      </c>
      <c r="G2253" s="15">
        <v>2710000</v>
      </c>
      <c r="H2253" s="14">
        <v>0.13075929750140999</v>
      </c>
      <c r="I2253" s="27">
        <f t="shared" si="35"/>
        <v>2355642.3037711792</v>
      </c>
      <c r="J2253">
        <v>4</v>
      </c>
      <c r="K2253" t="b">
        <v>0</v>
      </c>
    </row>
    <row r="2254" spans="1:11" ht="16" x14ac:dyDescent="0.2">
      <c r="A2254" s="16">
        <v>45539</v>
      </c>
      <c r="B2254" t="s">
        <v>18</v>
      </c>
      <c r="C2254" t="s">
        <v>25</v>
      </c>
      <c r="D2254" t="s">
        <v>50</v>
      </c>
      <c r="E2254" t="s">
        <v>7641</v>
      </c>
      <c r="F2254">
        <v>3</v>
      </c>
      <c r="G2254" s="15">
        <v>2710000</v>
      </c>
      <c r="H2254" s="14">
        <v>0.13075929750140999</v>
      </c>
      <c r="I2254" s="27">
        <f t="shared" si="35"/>
        <v>2355642.3037711792</v>
      </c>
      <c r="J2254">
        <v>3.7</v>
      </c>
      <c r="K2254" t="b">
        <v>1</v>
      </c>
    </row>
    <row r="2255" spans="1:11" ht="16" x14ac:dyDescent="0.2">
      <c r="A2255" s="16">
        <v>45539</v>
      </c>
      <c r="B2255" t="s">
        <v>45</v>
      </c>
      <c r="C2255" t="s">
        <v>68</v>
      </c>
      <c r="D2255" t="s">
        <v>20</v>
      </c>
      <c r="E2255" t="s">
        <v>7643</v>
      </c>
      <c r="F2255">
        <v>1</v>
      </c>
      <c r="G2255" s="15">
        <v>2710000</v>
      </c>
      <c r="H2255" s="14">
        <v>0.13075929750140999</v>
      </c>
      <c r="I2255" s="27">
        <f t="shared" si="35"/>
        <v>2355642.3037711792</v>
      </c>
      <c r="J2255">
        <v>3.7</v>
      </c>
      <c r="K2255" t="b">
        <v>0</v>
      </c>
    </row>
    <row r="2256" spans="1:11" ht="16" x14ac:dyDescent="0.2">
      <c r="A2256" s="16">
        <v>45539</v>
      </c>
      <c r="B2256" t="s">
        <v>29</v>
      </c>
      <c r="C2256" t="s">
        <v>45</v>
      </c>
      <c r="D2256" t="s">
        <v>35</v>
      </c>
      <c r="E2256" t="s">
        <v>7644</v>
      </c>
      <c r="F2256">
        <v>4</v>
      </c>
      <c r="G2256" s="15">
        <v>2710000</v>
      </c>
      <c r="H2256" s="14">
        <v>0.13075929750140999</v>
      </c>
      <c r="I2256" s="27">
        <f t="shared" si="35"/>
        <v>2355642.3037711792</v>
      </c>
      <c r="J2256">
        <v>4.9000000000000004</v>
      </c>
      <c r="K2256" t="b">
        <v>0</v>
      </c>
    </row>
    <row r="2257" spans="1:11" ht="16" x14ac:dyDescent="0.2">
      <c r="A2257" s="16">
        <v>45540</v>
      </c>
      <c r="B2257" t="s">
        <v>45</v>
      </c>
      <c r="C2257" t="s">
        <v>34</v>
      </c>
      <c r="D2257" t="s">
        <v>50</v>
      </c>
      <c r="E2257" t="s">
        <v>7637</v>
      </c>
      <c r="F2257">
        <v>1</v>
      </c>
      <c r="G2257" s="15">
        <v>2710000</v>
      </c>
      <c r="H2257" s="14">
        <v>0.13075929750140999</v>
      </c>
      <c r="I2257" s="27">
        <f t="shared" si="35"/>
        <v>2355642.3037711792</v>
      </c>
      <c r="J2257">
        <v>3.4</v>
      </c>
      <c r="K2257" t="b">
        <v>1</v>
      </c>
    </row>
    <row r="2258" spans="1:11" ht="16" x14ac:dyDescent="0.2">
      <c r="A2258" s="16">
        <v>45540</v>
      </c>
      <c r="B2258" t="s">
        <v>33</v>
      </c>
      <c r="C2258" t="s">
        <v>68</v>
      </c>
      <c r="D2258" t="s">
        <v>50</v>
      </c>
      <c r="E2258" t="s">
        <v>7637</v>
      </c>
      <c r="F2258">
        <v>2</v>
      </c>
      <c r="G2258" s="15">
        <v>2710000</v>
      </c>
      <c r="H2258" s="14">
        <v>0.13075929750140999</v>
      </c>
      <c r="I2258" s="27">
        <f t="shared" si="35"/>
        <v>2355642.3037711792</v>
      </c>
      <c r="J2258">
        <v>3.9</v>
      </c>
      <c r="K2258" t="b">
        <v>1</v>
      </c>
    </row>
    <row r="2259" spans="1:11" ht="16" x14ac:dyDescent="0.2">
      <c r="A2259" s="16">
        <v>45540</v>
      </c>
      <c r="B2259" t="s">
        <v>45</v>
      </c>
      <c r="C2259" t="s">
        <v>34</v>
      </c>
      <c r="D2259" t="s">
        <v>50</v>
      </c>
      <c r="E2259" t="s">
        <v>7640</v>
      </c>
      <c r="F2259">
        <v>1</v>
      </c>
      <c r="G2259" s="15">
        <v>2710000</v>
      </c>
      <c r="H2259" s="14">
        <v>0.13075929750140999</v>
      </c>
      <c r="I2259" s="27">
        <f t="shared" si="35"/>
        <v>2355642.3037711792</v>
      </c>
      <c r="J2259">
        <v>3.5</v>
      </c>
      <c r="K2259" t="b">
        <v>1</v>
      </c>
    </row>
    <row r="2260" spans="1:11" ht="16" x14ac:dyDescent="0.2">
      <c r="A2260" s="16">
        <v>45540</v>
      </c>
      <c r="B2260" t="s">
        <v>45</v>
      </c>
      <c r="C2260" t="s">
        <v>34</v>
      </c>
      <c r="D2260" t="s">
        <v>20</v>
      </c>
      <c r="E2260" t="s">
        <v>7644</v>
      </c>
      <c r="F2260">
        <v>1</v>
      </c>
      <c r="G2260" s="15">
        <v>2710000</v>
      </c>
      <c r="H2260" s="14">
        <v>0.13075929750140999</v>
      </c>
      <c r="I2260" s="27">
        <f t="shared" si="35"/>
        <v>2355642.3037711792</v>
      </c>
      <c r="J2260">
        <v>3.5</v>
      </c>
      <c r="K2260" t="b">
        <v>1</v>
      </c>
    </row>
    <row r="2261" spans="1:11" ht="16" x14ac:dyDescent="0.2">
      <c r="A2261" s="16">
        <v>45540</v>
      </c>
      <c r="B2261" t="s">
        <v>18</v>
      </c>
      <c r="C2261" t="s">
        <v>25</v>
      </c>
      <c r="D2261" t="s">
        <v>20</v>
      </c>
      <c r="E2261" t="s">
        <v>7641</v>
      </c>
      <c r="F2261">
        <v>1</v>
      </c>
      <c r="G2261" s="15">
        <v>2710000</v>
      </c>
      <c r="H2261" s="14">
        <v>0.13075929750140999</v>
      </c>
      <c r="I2261" s="27">
        <f t="shared" si="35"/>
        <v>2355642.3037711792</v>
      </c>
      <c r="J2261">
        <v>4.5999999999999996</v>
      </c>
      <c r="K2261" t="b">
        <v>1</v>
      </c>
    </row>
    <row r="2262" spans="1:11" ht="16" x14ac:dyDescent="0.2">
      <c r="A2262" s="16">
        <v>45541</v>
      </c>
      <c r="B2262" t="s">
        <v>45</v>
      </c>
      <c r="C2262" t="s">
        <v>45</v>
      </c>
      <c r="D2262" t="s">
        <v>46</v>
      </c>
      <c r="E2262" t="s">
        <v>7637</v>
      </c>
      <c r="F2262">
        <v>2</v>
      </c>
      <c r="G2262" s="15">
        <v>2710000</v>
      </c>
      <c r="H2262" s="14">
        <v>0.13075929750140999</v>
      </c>
      <c r="I2262" s="27">
        <f t="shared" si="35"/>
        <v>2355642.3037711792</v>
      </c>
      <c r="J2262">
        <v>4.3</v>
      </c>
      <c r="K2262" t="b">
        <v>1</v>
      </c>
    </row>
    <row r="2263" spans="1:11" ht="16" x14ac:dyDescent="0.2">
      <c r="A2263" s="16">
        <v>45541</v>
      </c>
      <c r="B2263" t="s">
        <v>45</v>
      </c>
      <c r="C2263" t="s">
        <v>19</v>
      </c>
      <c r="D2263" t="s">
        <v>20</v>
      </c>
      <c r="E2263" t="s">
        <v>7640</v>
      </c>
      <c r="F2263">
        <v>2</v>
      </c>
      <c r="G2263" s="15">
        <v>2710000</v>
      </c>
      <c r="H2263" s="14">
        <v>0.13075929750140999</v>
      </c>
      <c r="I2263" s="27">
        <f t="shared" si="35"/>
        <v>2355642.3037711792</v>
      </c>
      <c r="J2263">
        <v>4.4000000000000004</v>
      </c>
      <c r="K2263" t="b">
        <v>1</v>
      </c>
    </row>
    <row r="2264" spans="1:11" ht="16" x14ac:dyDescent="0.2">
      <c r="A2264" s="16">
        <v>45541</v>
      </c>
      <c r="B2264" t="s">
        <v>45</v>
      </c>
      <c r="C2264" t="s">
        <v>45</v>
      </c>
      <c r="D2264" t="s">
        <v>20</v>
      </c>
      <c r="E2264" t="s">
        <v>7641</v>
      </c>
      <c r="F2264">
        <v>5</v>
      </c>
      <c r="G2264" s="15">
        <v>2710000</v>
      </c>
      <c r="H2264" s="14">
        <v>0.13075929750140999</v>
      </c>
      <c r="I2264" s="27">
        <f t="shared" si="35"/>
        <v>2355642.3037711792</v>
      </c>
      <c r="J2264">
        <v>4.2</v>
      </c>
      <c r="K2264" t="b">
        <v>0</v>
      </c>
    </row>
    <row r="2265" spans="1:11" ht="16" x14ac:dyDescent="0.2">
      <c r="A2265" s="16">
        <v>45542</v>
      </c>
      <c r="B2265" t="s">
        <v>45</v>
      </c>
      <c r="C2265" t="s">
        <v>19</v>
      </c>
      <c r="D2265" t="s">
        <v>20</v>
      </c>
      <c r="E2265" t="s">
        <v>7640</v>
      </c>
      <c r="F2265">
        <v>2</v>
      </c>
      <c r="G2265" s="15">
        <v>2710000</v>
      </c>
      <c r="H2265" s="14">
        <v>0.13075929750140999</v>
      </c>
      <c r="I2265" s="27">
        <f t="shared" si="35"/>
        <v>2355642.3037711792</v>
      </c>
      <c r="J2265">
        <v>4.2</v>
      </c>
      <c r="K2265" t="b">
        <v>1</v>
      </c>
    </row>
    <row r="2266" spans="1:11" ht="16" x14ac:dyDescent="0.2">
      <c r="A2266" s="16">
        <v>45542</v>
      </c>
      <c r="B2266" t="s">
        <v>45</v>
      </c>
      <c r="C2266" t="s">
        <v>39</v>
      </c>
      <c r="D2266" t="s">
        <v>20</v>
      </c>
      <c r="E2266" t="s">
        <v>7640</v>
      </c>
      <c r="F2266">
        <v>1</v>
      </c>
      <c r="G2266" s="15">
        <v>2710000</v>
      </c>
      <c r="H2266" s="14">
        <v>0.13075929750140999</v>
      </c>
      <c r="I2266" s="27">
        <f t="shared" si="35"/>
        <v>2355642.3037711792</v>
      </c>
      <c r="J2266">
        <v>4.4000000000000004</v>
      </c>
      <c r="K2266" t="b">
        <v>0</v>
      </c>
    </row>
    <row r="2267" spans="1:11" ht="16" x14ac:dyDescent="0.2">
      <c r="A2267" s="16">
        <v>45542</v>
      </c>
      <c r="B2267" t="s">
        <v>33</v>
      </c>
      <c r="C2267" t="s">
        <v>34</v>
      </c>
      <c r="D2267" t="s">
        <v>20</v>
      </c>
      <c r="E2267" t="str">
        <f>E2266</f>
        <v>Hội An</v>
      </c>
      <c r="F2267">
        <v>1</v>
      </c>
      <c r="G2267" s="15">
        <v>2710000</v>
      </c>
      <c r="H2267" s="14">
        <v>0.13075929750140999</v>
      </c>
      <c r="I2267" s="27">
        <f t="shared" si="35"/>
        <v>2355642.3037711792</v>
      </c>
      <c r="J2267">
        <v>4.4000000000000004</v>
      </c>
      <c r="K2267" t="b">
        <v>1</v>
      </c>
    </row>
    <row r="2268" spans="1:11" ht="16" x14ac:dyDescent="0.2">
      <c r="A2268" s="16">
        <v>45542</v>
      </c>
      <c r="B2268" t="s">
        <v>18</v>
      </c>
      <c r="C2268" t="s">
        <v>34</v>
      </c>
      <c r="D2268" t="s">
        <v>20</v>
      </c>
      <c r="E2268" t="s">
        <v>7641</v>
      </c>
      <c r="F2268">
        <v>1</v>
      </c>
      <c r="G2268" s="15">
        <v>2710000</v>
      </c>
      <c r="H2268" s="14">
        <v>0.13075929750140999</v>
      </c>
      <c r="I2268" s="27">
        <f t="shared" si="35"/>
        <v>2355642.3037711792</v>
      </c>
      <c r="J2268">
        <v>4.9000000000000004</v>
      </c>
      <c r="K2268" t="b">
        <v>0</v>
      </c>
    </row>
    <row r="2269" spans="1:11" ht="16" x14ac:dyDescent="0.2">
      <c r="A2269" s="16">
        <v>45543</v>
      </c>
      <c r="B2269" t="s">
        <v>45</v>
      </c>
      <c r="C2269" t="s">
        <v>25</v>
      </c>
      <c r="D2269" t="s">
        <v>20</v>
      </c>
      <c r="E2269" t="s">
        <v>7642</v>
      </c>
      <c r="F2269">
        <v>1</v>
      </c>
      <c r="G2269" s="15">
        <v>2710000</v>
      </c>
      <c r="H2269" s="14">
        <v>0.13075929750140999</v>
      </c>
      <c r="I2269" s="27">
        <f t="shared" si="35"/>
        <v>2355642.3037711792</v>
      </c>
      <c r="J2269">
        <v>3.4</v>
      </c>
      <c r="K2269" t="b">
        <v>0</v>
      </c>
    </row>
    <row r="2270" spans="1:11" ht="16" x14ac:dyDescent="0.2">
      <c r="A2270" s="16">
        <v>45543</v>
      </c>
      <c r="B2270" t="s">
        <v>45</v>
      </c>
      <c r="C2270" t="s">
        <v>19</v>
      </c>
      <c r="D2270" t="s">
        <v>35</v>
      </c>
      <c r="E2270" t="s">
        <v>7637</v>
      </c>
      <c r="F2270">
        <v>2</v>
      </c>
      <c r="G2270" s="15">
        <v>2710000</v>
      </c>
      <c r="H2270" s="14">
        <v>0.13075929750140999</v>
      </c>
      <c r="I2270" s="27">
        <f t="shared" si="35"/>
        <v>2355642.3037711792</v>
      </c>
      <c r="J2270">
        <v>3.5</v>
      </c>
      <c r="K2270" t="b">
        <v>0</v>
      </c>
    </row>
    <row r="2271" spans="1:11" ht="16" x14ac:dyDescent="0.2">
      <c r="A2271" s="16">
        <v>45543</v>
      </c>
      <c r="B2271" t="s">
        <v>33</v>
      </c>
      <c r="C2271" t="s">
        <v>19</v>
      </c>
      <c r="D2271" t="s">
        <v>50</v>
      </c>
      <c r="E2271" t="s">
        <v>7638</v>
      </c>
      <c r="F2271">
        <v>2</v>
      </c>
      <c r="G2271" s="15">
        <v>2710000</v>
      </c>
      <c r="H2271" s="14">
        <v>0.13075929750140999</v>
      </c>
      <c r="I2271" s="27">
        <f t="shared" si="35"/>
        <v>2355642.3037711792</v>
      </c>
      <c r="J2271">
        <v>3.8</v>
      </c>
      <c r="K2271" t="b">
        <v>1</v>
      </c>
    </row>
    <row r="2272" spans="1:11" ht="16" x14ac:dyDescent="0.2">
      <c r="A2272" s="16">
        <v>45543</v>
      </c>
      <c r="B2272" t="s">
        <v>18</v>
      </c>
      <c r="C2272" t="s">
        <v>34</v>
      </c>
      <c r="D2272" t="s">
        <v>50</v>
      </c>
      <c r="E2272" t="s">
        <v>7639</v>
      </c>
      <c r="F2272">
        <v>2</v>
      </c>
      <c r="G2272" s="15">
        <v>2710000</v>
      </c>
      <c r="H2272" s="14">
        <v>0.13075929750140999</v>
      </c>
      <c r="I2272" s="27">
        <f t="shared" si="35"/>
        <v>2355642.3037711792</v>
      </c>
      <c r="J2272">
        <v>3.8</v>
      </c>
      <c r="K2272" t="b">
        <v>1</v>
      </c>
    </row>
    <row r="2273" spans="1:11" ht="16" x14ac:dyDescent="0.2">
      <c r="A2273" s="16">
        <v>45543</v>
      </c>
      <c r="B2273" t="s">
        <v>45</v>
      </c>
      <c r="C2273" t="s">
        <v>19</v>
      </c>
      <c r="D2273" t="s">
        <v>35</v>
      </c>
      <c r="E2273" t="s">
        <v>7640</v>
      </c>
      <c r="F2273">
        <v>2</v>
      </c>
      <c r="G2273" s="15">
        <v>2710000</v>
      </c>
      <c r="H2273" s="14">
        <v>0.13075929750140999</v>
      </c>
      <c r="I2273" s="27">
        <f t="shared" si="35"/>
        <v>2355642.3037711792</v>
      </c>
      <c r="J2273">
        <v>4.0999999999999996</v>
      </c>
      <c r="K2273" t="b">
        <v>1</v>
      </c>
    </row>
    <row r="2274" spans="1:11" ht="16" x14ac:dyDescent="0.2">
      <c r="A2274" s="16">
        <v>45544</v>
      </c>
      <c r="B2274" t="s">
        <v>18</v>
      </c>
      <c r="C2274" t="s">
        <v>25</v>
      </c>
      <c r="D2274" t="s">
        <v>50</v>
      </c>
      <c r="E2274" t="s">
        <v>99</v>
      </c>
      <c r="F2274">
        <v>1</v>
      </c>
      <c r="G2274" s="15">
        <v>2710000</v>
      </c>
      <c r="H2274" s="14">
        <v>0.13075929750140999</v>
      </c>
      <c r="I2274" s="27">
        <f t="shared" si="35"/>
        <v>2355642.3037711792</v>
      </c>
      <c r="J2274">
        <v>5</v>
      </c>
      <c r="K2274" t="b">
        <v>0</v>
      </c>
    </row>
    <row r="2275" spans="1:11" ht="16" x14ac:dyDescent="0.2">
      <c r="A2275" s="16">
        <v>45544</v>
      </c>
      <c r="B2275" t="s">
        <v>45</v>
      </c>
      <c r="C2275" t="s">
        <v>68</v>
      </c>
      <c r="D2275" t="s">
        <v>35</v>
      </c>
      <c r="E2275" t="s">
        <v>7639</v>
      </c>
      <c r="F2275">
        <v>2</v>
      </c>
      <c r="G2275" s="15">
        <v>2710000</v>
      </c>
      <c r="H2275" s="14">
        <v>0.13075929750140999</v>
      </c>
      <c r="I2275" s="27">
        <f t="shared" si="35"/>
        <v>2355642.3037711792</v>
      </c>
      <c r="J2275">
        <v>4.3</v>
      </c>
      <c r="K2275" t="b">
        <v>1</v>
      </c>
    </row>
    <row r="2276" spans="1:11" ht="16" x14ac:dyDescent="0.2">
      <c r="A2276" s="16">
        <v>45544</v>
      </c>
      <c r="B2276" t="s">
        <v>18</v>
      </c>
      <c r="C2276" t="s">
        <v>19</v>
      </c>
      <c r="D2276" t="s">
        <v>20</v>
      </c>
      <c r="E2276" t="s">
        <v>7638</v>
      </c>
      <c r="F2276">
        <v>3</v>
      </c>
      <c r="G2276" s="15">
        <v>2710000</v>
      </c>
      <c r="H2276" s="14">
        <v>0.13075929750140999</v>
      </c>
      <c r="I2276" s="27">
        <f t="shared" si="35"/>
        <v>2355642.3037711792</v>
      </c>
      <c r="J2276">
        <v>3.3</v>
      </c>
      <c r="K2276" t="b">
        <v>0</v>
      </c>
    </row>
    <row r="2277" spans="1:11" ht="16" x14ac:dyDescent="0.2">
      <c r="A2277" s="16">
        <v>45544</v>
      </c>
      <c r="B2277" t="s">
        <v>45</v>
      </c>
      <c r="C2277" t="s">
        <v>19</v>
      </c>
      <c r="D2277" t="s">
        <v>35</v>
      </c>
      <c r="E2277" t="s">
        <v>7644</v>
      </c>
      <c r="F2277">
        <v>3</v>
      </c>
      <c r="G2277" s="15">
        <v>2710000</v>
      </c>
      <c r="H2277" s="14">
        <v>0.13075929750140999</v>
      </c>
      <c r="I2277" s="27">
        <f t="shared" si="35"/>
        <v>2355642.3037711792</v>
      </c>
      <c r="J2277">
        <v>3.8</v>
      </c>
      <c r="K2277" t="b">
        <v>1</v>
      </c>
    </row>
    <row r="2278" spans="1:11" ht="16" x14ac:dyDescent="0.2">
      <c r="A2278" s="16">
        <v>45544</v>
      </c>
      <c r="B2278" t="s">
        <v>45</v>
      </c>
      <c r="C2278" t="s">
        <v>19</v>
      </c>
      <c r="D2278" t="s">
        <v>20</v>
      </c>
      <c r="E2278" t="s">
        <v>99</v>
      </c>
      <c r="F2278">
        <v>1</v>
      </c>
      <c r="G2278" s="15">
        <v>2710000</v>
      </c>
      <c r="H2278" s="14">
        <v>0.13075929750140999</v>
      </c>
      <c r="I2278" s="27">
        <f t="shared" si="35"/>
        <v>2355642.3037711792</v>
      </c>
      <c r="J2278">
        <v>3.8</v>
      </c>
      <c r="K2278" t="b">
        <v>1</v>
      </c>
    </row>
    <row r="2279" spans="1:11" ht="16" x14ac:dyDescent="0.2">
      <c r="A2279" s="16">
        <v>45544</v>
      </c>
      <c r="B2279" t="s">
        <v>18</v>
      </c>
      <c r="C2279" t="s">
        <v>25</v>
      </c>
      <c r="D2279" t="s">
        <v>35</v>
      </c>
      <c r="E2279" t="s">
        <v>7641</v>
      </c>
      <c r="F2279">
        <v>2</v>
      </c>
      <c r="G2279" s="15">
        <v>2710000</v>
      </c>
      <c r="H2279" s="14">
        <v>0.13075929750140999</v>
      </c>
      <c r="I2279" s="27">
        <f t="shared" si="35"/>
        <v>2355642.3037711792</v>
      </c>
      <c r="J2279">
        <v>4.4000000000000004</v>
      </c>
      <c r="K2279" t="b">
        <v>0</v>
      </c>
    </row>
    <row r="2280" spans="1:11" ht="16" x14ac:dyDescent="0.2">
      <c r="A2280" s="16">
        <v>45544</v>
      </c>
      <c r="B2280" t="s">
        <v>29</v>
      </c>
      <c r="C2280" t="s">
        <v>34</v>
      </c>
      <c r="D2280" t="s">
        <v>35</v>
      </c>
      <c r="E2280" t="s">
        <v>57</v>
      </c>
      <c r="F2280">
        <v>2</v>
      </c>
      <c r="G2280" s="15">
        <v>2710000</v>
      </c>
      <c r="H2280" s="14">
        <v>0.13075929750140999</v>
      </c>
      <c r="I2280" s="27">
        <f t="shared" si="35"/>
        <v>2355642.3037711792</v>
      </c>
      <c r="J2280">
        <v>4.8</v>
      </c>
      <c r="K2280" t="b">
        <v>1</v>
      </c>
    </row>
    <row r="2281" spans="1:11" ht="16" x14ac:dyDescent="0.2">
      <c r="A2281" s="16">
        <v>45544</v>
      </c>
      <c r="B2281" t="s">
        <v>45</v>
      </c>
      <c r="C2281" t="s">
        <v>25</v>
      </c>
      <c r="D2281" t="s">
        <v>50</v>
      </c>
      <c r="E2281" t="s">
        <v>7642</v>
      </c>
      <c r="F2281">
        <v>1</v>
      </c>
      <c r="G2281" s="15">
        <v>2710000</v>
      </c>
      <c r="H2281" s="14">
        <v>0.13075929750140999</v>
      </c>
      <c r="I2281" s="27">
        <f t="shared" si="35"/>
        <v>2355642.3037711792</v>
      </c>
      <c r="J2281">
        <v>3.5</v>
      </c>
      <c r="K2281" t="b">
        <v>1</v>
      </c>
    </row>
    <row r="2282" spans="1:11" ht="16" x14ac:dyDescent="0.2">
      <c r="A2282" s="16">
        <v>45545</v>
      </c>
      <c r="B2282" t="s">
        <v>33</v>
      </c>
      <c r="C2282" t="s">
        <v>68</v>
      </c>
      <c r="D2282" t="s">
        <v>35</v>
      </c>
      <c r="E2282" t="s">
        <v>7638</v>
      </c>
      <c r="F2282">
        <v>2</v>
      </c>
      <c r="G2282" s="15">
        <v>2710000</v>
      </c>
      <c r="H2282" s="14">
        <v>0.13075929750140999</v>
      </c>
      <c r="I2282" s="27">
        <f t="shared" si="35"/>
        <v>2355642.3037711792</v>
      </c>
      <c r="J2282">
        <v>4.0999999999999996</v>
      </c>
      <c r="K2282" t="b">
        <v>0</v>
      </c>
    </row>
    <row r="2283" spans="1:11" ht="16" x14ac:dyDescent="0.2">
      <c r="A2283" s="16">
        <v>45545</v>
      </c>
      <c r="B2283" t="s">
        <v>29</v>
      </c>
      <c r="C2283" t="s">
        <v>34</v>
      </c>
      <c r="D2283" t="s">
        <v>20</v>
      </c>
      <c r="E2283" t="s">
        <v>7641</v>
      </c>
      <c r="F2283">
        <v>1</v>
      </c>
      <c r="G2283" s="15">
        <v>2710000</v>
      </c>
      <c r="H2283" s="14">
        <v>0.13075929750140999</v>
      </c>
      <c r="I2283" s="27">
        <f t="shared" si="35"/>
        <v>2355642.3037711792</v>
      </c>
      <c r="J2283">
        <v>4.5999999999999996</v>
      </c>
      <c r="K2283" t="b">
        <v>1</v>
      </c>
    </row>
    <row r="2284" spans="1:11" ht="16" x14ac:dyDescent="0.2">
      <c r="A2284" s="16">
        <v>45546</v>
      </c>
      <c r="B2284" t="str">
        <f>B2283</f>
        <v>Corporate</v>
      </c>
      <c r="C2284" t="s">
        <v>19</v>
      </c>
      <c r="D2284" t="s">
        <v>50</v>
      </c>
      <c r="E2284" t="s">
        <v>7638</v>
      </c>
      <c r="F2284">
        <v>4</v>
      </c>
      <c r="G2284" s="15">
        <v>2710000</v>
      </c>
      <c r="H2284" s="14">
        <v>0.13075929750140999</v>
      </c>
      <c r="I2284" s="27">
        <f t="shared" si="35"/>
        <v>2355642.3037711792</v>
      </c>
      <c r="J2284">
        <v>4.2</v>
      </c>
      <c r="K2284" t="b">
        <v>1</v>
      </c>
    </row>
    <row r="2285" spans="1:11" ht="16" x14ac:dyDescent="0.2">
      <c r="A2285" s="16">
        <v>45546</v>
      </c>
      <c r="B2285" t="s">
        <v>18</v>
      </c>
      <c r="C2285" t="s">
        <v>34</v>
      </c>
      <c r="D2285" t="s">
        <v>20</v>
      </c>
      <c r="E2285" t="s">
        <v>99</v>
      </c>
      <c r="F2285">
        <v>4</v>
      </c>
      <c r="G2285" s="15">
        <v>2710000</v>
      </c>
      <c r="H2285" s="14">
        <v>0.13075929750140999</v>
      </c>
      <c r="I2285" s="27">
        <f t="shared" si="35"/>
        <v>2355642.3037711792</v>
      </c>
      <c r="J2285">
        <v>3.7</v>
      </c>
      <c r="K2285" t="b">
        <v>0</v>
      </c>
    </row>
    <row r="2286" spans="1:11" ht="16" x14ac:dyDescent="0.2">
      <c r="A2286" s="16">
        <v>45547</v>
      </c>
      <c r="B2286" t="s">
        <v>45</v>
      </c>
      <c r="C2286" t="s">
        <v>34</v>
      </c>
      <c r="D2286" t="s">
        <v>50</v>
      </c>
      <c r="E2286" t="s">
        <v>7644</v>
      </c>
      <c r="F2286">
        <v>2</v>
      </c>
      <c r="G2286" s="15">
        <v>2710000</v>
      </c>
      <c r="H2286" s="14">
        <v>0.13075929750140999</v>
      </c>
      <c r="I2286" s="27">
        <f t="shared" si="35"/>
        <v>2355642.3037711792</v>
      </c>
      <c r="J2286">
        <v>4.5</v>
      </c>
      <c r="K2286" t="b">
        <v>1</v>
      </c>
    </row>
    <row r="2287" spans="1:11" ht="16" x14ac:dyDescent="0.2">
      <c r="A2287" s="16">
        <v>45547</v>
      </c>
      <c r="B2287" t="s">
        <v>33</v>
      </c>
      <c r="C2287" t="s">
        <v>34</v>
      </c>
      <c r="D2287" t="s">
        <v>46</v>
      </c>
      <c r="E2287" t="str">
        <f>E2286</f>
        <v>Hạ Long</v>
      </c>
      <c r="F2287">
        <v>2</v>
      </c>
      <c r="G2287" s="15">
        <v>2710000</v>
      </c>
      <c r="H2287" s="14">
        <v>0.13075929750140999</v>
      </c>
      <c r="I2287" s="27">
        <f t="shared" si="35"/>
        <v>2355642.3037711792</v>
      </c>
      <c r="J2287">
        <v>4</v>
      </c>
      <c r="K2287" t="b">
        <v>0</v>
      </c>
    </row>
    <row r="2288" spans="1:11" ht="16" x14ac:dyDescent="0.2">
      <c r="A2288" s="16">
        <v>45547</v>
      </c>
      <c r="B2288" t="s">
        <v>18</v>
      </c>
      <c r="C2288" t="s">
        <v>19</v>
      </c>
      <c r="D2288" t="s">
        <v>20</v>
      </c>
      <c r="E2288" t="s">
        <v>57</v>
      </c>
      <c r="F2288">
        <v>1</v>
      </c>
      <c r="G2288" s="15">
        <v>2710000</v>
      </c>
      <c r="H2288" s="14">
        <v>0.13075929750140999</v>
      </c>
      <c r="I2288" s="27">
        <f t="shared" si="35"/>
        <v>2355642.3037711792</v>
      </c>
      <c r="J2288">
        <v>4.8</v>
      </c>
      <c r="K2288" t="b">
        <v>1</v>
      </c>
    </row>
    <row r="2289" spans="1:11" ht="16" x14ac:dyDescent="0.2">
      <c r="A2289" s="16">
        <v>45547</v>
      </c>
      <c r="B2289" t="s">
        <v>33</v>
      </c>
      <c r="C2289" t="s">
        <v>25</v>
      </c>
      <c r="D2289" t="s">
        <v>35</v>
      </c>
      <c r="E2289" t="s">
        <v>7641</v>
      </c>
      <c r="F2289">
        <v>2</v>
      </c>
      <c r="G2289" s="15">
        <v>2710000</v>
      </c>
      <c r="H2289" s="14">
        <v>0.13075929750140999</v>
      </c>
      <c r="I2289" s="27">
        <f t="shared" si="35"/>
        <v>2355642.3037711792</v>
      </c>
      <c r="J2289">
        <v>4.5</v>
      </c>
      <c r="K2289" t="b">
        <v>0</v>
      </c>
    </row>
    <row r="2290" spans="1:11" ht="16" x14ac:dyDescent="0.2">
      <c r="A2290" s="16">
        <v>45548</v>
      </c>
      <c r="B2290" t="s">
        <v>18</v>
      </c>
      <c r="C2290" t="s">
        <v>19</v>
      </c>
      <c r="D2290" t="s">
        <v>20</v>
      </c>
      <c r="E2290" t="s">
        <v>7641</v>
      </c>
      <c r="F2290">
        <v>3</v>
      </c>
      <c r="G2290" s="15">
        <v>2710000</v>
      </c>
      <c r="H2290" s="14">
        <v>0.13075929750140999</v>
      </c>
      <c r="I2290" s="27">
        <f t="shared" si="35"/>
        <v>2355642.3037711792</v>
      </c>
      <c r="J2290">
        <v>3.8</v>
      </c>
      <c r="K2290" t="b">
        <v>0</v>
      </c>
    </row>
    <row r="2291" spans="1:11" ht="16" x14ac:dyDescent="0.2">
      <c r="A2291" s="16">
        <v>45548</v>
      </c>
      <c r="B2291" t="s">
        <v>33</v>
      </c>
      <c r="C2291" t="s">
        <v>45</v>
      </c>
      <c r="D2291" t="s">
        <v>35</v>
      </c>
      <c r="E2291" t="s">
        <v>57</v>
      </c>
      <c r="F2291">
        <v>3</v>
      </c>
      <c r="G2291" s="15">
        <v>2710000</v>
      </c>
      <c r="H2291" s="14">
        <v>0.13075929750140999</v>
      </c>
      <c r="I2291" s="27">
        <f t="shared" si="35"/>
        <v>2355642.3037711792</v>
      </c>
      <c r="J2291">
        <v>4.0999999999999996</v>
      </c>
      <c r="K2291" t="b">
        <v>1</v>
      </c>
    </row>
    <row r="2292" spans="1:11" ht="16" x14ac:dyDescent="0.2">
      <c r="A2292" s="16">
        <v>45549</v>
      </c>
      <c r="B2292" t="s">
        <v>45</v>
      </c>
      <c r="C2292" t="s">
        <v>45</v>
      </c>
      <c r="D2292" t="s">
        <v>50</v>
      </c>
      <c r="E2292" t="s">
        <v>7642</v>
      </c>
      <c r="F2292">
        <v>1</v>
      </c>
      <c r="G2292" s="15">
        <v>2710000</v>
      </c>
      <c r="H2292" s="14">
        <v>0.13075929750140999</v>
      </c>
      <c r="I2292" s="27">
        <f t="shared" si="35"/>
        <v>2355642.3037711792</v>
      </c>
      <c r="J2292">
        <v>3.8</v>
      </c>
      <c r="K2292" t="b">
        <v>1</v>
      </c>
    </row>
    <row r="2293" spans="1:11" ht="16" x14ac:dyDescent="0.2">
      <c r="A2293" s="16">
        <v>45549</v>
      </c>
      <c r="B2293" t="s">
        <v>33</v>
      </c>
      <c r="C2293" t="s">
        <v>34</v>
      </c>
      <c r="D2293" t="s">
        <v>20</v>
      </c>
      <c r="E2293" t="s">
        <v>7640</v>
      </c>
      <c r="F2293">
        <v>1</v>
      </c>
      <c r="G2293" s="15">
        <v>2710000</v>
      </c>
      <c r="H2293" s="14">
        <v>0.13075929750140999</v>
      </c>
      <c r="I2293" s="27">
        <f t="shared" si="35"/>
        <v>2355642.3037711792</v>
      </c>
      <c r="J2293">
        <v>4.4000000000000004</v>
      </c>
      <c r="K2293" t="b">
        <v>0</v>
      </c>
    </row>
    <row r="2294" spans="1:11" ht="16" x14ac:dyDescent="0.2">
      <c r="A2294" s="16">
        <v>45549</v>
      </c>
      <c r="B2294" t="s">
        <v>45</v>
      </c>
      <c r="C2294" t="s">
        <v>45</v>
      </c>
      <c r="D2294" t="s">
        <v>35</v>
      </c>
      <c r="E2294" t="s">
        <v>7643</v>
      </c>
      <c r="F2294">
        <v>1</v>
      </c>
      <c r="G2294" s="15">
        <v>2710000</v>
      </c>
      <c r="H2294" s="14">
        <v>0.13075929750140999</v>
      </c>
      <c r="I2294" s="27">
        <f t="shared" si="35"/>
        <v>2355642.3037711792</v>
      </c>
      <c r="J2294">
        <v>4.8</v>
      </c>
      <c r="K2294" t="b">
        <v>0</v>
      </c>
    </row>
    <row r="2295" spans="1:11" ht="16" x14ac:dyDescent="0.2">
      <c r="A2295" s="16">
        <v>45549</v>
      </c>
      <c r="B2295" t="s">
        <v>33</v>
      </c>
      <c r="C2295" t="s">
        <v>45</v>
      </c>
      <c r="D2295" t="s">
        <v>20</v>
      </c>
      <c r="E2295" t="s">
        <v>7644</v>
      </c>
      <c r="F2295">
        <v>5</v>
      </c>
      <c r="G2295" s="15">
        <v>2710000</v>
      </c>
      <c r="H2295" s="14">
        <v>0.13075929750140999</v>
      </c>
      <c r="I2295" s="27">
        <f t="shared" si="35"/>
        <v>2355642.3037711792</v>
      </c>
      <c r="J2295">
        <v>4.0999999999999996</v>
      </c>
      <c r="K2295" t="b">
        <v>1</v>
      </c>
    </row>
    <row r="2296" spans="1:11" ht="16" x14ac:dyDescent="0.2">
      <c r="A2296" s="16">
        <v>45550</v>
      </c>
      <c r="B2296" t="s">
        <v>18</v>
      </c>
      <c r="C2296" t="s">
        <v>19</v>
      </c>
      <c r="D2296" t="s">
        <v>20</v>
      </c>
      <c r="E2296" t="s">
        <v>7638</v>
      </c>
      <c r="F2296">
        <v>3</v>
      </c>
      <c r="G2296" s="15">
        <v>2710000</v>
      </c>
      <c r="H2296" s="14">
        <v>0.13075929750140999</v>
      </c>
      <c r="I2296" s="27">
        <f t="shared" si="35"/>
        <v>2355642.3037711792</v>
      </c>
      <c r="J2296">
        <v>4.2</v>
      </c>
      <c r="K2296" t="b">
        <v>1</v>
      </c>
    </row>
    <row r="2297" spans="1:11" ht="16" x14ac:dyDescent="0.2">
      <c r="A2297" s="16">
        <v>45550</v>
      </c>
      <c r="B2297" t="s">
        <v>18</v>
      </c>
      <c r="C2297" t="s">
        <v>19</v>
      </c>
      <c r="D2297" t="s">
        <v>50</v>
      </c>
      <c r="E2297" t="s">
        <v>99</v>
      </c>
      <c r="F2297">
        <v>1</v>
      </c>
      <c r="G2297" s="15">
        <v>2710000</v>
      </c>
      <c r="H2297" s="14">
        <v>0.13075929750140999</v>
      </c>
      <c r="I2297" s="27">
        <f t="shared" si="35"/>
        <v>2355642.3037711792</v>
      </c>
      <c r="J2297">
        <v>4.0999999999999996</v>
      </c>
      <c r="K2297" t="b">
        <v>1</v>
      </c>
    </row>
    <row r="2298" spans="1:11" ht="16" x14ac:dyDescent="0.2">
      <c r="A2298" s="16">
        <v>45550</v>
      </c>
      <c r="B2298" t="s">
        <v>45</v>
      </c>
      <c r="C2298" t="s">
        <v>34</v>
      </c>
      <c r="D2298" t="s">
        <v>20</v>
      </c>
      <c r="E2298" t="s">
        <v>7639</v>
      </c>
      <c r="F2298">
        <v>2</v>
      </c>
      <c r="G2298" s="15">
        <v>2710000</v>
      </c>
      <c r="H2298" s="14">
        <v>0.13075929750140999</v>
      </c>
      <c r="I2298" s="27">
        <f t="shared" si="35"/>
        <v>2355642.3037711792</v>
      </c>
      <c r="J2298">
        <v>4</v>
      </c>
      <c r="K2298" t="b">
        <v>0</v>
      </c>
    </row>
    <row r="2299" spans="1:11" ht="16" x14ac:dyDescent="0.2">
      <c r="A2299" s="16">
        <v>45550</v>
      </c>
      <c r="B2299" t="s">
        <v>18</v>
      </c>
      <c r="C2299" t="s">
        <v>45</v>
      </c>
      <c r="D2299" t="s">
        <v>20</v>
      </c>
      <c r="E2299" t="s">
        <v>57</v>
      </c>
      <c r="F2299">
        <v>4</v>
      </c>
      <c r="G2299" s="15">
        <v>2710000</v>
      </c>
      <c r="H2299" s="14">
        <v>0.13075929750140999</v>
      </c>
      <c r="I2299" s="27">
        <f t="shared" si="35"/>
        <v>2355642.3037711792</v>
      </c>
      <c r="J2299">
        <v>3.7</v>
      </c>
      <c r="K2299" t="b">
        <v>1</v>
      </c>
    </row>
    <row r="2300" spans="1:11" ht="16" x14ac:dyDescent="0.2">
      <c r="A2300" s="16">
        <v>45550</v>
      </c>
      <c r="B2300" t="s">
        <v>18</v>
      </c>
      <c r="C2300" t="s">
        <v>68</v>
      </c>
      <c r="D2300" t="s">
        <v>20</v>
      </c>
      <c r="E2300" t="s">
        <v>7644</v>
      </c>
      <c r="F2300">
        <v>3</v>
      </c>
      <c r="G2300" s="15">
        <v>2710000</v>
      </c>
      <c r="H2300" s="14">
        <v>0.13075929750140999</v>
      </c>
      <c r="I2300" s="27">
        <f t="shared" si="35"/>
        <v>2355642.3037711792</v>
      </c>
      <c r="J2300">
        <v>4</v>
      </c>
      <c r="K2300" t="b">
        <v>1</v>
      </c>
    </row>
    <row r="2301" spans="1:11" ht="16" x14ac:dyDescent="0.2">
      <c r="A2301" s="16">
        <v>45550</v>
      </c>
      <c r="B2301" t="s">
        <v>33</v>
      </c>
      <c r="C2301" t="s">
        <v>34</v>
      </c>
      <c r="D2301" t="s">
        <v>50</v>
      </c>
      <c r="E2301" t="s">
        <v>7640</v>
      </c>
      <c r="F2301">
        <v>1</v>
      </c>
      <c r="G2301" s="15">
        <v>2710000</v>
      </c>
      <c r="H2301" s="14">
        <v>0.13075929750140999</v>
      </c>
      <c r="I2301" s="27">
        <f t="shared" si="35"/>
        <v>2355642.3037711792</v>
      </c>
      <c r="J2301">
        <v>4.5999999999999996</v>
      </c>
      <c r="K2301" t="b">
        <v>1</v>
      </c>
    </row>
    <row r="2302" spans="1:11" ht="16" x14ac:dyDescent="0.2">
      <c r="A2302" s="16">
        <v>45550</v>
      </c>
      <c r="B2302" t="s">
        <v>18</v>
      </c>
      <c r="C2302" t="s">
        <v>39</v>
      </c>
      <c r="D2302" t="s">
        <v>50</v>
      </c>
      <c r="E2302" t="s">
        <v>7637</v>
      </c>
      <c r="F2302">
        <v>2</v>
      </c>
      <c r="G2302" s="15">
        <v>2710000</v>
      </c>
      <c r="H2302" s="14">
        <v>0.13075929750140999</v>
      </c>
      <c r="I2302" s="27">
        <f t="shared" si="35"/>
        <v>2355642.3037711792</v>
      </c>
      <c r="J2302">
        <v>5</v>
      </c>
      <c r="K2302" t="b">
        <v>1</v>
      </c>
    </row>
    <row r="2303" spans="1:11" ht="16" x14ac:dyDescent="0.2">
      <c r="A2303" s="16">
        <v>45550</v>
      </c>
      <c r="B2303" t="s">
        <v>18</v>
      </c>
      <c r="C2303" t="s">
        <v>25</v>
      </c>
      <c r="D2303" t="s">
        <v>35</v>
      </c>
      <c r="E2303" t="s">
        <v>7640</v>
      </c>
      <c r="F2303">
        <v>2</v>
      </c>
      <c r="G2303" s="15">
        <v>2710000</v>
      </c>
      <c r="H2303" s="14">
        <v>0.13075929750140999</v>
      </c>
      <c r="I2303" s="27">
        <f t="shared" si="35"/>
        <v>2355642.3037711792</v>
      </c>
      <c r="J2303">
        <v>4.2</v>
      </c>
      <c r="K2303" t="b">
        <v>0</v>
      </c>
    </row>
    <row r="2304" spans="1:11" ht="16" x14ac:dyDescent="0.2">
      <c r="A2304" s="16">
        <v>45551</v>
      </c>
      <c r="B2304" t="s">
        <v>18</v>
      </c>
      <c r="C2304" t="s">
        <v>19</v>
      </c>
      <c r="D2304" t="s">
        <v>20</v>
      </c>
      <c r="E2304" t="s">
        <v>7639</v>
      </c>
      <c r="F2304">
        <v>2</v>
      </c>
      <c r="G2304" s="15">
        <v>2710000</v>
      </c>
      <c r="H2304" s="14">
        <v>0.13075929750140999</v>
      </c>
      <c r="I2304" s="27">
        <f t="shared" si="35"/>
        <v>2355642.3037711792</v>
      </c>
      <c r="J2304">
        <v>4.3</v>
      </c>
      <c r="K2304" t="b">
        <v>1</v>
      </c>
    </row>
    <row r="2305" spans="1:11" ht="16" x14ac:dyDescent="0.2">
      <c r="A2305" s="16">
        <v>45551</v>
      </c>
      <c r="B2305" t="s">
        <v>33</v>
      </c>
      <c r="C2305" t="s">
        <v>45</v>
      </c>
      <c r="D2305" t="s">
        <v>20</v>
      </c>
      <c r="E2305" t="s">
        <v>7642</v>
      </c>
      <c r="F2305">
        <v>3</v>
      </c>
      <c r="G2305" s="15">
        <v>2710000</v>
      </c>
      <c r="H2305" s="14">
        <v>0.13075929750140999</v>
      </c>
      <c r="I2305" s="27">
        <f t="shared" si="35"/>
        <v>2355642.3037711792</v>
      </c>
      <c r="J2305">
        <v>4.2</v>
      </c>
      <c r="K2305" t="b">
        <v>1</v>
      </c>
    </row>
    <row r="2306" spans="1:11" ht="16" x14ac:dyDescent="0.2">
      <c r="A2306" s="16">
        <v>45551</v>
      </c>
      <c r="B2306" t="s">
        <v>18</v>
      </c>
      <c r="C2306" t="s">
        <v>45</v>
      </c>
      <c r="D2306" t="s">
        <v>20</v>
      </c>
      <c r="E2306" t="s">
        <v>7641</v>
      </c>
      <c r="F2306">
        <v>4</v>
      </c>
      <c r="G2306" s="15">
        <v>2710000</v>
      </c>
      <c r="H2306" s="14">
        <v>0.13075929750140999</v>
      </c>
      <c r="I2306" s="27">
        <f t="shared" si="35"/>
        <v>2355642.3037711792</v>
      </c>
      <c r="J2306">
        <v>4.2</v>
      </c>
      <c r="K2306" t="b">
        <v>1</v>
      </c>
    </row>
    <row r="2307" spans="1:11" ht="16" x14ac:dyDescent="0.2">
      <c r="A2307" s="16">
        <v>45551</v>
      </c>
      <c r="B2307" t="s">
        <v>18</v>
      </c>
      <c r="C2307" t="s">
        <v>19</v>
      </c>
      <c r="D2307" t="s">
        <v>20</v>
      </c>
      <c r="E2307" t="s">
        <v>7644</v>
      </c>
      <c r="F2307">
        <v>1</v>
      </c>
      <c r="G2307" s="15">
        <v>2710000</v>
      </c>
      <c r="H2307" s="14">
        <v>0.13075929750140999</v>
      </c>
      <c r="I2307" s="27">
        <f t="shared" ref="I2307:I2370" si="36">G2307-G2307*H2307</f>
        <v>2355642.3037711792</v>
      </c>
      <c r="J2307">
        <v>3.8</v>
      </c>
      <c r="K2307" t="b">
        <v>1</v>
      </c>
    </row>
    <row r="2308" spans="1:11" ht="16" x14ac:dyDescent="0.2">
      <c r="A2308" s="16">
        <v>45552</v>
      </c>
      <c r="B2308" t="s">
        <v>45</v>
      </c>
      <c r="C2308" t="s">
        <v>45</v>
      </c>
      <c r="D2308" t="s">
        <v>50</v>
      </c>
      <c r="E2308" t="s">
        <v>7637</v>
      </c>
      <c r="F2308">
        <v>2</v>
      </c>
      <c r="G2308" s="15">
        <v>2710000</v>
      </c>
      <c r="H2308" s="14">
        <v>0.13075929750140999</v>
      </c>
      <c r="I2308" s="27">
        <f t="shared" si="36"/>
        <v>2355642.3037711792</v>
      </c>
      <c r="J2308">
        <v>3.5</v>
      </c>
      <c r="K2308" t="b">
        <v>1</v>
      </c>
    </row>
    <row r="2309" spans="1:11" ht="16" x14ac:dyDescent="0.2">
      <c r="A2309" s="16">
        <v>45552</v>
      </c>
      <c r="B2309" t="s">
        <v>45</v>
      </c>
      <c r="C2309" t="s">
        <v>25</v>
      </c>
      <c r="D2309" t="s">
        <v>20</v>
      </c>
      <c r="E2309" t="s">
        <v>99</v>
      </c>
      <c r="F2309">
        <v>1</v>
      </c>
      <c r="G2309" s="15">
        <v>2710000</v>
      </c>
      <c r="H2309" s="14">
        <v>0.13075929750140999</v>
      </c>
      <c r="I2309" s="27">
        <f t="shared" si="36"/>
        <v>2355642.3037711792</v>
      </c>
      <c r="J2309">
        <v>4.2</v>
      </c>
      <c r="K2309" t="b">
        <v>1</v>
      </c>
    </row>
    <row r="2310" spans="1:11" ht="16" x14ac:dyDescent="0.2">
      <c r="A2310" s="16">
        <v>45552</v>
      </c>
      <c r="B2310" t="s">
        <v>18</v>
      </c>
      <c r="C2310" t="s">
        <v>34</v>
      </c>
      <c r="D2310" t="s">
        <v>20</v>
      </c>
      <c r="E2310" t="s">
        <v>7643</v>
      </c>
      <c r="F2310">
        <v>3</v>
      </c>
      <c r="G2310" s="15">
        <v>2710000</v>
      </c>
      <c r="H2310" s="14">
        <v>0.13075929750140999</v>
      </c>
      <c r="I2310" s="27">
        <f t="shared" si="36"/>
        <v>2355642.3037711792</v>
      </c>
      <c r="J2310">
        <v>3.8</v>
      </c>
      <c r="K2310" t="b">
        <v>1</v>
      </c>
    </row>
    <row r="2311" spans="1:11" ht="16" x14ac:dyDescent="0.2">
      <c r="A2311" s="16">
        <v>45552</v>
      </c>
      <c r="B2311" t="s">
        <v>45</v>
      </c>
      <c r="C2311" t="s">
        <v>45</v>
      </c>
      <c r="D2311" t="s">
        <v>20</v>
      </c>
      <c r="E2311" t="s">
        <v>7644</v>
      </c>
      <c r="F2311">
        <v>2</v>
      </c>
      <c r="G2311" s="15">
        <v>2710000</v>
      </c>
      <c r="H2311" s="14">
        <v>0.13075929750140999</v>
      </c>
      <c r="I2311" s="27">
        <f t="shared" si="36"/>
        <v>2355642.3037711792</v>
      </c>
      <c r="J2311">
        <v>3.7</v>
      </c>
      <c r="K2311" t="b">
        <v>1</v>
      </c>
    </row>
    <row r="2312" spans="1:11" ht="16" x14ac:dyDescent="0.2">
      <c r="A2312" s="16">
        <v>45552</v>
      </c>
      <c r="B2312" t="s">
        <v>29</v>
      </c>
      <c r="C2312" t="s">
        <v>39</v>
      </c>
      <c r="D2312" t="s">
        <v>50</v>
      </c>
      <c r="E2312" t="s">
        <v>7641</v>
      </c>
      <c r="F2312">
        <v>1</v>
      </c>
      <c r="G2312" s="15">
        <v>2710000</v>
      </c>
      <c r="H2312" s="14">
        <v>0.13075929750140999</v>
      </c>
      <c r="I2312" s="27">
        <f t="shared" si="36"/>
        <v>2355642.3037711792</v>
      </c>
      <c r="J2312">
        <v>4.0999999999999996</v>
      </c>
      <c r="K2312" t="b">
        <v>1</v>
      </c>
    </row>
    <row r="2313" spans="1:11" ht="16" x14ac:dyDescent="0.2">
      <c r="A2313" s="16">
        <v>45553</v>
      </c>
      <c r="B2313" t="s">
        <v>18</v>
      </c>
      <c r="C2313" t="s">
        <v>45</v>
      </c>
      <c r="D2313" t="s">
        <v>20</v>
      </c>
      <c r="E2313" t="s">
        <v>7641</v>
      </c>
      <c r="F2313">
        <v>4</v>
      </c>
      <c r="G2313" s="15">
        <v>2710000</v>
      </c>
      <c r="H2313" s="14">
        <v>0.13075929750140999</v>
      </c>
      <c r="I2313" s="27">
        <f t="shared" si="36"/>
        <v>2355642.3037711792</v>
      </c>
      <c r="J2313">
        <v>3.8</v>
      </c>
      <c r="K2313" t="b">
        <v>0</v>
      </c>
    </row>
    <row r="2314" spans="1:11" ht="16" x14ac:dyDescent="0.2">
      <c r="A2314" s="16">
        <v>45553</v>
      </c>
      <c r="B2314" t="s">
        <v>45</v>
      </c>
      <c r="C2314" t="s">
        <v>19</v>
      </c>
      <c r="D2314" t="str">
        <f>D2313</f>
        <v>Website</v>
      </c>
      <c r="E2314" t="s">
        <v>7640</v>
      </c>
      <c r="F2314">
        <v>1</v>
      </c>
      <c r="G2314" s="15">
        <v>2710000</v>
      </c>
      <c r="H2314" s="14">
        <v>0.13075929750140999</v>
      </c>
      <c r="I2314" s="27">
        <f t="shared" si="36"/>
        <v>2355642.3037711792</v>
      </c>
      <c r="J2314">
        <v>4.9000000000000004</v>
      </c>
      <c r="K2314" t="b">
        <v>1</v>
      </c>
    </row>
    <row r="2315" spans="1:11" ht="16" x14ac:dyDescent="0.2">
      <c r="A2315" s="16">
        <v>45553</v>
      </c>
      <c r="B2315" t="s">
        <v>45</v>
      </c>
      <c r="C2315" t="s">
        <v>19</v>
      </c>
      <c r="D2315" t="s">
        <v>20</v>
      </c>
      <c r="E2315" t="s">
        <v>7641</v>
      </c>
      <c r="F2315">
        <v>1</v>
      </c>
      <c r="G2315" s="15">
        <v>2710000</v>
      </c>
      <c r="H2315" s="14">
        <v>0.13075929750140999</v>
      </c>
      <c r="I2315" s="27">
        <f t="shared" si="36"/>
        <v>2355642.3037711792</v>
      </c>
      <c r="J2315">
        <v>4.4000000000000004</v>
      </c>
      <c r="K2315" t="b">
        <v>1</v>
      </c>
    </row>
    <row r="2316" spans="1:11" ht="16" x14ac:dyDescent="0.2">
      <c r="A2316" s="16">
        <v>45554</v>
      </c>
      <c r="B2316" t="s">
        <v>45</v>
      </c>
      <c r="C2316" t="s">
        <v>34</v>
      </c>
      <c r="D2316" t="s">
        <v>20</v>
      </c>
      <c r="E2316" t="s">
        <v>7641</v>
      </c>
      <c r="F2316">
        <v>1</v>
      </c>
      <c r="G2316" s="15">
        <v>2710000</v>
      </c>
      <c r="H2316" s="14">
        <v>0.13075929750140999</v>
      </c>
      <c r="I2316" s="27">
        <f t="shared" si="36"/>
        <v>2355642.3037711792</v>
      </c>
      <c r="J2316">
        <v>4.4000000000000004</v>
      </c>
      <c r="K2316" t="b">
        <v>1</v>
      </c>
    </row>
    <row r="2317" spans="1:11" ht="16" x14ac:dyDescent="0.2">
      <c r="A2317" s="16">
        <v>45554</v>
      </c>
      <c r="B2317" t="s">
        <v>18</v>
      </c>
      <c r="C2317" t="s">
        <v>34</v>
      </c>
      <c r="D2317" t="s">
        <v>50</v>
      </c>
      <c r="E2317" t="s">
        <v>7644</v>
      </c>
      <c r="F2317">
        <v>1</v>
      </c>
      <c r="G2317" s="15">
        <v>2710000</v>
      </c>
      <c r="H2317" s="14">
        <v>0.13075929750140999</v>
      </c>
      <c r="I2317" s="27">
        <f t="shared" si="36"/>
        <v>2355642.3037711792</v>
      </c>
      <c r="J2317">
        <v>3.9</v>
      </c>
      <c r="K2317" t="b">
        <v>0</v>
      </c>
    </row>
    <row r="2318" spans="1:11" ht="16" x14ac:dyDescent="0.2">
      <c r="A2318" s="16">
        <v>45554</v>
      </c>
      <c r="B2318" t="s">
        <v>18</v>
      </c>
      <c r="C2318" t="s">
        <v>19</v>
      </c>
      <c r="D2318" t="s">
        <v>35</v>
      </c>
      <c r="E2318" t="s">
        <v>57</v>
      </c>
      <c r="F2318">
        <v>2</v>
      </c>
      <c r="G2318" s="15">
        <v>2710000</v>
      </c>
      <c r="H2318" s="14">
        <v>0.13075929750140999</v>
      </c>
      <c r="I2318" s="27">
        <f t="shared" si="36"/>
        <v>2355642.3037711792</v>
      </c>
      <c r="J2318">
        <v>3.6</v>
      </c>
      <c r="K2318" t="b">
        <v>0</v>
      </c>
    </row>
    <row r="2319" spans="1:11" ht="16" x14ac:dyDescent="0.2">
      <c r="A2319" s="16">
        <v>45555</v>
      </c>
      <c r="B2319" t="s">
        <v>45</v>
      </c>
      <c r="C2319" t="s">
        <v>25</v>
      </c>
      <c r="D2319" t="s">
        <v>50</v>
      </c>
      <c r="E2319" t="s">
        <v>7637</v>
      </c>
      <c r="F2319">
        <v>3</v>
      </c>
      <c r="G2319" s="15">
        <v>2710000</v>
      </c>
      <c r="H2319" s="14">
        <v>0.13075929750140999</v>
      </c>
      <c r="I2319" s="27">
        <f t="shared" si="36"/>
        <v>2355642.3037711792</v>
      </c>
      <c r="J2319">
        <v>4.0999999999999996</v>
      </c>
      <c r="K2319" t="b">
        <v>1</v>
      </c>
    </row>
    <row r="2320" spans="1:11" ht="16" x14ac:dyDescent="0.2">
      <c r="A2320" s="16">
        <v>45555</v>
      </c>
      <c r="B2320" t="s">
        <v>18</v>
      </c>
      <c r="C2320" t="s">
        <v>34</v>
      </c>
      <c r="D2320" t="s">
        <v>50</v>
      </c>
      <c r="E2320" t="s">
        <v>7641</v>
      </c>
      <c r="F2320">
        <v>4</v>
      </c>
      <c r="G2320" s="15">
        <v>2710000</v>
      </c>
      <c r="H2320" s="14">
        <v>0.13075929750140999</v>
      </c>
      <c r="I2320" s="27">
        <f t="shared" si="36"/>
        <v>2355642.3037711792</v>
      </c>
      <c r="J2320">
        <v>3.9</v>
      </c>
      <c r="K2320" t="b">
        <v>0</v>
      </c>
    </row>
    <row r="2321" spans="1:11" ht="16" x14ac:dyDescent="0.2">
      <c r="A2321" s="16">
        <v>45555</v>
      </c>
      <c r="B2321" t="s">
        <v>18</v>
      </c>
      <c r="C2321" t="s">
        <v>39</v>
      </c>
      <c r="D2321" t="s">
        <v>20</v>
      </c>
      <c r="E2321" t="s">
        <v>7638</v>
      </c>
      <c r="F2321">
        <v>1</v>
      </c>
      <c r="G2321" s="15">
        <v>2710000</v>
      </c>
      <c r="H2321" s="14">
        <v>0.13075929750140999</v>
      </c>
      <c r="I2321" s="27">
        <f t="shared" si="36"/>
        <v>2355642.3037711792</v>
      </c>
      <c r="J2321">
        <v>4.0999999999999996</v>
      </c>
      <c r="K2321" t="b">
        <v>1</v>
      </c>
    </row>
    <row r="2322" spans="1:11" ht="16" x14ac:dyDescent="0.2">
      <c r="A2322" s="16">
        <v>45555</v>
      </c>
      <c r="B2322" t="s">
        <v>18</v>
      </c>
      <c r="C2322" t="s">
        <v>34</v>
      </c>
      <c r="D2322" t="s">
        <v>20</v>
      </c>
      <c r="E2322" t="s">
        <v>7640</v>
      </c>
      <c r="F2322">
        <v>2</v>
      </c>
      <c r="G2322" s="15">
        <v>2710000</v>
      </c>
      <c r="H2322" s="14">
        <v>0.13075929750140999</v>
      </c>
      <c r="I2322" s="27">
        <f t="shared" si="36"/>
        <v>2355642.3037711792</v>
      </c>
      <c r="J2322">
        <v>4.2</v>
      </c>
      <c r="K2322" t="b">
        <v>1</v>
      </c>
    </row>
    <row r="2323" spans="1:11" ht="16" x14ac:dyDescent="0.2">
      <c r="A2323" s="16">
        <v>45556</v>
      </c>
      <c r="B2323" t="s">
        <v>45</v>
      </c>
      <c r="C2323" t="s">
        <v>25</v>
      </c>
      <c r="D2323" t="s">
        <v>20</v>
      </c>
      <c r="E2323" t="s">
        <v>99</v>
      </c>
      <c r="F2323">
        <v>1</v>
      </c>
      <c r="G2323" s="15">
        <v>2710000</v>
      </c>
      <c r="H2323" s="14">
        <v>0.13075929750140999</v>
      </c>
      <c r="I2323" s="27">
        <f t="shared" si="36"/>
        <v>2355642.3037711792</v>
      </c>
      <c r="J2323">
        <v>4.3</v>
      </c>
      <c r="K2323" t="b">
        <v>1</v>
      </c>
    </row>
    <row r="2324" spans="1:11" ht="16" x14ac:dyDescent="0.2">
      <c r="A2324" s="16">
        <v>45556</v>
      </c>
      <c r="B2324" t="s">
        <v>29</v>
      </c>
      <c r="C2324" t="s">
        <v>19</v>
      </c>
      <c r="D2324" t="s">
        <v>35</v>
      </c>
      <c r="E2324" t="s">
        <v>7644</v>
      </c>
      <c r="F2324">
        <v>2</v>
      </c>
      <c r="G2324" s="15">
        <v>2710000</v>
      </c>
      <c r="H2324" s="14">
        <v>0.13075929750140999</v>
      </c>
      <c r="I2324" s="27">
        <f t="shared" si="36"/>
        <v>2355642.3037711792</v>
      </c>
      <c r="J2324">
        <v>4.8</v>
      </c>
      <c r="K2324" t="b">
        <v>0</v>
      </c>
    </row>
    <row r="2325" spans="1:11" ht="16" x14ac:dyDescent="0.2">
      <c r="A2325" s="16">
        <v>45556</v>
      </c>
      <c r="B2325" t="s">
        <v>45</v>
      </c>
      <c r="C2325" t="s">
        <v>25</v>
      </c>
      <c r="D2325" t="s">
        <v>20</v>
      </c>
      <c r="E2325" t="s">
        <v>7643</v>
      </c>
      <c r="F2325">
        <v>2</v>
      </c>
      <c r="G2325" s="15">
        <v>2710000</v>
      </c>
      <c r="H2325" s="14">
        <v>0.13075929750140999</v>
      </c>
      <c r="I2325" s="27">
        <f t="shared" si="36"/>
        <v>2355642.3037711792</v>
      </c>
      <c r="J2325">
        <v>4.0999999999999996</v>
      </c>
      <c r="K2325" t="b">
        <v>1</v>
      </c>
    </row>
    <row r="2326" spans="1:11" ht="16" x14ac:dyDescent="0.2">
      <c r="A2326" s="16">
        <v>45556</v>
      </c>
      <c r="B2326" t="s">
        <v>45</v>
      </c>
      <c r="C2326" t="s">
        <v>19</v>
      </c>
      <c r="D2326" t="s">
        <v>20</v>
      </c>
      <c r="E2326" t="s">
        <v>7644</v>
      </c>
      <c r="F2326">
        <v>1</v>
      </c>
      <c r="G2326" s="15">
        <v>2710000</v>
      </c>
      <c r="H2326" s="14">
        <v>0.13075929750140999</v>
      </c>
      <c r="I2326" s="27">
        <f t="shared" si="36"/>
        <v>2355642.3037711792</v>
      </c>
      <c r="J2326">
        <v>4.5</v>
      </c>
      <c r="K2326" t="b">
        <v>0</v>
      </c>
    </row>
    <row r="2327" spans="1:11" ht="16" x14ac:dyDescent="0.2">
      <c r="A2327" s="16">
        <v>45557</v>
      </c>
      <c r="B2327" t="s">
        <v>45</v>
      </c>
      <c r="C2327" t="s">
        <v>68</v>
      </c>
      <c r="D2327" t="str">
        <f>D2326</f>
        <v>Website</v>
      </c>
      <c r="E2327" t="s">
        <v>7638</v>
      </c>
      <c r="F2327">
        <v>4</v>
      </c>
      <c r="G2327" s="15">
        <v>2710000</v>
      </c>
      <c r="H2327" s="14">
        <v>0.13075929750140999</v>
      </c>
      <c r="I2327" s="27">
        <f t="shared" si="36"/>
        <v>2355642.3037711792</v>
      </c>
      <c r="J2327">
        <v>3.9</v>
      </c>
      <c r="K2327" t="b">
        <v>1</v>
      </c>
    </row>
    <row r="2328" spans="1:11" ht="16" x14ac:dyDescent="0.2">
      <c r="A2328" s="16">
        <v>45558</v>
      </c>
      <c r="B2328" t="s">
        <v>18</v>
      </c>
      <c r="C2328" t="s">
        <v>25</v>
      </c>
      <c r="D2328" t="s">
        <v>35</v>
      </c>
      <c r="E2328" t="s">
        <v>7642</v>
      </c>
      <c r="F2328">
        <v>4</v>
      </c>
      <c r="G2328" s="15">
        <v>2710000</v>
      </c>
      <c r="H2328" s="14">
        <v>0.13075929750140999</v>
      </c>
      <c r="I2328" s="27">
        <f t="shared" si="36"/>
        <v>2355642.3037711792</v>
      </c>
      <c r="J2328">
        <v>4.5999999999999996</v>
      </c>
      <c r="K2328" t="b">
        <v>1</v>
      </c>
    </row>
    <row r="2329" spans="1:11" ht="16" x14ac:dyDescent="0.2">
      <c r="A2329" s="16">
        <v>45558</v>
      </c>
      <c r="B2329" t="s">
        <v>33</v>
      </c>
      <c r="C2329" t="s">
        <v>19</v>
      </c>
      <c r="D2329" t="s">
        <v>35</v>
      </c>
      <c r="E2329" t="s">
        <v>57</v>
      </c>
      <c r="F2329">
        <v>1</v>
      </c>
      <c r="G2329" s="15">
        <v>2710000</v>
      </c>
      <c r="H2329" s="14">
        <v>0.13075929750140999</v>
      </c>
      <c r="I2329" s="27">
        <f t="shared" si="36"/>
        <v>2355642.3037711792</v>
      </c>
      <c r="J2329">
        <v>3.5</v>
      </c>
      <c r="K2329" t="b">
        <v>0</v>
      </c>
    </row>
    <row r="2330" spans="1:11" ht="16" x14ac:dyDescent="0.2">
      <c r="A2330" s="16">
        <v>45558</v>
      </c>
      <c r="B2330" t="s">
        <v>18</v>
      </c>
      <c r="C2330" t="s">
        <v>19</v>
      </c>
      <c r="D2330" t="s">
        <v>35</v>
      </c>
      <c r="E2330" t="s">
        <v>7639</v>
      </c>
      <c r="F2330">
        <v>3</v>
      </c>
      <c r="G2330" s="15">
        <v>2710000</v>
      </c>
      <c r="H2330" s="14">
        <v>0.13075929750140999</v>
      </c>
      <c r="I2330" s="27">
        <f t="shared" si="36"/>
        <v>2355642.3037711792</v>
      </c>
      <c r="J2330">
        <v>3.9</v>
      </c>
      <c r="K2330" t="b">
        <v>0</v>
      </c>
    </row>
    <row r="2331" spans="1:11" ht="16" x14ac:dyDescent="0.2">
      <c r="A2331" s="16">
        <v>45558</v>
      </c>
      <c r="B2331" t="s">
        <v>45</v>
      </c>
      <c r="C2331" t="s">
        <v>68</v>
      </c>
      <c r="D2331" t="s">
        <v>50</v>
      </c>
      <c r="E2331" t="s">
        <v>7640</v>
      </c>
      <c r="F2331">
        <v>1</v>
      </c>
      <c r="G2331" s="15">
        <v>2710000</v>
      </c>
      <c r="H2331" s="14">
        <v>0.13075929750140999</v>
      </c>
      <c r="I2331" s="27">
        <f t="shared" si="36"/>
        <v>2355642.3037711792</v>
      </c>
      <c r="J2331">
        <v>4.4000000000000004</v>
      </c>
      <c r="K2331" t="b">
        <v>0</v>
      </c>
    </row>
    <row r="2332" spans="1:11" ht="16" x14ac:dyDescent="0.2">
      <c r="A2332" s="16">
        <v>45559</v>
      </c>
      <c r="B2332" t="s">
        <v>18</v>
      </c>
      <c r="C2332" t="s">
        <v>45</v>
      </c>
      <c r="D2332" t="s">
        <v>35</v>
      </c>
      <c r="E2332" t="s">
        <v>7637</v>
      </c>
      <c r="F2332">
        <v>1</v>
      </c>
      <c r="G2332" s="15">
        <v>2710000</v>
      </c>
      <c r="H2332" s="14">
        <v>0.13075929750140999</v>
      </c>
      <c r="I2332" s="27">
        <f t="shared" si="36"/>
        <v>2355642.3037711792</v>
      </c>
      <c r="J2332">
        <v>4.9000000000000004</v>
      </c>
      <c r="K2332" t="b">
        <v>1</v>
      </c>
    </row>
    <row r="2333" spans="1:11" ht="16" x14ac:dyDescent="0.2">
      <c r="A2333" s="16">
        <v>45559</v>
      </c>
      <c r="B2333" t="s">
        <v>18</v>
      </c>
      <c r="C2333" t="s">
        <v>34</v>
      </c>
      <c r="D2333" t="s">
        <v>20</v>
      </c>
      <c r="E2333" t="str">
        <f>E2332</f>
        <v>Đà Nẵng</v>
      </c>
      <c r="F2333">
        <v>3</v>
      </c>
      <c r="G2333" s="15">
        <v>2710000</v>
      </c>
      <c r="H2333" s="14">
        <v>0.13075929750140999</v>
      </c>
      <c r="I2333" s="27">
        <f t="shared" si="36"/>
        <v>2355642.3037711792</v>
      </c>
      <c r="J2333">
        <v>4.4000000000000004</v>
      </c>
      <c r="K2333" t="b">
        <v>1</v>
      </c>
    </row>
    <row r="2334" spans="1:11" ht="16" x14ac:dyDescent="0.2">
      <c r="A2334" s="16">
        <v>45559</v>
      </c>
      <c r="B2334" t="s">
        <v>29</v>
      </c>
      <c r="C2334" t="s">
        <v>25</v>
      </c>
      <c r="D2334" t="s">
        <v>20</v>
      </c>
      <c r="E2334" t="s">
        <v>7642</v>
      </c>
      <c r="F2334">
        <v>1</v>
      </c>
      <c r="G2334" s="15">
        <v>2710000</v>
      </c>
      <c r="H2334" s="14">
        <v>0.13075929750140999</v>
      </c>
      <c r="I2334" s="27">
        <f t="shared" si="36"/>
        <v>2355642.3037711792</v>
      </c>
      <c r="J2334">
        <v>4.2</v>
      </c>
      <c r="K2334" t="b">
        <v>1</v>
      </c>
    </row>
    <row r="2335" spans="1:11" ht="16" x14ac:dyDescent="0.2">
      <c r="A2335" s="16">
        <v>45559</v>
      </c>
      <c r="B2335" t="s">
        <v>29</v>
      </c>
      <c r="C2335" t="s">
        <v>34</v>
      </c>
      <c r="D2335" t="s">
        <v>50</v>
      </c>
      <c r="E2335" t="s">
        <v>7639</v>
      </c>
      <c r="F2335">
        <v>2</v>
      </c>
      <c r="G2335" s="15">
        <v>2710000</v>
      </c>
      <c r="H2335" s="14">
        <v>0.13075929750140999</v>
      </c>
      <c r="I2335" s="27">
        <f t="shared" si="36"/>
        <v>2355642.3037711792</v>
      </c>
      <c r="J2335">
        <v>3.4</v>
      </c>
      <c r="K2335" t="b">
        <v>0</v>
      </c>
    </row>
    <row r="2336" spans="1:11" ht="16" x14ac:dyDescent="0.2">
      <c r="A2336" s="16">
        <v>45560</v>
      </c>
      <c r="B2336" t="s">
        <v>18</v>
      </c>
      <c r="C2336" t="s">
        <v>25</v>
      </c>
      <c r="D2336" t="s">
        <v>50</v>
      </c>
      <c r="E2336" t="s">
        <v>7644</v>
      </c>
      <c r="F2336">
        <v>2</v>
      </c>
      <c r="G2336" s="15">
        <v>2710000</v>
      </c>
      <c r="H2336" s="14">
        <v>0.13075929750140999</v>
      </c>
      <c r="I2336" s="27">
        <f t="shared" si="36"/>
        <v>2355642.3037711792</v>
      </c>
      <c r="J2336">
        <v>4.4000000000000004</v>
      </c>
      <c r="K2336" t="b">
        <v>0</v>
      </c>
    </row>
    <row r="2337" spans="1:11" ht="16" x14ac:dyDescent="0.2">
      <c r="A2337" s="16">
        <v>45560</v>
      </c>
      <c r="B2337" t="s">
        <v>33</v>
      </c>
      <c r="C2337" t="s">
        <v>68</v>
      </c>
      <c r="D2337" t="s">
        <v>35</v>
      </c>
      <c r="E2337" t="s">
        <v>57</v>
      </c>
      <c r="F2337">
        <v>1</v>
      </c>
      <c r="G2337" s="15">
        <v>2710000</v>
      </c>
      <c r="H2337" s="14">
        <v>0.13075929750140999</v>
      </c>
      <c r="I2337" s="27">
        <f t="shared" si="36"/>
        <v>2355642.3037711792</v>
      </c>
      <c r="J2337">
        <v>4.8</v>
      </c>
      <c r="K2337" t="b">
        <v>1</v>
      </c>
    </row>
    <row r="2338" spans="1:11" ht="16" x14ac:dyDescent="0.2">
      <c r="A2338" s="16">
        <v>45560</v>
      </c>
      <c r="B2338" t="s">
        <v>18</v>
      </c>
      <c r="C2338" t="s">
        <v>45</v>
      </c>
      <c r="D2338" t="s">
        <v>20</v>
      </c>
      <c r="E2338" t="s">
        <v>7642</v>
      </c>
      <c r="F2338">
        <v>1</v>
      </c>
      <c r="G2338" s="15">
        <v>2710000</v>
      </c>
      <c r="H2338" s="14">
        <v>0.13075929750140999</v>
      </c>
      <c r="I2338" s="27">
        <f t="shared" si="36"/>
        <v>2355642.3037711792</v>
      </c>
      <c r="J2338">
        <v>4.2</v>
      </c>
      <c r="K2338" t="b">
        <v>1</v>
      </c>
    </row>
    <row r="2339" spans="1:11" ht="16" x14ac:dyDescent="0.2">
      <c r="A2339" s="16">
        <v>45560</v>
      </c>
      <c r="B2339" t="s">
        <v>45</v>
      </c>
      <c r="C2339" t="s">
        <v>68</v>
      </c>
      <c r="D2339" t="s">
        <v>50</v>
      </c>
      <c r="E2339" t="s">
        <v>57</v>
      </c>
      <c r="F2339">
        <v>2</v>
      </c>
      <c r="G2339" s="15">
        <v>2710000</v>
      </c>
      <c r="H2339" s="14">
        <v>0.13075929750140999</v>
      </c>
      <c r="I2339" s="27">
        <f t="shared" si="36"/>
        <v>2355642.3037711792</v>
      </c>
      <c r="J2339">
        <v>5</v>
      </c>
      <c r="K2339" t="b">
        <v>0</v>
      </c>
    </row>
    <row r="2340" spans="1:11" ht="16" x14ac:dyDescent="0.2">
      <c r="A2340" s="16">
        <v>45560</v>
      </c>
      <c r="B2340" t="s">
        <v>18</v>
      </c>
      <c r="C2340" t="s">
        <v>39</v>
      </c>
      <c r="D2340" t="s">
        <v>35</v>
      </c>
      <c r="E2340" t="s">
        <v>57</v>
      </c>
      <c r="F2340">
        <v>1</v>
      </c>
      <c r="G2340" s="15">
        <v>2710000</v>
      </c>
      <c r="H2340" s="14">
        <v>0.13075929750140999</v>
      </c>
      <c r="I2340" s="27">
        <f t="shared" si="36"/>
        <v>2355642.3037711792</v>
      </c>
      <c r="J2340">
        <v>4.5999999999999996</v>
      </c>
      <c r="K2340" t="b">
        <v>1</v>
      </c>
    </row>
    <row r="2341" spans="1:11" ht="16" x14ac:dyDescent="0.2">
      <c r="A2341" s="16">
        <v>45560</v>
      </c>
      <c r="B2341" t="s">
        <v>45</v>
      </c>
      <c r="C2341" t="s">
        <v>25</v>
      </c>
      <c r="D2341" t="s">
        <v>20</v>
      </c>
      <c r="E2341" t="s">
        <v>57</v>
      </c>
      <c r="F2341">
        <v>1</v>
      </c>
      <c r="G2341" s="15">
        <v>2710000</v>
      </c>
      <c r="H2341" s="14">
        <v>0.13075929750140999</v>
      </c>
      <c r="I2341" s="27">
        <f t="shared" si="36"/>
        <v>2355642.3037711792</v>
      </c>
      <c r="J2341">
        <v>3.7</v>
      </c>
      <c r="K2341" t="b">
        <v>1</v>
      </c>
    </row>
    <row r="2342" spans="1:11" ht="16" x14ac:dyDescent="0.2">
      <c r="A2342" s="16">
        <v>45561</v>
      </c>
      <c r="B2342" t="s">
        <v>18</v>
      </c>
      <c r="C2342" t="s">
        <v>34</v>
      </c>
      <c r="D2342" t="s">
        <v>50</v>
      </c>
      <c r="E2342" t="s">
        <v>7639</v>
      </c>
      <c r="F2342">
        <v>1</v>
      </c>
      <c r="G2342" s="15">
        <v>2710000</v>
      </c>
      <c r="H2342" s="14">
        <v>0.13075929750140999</v>
      </c>
      <c r="I2342" s="27">
        <f t="shared" si="36"/>
        <v>2355642.3037711792</v>
      </c>
      <c r="J2342">
        <v>4.3</v>
      </c>
      <c r="K2342" t="b">
        <v>1</v>
      </c>
    </row>
    <row r="2343" spans="1:11" ht="16" x14ac:dyDescent="0.2">
      <c r="A2343" s="16">
        <v>45561</v>
      </c>
      <c r="B2343" t="s">
        <v>18</v>
      </c>
      <c r="C2343" t="s">
        <v>45</v>
      </c>
      <c r="D2343" t="s">
        <v>20</v>
      </c>
      <c r="E2343" t="s">
        <v>7642</v>
      </c>
      <c r="F2343">
        <v>3</v>
      </c>
      <c r="G2343" s="15">
        <v>2710000</v>
      </c>
      <c r="H2343" s="14">
        <v>0.13075929750140999</v>
      </c>
      <c r="I2343" s="27">
        <f t="shared" si="36"/>
        <v>2355642.3037711792</v>
      </c>
      <c r="J2343">
        <v>4.8</v>
      </c>
      <c r="K2343" t="b">
        <v>0</v>
      </c>
    </row>
    <row r="2344" spans="1:11" ht="16" x14ac:dyDescent="0.2">
      <c r="A2344" s="16">
        <v>45561</v>
      </c>
      <c r="B2344" t="str">
        <f>B2343</f>
        <v>Young Professional</v>
      </c>
      <c r="C2344" t="s">
        <v>45</v>
      </c>
      <c r="D2344" t="s">
        <v>35</v>
      </c>
      <c r="E2344" t="s">
        <v>7641</v>
      </c>
      <c r="F2344">
        <v>3</v>
      </c>
      <c r="G2344" s="15">
        <v>2710000</v>
      </c>
      <c r="H2344" s="14">
        <v>0.13075929750140999</v>
      </c>
      <c r="I2344" s="27">
        <f t="shared" si="36"/>
        <v>2355642.3037711792</v>
      </c>
      <c r="J2344">
        <v>4.0999999999999996</v>
      </c>
      <c r="K2344" t="b">
        <v>1</v>
      </c>
    </row>
    <row r="2345" spans="1:11" ht="16" x14ac:dyDescent="0.2">
      <c r="A2345" s="16">
        <v>45561</v>
      </c>
      <c r="B2345" t="s">
        <v>33</v>
      </c>
      <c r="C2345" t="s">
        <v>19</v>
      </c>
      <c r="D2345" t="s">
        <v>35</v>
      </c>
      <c r="E2345" t="s">
        <v>7644</v>
      </c>
      <c r="F2345">
        <v>2</v>
      </c>
      <c r="G2345" s="15">
        <v>2710000</v>
      </c>
      <c r="H2345" s="14">
        <v>0.13075929750140999</v>
      </c>
      <c r="I2345" s="27">
        <f t="shared" si="36"/>
        <v>2355642.3037711792</v>
      </c>
      <c r="J2345">
        <v>4.5999999999999996</v>
      </c>
      <c r="K2345" t="b">
        <v>1</v>
      </c>
    </row>
    <row r="2346" spans="1:11" ht="16" x14ac:dyDescent="0.2">
      <c r="A2346" s="16">
        <v>45561</v>
      </c>
      <c r="B2346" t="s">
        <v>45</v>
      </c>
      <c r="C2346" t="s">
        <v>34</v>
      </c>
      <c r="D2346" t="s">
        <v>50</v>
      </c>
      <c r="E2346" t="s">
        <v>7637</v>
      </c>
      <c r="F2346">
        <v>1</v>
      </c>
      <c r="G2346" s="15">
        <v>2710000</v>
      </c>
      <c r="H2346" s="14">
        <v>0.13075929750140999</v>
      </c>
      <c r="I2346" s="27">
        <f t="shared" si="36"/>
        <v>2355642.3037711792</v>
      </c>
      <c r="J2346">
        <v>3.6</v>
      </c>
      <c r="K2346" t="b">
        <v>1</v>
      </c>
    </row>
    <row r="2347" spans="1:11" ht="16" x14ac:dyDescent="0.2">
      <c r="A2347" s="16">
        <v>45562</v>
      </c>
      <c r="B2347" t="s">
        <v>45</v>
      </c>
      <c r="C2347" t="s">
        <v>25</v>
      </c>
      <c r="D2347" t="s">
        <v>20</v>
      </c>
      <c r="E2347" t="s">
        <v>7643</v>
      </c>
      <c r="F2347">
        <v>1</v>
      </c>
      <c r="G2347" s="15">
        <v>2710000</v>
      </c>
      <c r="H2347" s="14">
        <v>0.13075929750140999</v>
      </c>
      <c r="I2347" s="27">
        <f t="shared" si="36"/>
        <v>2355642.3037711792</v>
      </c>
      <c r="J2347">
        <v>3.6</v>
      </c>
      <c r="K2347" t="b">
        <v>1</v>
      </c>
    </row>
    <row r="2348" spans="1:11" ht="16" x14ac:dyDescent="0.2">
      <c r="A2348" s="16">
        <v>45562</v>
      </c>
      <c r="B2348" t="s">
        <v>33</v>
      </c>
      <c r="C2348" t="s">
        <v>25</v>
      </c>
      <c r="D2348" t="s">
        <v>35</v>
      </c>
      <c r="E2348" t="s">
        <v>7639</v>
      </c>
      <c r="F2348">
        <v>1</v>
      </c>
      <c r="G2348" s="15">
        <v>2710000</v>
      </c>
      <c r="H2348" s="14">
        <v>0.13075929750140999</v>
      </c>
      <c r="I2348" s="27">
        <f t="shared" si="36"/>
        <v>2355642.3037711792</v>
      </c>
      <c r="J2348">
        <v>4.8</v>
      </c>
      <c r="K2348" t="b">
        <v>1</v>
      </c>
    </row>
    <row r="2349" spans="1:11" ht="16" x14ac:dyDescent="0.2">
      <c r="A2349" s="16">
        <v>45562</v>
      </c>
      <c r="B2349" t="s">
        <v>18</v>
      </c>
      <c r="C2349" t="s">
        <v>34</v>
      </c>
      <c r="D2349" t="s">
        <v>50</v>
      </c>
      <c r="E2349" t="s">
        <v>7641</v>
      </c>
      <c r="F2349">
        <v>3</v>
      </c>
      <c r="G2349" s="15">
        <v>2710000</v>
      </c>
      <c r="H2349" s="14">
        <v>0.13075929750140999</v>
      </c>
      <c r="I2349" s="27">
        <f t="shared" si="36"/>
        <v>2355642.3037711792</v>
      </c>
      <c r="J2349">
        <v>3.6</v>
      </c>
      <c r="K2349" t="b">
        <v>0</v>
      </c>
    </row>
    <row r="2350" spans="1:11" ht="16" x14ac:dyDescent="0.2">
      <c r="A2350" s="16">
        <v>45562</v>
      </c>
      <c r="B2350" t="s">
        <v>45</v>
      </c>
      <c r="C2350" t="s">
        <v>45</v>
      </c>
      <c r="D2350" t="s">
        <v>50</v>
      </c>
      <c r="E2350" t="s">
        <v>7643</v>
      </c>
      <c r="F2350">
        <v>4</v>
      </c>
      <c r="G2350" s="15">
        <v>2710000</v>
      </c>
      <c r="H2350" s="14">
        <v>0.13075929750140999</v>
      </c>
      <c r="I2350" s="27">
        <f t="shared" si="36"/>
        <v>2355642.3037711792</v>
      </c>
      <c r="J2350">
        <v>4.7</v>
      </c>
      <c r="K2350" t="b">
        <v>1</v>
      </c>
    </row>
    <row r="2351" spans="1:11" ht="16" x14ac:dyDescent="0.2">
      <c r="A2351" s="16">
        <v>45562</v>
      </c>
      <c r="B2351" t="s">
        <v>33</v>
      </c>
      <c r="C2351" t="s">
        <v>45</v>
      </c>
      <c r="D2351" t="s">
        <v>20</v>
      </c>
      <c r="E2351" t="s">
        <v>7638</v>
      </c>
      <c r="F2351">
        <v>2</v>
      </c>
      <c r="G2351" s="15">
        <v>2710000</v>
      </c>
      <c r="H2351" s="14">
        <v>0.13075929750140999</v>
      </c>
      <c r="I2351" s="27">
        <f t="shared" si="36"/>
        <v>2355642.3037711792</v>
      </c>
      <c r="J2351">
        <v>5</v>
      </c>
      <c r="K2351" t="b">
        <v>1</v>
      </c>
    </row>
    <row r="2352" spans="1:11" ht="16" x14ac:dyDescent="0.2">
      <c r="A2352" s="16">
        <v>45563</v>
      </c>
      <c r="B2352" t="s">
        <v>33</v>
      </c>
      <c r="C2352" t="s">
        <v>19</v>
      </c>
      <c r="D2352" t="s">
        <v>20</v>
      </c>
      <c r="E2352" t="s">
        <v>7643</v>
      </c>
      <c r="F2352">
        <v>3</v>
      </c>
      <c r="G2352" s="15">
        <v>2710000</v>
      </c>
      <c r="H2352" s="14">
        <v>0.13075929750140999</v>
      </c>
      <c r="I2352" s="27">
        <f t="shared" si="36"/>
        <v>2355642.3037711792</v>
      </c>
      <c r="J2352">
        <v>3.7</v>
      </c>
      <c r="K2352" t="b">
        <v>1</v>
      </c>
    </row>
    <row r="2353" spans="1:11" ht="16" x14ac:dyDescent="0.2">
      <c r="A2353" s="16">
        <v>45563</v>
      </c>
      <c r="B2353" t="s">
        <v>18</v>
      </c>
      <c r="C2353" t="s">
        <v>25</v>
      </c>
      <c r="D2353" t="s">
        <v>20</v>
      </c>
      <c r="E2353" t="s">
        <v>57</v>
      </c>
      <c r="F2353">
        <v>1</v>
      </c>
      <c r="G2353" s="15">
        <v>2710000</v>
      </c>
      <c r="H2353" s="14">
        <v>0.13075929750140999</v>
      </c>
      <c r="I2353" s="27">
        <f t="shared" si="36"/>
        <v>2355642.3037711792</v>
      </c>
      <c r="J2353">
        <v>4.5999999999999996</v>
      </c>
      <c r="K2353" t="b">
        <v>0</v>
      </c>
    </row>
    <row r="2354" spans="1:11" ht="16" x14ac:dyDescent="0.2">
      <c r="A2354" s="16">
        <v>45563</v>
      </c>
      <c r="B2354" t="s">
        <v>29</v>
      </c>
      <c r="C2354" t="s">
        <v>19</v>
      </c>
      <c r="D2354" t="s">
        <v>20</v>
      </c>
      <c r="E2354" t="s">
        <v>7643</v>
      </c>
      <c r="F2354">
        <v>3</v>
      </c>
      <c r="G2354" s="15">
        <v>2710000</v>
      </c>
      <c r="H2354" s="14">
        <v>0.13075929750140999</v>
      </c>
      <c r="I2354" s="27">
        <f t="shared" si="36"/>
        <v>2355642.3037711792</v>
      </c>
      <c r="J2354">
        <v>4.8</v>
      </c>
      <c r="K2354" t="b">
        <v>1</v>
      </c>
    </row>
    <row r="2355" spans="1:11" ht="16" x14ac:dyDescent="0.2">
      <c r="A2355" s="16">
        <v>45563</v>
      </c>
      <c r="B2355" t="s">
        <v>29</v>
      </c>
      <c r="C2355" t="s">
        <v>34</v>
      </c>
      <c r="D2355" t="s">
        <v>20</v>
      </c>
      <c r="E2355" t="s">
        <v>7643</v>
      </c>
      <c r="F2355">
        <v>4</v>
      </c>
      <c r="G2355" s="15">
        <v>2710000</v>
      </c>
      <c r="H2355" s="14">
        <v>0.13075929750140999</v>
      </c>
      <c r="I2355" s="27">
        <f t="shared" si="36"/>
        <v>2355642.3037711792</v>
      </c>
      <c r="J2355">
        <v>3.8</v>
      </c>
      <c r="K2355" t="b">
        <v>1</v>
      </c>
    </row>
    <row r="2356" spans="1:11" ht="16" x14ac:dyDescent="0.2">
      <c r="A2356" s="16">
        <v>45564</v>
      </c>
      <c r="B2356" t="s">
        <v>45</v>
      </c>
      <c r="C2356" t="s">
        <v>25</v>
      </c>
      <c r="D2356" t="s">
        <v>50</v>
      </c>
      <c r="E2356" t="s">
        <v>99</v>
      </c>
      <c r="F2356">
        <v>3</v>
      </c>
      <c r="G2356" s="15">
        <v>2710000</v>
      </c>
      <c r="H2356" s="14">
        <v>0.13075929750140999</v>
      </c>
      <c r="I2356" s="27">
        <f t="shared" si="36"/>
        <v>2355642.3037711792</v>
      </c>
      <c r="J2356">
        <v>3.7</v>
      </c>
      <c r="K2356" t="b">
        <v>1</v>
      </c>
    </row>
    <row r="2357" spans="1:11" ht="16" x14ac:dyDescent="0.2">
      <c r="A2357" s="16">
        <v>45564</v>
      </c>
      <c r="B2357" t="s">
        <v>18</v>
      </c>
      <c r="C2357" t="s">
        <v>68</v>
      </c>
      <c r="D2357" t="s">
        <v>35</v>
      </c>
      <c r="E2357" t="str">
        <f>E2356</f>
        <v>Sa Pa</v>
      </c>
      <c r="F2357">
        <v>1</v>
      </c>
      <c r="G2357" s="15">
        <v>2710000</v>
      </c>
      <c r="H2357" s="14">
        <v>0.13075929750140999</v>
      </c>
      <c r="I2357" s="27">
        <f t="shared" si="36"/>
        <v>2355642.3037711792</v>
      </c>
      <c r="J2357">
        <v>4.2</v>
      </c>
      <c r="K2357" t="b">
        <v>0</v>
      </c>
    </row>
    <row r="2358" spans="1:11" ht="16" x14ac:dyDescent="0.2">
      <c r="A2358" s="16">
        <v>45564</v>
      </c>
      <c r="B2358" t="s">
        <v>18</v>
      </c>
      <c r="C2358" t="s">
        <v>34</v>
      </c>
      <c r="D2358" t="s">
        <v>20</v>
      </c>
      <c r="E2358" t="s">
        <v>7641</v>
      </c>
      <c r="F2358">
        <v>2</v>
      </c>
      <c r="G2358" s="15">
        <v>2710000</v>
      </c>
      <c r="H2358" s="14">
        <v>0.13075929750140999</v>
      </c>
      <c r="I2358" s="27">
        <f t="shared" si="36"/>
        <v>2355642.3037711792</v>
      </c>
      <c r="J2358">
        <v>4.5</v>
      </c>
      <c r="K2358" t="b">
        <v>0</v>
      </c>
    </row>
    <row r="2359" spans="1:11" ht="16" x14ac:dyDescent="0.2">
      <c r="A2359" s="16">
        <v>45564</v>
      </c>
      <c r="B2359" t="s">
        <v>29</v>
      </c>
      <c r="C2359" t="s">
        <v>34</v>
      </c>
      <c r="D2359" t="s">
        <v>20</v>
      </c>
      <c r="E2359" t="s">
        <v>57</v>
      </c>
      <c r="F2359">
        <v>5</v>
      </c>
      <c r="G2359" s="15">
        <v>2710000</v>
      </c>
      <c r="H2359" s="14">
        <v>0.13075929750140999</v>
      </c>
      <c r="I2359" s="27">
        <f t="shared" si="36"/>
        <v>2355642.3037711792</v>
      </c>
      <c r="J2359">
        <v>4.5999999999999996</v>
      </c>
      <c r="K2359" t="b">
        <v>1</v>
      </c>
    </row>
    <row r="2360" spans="1:11" ht="16" x14ac:dyDescent="0.2">
      <c r="A2360" s="16">
        <v>45564</v>
      </c>
      <c r="B2360" t="s">
        <v>45</v>
      </c>
      <c r="C2360" t="s">
        <v>34</v>
      </c>
      <c r="D2360" t="s">
        <v>20</v>
      </c>
      <c r="E2360" t="s">
        <v>7643</v>
      </c>
      <c r="F2360">
        <v>3</v>
      </c>
      <c r="G2360" s="15">
        <v>2710000</v>
      </c>
      <c r="H2360" s="14">
        <v>0.13075929750140999</v>
      </c>
      <c r="I2360" s="27">
        <f t="shared" si="36"/>
        <v>2355642.3037711792</v>
      </c>
      <c r="J2360">
        <v>3.8</v>
      </c>
      <c r="K2360" t="b">
        <v>1</v>
      </c>
    </row>
    <row r="2361" spans="1:11" ht="16" x14ac:dyDescent="0.2">
      <c r="A2361" s="16">
        <v>45565</v>
      </c>
      <c r="B2361" t="s">
        <v>33</v>
      </c>
      <c r="C2361" t="s">
        <v>34</v>
      </c>
      <c r="D2361" t="s">
        <v>50</v>
      </c>
      <c r="E2361" t="s">
        <v>99</v>
      </c>
      <c r="F2361">
        <v>2</v>
      </c>
      <c r="G2361" s="15">
        <v>2710000</v>
      </c>
      <c r="H2361" s="14">
        <v>0.13075929750140999</v>
      </c>
      <c r="I2361" s="27">
        <f t="shared" si="36"/>
        <v>2355642.3037711792</v>
      </c>
      <c r="J2361">
        <v>4</v>
      </c>
      <c r="K2361" t="b">
        <v>0</v>
      </c>
    </row>
    <row r="2362" spans="1:11" ht="16" x14ac:dyDescent="0.2">
      <c r="A2362" s="16">
        <v>45565</v>
      </c>
      <c r="B2362" t="s">
        <v>33</v>
      </c>
      <c r="C2362" t="s">
        <v>34</v>
      </c>
      <c r="D2362" t="s">
        <v>35</v>
      </c>
      <c r="E2362" t="s">
        <v>7644</v>
      </c>
      <c r="F2362">
        <v>1</v>
      </c>
      <c r="G2362" s="15">
        <v>2710000</v>
      </c>
      <c r="H2362" s="14">
        <v>0.13075929750140999</v>
      </c>
      <c r="I2362" s="27">
        <f t="shared" si="36"/>
        <v>2355642.3037711792</v>
      </c>
      <c r="J2362">
        <v>4.5</v>
      </c>
      <c r="K2362" t="b">
        <v>0</v>
      </c>
    </row>
    <row r="2363" spans="1:11" ht="16" x14ac:dyDescent="0.2">
      <c r="A2363" s="16">
        <v>45566</v>
      </c>
      <c r="B2363" t="s">
        <v>45</v>
      </c>
      <c r="C2363" t="s">
        <v>39</v>
      </c>
      <c r="D2363" t="s">
        <v>50</v>
      </c>
      <c r="E2363" t="s">
        <v>57</v>
      </c>
      <c r="F2363">
        <v>2</v>
      </c>
      <c r="G2363" s="15">
        <v>2710000</v>
      </c>
      <c r="H2363" s="14">
        <v>0.13075929750140999</v>
      </c>
      <c r="I2363" s="27">
        <f t="shared" si="36"/>
        <v>2355642.3037711792</v>
      </c>
      <c r="J2363">
        <v>4.9000000000000004</v>
      </c>
      <c r="K2363" t="b">
        <v>0</v>
      </c>
    </row>
    <row r="2364" spans="1:11" ht="16" x14ac:dyDescent="0.2">
      <c r="A2364" s="16">
        <v>45566</v>
      </c>
      <c r="B2364" t="s">
        <v>18</v>
      </c>
      <c r="C2364" t="s">
        <v>25</v>
      </c>
      <c r="D2364" t="s">
        <v>35</v>
      </c>
      <c r="E2364" t="s">
        <v>7640</v>
      </c>
      <c r="F2364">
        <v>2</v>
      </c>
      <c r="G2364" s="15">
        <v>2710000</v>
      </c>
      <c r="H2364" s="14">
        <v>0.13075929750140999</v>
      </c>
      <c r="I2364" s="27">
        <f t="shared" si="36"/>
        <v>2355642.3037711792</v>
      </c>
      <c r="J2364">
        <v>4.3</v>
      </c>
      <c r="K2364" t="b">
        <v>0</v>
      </c>
    </row>
    <row r="2365" spans="1:11" ht="16" x14ac:dyDescent="0.2">
      <c r="A2365" s="16">
        <v>45566</v>
      </c>
      <c r="B2365" t="s">
        <v>18</v>
      </c>
      <c r="C2365" t="s">
        <v>25</v>
      </c>
      <c r="D2365" t="s">
        <v>35</v>
      </c>
      <c r="E2365" t="s">
        <v>57</v>
      </c>
      <c r="F2365">
        <v>4</v>
      </c>
      <c r="G2365" s="15">
        <v>2710000</v>
      </c>
      <c r="H2365" s="14">
        <v>0.13075929750140999</v>
      </c>
      <c r="I2365" s="27">
        <f t="shared" si="36"/>
        <v>2355642.3037711792</v>
      </c>
      <c r="J2365">
        <v>4.3</v>
      </c>
      <c r="K2365" t="b">
        <v>0</v>
      </c>
    </row>
    <row r="2366" spans="1:11" ht="16" x14ac:dyDescent="0.2">
      <c r="A2366" s="16">
        <v>45566</v>
      </c>
      <c r="B2366" t="s">
        <v>18</v>
      </c>
      <c r="C2366" t="s">
        <v>25</v>
      </c>
      <c r="D2366" t="s">
        <v>20</v>
      </c>
      <c r="E2366" t="s">
        <v>7641</v>
      </c>
      <c r="F2366">
        <v>3</v>
      </c>
      <c r="G2366" s="15">
        <v>2710000</v>
      </c>
      <c r="H2366" s="14">
        <v>0.13075929750140999</v>
      </c>
      <c r="I2366" s="27">
        <f t="shared" si="36"/>
        <v>2355642.3037711792</v>
      </c>
      <c r="J2366">
        <v>4.5</v>
      </c>
      <c r="K2366" t="b">
        <v>1</v>
      </c>
    </row>
    <row r="2367" spans="1:11" ht="16" x14ac:dyDescent="0.2">
      <c r="A2367" s="16">
        <v>45566</v>
      </c>
      <c r="B2367" t="s">
        <v>29</v>
      </c>
      <c r="C2367" t="s">
        <v>19</v>
      </c>
      <c r="D2367" t="s">
        <v>35</v>
      </c>
      <c r="E2367" t="s">
        <v>7641</v>
      </c>
      <c r="F2367">
        <v>2</v>
      </c>
      <c r="G2367" s="15">
        <v>2710000</v>
      </c>
      <c r="H2367" s="14">
        <v>0.13075929750140999</v>
      </c>
      <c r="I2367" s="27">
        <f t="shared" si="36"/>
        <v>2355642.3037711792</v>
      </c>
      <c r="J2367">
        <v>3</v>
      </c>
      <c r="K2367" t="b">
        <v>1</v>
      </c>
    </row>
    <row r="2368" spans="1:11" ht="16" x14ac:dyDescent="0.2">
      <c r="A2368" s="16">
        <v>45566</v>
      </c>
      <c r="B2368" t="s">
        <v>45</v>
      </c>
      <c r="C2368" t="s">
        <v>19</v>
      </c>
      <c r="D2368" t="s">
        <v>35</v>
      </c>
      <c r="E2368" t="s">
        <v>7644</v>
      </c>
      <c r="F2368">
        <v>3</v>
      </c>
      <c r="G2368" s="15">
        <v>2710000</v>
      </c>
      <c r="H2368" s="14">
        <v>0.13075929750140999</v>
      </c>
      <c r="I2368" s="27">
        <f t="shared" si="36"/>
        <v>2355642.3037711792</v>
      </c>
      <c r="J2368">
        <v>4.5</v>
      </c>
      <c r="K2368" t="b">
        <v>0</v>
      </c>
    </row>
    <row r="2369" spans="1:11" ht="16" x14ac:dyDescent="0.2">
      <c r="A2369" s="16">
        <v>45567</v>
      </c>
      <c r="B2369" t="str">
        <f>B2368</f>
        <v>Family</v>
      </c>
      <c r="C2369" t="s">
        <v>45</v>
      </c>
      <c r="D2369" t="s">
        <v>20</v>
      </c>
      <c r="E2369" t="s">
        <v>7641</v>
      </c>
      <c r="F2369">
        <v>2</v>
      </c>
      <c r="G2369" s="15">
        <v>2710000</v>
      </c>
      <c r="H2369" s="14">
        <v>0.13075929750140999</v>
      </c>
      <c r="I2369" s="27">
        <f t="shared" si="36"/>
        <v>2355642.3037711792</v>
      </c>
      <c r="J2369">
        <v>4</v>
      </c>
      <c r="K2369" t="b">
        <v>1</v>
      </c>
    </row>
    <row r="2370" spans="1:11" ht="16" x14ac:dyDescent="0.2">
      <c r="A2370" s="16">
        <v>45567</v>
      </c>
      <c r="B2370" t="s">
        <v>45</v>
      </c>
      <c r="C2370" t="s">
        <v>39</v>
      </c>
      <c r="D2370" t="s">
        <v>35</v>
      </c>
      <c r="E2370" t="s">
        <v>7641</v>
      </c>
      <c r="F2370">
        <v>1</v>
      </c>
      <c r="G2370" s="15">
        <v>2710000</v>
      </c>
      <c r="H2370" s="14">
        <v>0.13075929750140999</v>
      </c>
      <c r="I2370" s="27">
        <f t="shared" si="36"/>
        <v>2355642.3037711792</v>
      </c>
      <c r="J2370">
        <v>3.4</v>
      </c>
      <c r="K2370" t="b">
        <v>1</v>
      </c>
    </row>
    <row r="2371" spans="1:11" ht="16" x14ac:dyDescent="0.2">
      <c r="A2371" s="16">
        <v>45567</v>
      </c>
      <c r="B2371" t="s">
        <v>45</v>
      </c>
      <c r="C2371" t="s">
        <v>25</v>
      </c>
      <c r="D2371" t="s">
        <v>20</v>
      </c>
      <c r="E2371" t="s">
        <v>57</v>
      </c>
      <c r="F2371">
        <v>2</v>
      </c>
      <c r="G2371" s="15">
        <v>2710000</v>
      </c>
      <c r="H2371" s="14">
        <v>0.13075929750140999</v>
      </c>
      <c r="I2371" s="27">
        <f t="shared" ref="I2371:I2434" si="37">G2371-G2371*H2371</f>
        <v>2355642.3037711792</v>
      </c>
      <c r="J2371">
        <v>4.8</v>
      </c>
      <c r="K2371" t="b">
        <v>1</v>
      </c>
    </row>
    <row r="2372" spans="1:11" ht="16" x14ac:dyDescent="0.2">
      <c r="A2372" s="16">
        <v>45567</v>
      </c>
      <c r="B2372" t="s">
        <v>29</v>
      </c>
      <c r="C2372" t="s">
        <v>34</v>
      </c>
      <c r="D2372" t="s">
        <v>20</v>
      </c>
      <c r="E2372" t="s">
        <v>99</v>
      </c>
      <c r="F2372">
        <v>2</v>
      </c>
      <c r="G2372" s="15">
        <v>2710000</v>
      </c>
      <c r="H2372" s="14">
        <v>0.13075929750140999</v>
      </c>
      <c r="I2372" s="27">
        <f t="shared" si="37"/>
        <v>2355642.3037711792</v>
      </c>
      <c r="J2372">
        <v>3.7</v>
      </c>
      <c r="K2372" t="b">
        <v>1</v>
      </c>
    </row>
    <row r="2373" spans="1:11" ht="16" x14ac:dyDescent="0.2">
      <c r="A2373" s="16">
        <v>45568</v>
      </c>
      <c r="B2373" t="s">
        <v>33</v>
      </c>
      <c r="C2373" t="s">
        <v>34</v>
      </c>
      <c r="D2373" t="s">
        <v>20</v>
      </c>
      <c r="E2373" t="s">
        <v>7643</v>
      </c>
      <c r="F2373">
        <v>2</v>
      </c>
      <c r="G2373" s="15">
        <v>2710000</v>
      </c>
      <c r="H2373" s="14">
        <v>0.13075929750140999</v>
      </c>
      <c r="I2373" s="27">
        <f t="shared" si="37"/>
        <v>2355642.3037711792</v>
      </c>
      <c r="J2373">
        <v>4</v>
      </c>
      <c r="K2373" t="b">
        <v>0</v>
      </c>
    </row>
    <row r="2374" spans="1:11" ht="16" x14ac:dyDescent="0.2">
      <c r="A2374" s="16">
        <v>45568</v>
      </c>
      <c r="B2374" t="s">
        <v>29</v>
      </c>
      <c r="C2374" t="s">
        <v>25</v>
      </c>
      <c r="D2374" t="str">
        <f>D2373</f>
        <v>Website</v>
      </c>
      <c r="E2374" t="s">
        <v>7639</v>
      </c>
      <c r="F2374">
        <v>2</v>
      </c>
      <c r="G2374" s="15">
        <v>2710000</v>
      </c>
      <c r="H2374" s="14">
        <v>0.13075929750140999</v>
      </c>
      <c r="I2374" s="27">
        <f t="shared" si="37"/>
        <v>2355642.3037711792</v>
      </c>
      <c r="J2374">
        <v>4.0999999999999996</v>
      </c>
      <c r="K2374" t="b">
        <v>1</v>
      </c>
    </row>
    <row r="2375" spans="1:11" ht="16" x14ac:dyDescent="0.2">
      <c r="A2375" s="16">
        <v>45568</v>
      </c>
      <c r="B2375" t="s">
        <v>45</v>
      </c>
      <c r="C2375" t="s">
        <v>45</v>
      </c>
      <c r="D2375" t="s">
        <v>35</v>
      </c>
      <c r="E2375" t="s">
        <v>57</v>
      </c>
      <c r="F2375">
        <v>3</v>
      </c>
      <c r="G2375" s="15">
        <v>2710000</v>
      </c>
      <c r="H2375" s="14">
        <v>0.13075929750140999</v>
      </c>
      <c r="I2375" s="27">
        <f t="shared" si="37"/>
        <v>2355642.3037711792</v>
      </c>
      <c r="J2375">
        <v>3.7</v>
      </c>
      <c r="K2375" t="b">
        <v>0</v>
      </c>
    </row>
    <row r="2376" spans="1:11" ht="16" x14ac:dyDescent="0.2">
      <c r="A2376" s="16">
        <v>45569</v>
      </c>
      <c r="B2376" t="s">
        <v>45</v>
      </c>
      <c r="C2376" t="s">
        <v>34</v>
      </c>
      <c r="D2376" t="s">
        <v>35</v>
      </c>
      <c r="E2376" t="s">
        <v>7641</v>
      </c>
      <c r="F2376">
        <v>3</v>
      </c>
      <c r="G2376" s="15">
        <v>2710000</v>
      </c>
      <c r="H2376" s="14">
        <v>0.13075929750140999</v>
      </c>
      <c r="I2376" s="27">
        <f t="shared" si="37"/>
        <v>2355642.3037711792</v>
      </c>
      <c r="J2376">
        <v>4.3</v>
      </c>
      <c r="K2376" t="b">
        <v>1</v>
      </c>
    </row>
    <row r="2377" spans="1:11" ht="16" x14ac:dyDescent="0.2">
      <c r="A2377" s="16">
        <v>45569</v>
      </c>
      <c r="B2377" t="s">
        <v>29</v>
      </c>
      <c r="C2377" t="s">
        <v>19</v>
      </c>
      <c r="D2377" t="s">
        <v>50</v>
      </c>
      <c r="E2377" t="s">
        <v>7640</v>
      </c>
      <c r="F2377">
        <v>2</v>
      </c>
      <c r="G2377" s="15">
        <v>2710000</v>
      </c>
      <c r="H2377" s="14">
        <v>0.13075929750140999</v>
      </c>
      <c r="I2377" s="27">
        <f t="shared" si="37"/>
        <v>2355642.3037711792</v>
      </c>
      <c r="J2377">
        <v>4.4000000000000004</v>
      </c>
      <c r="K2377" t="b">
        <v>1</v>
      </c>
    </row>
    <row r="2378" spans="1:11" ht="16" x14ac:dyDescent="0.2">
      <c r="A2378" s="16">
        <v>45569</v>
      </c>
      <c r="B2378" t="s">
        <v>33</v>
      </c>
      <c r="C2378" t="s">
        <v>68</v>
      </c>
      <c r="D2378" t="s">
        <v>50</v>
      </c>
      <c r="E2378" t="s">
        <v>99</v>
      </c>
      <c r="F2378">
        <v>1</v>
      </c>
      <c r="G2378" s="15">
        <v>2710000</v>
      </c>
      <c r="H2378" s="14">
        <v>0.13075929750140999</v>
      </c>
      <c r="I2378" s="27">
        <f t="shared" si="37"/>
        <v>2355642.3037711792</v>
      </c>
      <c r="J2378">
        <v>4</v>
      </c>
      <c r="K2378" t="b">
        <v>1</v>
      </c>
    </row>
    <row r="2379" spans="1:11" ht="16" x14ac:dyDescent="0.2">
      <c r="A2379" s="16">
        <v>45569</v>
      </c>
      <c r="B2379" t="s">
        <v>18</v>
      </c>
      <c r="C2379" t="s">
        <v>25</v>
      </c>
      <c r="D2379" t="s">
        <v>20</v>
      </c>
      <c r="E2379" t="s">
        <v>7640</v>
      </c>
      <c r="F2379">
        <v>1</v>
      </c>
      <c r="G2379" s="15">
        <v>2710000</v>
      </c>
      <c r="H2379" s="14">
        <v>0.13075929750140999</v>
      </c>
      <c r="I2379" s="27">
        <f t="shared" si="37"/>
        <v>2355642.3037711792</v>
      </c>
      <c r="J2379">
        <v>3.4</v>
      </c>
      <c r="K2379" t="b">
        <v>1</v>
      </c>
    </row>
    <row r="2380" spans="1:11" ht="16" x14ac:dyDescent="0.2">
      <c r="A2380" s="16">
        <v>45569</v>
      </c>
      <c r="B2380" t="s">
        <v>18</v>
      </c>
      <c r="C2380" t="s">
        <v>19</v>
      </c>
      <c r="D2380" t="s">
        <v>20</v>
      </c>
      <c r="E2380" t="s">
        <v>7640</v>
      </c>
      <c r="F2380">
        <v>1</v>
      </c>
      <c r="G2380" s="15">
        <v>2710000</v>
      </c>
      <c r="H2380" s="14">
        <v>0.13075929750140999</v>
      </c>
      <c r="I2380" s="27">
        <f t="shared" si="37"/>
        <v>2355642.3037711792</v>
      </c>
      <c r="J2380">
        <v>4</v>
      </c>
      <c r="K2380" t="b">
        <v>0</v>
      </c>
    </row>
    <row r="2381" spans="1:11" ht="16" x14ac:dyDescent="0.2">
      <c r="A2381" s="16">
        <v>45569</v>
      </c>
      <c r="B2381" t="s">
        <v>18</v>
      </c>
      <c r="C2381" t="s">
        <v>19</v>
      </c>
      <c r="D2381" t="s">
        <v>20</v>
      </c>
      <c r="E2381" t="s">
        <v>7641</v>
      </c>
      <c r="F2381">
        <v>1</v>
      </c>
      <c r="G2381" s="15">
        <v>2710000</v>
      </c>
      <c r="H2381" s="14">
        <v>0.13075929750140999</v>
      </c>
      <c r="I2381" s="27">
        <f t="shared" si="37"/>
        <v>2355642.3037711792</v>
      </c>
      <c r="J2381">
        <v>4.2</v>
      </c>
      <c r="K2381" t="b">
        <v>0</v>
      </c>
    </row>
    <row r="2382" spans="1:11" ht="16" x14ac:dyDescent="0.2">
      <c r="A2382" s="16">
        <v>45570</v>
      </c>
      <c r="B2382" t="s">
        <v>29</v>
      </c>
      <c r="C2382" t="s">
        <v>68</v>
      </c>
      <c r="D2382" t="s">
        <v>20</v>
      </c>
      <c r="E2382" t="s">
        <v>7642</v>
      </c>
      <c r="F2382">
        <v>3</v>
      </c>
      <c r="G2382" s="15">
        <v>2710000</v>
      </c>
      <c r="H2382" s="14">
        <v>0.13075929750140999</v>
      </c>
      <c r="I2382" s="27">
        <f t="shared" si="37"/>
        <v>2355642.3037711792</v>
      </c>
      <c r="J2382">
        <v>4.7</v>
      </c>
      <c r="K2382" t="b">
        <v>0</v>
      </c>
    </row>
    <row r="2383" spans="1:11" ht="16" x14ac:dyDescent="0.2">
      <c r="A2383" s="16">
        <v>45570</v>
      </c>
      <c r="B2383" t="s">
        <v>29</v>
      </c>
      <c r="C2383" t="s">
        <v>34</v>
      </c>
      <c r="D2383" t="s">
        <v>35</v>
      </c>
      <c r="E2383" t="s">
        <v>99</v>
      </c>
      <c r="F2383">
        <v>1</v>
      </c>
      <c r="G2383" s="15">
        <v>2710000</v>
      </c>
      <c r="H2383" s="14">
        <v>0.13075929750140999</v>
      </c>
      <c r="I2383" s="27">
        <f t="shared" si="37"/>
        <v>2355642.3037711792</v>
      </c>
      <c r="J2383">
        <v>3.8</v>
      </c>
      <c r="K2383" t="b">
        <v>1</v>
      </c>
    </row>
    <row r="2384" spans="1:11" ht="16" x14ac:dyDescent="0.2">
      <c r="A2384" s="16">
        <v>45570</v>
      </c>
      <c r="B2384" t="s">
        <v>18</v>
      </c>
      <c r="C2384" t="s">
        <v>19</v>
      </c>
      <c r="D2384" t="s">
        <v>20</v>
      </c>
      <c r="E2384" t="s">
        <v>7639</v>
      </c>
      <c r="F2384">
        <v>2</v>
      </c>
      <c r="G2384" s="15">
        <v>2710000</v>
      </c>
      <c r="H2384" s="14">
        <v>0.13075929750140999</v>
      </c>
      <c r="I2384" s="27">
        <f t="shared" si="37"/>
        <v>2355642.3037711792</v>
      </c>
      <c r="J2384">
        <v>4.4000000000000004</v>
      </c>
      <c r="K2384" t="b">
        <v>0</v>
      </c>
    </row>
    <row r="2385" spans="1:11" ht="16" x14ac:dyDescent="0.2">
      <c r="A2385" s="16">
        <v>45571</v>
      </c>
      <c r="B2385" t="s">
        <v>18</v>
      </c>
      <c r="C2385" t="s">
        <v>34</v>
      </c>
      <c r="D2385" t="s">
        <v>20</v>
      </c>
      <c r="E2385" t="s">
        <v>57</v>
      </c>
      <c r="F2385">
        <v>1</v>
      </c>
      <c r="G2385" s="15">
        <v>2710000</v>
      </c>
      <c r="H2385" s="14">
        <v>0.13075929750140999</v>
      </c>
      <c r="I2385" s="27">
        <f t="shared" si="37"/>
        <v>2355642.3037711792</v>
      </c>
      <c r="J2385">
        <v>4.2</v>
      </c>
      <c r="K2385" t="b">
        <v>0</v>
      </c>
    </row>
    <row r="2386" spans="1:11" ht="16" x14ac:dyDescent="0.2">
      <c r="A2386" s="16">
        <v>45571</v>
      </c>
      <c r="B2386" t="s">
        <v>18</v>
      </c>
      <c r="C2386" t="s">
        <v>45</v>
      </c>
      <c r="D2386" t="s">
        <v>20</v>
      </c>
      <c r="E2386" t="s">
        <v>57</v>
      </c>
      <c r="F2386">
        <v>2</v>
      </c>
      <c r="G2386" s="15">
        <v>2710000</v>
      </c>
      <c r="H2386" s="14">
        <v>0.13075929750140999</v>
      </c>
      <c r="I2386" s="27">
        <f t="shared" si="37"/>
        <v>2355642.3037711792</v>
      </c>
      <c r="J2386">
        <v>4.7</v>
      </c>
      <c r="K2386" t="b">
        <v>1</v>
      </c>
    </row>
    <row r="2387" spans="1:11" ht="16" x14ac:dyDescent="0.2">
      <c r="A2387" s="16">
        <v>45571</v>
      </c>
      <c r="B2387" t="s">
        <v>29</v>
      </c>
      <c r="C2387" t="s">
        <v>25</v>
      </c>
      <c r="D2387" t="s">
        <v>20</v>
      </c>
      <c r="E2387" t="s">
        <v>7642</v>
      </c>
      <c r="F2387">
        <v>4</v>
      </c>
      <c r="G2387" s="15">
        <v>2710000</v>
      </c>
      <c r="H2387" s="14">
        <v>0.13075929750140999</v>
      </c>
      <c r="I2387" s="27">
        <f t="shared" si="37"/>
        <v>2355642.3037711792</v>
      </c>
      <c r="J2387">
        <v>4.9000000000000004</v>
      </c>
      <c r="K2387" t="b">
        <v>1</v>
      </c>
    </row>
    <row r="2388" spans="1:11" ht="16" x14ac:dyDescent="0.2">
      <c r="A2388" s="16">
        <v>45572</v>
      </c>
      <c r="B2388" t="s">
        <v>29</v>
      </c>
      <c r="C2388" t="s">
        <v>34</v>
      </c>
      <c r="D2388" t="s">
        <v>20</v>
      </c>
      <c r="E2388" t="str">
        <f>E2387</f>
        <v>Huế</v>
      </c>
      <c r="F2388">
        <v>3</v>
      </c>
      <c r="G2388" s="15">
        <v>2710000</v>
      </c>
      <c r="H2388" s="14">
        <v>0.13075929750140999</v>
      </c>
      <c r="I2388" s="27">
        <f t="shared" si="37"/>
        <v>2355642.3037711792</v>
      </c>
      <c r="J2388">
        <v>4.5</v>
      </c>
      <c r="K2388" t="b">
        <v>1</v>
      </c>
    </row>
    <row r="2389" spans="1:11" ht="16" x14ac:dyDescent="0.2">
      <c r="A2389" s="16">
        <v>45572</v>
      </c>
      <c r="B2389" t="s">
        <v>33</v>
      </c>
      <c r="C2389" t="s">
        <v>45</v>
      </c>
      <c r="D2389" t="s">
        <v>35</v>
      </c>
      <c r="E2389" t="s">
        <v>7641</v>
      </c>
      <c r="F2389">
        <v>1</v>
      </c>
      <c r="G2389" s="15">
        <v>2710000</v>
      </c>
      <c r="H2389" s="14">
        <v>0.13075929750140999</v>
      </c>
      <c r="I2389" s="27">
        <f t="shared" si="37"/>
        <v>2355642.3037711792</v>
      </c>
      <c r="J2389">
        <v>4.4000000000000004</v>
      </c>
      <c r="K2389" t="b">
        <v>1</v>
      </c>
    </row>
    <row r="2390" spans="1:11" ht="16" x14ac:dyDescent="0.2">
      <c r="A2390" s="16">
        <v>45572</v>
      </c>
      <c r="B2390" t="s">
        <v>18</v>
      </c>
      <c r="C2390" t="s">
        <v>25</v>
      </c>
      <c r="D2390" t="s">
        <v>20</v>
      </c>
      <c r="E2390" t="s">
        <v>7641</v>
      </c>
      <c r="F2390">
        <v>4</v>
      </c>
      <c r="G2390" s="15">
        <v>2710000</v>
      </c>
      <c r="H2390" s="14">
        <v>0.13075929750140999</v>
      </c>
      <c r="I2390" s="27">
        <f t="shared" si="37"/>
        <v>2355642.3037711792</v>
      </c>
      <c r="J2390">
        <v>4</v>
      </c>
      <c r="K2390" t="b">
        <v>0</v>
      </c>
    </row>
    <row r="2391" spans="1:11" ht="16" x14ac:dyDescent="0.2">
      <c r="A2391" s="16">
        <v>45572</v>
      </c>
      <c r="B2391" t="s">
        <v>45</v>
      </c>
      <c r="C2391" t="s">
        <v>19</v>
      </c>
      <c r="D2391" t="s">
        <v>35</v>
      </c>
      <c r="E2391" t="s">
        <v>7641</v>
      </c>
      <c r="F2391">
        <v>2</v>
      </c>
      <c r="G2391" s="15">
        <v>2710000</v>
      </c>
      <c r="H2391" s="14">
        <v>0.13075929750140999</v>
      </c>
      <c r="I2391" s="27">
        <f t="shared" si="37"/>
        <v>2355642.3037711792</v>
      </c>
      <c r="J2391">
        <v>4.7</v>
      </c>
      <c r="K2391" t="b">
        <v>1</v>
      </c>
    </row>
    <row r="2392" spans="1:11" ht="16" x14ac:dyDescent="0.2">
      <c r="A2392" s="16">
        <v>45573</v>
      </c>
      <c r="B2392" t="s">
        <v>18</v>
      </c>
      <c r="C2392" t="s">
        <v>45</v>
      </c>
      <c r="D2392" t="s">
        <v>20</v>
      </c>
      <c r="E2392" t="s">
        <v>7639</v>
      </c>
      <c r="F2392">
        <v>3</v>
      </c>
      <c r="G2392" s="15">
        <v>2710000</v>
      </c>
      <c r="H2392" s="14">
        <v>0.13075929750140999</v>
      </c>
      <c r="I2392" s="27">
        <f t="shared" si="37"/>
        <v>2355642.3037711792</v>
      </c>
      <c r="J2392">
        <v>3.8</v>
      </c>
      <c r="K2392" t="b">
        <v>0</v>
      </c>
    </row>
    <row r="2393" spans="1:11" ht="16" x14ac:dyDescent="0.2">
      <c r="A2393" s="16">
        <v>45573</v>
      </c>
      <c r="B2393" t="s">
        <v>33</v>
      </c>
      <c r="C2393" t="s">
        <v>19</v>
      </c>
      <c r="D2393" t="s">
        <v>20</v>
      </c>
      <c r="E2393" t="s">
        <v>99</v>
      </c>
      <c r="F2393">
        <v>2</v>
      </c>
      <c r="G2393" s="15">
        <v>2710000</v>
      </c>
      <c r="H2393" s="14">
        <v>0.13075929750140999</v>
      </c>
      <c r="I2393" s="27">
        <f t="shared" si="37"/>
        <v>2355642.3037711792</v>
      </c>
      <c r="J2393">
        <v>4.2</v>
      </c>
      <c r="K2393" t="b">
        <v>1</v>
      </c>
    </row>
    <row r="2394" spans="1:11" ht="16" x14ac:dyDescent="0.2">
      <c r="A2394" s="16">
        <v>45573</v>
      </c>
      <c r="B2394" t="s">
        <v>29</v>
      </c>
      <c r="C2394" t="s">
        <v>45</v>
      </c>
      <c r="D2394" t="s">
        <v>20</v>
      </c>
      <c r="E2394" t="s">
        <v>7640</v>
      </c>
      <c r="F2394">
        <v>5</v>
      </c>
      <c r="G2394" s="15">
        <v>2710000</v>
      </c>
      <c r="H2394" s="14">
        <v>0.13075929750140999</v>
      </c>
      <c r="I2394" s="27">
        <f t="shared" si="37"/>
        <v>2355642.3037711792</v>
      </c>
      <c r="J2394">
        <v>3.5</v>
      </c>
      <c r="K2394" t="b">
        <v>1</v>
      </c>
    </row>
    <row r="2395" spans="1:11" ht="16" x14ac:dyDescent="0.2">
      <c r="A2395" s="16">
        <v>45573</v>
      </c>
      <c r="B2395" t="s">
        <v>33</v>
      </c>
      <c r="C2395" t="s">
        <v>45</v>
      </c>
      <c r="D2395" t="s">
        <v>20</v>
      </c>
      <c r="E2395" t="s">
        <v>7642</v>
      </c>
      <c r="F2395">
        <v>4</v>
      </c>
      <c r="G2395" s="15">
        <v>2710000</v>
      </c>
      <c r="H2395" s="14">
        <v>0.13075929750140999</v>
      </c>
      <c r="I2395" s="27">
        <f t="shared" si="37"/>
        <v>2355642.3037711792</v>
      </c>
      <c r="J2395">
        <v>4.5999999999999996</v>
      </c>
      <c r="K2395" t="b">
        <v>1</v>
      </c>
    </row>
    <row r="2396" spans="1:11" ht="16" x14ac:dyDescent="0.2">
      <c r="A2396" s="16">
        <v>45574</v>
      </c>
      <c r="B2396" t="s">
        <v>45</v>
      </c>
      <c r="C2396" t="s">
        <v>45</v>
      </c>
      <c r="D2396" t="s">
        <v>20</v>
      </c>
      <c r="E2396" t="s">
        <v>7644</v>
      </c>
      <c r="F2396">
        <v>2</v>
      </c>
      <c r="G2396" s="15">
        <v>2710000</v>
      </c>
      <c r="H2396" s="14">
        <v>0.13075929750140999</v>
      </c>
      <c r="I2396" s="27">
        <f t="shared" si="37"/>
        <v>2355642.3037711792</v>
      </c>
      <c r="J2396">
        <v>4.7</v>
      </c>
      <c r="K2396" t="b">
        <v>0</v>
      </c>
    </row>
    <row r="2397" spans="1:11" ht="16" x14ac:dyDescent="0.2">
      <c r="A2397" s="16">
        <v>45574</v>
      </c>
      <c r="B2397" t="s">
        <v>33</v>
      </c>
      <c r="C2397" t="s">
        <v>19</v>
      </c>
      <c r="D2397" t="str">
        <f>D2396</f>
        <v>Website</v>
      </c>
      <c r="E2397" t="s">
        <v>99</v>
      </c>
      <c r="F2397">
        <v>1</v>
      </c>
      <c r="G2397" s="15">
        <v>2710000</v>
      </c>
      <c r="H2397" s="14">
        <v>0.13075929750140999</v>
      </c>
      <c r="I2397" s="27">
        <f t="shared" si="37"/>
        <v>2355642.3037711792</v>
      </c>
      <c r="J2397">
        <v>5</v>
      </c>
      <c r="K2397" t="b">
        <v>0</v>
      </c>
    </row>
    <row r="2398" spans="1:11" ht="16" x14ac:dyDescent="0.2">
      <c r="A2398" s="16">
        <v>45574</v>
      </c>
      <c r="B2398" t="s">
        <v>45</v>
      </c>
      <c r="C2398" t="s">
        <v>34</v>
      </c>
      <c r="D2398" t="s">
        <v>50</v>
      </c>
      <c r="E2398" t="str">
        <f>E2397</f>
        <v>Sa Pa</v>
      </c>
      <c r="F2398">
        <v>1</v>
      </c>
      <c r="G2398" s="15">
        <v>2710000</v>
      </c>
      <c r="H2398" s="14">
        <v>0.13075929750140999</v>
      </c>
      <c r="I2398" s="27">
        <f t="shared" si="37"/>
        <v>2355642.3037711792</v>
      </c>
      <c r="J2398">
        <v>4.4000000000000004</v>
      </c>
      <c r="K2398" t="b">
        <v>1</v>
      </c>
    </row>
    <row r="2399" spans="1:11" ht="16" x14ac:dyDescent="0.2">
      <c r="A2399" s="16">
        <v>45574</v>
      </c>
      <c r="B2399" t="s">
        <v>18</v>
      </c>
      <c r="C2399" t="s">
        <v>45</v>
      </c>
      <c r="D2399" t="s">
        <v>50</v>
      </c>
      <c r="E2399" t="s">
        <v>7637</v>
      </c>
      <c r="F2399">
        <v>1</v>
      </c>
      <c r="G2399" s="15">
        <v>2710000</v>
      </c>
      <c r="H2399" s="14">
        <v>0.13075929750140999</v>
      </c>
      <c r="I2399" s="27">
        <f t="shared" si="37"/>
        <v>2355642.3037711792</v>
      </c>
      <c r="J2399">
        <v>3.5</v>
      </c>
      <c r="K2399" t="b">
        <v>1</v>
      </c>
    </row>
    <row r="2400" spans="1:11" ht="16" x14ac:dyDescent="0.2">
      <c r="A2400" s="16">
        <v>45575</v>
      </c>
      <c r="B2400" t="s">
        <v>45</v>
      </c>
      <c r="C2400" t="s">
        <v>45</v>
      </c>
      <c r="D2400" t="s">
        <v>20</v>
      </c>
      <c r="E2400" t="s">
        <v>7641</v>
      </c>
      <c r="F2400">
        <v>4</v>
      </c>
      <c r="G2400" s="15">
        <v>2710000</v>
      </c>
      <c r="H2400" s="14">
        <v>0.13075929750140999</v>
      </c>
      <c r="I2400" s="27">
        <f t="shared" si="37"/>
        <v>2355642.3037711792</v>
      </c>
      <c r="J2400">
        <v>4.5</v>
      </c>
      <c r="K2400" t="b">
        <v>0</v>
      </c>
    </row>
    <row r="2401" spans="1:11" ht="16" x14ac:dyDescent="0.2">
      <c r="A2401" s="16">
        <v>45575</v>
      </c>
      <c r="B2401" t="s">
        <v>33</v>
      </c>
      <c r="C2401" t="s">
        <v>19</v>
      </c>
      <c r="D2401" t="s">
        <v>20</v>
      </c>
      <c r="E2401" t="s">
        <v>7643</v>
      </c>
      <c r="F2401">
        <v>2</v>
      </c>
      <c r="G2401" s="15">
        <v>2710000</v>
      </c>
      <c r="H2401" s="14">
        <v>0.13075929750140999</v>
      </c>
      <c r="I2401" s="27">
        <f t="shared" si="37"/>
        <v>2355642.3037711792</v>
      </c>
      <c r="J2401">
        <v>4.0999999999999996</v>
      </c>
      <c r="K2401" t="b">
        <v>1</v>
      </c>
    </row>
    <row r="2402" spans="1:11" ht="16" x14ac:dyDescent="0.2">
      <c r="A2402" s="16">
        <v>45575</v>
      </c>
      <c r="B2402" t="s">
        <v>18</v>
      </c>
      <c r="C2402" t="s">
        <v>34</v>
      </c>
      <c r="D2402" t="s">
        <v>50</v>
      </c>
      <c r="E2402" t="s">
        <v>7641</v>
      </c>
      <c r="F2402">
        <v>1</v>
      </c>
      <c r="G2402" s="15">
        <v>2710000</v>
      </c>
      <c r="H2402" s="14">
        <v>0.13075929750140999</v>
      </c>
      <c r="I2402" s="27">
        <f t="shared" si="37"/>
        <v>2355642.3037711792</v>
      </c>
      <c r="J2402">
        <v>3.8</v>
      </c>
      <c r="K2402" t="b">
        <v>1</v>
      </c>
    </row>
    <row r="2403" spans="1:11" ht="16" x14ac:dyDescent="0.2">
      <c r="A2403" s="16">
        <v>45575</v>
      </c>
      <c r="B2403" t="s">
        <v>45</v>
      </c>
      <c r="C2403" t="s">
        <v>45</v>
      </c>
      <c r="D2403" t="s">
        <v>35</v>
      </c>
      <c r="E2403" t="s">
        <v>7643</v>
      </c>
      <c r="F2403">
        <v>4</v>
      </c>
      <c r="G2403" s="15">
        <v>2710000</v>
      </c>
      <c r="H2403" s="14">
        <v>0.13075929750140999</v>
      </c>
      <c r="I2403" s="27">
        <f t="shared" si="37"/>
        <v>2355642.3037711792</v>
      </c>
      <c r="J2403">
        <v>4.5999999999999996</v>
      </c>
      <c r="K2403" t="b">
        <v>0</v>
      </c>
    </row>
    <row r="2404" spans="1:11" ht="16" x14ac:dyDescent="0.2">
      <c r="A2404" s="16">
        <v>45575</v>
      </c>
      <c r="B2404" t="s">
        <v>18</v>
      </c>
      <c r="C2404" t="s">
        <v>19</v>
      </c>
      <c r="D2404" t="s">
        <v>50</v>
      </c>
      <c r="E2404" t="s">
        <v>7637</v>
      </c>
      <c r="F2404">
        <v>1</v>
      </c>
      <c r="G2404" s="15">
        <v>2710000</v>
      </c>
      <c r="H2404" s="14">
        <v>0.13075929750140999</v>
      </c>
      <c r="I2404" s="27">
        <f t="shared" si="37"/>
        <v>2355642.3037711792</v>
      </c>
      <c r="J2404">
        <v>4.3</v>
      </c>
      <c r="K2404" t="b">
        <v>1</v>
      </c>
    </row>
    <row r="2405" spans="1:11" ht="16" x14ac:dyDescent="0.2">
      <c r="A2405" s="16">
        <v>45575</v>
      </c>
      <c r="B2405" t="s">
        <v>18</v>
      </c>
      <c r="C2405" t="s">
        <v>68</v>
      </c>
      <c r="D2405" t="s">
        <v>35</v>
      </c>
      <c r="E2405" t="s">
        <v>7638</v>
      </c>
      <c r="F2405">
        <v>3</v>
      </c>
      <c r="G2405" s="15">
        <v>2710000</v>
      </c>
      <c r="H2405" s="14">
        <v>0.13075929750140999</v>
      </c>
      <c r="I2405" s="27">
        <f t="shared" si="37"/>
        <v>2355642.3037711792</v>
      </c>
      <c r="J2405">
        <v>4.0999999999999996</v>
      </c>
      <c r="K2405" t="b">
        <v>1</v>
      </c>
    </row>
    <row r="2406" spans="1:11" ht="16" x14ac:dyDescent="0.2">
      <c r="A2406" s="16">
        <v>45576</v>
      </c>
      <c r="B2406" t="s">
        <v>18</v>
      </c>
      <c r="C2406" t="s">
        <v>34</v>
      </c>
      <c r="D2406" t="s">
        <v>46</v>
      </c>
      <c r="E2406" t="s">
        <v>99</v>
      </c>
      <c r="F2406">
        <v>1</v>
      </c>
      <c r="G2406" s="15">
        <v>2710000</v>
      </c>
      <c r="H2406" s="14">
        <v>0.13075929750140999</v>
      </c>
      <c r="I2406" s="27">
        <f t="shared" si="37"/>
        <v>2355642.3037711792</v>
      </c>
      <c r="J2406">
        <v>4.8</v>
      </c>
      <c r="K2406" t="b">
        <v>1</v>
      </c>
    </row>
    <row r="2407" spans="1:11" ht="16" x14ac:dyDescent="0.2">
      <c r="A2407" s="16">
        <v>45576</v>
      </c>
      <c r="B2407" t="s">
        <v>45</v>
      </c>
      <c r="C2407" t="s">
        <v>25</v>
      </c>
      <c r="D2407" t="s">
        <v>35</v>
      </c>
      <c r="E2407" t="s">
        <v>7644</v>
      </c>
      <c r="F2407">
        <v>1</v>
      </c>
      <c r="G2407" s="15">
        <v>2710000</v>
      </c>
      <c r="H2407" s="14">
        <v>0.13075929750140999</v>
      </c>
      <c r="I2407" s="27">
        <f t="shared" si="37"/>
        <v>2355642.3037711792</v>
      </c>
      <c r="J2407">
        <v>4</v>
      </c>
      <c r="K2407" t="b">
        <v>0</v>
      </c>
    </row>
    <row r="2408" spans="1:11" ht="16" x14ac:dyDescent="0.2">
      <c r="A2408" s="16">
        <v>45576</v>
      </c>
      <c r="B2408" t="s">
        <v>29</v>
      </c>
      <c r="C2408" t="s">
        <v>34</v>
      </c>
      <c r="D2408" t="s">
        <v>20</v>
      </c>
      <c r="E2408" t="s">
        <v>7642</v>
      </c>
      <c r="F2408">
        <v>3</v>
      </c>
      <c r="G2408" s="15">
        <v>2710000</v>
      </c>
      <c r="H2408" s="14">
        <v>0.13075929750140999</v>
      </c>
      <c r="I2408" s="27">
        <f t="shared" si="37"/>
        <v>2355642.3037711792</v>
      </c>
      <c r="J2408">
        <v>3.7</v>
      </c>
      <c r="K2408" t="b">
        <v>1</v>
      </c>
    </row>
    <row r="2409" spans="1:11" ht="16" x14ac:dyDescent="0.2">
      <c r="A2409" s="16">
        <v>45576</v>
      </c>
      <c r="B2409" t="s">
        <v>33</v>
      </c>
      <c r="C2409" t="s">
        <v>19</v>
      </c>
      <c r="D2409" t="s">
        <v>35</v>
      </c>
      <c r="E2409" t="s">
        <v>7639</v>
      </c>
      <c r="F2409">
        <v>1</v>
      </c>
      <c r="G2409" s="15">
        <v>2710000</v>
      </c>
      <c r="H2409" s="14">
        <v>0.13075929750140999</v>
      </c>
      <c r="I2409" s="27">
        <f t="shared" si="37"/>
        <v>2355642.3037711792</v>
      </c>
      <c r="J2409">
        <v>4.3</v>
      </c>
      <c r="K2409" t="b">
        <v>1</v>
      </c>
    </row>
    <row r="2410" spans="1:11" ht="16" x14ac:dyDescent="0.2">
      <c r="A2410" s="16">
        <v>45576</v>
      </c>
      <c r="B2410" t="str">
        <f>B2409</f>
        <v>Student</v>
      </c>
      <c r="C2410" t="s">
        <v>25</v>
      </c>
      <c r="D2410" t="s">
        <v>20</v>
      </c>
      <c r="E2410" t="s">
        <v>7644</v>
      </c>
      <c r="F2410">
        <v>2</v>
      </c>
      <c r="G2410" s="15">
        <v>2710000</v>
      </c>
      <c r="H2410" s="14">
        <v>0.13075929750140999</v>
      </c>
      <c r="I2410" s="27">
        <f t="shared" si="37"/>
        <v>2355642.3037711792</v>
      </c>
      <c r="J2410">
        <v>4.5</v>
      </c>
      <c r="K2410" t="b">
        <v>1</v>
      </c>
    </row>
    <row r="2411" spans="1:11" ht="16" x14ac:dyDescent="0.2">
      <c r="A2411" s="16">
        <v>45577</v>
      </c>
      <c r="B2411" t="s">
        <v>29</v>
      </c>
      <c r="C2411" t="s">
        <v>68</v>
      </c>
      <c r="D2411" t="s">
        <v>35</v>
      </c>
      <c r="E2411" t="s">
        <v>7642</v>
      </c>
      <c r="F2411">
        <v>3</v>
      </c>
      <c r="G2411" s="15">
        <v>2710000</v>
      </c>
      <c r="H2411" s="14">
        <v>0.13075929750140999</v>
      </c>
      <c r="I2411" s="27">
        <f t="shared" si="37"/>
        <v>2355642.3037711792</v>
      </c>
      <c r="J2411">
        <v>4.2</v>
      </c>
      <c r="K2411" t="b">
        <v>1</v>
      </c>
    </row>
    <row r="2412" spans="1:11" ht="16" x14ac:dyDescent="0.2">
      <c r="A2412" s="16">
        <v>45577</v>
      </c>
      <c r="B2412" t="s">
        <v>33</v>
      </c>
      <c r="C2412" t="s">
        <v>19</v>
      </c>
      <c r="D2412" t="s">
        <v>20</v>
      </c>
      <c r="E2412" t="s">
        <v>7639</v>
      </c>
      <c r="F2412">
        <v>3</v>
      </c>
      <c r="G2412" s="15">
        <v>2710000</v>
      </c>
      <c r="H2412" s="14">
        <v>0.13075929750140999</v>
      </c>
      <c r="I2412" s="27">
        <f t="shared" si="37"/>
        <v>2355642.3037711792</v>
      </c>
      <c r="J2412">
        <v>5</v>
      </c>
      <c r="K2412" t="b">
        <v>0</v>
      </c>
    </row>
    <row r="2413" spans="1:11" ht="16" x14ac:dyDescent="0.2">
      <c r="A2413" s="16">
        <v>45577</v>
      </c>
      <c r="B2413" t="s">
        <v>29</v>
      </c>
      <c r="C2413" t="s">
        <v>45</v>
      </c>
      <c r="D2413" t="s">
        <v>20</v>
      </c>
      <c r="E2413" t="s">
        <v>7641</v>
      </c>
      <c r="F2413">
        <v>1</v>
      </c>
      <c r="G2413" s="15">
        <v>2710000</v>
      </c>
      <c r="H2413" s="14">
        <v>0.13075929750140999</v>
      </c>
      <c r="I2413" s="27">
        <f t="shared" si="37"/>
        <v>2355642.3037711792</v>
      </c>
      <c r="J2413">
        <v>4.0999999999999996</v>
      </c>
      <c r="K2413" t="b">
        <v>1</v>
      </c>
    </row>
    <row r="2414" spans="1:11" ht="16" x14ac:dyDescent="0.2">
      <c r="A2414" s="16">
        <v>45577</v>
      </c>
      <c r="B2414" t="s">
        <v>33</v>
      </c>
      <c r="C2414" t="s">
        <v>45</v>
      </c>
      <c r="D2414" t="str">
        <f>D2413</f>
        <v>Website</v>
      </c>
      <c r="E2414" t="s">
        <v>7641</v>
      </c>
      <c r="F2414">
        <v>4</v>
      </c>
      <c r="G2414" s="15">
        <v>2710000</v>
      </c>
      <c r="H2414" s="14">
        <v>0.13075929750140999</v>
      </c>
      <c r="I2414" s="27">
        <f t="shared" si="37"/>
        <v>2355642.3037711792</v>
      </c>
      <c r="J2414">
        <v>4.4000000000000004</v>
      </c>
      <c r="K2414" t="b">
        <v>1</v>
      </c>
    </row>
    <row r="2415" spans="1:11" ht="16" x14ac:dyDescent="0.2">
      <c r="A2415" s="16">
        <v>45578</v>
      </c>
      <c r="B2415" t="s">
        <v>33</v>
      </c>
      <c r="C2415" t="s">
        <v>45</v>
      </c>
      <c r="D2415" t="s">
        <v>50</v>
      </c>
      <c r="E2415" t="s">
        <v>7637</v>
      </c>
      <c r="F2415">
        <v>3</v>
      </c>
      <c r="G2415" s="15">
        <v>2710000</v>
      </c>
      <c r="H2415" s="14">
        <v>0.13075929750140999</v>
      </c>
      <c r="I2415" s="27">
        <f t="shared" si="37"/>
        <v>2355642.3037711792</v>
      </c>
      <c r="J2415">
        <v>3.7</v>
      </c>
      <c r="K2415" t="b">
        <v>1</v>
      </c>
    </row>
    <row r="2416" spans="1:11" ht="16" x14ac:dyDescent="0.2">
      <c r="A2416" s="16">
        <v>45579</v>
      </c>
      <c r="B2416" t="s">
        <v>45</v>
      </c>
      <c r="C2416" t="s">
        <v>39</v>
      </c>
      <c r="D2416" t="s">
        <v>20</v>
      </c>
      <c r="E2416" t="s">
        <v>7637</v>
      </c>
      <c r="F2416">
        <v>2</v>
      </c>
      <c r="G2416" s="15">
        <v>2710000</v>
      </c>
      <c r="H2416" s="14">
        <v>0.13075929750140999</v>
      </c>
      <c r="I2416" s="27">
        <f t="shared" si="37"/>
        <v>2355642.3037711792</v>
      </c>
      <c r="J2416">
        <v>3.9</v>
      </c>
      <c r="K2416" t="b">
        <v>1</v>
      </c>
    </row>
    <row r="2417" spans="1:11" ht="16" x14ac:dyDescent="0.2">
      <c r="A2417" s="16">
        <v>45579</v>
      </c>
      <c r="B2417" t="s">
        <v>45</v>
      </c>
      <c r="C2417" t="s">
        <v>39</v>
      </c>
      <c r="D2417" t="s">
        <v>20</v>
      </c>
      <c r="E2417" t="s">
        <v>7642</v>
      </c>
      <c r="F2417">
        <v>3</v>
      </c>
      <c r="G2417" s="15">
        <v>2710000</v>
      </c>
      <c r="H2417" s="14">
        <v>0.13075929750140999</v>
      </c>
      <c r="I2417" s="27">
        <f t="shared" si="37"/>
        <v>2355642.3037711792</v>
      </c>
      <c r="J2417">
        <v>4.3</v>
      </c>
      <c r="K2417" t="b">
        <v>0</v>
      </c>
    </row>
    <row r="2418" spans="1:11" ht="16" x14ac:dyDescent="0.2">
      <c r="A2418" s="16">
        <v>45580</v>
      </c>
      <c r="B2418" t="s">
        <v>45</v>
      </c>
      <c r="C2418" t="s">
        <v>45</v>
      </c>
      <c r="D2418" t="s">
        <v>35</v>
      </c>
      <c r="E2418" t="s">
        <v>7644</v>
      </c>
      <c r="F2418">
        <v>3</v>
      </c>
      <c r="G2418" s="15">
        <v>2710000</v>
      </c>
      <c r="H2418" s="14">
        <v>0.13075929750140999</v>
      </c>
      <c r="I2418" s="27">
        <f t="shared" si="37"/>
        <v>2355642.3037711792</v>
      </c>
      <c r="J2418">
        <v>3.7</v>
      </c>
      <c r="K2418" t="b">
        <v>1</v>
      </c>
    </row>
    <row r="2419" spans="1:11" ht="16" x14ac:dyDescent="0.2">
      <c r="A2419" s="16">
        <v>45580</v>
      </c>
      <c r="B2419" t="s">
        <v>33</v>
      </c>
      <c r="C2419" t="s">
        <v>34</v>
      </c>
      <c r="D2419" t="s">
        <v>20</v>
      </c>
      <c r="E2419" t="s">
        <v>7642</v>
      </c>
      <c r="F2419">
        <v>1</v>
      </c>
      <c r="G2419" s="15">
        <v>2710000</v>
      </c>
      <c r="H2419" s="14">
        <v>0.13075929750140999</v>
      </c>
      <c r="I2419" s="27">
        <f t="shared" si="37"/>
        <v>2355642.3037711792</v>
      </c>
      <c r="J2419">
        <v>4.7</v>
      </c>
      <c r="K2419" t="b">
        <v>1</v>
      </c>
    </row>
    <row r="2420" spans="1:11" ht="16" x14ac:dyDescent="0.2">
      <c r="A2420" s="16">
        <v>45580</v>
      </c>
      <c r="B2420" t="s">
        <v>29</v>
      </c>
      <c r="C2420" t="s">
        <v>19</v>
      </c>
      <c r="D2420" t="s">
        <v>20</v>
      </c>
      <c r="E2420" t="s">
        <v>7643</v>
      </c>
      <c r="F2420">
        <v>1</v>
      </c>
      <c r="G2420" s="15">
        <v>2710000</v>
      </c>
      <c r="H2420" s="14">
        <v>0.13075929750140999</v>
      </c>
      <c r="I2420" s="27">
        <f t="shared" si="37"/>
        <v>2355642.3037711792</v>
      </c>
      <c r="J2420">
        <v>4.7</v>
      </c>
      <c r="K2420" t="b">
        <v>1</v>
      </c>
    </row>
    <row r="2421" spans="1:11" ht="16" x14ac:dyDescent="0.2">
      <c r="A2421" s="16">
        <v>45580</v>
      </c>
      <c r="B2421" t="s">
        <v>18</v>
      </c>
      <c r="C2421" t="s">
        <v>45</v>
      </c>
      <c r="D2421" t="s">
        <v>46</v>
      </c>
      <c r="E2421" t="s">
        <v>7641</v>
      </c>
      <c r="F2421">
        <v>2</v>
      </c>
      <c r="G2421" s="15">
        <v>2710000</v>
      </c>
      <c r="H2421" s="14">
        <v>0.13075929750140999</v>
      </c>
      <c r="I2421" s="27">
        <f t="shared" si="37"/>
        <v>2355642.3037711792</v>
      </c>
      <c r="J2421">
        <v>4.8</v>
      </c>
      <c r="K2421" t="b">
        <v>1</v>
      </c>
    </row>
    <row r="2422" spans="1:11" ht="16" x14ac:dyDescent="0.2">
      <c r="A2422" s="16">
        <v>45581</v>
      </c>
      <c r="B2422" t="s">
        <v>33</v>
      </c>
      <c r="C2422" t="s">
        <v>68</v>
      </c>
      <c r="D2422" t="s">
        <v>35</v>
      </c>
      <c r="E2422" t="s">
        <v>99</v>
      </c>
      <c r="F2422">
        <v>2</v>
      </c>
      <c r="G2422" s="15">
        <v>2710000</v>
      </c>
      <c r="H2422" s="14">
        <v>0.13075929750140999</v>
      </c>
      <c r="I2422" s="27">
        <f t="shared" si="37"/>
        <v>2355642.3037711792</v>
      </c>
      <c r="J2422">
        <v>4.2</v>
      </c>
      <c r="K2422" t="b">
        <v>0</v>
      </c>
    </row>
    <row r="2423" spans="1:11" ht="16" x14ac:dyDescent="0.2">
      <c r="A2423" s="16">
        <v>45581</v>
      </c>
      <c r="B2423" t="str">
        <f>B2422</f>
        <v>Student</v>
      </c>
      <c r="C2423" t="s">
        <v>68</v>
      </c>
      <c r="D2423" t="s">
        <v>35</v>
      </c>
      <c r="E2423" t="s">
        <v>7637</v>
      </c>
      <c r="F2423">
        <v>1</v>
      </c>
      <c r="G2423" s="15">
        <v>2710000</v>
      </c>
      <c r="H2423" s="14">
        <v>0.13075929750140999</v>
      </c>
      <c r="I2423" s="27">
        <f t="shared" si="37"/>
        <v>2355642.3037711792</v>
      </c>
      <c r="J2423">
        <v>4.2</v>
      </c>
      <c r="K2423" t="b">
        <v>0</v>
      </c>
    </row>
    <row r="2424" spans="1:11" ht="16" x14ac:dyDescent="0.2">
      <c r="A2424" s="16">
        <v>45581</v>
      </c>
      <c r="B2424" t="s">
        <v>18</v>
      </c>
      <c r="C2424" t="s">
        <v>19</v>
      </c>
      <c r="D2424" t="s">
        <v>35</v>
      </c>
      <c r="E2424" t="s">
        <v>7640</v>
      </c>
      <c r="F2424">
        <v>2</v>
      </c>
      <c r="G2424" s="15">
        <v>2710000</v>
      </c>
      <c r="H2424" s="14">
        <v>0.13075929750140999</v>
      </c>
      <c r="I2424" s="27">
        <f t="shared" si="37"/>
        <v>2355642.3037711792</v>
      </c>
      <c r="J2424">
        <v>5</v>
      </c>
      <c r="K2424" t="b">
        <v>1</v>
      </c>
    </row>
    <row r="2425" spans="1:11" ht="16" x14ac:dyDescent="0.2">
      <c r="A2425" s="16">
        <v>45581</v>
      </c>
      <c r="B2425" t="s">
        <v>45</v>
      </c>
      <c r="C2425" t="s">
        <v>45</v>
      </c>
      <c r="D2425" t="s">
        <v>35</v>
      </c>
      <c r="E2425" t="s">
        <v>57</v>
      </c>
      <c r="F2425">
        <v>3</v>
      </c>
      <c r="G2425" s="15">
        <v>2710000</v>
      </c>
      <c r="H2425" s="14">
        <v>0.13075929750140999</v>
      </c>
      <c r="I2425" s="27">
        <f t="shared" si="37"/>
        <v>2355642.3037711792</v>
      </c>
      <c r="J2425">
        <v>4.9000000000000004</v>
      </c>
      <c r="K2425" t="b">
        <v>0</v>
      </c>
    </row>
    <row r="2426" spans="1:11" ht="16" x14ac:dyDescent="0.2">
      <c r="A2426" s="16">
        <v>45581</v>
      </c>
      <c r="B2426" t="s">
        <v>45</v>
      </c>
      <c r="C2426" t="s">
        <v>45</v>
      </c>
      <c r="D2426" t="s">
        <v>46</v>
      </c>
      <c r="E2426" t="s">
        <v>57</v>
      </c>
      <c r="F2426">
        <v>4</v>
      </c>
      <c r="G2426" s="15">
        <v>2710000</v>
      </c>
      <c r="H2426" s="14">
        <v>0.13075929750140999</v>
      </c>
      <c r="I2426" s="27">
        <f t="shared" si="37"/>
        <v>2355642.3037711792</v>
      </c>
      <c r="J2426">
        <v>3.8</v>
      </c>
      <c r="K2426" t="b">
        <v>1</v>
      </c>
    </row>
    <row r="2427" spans="1:11" ht="16" x14ac:dyDescent="0.2">
      <c r="A2427" s="16">
        <v>45582</v>
      </c>
      <c r="B2427" t="s">
        <v>29</v>
      </c>
      <c r="C2427" t="s">
        <v>34</v>
      </c>
      <c r="D2427" t="s">
        <v>35</v>
      </c>
      <c r="E2427" t="s">
        <v>7642</v>
      </c>
      <c r="F2427">
        <v>2</v>
      </c>
      <c r="G2427" s="15">
        <v>2710000</v>
      </c>
      <c r="H2427" s="14">
        <v>0.13075929750140999</v>
      </c>
      <c r="I2427" s="27">
        <f t="shared" si="37"/>
        <v>2355642.3037711792</v>
      </c>
      <c r="J2427">
        <v>4.8</v>
      </c>
      <c r="K2427" t="b">
        <v>0</v>
      </c>
    </row>
    <row r="2428" spans="1:11" ht="16" x14ac:dyDescent="0.2">
      <c r="A2428" s="16">
        <v>45582</v>
      </c>
      <c r="B2428" t="s">
        <v>45</v>
      </c>
      <c r="C2428" t="s">
        <v>19</v>
      </c>
      <c r="D2428" t="s">
        <v>20</v>
      </c>
      <c r="E2428" t="s">
        <v>7640</v>
      </c>
      <c r="F2428">
        <v>1</v>
      </c>
      <c r="G2428" s="15">
        <v>2710000</v>
      </c>
      <c r="H2428" s="14">
        <v>0.13075929750140999</v>
      </c>
      <c r="I2428" s="27">
        <f t="shared" si="37"/>
        <v>2355642.3037711792</v>
      </c>
      <c r="J2428">
        <v>5</v>
      </c>
      <c r="K2428" t="b">
        <v>0</v>
      </c>
    </row>
    <row r="2429" spans="1:11" ht="16" x14ac:dyDescent="0.2">
      <c r="A2429" s="16">
        <v>45582</v>
      </c>
      <c r="B2429" t="s">
        <v>45</v>
      </c>
      <c r="C2429" t="s">
        <v>34</v>
      </c>
      <c r="D2429" t="s">
        <v>20</v>
      </c>
      <c r="E2429" t="s">
        <v>7644</v>
      </c>
      <c r="F2429">
        <v>2</v>
      </c>
      <c r="G2429" s="15">
        <v>2710000</v>
      </c>
      <c r="H2429" s="14">
        <v>0.13075929750140999</v>
      </c>
      <c r="I2429" s="27">
        <f t="shared" si="37"/>
        <v>2355642.3037711792</v>
      </c>
      <c r="J2429">
        <v>4.5999999999999996</v>
      </c>
      <c r="K2429" t="b">
        <v>0</v>
      </c>
    </row>
    <row r="2430" spans="1:11" ht="16" x14ac:dyDescent="0.2">
      <c r="A2430" s="16">
        <v>45583</v>
      </c>
      <c r="B2430" t="s">
        <v>33</v>
      </c>
      <c r="C2430" t="s">
        <v>39</v>
      </c>
      <c r="D2430" t="s">
        <v>35</v>
      </c>
      <c r="E2430" t="s">
        <v>7641</v>
      </c>
      <c r="F2430">
        <v>3</v>
      </c>
      <c r="G2430" s="15">
        <v>2710000</v>
      </c>
      <c r="H2430" s="14">
        <v>0.13075929750140999</v>
      </c>
      <c r="I2430" s="27">
        <f t="shared" si="37"/>
        <v>2355642.3037711792</v>
      </c>
      <c r="J2430">
        <v>3.7</v>
      </c>
      <c r="K2430" t="b">
        <v>0</v>
      </c>
    </row>
    <row r="2431" spans="1:11" ht="16" x14ac:dyDescent="0.2">
      <c r="A2431" s="16">
        <v>45583</v>
      </c>
      <c r="B2431" t="s">
        <v>29</v>
      </c>
      <c r="C2431" t="s">
        <v>45</v>
      </c>
      <c r="D2431" t="s">
        <v>20</v>
      </c>
      <c r="E2431" t="s">
        <v>7638</v>
      </c>
      <c r="F2431">
        <v>4</v>
      </c>
      <c r="G2431" s="15">
        <v>2710000</v>
      </c>
      <c r="H2431" s="14">
        <v>0.13075929750140999</v>
      </c>
      <c r="I2431" s="27">
        <f t="shared" si="37"/>
        <v>2355642.3037711792</v>
      </c>
      <c r="J2431">
        <v>4.5</v>
      </c>
      <c r="K2431" t="b">
        <v>0</v>
      </c>
    </row>
    <row r="2432" spans="1:11" ht="16" x14ac:dyDescent="0.2">
      <c r="A2432" s="16">
        <v>45583</v>
      </c>
      <c r="B2432" t="s">
        <v>45</v>
      </c>
      <c r="C2432" t="s">
        <v>45</v>
      </c>
      <c r="D2432" t="s">
        <v>20</v>
      </c>
      <c r="E2432" t="s">
        <v>7639</v>
      </c>
      <c r="F2432">
        <v>1</v>
      </c>
      <c r="G2432" s="15">
        <v>2710000</v>
      </c>
      <c r="H2432" s="14">
        <v>0.13075929750140999</v>
      </c>
      <c r="I2432" s="27">
        <f t="shared" si="37"/>
        <v>2355642.3037711792</v>
      </c>
      <c r="J2432">
        <v>4.3</v>
      </c>
      <c r="K2432" t="b">
        <v>1</v>
      </c>
    </row>
    <row r="2433" spans="1:11" ht="16" x14ac:dyDescent="0.2">
      <c r="A2433" s="16">
        <v>45584</v>
      </c>
      <c r="B2433" t="s">
        <v>29</v>
      </c>
      <c r="C2433" t="s">
        <v>25</v>
      </c>
      <c r="D2433" t="s">
        <v>50</v>
      </c>
      <c r="E2433" t="s">
        <v>7641</v>
      </c>
      <c r="F2433">
        <v>2</v>
      </c>
      <c r="G2433" s="15">
        <v>2710000</v>
      </c>
      <c r="H2433" s="14">
        <v>0.13075929750140999</v>
      </c>
      <c r="I2433" s="27">
        <f t="shared" si="37"/>
        <v>2355642.3037711792</v>
      </c>
      <c r="J2433">
        <v>4.8</v>
      </c>
      <c r="K2433" t="b">
        <v>1</v>
      </c>
    </row>
    <row r="2434" spans="1:11" ht="16" x14ac:dyDescent="0.2">
      <c r="A2434" s="16">
        <v>45585</v>
      </c>
      <c r="B2434" t="s">
        <v>18</v>
      </c>
      <c r="C2434" t="s">
        <v>19</v>
      </c>
      <c r="D2434" t="s">
        <v>20</v>
      </c>
      <c r="E2434" t="s">
        <v>7637</v>
      </c>
      <c r="F2434">
        <v>1</v>
      </c>
      <c r="G2434" s="15">
        <v>2710000</v>
      </c>
      <c r="H2434" s="14">
        <v>0.13075929750140999</v>
      </c>
      <c r="I2434" s="27">
        <f t="shared" si="37"/>
        <v>2355642.3037711792</v>
      </c>
      <c r="J2434">
        <v>3.7</v>
      </c>
      <c r="K2434" t="b">
        <v>1</v>
      </c>
    </row>
    <row r="2435" spans="1:11" ht="16" x14ac:dyDescent="0.2">
      <c r="A2435" s="16">
        <v>45585</v>
      </c>
      <c r="B2435" t="s">
        <v>45</v>
      </c>
      <c r="C2435" t="s">
        <v>45</v>
      </c>
      <c r="D2435" t="s">
        <v>35</v>
      </c>
      <c r="E2435" t="s">
        <v>7637</v>
      </c>
      <c r="F2435">
        <v>1</v>
      </c>
      <c r="G2435" s="15">
        <v>2710000</v>
      </c>
      <c r="H2435" s="14">
        <v>0.13075929750140999</v>
      </c>
      <c r="I2435" s="27">
        <f t="shared" ref="I2435:I2498" si="38">G2435-G2435*H2435</f>
        <v>2355642.3037711792</v>
      </c>
      <c r="J2435">
        <v>3.8</v>
      </c>
      <c r="K2435" t="b">
        <v>0</v>
      </c>
    </row>
    <row r="2436" spans="1:11" ht="16" x14ac:dyDescent="0.2">
      <c r="A2436" s="16">
        <v>45585</v>
      </c>
      <c r="B2436" t="s">
        <v>18</v>
      </c>
      <c r="C2436" t="s">
        <v>34</v>
      </c>
      <c r="D2436" t="s">
        <v>20</v>
      </c>
      <c r="E2436" t="s">
        <v>7643</v>
      </c>
      <c r="F2436">
        <v>3</v>
      </c>
      <c r="G2436" s="15">
        <v>2710000</v>
      </c>
      <c r="H2436" s="14">
        <v>0.13075929750140999</v>
      </c>
      <c r="I2436" s="27">
        <f t="shared" si="38"/>
        <v>2355642.3037711792</v>
      </c>
      <c r="J2436">
        <v>4</v>
      </c>
      <c r="K2436" t="b">
        <v>1</v>
      </c>
    </row>
    <row r="2437" spans="1:11" ht="16" x14ac:dyDescent="0.2">
      <c r="A2437" s="16">
        <v>45585</v>
      </c>
      <c r="B2437" t="str">
        <f>B2436</f>
        <v>Young Professional</v>
      </c>
      <c r="C2437" t="s">
        <v>39</v>
      </c>
      <c r="D2437" t="s">
        <v>20</v>
      </c>
      <c r="E2437" t="s">
        <v>7637</v>
      </c>
      <c r="F2437">
        <v>4</v>
      </c>
      <c r="G2437" s="15">
        <v>2710000</v>
      </c>
      <c r="H2437" s="14">
        <v>0.13075929750140999</v>
      </c>
      <c r="I2437" s="27">
        <f t="shared" si="38"/>
        <v>2355642.3037711792</v>
      </c>
      <c r="J2437">
        <v>4.0999999999999996</v>
      </c>
      <c r="K2437" t="b">
        <v>0</v>
      </c>
    </row>
    <row r="2438" spans="1:11" ht="16" x14ac:dyDescent="0.2">
      <c r="A2438" s="16">
        <v>45585</v>
      </c>
      <c r="B2438" t="s">
        <v>45</v>
      </c>
      <c r="C2438" t="s">
        <v>39</v>
      </c>
      <c r="D2438" t="s">
        <v>35</v>
      </c>
      <c r="E2438" t="s">
        <v>7641</v>
      </c>
      <c r="F2438">
        <v>2</v>
      </c>
      <c r="G2438" s="15">
        <v>2710000</v>
      </c>
      <c r="H2438" s="14">
        <v>0.13075929750140999</v>
      </c>
      <c r="I2438" s="27">
        <f t="shared" si="38"/>
        <v>2355642.3037711792</v>
      </c>
      <c r="J2438">
        <v>4.7</v>
      </c>
      <c r="K2438" t="b">
        <v>1</v>
      </c>
    </row>
    <row r="2439" spans="1:11" ht="16" x14ac:dyDescent="0.2">
      <c r="A2439" s="16">
        <v>45586</v>
      </c>
      <c r="B2439" t="s">
        <v>45</v>
      </c>
      <c r="C2439" t="s">
        <v>45</v>
      </c>
      <c r="D2439" t="s">
        <v>50</v>
      </c>
      <c r="E2439" t="s">
        <v>7638</v>
      </c>
      <c r="F2439">
        <v>1</v>
      </c>
      <c r="G2439" s="15">
        <v>2710000</v>
      </c>
      <c r="H2439" s="14">
        <v>0.13075929750140999</v>
      </c>
      <c r="I2439" s="27">
        <f t="shared" si="38"/>
        <v>2355642.3037711792</v>
      </c>
      <c r="J2439">
        <v>3.7</v>
      </c>
      <c r="K2439" t="b">
        <v>1</v>
      </c>
    </row>
    <row r="2440" spans="1:11" ht="16" x14ac:dyDescent="0.2">
      <c r="A2440" s="16">
        <v>45586</v>
      </c>
      <c r="B2440" t="s">
        <v>18</v>
      </c>
      <c r="C2440" t="s">
        <v>19</v>
      </c>
      <c r="D2440" t="s">
        <v>20</v>
      </c>
      <c r="E2440" t="str">
        <f>E2439</f>
        <v>Đà Lạt</v>
      </c>
      <c r="F2440">
        <v>1</v>
      </c>
      <c r="G2440" s="15">
        <v>2710000</v>
      </c>
      <c r="H2440" s="14">
        <v>0.13075929750140999</v>
      </c>
      <c r="I2440" s="27">
        <f t="shared" si="38"/>
        <v>2355642.3037711792</v>
      </c>
      <c r="J2440">
        <v>4.5</v>
      </c>
      <c r="K2440" t="b">
        <v>1</v>
      </c>
    </row>
    <row r="2441" spans="1:11" ht="16" x14ac:dyDescent="0.2">
      <c r="A2441" s="16">
        <v>45586</v>
      </c>
      <c r="B2441" t="s">
        <v>45</v>
      </c>
      <c r="C2441" t="s">
        <v>34</v>
      </c>
      <c r="D2441" t="s">
        <v>20</v>
      </c>
      <c r="E2441" t="s">
        <v>7640</v>
      </c>
      <c r="F2441">
        <v>1</v>
      </c>
      <c r="G2441" s="15">
        <v>2710000</v>
      </c>
      <c r="H2441" s="14">
        <v>0.13075929750140999</v>
      </c>
      <c r="I2441" s="27">
        <f t="shared" si="38"/>
        <v>2355642.3037711792</v>
      </c>
      <c r="J2441">
        <v>3.9</v>
      </c>
      <c r="K2441" t="b">
        <v>1</v>
      </c>
    </row>
    <row r="2442" spans="1:11" ht="16" x14ac:dyDescent="0.2">
      <c r="A2442" s="16">
        <v>45586</v>
      </c>
      <c r="B2442" t="s">
        <v>29</v>
      </c>
      <c r="C2442" t="s">
        <v>39</v>
      </c>
      <c r="D2442" t="s">
        <v>35</v>
      </c>
      <c r="E2442" t="s">
        <v>99</v>
      </c>
      <c r="F2442">
        <v>2</v>
      </c>
      <c r="G2442" s="15">
        <v>2710000</v>
      </c>
      <c r="H2442" s="14">
        <v>0.13075929750140999</v>
      </c>
      <c r="I2442" s="27">
        <f t="shared" si="38"/>
        <v>2355642.3037711792</v>
      </c>
      <c r="J2442">
        <v>4.5999999999999996</v>
      </c>
      <c r="K2442" t="b">
        <v>1</v>
      </c>
    </row>
    <row r="2443" spans="1:11" ht="16" x14ac:dyDescent="0.2">
      <c r="A2443" s="16">
        <v>45587</v>
      </c>
      <c r="B2443" t="s">
        <v>45</v>
      </c>
      <c r="C2443" t="s">
        <v>25</v>
      </c>
      <c r="D2443" t="s">
        <v>20</v>
      </c>
      <c r="E2443" t="s">
        <v>7641</v>
      </c>
      <c r="F2443">
        <v>1</v>
      </c>
      <c r="G2443" s="15">
        <v>2710000</v>
      </c>
      <c r="H2443" s="14">
        <v>0.13075929750140999</v>
      </c>
      <c r="I2443" s="27">
        <f t="shared" si="38"/>
        <v>2355642.3037711792</v>
      </c>
      <c r="J2443">
        <v>4.8</v>
      </c>
      <c r="K2443" t="b">
        <v>0</v>
      </c>
    </row>
    <row r="2444" spans="1:11" ht="16" x14ac:dyDescent="0.2">
      <c r="A2444" s="16">
        <v>45587</v>
      </c>
      <c r="B2444" t="s">
        <v>29</v>
      </c>
      <c r="C2444" t="s">
        <v>19</v>
      </c>
      <c r="D2444" t="s">
        <v>20</v>
      </c>
      <c r="E2444" t="s">
        <v>7640</v>
      </c>
      <c r="F2444">
        <v>2</v>
      </c>
      <c r="G2444" s="15">
        <v>2710000</v>
      </c>
      <c r="H2444" s="14">
        <v>0.13075929750140999</v>
      </c>
      <c r="I2444" s="27">
        <f t="shared" si="38"/>
        <v>2355642.3037711792</v>
      </c>
      <c r="J2444">
        <v>3.7</v>
      </c>
      <c r="K2444" t="b">
        <v>1</v>
      </c>
    </row>
    <row r="2445" spans="1:11" ht="16" x14ac:dyDescent="0.2">
      <c r="A2445" s="16">
        <v>45588</v>
      </c>
      <c r="B2445" t="s">
        <v>45</v>
      </c>
      <c r="C2445" t="s">
        <v>19</v>
      </c>
      <c r="D2445" t="s">
        <v>20</v>
      </c>
      <c r="E2445" t="s">
        <v>7637</v>
      </c>
      <c r="F2445">
        <v>1</v>
      </c>
      <c r="G2445" s="15">
        <v>2710000</v>
      </c>
      <c r="H2445" s="14">
        <v>0.13075929750140999</v>
      </c>
      <c r="I2445" s="27">
        <f t="shared" si="38"/>
        <v>2355642.3037711792</v>
      </c>
      <c r="J2445">
        <v>4.0999999999999996</v>
      </c>
      <c r="K2445" t="b">
        <v>1</v>
      </c>
    </row>
    <row r="2446" spans="1:11" ht="16" x14ac:dyDescent="0.2">
      <c r="A2446" s="16">
        <v>45588</v>
      </c>
      <c r="B2446" t="s">
        <v>33</v>
      </c>
      <c r="C2446" t="s">
        <v>68</v>
      </c>
      <c r="D2446" t="s">
        <v>35</v>
      </c>
      <c r="E2446" t="s">
        <v>7644</v>
      </c>
      <c r="F2446">
        <v>1</v>
      </c>
      <c r="G2446" s="15">
        <v>2710000</v>
      </c>
      <c r="H2446" s="14">
        <v>0.13075929750140999</v>
      </c>
      <c r="I2446" s="27">
        <f t="shared" si="38"/>
        <v>2355642.3037711792</v>
      </c>
      <c r="J2446">
        <v>4.9000000000000004</v>
      </c>
      <c r="K2446" t="b">
        <v>1</v>
      </c>
    </row>
    <row r="2447" spans="1:11" ht="16" x14ac:dyDescent="0.2">
      <c r="A2447" s="16">
        <v>45589</v>
      </c>
      <c r="B2447" t="s">
        <v>18</v>
      </c>
      <c r="C2447" t="s">
        <v>68</v>
      </c>
      <c r="D2447" t="s">
        <v>50</v>
      </c>
      <c r="E2447" t="s">
        <v>7643</v>
      </c>
      <c r="F2447">
        <v>4</v>
      </c>
      <c r="G2447" s="15">
        <v>2710000</v>
      </c>
      <c r="H2447" s="14">
        <v>0.13075929750140999</v>
      </c>
      <c r="I2447" s="27">
        <f t="shared" si="38"/>
        <v>2355642.3037711792</v>
      </c>
      <c r="J2447">
        <v>4.7</v>
      </c>
      <c r="K2447" t="b">
        <v>0</v>
      </c>
    </row>
    <row r="2448" spans="1:11" ht="16" x14ac:dyDescent="0.2">
      <c r="A2448" s="16">
        <v>45589</v>
      </c>
      <c r="B2448" t="s">
        <v>18</v>
      </c>
      <c r="C2448" t="s">
        <v>39</v>
      </c>
      <c r="D2448" t="s">
        <v>35</v>
      </c>
      <c r="E2448" t="s">
        <v>7637</v>
      </c>
      <c r="F2448">
        <v>1</v>
      </c>
      <c r="G2448" s="15">
        <v>2710000</v>
      </c>
      <c r="H2448" s="14">
        <v>0.13075929750140999</v>
      </c>
      <c r="I2448" s="27">
        <f t="shared" si="38"/>
        <v>2355642.3037711792</v>
      </c>
      <c r="J2448">
        <v>4.4000000000000004</v>
      </c>
      <c r="K2448" t="b">
        <v>0</v>
      </c>
    </row>
    <row r="2449" spans="1:11" ht="16" x14ac:dyDescent="0.2">
      <c r="A2449" s="16">
        <v>45589</v>
      </c>
      <c r="B2449" t="s">
        <v>33</v>
      </c>
      <c r="C2449" t="s">
        <v>39</v>
      </c>
      <c r="D2449" t="s">
        <v>20</v>
      </c>
      <c r="E2449" t="s">
        <v>7637</v>
      </c>
      <c r="F2449">
        <v>3</v>
      </c>
      <c r="G2449" s="15">
        <v>2710000</v>
      </c>
      <c r="H2449" s="14">
        <v>0.13075929750140999</v>
      </c>
      <c r="I2449" s="27">
        <f t="shared" si="38"/>
        <v>2355642.3037711792</v>
      </c>
      <c r="J2449">
        <v>4.5999999999999996</v>
      </c>
      <c r="K2449" t="b">
        <v>1</v>
      </c>
    </row>
    <row r="2450" spans="1:11" ht="16" x14ac:dyDescent="0.2">
      <c r="A2450" s="16">
        <v>45589</v>
      </c>
      <c r="B2450" t="s">
        <v>33</v>
      </c>
      <c r="C2450" t="s">
        <v>19</v>
      </c>
      <c r="D2450" t="s">
        <v>35</v>
      </c>
      <c r="E2450" t="s">
        <v>57</v>
      </c>
      <c r="F2450">
        <v>2</v>
      </c>
      <c r="G2450" s="15">
        <v>2710000</v>
      </c>
      <c r="H2450" s="14">
        <v>0.13075929750140999</v>
      </c>
      <c r="I2450" s="27">
        <f t="shared" si="38"/>
        <v>2355642.3037711792</v>
      </c>
      <c r="J2450">
        <v>3.5</v>
      </c>
      <c r="K2450" t="b">
        <v>1</v>
      </c>
    </row>
    <row r="2451" spans="1:11" ht="16" x14ac:dyDescent="0.2">
      <c r="A2451" s="16">
        <v>45589</v>
      </c>
      <c r="B2451" t="s">
        <v>18</v>
      </c>
      <c r="C2451" t="s">
        <v>19</v>
      </c>
      <c r="D2451" t="s">
        <v>20</v>
      </c>
      <c r="E2451" t="s">
        <v>7640</v>
      </c>
      <c r="F2451">
        <v>2</v>
      </c>
      <c r="G2451" s="15">
        <v>2710000</v>
      </c>
      <c r="H2451" s="14">
        <v>0.13075929750140999</v>
      </c>
      <c r="I2451" s="27">
        <f t="shared" si="38"/>
        <v>2355642.3037711792</v>
      </c>
      <c r="J2451">
        <v>4.8</v>
      </c>
      <c r="K2451" t="b">
        <v>0</v>
      </c>
    </row>
    <row r="2452" spans="1:11" ht="16" x14ac:dyDescent="0.2">
      <c r="A2452" s="16">
        <v>45590</v>
      </c>
      <c r="B2452" t="s">
        <v>45</v>
      </c>
      <c r="C2452" t="s">
        <v>45</v>
      </c>
      <c r="D2452" t="s">
        <v>50</v>
      </c>
      <c r="E2452" t="s">
        <v>7641</v>
      </c>
      <c r="F2452">
        <v>2</v>
      </c>
      <c r="G2452" s="15">
        <v>2710000</v>
      </c>
      <c r="H2452" s="14">
        <v>0.13075929750140999</v>
      </c>
      <c r="I2452" s="27">
        <f t="shared" si="38"/>
        <v>2355642.3037711792</v>
      </c>
      <c r="J2452">
        <v>4.5999999999999996</v>
      </c>
      <c r="K2452" t="b">
        <v>1</v>
      </c>
    </row>
    <row r="2453" spans="1:11" ht="16" x14ac:dyDescent="0.2">
      <c r="A2453" s="16">
        <v>45590</v>
      </c>
      <c r="B2453" t="s">
        <v>29</v>
      </c>
      <c r="C2453" t="s">
        <v>45</v>
      </c>
      <c r="D2453" t="s">
        <v>20</v>
      </c>
      <c r="E2453" t="s">
        <v>7639</v>
      </c>
      <c r="F2453">
        <v>3</v>
      </c>
      <c r="G2453" s="15">
        <v>2710000</v>
      </c>
      <c r="H2453" s="14">
        <v>0.13075929750140999</v>
      </c>
      <c r="I2453" s="27">
        <f t="shared" si="38"/>
        <v>2355642.3037711792</v>
      </c>
      <c r="J2453">
        <v>4.7</v>
      </c>
      <c r="K2453" t="b">
        <v>0</v>
      </c>
    </row>
    <row r="2454" spans="1:11" ht="16" x14ac:dyDescent="0.2">
      <c r="A2454" s="16">
        <v>45590</v>
      </c>
      <c r="B2454" t="s">
        <v>45</v>
      </c>
      <c r="C2454" t="s">
        <v>34</v>
      </c>
      <c r="D2454" t="s">
        <v>50</v>
      </c>
      <c r="E2454" t="s">
        <v>7643</v>
      </c>
      <c r="F2454">
        <v>1</v>
      </c>
      <c r="G2454" s="15">
        <v>2710000</v>
      </c>
      <c r="H2454" s="14">
        <v>0.13075929750140999</v>
      </c>
      <c r="I2454" s="27">
        <f t="shared" si="38"/>
        <v>2355642.3037711792</v>
      </c>
      <c r="J2454">
        <v>4.7</v>
      </c>
      <c r="K2454" t="b">
        <v>1</v>
      </c>
    </row>
    <row r="2455" spans="1:11" ht="16" x14ac:dyDescent="0.2">
      <c r="A2455" s="16">
        <v>45590</v>
      </c>
      <c r="B2455" t="str">
        <f>B2454</f>
        <v>Family</v>
      </c>
      <c r="C2455" t="s">
        <v>39</v>
      </c>
      <c r="D2455" t="s">
        <v>20</v>
      </c>
      <c r="E2455" t="s">
        <v>7640</v>
      </c>
      <c r="F2455">
        <v>1</v>
      </c>
      <c r="G2455" s="15">
        <v>2710000</v>
      </c>
      <c r="H2455" s="14">
        <v>0.13075929750140999</v>
      </c>
      <c r="I2455" s="27">
        <f t="shared" si="38"/>
        <v>2355642.3037711792</v>
      </c>
      <c r="J2455">
        <v>3.6</v>
      </c>
      <c r="K2455" t="b">
        <v>1</v>
      </c>
    </row>
    <row r="2456" spans="1:11" ht="16" x14ac:dyDescent="0.2">
      <c r="A2456" s="16">
        <v>45590</v>
      </c>
      <c r="B2456" t="s">
        <v>33</v>
      </c>
      <c r="C2456" t="s">
        <v>19</v>
      </c>
      <c r="D2456" t="str">
        <f>D2455</f>
        <v>Website</v>
      </c>
      <c r="E2456" t="s">
        <v>7644</v>
      </c>
      <c r="F2456">
        <v>2</v>
      </c>
      <c r="G2456" s="15">
        <v>2710000</v>
      </c>
      <c r="H2456" s="14">
        <v>0.13075929750140999</v>
      </c>
      <c r="I2456" s="27">
        <f t="shared" si="38"/>
        <v>2355642.3037711792</v>
      </c>
      <c r="J2456">
        <v>4.5</v>
      </c>
      <c r="K2456" t="b">
        <v>0</v>
      </c>
    </row>
    <row r="2457" spans="1:11" ht="16" x14ac:dyDescent="0.2">
      <c r="A2457" s="16">
        <v>45591</v>
      </c>
      <c r="B2457" t="s">
        <v>29</v>
      </c>
      <c r="C2457" t="s">
        <v>39</v>
      </c>
      <c r="D2457" t="s">
        <v>20</v>
      </c>
      <c r="E2457" t="s">
        <v>7639</v>
      </c>
      <c r="F2457">
        <v>2</v>
      </c>
      <c r="G2457" s="15">
        <v>2710000</v>
      </c>
      <c r="H2457" s="14">
        <v>0.13075929750140999</v>
      </c>
      <c r="I2457" s="27">
        <f t="shared" si="38"/>
        <v>2355642.3037711792</v>
      </c>
      <c r="J2457">
        <v>4</v>
      </c>
      <c r="K2457" t="b">
        <v>0</v>
      </c>
    </row>
    <row r="2458" spans="1:11" ht="16" x14ac:dyDescent="0.2">
      <c r="A2458" s="16">
        <v>45591</v>
      </c>
      <c r="B2458" t="s">
        <v>18</v>
      </c>
      <c r="C2458" t="s">
        <v>34</v>
      </c>
      <c r="D2458" t="s">
        <v>20</v>
      </c>
      <c r="E2458" t="s">
        <v>7643</v>
      </c>
      <c r="F2458">
        <v>2</v>
      </c>
      <c r="G2458" s="15">
        <v>2710000</v>
      </c>
      <c r="H2458" s="14">
        <v>0.13075929750140999</v>
      </c>
      <c r="I2458" s="27">
        <f t="shared" si="38"/>
        <v>2355642.3037711792</v>
      </c>
      <c r="J2458">
        <v>4.4000000000000004</v>
      </c>
      <c r="K2458" t="b">
        <v>0</v>
      </c>
    </row>
    <row r="2459" spans="1:11" ht="16" x14ac:dyDescent="0.2">
      <c r="A2459" s="16">
        <v>45591</v>
      </c>
      <c r="B2459" t="s">
        <v>29</v>
      </c>
      <c r="C2459" t="s">
        <v>19</v>
      </c>
      <c r="D2459" t="s">
        <v>20</v>
      </c>
      <c r="E2459" t="s">
        <v>7641</v>
      </c>
      <c r="F2459">
        <v>3</v>
      </c>
      <c r="G2459" s="15">
        <v>2710000</v>
      </c>
      <c r="H2459" s="14">
        <v>0.13075929750140999</v>
      </c>
      <c r="I2459" s="27">
        <f t="shared" si="38"/>
        <v>2355642.3037711792</v>
      </c>
      <c r="J2459">
        <v>4.8</v>
      </c>
      <c r="K2459" t="b">
        <v>1</v>
      </c>
    </row>
    <row r="2460" spans="1:11" ht="16" x14ac:dyDescent="0.2">
      <c r="A2460" s="16">
        <v>45591</v>
      </c>
      <c r="B2460" t="s">
        <v>33</v>
      </c>
      <c r="C2460" t="s">
        <v>25</v>
      </c>
      <c r="D2460" t="s">
        <v>20</v>
      </c>
      <c r="E2460" t="s">
        <v>7644</v>
      </c>
      <c r="F2460">
        <v>1</v>
      </c>
      <c r="G2460" s="15">
        <v>2710000</v>
      </c>
      <c r="H2460" s="14">
        <v>0.13075929750140999</v>
      </c>
      <c r="I2460" s="27">
        <f t="shared" si="38"/>
        <v>2355642.3037711792</v>
      </c>
      <c r="J2460">
        <v>3.9</v>
      </c>
      <c r="K2460" t="b">
        <v>0</v>
      </c>
    </row>
    <row r="2461" spans="1:11" ht="16" x14ac:dyDescent="0.2">
      <c r="A2461" s="16">
        <v>45591</v>
      </c>
      <c r="B2461" t="s">
        <v>18</v>
      </c>
      <c r="C2461" t="s">
        <v>19</v>
      </c>
      <c r="D2461" t="s">
        <v>35</v>
      </c>
      <c r="E2461" t="s">
        <v>7641</v>
      </c>
      <c r="F2461">
        <v>1</v>
      </c>
      <c r="G2461" s="15">
        <v>2710000</v>
      </c>
      <c r="H2461" s="14">
        <v>0.13075929750140999</v>
      </c>
      <c r="I2461" s="27">
        <f t="shared" si="38"/>
        <v>2355642.3037711792</v>
      </c>
      <c r="J2461">
        <v>3.7</v>
      </c>
      <c r="K2461" t="b">
        <v>1</v>
      </c>
    </row>
    <row r="2462" spans="1:11" ht="16" x14ac:dyDescent="0.2">
      <c r="A2462" s="16">
        <v>45591</v>
      </c>
      <c r="B2462" t="s">
        <v>45</v>
      </c>
      <c r="C2462" t="s">
        <v>34</v>
      </c>
      <c r="D2462" t="s">
        <v>35</v>
      </c>
      <c r="E2462" t="str">
        <f>E2461</f>
        <v>Phú Quốc</v>
      </c>
      <c r="F2462">
        <v>1</v>
      </c>
      <c r="G2462" s="15">
        <v>2710000</v>
      </c>
      <c r="H2462" s="14">
        <v>0.13075929750140999</v>
      </c>
      <c r="I2462" s="27">
        <f t="shared" si="38"/>
        <v>2355642.3037711792</v>
      </c>
      <c r="J2462">
        <v>3.6</v>
      </c>
      <c r="K2462" t="b">
        <v>1</v>
      </c>
    </row>
    <row r="2463" spans="1:11" ht="16" x14ac:dyDescent="0.2">
      <c r="A2463" s="16">
        <v>45592</v>
      </c>
      <c r="B2463" t="s">
        <v>29</v>
      </c>
      <c r="C2463" t="s">
        <v>25</v>
      </c>
      <c r="D2463" t="s">
        <v>20</v>
      </c>
      <c r="E2463" t="s">
        <v>7638</v>
      </c>
      <c r="F2463">
        <v>2</v>
      </c>
      <c r="G2463" s="15">
        <v>2710000</v>
      </c>
      <c r="H2463" s="14">
        <v>0.13075929750140999</v>
      </c>
      <c r="I2463" s="27">
        <f t="shared" si="38"/>
        <v>2355642.3037711792</v>
      </c>
      <c r="J2463">
        <v>3.9</v>
      </c>
      <c r="K2463" t="b">
        <v>1</v>
      </c>
    </row>
    <row r="2464" spans="1:11" ht="16" x14ac:dyDescent="0.2">
      <c r="A2464" s="16">
        <v>45592</v>
      </c>
      <c r="B2464" t="s">
        <v>33</v>
      </c>
      <c r="C2464" t="s">
        <v>34</v>
      </c>
      <c r="D2464" t="s">
        <v>20</v>
      </c>
      <c r="E2464" t="s">
        <v>7642</v>
      </c>
      <c r="F2464">
        <v>2</v>
      </c>
      <c r="G2464" s="15">
        <v>2710000</v>
      </c>
      <c r="H2464" s="14">
        <v>0.13075929750140999</v>
      </c>
      <c r="I2464" s="27">
        <f t="shared" si="38"/>
        <v>2355642.3037711792</v>
      </c>
      <c r="J2464">
        <v>3.9</v>
      </c>
      <c r="K2464" t="b">
        <v>0</v>
      </c>
    </row>
    <row r="2465" spans="1:11" ht="16" x14ac:dyDescent="0.2">
      <c r="A2465" s="16">
        <v>45592</v>
      </c>
      <c r="B2465" t="s">
        <v>33</v>
      </c>
      <c r="C2465" t="s">
        <v>34</v>
      </c>
      <c r="D2465" t="s">
        <v>35</v>
      </c>
      <c r="E2465" t="s">
        <v>7641</v>
      </c>
      <c r="F2465">
        <v>1</v>
      </c>
      <c r="G2465" s="15">
        <v>2710000</v>
      </c>
      <c r="H2465" s="14">
        <v>0.13075929750140999</v>
      </c>
      <c r="I2465" s="27">
        <f t="shared" si="38"/>
        <v>2355642.3037711792</v>
      </c>
      <c r="J2465">
        <v>3.9</v>
      </c>
      <c r="K2465" t="b">
        <v>1</v>
      </c>
    </row>
    <row r="2466" spans="1:11" ht="16" x14ac:dyDescent="0.2">
      <c r="A2466" s="16">
        <v>45592</v>
      </c>
      <c r="B2466" t="s">
        <v>33</v>
      </c>
      <c r="C2466" t="s">
        <v>19</v>
      </c>
      <c r="D2466" t="s">
        <v>20</v>
      </c>
      <c r="E2466" t="s">
        <v>7644</v>
      </c>
      <c r="F2466">
        <v>1</v>
      </c>
      <c r="G2466" s="15">
        <v>2710000</v>
      </c>
      <c r="H2466" s="14">
        <v>0.13075929750140999</v>
      </c>
      <c r="I2466" s="27">
        <f t="shared" si="38"/>
        <v>2355642.3037711792</v>
      </c>
      <c r="J2466">
        <v>3.9</v>
      </c>
      <c r="K2466" t="b">
        <v>0</v>
      </c>
    </row>
    <row r="2467" spans="1:11" ht="16" x14ac:dyDescent="0.2">
      <c r="A2467" s="16">
        <v>45592</v>
      </c>
      <c r="B2467" t="s">
        <v>45</v>
      </c>
      <c r="C2467" t="s">
        <v>45</v>
      </c>
      <c r="D2467" t="s">
        <v>20</v>
      </c>
      <c r="E2467" t="s">
        <v>57</v>
      </c>
      <c r="F2467">
        <v>1</v>
      </c>
      <c r="G2467" s="15">
        <v>2710000</v>
      </c>
      <c r="H2467" s="14">
        <v>0.13075929750140999</v>
      </c>
      <c r="I2467" s="27">
        <f t="shared" si="38"/>
        <v>2355642.3037711792</v>
      </c>
      <c r="J2467">
        <v>4.5</v>
      </c>
      <c r="K2467" t="b">
        <v>0</v>
      </c>
    </row>
    <row r="2468" spans="1:11" ht="16" x14ac:dyDescent="0.2">
      <c r="A2468" s="16">
        <v>45592</v>
      </c>
      <c r="B2468" t="s">
        <v>33</v>
      </c>
      <c r="C2468" t="s">
        <v>19</v>
      </c>
      <c r="D2468" t="s">
        <v>50</v>
      </c>
      <c r="E2468" t="s">
        <v>7641</v>
      </c>
      <c r="F2468">
        <v>1</v>
      </c>
      <c r="G2468" s="15">
        <v>2710000</v>
      </c>
      <c r="H2468" s="14">
        <v>0.13075929750140999</v>
      </c>
      <c r="I2468" s="27">
        <f t="shared" si="38"/>
        <v>2355642.3037711792</v>
      </c>
      <c r="J2468">
        <v>4.8</v>
      </c>
      <c r="K2468" t="b">
        <v>1</v>
      </c>
    </row>
    <row r="2469" spans="1:11" ht="16" x14ac:dyDescent="0.2">
      <c r="A2469" s="16">
        <v>45593</v>
      </c>
      <c r="B2469" t="s">
        <v>18</v>
      </c>
      <c r="C2469" t="s">
        <v>45</v>
      </c>
      <c r="D2469" t="s">
        <v>35</v>
      </c>
      <c r="E2469" t="s">
        <v>7640</v>
      </c>
      <c r="F2469">
        <v>5</v>
      </c>
      <c r="G2469" s="15">
        <v>2710000</v>
      </c>
      <c r="H2469" s="14">
        <v>0.13075929750140999</v>
      </c>
      <c r="I2469" s="27">
        <f t="shared" si="38"/>
        <v>2355642.3037711792</v>
      </c>
      <c r="J2469">
        <v>5</v>
      </c>
      <c r="K2469" t="b">
        <v>0</v>
      </c>
    </row>
    <row r="2470" spans="1:11" ht="16" x14ac:dyDescent="0.2">
      <c r="A2470" s="16">
        <v>45593</v>
      </c>
      <c r="B2470" t="s">
        <v>45</v>
      </c>
      <c r="C2470" t="s">
        <v>34</v>
      </c>
      <c r="D2470" t="s">
        <v>50</v>
      </c>
      <c r="E2470" t="s">
        <v>7638</v>
      </c>
      <c r="F2470">
        <v>2</v>
      </c>
      <c r="G2470" s="15">
        <v>2710000</v>
      </c>
      <c r="H2470" s="14">
        <v>0.13075929750140999</v>
      </c>
      <c r="I2470" s="27">
        <f t="shared" si="38"/>
        <v>2355642.3037711792</v>
      </c>
      <c r="J2470">
        <v>3.8</v>
      </c>
      <c r="K2470" t="b">
        <v>0</v>
      </c>
    </row>
    <row r="2471" spans="1:11" ht="16" x14ac:dyDescent="0.2">
      <c r="A2471" s="16">
        <v>45593</v>
      </c>
      <c r="B2471" t="s">
        <v>18</v>
      </c>
      <c r="C2471" t="s">
        <v>39</v>
      </c>
      <c r="D2471" t="s">
        <v>20</v>
      </c>
      <c r="E2471" t="s">
        <v>7641</v>
      </c>
      <c r="F2471">
        <v>1</v>
      </c>
      <c r="G2471" s="15">
        <v>2710000</v>
      </c>
      <c r="H2471" s="14">
        <v>0.13075929750140999</v>
      </c>
      <c r="I2471" s="27">
        <f t="shared" si="38"/>
        <v>2355642.3037711792</v>
      </c>
      <c r="J2471">
        <v>4.7</v>
      </c>
      <c r="K2471" t="b">
        <v>1</v>
      </c>
    </row>
    <row r="2472" spans="1:11" ht="16" x14ac:dyDescent="0.2">
      <c r="A2472" s="16">
        <v>45593</v>
      </c>
      <c r="B2472" t="s">
        <v>33</v>
      </c>
      <c r="C2472" t="s">
        <v>34</v>
      </c>
      <c r="D2472" t="s">
        <v>50</v>
      </c>
      <c r="E2472" t="s">
        <v>7643</v>
      </c>
      <c r="F2472">
        <v>3</v>
      </c>
      <c r="G2472" s="15">
        <v>2710000</v>
      </c>
      <c r="H2472" s="14">
        <v>0.13075929750140999</v>
      </c>
      <c r="I2472" s="27">
        <f t="shared" si="38"/>
        <v>2355642.3037711792</v>
      </c>
      <c r="J2472">
        <v>4.0999999999999996</v>
      </c>
      <c r="K2472" t="b">
        <v>0</v>
      </c>
    </row>
    <row r="2473" spans="1:11" ht="16" x14ac:dyDescent="0.2">
      <c r="A2473" s="16">
        <v>45593</v>
      </c>
      <c r="B2473" t="s">
        <v>33</v>
      </c>
      <c r="C2473" t="s">
        <v>34</v>
      </c>
      <c r="D2473" t="s">
        <v>20</v>
      </c>
      <c r="E2473" t="s">
        <v>57</v>
      </c>
      <c r="F2473">
        <v>2</v>
      </c>
      <c r="G2473" s="15">
        <v>2710000</v>
      </c>
      <c r="H2473" s="14">
        <v>0.13075929750140999</v>
      </c>
      <c r="I2473" s="27">
        <f t="shared" si="38"/>
        <v>2355642.3037711792</v>
      </c>
      <c r="J2473">
        <v>3.8</v>
      </c>
      <c r="K2473" t="b">
        <v>0</v>
      </c>
    </row>
    <row r="2474" spans="1:11" ht="16" x14ac:dyDescent="0.2">
      <c r="A2474" s="16">
        <v>45593</v>
      </c>
      <c r="B2474" t="s">
        <v>33</v>
      </c>
      <c r="C2474" t="s">
        <v>34</v>
      </c>
      <c r="D2474" t="s">
        <v>46</v>
      </c>
      <c r="E2474" t="s">
        <v>7640</v>
      </c>
      <c r="F2474">
        <v>2</v>
      </c>
      <c r="G2474" s="15">
        <v>2710000</v>
      </c>
      <c r="H2474" s="14">
        <v>0.13075929750140999</v>
      </c>
      <c r="I2474" s="27">
        <f t="shared" si="38"/>
        <v>2355642.3037711792</v>
      </c>
      <c r="J2474">
        <v>3.4</v>
      </c>
      <c r="K2474" t="b">
        <v>1</v>
      </c>
    </row>
    <row r="2475" spans="1:11" ht="16" x14ac:dyDescent="0.2">
      <c r="A2475" s="16">
        <v>45594</v>
      </c>
      <c r="B2475" t="s">
        <v>18</v>
      </c>
      <c r="C2475" t="s">
        <v>68</v>
      </c>
      <c r="D2475" t="s">
        <v>46</v>
      </c>
      <c r="E2475" t="s">
        <v>7644</v>
      </c>
      <c r="F2475">
        <v>4</v>
      </c>
      <c r="G2475" s="15">
        <v>2710000</v>
      </c>
      <c r="H2475" s="14">
        <v>0.13075929750140999</v>
      </c>
      <c r="I2475" s="27">
        <f t="shared" si="38"/>
        <v>2355642.3037711792</v>
      </c>
      <c r="J2475">
        <v>4</v>
      </c>
      <c r="K2475" t="b">
        <v>1</v>
      </c>
    </row>
    <row r="2476" spans="1:11" ht="16" x14ac:dyDescent="0.2">
      <c r="A2476" s="16">
        <v>45594</v>
      </c>
      <c r="B2476" t="s">
        <v>33</v>
      </c>
      <c r="C2476" t="s">
        <v>68</v>
      </c>
      <c r="D2476" t="s">
        <v>20</v>
      </c>
      <c r="E2476" t="s">
        <v>7638</v>
      </c>
      <c r="F2476">
        <v>3</v>
      </c>
      <c r="G2476" s="15">
        <v>2710000</v>
      </c>
      <c r="H2476" s="14">
        <v>0.13075929750140999</v>
      </c>
      <c r="I2476" s="27">
        <f t="shared" si="38"/>
        <v>2355642.3037711792</v>
      </c>
      <c r="J2476">
        <v>4.9000000000000004</v>
      </c>
      <c r="K2476" t="b">
        <v>1</v>
      </c>
    </row>
    <row r="2477" spans="1:11" ht="16" x14ac:dyDescent="0.2">
      <c r="A2477" s="16">
        <v>45594</v>
      </c>
      <c r="B2477" t="s">
        <v>18</v>
      </c>
      <c r="C2477" t="s">
        <v>19</v>
      </c>
      <c r="D2477" t="s">
        <v>50</v>
      </c>
      <c r="E2477" t="s">
        <v>7644</v>
      </c>
      <c r="F2477">
        <v>2</v>
      </c>
      <c r="G2477" s="15">
        <v>2710000</v>
      </c>
      <c r="H2477" s="14">
        <v>0.13075929750140999</v>
      </c>
      <c r="I2477" s="27">
        <f t="shared" si="38"/>
        <v>2355642.3037711792</v>
      </c>
      <c r="J2477">
        <v>3.5</v>
      </c>
      <c r="K2477" t="b">
        <v>1</v>
      </c>
    </row>
    <row r="2478" spans="1:11" ht="16" x14ac:dyDescent="0.2">
      <c r="A2478" s="16">
        <v>45594</v>
      </c>
      <c r="B2478" t="s">
        <v>45</v>
      </c>
      <c r="C2478" t="s">
        <v>34</v>
      </c>
      <c r="D2478" t="s">
        <v>50</v>
      </c>
      <c r="E2478" t="s">
        <v>7639</v>
      </c>
      <c r="F2478">
        <v>2</v>
      </c>
      <c r="G2478" s="15">
        <v>2710000</v>
      </c>
      <c r="H2478" s="14">
        <v>0.13075929750140999</v>
      </c>
      <c r="I2478" s="27">
        <f t="shared" si="38"/>
        <v>2355642.3037711792</v>
      </c>
      <c r="J2478">
        <v>3.5</v>
      </c>
      <c r="K2478" t="b">
        <v>1</v>
      </c>
    </row>
    <row r="2479" spans="1:11" ht="16" x14ac:dyDescent="0.2">
      <c r="A2479" s="16">
        <v>45595</v>
      </c>
      <c r="B2479" t="s">
        <v>33</v>
      </c>
      <c r="C2479" t="s">
        <v>34</v>
      </c>
      <c r="D2479" t="s">
        <v>20</v>
      </c>
      <c r="E2479" t="str">
        <f>E2478</f>
        <v>Hà Nội</v>
      </c>
      <c r="F2479">
        <v>2</v>
      </c>
      <c r="G2479" s="15">
        <v>2710000</v>
      </c>
      <c r="H2479" s="14">
        <v>0.13075929750140999</v>
      </c>
      <c r="I2479" s="27">
        <f t="shared" si="38"/>
        <v>2355642.3037711792</v>
      </c>
      <c r="J2479">
        <v>4</v>
      </c>
      <c r="K2479" t="b">
        <v>1</v>
      </c>
    </row>
    <row r="2480" spans="1:11" ht="16" x14ac:dyDescent="0.2">
      <c r="A2480" s="16">
        <v>45595</v>
      </c>
      <c r="B2480" t="s">
        <v>33</v>
      </c>
      <c r="C2480" t="s">
        <v>45</v>
      </c>
      <c r="D2480" t="s">
        <v>20</v>
      </c>
      <c r="E2480" t="s">
        <v>7643</v>
      </c>
      <c r="F2480">
        <v>3</v>
      </c>
      <c r="G2480" s="15">
        <v>2710000</v>
      </c>
      <c r="H2480" s="14">
        <v>0.13075929750140999</v>
      </c>
      <c r="I2480" s="27">
        <f t="shared" si="38"/>
        <v>2355642.3037711792</v>
      </c>
      <c r="J2480">
        <v>3.7</v>
      </c>
      <c r="K2480" t="b">
        <v>1</v>
      </c>
    </row>
    <row r="2481" spans="1:11" ht="16" x14ac:dyDescent="0.2">
      <c r="A2481" s="16">
        <v>45595</v>
      </c>
      <c r="B2481" t="s">
        <v>33</v>
      </c>
      <c r="C2481" t="s">
        <v>25</v>
      </c>
      <c r="D2481" t="s">
        <v>20</v>
      </c>
      <c r="E2481" t="s">
        <v>7643</v>
      </c>
      <c r="F2481">
        <v>2</v>
      </c>
      <c r="G2481" s="15">
        <v>2710000</v>
      </c>
      <c r="H2481" s="14">
        <v>0.13075929750140999</v>
      </c>
      <c r="I2481" s="27">
        <f t="shared" si="38"/>
        <v>2355642.3037711792</v>
      </c>
      <c r="J2481">
        <v>4.0999999999999996</v>
      </c>
      <c r="K2481" t="b">
        <v>0</v>
      </c>
    </row>
    <row r="2482" spans="1:11" ht="16" x14ac:dyDescent="0.2">
      <c r="A2482" s="16">
        <v>45595</v>
      </c>
      <c r="B2482" t="s">
        <v>45</v>
      </c>
      <c r="C2482" t="s">
        <v>19</v>
      </c>
      <c r="D2482" t="s">
        <v>35</v>
      </c>
      <c r="E2482" t="s">
        <v>7639</v>
      </c>
      <c r="F2482">
        <v>1</v>
      </c>
      <c r="G2482" s="15">
        <v>2710000</v>
      </c>
      <c r="H2482" s="14">
        <v>0.13075929750140999</v>
      </c>
      <c r="I2482" s="27">
        <f t="shared" si="38"/>
        <v>2355642.3037711792</v>
      </c>
      <c r="J2482">
        <v>3.3</v>
      </c>
      <c r="K2482" t="b">
        <v>1</v>
      </c>
    </row>
    <row r="2483" spans="1:11" ht="16" x14ac:dyDescent="0.2">
      <c r="A2483" s="16">
        <v>45596</v>
      </c>
      <c r="B2483" t="s">
        <v>45</v>
      </c>
      <c r="C2483" t="s">
        <v>34</v>
      </c>
      <c r="D2483" t="s">
        <v>20</v>
      </c>
      <c r="E2483" t="s">
        <v>7641</v>
      </c>
      <c r="F2483">
        <v>1</v>
      </c>
      <c r="G2483" s="15">
        <v>2710000</v>
      </c>
      <c r="H2483" s="14">
        <v>0.13075929750140999</v>
      </c>
      <c r="I2483" s="27">
        <f t="shared" si="38"/>
        <v>2355642.3037711792</v>
      </c>
      <c r="J2483">
        <v>4.7</v>
      </c>
      <c r="K2483" t="b">
        <v>1</v>
      </c>
    </row>
    <row r="2484" spans="1:11" ht="16" x14ac:dyDescent="0.2">
      <c r="A2484" s="16">
        <v>45596</v>
      </c>
      <c r="B2484" t="s">
        <v>29</v>
      </c>
      <c r="C2484" t="s">
        <v>34</v>
      </c>
      <c r="D2484" t="s">
        <v>20</v>
      </c>
      <c r="E2484" t="s">
        <v>7640</v>
      </c>
      <c r="F2484">
        <v>1</v>
      </c>
      <c r="G2484" s="15">
        <v>2710000</v>
      </c>
      <c r="H2484" s="14">
        <v>0.13075929750140999</v>
      </c>
      <c r="I2484" s="27">
        <f t="shared" si="38"/>
        <v>2355642.3037711792</v>
      </c>
      <c r="J2484">
        <v>3.5</v>
      </c>
      <c r="K2484" t="b">
        <v>1</v>
      </c>
    </row>
    <row r="2485" spans="1:11" ht="16" x14ac:dyDescent="0.2">
      <c r="A2485" s="16">
        <v>45596</v>
      </c>
      <c r="B2485" t="s">
        <v>45</v>
      </c>
      <c r="C2485" t="s">
        <v>45</v>
      </c>
      <c r="D2485" t="s">
        <v>20</v>
      </c>
      <c r="E2485" t="s">
        <v>7638</v>
      </c>
      <c r="F2485">
        <v>1</v>
      </c>
      <c r="G2485" s="15">
        <v>2710000</v>
      </c>
      <c r="H2485" s="14">
        <v>0.13075929750140999</v>
      </c>
      <c r="I2485" s="27">
        <f t="shared" si="38"/>
        <v>2355642.3037711792</v>
      </c>
      <c r="J2485">
        <v>5</v>
      </c>
      <c r="K2485" t="b">
        <v>1</v>
      </c>
    </row>
    <row r="2486" spans="1:11" ht="16" x14ac:dyDescent="0.2">
      <c r="A2486" s="16">
        <v>45596</v>
      </c>
      <c r="B2486" t="s">
        <v>18</v>
      </c>
      <c r="C2486" t="s">
        <v>45</v>
      </c>
      <c r="D2486" t="s">
        <v>20</v>
      </c>
      <c r="E2486" t="s">
        <v>7637</v>
      </c>
      <c r="F2486">
        <v>3</v>
      </c>
      <c r="G2486" s="15">
        <v>2710000</v>
      </c>
      <c r="H2486" s="14">
        <v>0.13075929750140999</v>
      </c>
      <c r="I2486" s="27">
        <f t="shared" si="38"/>
        <v>2355642.3037711792</v>
      </c>
      <c r="J2486">
        <v>3.5</v>
      </c>
      <c r="K2486" t="b">
        <v>1</v>
      </c>
    </row>
    <row r="2487" spans="1:11" ht="16" x14ac:dyDescent="0.2">
      <c r="A2487" s="16">
        <v>45596</v>
      </c>
      <c r="B2487" t="s">
        <v>18</v>
      </c>
      <c r="C2487" t="s">
        <v>34</v>
      </c>
      <c r="D2487" t="s">
        <v>50</v>
      </c>
      <c r="E2487" t="s">
        <v>7642</v>
      </c>
      <c r="F2487">
        <v>1</v>
      </c>
      <c r="G2487" s="15">
        <v>2710000</v>
      </c>
      <c r="H2487" s="14">
        <v>0.13075929750140999</v>
      </c>
      <c r="I2487" s="27">
        <f t="shared" si="38"/>
        <v>2355642.3037711792</v>
      </c>
      <c r="J2487">
        <v>4.0999999999999996</v>
      </c>
      <c r="K2487" t="b">
        <v>0</v>
      </c>
    </row>
    <row r="2488" spans="1:11" ht="16" x14ac:dyDescent="0.2">
      <c r="A2488" s="16">
        <v>45597</v>
      </c>
      <c r="B2488" t="s">
        <v>29</v>
      </c>
      <c r="C2488" t="s">
        <v>34</v>
      </c>
      <c r="D2488" t="s">
        <v>50</v>
      </c>
      <c r="E2488" t="s">
        <v>7637</v>
      </c>
      <c r="F2488">
        <v>1</v>
      </c>
      <c r="G2488" s="15">
        <v>2710000</v>
      </c>
      <c r="H2488" s="14">
        <v>0.13075929750140999</v>
      </c>
      <c r="I2488" s="27">
        <f t="shared" si="38"/>
        <v>2355642.3037711792</v>
      </c>
      <c r="J2488">
        <v>4.9000000000000004</v>
      </c>
      <c r="K2488" t="b">
        <v>0</v>
      </c>
    </row>
    <row r="2489" spans="1:11" ht="16" x14ac:dyDescent="0.2">
      <c r="A2489" s="16">
        <v>45597</v>
      </c>
      <c r="B2489" t="s">
        <v>18</v>
      </c>
      <c r="C2489" t="s">
        <v>34</v>
      </c>
      <c r="D2489" t="s">
        <v>20</v>
      </c>
      <c r="E2489" t="s">
        <v>99</v>
      </c>
      <c r="F2489">
        <v>1</v>
      </c>
      <c r="G2489" s="15">
        <v>2710000</v>
      </c>
      <c r="H2489" s="14">
        <v>0.13075929750140999</v>
      </c>
      <c r="I2489" s="27">
        <f t="shared" si="38"/>
        <v>2355642.3037711792</v>
      </c>
      <c r="J2489">
        <v>4</v>
      </c>
      <c r="K2489" t="b">
        <v>1</v>
      </c>
    </row>
    <row r="2490" spans="1:11" ht="16" x14ac:dyDescent="0.2">
      <c r="A2490" s="16">
        <v>45597</v>
      </c>
      <c r="B2490" t="s">
        <v>45</v>
      </c>
      <c r="C2490" t="s">
        <v>19</v>
      </c>
      <c r="D2490" t="str">
        <f>D2489</f>
        <v>Website</v>
      </c>
      <c r="E2490" t="s">
        <v>7642</v>
      </c>
      <c r="F2490">
        <v>2</v>
      </c>
      <c r="G2490" s="15">
        <v>2710000</v>
      </c>
      <c r="H2490" s="14">
        <v>0.13075929750140999</v>
      </c>
      <c r="I2490" s="27">
        <f t="shared" si="38"/>
        <v>2355642.3037711792</v>
      </c>
      <c r="J2490">
        <v>4.8</v>
      </c>
      <c r="K2490" t="b">
        <v>1</v>
      </c>
    </row>
    <row r="2491" spans="1:11" ht="16" x14ac:dyDescent="0.2">
      <c r="A2491" s="16">
        <v>45598</v>
      </c>
      <c r="B2491" t="s">
        <v>29</v>
      </c>
      <c r="C2491" t="s">
        <v>19</v>
      </c>
      <c r="D2491" t="s">
        <v>50</v>
      </c>
      <c r="E2491" t="s">
        <v>7644</v>
      </c>
      <c r="F2491">
        <v>1</v>
      </c>
      <c r="G2491" s="15">
        <v>2710000</v>
      </c>
      <c r="H2491" s="14">
        <v>0.13075929750140999</v>
      </c>
      <c r="I2491" s="27">
        <f t="shared" si="38"/>
        <v>2355642.3037711792</v>
      </c>
      <c r="J2491">
        <v>3.7</v>
      </c>
      <c r="K2491" t="b">
        <v>1</v>
      </c>
    </row>
    <row r="2492" spans="1:11" ht="16" x14ac:dyDescent="0.2">
      <c r="A2492" s="16">
        <v>45598</v>
      </c>
      <c r="B2492" t="s">
        <v>33</v>
      </c>
      <c r="C2492" t="s">
        <v>34</v>
      </c>
      <c r="D2492" t="s">
        <v>20</v>
      </c>
      <c r="E2492" t="s">
        <v>57</v>
      </c>
      <c r="F2492">
        <v>1</v>
      </c>
      <c r="G2492" s="15">
        <v>2710000</v>
      </c>
      <c r="H2492" s="14">
        <v>0.13075929750140999</v>
      </c>
      <c r="I2492" s="27">
        <f t="shared" si="38"/>
        <v>2355642.3037711792</v>
      </c>
      <c r="J2492">
        <v>4.9000000000000004</v>
      </c>
      <c r="K2492" t="b">
        <v>1</v>
      </c>
    </row>
    <row r="2493" spans="1:11" ht="16" x14ac:dyDescent="0.2">
      <c r="A2493" s="16">
        <v>45598</v>
      </c>
      <c r="B2493" t="s">
        <v>33</v>
      </c>
      <c r="C2493" t="s">
        <v>25</v>
      </c>
      <c r="D2493" t="s">
        <v>20</v>
      </c>
      <c r="E2493" t="s">
        <v>7642</v>
      </c>
      <c r="F2493">
        <v>1</v>
      </c>
      <c r="G2493" s="15">
        <v>2710000</v>
      </c>
      <c r="H2493" s="14">
        <v>0.13075929750140999</v>
      </c>
      <c r="I2493" s="27">
        <f t="shared" si="38"/>
        <v>2355642.3037711792</v>
      </c>
      <c r="J2493">
        <v>4.0999999999999996</v>
      </c>
      <c r="K2493" t="b">
        <v>1</v>
      </c>
    </row>
    <row r="2494" spans="1:11" ht="16" x14ac:dyDescent="0.2">
      <c r="A2494" s="16">
        <v>45598</v>
      </c>
      <c r="B2494" t="s">
        <v>18</v>
      </c>
      <c r="C2494" t="s">
        <v>25</v>
      </c>
      <c r="D2494" t="s">
        <v>35</v>
      </c>
      <c r="E2494" t="s">
        <v>7640</v>
      </c>
      <c r="F2494">
        <v>2</v>
      </c>
      <c r="G2494" s="15">
        <v>2710000</v>
      </c>
      <c r="H2494" s="14">
        <v>0.13075929750140999</v>
      </c>
      <c r="I2494" s="27">
        <f t="shared" si="38"/>
        <v>2355642.3037711792</v>
      </c>
      <c r="J2494">
        <v>4.3</v>
      </c>
      <c r="K2494" t="b">
        <v>0</v>
      </c>
    </row>
    <row r="2495" spans="1:11" ht="16" x14ac:dyDescent="0.2">
      <c r="A2495" s="16">
        <v>45598</v>
      </c>
      <c r="B2495" t="s">
        <v>45</v>
      </c>
      <c r="C2495" t="s">
        <v>25</v>
      </c>
      <c r="D2495" t="s">
        <v>50</v>
      </c>
      <c r="E2495" t="s">
        <v>7637</v>
      </c>
      <c r="F2495">
        <v>2</v>
      </c>
      <c r="G2495" s="15">
        <v>2710000</v>
      </c>
      <c r="H2495" s="14">
        <v>0.13075929750140999</v>
      </c>
      <c r="I2495" s="27">
        <f t="shared" si="38"/>
        <v>2355642.3037711792</v>
      </c>
      <c r="J2495">
        <v>4</v>
      </c>
      <c r="K2495" t="b">
        <v>0</v>
      </c>
    </row>
    <row r="2496" spans="1:11" ht="16" x14ac:dyDescent="0.2">
      <c r="A2496" s="16">
        <v>45598</v>
      </c>
      <c r="B2496" t="s">
        <v>45</v>
      </c>
      <c r="C2496" t="s">
        <v>19</v>
      </c>
      <c r="D2496" t="s">
        <v>50</v>
      </c>
      <c r="E2496" t="s">
        <v>7638</v>
      </c>
      <c r="F2496">
        <v>3</v>
      </c>
      <c r="G2496" s="15">
        <v>2710000</v>
      </c>
      <c r="H2496" s="14">
        <v>0.13075929750140999</v>
      </c>
      <c r="I2496" s="27">
        <f t="shared" si="38"/>
        <v>2355642.3037711792</v>
      </c>
      <c r="J2496">
        <v>4.5999999999999996</v>
      </c>
      <c r="K2496" t="b">
        <v>1</v>
      </c>
    </row>
    <row r="2497" spans="1:11" ht="16" x14ac:dyDescent="0.2">
      <c r="A2497" s="16">
        <v>45599</v>
      </c>
      <c r="B2497" t="s">
        <v>18</v>
      </c>
      <c r="C2497" t="s">
        <v>68</v>
      </c>
      <c r="D2497" t="s">
        <v>20</v>
      </c>
      <c r="E2497" t="s">
        <v>7640</v>
      </c>
      <c r="F2497">
        <v>1</v>
      </c>
      <c r="G2497" s="15">
        <v>2710000</v>
      </c>
      <c r="H2497" s="14">
        <v>0.13075929750140999</v>
      </c>
      <c r="I2497" s="27">
        <f t="shared" si="38"/>
        <v>2355642.3037711792</v>
      </c>
      <c r="J2497">
        <v>4.7</v>
      </c>
      <c r="K2497" t="b">
        <v>1</v>
      </c>
    </row>
    <row r="2498" spans="1:11" ht="16" x14ac:dyDescent="0.2">
      <c r="A2498" s="16">
        <v>45599</v>
      </c>
      <c r="B2498" t="s">
        <v>45</v>
      </c>
      <c r="C2498" t="s">
        <v>34</v>
      </c>
      <c r="D2498" t="s">
        <v>20</v>
      </c>
      <c r="E2498" t="s">
        <v>7639</v>
      </c>
      <c r="F2498">
        <v>2</v>
      </c>
      <c r="G2498" s="15">
        <v>2710000</v>
      </c>
      <c r="H2498" s="14">
        <v>0.13075929750140999</v>
      </c>
      <c r="I2498" s="27">
        <f t="shared" si="38"/>
        <v>2355642.3037711792</v>
      </c>
      <c r="J2498">
        <v>4.2</v>
      </c>
      <c r="K2498" t="b">
        <v>1</v>
      </c>
    </row>
    <row r="2499" spans="1:11" ht="16" x14ac:dyDescent="0.2">
      <c r="A2499" s="16">
        <v>45599</v>
      </c>
      <c r="B2499" t="s">
        <v>18</v>
      </c>
      <c r="C2499" t="s">
        <v>45</v>
      </c>
      <c r="D2499" t="s">
        <v>50</v>
      </c>
      <c r="E2499" t="str">
        <f>E2498</f>
        <v>Hà Nội</v>
      </c>
      <c r="F2499">
        <v>2</v>
      </c>
      <c r="G2499" s="15">
        <v>2710000</v>
      </c>
      <c r="H2499" s="14">
        <v>0.13075929750140999</v>
      </c>
      <c r="I2499" s="27">
        <f t="shared" ref="I2499:I2562" si="39">G2499-G2499*H2499</f>
        <v>2355642.3037711792</v>
      </c>
      <c r="J2499">
        <v>4</v>
      </c>
      <c r="K2499" t="b">
        <v>0</v>
      </c>
    </row>
    <row r="2500" spans="1:11" ht="16" x14ac:dyDescent="0.2">
      <c r="A2500" s="16">
        <v>45599</v>
      </c>
      <c r="B2500" t="s">
        <v>45</v>
      </c>
      <c r="C2500" t="s">
        <v>45</v>
      </c>
      <c r="D2500" t="s">
        <v>46</v>
      </c>
      <c r="E2500" t="s">
        <v>7643</v>
      </c>
      <c r="F2500">
        <v>3</v>
      </c>
      <c r="G2500" s="15">
        <v>2710000</v>
      </c>
      <c r="H2500" s="14">
        <v>0.13075929750140999</v>
      </c>
      <c r="I2500" s="27">
        <f t="shared" si="39"/>
        <v>2355642.3037711792</v>
      </c>
      <c r="J2500">
        <v>3.9</v>
      </c>
      <c r="K2500" t="b">
        <v>1</v>
      </c>
    </row>
    <row r="2501" spans="1:11" ht="16" x14ac:dyDescent="0.2">
      <c r="A2501" s="16">
        <v>45599</v>
      </c>
      <c r="B2501" t="s">
        <v>45</v>
      </c>
      <c r="C2501" t="s">
        <v>34</v>
      </c>
      <c r="D2501" t="s">
        <v>50</v>
      </c>
      <c r="E2501" t="s">
        <v>7637</v>
      </c>
      <c r="F2501">
        <v>1</v>
      </c>
      <c r="G2501" s="15">
        <v>2710000</v>
      </c>
      <c r="H2501" s="14">
        <v>0.13075929750140999</v>
      </c>
      <c r="I2501" s="27">
        <f t="shared" si="39"/>
        <v>2355642.3037711792</v>
      </c>
      <c r="J2501">
        <v>4.0999999999999996</v>
      </c>
      <c r="K2501" t="b">
        <v>1</v>
      </c>
    </row>
    <row r="2502" spans="1:11" ht="16" x14ac:dyDescent="0.2">
      <c r="A2502" s="16">
        <v>45599</v>
      </c>
      <c r="B2502" t="s">
        <v>45</v>
      </c>
      <c r="C2502" t="s">
        <v>34</v>
      </c>
      <c r="D2502" t="s">
        <v>35</v>
      </c>
      <c r="E2502" t="s">
        <v>7644</v>
      </c>
      <c r="F2502">
        <v>3</v>
      </c>
      <c r="G2502" s="15">
        <v>2710000</v>
      </c>
      <c r="H2502" s="14">
        <v>0.13075929750140999</v>
      </c>
      <c r="I2502" s="27">
        <f t="shared" si="39"/>
        <v>2355642.3037711792</v>
      </c>
      <c r="J2502">
        <v>4.5</v>
      </c>
      <c r="K2502" t="b">
        <v>1</v>
      </c>
    </row>
    <row r="2503" spans="1:11" ht="16" x14ac:dyDescent="0.2">
      <c r="A2503" s="16">
        <v>45600</v>
      </c>
      <c r="B2503" t="s">
        <v>45</v>
      </c>
      <c r="C2503" t="s">
        <v>34</v>
      </c>
      <c r="D2503" t="s">
        <v>35</v>
      </c>
      <c r="E2503" t="s">
        <v>7639</v>
      </c>
      <c r="F2503">
        <v>1</v>
      </c>
      <c r="G2503" s="15">
        <v>2710000</v>
      </c>
      <c r="H2503" s="14">
        <v>0.13075929750140999</v>
      </c>
      <c r="I2503" s="27">
        <f t="shared" si="39"/>
        <v>2355642.3037711792</v>
      </c>
      <c r="J2503">
        <v>4.4000000000000004</v>
      </c>
      <c r="K2503" t="b">
        <v>0</v>
      </c>
    </row>
    <row r="2504" spans="1:11" ht="16" x14ac:dyDescent="0.2">
      <c r="A2504" s="16">
        <v>45600</v>
      </c>
      <c r="B2504" t="s">
        <v>18</v>
      </c>
      <c r="C2504" t="s">
        <v>45</v>
      </c>
      <c r="D2504" t="s">
        <v>35</v>
      </c>
      <c r="E2504" t="s">
        <v>7637</v>
      </c>
      <c r="F2504">
        <v>2</v>
      </c>
      <c r="G2504" s="15">
        <v>2710000</v>
      </c>
      <c r="H2504" s="14">
        <v>0.13075929750140999</v>
      </c>
      <c r="I2504" s="27">
        <f t="shared" si="39"/>
        <v>2355642.3037711792</v>
      </c>
      <c r="J2504">
        <v>3.9</v>
      </c>
      <c r="K2504" t="b">
        <v>1</v>
      </c>
    </row>
    <row r="2505" spans="1:11" ht="16" x14ac:dyDescent="0.2">
      <c r="A2505" s="16">
        <v>45600</v>
      </c>
      <c r="B2505" t="s">
        <v>33</v>
      </c>
      <c r="C2505" t="s">
        <v>19</v>
      </c>
      <c r="D2505" t="s">
        <v>20</v>
      </c>
      <c r="E2505" t="s">
        <v>7644</v>
      </c>
      <c r="F2505">
        <v>1</v>
      </c>
      <c r="G2505" s="15">
        <v>2710000</v>
      </c>
      <c r="H2505" s="14">
        <v>0.13075929750140999</v>
      </c>
      <c r="I2505" s="27">
        <f t="shared" si="39"/>
        <v>2355642.3037711792</v>
      </c>
      <c r="J2505">
        <v>4.0999999999999996</v>
      </c>
      <c r="K2505" t="b">
        <v>1</v>
      </c>
    </row>
    <row r="2506" spans="1:11" ht="16" x14ac:dyDescent="0.2">
      <c r="A2506" s="16">
        <v>45601</v>
      </c>
      <c r="B2506" t="s">
        <v>45</v>
      </c>
      <c r="C2506" t="s">
        <v>34</v>
      </c>
      <c r="D2506" t="s">
        <v>20</v>
      </c>
      <c r="E2506" t="s">
        <v>7641</v>
      </c>
      <c r="F2506">
        <v>1</v>
      </c>
      <c r="G2506" s="15">
        <v>2710000</v>
      </c>
      <c r="H2506" s="14">
        <v>0.13075929750140999</v>
      </c>
      <c r="I2506" s="27">
        <f t="shared" si="39"/>
        <v>2355642.3037711792</v>
      </c>
      <c r="J2506">
        <v>4.8</v>
      </c>
      <c r="K2506" t="b">
        <v>1</v>
      </c>
    </row>
    <row r="2507" spans="1:11" ht="16" x14ac:dyDescent="0.2">
      <c r="A2507" s="16">
        <v>45601</v>
      </c>
      <c r="B2507" t="s">
        <v>45</v>
      </c>
      <c r="C2507" t="s">
        <v>25</v>
      </c>
      <c r="D2507" t="s">
        <v>20</v>
      </c>
      <c r="E2507" t="s">
        <v>7644</v>
      </c>
      <c r="F2507">
        <v>3</v>
      </c>
      <c r="G2507" s="15">
        <v>2710000</v>
      </c>
      <c r="H2507" s="14">
        <v>0.13075929750140999</v>
      </c>
      <c r="I2507" s="27">
        <f t="shared" si="39"/>
        <v>2355642.3037711792</v>
      </c>
      <c r="J2507">
        <v>4.5</v>
      </c>
      <c r="K2507" t="b">
        <v>0</v>
      </c>
    </row>
    <row r="2508" spans="1:11" ht="16" x14ac:dyDescent="0.2">
      <c r="A2508" s="16">
        <v>45601</v>
      </c>
      <c r="B2508" t="s">
        <v>18</v>
      </c>
      <c r="C2508" t="s">
        <v>25</v>
      </c>
      <c r="D2508" t="s">
        <v>20</v>
      </c>
      <c r="E2508" t="s">
        <v>7641</v>
      </c>
      <c r="F2508">
        <v>1</v>
      </c>
      <c r="G2508" s="15">
        <v>2710000</v>
      </c>
      <c r="H2508" s="14">
        <v>0.13075929750140999</v>
      </c>
      <c r="I2508" s="27">
        <f t="shared" si="39"/>
        <v>2355642.3037711792</v>
      </c>
      <c r="J2508">
        <v>3.9</v>
      </c>
      <c r="K2508" t="b">
        <v>1</v>
      </c>
    </row>
    <row r="2509" spans="1:11" ht="16" x14ac:dyDescent="0.2">
      <c r="A2509" s="16">
        <v>45601</v>
      </c>
      <c r="B2509" t="s">
        <v>29</v>
      </c>
      <c r="C2509" t="s">
        <v>68</v>
      </c>
      <c r="D2509" t="s">
        <v>20</v>
      </c>
      <c r="E2509" t="s">
        <v>7642</v>
      </c>
      <c r="F2509">
        <v>4</v>
      </c>
      <c r="G2509" s="15">
        <v>2710000</v>
      </c>
      <c r="H2509" s="14">
        <v>0.13075929750140999</v>
      </c>
      <c r="I2509" s="27">
        <f t="shared" si="39"/>
        <v>2355642.3037711792</v>
      </c>
      <c r="J2509">
        <v>3.4</v>
      </c>
      <c r="K2509" t="b">
        <v>1</v>
      </c>
    </row>
    <row r="2510" spans="1:11" ht="16" x14ac:dyDescent="0.2">
      <c r="A2510" s="16">
        <v>45602</v>
      </c>
      <c r="B2510" t="s">
        <v>33</v>
      </c>
      <c r="C2510" t="s">
        <v>39</v>
      </c>
      <c r="D2510" t="s">
        <v>20</v>
      </c>
      <c r="E2510" t="s">
        <v>7643</v>
      </c>
      <c r="F2510">
        <v>1</v>
      </c>
      <c r="G2510" s="15">
        <v>2710000</v>
      </c>
      <c r="H2510" s="14">
        <v>0.13075929750140999</v>
      </c>
      <c r="I2510" s="27">
        <f t="shared" si="39"/>
        <v>2355642.3037711792</v>
      </c>
      <c r="J2510">
        <v>4.5999999999999996</v>
      </c>
      <c r="K2510" t="b">
        <v>1</v>
      </c>
    </row>
    <row r="2511" spans="1:11" ht="16" x14ac:dyDescent="0.2">
      <c r="A2511" s="16">
        <v>45602</v>
      </c>
      <c r="B2511" t="s">
        <v>29</v>
      </c>
      <c r="C2511" t="s">
        <v>25</v>
      </c>
      <c r="D2511" t="s">
        <v>20</v>
      </c>
      <c r="E2511" t="s">
        <v>7640</v>
      </c>
      <c r="F2511">
        <v>2</v>
      </c>
      <c r="G2511" s="15">
        <v>2710000</v>
      </c>
      <c r="H2511" s="14">
        <v>0.13075929750140999</v>
      </c>
      <c r="I2511" s="27">
        <f t="shared" si="39"/>
        <v>2355642.3037711792</v>
      </c>
      <c r="J2511">
        <v>4.3</v>
      </c>
      <c r="K2511" t="b">
        <v>1</v>
      </c>
    </row>
    <row r="2512" spans="1:11" ht="16" x14ac:dyDescent="0.2">
      <c r="A2512" s="16">
        <v>45602</v>
      </c>
      <c r="B2512" t="s">
        <v>33</v>
      </c>
      <c r="C2512" t="s">
        <v>25</v>
      </c>
      <c r="D2512" t="s">
        <v>20</v>
      </c>
      <c r="E2512" t="s">
        <v>7642</v>
      </c>
      <c r="F2512">
        <v>1</v>
      </c>
      <c r="G2512" s="15">
        <v>2710000</v>
      </c>
      <c r="H2512" s="14">
        <v>0.13075929750140999</v>
      </c>
      <c r="I2512" s="27">
        <f t="shared" si="39"/>
        <v>2355642.3037711792</v>
      </c>
      <c r="J2512">
        <v>4.0999999999999996</v>
      </c>
      <c r="K2512" t="b">
        <v>0</v>
      </c>
    </row>
    <row r="2513" spans="1:11" ht="16" x14ac:dyDescent="0.2">
      <c r="A2513" s="16">
        <v>45602</v>
      </c>
      <c r="B2513" t="s">
        <v>29</v>
      </c>
      <c r="C2513" t="s">
        <v>25</v>
      </c>
      <c r="D2513" t="s">
        <v>20</v>
      </c>
      <c r="E2513" t="s">
        <v>99</v>
      </c>
      <c r="F2513">
        <v>1</v>
      </c>
      <c r="G2513" s="15">
        <v>2710000</v>
      </c>
      <c r="H2513" s="14">
        <v>0.13075929750140999</v>
      </c>
      <c r="I2513" s="27">
        <f t="shared" si="39"/>
        <v>2355642.3037711792</v>
      </c>
      <c r="J2513">
        <v>4.0999999999999996</v>
      </c>
      <c r="K2513" t="b">
        <v>1</v>
      </c>
    </row>
    <row r="2514" spans="1:11" ht="16" x14ac:dyDescent="0.2">
      <c r="A2514" s="16">
        <v>45602</v>
      </c>
      <c r="B2514" t="s">
        <v>33</v>
      </c>
      <c r="C2514" t="s">
        <v>19</v>
      </c>
      <c r="D2514" t="s">
        <v>20</v>
      </c>
      <c r="E2514" t="s">
        <v>99</v>
      </c>
      <c r="F2514">
        <v>3</v>
      </c>
      <c r="G2514" s="15">
        <v>2710000</v>
      </c>
      <c r="H2514" s="14">
        <v>0.13075929750140999</v>
      </c>
      <c r="I2514" s="27">
        <f t="shared" si="39"/>
        <v>2355642.3037711792</v>
      </c>
      <c r="J2514">
        <v>4.7</v>
      </c>
      <c r="K2514" t="b">
        <v>0</v>
      </c>
    </row>
    <row r="2515" spans="1:11" ht="16" x14ac:dyDescent="0.2">
      <c r="A2515" s="16">
        <v>45603</v>
      </c>
      <c r="B2515" t="s">
        <v>45</v>
      </c>
      <c r="C2515" t="s">
        <v>68</v>
      </c>
      <c r="D2515" t="s">
        <v>35</v>
      </c>
      <c r="E2515" t="s">
        <v>7640</v>
      </c>
      <c r="F2515">
        <v>3</v>
      </c>
      <c r="G2515" s="15">
        <v>2710000</v>
      </c>
      <c r="H2515" s="14">
        <v>0.13075929750140999</v>
      </c>
      <c r="I2515" s="27">
        <f t="shared" si="39"/>
        <v>2355642.3037711792</v>
      </c>
      <c r="J2515">
        <v>3.6</v>
      </c>
      <c r="K2515" t="b">
        <v>0</v>
      </c>
    </row>
    <row r="2516" spans="1:11" ht="16" x14ac:dyDescent="0.2">
      <c r="A2516" s="16">
        <v>45603</v>
      </c>
      <c r="B2516" t="s">
        <v>45</v>
      </c>
      <c r="C2516" t="s">
        <v>34</v>
      </c>
      <c r="D2516" t="s">
        <v>35</v>
      </c>
      <c r="E2516" t="s">
        <v>57</v>
      </c>
      <c r="F2516">
        <v>2</v>
      </c>
      <c r="G2516" s="15">
        <v>2710000</v>
      </c>
      <c r="H2516" s="14">
        <v>0.13075929750140999</v>
      </c>
      <c r="I2516" s="27">
        <f t="shared" si="39"/>
        <v>2355642.3037711792</v>
      </c>
      <c r="J2516">
        <v>5</v>
      </c>
      <c r="K2516" t="b">
        <v>0</v>
      </c>
    </row>
    <row r="2517" spans="1:11" ht="16" x14ac:dyDescent="0.2">
      <c r="A2517" s="16">
        <v>45603</v>
      </c>
      <c r="B2517" t="s">
        <v>18</v>
      </c>
      <c r="C2517" t="s">
        <v>34</v>
      </c>
      <c r="D2517" t="s">
        <v>35</v>
      </c>
      <c r="E2517" t="s">
        <v>99</v>
      </c>
      <c r="F2517">
        <v>1</v>
      </c>
      <c r="G2517" s="15">
        <v>2710000</v>
      </c>
      <c r="H2517" s="14">
        <v>0.13075929750140999</v>
      </c>
      <c r="I2517" s="27">
        <f t="shared" si="39"/>
        <v>2355642.3037711792</v>
      </c>
      <c r="J2517">
        <v>4</v>
      </c>
      <c r="K2517" t="b">
        <v>1</v>
      </c>
    </row>
    <row r="2518" spans="1:11" ht="16" x14ac:dyDescent="0.2">
      <c r="A2518" s="16">
        <v>45603</v>
      </c>
      <c r="B2518" t="s">
        <v>33</v>
      </c>
      <c r="C2518" t="s">
        <v>25</v>
      </c>
      <c r="D2518" t="s">
        <v>20</v>
      </c>
      <c r="E2518" t="s">
        <v>7644</v>
      </c>
      <c r="F2518">
        <v>1</v>
      </c>
      <c r="G2518" s="15">
        <v>2710000</v>
      </c>
      <c r="H2518" s="14">
        <v>0.13075929750140999</v>
      </c>
      <c r="I2518" s="27">
        <f t="shared" si="39"/>
        <v>2355642.3037711792</v>
      </c>
      <c r="J2518">
        <v>4.0999999999999996</v>
      </c>
      <c r="K2518" t="b">
        <v>1</v>
      </c>
    </row>
    <row r="2519" spans="1:11" ht="16" x14ac:dyDescent="0.2">
      <c r="A2519" s="16">
        <v>45603</v>
      </c>
      <c r="B2519" t="s">
        <v>18</v>
      </c>
      <c r="C2519" t="s">
        <v>25</v>
      </c>
      <c r="D2519" t="s">
        <v>35</v>
      </c>
      <c r="E2519" t="s">
        <v>7640</v>
      </c>
      <c r="F2519">
        <v>2</v>
      </c>
      <c r="G2519" s="15">
        <v>2710000</v>
      </c>
      <c r="H2519" s="14">
        <v>0.13075929750140999</v>
      </c>
      <c r="I2519" s="27">
        <f t="shared" si="39"/>
        <v>2355642.3037711792</v>
      </c>
      <c r="J2519">
        <v>4.0999999999999996</v>
      </c>
      <c r="K2519" t="b">
        <v>1</v>
      </c>
    </row>
    <row r="2520" spans="1:11" ht="16" x14ac:dyDescent="0.2">
      <c r="A2520" s="16">
        <v>45604</v>
      </c>
      <c r="B2520" t="s">
        <v>18</v>
      </c>
      <c r="C2520" t="s">
        <v>19</v>
      </c>
      <c r="D2520" t="s">
        <v>20</v>
      </c>
      <c r="E2520" t="s">
        <v>7637</v>
      </c>
      <c r="F2520">
        <v>2</v>
      </c>
      <c r="G2520" s="15">
        <v>2710000</v>
      </c>
      <c r="H2520" s="14">
        <v>0.13075929750140999</v>
      </c>
      <c r="I2520" s="27">
        <f t="shared" si="39"/>
        <v>2355642.3037711792</v>
      </c>
      <c r="J2520">
        <v>4.0999999999999996</v>
      </c>
      <c r="K2520" t="b">
        <v>0</v>
      </c>
    </row>
    <row r="2521" spans="1:11" ht="16" x14ac:dyDescent="0.2">
      <c r="A2521" s="16">
        <v>45605</v>
      </c>
      <c r="B2521" t="s">
        <v>33</v>
      </c>
      <c r="C2521" t="s">
        <v>34</v>
      </c>
      <c r="D2521" t="s">
        <v>50</v>
      </c>
      <c r="E2521" t="s">
        <v>7643</v>
      </c>
      <c r="F2521">
        <v>2</v>
      </c>
      <c r="G2521" s="15">
        <v>2710000</v>
      </c>
      <c r="H2521" s="14">
        <v>0.13075929750140999</v>
      </c>
      <c r="I2521" s="27">
        <f t="shared" si="39"/>
        <v>2355642.3037711792</v>
      </c>
      <c r="J2521">
        <v>5</v>
      </c>
      <c r="K2521" t="b">
        <v>0</v>
      </c>
    </row>
    <row r="2522" spans="1:11" ht="16" x14ac:dyDescent="0.2">
      <c r="A2522" s="16">
        <v>45605</v>
      </c>
      <c r="B2522" t="s">
        <v>45</v>
      </c>
      <c r="C2522" t="s">
        <v>45</v>
      </c>
      <c r="D2522" t="s">
        <v>20</v>
      </c>
      <c r="E2522" t="s">
        <v>7637</v>
      </c>
      <c r="F2522">
        <v>2</v>
      </c>
      <c r="G2522" s="15">
        <v>2710000</v>
      </c>
      <c r="H2522" s="14">
        <v>0.13075929750140999</v>
      </c>
      <c r="I2522" s="27">
        <f t="shared" si="39"/>
        <v>2355642.3037711792</v>
      </c>
      <c r="J2522">
        <v>3.4</v>
      </c>
      <c r="K2522" t="b">
        <v>0</v>
      </c>
    </row>
    <row r="2523" spans="1:11" ht="16" x14ac:dyDescent="0.2">
      <c r="A2523" s="16">
        <v>45605</v>
      </c>
      <c r="B2523" t="s">
        <v>18</v>
      </c>
      <c r="C2523" t="s">
        <v>68</v>
      </c>
      <c r="D2523" t="s">
        <v>20</v>
      </c>
      <c r="E2523" t="s">
        <v>7639</v>
      </c>
      <c r="F2523">
        <v>2</v>
      </c>
      <c r="G2523" s="15">
        <v>2710000</v>
      </c>
      <c r="H2523" s="14">
        <v>0.13075929750140999</v>
      </c>
      <c r="I2523" s="27">
        <f t="shared" si="39"/>
        <v>2355642.3037711792</v>
      </c>
      <c r="J2523">
        <v>4</v>
      </c>
      <c r="K2523" t="b">
        <v>0</v>
      </c>
    </row>
    <row r="2524" spans="1:11" ht="16" x14ac:dyDescent="0.2">
      <c r="A2524" s="16">
        <v>45605</v>
      </c>
      <c r="B2524" t="s">
        <v>45</v>
      </c>
      <c r="C2524" t="s">
        <v>34</v>
      </c>
      <c r="D2524" t="s">
        <v>35</v>
      </c>
      <c r="E2524" t="s">
        <v>7644</v>
      </c>
      <c r="F2524">
        <v>1</v>
      </c>
      <c r="G2524" s="15">
        <v>2710000</v>
      </c>
      <c r="H2524" s="14">
        <v>0.13075929750140999</v>
      </c>
      <c r="I2524" s="27">
        <f t="shared" si="39"/>
        <v>2355642.3037711792</v>
      </c>
      <c r="J2524">
        <v>4.0999999999999996</v>
      </c>
      <c r="K2524" t="b">
        <v>0</v>
      </c>
    </row>
    <row r="2525" spans="1:11" ht="16" x14ac:dyDescent="0.2">
      <c r="A2525" s="16">
        <v>45605</v>
      </c>
      <c r="B2525" t="str">
        <f>B2524</f>
        <v>Family</v>
      </c>
      <c r="C2525" t="s">
        <v>19</v>
      </c>
      <c r="D2525" t="s">
        <v>35</v>
      </c>
      <c r="E2525" t="s">
        <v>7644</v>
      </c>
      <c r="F2525">
        <v>1</v>
      </c>
      <c r="G2525" s="15">
        <v>2710000</v>
      </c>
      <c r="H2525" s="14">
        <v>0.13075929750140999</v>
      </c>
      <c r="I2525" s="27">
        <f t="shared" si="39"/>
        <v>2355642.3037711792</v>
      </c>
      <c r="J2525">
        <v>5</v>
      </c>
      <c r="K2525" t="b">
        <v>1</v>
      </c>
    </row>
    <row r="2526" spans="1:11" ht="16" x14ac:dyDescent="0.2">
      <c r="A2526" s="16">
        <v>45605</v>
      </c>
      <c r="B2526" t="s">
        <v>33</v>
      </c>
      <c r="C2526" t="s">
        <v>19</v>
      </c>
      <c r="D2526" t="s">
        <v>35</v>
      </c>
      <c r="E2526" t="s">
        <v>57</v>
      </c>
      <c r="F2526">
        <v>1</v>
      </c>
      <c r="G2526" s="15">
        <v>2710000</v>
      </c>
      <c r="H2526" s="14">
        <v>0.13075929750140999</v>
      </c>
      <c r="I2526" s="27">
        <f t="shared" si="39"/>
        <v>2355642.3037711792</v>
      </c>
      <c r="J2526">
        <v>4.3</v>
      </c>
      <c r="K2526" t="b">
        <v>1</v>
      </c>
    </row>
    <row r="2527" spans="1:11" ht="16" x14ac:dyDescent="0.2">
      <c r="A2527" s="16">
        <v>45606</v>
      </c>
      <c r="B2527" t="s">
        <v>45</v>
      </c>
      <c r="C2527" t="s">
        <v>19</v>
      </c>
      <c r="D2527" t="s">
        <v>35</v>
      </c>
      <c r="E2527" t="s">
        <v>99</v>
      </c>
      <c r="F2527">
        <v>4</v>
      </c>
      <c r="G2527" s="15">
        <v>2710000</v>
      </c>
      <c r="H2527" s="14">
        <v>0.13075929750140999</v>
      </c>
      <c r="I2527" s="27">
        <f t="shared" si="39"/>
        <v>2355642.3037711792</v>
      </c>
      <c r="J2527">
        <v>4.2</v>
      </c>
      <c r="K2527" t="b">
        <v>1</v>
      </c>
    </row>
    <row r="2528" spans="1:11" ht="16" x14ac:dyDescent="0.2">
      <c r="A2528" s="16">
        <v>45606</v>
      </c>
      <c r="B2528" t="s">
        <v>18</v>
      </c>
      <c r="C2528" t="s">
        <v>25</v>
      </c>
      <c r="D2528" t="s">
        <v>20</v>
      </c>
      <c r="E2528" t="s">
        <v>7644</v>
      </c>
      <c r="F2528">
        <v>1</v>
      </c>
      <c r="G2528" s="15">
        <v>2710000</v>
      </c>
      <c r="H2528" s="14">
        <v>0.13075929750140999</v>
      </c>
      <c r="I2528" s="27">
        <f t="shared" si="39"/>
        <v>2355642.3037711792</v>
      </c>
      <c r="J2528">
        <v>4.9000000000000004</v>
      </c>
      <c r="K2528" t="b">
        <v>0</v>
      </c>
    </row>
    <row r="2529" spans="1:11" ht="16" x14ac:dyDescent="0.2">
      <c r="A2529" s="16">
        <v>45606</v>
      </c>
      <c r="B2529" t="s">
        <v>33</v>
      </c>
      <c r="C2529" t="s">
        <v>39</v>
      </c>
      <c r="D2529" t="s">
        <v>20</v>
      </c>
      <c r="E2529" t="s">
        <v>7640</v>
      </c>
      <c r="F2529">
        <v>2</v>
      </c>
      <c r="G2529" s="15">
        <v>2710000</v>
      </c>
      <c r="H2529" s="14">
        <v>0.13075929750140999</v>
      </c>
      <c r="I2529" s="27">
        <f t="shared" si="39"/>
        <v>2355642.3037711792</v>
      </c>
      <c r="J2529">
        <v>4.3</v>
      </c>
      <c r="K2529" t="b">
        <v>1</v>
      </c>
    </row>
    <row r="2530" spans="1:11" ht="16" x14ac:dyDescent="0.2">
      <c r="A2530" s="16">
        <v>45606</v>
      </c>
      <c r="B2530" t="s">
        <v>18</v>
      </c>
      <c r="C2530" t="s">
        <v>19</v>
      </c>
      <c r="D2530" t="s">
        <v>20</v>
      </c>
      <c r="E2530" t="s">
        <v>7642</v>
      </c>
      <c r="F2530">
        <v>1</v>
      </c>
      <c r="G2530" s="15">
        <v>2710000</v>
      </c>
      <c r="H2530" s="14">
        <v>0.13075929750140999</v>
      </c>
      <c r="I2530" s="27">
        <f t="shared" si="39"/>
        <v>2355642.3037711792</v>
      </c>
      <c r="J2530">
        <v>5</v>
      </c>
      <c r="K2530" t="b">
        <v>1</v>
      </c>
    </row>
    <row r="2531" spans="1:11" ht="16" x14ac:dyDescent="0.2">
      <c r="A2531" s="16">
        <v>45606</v>
      </c>
      <c r="B2531" t="s">
        <v>33</v>
      </c>
      <c r="C2531" t="s">
        <v>25</v>
      </c>
      <c r="D2531" t="s">
        <v>20</v>
      </c>
      <c r="E2531" t="s">
        <v>7642</v>
      </c>
      <c r="F2531">
        <v>1</v>
      </c>
      <c r="G2531" s="15">
        <v>2710000</v>
      </c>
      <c r="H2531" s="14">
        <v>0.13075929750140999</v>
      </c>
      <c r="I2531" s="27">
        <f t="shared" si="39"/>
        <v>2355642.3037711792</v>
      </c>
      <c r="J2531">
        <v>3.9</v>
      </c>
      <c r="K2531" t="b">
        <v>1</v>
      </c>
    </row>
    <row r="2532" spans="1:11" ht="16" x14ac:dyDescent="0.2">
      <c r="A2532" s="16">
        <v>45606</v>
      </c>
      <c r="B2532" t="s">
        <v>45</v>
      </c>
      <c r="C2532" t="s">
        <v>19</v>
      </c>
      <c r="D2532" t="s">
        <v>35</v>
      </c>
      <c r="E2532" t="s">
        <v>99</v>
      </c>
      <c r="F2532">
        <v>3</v>
      </c>
      <c r="G2532" s="15">
        <v>2710000</v>
      </c>
      <c r="H2532" s="14">
        <v>0.13075929750140999</v>
      </c>
      <c r="I2532" s="27">
        <f t="shared" si="39"/>
        <v>2355642.3037711792</v>
      </c>
      <c r="J2532">
        <v>3.9</v>
      </c>
      <c r="K2532" t="b">
        <v>1</v>
      </c>
    </row>
    <row r="2533" spans="1:11" ht="16" x14ac:dyDescent="0.2">
      <c r="A2533" s="16">
        <v>45606</v>
      </c>
      <c r="B2533" t="s">
        <v>18</v>
      </c>
      <c r="C2533" t="s">
        <v>45</v>
      </c>
      <c r="D2533" t="s">
        <v>20</v>
      </c>
      <c r="E2533" t="s">
        <v>7638</v>
      </c>
      <c r="F2533">
        <v>1</v>
      </c>
      <c r="G2533" s="15">
        <v>2710000</v>
      </c>
      <c r="H2533" s="14">
        <v>0.13075929750140999</v>
      </c>
      <c r="I2533" s="27">
        <f t="shared" si="39"/>
        <v>2355642.3037711792</v>
      </c>
      <c r="J2533">
        <v>4</v>
      </c>
      <c r="K2533" t="b">
        <v>0</v>
      </c>
    </row>
    <row r="2534" spans="1:11" ht="16" x14ac:dyDescent="0.2">
      <c r="A2534" s="16">
        <v>45606</v>
      </c>
      <c r="B2534" t="s">
        <v>18</v>
      </c>
      <c r="C2534" t="s">
        <v>45</v>
      </c>
      <c r="D2534" t="s">
        <v>35</v>
      </c>
      <c r="E2534" t="s">
        <v>7637</v>
      </c>
      <c r="F2534">
        <v>2</v>
      </c>
      <c r="G2534" s="15">
        <v>2710000</v>
      </c>
      <c r="H2534" s="14">
        <v>0.13075929750140999</v>
      </c>
      <c r="I2534" s="27">
        <f t="shared" si="39"/>
        <v>2355642.3037711792</v>
      </c>
      <c r="J2534">
        <v>4.8</v>
      </c>
      <c r="K2534" t="b">
        <v>0</v>
      </c>
    </row>
    <row r="2535" spans="1:11" ht="16" x14ac:dyDescent="0.2">
      <c r="A2535" s="16">
        <v>45607</v>
      </c>
      <c r="B2535" t="s">
        <v>29</v>
      </c>
      <c r="C2535" t="s">
        <v>34</v>
      </c>
      <c r="D2535" t="s">
        <v>35</v>
      </c>
      <c r="E2535" t="s">
        <v>57</v>
      </c>
      <c r="F2535">
        <v>1</v>
      </c>
      <c r="G2535" s="15">
        <v>2710000</v>
      </c>
      <c r="H2535" s="14">
        <v>0.13075929750140999</v>
      </c>
      <c r="I2535" s="27">
        <f t="shared" si="39"/>
        <v>2355642.3037711792</v>
      </c>
      <c r="J2535">
        <v>4</v>
      </c>
      <c r="K2535" t="b">
        <v>0</v>
      </c>
    </row>
    <row r="2536" spans="1:11" ht="16" x14ac:dyDescent="0.2">
      <c r="A2536" s="16">
        <v>45607</v>
      </c>
      <c r="B2536" t="s">
        <v>18</v>
      </c>
      <c r="C2536" t="s">
        <v>39</v>
      </c>
      <c r="D2536" t="s">
        <v>20</v>
      </c>
      <c r="E2536" t="s">
        <v>7638</v>
      </c>
      <c r="F2536">
        <v>1</v>
      </c>
      <c r="G2536" s="15">
        <v>2710000</v>
      </c>
      <c r="H2536" s="14">
        <v>0.13075929750140999</v>
      </c>
      <c r="I2536" s="27">
        <f t="shared" si="39"/>
        <v>2355642.3037711792</v>
      </c>
      <c r="J2536">
        <v>4.3</v>
      </c>
      <c r="K2536" t="b">
        <v>0</v>
      </c>
    </row>
    <row r="2537" spans="1:11" ht="16" x14ac:dyDescent="0.2">
      <c r="A2537" s="16">
        <v>45607</v>
      </c>
      <c r="B2537" t="s">
        <v>18</v>
      </c>
      <c r="C2537" t="s">
        <v>68</v>
      </c>
      <c r="D2537" t="s">
        <v>35</v>
      </c>
      <c r="E2537" t="s">
        <v>7643</v>
      </c>
      <c r="F2537">
        <v>2</v>
      </c>
      <c r="G2537" s="15">
        <v>2710000</v>
      </c>
      <c r="H2537" s="14">
        <v>0.13075929750140999</v>
      </c>
      <c r="I2537" s="27">
        <f t="shared" si="39"/>
        <v>2355642.3037711792</v>
      </c>
      <c r="J2537">
        <v>3.9</v>
      </c>
      <c r="K2537" t="b">
        <v>0</v>
      </c>
    </row>
    <row r="2538" spans="1:11" ht="16" x14ac:dyDescent="0.2">
      <c r="A2538" s="16">
        <v>45607</v>
      </c>
      <c r="B2538" t="s">
        <v>33</v>
      </c>
      <c r="C2538" t="s">
        <v>25</v>
      </c>
      <c r="D2538" t="s">
        <v>20</v>
      </c>
      <c r="E2538" t="s">
        <v>7637</v>
      </c>
      <c r="F2538">
        <v>1</v>
      </c>
      <c r="G2538" s="15">
        <v>2710000</v>
      </c>
      <c r="H2538" s="14">
        <v>0.13075929750140999</v>
      </c>
      <c r="I2538" s="27">
        <f t="shared" si="39"/>
        <v>2355642.3037711792</v>
      </c>
      <c r="J2538">
        <v>3.9</v>
      </c>
      <c r="K2538" t="b">
        <v>0</v>
      </c>
    </row>
    <row r="2539" spans="1:11" ht="16" x14ac:dyDescent="0.2">
      <c r="A2539" s="16">
        <v>45608</v>
      </c>
      <c r="B2539" t="s">
        <v>18</v>
      </c>
      <c r="C2539" t="s">
        <v>45</v>
      </c>
      <c r="D2539" t="s">
        <v>20</v>
      </c>
      <c r="E2539" t="s">
        <v>7640</v>
      </c>
      <c r="F2539">
        <v>3</v>
      </c>
      <c r="G2539" s="15">
        <v>2710000</v>
      </c>
      <c r="H2539" s="14">
        <v>0.13075929750140999</v>
      </c>
      <c r="I2539" s="27">
        <f t="shared" si="39"/>
        <v>2355642.3037711792</v>
      </c>
      <c r="J2539">
        <v>4.3</v>
      </c>
      <c r="K2539" t="b">
        <v>1</v>
      </c>
    </row>
    <row r="2540" spans="1:11" ht="16" x14ac:dyDescent="0.2">
      <c r="A2540" s="16">
        <v>45608</v>
      </c>
      <c r="B2540" t="s">
        <v>33</v>
      </c>
      <c r="C2540" t="s">
        <v>34</v>
      </c>
      <c r="D2540" t="s">
        <v>50</v>
      </c>
      <c r="E2540" t="s">
        <v>7641</v>
      </c>
      <c r="F2540">
        <v>1</v>
      </c>
      <c r="G2540" s="15">
        <v>2710000</v>
      </c>
      <c r="H2540" s="14">
        <v>0.13075929750140999</v>
      </c>
      <c r="I2540" s="27">
        <f t="shared" si="39"/>
        <v>2355642.3037711792</v>
      </c>
      <c r="J2540">
        <v>4.0999999999999996</v>
      </c>
      <c r="K2540" t="b">
        <v>0</v>
      </c>
    </row>
    <row r="2541" spans="1:11" ht="16" x14ac:dyDescent="0.2">
      <c r="A2541" s="16">
        <v>45608</v>
      </c>
      <c r="B2541" t="s">
        <v>18</v>
      </c>
      <c r="C2541" t="s">
        <v>68</v>
      </c>
      <c r="D2541" t="s">
        <v>20</v>
      </c>
      <c r="E2541" t="s">
        <v>7641</v>
      </c>
      <c r="F2541">
        <v>1</v>
      </c>
      <c r="G2541" s="15">
        <v>2710000</v>
      </c>
      <c r="H2541" s="14">
        <v>0.13075929750140999</v>
      </c>
      <c r="I2541" s="27">
        <f t="shared" si="39"/>
        <v>2355642.3037711792</v>
      </c>
      <c r="J2541">
        <v>3.8</v>
      </c>
      <c r="K2541" t="b">
        <v>1</v>
      </c>
    </row>
    <row r="2542" spans="1:11" ht="16" x14ac:dyDescent="0.2">
      <c r="A2542" s="16">
        <v>45608</v>
      </c>
      <c r="B2542" t="s">
        <v>18</v>
      </c>
      <c r="C2542" t="s">
        <v>45</v>
      </c>
      <c r="D2542" t="s">
        <v>50</v>
      </c>
      <c r="E2542" t="s">
        <v>7638</v>
      </c>
      <c r="F2542">
        <v>4</v>
      </c>
      <c r="G2542" s="15">
        <v>2710000</v>
      </c>
      <c r="H2542" s="14">
        <v>0.13075929750140999</v>
      </c>
      <c r="I2542" s="27">
        <f t="shared" si="39"/>
        <v>2355642.3037711792</v>
      </c>
      <c r="J2542">
        <v>4.2</v>
      </c>
      <c r="K2542" t="b">
        <v>1</v>
      </c>
    </row>
    <row r="2543" spans="1:11" ht="16" x14ac:dyDescent="0.2">
      <c r="A2543" s="16">
        <v>45609</v>
      </c>
      <c r="B2543" t="s">
        <v>18</v>
      </c>
      <c r="C2543" t="s">
        <v>19</v>
      </c>
      <c r="D2543" t="s">
        <v>35</v>
      </c>
      <c r="E2543" t="s">
        <v>99</v>
      </c>
      <c r="F2543">
        <v>1</v>
      </c>
      <c r="G2543" s="15">
        <v>2710000</v>
      </c>
      <c r="H2543" s="14">
        <v>0.13075929750140999</v>
      </c>
      <c r="I2543" s="27">
        <f t="shared" si="39"/>
        <v>2355642.3037711792</v>
      </c>
      <c r="J2543">
        <v>3.8</v>
      </c>
      <c r="K2543" t="b">
        <v>1</v>
      </c>
    </row>
    <row r="2544" spans="1:11" ht="16" x14ac:dyDescent="0.2">
      <c r="A2544" s="16">
        <v>45609</v>
      </c>
      <c r="B2544" t="s">
        <v>33</v>
      </c>
      <c r="C2544" t="s">
        <v>68</v>
      </c>
      <c r="D2544" t="s">
        <v>35</v>
      </c>
      <c r="E2544" t="s">
        <v>57</v>
      </c>
      <c r="F2544">
        <v>1</v>
      </c>
      <c r="G2544" s="15">
        <v>2710000</v>
      </c>
      <c r="H2544" s="14">
        <v>0.13075929750140999</v>
      </c>
      <c r="I2544" s="27">
        <f t="shared" si="39"/>
        <v>2355642.3037711792</v>
      </c>
      <c r="J2544">
        <v>4.5</v>
      </c>
      <c r="K2544" t="b">
        <v>1</v>
      </c>
    </row>
    <row r="2545" spans="1:11" ht="16" x14ac:dyDescent="0.2">
      <c r="A2545" s="16">
        <v>45609</v>
      </c>
      <c r="B2545" t="str">
        <f>B2544</f>
        <v>Student</v>
      </c>
      <c r="C2545" t="s">
        <v>39</v>
      </c>
      <c r="D2545" t="s">
        <v>20</v>
      </c>
      <c r="E2545" t="s">
        <v>7638</v>
      </c>
      <c r="F2545">
        <v>3</v>
      </c>
      <c r="G2545" s="15">
        <v>2710000</v>
      </c>
      <c r="H2545" s="14">
        <v>0.13075929750140999</v>
      </c>
      <c r="I2545" s="27">
        <f t="shared" si="39"/>
        <v>2355642.3037711792</v>
      </c>
      <c r="J2545">
        <v>4.7</v>
      </c>
      <c r="K2545" t="b">
        <v>1</v>
      </c>
    </row>
    <row r="2546" spans="1:11" ht="16" x14ac:dyDescent="0.2">
      <c r="A2546" s="16">
        <v>45610</v>
      </c>
      <c r="B2546" t="s">
        <v>45</v>
      </c>
      <c r="C2546" t="s">
        <v>45</v>
      </c>
      <c r="D2546" t="s">
        <v>20</v>
      </c>
      <c r="E2546" t="s">
        <v>7640</v>
      </c>
      <c r="F2546">
        <v>3</v>
      </c>
      <c r="G2546" s="15">
        <v>2710000</v>
      </c>
      <c r="H2546" s="14">
        <v>0.13075929750140999</v>
      </c>
      <c r="I2546" s="27">
        <f t="shared" si="39"/>
        <v>2355642.3037711792</v>
      </c>
      <c r="J2546">
        <v>3.9</v>
      </c>
      <c r="K2546" t="b">
        <v>1</v>
      </c>
    </row>
    <row r="2547" spans="1:11" ht="16" x14ac:dyDescent="0.2">
      <c r="A2547" s="16">
        <v>45610</v>
      </c>
      <c r="B2547" t="s">
        <v>33</v>
      </c>
      <c r="C2547" t="s">
        <v>45</v>
      </c>
      <c r="D2547" t="s">
        <v>20</v>
      </c>
      <c r="E2547" t="s">
        <v>7637</v>
      </c>
      <c r="F2547">
        <v>4</v>
      </c>
      <c r="G2547" s="15">
        <v>2710000</v>
      </c>
      <c r="H2547" s="14">
        <v>0.13075929750140999</v>
      </c>
      <c r="I2547" s="27">
        <f t="shared" si="39"/>
        <v>2355642.3037711792</v>
      </c>
      <c r="J2547">
        <v>4.7</v>
      </c>
      <c r="K2547" t="b">
        <v>0</v>
      </c>
    </row>
    <row r="2548" spans="1:11" ht="16" x14ac:dyDescent="0.2">
      <c r="A2548" s="16">
        <v>45610</v>
      </c>
      <c r="B2548" t="s">
        <v>18</v>
      </c>
      <c r="C2548" t="s">
        <v>19</v>
      </c>
      <c r="D2548" t="s">
        <v>20</v>
      </c>
      <c r="E2548" t="s">
        <v>7638</v>
      </c>
      <c r="F2548">
        <v>1</v>
      </c>
      <c r="G2548" s="15">
        <v>2710000</v>
      </c>
      <c r="H2548" s="14">
        <v>0.13075929750140999</v>
      </c>
      <c r="I2548" s="27">
        <f t="shared" si="39"/>
        <v>2355642.3037711792</v>
      </c>
      <c r="J2548">
        <v>4</v>
      </c>
      <c r="K2548" t="b">
        <v>0</v>
      </c>
    </row>
    <row r="2549" spans="1:11" ht="16" x14ac:dyDescent="0.2">
      <c r="A2549" s="16">
        <v>45610</v>
      </c>
      <c r="B2549" t="s">
        <v>29</v>
      </c>
      <c r="C2549" t="s">
        <v>25</v>
      </c>
      <c r="D2549" t="str">
        <f>D2548</f>
        <v>Website</v>
      </c>
      <c r="E2549" t="s">
        <v>7641</v>
      </c>
      <c r="F2549">
        <v>2</v>
      </c>
      <c r="G2549" s="15">
        <v>2710000</v>
      </c>
      <c r="H2549" s="14">
        <v>0.13075929750140999</v>
      </c>
      <c r="I2549" s="27">
        <f t="shared" si="39"/>
        <v>2355642.3037711792</v>
      </c>
      <c r="J2549">
        <v>4.2</v>
      </c>
      <c r="K2549" t="b">
        <v>1</v>
      </c>
    </row>
    <row r="2550" spans="1:11" ht="16" x14ac:dyDescent="0.2">
      <c r="A2550" s="16">
        <v>45610</v>
      </c>
      <c r="B2550" t="s">
        <v>33</v>
      </c>
      <c r="C2550" t="s">
        <v>19</v>
      </c>
      <c r="D2550" t="s">
        <v>50</v>
      </c>
      <c r="E2550" t="s">
        <v>7644</v>
      </c>
      <c r="F2550">
        <v>1</v>
      </c>
      <c r="G2550" s="15">
        <v>2710000</v>
      </c>
      <c r="H2550" s="14">
        <v>0.13075929750140999</v>
      </c>
      <c r="I2550" s="27">
        <f t="shared" si="39"/>
        <v>2355642.3037711792</v>
      </c>
      <c r="J2550">
        <v>3.9</v>
      </c>
      <c r="K2550" t="b">
        <v>0</v>
      </c>
    </row>
    <row r="2551" spans="1:11" ht="16" x14ac:dyDescent="0.2">
      <c r="A2551" s="16">
        <v>45611</v>
      </c>
      <c r="B2551" t="s">
        <v>45</v>
      </c>
      <c r="C2551" t="s">
        <v>68</v>
      </c>
      <c r="D2551" t="s">
        <v>35</v>
      </c>
      <c r="E2551" t="s">
        <v>7642</v>
      </c>
      <c r="F2551">
        <v>2</v>
      </c>
      <c r="G2551" s="15">
        <v>2710000</v>
      </c>
      <c r="H2551" s="14">
        <v>0.13075929750140999</v>
      </c>
      <c r="I2551" s="27">
        <f t="shared" si="39"/>
        <v>2355642.3037711792</v>
      </c>
      <c r="J2551">
        <v>4.0999999999999996</v>
      </c>
      <c r="K2551" t="b">
        <v>0</v>
      </c>
    </row>
    <row r="2552" spans="1:11" ht="16" x14ac:dyDescent="0.2">
      <c r="A2552" s="16">
        <v>45611</v>
      </c>
      <c r="B2552" t="s">
        <v>29</v>
      </c>
      <c r="C2552" t="s">
        <v>45</v>
      </c>
      <c r="D2552" t="s">
        <v>20</v>
      </c>
      <c r="E2552" t="s">
        <v>57</v>
      </c>
      <c r="F2552">
        <v>2</v>
      </c>
      <c r="G2552" s="15">
        <v>2710000</v>
      </c>
      <c r="H2552" s="14">
        <v>0.13075929750140999</v>
      </c>
      <c r="I2552" s="27">
        <f t="shared" si="39"/>
        <v>2355642.3037711792</v>
      </c>
      <c r="J2552">
        <v>4.2</v>
      </c>
      <c r="K2552" t="b">
        <v>0</v>
      </c>
    </row>
    <row r="2553" spans="1:11" ht="16" x14ac:dyDescent="0.2">
      <c r="A2553" s="16">
        <v>45611</v>
      </c>
      <c r="B2553" t="s">
        <v>45</v>
      </c>
      <c r="C2553" t="s">
        <v>34</v>
      </c>
      <c r="D2553" t="s">
        <v>20</v>
      </c>
      <c r="E2553" t="s">
        <v>7637</v>
      </c>
      <c r="F2553">
        <v>1</v>
      </c>
      <c r="G2553" s="15">
        <v>2710000</v>
      </c>
      <c r="H2553" s="14">
        <v>0.13075929750140999</v>
      </c>
      <c r="I2553" s="27">
        <f t="shared" si="39"/>
        <v>2355642.3037711792</v>
      </c>
      <c r="J2553">
        <v>4.0999999999999996</v>
      </c>
      <c r="K2553" t="b">
        <v>1</v>
      </c>
    </row>
    <row r="2554" spans="1:11" ht="16" x14ac:dyDescent="0.2">
      <c r="A2554" s="16">
        <v>45611</v>
      </c>
      <c r="B2554" t="s">
        <v>45</v>
      </c>
      <c r="C2554" t="s">
        <v>34</v>
      </c>
      <c r="D2554" t="s">
        <v>20</v>
      </c>
      <c r="E2554" t="s">
        <v>57</v>
      </c>
      <c r="F2554">
        <v>4</v>
      </c>
      <c r="G2554" s="15">
        <v>2710000</v>
      </c>
      <c r="H2554" s="14">
        <v>0.13075929750140999</v>
      </c>
      <c r="I2554" s="27">
        <f t="shared" si="39"/>
        <v>2355642.3037711792</v>
      </c>
      <c r="J2554">
        <v>4.2</v>
      </c>
      <c r="K2554" t="b">
        <v>1</v>
      </c>
    </row>
    <row r="2555" spans="1:11" ht="16" x14ac:dyDescent="0.2">
      <c r="A2555" s="16">
        <v>45611</v>
      </c>
      <c r="B2555" t="s">
        <v>45</v>
      </c>
      <c r="C2555" t="s">
        <v>39</v>
      </c>
      <c r="D2555" t="s">
        <v>50</v>
      </c>
      <c r="E2555" t="s">
        <v>7642</v>
      </c>
      <c r="F2555">
        <v>1</v>
      </c>
      <c r="G2555" s="15">
        <v>2710000</v>
      </c>
      <c r="H2555" s="14">
        <v>0.13075929750140999</v>
      </c>
      <c r="I2555" s="27">
        <f t="shared" si="39"/>
        <v>2355642.3037711792</v>
      </c>
      <c r="J2555">
        <v>5</v>
      </c>
      <c r="K2555" t="b">
        <v>1</v>
      </c>
    </row>
    <row r="2556" spans="1:11" ht="16" x14ac:dyDescent="0.2">
      <c r="A2556" s="16">
        <v>45611</v>
      </c>
      <c r="B2556" t="s">
        <v>18</v>
      </c>
      <c r="C2556" t="s">
        <v>45</v>
      </c>
      <c r="D2556" t="s">
        <v>35</v>
      </c>
      <c r="E2556" t="s">
        <v>57</v>
      </c>
      <c r="F2556">
        <v>4</v>
      </c>
      <c r="G2556" s="15">
        <v>2710000</v>
      </c>
      <c r="H2556" s="14">
        <v>0.13075929750140999</v>
      </c>
      <c r="I2556" s="27">
        <f t="shared" si="39"/>
        <v>2355642.3037711792</v>
      </c>
      <c r="J2556">
        <v>3.5</v>
      </c>
      <c r="K2556" t="b">
        <v>0</v>
      </c>
    </row>
    <row r="2557" spans="1:11" ht="16" x14ac:dyDescent="0.2">
      <c r="A2557" s="16">
        <v>45612</v>
      </c>
      <c r="B2557" t="s">
        <v>18</v>
      </c>
      <c r="C2557" t="s">
        <v>34</v>
      </c>
      <c r="D2557" t="s">
        <v>20</v>
      </c>
      <c r="E2557" t="s">
        <v>7642</v>
      </c>
      <c r="F2557">
        <v>3</v>
      </c>
      <c r="G2557" s="15">
        <v>2710000</v>
      </c>
      <c r="H2557" s="14">
        <v>0.13075929750140999</v>
      </c>
      <c r="I2557" s="27">
        <f t="shared" si="39"/>
        <v>2355642.3037711792</v>
      </c>
      <c r="J2557">
        <v>3.4</v>
      </c>
      <c r="K2557" t="b">
        <v>0</v>
      </c>
    </row>
    <row r="2558" spans="1:11" ht="16" x14ac:dyDescent="0.2">
      <c r="A2558" s="16">
        <v>45612</v>
      </c>
      <c r="B2558" t="s">
        <v>45</v>
      </c>
      <c r="C2558" t="s">
        <v>34</v>
      </c>
      <c r="D2558" t="s">
        <v>20</v>
      </c>
      <c r="E2558" t="s">
        <v>7637</v>
      </c>
      <c r="F2558">
        <v>1</v>
      </c>
      <c r="G2558" s="15">
        <v>2710000</v>
      </c>
      <c r="H2558" s="14">
        <v>0.13075929750140999</v>
      </c>
      <c r="I2558" s="27">
        <f t="shared" si="39"/>
        <v>2355642.3037711792</v>
      </c>
      <c r="J2558">
        <v>4.0999999999999996</v>
      </c>
      <c r="K2558" t="b">
        <v>0</v>
      </c>
    </row>
    <row r="2559" spans="1:11" ht="16" x14ac:dyDescent="0.2">
      <c r="A2559" s="16">
        <v>45612</v>
      </c>
      <c r="B2559" t="s">
        <v>45</v>
      </c>
      <c r="C2559" t="s">
        <v>19</v>
      </c>
      <c r="D2559" t="s">
        <v>20</v>
      </c>
      <c r="E2559" t="s">
        <v>57</v>
      </c>
      <c r="F2559">
        <v>2</v>
      </c>
      <c r="G2559" s="15">
        <v>2710000</v>
      </c>
      <c r="H2559" s="14">
        <v>0.13075929750140999</v>
      </c>
      <c r="I2559" s="27">
        <f t="shared" si="39"/>
        <v>2355642.3037711792</v>
      </c>
      <c r="J2559">
        <v>5</v>
      </c>
      <c r="K2559" t="b">
        <v>1</v>
      </c>
    </row>
    <row r="2560" spans="1:11" ht="16" x14ac:dyDescent="0.2">
      <c r="A2560" s="16">
        <v>45612</v>
      </c>
      <c r="B2560" t="s">
        <v>45</v>
      </c>
      <c r="C2560" t="s">
        <v>25</v>
      </c>
      <c r="D2560" t="s">
        <v>20</v>
      </c>
      <c r="E2560" t="s">
        <v>7642</v>
      </c>
      <c r="F2560">
        <v>2</v>
      </c>
      <c r="G2560" s="15">
        <v>2710000</v>
      </c>
      <c r="H2560" s="14">
        <v>0.13075929750140999</v>
      </c>
      <c r="I2560" s="27">
        <f t="shared" si="39"/>
        <v>2355642.3037711792</v>
      </c>
      <c r="J2560">
        <v>3.2</v>
      </c>
      <c r="K2560" t="b">
        <v>1</v>
      </c>
    </row>
    <row r="2561" spans="1:11" ht="16" x14ac:dyDescent="0.2">
      <c r="A2561" s="16">
        <v>45613</v>
      </c>
      <c r="B2561" t="str">
        <f>B2560</f>
        <v>Family</v>
      </c>
      <c r="C2561" t="s">
        <v>34</v>
      </c>
      <c r="D2561" t="s">
        <v>50</v>
      </c>
      <c r="E2561" t="s">
        <v>57</v>
      </c>
      <c r="F2561">
        <v>4</v>
      </c>
      <c r="G2561" s="15">
        <v>2710000</v>
      </c>
      <c r="H2561" s="14">
        <v>0.13075929750140999</v>
      </c>
      <c r="I2561" s="27">
        <f t="shared" si="39"/>
        <v>2355642.3037711792</v>
      </c>
      <c r="J2561">
        <v>3.8</v>
      </c>
      <c r="K2561" t="b">
        <v>1</v>
      </c>
    </row>
    <row r="2562" spans="1:11" ht="16" x14ac:dyDescent="0.2">
      <c r="A2562" s="16">
        <v>45613</v>
      </c>
      <c r="B2562" t="s">
        <v>18</v>
      </c>
      <c r="C2562" t="s">
        <v>68</v>
      </c>
      <c r="D2562" t="s">
        <v>35</v>
      </c>
      <c r="E2562" t="s">
        <v>7637</v>
      </c>
      <c r="F2562">
        <v>1</v>
      </c>
      <c r="G2562" s="15">
        <v>2710000</v>
      </c>
      <c r="H2562" s="14">
        <v>0.13075929750140999</v>
      </c>
      <c r="I2562" s="27">
        <f t="shared" si="39"/>
        <v>2355642.3037711792</v>
      </c>
      <c r="J2562">
        <v>3.8</v>
      </c>
      <c r="K2562" t="b">
        <v>1</v>
      </c>
    </row>
    <row r="2563" spans="1:11" ht="16" x14ac:dyDescent="0.2">
      <c r="A2563" s="16">
        <v>45613</v>
      </c>
      <c r="B2563" t="s">
        <v>29</v>
      </c>
      <c r="C2563" t="s">
        <v>34</v>
      </c>
      <c r="D2563" t="s">
        <v>20</v>
      </c>
      <c r="E2563" t="s">
        <v>7640</v>
      </c>
      <c r="F2563">
        <v>3</v>
      </c>
      <c r="G2563" s="15">
        <v>2710000</v>
      </c>
      <c r="H2563" s="14">
        <v>0.13075929750140999</v>
      </c>
      <c r="I2563" s="27">
        <f t="shared" ref="I2563:I2626" si="40">G2563-G2563*H2563</f>
        <v>2355642.3037711792</v>
      </c>
      <c r="J2563">
        <v>4.5</v>
      </c>
      <c r="K2563" t="b">
        <v>1</v>
      </c>
    </row>
    <row r="2564" spans="1:11" ht="16" x14ac:dyDescent="0.2">
      <c r="A2564" s="16">
        <v>45613</v>
      </c>
      <c r="B2564" t="s">
        <v>45</v>
      </c>
      <c r="C2564" t="s">
        <v>68</v>
      </c>
      <c r="D2564" t="s">
        <v>20</v>
      </c>
      <c r="E2564" t="s">
        <v>57</v>
      </c>
      <c r="F2564">
        <v>3</v>
      </c>
      <c r="G2564" s="15">
        <v>2710000</v>
      </c>
      <c r="H2564" s="14">
        <v>0.13075929750140999</v>
      </c>
      <c r="I2564" s="27">
        <f t="shared" si="40"/>
        <v>2355642.3037711792</v>
      </c>
      <c r="J2564">
        <v>4.4000000000000004</v>
      </c>
      <c r="K2564" t="b">
        <v>0</v>
      </c>
    </row>
    <row r="2565" spans="1:11" ht="16" x14ac:dyDescent="0.2">
      <c r="A2565" s="16">
        <v>45613</v>
      </c>
      <c r="B2565" t="s">
        <v>18</v>
      </c>
      <c r="C2565" t="s">
        <v>34</v>
      </c>
      <c r="D2565" t="s">
        <v>35</v>
      </c>
      <c r="E2565" t="s">
        <v>99</v>
      </c>
      <c r="F2565">
        <v>1</v>
      </c>
      <c r="G2565" s="15">
        <v>2710000</v>
      </c>
      <c r="H2565" s="14">
        <v>0.13075929750140999</v>
      </c>
      <c r="I2565" s="27">
        <f t="shared" si="40"/>
        <v>2355642.3037711792</v>
      </c>
      <c r="J2565">
        <v>4</v>
      </c>
      <c r="K2565" t="b">
        <v>0</v>
      </c>
    </row>
    <row r="2566" spans="1:11" ht="16" x14ac:dyDescent="0.2">
      <c r="A2566" s="16">
        <v>45613</v>
      </c>
      <c r="B2566" t="s">
        <v>29</v>
      </c>
      <c r="C2566" t="s">
        <v>19</v>
      </c>
      <c r="D2566" t="s">
        <v>20</v>
      </c>
      <c r="E2566" t="s">
        <v>7644</v>
      </c>
      <c r="F2566">
        <v>1</v>
      </c>
      <c r="G2566" s="15">
        <v>2710000</v>
      </c>
      <c r="H2566" s="14">
        <v>0.13075929750140999</v>
      </c>
      <c r="I2566" s="27">
        <f t="shared" si="40"/>
        <v>2355642.3037711792</v>
      </c>
      <c r="J2566">
        <v>4.7</v>
      </c>
      <c r="K2566" t="b">
        <v>1</v>
      </c>
    </row>
    <row r="2567" spans="1:11" ht="16" x14ac:dyDescent="0.2">
      <c r="A2567" s="16">
        <v>45614</v>
      </c>
      <c r="B2567" t="s">
        <v>45</v>
      </c>
      <c r="C2567" t="s">
        <v>19</v>
      </c>
      <c r="D2567" t="s">
        <v>20</v>
      </c>
      <c r="E2567" t="str">
        <f>E2566</f>
        <v>Hạ Long</v>
      </c>
      <c r="F2567">
        <v>1</v>
      </c>
      <c r="G2567" s="15">
        <v>2710000</v>
      </c>
      <c r="H2567" s="14">
        <v>0.13075929750140999</v>
      </c>
      <c r="I2567" s="27">
        <f t="shared" si="40"/>
        <v>2355642.3037711792</v>
      </c>
      <c r="J2567">
        <v>4.5</v>
      </c>
      <c r="K2567" t="b">
        <v>1</v>
      </c>
    </row>
    <row r="2568" spans="1:11" ht="16" x14ac:dyDescent="0.2">
      <c r="A2568" s="16">
        <v>45614</v>
      </c>
      <c r="B2568" t="s">
        <v>45</v>
      </c>
      <c r="C2568" t="s">
        <v>39</v>
      </c>
      <c r="D2568" t="s">
        <v>50</v>
      </c>
      <c r="E2568" t="s">
        <v>7639</v>
      </c>
      <c r="F2568">
        <v>3</v>
      </c>
      <c r="G2568" s="15">
        <v>2710000</v>
      </c>
      <c r="H2568" s="14">
        <v>0.13075929750140999</v>
      </c>
      <c r="I2568" s="27">
        <f t="shared" si="40"/>
        <v>2355642.3037711792</v>
      </c>
      <c r="J2568">
        <v>3.5</v>
      </c>
      <c r="K2568" t="b">
        <v>0</v>
      </c>
    </row>
    <row r="2569" spans="1:11" ht="16" x14ac:dyDescent="0.2">
      <c r="A2569" s="16">
        <v>45614</v>
      </c>
      <c r="B2569" t="s">
        <v>45</v>
      </c>
      <c r="C2569" t="s">
        <v>25</v>
      </c>
      <c r="D2569" t="s">
        <v>50</v>
      </c>
      <c r="E2569" t="s">
        <v>7643</v>
      </c>
      <c r="F2569">
        <v>1</v>
      </c>
      <c r="G2569" s="15">
        <v>2710000</v>
      </c>
      <c r="H2569" s="14">
        <v>0.13075929750140999</v>
      </c>
      <c r="I2569" s="27">
        <f t="shared" si="40"/>
        <v>2355642.3037711792</v>
      </c>
      <c r="J2569">
        <v>3.9</v>
      </c>
      <c r="K2569" t="b">
        <v>0</v>
      </c>
    </row>
    <row r="2570" spans="1:11" ht="16" x14ac:dyDescent="0.2">
      <c r="A2570" s="16">
        <v>45615</v>
      </c>
      <c r="B2570" t="s">
        <v>29</v>
      </c>
      <c r="C2570" t="s">
        <v>19</v>
      </c>
      <c r="D2570" t="s">
        <v>20</v>
      </c>
      <c r="E2570" t="s">
        <v>7642</v>
      </c>
      <c r="F2570">
        <v>1</v>
      </c>
      <c r="G2570" s="15">
        <v>2710000</v>
      </c>
      <c r="H2570" s="14">
        <v>0.13075929750140999</v>
      </c>
      <c r="I2570" s="27">
        <f t="shared" si="40"/>
        <v>2355642.3037711792</v>
      </c>
      <c r="J2570">
        <v>3.7</v>
      </c>
      <c r="K2570" t="b">
        <v>1</v>
      </c>
    </row>
    <row r="2571" spans="1:11" ht="16" x14ac:dyDescent="0.2">
      <c r="A2571" s="16">
        <v>45615</v>
      </c>
      <c r="B2571" t="s">
        <v>45</v>
      </c>
      <c r="C2571" t="s">
        <v>68</v>
      </c>
      <c r="D2571" t="s">
        <v>20</v>
      </c>
      <c r="E2571" t="str">
        <f>E2570</f>
        <v>Huế</v>
      </c>
      <c r="F2571">
        <v>1</v>
      </c>
      <c r="G2571" s="15">
        <v>2710000</v>
      </c>
      <c r="H2571" s="14">
        <v>0.13075929750140999</v>
      </c>
      <c r="I2571" s="27">
        <f t="shared" si="40"/>
        <v>2355642.3037711792</v>
      </c>
      <c r="J2571">
        <v>4.4000000000000004</v>
      </c>
      <c r="K2571" t="b">
        <v>1</v>
      </c>
    </row>
    <row r="2572" spans="1:11" ht="16" x14ac:dyDescent="0.2">
      <c r="A2572" s="16">
        <v>45615</v>
      </c>
      <c r="B2572" t="s">
        <v>33</v>
      </c>
      <c r="C2572" t="s">
        <v>39</v>
      </c>
      <c r="D2572" t="s">
        <v>50</v>
      </c>
      <c r="E2572" t="s">
        <v>7642</v>
      </c>
      <c r="F2572">
        <v>4</v>
      </c>
      <c r="G2572" s="15">
        <v>2710000</v>
      </c>
      <c r="H2572" s="14">
        <v>0.13075929750140999</v>
      </c>
      <c r="I2572" s="27">
        <f t="shared" si="40"/>
        <v>2355642.3037711792</v>
      </c>
      <c r="J2572">
        <v>4.2</v>
      </c>
      <c r="K2572" t="b">
        <v>0</v>
      </c>
    </row>
    <row r="2573" spans="1:11" ht="16" x14ac:dyDescent="0.2">
      <c r="A2573" s="16">
        <v>45615</v>
      </c>
      <c r="B2573" t="s">
        <v>33</v>
      </c>
      <c r="C2573" t="s">
        <v>25</v>
      </c>
      <c r="D2573" t="s">
        <v>20</v>
      </c>
      <c r="E2573" t="s">
        <v>7641</v>
      </c>
      <c r="F2573">
        <v>2</v>
      </c>
      <c r="G2573" s="15">
        <v>2710000</v>
      </c>
      <c r="H2573" s="14">
        <v>0.13075929750140999</v>
      </c>
      <c r="I2573" s="27">
        <f t="shared" si="40"/>
        <v>2355642.3037711792</v>
      </c>
      <c r="J2573">
        <v>3.9</v>
      </c>
      <c r="K2573" t="b">
        <v>1</v>
      </c>
    </row>
    <row r="2574" spans="1:11" ht="16" x14ac:dyDescent="0.2">
      <c r="A2574" s="16">
        <v>45616</v>
      </c>
      <c r="B2574" t="s">
        <v>29</v>
      </c>
      <c r="C2574" t="s">
        <v>68</v>
      </c>
      <c r="D2574" t="s">
        <v>20</v>
      </c>
      <c r="E2574" t="s">
        <v>7637</v>
      </c>
      <c r="F2574">
        <v>2</v>
      </c>
      <c r="G2574" s="15">
        <v>2710000</v>
      </c>
      <c r="H2574" s="14">
        <v>0.13075929750140999</v>
      </c>
      <c r="I2574" s="27">
        <f t="shared" si="40"/>
        <v>2355642.3037711792</v>
      </c>
      <c r="J2574">
        <v>4.2</v>
      </c>
      <c r="K2574" t="b">
        <v>0</v>
      </c>
    </row>
    <row r="2575" spans="1:11" ht="16" x14ac:dyDescent="0.2">
      <c r="A2575" s="16">
        <v>45616</v>
      </c>
      <c r="B2575" t="s">
        <v>33</v>
      </c>
      <c r="C2575" t="s">
        <v>68</v>
      </c>
      <c r="D2575" t="s">
        <v>35</v>
      </c>
      <c r="E2575" t="s">
        <v>7637</v>
      </c>
      <c r="F2575">
        <v>1</v>
      </c>
      <c r="G2575" s="15">
        <v>2710000</v>
      </c>
      <c r="H2575" s="14">
        <v>0.13075929750140999</v>
      </c>
      <c r="I2575" s="27">
        <f t="shared" si="40"/>
        <v>2355642.3037711792</v>
      </c>
      <c r="J2575">
        <v>4</v>
      </c>
      <c r="K2575" t="b">
        <v>1</v>
      </c>
    </row>
    <row r="2576" spans="1:11" ht="16" x14ac:dyDescent="0.2">
      <c r="A2576" s="16">
        <v>45616</v>
      </c>
      <c r="B2576" t="s">
        <v>18</v>
      </c>
      <c r="C2576" t="s">
        <v>25</v>
      </c>
      <c r="D2576" t="s">
        <v>20</v>
      </c>
      <c r="E2576" t="s">
        <v>7640</v>
      </c>
      <c r="F2576">
        <v>1</v>
      </c>
      <c r="G2576" s="15">
        <v>2710000</v>
      </c>
      <c r="H2576" s="14">
        <v>0.13075929750140999</v>
      </c>
      <c r="I2576" s="27">
        <f t="shared" si="40"/>
        <v>2355642.3037711792</v>
      </c>
      <c r="J2576">
        <v>4.9000000000000004</v>
      </c>
      <c r="K2576" t="b">
        <v>1</v>
      </c>
    </row>
    <row r="2577" spans="1:11" ht="16" x14ac:dyDescent="0.2">
      <c r="A2577" s="16">
        <v>45616</v>
      </c>
      <c r="B2577" t="s">
        <v>33</v>
      </c>
      <c r="C2577" t="s">
        <v>34</v>
      </c>
      <c r="D2577" t="s">
        <v>50</v>
      </c>
      <c r="E2577" t="s">
        <v>7643</v>
      </c>
      <c r="F2577">
        <v>1</v>
      </c>
      <c r="G2577" s="15">
        <v>2710000</v>
      </c>
      <c r="H2577" s="14">
        <v>0.13075929750140999</v>
      </c>
      <c r="I2577" s="27">
        <f t="shared" si="40"/>
        <v>2355642.3037711792</v>
      </c>
      <c r="J2577">
        <v>3.9</v>
      </c>
      <c r="K2577" t="b">
        <v>1</v>
      </c>
    </row>
    <row r="2578" spans="1:11" ht="16" x14ac:dyDescent="0.2">
      <c r="A2578" s="16">
        <v>45618</v>
      </c>
      <c r="B2578" t="s">
        <v>45</v>
      </c>
      <c r="C2578" t="s">
        <v>39</v>
      </c>
      <c r="D2578" t="s">
        <v>20</v>
      </c>
      <c r="E2578" t="s">
        <v>7643</v>
      </c>
      <c r="F2578">
        <v>2</v>
      </c>
      <c r="G2578" s="15">
        <v>2710000</v>
      </c>
      <c r="H2578" s="14">
        <v>0.13075929750140999</v>
      </c>
      <c r="I2578" s="27">
        <f t="shared" si="40"/>
        <v>2355642.3037711792</v>
      </c>
      <c r="J2578">
        <v>4.5999999999999996</v>
      </c>
      <c r="K2578" t="b">
        <v>0</v>
      </c>
    </row>
    <row r="2579" spans="1:11" ht="16" x14ac:dyDescent="0.2">
      <c r="A2579" s="16">
        <v>45618</v>
      </c>
      <c r="B2579" t="s">
        <v>29</v>
      </c>
      <c r="C2579" t="s">
        <v>19</v>
      </c>
      <c r="D2579" t="s">
        <v>35</v>
      </c>
      <c r="E2579" t="s">
        <v>7637</v>
      </c>
      <c r="F2579">
        <v>3</v>
      </c>
      <c r="G2579" s="15">
        <v>2710000</v>
      </c>
      <c r="H2579" s="14">
        <v>0.13075929750140999</v>
      </c>
      <c r="I2579" s="27">
        <f t="shared" si="40"/>
        <v>2355642.3037711792</v>
      </c>
      <c r="J2579">
        <v>3.7</v>
      </c>
      <c r="K2579" t="b">
        <v>0</v>
      </c>
    </row>
    <row r="2580" spans="1:11" ht="16" x14ac:dyDescent="0.2">
      <c r="A2580" s="16">
        <v>45618</v>
      </c>
      <c r="B2580" t="s">
        <v>29</v>
      </c>
      <c r="C2580" t="s">
        <v>25</v>
      </c>
      <c r="D2580" t="s">
        <v>20</v>
      </c>
      <c r="E2580" t="str">
        <f>E2579</f>
        <v>Đà Nẵng</v>
      </c>
      <c r="F2580">
        <v>5</v>
      </c>
      <c r="G2580" s="15">
        <v>2710000</v>
      </c>
      <c r="H2580" s="14">
        <v>0.13075929750140999</v>
      </c>
      <c r="I2580" s="27">
        <f t="shared" si="40"/>
        <v>2355642.3037711792</v>
      </c>
      <c r="J2580">
        <v>3.7</v>
      </c>
      <c r="K2580" t="b">
        <v>1</v>
      </c>
    </row>
    <row r="2581" spans="1:11" ht="16" x14ac:dyDescent="0.2">
      <c r="A2581" s="16">
        <v>45619</v>
      </c>
      <c r="B2581" t="s">
        <v>29</v>
      </c>
      <c r="C2581" t="s">
        <v>19</v>
      </c>
      <c r="D2581" t="s">
        <v>20</v>
      </c>
      <c r="E2581" t="s">
        <v>7641</v>
      </c>
      <c r="F2581">
        <v>2</v>
      </c>
      <c r="G2581" s="15">
        <v>2710000</v>
      </c>
      <c r="H2581" s="14">
        <v>0.13075929750140999</v>
      </c>
      <c r="I2581" s="27">
        <f t="shared" si="40"/>
        <v>2355642.3037711792</v>
      </c>
      <c r="J2581">
        <v>4.5</v>
      </c>
      <c r="K2581" t="b">
        <v>1</v>
      </c>
    </row>
    <row r="2582" spans="1:11" ht="16" x14ac:dyDescent="0.2">
      <c r="A2582" s="16">
        <v>45619</v>
      </c>
      <c r="B2582" t="s">
        <v>45</v>
      </c>
      <c r="C2582" t="s">
        <v>34</v>
      </c>
      <c r="D2582" t="s">
        <v>20</v>
      </c>
      <c r="E2582" t="s">
        <v>7637</v>
      </c>
      <c r="F2582">
        <v>1</v>
      </c>
      <c r="G2582" s="15">
        <v>2710000</v>
      </c>
      <c r="H2582" s="14">
        <v>0.13075929750140999</v>
      </c>
      <c r="I2582" s="27">
        <f t="shared" si="40"/>
        <v>2355642.3037711792</v>
      </c>
      <c r="J2582">
        <v>4.5</v>
      </c>
      <c r="K2582" t="b">
        <v>1</v>
      </c>
    </row>
    <row r="2583" spans="1:11" ht="16" x14ac:dyDescent="0.2">
      <c r="A2583" s="16">
        <v>45619</v>
      </c>
      <c r="B2583" t="s">
        <v>45</v>
      </c>
      <c r="C2583" t="s">
        <v>34</v>
      </c>
      <c r="D2583" t="s">
        <v>50</v>
      </c>
      <c r="E2583" t="s">
        <v>57</v>
      </c>
      <c r="F2583">
        <v>1</v>
      </c>
      <c r="G2583" s="15">
        <v>2710000</v>
      </c>
      <c r="H2583" s="14">
        <v>0.13075929750140999</v>
      </c>
      <c r="I2583" s="27">
        <f t="shared" si="40"/>
        <v>2355642.3037711792</v>
      </c>
      <c r="J2583">
        <v>4.3</v>
      </c>
      <c r="K2583" t="b">
        <v>1</v>
      </c>
    </row>
    <row r="2584" spans="1:11" ht="16" x14ac:dyDescent="0.2">
      <c r="A2584" s="16">
        <v>45619</v>
      </c>
      <c r="B2584" t="s">
        <v>45</v>
      </c>
      <c r="C2584" t="s">
        <v>25</v>
      </c>
      <c r="D2584" t="s">
        <v>20</v>
      </c>
      <c r="E2584" t="s">
        <v>7641</v>
      </c>
      <c r="F2584">
        <v>1</v>
      </c>
      <c r="G2584" s="15">
        <v>2710000</v>
      </c>
      <c r="H2584" s="14">
        <v>0.13075929750140999</v>
      </c>
      <c r="I2584" s="27">
        <f t="shared" si="40"/>
        <v>2355642.3037711792</v>
      </c>
      <c r="J2584">
        <v>4.3</v>
      </c>
      <c r="K2584" t="b">
        <v>1</v>
      </c>
    </row>
    <row r="2585" spans="1:11" ht="16" x14ac:dyDescent="0.2">
      <c r="A2585" s="16">
        <v>45620</v>
      </c>
      <c r="B2585" t="s">
        <v>29</v>
      </c>
      <c r="C2585" t="s">
        <v>39</v>
      </c>
      <c r="D2585" t="s">
        <v>20</v>
      </c>
      <c r="E2585" t="s">
        <v>7639</v>
      </c>
      <c r="F2585">
        <v>1</v>
      </c>
      <c r="G2585" s="15">
        <v>2710000</v>
      </c>
      <c r="H2585" s="14">
        <v>0.13075929750140999</v>
      </c>
      <c r="I2585" s="27">
        <f t="shared" si="40"/>
        <v>2355642.3037711792</v>
      </c>
      <c r="J2585">
        <v>4.7</v>
      </c>
      <c r="K2585" t="b">
        <v>1</v>
      </c>
    </row>
    <row r="2586" spans="1:11" ht="16" x14ac:dyDescent="0.2">
      <c r="A2586" s="16">
        <v>45620</v>
      </c>
      <c r="B2586" t="str">
        <f>B2585</f>
        <v>Corporate</v>
      </c>
      <c r="C2586" t="s">
        <v>34</v>
      </c>
      <c r="D2586" t="s">
        <v>20</v>
      </c>
      <c r="E2586" t="s">
        <v>7644</v>
      </c>
      <c r="F2586">
        <v>1</v>
      </c>
      <c r="G2586" s="15">
        <v>2710000</v>
      </c>
      <c r="H2586" s="14">
        <v>0.13075929750140999</v>
      </c>
      <c r="I2586" s="27">
        <f t="shared" si="40"/>
        <v>2355642.3037711792</v>
      </c>
      <c r="J2586">
        <v>4.3</v>
      </c>
      <c r="K2586" t="b">
        <v>1</v>
      </c>
    </row>
    <row r="2587" spans="1:11" ht="16" x14ac:dyDescent="0.2">
      <c r="A2587" s="16">
        <v>45620</v>
      </c>
      <c r="B2587" t="s">
        <v>18</v>
      </c>
      <c r="C2587" t="s">
        <v>19</v>
      </c>
      <c r="D2587" t="s">
        <v>35</v>
      </c>
      <c r="E2587" t="s">
        <v>7640</v>
      </c>
      <c r="F2587">
        <v>2</v>
      </c>
      <c r="G2587" s="15">
        <v>2710000</v>
      </c>
      <c r="H2587" s="14">
        <v>0.13075929750140999</v>
      </c>
      <c r="I2587" s="27">
        <f t="shared" si="40"/>
        <v>2355642.3037711792</v>
      </c>
      <c r="J2587">
        <v>4.0999999999999996</v>
      </c>
      <c r="K2587" t="b">
        <v>1</v>
      </c>
    </row>
    <row r="2588" spans="1:11" ht="16" x14ac:dyDescent="0.2">
      <c r="A2588" s="16">
        <v>45620</v>
      </c>
      <c r="B2588" t="s">
        <v>45</v>
      </c>
      <c r="C2588" t="s">
        <v>25</v>
      </c>
      <c r="D2588" t="s">
        <v>50</v>
      </c>
      <c r="E2588" t="str">
        <f>E2587</f>
        <v>Hội An</v>
      </c>
      <c r="F2588">
        <v>2</v>
      </c>
      <c r="G2588" s="15">
        <v>2710000</v>
      </c>
      <c r="H2588" s="14">
        <v>0.13075929750140999</v>
      </c>
      <c r="I2588" s="27">
        <f t="shared" si="40"/>
        <v>2355642.3037711792</v>
      </c>
      <c r="J2588">
        <v>4.2</v>
      </c>
      <c r="K2588" t="b">
        <v>1</v>
      </c>
    </row>
    <row r="2589" spans="1:11" ht="16" x14ac:dyDescent="0.2">
      <c r="A2589" s="16">
        <v>45621</v>
      </c>
      <c r="B2589" t="s">
        <v>18</v>
      </c>
      <c r="C2589" t="s">
        <v>45</v>
      </c>
      <c r="D2589" t="s">
        <v>20</v>
      </c>
      <c r="E2589" t="s">
        <v>7639</v>
      </c>
      <c r="F2589">
        <v>2</v>
      </c>
      <c r="G2589" s="15">
        <v>2710000</v>
      </c>
      <c r="H2589" s="14">
        <v>0.13075929750140999</v>
      </c>
      <c r="I2589" s="27">
        <f t="shared" si="40"/>
        <v>2355642.3037711792</v>
      </c>
      <c r="J2589">
        <v>4.5999999999999996</v>
      </c>
      <c r="K2589" t="b">
        <v>0</v>
      </c>
    </row>
    <row r="2590" spans="1:11" ht="16" x14ac:dyDescent="0.2">
      <c r="A2590" s="16">
        <v>45621</v>
      </c>
      <c r="B2590" t="s">
        <v>18</v>
      </c>
      <c r="C2590" t="s">
        <v>68</v>
      </c>
      <c r="D2590" t="s">
        <v>20</v>
      </c>
      <c r="E2590" t="s">
        <v>7641</v>
      </c>
      <c r="F2590">
        <v>1</v>
      </c>
      <c r="G2590" s="15">
        <v>2710000</v>
      </c>
      <c r="H2590" s="14">
        <v>0.13075929750140999</v>
      </c>
      <c r="I2590" s="27">
        <f t="shared" si="40"/>
        <v>2355642.3037711792</v>
      </c>
      <c r="J2590">
        <v>4.3</v>
      </c>
      <c r="K2590" t="b">
        <v>1</v>
      </c>
    </row>
    <row r="2591" spans="1:11" ht="16" x14ac:dyDescent="0.2">
      <c r="A2591" s="16">
        <v>45621</v>
      </c>
      <c r="B2591" t="s">
        <v>33</v>
      </c>
      <c r="C2591" t="s">
        <v>25</v>
      </c>
      <c r="D2591" t="s">
        <v>50</v>
      </c>
      <c r="E2591" t="s">
        <v>7641</v>
      </c>
      <c r="F2591">
        <v>1</v>
      </c>
      <c r="G2591" s="15">
        <v>2710000</v>
      </c>
      <c r="H2591" s="14">
        <v>0.13075929750140999</v>
      </c>
      <c r="I2591" s="27">
        <f t="shared" si="40"/>
        <v>2355642.3037711792</v>
      </c>
      <c r="J2591">
        <v>4.5</v>
      </c>
      <c r="K2591" t="b">
        <v>0</v>
      </c>
    </row>
    <row r="2592" spans="1:11" ht="16" x14ac:dyDescent="0.2">
      <c r="A2592" s="16">
        <v>45622</v>
      </c>
      <c r="B2592" t="s">
        <v>29</v>
      </c>
      <c r="C2592" t="s">
        <v>39</v>
      </c>
      <c r="D2592" t="s">
        <v>35</v>
      </c>
      <c r="E2592" t="s">
        <v>57</v>
      </c>
      <c r="F2592">
        <v>1</v>
      </c>
      <c r="G2592" s="15">
        <v>2710000</v>
      </c>
      <c r="H2592" s="14">
        <v>0.13075929750140999</v>
      </c>
      <c r="I2592" s="27">
        <f t="shared" si="40"/>
        <v>2355642.3037711792</v>
      </c>
      <c r="J2592">
        <v>3.8</v>
      </c>
      <c r="K2592" t="b">
        <v>0</v>
      </c>
    </row>
    <row r="2593" spans="1:11" ht="16" x14ac:dyDescent="0.2">
      <c r="A2593" s="16">
        <v>45622</v>
      </c>
      <c r="B2593" t="s">
        <v>29</v>
      </c>
      <c r="C2593" t="s">
        <v>39</v>
      </c>
      <c r="D2593" t="s">
        <v>50</v>
      </c>
      <c r="E2593" t="str">
        <f>E2592</f>
        <v>Nha Trang</v>
      </c>
      <c r="F2593">
        <v>2</v>
      </c>
      <c r="G2593" s="15">
        <v>2710000</v>
      </c>
      <c r="H2593" s="14">
        <v>0.13075929750140999</v>
      </c>
      <c r="I2593" s="27">
        <f t="shared" si="40"/>
        <v>2355642.3037711792</v>
      </c>
      <c r="J2593">
        <v>4.2</v>
      </c>
      <c r="K2593" t="b">
        <v>1</v>
      </c>
    </row>
    <row r="2594" spans="1:11" ht="16" x14ac:dyDescent="0.2">
      <c r="A2594" s="16">
        <v>45622</v>
      </c>
      <c r="B2594" t="s">
        <v>29</v>
      </c>
      <c r="C2594" t="s">
        <v>34</v>
      </c>
      <c r="D2594" t="s">
        <v>35</v>
      </c>
      <c r="E2594" t="s">
        <v>7637</v>
      </c>
      <c r="F2594">
        <v>1</v>
      </c>
      <c r="G2594" s="15">
        <v>2710000</v>
      </c>
      <c r="H2594" s="14">
        <v>0.13075929750140999</v>
      </c>
      <c r="I2594" s="27">
        <f t="shared" si="40"/>
        <v>2355642.3037711792</v>
      </c>
      <c r="J2594">
        <v>4.5999999999999996</v>
      </c>
      <c r="K2594" t="b">
        <v>0</v>
      </c>
    </row>
    <row r="2595" spans="1:11" ht="16" x14ac:dyDescent="0.2">
      <c r="A2595" s="16">
        <v>45623</v>
      </c>
      <c r="B2595" t="s">
        <v>33</v>
      </c>
      <c r="C2595" t="s">
        <v>34</v>
      </c>
      <c r="D2595" t="s">
        <v>20</v>
      </c>
      <c r="E2595" t="s">
        <v>57</v>
      </c>
      <c r="F2595">
        <v>1</v>
      </c>
      <c r="G2595" s="15">
        <v>2710000</v>
      </c>
      <c r="H2595" s="14">
        <v>0.13075929750140999</v>
      </c>
      <c r="I2595" s="27">
        <f t="shared" si="40"/>
        <v>2355642.3037711792</v>
      </c>
      <c r="J2595">
        <v>3.8</v>
      </c>
      <c r="K2595" t="b">
        <v>1</v>
      </c>
    </row>
    <row r="2596" spans="1:11" ht="16" x14ac:dyDescent="0.2">
      <c r="A2596" s="16">
        <v>45624</v>
      </c>
      <c r="B2596" t="s">
        <v>33</v>
      </c>
      <c r="C2596" t="s">
        <v>25</v>
      </c>
      <c r="D2596" t="s">
        <v>35</v>
      </c>
      <c r="E2596" t="s">
        <v>7639</v>
      </c>
      <c r="F2596">
        <v>1</v>
      </c>
      <c r="G2596" s="15">
        <v>2710000</v>
      </c>
      <c r="H2596" s="14">
        <v>0.13075929750140999</v>
      </c>
      <c r="I2596" s="27">
        <f t="shared" si="40"/>
        <v>2355642.3037711792</v>
      </c>
      <c r="J2596">
        <v>4</v>
      </c>
      <c r="K2596" t="b">
        <v>1</v>
      </c>
    </row>
    <row r="2597" spans="1:11" ht="16" x14ac:dyDescent="0.2">
      <c r="A2597" s="16">
        <v>45624</v>
      </c>
      <c r="B2597" t="s">
        <v>18</v>
      </c>
      <c r="C2597" t="s">
        <v>39</v>
      </c>
      <c r="D2597" t="s">
        <v>20</v>
      </c>
      <c r="E2597" t="s">
        <v>7640</v>
      </c>
      <c r="F2597">
        <v>4</v>
      </c>
      <c r="G2597" s="15">
        <v>2710000</v>
      </c>
      <c r="H2597" s="14">
        <v>0.13075929750140999</v>
      </c>
      <c r="I2597" s="27">
        <f t="shared" si="40"/>
        <v>2355642.3037711792</v>
      </c>
      <c r="J2597">
        <v>4.4000000000000004</v>
      </c>
      <c r="K2597" t="b">
        <v>1</v>
      </c>
    </row>
    <row r="2598" spans="1:11" ht="16" x14ac:dyDescent="0.2">
      <c r="A2598" s="16">
        <v>45624</v>
      </c>
      <c r="B2598" t="s">
        <v>18</v>
      </c>
      <c r="C2598" t="s">
        <v>45</v>
      </c>
      <c r="D2598" t="s">
        <v>20</v>
      </c>
      <c r="E2598" t="s">
        <v>57</v>
      </c>
      <c r="F2598">
        <v>3</v>
      </c>
      <c r="G2598" s="15">
        <v>2710000</v>
      </c>
      <c r="H2598" s="14">
        <v>0.13075929750140999</v>
      </c>
      <c r="I2598" s="27">
        <f t="shared" si="40"/>
        <v>2355642.3037711792</v>
      </c>
      <c r="J2598">
        <v>4</v>
      </c>
      <c r="K2598" t="b">
        <v>1</v>
      </c>
    </row>
    <row r="2599" spans="1:11" ht="16" x14ac:dyDescent="0.2">
      <c r="A2599" s="16">
        <v>45624</v>
      </c>
      <c r="B2599" t="s">
        <v>45</v>
      </c>
      <c r="C2599" t="s">
        <v>34</v>
      </c>
      <c r="D2599" t="s">
        <v>20</v>
      </c>
      <c r="E2599" t="s">
        <v>7639</v>
      </c>
      <c r="F2599">
        <v>4</v>
      </c>
      <c r="G2599" s="15">
        <v>2710000</v>
      </c>
      <c r="H2599" s="14">
        <v>0.13075929750140999</v>
      </c>
      <c r="I2599" s="27">
        <f t="shared" si="40"/>
        <v>2355642.3037711792</v>
      </c>
      <c r="J2599">
        <v>4.3</v>
      </c>
      <c r="K2599" t="b">
        <v>1</v>
      </c>
    </row>
    <row r="2600" spans="1:11" ht="16" x14ac:dyDescent="0.2">
      <c r="A2600" s="16">
        <v>45624</v>
      </c>
      <c r="B2600" t="s">
        <v>45</v>
      </c>
      <c r="C2600" t="s">
        <v>68</v>
      </c>
      <c r="D2600" t="s">
        <v>46</v>
      </c>
      <c r="E2600" t="s">
        <v>7643</v>
      </c>
      <c r="F2600">
        <v>1</v>
      </c>
      <c r="G2600" s="15">
        <v>2710000</v>
      </c>
      <c r="H2600" s="14">
        <v>0.13075929750140999</v>
      </c>
      <c r="I2600" s="27">
        <f t="shared" si="40"/>
        <v>2355642.3037711792</v>
      </c>
      <c r="J2600">
        <v>4.7</v>
      </c>
      <c r="K2600" t="b">
        <v>1</v>
      </c>
    </row>
    <row r="2601" spans="1:11" ht="16" x14ac:dyDescent="0.2">
      <c r="A2601" s="16">
        <v>45624</v>
      </c>
      <c r="B2601" t="s">
        <v>33</v>
      </c>
      <c r="C2601" t="s">
        <v>68</v>
      </c>
      <c r="D2601" t="s">
        <v>20</v>
      </c>
      <c r="E2601" t="s">
        <v>7641</v>
      </c>
      <c r="F2601">
        <v>1</v>
      </c>
      <c r="G2601" s="15">
        <v>2710000</v>
      </c>
      <c r="H2601" s="14">
        <v>0.13075929750140999</v>
      </c>
      <c r="I2601" s="27">
        <f t="shared" si="40"/>
        <v>2355642.3037711792</v>
      </c>
      <c r="J2601">
        <v>4.5999999999999996</v>
      </c>
      <c r="K2601" t="b">
        <v>1</v>
      </c>
    </row>
    <row r="2602" spans="1:11" ht="16" x14ac:dyDescent="0.2">
      <c r="A2602" s="16">
        <v>45624</v>
      </c>
      <c r="B2602" t="s">
        <v>33</v>
      </c>
      <c r="C2602" t="s">
        <v>25</v>
      </c>
      <c r="D2602" t="s">
        <v>35</v>
      </c>
      <c r="E2602" t="s">
        <v>7637</v>
      </c>
      <c r="F2602">
        <v>1</v>
      </c>
      <c r="G2602" s="15">
        <v>2710000</v>
      </c>
      <c r="H2602" s="14">
        <v>0.13075929750140999</v>
      </c>
      <c r="I2602" s="27">
        <f t="shared" si="40"/>
        <v>2355642.3037711792</v>
      </c>
      <c r="J2602">
        <v>4.4000000000000004</v>
      </c>
      <c r="K2602" t="b">
        <v>0</v>
      </c>
    </row>
    <row r="2603" spans="1:11" ht="16" x14ac:dyDescent="0.2">
      <c r="A2603" s="16">
        <v>45625</v>
      </c>
      <c r="B2603" t="s">
        <v>18</v>
      </c>
      <c r="C2603" t="s">
        <v>25</v>
      </c>
      <c r="D2603" t="s">
        <v>20</v>
      </c>
      <c r="E2603" t="s">
        <v>7640</v>
      </c>
      <c r="F2603">
        <v>2</v>
      </c>
      <c r="G2603" s="15">
        <v>2710000</v>
      </c>
      <c r="H2603" s="14">
        <v>0.13075929750140999</v>
      </c>
      <c r="I2603" s="27">
        <f t="shared" si="40"/>
        <v>2355642.3037711792</v>
      </c>
      <c r="J2603">
        <v>4.0999999999999996</v>
      </c>
      <c r="K2603" t="b">
        <v>1</v>
      </c>
    </row>
    <row r="2604" spans="1:11" ht="16" x14ac:dyDescent="0.2">
      <c r="A2604" s="16">
        <v>45625</v>
      </c>
      <c r="B2604" t="s">
        <v>45</v>
      </c>
      <c r="C2604" t="s">
        <v>34</v>
      </c>
      <c r="D2604" t="s">
        <v>20</v>
      </c>
      <c r="E2604" t="s">
        <v>7639</v>
      </c>
      <c r="F2604">
        <v>1</v>
      </c>
      <c r="G2604" s="15">
        <v>2710000</v>
      </c>
      <c r="H2604" s="14">
        <v>0.13075929750140999</v>
      </c>
      <c r="I2604" s="27">
        <f t="shared" si="40"/>
        <v>2355642.3037711792</v>
      </c>
      <c r="J2604">
        <v>4.5</v>
      </c>
      <c r="K2604" t="b">
        <v>0</v>
      </c>
    </row>
    <row r="2605" spans="1:11" ht="16" x14ac:dyDescent="0.2">
      <c r="A2605" s="16">
        <v>45625</v>
      </c>
      <c r="B2605" t="s">
        <v>18</v>
      </c>
      <c r="C2605" t="s">
        <v>19</v>
      </c>
      <c r="D2605" t="s">
        <v>20</v>
      </c>
      <c r="E2605" t="s">
        <v>7637</v>
      </c>
      <c r="F2605">
        <v>2</v>
      </c>
      <c r="G2605" s="15">
        <v>2710000</v>
      </c>
      <c r="H2605" s="14">
        <v>0.13075929750140999</v>
      </c>
      <c r="I2605" s="27">
        <f t="shared" si="40"/>
        <v>2355642.3037711792</v>
      </c>
      <c r="J2605">
        <v>4</v>
      </c>
      <c r="K2605" t="b">
        <v>1</v>
      </c>
    </row>
    <row r="2606" spans="1:11" ht="16" x14ac:dyDescent="0.2">
      <c r="A2606" s="16">
        <v>45625</v>
      </c>
      <c r="B2606" t="s">
        <v>29</v>
      </c>
      <c r="C2606" t="s">
        <v>19</v>
      </c>
      <c r="D2606" t="s">
        <v>20</v>
      </c>
      <c r="E2606" t="s">
        <v>7637</v>
      </c>
      <c r="F2606">
        <v>1</v>
      </c>
      <c r="G2606" s="15">
        <v>2710000</v>
      </c>
      <c r="H2606" s="14">
        <v>0.13075929750140999</v>
      </c>
      <c r="I2606" s="27">
        <f t="shared" si="40"/>
        <v>2355642.3037711792</v>
      </c>
      <c r="J2606">
        <v>3.6</v>
      </c>
      <c r="K2606" t="b">
        <v>0</v>
      </c>
    </row>
    <row r="2607" spans="1:11" ht="16" x14ac:dyDescent="0.2">
      <c r="A2607" s="16">
        <v>45625</v>
      </c>
      <c r="B2607" t="str">
        <f>B2606</f>
        <v>Corporate</v>
      </c>
      <c r="C2607" t="s">
        <v>25</v>
      </c>
      <c r="D2607" t="str">
        <f>D2606</f>
        <v>Website</v>
      </c>
      <c r="E2607" t="s">
        <v>7637</v>
      </c>
      <c r="F2607">
        <v>4</v>
      </c>
      <c r="G2607" s="15">
        <v>2710000</v>
      </c>
      <c r="H2607" s="14">
        <v>0.13075929750140999</v>
      </c>
      <c r="I2607" s="27">
        <f t="shared" si="40"/>
        <v>2355642.3037711792</v>
      </c>
      <c r="J2607">
        <v>5</v>
      </c>
      <c r="K2607" t="b">
        <v>1</v>
      </c>
    </row>
    <row r="2608" spans="1:11" ht="16" x14ac:dyDescent="0.2">
      <c r="A2608" s="16">
        <v>45626</v>
      </c>
      <c r="B2608" t="s">
        <v>33</v>
      </c>
      <c r="C2608" t="s">
        <v>34</v>
      </c>
      <c r="D2608" t="s">
        <v>35</v>
      </c>
      <c r="E2608" t="s">
        <v>7640</v>
      </c>
      <c r="F2608">
        <v>1</v>
      </c>
      <c r="G2608" s="15">
        <v>2710000</v>
      </c>
      <c r="H2608" s="14">
        <v>0.13075929750140999</v>
      </c>
      <c r="I2608" s="27">
        <f t="shared" si="40"/>
        <v>2355642.3037711792</v>
      </c>
      <c r="J2608">
        <v>4.9000000000000004</v>
      </c>
      <c r="K2608" t="b">
        <v>0</v>
      </c>
    </row>
    <row r="2609" spans="1:11" ht="16" x14ac:dyDescent="0.2">
      <c r="A2609" s="16">
        <v>45626</v>
      </c>
      <c r="B2609" t="s">
        <v>33</v>
      </c>
      <c r="C2609" t="s">
        <v>25</v>
      </c>
      <c r="D2609" t="s">
        <v>20</v>
      </c>
      <c r="E2609" t="s">
        <v>99</v>
      </c>
      <c r="F2609">
        <v>1</v>
      </c>
      <c r="G2609" s="15">
        <v>2710000</v>
      </c>
      <c r="H2609" s="14">
        <v>0.13075929750140999</v>
      </c>
      <c r="I2609" s="27">
        <f t="shared" si="40"/>
        <v>2355642.3037711792</v>
      </c>
      <c r="J2609">
        <v>4.5</v>
      </c>
      <c r="K2609" t="b">
        <v>1</v>
      </c>
    </row>
    <row r="2610" spans="1:11" ht="16" x14ac:dyDescent="0.2">
      <c r="A2610" s="16">
        <v>45626</v>
      </c>
      <c r="B2610" t="s">
        <v>18</v>
      </c>
      <c r="C2610" t="s">
        <v>25</v>
      </c>
      <c r="D2610" t="s">
        <v>50</v>
      </c>
      <c r="E2610" t="s">
        <v>57</v>
      </c>
      <c r="F2610">
        <v>2</v>
      </c>
      <c r="G2610" s="15">
        <v>2710000</v>
      </c>
      <c r="H2610" s="14">
        <v>0.13075929750140999</v>
      </c>
      <c r="I2610" s="27">
        <f t="shared" si="40"/>
        <v>2355642.3037711792</v>
      </c>
      <c r="J2610">
        <v>4.0999999999999996</v>
      </c>
      <c r="K2610" t="b">
        <v>1</v>
      </c>
    </row>
    <row r="2611" spans="1:11" ht="16" x14ac:dyDescent="0.2">
      <c r="A2611" s="16">
        <v>45626</v>
      </c>
      <c r="B2611" t="str">
        <f>B2610</f>
        <v>Young Professional</v>
      </c>
      <c r="C2611" t="s">
        <v>19</v>
      </c>
      <c r="D2611" t="s">
        <v>50</v>
      </c>
      <c r="E2611" t="s">
        <v>7639</v>
      </c>
      <c r="F2611">
        <v>2</v>
      </c>
      <c r="G2611" s="15">
        <v>2710000</v>
      </c>
      <c r="H2611" s="14">
        <v>0.13075929750140999</v>
      </c>
      <c r="I2611" s="27">
        <f t="shared" si="40"/>
        <v>2355642.3037711792</v>
      </c>
      <c r="J2611">
        <v>4.4000000000000004</v>
      </c>
      <c r="K2611" t="b">
        <v>1</v>
      </c>
    </row>
    <row r="2612" spans="1:11" ht="16" x14ac:dyDescent="0.2">
      <c r="A2612" s="16">
        <v>45626</v>
      </c>
      <c r="B2612" t="s">
        <v>29</v>
      </c>
      <c r="C2612" t="s">
        <v>19</v>
      </c>
      <c r="D2612" t="s">
        <v>20</v>
      </c>
      <c r="E2612" t="s">
        <v>7641</v>
      </c>
      <c r="F2612">
        <v>1</v>
      </c>
      <c r="G2612" s="15">
        <v>2710000</v>
      </c>
      <c r="H2612" s="14">
        <v>0.13075929750140999</v>
      </c>
      <c r="I2612" s="27">
        <f t="shared" si="40"/>
        <v>2355642.3037711792</v>
      </c>
      <c r="J2612">
        <v>3.9</v>
      </c>
      <c r="K2612" t="b">
        <v>1</v>
      </c>
    </row>
    <row r="2613" spans="1:11" ht="16" x14ac:dyDescent="0.2">
      <c r="A2613" s="16">
        <v>45627</v>
      </c>
      <c r="B2613" t="s">
        <v>18</v>
      </c>
      <c r="C2613" t="s">
        <v>19</v>
      </c>
      <c r="D2613" t="s">
        <v>20</v>
      </c>
      <c r="E2613" t="s">
        <v>7639</v>
      </c>
      <c r="F2613">
        <v>2</v>
      </c>
      <c r="G2613" s="15">
        <v>2710000</v>
      </c>
      <c r="H2613" s="14">
        <v>0.13075929750140999</v>
      </c>
      <c r="I2613" s="27">
        <f t="shared" si="40"/>
        <v>2355642.3037711792</v>
      </c>
      <c r="J2613">
        <v>2.8</v>
      </c>
      <c r="K2613" t="b">
        <v>1</v>
      </c>
    </row>
    <row r="2614" spans="1:11" ht="16" x14ac:dyDescent="0.2">
      <c r="A2614" s="16">
        <v>45627</v>
      </c>
      <c r="B2614" t="s">
        <v>33</v>
      </c>
      <c r="C2614" t="s">
        <v>45</v>
      </c>
      <c r="D2614" t="s">
        <v>50</v>
      </c>
      <c r="E2614" t="s">
        <v>7643</v>
      </c>
      <c r="F2614">
        <v>4</v>
      </c>
      <c r="G2614" s="15">
        <v>2710000</v>
      </c>
      <c r="H2614" s="14">
        <v>0.13075929750140999</v>
      </c>
      <c r="I2614" s="27">
        <f t="shared" si="40"/>
        <v>2355642.3037711792</v>
      </c>
      <c r="J2614">
        <v>4.0999999999999996</v>
      </c>
      <c r="K2614" t="b">
        <v>1</v>
      </c>
    </row>
    <row r="2615" spans="1:11" ht="16" x14ac:dyDescent="0.2">
      <c r="A2615" s="16">
        <v>45627</v>
      </c>
      <c r="B2615" t="s">
        <v>29</v>
      </c>
      <c r="C2615" t="s">
        <v>34</v>
      </c>
      <c r="D2615" t="s">
        <v>20</v>
      </c>
      <c r="E2615" t="s">
        <v>7641</v>
      </c>
      <c r="F2615">
        <v>1</v>
      </c>
      <c r="G2615" s="15">
        <v>2710000</v>
      </c>
      <c r="H2615" s="14">
        <v>0.13075929750140999</v>
      </c>
      <c r="I2615" s="27">
        <f t="shared" si="40"/>
        <v>2355642.3037711792</v>
      </c>
      <c r="J2615">
        <v>4.3</v>
      </c>
      <c r="K2615" t="b">
        <v>1</v>
      </c>
    </row>
    <row r="2616" spans="1:11" ht="16" x14ac:dyDescent="0.2">
      <c r="A2616" s="16">
        <v>45627</v>
      </c>
      <c r="B2616" t="s">
        <v>45</v>
      </c>
      <c r="C2616" t="s">
        <v>19</v>
      </c>
      <c r="D2616" t="s">
        <v>35</v>
      </c>
      <c r="E2616" t="s">
        <v>7639</v>
      </c>
      <c r="F2616">
        <v>2</v>
      </c>
      <c r="G2616" s="15">
        <v>2710000</v>
      </c>
      <c r="H2616" s="14">
        <v>0.13075929750140999</v>
      </c>
      <c r="I2616" s="27">
        <f t="shared" si="40"/>
        <v>2355642.3037711792</v>
      </c>
      <c r="J2616">
        <v>4.9000000000000004</v>
      </c>
      <c r="K2616" t="b">
        <v>1</v>
      </c>
    </row>
    <row r="2617" spans="1:11" ht="16" x14ac:dyDescent="0.2">
      <c r="A2617" s="16">
        <v>45627</v>
      </c>
      <c r="B2617" t="s">
        <v>33</v>
      </c>
      <c r="C2617" t="s">
        <v>19</v>
      </c>
      <c r="D2617" t="s">
        <v>35</v>
      </c>
      <c r="E2617" t="s">
        <v>7641</v>
      </c>
      <c r="F2617">
        <v>3</v>
      </c>
      <c r="G2617" s="15">
        <v>2710000</v>
      </c>
      <c r="H2617" s="14">
        <v>0.13075929750140999</v>
      </c>
      <c r="I2617" s="27">
        <f t="shared" si="40"/>
        <v>2355642.3037711792</v>
      </c>
      <c r="J2617">
        <v>4</v>
      </c>
      <c r="K2617" t="b">
        <v>1</v>
      </c>
    </row>
    <row r="2618" spans="1:11" ht="16" x14ac:dyDescent="0.2">
      <c r="A2618" s="16">
        <v>45627</v>
      </c>
      <c r="B2618" t="s">
        <v>45</v>
      </c>
      <c r="C2618" t="s">
        <v>39</v>
      </c>
      <c r="D2618" t="s">
        <v>20</v>
      </c>
      <c r="E2618" t="s">
        <v>99</v>
      </c>
      <c r="F2618">
        <v>2</v>
      </c>
      <c r="G2618" s="15">
        <v>2710000</v>
      </c>
      <c r="H2618" s="14">
        <v>0.13075929750140999</v>
      </c>
      <c r="I2618" s="27">
        <f t="shared" si="40"/>
        <v>2355642.3037711792</v>
      </c>
      <c r="J2618">
        <v>3.7</v>
      </c>
      <c r="K2618" t="b">
        <v>0</v>
      </c>
    </row>
    <row r="2619" spans="1:11" ht="16" x14ac:dyDescent="0.2">
      <c r="A2619" s="16">
        <v>45627</v>
      </c>
      <c r="B2619" t="s">
        <v>33</v>
      </c>
      <c r="C2619" t="s">
        <v>25</v>
      </c>
      <c r="D2619" t="s">
        <v>20</v>
      </c>
      <c r="E2619" t="s">
        <v>7641</v>
      </c>
      <c r="F2619">
        <v>1</v>
      </c>
      <c r="G2619" s="15">
        <v>2710000</v>
      </c>
      <c r="H2619" s="14">
        <v>0.13075929750140999</v>
      </c>
      <c r="I2619" s="27">
        <f t="shared" si="40"/>
        <v>2355642.3037711792</v>
      </c>
      <c r="J2619">
        <v>4.2</v>
      </c>
      <c r="K2619" t="b">
        <v>1</v>
      </c>
    </row>
    <row r="2620" spans="1:11" ht="16" x14ac:dyDescent="0.2">
      <c r="A2620" s="16">
        <v>45628</v>
      </c>
      <c r="B2620" t="s">
        <v>45</v>
      </c>
      <c r="C2620" t="s">
        <v>19</v>
      </c>
      <c r="D2620" t="s">
        <v>20</v>
      </c>
      <c r="E2620" t="s">
        <v>7641</v>
      </c>
      <c r="F2620">
        <v>1</v>
      </c>
      <c r="G2620" s="15">
        <v>2710000</v>
      </c>
      <c r="H2620" s="14">
        <v>0.13075929750140999</v>
      </c>
      <c r="I2620" s="27">
        <f t="shared" si="40"/>
        <v>2355642.3037711792</v>
      </c>
      <c r="J2620">
        <v>3.6</v>
      </c>
      <c r="K2620" t="b">
        <v>0</v>
      </c>
    </row>
    <row r="2621" spans="1:11" ht="16" x14ac:dyDescent="0.2">
      <c r="A2621" s="16">
        <v>45628</v>
      </c>
      <c r="B2621" t="s">
        <v>18</v>
      </c>
      <c r="C2621" t="s">
        <v>19</v>
      </c>
      <c r="D2621" t="s">
        <v>20</v>
      </c>
      <c r="E2621" t="s">
        <v>7639</v>
      </c>
      <c r="F2621">
        <v>1</v>
      </c>
      <c r="G2621" s="15">
        <v>2710000</v>
      </c>
      <c r="H2621" s="14">
        <v>0.13075929750140999</v>
      </c>
      <c r="I2621" s="27">
        <f t="shared" si="40"/>
        <v>2355642.3037711792</v>
      </c>
      <c r="J2621">
        <v>3.4</v>
      </c>
      <c r="K2621" t="b">
        <v>1</v>
      </c>
    </row>
    <row r="2622" spans="1:11" ht="16" x14ac:dyDescent="0.2">
      <c r="A2622" s="16">
        <v>45628</v>
      </c>
      <c r="B2622" t="s">
        <v>33</v>
      </c>
      <c r="C2622" t="s">
        <v>34</v>
      </c>
      <c r="D2622" t="s">
        <v>35</v>
      </c>
      <c r="E2622" t="s">
        <v>7637</v>
      </c>
      <c r="F2622">
        <v>1</v>
      </c>
      <c r="G2622" s="15">
        <v>2710000</v>
      </c>
      <c r="H2622" s="14">
        <v>0.13075929750140999</v>
      </c>
      <c r="I2622" s="27">
        <f t="shared" si="40"/>
        <v>2355642.3037711792</v>
      </c>
      <c r="J2622">
        <v>4.2</v>
      </c>
      <c r="K2622" t="b">
        <v>1</v>
      </c>
    </row>
    <row r="2623" spans="1:11" ht="16" x14ac:dyDescent="0.2">
      <c r="A2623" s="16">
        <v>45628</v>
      </c>
      <c r="B2623" t="s">
        <v>45</v>
      </c>
      <c r="C2623" t="s">
        <v>19</v>
      </c>
      <c r="D2623" t="s">
        <v>50</v>
      </c>
      <c r="E2623" t="s">
        <v>7641</v>
      </c>
      <c r="F2623">
        <v>1</v>
      </c>
      <c r="G2623" s="15">
        <v>2710000</v>
      </c>
      <c r="H2623" s="14">
        <v>0.13075929750140999</v>
      </c>
      <c r="I2623" s="27">
        <f t="shared" si="40"/>
        <v>2355642.3037711792</v>
      </c>
      <c r="J2623">
        <v>3.2</v>
      </c>
      <c r="K2623" t="b">
        <v>1</v>
      </c>
    </row>
    <row r="2624" spans="1:11" ht="16" x14ac:dyDescent="0.2">
      <c r="A2624" s="16">
        <v>45628</v>
      </c>
      <c r="B2624" t="s">
        <v>45</v>
      </c>
      <c r="C2624" t="s">
        <v>34</v>
      </c>
      <c r="D2624" t="s">
        <v>20</v>
      </c>
      <c r="E2624" t="str">
        <f>E2623</f>
        <v>Phú Quốc</v>
      </c>
      <c r="F2624">
        <v>2</v>
      </c>
      <c r="G2624" s="15">
        <v>2710000</v>
      </c>
      <c r="H2624" s="14">
        <v>0.13075929750140999</v>
      </c>
      <c r="I2624" s="27">
        <f t="shared" si="40"/>
        <v>2355642.3037711792</v>
      </c>
      <c r="J2624">
        <v>4.4000000000000004</v>
      </c>
      <c r="K2624" t="b">
        <v>0</v>
      </c>
    </row>
    <row r="2625" spans="1:11" ht="16" x14ac:dyDescent="0.2">
      <c r="A2625" s="16">
        <v>45629</v>
      </c>
      <c r="B2625" t="s">
        <v>18</v>
      </c>
      <c r="C2625" t="s">
        <v>39</v>
      </c>
      <c r="D2625" t="s">
        <v>20</v>
      </c>
      <c r="E2625" t="s">
        <v>7638</v>
      </c>
      <c r="F2625">
        <v>2</v>
      </c>
      <c r="G2625" s="15">
        <v>2710000</v>
      </c>
      <c r="H2625" s="14">
        <v>0.13075929750140999</v>
      </c>
      <c r="I2625" s="27">
        <f t="shared" si="40"/>
        <v>2355642.3037711792</v>
      </c>
      <c r="J2625">
        <v>4.0999999999999996</v>
      </c>
      <c r="K2625" t="b">
        <v>1</v>
      </c>
    </row>
    <row r="2626" spans="1:11" ht="16" x14ac:dyDescent="0.2">
      <c r="A2626" s="16">
        <v>45629</v>
      </c>
      <c r="B2626" t="s">
        <v>45</v>
      </c>
      <c r="C2626" t="s">
        <v>34</v>
      </c>
      <c r="D2626" t="s">
        <v>50</v>
      </c>
      <c r="E2626" t="s">
        <v>7641</v>
      </c>
      <c r="F2626">
        <v>2</v>
      </c>
      <c r="G2626" s="15">
        <v>2710000</v>
      </c>
      <c r="H2626" s="14">
        <v>0.13075929750140999</v>
      </c>
      <c r="I2626" s="27">
        <f t="shared" si="40"/>
        <v>2355642.3037711792</v>
      </c>
      <c r="J2626">
        <v>4.5</v>
      </c>
      <c r="K2626" t="b">
        <v>0</v>
      </c>
    </row>
    <row r="2627" spans="1:11" ht="16" x14ac:dyDescent="0.2">
      <c r="A2627" s="16">
        <v>45629</v>
      </c>
      <c r="B2627" t="s">
        <v>33</v>
      </c>
      <c r="C2627" t="s">
        <v>34</v>
      </c>
      <c r="D2627" t="s">
        <v>50</v>
      </c>
      <c r="E2627" t="s">
        <v>7638</v>
      </c>
      <c r="F2627">
        <v>2</v>
      </c>
      <c r="G2627" s="15">
        <v>2710000</v>
      </c>
      <c r="H2627" s="14">
        <v>0.13075929750140999</v>
      </c>
      <c r="I2627" s="27">
        <f t="shared" ref="I2627:I2690" si="41">G2627-G2627*H2627</f>
        <v>2355642.3037711792</v>
      </c>
      <c r="J2627">
        <v>4</v>
      </c>
      <c r="K2627" t="b">
        <v>1</v>
      </c>
    </row>
    <row r="2628" spans="1:11" ht="16" x14ac:dyDescent="0.2">
      <c r="A2628" s="16">
        <v>45629</v>
      </c>
      <c r="B2628" t="s">
        <v>45</v>
      </c>
      <c r="C2628" t="s">
        <v>45</v>
      </c>
      <c r="D2628" t="s">
        <v>35</v>
      </c>
      <c r="E2628" t="s">
        <v>7638</v>
      </c>
      <c r="F2628">
        <v>1</v>
      </c>
      <c r="G2628" s="15">
        <v>2710000</v>
      </c>
      <c r="H2628" s="14">
        <v>0.13075929750140999</v>
      </c>
      <c r="I2628" s="27">
        <f t="shared" si="41"/>
        <v>2355642.3037711792</v>
      </c>
      <c r="J2628">
        <v>3.8</v>
      </c>
      <c r="K2628" t="b">
        <v>0</v>
      </c>
    </row>
    <row r="2629" spans="1:11" ht="16" x14ac:dyDescent="0.2">
      <c r="A2629" s="16">
        <v>45630</v>
      </c>
      <c r="B2629" t="s">
        <v>45</v>
      </c>
      <c r="C2629" t="s">
        <v>25</v>
      </c>
      <c r="D2629" t="s">
        <v>20</v>
      </c>
      <c r="E2629" t="s">
        <v>7637</v>
      </c>
      <c r="F2629">
        <v>1</v>
      </c>
      <c r="G2629" s="15">
        <v>2710000</v>
      </c>
      <c r="H2629" s="14">
        <v>0.13075929750140999</v>
      </c>
      <c r="I2629" s="27">
        <f t="shared" si="41"/>
        <v>2355642.3037711792</v>
      </c>
      <c r="J2629">
        <v>4.5</v>
      </c>
      <c r="K2629" t="b">
        <v>1</v>
      </c>
    </row>
    <row r="2630" spans="1:11" ht="16" x14ac:dyDescent="0.2">
      <c r="A2630" s="16">
        <v>45630</v>
      </c>
      <c r="B2630" t="s">
        <v>33</v>
      </c>
      <c r="C2630" t="s">
        <v>19</v>
      </c>
      <c r="D2630" t="s">
        <v>20</v>
      </c>
      <c r="E2630" t="s">
        <v>99</v>
      </c>
      <c r="F2630">
        <v>1</v>
      </c>
      <c r="G2630" s="15">
        <v>2710000</v>
      </c>
      <c r="H2630" s="14">
        <v>0.13075929750140999</v>
      </c>
      <c r="I2630" s="27">
        <f t="shared" si="41"/>
        <v>2355642.3037711792</v>
      </c>
      <c r="J2630">
        <v>4.5</v>
      </c>
      <c r="K2630" t="b">
        <v>0</v>
      </c>
    </row>
    <row r="2631" spans="1:11" ht="16" x14ac:dyDescent="0.2">
      <c r="A2631" s="16">
        <v>45631</v>
      </c>
      <c r="B2631" t="s">
        <v>33</v>
      </c>
      <c r="C2631" t="s">
        <v>19</v>
      </c>
      <c r="D2631" t="s">
        <v>20</v>
      </c>
      <c r="E2631" t="s">
        <v>7640</v>
      </c>
      <c r="F2631">
        <v>2</v>
      </c>
      <c r="G2631" s="15">
        <v>2710000</v>
      </c>
      <c r="H2631" s="14">
        <v>0.13075929750140999</v>
      </c>
      <c r="I2631" s="27">
        <f t="shared" si="41"/>
        <v>2355642.3037711792</v>
      </c>
      <c r="J2631">
        <v>3.9</v>
      </c>
      <c r="K2631" t="b">
        <v>1</v>
      </c>
    </row>
    <row r="2632" spans="1:11" ht="16" x14ac:dyDescent="0.2">
      <c r="A2632" s="16">
        <v>45631</v>
      </c>
      <c r="B2632" t="s">
        <v>18</v>
      </c>
      <c r="C2632" t="s">
        <v>68</v>
      </c>
      <c r="D2632" t="s">
        <v>50</v>
      </c>
      <c r="E2632" t="s">
        <v>7639</v>
      </c>
      <c r="F2632">
        <v>3</v>
      </c>
      <c r="G2632" s="15">
        <v>2710000</v>
      </c>
      <c r="H2632" s="14">
        <v>0.13075929750140999</v>
      </c>
      <c r="I2632" s="27">
        <f t="shared" si="41"/>
        <v>2355642.3037711792</v>
      </c>
      <c r="J2632">
        <v>4.5</v>
      </c>
      <c r="K2632" t="b">
        <v>1</v>
      </c>
    </row>
    <row r="2633" spans="1:11" ht="16" x14ac:dyDescent="0.2">
      <c r="A2633" s="16">
        <v>45632</v>
      </c>
      <c r="B2633" t="s">
        <v>45</v>
      </c>
      <c r="C2633" t="s">
        <v>34</v>
      </c>
      <c r="D2633" t="s">
        <v>35</v>
      </c>
      <c r="E2633" t="s">
        <v>7637</v>
      </c>
      <c r="F2633">
        <v>1</v>
      </c>
      <c r="G2633" s="15">
        <v>2710000</v>
      </c>
      <c r="H2633" s="14">
        <v>0.13075929750140999</v>
      </c>
      <c r="I2633" s="27">
        <f t="shared" si="41"/>
        <v>2355642.3037711792</v>
      </c>
      <c r="J2633">
        <v>3.2</v>
      </c>
      <c r="K2633" t="b">
        <v>0</v>
      </c>
    </row>
    <row r="2634" spans="1:11" ht="16" x14ac:dyDescent="0.2">
      <c r="A2634" s="16">
        <v>45632</v>
      </c>
      <c r="B2634" t="s">
        <v>29</v>
      </c>
      <c r="C2634" t="s">
        <v>19</v>
      </c>
      <c r="D2634" t="s">
        <v>35</v>
      </c>
      <c r="E2634" t="s">
        <v>7643</v>
      </c>
      <c r="F2634">
        <v>1</v>
      </c>
      <c r="G2634" s="15">
        <v>2710000</v>
      </c>
      <c r="H2634" s="14">
        <v>0.13075929750140999</v>
      </c>
      <c r="I2634" s="27">
        <f t="shared" si="41"/>
        <v>2355642.3037711792</v>
      </c>
      <c r="J2634">
        <v>4.2</v>
      </c>
      <c r="K2634" t="b">
        <v>1</v>
      </c>
    </row>
    <row r="2635" spans="1:11" ht="16" x14ac:dyDescent="0.2">
      <c r="A2635" s="16">
        <v>45632</v>
      </c>
      <c r="B2635" t="s">
        <v>18</v>
      </c>
      <c r="C2635" t="s">
        <v>45</v>
      </c>
      <c r="D2635" t="s">
        <v>35</v>
      </c>
      <c r="E2635" t="s">
        <v>7637</v>
      </c>
      <c r="F2635">
        <v>2</v>
      </c>
      <c r="G2635" s="15">
        <v>2710000</v>
      </c>
      <c r="H2635" s="14">
        <v>0.13075929750140999</v>
      </c>
      <c r="I2635" s="27">
        <f t="shared" si="41"/>
        <v>2355642.3037711792</v>
      </c>
      <c r="J2635">
        <v>4.4000000000000004</v>
      </c>
      <c r="K2635" t="b">
        <v>0</v>
      </c>
    </row>
    <row r="2636" spans="1:11" ht="16" x14ac:dyDescent="0.2">
      <c r="A2636" s="16">
        <v>45632</v>
      </c>
      <c r="B2636" t="s">
        <v>18</v>
      </c>
      <c r="C2636" t="s">
        <v>39</v>
      </c>
      <c r="D2636" t="s">
        <v>35</v>
      </c>
      <c r="E2636" t="s">
        <v>99</v>
      </c>
      <c r="F2636">
        <v>1</v>
      </c>
      <c r="G2636" s="15">
        <v>2710000</v>
      </c>
      <c r="H2636" s="14">
        <v>0.13075929750140999</v>
      </c>
      <c r="I2636" s="27">
        <f t="shared" si="41"/>
        <v>2355642.3037711792</v>
      </c>
      <c r="J2636">
        <v>4.3</v>
      </c>
      <c r="K2636" t="b">
        <v>1</v>
      </c>
    </row>
    <row r="2637" spans="1:11" ht="16" x14ac:dyDescent="0.2">
      <c r="A2637" s="16">
        <v>45632</v>
      </c>
      <c r="B2637" t="s">
        <v>29</v>
      </c>
      <c r="C2637" t="s">
        <v>45</v>
      </c>
      <c r="D2637" t="s">
        <v>35</v>
      </c>
      <c r="E2637" t="s">
        <v>7642</v>
      </c>
      <c r="F2637">
        <v>1</v>
      </c>
      <c r="G2637" s="15">
        <v>2710000</v>
      </c>
      <c r="H2637" s="14">
        <v>0.13075929750140999</v>
      </c>
      <c r="I2637" s="27">
        <f t="shared" si="41"/>
        <v>2355642.3037711792</v>
      </c>
      <c r="J2637">
        <v>4.2</v>
      </c>
      <c r="K2637" t="b">
        <v>0</v>
      </c>
    </row>
    <row r="2638" spans="1:11" ht="16" x14ac:dyDescent="0.2">
      <c r="A2638" s="16">
        <v>45633</v>
      </c>
      <c r="B2638" t="s">
        <v>29</v>
      </c>
      <c r="C2638" t="s">
        <v>25</v>
      </c>
      <c r="D2638" t="s">
        <v>50</v>
      </c>
      <c r="E2638" t="s">
        <v>57</v>
      </c>
      <c r="F2638">
        <v>1</v>
      </c>
      <c r="G2638" s="15">
        <v>2710000</v>
      </c>
      <c r="H2638" s="14">
        <v>0.13075929750140999</v>
      </c>
      <c r="I2638" s="27">
        <f t="shared" si="41"/>
        <v>2355642.3037711792</v>
      </c>
      <c r="J2638">
        <v>3.8</v>
      </c>
      <c r="K2638" t="b">
        <v>1</v>
      </c>
    </row>
    <row r="2639" spans="1:11" ht="16" x14ac:dyDescent="0.2">
      <c r="A2639" s="16">
        <v>45634</v>
      </c>
      <c r="B2639" t="s">
        <v>45</v>
      </c>
      <c r="C2639" t="s">
        <v>34</v>
      </c>
      <c r="D2639" t="s">
        <v>35</v>
      </c>
      <c r="E2639" t="s">
        <v>7640</v>
      </c>
      <c r="F2639">
        <v>3</v>
      </c>
      <c r="G2639" s="15">
        <v>2710000</v>
      </c>
      <c r="H2639" s="14">
        <v>0.13075929750140999</v>
      </c>
      <c r="I2639" s="27">
        <f t="shared" si="41"/>
        <v>2355642.3037711792</v>
      </c>
      <c r="J2639">
        <v>4.4000000000000004</v>
      </c>
      <c r="K2639" t="b">
        <v>1</v>
      </c>
    </row>
    <row r="2640" spans="1:11" ht="16" x14ac:dyDescent="0.2">
      <c r="A2640" s="16">
        <v>45634</v>
      </c>
      <c r="B2640" t="s">
        <v>29</v>
      </c>
      <c r="C2640" t="s">
        <v>19</v>
      </c>
      <c r="D2640" t="s">
        <v>20</v>
      </c>
      <c r="E2640" t="s">
        <v>57</v>
      </c>
      <c r="F2640">
        <v>5</v>
      </c>
      <c r="G2640" s="15">
        <v>2710000</v>
      </c>
      <c r="H2640" s="14">
        <v>0.13075929750140999</v>
      </c>
      <c r="I2640" s="27">
        <f t="shared" si="41"/>
        <v>2355642.3037711792</v>
      </c>
      <c r="J2640">
        <v>4.0999999999999996</v>
      </c>
      <c r="K2640" t="b">
        <v>1</v>
      </c>
    </row>
    <row r="2641" spans="1:11" ht="16" x14ac:dyDescent="0.2">
      <c r="A2641" s="16">
        <v>45634</v>
      </c>
      <c r="B2641" t="s">
        <v>18</v>
      </c>
      <c r="C2641" t="s">
        <v>45</v>
      </c>
      <c r="D2641" t="s">
        <v>50</v>
      </c>
      <c r="E2641" t="s">
        <v>7641</v>
      </c>
      <c r="F2641">
        <v>5</v>
      </c>
      <c r="G2641" s="15">
        <v>2710000</v>
      </c>
      <c r="H2641" s="14">
        <v>0.13075929750140999</v>
      </c>
      <c r="I2641" s="27">
        <f t="shared" si="41"/>
        <v>2355642.3037711792</v>
      </c>
      <c r="J2641">
        <v>4.0999999999999996</v>
      </c>
      <c r="K2641" t="b">
        <v>1</v>
      </c>
    </row>
    <row r="2642" spans="1:11" ht="16" x14ac:dyDescent="0.2">
      <c r="A2642" s="16">
        <v>45634</v>
      </c>
      <c r="B2642" t="s">
        <v>45</v>
      </c>
      <c r="C2642" t="s">
        <v>25</v>
      </c>
      <c r="D2642" t="s">
        <v>50</v>
      </c>
      <c r="E2642" t="s">
        <v>7640</v>
      </c>
      <c r="F2642">
        <v>1</v>
      </c>
      <c r="G2642" s="15">
        <v>2710000</v>
      </c>
      <c r="H2642" s="14">
        <v>0.13075929750140999</v>
      </c>
      <c r="I2642" s="27">
        <f t="shared" si="41"/>
        <v>2355642.3037711792</v>
      </c>
      <c r="J2642">
        <v>4.4000000000000004</v>
      </c>
      <c r="K2642" t="b">
        <v>0</v>
      </c>
    </row>
    <row r="2643" spans="1:11" ht="16" x14ac:dyDescent="0.2">
      <c r="A2643" s="16">
        <v>45634</v>
      </c>
      <c r="B2643" t="s">
        <v>45</v>
      </c>
      <c r="C2643" t="s">
        <v>19</v>
      </c>
      <c r="D2643" t="s">
        <v>35</v>
      </c>
      <c r="E2643" t="s">
        <v>57</v>
      </c>
      <c r="F2643">
        <v>3</v>
      </c>
      <c r="G2643" s="15">
        <v>2710000</v>
      </c>
      <c r="H2643" s="14">
        <v>0.13075929750140999</v>
      </c>
      <c r="I2643" s="27">
        <f t="shared" si="41"/>
        <v>2355642.3037711792</v>
      </c>
      <c r="J2643">
        <v>3.8</v>
      </c>
      <c r="K2643" t="b">
        <v>1</v>
      </c>
    </row>
    <row r="2644" spans="1:11" ht="16" x14ac:dyDescent="0.2">
      <c r="A2644" s="16">
        <v>45635</v>
      </c>
      <c r="B2644" t="s">
        <v>18</v>
      </c>
      <c r="C2644" t="s">
        <v>34</v>
      </c>
      <c r="D2644" t="s">
        <v>20</v>
      </c>
      <c r="E2644" t="s">
        <v>7639</v>
      </c>
      <c r="F2644">
        <v>2</v>
      </c>
      <c r="G2644" s="15">
        <v>2710000</v>
      </c>
      <c r="H2644" s="14">
        <v>0.13075929750140999</v>
      </c>
      <c r="I2644" s="27">
        <f t="shared" si="41"/>
        <v>2355642.3037711792</v>
      </c>
      <c r="J2644">
        <v>5</v>
      </c>
      <c r="K2644" t="b">
        <v>1</v>
      </c>
    </row>
    <row r="2645" spans="1:11" ht="16" x14ac:dyDescent="0.2">
      <c r="A2645" s="16">
        <v>45635</v>
      </c>
      <c r="B2645" t="s">
        <v>45</v>
      </c>
      <c r="C2645" t="s">
        <v>34</v>
      </c>
      <c r="D2645" t="s">
        <v>20</v>
      </c>
      <c r="E2645" t="s">
        <v>7642</v>
      </c>
      <c r="F2645">
        <v>1</v>
      </c>
      <c r="G2645" s="15">
        <v>2710000</v>
      </c>
      <c r="H2645" s="14">
        <v>0.13075929750140999</v>
      </c>
      <c r="I2645" s="27">
        <f t="shared" si="41"/>
        <v>2355642.3037711792</v>
      </c>
      <c r="J2645">
        <v>3.8</v>
      </c>
      <c r="K2645" t="b">
        <v>1</v>
      </c>
    </row>
    <row r="2646" spans="1:11" ht="16" x14ac:dyDescent="0.2">
      <c r="A2646" s="16">
        <v>45635</v>
      </c>
      <c r="B2646" t="s">
        <v>18</v>
      </c>
      <c r="C2646" t="s">
        <v>34</v>
      </c>
      <c r="D2646" t="s">
        <v>20</v>
      </c>
      <c r="E2646" t="s">
        <v>57</v>
      </c>
      <c r="F2646">
        <v>1</v>
      </c>
      <c r="G2646" s="15">
        <v>2710000</v>
      </c>
      <c r="H2646" s="14">
        <v>0.13075929750140999</v>
      </c>
      <c r="I2646" s="27">
        <f t="shared" si="41"/>
        <v>2355642.3037711792</v>
      </c>
      <c r="J2646">
        <v>3.7</v>
      </c>
      <c r="K2646" t="b">
        <v>1</v>
      </c>
    </row>
    <row r="2647" spans="1:11" ht="16" x14ac:dyDescent="0.2">
      <c r="A2647" s="16">
        <v>45635</v>
      </c>
      <c r="B2647" t="s">
        <v>45</v>
      </c>
      <c r="C2647" t="s">
        <v>39</v>
      </c>
      <c r="D2647" t="s">
        <v>20</v>
      </c>
      <c r="E2647" t="s">
        <v>7640</v>
      </c>
      <c r="F2647">
        <v>2</v>
      </c>
      <c r="G2647" s="15">
        <v>2710000</v>
      </c>
      <c r="H2647" s="14">
        <v>0.13075929750140999</v>
      </c>
      <c r="I2647" s="27">
        <f t="shared" si="41"/>
        <v>2355642.3037711792</v>
      </c>
      <c r="J2647">
        <v>4</v>
      </c>
      <c r="K2647" t="b">
        <v>1</v>
      </c>
    </row>
    <row r="2648" spans="1:11" ht="16" x14ac:dyDescent="0.2">
      <c r="A2648" s="16">
        <v>45635</v>
      </c>
      <c r="B2648" t="s">
        <v>33</v>
      </c>
      <c r="C2648" t="s">
        <v>19</v>
      </c>
      <c r="D2648" t="s">
        <v>50</v>
      </c>
      <c r="E2648" t="s">
        <v>7639</v>
      </c>
      <c r="F2648">
        <v>2</v>
      </c>
      <c r="G2648" s="15">
        <v>2710000</v>
      </c>
      <c r="H2648" s="14">
        <v>0.13075929750140999</v>
      </c>
      <c r="I2648" s="27">
        <f t="shared" si="41"/>
        <v>2355642.3037711792</v>
      </c>
      <c r="J2648">
        <v>3.9</v>
      </c>
      <c r="K2648" t="b">
        <v>1</v>
      </c>
    </row>
    <row r="2649" spans="1:11" ht="16" x14ac:dyDescent="0.2">
      <c r="A2649" s="16">
        <v>45635</v>
      </c>
      <c r="B2649" t="s">
        <v>33</v>
      </c>
      <c r="C2649" t="s">
        <v>45</v>
      </c>
      <c r="D2649" t="s">
        <v>20</v>
      </c>
      <c r="E2649" t="s">
        <v>99</v>
      </c>
      <c r="F2649">
        <v>3</v>
      </c>
      <c r="G2649" s="15">
        <v>2710000</v>
      </c>
      <c r="H2649" s="14">
        <v>0.13075929750140999</v>
      </c>
      <c r="I2649" s="27">
        <f t="shared" si="41"/>
        <v>2355642.3037711792</v>
      </c>
      <c r="J2649">
        <v>3.1</v>
      </c>
      <c r="K2649" t="b">
        <v>0</v>
      </c>
    </row>
    <row r="2650" spans="1:11" ht="16" x14ac:dyDescent="0.2">
      <c r="A2650" s="16">
        <v>45635</v>
      </c>
      <c r="B2650" t="s">
        <v>33</v>
      </c>
      <c r="C2650" t="s">
        <v>19</v>
      </c>
      <c r="D2650" t="s">
        <v>35</v>
      </c>
      <c r="E2650" t="str">
        <f>E2649</f>
        <v>Sa Pa</v>
      </c>
      <c r="F2650">
        <v>1</v>
      </c>
      <c r="G2650" s="15">
        <v>2710000</v>
      </c>
      <c r="H2650" s="14">
        <v>0.13075929750140999</v>
      </c>
      <c r="I2650" s="27">
        <f t="shared" si="41"/>
        <v>2355642.3037711792</v>
      </c>
      <c r="J2650">
        <v>4.7</v>
      </c>
      <c r="K2650" t="b">
        <v>1</v>
      </c>
    </row>
    <row r="2651" spans="1:11" ht="16" x14ac:dyDescent="0.2">
      <c r="A2651" s="16">
        <v>45636</v>
      </c>
      <c r="B2651" t="s">
        <v>45</v>
      </c>
      <c r="C2651" t="s">
        <v>34</v>
      </c>
      <c r="D2651" t="s">
        <v>20</v>
      </c>
      <c r="E2651" t="s">
        <v>7643</v>
      </c>
      <c r="F2651">
        <v>1</v>
      </c>
      <c r="G2651" s="15">
        <v>2710000</v>
      </c>
      <c r="H2651" s="14">
        <v>0.13075929750140999</v>
      </c>
      <c r="I2651" s="27">
        <f t="shared" si="41"/>
        <v>2355642.3037711792</v>
      </c>
      <c r="J2651">
        <v>3.9</v>
      </c>
      <c r="K2651" t="b">
        <v>1</v>
      </c>
    </row>
    <row r="2652" spans="1:11" ht="16" x14ac:dyDescent="0.2">
      <c r="A2652" s="16">
        <v>45636</v>
      </c>
      <c r="B2652" t="s">
        <v>45</v>
      </c>
      <c r="C2652" t="s">
        <v>45</v>
      </c>
      <c r="D2652" t="s">
        <v>50</v>
      </c>
      <c r="E2652" t="s">
        <v>57</v>
      </c>
      <c r="F2652">
        <v>4</v>
      </c>
      <c r="G2652" s="15">
        <v>2710000</v>
      </c>
      <c r="H2652" s="14">
        <v>0.13075929750140999</v>
      </c>
      <c r="I2652" s="27">
        <f t="shared" si="41"/>
        <v>2355642.3037711792</v>
      </c>
      <c r="J2652">
        <v>4</v>
      </c>
      <c r="K2652" t="b">
        <v>1</v>
      </c>
    </row>
    <row r="2653" spans="1:11" ht="16" x14ac:dyDescent="0.2">
      <c r="A2653" s="16">
        <v>45637</v>
      </c>
      <c r="B2653" t="s">
        <v>29</v>
      </c>
      <c r="C2653" t="s">
        <v>25</v>
      </c>
      <c r="D2653" t="s">
        <v>35</v>
      </c>
      <c r="E2653" t="s">
        <v>7643</v>
      </c>
      <c r="F2653">
        <v>3</v>
      </c>
      <c r="G2653" s="15">
        <v>2710000</v>
      </c>
      <c r="H2653" s="14">
        <v>0.13075929750140999</v>
      </c>
      <c r="I2653" s="27">
        <f t="shared" si="41"/>
        <v>2355642.3037711792</v>
      </c>
      <c r="J2653">
        <v>4.0999999999999996</v>
      </c>
      <c r="K2653" t="b">
        <v>0</v>
      </c>
    </row>
    <row r="2654" spans="1:11" ht="16" x14ac:dyDescent="0.2">
      <c r="A2654" s="16">
        <v>45637</v>
      </c>
      <c r="B2654" t="s">
        <v>33</v>
      </c>
      <c r="C2654" t="s">
        <v>68</v>
      </c>
      <c r="D2654" t="s">
        <v>20</v>
      </c>
      <c r="E2654" t="s">
        <v>7639</v>
      </c>
      <c r="F2654">
        <v>1</v>
      </c>
      <c r="G2654" s="15">
        <v>2710000</v>
      </c>
      <c r="H2654" s="14">
        <v>0.13075929750140999</v>
      </c>
      <c r="I2654" s="27">
        <f t="shared" si="41"/>
        <v>2355642.3037711792</v>
      </c>
      <c r="J2654">
        <v>4.2</v>
      </c>
      <c r="K2654" t="b">
        <v>1</v>
      </c>
    </row>
    <row r="2655" spans="1:11" ht="16" x14ac:dyDescent="0.2">
      <c r="A2655" s="16">
        <v>45637</v>
      </c>
      <c r="B2655" t="s">
        <v>18</v>
      </c>
      <c r="C2655" t="s">
        <v>25</v>
      </c>
      <c r="D2655" t="s">
        <v>20</v>
      </c>
      <c r="E2655" t="s">
        <v>7640</v>
      </c>
      <c r="F2655">
        <v>2</v>
      </c>
      <c r="G2655" s="15">
        <v>2710000</v>
      </c>
      <c r="H2655" s="14">
        <v>0.13075929750140999</v>
      </c>
      <c r="I2655" s="27">
        <f t="shared" si="41"/>
        <v>2355642.3037711792</v>
      </c>
      <c r="J2655">
        <v>3.7</v>
      </c>
      <c r="K2655" t="b">
        <v>1</v>
      </c>
    </row>
    <row r="2656" spans="1:11" ht="16" x14ac:dyDescent="0.2">
      <c r="A2656" s="16">
        <v>45638</v>
      </c>
      <c r="B2656" t="s">
        <v>18</v>
      </c>
      <c r="C2656" t="s">
        <v>34</v>
      </c>
      <c r="D2656" t="s">
        <v>20</v>
      </c>
      <c r="E2656" t="s">
        <v>7641</v>
      </c>
      <c r="F2656">
        <v>3</v>
      </c>
      <c r="G2656" s="15">
        <v>2710000</v>
      </c>
      <c r="H2656" s="14">
        <v>0.13075929750140999</v>
      </c>
      <c r="I2656" s="27">
        <f t="shared" si="41"/>
        <v>2355642.3037711792</v>
      </c>
      <c r="J2656">
        <v>4.3</v>
      </c>
      <c r="K2656" t="b">
        <v>1</v>
      </c>
    </row>
    <row r="2657" spans="1:11" ht="16" x14ac:dyDescent="0.2">
      <c r="A2657" s="16">
        <v>45638</v>
      </c>
      <c r="B2657" t="s">
        <v>33</v>
      </c>
      <c r="C2657" t="s">
        <v>25</v>
      </c>
      <c r="D2657" t="s">
        <v>46</v>
      </c>
      <c r="E2657" t="s">
        <v>7644</v>
      </c>
      <c r="F2657">
        <v>2</v>
      </c>
      <c r="G2657" s="15">
        <v>2710000</v>
      </c>
      <c r="H2657" s="14">
        <v>0.13075929750140999</v>
      </c>
      <c r="I2657" s="27">
        <f t="shared" si="41"/>
        <v>2355642.3037711792</v>
      </c>
      <c r="J2657">
        <v>4.5</v>
      </c>
      <c r="K2657" t="b">
        <v>0</v>
      </c>
    </row>
    <row r="2658" spans="1:11" ht="16" x14ac:dyDescent="0.2">
      <c r="A2658" s="16">
        <v>45638</v>
      </c>
      <c r="B2658" t="s">
        <v>33</v>
      </c>
      <c r="C2658" t="s">
        <v>19</v>
      </c>
      <c r="D2658" t="s">
        <v>50</v>
      </c>
      <c r="E2658" t="s">
        <v>7639</v>
      </c>
      <c r="F2658">
        <v>1</v>
      </c>
      <c r="G2658" s="15">
        <v>2710000</v>
      </c>
      <c r="H2658" s="14">
        <v>0.13075929750140999</v>
      </c>
      <c r="I2658" s="27">
        <f t="shared" si="41"/>
        <v>2355642.3037711792</v>
      </c>
      <c r="J2658">
        <v>4</v>
      </c>
      <c r="K2658" t="b">
        <v>1</v>
      </c>
    </row>
    <row r="2659" spans="1:11" ht="16" x14ac:dyDescent="0.2">
      <c r="A2659" s="16">
        <v>45639</v>
      </c>
      <c r="B2659" t="s">
        <v>45</v>
      </c>
      <c r="C2659" t="s">
        <v>68</v>
      </c>
      <c r="D2659" t="s">
        <v>20</v>
      </c>
      <c r="E2659" t="s">
        <v>7641</v>
      </c>
      <c r="F2659">
        <v>2</v>
      </c>
      <c r="G2659" s="15">
        <v>2710000</v>
      </c>
      <c r="H2659" s="14">
        <v>0.13075929750140999</v>
      </c>
      <c r="I2659" s="27">
        <f t="shared" si="41"/>
        <v>2355642.3037711792</v>
      </c>
      <c r="J2659">
        <v>5</v>
      </c>
      <c r="K2659" t="b">
        <v>1</v>
      </c>
    </row>
    <row r="2660" spans="1:11" ht="16" x14ac:dyDescent="0.2">
      <c r="A2660" s="16">
        <v>45639</v>
      </c>
      <c r="B2660" t="s">
        <v>33</v>
      </c>
      <c r="C2660" t="s">
        <v>34</v>
      </c>
      <c r="D2660" t="s">
        <v>35</v>
      </c>
      <c r="E2660" t="s">
        <v>7642</v>
      </c>
      <c r="F2660">
        <v>2</v>
      </c>
      <c r="G2660" s="15">
        <v>2710000</v>
      </c>
      <c r="H2660" s="14">
        <v>0.13075929750140999</v>
      </c>
      <c r="I2660" s="27">
        <f t="shared" si="41"/>
        <v>2355642.3037711792</v>
      </c>
      <c r="J2660">
        <v>3.7</v>
      </c>
      <c r="K2660" t="b">
        <v>1</v>
      </c>
    </row>
    <row r="2661" spans="1:11" ht="16" x14ac:dyDescent="0.2">
      <c r="A2661" s="16">
        <v>45639</v>
      </c>
      <c r="B2661" t="s">
        <v>18</v>
      </c>
      <c r="C2661" t="s">
        <v>19</v>
      </c>
      <c r="D2661" t="s">
        <v>35</v>
      </c>
      <c r="E2661" t="s">
        <v>7643</v>
      </c>
      <c r="F2661">
        <v>2</v>
      </c>
      <c r="G2661" s="15">
        <v>2710000</v>
      </c>
      <c r="H2661" s="14">
        <v>0.13075929750140999</v>
      </c>
      <c r="I2661" s="27">
        <f t="shared" si="41"/>
        <v>2355642.3037711792</v>
      </c>
      <c r="J2661">
        <v>5</v>
      </c>
      <c r="K2661" t="b">
        <v>1</v>
      </c>
    </row>
    <row r="2662" spans="1:11" ht="16" x14ac:dyDescent="0.2">
      <c r="A2662" s="16">
        <v>45639</v>
      </c>
      <c r="B2662" t="s">
        <v>18</v>
      </c>
      <c r="C2662" t="s">
        <v>45</v>
      </c>
      <c r="D2662" t="s">
        <v>20</v>
      </c>
      <c r="E2662" t="s">
        <v>7642</v>
      </c>
      <c r="F2662">
        <v>3</v>
      </c>
      <c r="G2662" s="15">
        <v>2710000</v>
      </c>
      <c r="H2662" s="14">
        <v>0.13075929750140999</v>
      </c>
      <c r="I2662" s="27">
        <f t="shared" si="41"/>
        <v>2355642.3037711792</v>
      </c>
      <c r="J2662">
        <v>4</v>
      </c>
      <c r="K2662" t="b">
        <v>0</v>
      </c>
    </row>
    <row r="2663" spans="1:11" ht="16" x14ac:dyDescent="0.2">
      <c r="A2663" s="16">
        <v>45640</v>
      </c>
      <c r="B2663" t="s">
        <v>18</v>
      </c>
      <c r="C2663" t="s">
        <v>19</v>
      </c>
      <c r="D2663" t="s">
        <v>20</v>
      </c>
      <c r="E2663" t="s">
        <v>7639</v>
      </c>
      <c r="F2663">
        <v>2</v>
      </c>
      <c r="G2663" s="15">
        <v>2710000</v>
      </c>
      <c r="H2663" s="14">
        <v>0.13075929750140999</v>
      </c>
      <c r="I2663" s="27">
        <f t="shared" si="41"/>
        <v>2355642.3037711792</v>
      </c>
      <c r="J2663">
        <v>4.8</v>
      </c>
      <c r="K2663" t="b">
        <v>1</v>
      </c>
    </row>
    <row r="2664" spans="1:11" ht="16" x14ac:dyDescent="0.2">
      <c r="A2664" s="16">
        <v>45641</v>
      </c>
      <c r="B2664" t="s">
        <v>18</v>
      </c>
      <c r="C2664" t="s">
        <v>19</v>
      </c>
      <c r="D2664" t="s">
        <v>20</v>
      </c>
      <c r="E2664" t="s">
        <v>7643</v>
      </c>
      <c r="F2664">
        <v>3</v>
      </c>
      <c r="G2664" s="15">
        <v>2710000</v>
      </c>
      <c r="H2664" s="14">
        <v>0.13075929750140999</v>
      </c>
      <c r="I2664" s="27">
        <f t="shared" si="41"/>
        <v>2355642.3037711792</v>
      </c>
      <c r="J2664">
        <v>3.7</v>
      </c>
      <c r="K2664" t="b">
        <v>1</v>
      </c>
    </row>
    <row r="2665" spans="1:11" ht="16" x14ac:dyDescent="0.2">
      <c r="A2665" s="16">
        <v>45641</v>
      </c>
      <c r="B2665" t="s">
        <v>29</v>
      </c>
      <c r="C2665" t="s">
        <v>25</v>
      </c>
      <c r="D2665" t="s">
        <v>50</v>
      </c>
      <c r="E2665" t="s">
        <v>7637</v>
      </c>
      <c r="F2665">
        <v>1</v>
      </c>
      <c r="G2665" s="15">
        <v>2710000</v>
      </c>
      <c r="H2665" s="14">
        <v>0.13075929750140999</v>
      </c>
      <c r="I2665" s="27">
        <f t="shared" si="41"/>
        <v>2355642.3037711792</v>
      </c>
      <c r="J2665">
        <v>5</v>
      </c>
      <c r="K2665" t="b">
        <v>1</v>
      </c>
    </row>
    <row r="2666" spans="1:11" ht="16" x14ac:dyDescent="0.2">
      <c r="A2666" s="16">
        <v>45641</v>
      </c>
      <c r="B2666" t="s">
        <v>18</v>
      </c>
      <c r="C2666" t="s">
        <v>39</v>
      </c>
      <c r="D2666" t="s">
        <v>35</v>
      </c>
      <c r="E2666" t="s">
        <v>7642</v>
      </c>
      <c r="F2666">
        <v>4</v>
      </c>
      <c r="G2666" s="15">
        <v>2710000</v>
      </c>
      <c r="H2666" s="14">
        <v>0.13075929750140999</v>
      </c>
      <c r="I2666" s="27">
        <f t="shared" si="41"/>
        <v>2355642.3037711792</v>
      </c>
      <c r="J2666">
        <v>4</v>
      </c>
      <c r="K2666" t="b">
        <v>1</v>
      </c>
    </row>
    <row r="2667" spans="1:11" ht="16" x14ac:dyDescent="0.2">
      <c r="A2667" s="16">
        <v>45641</v>
      </c>
      <c r="B2667" t="s">
        <v>18</v>
      </c>
      <c r="C2667" t="s">
        <v>34</v>
      </c>
      <c r="D2667" t="s">
        <v>50</v>
      </c>
      <c r="E2667" t="s">
        <v>7640</v>
      </c>
      <c r="F2667">
        <v>1</v>
      </c>
      <c r="G2667" s="15">
        <v>2710000</v>
      </c>
      <c r="H2667" s="14">
        <v>0.13075929750140999</v>
      </c>
      <c r="I2667" s="27">
        <f t="shared" si="41"/>
        <v>2355642.3037711792</v>
      </c>
      <c r="J2667">
        <v>4.2</v>
      </c>
      <c r="K2667" t="b">
        <v>1</v>
      </c>
    </row>
    <row r="2668" spans="1:11" ht="16" x14ac:dyDescent="0.2">
      <c r="A2668" s="16">
        <v>45641</v>
      </c>
      <c r="B2668" t="s">
        <v>45</v>
      </c>
      <c r="C2668" t="s">
        <v>45</v>
      </c>
      <c r="D2668" t="s">
        <v>50</v>
      </c>
      <c r="E2668" t="s">
        <v>99</v>
      </c>
      <c r="F2668">
        <v>1</v>
      </c>
      <c r="G2668" s="15">
        <v>2710000</v>
      </c>
      <c r="H2668" s="14">
        <v>0.13075929750140999</v>
      </c>
      <c r="I2668" s="27">
        <f t="shared" si="41"/>
        <v>2355642.3037711792</v>
      </c>
      <c r="J2668">
        <v>4.4000000000000004</v>
      </c>
      <c r="K2668" t="b">
        <v>1</v>
      </c>
    </row>
    <row r="2669" spans="1:11" ht="16" x14ac:dyDescent="0.2">
      <c r="A2669" s="16">
        <v>45641</v>
      </c>
      <c r="B2669" t="s">
        <v>45</v>
      </c>
      <c r="C2669" t="s">
        <v>68</v>
      </c>
      <c r="D2669" t="s">
        <v>50</v>
      </c>
      <c r="E2669" t="s">
        <v>7637</v>
      </c>
      <c r="F2669">
        <v>2</v>
      </c>
      <c r="G2669" s="15">
        <v>2710000</v>
      </c>
      <c r="H2669" s="14">
        <v>0.13075929750140999</v>
      </c>
      <c r="I2669" s="27">
        <f t="shared" si="41"/>
        <v>2355642.3037711792</v>
      </c>
      <c r="J2669">
        <v>4.4000000000000004</v>
      </c>
      <c r="K2669" t="b">
        <v>1</v>
      </c>
    </row>
    <row r="2670" spans="1:11" ht="16" x14ac:dyDescent="0.2">
      <c r="A2670" s="16">
        <v>45642</v>
      </c>
      <c r="B2670" t="s">
        <v>45</v>
      </c>
      <c r="C2670" t="s">
        <v>19</v>
      </c>
      <c r="D2670" t="s">
        <v>50</v>
      </c>
      <c r="E2670" t="s">
        <v>7641</v>
      </c>
      <c r="F2670">
        <v>2</v>
      </c>
      <c r="G2670" s="15">
        <v>2710000</v>
      </c>
      <c r="H2670" s="14">
        <v>0.13075929750140999</v>
      </c>
      <c r="I2670" s="27">
        <f t="shared" si="41"/>
        <v>2355642.3037711792</v>
      </c>
      <c r="J2670">
        <v>3.5</v>
      </c>
      <c r="K2670" t="b">
        <v>1</v>
      </c>
    </row>
    <row r="2671" spans="1:11" ht="16" x14ac:dyDescent="0.2">
      <c r="A2671" s="16">
        <v>45642</v>
      </c>
      <c r="B2671" t="s">
        <v>18</v>
      </c>
      <c r="C2671" t="s">
        <v>39</v>
      </c>
      <c r="D2671" t="s">
        <v>50</v>
      </c>
      <c r="E2671" t="s">
        <v>7637</v>
      </c>
      <c r="F2671">
        <v>1</v>
      </c>
      <c r="G2671" s="15">
        <v>2710000</v>
      </c>
      <c r="H2671" s="14">
        <v>0.13075929750140999</v>
      </c>
      <c r="I2671" s="27">
        <f t="shared" si="41"/>
        <v>2355642.3037711792</v>
      </c>
      <c r="J2671">
        <v>3.4</v>
      </c>
      <c r="K2671" t="b">
        <v>0</v>
      </c>
    </row>
    <row r="2672" spans="1:11" ht="16" x14ac:dyDescent="0.2">
      <c r="A2672" s="16">
        <v>45642</v>
      </c>
      <c r="B2672" t="s">
        <v>18</v>
      </c>
      <c r="C2672" t="s">
        <v>34</v>
      </c>
      <c r="D2672" t="s">
        <v>50</v>
      </c>
      <c r="E2672" t="s">
        <v>7643</v>
      </c>
      <c r="F2672">
        <v>2</v>
      </c>
      <c r="G2672" s="15">
        <v>2710000</v>
      </c>
      <c r="H2672" s="14">
        <v>0.13075929750140999</v>
      </c>
      <c r="I2672" s="27">
        <f t="shared" si="41"/>
        <v>2355642.3037711792</v>
      </c>
      <c r="J2672">
        <v>3.8</v>
      </c>
      <c r="K2672" t="b">
        <v>1</v>
      </c>
    </row>
    <row r="2673" spans="1:11" ht="16" x14ac:dyDescent="0.2">
      <c r="A2673" s="16">
        <v>45642</v>
      </c>
      <c r="B2673" t="s">
        <v>33</v>
      </c>
      <c r="C2673" t="s">
        <v>19</v>
      </c>
      <c r="D2673" t="s">
        <v>35</v>
      </c>
      <c r="E2673" t="s">
        <v>7644</v>
      </c>
      <c r="F2673">
        <v>3</v>
      </c>
      <c r="G2673" s="15">
        <v>2710000</v>
      </c>
      <c r="H2673" s="14">
        <v>0.13075929750140999</v>
      </c>
      <c r="I2673" s="27">
        <f t="shared" si="41"/>
        <v>2355642.3037711792</v>
      </c>
      <c r="J2673">
        <v>3.9</v>
      </c>
      <c r="K2673" t="b">
        <v>1</v>
      </c>
    </row>
    <row r="2674" spans="1:11" ht="16" x14ac:dyDescent="0.2">
      <c r="A2674" s="16">
        <v>45643</v>
      </c>
      <c r="B2674" t="s">
        <v>45</v>
      </c>
      <c r="C2674" t="s">
        <v>34</v>
      </c>
      <c r="D2674" t="s">
        <v>20</v>
      </c>
      <c r="E2674" t="s">
        <v>7637</v>
      </c>
      <c r="F2674">
        <v>3</v>
      </c>
      <c r="G2674" s="15">
        <v>2710000</v>
      </c>
      <c r="H2674" s="14">
        <v>0.13075929750140999</v>
      </c>
      <c r="I2674" s="27">
        <f t="shared" si="41"/>
        <v>2355642.3037711792</v>
      </c>
      <c r="J2674">
        <v>4.0999999999999996</v>
      </c>
      <c r="K2674" t="b">
        <v>1</v>
      </c>
    </row>
    <row r="2675" spans="1:11" ht="16" x14ac:dyDescent="0.2">
      <c r="A2675" s="16">
        <v>45643</v>
      </c>
      <c r="B2675" t="s">
        <v>45</v>
      </c>
      <c r="C2675" t="s">
        <v>19</v>
      </c>
      <c r="D2675" t="s">
        <v>50</v>
      </c>
      <c r="E2675" t="s">
        <v>7638</v>
      </c>
      <c r="F2675">
        <v>1</v>
      </c>
      <c r="G2675" s="15">
        <v>2710000</v>
      </c>
      <c r="H2675" s="14">
        <v>0.13075929750140999</v>
      </c>
      <c r="I2675" s="27">
        <f t="shared" si="41"/>
        <v>2355642.3037711792</v>
      </c>
      <c r="J2675">
        <v>5</v>
      </c>
      <c r="K2675" t="b">
        <v>0</v>
      </c>
    </row>
    <row r="2676" spans="1:11" ht="16" x14ac:dyDescent="0.2">
      <c r="A2676" s="16">
        <v>45643</v>
      </c>
      <c r="B2676" t="s">
        <v>18</v>
      </c>
      <c r="C2676" t="s">
        <v>19</v>
      </c>
      <c r="D2676" t="s">
        <v>20</v>
      </c>
      <c r="E2676" t="s">
        <v>7641</v>
      </c>
      <c r="F2676">
        <v>2</v>
      </c>
      <c r="G2676" s="15">
        <v>2710000</v>
      </c>
      <c r="H2676" s="14">
        <v>0.13075929750140999</v>
      </c>
      <c r="I2676" s="27">
        <f t="shared" si="41"/>
        <v>2355642.3037711792</v>
      </c>
      <c r="J2676">
        <v>4.2</v>
      </c>
      <c r="K2676" t="b">
        <v>1</v>
      </c>
    </row>
    <row r="2677" spans="1:11" ht="16" x14ac:dyDescent="0.2">
      <c r="A2677" s="16">
        <v>45643</v>
      </c>
      <c r="B2677" t="s">
        <v>45</v>
      </c>
      <c r="C2677" t="s">
        <v>34</v>
      </c>
      <c r="D2677" t="s">
        <v>50</v>
      </c>
      <c r="E2677" t="s">
        <v>7644</v>
      </c>
      <c r="F2677">
        <v>4</v>
      </c>
      <c r="G2677" s="15">
        <v>2710000</v>
      </c>
      <c r="H2677" s="14">
        <v>0.13075929750140999</v>
      </c>
      <c r="I2677" s="27">
        <f t="shared" si="41"/>
        <v>2355642.3037711792</v>
      </c>
      <c r="J2677">
        <v>4.8</v>
      </c>
      <c r="K2677" t="b">
        <v>0</v>
      </c>
    </row>
    <row r="2678" spans="1:11" ht="16" x14ac:dyDescent="0.2">
      <c r="A2678" s="16">
        <v>45643</v>
      </c>
      <c r="B2678" t="s">
        <v>18</v>
      </c>
      <c r="C2678" t="s">
        <v>68</v>
      </c>
      <c r="D2678" t="s">
        <v>20</v>
      </c>
      <c r="E2678" t="s">
        <v>7642</v>
      </c>
      <c r="F2678">
        <v>2</v>
      </c>
      <c r="G2678" s="15">
        <v>2710000</v>
      </c>
      <c r="H2678" s="14">
        <v>0.13075929750140999</v>
      </c>
      <c r="I2678" s="27">
        <f t="shared" si="41"/>
        <v>2355642.3037711792</v>
      </c>
      <c r="J2678">
        <v>4.5</v>
      </c>
      <c r="K2678" t="b">
        <v>1</v>
      </c>
    </row>
    <row r="2679" spans="1:11" ht="16" x14ac:dyDescent="0.2">
      <c r="A2679" s="16">
        <v>45643</v>
      </c>
      <c r="B2679" t="s">
        <v>18</v>
      </c>
      <c r="C2679" t="s">
        <v>34</v>
      </c>
      <c r="D2679" t="s">
        <v>50</v>
      </c>
      <c r="E2679" t="s">
        <v>57</v>
      </c>
      <c r="F2679">
        <v>1</v>
      </c>
      <c r="G2679" s="15">
        <v>2710000</v>
      </c>
      <c r="H2679" s="14">
        <v>0.13075929750140999</v>
      </c>
      <c r="I2679" s="27">
        <f t="shared" si="41"/>
        <v>2355642.3037711792</v>
      </c>
      <c r="J2679">
        <v>3.8</v>
      </c>
      <c r="K2679" t="b">
        <v>1</v>
      </c>
    </row>
    <row r="2680" spans="1:11" ht="16" x14ac:dyDescent="0.2">
      <c r="A2680" s="16">
        <v>45644</v>
      </c>
      <c r="B2680" t="s">
        <v>45</v>
      </c>
      <c r="C2680" t="s">
        <v>68</v>
      </c>
      <c r="D2680" t="s">
        <v>50</v>
      </c>
      <c r="E2680" t="s">
        <v>7644</v>
      </c>
      <c r="F2680">
        <v>2</v>
      </c>
      <c r="G2680" s="15">
        <v>2710000</v>
      </c>
      <c r="H2680" s="14">
        <v>0.13075929750140999</v>
      </c>
      <c r="I2680" s="27">
        <f t="shared" si="41"/>
        <v>2355642.3037711792</v>
      </c>
      <c r="J2680">
        <v>4.2</v>
      </c>
      <c r="K2680" t="b">
        <v>1</v>
      </c>
    </row>
    <row r="2681" spans="1:11" ht="16" x14ac:dyDescent="0.2">
      <c r="A2681" s="16">
        <v>45644</v>
      </c>
      <c r="B2681" t="s">
        <v>45</v>
      </c>
      <c r="C2681" t="s">
        <v>39</v>
      </c>
      <c r="D2681" t="s">
        <v>20</v>
      </c>
      <c r="E2681" t="s">
        <v>7640</v>
      </c>
      <c r="F2681">
        <v>2</v>
      </c>
      <c r="G2681" s="15">
        <v>2710000</v>
      </c>
      <c r="H2681" s="14">
        <v>0.13075929750140999</v>
      </c>
      <c r="I2681" s="27">
        <f t="shared" si="41"/>
        <v>2355642.3037711792</v>
      </c>
      <c r="J2681">
        <v>4.4000000000000004</v>
      </c>
      <c r="K2681" t="b">
        <v>1</v>
      </c>
    </row>
    <row r="2682" spans="1:11" ht="16" x14ac:dyDescent="0.2">
      <c r="A2682" s="16">
        <v>45644</v>
      </c>
      <c r="B2682" t="s">
        <v>45</v>
      </c>
      <c r="C2682" t="s">
        <v>68</v>
      </c>
      <c r="D2682" t="s">
        <v>20</v>
      </c>
      <c r="E2682" t="s">
        <v>7637</v>
      </c>
      <c r="F2682">
        <v>1</v>
      </c>
      <c r="G2682" s="15">
        <v>2710000</v>
      </c>
      <c r="H2682" s="14">
        <v>0.13075929750140999</v>
      </c>
      <c r="I2682" s="27">
        <f t="shared" si="41"/>
        <v>2355642.3037711792</v>
      </c>
      <c r="J2682">
        <v>4.9000000000000004</v>
      </c>
      <c r="K2682" t="b">
        <v>1</v>
      </c>
    </row>
    <row r="2683" spans="1:11" ht="16" x14ac:dyDescent="0.2">
      <c r="A2683" s="16">
        <v>45644</v>
      </c>
      <c r="B2683" t="s">
        <v>29</v>
      </c>
      <c r="C2683" t="s">
        <v>68</v>
      </c>
      <c r="D2683" t="s">
        <v>50</v>
      </c>
      <c r="E2683" t="s">
        <v>7640</v>
      </c>
      <c r="F2683">
        <v>1</v>
      </c>
      <c r="G2683" s="15">
        <v>2710000</v>
      </c>
      <c r="H2683" s="14">
        <v>0.13075929750140999</v>
      </c>
      <c r="I2683" s="27">
        <f t="shared" si="41"/>
        <v>2355642.3037711792</v>
      </c>
      <c r="J2683">
        <v>2.9</v>
      </c>
      <c r="K2683" t="b">
        <v>1</v>
      </c>
    </row>
    <row r="2684" spans="1:11" ht="16" x14ac:dyDescent="0.2">
      <c r="A2684" s="16">
        <v>45645</v>
      </c>
      <c r="B2684" t="s">
        <v>18</v>
      </c>
      <c r="C2684" t="s">
        <v>19</v>
      </c>
      <c r="D2684" t="s">
        <v>20</v>
      </c>
      <c r="E2684" t="s">
        <v>7644</v>
      </c>
      <c r="F2684">
        <v>3</v>
      </c>
      <c r="G2684" s="15">
        <v>2710000</v>
      </c>
      <c r="H2684" s="14">
        <v>0.13075929750140999</v>
      </c>
      <c r="I2684" s="27">
        <f t="shared" si="41"/>
        <v>2355642.3037711792</v>
      </c>
      <c r="J2684">
        <v>3.7</v>
      </c>
      <c r="K2684" t="b">
        <v>1</v>
      </c>
    </row>
    <row r="2685" spans="1:11" ht="16" x14ac:dyDescent="0.2">
      <c r="A2685" s="16">
        <v>45645</v>
      </c>
      <c r="B2685" t="s">
        <v>18</v>
      </c>
      <c r="C2685" t="s">
        <v>25</v>
      </c>
      <c r="D2685" t="s">
        <v>35</v>
      </c>
      <c r="E2685" t="s">
        <v>57</v>
      </c>
      <c r="F2685">
        <v>4</v>
      </c>
      <c r="G2685" s="15">
        <v>2710000</v>
      </c>
      <c r="H2685" s="14">
        <v>0.13075929750140999</v>
      </c>
      <c r="I2685" s="27">
        <f t="shared" si="41"/>
        <v>2355642.3037711792</v>
      </c>
      <c r="J2685">
        <v>3.3</v>
      </c>
      <c r="K2685" t="b">
        <v>1</v>
      </c>
    </row>
    <row r="2686" spans="1:11" ht="16" x14ac:dyDescent="0.2">
      <c r="A2686" s="16">
        <v>45645</v>
      </c>
      <c r="B2686" t="s">
        <v>18</v>
      </c>
      <c r="C2686" t="s">
        <v>34</v>
      </c>
      <c r="D2686" t="s">
        <v>35</v>
      </c>
      <c r="E2686" t="s">
        <v>7643</v>
      </c>
      <c r="F2686">
        <v>1</v>
      </c>
      <c r="G2686" s="15">
        <v>2710000</v>
      </c>
      <c r="H2686" s="14">
        <v>0.13075929750140999</v>
      </c>
      <c r="I2686" s="27">
        <f t="shared" si="41"/>
        <v>2355642.3037711792</v>
      </c>
      <c r="J2686">
        <v>5</v>
      </c>
      <c r="K2686" t="b">
        <v>1</v>
      </c>
    </row>
    <row r="2687" spans="1:11" ht="16" x14ac:dyDescent="0.2">
      <c r="A2687" s="16">
        <v>45646</v>
      </c>
      <c r="B2687" t="s">
        <v>45</v>
      </c>
      <c r="C2687" t="s">
        <v>45</v>
      </c>
      <c r="D2687" t="s">
        <v>20</v>
      </c>
      <c r="E2687" t="s">
        <v>7639</v>
      </c>
      <c r="F2687">
        <v>2</v>
      </c>
      <c r="G2687" s="15">
        <v>2710000</v>
      </c>
      <c r="H2687" s="14">
        <v>0.13075929750140999</v>
      </c>
      <c r="I2687" s="27">
        <f t="shared" si="41"/>
        <v>2355642.3037711792</v>
      </c>
      <c r="J2687">
        <v>4.0999999999999996</v>
      </c>
      <c r="K2687" t="b">
        <v>1</v>
      </c>
    </row>
    <row r="2688" spans="1:11" ht="16" x14ac:dyDescent="0.2">
      <c r="A2688" s="16">
        <v>45646</v>
      </c>
      <c r="B2688" t="s">
        <v>45</v>
      </c>
      <c r="C2688" t="s">
        <v>45</v>
      </c>
      <c r="D2688" t="s">
        <v>35</v>
      </c>
      <c r="E2688" t="s">
        <v>7638</v>
      </c>
      <c r="F2688">
        <v>1</v>
      </c>
      <c r="G2688" s="15">
        <v>2710000</v>
      </c>
      <c r="H2688" s="14">
        <v>0.13075929750140999</v>
      </c>
      <c r="I2688" s="27">
        <f t="shared" si="41"/>
        <v>2355642.3037711792</v>
      </c>
      <c r="J2688">
        <v>3.7</v>
      </c>
      <c r="K2688" t="b">
        <v>0</v>
      </c>
    </row>
    <row r="2689" spans="1:11" ht="16" x14ac:dyDescent="0.2">
      <c r="A2689" s="16">
        <v>45646</v>
      </c>
      <c r="B2689" t="s">
        <v>18</v>
      </c>
      <c r="C2689" t="s">
        <v>25</v>
      </c>
      <c r="D2689" t="s">
        <v>50</v>
      </c>
      <c r="E2689" t="s">
        <v>7639</v>
      </c>
      <c r="F2689">
        <v>1</v>
      </c>
      <c r="G2689" s="15">
        <v>2710000</v>
      </c>
      <c r="H2689" s="14">
        <v>0.13075929750140999</v>
      </c>
      <c r="I2689" s="27">
        <f t="shared" si="41"/>
        <v>2355642.3037711792</v>
      </c>
      <c r="J2689">
        <v>4</v>
      </c>
      <c r="K2689" t="b">
        <v>1</v>
      </c>
    </row>
    <row r="2690" spans="1:11" ht="16" x14ac:dyDescent="0.2">
      <c r="A2690" s="16">
        <v>45646</v>
      </c>
      <c r="B2690" t="s">
        <v>33</v>
      </c>
      <c r="C2690" t="s">
        <v>19</v>
      </c>
      <c r="D2690" t="s">
        <v>35</v>
      </c>
      <c r="E2690" t="s">
        <v>7638</v>
      </c>
      <c r="F2690">
        <v>3</v>
      </c>
      <c r="G2690" s="15">
        <v>2710000</v>
      </c>
      <c r="H2690" s="14">
        <v>0.13075929750140999</v>
      </c>
      <c r="I2690" s="27">
        <f t="shared" si="41"/>
        <v>2355642.3037711792</v>
      </c>
      <c r="J2690">
        <v>4.2</v>
      </c>
      <c r="K2690" t="b">
        <v>1</v>
      </c>
    </row>
    <row r="2691" spans="1:11" ht="16" x14ac:dyDescent="0.2">
      <c r="A2691" s="16">
        <v>45646</v>
      </c>
      <c r="B2691" t="s">
        <v>45</v>
      </c>
      <c r="C2691" t="s">
        <v>34</v>
      </c>
      <c r="D2691" t="s">
        <v>50</v>
      </c>
      <c r="E2691" t="s">
        <v>99</v>
      </c>
      <c r="F2691">
        <v>2</v>
      </c>
      <c r="G2691" s="15">
        <v>2710000</v>
      </c>
      <c r="H2691" s="14">
        <v>0.13075929750140999</v>
      </c>
      <c r="I2691" s="27">
        <f t="shared" ref="I2691:I2754" si="42">G2691-G2691*H2691</f>
        <v>2355642.3037711792</v>
      </c>
      <c r="J2691">
        <v>4.5</v>
      </c>
      <c r="K2691" t="b">
        <v>1</v>
      </c>
    </row>
    <row r="2692" spans="1:11" ht="16" x14ac:dyDescent="0.2">
      <c r="A2692" s="16">
        <v>45646</v>
      </c>
      <c r="B2692" t="s">
        <v>18</v>
      </c>
      <c r="C2692" t="s">
        <v>25</v>
      </c>
      <c r="D2692" t="s">
        <v>50</v>
      </c>
      <c r="E2692" t="s">
        <v>7644</v>
      </c>
      <c r="F2692">
        <v>1</v>
      </c>
      <c r="G2692" s="15">
        <v>2710000</v>
      </c>
      <c r="H2692" s="14">
        <v>0.13075929750140999</v>
      </c>
      <c r="I2692" s="27">
        <f t="shared" si="42"/>
        <v>2355642.3037711792</v>
      </c>
      <c r="J2692">
        <v>4.2</v>
      </c>
      <c r="K2692" t="b">
        <v>0</v>
      </c>
    </row>
    <row r="2693" spans="1:11" ht="16" x14ac:dyDescent="0.2">
      <c r="A2693" s="16">
        <v>45646</v>
      </c>
      <c r="B2693" t="s">
        <v>45</v>
      </c>
      <c r="C2693" t="s">
        <v>19</v>
      </c>
      <c r="D2693" t="s">
        <v>46</v>
      </c>
      <c r="E2693" t="s">
        <v>7643</v>
      </c>
      <c r="F2693">
        <v>2</v>
      </c>
      <c r="G2693" s="15">
        <v>2710000</v>
      </c>
      <c r="H2693" s="14">
        <v>0.13075929750140999</v>
      </c>
      <c r="I2693" s="27">
        <f t="shared" si="42"/>
        <v>2355642.3037711792</v>
      </c>
      <c r="J2693">
        <v>4.9000000000000004</v>
      </c>
      <c r="K2693" t="b">
        <v>1</v>
      </c>
    </row>
    <row r="2694" spans="1:11" ht="16" x14ac:dyDescent="0.2">
      <c r="A2694" s="16">
        <v>45646</v>
      </c>
      <c r="B2694" t="s">
        <v>18</v>
      </c>
      <c r="C2694" t="s">
        <v>34</v>
      </c>
      <c r="D2694" t="s">
        <v>20</v>
      </c>
      <c r="E2694" t="s">
        <v>7638</v>
      </c>
      <c r="F2694">
        <v>2</v>
      </c>
      <c r="G2694" s="15">
        <v>2710000</v>
      </c>
      <c r="H2694" s="14">
        <v>0.13075929750140999</v>
      </c>
      <c r="I2694" s="27">
        <f t="shared" si="42"/>
        <v>2355642.3037711792</v>
      </c>
      <c r="J2694">
        <v>4.3</v>
      </c>
      <c r="K2694" t="b">
        <v>1</v>
      </c>
    </row>
    <row r="2695" spans="1:11" ht="16" x14ac:dyDescent="0.2">
      <c r="A2695" s="16">
        <v>45647</v>
      </c>
      <c r="B2695" t="s">
        <v>18</v>
      </c>
      <c r="C2695" t="s">
        <v>19</v>
      </c>
      <c r="D2695" t="s">
        <v>35</v>
      </c>
      <c r="E2695" t="s">
        <v>7640</v>
      </c>
      <c r="F2695">
        <v>1</v>
      </c>
      <c r="G2695" s="15">
        <v>2710000</v>
      </c>
      <c r="H2695" s="14">
        <v>0.13075929750140999</v>
      </c>
      <c r="I2695" s="27">
        <f t="shared" si="42"/>
        <v>2355642.3037711792</v>
      </c>
      <c r="J2695">
        <v>3.8</v>
      </c>
      <c r="K2695" t="b">
        <v>1</v>
      </c>
    </row>
    <row r="2696" spans="1:11" ht="16" x14ac:dyDescent="0.2">
      <c r="A2696" s="16">
        <v>45647</v>
      </c>
      <c r="B2696" t="s">
        <v>29</v>
      </c>
      <c r="C2696" t="s">
        <v>19</v>
      </c>
      <c r="D2696" t="s">
        <v>20</v>
      </c>
      <c r="E2696" t="s">
        <v>7641</v>
      </c>
      <c r="F2696">
        <v>2</v>
      </c>
      <c r="G2696" s="15">
        <v>2710000</v>
      </c>
      <c r="H2696" s="14">
        <v>0.13075929750140999</v>
      </c>
      <c r="I2696" s="27">
        <f t="shared" si="42"/>
        <v>2355642.3037711792</v>
      </c>
      <c r="J2696">
        <v>4.8</v>
      </c>
      <c r="K2696" t="b">
        <v>1</v>
      </c>
    </row>
    <row r="2697" spans="1:11" ht="16" x14ac:dyDescent="0.2">
      <c r="A2697" s="16">
        <v>45647</v>
      </c>
      <c r="B2697" t="s">
        <v>29</v>
      </c>
      <c r="C2697" t="s">
        <v>19</v>
      </c>
      <c r="D2697" t="s">
        <v>50</v>
      </c>
      <c r="E2697" t="s">
        <v>7637</v>
      </c>
      <c r="F2697">
        <v>3</v>
      </c>
      <c r="G2697" s="15">
        <v>2710000</v>
      </c>
      <c r="H2697" s="14">
        <v>0.13075929750140999</v>
      </c>
      <c r="I2697" s="27">
        <f t="shared" si="42"/>
        <v>2355642.3037711792</v>
      </c>
      <c r="J2697">
        <v>4.7</v>
      </c>
      <c r="K2697" t="b">
        <v>1</v>
      </c>
    </row>
    <row r="2698" spans="1:11" ht="16" x14ac:dyDescent="0.2">
      <c r="A2698" s="16">
        <v>45647</v>
      </c>
      <c r="B2698" t="s">
        <v>33</v>
      </c>
      <c r="C2698" t="s">
        <v>45</v>
      </c>
      <c r="D2698" t="s">
        <v>35</v>
      </c>
      <c r="E2698" t="s">
        <v>7644</v>
      </c>
      <c r="F2698">
        <v>2</v>
      </c>
      <c r="G2698" s="15">
        <v>2710000</v>
      </c>
      <c r="H2698" s="14">
        <v>0.13075929750140999</v>
      </c>
      <c r="I2698" s="27">
        <f t="shared" si="42"/>
        <v>2355642.3037711792</v>
      </c>
      <c r="J2698">
        <v>3</v>
      </c>
      <c r="K2698" t="b">
        <v>1</v>
      </c>
    </row>
    <row r="2699" spans="1:11" ht="16" x14ac:dyDescent="0.2">
      <c r="A2699" s="16">
        <v>45648</v>
      </c>
      <c r="B2699" t="s">
        <v>45</v>
      </c>
      <c r="C2699" t="s">
        <v>19</v>
      </c>
      <c r="D2699" t="s">
        <v>20</v>
      </c>
      <c r="E2699" t="s">
        <v>7641</v>
      </c>
      <c r="F2699">
        <v>4</v>
      </c>
      <c r="G2699" s="15">
        <v>2710000</v>
      </c>
      <c r="H2699" s="14">
        <v>0.13075929750140999</v>
      </c>
      <c r="I2699" s="27">
        <f t="shared" si="42"/>
        <v>2355642.3037711792</v>
      </c>
      <c r="J2699">
        <v>3.8</v>
      </c>
      <c r="K2699" t="b">
        <v>1</v>
      </c>
    </row>
    <row r="2700" spans="1:11" ht="16" x14ac:dyDescent="0.2">
      <c r="A2700" s="16">
        <v>45649</v>
      </c>
      <c r="B2700" t="s">
        <v>33</v>
      </c>
      <c r="C2700" t="s">
        <v>39</v>
      </c>
      <c r="D2700" t="s">
        <v>50</v>
      </c>
      <c r="E2700" t="s">
        <v>7643</v>
      </c>
      <c r="F2700">
        <v>3</v>
      </c>
      <c r="G2700" s="15">
        <v>2710000</v>
      </c>
      <c r="H2700" s="14">
        <v>0.13075929750140999</v>
      </c>
      <c r="I2700" s="27">
        <f t="shared" si="42"/>
        <v>2355642.3037711792</v>
      </c>
      <c r="J2700">
        <v>4.0999999999999996</v>
      </c>
      <c r="K2700" t="b">
        <v>1</v>
      </c>
    </row>
    <row r="2701" spans="1:11" ht="16" x14ac:dyDescent="0.2">
      <c r="A2701" s="16">
        <v>45649</v>
      </c>
      <c r="B2701" t="s">
        <v>45</v>
      </c>
      <c r="C2701" t="s">
        <v>19</v>
      </c>
      <c r="D2701" t="s">
        <v>20</v>
      </c>
      <c r="E2701" t="s">
        <v>7638</v>
      </c>
      <c r="F2701">
        <v>3</v>
      </c>
      <c r="G2701" s="15">
        <v>2710000</v>
      </c>
      <c r="H2701" s="14">
        <v>0.13075929750140999</v>
      </c>
      <c r="I2701" s="27">
        <f t="shared" si="42"/>
        <v>2355642.3037711792</v>
      </c>
      <c r="J2701">
        <v>4.2</v>
      </c>
      <c r="K2701" t="b">
        <v>1</v>
      </c>
    </row>
    <row r="2702" spans="1:11" ht="16" x14ac:dyDescent="0.2">
      <c r="A2702" s="16">
        <v>45649</v>
      </c>
      <c r="B2702" t="s">
        <v>29</v>
      </c>
      <c r="C2702" t="s">
        <v>45</v>
      </c>
      <c r="D2702" t="s">
        <v>35</v>
      </c>
      <c r="E2702" t="s">
        <v>7637</v>
      </c>
      <c r="F2702">
        <v>3</v>
      </c>
      <c r="G2702" s="15">
        <v>2710000</v>
      </c>
      <c r="H2702" s="14">
        <v>0.13075929750140999</v>
      </c>
      <c r="I2702" s="27">
        <f t="shared" si="42"/>
        <v>2355642.3037711792</v>
      </c>
      <c r="J2702">
        <v>4.2</v>
      </c>
      <c r="K2702" t="b">
        <v>1</v>
      </c>
    </row>
    <row r="2703" spans="1:11" ht="16" x14ac:dyDescent="0.2">
      <c r="A2703" s="16">
        <v>45649</v>
      </c>
      <c r="B2703" t="s">
        <v>29</v>
      </c>
      <c r="C2703" t="s">
        <v>25</v>
      </c>
      <c r="D2703" t="s">
        <v>35</v>
      </c>
      <c r="E2703" t="s">
        <v>99</v>
      </c>
      <c r="F2703">
        <v>1</v>
      </c>
      <c r="G2703" s="15">
        <v>2710000</v>
      </c>
      <c r="H2703" s="14">
        <v>0.13075929750140999</v>
      </c>
      <c r="I2703" s="27">
        <f t="shared" si="42"/>
        <v>2355642.3037711792</v>
      </c>
      <c r="J2703">
        <v>3.9</v>
      </c>
      <c r="K2703" t="b">
        <v>1</v>
      </c>
    </row>
    <row r="2704" spans="1:11" ht="16" x14ac:dyDescent="0.2">
      <c r="A2704" s="16">
        <v>45649</v>
      </c>
      <c r="B2704" t="s">
        <v>45</v>
      </c>
      <c r="C2704" t="s">
        <v>34</v>
      </c>
      <c r="D2704" t="s">
        <v>46</v>
      </c>
      <c r="E2704" t="s">
        <v>7644</v>
      </c>
      <c r="F2704">
        <v>5</v>
      </c>
      <c r="G2704" s="15">
        <v>2710000</v>
      </c>
      <c r="H2704" s="14">
        <v>0.13075929750140999</v>
      </c>
      <c r="I2704" s="27">
        <f t="shared" si="42"/>
        <v>2355642.3037711792</v>
      </c>
      <c r="J2704">
        <v>3.7</v>
      </c>
      <c r="K2704" t="b">
        <v>1</v>
      </c>
    </row>
    <row r="2705" spans="1:11" ht="16" x14ac:dyDescent="0.2">
      <c r="A2705" s="16">
        <v>45650</v>
      </c>
      <c r="B2705" t="s">
        <v>45</v>
      </c>
      <c r="C2705" t="s">
        <v>34</v>
      </c>
      <c r="D2705" t="s">
        <v>35</v>
      </c>
      <c r="E2705" t="s">
        <v>7638</v>
      </c>
      <c r="F2705">
        <v>3</v>
      </c>
      <c r="G2705" s="15">
        <v>2710000</v>
      </c>
      <c r="H2705" s="14">
        <v>0.13075929750140999</v>
      </c>
      <c r="I2705" s="27">
        <f t="shared" si="42"/>
        <v>2355642.3037711792</v>
      </c>
      <c r="J2705">
        <v>4.5</v>
      </c>
      <c r="K2705" t="b">
        <v>0</v>
      </c>
    </row>
    <row r="2706" spans="1:11" ht="16" x14ac:dyDescent="0.2">
      <c r="A2706" s="16">
        <v>45650</v>
      </c>
      <c r="B2706" t="s">
        <v>45</v>
      </c>
      <c r="C2706" t="s">
        <v>68</v>
      </c>
      <c r="D2706" t="s">
        <v>20</v>
      </c>
      <c r="E2706" t="s">
        <v>7641</v>
      </c>
      <c r="F2706">
        <v>1</v>
      </c>
      <c r="G2706" s="15">
        <v>2710000</v>
      </c>
      <c r="H2706" s="14">
        <v>0.13075929750140999</v>
      </c>
      <c r="I2706" s="27">
        <f t="shared" si="42"/>
        <v>2355642.3037711792</v>
      </c>
      <c r="J2706">
        <v>4.8</v>
      </c>
      <c r="K2706" t="b">
        <v>1</v>
      </c>
    </row>
    <row r="2707" spans="1:11" ht="16" x14ac:dyDescent="0.2">
      <c r="A2707" s="16">
        <v>45650</v>
      </c>
      <c r="B2707" t="s">
        <v>45</v>
      </c>
      <c r="C2707" t="s">
        <v>25</v>
      </c>
      <c r="D2707" t="s">
        <v>35</v>
      </c>
      <c r="E2707" t="s">
        <v>57</v>
      </c>
      <c r="F2707">
        <v>2</v>
      </c>
      <c r="G2707" s="15">
        <v>2710000</v>
      </c>
      <c r="H2707" s="14">
        <v>0.13075929750140999</v>
      </c>
      <c r="I2707" s="27">
        <f t="shared" si="42"/>
        <v>2355642.3037711792</v>
      </c>
      <c r="J2707">
        <v>4.3</v>
      </c>
      <c r="K2707" t="b">
        <v>1</v>
      </c>
    </row>
    <row r="2708" spans="1:11" ht="16" x14ac:dyDescent="0.2">
      <c r="A2708" s="16">
        <v>45651</v>
      </c>
      <c r="B2708" t="s">
        <v>29</v>
      </c>
      <c r="C2708" t="s">
        <v>34</v>
      </c>
      <c r="D2708" t="s">
        <v>35</v>
      </c>
      <c r="E2708" t="s">
        <v>7644</v>
      </c>
      <c r="F2708">
        <v>2</v>
      </c>
      <c r="G2708" s="15">
        <v>2710000</v>
      </c>
      <c r="H2708" s="14">
        <v>0.13075929750140999</v>
      </c>
      <c r="I2708" s="27">
        <f t="shared" si="42"/>
        <v>2355642.3037711792</v>
      </c>
      <c r="J2708">
        <v>4.2</v>
      </c>
      <c r="K2708" t="b">
        <v>1</v>
      </c>
    </row>
    <row r="2709" spans="1:11" ht="16" x14ac:dyDescent="0.2">
      <c r="A2709" s="16">
        <v>45651</v>
      </c>
      <c r="B2709" t="s">
        <v>45</v>
      </c>
      <c r="C2709" t="s">
        <v>34</v>
      </c>
      <c r="D2709" t="s">
        <v>35</v>
      </c>
      <c r="E2709" t="s">
        <v>7642</v>
      </c>
      <c r="F2709">
        <v>2</v>
      </c>
      <c r="G2709" s="15">
        <v>2710000</v>
      </c>
      <c r="H2709" s="14">
        <v>0.13075929750140999</v>
      </c>
      <c r="I2709" s="27">
        <f t="shared" si="42"/>
        <v>2355642.3037711792</v>
      </c>
      <c r="J2709">
        <v>4.3</v>
      </c>
      <c r="K2709" t="b">
        <v>0</v>
      </c>
    </row>
    <row r="2710" spans="1:11" ht="16" x14ac:dyDescent="0.2">
      <c r="A2710" s="16">
        <v>45652</v>
      </c>
      <c r="B2710" t="s">
        <v>33</v>
      </c>
      <c r="C2710" t="s">
        <v>25</v>
      </c>
      <c r="D2710" t="s">
        <v>50</v>
      </c>
      <c r="E2710" t="s">
        <v>7638</v>
      </c>
      <c r="F2710">
        <v>2</v>
      </c>
      <c r="G2710" s="15">
        <v>2710000</v>
      </c>
      <c r="H2710" s="14">
        <v>0.13075929750140999</v>
      </c>
      <c r="I2710" s="27">
        <f t="shared" si="42"/>
        <v>2355642.3037711792</v>
      </c>
      <c r="J2710">
        <v>4.2</v>
      </c>
      <c r="K2710" t="b">
        <v>1</v>
      </c>
    </row>
    <row r="2711" spans="1:11" ht="16" x14ac:dyDescent="0.2">
      <c r="A2711" s="16">
        <v>45652</v>
      </c>
      <c r="B2711" t="s">
        <v>18</v>
      </c>
      <c r="C2711" t="s">
        <v>19</v>
      </c>
      <c r="D2711" t="s">
        <v>20</v>
      </c>
      <c r="E2711" t="s">
        <v>7639</v>
      </c>
      <c r="F2711">
        <v>1</v>
      </c>
      <c r="G2711" s="15">
        <v>2710000</v>
      </c>
      <c r="H2711" s="14">
        <v>0.13075929750140999</v>
      </c>
      <c r="I2711" s="27">
        <f t="shared" si="42"/>
        <v>2355642.3037711792</v>
      </c>
      <c r="J2711">
        <v>3.6</v>
      </c>
      <c r="K2711" t="b">
        <v>1</v>
      </c>
    </row>
    <row r="2712" spans="1:11" ht="16" x14ac:dyDescent="0.2">
      <c r="A2712" s="16">
        <v>45652</v>
      </c>
      <c r="B2712" t="s">
        <v>29</v>
      </c>
      <c r="C2712" t="s">
        <v>39</v>
      </c>
      <c r="D2712" t="s">
        <v>20</v>
      </c>
      <c r="E2712" t="s">
        <v>7642</v>
      </c>
      <c r="F2712">
        <v>2</v>
      </c>
      <c r="G2712" s="15">
        <v>2710000</v>
      </c>
      <c r="H2712" s="14">
        <v>0.13075929750140999</v>
      </c>
      <c r="I2712" s="27">
        <f t="shared" si="42"/>
        <v>2355642.3037711792</v>
      </c>
      <c r="J2712">
        <v>4.2</v>
      </c>
      <c r="K2712" t="b">
        <v>1</v>
      </c>
    </row>
    <row r="2713" spans="1:11" ht="16" x14ac:dyDescent="0.2">
      <c r="A2713" s="16">
        <v>45652</v>
      </c>
      <c r="B2713" t="s">
        <v>33</v>
      </c>
      <c r="C2713" t="s">
        <v>19</v>
      </c>
      <c r="D2713" t="s">
        <v>35</v>
      </c>
      <c r="E2713" t="s">
        <v>7643</v>
      </c>
      <c r="F2713">
        <v>2</v>
      </c>
      <c r="G2713" s="15">
        <v>2710000</v>
      </c>
      <c r="H2713" s="14">
        <v>0.13075929750140999</v>
      </c>
      <c r="I2713" s="27">
        <f t="shared" si="42"/>
        <v>2355642.3037711792</v>
      </c>
      <c r="J2713">
        <v>4.7</v>
      </c>
      <c r="K2713" t="b">
        <v>1</v>
      </c>
    </row>
    <row r="2714" spans="1:11" ht="16" x14ac:dyDescent="0.2">
      <c r="A2714" s="16">
        <v>45652</v>
      </c>
      <c r="B2714" t="s">
        <v>45</v>
      </c>
      <c r="C2714" t="s">
        <v>34</v>
      </c>
      <c r="D2714" t="s">
        <v>20</v>
      </c>
      <c r="E2714" t="s">
        <v>7638</v>
      </c>
      <c r="F2714">
        <v>1</v>
      </c>
      <c r="G2714" s="15">
        <v>2710000</v>
      </c>
      <c r="H2714" s="14">
        <v>0.13075929750140999</v>
      </c>
      <c r="I2714" s="27">
        <f t="shared" si="42"/>
        <v>2355642.3037711792</v>
      </c>
      <c r="J2714">
        <v>4.8</v>
      </c>
      <c r="K2714" t="b">
        <v>1</v>
      </c>
    </row>
    <row r="2715" spans="1:11" ht="16" x14ac:dyDescent="0.2">
      <c r="A2715" s="16">
        <v>45653</v>
      </c>
      <c r="B2715" t="s">
        <v>18</v>
      </c>
      <c r="C2715" t="s">
        <v>19</v>
      </c>
      <c r="D2715" t="s">
        <v>50</v>
      </c>
      <c r="E2715" t="s">
        <v>7642</v>
      </c>
      <c r="F2715">
        <v>1</v>
      </c>
      <c r="G2715" s="15">
        <v>2710000</v>
      </c>
      <c r="H2715" s="14">
        <v>0.13075929750140999</v>
      </c>
      <c r="I2715" s="27">
        <f t="shared" si="42"/>
        <v>2355642.3037711792</v>
      </c>
      <c r="J2715">
        <v>5</v>
      </c>
      <c r="K2715" t="b">
        <v>0</v>
      </c>
    </row>
    <row r="2716" spans="1:11" ht="16" x14ac:dyDescent="0.2">
      <c r="A2716" s="16">
        <v>45654</v>
      </c>
      <c r="B2716" t="s">
        <v>45</v>
      </c>
      <c r="C2716" t="s">
        <v>45</v>
      </c>
      <c r="D2716" t="s">
        <v>20</v>
      </c>
      <c r="E2716" t="s">
        <v>7641</v>
      </c>
      <c r="F2716">
        <v>4</v>
      </c>
      <c r="G2716" s="15">
        <v>2710000</v>
      </c>
      <c r="H2716" s="14">
        <v>0.13075929750140999</v>
      </c>
      <c r="I2716" s="27">
        <f t="shared" si="42"/>
        <v>2355642.3037711792</v>
      </c>
      <c r="J2716">
        <v>4.0999999999999996</v>
      </c>
      <c r="K2716" t="b">
        <v>1</v>
      </c>
    </row>
    <row r="2717" spans="1:11" ht="16" x14ac:dyDescent="0.2">
      <c r="A2717" s="16">
        <v>45654</v>
      </c>
      <c r="B2717" t="s">
        <v>18</v>
      </c>
      <c r="C2717" t="s">
        <v>19</v>
      </c>
      <c r="D2717" t="s">
        <v>20</v>
      </c>
      <c r="E2717" t="s">
        <v>99</v>
      </c>
      <c r="F2717">
        <v>3</v>
      </c>
      <c r="G2717" s="15">
        <v>2710000</v>
      </c>
      <c r="H2717" s="14">
        <v>0.13075929750140999</v>
      </c>
      <c r="I2717" s="27">
        <f t="shared" si="42"/>
        <v>2355642.3037711792</v>
      </c>
      <c r="J2717">
        <v>3.6</v>
      </c>
      <c r="K2717" t="b">
        <v>1</v>
      </c>
    </row>
    <row r="2718" spans="1:11" ht="16" x14ac:dyDescent="0.2">
      <c r="A2718" s="16">
        <v>45654</v>
      </c>
      <c r="B2718" t="s">
        <v>18</v>
      </c>
      <c r="C2718" t="s">
        <v>34</v>
      </c>
      <c r="D2718" t="s">
        <v>20</v>
      </c>
      <c r="E2718" t="s">
        <v>7642</v>
      </c>
      <c r="F2718">
        <v>2</v>
      </c>
      <c r="G2718" s="15">
        <v>2710000</v>
      </c>
      <c r="H2718" s="14">
        <v>0.13075929750140999</v>
      </c>
      <c r="I2718" s="27">
        <f t="shared" si="42"/>
        <v>2355642.3037711792</v>
      </c>
      <c r="J2718">
        <v>5</v>
      </c>
      <c r="K2718" t="b">
        <v>1</v>
      </c>
    </row>
    <row r="2719" spans="1:11" ht="16" x14ac:dyDescent="0.2">
      <c r="A2719" s="16">
        <v>45655</v>
      </c>
      <c r="B2719" t="str">
        <f>B2718</f>
        <v>Young Professional</v>
      </c>
      <c r="C2719" t="s">
        <v>68</v>
      </c>
      <c r="D2719" t="s">
        <v>20</v>
      </c>
      <c r="E2719" t="s">
        <v>7638</v>
      </c>
      <c r="F2719">
        <v>1</v>
      </c>
      <c r="G2719" s="15">
        <v>2710000</v>
      </c>
      <c r="H2719" s="14">
        <v>0.13075929750140999</v>
      </c>
      <c r="I2719" s="27">
        <f t="shared" si="42"/>
        <v>2355642.3037711792</v>
      </c>
      <c r="J2719">
        <v>3.6</v>
      </c>
      <c r="K2719" t="b">
        <v>1</v>
      </c>
    </row>
    <row r="2720" spans="1:11" ht="16" x14ac:dyDescent="0.2">
      <c r="A2720" s="16">
        <v>45655</v>
      </c>
      <c r="B2720" t="s">
        <v>29</v>
      </c>
      <c r="C2720" t="s">
        <v>19</v>
      </c>
      <c r="D2720" t="s">
        <v>50</v>
      </c>
      <c r="E2720" t="str">
        <f>E2719</f>
        <v>Đà Lạt</v>
      </c>
      <c r="F2720">
        <v>1</v>
      </c>
      <c r="G2720" s="15">
        <v>2710000</v>
      </c>
      <c r="H2720" s="14">
        <v>0.13075929750140999</v>
      </c>
      <c r="I2720" s="27">
        <f t="shared" si="42"/>
        <v>2355642.3037711792</v>
      </c>
      <c r="J2720">
        <v>3.7</v>
      </c>
      <c r="K2720" t="b">
        <v>1</v>
      </c>
    </row>
    <row r="2721" spans="1:11" ht="16" x14ac:dyDescent="0.2">
      <c r="A2721" s="16">
        <v>45655</v>
      </c>
      <c r="B2721" t="s">
        <v>33</v>
      </c>
      <c r="C2721" t="s">
        <v>25</v>
      </c>
      <c r="D2721" t="s">
        <v>20</v>
      </c>
      <c r="E2721" t="s">
        <v>7639</v>
      </c>
      <c r="F2721">
        <v>2</v>
      </c>
      <c r="G2721" s="15">
        <v>2710000</v>
      </c>
      <c r="H2721" s="14">
        <v>0.13075929750140999</v>
      </c>
      <c r="I2721" s="27">
        <f t="shared" si="42"/>
        <v>2355642.3037711792</v>
      </c>
      <c r="J2721">
        <v>4.3</v>
      </c>
      <c r="K2721" t="b">
        <v>0</v>
      </c>
    </row>
    <row r="2722" spans="1:11" ht="16" x14ac:dyDescent="0.2">
      <c r="A2722" s="16">
        <v>45655</v>
      </c>
      <c r="B2722" t="s">
        <v>18</v>
      </c>
      <c r="C2722" t="s">
        <v>19</v>
      </c>
      <c r="D2722" t="s">
        <v>20</v>
      </c>
      <c r="E2722" t="s">
        <v>7642</v>
      </c>
      <c r="F2722">
        <v>1</v>
      </c>
      <c r="G2722" s="15">
        <v>2710000</v>
      </c>
      <c r="H2722" s="14">
        <v>0.13075929750140999</v>
      </c>
      <c r="I2722" s="27">
        <f t="shared" si="42"/>
        <v>2355642.3037711792</v>
      </c>
      <c r="J2722">
        <v>3.6</v>
      </c>
      <c r="K2722" t="b">
        <v>0</v>
      </c>
    </row>
    <row r="2723" spans="1:11" ht="16" x14ac:dyDescent="0.2">
      <c r="A2723" s="16">
        <v>45655</v>
      </c>
      <c r="B2723" t="s">
        <v>29</v>
      </c>
      <c r="C2723" t="s">
        <v>19</v>
      </c>
      <c r="D2723" t="s">
        <v>35</v>
      </c>
      <c r="E2723" t="s">
        <v>7640</v>
      </c>
      <c r="F2723">
        <v>1</v>
      </c>
      <c r="G2723" s="15">
        <v>2710000</v>
      </c>
      <c r="H2723" s="14">
        <v>0.13075929750140999</v>
      </c>
      <c r="I2723" s="27">
        <f t="shared" si="42"/>
        <v>2355642.3037711792</v>
      </c>
      <c r="J2723">
        <v>5</v>
      </c>
      <c r="K2723" t="b">
        <v>1</v>
      </c>
    </row>
    <row r="2724" spans="1:11" ht="16" x14ac:dyDescent="0.2">
      <c r="A2724" s="16">
        <v>45656</v>
      </c>
      <c r="B2724" t="s">
        <v>33</v>
      </c>
      <c r="C2724" t="s">
        <v>39</v>
      </c>
      <c r="D2724" t="s">
        <v>20</v>
      </c>
      <c r="E2724" t="s">
        <v>7643</v>
      </c>
      <c r="F2724">
        <v>2</v>
      </c>
      <c r="G2724" s="15">
        <v>2710000</v>
      </c>
      <c r="H2724" s="14">
        <v>0.13075929750140999</v>
      </c>
      <c r="I2724" s="27">
        <f t="shared" si="42"/>
        <v>2355642.3037711792</v>
      </c>
      <c r="J2724">
        <v>4.8</v>
      </c>
      <c r="K2724" t="b">
        <v>0</v>
      </c>
    </row>
    <row r="2725" spans="1:11" ht="16" x14ac:dyDescent="0.2">
      <c r="A2725" s="16">
        <v>45656</v>
      </c>
      <c r="B2725" t="s">
        <v>45</v>
      </c>
      <c r="C2725" t="s">
        <v>45</v>
      </c>
      <c r="D2725" t="s">
        <v>50</v>
      </c>
      <c r="E2725" t="s">
        <v>7642</v>
      </c>
      <c r="F2725">
        <v>4</v>
      </c>
      <c r="G2725" s="15">
        <v>2710000</v>
      </c>
      <c r="H2725" s="14">
        <v>0.13075929750140999</v>
      </c>
      <c r="I2725" s="27">
        <f t="shared" si="42"/>
        <v>2355642.3037711792</v>
      </c>
      <c r="J2725">
        <v>3.8</v>
      </c>
      <c r="K2725" t="b">
        <v>1</v>
      </c>
    </row>
    <row r="2726" spans="1:11" ht="16" x14ac:dyDescent="0.2">
      <c r="A2726" s="16">
        <v>45656</v>
      </c>
      <c r="B2726" t="s">
        <v>33</v>
      </c>
      <c r="C2726" t="s">
        <v>45</v>
      </c>
      <c r="D2726" t="s">
        <v>50</v>
      </c>
      <c r="E2726" t="s">
        <v>7644</v>
      </c>
      <c r="F2726">
        <v>3</v>
      </c>
      <c r="G2726" s="15">
        <v>2710000</v>
      </c>
      <c r="H2726" s="14">
        <v>0.13075929750140999</v>
      </c>
      <c r="I2726" s="27">
        <f t="shared" si="42"/>
        <v>2355642.3037711792</v>
      </c>
      <c r="J2726">
        <v>4.0999999999999996</v>
      </c>
      <c r="K2726" t="b">
        <v>1</v>
      </c>
    </row>
    <row r="2727" spans="1:11" ht="16" x14ac:dyDescent="0.2">
      <c r="A2727" s="16">
        <v>45656</v>
      </c>
      <c r="B2727" t="s">
        <v>45</v>
      </c>
      <c r="C2727" t="s">
        <v>19</v>
      </c>
      <c r="D2727" t="s">
        <v>20</v>
      </c>
      <c r="E2727" t="s">
        <v>7640</v>
      </c>
      <c r="F2727">
        <v>1</v>
      </c>
      <c r="G2727" s="15">
        <v>2710000</v>
      </c>
      <c r="H2727" s="14">
        <v>0.13075929750140999</v>
      </c>
      <c r="I2727" s="27">
        <f t="shared" si="42"/>
        <v>2355642.3037711792</v>
      </c>
      <c r="J2727">
        <v>3.5</v>
      </c>
      <c r="K2727" t="b">
        <v>1</v>
      </c>
    </row>
    <row r="2728" spans="1:11" ht="16" x14ac:dyDescent="0.2">
      <c r="A2728" s="16">
        <v>45656</v>
      </c>
      <c r="B2728" t="s">
        <v>45</v>
      </c>
      <c r="C2728" t="s">
        <v>34</v>
      </c>
      <c r="D2728" t="s">
        <v>20</v>
      </c>
      <c r="E2728" t="s">
        <v>7643</v>
      </c>
      <c r="F2728">
        <v>1</v>
      </c>
      <c r="G2728" s="15">
        <v>2710000</v>
      </c>
      <c r="H2728" s="14">
        <v>0.13075929750140999</v>
      </c>
      <c r="I2728" s="27">
        <f t="shared" si="42"/>
        <v>2355642.3037711792</v>
      </c>
      <c r="J2728">
        <v>4.7</v>
      </c>
      <c r="K2728" t="b">
        <v>1</v>
      </c>
    </row>
    <row r="2729" spans="1:11" ht="16" x14ac:dyDescent="0.2">
      <c r="A2729" s="16">
        <v>45657</v>
      </c>
      <c r="B2729" t="s">
        <v>18</v>
      </c>
      <c r="C2729" t="s">
        <v>34</v>
      </c>
      <c r="D2729" t="s">
        <v>20</v>
      </c>
      <c r="E2729" t="s">
        <v>7639</v>
      </c>
      <c r="F2729">
        <v>3</v>
      </c>
      <c r="G2729" s="15">
        <v>2710000</v>
      </c>
      <c r="H2729" s="14">
        <v>0.13075929750140999</v>
      </c>
      <c r="I2729" s="27">
        <f t="shared" si="42"/>
        <v>2355642.3037711792</v>
      </c>
      <c r="J2729">
        <v>4.2</v>
      </c>
      <c r="K2729" t="b">
        <v>1</v>
      </c>
    </row>
    <row r="2730" spans="1:11" ht="16" x14ac:dyDescent="0.2">
      <c r="A2730" s="16">
        <v>45657</v>
      </c>
      <c r="B2730" t="s">
        <v>33</v>
      </c>
      <c r="C2730" t="s">
        <v>34</v>
      </c>
      <c r="D2730" t="s">
        <v>20</v>
      </c>
      <c r="E2730" t="s">
        <v>7639</v>
      </c>
      <c r="F2730">
        <v>1</v>
      </c>
      <c r="G2730" s="15">
        <v>2710000</v>
      </c>
      <c r="H2730" s="14">
        <v>0.13075929750140999</v>
      </c>
      <c r="I2730" s="27">
        <f t="shared" si="42"/>
        <v>2355642.3037711792</v>
      </c>
      <c r="J2730">
        <v>4.2</v>
      </c>
      <c r="K2730" t="b">
        <v>1</v>
      </c>
    </row>
    <row r="2731" spans="1:11" ht="16" x14ac:dyDescent="0.2">
      <c r="A2731" s="16">
        <v>45657</v>
      </c>
      <c r="B2731" t="s">
        <v>45</v>
      </c>
      <c r="C2731" t="s">
        <v>25</v>
      </c>
      <c r="D2731" t="s">
        <v>35</v>
      </c>
      <c r="E2731" t="s">
        <v>7641</v>
      </c>
      <c r="F2731">
        <v>2</v>
      </c>
      <c r="G2731" s="15">
        <v>2710000</v>
      </c>
      <c r="H2731" s="14">
        <v>0.13075929750140999</v>
      </c>
      <c r="I2731" s="27">
        <f t="shared" si="42"/>
        <v>2355642.3037711792</v>
      </c>
      <c r="J2731">
        <v>4.5</v>
      </c>
      <c r="K2731" t="b">
        <v>1</v>
      </c>
    </row>
    <row r="2732" spans="1:11" ht="16" x14ac:dyDescent="0.2">
      <c r="A2732" s="16">
        <v>45657</v>
      </c>
      <c r="B2732" t="s">
        <v>18</v>
      </c>
      <c r="C2732" t="s">
        <v>25</v>
      </c>
      <c r="D2732" t="s">
        <v>50</v>
      </c>
      <c r="E2732" t="s">
        <v>7637</v>
      </c>
      <c r="F2732">
        <v>2</v>
      </c>
      <c r="G2732" s="15">
        <v>2710000</v>
      </c>
      <c r="H2732" s="14">
        <v>0.13075929750140999</v>
      </c>
      <c r="I2732" s="27">
        <f t="shared" si="42"/>
        <v>2355642.3037711792</v>
      </c>
      <c r="J2732">
        <v>4.2</v>
      </c>
      <c r="K2732" t="b">
        <v>1</v>
      </c>
    </row>
    <row r="2733" spans="1:11" ht="16" x14ac:dyDescent="0.2">
      <c r="A2733" s="16">
        <v>45658</v>
      </c>
      <c r="B2733" t="s">
        <v>45</v>
      </c>
      <c r="C2733" t="s">
        <v>39</v>
      </c>
      <c r="D2733" t="s">
        <v>20</v>
      </c>
      <c r="E2733" t="s">
        <v>7637</v>
      </c>
      <c r="F2733">
        <v>2</v>
      </c>
      <c r="G2733" s="15">
        <v>2710000</v>
      </c>
      <c r="H2733" s="14">
        <v>0.13075929750140999</v>
      </c>
      <c r="I2733" s="27">
        <f t="shared" si="42"/>
        <v>2355642.3037711792</v>
      </c>
      <c r="J2733">
        <v>4.3</v>
      </c>
      <c r="K2733" t="b">
        <v>0</v>
      </c>
    </row>
    <row r="2734" spans="1:11" ht="16" x14ac:dyDescent="0.2">
      <c r="A2734" s="16">
        <v>45658</v>
      </c>
      <c r="B2734" t="s">
        <v>45</v>
      </c>
      <c r="C2734" t="s">
        <v>25</v>
      </c>
      <c r="D2734" t="s">
        <v>20</v>
      </c>
      <c r="E2734" t="s">
        <v>99</v>
      </c>
      <c r="F2734">
        <v>1</v>
      </c>
      <c r="G2734" s="15">
        <v>2710000</v>
      </c>
      <c r="H2734" s="14">
        <v>0.13075929750140999</v>
      </c>
      <c r="I2734" s="27">
        <f t="shared" si="42"/>
        <v>2355642.3037711792</v>
      </c>
      <c r="J2734">
        <v>4.2</v>
      </c>
      <c r="K2734" t="b">
        <v>1</v>
      </c>
    </row>
    <row r="2735" spans="1:11" ht="16" x14ac:dyDescent="0.2">
      <c r="A2735" s="16">
        <v>45658</v>
      </c>
      <c r="B2735" t="s">
        <v>18</v>
      </c>
      <c r="C2735" t="s">
        <v>34</v>
      </c>
      <c r="D2735" t="s">
        <v>20</v>
      </c>
      <c r="E2735" t="s">
        <v>7639</v>
      </c>
      <c r="F2735">
        <v>1</v>
      </c>
      <c r="G2735" s="15">
        <v>2710000</v>
      </c>
      <c r="H2735" s="14">
        <v>0.13075929750140999</v>
      </c>
      <c r="I2735" s="27">
        <f t="shared" si="42"/>
        <v>2355642.3037711792</v>
      </c>
      <c r="J2735">
        <v>4.5999999999999996</v>
      </c>
      <c r="K2735" t="b">
        <v>0</v>
      </c>
    </row>
    <row r="2736" spans="1:11" ht="16" x14ac:dyDescent="0.2">
      <c r="A2736" s="16">
        <v>45659</v>
      </c>
      <c r="B2736" t="s">
        <v>45</v>
      </c>
      <c r="C2736" t="s">
        <v>34</v>
      </c>
      <c r="D2736" t="s">
        <v>20</v>
      </c>
      <c r="E2736" t="s">
        <v>7639</v>
      </c>
      <c r="F2736">
        <v>4</v>
      </c>
      <c r="G2736" s="15">
        <v>2710000</v>
      </c>
      <c r="H2736" s="14">
        <v>0.13075929750140999</v>
      </c>
      <c r="I2736" s="27">
        <f t="shared" si="42"/>
        <v>2355642.3037711792</v>
      </c>
      <c r="J2736">
        <v>4.5</v>
      </c>
      <c r="K2736" t="b">
        <v>0</v>
      </c>
    </row>
    <row r="2737" spans="1:11" ht="16" x14ac:dyDescent="0.2">
      <c r="A2737" s="16">
        <v>45659</v>
      </c>
      <c r="B2737" t="s">
        <v>29</v>
      </c>
      <c r="C2737" t="s">
        <v>25</v>
      </c>
      <c r="D2737" t="s">
        <v>50</v>
      </c>
      <c r="E2737" t="s">
        <v>7640</v>
      </c>
      <c r="F2737">
        <v>3</v>
      </c>
      <c r="G2737" s="15">
        <v>2710000</v>
      </c>
      <c r="H2737" s="14">
        <v>0.13075929750140999</v>
      </c>
      <c r="I2737" s="27">
        <f t="shared" si="42"/>
        <v>2355642.3037711792</v>
      </c>
      <c r="J2737">
        <v>4.4000000000000004</v>
      </c>
      <c r="K2737" t="b">
        <v>1</v>
      </c>
    </row>
    <row r="2738" spans="1:11" ht="16" x14ac:dyDescent="0.2">
      <c r="A2738" s="16">
        <v>45659</v>
      </c>
      <c r="B2738" t="s">
        <v>18</v>
      </c>
      <c r="C2738" t="s">
        <v>34</v>
      </c>
      <c r="D2738" t="s">
        <v>46</v>
      </c>
      <c r="E2738" t="s">
        <v>7639</v>
      </c>
      <c r="F2738">
        <v>4</v>
      </c>
      <c r="G2738" s="15">
        <v>2710000</v>
      </c>
      <c r="H2738" s="14">
        <v>0.13075929750140999</v>
      </c>
      <c r="I2738" s="27">
        <f t="shared" si="42"/>
        <v>2355642.3037711792</v>
      </c>
      <c r="J2738">
        <v>4.3</v>
      </c>
      <c r="K2738" t="b">
        <v>0</v>
      </c>
    </row>
    <row r="2739" spans="1:11" ht="16" x14ac:dyDescent="0.2">
      <c r="A2739" s="16">
        <v>45659</v>
      </c>
      <c r="B2739" t="s">
        <v>18</v>
      </c>
      <c r="C2739" t="s">
        <v>39</v>
      </c>
      <c r="D2739" t="s">
        <v>50</v>
      </c>
      <c r="E2739" t="s">
        <v>7640</v>
      </c>
      <c r="F2739">
        <v>2</v>
      </c>
      <c r="G2739" s="15">
        <v>2710000</v>
      </c>
      <c r="H2739" s="14">
        <v>0.13075929750140999</v>
      </c>
      <c r="I2739" s="27">
        <f t="shared" si="42"/>
        <v>2355642.3037711792</v>
      </c>
      <c r="J2739">
        <v>4.7</v>
      </c>
      <c r="K2739" t="b">
        <v>1</v>
      </c>
    </row>
    <row r="2740" spans="1:11" ht="16" x14ac:dyDescent="0.2">
      <c r="A2740" s="16">
        <v>45659</v>
      </c>
      <c r="B2740" t="s">
        <v>33</v>
      </c>
      <c r="C2740" t="s">
        <v>25</v>
      </c>
      <c r="D2740" t="s">
        <v>20</v>
      </c>
      <c r="E2740" t="s">
        <v>99</v>
      </c>
      <c r="F2740">
        <v>1</v>
      </c>
      <c r="G2740" s="15">
        <v>2710000</v>
      </c>
      <c r="H2740" s="14">
        <v>0.13075929750140999</v>
      </c>
      <c r="I2740" s="27">
        <f t="shared" si="42"/>
        <v>2355642.3037711792</v>
      </c>
      <c r="J2740">
        <v>4.5</v>
      </c>
      <c r="K2740" t="b">
        <v>0</v>
      </c>
    </row>
    <row r="2741" spans="1:11" ht="16" x14ac:dyDescent="0.2">
      <c r="A2741" s="16">
        <v>45659</v>
      </c>
      <c r="B2741" t="s">
        <v>18</v>
      </c>
      <c r="C2741" t="s">
        <v>19</v>
      </c>
      <c r="D2741" t="s">
        <v>50</v>
      </c>
      <c r="E2741" t="s">
        <v>7637</v>
      </c>
      <c r="F2741">
        <v>3</v>
      </c>
      <c r="G2741" s="15">
        <v>2710000</v>
      </c>
      <c r="H2741" s="14">
        <v>0.13075929750140999</v>
      </c>
      <c r="I2741" s="27">
        <f t="shared" si="42"/>
        <v>2355642.3037711792</v>
      </c>
      <c r="J2741">
        <v>3.7</v>
      </c>
      <c r="K2741" t="b">
        <v>1</v>
      </c>
    </row>
    <row r="2742" spans="1:11" ht="16" x14ac:dyDescent="0.2">
      <c r="A2742" s="16">
        <v>45659</v>
      </c>
      <c r="B2742" t="s">
        <v>18</v>
      </c>
      <c r="C2742" t="s">
        <v>68</v>
      </c>
      <c r="D2742" t="s">
        <v>50</v>
      </c>
      <c r="E2742" t="s">
        <v>7640</v>
      </c>
      <c r="F2742">
        <v>2</v>
      </c>
      <c r="G2742" s="15">
        <v>2710000</v>
      </c>
      <c r="H2742" s="14">
        <v>0.13075929750140999</v>
      </c>
      <c r="I2742" s="27">
        <f t="shared" si="42"/>
        <v>2355642.3037711792</v>
      </c>
      <c r="J2742">
        <v>4.0999999999999996</v>
      </c>
      <c r="K2742" t="b">
        <v>1</v>
      </c>
    </row>
    <row r="2743" spans="1:11" ht="16" x14ac:dyDescent="0.2">
      <c r="A2743" s="16">
        <v>45660</v>
      </c>
      <c r="B2743" t="s">
        <v>18</v>
      </c>
      <c r="C2743" t="s">
        <v>25</v>
      </c>
      <c r="D2743" t="s">
        <v>20</v>
      </c>
      <c r="E2743" t="s">
        <v>7644</v>
      </c>
      <c r="F2743">
        <v>3</v>
      </c>
      <c r="G2743" s="15">
        <v>2710000</v>
      </c>
      <c r="H2743" s="14">
        <v>0.13075929750140999</v>
      </c>
      <c r="I2743" s="27">
        <f t="shared" si="42"/>
        <v>2355642.3037711792</v>
      </c>
      <c r="J2743">
        <v>4.3</v>
      </c>
      <c r="K2743" t="b">
        <v>1</v>
      </c>
    </row>
    <row r="2744" spans="1:11" ht="16" x14ac:dyDescent="0.2">
      <c r="A2744" s="16">
        <v>45660</v>
      </c>
      <c r="B2744" t="s">
        <v>45</v>
      </c>
      <c r="C2744" t="s">
        <v>19</v>
      </c>
      <c r="D2744" t="s">
        <v>35</v>
      </c>
      <c r="E2744" t="str">
        <f>E2743</f>
        <v>Hạ Long</v>
      </c>
      <c r="F2744">
        <v>2</v>
      </c>
      <c r="G2744" s="15">
        <v>2710000</v>
      </c>
      <c r="H2744" s="14">
        <v>0.13075929750140999</v>
      </c>
      <c r="I2744" s="27">
        <f t="shared" si="42"/>
        <v>2355642.3037711792</v>
      </c>
      <c r="J2744">
        <v>3.6</v>
      </c>
      <c r="K2744" t="b">
        <v>1</v>
      </c>
    </row>
    <row r="2745" spans="1:11" ht="16" x14ac:dyDescent="0.2">
      <c r="A2745" s="16">
        <v>45660</v>
      </c>
      <c r="B2745" t="s">
        <v>33</v>
      </c>
      <c r="C2745" t="s">
        <v>19</v>
      </c>
      <c r="D2745" t="s">
        <v>50</v>
      </c>
      <c r="E2745" t="str">
        <f>E2744</f>
        <v>Hạ Long</v>
      </c>
      <c r="F2745">
        <v>4</v>
      </c>
      <c r="G2745" s="15">
        <v>2710000</v>
      </c>
      <c r="H2745" s="14">
        <v>0.13075929750140999</v>
      </c>
      <c r="I2745" s="27">
        <f t="shared" si="42"/>
        <v>2355642.3037711792</v>
      </c>
      <c r="J2745">
        <v>4.2</v>
      </c>
      <c r="K2745" t="b">
        <v>1</v>
      </c>
    </row>
    <row r="2746" spans="1:11" ht="16" x14ac:dyDescent="0.2">
      <c r="A2746" s="16">
        <v>45661</v>
      </c>
      <c r="B2746" t="s">
        <v>45</v>
      </c>
      <c r="C2746" t="s">
        <v>45</v>
      </c>
      <c r="D2746" t="s">
        <v>20</v>
      </c>
      <c r="E2746" t="str">
        <f>E2745</f>
        <v>Hạ Long</v>
      </c>
      <c r="F2746">
        <v>3</v>
      </c>
      <c r="G2746" s="15">
        <v>2710000</v>
      </c>
      <c r="H2746" s="14">
        <v>0.13075929750140999</v>
      </c>
      <c r="I2746" s="27">
        <f t="shared" si="42"/>
        <v>2355642.3037711792</v>
      </c>
      <c r="J2746">
        <v>3.9</v>
      </c>
      <c r="K2746" t="b">
        <v>0</v>
      </c>
    </row>
    <row r="2747" spans="1:11" ht="16" x14ac:dyDescent="0.2">
      <c r="A2747" s="16">
        <v>45661</v>
      </c>
      <c r="B2747" t="s">
        <v>18</v>
      </c>
      <c r="C2747" t="s">
        <v>25</v>
      </c>
      <c r="D2747" t="s">
        <v>35</v>
      </c>
      <c r="E2747" t="s">
        <v>7641</v>
      </c>
      <c r="F2747">
        <v>2</v>
      </c>
      <c r="G2747" s="15">
        <v>2710000</v>
      </c>
      <c r="H2747" s="14">
        <v>0.13075929750140999</v>
      </c>
      <c r="I2747" s="27">
        <f t="shared" si="42"/>
        <v>2355642.3037711792</v>
      </c>
      <c r="J2747">
        <v>4.2</v>
      </c>
      <c r="K2747" t="b">
        <v>0</v>
      </c>
    </row>
    <row r="2748" spans="1:11" ht="16" x14ac:dyDescent="0.2">
      <c r="A2748" s="16">
        <v>45661</v>
      </c>
      <c r="B2748" t="s">
        <v>45</v>
      </c>
      <c r="C2748" t="s">
        <v>45</v>
      </c>
      <c r="D2748" t="s">
        <v>20</v>
      </c>
      <c r="E2748" t="s">
        <v>7639</v>
      </c>
      <c r="F2748">
        <v>2</v>
      </c>
      <c r="G2748" s="15">
        <v>2710000</v>
      </c>
      <c r="H2748" s="14">
        <v>0.13075929750140999</v>
      </c>
      <c r="I2748" s="27">
        <f t="shared" si="42"/>
        <v>2355642.3037711792</v>
      </c>
      <c r="J2748">
        <v>3.6</v>
      </c>
      <c r="K2748" t="b">
        <v>1</v>
      </c>
    </row>
    <row r="2749" spans="1:11" ht="16" x14ac:dyDescent="0.2">
      <c r="A2749" s="16">
        <v>45661</v>
      </c>
      <c r="B2749" t="s">
        <v>33</v>
      </c>
      <c r="C2749" t="s">
        <v>39</v>
      </c>
      <c r="D2749" t="s">
        <v>35</v>
      </c>
      <c r="E2749" t="s">
        <v>7638</v>
      </c>
      <c r="F2749">
        <v>3</v>
      </c>
      <c r="G2749" s="15">
        <v>2710000</v>
      </c>
      <c r="H2749" s="14">
        <v>0.13075929750140999</v>
      </c>
      <c r="I2749" s="27">
        <f t="shared" si="42"/>
        <v>2355642.3037711792</v>
      </c>
      <c r="J2749">
        <v>4.2</v>
      </c>
      <c r="K2749" t="b">
        <v>1</v>
      </c>
    </row>
    <row r="2750" spans="1:11" ht="16" x14ac:dyDescent="0.2">
      <c r="A2750" s="16">
        <v>45661</v>
      </c>
      <c r="B2750" t="s">
        <v>18</v>
      </c>
      <c r="C2750" t="s">
        <v>19</v>
      </c>
      <c r="D2750" t="s">
        <v>20</v>
      </c>
      <c r="E2750" t="s">
        <v>7638</v>
      </c>
      <c r="F2750">
        <v>1</v>
      </c>
      <c r="G2750" s="15">
        <v>2710000</v>
      </c>
      <c r="H2750" s="14">
        <v>0.13075929750140999</v>
      </c>
      <c r="I2750" s="27">
        <f t="shared" si="42"/>
        <v>2355642.3037711792</v>
      </c>
      <c r="J2750">
        <v>4.8</v>
      </c>
      <c r="K2750" t="b">
        <v>1</v>
      </c>
    </row>
    <row r="2751" spans="1:11" ht="16" x14ac:dyDescent="0.2">
      <c r="A2751" s="16">
        <v>45661</v>
      </c>
      <c r="B2751" t="s">
        <v>45</v>
      </c>
      <c r="C2751" t="s">
        <v>39</v>
      </c>
      <c r="D2751" t="s">
        <v>50</v>
      </c>
      <c r="E2751" t="s">
        <v>7639</v>
      </c>
      <c r="F2751">
        <v>2</v>
      </c>
      <c r="G2751" s="15">
        <v>2710000</v>
      </c>
      <c r="H2751" s="14">
        <v>0.13075929750140999</v>
      </c>
      <c r="I2751" s="27">
        <f t="shared" si="42"/>
        <v>2355642.3037711792</v>
      </c>
      <c r="J2751">
        <v>4</v>
      </c>
      <c r="K2751" t="b">
        <v>0</v>
      </c>
    </row>
    <row r="2752" spans="1:11" ht="16" x14ac:dyDescent="0.2">
      <c r="A2752" s="16">
        <v>45662</v>
      </c>
      <c r="B2752" t="s">
        <v>18</v>
      </c>
      <c r="C2752" t="s">
        <v>19</v>
      </c>
      <c r="D2752" t="s">
        <v>50</v>
      </c>
      <c r="E2752" t="s">
        <v>7643</v>
      </c>
      <c r="F2752">
        <v>3</v>
      </c>
      <c r="G2752" s="15">
        <v>2710000</v>
      </c>
      <c r="H2752" s="14">
        <v>0.13075929750140999</v>
      </c>
      <c r="I2752" s="27">
        <f t="shared" si="42"/>
        <v>2355642.3037711792</v>
      </c>
      <c r="J2752">
        <v>4.7</v>
      </c>
      <c r="K2752" t="b">
        <v>1</v>
      </c>
    </row>
    <row r="2753" spans="1:11" ht="16" x14ac:dyDescent="0.2">
      <c r="A2753" s="16">
        <v>45662</v>
      </c>
      <c r="B2753" t="s">
        <v>29</v>
      </c>
      <c r="C2753" t="s">
        <v>19</v>
      </c>
      <c r="D2753" t="s">
        <v>20</v>
      </c>
      <c r="E2753" t="str">
        <f>E2752</f>
        <v>TP. HCM</v>
      </c>
      <c r="F2753">
        <v>2</v>
      </c>
      <c r="G2753" s="15">
        <v>2710000</v>
      </c>
      <c r="H2753" s="14">
        <v>0.13075929750140999</v>
      </c>
      <c r="I2753" s="27">
        <f t="shared" si="42"/>
        <v>2355642.3037711792</v>
      </c>
      <c r="J2753">
        <v>3.4</v>
      </c>
      <c r="K2753" t="b">
        <v>1</v>
      </c>
    </row>
    <row r="2754" spans="1:11" ht="16" x14ac:dyDescent="0.2">
      <c r="A2754" s="16">
        <v>45663</v>
      </c>
      <c r="B2754" t="s">
        <v>18</v>
      </c>
      <c r="C2754" t="s">
        <v>34</v>
      </c>
      <c r="D2754" t="s">
        <v>35</v>
      </c>
      <c r="E2754" t="s">
        <v>7639</v>
      </c>
      <c r="F2754">
        <v>3</v>
      </c>
      <c r="G2754" s="15">
        <v>2710000</v>
      </c>
      <c r="H2754" s="14">
        <v>0.13075929750140999</v>
      </c>
      <c r="I2754" s="27">
        <f t="shared" si="42"/>
        <v>2355642.3037711792</v>
      </c>
      <c r="J2754">
        <v>3.9</v>
      </c>
      <c r="K2754" t="b">
        <v>1</v>
      </c>
    </row>
    <row r="2755" spans="1:11" ht="16" x14ac:dyDescent="0.2">
      <c r="A2755" s="16">
        <v>45663</v>
      </c>
      <c r="B2755" t="s">
        <v>29</v>
      </c>
      <c r="C2755" t="s">
        <v>34</v>
      </c>
      <c r="D2755" t="s">
        <v>35</v>
      </c>
      <c r="E2755" t="s">
        <v>7640</v>
      </c>
      <c r="F2755">
        <v>1</v>
      </c>
      <c r="G2755" s="15">
        <v>2710000</v>
      </c>
      <c r="H2755" s="14">
        <v>0.13075929750140999</v>
      </c>
      <c r="I2755" s="27">
        <f t="shared" ref="I2755:I2818" si="43">G2755-G2755*H2755</f>
        <v>2355642.3037711792</v>
      </c>
      <c r="J2755">
        <v>4.4000000000000004</v>
      </c>
      <c r="K2755" t="b">
        <v>1</v>
      </c>
    </row>
    <row r="2756" spans="1:11" ht="16" x14ac:dyDescent="0.2">
      <c r="A2756" s="16">
        <v>45663</v>
      </c>
      <c r="B2756" t="s">
        <v>33</v>
      </c>
      <c r="C2756" t="s">
        <v>34</v>
      </c>
      <c r="D2756" t="s">
        <v>50</v>
      </c>
      <c r="E2756" t="s">
        <v>7641</v>
      </c>
      <c r="F2756">
        <v>2</v>
      </c>
      <c r="G2756" s="15">
        <v>2710000</v>
      </c>
      <c r="H2756" s="14">
        <v>0.13075929750140999</v>
      </c>
      <c r="I2756" s="27">
        <f t="shared" si="43"/>
        <v>2355642.3037711792</v>
      </c>
      <c r="J2756">
        <v>4.4000000000000004</v>
      </c>
      <c r="K2756" t="b">
        <v>1</v>
      </c>
    </row>
    <row r="2757" spans="1:11" ht="16" x14ac:dyDescent="0.2">
      <c r="A2757" s="16">
        <v>45663</v>
      </c>
      <c r="B2757" t="s">
        <v>18</v>
      </c>
      <c r="C2757" t="s">
        <v>25</v>
      </c>
      <c r="D2757" t="s">
        <v>20</v>
      </c>
      <c r="E2757" t="s">
        <v>7642</v>
      </c>
      <c r="F2757">
        <v>1</v>
      </c>
      <c r="G2757" s="15">
        <v>2710000</v>
      </c>
      <c r="H2757" s="14">
        <v>0.13075929750140999</v>
      </c>
      <c r="I2757" s="27">
        <f t="shared" si="43"/>
        <v>2355642.3037711792</v>
      </c>
      <c r="J2757">
        <v>3.5</v>
      </c>
      <c r="K2757" t="b">
        <v>0</v>
      </c>
    </row>
    <row r="2758" spans="1:11" ht="16" x14ac:dyDescent="0.2">
      <c r="A2758" s="16">
        <v>45663</v>
      </c>
      <c r="B2758" t="s">
        <v>45</v>
      </c>
      <c r="C2758" t="s">
        <v>19</v>
      </c>
      <c r="D2758" t="s">
        <v>20</v>
      </c>
      <c r="E2758" t="s">
        <v>7642</v>
      </c>
      <c r="F2758">
        <v>2</v>
      </c>
      <c r="G2758" s="15">
        <v>2710000</v>
      </c>
      <c r="H2758" s="14">
        <v>0.13075929750140999</v>
      </c>
      <c r="I2758" s="27">
        <f t="shared" si="43"/>
        <v>2355642.3037711792</v>
      </c>
      <c r="J2758">
        <v>3.9</v>
      </c>
      <c r="K2758" t="b">
        <v>0</v>
      </c>
    </row>
    <row r="2759" spans="1:11" ht="16" x14ac:dyDescent="0.2">
      <c r="A2759" s="16">
        <v>45663</v>
      </c>
      <c r="B2759" t="s">
        <v>45</v>
      </c>
      <c r="C2759" t="s">
        <v>34</v>
      </c>
      <c r="D2759" t="s">
        <v>35</v>
      </c>
      <c r="E2759" t="s">
        <v>7639</v>
      </c>
      <c r="F2759">
        <v>2</v>
      </c>
      <c r="G2759" s="15">
        <v>2710000</v>
      </c>
      <c r="H2759" s="14">
        <v>0.13075929750140999</v>
      </c>
      <c r="I2759" s="27">
        <f t="shared" si="43"/>
        <v>2355642.3037711792</v>
      </c>
      <c r="J2759">
        <v>3.9</v>
      </c>
      <c r="K2759" t="b">
        <v>0</v>
      </c>
    </row>
    <row r="2760" spans="1:11" ht="16" x14ac:dyDescent="0.2">
      <c r="A2760" s="16">
        <v>45664</v>
      </c>
      <c r="B2760" t="s">
        <v>45</v>
      </c>
      <c r="C2760" t="s">
        <v>34</v>
      </c>
      <c r="D2760" t="s">
        <v>35</v>
      </c>
      <c r="E2760" t="s">
        <v>99</v>
      </c>
      <c r="F2760">
        <v>4</v>
      </c>
      <c r="G2760" s="15">
        <v>2710000</v>
      </c>
      <c r="H2760" s="14">
        <v>0.13075929750140999</v>
      </c>
      <c r="I2760" s="27">
        <f t="shared" si="43"/>
        <v>2355642.3037711792</v>
      </c>
      <c r="J2760">
        <v>4.3</v>
      </c>
      <c r="K2760" t="b">
        <v>1</v>
      </c>
    </row>
    <row r="2761" spans="1:11" ht="16" x14ac:dyDescent="0.2">
      <c r="A2761" s="16">
        <v>45664</v>
      </c>
      <c r="B2761" t="s">
        <v>33</v>
      </c>
      <c r="C2761" t="s">
        <v>19</v>
      </c>
      <c r="D2761" t="s">
        <v>20</v>
      </c>
      <c r="E2761" t="s">
        <v>7642</v>
      </c>
      <c r="F2761">
        <v>1</v>
      </c>
      <c r="G2761" s="15">
        <v>2710000</v>
      </c>
      <c r="H2761" s="14">
        <v>0.13075929750140999</v>
      </c>
      <c r="I2761" s="27">
        <f t="shared" si="43"/>
        <v>2355642.3037711792</v>
      </c>
      <c r="J2761">
        <v>4</v>
      </c>
      <c r="K2761" t="b">
        <v>1</v>
      </c>
    </row>
    <row r="2762" spans="1:11" ht="16" x14ac:dyDescent="0.2">
      <c r="A2762" s="16">
        <v>45664</v>
      </c>
      <c r="B2762" t="s">
        <v>45</v>
      </c>
      <c r="C2762" t="s">
        <v>45</v>
      </c>
      <c r="D2762" t="str">
        <f>D2761</f>
        <v>Website</v>
      </c>
      <c r="E2762" t="s">
        <v>7637</v>
      </c>
      <c r="F2762">
        <v>1</v>
      </c>
      <c r="G2762" s="15">
        <v>2710000</v>
      </c>
      <c r="H2762" s="14">
        <v>0.13075929750140999</v>
      </c>
      <c r="I2762" s="27">
        <f t="shared" si="43"/>
        <v>2355642.3037711792</v>
      </c>
      <c r="J2762">
        <v>4.8</v>
      </c>
      <c r="K2762" t="b">
        <v>1</v>
      </c>
    </row>
    <row r="2763" spans="1:11" ht="16" x14ac:dyDescent="0.2">
      <c r="A2763" s="16">
        <v>45664</v>
      </c>
      <c r="B2763" t="s">
        <v>45</v>
      </c>
      <c r="C2763" t="s">
        <v>45</v>
      </c>
      <c r="D2763" t="s">
        <v>20</v>
      </c>
      <c r="E2763" t="s">
        <v>7642</v>
      </c>
      <c r="F2763">
        <v>2</v>
      </c>
      <c r="G2763" s="15">
        <v>2710000</v>
      </c>
      <c r="H2763" s="14">
        <v>0.13075929750140999</v>
      </c>
      <c r="I2763" s="27">
        <f t="shared" si="43"/>
        <v>2355642.3037711792</v>
      </c>
      <c r="J2763">
        <v>3.4</v>
      </c>
      <c r="K2763" t="b">
        <v>0</v>
      </c>
    </row>
    <row r="2764" spans="1:11" ht="16" x14ac:dyDescent="0.2">
      <c r="A2764" s="16">
        <v>45664</v>
      </c>
      <c r="B2764" t="s">
        <v>18</v>
      </c>
      <c r="C2764" t="s">
        <v>34</v>
      </c>
      <c r="D2764" t="s">
        <v>35</v>
      </c>
      <c r="E2764" t="s">
        <v>57</v>
      </c>
      <c r="F2764">
        <v>2</v>
      </c>
      <c r="G2764" s="15">
        <v>2710000</v>
      </c>
      <c r="H2764" s="14">
        <v>0.13075929750140999</v>
      </c>
      <c r="I2764" s="27">
        <f t="shared" si="43"/>
        <v>2355642.3037711792</v>
      </c>
      <c r="J2764">
        <v>4.0999999999999996</v>
      </c>
      <c r="K2764" t="b">
        <v>1</v>
      </c>
    </row>
    <row r="2765" spans="1:11" ht="16" x14ac:dyDescent="0.2">
      <c r="A2765" s="16">
        <v>45664</v>
      </c>
      <c r="B2765" t="s">
        <v>33</v>
      </c>
      <c r="C2765" t="s">
        <v>19</v>
      </c>
      <c r="D2765" t="s">
        <v>50</v>
      </c>
      <c r="E2765" t="s">
        <v>7637</v>
      </c>
      <c r="F2765">
        <v>2</v>
      </c>
      <c r="G2765" s="15">
        <v>2710000</v>
      </c>
      <c r="H2765" s="14">
        <v>0.13075929750140999</v>
      </c>
      <c r="I2765" s="27">
        <f t="shared" si="43"/>
        <v>2355642.3037711792</v>
      </c>
      <c r="J2765">
        <v>4.9000000000000004</v>
      </c>
      <c r="K2765" t="b">
        <v>0</v>
      </c>
    </row>
    <row r="2766" spans="1:11" ht="16" x14ac:dyDescent="0.2">
      <c r="A2766" s="16">
        <v>45664</v>
      </c>
      <c r="B2766" t="s">
        <v>18</v>
      </c>
      <c r="C2766" t="s">
        <v>45</v>
      </c>
      <c r="D2766" t="s">
        <v>35</v>
      </c>
      <c r="E2766" t="s">
        <v>99</v>
      </c>
      <c r="F2766">
        <v>1</v>
      </c>
      <c r="G2766" s="15">
        <v>2710000</v>
      </c>
      <c r="H2766" s="14">
        <v>0.13075929750140999</v>
      </c>
      <c r="I2766" s="27">
        <f t="shared" si="43"/>
        <v>2355642.3037711792</v>
      </c>
      <c r="J2766">
        <v>4.4000000000000004</v>
      </c>
      <c r="K2766" t="b">
        <v>0</v>
      </c>
    </row>
    <row r="2767" spans="1:11" ht="16" x14ac:dyDescent="0.2">
      <c r="A2767" s="16">
        <v>45665</v>
      </c>
      <c r="B2767" t="s">
        <v>45</v>
      </c>
      <c r="C2767" t="s">
        <v>68</v>
      </c>
      <c r="D2767" t="s">
        <v>50</v>
      </c>
      <c r="E2767" t="s">
        <v>7640</v>
      </c>
      <c r="F2767">
        <v>1</v>
      </c>
      <c r="G2767" s="15">
        <v>2710000</v>
      </c>
      <c r="H2767" s="14">
        <v>0.13075929750140999</v>
      </c>
      <c r="I2767" s="27">
        <f t="shared" si="43"/>
        <v>2355642.3037711792</v>
      </c>
      <c r="J2767">
        <v>4.4000000000000004</v>
      </c>
      <c r="K2767" t="b">
        <v>0</v>
      </c>
    </row>
    <row r="2768" spans="1:11" ht="16" x14ac:dyDescent="0.2">
      <c r="A2768" s="16">
        <v>45665</v>
      </c>
      <c r="B2768" t="s">
        <v>45</v>
      </c>
      <c r="C2768" t="s">
        <v>68</v>
      </c>
      <c r="D2768" t="s">
        <v>50</v>
      </c>
      <c r="E2768" t="s">
        <v>7643</v>
      </c>
      <c r="F2768">
        <v>2</v>
      </c>
      <c r="G2768" s="15">
        <v>2710000</v>
      </c>
      <c r="H2768" s="14">
        <v>0.13075929750140999</v>
      </c>
      <c r="I2768" s="27">
        <f t="shared" si="43"/>
        <v>2355642.3037711792</v>
      </c>
      <c r="J2768">
        <v>4.2</v>
      </c>
      <c r="K2768" t="b">
        <v>1</v>
      </c>
    </row>
    <row r="2769" spans="1:11" ht="16" x14ac:dyDescent="0.2">
      <c r="A2769" s="16">
        <v>45666</v>
      </c>
      <c r="B2769" t="s">
        <v>18</v>
      </c>
      <c r="C2769" t="s">
        <v>34</v>
      </c>
      <c r="D2769" t="s">
        <v>50</v>
      </c>
      <c r="E2769" t="str">
        <f>E2768</f>
        <v>TP. HCM</v>
      </c>
      <c r="F2769">
        <v>1</v>
      </c>
      <c r="G2769" s="15">
        <v>2710000</v>
      </c>
      <c r="H2769" s="14">
        <v>0.13075929750140999</v>
      </c>
      <c r="I2769" s="27">
        <f t="shared" si="43"/>
        <v>2355642.3037711792</v>
      </c>
      <c r="J2769">
        <v>4.4000000000000004</v>
      </c>
      <c r="K2769" t="b">
        <v>0</v>
      </c>
    </row>
    <row r="2770" spans="1:11" ht="16" x14ac:dyDescent="0.2">
      <c r="A2770" s="16">
        <v>45666</v>
      </c>
      <c r="B2770" t="s">
        <v>18</v>
      </c>
      <c r="C2770" t="s">
        <v>34</v>
      </c>
      <c r="D2770" t="s">
        <v>20</v>
      </c>
      <c r="E2770" t="s">
        <v>7638</v>
      </c>
      <c r="F2770">
        <v>2</v>
      </c>
      <c r="G2770" s="15">
        <v>2710000</v>
      </c>
      <c r="H2770" s="14">
        <v>0.13075929750140999</v>
      </c>
      <c r="I2770" s="27">
        <f t="shared" si="43"/>
        <v>2355642.3037711792</v>
      </c>
      <c r="J2770">
        <v>4.7</v>
      </c>
      <c r="K2770" t="b">
        <v>1</v>
      </c>
    </row>
    <row r="2771" spans="1:11" ht="16" x14ac:dyDescent="0.2">
      <c r="A2771" s="16">
        <v>45666</v>
      </c>
      <c r="B2771" t="s">
        <v>18</v>
      </c>
      <c r="C2771" t="s">
        <v>68</v>
      </c>
      <c r="D2771" t="s">
        <v>20</v>
      </c>
      <c r="E2771" t="s">
        <v>57</v>
      </c>
      <c r="F2771">
        <v>3</v>
      </c>
      <c r="G2771" s="15">
        <v>2710000</v>
      </c>
      <c r="H2771" s="14">
        <v>0.13075929750140999</v>
      </c>
      <c r="I2771" s="27">
        <f t="shared" si="43"/>
        <v>2355642.3037711792</v>
      </c>
      <c r="J2771">
        <v>3.5</v>
      </c>
      <c r="K2771" t="b">
        <v>1</v>
      </c>
    </row>
    <row r="2772" spans="1:11" ht="16" x14ac:dyDescent="0.2">
      <c r="A2772" s="16">
        <v>45666</v>
      </c>
      <c r="B2772" t="s">
        <v>33</v>
      </c>
      <c r="C2772" t="s">
        <v>19</v>
      </c>
      <c r="D2772" t="s">
        <v>20</v>
      </c>
      <c r="E2772" t="s">
        <v>7637</v>
      </c>
      <c r="F2772">
        <v>2</v>
      </c>
      <c r="G2772" s="15">
        <v>2710000</v>
      </c>
      <c r="H2772" s="14">
        <v>0.13075929750140999</v>
      </c>
      <c r="I2772" s="27">
        <f t="shared" si="43"/>
        <v>2355642.3037711792</v>
      </c>
      <c r="J2772">
        <v>3.8</v>
      </c>
      <c r="K2772" t="b">
        <v>1</v>
      </c>
    </row>
    <row r="2773" spans="1:11" ht="16" x14ac:dyDescent="0.2">
      <c r="A2773" s="16">
        <v>45666</v>
      </c>
      <c r="B2773" t="s">
        <v>29</v>
      </c>
      <c r="C2773" t="s">
        <v>45</v>
      </c>
      <c r="D2773" t="s">
        <v>20</v>
      </c>
      <c r="E2773" t="s">
        <v>7638</v>
      </c>
      <c r="F2773">
        <v>2</v>
      </c>
      <c r="G2773" s="15">
        <v>2710000</v>
      </c>
      <c r="H2773" s="14">
        <v>0.13075929750140999</v>
      </c>
      <c r="I2773" s="27">
        <f t="shared" si="43"/>
        <v>2355642.3037711792</v>
      </c>
      <c r="J2773">
        <v>3.7</v>
      </c>
      <c r="K2773" t="b">
        <v>0</v>
      </c>
    </row>
    <row r="2774" spans="1:11" ht="16" x14ac:dyDescent="0.2">
      <c r="A2774" s="16">
        <v>45666</v>
      </c>
      <c r="B2774" t="s">
        <v>33</v>
      </c>
      <c r="C2774" t="s">
        <v>19</v>
      </c>
      <c r="D2774" t="str">
        <f>D2773</f>
        <v>Website</v>
      </c>
      <c r="E2774" t="s">
        <v>99</v>
      </c>
      <c r="F2774">
        <v>1</v>
      </c>
      <c r="G2774" s="15">
        <v>2710000</v>
      </c>
      <c r="H2774" s="14">
        <v>0.13075929750140999</v>
      </c>
      <c r="I2774" s="27">
        <f t="shared" si="43"/>
        <v>2355642.3037711792</v>
      </c>
      <c r="J2774">
        <v>4.3</v>
      </c>
      <c r="K2774" t="b">
        <v>1</v>
      </c>
    </row>
    <row r="2775" spans="1:11" ht="16" x14ac:dyDescent="0.2">
      <c r="A2775" s="16">
        <v>45667</v>
      </c>
      <c r="B2775" t="s">
        <v>18</v>
      </c>
      <c r="C2775" t="s">
        <v>45</v>
      </c>
      <c r="D2775" t="s">
        <v>35</v>
      </c>
      <c r="E2775" t="s">
        <v>7644</v>
      </c>
      <c r="F2775">
        <v>5</v>
      </c>
      <c r="G2775" s="15">
        <v>2710000</v>
      </c>
      <c r="H2775" s="14">
        <v>0.13075929750140999</v>
      </c>
      <c r="I2775" s="27">
        <f t="shared" si="43"/>
        <v>2355642.3037711792</v>
      </c>
      <c r="J2775">
        <v>4.5</v>
      </c>
      <c r="K2775" t="b">
        <v>1</v>
      </c>
    </row>
    <row r="2776" spans="1:11" ht="16" x14ac:dyDescent="0.2">
      <c r="A2776" s="16">
        <v>45667</v>
      </c>
      <c r="B2776" t="s">
        <v>18</v>
      </c>
      <c r="C2776" t="s">
        <v>34</v>
      </c>
      <c r="D2776" t="s">
        <v>46</v>
      </c>
      <c r="E2776" t="s">
        <v>57</v>
      </c>
      <c r="F2776">
        <v>2</v>
      </c>
      <c r="G2776" s="15">
        <v>2710000</v>
      </c>
      <c r="H2776" s="14">
        <v>0.13075929750140999</v>
      </c>
      <c r="I2776" s="27">
        <f t="shared" si="43"/>
        <v>2355642.3037711792</v>
      </c>
      <c r="J2776">
        <v>3.5</v>
      </c>
      <c r="K2776" t="b">
        <v>1</v>
      </c>
    </row>
    <row r="2777" spans="1:11" ht="16" x14ac:dyDescent="0.2">
      <c r="A2777" s="16">
        <v>45667</v>
      </c>
      <c r="B2777" t="s">
        <v>18</v>
      </c>
      <c r="C2777" t="s">
        <v>34</v>
      </c>
      <c r="D2777" t="s">
        <v>50</v>
      </c>
      <c r="E2777" t="s">
        <v>7637</v>
      </c>
      <c r="F2777">
        <v>4</v>
      </c>
      <c r="G2777" s="15">
        <v>2710000</v>
      </c>
      <c r="H2777" s="14">
        <v>0.13075929750140999</v>
      </c>
      <c r="I2777" s="27">
        <f t="shared" si="43"/>
        <v>2355642.3037711792</v>
      </c>
      <c r="J2777">
        <v>4.4000000000000004</v>
      </c>
      <c r="K2777" t="b">
        <v>0</v>
      </c>
    </row>
    <row r="2778" spans="1:11" ht="16" x14ac:dyDescent="0.2">
      <c r="A2778" s="16">
        <v>45667</v>
      </c>
      <c r="B2778" t="s">
        <v>45</v>
      </c>
      <c r="C2778" t="s">
        <v>34</v>
      </c>
      <c r="D2778" t="s">
        <v>20</v>
      </c>
      <c r="E2778" t="s">
        <v>7637</v>
      </c>
      <c r="F2778">
        <v>3</v>
      </c>
      <c r="G2778" s="15">
        <v>2710000</v>
      </c>
      <c r="H2778" s="14">
        <v>0.13075929750140999</v>
      </c>
      <c r="I2778" s="27">
        <f t="shared" si="43"/>
        <v>2355642.3037711792</v>
      </c>
      <c r="J2778">
        <v>3.9</v>
      </c>
      <c r="K2778" t="b">
        <v>1</v>
      </c>
    </row>
    <row r="2779" spans="1:11" ht="16" x14ac:dyDescent="0.2">
      <c r="A2779" s="16">
        <v>45667</v>
      </c>
      <c r="B2779" t="s">
        <v>29</v>
      </c>
      <c r="C2779" t="s">
        <v>68</v>
      </c>
      <c r="D2779" t="s">
        <v>20</v>
      </c>
      <c r="E2779" t="s">
        <v>7637</v>
      </c>
      <c r="F2779">
        <v>4</v>
      </c>
      <c r="G2779" s="15">
        <v>2710000</v>
      </c>
      <c r="H2779" s="14">
        <v>0.13075929750140999</v>
      </c>
      <c r="I2779" s="27">
        <f t="shared" si="43"/>
        <v>2355642.3037711792</v>
      </c>
      <c r="J2779">
        <v>4.5999999999999996</v>
      </c>
      <c r="K2779" t="b">
        <v>0</v>
      </c>
    </row>
    <row r="2780" spans="1:11" ht="16" x14ac:dyDescent="0.2">
      <c r="A2780" s="16">
        <v>45667</v>
      </c>
      <c r="B2780" t="s">
        <v>18</v>
      </c>
      <c r="C2780" t="s">
        <v>34</v>
      </c>
      <c r="D2780" t="s">
        <v>20</v>
      </c>
      <c r="E2780" t="s">
        <v>7644</v>
      </c>
      <c r="F2780">
        <v>2</v>
      </c>
      <c r="G2780" s="15">
        <v>2710000</v>
      </c>
      <c r="H2780" s="14">
        <v>0.13075929750140999</v>
      </c>
      <c r="I2780" s="27">
        <f t="shared" si="43"/>
        <v>2355642.3037711792</v>
      </c>
      <c r="J2780">
        <v>3.9</v>
      </c>
      <c r="K2780" t="b">
        <v>1</v>
      </c>
    </row>
    <row r="2781" spans="1:11" ht="16" x14ac:dyDescent="0.2">
      <c r="A2781" s="16">
        <v>45667</v>
      </c>
      <c r="B2781" t="s">
        <v>33</v>
      </c>
      <c r="C2781" t="s">
        <v>34</v>
      </c>
      <c r="D2781" t="s">
        <v>35</v>
      </c>
      <c r="E2781" t="s">
        <v>7641</v>
      </c>
      <c r="F2781">
        <v>2</v>
      </c>
      <c r="G2781" s="15">
        <v>2710000</v>
      </c>
      <c r="H2781" s="14">
        <v>0.13075929750140999</v>
      </c>
      <c r="I2781" s="27">
        <f t="shared" si="43"/>
        <v>2355642.3037711792</v>
      </c>
      <c r="J2781">
        <v>3.9</v>
      </c>
      <c r="K2781" t="b">
        <v>0</v>
      </c>
    </row>
    <row r="2782" spans="1:11" ht="16" x14ac:dyDescent="0.2">
      <c r="A2782" s="16">
        <v>45667</v>
      </c>
      <c r="B2782" t="s">
        <v>45</v>
      </c>
      <c r="C2782" t="s">
        <v>25</v>
      </c>
      <c r="D2782" t="s">
        <v>20</v>
      </c>
      <c r="E2782" t="s">
        <v>99</v>
      </c>
      <c r="F2782">
        <v>1</v>
      </c>
      <c r="G2782" s="15">
        <v>2710000</v>
      </c>
      <c r="H2782" s="14">
        <v>0.13075929750140999</v>
      </c>
      <c r="I2782" s="27">
        <f t="shared" si="43"/>
        <v>2355642.3037711792</v>
      </c>
      <c r="J2782">
        <v>4.0999999999999996</v>
      </c>
      <c r="K2782" t="b">
        <v>1</v>
      </c>
    </row>
    <row r="2783" spans="1:11" ht="16" x14ac:dyDescent="0.2">
      <c r="A2783" s="16">
        <v>45668</v>
      </c>
      <c r="B2783" t="s">
        <v>18</v>
      </c>
      <c r="C2783" t="s">
        <v>45</v>
      </c>
      <c r="D2783" t="s">
        <v>50</v>
      </c>
      <c r="E2783" t="s">
        <v>7644</v>
      </c>
      <c r="F2783">
        <v>1</v>
      </c>
      <c r="G2783" s="15">
        <v>2710000</v>
      </c>
      <c r="H2783" s="14">
        <v>0.13075929750140999</v>
      </c>
      <c r="I2783" s="27">
        <f t="shared" si="43"/>
        <v>2355642.3037711792</v>
      </c>
      <c r="J2783">
        <v>4.7</v>
      </c>
      <c r="K2783" t="b">
        <v>1</v>
      </c>
    </row>
    <row r="2784" spans="1:11" ht="16" x14ac:dyDescent="0.2">
      <c r="A2784" s="16">
        <v>45668</v>
      </c>
      <c r="B2784" t="s">
        <v>18</v>
      </c>
      <c r="C2784" t="s">
        <v>34</v>
      </c>
      <c r="D2784" t="s">
        <v>35</v>
      </c>
      <c r="E2784" t="s">
        <v>7640</v>
      </c>
      <c r="F2784">
        <v>3</v>
      </c>
      <c r="G2784" s="15">
        <v>2710000</v>
      </c>
      <c r="H2784" s="14">
        <v>0.13075929750140999</v>
      </c>
      <c r="I2784" s="27">
        <f t="shared" si="43"/>
        <v>2355642.3037711792</v>
      </c>
      <c r="J2784">
        <v>4.3</v>
      </c>
      <c r="K2784" t="b">
        <v>1</v>
      </c>
    </row>
    <row r="2785" spans="1:11" ht="16" x14ac:dyDescent="0.2">
      <c r="A2785" s="16">
        <v>45668</v>
      </c>
      <c r="B2785" t="s">
        <v>45</v>
      </c>
      <c r="C2785" t="s">
        <v>25</v>
      </c>
      <c r="D2785" t="s">
        <v>20</v>
      </c>
      <c r="E2785" t="s">
        <v>7640</v>
      </c>
      <c r="F2785">
        <v>3</v>
      </c>
      <c r="G2785" s="15">
        <v>2710000</v>
      </c>
      <c r="H2785" s="14">
        <v>0.13075929750140999</v>
      </c>
      <c r="I2785" s="27">
        <f t="shared" si="43"/>
        <v>2355642.3037711792</v>
      </c>
      <c r="J2785">
        <v>3.3</v>
      </c>
      <c r="K2785" t="b">
        <v>1</v>
      </c>
    </row>
    <row r="2786" spans="1:11" ht="16" x14ac:dyDescent="0.2">
      <c r="A2786" s="16">
        <v>45668</v>
      </c>
      <c r="B2786" t="s">
        <v>18</v>
      </c>
      <c r="C2786" t="s">
        <v>45</v>
      </c>
      <c r="D2786" t="str">
        <f>D2785</f>
        <v>Website</v>
      </c>
      <c r="E2786" t="str">
        <f>E2785</f>
        <v>Hội An</v>
      </c>
      <c r="F2786">
        <v>5</v>
      </c>
      <c r="G2786" s="15">
        <v>2710000</v>
      </c>
      <c r="H2786" s="14">
        <v>0.13075929750140999</v>
      </c>
      <c r="I2786" s="27">
        <f t="shared" si="43"/>
        <v>2355642.3037711792</v>
      </c>
      <c r="J2786">
        <v>4.0999999999999996</v>
      </c>
      <c r="K2786" t="b">
        <v>1</v>
      </c>
    </row>
    <row r="2787" spans="1:11" ht="16" x14ac:dyDescent="0.2">
      <c r="A2787" s="16">
        <v>45668</v>
      </c>
      <c r="B2787" t="s">
        <v>18</v>
      </c>
      <c r="C2787" t="s">
        <v>19</v>
      </c>
      <c r="D2787" t="str">
        <f>D2786</f>
        <v>Website</v>
      </c>
      <c r="E2787" t="s">
        <v>57</v>
      </c>
      <c r="F2787">
        <v>1</v>
      </c>
      <c r="G2787" s="15">
        <v>2710000</v>
      </c>
      <c r="H2787" s="14">
        <v>0.13075929750140999</v>
      </c>
      <c r="I2787" s="27">
        <f t="shared" si="43"/>
        <v>2355642.3037711792</v>
      </c>
      <c r="J2787">
        <v>4.3</v>
      </c>
      <c r="K2787" t="b">
        <v>1</v>
      </c>
    </row>
    <row r="2788" spans="1:11" ht="16" x14ac:dyDescent="0.2">
      <c r="A2788" s="16">
        <v>45669</v>
      </c>
      <c r="B2788" t="s">
        <v>29</v>
      </c>
      <c r="C2788" t="s">
        <v>34</v>
      </c>
      <c r="D2788" t="s">
        <v>20</v>
      </c>
      <c r="E2788" t="s">
        <v>7644</v>
      </c>
      <c r="F2788">
        <v>4</v>
      </c>
      <c r="G2788" s="15">
        <v>2710000</v>
      </c>
      <c r="H2788" s="14">
        <v>0.13075929750140999</v>
      </c>
      <c r="I2788" s="27">
        <f t="shared" si="43"/>
        <v>2355642.3037711792</v>
      </c>
      <c r="J2788">
        <v>5</v>
      </c>
      <c r="K2788" t="b">
        <v>1</v>
      </c>
    </row>
    <row r="2789" spans="1:11" ht="16" x14ac:dyDescent="0.2">
      <c r="A2789" s="16">
        <v>45669</v>
      </c>
      <c r="B2789" t="s">
        <v>33</v>
      </c>
      <c r="C2789" t="s">
        <v>34</v>
      </c>
      <c r="D2789" t="s">
        <v>20</v>
      </c>
      <c r="E2789" t="s">
        <v>7642</v>
      </c>
      <c r="F2789">
        <v>2</v>
      </c>
      <c r="G2789" s="15">
        <v>2710000</v>
      </c>
      <c r="H2789" s="14">
        <v>0.13075929750140999</v>
      </c>
      <c r="I2789" s="27">
        <f t="shared" si="43"/>
        <v>2355642.3037711792</v>
      </c>
      <c r="J2789">
        <v>5</v>
      </c>
      <c r="K2789" t="b">
        <v>1</v>
      </c>
    </row>
    <row r="2790" spans="1:11" ht="16" x14ac:dyDescent="0.2">
      <c r="A2790" s="16">
        <v>45669</v>
      </c>
      <c r="B2790" t="s">
        <v>33</v>
      </c>
      <c r="C2790" t="s">
        <v>39</v>
      </c>
      <c r="D2790" t="str">
        <f>D2789</f>
        <v>Website</v>
      </c>
      <c r="E2790" t="s">
        <v>99</v>
      </c>
      <c r="F2790">
        <v>1</v>
      </c>
      <c r="G2790" s="15">
        <v>2710000</v>
      </c>
      <c r="H2790" s="14">
        <v>0.13075929750140999</v>
      </c>
      <c r="I2790" s="27">
        <f t="shared" si="43"/>
        <v>2355642.3037711792</v>
      </c>
      <c r="J2790">
        <v>4.3</v>
      </c>
      <c r="K2790" t="b">
        <v>0</v>
      </c>
    </row>
    <row r="2791" spans="1:11" ht="16" x14ac:dyDescent="0.2">
      <c r="A2791" s="16">
        <v>45669</v>
      </c>
      <c r="B2791" t="s">
        <v>45</v>
      </c>
      <c r="C2791" t="s">
        <v>45</v>
      </c>
      <c r="D2791" t="s">
        <v>20</v>
      </c>
      <c r="E2791" t="s">
        <v>7641</v>
      </c>
      <c r="F2791">
        <v>2</v>
      </c>
      <c r="G2791" s="15">
        <v>2710000</v>
      </c>
      <c r="H2791" s="14">
        <v>0.13075929750140999</v>
      </c>
      <c r="I2791" s="27">
        <f t="shared" si="43"/>
        <v>2355642.3037711792</v>
      </c>
      <c r="J2791">
        <v>4.0999999999999996</v>
      </c>
      <c r="K2791" t="b">
        <v>1</v>
      </c>
    </row>
    <row r="2792" spans="1:11" ht="16" x14ac:dyDescent="0.2">
      <c r="A2792" s="16">
        <v>45669</v>
      </c>
      <c r="B2792" t="str">
        <f>B2791</f>
        <v>Family</v>
      </c>
      <c r="C2792" t="s">
        <v>19</v>
      </c>
      <c r="D2792" t="s">
        <v>50</v>
      </c>
      <c r="E2792" t="s">
        <v>7641</v>
      </c>
      <c r="F2792">
        <v>5</v>
      </c>
      <c r="G2792" s="15">
        <v>2710000</v>
      </c>
      <c r="H2792" s="14">
        <v>0.13075929750140999</v>
      </c>
      <c r="I2792" s="27">
        <f t="shared" si="43"/>
        <v>2355642.3037711792</v>
      </c>
      <c r="J2792">
        <v>3.3</v>
      </c>
      <c r="K2792" t="b">
        <v>1</v>
      </c>
    </row>
    <row r="2793" spans="1:11" ht="16" x14ac:dyDescent="0.2">
      <c r="A2793" s="16">
        <v>45670</v>
      </c>
      <c r="B2793" t="s">
        <v>45</v>
      </c>
      <c r="C2793" t="s">
        <v>68</v>
      </c>
      <c r="D2793" t="s">
        <v>35</v>
      </c>
      <c r="E2793" t="s">
        <v>7642</v>
      </c>
      <c r="F2793">
        <v>5</v>
      </c>
      <c r="G2793" s="15">
        <v>2710000</v>
      </c>
      <c r="H2793" s="14">
        <v>0.13075929750140999</v>
      </c>
      <c r="I2793" s="27">
        <f t="shared" si="43"/>
        <v>2355642.3037711792</v>
      </c>
      <c r="J2793">
        <v>4.0999999999999996</v>
      </c>
      <c r="K2793" t="b">
        <v>0</v>
      </c>
    </row>
    <row r="2794" spans="1:11" ht="16" x14ac:dyDescent="0.2">
      <c r="A2794" s="16">
        <v>45670</v>
      </c>
      <c r="B2794" t="s">
        <v>45</v>
      </c>
      <c r="C2794" t="s">
        <v>19</v>
      </c>
      <c r="D2794" t="s">
        <v>50</v>
      </c>
      <c r="E2794" t="s">
        <v>7644</v>
      </c>
      <c r="F2794">
        <v>2</v>
      </c>
      <c r="G2794" s="15">
        <v>2710000</v>
      </c>
      <c r="H2794" s="14">
        <v>0.13075929750140999</v>
      </c>
      <c r="I2794" s="27">
        <f t="shared" si="43"/>
        <v>2355642.3037711792</v>
      </c>
      <c r="J2794">
        <v>4</v>
      </c>
      <c r="K2794" t="b">
        <v>1</v>
      </c>
    </row>
    <row r="2795" spans="1:11" ht="16" x14ac:dyDescent="0.2">
      <c r="A2795" s="16">
        <v>45671</v>
      </c>
      <c r="B2795" t="s">
        <v>33</v>
      </c>
      <c r="C2795" t="s">
        <v>34</v>
      </c>
      <c r="D2795" t="s">
        <v>35</v>
      </c>
      <c r="E2795" t="s">
        <v>7641</v>
      </c>
      <c r="F2795">
        <v>1</v>
      </c>
      <c r="G2795" s="15">
        <v>2710000</v>
      </c>
      <c r="H2795" s="14">
        <v>0.13075929750140999</v>
      </c>
      <c r="I2795" s="27">
        <f t="shared" si="43"/>
        <v>2355642.3037711792</v>
      </c>
      <c r="J2795">
        <v>4.7</v>
      </c>
      <c r="K2795" t="b">
        <v>1</v>
      </c>
    </row>
    <row r="2796" spans="1:11" ht="16" x14ac:dyDescent="0.2">
      <c r="A2796" s="16">
        <v>45671</v>
      </c>
      <c r="B2796" t="s">
        <v>29</v>
      </c>
      <c r="C2796" t="s">
        <v>25</v>
      </c>
      <c r="D2796" t="s">
        <v>50</v>
      </c>
      <c r="E2796" t="s">
        <v>57</v>
      </c>
      <c r="F2796">
        <v>2</v>
      </c>
      <c r="G2796" s="15">
        <v>2710000</v>
      </c>
      <c r="H2796" s="14">
        <v>0.13075929750140999</v>
      </c>
      <c r="I2796" s="27">
        <f t="shared" si="43"/>
        <v>2355642.3037711792</v>
      </c>
      <c r="J2796">
        <v>3.9</v>
      </c>
      <c r="K2796" t="b">
        <v>1</v>
      </c>
    </row>
    <row r="2797" spans="1:11" ht="16" x14ac:dyDescent="0.2">
      <c r="A2797" s="16">
        <v>45671</v>
      </c>
      <c r="B2797" t="s">
        <v>18</v>
      </c>
      <c r="C2797" t="s">
        <v>34</v>
      </c>
      <c r="D2797" t="s">
        <v>46</v>
      </c>
      <c r="E2797" t="s">
        <v>7640</v>
      </c>
      <c r="F2797">
        <v>1</v>
      </c>
      <c r="G2797" s="15">
        <v>2710000</v>
      </c>
      <c r="H2797" s="14">
        <v>0.13075929750140999</v>
      </c>
      <c r="I2797" s="27">
        <f t="shared" si="43"/>
        <v>2355642.3037711792</v>
      </c>
      <c r="J2797">
        <v>3.9</v>
      </c>
      <c r="K2797" t="b">
        <v>1</v>
      </c>
    </row>
    <row r="2798" spans="1:11" ht="16" x14ac:dyDescent="0.2">
      <c r="A2798" s="16">
        <v>45671</v>
      </c>
      <c r="B2798" t="s">
        <v>45</v>
      </c>
      <c r="C2798" t="s">
        <v>34</v>
      </c>
      <c r="D2798" t="s">
        <v>20</v>
      </c>
      <c r="E2798" t="s">
        <v>7640</v>
      </c>
      <c r="F2798">
        <v>3</v>
      </c>
      <c r="G2798" s="15">
        <v>2710000</v>
      </c>
      <c r="H2798" s="14">
        <v>0.13075929750140999</v>
      </c>
      <c r="I2798" s="27">
        <f t="shared" si="43"/>
        <v>2355642.3037711792</v>
      </c>
      <c r="J2798">
        <v>4</v>
      </c>
      <c r="K2798" t="b">
        <v>1</v>
      </c>
    </row>
    <row r="2799" spans="1:11" ht="16" x14ac:dyDescent="0.2">
      <c r="A2799" s="16">
        <v>45671</v>
      </c>
      <c r="B2799" t="s">
        <v>29</v>
      </c>
      <c r="C2799" t="s">
        <v>68</v>
      </c>
      <c r="D2799" t="s">
        <v>20</v>
      </c>
      <c r="E2799" t="s">
        <v>7641</v>
      </c>
      <c r="F2799">
        <v>4</v>
      </c>
      <c r="G2799" s="15">
        <v>2710000</v>
      </c>
      <c r="H2799" s="14">
        <v>0.13075929750140999</v>
      </c>
      <c r="I2799" s="27">
        <f t="shared" si="43"/>
        <v>2355642.3037711792</v>
      </c>
      <c r="J2799">
        <v>4.8</v>
      </c>
      <c r="K2799" t="b">
        <v>1</v>
      </c>
    </row>
    <row r="2800" spans="1:11" ht="16" x14ac:dyDescent="0.2">
      <c r="A2800" s="16">
        <v>45671</v>
      </c>
      <c r="B2800" t="s">
        <v>29</v>
      </c>
      <c r="C2800" t="s">
        <v>25</v>
      </c>
      <c r="D2800" t="s">
        <v>50</v>
      </c>
      <c r="E2800" t="s">
        <v>99</v>
      </c>
      <c r="F2800">
        <v>3</v>
      </c>
      <c r="G2800" s="15">
        <v>2710000</v>
      </c>
      <c r="H2800" s="14">
        <v>0.13075929750140999</v>
      </c>
      <c r="I2800" s="27">
        <f t="shared" si="43"/>
        <v>2355642.3037711792</v>
      </c>
      <c r="J2800">
        <v>4.3</v>
      </c>
      <c r="K2800" t="b">
        <v>1</v>
      </c>
    </row>
    <row r="2801" spans="1:11" ht="16" x14ac:dyDescent="0.2">
      <c r="A2801" s="16">
        <v>45672</v>
      </c>
      <c r="B2801" t="s">
        <v>33</v>
      </c>
      <c r="C2801" t="s">
        <v>25</v>
      </c>
      <c r="D2801" t="s">
        <v>35</v>
      </c>
      <c r="E2801" t="str">
        <f>E2800</f>
        <v>Sa Pa</v>
      </c>
      <c r="F2801">
        <v>3</v>
      </c>
      <c r="G2801" s="15">
        <v>2710000</v>
      </c>
      <c r="H2801" s="14">
        <v>0.13075929750140999</v>
      </c>
      <c r="I2801" s="27">
        <f t="shared" si="43"/>
        <v>2355642.3037711792</v>
      </c>
      <c r="J2801">
        <v>4.7</v>
      </c>
      <c r="K2801" t="b">
        <v>0</v>
      </c>
    </row>
    <row r="2802" spans="1:11" ht="16" x14ac:dyDescent="0.2">
      <c r="A2802" s="16">
        <v>45672</v>
      </c>
      <c r="B2802" t="s">
        <v>18</v>
      </c>
      <c r="C2802" t="s">
        <v>19</v>
      </c>
      <c r="D2802" t="s">
        <v>20</v>
      </c>
      <c r="E2802" t="s">
        <v>57</v>
      </c>
      <c r="F2802">
        <v>1</v>
      </c>
      <c r="G2802" s="15">
        <v>2710000</v>
      </c>
      <c r="H2802" s="14">
        <v>0.13075929750140999</v>
      </c>
      <c r="I2802" s="27">
        <f t="shared" si="43"/>
        <v>2355642.3037711792</v>
      </c>
      <c r="J2802">
        <v>4.9000000000000004</v>
      </c>
      <c r="K2802" t="b">
        <v>1</v>
      </c>
    </row>
    <row r="2803" spans="1:11" ht="16" x14ac:dyDescent="0.2">
      <c r="A2803" s="16">
        <v>45672</v>
      </c>
      <c r="B2803" t="s">
        <v>18</v>
      </c>
      <c r="C2803" t="s">
        <v>25</v>
      </c>
      <c r="D2803" t="s">
        <v>20</v>
      </c>
      <c r="E2803" t="s">
        <v>7638</v>
      </c>
      <c r="F2803">
        <v>2</v>
      </c>
      <c r="G2803" s="15">
        <v>2710000</v>
      </c>
      <c r="H2803" s="14">
        <v>0.13075929750140999</v>
      </c>
      <c r="I2803" s="27">
        <f t="shared" si="43"/>
        <v>2355642.3037711792</v>
      </c>
      <c r="J2803">
        <v>4.4000000000000004</v>
      </c>
      <c r="K2803" t="b">
        <v>0</v>
      </c>
    </row>
    <row r="2804" spans="1:11" ht="16" x14ac:dyDescent="0.2">
      <c r="A2804" s="16">
        <v>45672</v>
      </c>
      <c r="B2804" t="s">
        <v>45</v>
      </c>
      <c r="C2804" t="s">
        <v>68</v>
      </c>
      <c r="D2804" t="s">
        <v>50</v>
      </c>
      <c r="E2804" t="s">
        <v>7644</v>
      </c>
      <c r="F2804">
        <v>3</v>
      </c>
      <c r="G2804" s="15">
        <v>2710000</v>
      </c>
      <c r="H2804" s="14">
        <v>0.13075929750140999</v>
      </c>
      <c r="I2804" s="27">
        <f t="shared" si="43"/>
        <v>2355642.3037711792</v>
      </c>
      <c r="J2804">
        <v>3.7</v>
      </c>
      <c r="K2804" t="b">
        <v>1</v>
      </c>
    </row>
    <row r="2805" spans="1:11" ht="16" x14ac:dyDescent="0.2">
      <c r="A2805" s="16">
        <v>45673</v>
      </c>
      <c r="B2805" t="s">
        <v>33</v>
      </c>
      <c r="C2805" t="s">
        <v>25</v>
      </c>
      <c r="D2805" t="s">
        <v>20</v>
      </c>
      <c r="E2805" t="s">
        <v>7644</v>
      </c>
      <c r="F2805">
        <v>1</v>
      </c>
      <c r="G2805" s="15">
        <v>2710000</v>
      </c>
      <c r="H2805" s="14">
        <v>0.13075929750140999</v>
      </c>
      <c r="I2805" s="27">
        <f t="shared" si="43"/>
        <v>2355642.3037711792</v>
      </c>
      <c r="J2805">
        <v>4.2</v>
      </c>
      <c r="K2805" t="b">
        <v>1</v>
      </c>
    </row>
    <row r="2806" spans="1:11" ht="16" x14ac:dyDescent="0.2">
      <c r="A2806" s="16">
        <v>45674</v>
      </c>
      <c r="B2806" t="s">
        <v>45</v>
      </c>
      <c r="C2806" t="s">
        <v>25</v>
      </c>
      <c r="D2806" t="s">
        <v>20</v>
      </c>
      <c r="E2806" t="s">
        <v>7638</v>
      </c>
      <c r="F2806">
        <v>1</v>
      </c>
      <c r="G2806" s="15">
        <v>2710000</v>
      </c>
      <c r="H2806" s="14">
        <v>0.13075929750140999</v>
      </c>
      <c r="I2806" s="27">
        <f t="shared" si="43"/>
        <v>2355642.3037711792</v>
      </c>
      <c r="J2806">
        <v>4.7</v>
      </c>
      <c r="K2806" t="b">
        <v>1</v>
      </c>
    </row>
    <row r="2807" spans="1:11" ht="16" x14ac:dyDescent="0.2">
      <c r="A2807" s="16">
        <v>45674</v>
      </c>
      <c r="B2807" t="s">
        <v>33</v>
      </c>
      <c r="C2807" t="s">
        <v>45</v>
      </c>
      <c r="D2807" t="s">
        <v>20</v>
      </c>
      <c r="E2807" t="s">
        <v>99</v>
      </c>
      <c r="F2807">
        <v>4</v>
      </c>
      <c r="G2807" s="15">
        <v>2710000</v>
      </c>
      <c r="H2807" s="14">
        <v>0.13075929750140999</v>
      </c>
      <c r="I2807" s="27">
        <f t="shared" si="43"/>
        <v>2355642.3037711792</v>
      </c>
      <c r="J2807">
        <v>3.1</v>
      </c>
      <c r="K2807" t="b">
        <v>1</v>
      </c>
    </row>
    <row r="2808" spans="1:11" ht="16" x14ac:dyDescent="0.2">
      <c r="A2808" s="16">
        <v>45674</v>
      </c>
      <c r="B2808" t="s">
        <v>45</v>
      </c>
      <c r="C2808" t="s">
        <v>25</v>
      </c>
      <c r="D2808" t="str">
        <f>D2807</f>
        <v>Website</v>
      </c>
      <c r="E2808" t="s">
        <v>7641</v>
      </c>
      <c r="F2808">
        <v>3</v>
      </c>
      <c r="G2808" s="15">
        <v>2710000</v>
      </c>
      <c r="H2808" s="14">
        <v>0.13075929750140999</v>
      </c>
      <c r="I2808" s="27">
        <f t="shared" si="43"/>
        <v>2355642.3037711792</v>
      </c>
      <c r="J2808">
        <v>4</v>
      </c>
      <c r="K2808" t="b">
        <v>1</v>
      </c>
    </row>
    <row r="2809" spans="1:11" ht="16" x14ac:dyDescent="0.2">
      <c r="A2809" s="16">
        <v>45674</v>
      </c>
      <c r="B2809" t="str">
        <f>B2808</f>
        <v>Family</v>
      </c>
      <c r="C2809" t="s">
        <v>19</v>
      </c>
      <c r="D2809" t="s">
        <v>50</v>
      </c>
      <c r="E2809" t="s">
        <v>99</v>
      </c>
      <c r="F2809">
        <v>3</v>
      </c>
      <c r="G2809" s="15">
        <v>2710000</v>
      </c>
      <c r="H2809" s="14">
        <v>0.13075929750140999</v>
      </c>
      <c r="I2809" s="27">
        <f t="shared" si="43"/>
        <v>2355642.3037711792</v>
      </c>
      <c r="J2809">
        <v>3.6</v>
      </c>
      <c r="K2809" t="b">
        <v>1</v>
      </c>
    </row>
    <row r="2810" spans="1:11" ht="16" x14ac:dyDescent="0.2">
      <c r="A2810" s="16">
        <v>45674</v>
      </c>
      <c r="B2810" t="s">
        <v>18</v>
      </c>
      <c r="C2810" t="s">
        <v>45</v>
      </c>
      <c r="D2810" t="s">
        <v>20</v>
      </c>
      <c r="E2810" t="s">
        <v>7641</v>
      </c>
      <c r="F2810">
        <v>1</v>
      </c>
      <c r="G2810" s="15">
        <v>2710000</v>
      </c>
      <c r="H2810" s="14">
        <v>0.13075929750140999</v>
      </c>
      <c r="I2810" s="27">
        <f t="shared" si="43"/>
        <v>2355642.3037711792</v>
      </c>
      <c r="J2810">
        <v>4.7</v>
      </c>
      <c r="K2810" t="b">
        <v>1</v>
      </c>
    </row>
    <row r="2811" spans="1:11" ht="16" x14ac:dyDescent="0.2">
      <c r="A2811" s="16">
        <v>45675</v>
      </c>
      <c r="B2811" t="s">
        <v>45</v>
      </c>
      <c r="C2811" t="s">
        <v>68</v>
      </c>
      <c r="D2811" t="s">
        <v>20</v>
      </c>
      <c r="E2811" t="s">
        <v>57</v>
      </c>
      <c r="F2811">
        <v>1</v>
      </c>
      <c r="G2811" s="15">
        <v>2710000</v>
      </c>
      <c r="H2811" s="14">
        <v>0.13075929750140999</v>
      </c>
      <c r="I2811" s="27">
        <f t="shared" si="43"/>
        <v>2355642.3037711792</v>
      </c>
      <c r="J2811">
        <v>4.7</v>
      </c>
      <c r="K2811" t="b">
        <v>1</v>
      </c>
    </row>
    <row r="2812" spans="1:11" ht="16" x14ac:dyDescent="0.2">
      <c r="A2812" s="16">
        <v>45676</v>
      </c>
      <c r="B2812" t="s">
        <v>18</v>
      </c>
      <c r="C2812" t="s">
        <v>45</v>
      </c>
      <c r="D2812" t="s">
        <v>20</v>
      </c>
      <c r="E2812" t="s">
        <v>7639</v>
      </c>
      <c r="F2812">
        <v>4</v>
      </c>
      <c r="G2812" s="15">
        <v>2710000</v>
      </c>
      <c r="H2812" s="14">
        <v>0.13075929750140999</v>
      </c>
      <c r="I2812" s="27">
        <f t="shared" si="43"/>
        <v>2355642.3037711792</v>
      </c>
      <c r="J2812">
        <v>4</v>
      </c>
      <c r="K2812" t="b">
        <v>1</v>
      </c>
    </row>
    <row r="2813" spans="1:11" ht="16" x14ac:dyDescent="0.2">
      <c r="A2813" s="16">
        <v>45676</v>
      </c>
      <c r="B2813" t="s">
        <v>18</v>
      </c>
      <c r="C2813" t="s">
        <v>39</v>
      </c>
      <c r="D2813" t="s">
        <v>35</v>
      </c>
      <c r="E2813" t="s">
        <v>99</v>
      </c>
      <c r="F2813">
        <v>1</v>
      </c>
      <c r="G2813" s="15">
        <v>2710000</v>
      </c>
      <c r="H2813" s="14">
        <v>0.13075929750140999</v>
      </c>
      <c r="I2813" s="27">
        <f t="shared" si="43"/>
        <v>2355642.3037711792</v>
      </c>
      <c r="J2813">
        <v>5</v>
      </c>
      <c r="K2813" t="b">
        <v>1</v>
      </c>
    </row>
    <row r="2814" spans="1:11" ht="16" x14ac:dyDescent="0.2">
      <c r="A2814" s="16">
        <v>45676</v>
      </c>
      <c r="B2814" t="s">
        <v>18</v>
      </c>
      <c r="C2814" t="s">
        <v>19</v>
      </c>
      <c r="D2814" t="s">
        <v>50</v>
      </c>
      <c r="E2814" t="s">
        <v>7640</v>
      </c>
      <c r="F2814">
        <v>2</v>
      </c>
      <c r="G2814" s="15">
        <v>2710000</v>
      </c>
      <c r="H2814" s="14">
        <v>0.13075929750140999</v>
      </c>
      <c r="I2814" s="27">
        <f t="shared" si="43"/>
        <v>2355642.3037711792</v>
      </c>
      <c r="J2814">
        <v>4.5999999999999996</v>
      </c>
      <c r="K2814" t="b">
        <v>1</v>
      </c>
    </row>
    <row r="2815" spans="1:11" ht="16" x14ac:dyDescent="0.2">
      <c r="A2815" s="16">
        <v>45676</v>
      </c>
      <c r="B2815" t="s">
        <v>33</v>
      </c>
      <c r="C2815" t="s">
        <v>34</v>
      </c>
      <c r="D2815" t="s">
        <v>35</v>
      </c>
      <c r="E2815" t="s">
        <v>99</v>
      </c>
      <c r="F2815">
        <v>1</v>
      </c>
      <c r="G2815" s="15">
        <v>2710000</v>
      </c>
      <c r="H2815" s="14">
        <v>0.13075929750140999</v>
      </c>
      <c r="I2815" s="27">
        <f t="shared" si="43"/>
        <v>2355642.3037711792</v>
      </c>
      <c r="J2815">
        <v>3.7</v>
      </c>
      <c r="K2815" t="b">
        <v>1</v>
      </c>
    </row>
    <row r="2816" spans="1:11" ht="16" x14ac:dyDescent="0.2">
      <c r="A2816" s="16">
        <v>45677</v>
      </c>
      <c r="B2816" t="s">
        <v>29</v>
      </c>
      <c r="C2816" t="s">
        <v>34</v>
      </c>
      <c r="D2816" t="s">
        <v>50</v>
      </c>
      <c r="E2816" t="s">
        <v>7637</v>
      </c>
      <c r="F2816">
        <v>2</v>
      </c>
      <c r="G2816" s="15">
        <v>2710000</v>
      </c>
      <c r="H2816" s="14">
        <v>0.13075929750140999</v>
      </c>
      <c r="I2816" s="27">
        <f t="shared" si="43"/>
        <v>2355642.3037711792</v>
      </c>
      <c r="J2816">
        <v>3.7</v>
      </c>
      <c r="K2816" t="b">
        <v>1</v>
      </c>
    </row>
    <row r="2817" spans="1:11" ht="16" x14ac:dyDescent="0.2">
      <c r="A2817" s="16">
        <v>45677</v>
      </c>
      <c r="B2817" t="s">
        <v>33</v>
      </c>
      <c r="C2817" t="s">
        <v>34</v>
      </c>
      <c r="D2817" t="s">
        <v>50</v>
      </c>
      <c r="E2817" t="s">
        <v>7641</v>
      </c>
      <c r="F2817">
        <v>3</v>
      </c>
      <c r="G2817" s="15">
        <v>2710000</v>
      </c>
      <c r="H2817" s="14">
        <v>0.13075929750140999</v>
      </c>
      <c r="I2817" s="27">
        <f t="shared" si="43"/>
        <v>2355642.3037711792</v>
      </c>
      <c r="J2817">
        <v>4.0999999999999996</v>
      </c>
      <c r="K2817" t="b">
        <v>1</v>
      </c>
    </row>
    <row r="2818" spans="1:11" ht="16" x14ac:dyDescent="0.2">
      <c r="A2818" s="16">
        <v>45678</v>
      </c>
      <c r="B2818" t="s">
        <v>45</v>
      </c>
      <c r="C2818" t="s">
        <v>45</v>
      </c>
      <c r="D2818" t="s">
        <v>50</v>
      </c>
      <c r="E2818" t="s">
        <v>57</v>
      </c>
      <c r="F2818">
        <v>1</v>
      </c>
      <c r="G2818" s="15">
        <v>2710000</v>
      </c>
      <c r="H2818" s="14">
        <v>0.13075929750140999</v>
      </c>
      <c r="I2818" s="27">
        <f t="shared" si="43"/>
        <v>2355642.3037711792</v>
      </c>
      <c r="J2818">
        <v>4.9000000000000004</v>
      </c>
      <c r="K2818" t="b">
        <v>1</v>
      </c>
    </row>
    <row r="2819" spans="1:11" ht="16" x14ac:dyDescent="0.2">
      <c r="A2819" s="16">
        <v>45679</v>
      </c>
      <c r="B2819" t="s">
        <v>45</v>
      </c>
      <c r="C2819" t="s">
        <v>19</v>
      </c>
      <c r="D2819" t="s">
        <v>20</v>
      </c>
      <c r="E2819" t="s">
        <v>7640</v>
      </c>
      <c r="F2819">
        <v>2</v>
      </c>
      <c r="G2819" s="15">
        <v>2710000</v>
      </c>
      <c r="H2819" s="14">
        <v>0.13075929750140999</v>
      </c>
      <c r="I2819" s="27">
        <f t="shared" ref="I2819:I2882" si="44">G2819-G2819*H2819</f>
        <v>2355642.3037711792</v>
      </c>
      <c r="J2819">
        <v>4.8</v>
      </c>
      <c r="K2819" t="b">
        <v>1</v>
      </c>
    </row>
    <row r="2820" spans="1:11" ht="16" x14ac:dyDescent="0.2">
      <c r="A2820" s="16">
        <v>45679</v>
      </c>
      <c r="B2820" t="s">
        <v>45</v>
      </c>
      <c r="C2820" t="s">
        <v>25</v>
      </c>
      <c r="D2820" t="s">
        <v>20</v>
      </c>
      <c r="E2820" t="s">
        <v>7641</v>
      </c>
      <c r="F2820">
        <v>1</v>
      </c>
      <c r="G2820" s="15">
        <v>2710000</v>
      </c>
      <c r="H2820" s="14">
        <v>0.13075929750140999</v>
      </c>
      <c r="I2820" s="27">
        <f t="shared" si="44"/>
        <v>2355642.3037711792</v>
      </c>
      <c r="J2820">
        <v>4.3</v>
      </c>
      <c r="K2820" t="b">
        <v>1</v>
      </c>
    </row>
    <row r="2821" spans="1:11" ht="16" x14ac:dyDescent="0.2">
      <c r="A2821" s="16">
        <v>45679</v>
      </c>
      <c r="B2821" t="s">
        <v>45</v>
      </c>
      <c r="C2821" t="s">
        <v>68</v>
      </c>
      <c r="D2821" t="s">
        <v>20</v>
      </c>
      <c r="E2821" t="s">
        <v>7643</v>
      </c>
      <c r="F2821">
        <v>2</v>
      </c>
      <c r="G2821" s="15">
        <v>2710000</v>
      </c>
      <c r="H2821" s="14">
        <v>0.13075929750140999</v>
      </c>
      <c r="I2821" s="27">
        <f t="shared" si="44"/>
        <v>2355642.3037711792</v>
      </c>
      <c r="J2821">
        <v>4.3</v>
      </c>
      <c r="K2821" t="b">
        <v>1</v>
      </c>
    </row>
    <row r="2822" spans="1:11" ht="16" x14ac:dyDescent="0.2">
      <c r="A2822" s="16">
        <v>45680</v>
      </c>
      <c r="B2822" t="s">
        <v>33</v>
      </c>
      <c r="C2822" t="s">
        <v>19</v>
      </c>
      <c r="D2822" t="s">
        <v>50</v>
      </c>
      <c r="E2822" t="s">
        <v>7639</v>
      </c>
      <c r="F2822">
        <v>1</v>
      </c>
      <c r="G2822" s="15">
        <v>2710000</v>
      </c>
      <c r="H2822" s="14">
        <v>0.13075929750140999</v>
      </c>
      <c r="I2822" s="27">
        <f t="shared" si="44"/>
        <v>2355642.3037711792</v>
      </c>
      <c r="J2822">
        <v>4.3</v>
      </c>
      <c r="K2822" t="b">
        <v>1</v>
      </c>
    </row>
    <row r="2823" spans="1:11" ht="16" x14ac:dyDescent="0.2">
      <c r="A2823" s="16">
        <v>45680</v>
      </c>
      <c r="B2823" t="s">
        <v>33</v>
      </c>
      <c r="C2823" t="s">
        <v>68</v>
      </c>
      <c r="D2823" t="s">
        <v>46</v>
      </c>
      <c r="E2823" t="str">
        <f>E2822</f>
        <v>Hà Nội</v>
      </c>
      <c r="F2823">
        <v>2</v>
      </c>
      <c r="G2823" s="15">
        <v>2710000</v>
      </c>
      <c r="H2823" s="14">
        <v>0.13075929750140999</v>
      </c>
      <c r="I2823" s="27">
        <f t="shared" si="44"/>
        <v>2355642.3037711792</v>
      </c>
      <c r="J2823">
        <v>4.3</v>
      </c>
      <c r="K2823" t="b">
        <v>1</v>
      </c>
    </row>
    <row r="2824" spans="1:11" ht="16" x14ac:dyDescent="0.2">
      <c r="A2824" s="16">
        <v>45680</v>
      </c>
      <c r="B2824" t="s">
        <v>29</v>
      </c>
      <c r="C2824" t="s">
        <v>34</v>
      </c>
      <c r="D2824" t="s">
        <v>35</v>
      </c>
      <c r="E2824" t="s">
        <v>7637</v>
      </c>
      <c r="F2824">
        <v>1</v>
      </c>
      <c r="G2824" s="15">
        <v>2710000</v>
      </c>
      <c r="H2824" s="14">
        <v>0.13075929750140999</v>
      </c>
      <c r="I2824" s="27">
        <f t="shared" si="44"/>
        <v>2355642.3037711792</v>
      </c>
      <c r="J2824">
        <v>3.5</v>
      </c>
      <c r="K2824" t="b">
        <v>1</v>
      </c>
    </row>
    <row r="2825" spans="1:11" ht="16" x14ac:dyDescent="0.2">
      <c r="A2825" s="16">
        <v>45680</v>
      </c>
      <c r="B2825" t="s">
        <v>33</v>
      </c>
      <c r="C2825" t="s">
        <v>34</v>
      </c>
      <c r="D2825" t="s">
        <v>20</v>
      </c>
      <c r="E2825" t="s">
        <v>7639</v>
      </c>
      <c r="F2825">
        <v>1</v>
      </c>
      <c r="G2825" s="15">
        <v>2710000</v>
      </c>
      <c r="H2825" s="14">
        <v>0.13075929750140999</v>
      </c>
      <c r="I2825" s="27">
        <f t="shared" si="44"/>
        <v>2355642.3037711792</v>
      </c>
      <c r="J2825">
        <v>4.5</v>
      </c>
      <c r="K2825" t="b">
        <v>1</v>
      </c>
    </row>
    <row r="2826" spans="1:11" ht="16" x14ac:dyDescent="0.2">
      <c r="A2826" s="16">
        <v>45680</v>
      </c>
      <c r="B2826" t="s">
        <v>45</v>
      </c>
      <c r="C2826" t="s">
        <v>45</v>
      </c>
      <c r="D2826" t="s">
        <v>50</v>
      </c>
      <c r="E2826" t="s">
        <v>7640</v>
      </c>
      <c r="F2826">
        <v>3</v>
      </c>
      <c r="G2826" s="15">
        <v>2710000</v>
      </c>
      <c r="H2826" s="14">
        <v>0.13075929750140999</v>
      </c>
      <c r="I2826" s="27">
        <f t="shared" si="44"/>
        <v>2355642.3037711792</v>
      </c>
      <c r="J2826">
        <v>4.3</v>
      </c>
      <c r="K2826" t="b">
        <v>1</v>
      </c>
    </row>
    <row r="2827" spans="1:11" ht="16" x14ac:dyDescent="0.2">
      <c r="A2827" s="16">
        <v>45680</v>
      </c>
      <c r="B2827" t="s">
        <v>33</v>
      </c>
      <c r="C2827" t="s">
        <v>19</v>
      </c>
      <c r="D2827" t="s">
        <v>50</v>
      </c>
      <c r="E2827" t="s">
        <v>7638</v>
      </c>
      <c r="F2827">
        <v>1</v>
      </c>
      <c r="G2827" s="15">
        <v>2710000</v>
      </c>
      <c r="H2827" s="14">
        <v>0.13075929750140999</v>
      </c>
      <c r="I2827" s="27">
        <f t="shared" si="44"/>
        <v>2355642.3037711792</v>
      </c>
      <c r="J2827">
        <v>4.4000000000000004</v>
      </c>
      <c r="K2827" t="b">
        <v>1</v>
      </c>
    </row>
    <row r="2828" spans="1:11" ht="16" x14ac:dyDescent="0.2">
      <c r="A2828" s="16">
        <v>45680</v>
      </c>
      <c r="B2828" t="s">
        <v>33</v>
      </c>
      <c r="C2828" t="s">
        <v>19</v>
      </c>
      <c r="D2828" t="s">
        <v>50</v>
      </c>
      <c r="E2828" t="s">
        <v>7640</v>
      </c>
      <c r="F2828">
        <v>3</v>
      </c>
      <c r="G2828" s="15">
        <v>2710000</v>
      </c>
      <c r="H2828" s="14">
        <v>0.13075929750140999</v>
      </c>
      <c r="I2828" s="27">
        <f t="shared" si="44"/>
        <v>2355642.3037711792</v>
      </c>
      <c r="J2828">
        <v>4.4000000000000004</v>
      </c>
      <c r="K2828" t="b">
        <v>1</v>
      </c>
    </row>
    <row r="2829" spans="1:11" ht="16" x14ac:dyDescent="0.2">
      <c r="A2829" s="16">
        <v>45681</v>
      </c>
      <c r="B2829" t="s">
        <v>33</v>
      </c>
      <c r="C2829" t="s">
        <v>19</v>
      </c>
      <c r="D2829" t="s">
        <v>50</v>
      </c>
      <c r="E2829" t="s">
        <v>57</v>
      </c>
      <c r="F2829">
        <v>1</v>
      </c>
      <c r="G2829" s="15">
        <v>2710000</v>
      </c>
      <c r="H2829" s="14">
        <v>0.13075929750140999</v>
      </c>
      <c r="I2829" s="27">
        <f t="shared" si="44"/>
        <v>2355642.3037711792</v>
      </c>
      <c r="J2829">
        <v>4.7</v>
      </c>
      <c r="K2829" t="b">
        <v>0</v>
      </c>
    </row>
    <row r="2830" spans="1:11" ht="16" x14ac:dyDescent="0.2">
      <c r="A2830" s="16">
        <v>45681</v>
      </c>
      <c r="B2830" t="s">
        <v>18</v>
      </c>
      <c r="C2830" t="s">
        <v>19</v>
      </c>
      <c r="D2830" t="s">
        <v>20</v>
      </c>
      <c r="E2830" t="s">
        <v>7644</v>
      </c>
      <c r="F2830">
        <v>1</v>
      </c>
      <c r="G2830" s="15">
        <v>2710000</v>
      </c>
      <c r="H2830" s="14">
        <v>0.13075929750140999</v>
      </c>
      <c r="I2830" s="27">
        <f t="shared" si="44"/>
        <v>2355642.3037711792</v>
      </c>
      <c r="J2830">
        <v>4</v>
      </c>
      <c r="K2830" t="b">
        <v>1</v>
      </c>
    </row>
    <row r="2831" spans="1:11" ht="16" x14ac:dyDescent="0.2">
      <c r="A2831" s="16">
        <v>45681</v>
      </c>
      <c r="B2831" t="s">
        <v>33</v>
      </c>
      <c r="C2831" t="s">
        <v>19</v>
      </c>
      <c r="D2831" t="str">
        <f>D2830</f>
        <v>Website</v>
      </c>
      <c r="E2831" t="s">
        <v>7644</v>
      </c>
      <c r="F2831">
        <v>3</v>
      </c>
      <c r="G2831" s="15">
        <v>2710000</v>
      </c>
      <c r="H2831" s="14">
        <v>0.13075929750140999</v>
      </c>
      <c r="I2831" s="27">
        <f t="shared" si="44"/>
        <v>2355642.3037711792</v>
      </c>
      <c r="J2831">
        <v>4.8</v>
      </c>
      <c r="K2831" t="b">
        <v>0</v>
      </c>
    </row>
    <row r="2832" spans="1:11" ht="16" x14ac:dyDescent="0.2">
      <c r="A2832" s="16">
        <v>45681</v>
      </c>
      <c r="B2832" t="s">
        <v>33</v>
      </c>
      <c r="C2832" t="s">
        <v>34</v>
      </c>
      <c r="D2832" t="s">
        <v>20</v>
      </c>
      <c r="E2832" t="s">
        <v>7641</v>
      </c>
      <c r="F2832">
        <v>2</v>
      </c>
      <c r="G2832" s="15">
        <v>2710000</v>
      </c>
      <c r="H2832" s="14">
        <v>0.13075929750140999</v>
      </c>
      <c r="I2832" s="27">
        <f t="shared" si="44"/>
        <v>2355642.3037711792</v>
      </c>
      <c r="J2832">
        <v>4.3</v>
      </c>
      <c r="K2832" t="b">
        <v>1</v>
      </c>
    </row>
    <row r="2833" spans="1:11" ht="16" x14ac:dyDescent="0.2">
      <c r="A2833" s="16">
        <v>45682</v>
      </c>
      <c r="B2833" t="s">
        <v>33</v>
      </c>
      <c r="C2833" t="s">
        <v>34</v>
      </c>
      <c r="D2833" t="s">
        <v>20</v>
      </c>
      <c r="E2833" t="s">
        <v>7640</v>
      </c>
      <c r="F2833">
        <v>1</v>
      </c>
      <c r="G2833" s="15">
        <v>2710000</v>
      </c>
      <c r="H2833" s="14">
        <v>0.13075929750140999</v>
      </c>
      <c r="I2833" s="27">
        <f t="shared" si="44"/>
        <v>2355642.3037711792</v>
      </c>
      <c r="J2833">
        <v>4</v>
      </c>
      <c r="K2833" t="b">
        <v>1</v>
      </c>
    </row>
    <row r="2834" spans="1:11" ht="16" x14ac:dyDescent="0.2">
      <c r="A2834" s="16">
        <v>45682</v>
      </c>
      <c r="B2834" t="s">
        <v>29</v>
      </c>
      <c r="C2834" t="s">
        <v>19</v>
      </c>
      <c r="D2834" t="s">
        <v>20</v>
      </c>
      <c r="E2834" t="s">
        <v>57</v>
      </c>
      <c r="F2834">
        <v>2</v>
      </c>
      <c r="G2834" s="15">
        <v>2710000</v>
      </c>
      <c r="H2834" s="14">
        <v>0.13075929750140999</v>
      </c>
      <c r="I2834" s="27">
        <f t="shared" si="44"/>
        <v>2355642.3037711792</v>
      </c>
      <c r="J2834">
        <v>4.2</v>
      </c>
      <c r="K2834" t="b">
        <v>1</v>
      </c>
    </row>
    <row r="2835" spans="1:11" ht="16" x14ac:dyDescent="0.2">
      <c r="A2835" s="16">
        <v>45682</v>
      </c>
      <c r="B2835" t="s">
        <v>18</v>
      </c>
      <c r="C2835" t="s">
        <v>45</v>
      </c>
      <c r="D2835" t="s">
        <v>20</v>
      </c>
      <c r="E2835" t="s">
        <v>7643</v>
      </c>
      <c r="F2835">
        <v>3</v>
      </c>
      <c r="G2835" s="15">
        <v>2710000</v>
      </c>
      <c r="H2835" s="14">
        <v>0.13075929750140999</v>
      </c>
      <c r="I2835" s="27">
        <f t="shared" si="44"/>
        <v>2355642.3037711792</v>
      </c>
      <c r="J2835">
        <v>4.8</v>
      </c>
      <c r="K2835" t="b">
        <v>1</v>
      </c>
    </row>
    <row r="2836" spans="1:11" ht="16" x14ac:dyDescent="0.2">
      <c r="A2836" s="16">
        <v>45682</v>
      </c>
      <c r="B2836" t="s">
        <v>33</v>
      </c>
      <c r="C2836" t="s">
        <v>19</v>
      </c>
      <c r="D2836" t="s">
        <v>35</v>
      </c>
      <c r="E2836" t="s">
        <v>7639</v>
      </c>
      <c r="F2836">
        <v>1</v>
      </c>
      <c r="G2836" s="15">
        <v>2710000</v>
      </c>
      <c r="H2836" s="14">
        <v>0.13075929750140999</v>
      </c>
      <c r="I2836" s="27">
        <f t="shared" si="44"/>
        <v>2355642.3037711792</v>
      </c>
      <c r="J2836">
        <v>4.3</v>
      </c>
      <c r="K2836" t="b">
        <v>0</v>
      </c>
    </row>
    <row r="2837" spans="1:11" ht="16" x14ac:dyDescent="0.2">
      <c r="A2837" s="16">
        <v>45682</v>
      </c>
      <c r="B2837" t="s">
        <v>45</v>
      </c>
      <c r="C2837" t="s">
        <v>39</v>
      </c>
      <c r="D2837" t="s">
        <v>50</v>
      </c>
      <c r="E2837" t="s">
        <v>7643</v>
      </c>
      <c r="F2837">
        <v>2</v>
      </c>
      <c r="G2837" s="15">
        <v>2710000</v>
      </c>
      <c r="H2837" s="14">
        <v>0.13075929750140999</v>
      </c>
      <c r="I2837" s="27">
        <f t="shared" si="44"/>
        <v>2355642.3037711792</v>
      </c>
      <c r="J2837">
        <v>4.4000000000000004</v>
      </c>
      <c r="K2837" t="b">
        <v>1</v>
      </c>
    </row>
    <row r="2838" spans="1:11" ht="16" x14ac:dyDescent="0.2">
      <c r="A2838" s="16">
        <v>45682</v>
      </c>
      <c r="B2838" t="s">
        <v>45</v>
      </c>
      <c r="C2838" t="s">
        <v>19</v>
      </c>
      <c r="D2838" t="s">
        <v>20</v>
      </c>
      <c r="E2838" t="s">
        <v>57</v>
      </c>
      <c r="F2838">
        <v>2</v>
      </c>
      <c r="G2838" s="15">
        <v>2710000</v>
      </c>
      <c r="H2838" s="14">
        <v>0.13075929750140999</v>
      </c>
      <c r="I2838" s="27">
        <f t="shared" si="44"/>
        <v>2355642.3037711792</v>
      </c>
      <c r="J2838">
        <v>4.2</v>
      </c>
      <c r="K2838" t="b">
        <v>1</v>
      </c>
    </row>
    <row r="2839" spans="1:11" ht="16" x14ac:dyDescent="0.2">
      <c r="A2839" s="16">
        <v>45683</v>
      </c>
      <c r="B2839" t="s">
        <v>33</v>
      </c>
      <c r="C2839" t="s">
        <v>45</v>
      </c>
      <c r="D2839" t="s">
        <v>20</v>
      </c>
      <c r="E2839" t="str">
        <f>E2838</f>
        <v>Nha Trang</v>
      </c>
      <c r="F2839">
        <v>1</v>
      </c>
      <c r="G2839" s="15">
        <v>2710000</v>
      </c>
      <c r="H2839" s="14">
        <v>0.13075929750140999</v>
      </c>
      <c r="I2839" s="27">
        <f t="shared" si="44"/>
        <v>2355642.3037711792</v>
      </c>
      <c r="J2839">
        <v>4.4000000000000004</v>
      </c>
      <c r="K2839" t="b">
        <v>0</v>
      </c>
    </row>
    <row r="2840" spans="1:11" ht="16" x14ac:dyDescent="0.2">
      <c r="A2840" s="16">
        <v>45683</v>
      </c>
      <c r="B2840" t="s">
        <v>45</v>
      </c>
      <c r="C2840" t="s">
        <v>19</v>
      </c>
      <c r="D2840" t="s">
        <v>20</v>
      </c>
      <c r="E2840" t="s">
        <v>57</v>
      </c>
      <c r="F2840">
        <v>1</v>
      </c>
      <c r="G2840" s="15">
        <v>2710000</v>
      </c>
      <c r="H2840" s="14">
        <v>0.13075929750140999</v>
      </c>
      <c r="I2840" s="27">
        <f t="shared" si="44"/>
        <v>2355642.3037711792</v>
      </c>
      <c r="J2840">
        <v>4</v>
      </c>
      <c r="K2840" t="b">
        <v>1</v>
      </c>
    </row>
    <row r="2841" spans="1:11" ht="16" x14ac:dyDescent="0.2">
      <c r="A2841" s="16">
        <v>45683</v>
      </c>
      <c r="B2841" t="str">
        <f>B2840</f>
        <v>Family</v>
      </c>
      <c r="C2841" t="s">
        <v>34</v>
      </c>
      <c r="D2841" t="s">
        <v>20</v>
      </c>
      <c r="E2841" t="s">
        <v>7639</v>
      </c>
      <c r="F2841">
        <v>2</v>
      </c>
      <c r="G2841" s="15">
        <v>2710000</v>
      </c>
      <c r="H2841" s="14">
        <v>0.13075929750140999</v>
      </c>
      <c r="I2841" s="27">
        <f t="shared" si="44"/>
        <v>2355642.3037711792</v>
      </c>
      <c r="J2841">
        <v>3.7</v>
      </c>
      <c r="K2841" t="b">
        <v>0</v>
      </c>
    </row>
    <row r="2842" spans="1:11" ht="16" x14ac:dyDescent="0.2">
      <c r="A2842" s="16">
        <v>45683</v>
      </c>
      <c r="B2842" t="s">
        <v>29</v>
      </c>
      <c r="C2842" t="s">
        <v>19</v>
      </c>
      <c r="D2842" t="s">
        <v>50</v>
      </c>
      <c r="E2842" t="s">
        <v>7641</v>
      </c>
      <c r="F2842">
        <v>2</v>
      </c>
      <c r="G2842" s="15">
        <v>2710000</v>
      </c>
      <c r="H2842" s="14">
        <v>0.13075929750140999</v>
      </c>
      <c r="I2842" s="27">
        <f t="shared" si="44"/>
        <v>2355642.3037711792</v>
      </c>
      <c r="J2842">
        <v>4.4000000000000004</v>
      </c>
      <c r="K2842" t="b">
        <v>1</v>
      </c>
    </row>
    <row r="2843" spans="1:11" ht="16" x14ac:dyDescent="0.2">
      <c r="A2843" s="16">
        <v>45684</v>
      </c>
      <c r="B2843" t="s">
        <v>33</v>
      </c>
      <c r="C2843" t="s">
        <v>45</v>
      </c>
      <c r="D2843" t="s">
        <v>50</v>
      </c>
      <c r="E2843" t="s">
        <v>7640</v>
      </c>
      <c r="F2843">
        <v>3</v>
      </c>
      <c r="G2843" s="15">
        <v>2710000</v>
      </c>
      <c r="H2843" s="14">
        <v>0.13075929750140999</v>
      </c>
      <c r="I2843" s="27">
        <f t="shared" si="44"/>
        <v>2355642.3037711792</v>
      </c>
      <c r="J2843">
        <v>4.2</v>
      </c>
      <c r="K2843" t="b">
        <v>1</v>
      </c>
    </row>
    <row r="2844" spans="1:11" ht="16" x14ac:dyDescent="0.2">
      <c r="A2844" s="16">
        <v>45684</v>
      </c>
      <c r="B2844" t="s">
        <v>33</v>
      </c>
      <c r="C2844" t="s">
        <v>34</v>
      </c>
      <c r="D2844" t="s">
        <v>35</v>
      </c>
      <c r="E2844" t="s">
        <v>7637</v>
      </c>
      <c r="F2844">
        <v>2</v>
      </c>
      <c r="G2844" s="15">
        <v>2710000</v>
      </c>
      <c r="H2844" s="14">
        <v>0.13075929750140999</v>
      </c>
      <c r="I2844" s="27">
        <f t="shared" si="44"/>
        <v>2355642.3037711792</v>
      </c>
      <c r="J2844">
        <v>5</v>
      </c>
      <c r="K2844" t="b">
        <v>0</v>
      </c>
    </row>
    <row r="2845" spans="1:11" ht="16" x14ac:dyDescent="0.2">
      <c r="A2845" s="16">
        <v>45684</v>
      </c>
      <c r="B2845" t="s">
        <v>18</v>
      </c>
      <c r="C2845" t="s">
        <v>19</v>
      </c>
      <c r="D2845" t="s">
        <v>46</v>
      </c>
      <c r="E2845" t="s">
        <v>57</v>
      </c>
      <c r="F2845">
        <v>2</v>
      </c>
      <c r="G2845" s="15">
        <v>2710000</v>
      </c>
      <c r="H2845" s="14">
        <v>0.13075929750140999</v>
      </c>
      <c r="I2845" s="27">
        <f t="shared" si="44"/>
        <v>2355642.3037711792</v>
      </c>
      <c r="J2845">
        <v>4.7</v>
      </c>
      <c r="K2845" t="b">
        <v>1</v>
      </c>
    </row>
    <row r="2846" spans="1:11" ht="16" x14ac:dyDescent="0.2">
      <c r="A2846" s="16">
        <v>45684</v>
      </c>
      <c r="B2846" t="s">
        <v>33</v>
      </c>
      <c r="C2846" t="s">
        <v>25</v>
      </c>
      <c r="D2846" t="s">
        <v>35</v>
      </c>
      <c r="E2846" t="s">
        <v>7639</v>
      </c>
      <c r="F2846">
        <v>3</v>
      </c>
      <c r="G2846" s="15">
        <v>2710000</v>
      </c>
      <c r="H2846" s="14">
        <v>0.13075929750140999</v>
      </c>
      <c r="I2846" s="27">
        <f t="shared" si="44"/>
        <v>2355642.3037711792</v>
      </c>
      <c r="J2846">
        <v>4.0999999999999996</v>
      </c>
      <c r="K2846" t="b">
        <v>1</v>
      </c>
    </row>
    <row r="2847" spans="1:11" ht="16" x14ac:dyDescent="0.2">
      <c r="A2847" s="16">
        <v>45684</v>
      </c>
      <c r="B2847" t="s">
        <v>18</v>
      </c>
      <c r="C2847" t="s">
        <v>25</v>
      </c>
      <c r="D2847" t="s">
        <v>20</v>
      </c>
      <c r="E2847" t="s">
        <v>7642</v>
      </c>
      <c r="F2847">
        <v>4</v>
      </c>
      <c r="G2847" s="15">
        <v>2710000</v>
      </c>
      <c r="H2847" s="14">
        <v>0.13075929750140999</v>
      </c>
      <c r="I2847" s="27">
        <f t="shared" si="44"/>
        <v>2355642.3037711792</v>
      </c>
      <c r="J2847">
        <v>4.9000000000000004</v>
      </c>
      <c r="K2847" t="b">
        <v>1</v>
      </c>
    </row>
    <row r="2848" spans="1:11" ht="16" x14ac:dyDescent="0.2">
      <c r="A2848" s="16">
        <v>45685</v>
      </c>
      <c r="B2848" t="s">
        <v>33</v>
      </c>
      <c r="C2848" t="s">
        <v>25</v>
      </c>
      <c r="D2848" t="s">
        <v>50</v>
      </c>
      <c r="E2848" t="s">
        <v>7638</v>
      </c>
      <c r="F2848">
        <v>1</v>
      </c>
      <c r="G2848" s="15">
        <v>2710000</v>
      </c>
      <c r="H2848" s="14">
        <v>0.13075929750140999</v>
      </c>
      <c r="I2848" s="27">
        <f t="shared" si="44"/>
        <v>2355642.3037711792</v>
      </c>
      <c r="J2848">
        <v>4.5999999999999996</v>
      </c>
      <c r="K2848" t="b">
        <v>1</v>
      </c>
    </row>
    <row r="2849" spans="1:11" ht="16" x14ac:dyDescent="0.2">
      <c r="A2849" s="16">
        <v>45685</v>
      </c>
      <c r="B2849" t="s">
        <v>45</v>
      </c>
      <c r="C2849" t="s">
        <v>25</v>
      </c>
      <c r="D2849" t="s">
        <v>20</v>
      </c>
      <c r="E2849" t="s">
        <v>7644</v>
      </c>
      <c r="F2849">
        <v>1</v>
      </c>
      <c r="G2849" s="15">
        <v>2710000</v>
      </c>
      <c r="H2849" s="14">
        <v>0.13075929750140999</v>
      </c>
      <c r="I2849" s="27">
        <f t="shared" si="44"/>
        <v>2355642.3037711792</v>
      </c>
      <c r="J2849">
        <v>4.9000000000000004</v>
      </c>
      <c r="K2849" t="b">
        <v>0</v>
      </c>
    </row>
    <row r="2850" spans="1:11" ht="16" x14ac:dyDescent="0.2">
      <c r="A2850" s="16">
        <v>45685</v>
      </c>
      <c r="B2850" t="s">
        <v>33</v>
      </c>
      <c r="C2850" t="s">
        <v>34</v>
      </c>
      <c r="D2850" t="s">
        <v>35</v>
      </c>
      <c r="E2850" t="s">
        <v>57</v>
      </c>
      <c r="F2850">
        <v>1</v>
      </c>
      <c r="G2850" s="15">
        <v>2710000</v>
      </c>
      <c r="H2850" s="14">
        <v>0.13075929750140999</v>
      </c>
      <c r="I2850" s="27">
        <f t="shared" si="44"/>
        <v>2355642.3037711792</v>
      </c>
      <c r="J2850">
        <v>4.5</v>
      </c>
      <c r="K2850" t="b">
        <v>1</v>
      </c>
    </row>
    <row r="2851" spans="1:11" ht="16" x14ac:dyDescent="0.2">
      <c r="A2851" s="16">
        <v>45685</v>
      </c>
      <c r="B2851" t="s">
        <v>18</v>
      </c>
      <c r="C2851" t="s">
        <v>34</v>
      </c>
      <c r="D2851" t="s">
        <v>35</v>
      </c>
      <c r="E2851" t="s">
        <v>7640</v>
      </c>
      <c r="F2851">
        <v>1</v>
      </c>
      <c r="G2851" s="15">
        <v>2710000</v>
      </c>
      <c r="H2851" s="14">
        <v>0.13075929750140999</v>
      </c>
      <c r="I2851" s="27">
        <f t="shared" si="44"/>
        <v>2355642.3037711792</v>
      </c>
      <c r="J2851">
        <v>5</v>
      </c>
      <c r="K2851" t="b">
        <v>1</v>
      </c>
    </row>
    <row r="2852" spans="1:11" ht="16" x14ac:dyDescent="0.2">
      <c r="A2852" s="16">
        <v>45685</v>
      </c>
      <c r="B2852" t="s">
        <v>45</v>
      </c>
      <c r="C2852" t="s">
        <v>39</v>
      </c>
      <c r="D2852" t="s">
        <v>20</v>
      </c>
      <c r="E2852" t="s">
        <v>7641</v>
      </c>
      <c r="F2852">
        <v>1</v>
      </c>
      <c r="G2852" s="15">
        <v>2710000</v>
      </c>
      <c r="H2852" s="14">
        <v>0.13075929750140999</v>
      </c>
      <c r="I2852" s="27">
        <f t="shared" si="44"/>
        <v>2355642.3037711792</v>
      </c>
      <c r="J2852">
        <v>4.4000000000000004</v>
      </c>
      <c r="K2852" t="b">
        <v>0</v>
      </c>
    </row>
    <row r="2853" spans="1:11" ht="16" x14ac:dyDescent="0.2">
      <c r="A2853" s="16">
        <v>45686</v>
      </c>
      <c r="B2853" t="s">
        <v>18</v>
      </c>
      <c r="C2853" t="s">
        <v>68</v>
      </c>
      <c r="D2853" t="s">
        <v>35</v>
      </c>
      <c r="E2853" t="s">
        <v>7640</v>
      </c>
      <c r="F2853">
        <v>4</v>
      </c>
      <c r="G2853" s="15">
        <v>2710000</v>
      </c>
      <c r="H2853" s="14">
        <v>0.13075929750140999</v>
      </c>
      <c r="I2853" s="27">
        <f t="shared" si="44"/>
        <v>2355642.3037711792</v>
      </c>
      <c r="J2853">
        <v>4.7</v>
      </c>
      <c r="K2853" t="b">
        <v>1</v>
      </c>
    </row>
    <row r="2854" spans="1:11" ht="16" x14ac:dyDescent="0.2">
      <c r="A2854" s="16">
        <v>45686</v>
      </c>
      <c r="B2854" t="s">
        <v>45</v>
      </c>
      <c r="C2854" t="s">
        <v>19</v>
      </c>
      <c r="D2854" t="s">
        <v>35</v>
      </c>
      <c r="E2854" t="s">
        <v>57</v>
      </c>
      <c r="F2854">
        <v>1</v>
      </c>
      <c r="G2854" s="15">
        <v>2710000</v>
      </c>
      <c r="H2854" s="14">
        <v>0.13075929750140999</v>
      </c>
      <c r="I2854" s="27">
        <f t="shared" si="44"/>
        <v>2355642.3037711792</v>
      </c>
      <c r="J2854">
        <v>4.5</v>
      </c>
      <c r="K2854" t="b">
        <v>1</v>
      </c>
    </row>
    <row r="2855" spans="1:11" ht="16" x14ac:dyDescent="0.2">
      <c r="A2855" s="16">
        <v>45686</v>
      </c>
      <c r="B2855" t="s">
        <v>18</v>
      </c>
      <c r="C2855" t="s">
        <v>45</v>
      </c>
      <c r="D2855" t="s">
        <v>35</v>
      </c>
      <c r="E2855" t="s">
        <v>7640</v>
      </c>
      <c r="F2855">
        <v>3</v>
      </c>
      <c r="G2855" s="15">
        <v>2710000</v>
      </c>
      <c r="H2855" s="14">
        <v>0.13075929750140999</v>
      </c>
      <c r="I2855" s="27">
        <f t="shared" si="44"/>
        <v>2355642.3037711792</v>
      </c>
      <c r="J2855">
        <v>4.4000000000000004</v>
      </c>
      <c r="K2855" t="b">
        <v>1</v>
      </c>
    </row>
    <row r="2856" spans="1:11" ht="16" x14ac:dyDescent="0.2">
      <c r="A2856" s="16">
        <v>45687</v>
      </c>
      <c r="B2856" t="s">
        <v>33</v>
      </c>
      <c r="C2856" t="s">
        <v>39</v>
      </c>
      <c r="D2856" t="s">
        <v>20</v>
      </c>
      <c r="E2856" t="s">
        <v>7637</v>
      </c>
      <c r="F2856">
        <v>1</v>
      </c>
      <c r="G2856" s="15">
        <v>2710000</v>
      </c>
      <c r="H2856" s="14">
        <v>0.13075929750140999</v>
      </c>
      <c r="I2856" s="27">
        <f t="shared" si="44"/>
        <v>2355642.3037711792</v>
      </c>
      <c r="J2856">
        <v>3.8</v>
      </c>
      <c r="K2856" t="b">
        <v>0</v>
      </c>
    </row>
    <row r="2857" spans="1:11" ht="16" x14ac:dyDescent="0.2">
      <c r="A2857" s="16">
        <v>45687</v>
      </c>
      <c r="B2857" t="s">
        <v>29</v>
      </c>
      <c r="C2857" t="s">
        <v>25</v>
      </c>
      <c r="D2857" t="s">
        <v>35</v>
      </c>
      <c r="E2857" t="s">
        <v>57</v>
      </c>
      <c r="F2857">
        <v>1</v>
      </c>
      <c r="G2857" s="15">
        <v>2710000</v>
      </c>
      <c r="H2857" s="14">
        <v>0.13075929750140999</v>
      </c>
      <c r="I2857" s="27">
        <f t="shared" si="44"/>
        <v>2355642.3037711792</v>
      </c>
      <c r="J2857">
        <v>4.4000000000000004</v>
      </c>
      <c r="K2857" t="b">
        <v>0</v>
      </c>
    </row>
    <row r="2858" spans="1:11" ht="16" x14ac:dyDescent="0.2">
      <c r="A2858" s="16">
        <v>45687</v>
      </c>
      <c r="B2858" t="s">
        <v>29</v>
      </c>
      <c r="C2858" t="s">
        <v>39</v>
      </c>
      <c r="D2858" t="s">
        <v>35</v>
      </c>
      <c r="E2858" t="s">
        <v>7644</v>
      </c>
      <c r="F2858">
        <v>3</v>
      </c>
      <c r="G2858" s="15">
        <v>2710000</v>
      </c>
      <c r="H2858" s="14">
        <v>0.13075929750140999</v>
      </c>
      <c r="I2858" s="27">
        <f t="shared" si="44"/>
        <v>2355642.3037711792</v>
      </c>
      <c r="J2858">
        <v>3.8</v>
      </c>
      <c r="K2858" t="b">
        <v>1</v>
      </c>
    </row>
    <row r="2859" spans="1:11" ht="16" x14ac:dyDescent="0.2">
      <c r="A2859" s="16">
        <v>45688</v>
      </c>
      <c r="B2859" t="s">
        <v>33</v>
      </c>
      <c r="C2859" t="s">
        <v>34</v>
      </c>
      <c r="D2859" t="s">
        <v>50</v>
      </c>
      <c r="E2859" t="s">
        <v>7642</v>
      </c>
      <c r="F2859">
        <v>2</v>
      </c>
      <c r="G2859" s="15">
        <v>2710000</v>
      </c>
      <c r="H2859" s="14">
        <v>0.13075929750140999</v>
      </c>
      <c r="I2859" s="27">
        <f t="shared" si="44"/>
        <v>2355642.3037711792</v>
      </c>
      <c r="J2859">
        <v>4.3</v>
      </c>
      <c r="K2859" t="b">
        <v>1</v>
      </c>
    </row>
    <row r="2860" spans="1:11" ht="16" x14ac:dyDescent="0.2">
      <c r="A2860" s="16">
        <v>45688</v>
      </c>
      <c r="B2860" t="s">
        <v>45</v>
      </c>
      <c r="C2860" t="s">
        <v>34</v>
      </c>
      <c r="D2860" t="s">
        <v>20</v>
      </c>
      <c r="E2860" t="s">
        <v>7640</v>
      </c>
      <c r="F2860">
        <v>2</v>
      </c>
      <c r="G2860" s="15">
        <v>2710000</v>
      </c>
      <c r="H2860" s="14">
        <v>0.13075929750140999</v>
      </c>
      <c r="I2860" s="27">
        <f t="shared" si="44"/>
        <v>2355642.3037711792</v>
      </c>
      <c r="J2860">
        <v>4.3</v>
      </c>
      <c r="K2860" t="b">
        <v>1</v>
      </c>
    </row>
    <row r="2861" spans="1:11" ht="16" x14ac:dyDescent="0.2">
      <c r="A2861" s="16">
        <v>45688</v>
      </c>
      <c r="B2861" t="s">
        <v>18</v>
      </c>
      <c r="C2861" t="s">
        <v>25</v>
      </c>
      <c r="D2861" t="s">
        <v>20</v>
      </c>
      <c r="E2861" t="s">
        <v>7643</v>
      </c>
      <c r="F2861">
        <v>1</v>
      </c>
      <c r="G2861" s="15">
        <v>2710000</v>
      </c>
      <c r="H2861" s="14">
        <v>0.13075929750140999</v>
      </c>
      <c r="I2861" s="27">
        <f t="shared" si="44"/>
        <v>2355642.3037711792</v>
      </c>
      <c r="J2861">
        <v>4.0999999999999996</v>
      </c>
      <c r="K2861" t="b">
        <v>1</v>
      </c>
    </row>
    <row r="2862" spans="1:11" ht="16" x14ac:dyDescent="0.2">
      <c r="A2862" s="16">
        <v>45689</v>
      </c>
      <c r="B2862" t="s">
        <v>45</v>
      </c>
      <c r="C2862" t="s">
        <v>34</v>
      </c>
      <c r="D2862" t="s">
        <v>20</v>
      </c>
      <c r="E2862" t="s">
        <v>7641</v>
      </c>
      <c r="F2862">
        <v>3</v>
      </c>
      <c r="G2862" s="15">
        <v>2710000</v>
      </c>
      <c r="H2862" s="14">
        <v>0.13075929750140999</v>
      </c>
      <c r="I2862" s="27">
        <f t="shared" si="44"/>
        <v>2355642.3037711792</v>
      </c>
      <c r="J2862">
        <v>3.9</v>
      </c>
      <c r="K2862" t="b">
        <v>0</v>
      </c>
    </row>
    <row r="2863" spans="1:11" ht="16" x14ac:dyDescent="0.2">
      <c r="A2863" s="16">
        <v>45689</v>
      </c>
      <c r="B2863" t="s">
        <v>33</v>
      </c>
      <c r="C2863" t="s">
        <v>68</v>
      </c>
      <c r="D2863" t="s">
        <v>20</v>
      </c>
      <c r="E2863" t="s">
        <v>7642</v>
      </c>
      <c r="F2863">
        <v>2</v>
      </c>
      <c r="G2863" s="15">
        <v>2710000</v>
      </c>
      <c r="H2863" s="14">
        <v>0.13075929750140999</v>
      </c>
      <c r="I2863" s="27">
        <f t="shared" si="44"/>
        <v>2355642.3037711792</v>
      </c>
      <c r="J2863">
        <v>4.8</v>
      </c>
      <c r="K2863" t="b">
        <v>1</v>
      </c>
    </row>
    <row r="2864" spans="1:11" ht="16" x14ac:dyDescent="0.2">
      <c r="A2864" s="16">
        <v>45690</v>
      </c>
      <c r="B2864" t="s">
        <v>18</v>
      </c>
      <c r="C2864" t="s">
        <v>34</v>
      </c>
      <c r="D2864" t="s">
        <v>20</v>
      </c>
      <c r="E2864" t="s">
        <v>7642</v>
      </c>
      <c r="F2864">
        <v>1</v>
      </c>
      <c r="G2864" s="15">
        <v>2710000</v>
      </c>
      <c r="H2864" s="14">
        <v>0.13075929750140999</v>
      </c>
      <c r="I2864" s="27">
        <f t="shared" si="44"/>
        <v>2355642.3037711792</v>
      </c>
      <c r="J2864">
        <v>3.7</v>
      </c>
      <c r="K2864" t="b">
        <v>1</v>
      </c>
    </row>
    <row r="2865" spans="1:11" ht="16" x14ac:dyDescent="0.2">
      <c r="A2865" s="16">
        <v>45690</v>
      </c>
      <c r="B2865" t="s">
        <v>45</v>
      </c>
      <c r="C2865" t="s">
        <v>19</v>
      </c>
      <c r="D2865" t="s">
        <v>20</v>
      </c>
      <c r="E2865" t="s">
        <v>7641</v>
      </c>
      <c r="F2865">
        <v>1</v>
      </c>
      <c r="G2865" s="15">
        <v>2710000</v>
      </c>
      <c r="H2865" s="14">
        <v>0.13075929750140999</v>
      </c>
      <c r="I2865" s="27">
        <f t="shared" si="44"/>
        <v>2355642.3037711792</v>
      </c>
      <c r="J2865">
        <v>5</v>
      </c>
      <c r="K2865" t="b">
        <v>1</v>
      </c>
    </row>
    <row r="2866" spans="1:11" ht="16" x14ac:dyDescent="0.2">
      <c r="A2866" s="16">
        <v>45690</v>
      </c>
      <c r="B2866" t="s">
        <v>33</v>
      </c>
      <c r="C2866" t="s">
        <v>25</v>
      </c>
      <c r="D2866" t="s">
        <v>35</v>
      </c>
      <c r="E2866" t="s">
        <v>7637</v>
      </c>
      <c r="F2866">
        <v>2</v>
      </c>
      <c r="G2866" s="15">
        <v>2710000</v>
      </c>
      <c r="H2866" s="14">
        <v>0.13075929750140999</v>
      </c>
      <c r="I2866" s="27">
        <f t="shared" si="44"/>
        <v>2355642.3037711792</v>
      </c>
      <c r="J2866">
        <v>4</v>
      </c>
      <c r="K2866" t="b">
        <v>1</v>
      </c>
    </row>
    <row r="2867" spans="1:11" ht="16" x14ac:dyDescent="0.2">
      <c r="A2867" s="16">
        <v>45690</v>
      </c>
      <c r="B2867" t="s">
        <v>18</v>
      </c>
      <c r="C2867" t="s">
        <v>45</v>
      </c>
      <c r="D2867" t="s">
        <v>20</v>
      </c>
      <c r="E2867" t="s">
        <v>7644</v>
      </c>
      <c r="F2867">
        <v>3</v>
      </c>
      <c r="G2867" s="15">
        <v>2710000</v>
      </c>
      <c r="H2867" s="14">
        <v>0.13075929750140999</v>
      </c>
      <c r="I2867" s="27">
        <f t="shared" si="44"/>
        <v>2355642.3037711792</v>
      </c>
      <c r="J2867">
        <v>3.8</v>
      </c>
      <c r="K2867" t="b">
        <v>1</v>
      </c>
    </row>
    <row r="2868" spans="1:11" ht="16" x14ac:dyDescent="0.2">
      <c r="A2868" s="16">
        <v>45690</v>
      </c>
      <c r="B2868" t="s">
        <v>45</v>
      </c>
      <c r="C2868" t="s">
        <v>68</v>
      </c>
      <c r="D2868" t="s">
        <v>20</v>
      </c>
      <c r="E2868" t="s">
        <v>7643</v>
      </c>
      <c r="F2868">
        <v>3</v>
      </c>
      <c r="G2868" s="15">
        <v>2710000</v>
      </c>
      <c r="H2868" s="14">
        <v>0.13075929750140999</v>
      </c>
      <c r="I2868" s="27">
        <f t="shared" si="44"/>
        <v>2355642.3037711792</v>
      </c>
      <c r="J2868">
        <v>4.3</v>
      </c>
      <c r="K2868" t="b">
        <v>0</v>
      </c>
    </row>
    <row r="2869" spans="1:11" ht="16" x14ac:dyDescent="0.2">
      <c r="A2869" s="16">
        <v>45691</v>
      </c>
      <c r="B2869" t="s">
        <v>29</v>
      </c>
      <c r="C2869" t="s">
        <v>34</v>
      </c>
      <c r="D2869" t="s">
        <v>35</v>
      </c>
      <c r="E2869" t="s">
        <v>7643</v>
      </c>
      <c r="F2869">
        <v>1</v>
      </c>
      <c r="G2869" s="15">
        <v>2710000</v>
      </c>
      <c r="H2869" s="14">
        <v>0.13075929750140999</v>
      </c>
      <c r="I2869" s="27">
        <f t="shared" si="44"/>
        <v>2355642.3037711792</v>
      </c>
      <c r="J2869">
        <v>4.3</v>
      </c>
      <c r="K2869" t="b">
        <v>1</v>
      </c>
    </row>
    <row r="2870" spans="1:11" ht="16" x14ac:dyDescent="0.2">
      <c r="A2870" s="16">
        <v>45692</v>
      </c>
      <c r="B2870" t="s">
        <v>29</v>
      </c>
      <c r="C2870" t="s">
        <v>45</v>
      </c>
      <c r="D2870" t="s">
        <v>20</v>
      </c>
      <c r="E2870" t="s">
        <v>7640</v>
      </c>
      <c r="F2870">
        <v>5</v>
      </c>
      <c r="G2870" s="15">
        <v>2710000</v>
      </c>
      <c r="H2870" s="14">
        <v>0.13075929750140999</v>
      </c>
      <c r="I2870" s="27">
        <f t="shared" si="44"/>
        <v>2355642.3037711792</v>
      </c>
      <c r="J2870">
        <v>5</v>
      </c>
      <c r="K2870" t="b">
        <v>1</v>
      </c>
    </row>
    <row r="2871" spans="1:11" ht="16" x14ac:dyDescent="0.2">
      <c r="A2871" s="16">
        <v>45692</v>
      </c>
      <c r="B2871" t="s">
        <v>33</v>
      </c>
      <c r="C2871" t="s">
        <v>45</v>
      </c>
      <c r="D2871" t="s">
        <v>20</v>
      </c>
      <c r="E2871" t="s">
        <v>7641</v>
      </c>
      <c r="F2871">
        <v>1</v>
      </c>
      <c r="G2871" s="15">
        <v>2710000</v>
      </c>
      <c r="H2871" s="14">
        <v>0.13075929750140999</v>
      </c>
      <c r="I2871" s="27">
        <f t="shared" si="44"/>
        <v>2355642.3037711792</v>
      </c>
      <c r="J2871">
        <v>3.5</v>
      </c>
      <c r="K2871" t="b">
        <v>1</v>
      </c>
    </row>
    <row r="2872" spans="1:11" ht="16" x14ac:dyDescent="0.2">
      <c r="A2872" s="16">
        <v>45693</v>
      </c>
      <c r="B2872" t="s">
        <v>29</v>
      </c>
      <c r="C2872" t="s">
        <v>45</v>
      </c>
      <c r="D2872" t="s">
        <v>20</v>
      </c>
      <c r="E2872" t="s">
        <v>7639</v>
      </c>
      <c r="F2872">
        <v>4</v>
      </c>
      <c r="G2872" s="15">
        <v>2710000</v>
      </c>
      <c r="H2872" s="14">
        <v>0.13075929750140999</v>
      </c>
      <c r="I2872" s="27">
        <f t="shared" si="44"/>
        <v>2355642.3037711792</v>
      </c>
      <c r="J2872">
        <v>4.5</v>
      </c>
      <c r="K2872" t="b">
        <v>1</v>
      </c>
    </row>
    <row r="2873" spans="1:11" ht="16" x14ac:dyDescent="0.2">
      <c r="A2873" s="16">
        <v>45693</v>
      </c>
      <c r="B2873" t="s">
        <v>29</v>
      </c>
      <c r="C2873" t="s">
        <v>25</v>
      </c>
      <c r="D2873" t="s">
        <v>35</v>
      </c>
      <c r="E2873" t="str">
        <f>E2872</f>
        <v>Hà Nội</v>
      </c>
      <c r="F2873">
        <v>1</v>
      </c>
      <c r="G2873" s="15">
        <v>2710000</v>
      </c>
      <c r="H2873" s="14">
        <v>0.13075929750140999</v>
      </c>
      <c r="I2873" s="27">
        <f t="shared" si="44"/>
        <v>2355642.3037711792</v>
      </c>
      <c r="J2873">
        <v>4</v>
      </c>
      <c r="K2873" t="b">
        <v>0</v>
      </c>
    </row>
    <row r="2874" spans="1:11" ht="16" x14ac:dyDescent="0.2">
      <c r="A2874" s="16">
        <v>45693</v>
      </c>
      <c r="B2874" t="s">
        <v>45</v>
      </c>
      <c r="C2874" t="s">
        <v>45</v>
      </c>
      <c r="D2874" t="s">
        <v>20</v>
      </c>
      <c r="E2874" t="s">
        <v>7644</v>
      </c>
      <c r="F2874">
        <v>4</v>
      </c>
      <c r="G2874" s="15">
        <v>2710000</v>
      </c>
      <c r="H2874" s="14">
        <v>0.13075929750140999</v>
      </c>
      <c r="I2874" s="27">
        <f t="shared" si="44"/>
        <v>2355642.3037711792</v>
      </c>
      <c r="J2874">
        <v>4.5999999999999996</v>
      </c>
      <c r="K2874" t="b">
        <v>1</v>
      </c>
    </row>
    <row r="2875" spans="1:11" ht="16" x14ac:dyDescent="0.2">
      <c r="A2875" s="16">
        <v>45693</v>
      </c>
      <c r="B2875" t="s">
        <v>33</v>
      </c>
      <c r="C2875" t="s">
        <v>25</v>
      </c>
      <c r="D2875" t="s">
        <v>20</v>
      </c>
      <c r="E2875" t="s">
        <v>7637</v>
      </c>
      <c r="F2875">
        <v>1</v>
      </c>
      <c r="G2875" s="15">
        <v>2710000</v>
      </c>
      <c r="H2875" s="14">
        <v>0.13075929750140999</v>
      </c>
      <c r="I2875" s="27">
        <f t="shared" si="44"/>
        <v>2355642.3037711792</v>
      </c>
      <c r="J2875">
        <v>4.5</v>
      </c>
      <c r="K2875" t="b">
        <v>1</v>
      </c>
    </row>
    <row r="2876" spans="1:11" ht="16" x14ac:dyDescent="0.2">
      <c r="A2876" s="16">
        <v>45694</v>
      </c>
      <c r="B2876" t="s">
        <v>33</v>
      </c>
      <c r="C2876" t="s">
        <v>68</v>
      </c>
      <c r="D2876" t="s">
        <v>20</v>
      </c>
      <c r="E2876" t="s">
        <v>7637</v>
      </c>
      <c r="F2876">
        <v>1</v>
      </c>
      <c r="G2876" s="15">
        <v>2710000</v>
      </c>
      <c r="H2876" s="14">
        <v>0.13075929750140999</v>
      </c>
      <c r="I2876" s="27">
        <f t="shared" si="44"/>
        <v>2355642.3037711792</v>
      </c>
      <c r="J2876">
        <v>3.8</v>
      </c>
      <c r="K2876" t="b">
        <v>1</v>
      </c>
    </row>
    <row r="2877" spans="1:11" ht="16" x14ac:dyDescent="0.2">
      <c r="A2877" s="16">
        <v>45694</v>
      </c>
      <c r="B2877" t="s">
        <v>45</v>
      </c>
      <c r="C2877" t="s">
        <v>39</v>
      </c>
      <c r="D2877" t="str">
        <f>D2876</f>
        <v>Website</v>
      </c>
      <c r="E2877" t="s">
        <v>7642</v>
      </c>
      <c r="F2877">
        <v>3</v>
      </c>
      <c r="G2877" s="15">
        <v>2710000</v>
      </c>
      <c r="H2877" s="14">
        <v>0.13075929750140999</v>
      </c>
      <c r="I2877" s="27">
        <f t="shared" si="44"/>
        <v>2355642.3037711792</v>
      </c>
      <c r="J2877">
        <v>4</v>
      </c>
      <c r="K2877" t="b">
        <v>1</v>
      </c>
    </row>
    <row r="2878" spans="1:11" ht="16" x14ac:dyDescent="0.2">
      <c r="A2878" s="16">
        <v>45694</v>
      </c>
      <c r="B2878" t="s">
        <v>29</v>
      </c>
      <c r="C2878" t="s">
        <v>39</v>
      </c>
      <c r="D2878" t="s">
        <v>20</v>
      </c>
      <c r="E2878" t="s">
        <v>7637</v>
      </c>
      <c r="F2878">
        <v>1</v>
      </c>
      <c r="G2878" s="15">
        <v>2710000</v>
      </c>
      <c r="H2878" s="14">
        <v>0.13075929750140999</v>
      </c>
      <c r="I2878" s="27">
        <f t="shared" si="44"/>
        <v>2355642.3037711792</v>
      </c>
      <c r="J2878">
        <v>4.5</v>
      </c>
      <c r="K2878" t="b">
        <v>1</v>
      </c>
    </row>
    <row r="2879" spans="1:11" ht="16" x14ac:dyDescent="0.2">
      <c r="A2879" s="16">
        <v>45694</v>
      </c>
      <c r="B2879" t="s">
        <v>18</v>
      </c>
      <c r="C2879" t="s">
        <v>45</v>
      </c>
      <c r="D2879" t="s">
        <v>20</v>
      </c>
      <c r="E2879" t="s">
        <v>7643</v>
      </c>
      <c r="F2879">
        <v>4</v>
      </c>
      <c r="G2879" s="15">
        <v>2710000</v>
      </c>
      <c r="H2879" s="14">
        <v>0.13075929750140999</v>
      </c>
      <c r="I2879" s="27">
        <f t="shared" si="44"/>
        <v>2355642.3037711792</v>
      </c>
      <c r="J2879">
        <v>3.8</v>
      </c>
      <c r="K2879" t="b">
        <v>1</v>
      </c>
    </row>
    <row r="2880" spans="1:11" ht="16" x14ac:dyDescent="0.2">
      <c r="A2880" s="16">
        <v>45694</v>
      </c>
      <c r="B2880" t="s">
        <v>33</v>
      </c>
      <c r="C2880" t="s">
        <v>34</v>
      </c>
      <c r="D2880" t="s">
        <v>20</v>
      </c>
      <c r="E2880" t="str">
        <f>E2879</f>
        <v>TP. HCM</v>
      </c>
      <c r="F2880">
        <v>2</v>
      </c>
      <c r="G2880" s="15">
        <v>2710000</v>
      </c>
      <c r="H2880" s="14">
        <v>0.13075929750140999</v>
      </c>
      <c r="I2880" s="27">
        <f t="shared" si="44"/>
        <v>2355642.3037711792</v>
      </c>
      <c r="J2880">
        <v>3.6</v>
      </c>
      <c r="K2880" t="b">
        <v>0</v>
      </c>
    </row>
    <row r="2881" spans="1:11" ht="16" x14ac:dyDescent="0.2">
      <c r="A2881" s="16">
        <v>45694</v>
      </c>
      <c r="B2881" t="s">
        <v>45</v>
      </c>
      <c r="C2881" t="s">
        <v>45</v>
      </c>
      <c r="D2881" t="s">
        <v>50</v>
      </c>
      <c r="E2881" t="s">
        <v>7638</v>
      </c>
      <c r="F2881">
        <v>2</v>
      </c>
      <c r="G2881" s="15">
        <v>2710000</v>
      </c>
      <c r="H2881" s="14">
        <v>0.13075929750140999</v>
      </c>
      <c r="I2881" s="27">
        <f t="shared" si="44"/>
        <v>2355642.3037711792</v>
      </c>
      <c r="J2881">
        <v>3.9</v>
      </c>
      <c r="K2881" t="b">
        <v>1</v>
      </c>
    </row>
    <row r="2882" spans="1:11" ht="16" x14ac:dyDescent="0.2">
      <c r="A2882" s="16">
        <v>45694</v>
      </c>
      <c r="B2882" t="s">
        <v>45</v>
      </c>
      <c r="C2882" t="s">
        <v>25</v>
      </c>
      <c r="D2882" t="s">
        <v>20</v>
      </c>
      <c r="E2882" t="s">
        <v>7638</v>
      </c>
      <c r="F2882">
        <v>2</v>
      </c>
      <c r="G2882" s="15">
        <v>2710000</v>
      </c>
      <c r="H2882" s="14">
        <v>0.13075929750140999</v>
      </c>
      <c r="I2882" s="27">
        <f t="shared" si="44"/>
        <v>2355642.3037711792</v>
      </c>
      <c r="J2882">
        <v>4</v>
      </c>
      <c r="K2882" t="b">
        <v>1</v>
      </c>
    </row>
    <row r="2883" spans="1:11" ht="16" x14ac:dyDescent="0.2">
      <c r="A2883" s="16">
        <v>45695</v>
      </c>
      <c r="B2883" t="s">
        <v>33</v>
      </c>
      <c r="C2883" t="s">
        <v>25</v>
      </c>
      <c r="D2883" t="s">
        <v>35</v>
      </c>
      <c r="E2883" t="s">
        <v>7637</v>
      </c>
      <c r="F2883">
        <v>1</v>
      </c>
      <c r="G2883" s="15">
        <v>2710000</v>
      </c>
      <c r="H2883" s="14">
        <v>0.13075929750140999</v>
      </c>
      <c r="I2883" s="27">
        <f t="shared" ref="I2883:I2946" si="45">G2883-G2883*H2883</f>
        <v>2355642.3037711792</v>
      </c>
      <c r="J2883">
        <v>4</v>
      </c>
      <c r="K2883" t="b">
        <v>1</v>
      </c>
    </row>
    <row r="2884" spans="1:11" ht="16" x14ac:dyDescent="0.2">
      <c r="A2884" s="16">
        <v>45695</v>
      </c>
      <c r="B2884" t="s">
        <v>33</v>
      </c>
      <c r="C2884" t="s">
        <v>19</v>
      </c>
      <c r="D2884" t="s">
        <v>20</v>
      </c>
      <c r="E2884" t="s">
        <v>7643</v>
      </c>
      <c r="F2884">
        <v>1</v>
      </c>
      <c r="G2884" s="15">
        <v>2710000</v>
      </c>
      <c r="H2884" s="14">
        <v>0.13075929750140999</v>
      </c>
      <c r="I2884" s="27">
        <f t="shared" si="45"/>
        <v>2355642.3037711792</v>
      </c>
      <c r="J2884">
        <v>4.5999999999999996</v>
      </c>
      <c r="K2884" t="b">
        <v>1</v>
      </c>
    </row>
    <row r="2885" spans="1:11" ht="16" x14ac:dyDescent="0.2">
      <c r="A2885" s="16">
        <v>45696</v>
      </c>
      <c r="B2885" t="s">
        <v>18</v>
      </c>
      <c r="C2885" t="s">
        <v>25</v>
      </c>
      <c r="D2885" t="s">
        <v>35</v>
      </c>
      <c r="E2885" t="s">
        <v>99</v>
      </c>
      <c r="F2885">
        <v>4</v>
      </c>
      <c r="G2885" s="15">
        <v>2710000</v>
      </c>
      <c r="H2885" s="14">
        <v>0.13075929750140999</v>
      </c>
      <c r="I2885" s="27">
        <f t="shared" si="45"/>
        <v>2355642.3037711792</v>
      </c>
      <c r="J2885">
        <v>4.2</v>
      </c>
      <c r="K2885" t="b">
        <v>1</v>
      </c>
    </row>
    <row r="2886" spans="1:11" ht="16" x14ac:dyDescent="0.2">
      <c r="A2886" s="16">
        <v>45696</v>
      </c>
      <c r="B2886" t="s">
        <v>29</v>
      </c>
      <c r="C2886" t="s">
        <v>34</v>
      </c>
      <c r="D2886" t="s">
        <v>20</v>
      </c>
      <c r="E2886" t="s">
        <v>7637</v>
      </c>
      <c r="F2886">
        <v>1</v>
      </c>
      <c r="G2886" s="15">
        <v>2710000</v>
      </c>
      <c r="H2886" s="14">
        <v>0.13075929750140999</v>
      </c>
      <c r="I2886" s="27">
        <f t="shared" si="45"/>
        <v>2355642.3037711792</v>
      </c>
      <c r="J2886">
        <v>3.6</v>
      </c>
      <c r="K2886" t="b">
        <v>1</v>
      </c>
    </row>
    <row r="2887" spans="1:11" ht="16" x14ac:dyDescent="0.2">
      <c r="A2887" s="16">
        <v>45696</v>
      </c>
      <c r="B2887" t="s">
        <v>45</v>
      </c>
      <c r="C2887" t="s">
        <v>25</v>
      </c>
      <c r="D2887" t="s">
        <v>20</v>
      </c>
      <c r="E2887" t="s">
        <v>7643</v>
      </c>
      <c r="F2887">
        <v>2</v>
      </c>
      <c r="G2887" s="15">
        <v>2710000</v>
      </c>
      <c r="H2887" s="14">
        <v>0.13075929750140999</v>
      </c>
      <c r="I2887" s="27">
        <f t="shared" si="45"/>
        <v>2355642.3037711792</v>
      </c>
      <c r="J2887">
        <v>4.5</v>
      </c>
      <c r="K2887" t="b">
        <v>1</v>
      </c>
    </row>
    <row r="2888" spans="1:11" ht="16" x14ac:dyDescent="0.2">
      <c r="A2888" s="16">
        <v>45696</v>
      </c>
      <c r="B2888" t="s">
        <v>33</v>
      </c>
      <c r="C2888" t="s">
        <v>25</v>
      </c>
      <c r="D2888" t="s">
        <v>20</v>
      </c>
      <c r="E2888" t="s">
        <v>57</v>
      </c>
      <c r="F2888">
        <v>2</v>
      </c>
      <c r="G2888" s="15">
        <v>2710000</v>
      </c>
      <c r="H2888" s="14">
        <v>0.13075929750140999</v>
      </c>
      <c r="I2888" s="27">
        <f t="shared" si="45"/>
        <v>2355642.3037711792</v>
      </c>
      <c r="J2888">
        <v>4.8</v>
      </c>
      <c r="K2888" t="b">
        <v>1</v>
      </c>
    </row>
    <row r="2889" spans="1:11" ht="16" x14ac:dyDescent="0.2">
      <c r="A2889" s="16">
        <v>45696</v>
      </c>
      <c r="B2889" t="s">
        <v>45</v>
      </c>
      <c r="C2889" t="s">
        <v>25</v>
      </c>
      <c r="D2889" t="s">
        <v>20</v>
      </c>
      <c r="E2889" t="s">
        <v>99</v>
      </c>
      <c r="F2889">
        <v>1</v>
      </c>
      <c r="G2889" s="15">
        <v>2710000</v>
      </c>
      <c r="H2889" s="14">
        <v>0.13075929750140999</v>
      </c>
      <c r="I2889" s="27">
        <f t="shared" si="45"/>
        <v>2355642.3037711792</v>
      </c>
      <c r="J2889">
        <v>3.6</v>
      </c>
      <c r="K2889" t="b">
        <v>1</v>
      </c>
    </row>
    <row r="2890" spans="1:11" ht="16" x14ac:dyDescent="0.2">
      <c r="A2890" s="16">
        <v>45696</v>
      </c>
      <c r="B2890" t="s">
        <v>33</v>
      </c>
      <c r="C2890" t="s">
        <v>19</v>
      </c>
      <c r="D2890" t="s">
        <v>50</v>
      </c>
      <c r="E2890" t="s">
        <v>7640</v>
      </c>
      <c r="F2890">
        <v>2</v>
      </c>
      <c r="G2890" s="15">
        <v>2710000</v>
      </c>
      <c r="H2890" s="14">
        <v>0.13075929750140999</v>
      </c>
      <c r="I2890" s="27">
        <f t="shared" si="45"/>
        <v>2355642.3037711792</v>
      </c>
      <c r="J2890">
        <v>5</v>
      </c>
      <c r="K2890" t="b">
        <v>0</v>
      </c>
    </row>
    <row r="2891" spans="1:11" ht="16" x14ac:dyDescent="0.2">
      <c r="A2891" s="16">
        <v>45696</v>
      </c>
      <c r="B2891" t="s">
        <v>45</v>
      </c>
      <c r="C2891" t="s">
        <v>25</v>
      </c>
      <c r="D2891" t="s">
        <v>35</v>
      </c>
      <c r="E2891" t="s">
        <v>7642</v>
      </c>
      <c r="F2891">
        <v>2</v>
      </c>
      <c r="G2891" s="15">
        <v>2710000</v>
      </c>
      <c r="H2891" s="14">
        <v>0.13075929750140999</v>
      </c>
      <c r="I2891" s="27">
        <f t="shared" si="45"/>
        <v>2355642.3037711792</v>
      </c>
      <c r="J2891">
        <v>4.2</v>
      </c>
      <c r="K2891" t="b">
        <v>1</v>
      </c>
    </row>
    <row r="2892" spans="1:11" ht="16" x14ac:dyDescent="0.2">
      <c r="A2892" s="16">
        <v>45697</v>
      </c>
      <c r="B2892" t="s">
        <v>29</v>
      </c>
      <c r="C2892" t="s">
        <v>34</v>
      </c>
      <c r="D2892" t="s">
        <v>20</v>
      </c>
      <c r="E2892" t="s">
        <v>7638</v>
      </c>
      <c r="F2892">
        <v>2</v>
      </c>
      <c r="G2892" s="15">
        <v>2710000</v>
      </c>
      <c r="H2892" s="14">
        <v>0.13075929750140999</v>
      </c>
      <c r="I2892" s="27">
        <f t="shared" si="45"/>
        <v>2355642.3037711792</v>
      </c>
      <c r="J2892">
        <v>2.8</v>
      </c>
      <c r="K2892" t="b">
        <v>1</v>
      </c>
    </row>
    <row r="2893" spans="1:11" ht="16" x14ac:dyDescent="0.2">
      <c r="A2893" s="16">
        <v>45697</v>
      </c>
      <c r="B2893" t="s">
        <v>45</v>
      </c>
      <c r="C2893" t="s">
        <v>68</v>
      </c>
      <c r="D2893" t="s">
        <v>20</v>
      </c>
      <c r="E2893" t="s">
        <v>7643</v>
      </c>
      <c r="F2893">
        <v>1</v>
      </c>
      <c r="G2893" s="15">
        <v>2710000</v>
      </c>
      <c r="H2893" s="14">
        <v>0.13075929750140999</v>
      </c>
      <c r="I2893" s="27">
        <f t="shared" si="45"/>
        <v>2355642.3037711792</v>
      </c>
      <c r="J2893">
        <v>4.9000000000000004</v>
      </c>
      <c r="K2893" t="b">
        <v>0</v>
      </c>
    </row>
    <row r="2894" spans="1:11" ht="16" x14ac:dyDescent="0.2">
      <c r="A2894" s="16">
        <v>45697</v>
      </c>
      <c r="B2894" t="s">
        <v>18</v>
      </c>
      <c r="C2894" t="s">
        <v>34</v>
      </c>
      <c r="D2894" t="s">
        <v>20</v>
      </c>
      <c r="E2894" t="s">
        <v>7644</v>
      </c>
      <c r="F2894">
        <v>1</v>
      </c>
      <c r="G2894" s="15">
        <v>2710000</v>
      </c>
      <c r="H2894" s="14">
        <v>0.13075929750140999</v>
      </c>
      <c r="I2894" s="27">
        <f t="shared" si="45"/>
        <v>2355642.3037711792</v>
      </c>
      <c r="J2894">
        <v>4</v>
      </c>
      <c r="K2894" t="b">
        <v>0</v>
      </c>
    </row>
    <row r="2895" spans="1:11" ht="16" x14ac:dyDescent="0.2">
      <c r="A2895" s="16">
        <v>45697</v>
      </c>
      <c r="B2895" t="s">
        <v>45</v>
      </c>
      <c r="C2895" t="s">
        <v>34</v>
      </c>
      <c r="D2895" t="s">
        <v>20</v>
      </c>
      <c r="E2895" t="s">
        <v>7640</v>
      </c>
      <c r="F2895">
        <v>3</v>
      </c>
      <c r="G2895" s="15">
        <v>2710000</v>
      </c>
      <c r="H2895" s="14">
        <v>0.13075929750140999</v>
      </c>
      <c r="I2895" s="27">
        <f t="shared" si="45"/>
        <v>2355642.3037711792</v>
      </c>
      <c r="J2895">
        <v>4</v>
      </c>
      <c r="K2895" t="b">
        <v>1</v>
      </c>
    </row>
    <row r="2896" spans="1:11" ht="16" x14ac:dyDescent="0.2">
      <c r="A2896" s="16">
        <v>45697</v>
      </c>
      <c r="B2896" t="s">
        <v>18</v>
      </c>
      <c r="C2896" t="s">
        <v>34</v>
      </c>
      <c r="D2896" t="s">
        <v>20</v>
      </c>
      <c r="E2896" t="s">
        <v>7641</v>
      </c>
      <c r="F2896">
        <v>1</v>
      </c>
      <c r="G2896" s="15">
        <v>2710000</v>
      </c>
      <c r="H2896" s="14">
        <v>0.13075929750140999</v>
      </c>
      <c r="I2896" s="27">
        <f t="shared" si="45"/>
        <v>2355642.3037711792</v>
      </c>
      <c r="J2896">
        <v>3.4</v>
      </c>
      <c r="K2896" t="b">
        <v>1</v>
      </c>
    </row>
    <row r="2897" spans="1:11" ht="16" x14ac:dyDescent="0.2">
      <c r="A2897" s="16">
        <v>45698</v>
      </c>
      <c r="B2897" t="s">
        <v>33</v>
      </c>
      <c r="C2897" t="s">
        <v>39</v>
      </c>
      <c r="D2897" t="s">
        <v>35</v>
      </c>
      <c r="E2897" t="s">
        <v>7639</v>
      </c>
      <c r="F2897">
        <v>1</v>
      </c>
      <c r="G2897" s="15">
        <v>2710000</v>
      </c>
      <c r="H2897" s="14">
        <v>0.13075929750140999</v>
      </c>
      <c r="I2897" s="27">
        <f t="shared" si="45"/>
        <v>2355642.3037711792</v>
      </c>
      <c r="J2897">
        <v>3.7</v>
      </c>
      <c r="K2897" t="b">
        <v>1</v>
      </c>
    </row>
    <row r="2898" spans="1:11" ht="16" x14ac:dyDescent="0.2">
      <c r="A2898" s="16">
        <v>45698</v>
      </c>
      <c r="B2898" t="s">
        <v>33</v>
      </c>
      <c r="C2898" t="s">
        <v>45</v>
      </c>
      <c r="D2898" t="s">
        <v>50</v>
      </c>
      <c r="E2898" t="s">
        <v>7639</v>
      </c>
      <c r="F2898">
        <v>2</v>
      </c>
      <c r="G2898" s="15">
        <v>2710000</v>
      </c>
      <c r="H2898" s="14">
        <v>0.13075929750140999</v>
      </c>
      <c r="I2898" s="27">
        <f t="shared" si="45"/>
        <v>2355642.3037711792</v>
      </c>
      <c r="J2898">
        <v>4.5</v>
      </c>
      <c r="K2898" t="b">
        <v>0</v>
      </c>
    </row>
    <row r="2899" spans="1:11" ht="16" x14ac:dyDescent="0.2">
      <c r="A2899" s="16">
        <v>45698</v>
      </c>
      <c r="B2899" t="s">
        <v>33</v>
      </c>
      <c r="C2899" t="s">
        <v>45</v>
      </c>
      <c r="D2899" t="s">
        <v>20</v>
      </c>
      <c r="E2899" t="s">
        <v>7637</v>
      </c>
      <c r="F2899">
        <v>2</v>
      </c>
      <c r="G2899" s="15">
        <v>2710000</v>
      </c>
      <c r="H2899" s="14">
        <v>0.13075929750140999</v>
      </c>
      <c r="I2899" s="27">
        <f t="shared" si="45"/>
        <v>2355642.3037711792</v>
      </c>
      <c r="J2899">
        <v>3.9</v>
      </c>
      <c r="K2899" t="b">
        <v>1</v>
      </c>
    </row>
    <row r="2900" spans="1:11" ht="16" x14ac:dyDescent="0.2">
      <c r="A2900" s="16">
        <v>45698</v>
      </c>
      <c r="B2900" t="s">
        <v>29</v>
      </c>
      <c r="C2900" t="s">
        <v>34</v>
      </c>
      <c r="D2900" t="s">
        <v>20</v>
      </c>
      <c r="E2900" t="str">
        <f>E2899</f>
        <v>Đà Nẵng</v>
      </c>
      <c r="F2900">
        <v>2</v>
      </c>
      <c r="G2900" s="15">
        <v>2710000</v>
      </c>
      <c r="H2900" s="14">
        <v>0.13075929750140999</v>
      </c>
      <c r="I2900" s="27">
        <f t="shared" si="45"/>
        <v>2355642.3037711792</v>
      </c>
      <c r="J2900">
        <v>4.7</v>
      </c>
      <c r="K2900" t="b">
        <v>1</v>
      </c>
    </row>
    <row r="2901" spans="1:11" ht="16" x14ac:dyDescent="0.2">
      <c r="A2901" s="16">
        <v>45698</v>
      </c>
      <c r="B2901" t="s">
        <v>33</v>
      </c>
      <c r="C2901" t="s">
        <v>19</v>
      </c>
      <c r="D2901" t="s">
        <v>20</v>
      </c>
      <c r="E2901" t="s">
        <v>7644</v>
      </c>
      <c r="F2901">
        <v>3</v>
      </c>
      <c r="G2901" s="15">
        <v>2710000</v>
      </c>
      <c r="H2901" s="14">
        <v>0.13075929750140999</v>
      </c>
      <c r="I2901" s="27">
        <f t="shared" si="45"/>
        <v>2355642.3037711792</v>
      </c>
      <c r="J2901">
        <v>4.5</v>
      </c>
      <c r="K2901" t="b">
        <v>1</v>
      </c>
    </row>
    <row r="2902" spans="1:11" ht="16" x14ac:dyDescent="0.2">
      <c r="A2902" s="16">
        <v>45698</v>
      </c>
      <c r="B2902" t="s">
        <v>45</v>
      </c>
      <c r="C2902" t="s">
        <v>19</v>
      </c>
      <c r="D2902" t="s">
        <v>20</v>
      </c>
      <c r="E2902" t="s">
        <v>57</v>
      </c>
      <c r="F2902">
        <v>2</v>
      </c>
      <c r="G2902" s="15">
        <v>2710000</v>
      </c>
      <c r="H2902" s="14">
        <v>0.13075929750140999</v>
      </c>
      <c r="I2902" s="27">
        <f t="shared" si="45"/>
        <v>2355642.3037711792</v>
      </c>
      <c r="J2902">
        <v>4.0999999999999996</v>
      </c>
      <c r="K2902" t="b">
        <v>1</v>
      </c>
    </row>
    <row r="2903" spans="1:11" ht="16" x14ac:dyDescent="0.2">
      <c r="A2903" s="16">
        <v>45698</v>
      </c>
      <c r="B2903" t="s">
        <v>33</v>
      </c>
      <c r="C2903" t="s">
        <v>68</v>
      </c>
      <c r="D2903" t="s">
        <v>20</v>
      </c>
      <c r="E2903" t="s">
        <v>7638</v>
      </c>
      <c r="F2903">
        <v>3</v>
      </c>
      <c r="G2903" s="15">
        <v>2710000</v>
      </c>
      <c r="H2903" s="14">
        <v>0.13075929750140999</v>
      </c>
      <c r="I2903" s="27">
        <f t="shared" si="45"/>
        <v>2355642.3037711792</v>
      </c>
      <c r="J2903">
        <v>4.8</v>
      </c>
      <c r="K2903" t="b">
        <v>1</v>
      </c>
    </row>
    <row r="2904" spans="1:11" ht="16" x14ac:dyDescent="0.2">
      <c r="A2904" s="16">
        <v>45699</v>
      </c>
      <c r="B2904" t="str">
        <f>B2903</f>
        <v>Student</v>
      </c>
      <c r="C2904" t="s">
        <v>34</v>
      </c>
      <c r="D2904" t="s">
        <v>20</v>
      </c>
      <c r="E2904" t="s">
        <v>99</v>
      </c>
      <c r="F2904">
        <v>1</v>
      </c>
      <c r="G2904" s="15">
        <v>2710000</v>
      </c>
      <c r="H2904" s="14">
        <v>0.13075929750140999</v>
      </c>
      <c r="I2904" s="27">
        <f t="shared" si="45"/>
        <v>2355642.3037711792</v>
      </c>
      <c r="J2904">
        <v>3.9</v>
      </c>
      <c r="K2904" t="b">
        <v>0</v>
      </c>
    </row>
    <row r="2905" spans="1:11" ht="16" x14ac:dyDescent="0.2">
      <c r="A2905" s="16">
        <v>45699</v>
      </c>
      <c r="B2905" t="s">
        <v>33</v>
      </c>
      <c r="C2905" t="s">
        <v>19</v>
      </c>
      <c r="D2905" t="s">
        <v>35</v>
      </c>
      <c r="E2905" t="s">
        <v>7642</v>
      </c>
      <c r="F2905">
        <v>2</v>
      </c>
      <c r="G2905" s="15">
        <v>2710000</v>
      </c>
      <c r="H2905" s="14">
        <v>0.13075929750140999</v>
      </c>
      <c r="I2905" s="27">
        <f t="shared" si="45"/>
        <v>2355642.3037711792</v>
      </c>
      <c r="J2905">
        <v>4.5</v>
      </c>
      <c r="K2905" t="b">
        <v>1</v>
      </c>
    </row>
    <row r="2906" spans="1:11" ht="16" x14ac:dyDescent="0.2">
      <c r="A2906" s="16">
        <v>45699</v>
      </c>
      <c r="B2906" t="s">
        <v>18</v>
      </c>
      <c r="C2906" t="s">
        <v>34</v>
      </c>
      <c r="D2906" t="s">
        <v>35</v>
      </c>
      <c r="E2906" t="s">
        <v>7643</v>
      </c>
      <c r="F2906">
        <v>2</v>
      </c>
      <c r="G2906" s="15">
        <v>2710000</v>
      </c>
      <c r="H2906" s="14">
        <v>0.13075929750140999</v>
      </c>
      <c r="I2906" s="27">
        <f t="shared" si="45"/>
        <v>2355642.3037711792</v>
      </c>
      <c r="J2906">
        <v>4.0999999999999996</v>
      </c>
      <c r="K2906" t="b">
        <v>1</v>
      </c>
    </row>
    <row r="2907" spans="1:11" ht="16" x14ac:dyDescent="0.2">
      <c r="A2907" s="16">
        <v>45700</v>
      </c>
      <c r="B2907" t="s">
        <v>18</v>
      </c>
      <c r="C2907" t="s">
        <v>34</v>
      </c>
      <c r="D2907" t="s">
        <v>35</v>
      </c>
      <c r="E2907" t="s">
        <v>7641</v>
      </c>
      <c r="F2907">
        <v>1</v>
      </c>
      <c r="G2907" s="15">
        <v>2710000</v>
      </c>
      <c r="H2907" s="14">
        <v>0.13075929750140999</v>
      </c>
      <c r="I2907" s="27">
        <f t="shared" si="45"/>
        <v>2355642.3037711792</v>
      </c>
      <c r="J2907">
        <v>4.4000000000000004</v>
      </c>
      <c r="K2907" t="b">
        <v>1</v>
      </c>
    </row>
    <row r="2908" spans="1:11" ht="16" x14ac:dyDescent="0.2">
      <c r="A2908" s="16">
        <v>45700</v>
      </c>
      <c r="B2908" t="s">
        <v>33</v>
      </c>
      <c r="C2908" t="s">
        <v>34</v>
      </c>
      <c r="D2908" t="s">
        <v>20</v>
      </c>
      <c r="E2908" t="s">
        <v>7637</v>
      </c>
      <c r="F2908">
        <v>1</v>
      </c>
      <c r="G2908" s="15">
        <v>2710000</v>
      </c>
      <c r="H2908" s="14">
        <v>0.13075929750140999</v>
      </c>
      <c r="I2908" s="27">
        <f t="shared" si="45"/>
        <v>2355642.3037711792</v>
      </c>
      <c r="J2908">
        <v>3.1</v>
      </c>
      <c r="K2908" t="b">
        <v>1</v>
      </c>
    </row>
    <row r="2909" spans="1:11" ht="16" x14ac:dyDescent="0.2">
      <c r="A2909" s="16">
        <v>45700</v>
      </c>
      <c r="B2909" t="s">
        <v>18</v>
      </c>
      <c r="C2909" t="s">
        <v>25</v>
      </c>
      <c r="D2909" t="s">
        <v>20</v>
      </c>
      <c r="E2909" t="s">
        <v>7643</v>
      </c>
      <c r="F2909">
        <v>3</v>
      </c>
      <c r="G2909" s="15">
        <v>2710000</v>
      </c>
      <c r="H2909" s="14">
        <v>0.13075929750140999</v>
      </c>
      <c r="I2909" s="27">
        <f t="shared" si="45"/>
        <v>2355642.3037711792</v>
      </c>
      <c r="J2909">
        <v>4.2</v>
      </c>
      <c r="K2909" t="b">
        <v>1</v>
      </c>
    </row>
    <row r="2910" spans="1:11" ht="16" x14ac:dyDescent="0.2">
      <c r="A2910" s="16">
        <v>45701</v>
      </c>
      <c r="B2910" t="s">
        <v>29</v>
      </c>
      <c r="C2910" t="s">
        <v>19</v>
      </c>
      <c r="D2910" t="s">
        <v>35</v>
      </c>
      <c r="E2910" t="s">
        <v>7642</v>
      </c>
      <c r="F2910">
        <v>1</v>
      </c>
      <c r="G2910" s="15">
        <v>2710000</v>
      </c>
      <c r="H2910" s="14">
        <v>0.13075929750140999</v>
      </c>
      <c r="I2910" s="27">
        <f t="shared" si="45"/>
        <v>2355642.3037711792</v>
      </c>
      <c r="J2910">
        <v>4.3</v>
      </c>
      <c r="K2910" t="b">
        <v>1</v>
      </c>
    </row>
    <row r="2911" spans="1:11" ht="16" x14ac:dyDescent="0.2">
      <c r="A2911" s="16">
        <v>45701</v>
      </c>
      <c r="B2911" t="s">
        <v>45</v>
      </c>
      <c r="C2911" t="s">
        <v>19</v>
      </c>
      <c r="D2911" t="s">
        <v>35</v>
      </c>
      <c r="E2911" t="s">
        <v>7643</v>
      </c>
      <c r="F2911">
        <v>1</v>
      </c>
      <c r="G2911" s="15">
        <v>2710000</v>
      </c>
      <c r="H2911" s="14">
        <v>0.13075929750140999</v>
      </c>
      <c r="I2911" s="27">
        <f t="shared" si="45"/>
        <v>2355642.3037711792</v>
      </c>
      <c r="J2911">
        <v>4.0999999999999996</v>
      </c>
      <c r="K2911" t="b">
        <v>1</v>
      </c>
    </row>
    <row r="2912" spans="1:11" ht="16" x14ac:dyDescent="0.2">
      <c r="A2912" s="16">
        <v>45701</v>
      </c>
      <c r="B2912" t="s">
        <v>29</v>
      </c>
      <c r="C2912" t="s">
        <v>68</v>
      </c>
      <c r="D2912" t="s">
        <v>35</v>
      </c>
      <c r="E2912" t="s">
        <v>7644</v>
      </c>
      <c r="F2912">
        <v>2</v>
      </c>
      <c r="G2912" s="15">
        <v>2710000</v>
      </c>
      <c r="H2912" s="14">
        <v>0.13075929750140999</v>
      </c>
      <c r="I2912" s="27">
        <f t="shared" si="45"/>
        <v>2355642.3037711792</v>
      </c>
      <c r="J2912">
        <v>4.0999999999999996</v>
      </c>
      <c r="K2912" t="b">
        <v>0</v>
      </c>
    </row>
    <row r="2913" spans="1:11" ht="16" x14ac:dyDescent="0.2">
      <c r="A2913" s="16">
        <v>45701</v>
      </c>
      <c r="B2913" t="s">
        <v>45</v>
      </c>
      <c r="C2913" t="s">
        <v>25</v>
      </c>
      <c r="D2913" t="s">
        <v>20</v>
      </c>
      <c r="E2913" t="s">
        <v>99</v>
      </c>
      <c r="F2913">
        <v>2</v>
      </c>
      <c r="G2913" s="15">
        <v>2710000</v>
      </c>
      <c r="H2913" s="14">
        <v>0.13075929750140999</v>
      </c>
      <c r="I2913" s="27">
        <f t="shared" si="45"/>
        <v>2355642.3037711792</v>
      </c>
      <c r="J2913">
        <v>3.5</v>
      </c>
      <c r="K2913" t="b">
        <v>0</v>
      </c>
    </row>
    <row r="2914" spans="1:11" ht="16" x14ac:dyDescent="0.2">
      <c r="A2914" s="16">
        <v>45701</v>
      </c>
      <c r="B2914" t="s">
        <v>33</v>
      </c>
      <c r="C2914" t="s">
        <v>39</v>
      </c>
      <c r="D2914" t="s">
        <v>20</v>
      </c>
      <c r="E2914" t="s">
        <v>57</v>
      </c>
      <c r="F2914">
        <v>4</v>
      </c>
      <c r="G2914" s="15">
        <v>2710000</v>
      </c>
      <c r="H2914" s="14">
        <v>0.13075929750140999</v>
      </c>
      <c r="I2914" s="27">
        <f t="shared" si="45"/>
        <v>2355642.3037711792</v>
      </c>
      <c r="J2914">
        <v>4.2</v>
      </c>
      <c r="K2914" t="b">
        <v>1</v>
      </c>
    </row>
    <row r="2915" spans="1:11" ht="16" x14ac:dyDescent="0.2">
      <c r="A2915" s="16">
        <v>45702</v>
      </c>
      <c r="B2915" t="s">
        <v>33</v>
      </c>
      <c r="C2915" t="s">
        <v>34</v>
      </c>
      <c r="D2915" t="s">
        <v>20</v>
      </c>
      <c r="E2915" t="s">
        <v>7638</v>
      </c>
      <c r="F2915">
        <v>2</v>
      </c>
      <c r="G2915" s="15">
        <v>2710000</v>
      </c>
      <c r="H2915" s="14">
        <v>0.13075929750140999</v>
      </c>
      <c r="I2915" s="27">
        <f t="shared" si="45"/>
        <v>2355642.3037711792</v>
      </c>
      <c r="J2915">
        <v>4.0999999999999996</v>
      </c>
      <c r="K2915" t="b">
        <v>1</v>
      </c>
    </row>
    <row r="2916" spans="1:11" ht="16" x14ac:dyDescent="0.2">
      <c r="A2916" s="16">
        <v>45702</v>
      </c>
      <c r="B2916" t="s">
        <v>33</v>
      </c>
      <c r="C2916" t="s">
        <v>68</v>
      </c>
      <c r="D2916" t="s">
        <v>20</v>
      </c>
      <c r="E2916" t="s">
        <v>7643</v>
      </c>
      <c r="F2916">
        <v>2</v>
      </c>
      <c r="G2916" s="15">
        <v>2710000</v>
      </c>
      <c r="H2916" s="14">
        <v>0.13075929750140999</v>
      </c>
      <c r="I2916" s="27">
        <f t="shared" si="45"/>
        <v>2355642.3037711792</v>
      </c>
      <c r="J2916">
        <v>3.8</v>
      </c>
      <c r="K2916" t="b">
        <v>1</v>
      </c>
    </row>
    <row r="2917" spans="1:11" ht="16" x14ac:dyDescent="0.2">
      <c r="A2917" s="16">
        <v>45702</v>
      </c>
      <c r="B2917" t="s">
        <v>45</v>
      </c>
      <c r="C2917" t="s">
        <v>34</v>
      </c>
      <c r="D2917" t="s">
        <v>50</v>
      </c>
      <c r="E2917" t="s">
        <v>7644</v>
      </c>
      <c r="F2917">
        <v>3</v>
      </c>
      <c r="G2917" s="15">
        <v>2710000</v>
      </c>
      <c r="H2917" s="14">
        <v>0.13075929750140999</v>
      </c>
      <c r="I2917" s="27">
        <f t="shared" si="45"/>
        <v>2355642.3037711792</v>
      </c>
      <c r="J2917">
        <v>3.1</v>
      </c>
      <c r="K2917" t="b">
        <v>0</v>
      </c>
    </row>
    <row r="2918" spans="1:11" ht="16" x14ac:dyDescent="0.2">
      <c r="A2918" s="16">
        <v>45702</v>
      </c>
      <c r="B2918" t="s">
        <v>33</v>
      </c>
      <c r="C2918" t="s">
        <v>19</v>
      </c>
      <c r="D2918" t="s">
        <v>20</v>
      </c>
      <c r="E2918" t="s">
        <v>7642</v>
      </c>
      <c r="F2918">
        <v>3</v>
      </c>
      <c r="G2918" s="15">
        <v>2710000</v>
      </c>
      <c r="H2918" s="14">
        <v>0.13075929750140999</v>
      </c>
      <c r="I2918" s="27">
        <f t="shared" si="45"/>
        <v>2355642.3037711792</v>
      </c>
      <c r="J2918">
        <v>4.9000000000000004</v>
      </c>
      <c r="K2918" t="b">
        <v>1</v>
      </c>
    </row>
    <row r="2919" spans="1:11" ht="16" x14ac:dyDescent="0.2">
      <c r="A2919" s="16">
        <v>45702</v>
      </c>
      <c r="B2919" t="s">
        <v>18</v>
      </c>
      <c r="C2919" t="s">
        <v>34</v>
      </c>
      <c r="D2919" t="s">
        <v>50</v>
      </c>
      <c r="E2919" t="s">
        <v>99</v>
      </c>
      <c r="F2919">
        <v>2</v>
      </c>
      <c r="G2919" s="15">
        <v>2710000</v>
      </c>
      <c r="H2919" s="14">
        <v>0.13075929750140999</v>
      </c>
      <c r="I2919" s="27">
        <f t="shared" si="45"/>
        <v>2355642.3037711792</v>
      </c>
      <c r="J2919">
        <v>4.5</v>
      </c>
      <c r="K2919" t="b">
        <v>1</v>
      </c>
    </row>
    <row r="2920" spans="1:11" ht="16" x14ac:dyDescent="0.2">
      <c r="A2920" s="16">
        <v>45702</v>
      </c>
      <c r="B2920" t="s">
        <v>45</v>
      </c>
      <c r="C2920" t="s">
        <v>68</v>
      </c>
      <c r="D2920" t="s">
        <v>20</v>
      </c>
      <c r="E2920" t="s">
        <v>7642</v>
      </c>
      <c r="F2920">
        <v>1</v>
      </c>
      <c r="G2920" s="15">
        <v>2710000</v>
      </c>
      <c r="H2920" s="14">
        <v>0.13075929750140999</v>
      </c>
      <c r="I2920" s="27">
        <f t="shared" si="45"/>
        <v>2355642.3037711792</v>
      </c>
      <c r="J2920">
        <v>4.2</v>
      </c>
      <c r="K2920" t="b">
        <v>1</v>
      </c>
    </row>
    <row r="2921" spans="1:11" ht="16" x14ac:dyDescent="0.2">
      <c r="A2921" s="16">
        <v>45703</v>
      </c>
      <c r="B2921" t="s">
        <v>33</v>
      </c>
      <c r="C2921" t="s">
        <v>34</v>
      </c>
      <c r="D2921" t="s">
        <v>20</v>
      </c>
      <c r="E2921" t="s">
        <v>7640</v>
      </c>
      <c r="F2921">
        <v>1</v>
      </c>
      <c r="G2921" s="15">
        <v>2710000</v>
      </c>
      <c r="H2921" s="14">
        <v>0.13075929750140999</v>
      </c>
      <c r="I2921" s="27">
        <f t="shared" si="45"/>
        <v>2355642.3037711792</v>
      </c>
      <c r="J2921">
        <v>4.2</v>
      </c>
      <c r="K2921" t="b">
        <v>1</v>
      </c>
    </row>
    <row r="2922" spans="1:11" ht="16" x14ac:dyDescent="0.2">
      <c r="A2922" s="16">
        <v>45703</v>
      </c>
      <c r="B2922" t="s">
        <v>45</v>
      </c>
      <c r="C2922" t="s">
        <v>19</v>
      </c>
      <c r="D2922" t="s">
        <v>20</v>
      </c>
      <c r="E2922" t="s">
        <v>99</v>
      </c>
      <c r="F2922">
        <v>3</v>
      </c>
      <c r="G2922" s="15">
        <v>2710000</v>
      </c>
      <c r="H2922" s="14">
        <v>0.13075929750140999</v>
      </c>
      <c r="I2922" s="27">
        <f t="shared" si="45"/>
        <v>2355642.3037711792</v>
      </c>
      <c r="J2922">
        <v>5</v>
      </c>
      <c r="K2922" t="b">
        <v>1</v>
      </c>
    </row>
    <row r="2923" spans="1:11" ht="16" x14ac:dyDescent="0.2">
      <c r="A2923" s="16">
        <v>45704</v>
      </c>
      <c r="B2923" t="s">
        <v>45</v>
      </c>
      <c r="C2923" t="s">
        <v>39</v>
      </c>
      <c r="D2923" t="s">
        <v>20</v>
      </c>
      <c r="E2923" t="s">
        <v>7641</v>
      </c>
      <c r="F2923">
        <v>3</v>
      </c>
      <c r="G2923" s="15">
        <v>2710000</v>
      </c>
      <c r="H2923" s="14">
        <v>0.13075929750140999</v>
      </c>
      <c r="I2923" s="27">
        <f t="shared" si="45"/>
        <v>2355642.3037711792</v>
      </c>
      <c r="J2923">
        <v>4.4000000000000004</v>
      </c>
      <c r="K2923" t="b">
        <v>1</v>
      </c>
    </row>
    <row r="2924" spans="1:11" ht="16" x14ac:dyDescent="0.2">
      <c r="A2924" s="16">
        <v>45704</v>
      </c>
      <c r="B2924" t="s">
        <v>45</v>
      </c>
      <c r="C2924" t="s">
        <v>45</v>
      </c>
      <c r="D2924" t="s">
        <v>35</v>
      </c>
      <c r="E2924" t="s">
        <v>7637</v>
      </c>
      <c r="F2924">
        <v>2</v>
      </c>
      <c r="G2924" s="15">
        <v>2710000</v>
      </c>
      <c r="H2924" s="14">
        <v>0.13075929750140999</v>
      </c>
      <c r="I2924" s="27">
        <f t="shared" si="45"/>
        <v>2355642.3037711792</v>
      </c>
      <c r="J2924">
        <v>3.2</v>
      </c>
      <c r="K2924" t="b">
        <v>1</v>
      </c>
    </row>
    <row r="2925" spans="1:11" ht="16" x14ac:dyDescent="0.2">
      <c r="A2925" s="16">
        <v>45704</v>
      </c>
      <c r="B2925" t="s">
        <v>45</v>
      </c>
      <c r="C2925" t="s">
        <v>19</v>
      </c>
      <c r="D2925" t="s">
        <v>46</v>
      </c>
      <c r="E2925" t="s">
        <v>7637</v>
      </c>
      <c r="F2925">
        <v>1</v>
      </c>
      <c r="G2925" s="15">
        <v>2710000</v>
      </c>
      <c r="H2925" s="14">
        <v>0.13075929750140999</v>
      </c>
      <c r="I2925" s="27">
        <f t="shared" si="45"/>
        <v>2355642.3037711792</v>
      </c>
      <c r="J2925">
        <v>5</v>
      </c>
      <c r="K2925" t="b">
        <v>1</v>
      </c>
    </row>
    <row r="2926" spans="1:11" ht="16" x14ac:dyDescent="0.2">
      <c r="A2926" s="16">
        <v>45704</v>
      </c>
      <c r="B2926" t="s">
        <v>18</v>
      </c>
      <c r="C2926" t="s">
        <v>19</v>
      </c>
      <c r="D2926" t="s">
        <v>20</v>
      </c>
      <c r="E2926" t="s">
        <v>7643</v>
      </c>
      <c r="F2926">
        <v>3</v>
      </c>
      <c r="G2926" s="15">
        <v>2710000</v>
      </c>
      <c r="H2926" s="14">
        <v>0.13075929750140999</v>
      </c>
      <c r="I2926" s="27">
        <f t="shared" si="45"/>
        <v>2355642.3037711792</v>
      </c>
      <c r="J2926">
        <v>4</v>
      </c>
      <c r="K2926" t="b">
        <v>1</v>
      </c>
    </row>
    <row r="2927" spans="1:11" ht="16" x14ac:dyDescent="0.2">
      <c r="A2927" s="16">
        <v>45706</v>
      </c>
      <c r="B2927" t="s">
        <v>18</v>
      </c>
      <c r="C2927" t="s">
        <v>19</v>
      </c>
      <c r="D2927" t="s">
        <v>35</v>
      </c>
      <c r="E2927" t="s">
        <v>7644</v>
      </c>
      <c r="F2927">
        <v>2</v>
      </c>
      <c r="G2927" s="15">
        <v>2710000</v>
      </c>
      <c r="H2927" s="14">
        <v>0.13075929750140999</v>
      </c>
      <c r="I2927" s="27">
        <f t="shared" si="45"/>
        <v>2355642.3037711792</v>
      </c>
      <c r="J2927">
        <v>3.3</v>
      </c>
      <c r="K2927" t="b">
        <v>1</v>
      </c>
    </row>
    <row r="2928" spans="1:11" ht="16" x14ac:dyDescent="0.2">
      <c r="A2928" s="16">
        <v>45707</v>
      </c>
      <c r="B2928" t="s">
        <v>18</v>
      </c>
      <c r="C2928" t="s">
        <v>45</v>
      </c>
      <c r="D2928" t="s">
        <v>50</v>
      </c>
      <c r="E2928" t="s">
        <v>7643</v>
      </c>
      <c r="F2928">
        <v>5</v>
      </c>
      <c r="G2928" s="15">
        <v>2710000</v>
      </c>
      <c r="H2928" s="14">
        <v>0.13075929750140999</v>
      </c>
      <c r="I2928" s="27">
        <f t="shared" si="45"/>
        <v>2355642.3037711792</v>
      </c>
      <c r="J2928">
        <v>4.9000000000000004</v>
      </c>
      <c r="K2928" t="b">
        <v>1</v>
      </c>
    </row>
    <row r="2929" spans="1:11" ht="16" x14ac:dyDescent="0.2">
      <c r="A2929" s="16">
        <v>45707</v>
      </c>
      <c r="B2929" t="s">
        <v>45</v>
      </c>
      <c r="C2929" t="s">
        <v>34</v>
      </c>
      <c r="D2929" t="s">
        <v>50</v>
      </c>
      <c r="E2929" t="s">
        <v>7644</v>
      </c>
      <c r="F2929">
        <v>2</v>
      </c>
      <c r="G2929" s="15">
        <v>2710000</v>
      </c>
      <c r="H2929" s="14">
        <v>0.13075929750140999</v>
      </c>
      <c r="I2929" s="27">
        <f t="shared" si="45"/>
        <v>2355642.3037711792</v>
      </c>
      <c r="J2929">
        <v>4</v>
      </c>
      <c r="K2929" t="b">
        <v>1</v>
      </c>
    </row>
    <row r="2930" spans="1:11" ht="16" x14ac:dyDescent="0.2">
      <c r="A2930" s="16">
        <v>45708</v>
      </c>
      <c r="B2930" t="s">
        <v>33</v>
      </c>
      <c r="C2930" t="s">
        <v>34</v>
      </c>
      <c r="D2930" t="s">
        <v>20</v>
      </c>
      <c r="E2930" t="s">
        <v>7644</v>
      </c>
      <c r="F2930">
        <v>1</v>
      </c>
      <c r="G2930" s="15">
        <v>2710000</v>
      </c>
      <c r="H2930" s="14">
        <v>0.13075929750140999</v>
      </c>
      <c r="I2930" s="27">
        <f t="shared" si="45"/>
        <v>2355642.3037711792</v>
      </c>
      <c r="J2930">
        <v>4.0999999999999996</v>
      </c>
      <c r="K2930" t="b">
        <v>1</v>
      </c>
    </row>
    <row r="2931" spans="1:11" ht="16" x14ac:dyDescent="0.2">
      <c r="A2931" s="16">
        <v>45708</v>
      </c>
      <c r="B2931" t="s">
        <v>33</v>
      </c>
      <c r="C2931" t="s">
        <v>34</v>
      </c>
      <c r="D2931" t="s">
        <v>20</v>
      </c>
      <c r="E2931" t="str">
        <f>E2930</f>
        <v>Hạ Long</v>
      </c>
      <c r="F2931">
        <v>2</v>
      </c>
      <c r="G2931" s="15">
        <v>2710000</v>
      </c>
      <c r="H2931" s="14">
        <v>0.13075929750140999</v>
      </c>
      <c r="I2931" s="27">
        <f t="shared" si="45"/>
        <v>2355642.3037711792</v>
      </c>
      <c r="J2931">
        <v>3.7</v>
      </c>
      <c r="K2931" t="b">
        <v>1</v>
      </c>
    </row>
    <row r="2932" spans="1:11" ht="16" x14ac:dyDescent="0.2">
      <c r="A2932" s="16">
        <v>45709</v>
      </c>
      <c r="B2932" t="s">
        <v>33</v>
      </c>
      <c r="C2932" t="s">
        <v>45</v>
      </c>
      <c r="D2932" t="s">
        <v>50</v>
      </c>
      <c r="E2932" t="str">
        <f>E2931</f>
        <v>Hạ Long</v>
      </c>
      <c r="F2932">
        <v>1</v>
      </c>
      <c r="G2932" s="15">
        <v>2710000</v>
      </c>
      <c r="H2932" s="14">
        <v>0.13075929750140999</v>
      </c>
      <c r="I2932" s="27">
        <f t="shared" si="45"/>
        <v>2355642.3037711792</v>
      </c>
      <c r="J2932">
        <v>4.5999999999999996</v>
      </c>
      <c r="K2932" t="b">
        <v>1</v>
      </c>
    </row>
    <row r="2933" spans="1:11" ht="16" x14ac:dyDescent="0.2">
      <c r="A2933" s="16">
        <v>45709</v>
      </c>
      <c r="B2933" t="s">
        <v>45</v>
      </c>
      <c r="C2933" t="s">
        <v>45</v>
      </c>
      <c r="D2933" t="s">
        <v>20</v>
      </c>
      <c r="E2933" t="s">
        <v>57</v>
      </c>
      <c r="F2933">
        <v>3</v>
      </c>
      <c r="G2933" s="15">
        <v>2710000</v>
      </c>
      <c r="H2933" s="14">
        <v>0.13075929750140999</v>
      </c>
      <c r="I2933" s="27">
        <f t="shared" si="45"/>
        <v>2355642.3037711792</v>
      </c>
      <c r="J2933">
        <v>4.4000000000000004</v>
      </c>
      <c r="K2933" t="b">
        <v>0</v>
      </c>
    </row>
    <row r="2934" spans="1:11" ht="16" x14ac:dyDescent="0.2">
      <c r="A2934" s="16">
        <v>45710</v>
      </c>
      <c r="B2934" t="s">
        <v>45</v>
      </c>
      <c r="C2934" t="s">
        <v>19</v>
      </c>
      <c r="D2934" t="s">
        <v>35</v>
      </c>
      <c r="E2934" t="s">
        <v>7639</v>
      </c>
      <c r="F2934">
        <v>1</v>
      </c>
      <c r="G2934" s="15">
        <v>2710000</v>
      </c>
      <c r="H2934" s="14">
        <v>0.13075929750140999</v>
      </c>
      <c r="I2934" s="27">
        <f t="shared" si="45"/>
        <v>2355642.3037711792</v>
      </c>
      <c r="J2934">
        <v>3.8</v>
      </c>
      <c r="K2934" t="b">
        <v>1</v>
      </c>
    </row>
    <row r="2935" spans="1:11" ht="16" x14ac:dyDescent="0.2">
      <c r="A2935" s="16">
        <v>45710</v>
      </c>
      <c r="B2935" t="s">
        <v>29</v>
      </c>
      <c r="C2935" t="s">
        <v>34</v>
      </c>
      <c r="D2935" t="s">
        <v>50</v>
      </c>
      <c r="E2935" t="s">
        <v>7642</v>
      </c>
      <c r="F2935">
        <v>1</v>
      </c>
      <c r="G2935" s="15">
        <v>2710000</v>
      </c>
      <c r="H2935" s="14">
        <v>0.13075929750140999</v>
      </c>
      <c r="I2935" s="27">
        <f t="shared" si="45"/>
        <v>2355642.3037711792</v>
      </c>
      <c r="J2935">
        <v>4.5999999999999996</v>
      </c>
      <c r="K2935" t="b">
        <v>0</v>
      </c>
    </row>
    <row r="2936" spans="1:11" ht="16" x14ac:dyDescent="0.2">
      <c r="A2936" s="16">
        <v>45710</v>
      </c>
      <c r="B2936" t="s">
        <v>45</v>
      </c>
      <c r="C2936" t="s">
        <v>19</v>
      </c>
      <c r="D2936" t="s">
        <v>50</v>
      </c>
      <c r="E2936" t="s">
        <v>7638</v>
      </c>
      <c r="F2936">
        <v>1</v>
      </c>
      <c r="G2936" s="15">
        <v>2710000</v>
      </c>
      <c r="H2936" s="14">
        <v>0.13075929750140999</v>
      </c>
      <c r="I2936" s="27">
        <f t="shared" si="45"/>
        <v>2355642.3037711792</v>
      </c>
      <c r="J2936">
        <v>3.8</v>
      </c>
      <c r="K2936" t="b">
        <v>1</v>
      </c>
    </row>
    <row r="2937" spans="1:11" ht="16" x14ac:dyDescent="0.2">
      <c r="A2937" s="16">
        <v>45710</v>
      </c>
      <c r="B2937" t="s">
        <v>33</v>
      </c>
      <c r="C2937" t="s">
        <v>39</v>
      </c>
      <c r="D2937" t="s">
        <v>20</v>
      </c>
      <c r="E2937" t="s">
        <v>57</v>
      </c>
      <c r="F2937">
        <v>1</v>
      </c>
      <c r="G2937" s="15">
        <v>2710000</v>
      </c>
      <c r="H2937" s="14">
        <v>0.13075929750140999</v>
      </c>
      <c r="I2937" s="27">
        <f t="shared" si="45"/>
        <v>2355642.3037711792</v>
      </c>
      <c r="J2937">
        <v>4.2</v>
      </c>
      <c r="K2937" t="b">
        <v>1</v>
      </c>
    </row>
    <row r="2938" spans="1:11" ht="16" x14ac:dyDescent="0.2">
      <c r="A2938" s="16">
        <v>45711</v>
      </c>
      <c r="B2938" t="s">
        <v>18</v>
      </c>
      <c r="C2938" t="s">
        <v>25</v>
      </c>
      <c r="D2938" t="s">
        <v>35</v>
      </c>
      <c r="E2938" t="s">
        <v>7643</v>
      </c>
      <c r="F2938">
        <v>2</v>
      </c>
      <c r="G2938" s="15">
        <v>2710000</v>
      </c>
      <c r="H2938" s="14">
        <v>0.13075929750140999</v>
      </c>
      <c r="I2938" s="27">
        <f t="shared" si="45"/>
        <v>2355642.3037711792</v>
      </c>
      <c r="J2938">
        <v>4.3</v>
      </c>
      <c r="K2938" t="b">
        <v>1</v>
      </c>
    </row>
    <row r="2939" spans="1:11" ht="16" x14ac:dyDescent="0.2">
      <c r="A2939" s="16">
        <v>45711</v>
      </c>
      <c r="B2939" t="s">
        <v>45</v>
      </c>
      <c r="C2939" t="s">
        <v>34</v>
      </c>
      <c r="D2939" t="s">
        <v>50</v>
      </c>
      <c r="E2939" t="s">
        <v>99</v>
      </c>
      <c r="F2939">
        <v>1</v>
      </c>
      <c r="G2939" s="15">
        <v>2710000</v>
      </c>
      <c r="H2939" s="14">
        <v>0.13075929750140999</v>
      </c>
      <c r="I2939" s="27">
        <f t="shared" si="45"/>
        <v>2355642.3037711792</v>
      </c>
      <c r="J2939">
        <v>4.5</v>
      </c>
      <c r="K2939" t="b">
        <v>1</v>
      </c>
    </row>
    <row r="2940" spans="1:11" ht="16" x14ac:dyDescent="0.2">
      <c r="A2940" s="16">
        <v>45711</v>
      </c>
      <c r="B2940" t="s">
        <v>33</v>
      </c>
      <c r="C2940" t="s">
        <v>45</v>
      </c>
      <c r="D2940" t="s">
        <v>50</v>
      </c>
      <c r="E2940" t="s">
        <v>7642</v>
      </c>
      <c r="F2940">
        <v>2</v>
      </c>
      <c r="G2940" s="15">
        <v>2710000</v>
      </c>
      <c r="H2940" s="14">
        <v>0.13075929750140999</v>
      </c>
      <c r="I2940" s="27">
        <f t="shared" si="45"/>
        <v>2355642.3037711792</v>
      </c>
      <c r="J2940">
        <v>4.9000000000000004</v>
      </c>
      <c r="K2940" t="b">
        <v>1</v>
      </c>
    </row>
    <row r="2941" spans="1:11" ht="16" x14ac:dyDescent="0.2">
      <c r="A2941" s="16">
        <v>45711</v>
      </c>
      <c r="B2941" t="s">
        <v>45</v>
      </c>
      <c r="C2941" t="s">
        <v>39</v>
      </c>
      <c r="D2941" t="s">
        <v>20</v>
      </c>
      <c r="E2941" t="str">
        <f>E2940</f>
        <v>Huế</v>
      </c>
      <c r="F2941">
        <v>4</v>
      </c>
      <c r="G2941" s="15">
        <v>2710000</v>
      </c>
      <c r="H2941" s="14">
        <v>0.13075929750140999</v>
      </c>
      <c r="I2941" s="27">
        <f t="shared" si="45"/>
        <v>2355642.3037711792</v>
      </c>
      <c r="J2941">
        <v>4.4000000000000004</v>
      </c>
      <c r="K2941" t="b">
        <v>1</v>
      </c>
    </row>
    <row r="2942" spans="1:11" ht="16" x14ac:dyDescent="0.2">
      <c r="A2942" s="16">
        <v>45711</v>
      </c>
      <c r="B2942" t="s">
        <v>29</v>
      </c>
      <c r="C2942" t="s">
        <v>19</v>
      </c>
      <c r="D2942" t="s">
        <v>35</v>
      </c>
      <c r="E2942" t="s">
        <v>7642</v>
      </c>
      <c r="F2942">
        <v>2</v>
      </c>
      <c r="G2942" s="15">
        <v>2710000</v>
      </c>
      <c r="H2942" s="14">
        <v>0.13075929750140999</v>
      </c>
      <c r="I2942" s="27">
        <f t="shared" si="45"/>
        <v>2355642.3037711792</v>
      </c>
      <c r="J2942">
        <v>4.9000000000000004</v>
      </c>
      <c r="K2942" t="b">
        <v>1</v>
      </c>
    </row>
    <row r="2943" spans="1:11" ht="16" x14ac:dyDescent="0.2">
      <c r="A2943" s="16">
        <v>45711</v>
      </c>
      <c r="B2943" t="s">
        <v>45</v>
      </c>
      <c r="C2943" t="s">
        <v>34</v>
      </c>
      <c r="D2943" t="s">
        <v>35</v>
      </c>
      <c r="E2943" t="s">
        <v>7644</v>
      </c>
      <c r="F2943">
        <v>1</v>
      </c>
      <c r="G2943" s="15">
        <v>2710000</v>
      </c>
      <c r="H2943" s="14">
        <v>0.13075929750140999</v>
      </c>
      <c r="I2943" s="27">
        <f t="shared" si="45"/>
        <v>2355642.3037711792</v>
      </c>
      <c r="J2943">
        <v>4.3</v>
      </c>
      <c r="K2943" t="b">
        <v>1</v>
      </c>
    </row>
    <row r="2944" spans="1:11" ht="16" x14ac:dyDescent="0.2">
      <c r="A2944" s="16">
        <v>45711</v>
      </c>
      <c r="B2944" t="s">
        <v>45</v>
      </c>
      <c r="C2944" t="s">
        <v>25</v>
      </c>
      <c r="D2944" t="s">
        <v>50</v>
      </c>
      <c r="E2944" t="s">
        <v>7639</v>
      </c>
      <c r="F2944">
        <v>1</v>
      </c>
      <c r="G2944" s="15">
        <v>2710000</v>
      </c>
      <c r="H2944" s="14">
        <v>0.13075929750140999</v>
      </c>
      <c r="I2944" s="27">
        <f t="shared" si="45"/>
        <v>2355642.3037711792</v>
      </c>
      <c r="J2944">
        <v>4.5999999999999996</v>
      </c>
      <c r="K2944" t="b">
        <v>1</v>
      </c>
    </row>
    <row r="2945" spans="1:11" ht="16" x14ac:dyDescent="0.2">
      <c r="A2945" s="16">
        <v>45712</v>
      </c>
      <c r="B2945" t="s">
        <v>18</v>
      </c>
      <c r="C2945" t="s">
        <v>19</v>
      </c>
      <c r="D2945" t="s">
        <v>20</v>
      </c>
      <c r="E2945" t="str">
        <f>E2944</f>
        <v>Hà Nội</v>
      </c>
      <c r="F2945">
        <v>1</v>
      </c>
      <c r="G2945" s="15">
        <v>2710000</v>
      </c>
      <c r="H2945" s="14">
        <v>0.13075929750140999</v>
      </c>
      <c r="I2945" s="27">
        <f t="shared" si="45"/>
        <v>2355642.3037711792</v>
      </c>
      <c r="J2945">
        <v>4.9000000000000004</v>
      </c>
      <c r="K2945" t="b">
        <v>1</v>
      </c>
    </row>
    <row r="2946" spans="1:11" ht="16" x14ac:dyDescent="0.2">
      <c r="A2946" s="16">
        <v>45712</v>
      </c>
      <c r="B2946" t="s">
        <v>18</v>
      </c>
      <c r="C2946" t="s">
        <v>68</v>
      </c>
      <c r="D2946" t="s">
        <v>20</v>
      </c>
      <c r="E2946" t="s">
        <v>7642</v>
      </c>
      <c r="F2946">
        <v>3</v>
      </c>
      <c r="G2946" s="15">
        <v>2710000</v>
      </c>
      <c r="H2946" s="14">
        <v>0.13075929750140999</v>
      </c>
      <c r="I2946" s="27">
        <f t="shared" si="45"/>
        <v>2355642.3037711792</v>
      </c>
      <c r="J2946">
        <v>3.8</v>
      </c>
      <c r="K2946" t="b">
        <v>1</v>
      </c>
    </row>
    <row r="2947" spans="1:11" ht="16" x14ac:dyDescent="0.2">
      <c r="A2947" s="16">
        <v>45713</v>
      </c>
      <c r="B2947" t="s">
        <v>45</v>
      </c>
      <c r="C2947" t="s">
        <v>39</v>
      </c>
      <c r="D2947" t="s">
        <v>35</v>
      </c>
      <c r="E2947" t="s">
        <v>7644</v>
      </c>
      <c r="F2947">
        <v>1</v>
      </c>
      <c r="G2947" s="15">
        <v>2710000</v>
      </c>
      <c r="H2947" s="14">
        <v>0.13075929750140999</v>
      </c>
      <c r="I2947" s="27">
        <f t="shared" ref="I2947:I3010" si="46">G2947-G2947*H2947</f>
        <v>2355642.3037711792</v>
      </c>
      <c r="J2947">
        <v>4.2</v>
      </c>
      <c r="K2947" t="b">
        <v>1</v>
      </c>
    </row>
    <row r="2948" spans="1:11" ht="16" x14ac:dyDescent="0.2">
      <c r="A2948" s="16">
        <v>45713</v>
      </c>
      <c r="B2948" t="s">
        <v>18</v>
      </c>
      <c r="C2948" t="s">
        <v>39</v>
      </c>
      <c r="D2948" t="s">
        <v>20</v>
      </c>
      <c r="E2948" t="s">
        <v>7644</v>
      </c>
      <c r="F2948">
        <v>4</v>
      </c>
      <c r="G2948" s="15">
        <v>2710000</v>
      </c>
      <c r="H2948" s="14">
        <v>0.13075929750140999</v>
      </c>
      <c r="I2948" s="27">
        <f t="shared" si="46"/>
        <v>2355642.3037711792</v>
      </c>
      <c r="J2948">
        <v>3.5</v>
      </c>
      <c r="K2948" t="b">
        <v>1</v>
      </c>
    </row>
    <row r="2949" spans="1:11" ht="16" x14ac:dyDescent="0.2">
      <c r="A2949" s="16">
        <v>45713</v>
      </c>
      <c r="B2949" t="s">
        <v>18</v>
      </c>
      <c r="C2949" t="s">
        <v>39</v>
      </c>
      <c r="D2949" t="s">
        <v>20</v>
      </c>
      <c r="E2949" t="s">
        <v>7638</v>
      </c>
      <c r="F2949">
        <v>2</v>
      </c>
      <c r="G2949" s="15">
        <v>2710000</v>
      </c>
      <c r="H2949" s="14">
        <v>0.13075929750140999</v>
      </c>
      <c r="I2949" s="27">
        <f t="shared" si="46"/>
        <v>2355642.3037711792</v>
      </c>
      <c r="J2949">
        <v>5</v>
      </c>
      <c r="K2949" t="b">
        <v>1</v>
      </c>
    </row>
    <row r="2950" spans="1:11" ht="16" x14ac:dyDescent="0.2">
      <c r="A2950" s="16">
        <v>45713</v>
      </c>
      <c r="B2950" t="s">
        <v>33</v>
      </c>
      <c r="C2950" t="s">
        <v>19</v>
      </c>
      <c r="D2950" t="s">
        <v>35</v>
      </c>
      <c r="E2950" t="s">
        <v>7640</v>
      </c>
      <c r="F2950">
        <v>1</v>
      </c>
      <c r="G2950" s="15">
        <v>2710000</v>
      </c>
      <c r="H2950" s="14">
        <v>0.13075929750140999</v>
      </c>
      <c r="I2950" s="27">
        <f t="shared" si="46"/>
        <v>2355642.3037711792</v>
      </c>
      <c r="J2950">
        <v>4.0999999999999996</v>
      </c>
      <c r="K2950" t="b">
        <v>1</v>
      </c>
    </row>
    <row r="2951" spans="1:11" ht="16" x14ac:dyDescent="0.2">
      <c r="A2951" s="16">
        <v>45713</v>
      </c>
      <c r="B2951" t="s">
        <v>29</v>
      </c>
      <c r="C2951" t="s">
        <v>25</v>
      </c>
      <c r="D2951" t="s">
        <v>46</v>
      </c>
      <c r="E2951" t="s">
        <v>7643</v>
      </c>
      <c r="F2951">
        <v>5</v>
      </c>
      <c r="G2951" s="15">
        <v>2710000</v>
      </c>
      <c r="H2951" s="14">
        <v>0.13075929750140999</v>
      </c>
      <c r="I2951" s="27">
        <f t="shared" si="46"/>
        <v>2355642.3037711792</v>
      </c>
      <c r="J2951">
        <v>3.9</v>
      </c>
      <c r="K2951" t="b">
        <v>1</v>
      </c>
    </row>
    <row r="2952" spans="1:11" ht="16" x14ac:dyDescent="0.2">
      <c r="A2952" s="16">
        <v>45714</v>
      </c>
      <c r="B2952" t="s">
        <v>33</v>
      </c>
      <c r="C2952" t="s">
        <v>68</v>
      </c>
      <c r="D2952" t="s">
        <v>35</v>
      </c>
      <c r="E2952" t="s">
        <v>57</v>
      </c>
      <c r="F2952">
        <v>2</v>
      </c>
      <c r="G2952" s="15">
        <v>2710000</v>
      </c>
      <c r="H2952" s="14">
        <v>0.13075929750140999</v>
      </c>
      <c r="I2952" s="27">
        <f t="shared" si="46"/>
        <v>2355642.3037711792</v>
      </c>
      <c r="J2952">
        <v>4.4000000000000004</v>
      </c>
      <c r="K2952" t="b">
        <v>1</v>
      </c>
    </row>
    <row r="2953" spans="1:11" ht="16" x14ac:dyDescent="0.2">
      <c r="A2953" s="16">
        <v>45714</v>
      </c>
      <c r="B2953" t="str">
        <f>B2952</f>
        <v>Student</v>
      </c>
      <c r="C2953" t="s">
        <v>19</v>
      </c>
      <c r="D2953" t="s">
        <v>20</v>
      </c>
      <c r="E2953" t="s">
        <v>7641</v>
      </c>
      <c r="F2953">
        <v>1</v>
      </c>
      <c r="G2953" s="15">
        <v>2710000</v>
      </c>
      <c r="H2953" s="14">
        <v>0.13075929750140999</v>
      </c>
      <c r="I2953" s="27">
        <f t="shared" si="46"/>
        <v>2355642.3037711792</v>
      </c>
      <c r="J2953">
        <v>3.9</v>
      </c>
      <c r="K2953" t="b">
        <v>0</v>
      </c>
    </row>
    <row r="2954" spans="1:11" ht="16" x14ac:dyDescent="0.2">
      <c r="A2954" s="16">
        <v>45714</v>
      </c>
      <c r="B2954" t="s">
        <v>45</v>
      </c>
      <c r="C2954" t="s">
        <v>39</v>
      </c>
      <c r="D2954" t="s">
        <v>20</v>
      </c>
      <c r="E2954" t="s">
        <v>7637</v>
      </c>
      <c r="F2954">
        <v>3</v>
      </c>
      <c r="G2954" s="15">
        <v>2710000</v>
      </c>
      <c r="H2954" s="14">
        <v>0.13075929750140999</v>
      </c>
      <c r="I2954" s="27">
        <f t="shared" si="46"/>
        <v>2355642.3037711792</v>
      </c>
      <c r="J2954">
        <v>4.5999999999999996</v>
      </c>
      <c r="K2954" t="b">
        <v>1</v>
      </c>
    </row>
    <row r="2955" spans="1:11" ht="16" x14ac:dyDescent="0.2">
      <c r="A2955" s="16">
        <v>45714</v>
      </c>
      <c r="B2955" t="s">
        <v>45</v>
      </c>
      <c r="C2955" t="s">
        <v>45</v>
      </c>
      <c r="D2955" t="s">
        <v>20</v>
      </c>
      <c r="E2955" t="s">
        <v>7639</v>
      </c>
      <c r="F2955">
        <v>5</v>
      </c>
      <c r="G2955" s="15">
        <v>2710000</v>
      </c>
      <c r="H2955" s="14">
        <v>0.13075929750140999</v>
      </c>
      <c r="I2955" s="27">
        <f t="shared" si="46"/>
        <v>2355642.3037711792</v>
      </c>
      <c r="J2955">
        <v>4.3</v>
      </c>
      <c r="K2955" t="b">
        <v>1</v>
      </c>
    </row>
    <row r="2956" spans="1:11" ht="16" x14ac:dyDescent="0.2">
      <c r="A2956" s="16">
        <v>45714</v>
      </c>
      <c r="B2956" t="s">
        <v>33</v>
      </c>
      <c r="C2956" t="s">
        <v>19</v>
      </c>
      <c r="D2956" t="s">
        <v>20</v>
      </c>
      <c r="E2956" t="s">
        <v>7641</v>
      </c>
      <c r="F2956">
        <v>2</v>
      </c>
      <c r="G2956" s="15">
        <v>2710000</v>
      </c>
      <c r="H2956" s="14">
        <v>0.13075929750140999</v>
      </c>
      <c r="I2956" s="27">
        <f t="shared" si="46"/>
        <v>2355642.3037711792</v>
      </c>
      <c r="J2956">
        <v>4.8</v>
      </c>
      <c r="K2956" t="b">
        <v>1</v>
      </c>
    </row>
    <row r="2957" spans="1:11" ht="16" x14ac:dyDescent="0.2">
      <c r="A2957" s="16">
        <v>45715</v>
      </c>
      <c r="B2957" t="s">
        <v>45</v>
      </c>
      <c r="C2957" t="s">
        <v>19</v>
      </c>
      <c r="D2957" t="s">
        <v>50</v>
      </c>
      <c r="E2957" t="s">
        <v>99</v>
      </c>
      <c r="F2957">
        <v>2</v>
      </c>
      <c r="G2957" s="15">
        <v>2710000</v>
      </c>
      <c r="H2957" s="14">
        <v>0.13075929750140999</v>
      </c>
      <c r="I2957" s="27">
        <f t="shared" si="46"/>
        <v>2355642.3037711792</v>
      </c>
      <c r="J2957">
        <v>4.5</v>
      </c>
      <c r="K2957" t="b">
        <v>0</v>
      </c>
    </row>
    <row r="2958" spans="1:11" ht="16" x14ac:dyDescent="0.2">
      <c r="A2958" s="16">
        <v>45715</v>
      </c>
      <c r="B2958" t="s">
        <v>45</v>
      </c>
      <c r="C2958" t="s">
        <v>45</v>
      </c>
      <c r="D2958" t="s">
        <v>50</v>
      </c>
      <c r="E2958" t="s">
        <v>7639</v>
      </c>
      <c r="F2958">
        <v>3</v>
      </c>
      <c r="G2958" s="15">
        <v>2710000</v>
      </c>
      <c r="H2958" s="14">
        <v>0.13075929750140999</v>
      </c>
      <c r="I2958" s="27">
        <f t="shared" si="46"/>
        <v>2355642.3037711792</v>
      </c>
      <c r="J2958">
        <v>4.5</v>
      </c>
      <c r="K2958" t="b">
        <v>0</v>
      </c>
    </row>
    <row r="2959" spans="1:11" ht="16" x14ac:dyDescent="0.2">
      <c r="A2959" s="16">
        <v>45715</v>
      </c>
      <c r="B2959" t="s">
        <v>18</v>
      </c>
      <c r="C2959" t="s">
        <v>45</v>
      </c>
      <c r="D2959" t="s">
        <v>20</v>
      </c>
      <c r="E2959" t="s">
        <v>7642</v>
      </c>
      <c r="F2959">
        <v>1</v>
      </c>
      <c r="G2959" s="15">
        <v>2710000</v>
      </c>
      <c r="H2959" s="14">
        <v>0.13075929750140999</v>
      </c>
      <c r="I2959" s="27">
        <f t="shared" si="46"/>
        <v>2355642.3037711792</v>
      </c>
      <c r="J2959">
        <v>3.9</v>
      </c>
      <c r="K2959" t="b">
        <v>0</v>
      </c>
    </row>
    <row r="2960" spans="1:11" ht="16" x14ac:dyDescent="0.2">
      <c r="A2960" s="16">
        <v>45715</v>
      </c>
      <c r="B2960" t="s">
        <v>33</v>
      </c>
      <c r="C2960" t="s">
        <v>34</v>
      </c>
      <c r="D2960" t="s">
        <v>20</v>
      </c>
      <c r="E2960" t="s">
        <v>7643</v>
      </c>
      <c r="F2960">
        <v>2</v>
      </c>
      <c r="G2960" s="15">
        <v>2710000</v>
      </c>
      <c r="H2960" s="14">
        <v>0.13075929750140999</v>
      </c>
      <c r="I2960" s="27">
        <f t="shared" si="46"/>
        <v>2355642.3037711792</v>
      </c>
      <c r="J2960">
        <v>4.0999999999999996</v>
      </c>
      <c r="K2960" t="b">
        <v>1</v>
      </c>
    </row>
    <row r="2961" spans="1:11" ht="16" x14ac:dyDescent="0.2">
      <c r="A2961" s="16">
        <v>45716</v>
      </c>
      <c r="B2961" t="s">
        <v>45</v>
      </c>
      <c r="C2961" t="s">
        <v>19</v>
      </c>
      <c r="D2961" t="s">
        <v>50</v>
      </c>
      <c r="E2961" t="s">
        <v>7638</v>
      </c>
      <c r="F2961">
        <v>2</v>
      </c>
      <c r="G2961" s="15">
        <v>2710000</v>
      </c>
      <c r="H2961" s="14">
        <v>0.13075929750140999</v>
      </c>
      <c r="I2961" s="27">
        <f t="shared" si="46"/>
        <v>2355642.3037711792</v>
      </c>
      <c r="J2961">
        <v>4</v>
      </c>
      <c r="K2961" t="b">
        <v>1</v>
      </c>
    </row>
    <row r="2962" spans="1:11" ht="16" x14ac:dyDescent="0.2">
      <c r="A2962" s="16">
        <v>45716</v>
      </c>
      <c r="B2962" t="s">
        <v>45</v>
      </c>
      <c r="C2962" t="s">
        <v>45</v>
      </c>
      <c r="D2962" t="s">
        <v>50</v>
      </c>
      <c r="E2962" t="s">
        <v>7641</v>
      </c>
      <c r="F2962">
        <v>4</v>
      </c>
      <c r="G2962" s="15">
        <v>2710000</v>
      </c>
      <c r="H2962" s="14">
        <v>0.13075929750140999</v>
      </c>
      <c r="I2962" s="27">
        <f t="shared" si="46"/>
        <v>2355642.3037711792</v>
      </c>
      <c r="J2962">
        <v>4.9000000000000004</v>
      </c>
      <c r="K2962" t="b">
        <v>1</v>
      </c>
    </row>
    <row r="2963" spans="1:11" ht="16" x14ac:dyDescent="0.2">
      <c r="A2963" s="16">
        <v>45716</v>
      </c>
      <c r="B2963" t="s">
        <v>33</v>
      </c>
      <c r="C2963" t="s">
        <v>45</v>
      </c>
      <c r="D2963" t="s">
        <v>50</v>
      </c>
      <c r="E2963" t="s">
        <v>7637</v>
      </c>
      <c r="F2963">
        <v>5</v>
      </c>
      <c r="G2963" s="15">
        <v>2710000</v>
      </c>
      <c r="H2963" s="14">
        <v>0.13075929750140999</v>
      </c>
      <c r="I2963" s="27">
        <f t="shared" si="46"/>
        <v>2355642.3037711792</v>
      </c>
      <c r="J2963">
        <v>4.4000000000000004</v>
      </c>
      <c r="K2963" t="b">
        <v>0</v>
      </c>
    </row>
    <row r="2964" spans="1:11" ht="16" x14ac:dyDescent="0.2">
      <c r="A2964" s="16">
        <v>45716</v>
      </c>
      <c r="B2964" t="s">
        <v>18</v>
      </c>
      <c r="C2964" t="s">
        <v>19</v>
      </c>
      <c r="D2964" t="s">
        <v>20</v>
      </c>
      <c r="E2964" t="s">
        <v>57</v>
      </c>
      <c r="F2964">
        <v>1</v>
      </c>
      <c r="G2964" s="15">
        <v>2710000</v>
      </c>
      <c r="H2964" s="14">
        <v>0.13075929750140999</v>
      </c>
      <c r="I2964" s="27">
        <f t="shared" si="46"/>
        <v>2355642.3037711792</v>
      </c>
      <c r="J2964">
        <v>4</v>
      </c>
      <c r="K2964" t="b">
        <v>1</v>
      </c>
    </row>
    <row r="2965" spans="1:11" ht="16" x14ac:dyDescent="0.2">
      <c r="A2965" s="16">
        <v>45717</v>
      </c>
      <c r="B2965" t="s">
        <v>33</v>
      </c>
      <c r="C2965" t="s">
        <v>45</v>
      </c>
      <c r="D2965" t="s">
        <v>20</v>
      </c>
      <c r="E2965" t="s">
        <v>7644</v>
      </c>
      <c r="F2965">
        <v>3</v>
      </c>
      <c r="G2965" s="15">
        <v>2710000</v>
      </c>
      <c r="H2965" s="14">
        <v>0.13075929750140999</v>
      </c>
      <c r="I2965" s="27">
        <f t="shared" si="46"/>
        <v>2355642.3037711792</v>
      </c>
      <c r="J2965">
        <v>4.0999999999999996</v>
      </c>
      <c r="K2965" t="b">
        <v>1</v>
      </c>
    </row>
    <row r="2966" spans="1:11" ht="16" x14ac:dyDescent="0.2">
      <c r="A2966" s="16">
        <v>45717</v>
      </c>
      <c r="B2966" t="s">
        <v>18</v>
      </c>
      <c r="C2966" t="s">
        <v>34</v>
      </c>
      <c r="D2966" t="s">
        <v>20</v>
      </c>
      <c r="E2966" t="s">
        <v>7639</v>
      </c>
      <c r="F2966">
        <v>3</v>
      </c>
      <c r="G2966" s="15">
        <v>2710000</v>
      </c>
      <c r="H2966" s="14">
        <v>0.13075929750140999</v>
      </c>
      <c r="I2966" s="27">
        <f t="shared" si="46"/>
        <v>2355642.3037711792</v>
      </c>
      <c r="J2966">
        <v>4.2</v>
      </c>
      <c r="K2966" t="b">
        <v>0</v>
      </c>
    </row>
    <row r="2967" spans="1:11" ht="16" x14ac:dyDescent="0.2">
      <c r="A2967" s="16">
        <v>45717</v>
      </c>
      <c r="B2967" t="s">
        <v>33</v>
      </c>
      <c r="C2967" t="s">
        <v>25</v>
      </c>
      <c r="D2967" t="s">
        <v>50</v>
      </c>
      <c r="E2967" t="s">
        <v>7641</v>
      </c>
      <c r="F2967">
        <v>3</v>
      </c>
      <c r="G2967" s="15">
        <v>2710000</v>
      </c>
      <c r="H2967" s="14">
        <v>0.13075929750140999</v>
      </c>
      <c r="I2967" s="27">
        <f t="shared" si="46"/>
        <v>2355642.3037711792</v>
      </c>
      <c r="J2967">
        <v>3.8</v>
      </c>
      <c r="K2967" t="b">
        <v>1</v>
      </c>
    </row>
    <row r="2968" spans="1:11" ht="16" x14ac:dyDescent="0.2">
      <c r="A2968" s="16">
        <v>45717</v>
      </c>
      <c r="B2968" t="s">
        <v>18</v>
      </c>
      <c r="C2968" t="s">
        <v>45</v>
      </c>
      <c r="D2968" t="s">
        <v>20</v>
      </c>
      <c r="E2968" t="s">
        <v>57</v>
      </c>
      <c r="F2968">
        <v>2</v>
      </c>
      <c r="G2968" s="15">
        <v>2710000</v>
      </c>
      <c r="H2968" s="14">
        <v>0.13075929750140999</v>
      </c>
      <c r="I2968" s="27">
        <f t="shared" si="46"/>
        <v>2355642.3037711792</v>
      </c>
      <c r="J2968">
        <v>3.9</v>
      </c>
      <c r="K2968" t="b">
        <v>1</v>
      </c>
    </row>
    <row r="2969" spans="1:11" ht="16" x14ac:dyDescent="0.2">
      <c r="A2969" s="16">
        <v>45717</v>
      </c>
      <c r="B2969" t="s">
        <v>18</v>
      </c>
      <c r="C2969" t="s">
        <v>25</v>
      </c>
      <c r="D2969" t="s">
        <v>50</v>
      </c>
      <c r="E2969" t="str">
        <f>E2968</f>
        <v>Nha Trang</v>
      </c>
      <c r="F2969">
        <v>1</v>
      </c>
      <c r="G2969" s="15">
        <v>2710000</v>
      </c>
      <c r="H2969" s="14">
        <v>0.13075929750140999</v>
      </c>
      <c r="I2969" s="27">
        <f t="shared" si="46"/>
        <v>2355642.3037711792</v>
      </c>
      <c r="J2969">
        <v>4.3</v>
      </c>
      <c r="K2969" t="b">
        <v>1</v>
      </c>
    </row>
    <row r="2970" spans="1:11" ht="16" x14ac:dyDescent="0.2">
      <c r="A2970" s="16">
        <v>45717</v>
      </c>
      <c r="B2970" t="str">
        <f>B2969</f>
        <v>Young Professional</v>
      </c>
      <c r="C2970" t="s">
        <v>25</v>
      </c>
      <c r="D2970" t="s">
        <v>35</v>
      </c>
      <c r="E2970" t="s">
        <v>7640</v>
      </c>
      <c r="F2970">
        <v>1</v>
      </c>
      <c r="G2970" s="15">
        <v>2710000</v>
      </c>
      <c r="H2970" s="14">
        <v>0.13075929750140999</v>
      </c>
      <c r="I2970" s="27">
        <f t="shared" si="46"/>
        <v>2355642.3037711792</v>
      </c>
      <c r="J2970">
        <v>3.7</v>
      </c>
      <c r="K2970" t="b">
        <v>1</v>
      </c>
    </row>
    <row r="2971" spans="1:11" ht="16" x14ac:dyDescent="0.2">
      <c r="A2971" s="16">
        <v>45717</v>
      </c>
      <c r="B2971" t="s">
        <v>45</v>
      </c>
      <c r="C2971" t="s">
        <v>68</v>
      </c>
      <c r="D2971" t="s">
        <v>20</v>
      </c>
      <c r="E2971" t="s">
        <v>7638</v>
      </c>
      <c r="F2971">
        <v>3</v>
      </c>
      <c r="G2971" s="15">
        <v>2710000</v>
      </c>
      <c r="H2971" s="14">
        <v>0.13075929750140999</v>
      </c>
      <c r="I2971" s="27">
        <f t="shared" si="46"/>
        <v>2355642.3037711792</v>
      </c>
      <c r="J2971">
        <v>4.0999999999999996</v>
      </c>
      <c r="K2971" t="b">
        <v>1</v>
      </c>
    </row>
    <row r="2972" spans="1:11" ht="16" x14ac:dyDescent="0.2">
      <c r="A2972" s="16">
        <v>45717</v>
      </c>
      <c r="B2972" t="s">
        <v>33</v>
      </c>
      <c r="C2972" t="s">
        <v>45</v>
      </c>
      <c r="D2972" t="s">
        <v>50</v>
      </c>
      <c r="E2972" t="s">
        <v>7637</v>
      </c>
      <c r="F2972">
        <v>4</v>
      </c>
      <c r="G2972" s="15">
        <v>2710000</v>
      </c>
      <c r="H2972" s="14">
        <v>0.13075929750140999</v>
      </c>
      <c r="I2972" s="27">
        <f t="shared" si="46"/>
        <v>2355642.3037711792</v>
      </c>
      <c r="J2972">
        <v>4.4000000000000004</v>
      </c>
      <c r="K2972" t="b">
        <v>1</v>
      </c>
    </row>
    <row r="2973" spans="1:11" ht="16" x14ac:dyDescent="0.2">
      <c r="A2973" s="16">
        <v>45717</v>
      </c>
      <c r="B2973" t="s">
        <v>45</v>
      </c>
      <c r="C2973" t="s">
        <v>34</v>
      </c>
      <c r="D2973" t="s">
        <v>35</v>
      </c>
      <c r="E2973" t="s">
        <v>7642</v>
      </c>
      <c r="F2973">
        <v>3</v>
      </c>
      <c r="G2973" s="15">
        <v>2710000</v>
      </c>
      <c r="H2973" s="14">
        <v>0.13075929750140999</v>
      </c>
      <c r="I2973" s="27">
        <f t="shared" si="46"/>
        <v>2355642.3037711792</v>
      </c>
      <c r="J2973">
        <v>4.3</v>
      </c>
      <c r="K2973" t="b">
        <v>0</v>
      </c>
    </row>
    <row r="2974" spans="1:11" ht="16" x14ac:dyDescent="0.2">
      <c r="A2974" s="16">
        <v>45718</v>
      </c>
      <c r="B2974" t="s">
        <v>45</v>
      </c>
      <c r="C2974" t="s">
        <v>45</v>
      </c>
      <c r="D2974" t="s">
        <v>35</v>
      </c>
      <c r="E2974" t="s">
        <v>7638</v>
      </c>
      <c r="F2974">
        <v>3</v>
      </c>
      <c r="G2974" s="15">
        <v>2710000</v>
      </c>
      <c r="H2974" s="14">
        <v>0.13075929750140999</v>
      </c>
      <c r="I2974" s="27">
        <f t="shared" si="46"/>
        <v>2355642.3037711792</v>
      </c>
      <c r="J2974">
        <v>4</v>
      </c>
      <c r="K2974" t="b">
        <v>1</v>
      </c>
    </row>
    <row r="2975" spans="1:11" ht="16" x14ac:dyDescent="0.2">
      <c r="A2975" s="16">
        <v>45718</v>
      </c>
      <c r="B2975" t="s">
        <v>45</v>
      </c>
      <c r="C2975" t="s">
        <v>34</v>
      </c>
      <c r="D2975" t="s">
        <v>20</v>
      </c>
      <c r="E2975" t="s">
        <v>7640</v>
      </c>
      <c r="F2975">
        <v>5</v>
      </c>
      <c r="G2975" s="15">
        <v>2710000</v>
      </c>
      <c r="H2975" s="14">
        <v>0.13075929750140999</v>
      </c>
      <c r="I2975" s="27">
        <f t="shared" si="46"/>
        <v>2355642.3037711792</v>
      </c>
      <c r="J2975">
        <v>3.7</v>
      </c>
      <c r="K2975" t="b">
        <v>0</v>
      </c>
    </row>
    <row r="2976" spans="1:11" ht="16" x14ac:dyDescent="0.2">
      <c r="A2976" s="16">
        <v>45718</v>
      </c>
      <c r="B2976" t="s">
        <v>29</v>
      </c>
      <c r="C2976" t="s">
        <v>68</v>
      </c>
      <c r="D2976" t="s">
        <v>20</v>
      </c>
      <c r="E2976" t="s">
        <v>7638</v>
      </c>
      <c r="F2976">
        <v>4</v>
      </c>
      <c r="G2976" s="15">
        <v>2710000</v>
      </c>
      <c r="H2976" s="14">
        <v>0.13075929750140999</v>
      </c>
      <c r="I2976" s="27">
        <f t="shared" si="46"/>
        <v>2355642.3037711792</v>
      </c>
      <c r="J2976">
        <v>3.6</v>
      </c>
      <c r="K2976" t="b">
        <v>1</v>
      </c>
    </row>
    <row r="2977" spans="1:11" ht="16" x14ac:dyDescent="0.2">
      <c r="A2977" s="16">
        <v>45719</v>
      </c>
      <c r="B2977" t="s">
        <v>45</v>
      </c>
      <c r="C2977" t="s">
        <v>39</v>
      </c>
      <c r="D2977" t="s">
        <v>20</v>
      </c>
      <c r="E2977" t="s">
        <v>7641</v>
      </c>
      <c r="F2977">
        <v>2</v>
      </c>
      <c r="G2977" s="15">
        <v>2710000</v>
      </c>
      <c r="H2977" s="14">
        <v>0.13075929750140999</v>
      </c>
      <c r="I2977" s="27">
        <f t="shared" si="46"/>
        <v>2355642.3037711792</v>
      </c>
      <c r="J2977">
        <v>4.2</v>
      </c>
      <c r="K2977" t="b">
        <v>0</v>
      </c>
    </row>
    <row r="2978" spans="1:11" ht="16" x14ac:dyDescent="0.2">
      <c r="A2978" s="16">
        <v>45720</v>
      </c>
      <c r="B2978" t="s">
        <v>18</v>
      </c>
      <c r="C2978" t="s">
        <v>19</v>
      </c>
      <c r="D2978" t="s">
        <v>20</v>
      </c>
      <c r="E2978" t="s">
        <v>7638</v>
      </c>
      <c r="F2978">
        <v>1</v>
      </c>
      <c r="G2978" s="15">
        <v>2710000</v>
      </c>
      <c r="H2978" s="14">
        <v>0.13075929750140999</v>
      </c>
      <c r="I2978" s="27">
        <f t="shared" si="46"/>
        <v>2355642.3037711792</v>
      </c>
      <c r="J2978">
        <v>4.3</v>
      </c>
      <c r="K2978" t="b">
        <v>1</v>
      </c>
    </row>
    <row r="2979" spans="1:11" ht="16" x14ac:dyDescent="0.2">
      <c r="A2979" s="16">
        <v>45721</v>
      </c>
      <c r="B2979" t="s">
        <v>33</v>
      </c>
      <c r="C2979" t="s">
        <v>39</v>
      </c>
      <c r="D2979" t="s">
        <v>20</v>
      </c>
      <c r="E2979" t="s">
        <v>57</v>
      </c>
      <c r="F2979">
        <v>3</v>
      </c>
      <c r="G2979" s="15">
        <v>2710000</v>
      </c>
      <c r="H2979" s="14">
        <v>0.13075929750140999</v>
      </c>
      <c r="I2979" s="27">
        <f t="shared" si="46"/>
        <v>2355642.3037711792</v>
      </c>
      <c r="J2979">
        <v>4.0999999999999996</v>
      </c>
      <c r="K2979" t="b">
        <v>1</v>
      </c>
    </row>
    <row r="2980" spans="1:11" ht="16" x14ac:dyDescent="0.2">
      <c r="A2980" s="16">
        <v>45721</v>
      </c>
      <c r="B2980" t="s">
        <v>45</v>
      </c>
      <c r="C2980" t="s">
        <v>45</v>
      </c>
      <c r="D2980" t="s">
        <v>50</v>
      </c>
      <c r="E2980" t="s">
        <v>99</v>
      </c>
      <c r="F2980">
        <v>3</v>
      </c>
      <c r="G2980" s="15">
        <v>2710000</v>
      </c>
      <c r="H2980" s="14">
        <v>0.13075929750140999</v>
      </c>
      <c r="I2980" s="27">
        <f t="shared" si="46"/>
        <v>2355642.3037711792</v>
      </c>
      <c r="J2980">
        <v>3.6</v>
      </c>
      <c r="K2980" t="b">
        <v>1</v>
      </c>
    </row>
    <row r="2981" spans="1:11" ht="16" x14ac:dyDescent="0.2">
      <c r="A2981" s="16">
        <v>45721</v>
      </c>
      <c r="B2981" t="s">
        <v>45</v>
      </c>
      <c r="C2981" t="s">
        <v>34</v>
      </c>
      <c r="D2981" t="s">
        <v>20</v>
      </c>
      <c r="E2981" t="s">
        <v>7644</v>
      </c>
      <c r="F2981">
        <v>1</v>
      </c>
      <c r="G2981" s="15">
        <v>2710000</v>
      </c>
      <c r="H2981" s="14">
        <v>0.13075929750140999</v>
      </c>
      <c r="I2981" s="27">
        <f t="shared" si="46"/>
        <v>2355642.3037711792</v>
      </c>
      <c r="J2981">
        <v>3.5</v>
      </c>
      <c r="K2981" t="b">
        <v>1</v>
      </c>
    </row>
    <row r="2982" spans="1:11" ht="16" x14ac:dyDescent="0.2">
      <c r="A2982" s="16">
        <v>45722</v>
      </c>
      <c r="B2982" t="s">
        <v>29</v>
      </c>
      <c r="C2982" t="s">
        <v>25</v>
      </c>
      <c r="D2982" t="s">
        <v>20</v>
      </c>
      <c r="E2982" t="s">
        <v>7639</v>
      </c>
      <c r="F2982">
        <v>4</v>
      </c>
      <c r="G2982" s="15">
        <v>2710000</v>
      </c>
      <c r="H2982" s="14">
        <v>0.13075929750140999</v>
      </c>
      <c r="I2982" s="27">
        <f t="shared" si="46"/>
        <v>2355642.3037711792</v>
      </c>
      <c r="J2982">
        <v>4.2</v>
      </c>
      <c r="K2982" t="b">
        <v>1</v>
      </c>
    </row>
    <row r="2983" spans="1:11" ht="16" x14ac:dyDescent="0.2">
      <c r="A2983" s="16">
        <v>45722</v>
      </c>
      <c r="B2983" t="str">
        <f>B2982</f>
        <v>Corporate</v>
      </c>
      <c r="C2983" t="s">
        <v>39</v>
      </c>
      <c r="D2983" t="str">
        <f>D2982</f>
        <v>Website</v>
      </c>
      <c r="E2983" t="s">
        <v>7640</v>
      </c>
      <c r="F2983">
        <v>3</v>
      </c>
      <c r="G2983" s="15">
        <v>2710000</v>
      </c>
      <c r="H2983" s="14">
        <v>0.13075929750140999</v>
      </c>
      <c r="I2983" s="27">
        <f t="shared" si="46"/>
        <v>2355642.3037711792</v>
      </c>
      <c r="J2983">
        <v>5</v>
      </c>
      <c r="K2983" t="b">
        <v>0</v>
      </c>
    </row>
    <row r="2984" spans="1:11" ht="16" x14ac:dyDescent="0.2">
      <c r="A2984" s="16">
        <v>45722</v>
      </c>
      <c r="B2984" t="s">
        <v>29</v>
      </c>
      <c r="C2984" t="s">
        <v>19</v>
      </c>
      <c r="D2984" t="s">
        <v>35</v>
      </c>
      <c r="E2984" t="s">
        <v>7639</v>
      </c>
      <c r="F2984">
        <v>1</v>
      </c>
      <c r="G2984" s="15">
        <v>2710000</v>
      </c>
      <c r="H2984" s="14">
        <v>0.13075929750140999</v>
      </c>
      <c r="I2984" s="27">
        <f t="shared" si="46"/>
        <v>2355642.3037711792</v>
      </c>
      <c r="J2984">
        <v>4.2</v>
      </c>
      <c r="K2984" t="b">
        <v>1</v>
      </c>
    </row>
    <row r="2985" spans="1:11" ht="16" x14ac:dyDescent="0.2">
      <c r="A2985" s="16">
        <v>45723</v>
      </c>
      <c r="B2985" t="s">
        <v>29</v>
      </c>
      <c r="C2985" t="s">
        <v>34</v>
      </c>
      <c r="D2985" t="s">
        <v>35</v>
      </c>
      <c r="E2985" t="s">
        <v>99</v>
      </c>
      <c r="F2985">
        <v>1</v>
      </c>
      <c r="G2985" s="15">
        <v>2710000</v>
      </c>
      <c r="H2985" s="14">
        <v>0.13075929750140999</v>
      </c>
      <c r="I2985" s="27">
        <f t="shared" si="46"/>
        <v>2355642.3037711792</v>
      </c>
      <c r="J2985">
        <v>3.7</v>
      </c>
      <c r="K2985" t="b">
        <v>1</v>
      </c>
    </row>
    <row r="2986" spans="1:11" ht="16" x14ac:dyDescent="0.2">
      <c r="A2986" s="16">
        <v>45723</v>
      </c>
      <c r="B2986" t="s">
        <v>18</v>
      </c>
      <c r="C2986" t="s">
        <v>19</v>
      </c>
      <c r="D2986" t="s">
        <v>50</v>
      </c>
      <c r="E2986" t="s">
        <v>7643</v>
      </c>
      <c r="F2986">
        <v>2</v>
      </c>
      <c r="G2986" s="15">
        <v>2710000</v>
      </c>
      <c r="H2986" s="14">
        <v>0.13075929750140999</v>
      </c>
      <c r="I2986" s="27">
        <f t="shared" si="46"/>
        <v>2355642.3037711792</v>
      </c>
      <c r="J2986">
        <v>5</v>
      </c>
      <c r="K2986" t="b">
        <v>0</v>
      </c>
    </row>
    <row r="2987" spans="1:11" ht="16" x14ac:dyDescent="0.2">
      <c r="A2987" s="16">
        <v>45723</v>
      </c>
      <c r="B2987" t="s">
        <v>45</v>
      </c>
      <c r="C2987" t="s">
        <v>39</v>
      </c>
      <c r="D2987" t="s">
        <v>50</v>
      </c>
      <c r="E2987" t="s">
        <v>7637</v>
      </c>
      <c r="F2987">
        <v>1</v>
      </c>
      <c r="G2987" s="15">
        <v>2710000</v>
      </c>
      <c r="H2987" s="14">
        <v>0.13075929750140999</v>
      </c>
      <c r="I2987" s="27">
        <f t="shared" si="46"/>
        <v>2355642.3037711792</v>
      </c>
      <c r="J2987">
        <v>4.9000000000000004</v>
      </c>
      <c r="K2987" t="b">
        <v>0</v>
      </c>
    </row>
    <row r="2988" spans="1:11" ht="16" x14ac:dyDescent="0.2">
      <c r="A2988" s="16">
        <v>45723</v>
      </c>
      <c r="B2988" t="s">
        <v>33</v>
      </c>
      <c r="C2988" t="s">
        <v>68</v>
      </c>
      <c r="D2988" t="s">
        <v>46</v>
      </c>
      <c r="E2988" t="s">
        <v>57</v>
      </c>
      <c r="F2988">
        <v>2</v>
      </c>
      <c r="G2988" s="15">
        <v>2710000</v>
      </c>
      <c r="H2988" s="14">
        <v>0.13075929750140999</v>
      </c>
      <c r="I2988" s="27">
        <f t="shared" si="46"/>
        <v>2355642.3037711792</v>
      </c>
      <c r="J2988">
        <v>3.9</v>
      </c>
      <c r="K2988" t="b">
        <v>1</v>
      </c>
    </row>
    <row r="2989" spans="1:11" ht="16" x14ac:dyDescent="0.2">
      <c r="A2989" s="16">
        <v>45724</v>
      </c>
      <c r="B2989" t="s">
        <v>45</v>
      </c>
      <c r="C2989" t="s">
        <v>34</v>
      </c>
      <c r="D2989" t="s">
        <v>35</v>
      </c>
      <c r="E2989" t="s">
        <v>7637</v>
      </c>
      <c r="F2989">
        <v>2</v>
      </c>
      <c r="G2989" s="15">
        <v>2710000</v>
      </c>
      <c r="H2989" s="14">
        <v>0.13075929750140999</v>
      </c>
      <c r="I2989" s="27">
        <f t="shared" si="46"/>
        <v>2355642.3037711792</v>
      </c>
      <c r="J2989">
        <v>4.8</v>
      </c>
      <c r="K2989" t="b">
        <v>1</v>
      </c>
    </row>
    <row r="2990" spans="1:11" ht="16" x14ac:dyDescent="0.2">
      <c r="A2990" s="16">
        <v>45724</v>
      </c>
      <c r="B2990" t="s">
        <v>33</v>
      </c>
      <c r="C2990" t="s">
        <v>25</v>
      </c>
      <c r="D2990" t="s">
        <v>50</v>
      </c>
      <c r="E2990" t="s">
        <v>7641</v>
      </c>
      <c r="F2990">
        <v>1</v>
      </c>
      <c r="G2990" s="15">
        <v>2710000</v>
      </c>
      <c r="H2990" s="14">
        <v>0.13075929750140999</v>
      </c>
      <c r="I2990" s="27">
        <f t="shared" si="46"/>
        <v>2355642.3037711792</v>
      </c>
      <c r="J2990">
        <v>4.9000000000000004</v>
      </c>
      <c r="K2990" t="b">
        <v>1</v>
      </c>
    </row>
    <row r="2991" spans="1:11" ht="16" x14ac:dyDescent="0.2">
      <c r="A2991" s="16">
        <v>45724</v>
      </c>
      <c r="B2991" t="s">
        <v>18</v>
      </c>
      <c r="C2991" t="s">
        <v>34</v>
      </c>
      <c r="D2991" t="s">
        <v>20</v>
      </c>
      <c r="E2991" t="s">
        <v>7642</v>
      </c>
      <c r="F2991">
        <v>2</v>
      </c>
      <c r="G2991" s="15">
        <v>2710000</v>
      </c>
      <c r="H2991" s="14">
        <v>0.13075929750140999</v>
      </c>
      <c r="I2991" s="27">
        <f t="shared" si="46"/>
        <v>2355642.3037711792</v>
      </c>
      <c r="J2991">
        <v>4.5999999999999996</v>
      </c>
      <c r="K2991" t="b">
        <v>1</v>
      </c>
    </row>
    <row r="2992" spans="1:11" ht="16" x14ac:dyDescent="0.2">
      <c r="A2992" s="16">
        <v>45725</v>
      </c>
      <c r="B2992" t="s">
        <v>33</v>
      </c>
      <c r="C2992" t="s">
        <v>39</v>
      </c>
      <c r="D2992" t="s">
        <v>35</v>
      </c>
      <c r="E2992" t="s">
        <v>7638</v>
      </c>
      <c r="F2992">
        <v>1</v>
      </c>
      <c r="G2992" s="15">
        <v>2710000</v>
      </c>
      <c r="H2992" s="14">
        <v>0.13075929750140999</v>
      </c>
      <c r="I2992" s="27">
        <f t="shared" si="46"/>
        <v>2355642.3037711792</v>
      </c>
      <c r="J2992">
        <v>3.9</v>
      </c>
      <c r="K2992" t="b">
        <v>1</v>
      </c>
    </row>
    <row r="2993" spans="1:11" ht="16" x14ac:dyDescent="0.2">
      <c r="A2993" s="16">
        <v>45725</v>
      </c>
      <c r="B2993" t="s">
        <v>45</v>
      </c>
      <c r="C2993" t="s">
        <v>34</v>
      </c>
      <c r="D2993" t="s">
        <v>46</v>
      </c>
      <c r="E2993" t="s">
        <v>7641</v>
      </c>
      <c r="F2993">
        <v>2</v>
      </c>
      <c r="G2993" s="15">
        <v>2710000</v>
      </c>
      <c r="H2993" s="14">
        <v>0.13075929750140999</v>
      </c>
      <c r="I2993" s="27">
        <f t="shared" si="46"/>
        <v>2355642.3037711792</v>
      </c>
      <c r="J2993">
        <v>4.7</v>
      </c>
      <c r="K2993" t="b">
        <v>1</v>
      </c>
    </row>
    <row r="2994" spans="1:11" ht="16" x14ac:dyDescent="0.2">
      <c r="A2994" s="16">
        <v>45725</v>
      </c>
      <c r="B2994" t="s">
        <v>45</v>
      </c>
      <c r="C2994" t="s">
        <v>25</v>
      </c>
      <c r="D2994" t="s">
        <v>35</v>
      </c>
      <c r="E2994" t="s">
        <v>7642</v>
      </c>
      <c r="F2994">
        <v>1</v>
      </c>
      <c r="G2994" s="15">
        <v>2710000</v>
      </c>
      <c r="H2994" s="14">
        <v>0.13075929750140999</v>
      </c>
      <c r="I2994" s="27">
        <f t="shared" si="46"/>
        <v>2355642.3037711792</v>
      </c>
      <c r="J2994">
        <v>4.5</v>
      </c>
      <c r="K2994" t="b">
        <v>1</v>
      </c>
    </row>
    <row r="2995" spans="1:11" ht="16" x14ac:dyDescent="0.2">
      <c r="A2995" s="16">
        <v>45726</v>
      </c>
      <c r="B2995" t="s">
        <v>18</v>
      </c>
      <c r="C2995" t="s">
        <v>34</v>
      </c>
      <c r="D2995" t="s">
        <v>35</v>
      </c>
      <c r="E2995" t="s">
        <v>99</v>
      </c>
      <c r="F2995">
        <v>3</v>
      </c>
      <c r="G2995" s="15">
        <v>2710000</v>
      </c>
      <c r="H2995" s="14">
        <v>0.13075929750140999</v>
      </c>
      <c r="I2995" s="27">
        <f t="shared" si="46"/>
        <v>2355642.3037711792</v>
      </c>
      <c r="J2995">
        <v>5</v>
      </c>
      <c r="K2995" t="b">
        <v>1</v>
      </c>
    </row>
    <row r="2996" spans="1:11" ht="16" x14ac:dyDescent="0.2">
      <c r="A2996" s="16">
        <v>45726</v>
      </c>
      <c r="B2996" t="s">
        <v>18</v>
      </c>
      <c r="C2996" t="s">
        <v>45</v>
      </c>
      <c r="D2996" t="s">
        <v>50</v>
      </c>
      <c r="E2996" t="s">
        <v>7639</v>
      </c>
      <c r="F2996">
        <v>4</v>
      </c>
      <c r="G2996" s="15">
        <v>2710000</v>
      </c>
      <c r="H2996" s="14">
        <v>0.13075929750140999</v>
      </c>
      <c r="I2996" s="27">
        <f t="shared" si="46"/>
        <v>2355642.3037711792</v>
      </c>
      <c r="J2996">
        <v>3.9</v>
      </c>
      <c r="K2996" t="b">
        <v>1</v>
      </c>
    </row>
    <row r="2997" spans="1:11" ht="16" x14ac:dyDescent="0.2">
      <c r="A2997" s="16">
        <v>45726</v>
      </c>
      <c r="B2997" t="s">
        <v>33</v>
      </c>
      <c r="C2997" t="s">
        <v>45</v>
      </c>
      <c r="D2997" t="s">
        <v>20</v>
      </c>
      <c r="E2997" t="s">
        <v>7644</v>
      </c>
      <c r="F2997">
        <v>1</v>
      </c>
      <c r="G2997" s="15">
        <v>2710000</v>
      </c>
      <c r="H2997" s="14">
        <v>0.13075929750140999</v>
      </c>
      <c r="I2997" s="27">
        <f t="shared" si="46"/>
        <v>2355642.3037711792</v>
      </c>
      <c r="J2997">
        <v>4.3</v>
      </c>
      <c r="K2997" t="b">
        <v>1</v>
      </c>
    </row>
    <row r="2998" spans="1:11" ht="16" x14ac:dyDescent="0.2">
      <c r="A2998" s="16">
        <v>45726</v>
      </c>
      <c r="B2998" t="s">
        <v>33</v>
      </c>
      <c r="C2998" t="s">
        <v>34</v>
      </c>
      <c r="D2998" t="s">
        <v>20</v>
      </c>
      <c r="E2998" t="s">
        <v>7642</v>
      </c>
      <c r="F2998">
        <v>1</v>
      </c>
      <c r="G2998" s="15">
        <v>2710000</v>
      </c>
      <c r="H2998" s="14">
        <v>0.13075929750140999</v>
      </c>
      <c r="I2998" s="27">
        <f t="shared" si="46"/>
        <v>2355642.3037711792</v>
      </c>
      <c r="J2998">
        <v>4.3</v>
      </c>
      <c r="K2998" t="b">
        <v>0</v>
      </c>
    </row>
    <row r="2999" spans="1:11" ht="16" x14ac:dyDescent="0.2">
      <c r="A2999" s="16">
        <v>45726</v>
      </c>
      <c r="B2999" t="s">
        <v>33</v>
      </c>
      <c r="C2999" t="s">
        <v>68</v>
      </c>
      <c r="D2999" t="s">
        <v>35</v>
      </c>
      <c r="E2999" t="str">
        <f>E2998</f>
        <v>Huế</v>
      </c>
      <c r="F2999">
        <v>2</v>
      </c>
      <c r="G2999" s="15">
        <v>2710000</v>
      </c>
      <c r="H2999" s="14">
        <v>0.13075929750140999</v>
      </c>
      <c r="I2999" s="27">
        <f t="shared" si="46"/>
        <v>2355642.3037711792</v>
      </c>
      <c r="J2999">
        <v>3.7</v>
      </c>
      <c r="K2999" t="b">
        <v>1</v>
      </c>
    </row>
    <row r="3000" spans="1:11" ht="16" x14ac:dyDescent="0.2">
      <c r="A3000" s="16">
        <v>45726</v>
      </c>
      <c r="B3000" t="s">
        <v>33</v>
      </c>
      <c r="C3000" t="s">
        <v>19</v>
      </c>
      <c r="D3000" t="s">
        <v>20</v>
      </c>
      <c r="E3000" t="s">
        <v>7639</v>
      </c>
      <c r="F3000">
        <v>2</v>
      </c>
      <c r="G3000" s="15">
        <v>2710000</v>
      </c>
      <c r="H3000" s="14">
        <v>0.13075929750140999</v>
      </c>
      <c r="I3000" s="27">
        <f t="shared" si="46"/>
        <v>2355642.3037711792</v>
      </c>
      <c r="J3000">
        <v>4.9000000000000004</v>
      </c>
      <c r="K3000" t="b">
        <v>0</v>
      </c>
    </row>
    <row r="3001" spans="1:11" ht="16" x14ac:dyDescent="0.2">
      <c r="A3001" s="16">
        <v>45726</v>
      </c>
      <c r="B3001" t="s">
        <v>33</v>
      </c>
      <c r="C3001" t="s">
        <v>25</v>
      </c>
      <c r="D3001" t="s">
        <v>20</v>
      </c>
      <c r="E3001" t="s">
        <v>7640</v>
      </c>
      <c r="F3001">
        <v>1</v>
      </c>
      <c r="G3001" s="15">
        <v>2710000</v>
      </c>
      <c r="H3001" s="14">
        <v>0.13075929750140999</v>
      </c>
      <c r="I3001" s="27">
        <f t="shared" si="46"/>
        <v>2355642.3037711792</v>
      </c>
      <c r="J3001">
        <v>4.9000000000000004</v>
      </c>
      <c r="K3001" t="b">
        <v>1</v>
      </c>
    </row>
    <row r="3002" spans="1:11" ht="16" x14ac:dyDescent="0.2">
      <c r="A3002" s="16">
        <v>45726</v>
      </c>
      <c r="B3002" t="s">
        <v>33</v>
      </c>
      <c r="C3002" t="s">
        <v>45</v>
      </c>
      <c r="D3002" t="s">
        <v>20</v>
      </c>
      <c r="E3002" t="s">
        <v>7640</v>
      </c>
      <c r="F3002">
        <v>2</v>
      </c>
      <c r="G3002" s="15">
        <v>2710000</v>
      </c>
      <c r="H3002" s="14">
        <v>0.13075929750140999</v>
      </c>
      <c r="I3002" s="27">
        <f t="shared" si="46"/>
        <v>2355642.3037711792</v>
      </c>
      <c r="J3002">
        <v>4.9000000000000004</v>
      </c>
      <c r="K3002" t="b">
        <v>1</v>
      </c>
    </row>
    <row r="3003" spans="1:11" ht="16" x14ac:dyDescent="0.2">
      <c r="A3003" s="16">
        <v>45728</v>
      </c>
      <c r="B3003" t="s">
        <v>33</v>
      </c>
      <c r="C3003" t="s">
        <v>19</v>
      </c>
      <c r="D3003" t="s">
        <v>20</v>
      </c>
      <c r="E3003" t="s">
        <v>7641</v>
      </c>
      <c r="F3003">
        <v>3</v>
      </c>
      <c r="G3003" s="15">
        <v>2710000</v>
      </c>
      <c r="H3003" s="14">
        <v>0.13075929750140999</v>
      </c>
      <c r="I3003" s="27">
        <f t="shared" si="46"/>
        <v>2355642.3037711792</v>
      </c>
      <c r="J3003">
        <v>4.5999999999999996</v>
      </c>
      <c r="K3003" t="b">
        <v>1</v>
      </c>
    </row>
    <row r="3004" spans="1:11" ht="16" x14ac:dyDescent="0.2">
      <c r="A3004" s="16">
        <v>45728</v>
      </c>
      <c r="B3004" t="s">
        <v>45</v>
      </c>
      <c r="C3004" t="s">
        <v>19</v>
      </c>
      <c r="D3004" t="s">
        <v>35</v>
      </c>
      <c r="E3004" t="s">
        <v>7638</v>
      </c>
      <c r="F3004">
        <v>1</v>
      </c>
      <c r="G3004" s="15">
        <v>2710000</v>
      </c>
      <c r="H3004" s="14">
        <v>0.13075929750140999</v>
      </c>
      <c r="I3004" s="27">
        <f t="shared" si="46"/>
        <v>2355642.3037711792</v>
      </c>
      <c r="J3004">
        <v>5</v>
      </c>
      <c r="K3004" t="b">
        <v>1</v>
      </c>
    </row>
    <row r="3005" spans="1:11" ht="16" x14ac:dyDescent="0.2">
      <c r="A3005" s="16">
        <v>45728</v>
      </c>
      <c r="B3005" t="s">
        <v>18</v>
      </c>
      <c r="C3005" t="s">
        <v>45</v>
      </c>
      <c r="D3005" t="s">
        <v>46</v>
      </c>
      <c r="E3005" t="s">
        <v>7644</v>
      </c>
      <c r="F3005">
        <v>4</v>
      </c>
      <c r="G3005" s="15">
        <v>2710000</v>
      </c>
      <c r="H3005" s="14">
        <v>0.13075929750140999</v>
      </c>
      <c r="I3005" s="27">
        <f t="shared" si="46"/>
        <v>2355642.3037711792</v>
      </c>
      <c r="J3005">
        <v>4.2</v>
      </c>
      <c r="K3005" t="b">
        <v>1</v>
      </c>
    </row>
    <row r="3006" spans="1:11" ht="16" x14ac:dyDescent="0.2">
      <c r="A3006" s="16">
        <v>45729</v>
      </c>
      <c r="B3006" t="s">
        <v>33</v>
      </c>
      <c r="C3006" t="s">
        <v>19</v>
      </c>
      <c r="D3006" t="s">
        <v>20</v>
      </c>
      <c r="E3006" t="s">
        <v>7638</v>
      </c>
      <c r="F3006">
        <v>1</v>
      </c>
      <c r="G3006" s="15">
        <v>2710000</v>
      </c>
      <c r="H3006" s="14">
        <v>0.13075929750140999</v>
      </c>
      <c r="I3006" s="27">
        <f t="shared" si="46"/>
        <v>2355642.3037711792</v>
      </c>
      <c r="J3006">
        <v>4.9000000000000004</v>
      </c>
      <c r="K3006" t="b">
        <v>1</v>
      </c>
    </row>
    <row r="3007" spans="1:11" ht="16" x14ac:dyDescent="0.2">
      <c r="A3007" s="16">
        <v>45729</v>
      </c>
      <c r="B3007" t="s">
        <v>45</v>
      </c>
      <c r="C3007" t="s">
        <v>45</v>
      </c>
      <c r="D3007" t="s">
        <v>50</v>
      </c>
      <c r="E3007" t="s">
        <v>7640</v>
      </c>
      <c r="F3007">
        <v>3</v>
      </c>
      <c r="G3007" s="15">
        <v>2710000</v>
      </c>
      <c r="H3007" s="14">
        <v>0.13075929750140999</v>
      </c>
      <c r="I3007" s="27">
        <f t="shared" si="46"/>
        <v>2355642.3037711792</v>
      </c>
      <c r="J3007">
        <v>4.4000000000000004</v>
      </c>
      <c r="K3007" t="b">
        <v>1</v>
      </c>
    </row>
    <row r="3008" spans="1:11" ht="16" x14ac:dyDescent="0.2">
      <c r="A3008" s="16">
        <v>45730</v>
      </c>
      <c r="B3008" t="s">
        <v>33</v>
      </c>
      <c r="C3008" t="s">
        <v>25</v>
      </c>
      <c r="D3008" t="s">
        <v>35</v>
      </c>
      <c r="E3008" t="s">
        <v>7640</v>
      </c>
      <c r="F3008">
        <v>3</v>
      </c>
      <c r="G3008" s="15">
        <v>2710000</v>
      </c>
      <c r="H3008" s="14">
        <v>0.13075929750140999</v>
      </c>
      <c r="I3008" s="27">
        <f t="shared" si="46"/>
        <v>2355642.3037711792</v>
      </c>
      <c r="J3008">
        <v>4.4000000000000004</v>
      </c>
      <c r="K3008" t="b">
        <v>1</v>
      </c>
    </row>
    <row r="3009" spans="1:11" ht="16" x14ac:dyDescent="0.2">
      <c r="A3009" s="16">
        <v>45730</v>
      </c>
      <c r="B3009" t="s">
        <v>29</v>
      </c>
      <c r="C3009" t="s">
        <v>19</v>
      </c>
      <c r="D3009" t="s">
        <v>50</v>
      </c>
      <c r="E3009" t="s">
        <v>7640</v>
      </c>
      <c r="F3009">
        <v>1</v>
      </c>
      <c r="G3009" s="15">
        <v>2710000</v>
      </c>
      <c r="H3009" s="14">
        <v>0.13075929750140999</v>
      </c>
      <c r="I3009" s="27">
        <f t="shared" si="46"/>
        <v>2355642.3037711792</v>
      </c>
      <c r="J3009">
        <v>3.5</v>
      </c>
      <c r="K3009" t="b">
        <v>1</v>
      </c>
    </row>
    <row r="3010" spans="1:11" ht="16" x14ac:dyDescent="0.2">
      <c r="A3010" s="16">
        <v>45730</v>
      </c>
      <c r="B3010" t="s">
        <v>33</v>
      </c>
      <c r="C3010" t="s">
        <v>25</v>
      </c>
      <c r="D3010" t="s">
        <v>20</v>
      </c>
      <c r="E3010" t="s">
        <v>7643</v>
      </c>
      <c r="F3010">
        <v>2</v>
      </c>
      <c r="G3010" s="15">
        <v>2710000</v>
      </c>
      <c r="H3010" s="14">
        <v>0.13075929750140999</v>
      </c>
      <c r="I3010" s="27">
        <f t="shared" si="46"/>
        <v>2355642.3037711792</v>
      </c>
      <c r="J3010">
        <v>4.4000000000000004</v>
      </c>
      <c r="K3010" t="b">
        <v>1</v>
      </c>
    </row>
    <row r="3011" spans="1:11" ht="16" x14ac:dyDescent="0.2">
      <c r="A3011" s="16">
        <v>45731</v>
      </c>
      <c r="B3011" t="s">
        <v>18</v>
      </c>
      <c r="C3011" t="s">
        <v>34</v>
      </c>
      <c r="D3011" t="s">
        <v>35</v>
      </c>
      <c r="E3011" t="s">
        <v>57</v>
      </c>
      <c r="F3011">
        <v>2</v>
      </c>
      <c r="G3011" s="15">
        <v>2710000</v>
      </c>
      <c r="H3011" s="14">
        <v>0.13075929750140999</v>
      </c>
      <c r="I3011" s="27">
        <f t="shared" ref="I3011:I3074" si="47">G3011-G3011*H3011</f>
        <v>2355642.3037711792</v>
      </c>
      <c r="J3011">
        <v>3.7</v>
      </c>
      <c r="K3011" t="b">
        <v>0</v>
      </c>
    </row>
    <row r="3012" spans="1:11" ht="16" x14ac:dyDescent="0.2">
      <c r="A3012" s="16">
        <v>45731</v>
      </c>
      <c r="B3012" t="s">
        <v>45</v>
      </c>
      <c r="C3012" t="s">
        <v>45</v>
      </c>
      <c r="D3012" t="s">
        <v>20</v>
      </c>
      <c r="E3012" t="s">
        <v>7643</v>
      </c>
      <c r="F3012">
        <v>3</v>
      </c>
      <c r="G3012" s="15">
        <v>2710000</v>
      </c>
      <c r="H3012" s="14">
        <v>0.13075929750140999</v>
      </c>
      <c r="I3012" s="27">
        <f t="shared" si="47"/>
        <v>2355642.3037711792</v>
      </c>
      <c r="J3012">
        <v>4</v>
      </c>
      <c r="K3012" t="b">
        <v>1</v>
      </c>
    </row>
    <row r="3013" spans="1:11" ht="16" x14ac:dyDescent="0.2">
      <c r="A3013" s="16">
        <v>45731</v>
      </c>
      <c r="B3013" t="s">
        <v>33</v>
      </c>
      <c r="C3013" t="s">
        <v>34</v>
      </c>
      <c r="D3013" t="s">
        <v>35</v>
      </c>
      <c r="E3013" t="s">
        <v>7639</v>
      </c>
      <c r="F3013">
        <v>1</v>
      </c>
      <c r="G3013" s="15">
        <v>2710000</v>
      </c>
      <c r="H3013" s="14">
        <v>0.13075929750140999</v>
      </c>
      <c r="I3013" s="27">
        <f t="shared" si="47"/>
        <v>2355642.3037711792</v>
      </c>
      <c r="J3013">
        <v>3.3</v>
      </c>
      <c r="K3013" t="b">
        <v>1</v>
      </c>
    </row>
    <row r="3014" spans="1:11" ht="16" x14ac:dyDescent="0.2">
      <c r="A3014" s="16">
        <v>45731</v>
      </c>
      <c r="B3014" t="s">
        <v>29</v>
      </c>
      <c r="C3014" t="s">
        <v>45</v>
      </c>
      <c r="D3014" t="s">
        <v>46</v>
      </c>
      <c r="E3014" t="s">
        <v>7639</v>
      </c>
      <c r="F3014">
        <v>2</v>
      </c>
      <c r="G3014" s="15">
        <v>2710000</v>
      </c>
      <c r="H3014" s="14">
        <v>0.13075929750140999</v>
      </c>
      <c r="I3014" s="27">
        <f t="shared" si="47"/>
        <v>2355642.3037711792</v>
      </c>
      <c r="J3014">
        <v>4</v>
      </c>
      <c r="K3014" t="b">
        <v>1</v>
      </c>
    </row>
    <row r="3015" spans="1:11" ht="16" x14ac:dyDescent="0.2">
      <c r="A3015" s="16">
        <v>45731</v>
      </c>
      <c r="B3015" t="s">
        <v>45</v>
      </c>
      <c r="C3015" t="s">
        <v>34</v>
      </c>
      <c r="D3015" t="s">
        <v>50</v>
      </c>
      <c r="E3015" t="s">
        <v>7638</v>
      </c>
      <c r="F3015">
        <v>1</v>
      </c>
      <c r="G3015" s="15">
        <v>2710000</v>
      </c>
      <c r="H3015" s="14">
        <v>0.13075929750140999</v>
      </c>
      <c r="I3015" s="27">
        <f t="shared" si="47"/>
        <v>2355642.3037711792</v>
      </c>
      <c r="J3015">
        <v>3.7</v>
      </c>
      <c r="K3015" t="b">
        <v>1</v>
      </c>
    </row>
    <row r="3016" spans="1:11" ht="16" x14ac:dyDescent="0.2">
      <c r="A3016" s="16">
        <v>45732</v>
      </c>
      <c r="B3016" t="s">
        <v>45</v>
      </c>
      <c r="C3016" t="s">
        <v>45</v>
      </c>
      <c r="D3016" t="s">
        <v>50</v>
      </c>
      <c r="E3016" t="s">
        <v>7644</v>
      </c>
      <c r="F3016">
        <v>2</v>
      </c>
      <c r="G3016" s="15">
        <v>2710000</v>
      </c>
      <c r="H3016" s="14">
        <v>0.13075929750140999</v>
      </c>
      <c r="I3016" s="27">
        <f t="shared" si="47"/>
        <v>2355642.3037711792</v>
      </c>
      <c r="J3016">
        <v>4.0999999999999996</v>
      </c>
      <c r="K3016" t="b">
        <v>1</v>
      </c>
    </row>
    <row r="3017" spans="1:11" ht="16" x14ac:dyDescent="0.2">
      <c r="A3017" s="16">
        <v>45732</v>
      </c>
      <c r="B3017" t="s">
        <v>45</v>
      </c>
      <c r="C3017" t="s">
        <v>19</v>
      </c>
      <c r="D3017" t="s">
        <v>35</v>
      </c>
      <c r="E3017" t="s">
        <v>7643</v>
      </c>
      <c r="F3017">
        <v>1</v>
      </c>
      <c r="G3017" s="15">
        <v>2710000</v>
      </c>
      <c r="H3017" s="14">
        <v>0.13075929750140999</v>
      </c>
      <c r="I3017" s="27">
        <f t="shared" si="47"/>
        <v>2355642.3037711792</v>
      </c>
      <c r="J3017">
        <v>4.2</v>
      </c>
      <c r="K3017" t="b">
        <v>1</v>
      </c>
    </row>
    <row r="3018" spans="1:11" ht="16" x14ac:dyDescent="0.2">
      <c r="A3018" s="16">
        <v>45732</v>
      </c>
      <c r="B3018" t="s">
        <v>29</v>
      </c>
      <c r="C3018" t="s">
        <v>25</v>
      </c>
      <c r="D3018" t="s">
        <v>20</v>
      </c>
      <c r="E3018" t="s">
        <v>7640</v>
      </c>
      <c r="F3018">
        <v>1</v>
      </c>
      <c r="G3018" s="15">
        <v>2710000</v>
      </c>
      <c r="H3018" s="14">
        <v>0.13075929750140999</v>
      </c>
      <c r="I3018" s="27">
        <f t="shared" si="47"/>
        <v>2355642.3037711792</v>
      </c>
      <c r="J3018">
        <v>4.5999999999999996</v>
      </c>
      <c r="K3018" t="b">
        <v>1</v>
      </c>
    </row>
    <row r="3019" spans="1:11" ht="16" x14ac:dyDescent="0.2">
      <c r="A3019" s="16">
        <v>45732</v>
      </c>
      <c r="B3019" t="s">
        <v>18</v>
      </c>
      <c r="C3019" t="s">
        <v>45</v>
      </c>
      <c r="D3019" t="s">
        <v>20</v>
      </c>
      <c r="E3019" t="s">
        <v>57</v>
      </c>
      <c r="F3019">
        <v>3</v>
      </c>
      <c r="G3019" s="15">
        <v>2710000</v>
      </c>
      <c r="H3019" s="14">
        <v>0.13075929750140999</v>
      </c>
      <c r="I3019" s="27">
        <f t="shared" si="47"/>
        <v>2355642.3037711792</v>
      </c>
      <c r="J3019">
        <v>3.6</v>
      </c>
      <c r="K3019" t="b">
        <v>1</v>
      </c>
    </row>
    <row r="3020" spans="1:11" ht="16" x14ac:dyDescent="0.2">
      <c r="A3020" s="16">
        <v>45732</v>
      </c>
      <c r="B3020" t="s">
        <v>45</v>
      </c>
      <c r="C3020" t="s">
        <v>45</v>
      </c>
      <c r="D3020" t="s">
        <v>20</v>
      </c>
      <c r="E3020" t="str">
        <f>E3019</f>
        <v>Nha Trang</v>
      </c>
      <c r="F3020">
        <v>2</v>
      </c>
      <c r="G3020" s="15">
        <v>2710000</v>
      </c>
      <c r="H3020" s="14">
        <v>0.13075929750140999</v>
      </c>
      <c r="I3020" s="27">
        <f t="shared" si="47"/>
        <v>2355642.3037711792</v>
      </c>
      <c r="J3020">
        <v>4</v>
      </c>
      <c r="K3020" t="b">
        <v>1</v>
      </c>
    </row>
    <row r="3021" spans="1:11" ht="16" x14ac:dyDescent="0.2">
      <c r="A3021" s="16">
        <v>45732</v>
      </c>
      <c r="B3021" t="s">
        <v>18</v>
      </c>
      <c r="C3021" t="s">
        <v>68</v>
      </c>
      <c r="D3021" t="s">
        <v>50</v>
      </c>
      <c r="E3021" t="s">
        <v>7641</v>
      </c>
      <c r="F3021">
        <v>2</v>
      </c>
      <c r="G3021" s="15">
        <v>2710000</v>
      </c>
      <c r="H3021" s="14">
        <v>0.13075929750140999</v>
      </c>
      <c r="I3021" s="27">
        <f t="shared" si="47"/>
        <v>2355642.3037711792</v>
      </c>
      <c r="J3021">
        <v>4.0999999999999996</v>
      </c>
      <c r="K3021" t="b">
        <v>1</v>
      </c>
    </row>
    <row r="3022" spans="1:11" ht="16" x14ac:dyDescent="0.2">
      <c r="A3022" s="16">
        <v>45732</v>
      </c>
      <c r="B3022" t="s">
        <v>18</v>
      </c>
      <c r="C3022" t="s">
        <v>39</v>
      </c>
      <c r="D3022" t="s">
        <v>20</v>
      </c>
      <c r="E3022" t="s">
        <v>7641</v>
      </c>
      <c r="F3022">
        <v>2</v>
      </c>
      <c r="G3022" s="15">
        <v>2710000</v>
      </c>
      <c r="H3022" s="14">
        <v>0.13075929750140999</v>
      </c>
      <c r="I3022" s="27">
        <f t="shared" si="47"/>
        <v>2355642.3037711792</v>
      </c>
      <c r="J3022">
        <v>3.7</v>
      </c>
      <c r="K3022" t="b">
        <v>1</v>
      </c>
    </row>
    <row r="3023" spans="1:11" ht="16" x14ac:dyDescent="0.2">
      <c r="A3023" s="16">
        <v>45733</v>
      </c>
      <c r="B3023" t="s">
        <v>18</v>
      </c>
      <c r="C3023" t="s">
        <v>45</v>
      </c>
      <c r="D3023" t="s">
        <v>35</v>
      </c>
      <c r="E3023" t="s">
        <v>57</v>
      </c>
      <c r="F3023">
        <v>2</v>
      </c>
      <c r="G3023" s="15">
        <v>2710000</v>
      </c>
      <c r="H3023" s="14">
        <v>0.13075929750140999</v>
      </c>
      <c r="I3023" s="27">
        <f t="shared" si="47"/>
        <v>2355642.3037711792</v>
      </c>
      <c r="J3023">
        <v>4.0999999999999996</v>
      </c>
      <c r="K3023" t="b">
        <v>0</v>
      </c>
    </row>
    <row r="3024" spans="1:11" ht="16" x14ac:dyDescent="0.2">
      <c r="A3024" s="16">
        <v>45734</v>
      </c>
      <c r="B3024" t="s">
        <v>45</v>
      </c>
      <c r="C3024" t="s">
        <v>34</v>
      </c>
      <c r="D3024" t="s">
        <v>35</v>
      </c>
      <c r="E3024" t="s">
        <v>7639</v>
      </c>
      <c r="F3024">
        <v>1</v>
      </c>
      <c r="G3024" s="15">
        <v>2710000</v>
      </c>
      <c r="H3024" s="14">
        <v>0.13075929750140999</v>
      </c>
      <c r="I3024" s="27">
        <f t="shared" si="47"/>
        <v>2355642.3037711792</v>
      </c>
      <c r="J3024">
        <v>4.9000000000000004</v>
      </c>
      <c r="K3024" t="b">
        <v>1</v>
      </c>
    </row>
    <row r="3025" spans="1:11" ht="16" x14ac:dyDescent="0.2">
      <c r="A3025" s="16">
        <v>45734</v>
      </c>
      <c r="B3025" t="s">
        <v>18</v>
      </c>
      <c r="C3025" t="s">
        <v>45</v>
      </c>
      <c r="D3025" t="s">
        <v>50</v>
      </c>
      <c r="E3025" t="s">
        <v>7642</v>
      </c>
      <c r="F3025">
        <v>3</v>
      </c>
      <c r="G3025" s="15">
        <v>2710000</v>
      </c>
      <c r="H3025" s="14">
        <v>0.13075929750140999</v>
      </c>
      <c r="I3025" s="27">
        <f t="shared" si="47"/>
        <v>2355642.3037711792</v>
      </c>
      <c r="J3025">
        <v>4.0999999999999996</v>
      </c>
      <c r="K3025" t="b">
        <v>0</v>
      </c>
    </row>
    <row r="3026" spans="1:11" ht="16" x14ac:dyDescent="0.2">
      <c r="A3026" s="16">
        <v>45734</v>
      </c>
      <c r="B3026" t="s">
        <v>45</v>
      </c>
      <c r="C3026" t="s">
        <v>19</v>
      </c>
      <c r="D3026" t="s">
        <v>20</v>
      </c>
      <c r="E3026" t="s">
        <v>7637</v>
      </c>
      <c r="F3026">
        <v>1</v>
      </c>
      <c r="G3026" s="15">
        <v>2710000</v>
      </c>
      <c r="H3026" s="14">
        <v>0.13075929750140999</v>
      </c>
      <c r="I3026" s="27">
        <f t="shared" si="47"/>
        <v>2355642.3037711792</v>
      </c>
      <c r="J3026">
        <v>3.9</v>
      </c>
      <c r="K3026" t="b">
        <v>1</v>
      </c>
    </row>
    <row r="3027" spans="1:11" ht="16" x14ac:dyDescent="0.2">
      <c r="A3027" s="16">
        <v>45734</v>
      </c>
      <c r="B3027" t="s">
        <v>33</v>
      </c>
      <c r="C3027" t="s">
        <v>19</v>
      </c>
      <c r="D3027" t="s">
        <v>35</v>
      </c>
      <c r="E3027" t="s">
        <v>7643</v>
      </c>
      <c r="F3027">
        <v>2</v>
      </c>
      <c r="G3027" s="15">
        <v>2710000</v>
      </c>
      <c r="H3027" s="14">
        <v>0.13075929750140999</v>
      </c>
      <c r="I3027" s="27">
        <f t="shared" si="47"/>
        <v>2355642.3037711792</v>
      </c>
      <c r="J3027">
        <v>3.9</v>
      </c>
      <c r="K3027" t="b">
        <v>1</v>
      </c>
    </row>
    <row r="3028" spans="1:11" ht="16" x14ac:dyDescent="0.2">
      <c r="A3028" s="16">
        <v>45734</v>
      </c>
      <c r="B3028" t="s">
        <v>45</v>
      </c>
      <c r="C3028" t="s">
        <v>19</v>
      </c>
      <c r="D3028" t="s">
        <v>50</v>
      </c>
      <c r="E3028" t="str">
        <f>E3027</f>
        <v>TP. HCM</v>
      </c>
      <c r="F3028">
        <v>3</v>
      </c>
      <c r="G3028" s="15">
        <v>2710000</v>
      </c>
      <c r="H3028" s="14">
        <v>0.13075929750140999</v>
      </c>
      <c r="I3028" s="27">
        <f t="shared" si="47"/>
        <v>2355642.3037711792</v>
      </c>
      <c r="J3028">
        <v>4</v>
      </c>
      <c r="K3028" t="b">
        <v>0</v>
      </c>
    </row>
    <row r="3029" spans="1:11" ht="16" x14ac:dyDescent="0.2">
      <c r="A3029" s="16">
        <v>45735</v>
      </c>
      <c r="B3029" t="s">
        <v>33</v>
      </c>
      <c r="C3029" t="s">
        <v>45</v>
      </c>
      <c r="D3029" t="s">
        <v>20</v>
      </c>
      <c r="E3029" t="s">
        <v>7638</v>
      </c>
      <c r="F3029">
        <v>2</v>
      </c>
      <c r="G3029" s="15">
        <v>2710000</v>
      </c>
      <c r="H3029" s="14">
        <v>0.13075929750140999</v>
      </c>
      <c r="I3029" s="27">
        <f t="shared" si="47"/>
        <v>2355642.3037711792</v>
      </c>
      <c r="J3029">
        <v>4.5</v>
      </c>
      <c r="K3029" t="b">
        <v>1</v>
      </c>
    </row>
    <row r="3030" spans="1:11" ht="16" x14ac:dyDescent="0.2">
      <c r="A3030" s="16">
        <v>45735</v>
      </c>
      <c r="B3030" t="s">
        <v>45</v>
      </c>
      <c r="C3030" t="s">
        <v>19</v>
      </c>
      <c r="D3030" t="s">
        <v>20</v>
      </c>
      <c r="E3030" t="s">
        <v>7642</v>
      </c>
      <c r="F3030">
        <v>2</v>
      </c>
      <c r="G3030" s="15">
        <v>2710000</v>
      </c>
      <c r="H3030" s="14">
        <v>0.13075929750140999</v>
      </c>
      <c r="I3030" s="27">
        <f t="shared" si="47"/>
        <v>2355642.3037711792</v>
      </c>
      <c r="J3030">
        <v>4.0999999999999996</v>
      </c>
      <c r="K3030" t="b">
        <v>0</v>
      </c>
    </row>
    <row r="3031" spans="1:11" ht="16" x14ac:dyDescent="0.2">
      <c r="A3031" s="16">
        <v>45735</v>
      </c>
      <c r="B3031" t="s">
        <v>33</v>
      </c>
      <c r="C3031" t="s">
        <v>25</v>
      </c>
      <c r="D3031" t="s">
        <v>20</v>
      </c>
      <c r="E3031" t="s">
        <v>7644</v>
      </c>
      <c r="F3031">
        <v>1</v>
      </c>
      <c r="G3031" s="15">
        <v>2710000</v>
      </c>
      <c r="H3031" s="14">
        <v>0.13075929750140999</v>
      </c>
      <c r="I3031" s="27">
        <f t="shared" si="47"/>
        <v>2355642.3037711792</v>
      </c>
      <c r="J3031">
        <v>3.8</v>
      </c>
      <c r="K3031" t="b">
        <v>0</v>
      </c>
    </row>
    <row r="3032" spans="1:11" ht="16" x14ac:dyDescent="0.2">
      <c r="A3032" s="16">
        <v>45735</v>
      </c>
      <c r="B3032" t="s">
        <v>45</v>
      </c>
      <c r="C3032" t="s">
        <v>45</v>
      </c>
      <c r="D3032" t="s">
        <v>46</v>
      </c>
      <c r="E3032" t="s">
        <v>7637</v>
      </c>
      <c r="F3032">
        <v>2</v>
      </c>
      <c r="G3032" s="15">
        <v>2710000</v>
      </c>
      <c r="H3032" s="14">
        <v>0.13075929750140999</v>
      </c>
      <c r="I3032" s="27">
        <f t="shared" si="47"/>
        <v>2355642.3037711792</v>
      </c>
      <c r="J3032">
        <v>4.2</v>
      </c>
      <c r="K3032" t="b">
        <v>0</v>
      </c>
    </row>
    <row r="3033" spans="1:11" ht="16" x14ac:dyDescent="0.2">
      <c r="A3033" s="16">
        <v>45735</v>
      </c>
      <c r="B3033" t="s">
        <v>45</v>
      </c>
      <c r="C3033" t="s">
        <v>45</v>
      </c>
      <c r="D3033" t="s">
        <v>20</v>
      </c>
      <c r="E3033" t="s">
        <v>7640</v>
      </c>
      <c r="F3033">
        <v>1</v>
      </c>
      <c r="G3033" s="15">
        <v>2710000</v>
      </c>
      <c r="H3033" s="14">
        <v>0.13075929750140999</v>
      </c>
      <c r="I3033" s="27">
        <f t="shared" si="47"/>
        <v>2355642.3037711792</v>
      </c>
      <c r="J3033">
        <v>3.5</v>
      </c>
      <c r="K3033" t="b">
        <v>0</v>
      </c>
    </row>
    <row r="3034" spans="1:11" ht="16" x14ac:dyDescent="0.2">
      <c r="A3034" s="16">
        <v>45735</v>
      </c>
      <c r="B3034" t="s">
        <v>33</v>
      </c>
      <c r="C3034" t="s">
        <v>19</v>
      </c>
      <c r="D3034" t="s">
        <v>50</v>
      </c>
      <c r="E3034" t="s">
        <v>7640</v>
      </c>
      <c r="F3034">
        <v>2</v>
      </c>
      <c r="G3034" s="15">
        <v>2710000</v>
      </c>
      <c r="H3034" s="14">
        <v>0.13075929750140999</v>
      </c>
      <c r="I3034" s="27">
        <f t="shared" si="47"/>
        <v>2355642.3037711792</v>
      </c>
      <c r="J3034">
        <v>4.0999999999999996</v>
      </c>
      <c r="K3034" t="b">
        <v>1</v>
      </c>
    </row>
    <row r="3035" spans="1:11" ht="16" x14ac:dyDescent="0.2">
      <c r="A3035" s="16">
        <v>45736</v>
      </c>
      <c r="B3035" t="str">
        <f>B3034</f>
        <v>Student</v>
      </c>
      <c r="C3035" t="s">
        <v>19</v>
      </c>
      <c r="D3035" t="s">
        <v>20</v>
      </c>
      <c r="E3035" t="s">
        <v>57</v>
      </c>
      <c r="F3035">
        <v>5</v>
      </c>
      <c r="G3035" s="15">
        <v>2710000</v>
      </c>
      <c r="H3035" s="14">
        <v>0.13075929750140999</v>
      </c>
      <c r="I3035" s="27">
        <f t="shared" si="47"/>
        <v>2355642.3037711792</v>
      </c>
      <c r="J3035">
        <v>4</v>
      </c>
      <c r="K3035" t="b">
        <v>0</v>
      </c>
    </row>
    <row r="3036" spans="1:11" ht="16" x14ac:dyDescent="0.2">
      <c r="A3036" s="16">
        <v>45736</v>
      </c>
      <c r="B3036" t="s">
        <v>18</v>
      </c>
      <c r="C3036" t="s">
        <v>34</v>
      </c>
      <c r="D3036" t="s">
        <v>50</v>
      </c>
      <c r="E3036" t="s">
        <v>7639</v>
      </c>
      <c r="F3036">
        <v>3</v>
      </c>
      <c r="G3036" s="15">
        <v>2710000</v>
      </c>
      <c r="H3036" s="14">
        <v>0.13075929750140999</v>
      </c>
      <c r="I3036" s="27">
        <f t="shared" si="47"/>
        <v>2355642.3037711792</v>
      </c>
      <c r="J3036">
        <v>3.8</v>
      </c>
      <c r="K3036" t="b">
        <v>0</v>
      </c>
    </row>
    <row r="3037" spans="1:11" ht="16" x14ac:dyDescent="0.2">
      <c r="A3037" s="16">
        <v>45737</v>
      </c>
      <c r="B3037" t="s">
        <v>18</v>
      </c>
      <c r="C3037" t="s">
        <v>68</v>
      </c>
      <c r="D3037" t="s">
        <v>50</v>
      </c>
      <c r="E3037" t="s">
        <v>7638</v>
      </c>
      <c r="F3037">
        <v>2</v>
      </c>
      <c r="G3037" s="15">
        <v>2710000</v>
      </c>
      <c r="H3037" s="14">
        <v>0.13075929750140999</v>
      </c>
      <c r="I3037" s="27">
        <f t="shared" si="47"/>
        <v>2355642.3037711792</v>
      </c>
      <c r="J3037">
        <v>4.3</v>
      </c>
      <c r="K3037" t="b">
        <v>1</v>
      </c>
    </row>
    <row r="3038" spans="1:11" ht="16" x14ac:dyDescent="0.2">
      <c r="A3038" s="16">
        <v>45737</v>
      </c>
      <c r="B3038" t="s">
        <v>45</v>
      </c>
      <c r="C3038" t="s">
        <v>34</v>
      </c>
      <c r="D3038" t="s">
        <v>50</v>
      </c>
      <c r="E3038" t="s">
        <v>57</v>
      </c>
      <c r="F3038">
        <v>1</v>
      </c>
      <c r="G3038" s="15">
        <v>2710000</v>
      </c>
      <c r="H3038" s="14">
        <v>0.13075929750140999</v>
      </c>
      <c r="I3038" s="27">
        <f t="shared" si="47"/>
        <v>2355642.3037711792</v>
      </c>
      <c r="J3038">
        <v>4.3</v>
      </c>
      <c r="K3038" t="b">
        <v>1</v>
      </c>
    </row>
    <row r="3039" spans="1:11" ht="16" x14ac:dyDescent="0.2">
      <c r="A3039" s="16">
        <v>45738</v>
      </c>
      <c r="B3039" t="s">
        <v>45</v>
      </c>
      <c r="C3039" t="s">
        <v>45</v>
      </c>
      <c r="D3039" t="s">
        <v>20</v>
      </c>
      <c r="E3039" t="s">
        <v>57</v>
      </c>
      <c r="F3039">
        <v>1</v>
      </c>
      <c r="G3039" s="15">
        <v>2710000</v>
      </c>
      <c r="H3039" s="14">
        <v>0.13075929750140999</v>
      </c>
      <c r="I3039" s="27">
        <f t="shared" si="47"/>
        <v>2355642.3037711792</v>
      </c>
      <c r="J3039">
        <v>4.7</v>
      </c>
      <c r="K3039" t="b">
        <v>1</v>
      </c>
    </row>
    <row r="3040" spans="1:11" ht="16" x14ac:dyDescent="0.2">
      <c r="A3040" s="16">
        <v>45738</v>
      </c>
      <c r="B3040" t="s">
        <v>45</v>
      </c>
      <c r="C3040" t="s">
        <v>34</v>
      </c>
      <c r="D3040" t="s">
        <v>20</v>
      </c>
      <c r="E3040" t="s">
        <v>7643</v>
      </c>
      <c r="F3040">
        <v>1</v>
      </c>
      <c r="G3040" s="15">
        <v>2710000</v>
      </c>
      <c r="H3040" s="14">
        <v>0.13075929750140999</v>
      </c>
      <c r="I3040" s="27">
        <f t="shared" si="47"/>
        <v>2355642.3037711792</v>
      </c>
      <c r="J3040">
        <v>3.8</v>
      </c>
      <c r="K3040" t="b">
        <v>1</v>
      </c>
    </row>
    <row r="3041" spans="1:11" ht="16" x14ac:dyDescent="0.2">
      <c r="A3041" s="16">
        <v>45738</v>
      </c>
      <c r="B3041" t="s">
        <v>33</v>
      </c>
      <c r="C3041" t="s">
        <v>34</v>
      </c>
      <c r="D3041" t="s">
        <v>20</v>
      </c>
      <c r="E3041" t="s">
        <v>57</v>
      </c>
      <c r="F3041">
        <v>4</v>
      </c>
      <c r="G3041" s="15">
        <v>2710000</v>
      </c>
      <c r="H3041" s="14">
        <v>0.13075929750140999</v>
      </c>
      <c r="I3041" s="27">
        <f t="shared" si="47"/>
        <v>2355642.3037711792</v>
      </c>
      <c r="J3041">
        <v>4.5999999999999996</v>
      </c>
      <c r="K3041" t="b">
        <v>1</v>
      </c>
    </row>
    <row r="3042" spans="1:11" ht="16" x14ac:dyDescent="0.2">
      <c r="A3042" s="16">
        <v>45738</v>
      </c>
      <c r="B3042" t="s">
        <v>45</v>
      </c>
      <c r="C3042" t="s">
        <v>45</v>
      </c>
      <c r="D3042" t="s">
        <v>35</v>
      </c>
      <c r="E3042" t="s">
        <v>7638</v>
      </c>
      <c r="F3042">
        <v>5</v>
      </c>
      <c r="G3042" s="15">
        <v>2710000</v>
      </c>
      <c r="H3042" s="14">
        <v>0.13075929750140999</v>
      </c>
      <c r="I3042" s="27">
        <f t="shared" si="47"/>
        <v>2355642.3037711792</v>
      </c>
      <c r="J3042">
        <v>4.7</v>
      </c>
      <c r="K3042" t="b">
        <v>0</v>
      </c>
    </row>
    <row r="3043" spans="1:11" ht="16" x14ac:dyDescent="0.2">
      <c r="A3043" s="16">
        <v>45739</v>
      </c>
      <c r="B3043" t="s">
        <v>45</v>
      </c>
      <c r="C3043" t="s">
        <v>19</v>
      </c>
      <c r="D3043" t="s">
        <v>20</v>
      </c>
      <c r="E3043" t="s">
        <v>7641</v>
      </c>
      <c r="F3043">
        <v>4</v>
      </c>
      <c r="G3043" s="15">
        <v>2710000</v>
      </c>
      <c r="H3043" s="14">
        <v>0.13075929750140999</v>
      </c>
      <c r="I3043" s="27">
        <f t="shared" si="47"/>
        <v>2355642.3037711792</v>
      </c>
      <c r="J3043">
        <v>3.8</v>
      </c>
      <c r="K3043" t="b">
        <v>1</v>
      </c>
    </row>
    <row r="3044" spans="1:11" ht="16" x14ac:dyDescent="0.2">
      <c r="A3044" s="16">
        <v>45739</v>
      </c>
      <c r="B3044" t="s">
        <v>33</v>
      </c>
      <c r="C3044" t="s">
        <v>39</v>
      </c>
      <c r="D3044" t="s">
        <v>35</v>
      </c>
      <c r="E3044" t="s">
        <v>7644</v>
      </c>
      <c r="F3044">
        <v>1</v>
      </c>
      <c r="G3044" s="15">
        <v>2710000</v>
      </c>
      <c r="H3044" s="14">
        <v>0.13075929750140999</v>
      </c>
      <c r="I3044" s="27">
        <f t="shared" si="47"/>
        <v>2355642.3037711792</v>
      </c>
      <c r="J3044">
        <v>3.5</v>
      </c>
      <c r="K3044" t="b">
        <v>1</v>
      </c>
    </row>
    <row r="3045" spans="1:11" ht="16" x14ac:dyDescent="0.2">
      <c r="A3045" s="16">
        <v>45739</v>
      </c>
      <c r="B3045" t="s">
        <v>18</v>
      </c>
      <c r="C3045" t="s">
        <v>45</v>
      </c>
      <c r="D3045" t="s">
        <v>35</v>
      </c>
      <c r="E3045" t="s">
        <v>7641</v>
      </c>
      <c r="F3045">
        <v>4</v>
      </c>
      <c r="G3045" s="15">
        <v>2710000</v>
      </c>
      <c r="H3045" s="14">
        <v>0.13075929750140999</v>
      </c>
      <c r="I3045" s="27">
        <f t="shared" si="47"/>
        <v>2355642.3037711792</v>
      </c>
      <c r="J3045">
        <v>3.8</v>
      </c>
      <c r="K3045" t="b">
        <v>1</v>
      </c>
    </row>
    <row r="3046" spans="1:11" ht="16" x14ac:dyDescent="0.2">
      <c r="A3046" s="16">
        <v>45740</v>
      </c>
      <c r="B3046" t="s">
        <v>45</v>
      </c>
      <c r="C3046" t="s">
        <v>19</v>
      </c>
      <c r="D3046" t="s">
        <v>50</v>
      </c>
      <c r="E3046" t="s">
        <v>99</v>
      </c>
      <c r="F3046">
        <v>5</v>
      </c>
      <c r="G3046" s="15">
        <v>2710000</v>
      </c>
      <c r="H3046" s="14">
        <v>0.13075929750140999</v>
      </c>
      <c r="I3046" s="27">
        <f t="shared" si="47"/>
        <v>2355642.3037711792</v>
      </c>
      <c r="J3046">
        <v>5</v>
      </c>
      <c r="K3046" t="b">
        <v>0</v>
      </c>
    </row>
    <row r="3047" spans="1:11" ht="16" x14ac:dyDescent="0.2">
      <c r="A3047" s="16">
        <v>45740</v>
      </c>
      <c r="B3047" t="s">
        <v>45</v>
      </c>
      <c r="C3047" t="s">
        <v>39</v>
      </c>
      <c r="D3047" t="s">
        <v>35</v>
      </c>
      <c r="E3047" t="s">
        <v>7644</v>
      </c>
      <c r="F3047">
        <v>2</v>
      </c>
      <c r="G3047" s="15">
        <v>2710000</v>
      </c>
      <c r="H3047" s="14">
        <v>0.13075929750140999</v>
      </c>
      <c r="I3047" s="27">
        <f t="shared" si="47"/>
        <v>2355642.3037711792</v>
      </c>
      <c r="J3047">
        <v>4.2</v>
      </c>
      <c r="K3047" t="b">
        <v>1</v>
      </c>
    </row>
    <row r="3048" spans="1:11" ht="16" x14ac:dyDescent="0.2">
      <c r="A3048" s="16">
        <v>45741</v>
      </c>
      <c r="B3048" t="s">
        <v>29</v>
      </c>
      <c r="C3048" t="s">
        <v>39</v>
      </c>
      <c r="D3048" t="s">
        <v>35</v>
      </c>
      <c r="E3048" t="s">
        <v>7643</v>
      </c>
      <c r="F3048">
        <v>4</v>
      </c>
      <c r="G3048" s="15">
        <v>2710000</v>
      </c>
      <c r="H3048" s="14">
        <v>0.13075929750140999</v>
      </c>
      <c r="I3048" s="27">
        <f t="shared" si="47"/>
        <v>2355642.3037711792</v>
      </c>
      <c r="J3048">
        <v>4.3</v>
      </c>
      <c r="K3048" t="b">
        <v>1</v>
      </c>
    </row>
    <row r="3049" spans="1:11" ht="16" x14ac:dyDescent="0.2">
      <c r="A3049" s="16">
        <v>45741</v>
      </c>
      <c r="B3049" t="s">
        <v>45</v>
      </c>
      <c r="C3049" t="s">
        <v>34</v>
      </c>
      <c r="D3049" t="s">
        <v>35</v>
      </c>
      <c r="E3049" t="s">
        <v>7638</v>
      </c>
      <c r="F3049">
        <v>2</v>
      </c>
      <c r="G3049" s="15">
        <v>2710000</v>
      </c>
      <c r="H3049" s="14">
        <v>0.13075929750140999</v>
      </c>
      <c r="I3049" s="27">
        <f t="shared" si="47"/>
        <v>2355642.3037711792</v>
      </c>
      <c r="J3049">
        <v>4.7</v>
      </c>
      <c r="K3049" t="b">
        <v>1</v>
      </c>
    </row>
    <row r="3050" spans="1:11" ht="16" x14ac:dyDescent="0.2">
      <c r="A3050" s="16">
        <v>45742</v>
      </c>
      <c r="B3050" t="s">
        <v>45</v>
      </c>
      <c r="C3050" t="s">
        <v>34</v>
      </c>
      <c r="D3050" t="s">
        <v>46</v>
      </c>
      <c r="E3050" t="s">
        <v>99</v>
      </c>
      <c r="F3050">
        <v>2</v>
      </c>
      <c r="G3050" s="15">
        <v>2710000</v>
      </c>
      <c r="H3050" s="14">
        <v>0.13075929750140999</v>
      </c>
      <c r="I3050" s="27">
        <f t="shared" si="47"/>
        <v>2355642.3037711792</v>
      </c>
      <c r="J3050">
        <v>5</v>
      </c>
      <c r="K3050" t="b">
        <v>1</v>
      </c>
    </row>
    <row r="3051" spans="1:11" ht="16" x14ac:dyDescent="0.2">
      <c r="A3051" s="16">
        <v>45742</v>
      </c>
      <c r="B3051" t="s">
        <v>18</v>
      </c>
      <c r="C3051" t="s">
        <v>34</v>
      </c>
      <c r="D3051" t="s">
        <v>20</v>
      </c>
      <c r="E3051" t="s">
        <v>7642</v>
      </c>
      <c r="F3051">
        <v>2</v>
      </c>
      <c r="G3051" s="15">
        <v>2710000</v>
      </c>
      <c r="H3051" s="14">
        <v>0.13075929750140999</v>
      </c>
      <c r="I3051" s="27">
        <f t="shared" si="47"/>
        <v>2355642.3037711792</v>
      </c>
      <c r="J3051">
        <v>4.5999999999999996</v>
      </c>
      <c r="K3051" t="b">
        <v>1</v>
      </c>
    </row>
    <row r="3052" spans="1:11" ht="16" x14ac:dyDescent="0.2">
      <c r="A3052" s="16">
        <v>45742</v>
      </c>
      <c r="B3052" t="s">
        <v>33</v>
      </c>
      <c r="C3052" t="s">
        <v>19</v>
      </c>
      <c r="D3052" t="s">
        <v>20</v>
      </c>
      <c r="E3052" t="s">
        <v>7638</v>
      </c>
      <c r="F3052">
        <v>1</v>
      </c>
      <c r="G3052" s="15">
        <v>2710000</v>
      </c>
      <c r="H3052" s="14">
        <v>0.13075929750140999</v>
      </c>
      <c r="I3052" s="27">
        <f t="shared" si="47"/>
        <v>2355642.3037711792</v>
      </c>
      <c r="J3052">
        <v>4.4000000000000004</v>
      </c>
      <c r="K3052" t="b">
        <v>1</v>
      </c>
    </row>
    <row r="3053" spans="1:11" ht="16" x14ac:dyDescent="0.2">
      <c r="A3053" s="16">
        <v>45742</v>
      </c>
      <c r="B3053" t="s">
        <v>33</v>
      </c>
      <c r="C3053" t="s">
        <v>19</v>
      </c>
      <c r="D3053" t="s">
        <v>20</v>
      </c>
      <c r="E3053" t="s">
        <v>7642</v>
      </c>
      <c r="F3053">
        <v>1</v>
      </c>
      <c r="G3053" s="15">
        <v>2710000</v>
      </c>
      <c r="H3053" s="14">
        <v>0.13075929750140999</v>
      </c>
      <c r="I3053" s="27">
        <f t="shared" si="47"/>
        <v>2355642.3037711792</v>
      </c>
      <c r="J3053">
        <v>4.3</v>
      </c>
      <c r="K3053" t="b">
        <v>0</v>
      </c>
    </row>
    <row r="3054" spans="1:11" ht="16" x14ac:dyDescent="0.2">
      <c r="A3054" s="16">
        <v>45742</v>
      </c>
      <c r="B3054" t="s">
        <v>33</v>
      </c>
      <c r="C3054" t="s">
        <v>45</v>
      </c>
      <c r="D3054" t="s">
        <v>35</v>
      </c>
      <c r="E3054" t="s">
        <v>7641</v>
      </c>
      <c r="F3054">
        <v>2</v>
      </c>
      <c r="G3054" s="15">
        <v>2710000</v>
      </c>
      <c r="H3054" s="14">
        <v>0.13075929750140999</v>
      </c>
      <c r="I3054" s="27">
        <f t="shared" si="47"/>
        <v>2355642.3037711792</v>
      </c>
      <c r="J3054">
        <v>4.3</v>
      </c>
      <c r="K3054" t="b">
        <v>1</v>
      </c>
    </row>
    <row r="3055" spans="1:11" ht="16" x14ac:dyDescent="0.2">
      <c r="A3055" s="16">
        <v>45742</v>
      </c>
      <c r="B3055" t="s">
        <v>33</v>
      </c>
      <c r="C3055" t="s">
        <v>25</v>
      </c>
      <c r="D3055" t="s">
        <v>50</v>
      </c>
      <c r="E3055" t="s">
        <v>7644</v>
      </c>
      <c r="F3055">
        <v>2</v>
      </c>
      <c r="G3055" s="15">
        <v>2710000</v>
      </c>
      <c r="H3055" s="14">
        <v>0.13075929750140999</v>
      </c>
      <c r="I3055" s="27">
        <f t="shared" si="47"/>
        <v>2355642.3037711792</v>
      </c>
      <c r="J3055">
        <v>4.0999999999999996</v>
      </c>
      <c r="K3055" t="b">
        <v>1</v>
      </c>
    </row>
    <row r="3056" spans="1:11" ht="16" x14ac:dyDescent="0.2">
      <c r="A3056" s="16">
        <v>45742</v>
      </c>
      <c r="B3056" t="s">
        <v>33</v>
      </c>
      <c r="C3056" t="s">
        <v>68</v>
      </c>
      <c r="D3056" t="s">
        <v>35</v>
      </c>
      <c r="E3056" t="str">
        <f>E3055</f>
        <v>Hạ Long</v>
      </c>
      <c r="F3056">
        <v>2</v>
      </c>
      <c r="G3056" s="15">
        <v>2710000</v>
      </c>
      <c r="H3056" s="14">
        <v>0.13075929750140999</v>
      </c>
      <c r="I3056" s="27">
        <f t="shared" si="47"/>
        <v>2355642.3037711792</v>
      </c>
      <c r="J3056">
        <v>4.8</v>
      </c>
      <c r="K3056" t="b">
        <v>0</v>
      </c>
    </row>
    <row r="3057" spans="1:11" ht="16" x14ac:dyDescent="0.2">
      <c r="A3057" s="16">
        <v>45743</v>
      </c>
      <c r="B3057" t="s">
        <v>18</v>
      </c>
      <c r="C3057" t="s">
        <v>25</v>
      </c>
      <c r="D3057" t="s">
        <v>20</v>
      </c>
      <c r="E3057" t="s">
        <v>99</v>
      </c>
      <c r="F3057">
        <v>1</v>
      </c>
      <c r="G3057" s="15">
        <v>2710000</v>
      </c>
      <c r="H3057" s="14">
        <v>0.13075929750140999</v>
      </c>
      <c r="I3057" s="27">
        <f t="shared" si="47"/>
        <v>2355642.3037711792</v>
      </c>
      <c r="J3057">
        <v>4.2</v>
      </c>
      <c r="K3057" t="b">
        <v>1</v>
      </c>
    </row>
    <row r="3058" spans="1:11" ht="16" x14ac:dyDescent="0.2">
      <c r="A3058" s="16">
        <v>45744</v>
      </c>
      <c r="B3058" t="s">
        <v>45</v>
      </c>
      <c r="C3058" t="s">
        <v>39</v>
      </c>
      <c r="D3058" t="s">
        <v>20</v>
      </c>
      <c r="E3058" t="s">
        <v>99</v>
      </c>
      <c r="F3058">
        <v>3</v>
      </c>
      <c r="G3058" s="15">
        <v>2710000</v>
      </c>
      <c r="H3058" s="14">
        <v>0.13075929750140999</v>
      </c>
      <c r="I3058" s="27">
        <f t="shared" si="47"/>
        <v>2355642.3037711792</v>
      </c>
      <c r="J3058">
        <v>4.5999999999999996</v>
      </c>
      <c r="K3058" t="b">
        <v>1</v>
      </c>
    </row>
    <row r="3059" spans="1:11" ht="16" x14ac:dyDescent="0.2">
      <c r="A3059" s="16">
        <v>45744</v>
      </c>
      <c r="B3059" t="s">
        <v>33</v>
      </c>
      <c r="C3059" t="s">
        <v>25</v>
      </c>
      <c r="D3059" t="s">
        <v>20</v>
      </c>
      <c r="E3059" t="s">
        <v>7643</v>
      </c>
      <c r="F3059">
        <v>1</v>
      </c>
      <c r="G3059" s="15">
        <v>2710000</v>
      </c>
      <c r="H3059" s="14">
        <v>0.13075929750140999</v>
      </c>
      <c r="I3059" s="27">
        <f t="shared" si="47"/>
        <v>2355642.3037711792</v>
      </c>
      <c r="J3059">
        <v>4.8</v>
      </c>
      <c r="K3059" t="b">
        <v>1</v>
      </c>
    </row>
    <row r="3060" spans="1:11" ht="16" x14ac:dyDescent="0.2">
      <c r="A3060" s="16">
        <v>45744</v>
      </c>
      <c r="B3060" t="s">
        <v>45</v>
      </c>
      <c r="C3060" t="s">
        <v>25</v>
      </c>
      <c r="D3060" t="s">
        <v>35</v>
      </c>
      <c r="E3060" t="s">
        <v>57</v>
      </c>
      <c r="F3060">
        <v>1</v>
      </c>
      <c r="G3060" s="15">
        <v>2710000</v>
      </c>
      <c r="H3060" s="14">
        <v>0.13075929750140999</v>
      </c>
      <c r="I3060" s="27">
        <f t="shared" si="47"/>
        <v>2355642.3037711792</v>
      </c>
      <c r="J3060">
        <v>3.6</v>
      </c>
      <c r="K3060" t="b">
        <v>1</v>
      </c>
    </row>
    <row r="3061" spans="1:11" ht="16" x14ac:dyDescent="0.2">
      <c r="A3061" s="16">
        <v>45745</v>
      </c>
      <c r="B3061" t="s">
        <v>33</v>
      </c>
      <c r="C3061" t="s">
        <v>34</v>
      </c>
      <c r="D3061" t="s">
        <v>20</v>
      </c>
      <c r="E3061" t="s">
        <v>7641</v>
      </c>
      <c r="F3061">
        <v>2</v>
      </c>
      <c r="G3061" s="15">
        <v>2710000</v>
      </c>
      <c r="H3061" s="14">
        <v>0.13075929750140999</v>
      </c>
      <c r="I3061" s="27">
        <f t="shared" si="47"/>
        <v>2355642.3037711792</v>
      </c>
      <c r="J3061">
        <v>5</v>
      </c>
      <c r="K3061" t="b">
        <v>1</v>
      </c>
    </row>
    <row r="3062" spans="1:11" ht="16" x14ac:dyDescent="0.2">
      <c r="A3062" s="16">
        <v>45745</v>
      </c>
      <c r="B3062" t="s">
        <v>33</v>
      </c>
      <c r="C3062" t="s">
        <v>34</v>
      </c>
      <c r="D3062" t="s">
        <v>20</v>
      </c>
      <c r="E3062" t="s">
        <v>7639</v>
      </c>
      <c r="F3062">
        <v>3</v>
      </c>
      <c r="G3062" s="15">
        <v>2710000</v>
      </c>
      <c r="H3062" s="14">
        <v>0.13075929750140999</v>
      </c>
      <c r="I3062" s="27">
        <f t="shared" si="47"/>
        <v>2355642.3037711792</v>
      </c>
      <c r="J3062">
        <v>4.5999999999999996</v>
      </c>
      <c r="K3062" t="b">
        <v>0</v>
      </c>
    </row>
    <row r="3063" spans="1:11" ht="16" x14ac:dyDescent="0.2">
      <c r="A3063" s="16">
        <v>45745</v>
      </c>
      <c r="B3063" t="s">
        <v>45</v>
      </c>
      <c r="C3063" t="s">
        <v>45</v>
      </c>
      <c r="D3063" t="s">
        <v>20</v>
      </c>
      <c r="E3063" t="s">
        <v>7641</v>
      </c>
      <c r="F3063">
        <v>2</v>
      </c>
      <c r="G3063" s="15">
        <v>2710000</v>
      </c>
      <c r="H3063" s="14">
        <v>0.13075929750140999</v>
      </c>
      <c r="I3063" s="27">
        <f t="shared" si="47"/>
        <v>2355642.3037711792</v>
      </c>
      <c r="J3063">
        <v>4.0999999999999996</v>
      </c>
      <c r="K3063" t="b">
        <v>1</v>
      </c>
    </row>
    <row r="3064" spans="1:11" ht="16" x14ac:dyDescent="0.2">
      <c r="A3064" s="16">
        <v>45745</v>
      </c>
      <c r="B3064" t="s">
        <v>29</v>
      </c>
      <c r="C3064" t="s">
        <v>34</v>
      </c>
      <c r="D3064" t="s">
        <v>46</v>
      </c>
      <c r="E3064" t="s">
        <v>7641</v>
      </c>
      <c r="F3064">
        <v>4</v>
      </c>
      <c r="G3064" s="15">
        <v>2710000</v>
      </c>
      <c r="H3064" s="14">
        <v>0.13075929750140999</v>
      </c>
      <c r="I3064" s="27">
        <f t="shared" si="47"/>
        <v>2355642.3037711792</v>
      </c>
      <c r="J3064">
        <v>5</v>
      </c>
      <c r="K3064" t="b">
        <v>1</v>
      </c>
    </row>
    <row r="3065" spans="1:11" ht="16" x14ac:dyDescent="0.2">
      <c r="A3065" s="16">
        <v>45746</v>
      </c>
      <c r="B3065" t="s">
        <v>18</v>
      </c>
      <c r="C3065" t="s">
        <v>39</v>
      </c>
      <c r="D3065" t="s">
        <v>20</v>
      </c>
      <c r="E3065" t="s">
        <v>7638</v>
      </c>
      <c r="F3065">
        <v>2</v>
      </c>
      <c r="G3065" s="15">
        <v>2710000</v>
      </c>
      <c r="H3065" s="14">
        <v>0.13075929750140999</v>
      </c>
      <c r="I3065" s="27">
        <f t="shared" si="47"/>
        <v>2355642.3037711792</v>
      </c>
      <c r="J3065">
        <v>4.2</v>
      </c>
      <c r="K3065" t="b">
        <v>0</v>
      </c>
    </row>
    <row r="3066" spans="1:11" ht="16" x14ac:dyDescent="0.2">
      <c r="A3066" s="16">
        <v>45746</v>
      </c>
      <c r="B3066" t="s">
        <v>45</v>
      </c>
      <c r="C3066" t="s">
        <v>39</v>
      </c>
      <c r="D3066" t="s">
        <v>50</v>
      </c>
      <c r="E3066" t="s">
        <v>57</v>
      </c>
      <c r="F3066">
        <v>1</v>
      </c>
      <c r="G3066" s="15">
        <v>2710000</v>
      </c>
      <c r="H3066" s="14">
        <v>0.13075929750140999</v>
      </c>
      <c r="I3066" s="27">
        <f t="shared" si="47"/>
        <v>2355642.3037711792</v>
      </c>
      <c r="J3066">
        <v>5</v>
      </c>
      <c r="K3066" t="b">
        <v>1</v>
      </c>
    </row>
    <row r="3067" spans="1:11" ht="16" x14ac:dyDescent="0.2">
      <c r="A3067" s="16">
        <v>45747</v>
      </c>
      <c r="B3067" t="s">
        <v>45</v>
      </c>
      <c r="C3067" t="s">
        <v>68</v>
      </c>
      <c r="D3067" t="s">
        <v>20</v>
      </c>
      <c r="E3067" t="s">
        <v>7642</v>
      </c>
      <c r="F3067">
        <v>1</v>
      </c>
      <c r="G3067" s="15">
        <v>2710000</v>
      </c>
      <c r="H3067" s="14">
        <v>0.13075929750140999</v>
      </c>
      <c r="I3067" s="27">
        <f t="shared" si="47"/>
        <v>2355642.3037711792</v>
      </c>
      <c r="J3067">
        <v>4.5</v>
      </c>
      <c r="K3067" t="b">
        <v>0</v>
      </c>
    </row>
    <row r="3068" spans="1:11" ht="16" x14ac:dyDescent="0.2">
      <c r="A3068" s="16">
        <v>45747</v>
      </c>
      <c r="B3068" t="s">
        <v>33</v>
      </c>
      <c r="C3068" t="s">
        <v>45</v>
      </c>
      <c r="D3068" t="s">
        <v>20</v>
      </c>
      <c r="E3068" t="s">
        <v>7640</v>
      </c>
      <c r="F3068">
        <v>2</v>
      </c>
      <c r="G3068" s="15">
        <v>2710000</v>
      </c>
      <c r="H3068" s="14">
        <v>0.13075929750140999</v>
      </c>
      <c r="I3068" s="27">
        <f t="shared" si="47"/>
        <v>2355642.3037711792</v>
      </c>
      <c r="J3068">
        <v>3.8</v>
      </c>
      <c r="K3068" t="b">
        <v>0</v>
      </c>
    </row>
    <row r="3069" spans="1:11" ht="16" x14ac:dyDescent="0.2">
      <c r="A3069" s="16">
        <v>45747</v>
      </c>
      <c r="B3069" t="s">
        <v>45</v>
      </c>
      <c r="C3069" t="s">
        <v>19</v>
      </c>
      <c r="D3069" t="s">
        <v>35</v>
      </c>
      <c r="E3069" t="s">
        <v>7641</v>
      </c>
      <c r="F3069">
        <v>2</v>
      </c>
      <c r="G3069" s="15">
        <v>2710000</v>
      </c>
      <c r="H3069" s="14">
        <v>0.13075929750140999</v>
      </c>
      <c r="I3069" s="27">
        <f t="shared" si="47"/>
        <v>2355642.3037711792</v>
      </c>
      <c r="J3069">
        <v>3.9</v>
      </c>
      <c r="K3069" t="b">
        <v>0</v>
      </c>
    </row>
    <row r="3070" spans="1:11" ht="16" x14ac:dyDescent="0.2">
      <c r="A3070" s="16">
        <v>45747</v>
      </c>
      <c r="B3070" t="s">
        <v>18</v>
      </c>
      <c r="C3070" t="s">
        <v>45</v>
      </c>
      <c r="D3070" t="s">
        <v>35</v>
      </c>
      <c r="E3070" t="s">
        <v>7638</v>
      </c>
      <c r="F3070">
        <v>3</v>
      </c>
      <c r="G3070" s="15">
        <v>2710000</v>
      </c>
      <c r="H3070" s="14">
        <v>0.13075929750140999</v>
      </c>
      <c r="I3070" s="27">
        <f t="shared" si="47"/>
        <v>2355642.3037711792</v>
      </c>
      <c r="J3070">
        <v>4.2</v>
      </c>
      <c r="K3070" t="b">
        <v>1</v>
      </c>
    </row>
    <row r="3071" spans="1:11" ht="16" x14ac:dyDescent="0.2">
      <c r="A3071" s="16">
        <v>45747</v>
      </c>
      <c r="B3071" t="s">
        <v>45</v>
      </c>
      <c r="C3071" t="s">
        <v>39</v>
      </c>
      <c r="D3071" t="s">
        <v>50</v>
      </c>
      <c r="E3071" t="s">
        <v>57</v>
      </c>
      <c r="F3071">
        <v>2</v>
      </c>
      <c r="G3071" s="15">
        <v>2710000</v>
      </c>
      <c r="H3071" s="14">
        <v>0.13075929750140999</v>
      </c>
      <c r="I3071" s="27">
        <f t="shared" si="47"/>
        <v>2355642.3037711792</v>
      </c>
      <c r="J3071">
        <v>3.9</v>
      </c>
      <c r="K3071" t="b">
        <v>1</v>
      </c>
    </row>
    <row r="3072" spans="1:11" ht="16" x14ac:dyDescent="0.2">
      <c r="A3072" s="16">
        <v>45748</v>
      </c>
      <c r="B3072" t="s">
        <v>45</v>
      </c>
      <c r="C3072" t="s">
        <v>34</v>
      </c>
      <c r="D3072" t="s">
        <v>20</v>
      </c>
      <c r="E3072" t="s">
        <v>7643</v>
      </c>
      <c r="F3072">
        <v>3</v>
      </c>
      <c r="G3072" s="15">
        <v>2710000</v>
      </c>
      <c r="H3072" s="14">
        <v>0.13075929750140999</v>
      </c>
      <c r="I3072" s="27">
        <f t="shared" si="47"/>
        <v>2355642.3037711792</v>
      </c>
      <c r="J3072">
        <v>4.2</v>
      </c>
      <c r="K3072" t="b">
        <v>1</v>
      </c>
    </row>
    <row r="3073" spans="1:11" ht="16" x14ac:dyDescent="0.2">
      <c r="A3073" s="16">
        <v>45748</v>
      </c>
      <c r="B3073" t="s">
        <v>18</v>
      </c>
      <c r="C3073" t="s">
        <v>19</v>
      </c>
      <c r="D3073" t="s">
        <v>20</v>
      </c>
      <c r="E3073" t="s">
        <v>7644</v>
      </c>
      <c r="F3073">
        <v>2</v>
      </c>
      <c r="G3073" s="15">
        <v>2710000</v>
      </c>
      <c r="H3073" s="14">
        <v>0.13075929750140999</v>
      </c>
      <c r="I3073" s="27">
        <f t="shared" si="47"/>
        <v>2355642.3037711792</v>
      </c>
      <c r="J3073">
        <v>3.5</v>
      </c>
      <c r="K3073" t="b">
        <v>0</v>
      </c>
    </row>
    <row r="3074" spans="1:11" ht="16" x14ac:dyDescent="0.2">
      <c r="A3074" s="16">
        <v>45748</v>
      </c>
      <c r="B3074" t="s">
        <v>45</v>
      </c>
      <c r="C3074" t="s">
        <v>34</v>
      </c>
      <c r="D3074" t="s">
        <v>20</v>
      </c>
      <c r="E3074" t="s">
        <v>7642</v>
      </c>
      <c r="F3074">
        <v>3</v>
      </c>
      <c r="G3074" s="15">
        <v>2710000</v>
      </c>
      <c r="H3074" s="14">
        <v>0.13075929750140999</v>
      </c>
      <c r="I3074" s="27">
        <f t="shared" si="47"/>
        <v>2355642.3037711792</v>
      </c>
      <c r="J3074">
        <v>4.5</v>
      </c>
      <c r="K3074" t="b">
        <v>1</v>
      </c>
    </row>
    <row r="3075" spans="1:11" ht="16" x14ac:dyDescent="0.2">
      <c r="A3075" s="16">
        <v>45748</v>
      </c>
      <c r="B3075" t="s">
        <v>18</v>
      </c>
      <c r="C3075" t="s">
        <v>45</v>
      </c>
      <c r="D3075" t="s">
        <v>20</v>
      </c>
      <c r="E3075" t="s">
        <v>7640</v>
      </c>
      <c r="F3075">
        <v>4</v>
      </c>
      <c r="G3075" s="15">
        <v>2710000</v>
      </c>
      <c r="H3075" s="14">
        <v>0.13075929750140999</v>
      </c>
      <c r="I3075" s="27">
        <f t="shared" ref="I3075:I3138" si="48">G3075-G3075*H3075</f>
        <v>2355642.3037711792</v>
      </c>
      <c r="J3075">
        <v>4.5</v>
      </c>
      <c r="K3075" t="b">
        <v>1</v>
      </c>
    </row>
    <row r="3076" spans="1:11" ht="16" x14ac:dyDescent="0.2">
      <c r="A3076" s="16">
        <v>45749</v>
      </c>
      <c r="B3076" t="s">
        <v>18</v>
      </c>
      <c r="C3076" t="s">
        <v>34</v>
      </c>
      <c r="D3076" t="str">
        <f>D3075</f>
        <v>Website</v>
      </c>
      <c r="E3076" t="s">
        <v>7638</v>
      </c>
      <c r="F3076">
        <v>1</v>
      </c>
      <c r="G3076" s="15">
        <v>2710000</v>
      </c>
      <c r="H3076" s="14">
        <v>0.13075929750140999</v>
      </c>
      <c r="I3076" s="27">
        <f t="shared" si="48"/>
        <v>2355642.3037711792</v>
      </c>
      <c r="J3076">
        <v>4.3</v>
      </c>
      <c r="K3076" t="b">
        <v>1</v>
      </c>
    </row>
    <row r="3077" spans="1:11" ht="16" x14ac:dyDescent="0.2">
      <c r="A3077" s="16">
        <v>45749</v>
      </c>
      <c r="B3077" t="s">
        <v>45</v>
      </c>
      <c r="C3077" t="s">
        <v>45</v>
      </c>
      <c r="D3077" t="s">
        <v>35</v>
      </c>
      <c r="E3077" t="s">
        <v>7644</v>
      </c>
      <c r="F3077">
        <v>2</v>
      </c>
      <c r="G3077" s="15">
        <v>2710000</v>
      </c>
      <c r="H3077" s="14">
        <v>0.13075929750140999</v>
      </c>
      <c r="I3077" s="27">
        <f t="shared" si="48"/>
        <v>2355642.3037711792</v>
      </c>
      <c r="J3077">
        <v>4.4000000000000004</v>
      </c>
      <c r="K3077" t="b">
        <v>1</v>
      </c>
    </row>
    <row r="3078" spans="1:11" ht="16" x14ac:dyDescent="0.2">
      <c r="A3078" s="16">
        <v>45749</v>
      </c>
      <c r="B3078" t="s">
        <v>33</v>
      </c>
      <c r="C3078" t="s">
        <v>19</v>
      </c>
      <c r="D3078" t="s">
        <v>50</v>
      </c>
      <c r="E3078" t="s">
        <v>7639</v>
      </c>
      <c r="F3078">
        <v>3</v>
      </c>
      <c r="G3078" s="15">
        <v>2710000</v>
      </c>
      <c r="H3078" s="14">
        <v>0.13075929750140999</v>
      </c>
      <c r="I3078" s="27">
        <f t="shared" si="48"/>
        <v>2355642.3037711792</v>
      </c>
      <c r="J3078">
        <v>5</v>
      </c>
      <c r="K3078" t="b">
        <v>1</v>
      </c>
    </row>
    <row r="3079" spans="1:11" ht="16" x14ac:dyDescent="0.2">
      <c r="A3079" s="16">
        <v>45749</v>
      </c>
      <c r="B3079" t="s">
        <v>45</v>
      </c>
      <c r="C3079" t="s">
        <v>34</v>
      </c>
      <c r="D3079" t="s">
        <v>20</v>
      </c>
      <c r="E3079" t="s">
        <v>7643</v>
      </c>
      <c r="F3079">
        <v>1</v>
      </c>
      <c r="G3079" s="15">
        <v>2710000</v>
      </c>
      <c r="H3079" s="14">
        <v>0.13075929750140999</v>
      </c>
      <c r="I3079" s="27">
        <f t="shared" si="48"/>
        <v>2355642.3037711792</v>
      </c>
      <c r="J3079">
        <v>3.1</v>
      </c>
      <c r="K3079" t="b">
        <v>1</v>
      </c>
    </row>
    <row r="3080" spans="1:11" ht="16" x14ac:dyDescent="0.2">
      <c r="A3080" s="16">
        <v>45749</v>
      </c>
      <c r="B3080" t="str">
        <f>B3079</f>
        <v>Family</v>
      </c>
      <c r="C3080" t="s">
        <v>19</v>
      </c>
      <c r="D3080" t="s">
        <v>50</v>
      </c>
      <c r="E3080" t="s">
        <v>7643</v>
      </c>
      <c r="F3080">
        <v>3</v>
      </c>
      <c r="G3080" s="15">
        <v>2710000</v>
      </c>
      <c r="H3080" s="14">
        <v>0.13075929750140999</v>
      </c>
      <c r="I3080" s="27">
        <f t="shared" si="48"/>
        <v>2355642.3037711792</v>
      </c>
      <c r="J3080">
        <v>3.6</v>
      </c>
      <c r="K3080" t="b">
        <v>1</v>
      </c>
    </row>
    <row r="3081" spans="1:11" ht="16" x14ac:dyDescent="0.2">
      <c r="A3081" s="16">
        <v>45750</v>
      </c>
      <c r="B3081" t="s">
        <v>33</v>
      </c>
      <c r="C3081" t="s">
        <v>45</v>
      </c>
      <c r="D3081" t="s">
        <v>50</v>
      </c>
      <c r="E3081" t="s">
        <v>7641</v>
      </c>
      <c r="F3081">
        <v>5</v>
      </c>
      <c r="G3081" s="15">
        <v>2710000</v>
      </c>
      <c r="H3081" s="14">
        <v>0.13075929750140999</v>
      </c>
      <c r="I3081" s="27">
        <f t="shared" si="48"/>
        <v>2355642.3037711792</v>
      </c>
      <c r="J3081">
        <v>5</v>
      </c>
      <c r="K3081" t="b">
        <v>1</v>
      </c>
    </row>
    <row r="3082" spans="1:11" ht="16" x14ac:dyDescent="0.2">
      <c r="A3082" s="16">
        <v>45750</v>
      </c>
      <c r="B3082" t="s">
        <v>18</v>
      </c>
      <c r="C3082" t="s">
        <v>45</v>
      </c>
      <c r="D3082" t="s">
        <v>50</v>
      </c>
      <c r="E3082" t="s">
        <v>7640</v>
      </c>
      <c r="F3082">
        <v>4</v>
      </c>
      <c r="G3082" s="15">
        <v>2710000</v>
      </c>
      <c r="H3082" s="14">
        <v>0.13075929750140999</v>
      </c>
      <c r="I3082" s="27">
        <f t="shared" si="48"/>
        <v>2355642.3037711792</v>
      </c>
      <c r="J3082">
        <v>3.9</v>
      </c>
      <c r="K3082" t="b">
        <v>1</v>
      </c>
    </row>
    <row r="3083" spans="1:11" ht="16" x14ac:dyDescent="0.2">
      <c r="A3083" s="16">
        <v>45750</v>
      </c>
      <c r="B3083" t="s">
        <v>33</v>
      </c>
      <c r="C3083" t="s">
        <v>34</v>
      </c>
      <c r="D3083" t="s">
        <v>35</v>
      </c>
      <c r="E3083" t="s">
        <v>99</v>
      </c>
      <c r="F3083">
        <v>2</v>
      </c>
      <c r="G3083" s="15">
        <v>2710000</v>
      </c>
      <c r="H3083" s="14">
        <v>0.13075929750140999</v>
      </c>
      <c r="I3083" s="27">
        <f t="shared" si="48"/>
        <v>2355642.3037711792</v>
      </c>
      <c r="J3083">
        <v>4.0999999999999996</v>
      </c>
      <c r="K3083" t="b">
        <v>1</v>
      </c>
    </row>
    <row r="3084" spans="1:11" ht="16" x14ac:dyDescent="0.2">
      <c r="A3084" s="16">
        <v>45751</v>
      </c>
      <c r="B3084" t="s">
        <v>29</v>
      </c>
      <c r="C3084" t="s">
        <v>25</v>
      </c>
      <c r="D3084" t="str">
        <f>D3083</f>
        <v>Mobile App</v>
      </c>
      <c r="E3084" t="s">
        <v>7642</v>
      </c>
      <c r="F3084">
        <v>1</v>
      </c>
      <c r="G3084" s="15">
        <v>2710000</v>
      </c>
      <c r="H3084" s="14">
        <v>0.13075929750140999</v>
      </c>
      <c r="I3084" s="27">
        <f t="shared" si="48"/>
        <v>2355642.3037711792</v>
      </c>
      <c r="J3084">
        <v>3.6</v>
      </c>
      <c r="K3084" t="b">
        <v>0</v>
      </c>
    </row>
    <row r="3085" spans="1:11" ht="16" x14ac:dyDescent="0.2">
      <c r="A3085" s="16">
        <v>45751</v>
      </c>
      <c r="B3085" t="s">
        <v>18</v>
      </c>
      <c r="C3085" t="s">
        <v>19</v>
      </c>
      <c r="D3085" t="s">
        <v>20</v>
      </c>
      <c r="E3085" t="s">
        <v>7643</v>
      </c>
      <c r="F3085">
        <v>1</v>
      </c>
      <c r="G3085" s="15">
        <v>2710000</v>
      </c>
      <c r="H3085" s="14">
        <v>0.13075929750140999</v>
      </c>
      <c r="I3085" s="27">
        <f t="shared" si="48"/>
        <v>2355642.3037711792</v>
      </c>
      <c r="J3085">
        <v>3.6</v>
      </c>
      <c r="K3085" t="b">
        <v>1</v>
      </c>
    </row>
    <row r="3086" spans="1:11" ht="16" x14ac:dyDescent="0.2">
      <c r="A3086" s="16">
        <v>45753</v>
      </c>
      <c r="B3086" t="s">
        <v>33</v>
      </c>
      <c r="C3086" t="s">
        <v>34</v>
      </c>
      <c r="D3086" t="s">
        <v>35</v>
      </c>
      <c r="E3086" t="s">
        <v>7640</v>
      </c>
      <c r="F3086">
        <v>1</v>
      </c>
      <c r="G3086" s="15">
        <v>2710000</v>
      </c>
      <c r="H3086" s="14">
        <v>0.13075929750140999</v>
      </c>
      <c r="I3086" s="27">
        <f t="shared" si="48"/>
        <v>2355642.3037711792</v>
      </c>
      <c r="J3086">
        <v>4.5999999999999996</v>
      </c>
      <c r="K3086" t="b">
        <v>1</v>
      </c>
    </row>
    <row r="3087" spans="1:11" ht="16" x14ac:dyDescent="0.2">
      <c r="A3087" s="16">
        <v>45753</v>
      </c>
      <c r="B3087" t="s">
        <v>18</v>
      </c>
      <c r="C3087" t="s">
        <v>19</v>
      </c>
      <c r="D3087" t="s">
        <v>50</v>
      </c>
      <c r="E3087" t="s">
        <v>7644</v>
      </c>
      <c r="F3087">
        <v>1</v>
      </c>
      <c r="G3087" s="15">
        <v>2710000</v>
      </c>
      <c r="H3087" s="14">
        <v>0.13075929750140999</v>
      </c>
      <c r="I3087" s="27">
        <f t="shared" si="48"/>
        <v>2355642.3037711792</v>
      </c>
      <c r="J3087">
        <v>3.7</v>
      </c>
      <c r="K3087" t="b">
        <v>0</v>
      </c>
    </row>
    <row r="3088" spans="1:11" ht="16" x14ac:dyDescent="0.2">
      <c r="A3088" s="16">
        <v>45753</v>
      </c>
      <c r="B3088" t="s">
        <v>45</v>
      </c>
      <c r="C3088" t="s">
        <v>39</v>
      </c>
      <c r="D3088" t="s">
        <v>35</v>
      </c>
      <c r="E3088" t="s">
        <v>99</v>
      </c>
      <c r="F3088">
        <v>3</v>
      </c>
      <c r="G3088" s="15">
        <v>2710000</v>
      </c>
      <c r="H3088" s="14">
        <v>0.13075929750140999</v>
      </c>
      <c r="I3088" s="27">
        <f t="shared" si="48"/>
        <v>2355642.3037711792</v>
      </c>
      <c r="J3088">
        <v>3</v>
      </c>
      <c r="K3088" t="b">
        <v>1</v>
      </c>
    </row>
    <row r="3089" spans="1:11" ht="16" x14ac:dyDescent="0.2">
      <c r="A3089" s="16">
        <v>45753</v>
      </c>
      <c r="B3089" t="s">
        <v>45</v>
      </c>
      <c r="C3089" t="s">
        <v>34</v>
      </c>
      <c r="D3089" t="s">
        <v>20</v>
      </c>
      <c r="E3089" t="s">
        <v>7642</v>
      </c>
      <c r="F3089">
        <v>2</v>
      </c>
      <c r="G3089" s="15">
        <v>2710000</v>
      </c>
      <c r="H3089" s="14">
        <v>0.13075929750140999</v>
      </c>
      <c r="I3089" s="27">
        <f t="shared" si="48"/>
        <v>2355642.3037711792</v>
      </c>
      <c r="J3089">
        <v>4</v>
      </c>
      <c r="K3089" t="b">
        <v>1</v>
      </c>
    </row>
    <row r="3090" spans="1:11" ht="16" x14ac:dyDescent="0.2">
      <c r="A3090" s="16">
        <v>45753</v>
      </c>
      <c r="B3090" t="s">
        <v>33</v>
      </c>
      <c r="C3090" t="s">
        <v>19</v>
      </c>
      <c r="D3090" t="s">
        <v>20</v>
      </c>
      <c r="E3090" t="s">
        <v>99</v>
      </c>
      <c r="F3090">
        <v>3</v>
      </c>
      <c r="G3090" s="15">
        <v>2710000</v>
      </c>
      <c r="H3090" s="14">
        <v>0.13075929750140999</v>
      </c>
      <c r="I3090" s="27">
        <f t="shared" si="48"/>
        <v>2355642.3037711792</v>
      </c>
      <c r="J3090">
        <v>4.4000000000000004</v>
      </c>
      <c r="K3090" t="b">
        <v>1</v>
      </c>
    </row>
    <row r="3091" spans="1:11" ht="16" x14ac:dyDescent="0.2">
      <c r="A3091" s="16">
        <v>45753</v>
      </c>
      <c r="B3091" t="s">
        <v>45</v>
      </c>
      <c r="C3091" t="s">
        <v>19</v>
      </c>
      <c r="D3091" t="s">
        <v>20</v>
      </c>
      <c r="E3091" t="s">
        <v>7640</v>
      </c>
      <c r="F3091">
        <v>2</v>
      </c>
      <c r="G3091" s="15">
        <v>2710000</v>
      </c>
      <c r="H3091" s="14">
        <v>0.13075929750140999</v>
      </c>
      <c r="I3091" s="27">
        <f t="shared" si="48"/>
        <v>2355642.3037711792</v>
      </c>
      <c r="J3091">
        <v>5</v>
      </c>
      <c r="K3091" t="b">
        <v>0</v>
      </c>
    </row>
    <row r="3092" spans="1:11" ht="16" x14ac:dyDescent="0.2">
      <c r="A3092" s="16">
        <v>45753</v>
      </c>
      <c r="B3092" t="s">
        <v>18</v>
      </c>
      <c r="C3092" t="s">
        <v>39</v>
      </c>
      <c r="D3092" t="s">
        <v>50</v>
      </c>
      <c r="E3092" t="s">
        <v>7643</v>
      </c>
      <c r="F3092">
        <v>1</v>
      </c>
      <c r="G3092" s="15">
        <v>2710000</v>
      </c>
      <c r="H3092" s="14">
        <v>0.13075929750140999</v>
      </c>
      <c r="I3092" s="27">
        <f t="shared" si="48"/>
        <v>2355642.3037711792</v>
      </c>
      <c r="J3092">
        <v>4.8</v>
      </c>
      <c r="K3092" t="b">
        <v>0</v>
      </c>
    </row>
    <row r="3093" spans="1:11" ht="16" x14ac:dyDescent="0.2">
      <c r="A3093" s="16">
        <v>45754</v>
      </c>
      <c r="B3093" t="s">
        <v>18</v>
      </c>
      <c r="C3093" t="s">
        <v>45</v>
      </c>
      <c r="D3093" t="s">
        <v>35</v>
      </c>
      <c r="E3093" t="s">
        <v>7637</v>
      </c>
      <c r="F3093">
        <v>3</v>
      </c>
      <c r="G3093" s="15">
        <v>2710000</v>
      </c>
      <c r="H3093" s="14">
        <v>0.13075929750140999</v>
      </c>
      <c r="I3093" s="27">
        <f t="shared" si="48"/>
        <v>2355642.3037711792</v>
      </c>
      <c r="J3093">
        <v>3.9</v>
      </c>
      <c r="K3093" t="b">
        <v>1</v>
      </c>
    </row>
    <row r="3094" spans="1:11" ht="16" x14ac:dyDescent="0.2">
      <c r="A3094" s="16">
        <v>45754</v>
      </c>
      <c r="B3094" t="s">
        <v>45</v>
      </c>
      <c r="C3094" t="s">
        <v>34</v>
      </c>
      <c r="D3094" t="s">
        <v>46</v>
      </c>
      <c r="E3094" t="s">
        <v>7642</v>
      </c>
      <c r="F3094">
        <v>3</v>
      </c>
      <c r="G3094" s="15">
        <v>2710000</v>
      </c>
      <c r="H3094" s="14">
        <v>0.13075929750140999</v>
      </c>
      <c r="I3094" s="27">
        <f t="shared" si="48"/>
        <v>2355642.3037711792</v>
      </c>
      <c r="J3094">
        <v>5</v>
      </c>
      <c r="K3094" t="b">
        <v>1</v>
      </c>
    </row>
    <row r="3095" spans="1:11" ht="16" x14ac:dyDescent="0.2">
      <c r="A3095" s="16">
        <v>45754</v>
      </c>
      <c r="B3095" t="s">
        <v>45</v>
      </c>
      <c r="C3095" t="s">
        <v>19</v>
      </c>
      <c r="D3095" t="s">
        <v>20</v>
      </c>
      <c r="E3095" t="s">
        <v>7644</v>
      </c>
      <c r="F3095">
        <v>4</v>
      </c>
      <c r="G3095" s="15">
        <v>2710000</v>
      </c>
      <c r="H3095" s="14">
        <v>0.13075929750140999</v>
      </c>
      <c r="I3095" s="27">
        <f t="shared" si="48"/>
        <v>2355642.3037711792</v>
      </c>
      <c r="J3095">
        <v>4.7</v>
      </c>
      <c r="K3095" t="b">
        <v>0</v>
      </c>
    </row>
    <row r="3096" spans="1:11" ht="16" x14ac:dyDescent="0.2">
      <c r="A3096" s="16">
        <v>45755</v>
      </c>
      <c r="B3096" t="s">
        <v>45</v>
      </c>
      <c r="C3096" t="s">
        <v>39</v>
      </c>
      <c r="D3096" t="s">
        <v>35</v>
      </c>
      <c r="E3096" t="s">
        <v>7642</v>
      </c>
      <c r="F3096">
        <v>1</v>
      </c>
      <c r="G3096" s="15">
        <v>2710000</v>
      </c>
      <c r="H3096" s="14">
        <v>0.13075929750140999</v>
      </c>
      <c r="I3096" s="27">
        <f t="shared" si="48"/>
        <v>2355642.3037711792</v>
      </c>
      <c r="J3096">
        <v>4.0999999999999996</v>
      </c>
      <c r="K3096" t="b">
        <v>1</v>
      </c>
    </row>
    <row r="3097" spans="1:11" ht="16" x14ac:dyDescent="0.2">
      <c r="A3097" s="16">
        <v>45756</v>
      </c>
      <c r="B3097" t="s">
        <v>45</v>
      </c>
      <c r="C3097" t="s">
        <v>19</v>
      </c>
      <c r="D3097" t="s">
        <v>20</v>
      </c>
      <c r="E3097" t="s">
        <v>7642</v>
      </c>
      <c r="F3097">
        <v>2</v>
      </c>
      <c r="G3097" s="15">
        <v>2710000</v>
      </c>
      <c r="H3097" s="14">
        <v>0.13075929750140999</v>
      </c>
      <c r="I3097" s="27">
        <f t="shared" si="48"/>
        <v>2355642.3037711792</v>
      </c>
      <c r="J3097">
        <v>4</v>
      </c>
      <c r="K3097" t="b">
        <v>1</v>
      </c>
    </row>
    <row r="3098" spans="1:11" ht="16" x14ac:dyDescent="0.2">
      <c r="A3098" s="16">
        <v>45756</v>
      </c>
      <c r="B3098" t="s">
        <v>33</v>
      </c>
      <c r="C3098" t="s">
        <v>39</v>
      </c>
      <c r="D3098" t="s">
        <v>50</v>
      </c>
      <c r="E3098" t="s">
        <v>7637</v>
      </c>
      <c r="F3098">
        <v>3</v>
      </c>
      <c r="G3098" s="15">
        <v>2710000</v>
      </c>
      <c r="H3098" s="14">
        <v>0.13075929750140999</v>
      </c>
      <c r="I3098" s="27">
        <f t="shared" si="48"/>
        <v>2355642.3037711792</v>
      </c>
      <c r="J3098">
        <v>4.4000000000000004</v>
      </c>
      <c r="K3098" t="b">
        <v>1</v>
      </c>
    </row>
    <row r="3099" spans="1:11" ht="16" x14ac:dyDescent="0.2">
      <c r="A3099" s="16">
        <v>45757</v>
      </c>
      <c r="B3099" t="s">
        <v>33</v>
      </c>
      <c r="C3099" t="s">
        <v>34</v>
      </c>
      <c r="D3099" t="s">
        <v>20</v>
      </c>
      <c r="E3099" t="s">
        <v>7642</v>
      </c>
      <c r="F3099">
        <v>1</v>
      </c>
      <c r="G3099" s="15">
        <v>2710000</v>
      </c>
      <c r="H3099" s="14">
        <v>0.13075929750140999</v>
      </c>
      <c r="I3099" s="27">
        <f t="shared" si="48"/>
        <v>2355642.3037711792</v>
      </c>
      <c r="J3099">
        <v>4.8</v>
      </c>
      <c r="K3099" t="b">
        <v>1</v>
      </c>
    </row>
    <row r="3100" spans="1:11" ht="16" x14ac:dyDescent="0.2">
      <c r="A3100" s="16">
        <v>45757</v>
      </c>
      <c r="B3100" t="s">
        <v>45</v>
      </c>
      <c r="C3100" t="s">
        <v>39</v>
      </c>
      <c r="D3100" t="s">
        <v>20</v>
      </c>
      <c r="E3100" t="s">
        <v>99</v>
      </c>
      <c r="F3100">
        <v>2</v>
      </c>
      <c r="G3100" s="15">
        <v>2710000</v>
      </c>
      <c r="H3100" s="14">
        <v>0.13075929750140999</v>
      </c>
      <c r="I3100" s="27">
        <f t="shared" si="48"/>
        <v>2355642.3037711792</v>
      </c>
      <c r="J3100">
        <v>4</v>
      </c>
      <c r="K3100" t="b">
        <v>1</v>
      </c>
    </row>
    <row r="3101" spans="1:11" ht="16" x14ac:dyDescent="0.2">
      <c r="A3101" s="16">
        <v>45757</v>
      </c>
      <c r="B3101" t="s">
        <v>18</v>
      </c>
      <c r="C3101" t="s">
        <v>68</v>
      </c>
      <c r="D3101" t="s">
        <v>35</v>
      </c>
      <c r="E3101" t="s">
        <v>7641</v>
      </c>
      <c r="F3101">
        <v>3</v>
      </c>
      <c r="G3101" s="15">
        <v>2710000</v>
      </c>
      <c r="H3101" s="14">
        <v>0.13075929750140999</v>
      </c>
      <c r="I3101" s="27">
        <f t="shared" si="48"/>
        <v>2355642.3037711792</v>
      </c>
      <c r="J3101">
        <v>4</v>
      </c>
      <c r="K3101" t="b">
        <v>1</v>
      </c>
    </row>
    <row r="3102" spans="1:11" ht="16" x14ac:dyDescent="0.2">
      <c r="A3102" s="16">
        <v>45757</v>
      </c>
      <c r="B3102" t="s">
        <v>45</v>
      </c>
      <c r="C3102" t="s">
        <v>25</v>
      </c>
      <c r="D3102" t="s">
        <v>20</v>
      </c>
      <c r="E3102" t="s">
        <v>57</v>
      </c>
      <c r="F3102">
        <v>1</v>
      </c>
      <c r="G3102" s="15">
        <v>2710000</v>
      </c>
      <c r="H3102" s="14">
        <v>0.13075929750140999</v>
      </c>
      <c r="I3102" s="27">
        <f t="shared" si="48"/>
        <v>2355642.3037711792</v>
      </c>
      <c r="J3102">
        <v>4.2</v>
      </c>
      <c r="K3102" t="b">
        <v>1</v>
      </c>
    </row>
    <row r="3103" spans="1:11" ht="16" x14ac:dyDescent="0.2">
      <c r="A3103" s="16">
        <v>45757</v>
      </c>
      <c r="B3103" t="s">
        <v>45</v>
      </c>
      <c r="C3103" t="s">
        <v>39</v>
      </c>
      <c r="D3103" t="s">
        <v>35</v>
      </c>
      <c r="E3103" t="s">
        <v>7642</v>
      </c>
      <c r="F3103">
        <v>1</v>
      </c>
      <c r="G3103" s="15">
        <v>2710000</v>
      </c>
      <c r="H3103" s="14">
        <v>0.13075929750140999</v>
      </c>
      <c r="I3103" s="27">
        <f t="shared" si="48"/>
        <v>2355642.3037711792</v>
      </c>
      <c r="J3103">
        <v>3.7</v>
      </c>
      <c r="K3103" t="b">
        <v>0</v>
      </c>
    </row>
    <row r="3104" spans="1:11" ht="16" x14ac:dyDescent="0.2">
      <c r="A3104" s="16">
        <v>45757</v>
      </c>
      <c r="B3104" t="s">
        <v>18</v>
      </c>
      <c r="C3104" t="s">
        <v>39</v>
      </c>
      <c r="D3104" t="s">
        <v>50</v>
      </c>
      <c r="E3104" t="s">
        <v>7641</v>
      </c>
      <c r="F3104">
        <v>1</v>
      </c>
      <c r="G3104" s="15">
        <v>2710000</v>
      </c>
      <c r="H3104" s="14">
        <v>0.13075929750140999</v>
      </c>
      <c r="I3104" s="27">
        <f t="shared" si="48"/>
        <v>2355642.3037711792</v>
      </c>
      <c r="J3104">
        <v>4.0999999999999996</v>
      </c>
      <c r="K3104" t="b">
        <v>1</v>
      </c>
    </row>
    <row r="3105" spans="1:11" ht="16" x14ac:dyDescent="0.2">
      <c r="A3105" s="16">
        <v>45757</v>
      </c>
      <c r="B3105" t="s">
        <v>18</v>
      </c>
      <c r="C3105" t="s">
        <v>34</v>
      </c>
      <c r="D3105" t="s">
        <v>35</v>
      </c>
      <c r="E3105" t="s">
        <v>7638</v>
      </c>
      <c r="F3105">
        <v>5</v>
      </c>
      <c r="G3105" s="15">
        <v>2710000</v>
      </c>
      <c r="H3105" s="14">
        <v>0.13075929750140999</v>
      </c>
      <c r="I3105" s="27">
        <f t="shared" si="48"/>
        <v>2355642.3037711792</v>
      </c>
      <c r="J3105">
        <v>4.8</v>
      </c>
      <c r="K3105" t="b">
        <v>1</v>
      </c>
    </row>
    <row r="3106" spans="1:11" ht="16" x14ac:dyDescent="0.2">
      <c r="A3106" s="16">
        <v>45757</v>
      </c>
      <c r="B3106" t="s">
        <v>18</v>
      </c>
      <c r="C3106" t="s">
        <v>34</v>
      </c>
      <c r="D3106" t="s">
        <v>50</v>
      </c>
      <c r="E3106" t="s">
        <v>7643</v>
      </c>
      <c r="F3106">
        <v>3</v>
      </c>
      <c r="G3106" s="15">
        <v>2710000</v>
      </c>
      <c r="H3106" s="14">
        <v>0.13075929750140999</v>
      </c>
      <c r="I3106" s="27">
        <f t="shared" si="48"/>
        <v>2355642.3037711792</v>
      </c>
      <c r="J3106">
        <v>4.4000000000000004</v>
      </c>
      <c r="K3106" t="b">
        <v>0</v>
      </c>
    </row>
    <row r="3107" spans="1:11" ht="16" x14ac:dyDescent="0.2">
      <c r="A3107" s="16">
        <v>45758</v>
      </c>
      <c r="B3107" t="s">
        <v>29</v>
      </c>
      <c r="C3107" t="s">
        <v>34</v>
      </c>
      <c r="D3107" t="s">
        <v>20</v>
      </c>
      <c r="E3107" t="s">
        <v>99</v>
      </c>
      <c r="F3107">
        <v>1</v>
      </c>
      <c r="G3107" s="15">
        <v>2710000</v>
      </c>
      <c r="H3107" s="14">
        <v>0.13075929750140999</v>
      </c>
      <c r="I3107" s="27">
        <f t="shared" si="48"/>
        <v>2355642.3037711792</v>
      </c>
      <c r="J3107">
        <v>3.7</v>
      </c>
      <c r="K3107" t="b">
        <v>1</v>
      </c>
    </row>
    <row r="3108" spans="1:11" ht="16" x14ac:dyDescent="0.2">
      <c r="A3108" s="16">
        <v>45758</v>
      </c>
      <c r="B3108" t="s">
        <v>45</v>
      </c>
      <c r="C3108" t="s">
        <v>34</v>
      </c>
      <c r="D3108" t="s">
        <v>20</v>
      </c>
      <c r="E3108" t="s">
        <v>7637</v>
      </c>
      <c r="F3108">
        <v>1</v>
      </c>
      <c r="G3108" s="15">
        <v>2710000</v>
      </c>
      <c r="H3108" s="14">
        <v>0.13075929750140999</v>
      </c>
      <c r="I3108" s="27">
        <f t="shared" si="48"/>
        <v>2355642.3037711792</v>
      </c>
      <c r="J3108">
        <v>3.9</v>
      </c>
      <c r="K3108" t="b">
        <v>1</v>
      </c>
    </row>
    <row r="3109" spans="1:11" ht="16" x14ac:dyDescent="0.2">
      <c r="A3109" s="16">
        <v>45759</v>
      </c>
      <c r="B3109" t="s">
        <v>33</v>
      </c>
      <c r="C3109" t="s">
        <v>19</v>
      </c>
      <c r="D3109" t="s">
        <v>20</v>
      </c>
      <c r="E3109" t="s">
        <v>7638</v>
      </c>
      <c r="F3109">
        <v>1</v>
      </c>
      <c r="G3109" s="15">
        <v>2710000</v>
      </c>
      <c r="H3109" s="14">
        <v>0.13075929750140999</v>
      </c>
      <c r="I3109" s="27">
        <f t="shared" si="48"/>
        <v>2355642.3037711792</v>
      </c>
      <c r="J3109">
        <v>5</v>
      </c>
      <c r="K3109" t="b">
        <v>1</v>
      </c>
    </row>
    <row r="3110" spans="1:11" ht="16" x14ac:dyDescent="0.2">
      <c r="A3110" s="16">
        <v>45759</v>
      </c>
      <c r="B3110" t="s">
        <v>45</v>
      </c>
      <c r="C3110" t="s">
        <v>19</v>
      </c>
      <c r="D3110" t="s">
        <v>20</v>
      </c>
      <c r="E3110" t="s">
        <v>7643</v>
      </c>
      <c r="F3110">
        <v>1</v>
      </c>
      <c r="G3110" s="15">
        <v>2710000</v>
      </c>
      <c r="H3110" s="14">
        <v>0.13075929750140999</v>
      </c>
      <c r="I3110" s="27">
        <f t="shared" si="48"/>
        <v>2355642.3037711792</v>
      </c>
      <c r="J3110">
        <v>4.4000000000000004</v>
      </c>
      <c r="K3110" t="b">
        <v>0</v>
      </c>
    </row>
    <row r="3111" spans="1:11" ht="16" x14ac:dyDescent="0.2">
      <c r="A3111" s="16">
        <v>45759</v>
      </c>
      <c r="B3111" t="s">
        <v>18</v>
      </c>
      <c r="C3111" t="s">
        <v>34</v>
      </c>
      <c r="D3111" t="s">
        <v>20</v>
      </c>
      <c r="E3111" t="s">
        <v>7644</v>
      </c>
      <c r="F3111">
        <v>1</v>
      </c>
      <c r="G3111" s="15">
        <v>2710000</v>
      </c>
      <c r="H3111" s="14">
        <v>0.13075929750140999</v>
      </c>
      <c r="I3111" s="27">
        <f t="shared" si="48"/>
        <v>2355642.3037711792</v>
      </c>
      <c r="J3111">
        <v>3.7</v>
      </c>
      <c r="K3111" t="b">
        <v>0</v>
      </c>
    </row>
    <row r="3112" spans="1:11" ht="16" x14ac:dyDescent="0.2">
      <c r="A3112" s="16">
        <v>45760</v>
      </c>
      <c r="B3112" t="s">
        <v>33</v>
      </c>
      <c r="C3112" t="s">
        <v>25</v>
      </c>
      <c r="D3112" t="s">
        <v>20</v>
      </c>
      <c r="E3112" t="s">
        <v>7638</v>
      </c>
      <c r="F3112">
        <v>1</v>
      </c>
      <c r="G3112" s="15">
        <v>2710000</v>
      </c>
      <c r="H3112" s="14">
        <v>0.13075929750140999</v>
      </c>
      <c r="I3112" s="27">
        <f t="shared" si="48"/>
        <v>2355642.3037711792</v>
      </c>
      <c r="J3112">
        <v>4.5999999999999996</v>
      </c>
      <c r="K3112" t="b">
        <v>1</v>
      </c>
    </row>
    <row r="3113" spans="1:11" ht="16" x14ac:dyDescent="0.2">
      <c r="A3113" s="16">
        <v>45760</v>
      </c>
      <c r="B3113" t="s">
        <v>45</v>
      </c>
      <c r="C3113" t="s">
        <v>68</v>
      </c>
      <c r="D3113" t="s">
        <v>20</v>
      </c>
      <c r="E3113" t="s">
        <v>7641</v>
      </c>
      <c r="F3113">
        <v>1</v>
      </c>
      <c r="G3113" s="15">
        <v>2710000</v>
      </c>
      <c r="H3113" s="14">
        <v>0.13075929750140999</v>
      </c>
      <c r="I3113" s="27">
        <f t="shared" si="48"/>
        <v>2355642.3037711792</v>
      </c>
      <c r="J3113">
        <v>4.5</v>
      </c>
      <c r="K3113" t="b">
        <v>1</v>
      </c>
    </row>
    <row r="3114" spans="1:11" ht="16" x14ac:dyDescent="0.2">
      <c r="A3114" s="16">
        <v>45760</v>
      </c>
      <c r="B3114" t="s">
        <v>45</v>
      </c>
      <c r="C3114" t="s">
        <v>19</v>
      </c>
      <c r="D3114" t="s">
        <v>50</v>
      </c>
      <c r="E3114" t="s">
        <v>7641</v>
      </c>
      <c r="F3114">
        <v>1</v>
      </c>
      <c r="G3114" s="15">
        <v>2710000</v>
      </c>
      <c r="H3114" s="14">
        <v>0.13075929750140999</v>
      </c>
      <c r="I3114" s="27">
        <f t="shared" si="48"/>
        <v>2355642.3037711792</v>
      </c>
      <c r="J3114">
        <v>4.4000000000000004</v>
      </c>
      <c r="K3114" t="b">
        <v>1</v>
      </c>
    </row>
    <row r="3115" spans="1:11" ht="16" x14ac:dyDescent="0.2">
      <c r="A3115" s="16">
        <v>45760</v>
      </c>
      <c r="B3115" t="s">
        <v>29</v>
      </c>
      <c r="C3115" t="s">
        <v>34</v>
      </c>
      <c r="D3115" t="s">
        <v>50</v>
      </c>
      <c r="E3115" t="s">
        <v>7640</v>
      </c>
      <c r="F3115">
        <v>1</v>
      </c>
      <c r="G3115" s="15">
        <v>2710000</v>
      </c>
      <c r="H3115" s="14">
        <v>0.13075929750140999</v>
      </c>
      <c r="I3115" s="27">
        <f t="shared" si="48"/>
        <v>2355642.3037711792</v>
      </c>
      <c r="J3115">
        <v>4</v>
      </c>
      <c r="K3115" t="b">
        <v>1</v>
      </c>
    </row>
    <row r="3116" spans="1:11" ht="16" x14ac:dyDescent="0.2">
      <c r="A3116" s="16">
        <v>45760</v>
      </c>
      <c r="B3116" t="s">
        <v>29</v>
      </c>
      <c r="C3116" t="s">
        <v>19</v>
      </c>
      <c r="D3116" t="s">
        <v>20</v>
      </c>
      <c r="E3116" t="s">
        <v>7638</v>
      </c>
      <c r="F3116">
        <v>2</v>
      </c>
      <c r="G3116" s="15">
        <v>2710000</v>
      </c>
      <c r="H3116" s="14">
        <v>0.13075929750140999</v>
      </c>
      <c r="I3116" s="27">
        <f t="shared" si="48"/>
        <v>2355642.3037711792</v>
      </c>
      <c r="J3116">
        <v>4.2</v>
      </c>
      <c r="K3116" t="b">
        <v>1</v>
      </c>
    </row>
    <row r="3117" spans="1:11" ht="16" x14ac:dyDescent="0.2">
      <c r="A3117" s="16">
        <v>45761</v>
      </c>
      <c r="B3117" t="s">
        <v>33</v>
      </c>
      <c r="C3117" t="s">
        <v>34</v>
      </c>
      <c r="D3117" t="s">
        <v>50</v>
      </c>
      <c r="E3117" t="s">
        <v>7637</v>
      </c>
      <c r="F3117">
        <v>3</v>
      </c>
      <c r="G3117" s="15">
        <v>2710000</v>
      </c>
      <c r="H3117" s="14">
        <v>0.13075929750140999</v>
      </c>
      <c r="I3117" s="27">
        <f t="shared" si="48"/>
        <v>2355642.3037711792</v>
      </c>
      <c r="J3117">
        <v>3.9</v>
      </c>
      <c r="K3117" t="b">
        <v>1</v>
      </c>
    </row>
    <row r="3118" spans="1:11" ht="16" x14ac:dyDescent="0.2">
      <c r="A3118" s="16">
        <v>45761</v>
      </c>
      <c r="B3118" t="s">
        <v>45</v>
      </c>
      <c r="C3118" t="s">
        <v>25</v>
      </c>
      <c r="D3118" t="s">
        <v>35</v>
      </c>
      <c r="E3118" t="s">
        <v>7637</v>
      </c>
      <c r="F3118">
        <v>2</v>
      </c>
      <c r="G3118" s="15">
        <v>2710000</v>
      </c>
      <c r="H3118" s="14">
        <v>0.13075929750140999</v>
      </c>
      <c r="I3118" s="27">
        <f t="shared" si="48"/>
        <v>2355642.3037711792</v>
      </c>
      <c r="J3118">
        <v>3.8</v>
      </c>
      <c r="K3118" t="b">
        <v>1</v>
      </c>
    </row>
    <row r="3119" spans="1:11" ht="16" x14ac:dyDescent="0.2">
      <c r="A3119" s="16">
        <v>45762</v>
      </c>
      <c r="B3119" t="s">
        <v>18</v>
      </c>
      <c r="C3119" t="s">
        <v>34</v>
      </c>
      <c r="D3119" t="s">
        <v>20</v>
      </c>
      <c r="E3119" t="s">
        <v>7643</v>
      </c>
      <c r="F3119">
        <v>1</v>
      </c>
      <c r="G3119" s="15">
        <v>2710000</v>
      </c>
      <c r="H3119" s="14">
        <v>0.13075929750140999</v>
      </c>
      <c r="I3119" s="27">
        <f t="shared" si="48"/>
        <v>2355642.3037711792</v>
      </c>
      <c r="J3119">
        <v>4.3</v>
      </c>
      <c r="K3119" t="b">
        <v>1</v>
      </c>
    </row>
    <row r="3120" spans="1:11" ht="16" x14ac:dyDescent="0.2">
      <c r="A3120" s="16">
        <v>45762</v>
      </c>
      <c r="B3120" t="s">
        <v>45</v>
      </c>
      <c r="C3120" t="s">
        <v>39</v>
      </c>
      <c r="D3120" t="s">
        <v>20</v>
      </c>
      <c r="E3120" t="s">
        <v>7637</v>
      </c>
      <c r="F3120">
        <v>3</v>
      </c>
      <c r="G3120" s="15">
        <v>2710000</v>
      </c>
      <c r="H3120" s="14">
        <v>0.13075929750140999</v>
      </c>
      <c r="I3120" s="27">
        <f t="shared" si="48"/>
        <v>2355642.3037711792</v>
      </c>
      <c r="J3120">
        <v>3.6</v>
      </c>
      <c r="K3120" t="b">
        <v>1</v>
      </c>
    </row>
    <row r="3121" spans="1:11" ht="16" x14ac:dyDescent="0.2">
      <c r="A3121" s="16">
        <v>45762</v>
      </c>
      <c r="B3121" t="s">
        <v>29</v>
      </c>
      <c r="C3121" t="s">
        <v>68</v>
      </c>
      <c r="D3121" t="s">
        <v>20</v>
      </c>
      <c r="E3121" t="s">
        <v>7641</v>
      </c>
      <c r="F3121">
        <v>1</v>
      </c>
      <c r="G3121" s="15">
        <v>2710000</v>
      </c>
      <c r="H3121" s="14">
        <v>0.13075929750140999</v>
      </c>
      <c r="I3121" s="27">
        <f t="shared" si="48"/>
        <v>2355642.3037711792</v>
      </c>
      <c r="J3121">
        <v>4.8</v>
      </c>
      <c r="K3121" t="b">
        <v>1</v>
      </c>
    </row>
    <row r="3122" spans="1:11" ht="16" x14ac:dyDescent="0.2">
      <c r="A3122" s="16">
        <v>45762</v>
      </c>
      <c r="B3122" t="s">
        <v>33</v>
      </c>
      <c r="C3122" t="s">
        <v>45</v>
      </c>
      <c r="D3122" t="s">
        <v>35</v>
      </c>
      <c r="E3122" t="s">
        <v>99</v>
      </c>
      <c r="F3122">
        <v>3</v>
      </c>
      <c r="G3122" s="15">
        <v>2710000</v>
      </c>
      <c r="H3122" s="14">
        <v>0.13075929750140999</v>
      </c>
      <c r="I3122" s="27">
        <f t="shared" si="48"/>
        <v>2355642.3037711792</v>
      </c>
      <c r="J3122">
        <v>4.3</v>
      </c>
      <c r="K3122" t="b">
        <v>1</v>
      </c>
    </row>
    <row r="3123" spans="1:11" ht="16" x14ac:dyDescent="0.2">
      <c r="A3123" s="16">
        <v>45763</v>
      </c>
      <c r="B3123" t="s">
        <v>29</v>
      </c>
      <c r="C3123" t="s">
        <v>34</v>
      </c>
      <c r="D3123" t="s">
        <v>35</v>
      </c>
      <c r="E3123" t="s">
        <v>7639</v>
      </c>
      <c r="F3123">
        <v>1</v>
      </c>
      <c r="G3123" s="15">
        <v>2710000</v>
      </c>
      <c r="H3123" s="14">
        <v>0.13075929750140999</v>
      </c>
      <c r="I3123" s="27">
        <f t="shared" si="48"/>
        <v>2355642.3037711792</v>
      </c>
      <c r="J3123">
        <v>4.7</v>
      </c>
      <c r="K3123" t="b">
        <v>1</v>
      </c>
    </row>
    <row r="3124" spans="1:11" ht="16" x14ac:dyDescent="0.2">
      <c r="A3124" s="16">
        <v>45763</v>
      </c>
      <c r="B3124" t="s">
        <v>45</v>
      </c>
      <c r="C3124" t="s">
        <v>45</v>
      </c>
      <c r="D3124" t="s">
        <v>35</v>
      </c>
      <c r="E3124" t="s">
        <v>7637</v>
      </c>
      <c r="F3124">
        <v>4</v>
      </c>
      <c r="G3124" s="15">
        <v>2710000</v>
      </c>
      <c r="H3124" s="14">
        <v>0.13075929750140999</v>
      </c>
      <c r="I3124" s="27">
        <f t="shared" si="48"/>
        <v>2355642.3037711792</v>
      </c>
      <c r="J3124">
        <v>4.3</v>
      </c>
      <c r="K3124" t="b">
        <v>1</v>
      </c>
    </row>
    <row r="3125" spans="1:11" ht="16" x14ac:dyDescent="0.2">
      <c r="A3125" s="16">
        <v>45764</v>
      </c>
      <c r="B3125" t="s">
        <v>33</v>
      </c>
      <c r="C3125" t="s">
        <v>34</v>
      </c>
      <c r="D3125" t="s">
        <v>20</v>
      </c>
      <c r="E3125" t="s">
        <v>7638</v>
      </c>
      <c r="F3125">
        <v>2</v>
      </c>
      <c r="G3125" s="15">
        <v>2710000</v>
      </c>
      <c r="H3125" s="14">
        <v>0.13075929750140999</v>
      </c>
      <c r="I3125" s="27">
        <f t="shared" si="48"/>
        <v>2355642.3037711792</v>
      </c>
      <c r="J3125">
        <v>4.3</v>
      </c>
      <c r="K3125" t="b">
        <v>0</v>
      </c>
    </row>
    <row r="3126" spans="1:11" ht="16" x14ac:dyDescent="0.2">
      <c r="A3126" s="16">
        <v>45765</v>
      </c>
      <c r="B3126" t="s">
        <v>45</v>
      </c>
      <c r="C3126" t="s">
        <v>68</v>
      </c>
      <c r="D3126" t="str">
        <f>D3125</f>
        <v>Website</v>
      </c>
      <c r="E3126" t="s">
        <v>7641</v>
      </c>
      <c r="F3126">
        <v>1</v>
      </c>
      <c r="G3126" s="15">
        <v>2710000</v>
      </c>
      <c r="H3126" s="14">
        <v>0.13075929750140999</v>
      </c>
      <c r="I3126" s="27">
        <f t="shared" si="48"/>
        <v>2355642.3037711792</v>
      </c>
      <c r="J3126">
        <v>4.9000000000000004</v>
      </c>
      <c r="K3126" t="b">
        <v>1</v>
      </c>
    </row>
    <row r="3127" spans="1:11" ht="16" x14ac:dyDescent="0.2">
      <c r="A3127" s="16">
        <v>45765</v>
      </c>
      <c r="B3127" t="s">
        <v>33</v>
      </c>
      <c r="C3127" t="s">
        <v>39</v>
      </c>
      <c r="D3127" t="s">
        <v>20</v>
      </c>
      <c r="E3127" t="s">
        <v>57</v>
      </c>
      <c r="F3127">
        <v>2</v>
      </c>
      <c r="G3127" s="15">
        <v>2710000</v>
      </c>
      <c r="H3127" s="14">
        <v>0.13075929750140999</v>
      </c>
      <c r="I3127" s="27">
        <f t="shared" si="48"/>
        <v>2355642.3037711792</v>
      </c>
      <c r="J3127">
        <v>3.3</v>
      </c>
      <c r="K3127" t="b">
        <v>0</v>
      </c>
    </row>
    <row r="3128" spans="1:11" ht="16" x14ac:dyDescent="0.2">
      <c r="A3128" s="16">
        <v>45766</v>
      </c>
      <c r="B3128" t="s">
        <v>33</v>
      </c>
      <c r="C3128" t="s">
        <v>25</v>
      </c>
      <c r="D3128" t="s">
        <v>20</v>
      </c>
      <c r="E3128" t="s">
        <v>7639</v>
      </c>
      <c r="F3128">
        <v>3</v>
      </c>
      <c r="G3128" s="15">
        <v>2710000</v>
      </c>
      <c r="H3128" s="14">
        <v>0.13075929750140999</v>
      </c>
      <c r="I3128" s="27">
        <f t="shared" si="48"/>
        <v>2355642.3037711792</v>
      </c>
      <c r="J3128">
        <v>4.2</v>
      </c>
      <c r="K3128" t="b">
        <v>1</v>
      </c>
    </row>
    <row r="3129" spans="1:11" ht="16" x14ac:dyDescent="0.2">
      <c r="A3129" s="16">
        <v>45766</v>
      </c>
      <c r="B3129" t="s">
        <v>33</v>
      </c>
      <c r="C3129" t="s">
        <v>19</v>
      </c>
      <c r="D3129" t="s">
        <v>50</v>
      </c>
      <c r="E3129" t="s">
        <v>7644</v>
      </c>
      <c r="F3129">
        <v>2</v>
      </c>
      <c r="G3129" s="15">
        <v>2710000</v>
      </c>
      <c r="H3129" s="14">
        <v>0.13075929750140999</v>
      </c>
      <c r="I3129" s="27">
        <f t="shared" si="48"/>
        <v>2355642.3037711792</v>
      </c>
      <c r="J3129">
        <v>4.3</v>
      </c>
      <c r="K3129" t="b">
        <v>0</v>
      </c>
    </row>
    <row r="3130" spans="1:11" ht="16" x14ac:dyDescent="0.2">
      <c r="A3130" s="16">
        <v>45766</v>
      </c>
      <c r="B3130" t="s">
        <v>33</v>
      </c>
      <c r="C3130" t="s">
        <v>34</v>
      </c>
      <c r="D3130" t="str">
        <f>D3129</f>
        <v>Agent</v>
      </c>
      <c r="E3130" t="s">
        <v>7638</v>
      </c>
      <c r="F3130">
        <v>2</v>
      </c>
      <c r="G3130" s="15">
        <v>2710000</v>
      </c>
      <c r="H3130" s="14">
        <v>0.13075929750140999</v>
      </c>
      <c r="I3130" s="27">
        <f t="shared" si="48"/>
        <v>2355642.3037711792</v>
      </c>
      <c r="J3130">
        <v>4</v>
      </c>
      <c r="K3130" t="b">
        <v>1</v>
      </c>
    </row>
    <row r="3131" spans="1:11" ht="16" x14ac:dyDescent="0.2">
      <c r="A3131" s="16">
        <v>45766</v>
      </c>
      <c r="B3131" t="s">
        <v>18</v>
      </c>
      <c r="C3131" t="s">
        <v>34</v>
      </c>
      <c r="D3131" t="s">
        <v>20</v>
      </c>
      <c r="E3131" t="s">
        <v>7637</v>
      </c>
      <c r="F3131">
        <v>2</v>
      </c>
      <c r="G3131" s="15">
        <v>2710000</v>
      </c>
      <c r="H3131" s="14">
        <v>0.13075929750140999</v>
      </c>
      <c r="I3131" s="27">
        <f t="shared" si="48"/>
        <v>2355642.3037711792</v>
      </c>
      <c r="J3131">
        <v>4.0999999999999996</v>
      </c>
      <c r="K3131" t="b">
        <v>1</v>
      </c>
    </row>
    <row r="3132" spans="1:11" ht="16" x14ac:dyDescent="0.2">
      <c r="A3132" s="16">
        <v>45767</v>
      </c>
      <c r="B3132" t="s">
        <v>33</v>
      </c>
      <c r="C3132" t="s">
        <v>25</v>
      </c>
      <c r="D3132" t="s">
        <v>20</v>
      </c>
      <c r="E3132" t="s">
        <v>7637</v>
      </c>
      <c r="F3132">
        <v>1</v>
      </c>
      <c r="G3132" s="15">
        <v>2710000</v>
      </c>
      <c r="H3132" s="14">
        <v>0.13075929750140999</v>
      </c>
      <c r="I3132" s="27">
        <f t="shared" si="48"/>
        <v>2355642.3037711792</v>
      </c>
      <c r="J3132">
        <v>5</v>
      </c>
      <c r="K3132" t="b">
        <v>0</v>
      </c>
    </row>
    <row r="3133" spans="1:11" ht="16" x14ac:dyDescent="0.2">
      <c r="A3133" s="16">
        <v>45767</v>
      </c>
      <c r="B3133" t="s">
        <v>33</v>
      </c>
      <c r="C3133" t="s">
        <v>19</v>
      </c>
      <c r="D3133" t="s">
        <v>35</v>
      </c>
      <c r="E3133" t="s">
        <v>7637</v>
      </c>
      <c r="F3133">
        <v>2</v>
      </c>
      <c r="G3133" s="15">
        <v>2710000</v>
      </c>
      <c r="H3133" s="14">
        <v>0.13075929750140999</v>
      </c>
      <c r="I3133" s="27">
        <f t="shared" si="48"/>
        <v>2355642.3037711792</v>
      </c>
      <c r="J3133">
        <v>4.9000000000000004</v>
      </c>
      <c r="K3133" t="b">
        <v>1</v>
      </c>
    </row>
    <row r="3134" spans="1:11" ht="16" x14ac:dyDescent="0.2">
      <c r="A3134" s="16">
        <v>45768</v>
      </c>
      <c r="B3134" t="s">
        <v>45</v>
      </c>
      <c r="C3134" t="s">
        <v>34</v>
      </c>
      <c r="D3134" t="s">
        <v>20</v>
      </c>
      <c r="E3134" t="s">
        <v>7641</v>
      </c>
      <c r="F3134">
        <v>1</v>
      </c>
      <c r="G3134" s="15">
        <v>2710000</v>
      </c>
      <c r="H3134" s="14">
        <v>0.13075929750140999</v>
      </c>
      <c r="I3134" s="27">
        <f t="shared" si="48"/>
        <v>2355642.3037711792</v>
      </c>
      <c r="J3134">
        <v>4.8</v>
      </c>
      <c r="K3134" t="b">
        <v>1</v>
      </c>
    </row>
    <row r="3135" spans="1:11" ht="16" x14ac:dyDescent="0.2">
      <c r="A3135" s="16">
        <v>45768</v>
      </c>
      <c r="B3135" t="s">
        <v>29</v>
      </c>
      <c r="C3135" t="s">
        <v>25</v>
      </c>
      <c r="D3135" t="s">
        <v>20</v>
      </c>
      <c r="E3135" t="str">
        <f>E3134</f>
        <v>Phú Quốc</v>
      </c>
      <c r="F3135">
        <v>2</v>
      </c>
      <c r="G3135" s="15">
        <v>2710000</v>
      </c>
      <c r="H3135" s="14">
        <v>0.13075929750140999</v>
      </c>
      <c r="I3135" s="27">
        <f t="shared" si="48"/>
        <v>2355642.3037711792</v>
      </c>
      <c r="J3135">
        <v>3.3</v>
      </c>
      <c r="K3135" t="b">
        <v>0</v>
      </c>
    </row>
    <row r="3136" spans="1:11" ht="16" x14ac:dyDescent="0.2">
      <c r="A3136" s="16">
        <v>45768</v>
      </c>
      <c r="B3136" t="s">
        <v>33</v>
      </c>
      <c r="C3136" t="s">
        <v>19</v>
      </c>
      <c r="D3136" t="s">
        <v>20</v>
      </c>
      <c r="E3136" t="s">
        <v>7638</v>
      </c>
      <c r="F3136">
        <v>2</v>
      </c>
      <c r="G3136" s="15">
        <v>2710000</v>
      </c>
      <c r="H3136" s="14">
        <v>0.13075929750140999</v>
      </c>
      <c r="I3136" s="27">
        <f t="shared" si="48"/>
        <v>2355642.3037711792</v>
      </c>
      <c r="J3136">
        <v>4.2</v>
      </c>
      <c r="K3136" t="b">
        <v>1</v>
      </c>
    </row>
    <row r="3137" spans="1:11" ht="16" x14ac:dyDescent="0.2">
      <c r="A3137" s="16">
        <v>45768</v>
      </c>
      <c r="B3137" t="s">
        <v>18</v>
      </c>
      <c r="C3137" t="s">
        <v>25</v>
      </c>
      <c r="D3137" t="s">
        <v>50</v>
      </c>
      <c r="E3137" t="s">
        <v>57</v>
      </c>
      <c r="F3137">
        <v>3</v>
      </c>
      <c r="G3137" s="15">
        <v>2710000</v>
      </c>
      <c r="H3137" s="14">
        <v>0.13075929750140999</v>
      </c>
      <c r="I3137" s="27">
        <f t="shared" si="48"/>
        <v>2355642.3037711792</v>
      </c>
      <c r="J3137">
        <v>5</v>
      </c>
      <c r="K3137" t="b">
        <v>1</v>
      </c>
    </row>
    <row r="3138" spans="1:11" ht="16" x14ac:dyDescent="0.2">
      <c r="A3138" s="16">
        <v>45769</v>
      </c>
      <c r="B3138" t="s">
        <v>18</v>
      </c>
      <c r="C3138" t="s">
        <v>34</v>
      </c>
      <c r="D3138" t="s">
        <v>50</v>
      </c>
      <c r="E3138" t="s">
        <v>7641</v>
      </c>
      <c r="F3138">
        <v>1</v>
      </c>
      <c r="G3138" s="15">
        <v>2710000</v>
      </c>
      <c r="H3138" s="14">
        <v>0.13075929750140999</v>
      </c>
      <c r="I3138" s="27">
        <f t="shared" si="48"/>
        <v>2355642.3037711792</v>
      </c>
      <c r="J3138">
        <v>4.0999999999999996</v>
      </c>
      <c r="K3138" t="b">
        <v>1</v>
      </c>
    </row>
    <row r="3139" spans="1:11" ht="16" x14ac:dyDescent="0.2">
      <c r="A3139" s="16">
        <v>45769</v>
      </c>
      <c r="B3139" t="s">
        <v>45</v>
      </c>
      <c r="C3139" t="s">
        <v>45</v>
      </c>
      <c r="D3139" t="s">
        <v>50</v>
      </c>
      <c r="E3139" t="s">
        <v>7639</v>
      </c>
      <c r="F3139">
        <v>5</v>
      </c>
      <c r="G3139" s="15">
        <v>2710000</v>
      </c>
      <c r="H3139" s="14">
        <v>0.13075929750140999</v>
      </c>
      <c r="I3139" s="27">
        <f t="shared" ref="I3139:I3202" si="49">G3139-G3139*H3139</f>
        <v>2355642.3037711792</v>
      </c>
      <c r="J3139">
        <v>4.5</v>
      </c>
      <c r="K3139" t="b">
        <v>1</v>
      </c>
    </row>
    <row r="3140" spans="1:11" ht="16" x14ac:dyDescent="0.2">
      <c r="A3140" s="16">
        <v>45769</v>
      </c>
      <c r="B3140" t="s">
        <v>45</v>
      </c>
      <c r="C3140" t="s">
        <v>19</v>
      </c>
      <c r="D3140" t="s">
        <v>20</v>
      </c>
      <c r="E3140" t="s">
        <v>7644</v>
      </c>
      <c r="F3140">
        <v>2</v>
      </c>
      <c r="G3140" s="15">
        <v>2710000</v>
      </c>
      <c r="H3140" s="14">
        <v>0.13075929750140999</v>
      </c>
      <c r="I3140" s="27">
        <f t="shared" si="49"/>
        <v>2355642.3037711792</v>
      </c>
      <c r="J3140">
        <v>3.9</v>
      </c>
      <c r="K3140" t="b">
        <v>0</v>
      </c>
    </row>
    <row r="3141" spans="1:11" ht="16" x14ac:dyDescent="0.2">
      <c r="A3141" s="16">
        <v>45770</v>
      </c>
      <c r="B3141" t="s">
        <v>33</v>
      </c>
      <c r="C3141" t="s">
        <v>39</v>
      </c>
      <c r="D3141" t="s">
        <v>35</v>
      </c>
      <c r="E3141" t="s">
        <v>7640</v>
      </c>
      <c r="F3141">
        <v>1</v>
      </c>
      <c r="G3141" s="15">
        <v>2710000</v>
      </c>
      <c r="H3141" s="14">
        <v>0.13075929750140999</v>
      </c>
      <c r="I3141" s="27">
        <f t="shared" si="49"/>
        <v>2355642.3037711792</v>
      </c>
      <c r="J3141">
        <v>4.5</v>
      </c>
      <c r="K3141" t="b">
        <v>0</v>
      </c>
    </row>
    <row r="3142" spans="1:11" ht="16" x14ac:dyDescent="0.2">
      <c r="A3142" s="16">
        <v>45770</v>
      </c>
      <c r="B3142" t="s">
        <v>18</v>
      </c>
      <c r="C3142" t="s">
        <v>19</v>
      </c>
      <c r="D3142" t="s">
        <v>35</v>
      </c>
      <c r="E3142" t="s">
        <v>7641</v>
      </c>
      <c r="F3142">
        <v>3</v>
      </c>
      <c r="G3142" s="15">
        <v>2710000</v>
      </c>
      <c r="H3142" s="14">
        <v>0.13075929750140999</v>
      </c>
      <c r="I3142" s="27">
        <f t="shared" si="49"/>
        <v>2355642.3037711792</v>
      </c>
      <c r="J3142">
        <v>3.7</v>
      </c>
      <c r="K3142" t="b">
        <v>1</v>
      </c>
    </row>
    <row r="3143" spans="1:11" ht="16" x14ac:dyDescent="0.2">
      <c r="A3143" s="16">
        <v>45770</v>
      </c>
      <c r="B3143" t="s">
        <v>33</v>
      </c>
      <c r="C3143" t="s">
        <v>68</v>
      </c>
      <c r="D3143" t="s">
        <v>50</v>
      </c>
      <c r="E3143" t="s">
        <v>7638</v>
      </c>
      <c r="F3143">
        <v>1</v>
      </c>
      <c r="G3143" s="15">
        <v>2710000</v>
      </c>
      <c r="H3143" s="14">
        <v>0.13075929750140999</v>
      </c>
      <c r="I3143" s="27">
        <f t="shared" si="49"/>
        <v>2355642.3037711792</v>
      </c>
      <c r="J3143">
        <v>3.7</v>
      </c>
      <c r="K3143" t="b">
        <v>1</v>
      </c>
    </row>
    <row r="3144" spans="1:11" ht="16" x14ac:dyDescent="0.2">
      <c r="A3144" s="16">
        <v>45770</v>
      </c>
      <c r="B3144" t="s">
        <v>45</v>
      </c>
      <c r="C3144" t="s">
        <v>25</v>
      </c>
      <c r="D3144" t="s">
        <v>20</v>
      </c>
      <c r="E3144" t="s">
        <v>7639</v>
      </c>
      <c r="F3144">
        <v>2</v>
      </c>
      <c r="G3144" s="15">
        <v>2710000</v>
      </c>
      <c r="H3144" s="14">
        <v>0.13075929750140999</v>
      </c>
      <c r="I3144" s="27">
        <f t="shared" si="49"/>
        <v>2355642.3037711792</v>
      </c>
      <c r="J3144">
        <v>3.6</v>
      </c>
      <c r="K3144" t="b">
        <v>1</v>
      </c>
    </row>
    <row r="3145" spans="1:11" ht="16" x14ac:dyDescent="0.2">
      <c r="A3145" s="16">
        <v>45770</v>
      </c>
      <c r="B3145" t="s">
        <v>33</v>
      </c>
      <c r="C3145" t="s">
        <v>45</v>
      </c>
      <c r="D3145" t="s">
        <v>35</v>
      </c>
      <c r="E3145" t="s">
        <v>57</v>
      </c>
      <c r="F3145">
        <v>4</v>
      </c>
      <c r="G3145" s="15">
        <v>2710000</v>
      </c>
      <c r="H3145" s="14">
        <v>0.13075929750140999</v>
      </c>
      <c r="I3145" s="27">
        <f t="shared" si="49"/>
        <v>2355642.3037711792</v>
      </c>
      <c r="J3145">
        <v>4</v>
      </c>
      <c r="K3145" t="b">
        <v>1</v>
      </c>
    </row>
    <row r="3146" spans="1:11" ht="16" x14ac:dyDescent="0.2">
      <c r="A3146" s="16">
        <v>45770</v>
      </c>
      <c r="B3146" t="s">
        <v>45</v>
      </c>
      <c r="C3146" t="s">
        <v>19</v>
      </c>
      <c r="D3146" t="s">
        <v>35</v>
      </c>
      <c r="E3146" t="s">
        <v>7640</v>
      </c>
      <c r="F3146">
        <v>2</v>
      </c>
      <c r="G3146" s="15">
        <v>2710000</v>
      </c>
      <c r="H3146" s="14">
        <v>0.13075929750140999</v>
      </c>
      <c r="I3146" s="27">
        <f t="shared" si="49"/>
        <v>2355642.3037711792</v>
      </c>
      <c r="J3146">
        <v>4.2</v>
      </c>
      <c r="K3146" t="b">
        <v>1</v>
      </c>
    </row>
    <row r="3147" spans="1:11" ht="16" x14ac:dyDescent="0.2">
      <c r="A3147" s="16">
        <v>45770</v>
      </c>
      <c r="B3147" t="s">
        <v>18</v>
      </c>
      <c r="C3147" t="s">
        <v>25</v>
      </c>
      <c r="D3147" t="s">
        <v>35</v>
      </c>
      <c r="E3147" t="s">
        <v>7637</v>
      </c>
      <c r="F3147">
        <v>1</v>
      </c>
      <c r="G3147" s="15">
        <v>2710000</v>
      </c>
      <c r="H3147" s="14">
        <v>0.13075929750140999</v>
      </c>
      <c r="I3147" s="27">
        <f t="shared" si="49"/>
        <v>2355642.3037711792</v>
      </c>
      <c r="J3147">
        <v>4.5999999999999996</v>
      </c>
      <c r="K3147" t="b">
        <v>1</v>
      </c>
    </row>
    <row r="3148" spans="1:11" ht="16" x14ac:dyDescent="0.2">
      <c r="A3148" s="16">
        <v>45771</v>
      </c>
      <c r="B3148" t="s">
        <v>29</v>
      </c>
      <c r="C3148" t="s">
        <v>19</v>
      </c>
      <c r="D3148" t="s">
        <v>20</v>
      </c>
      <c r="E3148" t="s">
        <v>7637</v>
      </c>
      <c r="F3148">
        <v>3</v>
      </c>
      <c r="G3148" s="15">
        <v>2710000</v>
      </c>
      <c r="H3148" s="14">
        <v>0.13075929750140999</v>
      </c>
      <c r="I3148" s="27">
        <f t="shared" si="49"/>
        <v>2355642.3037711792</v>
      </c>
      <c r="J3148">
        <v>4</v>
      </c>
      <c r="K3148" t="b">
        <v>1</v>
      </c>
    </row>
    <row r="3149" spans="1:11" ht="16" x14ac:dyDescent="0.2">
      <c r="A3149" s="16">
        <v>45771</v>
      </c>
      <c r="B3149" t="s">
        <v>18</v>
      </c>
      <c r="C3149" t="s">
        <v>25</v>
      </c>
      <c r="D3149" t="s">
        <v>35</v>
      </c>
      <c r="E3149" t="s">
        <v>7644</v>
      </c>
      <c r="F3149">
        <v>1</v>
      </c>
      <c r="G3149" s="15">
        <v>2710000</v>
      </c>
      <c r="H3149" s="14">
        <v>0.13075929750140999</v>
      </c>
      <c r="I3149" s="27">
        <f t="shared" si="49"/>
        <v>2355642.3037711792</v>
      </c>
      <c r="J3149">
        <v>4.4000000000000004</v>
      </c>
      <c r="K3149" t="b">
        <v>1</v>
      </c>
    </row>
    <row r="3150" spans="1:11" ht="16" x14ac:dyDescent="0.2">
      <c r="A3150" s="16">
        <v>45771</v>
      </c>
      <c r="B3150" t="s">
        <v>29</v>
      </c>
      <c r="C3150" t="s">
        <v>39</v>
      </c>
      <c r="D3150" t="s">
        <v>50</v>
      </c>
      <c r="E3150" t="s">
        <v>7639</v>
      </c>
      <c r="F3150">
        <v>1</v>
      </c>
      <c r="G3150" s="15">
        <v>2710000</v>
      </c>
      <c r="H3150" s="14">
        <v>0.13075929750140999</v>
      </c>
      <c r="I3150" s="27">
        <f t="shared" si="49"/>
        <v>2355642.3037711792</v>
      </c>
      <c r="J3150">
        <v>4.4000000000000004</v>
      </c>
      <c r="K3150" t="b">
        <v>1</v>
      </c>
    </row>
    <row r="3151" spans="1:11" ht="16" x14ac:dyDescent="0.2">
      <c r="A3151" s="16">
        <v>45771</v>
      </c>
      <c r="B3151" t="s">
        <v>18</v>
      </c>
      <c r="C3151" t="s">
        <v>34</v>
      </c>
      <c r="D3151" t="s">
        <v>20</v>
      </c>
      <c r="E3151" t="s">
        <v>7644</v>
      </c>
      <c r="F3151">
        <v>1</v>
      </c>
      <c r="G3151" s="15">
        <v>2710000</v>
      </c>
      <c r="H3151" s="14">
        <v>0.13075929750140999</v>
      </c>
      <c r="I3151" s="27">
        <f t="shared" si="49"/>
        <v>2355642.3037711792</v>
      </c>
      <c r="J3151">
        <v>3.7</v>
      </c>
      <c r="K3151" t="b">
        <v>1</v>
      </c>
    </row>
    <row r="3152" spans="1:11" ht="16" x14ac:dyDescent="0.2">
      <c r="A3152" s="16">
        <v>45772</v>
      </c>
      <c r="B3152" t="s">
        <v>18</v>
      </c>
      <c r="C3152" t="s">
        <v>34</v>
      </c>
      <c r="D3152" t="s">
        <v>20</v>
      </c>
      <c r="E3152" t="s">
        <v>7644</v>
      </c>
      <c r="F3152">
        <v>2</v>
      </c>
      <c r="G3152" s="15">
        <v>2710000</v>
      </c>
      <c r="H3152" s="14">
        <v>0.13075929750140999</v>
      </c>
      <c r="I3152" s="27">
        <f t="shared" si="49"/>
        <v>2355642.3037711792</v>
      </c>
      <c r="J3152">
        <v>3.6</v>
      </c>
      <c r="K3152" t="b">
        <v>1</v>
      </c>
    </row>
    <row r="3153" spans="1:11" ht="16" x14ac:dyDescent="0.2">
      <c r="A3153" s="16">
        <v>45772</v>
      </c>
      <c r="B3153" t="s">
        <v>45</v>
      </c>
      <c r="C3153" t="s">
        <v>68</v>
      </c>
      <c r="D3153" t="s">
        <v>20</v>
      </c>
      <c r="E3153" t="s">
        <v>57</v>
      </c>
      <c r="F3153">
        <v>2</v>
      </c>
      <c r="G3153" s="15">
        <v>2710000</v>
      </c>
      <c r="H3153" s="14">
        <v>0.13075929750140999</v>
      </c>
      <c r="I3153" s="27">
        <f t="shared" si="49"/>
        <v>2355642.3037711792</v>
      </c>
      <c r="J3153">
        <v>4.5999999999999996</v>
      </c>
      <c r="K3153" t="b">
        <v>1</v>
      </c>
    </row>
    <row r="3154" spans="1:11" ht="16" x14ac:dyDescent="0.2">
      <c r="A3154" s="16">
        <v>45772</v>
      </c>
      <c r="B3154" t="s">
        <v>18</v>
      </c>
      <c r="C3154" t="s">
        <v>34</v>
      </c>
      <c r="D3154" t="s">
        <v>35</v>
      </c>
      <c r="E3154" t="s">
        <v>7637</v>
      </c>
      <c r="F3154">
        <v>1</v>
      </c>
      <c r="G3154" s="15">
        <v>2710000</v>
      </c>
      <c r="H3154" s="14">
        <v>0.13075929750140999</v>
      </c>
      <c r="I3154" s="27">
        <f t="shared" si="49"/>
        <v>2355642.3037711792</v>
      </c>
      <c r="J3154">
        <v>4.0999999999999996</v>
      </c>
      <c r="K3154" t="b">
        <v>1</v>
      </c>
    </row>
    <row r="3155" spans="1:11" ht="16" x14ac:dyDescent="0.2">
      <c r="A3155" s="16">
        <v>45772</v>
      </c>
      <c r="B3155" t="s">
        <v>33</v>
      </c>
      <c r="C3155" t="s">
        <v>25</v>
      </c>
      <c r="D3155" t="s">
        <v>20</v>
      </c>
      <c r="E3155" t="s">
        <v>7640</v>
      </c>
      <c r="F3155">
        <v>2</v>
      </c>
      <c r="G3155" s="15">
        <v>2710000</v>
      </c>
      <c r="H3155" s="14">
        <v>0.13075929750140999</v>
      </c>
      <c r="I3155" s="27">
        <f t="shared" si="49"/>
        <v>2355642.3037711792</v>
      </c>
      <c r="J3155">
        <v>4.8</v>
      </c>
      <c r="K3155" t="b">
        <v>1</v>
      </c>
    </row>
    <row r="3156" spans="1:11" ht="16" x14ac:dyDescent="0.2">
      <c r="A3156" s="16">
        <v>45773</v>
      </c>
      <c r="B3156" t="s">
        <v>33</v>
      </c>
      <c r="C3156" t="s">
        <v>25</v>
      </c>
      <c r="D3156" t="s">
        <v>20</v>
      </c>
      <c r="E3156" t="s">
        <v>7640</v>
      </c>
      <c r="F3156">
        <v>1</v>
      </c>
      <c r="G3156" s="15">
        <v>2710000</v>
      </c>
      <c r="H3156" s="14">
        <v>0.13075929750140999</v>
      </c>
      <c r="I3156" s="27">
        <f t="shared" si="49"/>
        <v>2355642.3037711792</v>
      </c>
      <c r="J3156">
        <v>5</v>
      </c>
      <c r="K3156" t="b">
        <v>1</v>
      </c>
    </row>
    <row r="3157" spans="1:11" ht="16" x14ac:dyDescent="0.2">
      <c r="A3157" s="16">
        <v>45773</v>
      </c>
      <c r="B3157" t="s">
        <v>33</v>
      </c>
      <c r="C3157" t="s">
        <v>19</v>
      </c>
      <c r="D3157" t="s">
        <v>20</v>
      </c>
      <c r="E3157" t="s">
        <v>57</v>
      </c>
      <c r="F3157">
        <v>1</v>
      </c>
      <c r="G3157" s="15">
        <v>2710000</v>
      </c>
      <c r="H3157" s="14">
        <v>0.13075929750140999</v>
      </c>
      <c r="I3157" s="27">
        <f t="shared" si="49"/>
        <v>2355642.3037711792</v>
      </c>
      <c r="J3157">
        <v>4.4000000000000004</v>
      </c>
      <c r="K3157" t="b">
        <v>0</v>
      </c>
    </row>
    <row r="3158" spans="1:11" ht="16" x14ac:dyDescent="0.2">
      <c r="A3158" s="16">
        <v>45773</v>
      </c>
      <c r="B3158" t="s">
        <v>18</v>
      </c>
      <c r="C3158" t="s">
        <v>25</v>
      </c>
      <c r="D3158" t="s">
        <v>35</v>
      </c>
      <c r="E3158" t="s">
        <v>57</v>
      </c>
      <c r="F3158">
        <v>1</v>
      </c>
      <c r="G3158" s="15">
        <v>2710000</v>
      </c>
      <c r="H3158" s="14">
        <v>0.13075929750140999</v>
      </c>
      <c r="I3158" s="27">
        <f t="shared" si="49"/>
        <v>2355642.3037711792</v>
      </c>
      <c r="J3158">
        <v>3.6</v>
      </c>
      <c r="K3158" t="b">
        <v>1</v>
      </c>
    </row>
    <row r="3159" spans="1:11" ht="16" x14ac:dyDescent="0.2">
      <c r="A3159" s="16">
        <v>45773</v>
      </c>
      <c r="B3159" t="s">
        <v>18</v>
      </c>
      <c r="C3159" t="s">
        <v>45</v>
      </c>
      <c r="D3159" t="s">
        <v>20</v>
      </c>
      <c r="E3159" t="s">
        <v>7637</v>
      </c>
      <c r="F3159">
        <v>2</v>
      </c>
      <c r="G3159" s="15">
        <v>2710000</v>
      </c>
      <c r="H3159" s="14">
        <v>0.13075929750140999</v>
      </c>
      <c r="I3159" s="27">
        <f t="shared" si="49"/>
        <v>2355642.3037711792</v>
      </c>
      <c r="J3159">
        <v>4.4000000000000004</v>
      </c>
      <c r="K3159" t="b">
        <v>1</v>
      </c>
    </row>
    <row r="3160" spans="1:11" ht="16" x14ac:dyDescent="0.2">
      <c r="A3160" s="16">
        <v>45774</v>
      </c>
      <c r="B3160" t="s">
        <v>18</v>
      </c>
      <c r="C3160" t="s">
        <v>25</v>
      </c>
      <c r="D3160" t="s">
        <v>20</v>
      </c>
      <c r="E3160" t="s">
        <v>7641</v>
      </c>
      <c r="F3160">
        <v>4</v>
      </c>
      <c r="G3160" s="15">
        <v>2710000</v>
      </c>
      <c r="H3160" s="14">
        <v>0.13075929750140999</v>
      </c>
      <c r="I3160" s="27">
        <f t="shared" si="49"/>
        <v>2355642.3037711792</v>
      </c>
      <c r="J3160">
        <v>4.5999999999999996</v>
      </c>
      <c r="K3160" t="b">
        <v>1</v>
      </c>
    </row>
    <row r="3161" spans="1:11" ht="16" x14ac:dyDescent="0.2">
      <c r="A3161" s="16">
        <v>45774</v>
      </c>
      <c r="B3161" t="s">
        <v>18</v>
      </c>
      <c r="C3161" t="s">
        <v>39</v>
      </c>
      <c r="D3161" t="s">
        <v>20</v>
      </c>
      <c r="E3161" t="s">
        <v>7643</v>
      </c>
      <c r="F3161">
        <v>3</v>
      </c>
      <c r="G3161" s="15">
        <v>2710000</v>
      </c>
      <c r="H3161" s="14">
        <v>0.13075929750140999</v>
      </c>
      <c r="I3161" s="27">
        <f t="shared" si="49"/>
        <v>2355642.3037711792</v>
      </c>
      <c r="J3161">
        <v>3.9</v>
      </c>
      <c r="K3161" t="b">
        <v>0</v>
      </c>
    </row>
    <row r="3162" spans="1:11" ht="16" x14ac:dyDescent="0.2">
      <c r="A3162" s="16">
        <v>45775</v>
      </c>
      <c r="B3162" t="s">
        <v>45</v>
      </c>
      <c r="C3162" t="s">
        <v>45</v>
      </c>
      <c r="D3162" t="s">
        <v>50</v>
      </c>
      <c r="E3162" t="s">
        <v>7637</v>
      </c>
      <c r="F3162">
        <v>2</v>
      </c>
      <c r="G3162" s="15">
        <v>2710000</v>
      </c>
      <c r="H3162" s="14">
        <v>0.13075929750140999</v>
      </c>
      <c r="I3162" s="27">
        <f t="shared" si="49"/>
        <v>2355642.3037711792</v>
      </c>
      <c r="J3162">
        <v>4</v>
      </c>
      <c r="K3162" t="b">
        <v>1</v>
      </c>
    </row>
    <row r="3163" spans="1:11" ht="16" x14ac:dyDescent="0.2">
      <c r="A3163" s="16">
        <v>45775</v>
      </c>
      <c r="B3163" t="s">
        <v>45</v>
      </c>
      <c r="C3163" t="s">
        <v>34</v>
      </c>
      <c r="D3163" t="s">
        <v>46</v>
      </c>
      <c r="E3163" t="s">
        <v>7639</v>
      </c>
      <c r="F3163">
        <v>1</v>
      </c>
      <c r="G3163" s="15">
        <v>2710000</v>
      </c>
      <c r="H3163" s="14">
        <v>0.13075929750140999</v>
      </c>
      <c r="I3163" s="27">
        <f t="shared" si="49"/>
        <v>2355642.3037711792</v>
      </c>
      <c r="J3163">
        <v>3.8</v>
      </c>
      <c r="K3163" t="b">
        <v>1</v>
      </c>
    </row>
    <row r="3164" spans="1:11" ht="16" x14ac:dyDescent="0.2">
      <c r="A3164" s="16">
        <v>45775</v>
      </c>
      <c r="B3164" t="s">
        <v>18</v>
      </c>
      <c r="C3164" t="s">
        <v>34</v>
      </c>
      <c r="D3164" t="s">
        <v>20</v>
      </c>
      <c r="E3164" t="s">
        <v>7640</v>
      </c>
      <c r="F3164">
        <v>3</v>
      </c>
      <c r="G3164" s="15">
        <v>2710000</v>
      </c>
      <c r="H3164" s="14">
        <v>0.13075929750140999</v>
      </c>
      <c r="I3164" s="27">
        <f t="shared" si="49"/>
        <v>2355642.3037711792</v>
      </c>
      <c r="J3164">
        <v>4.4000000000000004</v>
      </c>
      <c r="K3164" t="b">
        <v>1</v>
      </c>
    </row>
    <row r="3165" spans="1:11" ht="16" x14ac:dyDescent="0.2">
      <c r="A3165" s="16">
        <v>45776</v>
      </c>
      <c r="B3165" t="s">
        <v>33</v>
      </c>
      <c r="C3165" t="s">
        <v>45</v>
      </c>
      <c r="D3165" t="s">
        <v>20</v>
      </c>
      <c r="E3165" t="s">
        <v>57</v>
      </c>
      <c r="F3165">
        <v>3</v>
      </c>
      <c r="G3165" s="15">
        <v>2710000</v>
      </c>
      <c r="H3165" s="14">
        <v>0.13075929750140999</v>
      </c>
      <c r="I3165" s="27">
        <f t="shared" si="49"/>
        <v>2355642.3037711792</v>
      </c>
      <c r="J3165">
        <v>4.5</v>
      </c>
      <c r="K3165" t="b">
        <v>1</v>
      </c>
    </row>
    <row r="3166" spans="1:11" ht="16" x14ac:dyDescent="0.2">
      <c r="A3166" s="16">
        <v>45776</v>
      </c>
      <c r="B3166" t="s">
        <v>18</v>
      </c>
      <c r="C3166" t="s">
        <v>45</v>
      </c>
      <c r="D3166" t="s">
        <v>35</v>
      </c>
      <c r="E3166" t="s">
        <v>7639</v>
      </c>
      <c r="F3166">
        <v>4</v>
      </c>
      <c r="G3166" s="15">
        <v>2710000</v>
      </c>
      <c r="H3166" s="14">
        <v>0.13075929750140999</v>
      </c>
      <c r="I3166" s="27">
        <f t="shared" si="49"/>
        <v>2355642.3037711792</v>
      </c>
      <c r="J3166">
        <v>3.2</v>
      </c>
      <c r="K3166" t="b">
        <v>1</v>
      </c>
    </row>
    <row r="3167" spans="1:11" ht="16" x14ac:dyDescent="0.2">
      <c r="A3167" s="16">
        <v>45776</v>
      </c>
      <c r="B3167" t="s">
        <v>45</v>
      </c>
      <c r="C3167" t="s">
        <v>68</v>
      </c>
      <c r="D3167" t="s">
        <v>35</v>
      </c>
      <c r="E3167" t="s">
        <v>7638</v>
      </c>
      <c r="F3167">
        <v>1</v>
      </c>
      <c r="G3167" s="15">
        <v>2710000</v>
      </c>
      <c r="H3167" s="14">
        <v>0.13075929750140999</v>
      </c>
      <c r="I3167" s="27">
        <f t="shared" si="49"/>
        <v>2355642.3037711792</v>
      </c>
      <c r="J3167">
        <v>4.4000000000000004</v>
      </c>
      <c r="K3167" t="b">
        <v>1</v>
      </c>
    </row>
    <row r="3168" spans="1:11" ht="16" x14ac:dyDescent="0.2">
      <c r="A3168" s="16">
        <v>45777</v>
      </c>
      <c r="B3168" t="s">
        <v>18</v>
      </c>
      <c r="C3168" t="s">
        <v>45</v>
      </c>
      <c r="D3168" t="s">
        <v>20</v>
      </c>
      <c r="E3168" t="s">
        <v>99</v>
      </c>
      <c r="F3168">
        <v>3</v>
      </c>
      <c r="G3168" s="15">
        <v>2710000</v>
      </c>
      <c r="H3168" s="14">
        <v>0.13075929750140999</v>
      </c>
      <c r="I3168" s="27">
        <f t="shared" si="49"/>
        <v>2355642.3037711792</v>
      </c>
      <c r="J3168">
        <v>4</v>
      </c>
      <c r="K3168" t="b">
        <v>1</v>
      </c>
    </row>
    <row r="3169" spans="1:11" ht="16" x14ac:dyDescent="0.2">
      <c r="A3169" s="16">
        <v>45777</v>
      </c>
      <c r="B3169" t="str">
        <f>B3168</f>
        <v>Young Professional</v>
      </c>
      <c r="C3169" t="s">
        <v>19</v>
      </c>
      <c r="D3169" t="s">
        <v>20</v>
      </c>
      <c r="E3169" t="s">
        <v>99</v>
      </c>
      <c r="F3169">
        <v>3</v>
      </c>
      <c r="G3169" s="15">
        <v>2710000</v>
      </c>
      <c r="H3169" s="14">
        <v>0.13075929750140999</v>
      </c>
      <c r="I3169" s="27">
        <f t="shared" si="49"/>
        <v>2355642.3037711792</v>
      </c>
      <c r="J3169">
        <v>4.0999999999999996</v>
      </c>
      <c r="K3169" t="b">
        <v>1</v>
      </c>
    </row>
    <row r="3170" spans="1:11" ht="16" x14ac:dyDescent="0.2">
      <c r="A3170" s="16">
        <v>45777</v>
      </c>
      <c r="B3170" t="s">
        <v>33</v>
      </c>
      <c r="C3170" t="s">
        <v>34</v>
      </c>
      <c r="D3170" t="s">
        <v>35</v>
      </c>
      <c r="E3170" t="s">
        <v>7638</v>
      </c>
      <c r="F3170">
        <v>2</v>
      </c>
      <c r="G3170" s="15">
        <v>2710000</v>
      </c>
      <c r="H3170" s="14">
        <v>0.13075929750140999</v>
      </c>
      <c r="I3170" s="27">
        <f t="shared" si="49"/>
        <v>2355642.3037711792</v>
      </c>
      <c r="J3170">
        <v>4</v>
      </c>
      <c r="K3170" t="b">
        <v>1</v>
      </c>
    </row>
    <row r="3171" spans="1:11" ht="16" x14ac:dyDescent="0.2">
      <c r="A3171" s="16">
        <v>45779</v>
      </c>
      <c r="B3171" t="s">
        <v>33</v>
      </c>
      <c r="C3171" t="s">
        <v>19</v>
      </c>
      <c r="D3171" t="s">
        <v>20</v>
      </c>
      <c r="E3171" t="s">
        <v>99</v>
      </c>
      <c r="F3171">
        <v>4</v>
      </c>
      <c r="G3171" s="15">
        <v>2710000</v>
      </c>
      <c r="H3171" s="14">
        <v>0.13075929750140999</v>
      </c>
      <c r="I3171" s="27">
        <f t="shared" si="49"/>
        <v>2355642.3037711792</v>
      </c>
      <c r="J3171">
        <v>3.5</v>
      </c>
      <c r="K3171" t="b">
        <v>1</v>
      </c>
    </row>
    <row r="3172" spans="1:11" ht="16" x14ac:dyDescent="0.2">
      <c r="A3172" s="16">
        <v>45779</v>
      </c>
      <c r="B3172" t="s">
        <v>18</v>
      </c>
      <c r="C3172" t="s">
        <v>19</v>
      </c>
      <c r="D3172" t="s">
        <v>50</v>
      </c>
      <c r="E3172" t="s">
        <v>7642</v>
      </c>
      <c r="F3172">
        <v>1</v>
      </c>
      <c r="G3172" s="15">
        <v>2710000</v>
      </c>
      <c r="H3172" s="14">
        <v>0.13075929750140999</v>
      </c>
      <c r="I3172" s="27">
        <f t="shared" si="49"/>
        <v>2355642.3037711792</v>
      </c>
      <c r="J3172">
        <v>4.5</v>
      </c>
      <c r="K3172" t="b">
        <v>0</v>
      </c>
    </row>
    <row r="3173" spans="1:11" ht="16" x14ac:dyDescent="0.2">
      <c r="A3173" s="16">
        <v>45779</v>
      </c>
      <c r="B3173" t="s">
        <v>45</v>
      </c>
      <c r="C3173" t="s">
        <v>34</v>
      </c>
      <c r="D3173" t="s">
        <v>35</v>
      </c>
      <c r="E3173" t="s">
        <v>7641</v>
      </c>
      <c r="F3173">
        <v>1</v>
      </c>
      <c r="G3173" s="15">
        <v>2710000</v>
      </c>
      <c r="H3173" s="14">
        <v>0.13075929750140999</v>
      </c>
      <c r="I3173" s="27">
        <f t="shared" si="49"/>
        <v>2355642.3037711792</v>
      </c>
      <c r="J3173">
        <v>4.7</v>
      </c>
      <c r="K3173" t="b">
        <v>0</v>
      </c>
    </row>
    <row r="3174" spans="1:11" ht="16" x14ac:dyDescent="0.2">
      <c r="A3174" s="16">
        <v>45779</v>
      </c>
      <c r="B3174" t="s">
        <v>18</v>
      </c>
      <c r="C3174" t="s">
        <v>19</v>
      </c>
      <c r="D3174" t="s">
        <v>35</v>
      </c>
      <c r="E3174" t="s">
        <v>7637</v>
      </c>
      <c r="F3174">
        <v>2</v>
      </c>
      <c r="G3174" s="15">
        <v>2710000</v>
      </c>
      <c r="H3174" s="14">
        <v>0.13075929750140999</v>
      </c>
      <c r="I3174" s="27">
        <f t="shared" si="49"/>
        <v>2355642.3037711792</v>
      </c>
      <c r="J3174">
        <v>4.9000000000000004</v>
      </c>
      <c r="K3174" t="b">
        <v>1</v>
      </c>
    </row>
    <row r="3175" spans="1:11" ht="16" x14ac:dyDescent="0.2">
      <c r="A3175" s="16">
        <v>45779</v>
      </c>
      <c r="B3175" t="s">
        <v>18</v>
      </c>
      <c r="C3175" t="s">
        <v>34</v>
      </c>
      <c r="D3175" t="s">
        <v>20</v>
      </c>
      <c r="E3175" t="s">
        <v>57</v>
      </c>
      <c r="F3175">
        <v>1</v>
      </c>
      <c r="G3175" s="15">
        <v>2710000</v>
      </c>
      <c r="H3175" s="14">
        <v>0.13075929750140999</v>
      </c>
      <c r="I3175" s="27">
        <f t="shared" si="49"/>
        <v>2355642.3037711792</v>
      </c>
      <c r="J3175">
        <v>3.4</v>
      </c>
      <c r="K3175" t="b">
        <v>1</v>
      </c>
    </row>
    <row r="3176" spans="1:11" ht="16" x14ac:dyDescent="0.2">
      <c r="A3176" s="16">
        <v>45780</v>
      </c>
      <c r="B3176" t="s">
        <v>45</v>
      </c>
      <c r="C3176" t="s">
        <v>45</v>
      </c>
      <c r="D3176" t="s">
        <v>20</v>
      </c>
      <c r="E3176" t="s">
        <v>7638</v>
      </c>
      <c r="F3176">
        <v>1</v>
      </c>
      <c r="G3176" s="15">
        <v>2710000</v>
      </c>
      <c r="H3176" s="14">
        <v>0.13075929750140999</v>
      </c>
      <c r="I3176" s="27">
        <f t="shared" si="49"/>
        <v>2355642.3037711792</v>
      </c>
      <c r="J3176">
        <v>4.5</v>
      </c>
      <c r="K3176" t="b">
        <v>1</v>
      </c>
    </row>
    <row r="3177" spans="1:11" ht="16" x14ac:dyDescent="0.2">
      <c r="A3177" s="16">
        <v>45780</v>
      </c>
      <c r="B3177" t="s">
        <v>18</v>
      </c>
      <c r="C3177" t="s">
        <v>34</v>
      </c>
      <c r="D3177" t="s">
        <v>20</v>
      </c>
      <c r="E3177" t="s">
        <v>7641</v>
      </c>
      <c r="F3177">
        <v>3</v>
      </c>
      <c r="G3177" s="15">
        <v>2710000</v>
      </c>
      <c r="H3177" s="14">
        <v>0.13075929750140999</v>
      </c>
      <c r="I3177" s="27">
        <f t="shared" si="49"/>
        <v>2355642.3037711792</v>
      </c>
      <c r="J3177">
        <v>4</v>
      </c>
      <c r="K3177" t="b">
        <v>1</v>
      </c>
    </row>
    <row r="3178" spans="1:11" ht="16" x14ac:dyDescent="0.2">
      <c r="A3178" s="16">
        <v>45780</v>
      </c>
      <c r="B3178" t="s">
        <v>29</v>
      </c>
      <c r="C3178" t="s">
        <v>68</v>
      </c>
      <c r="D3178" t="s">
        <v>46</v>
      </c>
      <c r="E3178" t="s">
        <v>7638</v>
      </c>
      <c r="F3178">
        <v>1</v>
      </c>
      <c r="G3178" s="15">
        <v>2710000</v>
      </c>
      <c r="H3178" s="14">
        <v>0.13075929750140999</v>
      </c>
      <c r="I3178" s="27">
        <f t="shared" si="49"/>
        <v>2355642.3037711792</v>
      </c>
      <c r="J3178">
        <v>4.0999999999999996</v>
      </c>
      <c r="K3178" t="b">
        <v>0</v>
      </c>
    </row>
    <row r="3179" spans="1:11" ht="16" x14ac:dyDescent="0.2">
      <c r="A3179" s="16">
        <v>45780</v>
      </c>
      <c r="B3179" t="s">
        <v>29</v>
      </c>
      <c r="C3179" t="s">
        <v>45</v>
      </c>
      <c r="D3179" t="s">
        <v>20</v>
      </c>
      <c r="E3179" t="s">
        <v>7639</v>
      </c>
      <c r="F3179">
        <v>4</v>
      </c>
      <c r="G3179" s="15">
        <v>2710000</v>
      </c>
      <c r="H3179" s="14">
        <v>0.13075929750140999</v>
      </c>
      <c r="I3179" s="27">
        <f t="shared" si="49"/>
        <v>2355642.3037711792</v>
      </c>
      <c r="J3179">
        <v>4.5</v>
      </c>
      <c r="K3179" t="b">
        <v>1</v>
      </c>
    </row>
    <row r="3180" spans="1:11" ht="16" x14ac:dyDescent="0.2">
      <c r="A3180" s="16">
        <v>45781</v>
      </c>
      <c r="B3180" t="s">
        <v>18</v>
      </c>
      <c r="C3180" t="s">
        <v>34</v>
      </c>
      <c r="D3180" t="s">
        <v>35</v>
      </c>
      <c r="E3180" t="s">
        <v>57</v>
      </c>
      <c r="F3180">
        <v>1</v>
      </c>
      <c r="G3180" s="15">
        <v>2710000</v>
      </c>
      <c r="H3180" s="14">
        <v>0.13075929750140999</v>
      </c>
      <c r="I3180" s="27">
        <f t="shared" si="49"/>
        <v>2355642.3037711792</v>
      </c>
      <c r="J3180">
        <v>4.4000000000000004</v>
      </c>
      <c r="K3180" t="b">
        <v>1</v>
      </c>
    </row>
    <row r="3181" spans="1:11" ht="16" x14ac:dyDescent="0.2">
      <c r="A3181" s="16">
        <v>45781</v>
      </c>
      <c r="B3181" t="s">
        <v>18</v>
      </c>
      <c r="C3181" t="s">
        <v>19</v>
      </c>
      <c r="D3181" t="s">
        <v>20</v>
      </c>
      <c r="E3181" t="s">
        <v>7641</v>
      </c>
      <c r="F3181">
        <v>1</v>
      </c>
      <c r="G3181" s="15">
        <v>2710000</v>
      </c>
      <c r="H3181" s="14">
        <v>0.13075929750140999</v>
      </c>
      <c r="I3181" s="27">
        <f t="shared" si="49"/>
        <v>2355642.3037711792</v>
      </c>
      <c r="J3181">
        <v>3.6</v>
      </c>
      <c r="K3181" t="b">
        <v>1</v>
      </c>
    </row>
    <row r="3182" spans="1:11" ht="16" x14ac:dyDescent="0.2">
      <c r="A3182" s="16">
        <v>45781</v>
      </c>
      <c r="B3182" t="s">
        <v>45</v>
      </c>
      <c r="C3182" t="s">
        <v>39</v>
      </c>
      <c r="D3182" t="s">
        <v>50</v>
      </c>
      <c r="E3182" t="s">
        <v>99</v>
      </c>
      <c r="F3182">
        <v>1</v>
      </c>
      <c r="G3182" s="15">
        <v>2710000</v>
      </c>
      <c r="H3182" s="14">
        <v>0.13075929750140999</v>
      </c>
      <c r="I3182" s="27">
        <f t="shared" si="49"/>
        <v>2355642.3037711792</v>
      </c>
      <c r="J3182">
        <v>3.7</v>
      </c>
      <c r="K3182" t="b">
        <v>1</v>
      </c>
    </row>
    <row r="3183" spans="1:11" ht="16" x14ac:dyDescent="0.2">
      <c r="A3183" s="16">
        <v>45782</v>
      </c>
      <c r="B3183" t="s">
        <v>18</v>
      </c>
      <c r="C3183" t="s">
        <v>25</v>
      </c>
      <c r="D3183" t="s">
        <v>20</v>
      </c>
      <c r="E3183" t="s">
        <v>7641</v>
      </c>
      <c r="F3183">
        <v>1</v>
      </c>
      <c r="G3183" s="15">
        <v>2710000</v>
      </c>
      <c r="H3183" s="14">
        <v>0.13075929750140999</v>
      </c>
      <c r="I3183" s="27">
        <f t="shared" si="49"/>
        <v>2355642.3037711792</v>
      </c>
      <c r="J3183">
        <v>4</v>
      </c>
      <c r="K3183" t="b">
        <v>1</v>
      </c>
    </row>
    <row r="3184" spans="1:11" ht="16" x14ac:dyDescent="0.2">
      <c r="A3184" s="16">
        <v>45782</v>
      </c>
      <c r="B3184" t="s">
        <v>18</v>
      </c>
      <c r="C3184" t="s">
        <v>45</v>
      </c>
      <c r="D3184" t="s">
        <v>20</v>
      </c>
      <c r="E3184" t="s">
        <v>99</v>
      </c>
      <c r="F3184">
        <v>5</v>
      </c>
      <c r="G3184" s="15">
        <v>2710000</v>
      </c>
      <c r="H3184" s="14">
        <v>0.13075929750140999</v>
      </c>
      <c r="I3184" s="27">
        <f t="shared" si="49"/>
        <v>2355642.3037711792</v>
      </c>
      <c r="J3184">
        <v>3.5</v>
      </c>
      <c r="K3184" t="b">
        <v>0</v>
      </c>
    </row>
    <row r="3185" spans="1:11" ht="16" x14ac:dyDescent="0.2">
      <c r="A3185" s="16">
        <v>45782</v>
      </c>
      <c r="B3185" t="s">
        <v>18</v>
      </c>
      <c r="C3185" t="s">
        <v>68</v>
      </c>
      <c r="D3185" t="s">
        <v>50</v>
      </c>
      <c r="E3185" t="s">
        <v>57</v>
      </c>
      <c r="F3185">
        <v>1</v>
      </c>
      <c r="G3185" s="15">
        <v>2710000</v>
      </c>
      <c r="H3185" s="14">
        <v>0.13075929750140999</v>
      </c>
      <c r="I3185" s="27">
        <f t="shared" si="49"/>
        <v>2355642.3037711792</v>
      </c>
      <c r="J3185">
        <v>4</v>
      </c>
      <c r="K3185" t="b">
        <v>1</v>
      </c>
    </row>
    <row r="3186" spans="1:11" ht="16" x14ac:dyDescent="0.2">
      <c r="A3186" s="16">
        <v>45782</v>
      </c>
      <c r="B3186" t="s">
        <v>18</v>
      </c>
      <c r="C3186" t="s">
        <v>25</v>
      </c>
      <c r="D3186" t="s">
        <v>20</v>
      </c>
      <c r="E3186" t="s">
        <v>7640</v>
      </c>
      <c r="F3186">
        <v>2</v>
      </c>
      <c r="G3186" s="15">
        <v>2710000</v>
      </c>
      <c r="H3186" s="14">
        <v>0.13075929750140999</v>
      </c>
      <c r="I3186" s="27">
        <f t="shared" si="49"/>
        <v>2355642.3037711792</v>
      </c>
      <c r="J3186">
        <v>4.8</v>
      </c>
      <c r="K3186" t="b">
        <v>1</v>
      </c>
    </row>
    <row r="3187" spans="1:11" ht="16" x14ac:dyDescent="0.2">
      <c r="A3187" s="16">
        <v>45782</v>
      </c>
      <c r="B3187" t="s">
        <v>18</v>
      </c>
      <c r="C3187" t="s">
        <v>39</v>
      </c>
      <c r="D3187" t="s">
        <v>50</v>
      </c>
      <c r="E3187" t="s">
        <v>7644</v>
      </c>
      <c r="F3187">
        <v>1</v>
      </c>
      <c r="G3187" s="15">
        <v>2710000</v>
      </c>
      <c r="H3187" s="14">
        <v>0.13075929750140999</v>
      </c>
      <c r="I3187" s="27">
        <f t="shared" si="49"/>
        <v>2355642.3037711792</v>
      </c>
      <c r="J3187">
        <v>4.0999999999999996</v>
      </c>
      <c r="K3187" t="b">
        <v>1</v>
      </c>
    </row>
    <row r="3188" spans="1:11" ht="16" x14ac:dyDescent="0.2">
      <c r="A3188" s="16">
        <v>45782</v>
      </c>
      <c r="B3188" t="s">
        <v>18</v>
      </c>
      <c r="C3188" t="s">
        <v>34</v>
      </c>
      <c r="D3188" t="s">
        <v>50</v>
      </c>
      <c r="E3188" t="s">
        <v>7639</v>
      </c>
      <c r="F3188">
        <v>1</v>
      </c>
      <c r="G3188" s="15">
        <v>2710000</v>
      </c>
      <c r="H3188" s="14">
        <v>0.13075929750140999</v>
      </c>
      <c r="I3188" s="27">
        <f t="shared" si="49"/>
        <v>2355642.3037711792</v>
      </c>
      <c r="J3188">
        <v>3.8</v>
      </c>
      <c r="K3188" t="b">
        <v>1</v>
      </c>
    </row>
    <row r="3189" spans="1:11" ht="16" x14ac:dyDescent="0.2">
      <c r="A3189" s="16">
        <v>45783</v>
      </c>
      <c r="B3189" t="s">
        <v>18</v>
      </c>
      <c r="C3189" t="s">
        <v>45</v>
      </c>
      <c r="D3189" t="s">
        <v>50</v>
      </c>
      <c r="E3189" t="s">
        <v>7637</v>
      </c>
      <c r="F3189">
        <v>3</v>
      </c>
      <c r="G3189" s="15">
        <v>2710000</v>
      </c>
      <c r="H3189" s="14">
        <v>0.13075929750140999</v>
      </c>
      <c r="I3189" s="27">
        <f t="shared" si="49"/>
        <v>2355642.3037711792</v>
      </c>
      <c r="J3189">
        <v>4.0999999999999996</v>
      </c>
      <c r="K3189" t="b">
        <v>1</v>
      </c>
    </row>
    <row r="3190" spans="1:11" ht="16" x14ac:dyDescent="0.2">
      <c r="A3190" s="16">
        <v>45783</v>
      </c>
      <c r="B3190" t="s">
        <v>33</v>
      </c>
      <c r="C3190" t="s">
        <v>34</v>
      </c>
      <c r="D3190" t="s">
        <v>35</v>
      </c>
      <c r="E3190" t="s">
        <v>7638</v>
      </c>
      <c r="F3190">
        <v>1</v>
      </c>
      <c r="G3190" s="15">
        <v>2710000</v>
      </c>
      <c r="H3190" s="14">
        <v>0.13075929750140999</v>
      </c>
      <c r="I3190" s="27">
        <f t="shared" si="49"/>
        <v>2355642.3037711792</v>
      </c>
      <c r="J3190">
        <v>4.3</v>
      </c>
      <c r="K3190" t="b">
        <v>1</v>
      </c>
    </row>
    <row r="3191" spans="1:11" ht="16" x14ac:dyDescent="0.2">
      <c r="A3191" s="16">
        <v>45783</v>
      </c>
      <c r="B3191" t="s">
        <v>33</v>
      </c>
      <c r="C3191" t="s">
        <v>68</v>
      </c>
      <c r="D3191" t="s">
        <v>20</v>
      </c>
      <c r="E3191" t="s">
        <v>7639</v>
      </c>
      <c r="F3191">
        <v>2</v>
      </c>
      <c r="G3191" s="15">
        <v>2710000</v>
      </c>
      <c r="H3191" s="14">
        <v>0.13075929750140999</v>
      </c>
      <c r="I3191" s="27">
        <f t="shared" si="49"/>
        <v>2355642.3037711792</v>
      </c>
      <c r="J3191">
        <v>3.8</v>
      </c>
      <c r="K3191" t="b">
        <v>1</v>
      </c>
    </row>
    <row r="3192" spans="1:11" ht="16" x14ac:dyDescent="0.2">
      <c r="A3192" s="16">
        <v>45785</v>
      </c>
      <c r="B3192" t="s">
        <v>29</v>
      </c>
      <c r="C3192" t="s">
        <v>34</v>
      </c>
      <c r="D3192" t="s">
        <v>50</v>
      </c>
      <c r="E3192" t="s">
        <v>7640</v>
      </c>
      <c r="F3192">
        <v>2</v>
      </c>
      <c r="G3192" s="15">
        <v>2710000</v>
      </c>
      <c r="H3192" s="14">
        <v>0.13075929750140999</v>
      </c>
      <c r="I3192" s="27">
        <f t="shared" si="49"/>
        <v>2355642.3037711792</v>
      </c>
      <c r="J3192">
        <v>3.9</v>
      </c>
      <c r="K3192" t="b">
        <v>1</v>
      </c>
    </row>
    <row r="3193" spans="1:11" ht="16" x14ac:dyDescent="0.2">
      <c r="A3193" s="16">
        <v>45785</v>
      </c>
      <c r="B3193" t="s">
        <v>29</v>
      </c>
      <c r="C3193" t="s">
        <v>19</v>
      </c>
      <c r="D3193" t="s">
        <v>20</v>
      </c>
      <c r="E3193" t="s">
        <v>7639</v>
      </c>
      <c r="F3193">
        <v>2</v>
      </c>
      <c r="G3193" s="15">
        <v>2710000</v>
      </c>
      <c r="H3193" s="14">
        <v>0.13075929750140999</v>
      </c>
      <c r="I3193" s="27">
        <f t="shared" si="49"/>
        <v>2355642.3037711792</v>
      </c>
      <c r="J3193">
        <v>3</v>
      </c>
      <c r="K3193" t="b">
        <v>0</v>
      </c>
    </row>
    <row r="3194" spans="1:11" ht="16" x14ac:dyDescent="0.2">
      <c r="A3194" s="16">
        <v>45785</v>
      </c>
      <c r="B3194" t="s">
        <v>33</v>
      </c>
      <c r="C3194" t="s">
        <v>25</v>
      </c>
      <c r="D3194" t="s">
        <v>35</v>
      </c>
      <c r="E3194" t="s">
        <v>57</v>
      </c>
      <c r="F3194">
        <v>1</v>
      </c>
      <c r="G3194" s="15">
        <v>2710000</v>
      </c>
      <c r="H3194" s="14">
        <v>0.13075929750140999</v>
      </c>
      <c r="I3194" s="27">
        <f t="shared" si="49"/>
        <v>2355642.3037711792</v>
      </c>
      <c r="J3194">
        <v>4.5</v>
      </c>
      <c r="K3194" t="b">
        <v>1</v>
      </c>
    </row>
    <row r="3195" spans="1:11" ht="16" x14ac:dyDescent="0.2">
      <c r="A3195" s="16">
        <v>45785</v>
      </c>
      <c r="B3195" t="s">
        <v>33</v>
      </c>
      <c r="C3195" t="s">
        <v>45</v>
      </c>
      <c r="D3195" t="s">
        <v>20</v>
      </c>
      <c r="E3195" t="s">
        <v>7637</v>
      </c>
      <c r="F3195">
        <v>1</v>
      </c>
      <c r="G3195" s="15">
        <v>2710000</v>
      </c>
      <c r="H3195" s="14">
        <v>0.13075929750140999</v>
      </c>
      <c r="I3195" s="27">
        <f t="shared" si="49"/>
        <v>2355642.3037711792</v>
      </c>
      <c r="J3195">
        <v>4.2</v>
      </c>
      <c r="K3195" t="b">
        <v>1</v>
      </c>
    </row>
    <row r="3196" spans="1:11" ht="16" x14ac:dyDescent="0.2">
      <c r="A3196" s="16">
        <v>45786</v>
      </c>
      <c r="B3196" t="s">
        <v>45</v>
      </c>
      <c r="C3196" t="s">
        <v>34</v>
      </c>
      <c r="D3196" t="s">
        <v>20</v>
      </c>
      <c r="E3196" t="s">
        <v>7639</v>
      </c>
      <c r="F3196">
        <v>2</v>
      </c>
      <c r="G3196" s="15">
        <v>2710000</v>
      </c>
      <c r="H3196" s="14">
        <v>0.13075929750140999</v>
      </c>
      <c r="I3196" s="27">
        <f t="shared" si="49"/>
        <v>2355642.3037711792</v>
      </c>
      <c r="J3196">
        <v>4.0999999999999996</v>
      </c>
      <c r="K3196" t="b">
        <v>1</v>
      </c>
    </row>
    <row r="3197" spans="1:11" ht="16" x14ac:dyDescent="0.2">
      <c r="A3197" s="16">
        <v>45786</v>
      </c>
      <c r="B3197" t="s">
        <v>45</v>
      </c>
      <c r="C3197" t="s">
        <v>19</v>
      </c>
      <c r="D3197" t="s">
        <v>20</v>
      </c>
      <c r="E3197" t="s">
        <v>7638</v>
      </c>
      <c r="F3197">
        <v>1</v>
      </c>
      <c r="G3197" s="15">
        <v>2710000</v>
      </c>
      <c r="H3197" s="14">
        <v>0.13075929750140999</v>
      </c>
      <c r="I3197" s="27">
        <f t="shared" si="49"/>
        <v>2355642.3037711792</v>
      </c>
      <c r="J3197">
        <v>4.4000000000000004</v>
      </c>
      <c r="K3197" t="b">
        <v>1</v>
      </c>
    </row>
    <row r="3198" spans="1:11" ht="16" x14ac:dyDescent="0.2">
      <c r="A3198" s="16">
        <v>45786</v>
      </c>
      <c r="B3198" t="s">
        <v>45</v>
      </c>
      <c r="C3198" t="s">
        <v>34</v>
      </c>
      <c r="D3198" t="s">
        <v>35</v>
      </c>
      <c r="E3198" t="s">
        <v>7639</v>
      </c>
      <c r="F3198">
        <v>1</v>
      </c>
      <c r="G3198" s="15">
        <v>2710000</v>
      </c>
      <c r="H3198" s="14">
        <v>0.13075929750140999</v>
      </c>
      <c r="I3198" s="27">
        <f t="shared" si="49"/>
        <v>2355642.3037711792</v>
      </c>
      <c r="J3198">
        <v>4.5</v>
      </c>
      <c r="K3198" t="b">
        <v>0</v>
      </c>
    </row>
    <row r="3199" spans="1:11" ht="16" x14ac:dyDescent="0.2">
      <c r="A3199" s="16">
        <v>45787</v>
      </c>
      <c r="B3199" t="s">
        <v>18</v>
      </c>
      <c r="C3199" t="s">
        <v>19</v>
      </c>
      <c r="D3199" t="s">
        <v>50</v>
      </c>
      <c r="E3199" t="s">
        <v>7642</v>
      </c>
      <c r="F3199">
        <v>2</v>
      </c>
      <c r="G3199" s="15">
        <v>2710000</v>
      </c>
      <c r="H3199" s="14">
        <v>0.13075929750140999</v>
      </c>
      <c r="I3199" s="27">
        <f t="shared" si="49"/>
        <v>2355642.3037711792</v>
      </c>
      <c r="J3199">
        <v>4.3</v>
      </c>
      <c r="K3199" t="b">
        <v>1</v>
      </c>
    </row>
    <row r="3200" spans="1:11" ht="16" x14ac:dyDescent="0.2">
      <c r="A3200" s="16">
        <v>45787</v>
      </c>
      <c r="B3200" t="s">
        <v>18</v>
      </c>
      <c r="C3200" t="s">
        <v>45</v>
      </c>
      <c r="D3200" t="s">
        <v>35</v>
      </c>
      <c r="E3200" t="s">
        <v>7642</v>
      </c>
      <c r="F3200">
        <v>5</v>
      </c>
      <c r="G3200" s="15">
        <v>2710000</v>
      </c>
      <c r="H3200" s="14">
        <v>0.13075929750140999</v>
      </c>
      <c r="I3200" s="27">
        <f t="shared" si="49"/>
        <v>2355642.3037711792</v>
      </c>
      <c r="J3200">
        <v>3.9</v>
      </c>
      <c r="K3200" t="b">
        <v>0</v>
      </c>
    </row>
    <row r="3201" spans="1:11" ht="16" x14ac:dyDescent="0.2">
      <c r="A3201" s="16">
        <v>45787</v>
      </c>
      <c r="B3201" t="s">
        <v>45</v>
      </c>
      <c r="C3201" t="s">
        <v>25</v>
      </c>
      <c r="D3201" t="s">
        <v>50</v>
      </c>
      <c r="E3201" t="s">
        <v>7640</v>
      </c>
      <c r="F3201">
        <v>4</v>
      </c>
      <c r="G3201" s="15">
        <v>2710000</v>
      </c>
      <c r="H3201" s="14">
        <v>0.13075929750140999</v>
      </c>
      <c r="I3201" s="27">
        <f t="shared" si="49"/>
        <v>2355642.3037711792</v>
      </c>
      <c r="J3201">
        <v>3.8</v>
      </c>
      <c r="K3201" t="b">
        <v>1</v>
      </c>
    </row>
    <row r="3202" spans="1:11" ht="16" x14ac:dyDescent="0.2">
      <c r="A3202" s="16">
        <v>45788</v>
      </c>
      <c r="B3202" t="s">
        <v>45</v>
      </c>
      <c r="C3202" t="s">
        <v>19</v>
      </c>
      <c r="D3202" t="s">
        <v>50</v>
      </c>
      <c r="E3202" t="s">
        <v>7637</v>
      </c>
      <c r="F3202">
        <v>2</v>
      </c>
      <c r="G3202" s="15">
        <v>2710000</v>
      </c>
      <c r="H3202" s="14">
        <v>0.13075929750140999</v>
      </c>
      <c r="I3202" s="27">
        <f t="shared" si="49"/>
        <v>2355642.3037711792</v>
      </c>
      <c r="J3202">
        <v>3.4</v>
      </c>
      <c r="K3202" t="b">
        <v>1</v>
      </c>
    </row>
    <row r="3203" spans="1:11" ht="16" x14ac:dyDescent="0.2">
      <c r="A3203" s="16">
        <v>45788</v>
      </c>
      <c r="B3203" t="s">
        <v>45</v>
      </c>
      <c r="C3203" t="s">
        <v>34</v>
      </c>
      <c r="D3203" t="s">
        <v>35</v>
      </c>
      <c r="E3203" t="s">
        <v>7643</v>
      </c>
      <c r="F3203">
        <v>2</v>
      </c>
      <c r="G3203" s="15">
        <v>2710000</v>
      </c>
      <c r="H3203" s="14">
        <v>0.13075929750140999</v>
      </c>
      <c r="I3203" s="27">
        <f t="shared" ref="I3203:I3266" si="50">G3203-G3203*H3203</f>
        <v>2355642.3037711792</v>
      </c>
      <c r="J3203">
        <v>5</v>
      </c>
      <c r="K3203" t="b">
        <v>1</v>
      </c>
    </row>
    <row r="3204" spans="1:11" ht="16" x14ac:dyDescent="0.2">
      <c r="A3204" s="16">
        <v>45788</v>
      </c>
      <c r="B3204" t="s">
        <v>18</v>
      </c>
      <c r="C3204" t="s">
        <v>19</v>
      </c>
      <c r="D3204" t="s">
        <v>20</v>
      </c>
      <c r="E3204" t="s">
        <v>7643</v>
      </c>
      <c r="F3204">
        <v>1</v>
      </c>
      <c r="G3204" s="15">
        <v>2710000</v>
      </c>
      <c r="H3204" s="14">
        <v>0.13075929750140999</v>
      </c>
      <c r="I3204" s="27">
        <f t="shared" si="50"/>
        <v>2355642.3037711792</v>
      </c>
      <c r="J3204">
        <v>4.7</v>
      </c>
      <c r="K3204" t="b">
        <v>0</v>
      </c>
    </row>
    <row r="3205" spans="1:11" ht="16" x14ac:dyDescent="0.2">
      <c r="A3205" s="16">
        <v>45788</v>
      </c>
      <c r="B3205" t="s">
        <v>33</v>
      </c>
      <c r="C3205" t="s">
        <v>19</v>
      </c>
      <c r="D3205" t="s">
        <v>20</v>
      </c>
      <c r="E3205" t="s">
        <v>7642</v>
      </c>
      <c r="F3205">
        <v>3</v>
      </c>
      <c r="G3205" s="15">
        <v>2710000</v>
      </c>
      <c r="H3205" s="14">
        <v>0.13075929750140999</v>
      </c>
      <c r="I3205" s="27">
        <f t="shared" si="50"/>
        <v>2355642.3037711792</v>
      </c>
      <c r="J3205">
        <v>4.9000000000000004</v>
      </c>
      <c r="K3205" t="b">
        <v>1</v>
      </c>
    </row>
    <row r="3206" spans="1:11" ht="16" x14ac:dyDescent="0.2">
      <c r="A3206" s="16">
        <v>45788</v>
      </c>
      <c r="B3206" t="s">
        <v>45</v>
      </c>
      <c r="C3206" t="s">
        <v>34</v>
      </c>
      <c r="D3206" t="s">
        <v>20</v>
      </c>
      <c r="E3206" t="s">
        <v>7644</v>
      </c>
      <c r="F3206">
        <v>1</v>
      </c>
      <c r="G3206" s="15">
        <v>2710000</v>
      </c>
      <c r="H3206" s="14">
        <v>0.13075929750140999</v>
      </c>
      <c r="I3206" s="27">
        <f t="shared" si="50"/>
        <v>2355642.3037711792</v>
      </c>
      <c r="J3206">
        <v>4.4000000000000004</v>
      </c>
      <c r="K3206" t="b">
        <v>1</v>
      </c>
    </row>
    <row r="3207" spans="1:11" ht="16" x14ac:dyDescent="0.2">
      <c r="A3207" s="16">
        <v>45788</v>
      </c>
      <c r="B3207" t="s">
        <v>29</v>
      </c>
      <c r="C3207" t="s">
        <v>68</v>
      </c>
      <c r="D3207" t="s">
        <v>20</v>
      </c>
      <c r="E3207" t="s">
        <v>7643</v>
      </c>
      <c r="F3207">
        <v>4</v>
      </c>
      <c r="G3207" s="15">
        <v>2710000</v>
      </c>
      <c r="H3207" s="14">
        <v>0.13075929750140999</v>
      </c>
      <c r="I3207" s="27">
        <f t="shared" si="50"/>
        <v>2355642.3037711792</v>
      </c>
      <c r="J3207">
        <v>4.9000000000000004</v>
      </c>
      <c r="K3207" t="b">
        <v>1</v>
      </c>
    </row>
    <row r="3208" spans="1:11" ht="16" x14ac:dyDescent="0.2">
      <c r="A3208" s="16">
        <v>45788</v>
      </c>
      <c r="B3208" t="s">
        <v>45</v>
      </c>
      <c r="C3208" t="s">
        <v>19</v>
      </c>
      <c r="D3208" t="s">
        <v>35</v>
      </c>
      <c r="E3208" t="s">
        <v>7643</v>
      </c>
      <c r="F3208">
        <v>3</v>
      </c>
      <c r="G3208" s="15">
        <v>2710000</v>
      </c>
      <c r="H3208" s="14">
        <v>0.13075929750140999</v>
      </c>
      <c r="I3208" s="27">
        <f t="shared" si="50"/>
        <v>2355642.3037711792</v>
      </c>
      <c r="J3208">
        <v>4.5999999999999996</v>
      </c>
      <c r="K3208" t="b">
        <v>1</v>
      </c>
    </row>
    <row r="3209" spans="1:11" ht="16" x14ac:dyDescent="0.2">
      <c r="A3209" s="16">
        <v>45788</v>
      </c>
      <c r="B3209" t="s">
        <v>45</v>
      </c>
      <c r="C3209" t="s">
        <v>25</v>
      </c>
      <c r="D3209" t="s">
        <v>20</v>
      </c>
      <c r="E3209" t="s">
        <v>99</v>
      </c>
      <c r="F3209">
        <v>1</v>
      </c>
      <c r="G3209" s="15">
        <v>2710000</v>
      </c>
      <c r="H3209" s="14">
        <v>0.13075929750140999</v>
      </c>
      <c r="I3209" s="27">
        <f t="shared" si="50"/>
        <v>2355642.3037711792</v>
      </c>
      <c r="J3209">
        <v>4.5</v>
      </c>
      <c r="K3209" t="b">
        <v>0</v>
      </c>
    </row>
    <row r="3210" spans="1:11" ht="16" x14ac:dyDescent="0.2">
      <c r="A3210" s="16">
        <v>45789</v>
      </c>
      <c r="B3210" t="s">
        <v>45</v>
      </c>
      <c r="C3210" t="s">
        <v>25</v>
      </c>
      <c r="D3210" t="s">
        <v>50</v>
      </c>
      <c r="E3210" t="s">
        <v>7641</v>
      </c>
      <c r="F3210">
        <v>1</v>
      </c>
      <c r="G3210" s="15">
        <v>2710000</v>
      </c>
      <c r="H3210" s="14">
        <v>0.13075929750140999</v>
      </c>
      <c r="I3210" s="27">
        <f t="shared" si="50"/>
        <v>2355642.3037711792</v>
      </c>
      <c r="J3210">
        <v>4.4000000000000004</v>
      </c>
      <c r="K3210" t="b">
        <v>1</v>
      </c>
    </row>
    <row r="3211" spans="1:11" ht="16" x14ac:dyDescent="0.2">
      <c r="A3211" s="16">
        <v>45789</v>
      </c>
      <c r="B3211" t="s">
        <v>45</v>
      </c>
      <c r="C3211" t="s">
        <v>19</v>
      </c>
      <c r="D3211" t="s">
        <v>20</v>
      </c>
      <c r="E3211" t="s">
        <v>7642</v>
      </c>
      <c r="F3211">
        <v>1</v>
      </c>
      <c r="G3211" s="15">
        <v>2710000</v>
      </c>
      <c r="H3211" s="14">
        <v>0.13075929750140999</v>
      </c>
      <c r="I3211" s="27">
        <f t="shared" si="50"/>
        <v>2355642.3037711792</v>
      </c>
      <c r="J3211">
        <v>4</v>
      </c>
      <c r="K3211" t="b">
        <v>1</v>
      </c>
    </row>
    <row r="3212" spans="1:11" ht="16" x14ac:dyDescent="0.2">
      <c r="A3212" s="16">
        <v>45789</v>
      </c>
      <c r="B3212" t="s">
        <v>45</v>
      </c>
      <c r="C3212" t="s">
        <v>34</v>
      </c>
      <c r="D3212" t="s">
        <v>20</v>
      </c>
      <c r="E3212" t="s">
        <v>7644</v>
      </c>
      <c r="F3212">
        <v>1</v>
      </c>
      <c r="G3212" s="15">
        <v>2710000</v>
      </c>
      <c r="H3212" s="14">
        <v>0.13075929750140999</v>
      </c>
      <c r="I3212" s="27">
        <f t="shared" si="50"/>
        <v>2355642.3037711792</v>
      </c>
      <c r="J3212">
        <v>5</v>
      </c>
      <c r="K3212" t="b">
        <v>0</v>
      </c>
    </row>
    <row r="3213" spans="1:11" ht="16" x14ac:dyDescent="0.2">
      <c r="A3213" s="16">
        <v>45790</v>
      </c>
      <c r="B3213" t="s">
        <v>45</v>
      </c>
      <c r="C3213" t="s">
        <v>19</v>
      </c>
      <c r="D3213" t="s">
        <v>50</v>
      </c>
      <c r="E3213" t="s">
        <v>7639</v>
      </c>
      <c r="F3213">
        <v>1</v>
      </c>
      <c r="G3213" s="15">
        <v>2710000</v>
      </c>
      <c r="H3213" s="14">
        <v>0.13075929750140999</v>
      </c>
      <c r="I3213" s="27">
        <f t="shared" si="50"/>
        <v>2355642.3037711792</v>
      </c>
      <c r="J3213">
        <v>4.0999999999999996</v>
      </c>
      <c r="K3213" t="b">
        <v>1</v>
      </c>
    </row>
    <row r="3214" spans="1:11" ht="16" x14ac:dyDescent="0.2">
      <c r="A3214" s="16">
        <v>45790</v>
      </c>
      <c r="B3214" t="s">
        <v>45</v>
      </c>
      <c r="C3214" t="s">
        <v>19</v>
      </c>
      <c r="D3214" t="s">
        <v>50</v>
      </c>
      <c r="E3214" t="s">
        <v>7641</v>
      </c>
      <c r="F3214">
        <v>2</v>
      </c>
      <c r="G3214" s="15">
        <v>2710000</v>
      </c>
      <c r="H3214" s="14">
        <v>0.13075929750140999</v>
      </c>
      <c r="I3214" s="27">
        <f t="shared" si="50"/>
        <v>2355642.3037711792</v>
      </c>
      <c r="J3214">
        <v>4.9000000000000004</v>
      </c>
      <c r="K3214" t="b">
        <v>1</v>
      </c>
    </row>
    <row r="3215" spans="1:11" ht="16" x14ac:dyDescent="0.2">
      <c r="A3215" s="16">
        <v>45791</v>
      </c>
      <c r="B3215" t="s">
        <v>18</v>
      </c>
      <c r="C3215" t="s">
        <v>39</v>
      </c>
      <c r="D3215" t="s">
        <v>50</v>
      </c>
      <c r="E3215" t="s">
        <v>7637</v>
      </c>
      <c r="F3215">
        <v>2</v>
      </c>
      <c r="G3215" s="15">
        <v>2710000</v>
      </c>
      <c r="H3215" s="14">
        <v>0.13075929750140999</v>
      </c>
      <c r="I3215" s="27">
        <f t="shared" si="50"/>
        <v>2355642.3037711792</v>
      </c>
      <c r="J3215">
        <v>4.2</v>
      </c>
      <c r="K3215" t="b">
        <v>1</v>
      </c>
    </row>
    <row r="3216" spans="1:11" ht="16" x14ac:dyDescent="0.2">
      <c r="A3216" s="16">
        <v>45791</v>
      </c>
      <c r="B3216" t="str">
        <f>B3215</f>
        <v>Young Professional</v>
      </c>
      <c r="C3216" t="s">
        <v>45</v>
      </c>
      <c r="D3216" t="s">
        <v>50</v>
      </c>
      <c r="E3216" t="s">
        <v>7639</v>
      </c>
      <c r="F3216">
        <v>1</v>
      </c>
      <c r="G3216" s="15">
        <v>2710000</v>
      </c>
      <c r="H3216" s="14">
        <v>0.13075929750140999</v>
      </c>
      <c r="I3216" s="27">
        <f t="shared" si="50"/>
        <v>2355642.3037711792</v>
      </c>
      <c r="J3216">
        <v>4</v>
      </c>
      <c r="K3216" t="b">
        <v>0</v>
      </c>
    </row>
    <row r="3217" spans="1:11" ht="16" x14ac:dyDescent="0.2">
      <c r="A3217" s="16">
        <v>45792</v>
      </c>
      <c r="B3217" t="s">
        <v>45</v>
      </c>
      <c r="C3217" t="s">
        <v>34</v>
      </c>
      <c r="D3217" t="s">
        <v>20</v>
      </c>
      <c r="E3217" t="s">
        <v>57</v>
      </c>
      <c r="F3217">
        <v>4</v>
      </c>
      <c r="G3217" s="15">
        <v>2710000</v>
      </c>
      <c r="H3217" s="14">
        <v>0.13075929750140999</v>
      </c>
      <c r="I3217" s="27">
        <f t="shared" si="50"/>
        <v>2355642.3037711792</v>
      </c>
      <c r="J3217">
        <v>4</v>
      </c>
      <c r="K3217" t="b">
        <v>0</v>
      </c>
    </row>
    <row r="3218" spans="1:11" ht="16" x14ac:dyDescent="0.2">
      <c r="A3218" s="16">
        <v>45792</v>
      </c>
      <c r="B3218" t="s">
        <v>45</v>
      </c>
      <c r="C3218" t="s">
        <v>45</v>
      </c>
      <c r="D3218" t="s">
        <v>20</v>
      </c>
      <c r="E3218" t="s">
        <v>7637</v>
      </c>
      <c r="F3218">
        <v>1</v>
      </c>
      <c r="G3218" s="15">
        <v>2710000</v>
      </c>
      <c r="H3218" s="14">
        <v>0.13075929750140999</v>
      </c>
      <c r="I3218" s="27">
        <f t="shared" si="50"/>
        <v>2355642.3037711792</v>
      </c>
      <c r="J3218">
        <v>4</v>
      </c>
      <c r="K3218" t="b">
        <v>1</v>
      </c>
    </row>
    <row r="3219" spans="1:11" ht="16" x14ac:dyDescent="0.2">
      <c r="A3219" s="16">
        <v>45792</v>
      </c>
      <c r="B3219" t="s">
        <v>18</v>
      </c>
      <c r="C3219" t="s">
        <v>68</v>
      </c>
      <c r="D3219" t="s">
        <v>20</v>
      </c>
      <c r="E3219" t="s">
        <v>7640</v>
      </c>
      <c r="F3219">
        <v>2</v>
      </c>
      <c r="G3219" s="15">
        <v>2710000</v>
      </c>
      <c r="H3219" s="14">
        <v>0.13075929750140999</v>
      </c>
      <c r="I3219" s="27">
        <f t="shared" si="50"/>
        <v>2355642.3037711792</v>
      </c>
      <c r="J3219">
        <v>5</v>
      </c>
      <c r="K3219" t="b">
        <v>0</v>
      </c>
    </row>
    <row r="3220" spans="1:11" ht="16" x14ac:dyDescent="0.2">
      <c r="A3220" s="16">
        <v>45792</v>
      </c>
      <c r="B3220" t="s">
        <v>33</v>
      </c>
      <c r="C3220" t="s">
        <v>68</v>
      </c>
      <c r="D3220" t="s">
        <v>35</v>
      </c>
      <c r="E3220" t="s">
        <v>7637</v>
      </c>
      <c r="F3220">
        <v>1</v>
      </c>
      <c r="G3220" s="15">
        <v>2710000</v>
      </c>
      <c r="H3220" s="14">
        <v>0.13075929750140999</v>
      </c>
      <c r="I3220" s="27">
        <f t="shared" si="50"/>
        <v>2355642.3037711792</v>
      </c>
      <c r="J3220">
        <v>4.2</v>
      </c>
      <c r="K3220" t="b">
        <v>0</v>
      </c>
    </row>
    <row r="3221" spans="1:11" ht="16" x14ac:dyDescent="0.2">
      <c r="A3221" s="16">
        <v>45792</v>
      </c>
      <c r="B3221" t="s">
        <v>18</v>
      </c>
      <c r="C3221" t="s">
        <v>45</v>
      </c>
      <c r="D3221" t="s">
        <v>50</v>
      </c>
      <c r="E3221" t="str">
        <f>E3220</f>
        <v>Đà Nẵng</v>
      </c>
      <c r="F3221">
        <v>3</v>
      </c>
      <c r="G3221" s="15">
        <v>2710000</v>
      </c>
      <c r="H3221" s="14">
        <v>0.13075929750140999</v>
      </c>
      <c r="I3221" s="27">
        <f t="shared" si="50"/>
        <v>2355642.3037711792</v>
      </c>
      <c r="J3221">
        <v>4.5</v>
      </c>
      <c r="K3221" t="b">
        <v>1</v>
      </c>
    </row>
    <row r="3222" spans="1:11" ht="16" x14ac:dyDescent="0.2">
      <c r="A3222" s="16">
        <v>45793</v>
      </c>
      <c r="B3222" t="s">
        <v>33</v>
      </c>
      <c r="C3222" t="s">
        <v>39</v>
      </c>
      <c r="D3222" t="s">
        <v>20</v>
      </c>
      <c r="E3222" t="s">
        <v>99</v>
      </c>
      <c r="F3222">
        <v>1</v>
      </c>
      <c r="G3222" s="15">
        <v>2710000</v>
      </c>
      <c r="H3222" s="14">
        <v>0.13075929750140999</v>
      </c>
      <c r="I3222" s="27">
        <f t="shared" si="50"/>
        <v>2355642.3037711792</v>
      </c>
      <c r="J3222">
        <v>4</v>
      </c>
      <c r="K3222" t="b">
        <v>1</v>
      </c>
    </row>
    <row r="3223" spans="1:11" ht="16" x14ac:dyDescent="0.2">
      <c r="A3223" s="16">
        <v>45794</v>
      </c>
      <c r="B3223" t="s">
        <v>29</v>
      </c>
      <c r="C3223" t="s">
        <v>39</v>
      </c>
      <c r="D3223" t="s">
        <v>35</v>
      </c>
      <c r="E3223" t="s">
        <v>7638</v>
      </c>
      <c r="F3223">
        <v>1</v>
      </c>
      <c r="G3223" s="15">
        <v>2710000</v>
      </c>
      <c r="H3223" s="14">
        <v>0.13075929750140999</v>
      </c>
      <c r="I3223" s="27">
        <f t="shared" si="50"/>
        <v>2355642.3037711792</v>
      </c>
      <c r="J3223">
        <v>4.0999999999999996</v>
      </c>
      <c r="K3223" t="b">
        <v>1</v>
      </c>
    </row>
    <row r="3224" spans="1:11" ht="16" x14ac:dyDescent="0.2">
      <c r="A3224" s="16">
        <v>45794</v>
      </c>
      <c r="B3224" t="s">
        <v>29</v>
      </c>
      <c r="C3224" t="s">
        <v>25</v>
      </c>
      <c r="D3224" t="s">
        <v>50</v>
      </c>
      <c r="E3224" t="s">
        <v>7643</v>
      </c>
      <c r="F3224">
        <v>1</v>
      </c>
      <c r="G3224" s="15">
        <v>2710000</v>
      </c>
      <c r="H3224" s="14">
        <v>0.13075929750140999</v>
      </c>
      <c r="I3224" s="27">
        <f t="shared" si="50"/>
        <v>2355642.3037711792</v>
      </c>
      <c r="J3224">
        <v>3.9</v>
      </c>
      <c r="K3224" t="b">
        <v>1</v>
      </c>
    </row>
    <row r="3225" spans="1:11" ht="16" x14ac:dyDescent="0.2">
      <c r="A3225" s="16">
        <v>45794</v>
      </c>
      <c r="B3225" t="s">
        <v>29</v>
      </c>
      <c r="C3225" t="s">
        <v>45</v>
      </c>
      <c r="D3225" t="s">
        <v>20</v>
      </c>
      <c r="E3225" t="s">
        <v>7641</v>
      </c>
      <c r="F3225">
        <v>2</v>
      </c>
      <c r="G3225" s="15">
        <v>2710000</v>
      </c>
      <c r="H3225" s="14">
        <v>0.13075929750140999</v>
      </c>
      <c r="I3225" s="27">
        <f t="shared" si="50"/>
        <v>2355642.3037711792</v>
      </c>
      <c r="J3225">
        <v>4.5</v>
      </c>
      <c r="K3225" t="b">
        <v>1</v>
      </c>
    </row>
    <row r="3226" spans="1:11" ht="16" x14ac:dyDescent="0.2">
      <c r="A3226" s="16">
        <v>45795</v>
      </c>
      <c r="B3226" t="s">
        <v>18</v>
      </c>
      <c r="C3226" t="s">
        <v>19</v>
      </c>
      <c r="D3226" t="s">
        <v>20</v>
      </c>
      <c r="E3226" t="s">
        <v>7639</v>
      </c>
      <c r="F3226">
        <v>2</v>
      </c>
      <c r="G3226" s="15">
        <v>2710000</v>
      </c>
      <c r="H3226" s="14">
        <v>0.13075929750140999</v>
      </c>
      <c r="I3226" s="27">
        <f t="shared" si="50"/>
        <v>2355642.3037711792</v>
      </c>
      <c r="J3226">
        <v>4</v>
      </c>
      <c r="K3226" t="b">
        <v>0</v>
      </c>
    </row>
    <row r="3227" spans="1:11" ht="16" x14ac:dyDescent="0.2">
      <c r="A3227" s="16">
        <v>45795</v>
      </c>
      <c r="B3227" t="s">
        <v>45</v>
      </c>
      <c r="C3227" t="s">
        <v>45</v>
      </c>
      <c r="D3227" t="s">
        <v>35</v>
      </c>
      <c r="E3227" t="s">
        <v>7641</v>
      </c>
      <c r="F3227">
        <v>3</v>
      </c>
      <c r="G3227" s="15">
        <v>2710000</v>
      </c>
      <c r="H3227" s="14">
        <v>0.13075929750140999</v>
      </c>
      <c r="I3227" s="27">
        <f t="shared" si="50"/>
        <v>2355642.3037711792</v>
      </c>
      <c r="J3227">
        <v>3.8</v>
      </c>
      <c r="K3227" t="b">
        <v>1</v>
      </c>
    </row>
    <row r="3228" spans="1:11" ht="16" x14ac:dyDescent="0.2">
      <c r="A3228" s="16">
        <v>45795</v>
      </c>
      <c r="B3228" t="s">
        <v>29</v>
      </c>
      <c r="C3228" t="s">
        <v>19</v>
      </c>
      <c r="D3228" t="s">
        <v>20</v>
      </c>
      <c r="E3228" t="s">
        <v>7640</v>
      </c>
      <c r="F3228">
        <v>1</v>
      </c>
      <c r="G3228" s="15">
        <v>2710000</v>
      </c>
      <c r="H3228" s="14">
        <v>0.13075929750140999</v>
      </c>
      <c r="I3228" s="27">
        <f t="shared" si="50"/>
        <v>2355642.3037711792</v>
      </c>
      <c r="J3228">
        <v>4</v>
      </c>
      <c r="K3228" t="b">
        <v>1</v>
      </c>
    </row>
    <row r="3229" spans="1:11" ht="16" x14ac:dyDescent="0.2">
      <c r="A3229" s="16">
        <v>45795</v>
      </c>
      <c r="B3229" t="s">
        <v>18</v>
      </c>
      <c r="C3229" t="s">
        <v>25</v>
      </c>
      <c r="D3229" t="s">
        <v>50</v>
      </c>
      <c r="E3229" t="s">
        <v>57</v>
      </c>
      <c r="F3229">
        <v>2</v>
      </c>
      <c r="G3229" s="15">
        <v>2710000</v>
      </c>
      <c r="H3229" s="14">
        <v>0.13075929750140999</v>
      </c>
      <c r="I3229" s="27">
        <f t="shared" si="50"/>
        <v>2355642.3037711792</v>
      </c>
      <c r="J3229">
        <v>4.5999999999999996</v>
      </c>
      <c r="K3229" t="b">
        <v>0</v>
      </c>
    </row>
    <row r="3230" spans="1:11" ht="16" x14ac:dyDescent="0.2">
      <c r="A3230" s="16">
        <v>45795</v>
      </c>
      <c r="B3230" t="s">
        <v>33</v>
      </c>
      <c r="C3230" t="s">
        <v>34</v>
      </c>
      <c r="D3230" t="s">
        <v>50</v>
      </c>
      <c r="E3230" t="s">
        <v>7641</v>
      </c>
      <c r="F3230">
        <v>1</v>
      </c>
      <c r="G3230" s="15">
        <v>2710000</v>
      </c>
      <c r="H3230" s="14">
        <v>0.13075929750140999</v>
      </c>
      <c r="I3230" s="27">
        <f t="shared" si="50"/>
        <v>2355642.3037711792</v>
      </c>
      <c r="J3230">
        <v>4</v>
      </c>
      <c r="K3230" t="b">
        <v>1</v>
      </c>
    </row>
    <row r="3231" spans="1:11" ht="16" x14ac:dyDescent="0.2">
      <c r="A3231" s="16">
        <v>45795</v>
      </c>
      <c r="B3231" t="s">
        <v>45</v>
      </c>
      <c r="C3231" t="s">
        <v>34</v>
      </c>
      <c r="D3231" t="s">
        <v>20</v>
      </c>
      <c r="E3231" t="s">
        <v>7639</v>
      </c>
      <c r="F3231">
        <v>1</v>
      </c>
      <c r="G3231" s="15">
        <v>2710000</v>
      </c>
      <c r="H3231" s="14">
        <v>0.13075929750140999</v>
      </c>
      <c r="I3231" s="27">
        <f t="shared" si="50"/>
        <v>2355642.3037711792</v>
      </c>
      <c r="J3231">
        <v>4.8</v>
      </c>
      <c r="K3231" t="b">
        <v>1</v>
      </c>
    </row>
    <row r="3232" spans="1:11" ht="16" x14ac:dyDescent="0.2">
      <c r="A3232" s="16">
        <v>45796</v>
      </c>
      <c r="B3232" t="s">
        <v>18</v>
      </c>
      <c r="C3232" t="s">
        <v>25</v>
      </c>
      <c r="D3232" t="s">
        <v>20</v>
      </c>
      <c r="E3232" t="s">
        <v>7643</v>
      </c>
      <c r="F3232">
        <v>2</v>
      </c>
      <c r="G3232" s="15">
        <v>2710000</v>
      </c>
      <c r="H3232" s="14">
        <v>0.13075929750140999</v>
      </c>
      <c r="I3232" s="27">
        <f t="shared" si="50"/>
        <v>2355642.3037711792</v>
      </c>
      <c r="J3232">
        <v>4.5</v>
      </c>
      <c r="K3232" t="b">
        <v>1</v>
      </c>
    </row>
    <row r="3233" spans="1:11" ht="16" x14ac:dyDescent="0.2">
      <c r="A3233" s="16">
        <v>45796</v>
      </c>
      <c r="B3233" t="s">
        <v>45</v>
      </c>
      <c r="C3233" t="s">
        <v>45</v>
      </c>
      <c r="D3233" t="s">
        <v>35</v>
      </c>
      <c r="E3233" t="s">
        <v>7638</v>
      </c>
      <c r="F3233">
        <v>4</v>
      </c>
      <c r="G3233" s="15">
        <v>2710000</v>
      </c>
      <c r="H3233" s="14">
        <v>0.13075929750140999</v>
      </c>
      <c r="I3233" s="27">
        <f t="shared" si="50"/>
        <v>2355642.3037711792</v>
      </c>
      <c r="J3233">
        <v>4.3</v>
      </c>
      <c r="K3233" t="b">
        <v>0</v>
      </c>
    </row>
    <row r="3234" spans="1:11" ht="16" x14ac:dyDescent="0.2">
      <c r="A3234" s="16">
        <v>45796</v>
      </c>
      <c r="B3234" t="s">
        <v>18</v>
      </c>
      <c r="C3234" t="s">
        <v>19</v>
      </c>
      <c r="D3234" t="s">
        <v>50</v>
      </c>
      <c r="E3234" t="str">
        <f>E3233</f>
        <v>Đà Lạt</v>
      </c>
      <c r="F3234">
        <v>1</v>
      </c>
      <c r="G3234" s="15">
        <v>2710000</v>
      </c>
      <c r="H3234" s="14">
        <v>0.13075929750140999</v>
      </c>
      <c r="I3234" s="27">
        <f t="shared" si="50"/>
        <v>2355642.3037711792</v>
      </c>
      <c r="J3234">
        <v>3.8</v>
      </c>
      <c r="K3234" t="b">
        <v>1</v>
      </c>
    </row>
    <row r="3235" spans="1:11" ht="16" x14ac:dyDescent="0.2">
      <c r="A3235" s="16">
        <v>45796</v>
      </c>
      <c r="B3235" t="s">
        <v>18</v>
      </c>
      <c r="C3235" t="s">
        <v>34</v>
      </c>
      <c r="D3235" t="s">
        <v>20</v>
      </c>
      <c r="E3235" t="s">
        <v>7641</v>
      </c>
      <c r="F3235">
        <v>2</v>
      </c>
      <c r="G3235" s="15">
        <v>2710000</v>
      </c>
      <c r="H3235" s="14">
        <v>0.13075929750140999</v>
      </c>
      <c r="I3235" s="27">
        <f t="shared" si="50"/>
        <v>2355642.3037711792</v>
      </c>
      <c r="J3235">
        <v>3.5</v>
      </c>
      <c r="K3235" t="b">
        <v>0</v>
      </c>
    </row>
    <row r="3236" spans="1:11" ht="16" x14ac:dyDescent="0.2">
      <c r="A3236" s="16">
        <v>45797</v>
      </c>
      <c r="B3236" t="s">
        <v>45</v>
      </c>
      <c r="C3236" t="s">
        <v>34</v>
      </c>
      <c r="D3236" t="s">
        <v>20</v>
      </c>
      <c r="E3236" t="s">
        <v>7638</v>
      </c>
      <c r="F3236">
        <v>1</v>
      </c>
      <c r="G3236" s="15">
        <v>2710000</v>
      </c>
      <c r="H3236" s="14">
        <v>0.13075929750140999</v>
      </c>
      <c r="I3236" s="27">
        <f t="shared" si="50"/>
        <v>2355642.3037711792</v>
      </c>
      <c r="J3236">
        <v>4.8</v>
      </c>
      <c r="K3236" t="b">
        <v>1</v>
      </c>
    </row>
    <row r="3237" spans="1:11" ht="16" x14ac:dyDescent="0.2">
      <c r="A3237" s="16">
        <v>45797</v>
      </c>
      <c r="B3237" t="s">
        <v>45</v>
      </c>
      <c r="C3237" t="s">
        <v>19</v>
      </c>
      <c r="D3237" t="s">
        <v>35</v>
      </c>
      <c r="E3237" t="s">
        <v>7639</v>
      </c>
      <c r="F3237">
        <v>3</v>
      </c>
      <c r="G3237" s="15">
        <v>2710000</v>
      </c>
      <c r="H3237" s="14">
        <v>0.13075929750140999</v>
      </c>
      <c r="I3237" s="27">
        <f t="shared" si="50"/>
        <v>2355642.3037711792</v>
      </c>
      <c r="J3237">
        <v>4.5999999999999996</v>
      </c>
      <c r="K3237" t="b">
        <v>1</v>
      </c>
    </row>
    <row r="3238" spans="1:11" ht="16" x14ac:dyDescent="0.2">
      <c r="A3238" s="16">
        <v>45797</v>
      </c>
      <c r="B3238" t="s">
        <v>18</v>
      </c>
      <c r="C3238" t="s">
        <v>25</v>
      </c>
      <c r="D3238" t="s">
        <v>35</v>
      </c>
      <c r="E3238" t="str">
        <f>E3237</f>
        <v>Hà Nội</v>
      </c>
      <c r="F3238">
        <v>1</v>
      </c>
      <c r="G3238" s="15">
        <v>2710000</v>
      </c>
      <c r="H3238" s="14">
        <v>0.13075929750140999</v>
      </c>
      <c r="I3238" s="27">
        <f t="shared" si="50"/>
        <v>2355642.3037711792</v>
      </c>
      <c r="J3238">
        <v>4.2</v>
      </c>
      <c r="K3238" t="b">
        <v>0</v>
      </c>
    </row>
    <row r="3239" spans="1:11" ht="16" x14ac:dyDescent="0.2">
      <c r="A3239" s="16">
        <v>45797</v>
      </c>
      <c r="B3239" t="s">
        <v>33</v>
      </c>
      <c r="C3239" t="s">
        <v>34</v>
      </c>
      <c r="D3239" t="s">
        <v>20</v>
      </c>
      <c r="E3239" t="s">
        <v>7640</v>
      </c>
      <c r="F3239">
        <v>1</v>
      </c>
      <c r="G3239" s="15">
        <v>2710000</v>
      </c>
      <c r="H3239" s="14">
        <v>0.13075929750140999</v>
      </c>
      <c r="I3239" s="27">
        <f t="shared" si="50"/>
        <v>2355642.3037711792</v>
      </c>
      <c r="J3239">
        <v>4.4000000000000004</v>
      </c>
      <c r="K3239" t="b">
        <v>1</v>
      </c>
    </row>
    <row r="3240" spans="1:11" ht="16" x14ac:dyDescent="0.2">
      <c r="A3240" s="16">
        <v>45798</v>
      </c>
      <c r="B3240" t="s">
        <v>45</v>
      </c>
      <c r="C3240" t="s">
        <v>34</v>
      </c>
      <c r="D3240" t="s">
        <v>20</v>
      </c>
      <c r="E3240" t="s">
        <v>99</v>
      </c>
      <c r="F3240">
        <v>2</v>
      </c>
      <c r="G3240" s="15">
        <v>2710000</v>
      </c>
      <c r="H3240" s="14">
        <v>0.13075929750140999</v>
      </c>
      <c r="I3240" s="27">
        <f t="shared" si="50"/>
        <v>2355642.3037711792</v>
      </c>
      <c r="J3240">
        <v>4.5</v>
      </c>
      <c r="K3240" t="b">
        <v>1</v>
      </c>
    </row>
    <row r="3241" spans="1:11" ht="16" x14ac:dyDescent="0.2">
      <c r="A3241" s="16">
        <v>45798</v>
      </c>
      <c r="B3241" t="s">
        <v>18</v>
      </c>
      <c r="C3241" t="s">
        <v>45</v>
      </c>
      <c r="D3241" t="s">
        <v>20</v>
      </c>
      <c r="E3241" t="s">
        <v>7637</v>
      </c>
      <c r="F3241">
        <v>4</v>
      </c>
      <c r="G3241" s="15">
        <v>2710000</v>
      </c>
      <c r="H3241" s="14">
        <v>0.13075929750140999</v>
      </c>
      <c r="I3241" s="27">
        <f t="shared" si="50"/>
        <v>2355642.3037711792</v>
      </c>
      <c r="J3241">
        <v>4.9000000000000004</v>
      </c>
      <c r="K3241" t="b">
        <v>1</v>
      </c>
    </row>
    <row r="3242" spans="1:11" ht="16" x14ac:dyDescent="0.2">
      <c r="A3242" s="16">
        <v>45798</v>
      </c>
      <c r="B3242" t="s">
        <v>45</v>
      </c>
      <c r="C3242" t="s">
        <v>19</v>
      </c>
      <c r="D3242" t="s">
        <v>35</v>
      </c>
      <c r="E3242" t="s">
        <v>7643</v>
      </c>
      <c r="F3242">
        <v>3</v>
      </c>
      <c r="G3242" s="15">
        <v>2710000</v>
      </c>
      <c r="H3242" s="14">
        <v>0.13075929750140999</v>
      </c>
      <c r="I3242" s="27">
        <f t="shared" si="50"/>
        <v>2355642.3037711792</v>
      </c>
      <c r="J3242">
        <v>4.0999999999999996</v>
      </c>
      <c r="K3242" t="b">
        <v>1</v>
      </c>
    </row>
    <row r="3243" spans="1:11" ht="16" x14ac:dyDescent="0.2">
      <c r="A3243" s="16">
        <v>45798</v>
      </c>
      <c r="B3243" t="s">
        <v>45</v>
      </c>
      <c r="C3243" t="s">
        <v>19</v>
      </c>
      <c r="D3243" t="s">
        <v>35</v>
      </c>
      <c r="E3243" t="s">
        <v>7642</v>
      </c>
      <c r="F3243">
        <v>4</v>
      </c>
      <c r="G3243" s="15">
        <v>2710000</v>
      </c>
      <c r="H3243" s="14">
        <v>0.13075929750140999</v>
      </c>
      <c r="I3243" s="27">
        <f t="shared" si="50"/>
        <v>2355642.3037711792</v>
      </c>
      <c r="J3243">
        <v>3.8</v>
      </c>
      <c r="K3243" t="b">
        <v>1</v>
      </c>
    </row>
    <row r="3244" spans="1:11" ht="16" x14ac:dyDescent="0.2">
      <c r="A3244" s="16">
        <v>45798</v>
      </c>
      <c r="B3244" t="str">
        <f>B3243</f>
        <v>Family</v>
      </c>
      <c r="C3244" t="s">
        <v>34</v>
      </c>
      <c r="D3244" t="s">
        <v>35</v>
      </c>
      <c r="E3244" t="s">
        <v>7638</v>
      </c>
      <c r="F3244">
        <v>3</v>
      </c>
      <c r="G3244" s="15">
        <v>2710000</v>
      </c>
      <c r="H3244" s="14">
        <v>0.13075929750140999</v>
      </c>
      <c r="I3244" s="27">
        <f t="shared" si="50"/>
        <v>2355642.3037711792</v>
      </c>
      <c r="J3244">
        <v>4.7</v>
      </c>
      <c r="K3244" t="b">
        <v>1</v>
      </c>
    </row>
    <row r="3245" spans="1:11" ht="16" x14ac:dyDescent="0.2">
      <c r="A3245" s="16">
        <v>45798</v>
      </c>
      <c r="B3245" t="s">
        <v>18</v>
      </c>
      <c r="C3245" t="s">
        <v>25</v>
      </c>
      <c r="D3245" t="s">
        <v>35</v>
      </c>
      <c r="E3245" t="s">
        <v>57</v>
      </c>
      <c r="F3245">
        <v>2</v>
      </c>
      <c r="G3245" s="15">
        <v>2710000</v>
      </c>
      <c r="H3245" s="14">
        <v>0.13075929750140999</v>
      </c>
      <c r="I3245" s="27">
        <f t="shared" si="50"/>
        <v>2355642.3037711792</v>
      </c>
      <c r="J3245">
        <v>4.5999999999999996</v>
      </c>
      <c r="K3245" t="b">
        <v>1</v>
      </c>
    </row>
    <row r="3246" spans="1:11" ht="16" x14ac:dyDescent="0.2">
      <c r="A3246" s="16">
        <v>45799</v>
      </c>
      <c r="B3246" t="s">
        <v>18</v>
      </c>
      <c r="C3246" t="s">
        <v>19</v>
      </c>
      <c r="D3246" t="s">
        <v>20</v>
      </c>
      <c r="E3246" t="s">
        <v>7639</v>
      </c>
      <c r="F3246">
        <v>3</v>
      </c>
      <c r="G3246" s="15">
        <v>2710000</v>
      </c>
      <c r="H3246" s="14">
        <v>0.13075929750140999</v>
      </c>
      <c r="I3246" s="27">
        <f t="shared" si="50"/>
        <v>2355642.3037711792</v>
      </c>
      <c r="J3246">
        <v>4.0999999999999996</v>
      </c>
      <c r="K3246" t="b">
        <v>1</v>
      </c>
    </row>
    <row r="3247" spans="1:11" ht="16" x14ac:dyDescent="0.2">
      <c r="A3247" s="16">
        <v>45799</v>
      </c>
      <c r="B3247" t="s">
        <v>33</v>
      </c>
      <c r="C3247" t="s">
        <v>68</v>
      </c>
      <c r="D3247" t="s">
        <v>20</v>
      </c>
      <c r="E3247" t="s">
        <v>7643</v>
      </c>
      <c r="F3247">
        <v>1</v>
      </c>
      <c r="G3247" s="15">
        <v>2710000</v>
      </c>
      <c r="H3247" s="14">
        <v>0.13075929750140999</v>
      </c>
      <c r="I3247" s="27">
        <f t="shared" si="50"/>
        <v>2355642.3037711792</v>
      </c>
      <c r="J3247">
        <v>3.6</v>
      </c>
      <c r="K3247" t="b">
        <v>1</v>
      </c>
    </row>
    <row r="3248" spans="1:11" ht="16" x14ac:dyDescent="0.2">
      <c r="A3248" s="16">
        <v>45799</v>
      </c>
      <c r="B3248" t="s">
        <v>29</v>
      </c>
      <c r="C3248" t="s">
        <v>68</v>
      </c>
      <c r="D3248" t="s">
        <v>50</v>
      </c>
      <c r="E3248" t="s">
        <v>7641</v>
      </c>
      <c r="F3248">
        <v>4</v>
      </c>
      <c r="G3248" s="15">
        <v>2710000</v>
      </c>
      <c r="H3248" s="14">
        <v>0.13075929750140999</v>
      </c>
      <c r="I3248" s="27">
        <f t="shared" si="50"/>
        <v>2355642.3037711792</v>
      </c>
      <c r="J3248">
        <v>4</v>
      </c>
      <c r="K3248" t="b">
        <v>1</v>
      </c>
    </row>
    <row r="3249" spans="1:11" ht="16" x14ac:dyDescent="0.2">
      <c r="A3249" s="16">
        <v>45799</v>
      </c>
      <c r="B3249" t="s">
        <v>18</v>
      </c>
      <c r="C3249" t="s">
        <v>39</v>
      </c>
      <c r="D3249" t="s">
        <v>20</v>
      </c>
      <c r="E3249" t="s">
        <v>7641</v>
      </c>
      <c r="F3249">
        <v>1</v>
      </c>
      <c r="G3249" s="15">
        <v>2710000</v>
      </c>
      <c r="H3249" s="14">
        <v>0.13075929750140999</v>
      </c>
      <c r="I3249" s="27">
        <f t="shared" si="50"/>
        <v>2355642.3037711792</v>
      </c>
      <c r="J3249">
        <v>4.0999999999999996</v>
      </c>
      <c r="K3249" t="b">
        <v>1</v>
      </c>
    </row>
    <row r="3250" spans="1:11" ht="16" x14ac:dyDescent="0.2">
      <c r="A3250" s="16">
        <v>45800</v>
      </c>
      <c r="B3250" t="s">
        <v>45</v>
      </c>
      <c r="C3250" t="s">
        <v>39</v>
      </c>
      <c r="D3250" t="s">
        <v>50</v>
      </c>
      <c r="E3250" t="s">
        <v>7641</v>
      </c>
      <c r="F3250">
        <v>1</v>
      </c>
      <c r="G3250" s="15">
        <v>2710000</v>
      </c>
      <c r="H3250" s="14">
        <v>0.13075929750140999</v>
      </c>
      <c r="I3250" s="27">
        <f t="shared" si="50"/>
        <v>2355642.3037711792</v>
      </c>
      <c r="J3250">
        <v>3.8</v>
      </c>
      <c r="K3250" t="b">
        <v>0</v>
      </c>
    </row>
    <row r="3251" spans="1:11" ht="16" x14ac:dyDescent="0.2">
      <c r="A3251" s="16">
        <v>45800</v>
      </c>
      <c r="B3251" t="s">
        <v>29</v>
      </c>
      <c r="C3251" t="s">
        <v>68</v>
      </c>
      <c r="D3251" t="s">
        <v>20</v>
      </c>
      <c r="E3251" t="s">
        <v>7644</v>
      </c>
      <c r="F3251">
        <v>1</v>
      </c>
      <c r="G3251" s="15">
        <v>2710000</v>
      </c>
      <c r="H3251" s="14">
        <v>0.13075929750140999</v>
      </c>
      <c r="I3251" s="27">
        <f t="shared" si="50"/>
        <v>2355642.3037711792</v>
      </c>
      <c r="J3251">
        <v>3.7</v>
      </c>
      <c r="K3251" t="b">
        <v>1</v>
      </c>
    </row>
    <row r="3252" spans="1:11" ht="16" x14ac:dyDescent="0.2">
      <c r="A3252" s="16">
        <v>45800</v>
      </c>
      <c r="B3252" t="s">
        <v>29</v>
      </c>
      <c r="C3252" t="s">
        <v>19</v>
      </c>
      <c r="D3252" t="s">
        <v>20</v>
      </c>
      <c r="E3252" t="s">
        <v>99</v>
      </c>
      <c r="F3252">
        <v>3</v>
      </c>
      <c r="G3252" s="15">
        <v>2710000</v>
      </c>
      <c r="H3252" s="14">
        <v>0.13075929750140999</v>
      </c>
      <c r="I3252" s="27">
        <f t="shared" si="50"/>
        <v>2355642.3037711792</v>
      </c>
      <c r="J3252">
        <v>3.8</v>
      </c>
      <c r="K3252" t="b">
        <v>1</v>
      </c>
    </row>
    <row r="3253" spans="1:11" ht="16" x14ac:dyDescent="0.2">
      <c r="A3253" s="16">
        <v>45800</v>
      </c>
      <c r="B3253" t="s">
        <v>18</v>
      </c>
      <c r="C3253" t="s">
        <v>45</v>
      </c>
      <c r="D3253" t="s">
        <v>20</v>
      </c>
      <c r="E3253" t="s">
        <v>99</v>
      </c>
      <c r="F3253">
        <v>4</v>
      </c>
      <c r="G3253" s="15">
        <v>2710000</v>
      </c>
      <c r="H3253" s="14">
        <v>0.13075929750140999</v>
      </c>
      <c r="I3253" s="27">
        <f t="shared" si="50"/>
        <v>2355642.3037711792</v>
      </c>
      <c r="J3253">
        <v>3.8</v>
      </c>
      <c r="K3253" t="b">
        <v>1</v>
      </c>
    </row>
    <row r="3254" spans="1:11" ht="16" x14ac:dyDescent="0.2">
      <c r="A3254" s="16">
        <v>45800</v>
      </c>
      <c r="B3254" t="s">
        <v>45</v>
      </c>
      <c r="C3254" t="s">
        <v>39</v>
      </c>
      <c r="D3254" t="s">
        <v>20</v>
      </c>
      <c r="E3254" t="s">
        <v>7638</v>
      </c>
      <c r="F3254">
        <v>1</v>
      </c>
      <c r="G3254" s="15">
        <v>2710000</v>
      </c>
      <c r="H3254" s="14">
        <v>0.13075929750140999</v>
      </c>
      <c r="I3254" s="27">
        <f t="shared" si="50"/>
        <v>2355642.3037711792</v>
      </c>
      <c r="J3254">
        <v>4.0999999999999996</v>
      </c>
      <c r="K3254" t="b">
        <v>1</v>
      </c>
    </row>
    <row r="3255" spans="1:11" ht="16" x14ac:dyDescent="0.2">
      <c r="A3255" s="16">
        <v>45801</v>
      </c>
      <c r="B3255" t="s">
        <v>33</v>
      </c>
      <c r="C3255" t="s">
        <v>39</v>
      </c>
      <c r="D3255" t="s">
        <v>20</v>
      </c>
      <c r="E3255" t="s">
        <v>7644</v>
      </c>
      <c r="F3255">
        <v>2</v>
      </c>
      <c r="G3255" s="15">
        <v>2710000</v>
      </c>
      <c r="H3255" s="14">
        <v>0.13075929750140999</v>
      </c>
      <c r="I3255" s="27">
        <f t="shared" si="50"/>
        <v>2355642.3037711792</v>
      </c>
      <c r="J3255">
        <v>4</v>
      </c>
      <c r="K3255" t="b">
        <v>1</v>
      </c>
    </row>
    <row r="3256" spans="1:11" ht="16" x14ac:dyDescent="0.2">
      <c r="A3256" s="16">
        <v>45801</v>
      </c>
      <c r="B3256" t="s">
        <v>29</v>
      </c>
      <c r="C3256" t="s">
        <v>39</v>
      </c>
      <c r="D3256" t="s">
        <v>20</v>
      </c>
      <c r="E3256" t="s">
        <v>7637</v>
      </c>
      <c r="F3256">
        <v>1</v>
      </c>
      <c r="G3256" s="15">
        <v>2710000</v>
      </c>
      <c r="H3256" s="14">
        <v>0.13075929750140999</v>
      </c>
      <c r="I3256" s="27">
        <f t="shared" si="50"/>
        <v>2355642.3037711792</v>
      </c>
      <c r="J3256">
        <v>4.5999999999999996</v>
      </c>
      <c r="K3256" t="b">
        <v>1</v>
      </c>
    </row>
    <row r="3257" spans="1:11" ht="16" x14ac:dyDescent="0.2">
      <c r="A3257" s="16">
        <v>45801</v>
      </c>
      <c r="B3257" t="s">
        <v>45</v>
      </c>
      <c r="C3257" t="s">
        <v>19</v>
      </c>
      <c r="D3257" t="s">
        <v>50</v>
      </c>
      <c r="E3257" t="s">
        <v>7641</v>
      </c>
      <c r="F3257">
        <v>2</v>
      </c>
      <c r="G3257" s="15">
        <v>2710000</v>
      </c>
      <c r="H3257" s="14">
        <v>0.13075929750140999</v>
      </c>
      <c r="I3257" s="27">
        <f t="shared" si="50"/>
        <v>2355642.3037711792</v>
      </c>
      <c r="J3257">
        <v>4.0999999999999996</v>
      </c>
      <c r="K3257" t="b">
        <v>0</v>
      </c>
    </row>
    <row r="3258" spans="1:11" ht="16" x14ac:dyDescent="0.2">
      <c r="A3258" s="16">
        <v>45803</v>
      </c>
      <c r="B3258" t="s">
        <v>45</v>
      </c>
      <c r="C3258" t="s">
        <v>68</v>
      </c>
      <c r="D3258" t="s">
        <v>20</v>
      </c>
      <c r="E3258" t="s">
        <v>7643</v>
      </c>
      <c r="F3258">
        <v>4</v>
      </c>
      <c r="G3258" s="15">
        <v>2710000</v>
      </c>
      <c r="H3258" s="14">
        <v>0.13075929750140999</v>
      </c>
      <c r="I3258" s="27">
        <f t="shared" si="50"/>
        <v>2355642.3037711792</v>
      </c>
      <c r="J3258">
        <v>5</v>
      </c>
      <c r="K3258" t="b">
        <v>1</v>
      </c>
    </row>
    <row r="3259" spans="1:11" ht="16" x14ac:dyDescent="0.2">
      <c r="A3259" s="16">
        <v>45803</v>
      </c>
      <c r="B3259" t="s">
        <v>45</v>
      </c>
      <c r="C3259" t="s">
        <v>45</v>
      </c>
      <c r="D3259" t="s">
        <v>20</v>
      </c>
      <c r="E3259" t="s">
        <v>7644</v>
      </c>
      <c r="F3259">
        <v>4</v>
      </c>
      <c r="G3259" s="15">
        <v>2710000</v>
      </c>
      <c r="H3259" s="14">
        <v>0.13075929750140999</v>
      </c>
      <c r="I3259" s="27">
        <f t="shared" si="50"/>
        <v>2355642.3037711792</v>
      </c>
      <c r="J3259">
        <v>3.2</v>
      </c>
      <c r="K3259" t="b">
        <v>1</v>
      </c>
    </row>
    <row r="3260" spans="1:11" ht="16" x14ac:dyDescent="0.2">
      <c r="A3260" s="16">
        <v>45804</v>
      </c>
      <c r="B3260" t="s">
        <v>18</v>
      </c>
      <c r="C3260" t="s">
        <v>68</v>
      </c>
      <c r="D3260" t="s">
        <v>50</v>
      </c>
      <c r="E3260" t="s">
        <v>7638</v>
      </c>
      <c r="F3260">
        <v>1</v>
      </c>
      <c r="G3260" s="15">
        <v>2710000</v>
      </c>
      <c r="H3260" s="14">
        <v>0.13075929750140999</v>
      </c>
      <c r="I3260" s="27">
        <f t="shared" si="50"/>
        <v>2355642.3037711792</v>
      </c>
      <c r="J3260">
        <v>4.4000000000000004</v>
      </c>
      <c r="K3260" t="b">
        <v>0</v>
      </c>
    </row>
    <row r="3261" spans="1:11" ht="16" x14ac:dyDescent="0.2">
      <c r="A3261" s="16">
        <v>45804</v>
      </c>
      <c r="B3261" t="s">
        <v>45</v>
      </c>
      <c r="C3261" t="s">
        <v>19</v>
      </c>
      <c r="D3261" t="s">
        <v>20</v>
      </c>
      <c r="E3261" t="s">
        <v>7643</v>
      </c>
      <c r="F3261">
        <v>1</v>
      </c>
      <c r="G3261" s="15">
        <v>2710000</v>
      </c>
      <c r="H3261" s="14">
        <v>0.13075929750140999</v>
      </c>
      <c r="I3261" s="27">
        <f t="shared" si="50"/>
        <v>2355642.3037711792</v>
      </c>
      <c r="J3261">
        <v>4.5999999999999996</v>
      </c>
      <c r="K3261" t="b">
        <v>0</v>
      </c>
    </row>
    <row r="3262" spans="1:11" ht="16" x14ac:dyDescent="0.2">
      <c r="A3262" s="16">
        <v>45805</v>
      </c>
      <c r="B3262" t="s">
        <v>45</v>
      </c>
      <c r="C3262" t="s">
        <v>25</v>
      </c>
      <c r="D3262" t="s">
        <v>20</v>
      </c>
      <c r="E3262" t="s">
        <v>7639</v>
      </c>
      <c r="F3262">
        <v>4</v>
      </c>
      <c r="G3262" s="15">
        <v>2710000</v>
      </c>
      <c r="H3262" s="14">
        <v>0.13075929750140999</v>
      </c>
      <c r="I3262" s="27">
        <f t="shared" si="50"/>
        <v>2355642.3037711792</v>
      </c>
      <c r="J3262">
        <v>4.2</v>
      </c>
      <c r="K3262" t="b">
        <v>1</v>
      </c>
    </row>
    <row r="3263" spans="1:11" ht="16" x14ac:dyDescent="0.2">
      <c r="A3263" s="16">
        <v>45805</v>
      </c>
      <c r="B3263" t="s">
        <v>45</v>
      </c>
      <c r="C3263" t="s">
        <v>39</v>
      </c>
      <c r="D3263" t="s">
        <v>20</v>
      </c>
      <c r="E3263" t="s">
        <v>7641</v>
      </c>
      <c r="F3263">
        <v>2</v>
      </c>
      <c r="G3263" s="15">
        <v>2710000</v>
      </c>
      <c r="H3263" s="14">
        <v>0.13075929750140999</v>
      </c>
      <c r="I3263" s="27">
        <f t="shared" si="50"/>
        <v>2355642.3037711792</v>
      </c>
      <c r="J3263">
        <v>3.9</v>
      </c>
      <c r="K3263" t="b">
        <v>1</v>
      </c>
    </row>
    <row r="3264" spans="1:11" ht="16" x14ac:dyDescent="0.2">
      <c r="A3264" s="16">
        <v>45805</v>
      </c>
      <c r="B3264" t="s">
        <v>18</v>
      </c>
      <c r="C3264" t="s">
        <v>45</v>
      </c>
      <c r="D3264" t="s">
        <v>35</v>
      </c>
      <c r="E3264" t="s">
        <v>7641</v>
      </c>
      <c r="F3264">
        <v>4</v>
      </c>
      <c r="G3264" s="15">
        <v>2710000</v>
      </c>
      <c r="H3264" s="14">
        <v>0.13075929750140999</v>
      </c>
      <c r="I3264" s="27">
        <f t="shared" si="50"/>
        <v>2355642.3037711792</v>
      </c>
      <c r="J3264">
        <v>4.9000000000000004</v>
      </c>
      <c r="K3264" t="b">
        <v>0</v>
      </c>
    </row>
    <row r="3265" spans="1:11" ht="16" x14ac:dyDescent="0.2">
      <c r="A3265" s="16">
        <v>45805</v>
      </c>
      <c r="B3265" t="s">
        <v>45</v>
      </c>
      <c r="C3265" t="s">
        <v>39</v>
      </c>
      <c r="D3265" t="s">
        <v>20</v>
      </c>
      <c r="E3265" t="s">
        <v>57</v>
      </c>
      <c r="F3265">
        <v>1</v>
      </c>
      <c r="G3265" s="15">
        <v>2710000</v>
      </c>
      <c r="H3265" s="14">
        <v>0.13075929750140999</v>
      </c>
      <c r="I3265" s="27">
        <f t="shared" si="50"/>
        <v>2355642.3037711792</v>
      </c>
      <c r="J3265">
        <v>4.9000000000000004</v>
      </c>
      <c r="K3265" t="b">
        <v>1</v>
      </c>
    </row>
    <row r="3266" spans="1:11" ht="16" x14ac:dyDescent="0.2">
      <c r="A3266" s="16">
        <v>45805</v>
      </c>
      <c r="B3266" t="s">
        <v>45</v>
      </c>
      <c r="C3266" t="s">
        <v>34</v>
      </c>
      <c r="D3266" t="s">
        <v>35</v>
      </c>
      <c r="E3266" t="str">
        <f>E3265</f>
        <v>Nha Trang</v>
      </c>
      <c r="F3266">
        <v>2</v>
      </c>
      <c r="G3266" s="15">
        <v>2710000</v>
      </c>
      <c r="H3266" s="14">
        <v>0.13075929750140999</v>
      </c>
      <c r="I3266" s="27">
        <f t="shared" si="50"/>
        <v>2355642.3037711792</v>
      </c>
      <c r="J3266">
        <v>4.5999999999999996</v>
      </c>
      <c r="K3266" t="b">
        <v>1</v>
      </c>
    </row>
    <row r="3267" spans="1:11" ht="16" x14ac:dyDescent="0.2">
      <c r="A3267" s="16">
        <v>45806</v>
      </c>
      <c r="B3267" t="s">
        <v>45</v>
      </c>
      <c r="C3267" t="s">
        <v>45</v>
      </c>
      <c r="D3267" t="s">
        <v>35</v>
      </c>
      <c r="E3267" t="s">
        <v>7644</v>
      </c>
      <c r="F3267">
        <v>1</v>
      </c>
      <c r="G3267" s="15">
        <v>2710000</v>
      </c>
      <c r="H3267" s="14">
        <v>0.13075929750140999</v>
      </c>
      <c r="I3267" s="27">
        <f t="shared" ref="I3267:I3330" si="51">G3267-G3267*H3267</f>
        <v>2355642.3037711792</v>
      </c>
      <c r="J3267">
        <v>4.0999999999999996</v>
      </c>
      <c r="K3267" t="b">
        <v>0</v>
      </c>
    </row>
    <row r="3268" spans="1:11" ht="16" x14ac:dyDescent="0.2">
      <c r="A3268" s="16">
        <v>45806</v>
      </c>
      <c r="B3268" t="s">
        <v>45</v>
      </c>
      <c r="C3268" t="s">
        <v>45</v>
      </c>
      <c r="D3268" t="s">
        <v>20</v>
      </c>
      <c r="E3268" t="s">
        <v>7638</v>
      </c>
      <c r="F3268">
        <v>3</v>
      </c>
      <c r="G3268" s="15">
        <v>2710000</v>
      </c>
      <c r="H3268" s="14">
        <v>0.13075929750140999</v>
      </c>
      <c r="I3268" s="27">
        <f t="shared" si="51"/>
        <v>2355642.3037711792</v>
      </c>
      <c r="J3268">
        <v>4.3</v>
      </c>
      <c r="K3268" t="b">
        <v>0</v>
      </c>
    </row>
    <row r="3269" spans="1:11" ht="16" x14ac:dyDescent="0.2">
      <c r="A3269" s="16">
        <v>45806</v>
      </c>
      <c r="B3269" t="s">
        <v>18</v>
      </c>
      <c r="C3269" t="s">
        <v>34</v>
      </c>
      <c r="D3269" t="s">
        <v>50</v>
      </c>
      <c r="E3269" t="s">
        <v>99</v>
      </c>
      <c r="F3269">
        <v>3</v>
      </c>
      <c r="G3269" s="15">
        <v>2710000</v>
      </c>
      <c r="H3269" s="14">
        <v>0.13075929750140999</v>
      </c>
      <c r="I3269" s="27">
        <f t="shared" si="51"/>
        <v>2355642.3037711792</v>
      </c>
      <c r="J3269">
        <v>3.7</v>
      </c>
      <c r="K3269" t="b">
        <v>1</v>
      </c>
    </row>
    <row r="3270" spans="1:11" ht="16" x14ac:dyDescent="0.2">
      <c r="A3270" s="16">
        <v>45806</v>
      </c>
      <c r="B3270" t="s">
        <v>45</v>
      </c>
      <c r="C3270" t="s">
        <v>45</v>
      </c>
      <c r="D3270" t="s">
        <v>20</v>
      </c>
      <c r="E3270" t="str">
        <f>E3269</f>
        <v>Sa Pa</v>
      </c>
      <c r="F3270">
        <v>3</v>
      </c>
      <c r="G3270" s="15">
        <v>2710000</v>
      </c>
      <c r="H3270" s="14">
        <v>0.13075929750140999</v>
      </c>
      <c r="I3270" s="27">
        <f t="shared" si="51"/>
        <v>2355642.3037711792</v>
      </c>
      <c r="J3270">
        <v>3.5</v>
      </c>
      <c r="K3270" t="b">
        <v>1</v>
      </c>
    </row>
    <row r="3271" spans="1:11" ht="16" x14ac:dyDescent="0.2">
      <c r="A3271" s="16">
        <v>45806</v>
      </c>
      <c r="B3271" t="s">
        <v>18</v>
      </c>
      <c r="C3271" t="s">
        <v>19</v>
      </c>
      <c r="D3271" t="s">
        <v>35</v>
      </c>
      <c r="E3271" t="s">
        <v>7638</v>
      </c>
      <c r="F3271">
        <v>2</v>
      </c>
      <c r="G3271" s="15">
        <v>2710000</v>
      </c>
      <c r="H3271" s="14">
        <v>0.13075929750140999</v>
      </c>
      <c r="I3271" s="27">
        <f t="shared" si="51"/>
        <v>2355642.3037711792</v>
      </c>
      <c r="J3271">
        <v>3.5</v>
      </c>
      <c r="K3271" t="b">
        <v>0</v>
      </c>
    </row>
    <row r="3272" spans="1:11" ht="16" x14ac:dyDescent="0.2">
      <c r="A3272" s="16">
        <v>45807</v>
      </c>
      <c r="B3272" t="s">
        <v>33</v>
      </c>
      <c r="C3272" t="s">
        <v>34</v>
      </c>
      <c r="D3272" t="s">
        <v>50</v>
      </c>
      <c r="E3272" t="s">
        <v>7642</v>
      </c>
      <c r="F3272">
        <v>1</v>
      </c>
      <c r="G3272" s="15">
        <v>2710000</v>
      </c>
      <c r="H3272" s="14">
        <v>0.13075929750140999</v>
      </c>
      <c r="I3272" s="27">
        <f t="shared" si="51"/>
        <v>2355642.3037711792</v>
      </c>
      <c r="J3272">
        <v>4.5999999999999996</v>
      </c>
      <c r="K3272" t="b">
        <v>1</v>
      </c>
    </row>
    <row r="3273" spans="1:11" ht="16" x14ac:dyDescent="0.2">
      <c r="A3273" s="16">
        <v>45807</v>
      </c>
      <c r="B3273" t="s">
        <v>33</v>
      </c>
      <c r="C3273" t="s">
        <v>34</v>
      </c>
      <c r="D3273" t="s">
        <v>20</v>
      </c>
      <c r="E3273" t="s">
        <v>7641</v>
      </c>
      <c r="F3273">
        <v>2</v>
      </c>
      <c r="G3273" s="15">
        <v>2710000</v>
      </c>
      <c r="H3273" s="14">
        <v>0.13075929750140999</v>
      </c>
      <c r="I3273" s="27">
        <f t="shared" si="51"/>
        <v>2355642.3037711792</v>
      </c>
      <c r="J3273">
        <v>4.4000000000000004</v>
      </c>
      <c r="K3273" t="b">
        <v>0</v>
      </c>
    </row>
    <row r="3274" spans="1:11" ht="16" x14ac:dyDescent="0.2">
      <c r="A3274" s="16">
        <v>45807</v>
      </c>
      <c r="B3274" t="s">
        <v>45</v>
      </c>
      <c r="C3274" t="s">
        <v>34</v>
      </c>
      <c r="D3274" t="s">
        <v>50</v>
      </c>
      <c r="E3274" t="s">
        <v>7643</v>
      </c>
      <c r="F3274">
        <v>2</v>
      </c>
      <c r="G3274" s="15">
        <v>2710000</v>
      </c>
      <c r="H3274" s="14">
        <v>0.13075929750140999</v>
      </c>
      <c r="I3274" s="27">
        <f t="shared" si="51"/>
        <v>2355642.3037711792</v>
      </c>
      <c r="J3274">
        <v>3.2</v>
      </c>
      <c r="K3274" t="b">
        <v>1</v>
      </c>
    </row>
    <row r="3275" spans="1:11" ht="16" x14ac:dyDescent="0.2">
      <c r="A3275" s="16">
        <v>45807</v>
      </c>
      <c r="B3275" t="s">
        <v>45</v>
      </c>
      <c r="C3275" t="s">
        <v>39</v>
      </c>
      <c r="D3275" t="s">
        <v>20</v>
      </c>
      <c r="E3275" t="s">
        <v>7641</v>
      </c>
      <c r="F3275">
        <v>1</v>
      </c>
      <c r="G3275" s="15">
        <v>2710000</v>
      </c>
      <c r="H3275" s="14">
        <v>0.13075929750140999</v>
      </c>
      <c r="I3275" s="27">
        <f t="shared" si="51"/>
        <v>2355642.3037711792</v>
      </c>
      <c r="J3275">
        <v>4.7</v>
      </c>
      <c r="K3275" t="b">
        <v>0</v>
      </c>
    </row>
    <row r="3276" spans="1:11" ht="16" x14ac:dyDescent="0.2">
      <c r="A3276" s="16">
        <v>45807</v>
      </c>
      <c r="B3276" t="s">
        <v>18</v>
      </c>
      <c r="C3276" t="s">
        <v>34</v>
      </c>
      <c r="D3276" t="s">
        <v>35</v>
      </c>
      <c r="E3276" t="s">
        <v>7641</v>
      </c>
      <c r="F3276">
        <v>1</v>
      </c>
      <c r="G3276" s="15">
        <v>2710000</v>
      </c>
      <c r="H3276" s="14">
        <v>0.13075929750140999</v>
      </c>
      <c r="I3276" s="27">
        <f t="shared" si="51"/>
        <v>2355642.3037711792</v>
      </c>
      <c r="J3276">
        <v>4.5</v>
      </c>
      <c r="K3276" t="b">
        <v>1</v>
      </c>
    </row>
    <row r="3277" spans="1:11" ht="16" x14ac:dyDescent="0.2">
      <c r="A3277" s="16">
        <v>45808</v>
      </c>
      <c r="B3277" t="s">
        <v>18</v>
      </c>
      <c r="C3277" t="s">
        <v>45</v>
      </c>
      <c r="D3277" t="s">
        <v>20</v>
      </c>
      <c r="E3277" t="s">
        <v>7641</v>
      </c>
      <c r="F3277">
        <v>1</v>
      </c>
      <c r="G3277" s="15">
        <v>2710000</v>
      </c>
      <c r="H3277" s="14">
        <v>0.13075929750140999</v>
      </c>
      <c r="I3277" s="27">
        <f t="shared" si="51"/>
        <v>2355642.3037711792</v>
      </c>
      <c r="J3277">
        <v>4.5</v>
      </c>
      <c r="K3277" t="b">
        <v>0</v>
      </c>
    </row>
    <row r="3278" spans="1:11" ht="16" x14ac:dyDescent="0.2">
      <c r="A3278" s="16">
        <v>45808</v>
      </c>
      <c r="B3278" t="s">
        <v>45</v>
      </c>
      <c r="C3278" t="s">
        <v>45</v>
      </c>
      <c r="D3278" t="s">
        <v>50</v>
      </c>
      <c r="E3278" t="s">
        <v>7640</v>
      </c>
      <c r="F3278">
        <v>5</v>
      </c>
      <c r="G3278" s="15">
        <v>2710000</v>
      </c>
      <c r="H3278" s="14">
        <v>0.13075929750140999</v>
      </c>
      <c r="I3278" s="27">
        <f t="shared" si="51"/>
        <v>2355642.3037711792</v>
      </c>
      <c r="J3278">
        <v>5</v>
      </c>
      <c r="K3278" t="b">
        <v>1</v>
      </c>
    </row>
    <row r="3279" spans="1:11" ht="16" x14ac:dyDescent="0.2">
      <c r="A3279" s="16">
        <v>45808</v>
      </c>
      <c r="B3279" t="s">
        <v>45</v>
      </c>
      <c r="C3279" t="s">
        <v>34</v>
      </c>
      <c r="D3279" t="s">
        <v>20</v>
      </c>
      <c r="E3279" t="s">
        <v>7637</v>
      </c>
      <c r="F3279">
        <v>1</v>
      </c>
      <c r="G3279" s="15">
        <v>2710000</v>
      </c>
      <c r="H3279" s="14">
        <v>0.13075929750140999</v>
      </c>
      <c r="I3279" s="27">
        <f t="shared" si="51"/>
        <v>2355642.3037711792</v>
      </c>
      <c r="J3279">
        <v>4</v>
      </c>
      <c r="K3279" t="b">
        <v>1</v>
      </c>
    </row>
    <row r="3280" spans="1:11" ht="16" x14ac:dyDescent="0.2">
      <c r="A3280" s="16">
        <v>45808</v>
      </c>
      <c r="B3280" t="s">
        <v>18</v>
      </c>
      <c r="C3280" t="s">
        <v>68</v>
      </c>
      <c r="D3280" t="s">
        <v>20</v>
      </c>
      <c r="E3280" t="str">
        <f>E3279</f>
        <v>Đà Nẵng</v>
      </c>
      <c r="F3280">
        <v>2</v>
      </c>
      <c r="G3280" s="15">
        <v>2710000</v>
      </c>
      <c r="H3280" s="14">
        <v>0.13075929750140999</v>
      </c>
      <c r="I3280" s="27">
        <f t="shared" si="51"/>
        <v>2355642.3037711792</v>
      </c>
      <c r="J3280">
        <v>4.4000000000000004</v>
      </c>
      <c r="K3280" t="b">
        <v>1</v>
      </c>
    </row>
    <row r="3281" spans="1:11" ht="16" x14ac:dyDescent="0.2">
      <c r="A3281" s="16">
        <v>45808</v>
      </c>
      <c r="B3281" t="s">
        <v>45</v>
      </c>
      <c r="C3281" t="s">
        <v>25</v>
      </c>
      <c r="D3281" t="s">
        <v>35</v>
      </c>
      <c r="E3281" t="s">
        <v>99</v>
      </c>
      <c r="F3281">
        <v>2</v>
      </c>
      <c r="G3281" s="15">
        <v>2710000</v>
      </c>
      <c r="H3281" s="14">
        <v>0.13075929750140999</v>
      </c>
      <c r="I3281" s="27">
        <f t="shared" si="51"/>
        <v>2355642.3037711792</v>
      </c>
      <c r="J3281">
        <v>3.7</v>
      </c>
      <c r="K3281" t="b">
        <v>1</v>
      </c>
    </row>
    <row r="3282" spans="1:11" ht="16" x14ac:dyDescent="0.2">
      <c r="A3282" s="16">
        <v>45809</v>
      </c>
      <c r="B3282" t="s">
        <v>45</v>
      </c>
      <c r="C3282" t="s">
        <v>34</v>
      </c>
      <c r="D3282" t="s">
        <v>35</v>
      </c>
      <c r="E3282" t="s">
        <v>7637</v>
      </c>
      <c r="F3282">
        <v>2</v>
      </c>
      <c r="G3282" s="15">
        <v>2710000</v>
      </c>
      <c r="H3282" s="14">
        <v>0.13075929750140999</v>
      </c>
      <c r="I3282" s="27">
        <f t="shared" si="51"/>
        <v>2355642.3037711792</v>
      </c>
      <c r="J3282">
        <v>3.8</v>
      </c>
      <c r="K3282" t="b">
        <v>1</v>
      </c>
    </row>
    <row r="3283" spans="1:11" ht="16" x14ac:dyDescent="0.2">
      <c r="A3283" s="16">
        <v>45809</v>
      </c>
      <c r="B3283" t="s">
        <v>33</v>
      </c>
      <c r="C3283" t="s">
        <v>34</v>
      </c>
      <c r="D3283" t="s">
        <v>20</v>
      </c>
      <c r="E3283" t="s">
        <v>7639</v>
      </c>
      <c r="F3283">
        <v>2</v>
      </c>
      <c r="G3283" s="15">
        <v>2710000</v>
      </c>
      <c r="H3283" s="14">
        <v>0.13075929750140999</v>
      </c>
      <c r="I3283" s="27">
        <f t="shared" si="51"/>
        <v>2355642.3037711792</v>
      </c>
      <c r="J3283">
        <v>3.6</v>
      </c>
      <c r="K3283" t="b">
        <v>0</v>
      </c>
    </row>
    <row r="3284" spans="1:11" ht="16" x14ac:dyDescent="0.2">
      <c r="A3284" s="16">
        <v>45809</v>
      </c>
      <c r="B3284" t="s">
        <v>45</v>
      </c>
      <c r="C3284" t="s">
        <v>45</v>
      </c>
      <c r="D3284" t="s">
        <v>20</v>
      </c>
      <c r="E3284" t="s">
        <v>7643</v>
      </c>
      <c r="F3284">
        <v>5</v>
      </c>
      <c r="G3284" s="15">
        <v>2710000</v>
      </c>
      <c r="H3284" s="14">
        <v>0.13075929750140999</v>
      </c>
      <c r="I3284" s="27">
        <f t="shared" si="51"/>
        <v>2355642.3037711792</v>
      </c>
      <c r="J3284">
        <v>4.9000000000000004</v>
      </c>
      <c r="K3284" t="b">
        <v>1</v>
      </c>
    </row>
    <row r="3285" spans="1:11" ht="16" x14ac:dyDescent="0.2">
      <c r="A3285" s="16">
        <v>45809</v>
      </c>
      <c r="B3285" t="s">
        <v>45</v>
      </c>
      <c r="C3285" t="s">
        <v>45</v>
      </c>
      <c r="D3285" t="s">
        <v>50</v>
      </c>
      <c r="E3285" t="s">
        <v>7640</v>
      </c>
      <c r="F3285">
        <v>3</v>
      </c>
      <c r="G3285" s="15">
        <v>2710000</v>
      </c>
      <c r="H3285" s="14">
        <v>0.13075929750140999</v>
      </c>
      <c r="I3285" s="27">
        <f t="shared" si="51"/>
        <v>2355642.3037711792</v>
      </c>
      <c r="J3285">
        <v>4.5</v>
      </c>
      <c r="K3285" t="b">
        <v>1</v>
      </c>
    </row>
    <row r="3286" spans="1:11" ht="16" x14ac:dyDescent="0.2">
      <c r="A3286" s="16">
        <v>45809</v>
      </c>
      <c r="B3286" t="s">
        <v>18</v>
      </c>
      <c r="C3286" t="s">
        <v>34</v>
      </c>
      <c r="D3286" t="s">
        <v>20</v>
      </c>
      <c r="E3286" t="s">
        <v>7644</v>
      </c>
      <c r="F3286">
        <v>2</v>
      </c>
      <c r="G3286" s="15">
        <v>2710000</v>
      </c>
      <c r="H3286" s="14">
        <v>0.13075929750140999</v>
      </c>
      <c r="I3286" s="27">
        <f t="shared" si="51"/>
        <v>2355642.3037711792</v>
      </c>
      <c r="J3286">
        <v>4.2</v>
      </c>
      <c r="K3286" t="b">
        <v>1</v>
      </c>
    </row>
    <row r="3287" spans="1:11" ht="16" x14ac:dyDescent="0.2">
      <c r="A3287" s="16">
        <v>45810</v>
      </c>
      <c r="B3287" t="s">
        <v>45</v>
      </c>
      <c r="C3287" t="s">
        <v>34</v>
      </c>
      <c r="D3287" t="s">
        <v>35</v>
      </c>
      <c r="E3287" t="s">
        <v>7644</v>
      </c>
      <c r="F3287">
        <v>3</v>
      </c>
      <c r="G3287" s="15">
        <v>2710000</v>
      </c>
      <c r="H3287" s="14">
        <v>0.13075929750140999</v>
      </c>
      <c r="I3287" s="27">
        <f t="shared" si="51"/>
        <v>2355642.3037711792</v>
      </c>
      <c r="J3287">
        <v>3.9</v>
      </c>
      <c r="K3287" t="b">
        <v>1</v>
      </c>
    </row>
    <row r="3288" spans="1:11" ht="16" x14ac:dyDescent="0.2">
      <c r="A3288" s="16">
        <v>45810</v>
      </c>
      <c r="B3288" t="s">
        <v>45</v>
      </c>
      <c r="C3288" t="s">
        <v>39</v>
      </c>
      <c r="D3288" t="s">
        <v>20</v>
      </c>
      <c r="E3288" t="s">
        <v>7640</v>
      </c>
      <c r="F3288">
        <v>3</v>
      </c>
      <c r="G3288" s="15">
        <v>2710000</v>
      </c>
      <c r="H3288" s="14">
        <v>0.13075929750140999</v>
      </c>
      <c r="I3288" s="27">
        <f t="shared" si="51"/>
        <v>2355642.3037711792</v>
      </c>
      <c r="J3288">
        <v>3.5</v>
      </c>
      <c r="K3288" t="b">
        <v>1</v>
      </c>
    </row>
    <row r="3289" spans="1:11" ht="16" x14ac:dyDescent="0.2">
      <c r="A3289" s="16">
        <v>45810</v>
      </c>
      <c r="B3289" t="s">
        <v>29</v>
      </c>
      <c r="C3289" t="s">
        <v>19</v>
      </c>
      <c r="D3289" t="str">
        <f>D3288</f>
        <v>Website</v>
      </c>
      <c r="E3289" t="s">
        <v>7639</v>
      </c>
      <c r="F3289">
        <v>1</v>
      </c>
      <c r="G3289" s="15">
        <v>2710000</v>
      </c>
      <c r="H3289" s="14">
        <v>0.13075929750140999</v>
      </c>
      <c r="I3289" s="27">
        <f t="shared" si="51"/>
        <v>2355642.3037711792</v>
      </c>
      <c r="J3289">
        <v>3.5</v>
      </c>
      <c r="K3289" t="b">
        <v>1</v>
      </c>
    </row>
    <row r="3290" spans="1:11" ht="16" x14ac:dyDescent="0.2">
      <c r="A3290" s="16">
        <v>45810</v>
      </c>
      <c r="B3290" t="s">
        <v>18</v>
      </c>
      <c r="C3290" t="s">
        <v>39</v>
      </c>
      <c r="D3290" t="s">
        <v>20</v>
      </c>
      <c r="E3290" t="s">
        <v>99</v>
      </c>
      <c r="F3290">
        <v>3</v>
      </c>
      <c r="G3290" s="15">
        <v>2710000</v>
      </c>
      <c r="H3290" s="14">
        <v>0.13075929750140999</v>
      </c>
      <c r="I3290" s="27">
        <f t="shared" si="51"/>
        <v>2355642.3037711792</v>
      </c>
      <c r="J3290">
        <v>4.3</v>
      </c>
      <c r="K3290" t="b">
        <v>0</v>
      </c>
    </row>
    <row r="3291" spans="1:11" ht="16" x14ac:dyDescent="0.2">
      <c r="A3291" s="16">
        <v>45810</v>
      </c>
      <c r="B3291" t="s">
        <v>18</v>
      </c>
      <c r="C3291" t="s">
        <v>25</v>
      </c>
      <c r="D3291" t="s">
        <v>20</v>
      </c>
      <c r="E3291" t="s">
        <v>7637</v>
      </c>
      <c r="F3291">
        <v>2</v>
      </c>
      <c r="G3291" s="15">
        <v>2710000</v>
      </c>
      <c r="H3291" s="14">
        <v>0.13075929750140999</v>
      </c>
      <c r="I3291" s="27">
        <f t="shared" si="51"/>
        <v>2355642.3037711792</v>
      </c>
      <c r="J3291">
        <v>4.8</v>
      </c>
      <c r="K3291" t="b">
        <v>1</v>
      </c>
    </row>
    <row r="3292" spans="1:11" ht="16" x14ac:dyDescent="0.2">
      <c r="A3292" s="16">
        <v>45810</v>
      </c>
      <c r="B3292" t="s">
        <v>18</v>
      </c>
      <c r="C3292" t="s">
        <v>39</v>
      </c>
      <c r="D3292" t="s">
        <v>35</v>
      </c>
      <c r="E3292" t="s">
        <v>7637</v>
      </c>
      <c r="F3292">
        <v>2</v>
      </c>
      <c r="G3292" s="15">
        <v>2710000</v>
      </c>
      <c r="H3292" s="14">
        <v>0.13075929750140999</v>
      </c>
      <c r="I3292" s="27">
        <f t="shared" si="51"/>
        <v>2355642.3037711792</v>
      </c>
      <c r="J3292">
        <v>4.2</v>
      </c>
      <c r="K3292" t="b">
        <v>1</v>
      </c>
    </row>
    <row r="3293" spans="1:11" ht="16" x14ac:dyDescent="0.2">
      <c r="A3293" s="16">
        <v>45810</v>
      </c>
      <c r="B3293" t="s">
        <v>29</v>
      </c>
      <c r="C3293" t="s">
        <v>34</v>
      </c>
      <c r="D3293" t="s">
        <v>50</v>
      </c>
      <c r="E3293" t="s">
        <v>7644</v>
      </c>
      <c r="F3293">
        <v>1</v>
      </c>
      <c r="G3293" s="15">
        <v>2710000</v>
      </c>
      <c r="H3293" s="14">
        <v>0.13075929750140999</v>
      </c>
      <c r="I3293" s="27">
        <f t="shared" si="51"/>
        <v>2355642.3037711792</v>
      </c>
      <c r="J3293">
        <v>4.8</v>
      </c>
      <c r="K3293" t="b">
        <v>1</v>
      </c>
    </row>
    <row r="3294" spans="1:11" ht="16" x14ac:dyDescent="0.2">
      <c r="A3294" s="16">
        <v>45811</v>
      </c>
      <c r="B3294" t="s">
        <v>18</v>
      </c>
      <c r="C3294" t="s">
        <v>25</v>
      </c>
      <c r="D3294" t="s">
        <v>20</v>
      </c>
      <c r="E3294" t="s">
        <v>7641</v>
      </c>
      <c r="F3294">
        <v>3</v>
      </c>
      <c r="G3294" s="15">
        <v>2710000</v>
      </c>
      <c r="H3294" s="14">
        <v>0.13075929750140999</v>
      </c>
      <c r="I3294" s="27">
        <f t="shared" si="51"/>
        <v>2355642.3037711792</v>
      </c>
      <c r="J3294">
        <v>3.5</v>
      </c>
      <c r="K3294" t="b">
        <v>1</v>
      </c>
    </row>
    <row r="3295" spans="1:11" ht="16" x14ac:dyDescent="0.2">
      <c r="A3295" s="16">
        <v>45811</v>
      </c>
      <c r="B3295" t="s">
        <v>29</v>
      </c>
      <c r="C3295" t="s">
        <v>34</v>
      </c>
      <c r="D3295" t="str">
        <f>D3294</f>
        <v>Website</v>
      </c>
      <c r="E3295" t="s">
        <v>7641</v>
      </c>
      <c r="F3295">
        <v>1</v>
      </c>
      <c r="G3295" s="15">
        <v>2710000</v>
      </c>
      <c r="H3295" s="14">
        <v>0.13075929750140999</v>
      </c>
      <c r="I3295" s="27">
        <f t="shared" si="51"/>
        <v>2355642.3037711792</v>
      </c>
      <c r="J3295">
        <v>4.5</v>
      </c>
      <c r="K3295" t="b">
        <v>0</v>
      </c>
    </row>
    <row r="3296" spans="1:11" ht="16" x14ac:dyDescent="0.2">
      <c r="A3296" s="16">
        <v>45811</v>
      </c>
      <c r="B3296" t="s">
        <v>18</v>
      </c>
      <c r="C3296" t="s">
        <v>19</v>
      </c>
      <c r="D3296" t="s">
        <v>20</v>
      </c>
      <c r="E3296" t="s">
        <v>57</v>
      </c>
      <c r="F3296">
        <v>2</v>
      </c>
      <c r="G3296" s="15">
        <v>2710000</v>
      </c>
      <c r="H3296" s="14">
        <v>0.13075929750140999</v>
      </c>
      <c r="I3296" s="27">
        <f t="shared" si="51"/>
        <v>2355642.3037711792</v>
      </c>
      <c r="J3296">
        <v>4</v>
      </c>
      <c r="K3296" t="b">
        <v>0</v>
      </c>
    </row>
    <row r="3297" spans="1:11" ht="16" x14ac:dyDescent="0.2">
      <c r="A3297" s="16">
        <v>45811</v>
      </c>
      <c r="B3297" t="s">
        <v>18</v>
      </c>
      <c r="C3297" t="s">
        <v>34</v>
      </c>
      <c r="D3297" t="s">
        <v>20</v>
      </c>
      <c r="E3297" t="s">
        <v>7641</v>
      </c>
      <c r="F3297">
        <v>1</v>
      </c>
      <c r="G3297" s="15">
        <v>2710000</v>
      </c>
      <c r="H3297" s="14">
        <v>0.13075929750140999</v>
      </c>
      <c r="I3297" s="27">
        <f t="shared" si="51"/>
        <v>2355642.3037711792</v>
      </c>
      <c r="J3297">
        <v>4.4000000000000004</v>
      </c>
      <c r="K3297" t="b">
        <v>1</v>
      </c>
    </row>
    <row r="3298" spans="1:11" ht="16" x14ac:dyDescent="0.2">
      <c r="A3298" s="16">
        <v>45811</v>
      </c>
      <c r="B3298" t="s">
        <v>45</v>
      </c>
      <c r="C3298" t="s">
        <v>34</v>
      </c>
      <c r="D3298" t="s">
        <v>50</v>
      </c>
      <c r="E3298" t="s">
        <v>7638</v>
      </c>
      <c r="F3298">
        <v>4</v>
      </c>
      <c r="G3298" s="15">
        <v>2710000</v>
      </c>
      <c r="H3298" s="14">
        <v>0.13075929750140999</v>
      </c>
      <c r="I3298" s="27">
        <f t="shared" si="51"/>
        <v>2355642.3037711792</v>
      </c>
      <c r="J3298">
        <v>5</v>
      </c>
      <c r="K3298" t="b">
        <v>1</v>
      </c>
    </row>
    <row r="3299" spans="1:11" ht="16" x14ac:dyDescent="0.2">
      <c r="A3299" s="16">
        <v>45812</v>
      </c>
      <c r="B3299" t="s">
        <v>45</v>
      </c>
      <c r="C3299" t="s">
        <v>19</v>
      </c>
      <c r="D3299" t="s">
        <v>20</v>
      </c>
      <c r="E3299" t="s">
        <v>7642</v>
      </c>
      <c r="F3299">
        <v>4</v>
      </c>
      <c r="G3299" s="15">
        <v>2710000</v>
      </c>
      <c r="H3299" s="14">
        <v>0.13075929750140999</v>
      </c>
      <c r="I3299" s="27">
        <f t="shared" si="51"/>
        <v>2355642.3037711792</v>
      </c>
      <c r="J3299">
        <v>4.7</v>
      </c>
      <c r="K3299" t="b">
        <v>0</v>
      </c>
    </row>
    <row r="3300" spans="1:11" ht="16" x14ac:dyDescent="0.2">
      <c r="A3300" s="16">
        <v>45812</v>
      </c>
      <c r="B3300" t="s">
        <v>45</v>
      </c>
      <c r="C3300" t="s">
        <v>34</v>
      </c>
      <c r="D3300" t="s">
        <v>46</v>
      </c>
      <c r="E3300" t="s">
        <v>7641</v>
      </c>
      <c r="F3300">
        <v>1</v>
      </c>
      <c r="G3300" s="15">
        <v>2710000</v>
      </c>
      <c r="H3300" s="14">
        <v>0.13075929750140999</v>
      </c>
      <c r="I3300" s="27">
        <f t="shared" si="51"/>
        <v>2355642.3037711792</v>
      </c>
      <c r="J3300">
        <v>4.3</v>
      </c>
      <c r="K3300" t="b">
        <v>1</v>
      </c>
    </row>
    <row r="3301" spans="1:11" ht="16" x14ac:dyDescent="0.2">
      <c r="A3301" s="16">
        <v>45812</v>
      </c>
      <c r="B3301" t="s">
        <v>45</v>
      </c>
      <c r="C3301" t="s">
        <v>68</v>
      </c>
      <c r="D3301" t="s">
        <v>20</v>
      </c>
      <c r="E3301" t="str">
        <f>E3300</f>
        <v>Phú Quốc</v>
      </c>
      <c r="F3301">
        <v>3</v>
      </c>
      <c r="G3301" s="15">
        <v>2710000</v>
      </c>
      <c r="H3301" s="14">
        <v>0.13075929750140999</v>
      </c>
      <c r="I3301" s="27">
        <f t="shared" si="51"/>
        <v>2355642.3037711792</v>
      </c>
      <c r="J3301">
        <v>4.5999999999999996</v>
      </c>
      <c r="K3301" t="b">
        <v>1</v>
      </c>
    </row>
    <row r="3302" spans="1:11" ht="16" x14ac:dyDescent="0.2">
      <c r="A3302" s="16">
        <v>45812</v>
      </c>
      <c r="B3302" t="s">
        <v>45</v>
      </c>
      <c r="C3302" t="s">
        <v>45</v>
      </c>
      <c r="D3302" t="s">
        <v>20</v>
      </c>
      <c r="E3302" t="s">
        <v>7642</v>
      </c>
      <c r="F3302">
        <v>1</v>
      </c>
      <c r="G3302" s="15">
        <v>2710000</v>
      </c>
      <c r="H3302" s="14">
        <v>0.13075929750140999</v>
      </c>
      <c r="I3302" s="27">
        <f t="shared" si="51"/>
        <v>2355642.3037711792</v>
      </c>
      <c r="J3302">
        <v>4</v>
      </c>
      <c r="K3302" t="b">
        <v>1</v>
      </c>
    </row>
    <row r="3303" spans="1:11" ht="16" x14ac:dyDescent="0.2">
      <c r="A3303" s="16">
        <v>45813</v>
      </c>
      <c r="B3303" t="s">
        <v>33</v>
      </c>
      <c r="C3303" t="s">
        <v>39</v>
      </c>
      <c r="D3303" t="s">
        <v>20</v>
      </c>
      <c r="E3303" t="s">
        <v>7641</v>
      </c>
      <c r="F3303">
        <v>1</v>
      </c>
      <c r="G3303" s="15">
        <v>2710000</v>
      </c>
      <c r="H3303" s="14">
        <v>0.13075929750140999</v>
      </c>
      <c r="I3303" s="27">
        <f t="shared" si="51"/>
        <v>2355642.3037711792</v>
      </c>
      <c r="J3303">
        <v>4.3</v>
      </c>
      <c r="K3303" t="b">
        <v>1</v>
      </c>
    </row>
    <row r="3304" spans="1:11" ht="16" x14ac:dyDescent="0.2">
      <c r="A3304" s="16">
        <v>45813</v>
      </c>
      <c r="B3304" t="s">
        <v>18</v>
      </c>
      <c r="C3304" t="s">
        <v>34</v>
      </c>
      <c r="D3304" t="s">
        <v>20</v>
      </c>
      <c r="E3304" t="s">
        <v>7637</v>
      </c>
      <c r="F3304">
        <v>4</v>
      </c>
      <c r="G3304" s="15">
        <v>2710000</v>
      </c>
      <c r="H3304" s="14">
        <v>0.13075929750140999</v>
      </c>
      <c r="I3304" s="27">
        <f t="shared" si="51"/>
        <v>2355642.3037711792</v>
      </c>
      <c r="J3304">
        <v>3.7</v>
      </c>
      <c r="K3304" t="b">
        <v>1</v>
      </c>
    </row>
    <row r="3305" spans="1:11" ht="16" x14ac:dyDescent="0.2">
      <c r="A3305" s="16">
        <v>45813</v>
      </c>
      <c r="B3305" t="s">
        <v>29</v>
      </c>
      <c r="C3305" t="s">
        <v>45</v>
      </c>
      <c r="D3305" t="s">
        <v>50</v>
      </c>
      <c r="E3305" t="s">
        <v>7642</v>
      </c>
      <c r="F3305">
        <v>5</v>
      </c>
      <c r="G3305" s="15">
        <v>2710000</v>
      </c>
      <c r="H3305" s="14">
        <v>0.13075929750140999</v>
      </c>
      <c r="I3305" s="27">
        <f t="shared" si="51"/>
        <v>2355642.3037711792</v>
      </c>
      <c r="J3305">
        <v>4.9000000000000004</v>
      </c>
      <c r="K3305" t="b">
        <v>1</v>
      </c>
    </row>
    <row r="3306" spans="1:11" ht="16" x14ac:dyDescent="0.2">
      <c r="A3306" s="16">
        <v>45813</v>
      </c>
      <c r="B3306" t="s">
        <v>18</v>
      </c>
      <c r="C3306" t="s">
        <v>39</v>
      </c>
      <c r="D3306" t="s">
        <v>20</v>
      </c>
      <c r="E3306" t="s">
        <v>7637</v>
      </c>
      <c r="F3306">
        <v>1</v>
      </c>
      <c r="G3306" s="15">
        <v>2710000</v>
      </c>
      <c r="H3306" s="14">
        <v>0.13075929750140999</v>
      </c>
      <c r="I3306" s="27">
        <f t="shared" si="51"/>
        <v>2355642.3037711792</v>
      </c>
      <c r="J3306">
        <v>4.7</v>
      </c>
      <c r="K3306" t="b">
        <v>1</v>
      </c>
    </row>
    <row r="3307" spans="1:11" ht="16" x14ac:dyDescent="0.2">
      <c r="A3307" s="16">
        <v>45813</v>
      </c>
      <c r="B3307" t="s">
        <v>18</v>
      </c>
      <c r="C3307" t="s">
        <v>45</v>
      </c>
      <c r="D3307" t="s">
        <v>50</v>
      </c>
      <c r="E3307" t="s">
        <v>7644</v>
      </c>
      <c r="F3307">
        <v>1</v>
      </c>
      <c r="G3307" s="15">
        <v>2710000</v>
      </c>
      <c r="H3307" s="14">
        <v>0.13075929750140999</v>
      </c>
      <c r="I3307" s="27">
        <f t="shared" si="51"/>
        <v>2355642.3037711792</v>
      </c>
      <c r="J3307">
        <v>4.3</v>
      </c>
      <c r="K3307" t="b">
        <v>1</v>
      </c>
    </row>
    <row r="3308" spans="1:11" ht="16" x14ac:dyDescent="0.2">
      <c r="A3308" s="16">
        <v>45813</v>
      </c>
      <c r="B3308" t="s">
        <v>45</v>
      </c>
      <c r="C3308" t="s">
        <v>68</v>
      </c>
      <c r="D3308" t="s">
        <v>35</v>
      </c>
      <c r="E3308" t="s">
        <v>57</v>
      </c>
      <c r="F3308">
        <v>2</v>
      </c>
      <c r="G3308" s="15">
        <v>2710000</v>
      </c>
      <c r="H3308" s="14">
        <v>0.13075929750140999</v>
      </c>
      <c r="I3308" s="27">
        <f t="shared" si="51"/>
        <v>2355642.3037711792</v>
      </c>
      <c r="J3308">
        <v>3.7</v>
      </c>
      <c r="K3308" t="b">
        <v>1</v>
      </c>
    </row>
    <row r="3309" spans="1:11" ht="16" x14ac:dyDescent="0.2">
      <c r="A3309" s="16">
        <v>45813</v>
      </c>
      <c r="B3309" t="s">
        <v>45</v>
      </c>
      <c r="C3309" t="s">
        <v>34</v>
      </c>
      <c r="D3309" t="s">
        <v>35</v>
      </c>
      <c r="E3309" t="s">
        <v>99</v>
      </c>
      <c r="F3309">
        <v>3</v>
      </c>
      <c r="G3309" s="15">
        <v>2710000</v>
      </c>
      <c r="H3309" s="14">
        <v>0.13075929750140999</v>
      </c>
      <c r="I3309" s="27">
        <f t="shared" si="51"/>
        <v>2355642.3037711792</v>
      </c>
      <c r="J3309">
        <v>3.3</v>
      </c>
      <c r="K3309" t="b">
        <v>1</v>
      </c>
    </row>
    <row r="3310" spans="1:11" ht="16" x14ac:dyDescent="0.2">
      <c r="A3310" s="16">
        <v>45813</v>
      </c>
      <c r="B3310" t="s">
        <v>33</v>
      </c>
      <c r="C3310" t="s">
        <v>39</v>
      </c>
      <c r="D3310" t="s">
        <v>35</v>
      </c>
      <c r="E3310" t="s">
        <v>57</v>
      </c>
      <c r="F3310">
        <v>3</v>
      </c>
      <c r="G3310" s="15">
        <v>2710000</v>
      </c>
      <c r="H3310" s="14">
        <v>0.13075929750140999</v>
      </c>
      <c r="I3310" s="27">
        <f t="shared" si="51"/>
        <v>2355642.3037711792</v>
      </c>
      <c r="J3310">
        <v>4.3</v>
      </c>
      <c r="K3310" t="b">
        <v>1</v>
      </c>
    </row>
    <row r="3311" spans="1:11" ht="16" x14ac:dyDescent="0.2">
      <c r="A3311" s="16">
        <v>45814</v>
      </c>
      <c r="B3311" t="s">
        <v>18</v>
      </c>
      <c r="C3311" t="s">
        <v>39</v>
      </c>
      <c r="D3311" t="s">
        <v>50</v>
      </c>
      <c r="E3311" t="s">
        <v>7642</v>
      </c>
      <c r="F3311">
        <v>4</v>
      </c>
      <c r="G3311" s="15">
        <v>2710000</v>
      </c>
      <c r="H3311" s="14">
        <v>0.13075929750140999</v>
      </c>
      <c r="I3311" s="27">
        <f t="shared" si="51"/>
        <v>2355642.3037711792</v>
      </c>
      <c r="J3311">
        <v>4.3</v>
      </c>
      <c r="K3311" t="b">
        <v>1</v>
      </c>
    </row>
    <row r="3312" spans="1:11" ht="16" x14ac:dyDescent="0.2">
      <c r="A3312" s="16">
        <v>45814</v>
      </c>
      <c r="B3312" t="s">
        <v>33</v>
      </c>
      <c r="C3312" t="s">
        <v>19</v>
      </c>
      <c r="D3312" t="s">
        <v>20</v>
      </c>
      <c r="E3312" t="s">
        <v>7643</v>
      </c>
      <c r="F3312">
        <v>1</v>
      </c>
      <c r="G3312" s="15">
        <v>2710000</v>
      </c>
      <c r="H3312" s="14">
        <v>0.13075929750140999</v>
      </c>
      <c r="I3312" s="27">
        <f t="shared" si="51"/>
        <v>2355642.3037711792</v>
      </c>
      <c r="J3312">
        <v>4.5</v>
      </c>
      <c r="K3312" t="b">
        <v>1</v>
      </c>
    </row>
    <row r="3313" spans="1:11" ht="16" x14ac:dyDescent="0.2">
      <c r="A3313" s="16">
        <v>45814</v>
      </c>
      <c r="B3313" t="s">
        <v>45</v>
      </c>
      <c r="C3313" t="s">
        <v>39</v>
      </c>
      <c r="D3313" t="s">
        <v>50</v>
      </c>
      <c r="E3313" t="s">
        <v>7644</v>
      </c>
      <c r="F3313">
        <v>2</v>
      </c>
      <c r="G3313" s="15">
        <v>2710000</v>
      </c>
      <c r="H3313" s="14">
        <v>0.13075929750140999</v>
      </c>
      <c r="I3313" s="27">
        <f t="shared" si="51"/>
        <v>2355642.3037711792</v>
      </c>
      <c r="J3313">
        <v>4.0999999999999996</v>
      </c>
      <c r="K3313" t="b">
        <v>1</v>
      </c>
    </row>
    <row r="3314" spans="1:11" ht="16" x14ac:dyDescent="0.2">
      <c r="A3314" s="16">
        <v>45814</v>
      </c>
      <c r="B3314" t="s">
        <v>29</v>
      </c>
      <c r="C3314" t="s">
        <v>25</v>
      </c>
      <c r="D3314" t="s">
        <v>35</v>
      </c>
      <c r="E3314" t="s">
        <v>99</v>
      </c>
      <c r="F3314">
        <v>4</v>
      </c>
      <c r="G3314" s="15">
        <v>2710000</v>
      </c>
      <c r="H3314" s="14">
        <v>0.13075929750140999</v>
      </c>
      <c r="I3314" s="27">
        <f t="shared" si="51"/>
        <v>2355642.3037711792</v>
      </c>
      <c r="J3314">
        <v>4.3</v>
      </c>
      <c r="K3314" t="b">
        <v>0</v>
      </c>
    </row>
    <row r="3315" spans="1:11" ht="16" x14ac:dyDescent="0.2">
      <c r="A3315" s="16">
        <v>45814</v>
      </c>
      <c r="B3315" t="s">
        <v>45</v>
      </c>
      <c r="C3315" t="s">
        <v>34</v>
      </c>
      <c r="D3315" t="s">
        <v>50</v>
      </c>
      <c r="E3315" t="s">
        <v>7640</v>
      </c>
      <c r="F3315">
        <v>1</v>
      </c>
      <c r="G3315" s="15">
        <v>2710000</v>
      </c>
      <c r="H3315" s="14">
        <v>0.13075929750140999</v>
      </c>
      <c r="I3315" s="27">
        <f t="shared" si="51"/>
        <v>2355642.3037711792</v>
      </c>
      <c r="J3315">
        <v>4.3</v>
      </c>
      <c r="K3315" t="b">
        <v>1</v>
      </c>
    </row>
    <row r="3316" spans="1:11" ht="16" x14ac:dyDescent="0.2">
      <c r="A3316" s="16">
        <v>45814</v>
      </c>
      <c r="B3316" t="s">
        <v>33</v>
      </c>
      <c r="C3316" t="s">
        <v>19</v>
      </c>
      <c r="D3316" t="s">
        <v>50</v>
      </c>
      <c r="E3316" t="s">
        <v>7644</v>
      </c>
      <c r="F3316">
        <v>3</v>
      </c>
      <c r="G3316" s="15">
        <v>2710000</v>
      </c>
      <c r="H3316" s="14">
        <v>0.13075929750140999</v>
      </c>
      <c r="I3316" s="27">
        <f t="shared" si="51"/>
        <v>2355642.3037711792</v>
      </c>
      <c r="J3316">
        <v>4</v>
      </c>
      <c r="K3316" t="b">
        <v>0</v>
      </c>
    </row>
    <row r="3317" spans="1:11" ht="16" x14ac:dyDescent="0.2">
      <c r="A3317" s="16">
        <v>45815</v>
      </c>
      <c r="B3317" t="s">
        <v>45</v>
      </c>
      <c r="C3317" t="s">
        <v>39</v>
      </c>
      <c r="D3317" t="s">
        <v>20</v>
      </c>
      <c r="E3317" t="s">
        <v>7637</v>
      </c>
      <c r="F3317">
        <v>1</v>
      </c>
      <c r="G3317" s="15">
        <v>2710000</v>
      </c>
      <c r="H3317" s="14">
        <v>0.13075929750140999</v>
      </c>
      <c r="I3317" s="27">
        <f t="shared" si="51"/>
        <v>2355642.3037711792</v>
      </c>
      <c r="J3317">
        <v>4.5999999999999996</v>
      </c>
      <c r="K3317" t="b">
        <v>1</v>
      </c>
    </row>
    <row r="3318" spans="1:11" ht="16" x14ac:dyDescent="0.2">
      <c r="A3318" s="16">
        <v>45815</v>
      </c>
      <c r="B3318" t="s">
        <v>45</v>
      </c>
      <c r="C3318" t="s">
        <v>45</v>
      </c>
      <c r="D3318" t="s">
        <v>50</v>
      </c>
      <c r="E3318" t="s">
        <v>7644</v>
      </c>
      <c r="F3318">
        <v>3</v>
      </c>
      <c r="G3318" s="15">
        <v>2710000</v>
      </c>
      <c r="H3318" s="14">
        <v>0.13075929750140999</v>
      </c>
      <c r="I3318" s="27">
        <f t="shared" si="51"/>
        <v>2355642.3037711792</v>
      </c>
      <c r="J3318">
        <v>4.2</v>
      </c>
      <c r="K3318" t="b">
        <v>1</v>
      </c>
    </row>
    <row r="3319" spans="1:11" ht="16" x14ac:dyDescent="0.2">
      <c r="A3319" s="16">
        <v>45815</v>
      </c>
      <c r="B3319" t="s">
        <v>33</v>
      </c>
      <c r="C3319" t="s">
        <v>45</v>
      </c>
      <c r="D3319" t="s">
        <v>20</v>
      </c>
      <c r="E3319" t="s">
        <v>7644</v>
      </c>
      <c r="F3319">
        <v>1</v>
      </c>
      <c r="G3319" s="15">
        <v>2710000</v>
      </c>
      <c r="H3319" s="14">
        <v>0.13075929750140999</v>
      </c>
      <c r="I3319" s="27">
        <f t="shared" si="51"/>
        <v>2355642.3037711792</v>
      </c>
      <c r="J3319">
        <v>4.7</v>
      </c>
      <c r="K3319" t="b">
        <v>1</v>
      </c>
    </row>
    <row r="3320" spans="1:11" ht="16" x14ac:dyDescent="0.2">
      <c r="A3320" s="16">
        <v>45815</v>
      </c>
      <c r="B3320" t="s">
        <v>33</v>
      </c>
      <c r="C3320" t="s">
        <v>25</v>
      </c>
      <c r="D3320" t="s">
        <v>50</v>
      </c>
      <c r="E3320" t="s">
        <v>57</v>
      </c>
      <c r="F3320">
        <v>1</v>
      </c>
      <c r="G3320" s="15">
        <v>2710000</v>
      </c>
      <c r="H3320" s="14">
        <v>0.13075929750140999</v>
      </c>
      <c r="I3320" s="27">
        <f t="shared" si="51"/>
        <v>2355642.3037711792</v>
      </c>
      <c r="J3320">
        <v>4.5999999999999996</v>
      </c>
      <c r="K3320" t="b">
        <v>0</v>
      </c>
    </row>
    <row r="3321" spans="1:11" ht="16" x14ac:dyDescent="0.2">
      <c r="A3321" s="16">
        <v>45815</v>
      </c>
      <c r="B3321" t="str">
        <f>B3320</f>
        <v>Student</v>
      </c>
      <c r="C3321" t="s">
        <v>34</v>
      </c>
      <c r="D3321" t="s">
        <v>50</v>
      </c>
      <c r="E3321" t="s">
        <v>7644</v>
      </c>
      <c r="F3321">
        <v>1</v>
      </c>
      <c r="G3321" s="15">
        <v>2710000</v>
      </c>
      <c r="H3321" s="14">
        <v>0.13075929750140999</v>
      </c>
      <c r="I3321" s="27">
        <f t="shared" si="51"/>
        <v>2355642.3037711792</v>
      </c>
      <c r="J3321">
        <v>4</v>
      </c>
      <c r="K3321" t="b">
        <v>1</v>
      </c>
    </row>
    <row r="3322" spans="1:11" ht="16" x14ac:dyDescent="0.2">
      <c r="A3322" s="16">
        <v>45816</v>
      </c>
      <c r="B3322" t="s">
        <v>29</v>
      </c>
      <c r="C3322" t="s">
        <v>25</v>
      </c>
      <c r="D3322" t="s">
        <v>20</v>
      </c>
      <c r="E3322" t="s">
        <v>7637</v>
      </c>
      <c r="F3322">
        <v>2</v>
      </c>
      <c r="G3322" s="15">
        <v>2710000</v>
      </c>
      <c r="H3322" s="14">
        <v>0.13075929750140999</v>
      </c>
      <c r="I3322" s="27">
        <f t="shared" si="51"/>
        <v>2355642.3037711792</v>
      </c>
      <c r="J3322">
        <v>4.0999999999999996</v>
      </c>
      <c r="K3322" t="b">
        <v>1</v>
      </c>
    </row>
    <row r="3323" spans="1:11" ht="16" x14ac:dyDescent="0.2">
      <c r="A3323" s="16">
        <v>45816</v>
      </c>
      <c r="B3323" t="s">
        <v>45</v>
      </c>
      <c r="C3323" t="s">
        <v>34</v>
      </c>
      <c r="D3323" t="s">
        <v>20</v>
      </c>
      <c r="E3323" t="s">
        <v>57</v>
      </c>
      <c r="F3323">
        <v>1</v>
      </c>
      <c r="G3323" s="15">
        <v>2710000</v>
      </c>
      <c r="H3323" s="14">
        <v>0.13075929750140999</v>
      </c>
      <c r="I3323" s="27">
        <f t="shared" si="51"/>
        <v>2355642.3037711792</v>
      </c>
      <c r="J3323">
        <v>4.2</v>
      </c>
      <c r="K3323" t="b">
        <v>1</v>
      </c>
    </row>
    <row r="3324" spans="1:11" ht="16" x14ac:dyDescent="0.2">
      <c r="A3324" s="16">
        <v>45816</v>
      </c>
      <c r="B3324" t="s">
        <v>45</v>
      </c>
      <c r="C3324" t="s">
        <v>68</v>
      </c>
      <c r="D3324" t="s">
        <v>35</v>
      </c>
      <c r="E3324" t="s">
        <v>7637</v>
      </c>
      <c r="F3324">
        <v>1</v>
      </c>
      <c r="G3324" s="15">
        <v>2710000</v>
      </c>
      <c r="H3324" s="14">
        <v>0.13075929750140999</v>
      </c>
      <c r="I3324" s="27">
        <f t="shared" si="51"/>
        <v>2355642.3037711792</v>
      </c>
      <c r="J3324">
        <v>3.9</v>
      </c>
      <c r="K3324" t="b">
        <v>0</v>
      </c>
    </row>
    <row r="3325" spans="1:11" ht="16" x14ac:dyDescent="0.2">
      <c r="A3325" s="16">
        <v>45816</v>
      </c>
      <c r="B3325" t="s">
        <v>33</v>
      </c>
      <c r="C3325" t="s">
        <v>19</v>
      </c>
      <c r="D3325" t="s">
        <v>20</v>
      </c>
      <c r="E3325" t="s">
        <v>7641</v>
      </c>
      <c r="F3325">
        <v>2</v>
      </c>
      <c r="G3325" s="15">
        <v>2710000</v>
      </c>
      <c r="H3325" s="14">
        <v>0.13075929750140999</v>
      </c>
      <c r="I3325" s="27">
        <f t="shared" si="51"/>
        <v>2355642.3037711792</v>
      </c>
      <c r="J3325">
        <v>4.5999999999999996</v>
      </c>
      <c r="K3325" t="b">
        <v>1</v>
      </c>
    </row>
    <row r="3326" spans="1:11" ht="16" x14ac:dyDescent="0.2">
      <c r="A3326" s="16">
        <v>45816</v>
      </c>
      <c r="B3326" t="s">
        <v>18</v>
      </c>
      <c r="C3326" t="s">
        <v>39</v>
      </c>
      <c r="D3326" t="s">
        <v>20</v>
      </c>
      <c r="E3326" t="s">
        <v>99</v>
      </c>
      <c r="F3326">
        <v>2</v>
      </c>
      <c r="G3326" s="15">
        <v>2710000</v>
      </c>
      <c r="H3326" s="14">
        <v>0.13075929750140999</v>
      </c>
      <c r="I3326" s="27">
        <f t="shared" si="51"/>
        <v>2355642.3037711792</v>
      </c>
      <c r="J3326">
        <v>4.5</v>
      </c>
      <c r="K3326" t="b">
        <v>1</v>
      </c>
    </row>
    <row r="3327" spans="1:11" ht="16" x14ac:dyDescent="0.2">
      <c r="A3327" s="16">
        <v>45816</v>
      </c>
      <c r="B3327" t="s">
        <v>18</v>
      </c>
      <c r="C3327" t="s">
        <v>34</v>
      </c>
      <c r="D3327" t="s">
        <v>20</v>
      </c>
      <c r="E3327" t="s">
        <v>7642</v>
      </c>
      <c r="F3327">
        <v>4</v>
      </c>
      <c r="G3327" s="15">
        <v>2710000</v>
      </c>
      <c r="H3327" s="14">
        <v>0.13075929750140999</v>
      </c>
      <c r="I3327" s="27">
        <f t="shared" si="51"/>
        <v>2355642.3037711792</v>
      </c>
      <c r="J3327">
        <v>3.7</v>
      </c>
      <c r="K3327" t="b">
        <v>1</v>
      </c>
    </row>
    <row r="3328" spans="1:11" ht="16" x14ac:dyDescent="0.2">
      <c r="A3328" s="16">
        <v>45816</v>
      </c>
      <c r="B3328" t="s">
        <v>45</v>
      </c>
      <c r="C3328" t="s">
        <v>34</v>
      </c>
      <c r="D3328" t="s">
        <v>20</v>
      </c>
      <c r="E3328" t="s">
        <v>7641</v>
      </c>
      <c r="F3328">
        <v>3</v>
      </c>
      <c r="G3328" s="15">
        <v>2710000</v>
      </c>
      <c r="H3328" s="14">
        <v>0.13075929750140999</v>
      </c>
      <c r="I3328" s="27">
        <f t="shared" si="51"/>
        <v>2355642.3037711792</v>
      </c>
      <c r="J3328">
        <v>4.5999999999999996</v>
      </c>
      <c r="K3328" t="b">
        <v>1</v>
      </c>
    </row>
    <row r="3329" spans="1:11" ht="16" x14ac:dyDescent="0.2">
      <c r="A3329" s="16">
        <v>45817</v>
      </c>
      <c r="B3329" t="s">
        <v>18</v>
      </c>
      <c r="C3329" t="s">
        <v>19</v>
      </c>
      <c r="D3329" t="s">
        <v>20</v>
      </c>
      <c r="E3329" t="s">
        <v>7641</v>
      </c>
      <c r="F3329">
        <v>2</v>
      </c>
      <c r="G3329" s="15">
        <v>2710000</v>
      </c>
      <c r="H3329" s="14">
        <v>0.13075929750140999</v>
      </c>
      <c r="I3329" s="27">
        <f t="shared" si="51"/>
        <v>2355642.3037711792</v>
      </c>
      <c r="J3329">
        <v>4.2</v>
      </c>
      <c r="K3329" t="b">
        <v>0</v>
      </c>
    </row>
    <row r="3330" spans="1:11" ht="16" x14ac:dyDescent="0.2">
      <c r="A3330" s="16">
        <v>45817</v>
      </c>
      <c r="B3330" t="s">
        <v>33</v>
      </c>
      <c r="C3330" t="s">
        <v>25</v>
      </c>
      <c r="D3330" t="s">
        <v>50</v>
      </c>
      <c r="E3330" t="s">
        <v>7644</v>
      </c>
      <c r="F3330">
        <v>4</v>
      </c>
      <c r="G3330" s="15">
        <v>2710000</v>
      </c>
      <c r="H3330" s="14">
        <v>0.13075929750140999</v>
      </c>
      <c r="I3330" s="27">
        <f t="shared" si="51"/>
        <v>2355642.3037711792</v>
      </c>
      <c r="J3330">
        <v>3.4</v>
      </c>
      <c r="K3330" t="b">
        <v>0</v>
      </c>
    </row>
    <row r="3331" spans="1:11" ht="16" x14ac:dyDescent="0.2">
      <c r="A3331" s="16">
        <v>45817</v>
      </c>
      <c r="B3331" t="s">
        <v>33</v>
      </c>
      <c r="C3331" t="s">
        <v>34</v>
      </c>
      <c r="D3331" t="s">
        <v>35</v>
      </c>
      <c r="E3331" t="s">
        <v>7644</v>
      </c>
      <c r="F3331">
        <v>1</v>
      </c>
      <c r="G3331" s="15">
        <v>2710000</v>
      </c>
      <c r="H3331" s="14">
        <v>0.13075929750140999</v>
      </c>
      <c r="I3331" s="27">
        <f t="shared" ref="I3331:I3394" si="52">G3331-G3331*H3331</f>
        <v>2355642.3037711792</v>
      </c>
      <c r="J3331">
        <v>4.4000000000000004</v>
      </c>
      <c r="K3331" t="b">
        <v>1</v>
      </c>
    </row>
    <row r="3332" spans="1:11" ht="16" x14ac:dyDescent="0.2">
      <c r="A3332" s="16">
        <v>45817</v>
      </c>
      <c r="B3332" t="s">
        <v>45</v>
      </c>
      <c r="C3332" t="s">
        <v>45</v>
      </c>
      <c r="D3332" t="s">
        <v>50</v>
      </c>
      <c r="E3332" t="s">
        <v>7641</v>
      </c>
      <c r="F3332">
        <v>2</v>
      </c>
      <c r="G3332" s="15">
        <v>2710000</v>
      </c>
      <c r="H3332" s="14">
        <v>0.13075929750140999</v>
      </c>
      <c r="I3332" s="27">
        <f t="shared" si="52"/>
        <v>2355642.3037711792</v>
      </c>
      <c r="J3332">
        <v>4.5</v>
      </c>
      <c r="K3332" t="b">
        <v>1</v>
      </c>
    </row>
    <row r="3333" spans="1:11" ht="16" x14ac:dyDescent="0.2">
      <c r="A3333" s="16">
        <v>45818</v>
      </c>
      <c r="B3333" t="s">
        <v>29</v>
      </c>
      <c r="C3333" t="s">
        <v>68</v>
      </c>
      <c r="D3333" t="s">
        <v>46</v>
      </c>
      <c r="E3333" t="s">
        <v>99</v>
      </c>
      <c r="F3333">
        <v>1</v>
      </c>
      <c r="G3333" s="15">
        <v>2710000</v>
      </c>
      <c r="H3333" s="14">
        <v>0.13075929750140999</v>
      </c>
      <c r="I3333" s="27">
        <f t="shared" si="52"/>
        <v>2355642.3037711792</v>
      </c>
      <c r="J3333">
        <v>4.8</v>
      </c>
      <c r="K3333" t="b">
        <v>1</v>
      </c>
    </row>
    <row r="3334" spans="1:11" ht="16" x14ac:dyDescent="0.2">
      <c r="A3334" s="16">
        <v>45818</v>
      </c>
      <c r="B3334" t="s">
        <v>29</v>
      </c>
      <c r="C3334" t="s">
        <v>25</v>
      </c>
      <c r="D3334" t="s">
        <v>35</v>
      </c>
      <c r="E3334" t="s">
        <v>57</v>
      </c>
      <c r="F3334">
        <v>4</v>
      </c>
      <c r="G3334" s="15">
        <v>2710000</v>
      </c>
      <c r="H3334" s="14">
        <v>0.13075929750140999</v>
      </c>
      <c r="I3334" s="27">
        <f t="shared" si="52"/>
        <v>2355642.3037711792</v>
      </c>
      <c r="J3334">
        <v>3.8</v>
      </c>
      <c r="K3334" t="b">
        <v>1</v>
      </c>
    </row>
    <row r="3335" spans="1:11" ht="16" x14ac:dyDescent="0.2">
      <c r="A3335" s="16">
        <v>45818</v>
      </c>
      <c r="B3335" t="s">
        <v>33</v>
      </c>
      <c r="C3335" t="s">
        <v>34</v>
      </c>
      <c r="D3335" t="s">
        <v>20</v>
      </c>
      <c r="E3335" t="s">
        <v>7638</v>
      </c>
      <c r="F3335">
        <v>1</v>
      </c>
      <c r="G3335" s="15">
        <v>2710000</v>
      </c>
      <c r="H3335" s="14">
        <v>0.13075929750140999</v>
      </c>
      <c r="I3335" s="27">
        <f t="shared" si="52"/>
        <v>2355642.3037711792</v>
      </c>
      <c r="J3335">
        <v>4</v>
      </c>
      <c r="K3335" t="b">
        <v>1</v>
      </c>
    </row>
    <row r="3336" spans="1:11" ht="16" x14ac:dyDescent="0.2">
      <c r="A3336" s="16">
        <v>45818</v>
      </c>
      <c r="B3336" t="s">
        <v>29</v>
      </c>
      <c r="C3336" t="s">
        <v>25</v>
      </c>
      <c r="D3336" t="s">
        <v>50</v>
      </c>
      <c r="E3336" t="s">
        <v>7637</v>
      </c>
      <c r="F3336">
        <v>2</v>
      </c>
      <c r="G3336" s="15">
        <v>2710000</v>
      </c>
      <c r="H3336" s="14">
        <v>0.13075929750140999</v>
      </c>
      <c r="I3336" s="27">
        <f t="shared" si="52"/>
        <v>2355642.3037711792</v>
      </c>
      <c r="J3336">
        <v>4.5</v>
      </c>
      <c r="K3336" t="b">
        <v>1</v>
      </c>
    </row>
    <row r="3337" spans="1:11" ht="16" x14ac:dyDescent="0.2">
      <c r="A3337" s="16">
        <v>45818</v>
      </c>
      <c r="B3337" t="s">
        <v>18</v>
      </c>
      <c r="C3337" t="s">
        <v>45</v>
      </c>
      <c r="D3337" t="s">
        <v>35</v>
      </c>
      <c r="E3337" t="s">
        <v>7638</v>
      </c>
      <c r="F3337">
        <v>1</v>
      </c>
      <c r="G3337" s="15">
        <v>2710000</v>
      </c>
      <c r="H3337" s="14">
        <v>0.13075929750140999</v>
      </c>
      <c r="I3337" s="27">
        <f t="shared" si="52"/>
        <v>2355642.3037711792</v>
      </c>
      <c r="J3337">
        <v>3.9</v>
      </c>
      <c r="K3337" t="b">
        <v>0</v>
      </c>
    </row>
    <row r="3338" spans="1:11" ht="16" x14ac:dyDescent="0.2">
      <c r="A3338" s="16">
        <v>45819</v>
      </c>
      <c r="B3338" t="s">
        <v>29</v>
      </c>
      <c r="C3338" t="s">
        <v>19</v>
      </c>
      <c r="D3338" t="s">
        <v>50</v>
      </c>
      <c r="E3338" t="s">
        <v>7644</v>
      </c>
      <c r="F3338">
        <v>1</v>
      </c>
      <c r="G3338" s="15">
        <v>2710000</v>
      </c>
      <c r="H3338" s="14">
        <v>0.13075929750140999</v>
      </c>
      <c r="I3338" s="27">
        <f t="shared" si="52"/>
        <v>2355642.3037711792</v>
      </c>
      <c r="J3338">
        <v>4.4000000000000004</v>
      </c>
      <c r="K3338" t="b">
        <v>1</v>
      </c>
    </row>
    <row r="3339" spans="1:11" ht="16" x14ac:dyDescent="0.2">
      <c r="A3339" s="16">
        <v>45819</v>
      </c>
      <c r="B3339" t="s">
        <v>45</v>
      </c>
      <c r="C3339" t="s">
        <v>45</v>
      </c>
      <c r="D3339" t="s">
        <v>35</v>
      </c>
      <c r="E3339" t="s">
        <v>7641</v>
      </c>
      <c r="F3339">
        <v>1</v>
      </c>
      <c r="G3339" s="15">
        <v>2710000</v>
      </c>
      <c r="H3339" s="14">
        <v>0.13075929750140999</v>
      </c>
      <c r="I3339" s="27">
        <f t="shared" si="52"/>
        <v>2355642.3037711792</v>
      </c>
      <c r="J3339">
        <v>3.5</v>
      </c>
      <c r="K3339" t="b">
        <v>1</v>
      </c>
    </row>
    <row r="3340" spans="1:11" ht="16" x14ac:dyDescent="0.2">
      <c r="A3340" s="16">
        <v>45819</v>
      </c>
      <c r="B3340" t="s">
        <v>18</v>
      </c>
      <c r="C3340" t="s">
        <v>34</v>
      </c>
      <c r="D3340" t="s">
        <v>50</v>
      </c>
      <c r="E3340" t="str">
        <f>E3339</f>
        <v>Phú Quốc</v>
      </c>
      <c r="F3340">
        <v>1</v>
      </c>
      <c r="G3340" s="15">
        <v>2710000</v>
      </c>
      <c r="H3340" s="14">
        <v>0.13075929750140999</v>
      </c>
      <c r="I3340" s="27">
        <f t="shared" si="52"/>
        <v>2355642.3037711792</v>
      </c>
      <c r="J3340">
        <v>3.6</v>
      </c>
      <c r="K3340" t="b">
        <v>1</v>
      </c>
    </row>
    <row r="3341" spans="1:11" ht="16" x14ac:dyDescent="0.2">
      <c r="A3341" s="16">
        <v>45820</v>
      </c>
      <c r="B3341" t="s">
        <v>45</v>
      </c>
      <c r="C3341" t="s">
        <v>25</v>
      </c>
      <c r="D3341" t="s">
        <v>50</v>
      </c>
      <c r="E3341" t="s">
        <v>7642</v>
      </c>
      <c r="F3341">
        <v>3</v>
      </c>
      <c r="G3341" s="15">
        <v>2710000</v>
      </c>
      <c r="H3341" s="14">
        <v>0.13075929750140999</v>
      </c>
      <c r="I3341" s="27">
        <f t="shared" si="52"/>
        <v>2355642.3037711792</v>
      </c>
      <c r="J3341">
        <v>4.5</v>
      </c>
      <c r="K3341" t="b">
        <v>1</v>
      </c>
    </row>
    <row r="3342" spans="1:11" ht="16" x14ac:dyDescent="0.2">
      <c r="A3342" s="16">
        <v>45820</v>
      </c>
      <c r="B3342" t="s">
        <v>45</v>
      </c>
      <c r="C3342" t="s">
        <v>19</v>
      </c>
      <c r="D3342" t="s">
        <v>35</v>
      </c>
      <c r="E3342" t="s">
        <v>7642</v>
      </c>
      <c r="F3342">
        <v>1</v>
      </c>
      <c r="G3342" s="15">
        <v>2710000</v>
      </c>
      <c r="H3342" s="14">
        <v>0.13075929750140999</v>
      </c>
      <c r="I3342" s="27">
        <f t="shared" si="52"/>
        <v>2355642.3037711792</v>
      </c>
      <c r="J3342">
        <v>4.5</v>
      </c>
      <c r="K3342" t="b">
        <v>1</v>
      </c>
    </row>
    <row r="3343" spans="1:11" ht="16" x14ac:dyDescent="0.2">
      <c r="A3343" s="16">
        <v>45820</v>
      </c>
      <c r="B3343" t="s">
        <v>45</v>
      </c>
      <c r="C3343" t="s">
        <v>34</v>
      </c>
      <c r="D3343" t="s">
        <v>20</v>
      </c>
      <c r="E3343" t="s">
        <v>7641</v>
      </c>
      <c r="F3343">
        <v>2</v>
      </c>
      <c r="G3343" s="15">
        <v>2710000</v>
      </c>
      <c r="H3343" s="14">
        <v>0.13075929750140999</v>
      </c>
      <c r="I3343" s="27">
        <f t="shared" si="52"/>
        <v>2355642.3037711792</v>
      </c>
      <c r="J3343">
        <v>4.4000000000000004</v>
      </c>
      <c r="K3343" t="b">
        <v>1</v>
      </c>
    </row>
    <row r="3344" spans="1:11" ht="16" x14ac:dyDescent="0.2">
      <c r="A3344" s="16">
        <v>45820</v>
      </c>
      <c r="B3344" t="s">
        <v>18</v>
      </c>
      <c r="C3344" t="s">
        <v>25</v>
      </c>
      <c r="D3344" t="s">
        <v>50</v>
      </c>
      <c r="E3344" t="s">
        <v>7637</v>
      </c>
      <c r="F3344">
        <v>2</v>
      </c>
      <c r="G3344" s="15">
        <v>2710000</v>
      </c>
      <c r="H3344" s="14">
        <v>0.13075929750140999</v>
      </c>
      <c r="I3344" s="27">
        <f t="shared" si="52"/>
        <v>2355642.3037711792</v>
      </c>
      <c r="J3344">
        <v>4.5999999999999996</v>
      </c>
      <c r="K3344" t="b">
        <v>0</v>
      </c>
    </row>
    <row r="3345" spans="1:11" ht="16" x14ac:dyDescent="0.2">
      <c r="A3345" s="16">
        <v>45822</v>
      </c>
      <c r="B3345" t="s">
        <v>29</v>
      </c>
      <c r="C3345" t="s">
        <v>45</v>
      </c>
      <c r="D3345" t="s">
        <v>20</v>
      </c>
      <c r="E3345" t="s">
        <v>7644</v>
      </c>
      <c r="F3345">
        <v>4</v>
      </c>
      <c r="G3345" s="15">
        <v>2710000</v>
      </c>
      <c r="H3345" s="14">
        <v>0.13075929750140999</v>
      </c>
      <c r="I3345" s="27">
        <f t="shared" si="52"/>
        <v>2355642.3037711792</v>
      </c>
      <c r="J3345">
        <v>4.3</v>
      </c>
      <c r="K3345" t="b">
        <v>1</v>
      </c>
    </row>
    <row r="3346" spans="1:11" ht="16" x14ac:dyDescent="0.2">
      <c r="A3346" s="16">
        <v>45822</v>
      </c>
      <c r="B3346" t="s">
        <v>45</v>
      </c>
      <c r="C3346" t="s">
        <v>34</v>
      </c>
      <c r="D3346" t="s">
        <v>35</v>
      </c>
      <c r="E3346" t="str">
        <f>E3345</f>
        <v>Hạ Long</v>
      </c>
      <c r="F3346">
        <v>2</v>
      </c>
      <c r="G3346" s="15">
        <v>2710000</v>
      </c>
      <c r="H3346" s="14">
        <v>0.13075929750140999</v>
      </c>
      <c r="I3346" s="27">
        <f t="shared" si="52"/>
        <v>2355642.3037711792</v>
      </c>
      <c r="J3346">
        <v>3.5</v>
      </c>
      <c r="K3346" t="b">
        <v>1</v>
      </c>
    </row>
    <row r="3347" spans="1:11" ht="16" x14ac:dyDescent="0.2">
      <c r="A3347" s="16">
        <v>45823</v>
      </c>
      <c r="B3347" t="s">
        <v>18</v>
      </c>
      <c r="C3347" t="s">
        <v>19</v>
      </c>
      <c r="D3347" t="s">
        <v>50</v>
      </c>
      <c r="E3347" t="s">
        <v>7643</v>
      </c>
      <c r="F3347">
        <v>4</v>
      </c>
      <c r="G3347" s="15">
        <v>2710000</v>
      </c>
      <c r="H3347" s="14">
        <v>0.13075929750140999</v>
      </c>
      <c r="I3347" s="27">
        <f t="shared" si="52"/>
        <v>2355642.3037711792</v>
      </c>
      <c r="J3347">
        <v>4.2</v>
      </c>
      <c r="K3347" t="b">
        <v>1</v>
      </c>
    </row>
    <row r="3348" spans="1:11" ht="16" x14ac:dyDescent="0.2">
      <c r="A3348" s="16">
        <v>45823</v>
      </c>
      <c r="B3348" t="s">
        <v>29</v>
      </c>
      <c r="C3348" t="s">
        <v>34</v>
      </c>
      <c r="D3348" t="s">
        <v>35</v>
      </c>
      <c r="E3348" t="s">
        <v>7640</v>
      </c>
      <c r="F3348">
        <v>1</v>
      </c>
      <c r="G3348" s="15">
        <v>2710000</v>
      </c>
      <c r="H3348" s="14">
        <v>0.13075929750140999</v>
      </c>
      <c r="I3348" s="27">
        <f t="shared" si="52"/>
        <v>2355642.3037711792</v>
      </c>
      <c r="J3348">
        <v>3.7</v>
      </c>
      <c r="K3348" t="b">
        <v>1</v>
      </c>
    </row>
    <row r="3349" spans="1:11" ht="16" x14ac:dyDescent="0.2">
      <c r="A3349" s="16">
        <v>45823</v>
      </c>
      <c r="B3349" t="s">
        <v>45</v>
      </c>
      <c r="C3349" t="s">
        <v>45</v>
      </c>
      <c r="D3349" t="s">
        <v>50</v>
      </c>
      <c r="E3349" t="s">
        <v>7642</v>
      </c>
      <c r="F3349">
        <v>1</v>
      </c>
      <c r="G3349" s="15">
        <v>2710000</v>
      </c>
      <c r="H3349" s="14">
        <v>0.13075929750140999</v>
      </c>
      <c r="I3349" s="27">
        <f t="shared" si="52"/>
        <v>2355642.3037711792</v>
      </c>
      <c r="J3349">
        <v>3.8</v>
      </c>
      <c r="K3349" t="b">
        <v>1</v>
      </c>
    </row>
    <row r="3350" spans="1:11" ht="16" x14ac:dyDescent="0.2">
      <c r="A3350" s="16">
        <v>45823</v>
      </c>
      <c r="B3350" t="s">
        <v>33</v>
      </c>
      <c r="C3350" t="s">
        <v>39</v>
      </c>
      <c r="D3350" t="s">
        <v>20</v>
      </c>
      <c r="E3350" t="s">
        <v>7642</v>
      </c>
      <c r="F3350">
        <v>3</v>
      </c>
      <c r="G3350" s="15">
        <v>2710000</v>
      </c>
      <c r="H3350" s="14">
        <v>0.13075929750140999</v>
      </c>
      <c r="I3350" s="27">
        <f t="shared" si="52"/>
        <v>2355642.3037711792</v>
      </c>
      <c r="J3350">
        <v>4.7</v>
      </c>
      <c r="K3350" t="b">
        <v>1</v>
      </c>
    </row>
    <row r="3351" spans="1:11" ht="16" x14ac:dyDescent="0.2">
      <c r="A3351" s="16">
        <v>45823</v>
      </c>
      <c r="B3351" t="s">
        <v>18</v>
      </c>
      <c r="C3351" t="s">
        <v>19</v>
      </c>
      <c r="D3351" t="s">
        <v>35</v>
      </c>
      <c r="E3351" t="s">
        <v>7642</v>
      </c>
      <c r="F3351">
        <v>2</v>
      </c>
      <c r="G3351" s="15">
        <v>2710000</v>
      </c>
      <c r="H3351" s="14">
        <v>0.13075929750140999</v>
      </c>
      <c r="I3351" s="27">
        <f t="shared" si="52"/>
        <v>2355642.3037711792</v>
      </c>
      <c r="J3351">
        <v>4.8</v>
      </c>
      <c r="K3351" t="b">
        <v>1</v>
      </c>
    </row>
    <row r="3352" spans="1:11" ht="16" x14ac:dyDescent="0.2">
      <c r="A3352" s="16">
        <v>45824</v>
      </c>
      <c r="B3352" t="s">
        <v>33</v>
      </c>
      <c r="C3352" t="s">
        <v>34</v>
      </c>
      <c r="D3352" t="s">
        <v>50</v>
      </c>
      <c r="E3352" t="s">
        <v>7639</v>
      </c>
      <c r="F3352">
        <v>3</v>
      </c>
      <c r="G3352" s="15">
        <v>2710000</v>
      </c>
      <c r="H3352" s="14">
        <v>0.13075929750140999</v>
      </c>
      <c r="I3352" s="27">
        <f t="shared" si="52"/>
        <v>2355642.3037711792</v>
      </c>
      <c r="J3352">
        <v>4.0999999999999996</v>
      </c>
      <c r="K3352" t="b">
        <v>1</v>
      </c>
    </row>
    <row r="3353" spans="1:11" ht="16" x14ac:dyDescent="0.2">
      <c r="A3353" s="16">
        <v>45824</v>
      </c>
      <c r="B3353" t="s">
        <v>18</v>
      </c>
      <c r="C3353" t="s">
        <v>34</v>
      </c>
      <c r="D3353" t="s">
        <v>20</v>
      </c>
      <c r="E3353" t="s">
        <v>7639</v>
      </c>
      <c r="F3353">
        <v>2</v>
      </c>
      <c r="G3353" s="15">
        <v>2710000</v>
      </c>
      <c r="H3353" s="14">
        <v>0.13075929750140999</v>
      </c>
      <c r="I3353" s="27">
        <f t="shared" si="52"/>
        <v>2355642.3037711792</v>
      </c>
      <c r="J3353">
        <v>4.2</v>
      </c>
      <c r="K3353" t="b">
        <v>1</v>
      </c>
    </row>
    <row r="3354" spans="1:11" ht="16" x14ac:dyDescent="0.2">
      <c r="A3354" s="16">
        <v>45824</v>
      </c>
      <c r="B3354" t="s">
        <v>18</v>
      </c>
      <c r="C3354" t="s">
        <v>25</v>
      </c>
      <c r="D3354" t="s">
        <v>35</v>
      </c>
      <c r="E3354" t="str">
        <f>E3353</f>
        <v>Hà Nội</v>
      </c>
      <c r="F3354">
        <v>2</v>
      </c>
      <c r="G3354" s="15">
        <v>2710000</v>
      </c>
      <c r="H3354" s="14">
        <v>0.13075929750140999</v>
      </c>
      <c r="I3354" s="27">
        <f t="shared" si="52"/>
        <v>2355642.3037711792</v>
      </c>
      <c r="J3354">
        <v>4.4000000000000004</v>
      </c>
      <c r="K3354" t="b">
        <v>1</v>
      </c>
    </row>
    <row r="3355" spans="1:11" ht="16" x14ac:dyDescent="0.2">
      <c r="A3355" s="16">
        <v>45825</v>
      </c>
      <c r="B3355" t="s">
        <v>33</v>
      </c>
      <c r="C3355" t="s">
        <v>19</v>
      </c>
      <c r="D3355" t="s">
        <v>20</v>
      </c>
      <c r="E3355" t="s">
        <v>7640</v>
      </c>
      <c r="F3355">
        <v>2</v>
      </c>
      <c r="G3355" s="15">
        <v>2710000</v>
      </c>
      <c r="H3355" s="14">
        <v>0.13075929750140999</v>
      </c>
      <c r="I3355" s="27">
        <f t="shared" si="52"/>
        <v>2355642.3037711792</v>
      </c>
      <c r="J3355">
        <v>3.6</v>
      </c>
      <c r="K3355" t="b">
        <v>0</v>
      </c>
    </row>
    <row r="3356" spans="1:11" ht="16" x14ac:dyDescent="0.2">
      <c r="A3356" s="16">
        <v>45825</v>
      </c>
      <c r="B3356" t="s">
        <v>18</v>
      </c>
      <c r="C3356" t="s">
        <v>45</v>
      </c>
      <c r="D3356" t="s">
        <v>50</v>
      </c>
      <c r="E3356" t="s">
        <v>7642</v>
      </c>
      <c r="F3356">
        <v>3</v>
      </c>
      <c r="G3356" s="15">
        <v>2710000</v>
      </c>
      <c r="H3356" s="14">
        <v>0.13075929750140999</v>
      </c>
      <c r="I3356" s="27">
        <f t="shared" si="52"/>
        <v>2355642.3037711792</v>
      </c>
      <c r="J3356">
        <v>3.9</v>
      </c>
      <c r="K3356" t="b">
        <v>1</v>
      </c>
    </row>
    <row r="3357" spans="1:11" ht="16" x14ac:dyDescent="0.2">
      <c r="A3357" s="16">
        <v>45826</v>
      </c>
      <c r="B3357" t="s">
        <v>18</v>
      </c>
      <c r="C3357" t="s">
        <v>34</v>
      </c>
      <c r="D3357" t="s">
        <v>20</v>
      </c>
      <c r="E3357" t="s">
        <v>7641</v>
      </c>
      <c r="F3357">
        <v>2</v>
      </c>
      <c r="G3357" s="15">
        <v>2710000</v>
      </c>
      <c r="H3357" s="14">
        <v>0.13075929750140999</v>
      </c>
      <c r="I3357" s="27">
        <f t="shared" si="52"/>
        <v>2355642.3037711792</v>
      </c>
      <c r="J3357">
        <v>4.0999999999999996</v>
      </c>
      <c r="K3357" t="b">
        <v>1</v>
      </c>
    </row>
    <row r="3358" spans="1:11" ht="16" x14ac:dyDescent="0.2">
      <c r="A3358" s="16">
        <v>45826</v>
      </c>
      <c r="B3358" t="s">
        <v>29</v>
      </c>
      <c r="C3358" t="s">
        <v>19</v>
      </c>
      <c r="D3358" t="s">
        <v>50</v>
      </c>
      <c r="E3358" t="s">
        <v>7638</v>
      </c>
      <c r="F3358">
        <v>1</v>
      </c>
      <c r="G3358" s="15">
        <v>2710000</v>
      </c>
      <c r="H3358" s="14">
        <v>0.13075929750140999</v>
      </c>
      <c r="I3358" s="27">
        <f t="shared" si="52"/>
        <v>2355642.3037711792</v>
      </c>
      <c r="J3358">
        <v>4.4000000000000004</v>
      </c>
      <c r="K3358" t="b">
        <v>1</v>
      </c>
    </row>
    <row r="3359" spans="1:11" ht="16" x14ac:dyDescent="0.2">
      <c r="A3359" s="16">
        <v>45827</v>
      </c>
      <c r="B3359" t="s">
        <v>45</v>
      </c>
      <c r="C3359" t="s">
        <v>34</v>
      </c>
      <c r="D3359" t="s">
        <v>20</v>
      </c>
      <c r="E3359" t="s">
        <v>57</v>
      </c>
      <c r="F3359">
        <v>3</v>
      </c>
      <c r="G3359" s="15">
        <v>2710000</v>
      </c>
      <c r="H3359" s="14">
        <v>0.13075929750140999</v>
      </c>
      <c r="I3359" s="27">
        <f t="shared" si="52"/>
        <v>2355642.3037711792</v>
      </c>
      <c r="J3359">
        <v>3.4</v>
      </c>
      <c r="K3359" t="b">
        <v>0</v>
      </c>
    </row>
    <row r="3360" spans="1:11" ht="16" x14ac:dyDescent="0.2">
      <c r="A3360" s="16">
        <v>45827</v>
      </c>
      <c r="B3360" t="s">
        <v>33</v>
      </c>
      <c r="C3360" t="s">
        <v>34</v>
      </c>
      <c r="D3360" t="s">
        <v>20</v>
      </c>
      <c r="E3360" t="s">
        <v>7644</v>
      </c>
      <c r="F3360">
        <v>1</v>
      </c>
      <c r="G3360" s="15">
        <v>2710000</v>
      </c>
      <c r="H3360" s="14">
        <v>0.13075929750140999</v>
      </c>
      <c r="I3360" s="27">
        <f t="shared" si="52"/>
        <v>2355642.3037711792</v>
      </c>
      <c r="J3360">
        <v>4.3</v>
      </c>
      <c r="K3360" t="b">
        <v>1</v>
      </c>
    </row>
    <row r="3361" spans="1:11" ht="16" x14ac:dyDescent="0.2">
      <c r="A3361" s="16">
        <v>45827</v>
      </c>
      <c r="B3361" t="s">
        <v>29</v>
      </c>
      <c r="C3361" t="s">
        <v>34</v>
      </c>
      <c r="D3361" t="s">
        <v>20</v>
      </c>
      <c r="E3361" t="s">
        <v>7642</v>
      </c>
      <c r="F3361">
        <v>2</v>
      </c>
      <c r="G3361" s="15">
        <v>2710000</v>
      </c>
      <c r="H3361" s="14">
        <v>0.13075929750140999</v>
      </c>
      <c r="I3361" s="27">
        <f t="shared" si="52"/>
        <v>2355642.3037711792</v>
      </c>
      <c r="J3361">
        <v>5</v>
      </c>
      <c r="K3361" t="b">
        <v>0</v>
      </c>
    </row>
    <row r="3362" spans="1:11" ht="16" x14ac:dyDescent="0.2">
      <c r="A3362" s="16">
        <v>45827</v>
      </c>
      <c r="B3362" t="s">
        <v>29</v>
      </c>
      <c r="C3362" t="s">
        <v>45</v>
      </c>
      <c r="D3362" t="s">
        <v>20</v>
      </c>
      <c r="E3362" t="s">
        <v>7640</v>
      </c>
      <c r="F3362">
        <v>1</v>
      </c>
      <c r="G3362" s="15">
        <v>2710000</v>
      </c>
      <c r="H3362" s="14">
        <v>0.13075929750140999</v>
      </c>
      <c r="I3362" s="27">
        <f t="shared" si="52"/>
        <v>2355642.3037711792</v>
      </c>
      <c r="J3362">
        <v>4.5999999999999996</v>
      </c>
      <c r="K3362" t="b">
        <v>1</v>
      </c>
    </row>
    <row r="3363" spans="1:11" ht="16" x14ac:dyDescent="0.2">
      <c r="A3363" s="16">
        <v>45828</v>
      </c>
      <c r="B3363" t="s">
        <v>18</v>
      </c>
      <c r="C3363" t="s">
        <v>34</v>
      </c>
      <c r="D3363" t="s">
        <v>20</v>
      </c>
      <c r="E3363" t="s">
        <v>7640</v>
      </c>
      <c r="F3363">
        <v>2</v>
      </c>
      <c r="G3363" s="15">
        <v>2710000</v>
      </c>
      <c r="H3363" s="14">
        <v>0.13075929750140999</v>
      </c>
      <c r="I3363" s="27">
        <f t="shared" si="52"/>
        <v>2355642.3037711792</v>
      </c>
      <c r="J3363">
        <v>5</v>
      </c>
      <c r="K3363" t="b">
        <v>1</v>
      </c>
    </row>
    <row r="3364" spans="1:11" ht="16" x14ac:dyDescent="0.2">
      <c r="A3364" s="16">
        <v>45828</v>
      </c>
      <c r="B3364" t="s">
        <v>45</v>
      </c>
      <c r="C3364" t="s">
        <v>39</v>
      </c>
      <c r="D3364" t="s">
        <v>46</v>
      </c>
      <c r="E3364" t="str">
        <f>E3363</f>
        <v>Hội An</v>
      </c>
      <c r="F3364">
        <v>5</v>
      </c>
      <c r="G3364" s="15">
        <v>2710000</v>
      </c>
      <c r="H3364" s="14">
        <v>0.13075929750140999</v>
      </c>
      <c r="I3364" s="27">
        <f t="shared" si="52"/>
        <v>2355642.3037711792</v>
      </c>
      <c r="J3364">
        <v>4.4000000000000004</v>
      </c>
      <c r="K3364" t="b">
        <v>1</v>
      </c>
    </row>
    <row r="3365" spans="1:11" ht="16" x14ac:dyDescent="0.2">
      <c r="A3365" s="16">
        <v>45828</v>
      </c>
      <c r="B3365" t="s">
        <v>18</v>
      </c>
      <c r="C3365" t="s">
        <v>34</v>
      </c>
      <c r="D3365" t="s">
        <v>20</v>
      </c>
      <c r="E3365" t="s">
        <v>7640</v>
      </c>
      <c r="F3365">
        <v>1</v>
      </c>
      <c r="G3365" s="15">
        <v>2710000</v>
      </c>
      <c r="H3365" s="14">
        <v>0.13075929750140999</v>
      </c>
      <c r="I3365" s="27">
        <f t="shared" si="52"/>
        <v>2355642.3037711792</v>
      </c>
      <c r="J3365">
        <v>4.0999999999999996</v>
      </c>
      <c r="K3365" t="b">
        <v>1</v>
      </c>
    </row>
    <row r="3366" spans="1:11" ht="16" x14ac:dyDescent="0.2">
      <c r="A3366" s="16">
        <v>45829</v>
      </c>
      <c r="B3366" t="s">
        <v>45</v>
      </c>
      <c r="C3366" t="s">
        <v>45</v>
      </c>
      <c r="D3366" t="s">
        <v>20</v>
      </c>
      <c r="E3366" t="s">
        <v>7640</v>
      </c>
      <c r="F3366">
        <v>4</v>
      </c>
      <c r="G3366" s="15">
        <v>2710000</v>
      </c>
      <c r="H3366" s="14">
        <v>0.13075929750140999</v>
      </c>
      <c r="I3366" s="27">
        <f t="shared" si="52"/>
        <v>2355642.3037711792</v>
      </c>
      <c r="J3366">
        <v>4.3</v>
      </c>
      <c r="K3366" t="b">
        <v>1</v>
      </c>
    </row>
    <row r="3367" spans="1:11" ht="16" x14ac:dyDescent="0.2">
      <c r="A3367" s="16">
        <v>45829</v>
      </c>
      <c r="B3367" t="s">
        <v>18</v>
      </c>
      <c r="C3367" t="s">
        <v>19</v>
      </c>
      <c r="D3367" t="s">
        <v>20</v>
      </c>
      <c r="E3367" t="s">
        <v>7642</v>
      </c>
      <c r="F3367">
        <v>1</v>
      </c>
      <c r="G3367" s="15">
        <v>2710000</v>
      </c>
      <c r="H3367" s="14">
        <v>0.13075929750140999</v>
      </c>
      <c r="I3367" s="27">
        <f t="shared" si="52"/>
        <v>2355642.3037711792</v>
      </c>
      <c r="J3367">
        <v>3.5</v>
      </c>
      <c r="K3367" t="b">
        <v>1</v>
      </c>
    </row>
    <row r="3368" spans="1:11" ht="16" x14ac:dyDescent="0.2">
      <c r="A3368" s="16">
        <v>45829</v>
      </c>
      <c r="B3368" t="s">
        <v>45</v>
      </c>
      <c r="C3368" t="s">
        <v>39</v>
      </c>
      <c r="D3368" t="s">
        <v>20</v>
      </c>
      <c r="E3368" t="s">
        <v>7640</v>
      </c>
      <c r="F3368">
        <v>1</v>
      </c>
      <c r="G3368" s="15">
        <v>2710000</v>
      </c>
      <c r="H3368" s="14">
        <v>0.13075929750140999</v>
      </c>
      <c r="I3368" s="27">
        <f t="shared" si="52"/>
        <v>2355642.3037711792</v>
      </c>
      <c r="J3368">
        <v>4.4000000000000004</v>
      </c>
      <c r="K3368" t="b">
        <v>1</v>
      </c>
    </row>
    <row r="3369" spans="1:11" ht="16" x14ac:dyDescent="0.2">
      <c r="A3369" s="16">
        <v>45829</v>
      </c>
      <c r="B3369" t="s">
        <v>18</v>
      </c>
      <c r="C3369" t="s">
        <v>68</v>
      </c>
      <c r="D3369" t="s">
        <v>35</v>
      </c>
      <c r="E3369" t="s">
        <v>7644</v>
      </c>
      <c r="F3369">
        <v>2</v>
      </c>
      <c r="G3369" s="15">
        <v>2710000</v>
      </c>
      <c r="H3369" s="14">
        <v>0.13075929750140999</v>
      </c>
      <c r="I3369" s="27">
        <f t="shared" si="52"/>
        <v>2355642.3037711792</v>
      </c>
      <c r="J3369">
        <v>4.3</v>
      </c>
      <c r="K3369" t="b">
        <v>1</v>
      </c>
    </row>
    <row r="3370" spans="1:11" ht="16" x14ac:dyDescent="0.2">
      <c r="A3370" s="16">
        <v>45829</v>
      </c>
      <c r="B3370" t="s">
        <v>18</v>
      </c>
      <c r="C3370" t="s">
        <v>25</v>
      </c>
      <c r="D3370" t="s">
        <v>20</v>
      </c>
      <c r="E3370" t="s">
        <v>7640</v>
      </c>
      <c r="F3370">
        <v>2</v>
      </c>
      <c r="G3370" s="15">
        <v>2710000</v>
      </c>
      <c r="H3370" s="14">
        <v>0.13075929750140999</v>
      </c>
      <c r="I3370" s="27">
        <f t="shared" si="52"/>
        <v>2355642.3037711792</v>
      </c>
      <c r="J3370">
        <v>4.5999999999999996</v>
      </c>
      <c r="K3370" t="b">
        <v>0</v>
      </c>
    </row>
    <row r="3371" spans="1:11" ht="16" x14ac:dyDescent="0.2">
      <c r="A3371" s="16">
        <v>45830</v>
      </c>
      <c r="B3371" t="s">
        <v>18</v>
      </c>
      <c r="C3371" t="s">
        <v>68</v>
      </c>
      <c r="D3371" t="s">
        <v>20</v>
      </c>
      <c r="E3371" t="s">
        <v>7640</v>
      </c>
      <c r="F3371">
        <v>2</v>
      </c>
      <c r="G3371" s="15">
        <v>2710000</v>
      </c>
      <c r="H3371" s="14">
        <v>0.13075929750140999</v>
      </c>
      <c r="I3371" s="27">
        <f t="shared" si="52"/>
        <v>2355642.3037711792</v>
      </c>
      <c r="J3371">
        <v>3.8</v>
      </c>
      <c r="K3371" t="b">
        <v>1</v>
      </c>
    </row>
    <row r="3372" spans="1:11" ht="16" x14ac:dyDescent="0.2">
      <c r="A3372" s="16">
        <v>45830</v>
      </c>
      <c r="B3372" t="s">
        <v>45</v>
      </c>
      <c r="C3372" t="s">
        <v>25</v>
      </c>
      <c r="D3372" t="s">
        <v>20</v>
      </c>
      <c r="E3372" t="str">
        <f>E3371</f>
        <v>Hội An</v>
      </c>
      <c r="F3372">
        <v>1</v>
      </c>
      <c r="G3372" s="15">
        <v>2710000</v>
      </c>
      <c r="H3372" s="14">
        <v>0.13075929750140999</v>
      </c>
      <c r="I3372" s="27">
        <f t="shared" si="52"/>
        <v>2355642.3037711792</v>
      </c>
      <c r="J3372">
        <v>3.8</v>
      </c>
      <c r="K3372" t="b">
        <v>1</v>
      </c>
    </row>
    <row r="3373" spans="1:11" ht="16" x14ac:dyDescent="0.2">
      <c r="A3373" s="16">
        <v>45831</v>
      </c>
      <c r="B3373" t="s">
        <v>45</v>
      </c>
      <c r="C3373" t="s">
        <v>34</v>
      </c>
      <c r="D3373" t="s">
        <v>35</v>
      </c>
      <c r="E3373" t="s">
        <v>7638</v>
      </c>
      <c r="F3373">
        <v>3</v>
      </c>
      <c r="G3373" s="15">
        <v>2710000</v>
      </c>
      <c r="H3373" s="14">
        <v>0.13075929750140999</v>
      </c>
      <c r="I3373" s="27">
        <f t="shared" si="52"/>
        <v>2355642.3037711792</v>
      </c>
      <c r="J3373">
        <v>4.5</v>
      </c>
      <c r="K3373" t="b">
        <v>1</v>
      </c>
    </row>
    <row r="3374" spans="1:11" ht="16" x14ac:dyDescent="0.2">
      <c r="A3374" s="16">
        <v>45831</v>
      </c>
      <c r="B3374" t="s">
        <v>18</v>
      </c>
      <c r="C3374" t="s">
        <v>34</v>
      </c>
      <c r="D3374" t="str">
        <f>D3373</f>
        <v>Mobile App</v>
      </c>
      <c r="E3374" t="s">
        <v>7640</v>
      </c>
      <c r="F3374">
        <v>1</v>
      </c>
      <c r="G3374" s="15">
        <v>2710000</v>
      </c>
      <c r="H3374" s="14">
        <v>0.13075929750140999</v>
      </c>
      <c r="I3374" s="27">
        <f t="shared" si="52"/>
        <v>2355642.3037711792</v>
      </c>
      <c r="J3374">
        <v>4.4000000000000004</v>
      </c>
      <c r="K3374" t="b">
        <v>1</v>
      </c>
    </row>
    <row r="3375" spans="1:11" ht="16" x14ac:dyDescent="0.2">
      <c r="A3375" s="16">
        <v>45831</v>
      </c>
      <c r="B3375" t="s">
        <v>45</v>
      </c>
      <c r="C3375" t="s">
        <v>39</v>
      </c>
      <c r="D3375" t="s">
        <v>50</v>
      </c>
      <c r="E3375" t="s">
        <v>7639</v>
      </c>
      <c r="F3375">
        <v>1</v>
      </c>
      <c r="G3375" s="15">
        <v>2710000</v>
      </c>
      <c r="H3375" s="14">
        <v>0.13075929750140999</v>
      </c>
      <c r="I3375" s="27">
        <f t="shared" si="52"/>
        <v>2355642.3037711792</v>
      </c>
      <c r="J3375">
        <v>4.0999999999999996</v>
      </c>
      <c r="K3375" t="b">
        <v>1</v>
      </c>
    </row>
    <row r="3376" spans="1:11" ht="16" x14ac:dyDescent="0.2">
      <c r="A3376" s="16">
        <v>45831</v>
      </c>
      <c r="B3376" t="s">
        <v>18</v>
      </c>
      <c r="C3376" t="s">
        <v>68</v>
      </c>
      <c r="D3376" t="s">
        <v>20</v>
      </c>
      <c r="E3376" t="s">
        <v>7642</v>
      </c>
      <c r="F3376">
        <v>1</v>
      </c>
      <c r="G3376" s="15">
        <v>2710000</v>
      </c>
      <c r="H3376" s="14">
        <v>0.13075929750140999</v>
      </c>
      <c r="I3376" s="27">
        <f t="shared" si="52"/>
        <v>2355642.3037711792</v>
      </c>
      <c r="J3376">
        <v>4.5</v>
      </c>
      <c r="K3376" t="b">
        <v>1</v>
      </c>
    </row>
    <row r="3377" spans="1:11" ht="16" x14ac:dyDescent="0.2">
      <c r="A3377" s="16">
        <v>45832</v>
      </c>
      <c r="B3377" t="s">
        <v>33</v>
      </c>
      <c r="C3377" t="s">
        <v>68</v>
      </c>
      <c r="D3377" t="s">
        <v>20</v>
      </c>
      <c r="E3377" t="str">
        <f>E3376</f>
        <v>Huế</v>
      </c>
      <c r="F3377">
        <v>4</v>
      </c>
      <c r="G3377" s="15">
        <v>2710000</v>
      </c>
      <c r="H3377" s="14">
        <v>0.13075929750140999</v>
      </c>
      <c r="I3377" s="27">
        <f t="shared" si="52"/>
        <v>2355642.3037711792</v>
      </c>
      <c r="J3377">
        <v>3.9</v>
      </c>
      <c r="K3377" t="b">
        <v>0</v>
      </c>
    </row>
    <row r="3378" spans="1:11" ht="16" x14ac:dyDescent="0.2">
      <c r="A3378" s="16">
        <v>45832</v>
      </c>
      <c r="B3378" t="s">
        <v>29</v>
      </c>
      <c r="C3378" t="s">
        <v>39</v>
      </c>
      <c r="D3378" t="s">
        <v>20</v>
      </c>
      <c r="E3378" t="s">
        <v>7643</v>
      </c>
      <c r="F3378">
        <v>1</v>
      </c>
      <c r="G3378" s="15">
        <v>2710000</v>
      </c>
      <c r="H3378" s="14">
        <v>0.13075929750140999</v>
      </c>
      <c r="I3378" s="27">
        <f t="shared" si="52"/>
        <v>2355642.3037711792</v>
      </c>
      <c r="J3378">
        <v>4.8</v>
      </c>
      <c r="K3378" t="b">
        <v>1</v>
      </c>
    </row>
    <row r="3379" spans="1:11" ht="16" x14ac:dyDescent="0.2">
      <c r="A3379" s="16">
        <v>45833</v>
      </c>
      <c r="B3379" t="s">
        <v>18</v>
      </c>
      <c r="C3379" t="s">
        <v>19</v>
      </c>
      <c r="D3379" t="s">
        <v>20</v>
      </c>
      <c r="E3379" t="s">
        <v>7637</v>
      </c>
      <c r="F3379">
        <v>1</v>
      </c>
      <c r="G3379" s="15">
        <v>2710000</v>
      </c>
      <c r="H3379" s="14">
        <v>0.13075929750140999</v>
      </c>
      <c r="I3379" s="27">
        <f t="shared" si="52"/>
        <v>2355642.3037711792</v>
      </c>
      <c r="J3379">
        <v>4</v>
      </c>
      <c r="K3379" t="b">
        <v>1</v>
      </c>
    </row>
    <row r="3380" spans="1:11" ht="16" x14ac:dyDescent="0.2">
      <c r="A3380" s="16">
        <v>45833</v>
      </c>
      <c r="B3380" t="s">
        <v>29</v>
      </c>
      <c r="C3380" t="s">
        <v>34</v>
      </c>
      <c r="D3380" t="s">
        <v>20</v>
      </c>
      <c r="E3380" t="s">
        <v>7637</v>
      </c>
      <c r="F3380">
        <v>3</v>
      </c>
      <c r="G3380" s="15">
        <v>2710000</v>
      </c>
      <c r="H3380" s="14">
        <v>0.13075929750140999</v>
      </c>
      <c r="I3380" s="27">
        <f t="shared" si="52"/>
        <v>2355642.3037711792</v>
      </c>
      <c r="J3380">
        <v>4.5</v>
      </c>
      <c r="K3380" t="b">
        <v>0</v>
      </c>
    </row>
    <row r="3381" spans="1:11" ht="16" x14ac:dyDescent="0.2">
      <c r="A3381" s="16">
        <v>45833</v>
      </c>
      <c r="B3381" t="s">
        <v>45</v>
      </c>
      <c r="C3381" t="s">
        <v>34</v>
      </c>
      <c r="D3381" t="s">
        <v>20</v>
      </c>
      <c r="E3381" t="s">
        <v>7638</v>
      </c>
      <c r="F3381">
        <v>3</v>
      </c>
      <c r="G3381" s="15">
        <v>2710000</v>
      </c>
      <c r="H3381" s="14">
        <v>0.13075929750140999</v>
      </c>
      <c r="I3381" s="27">
        <f t="shared" si="52"/>
        <v>2355642.3037711792</v>
      </c>
      <c r="J3381">
        <v>3.9</v>
      </c>
      <c r="K3381" t="b">
        <v>1</v>
      </c>
    </row>
    <row r="3382" spans="1:11" ht="16" x14ac:dyDescent="0.2">
      <c r="A3382" s="16">
        <v>45833</v>
      </c>
      <c r="B3382" t="s">
        <v>45</v>
      </c>
      <c r="C3382" t="s">
        <v>19</v>
      </c>
      <c r="D3382" t="s">
        <v>20</v>
      </c>
      <c r="E3382" t="s">
        <v>7642</v>
      </c>
      <c r="F3382">
        <v>1</v>
      </c>
      <c r="G3382" s="15">
        <v>2710000</v>
      </c>
      <c r="H3382" s="14">
        <v>0.13075929750140999</v>
      </c>
      <c r="I3382" s="27">
        <f t="shared" si="52"/>
        <v>2355642.3037711792</v>
      </c>
      <c r="J3382">
        <v>4.7</v>
      </c>
      <c r="K3382" t="b">
        <v>1</v>
      </c>
    </row>
    <row r="3383" spans="1:11" ht="16" x14ac:dyDescent="0.2">
      <c r="A3383" s="16">
        <v>45833</v>
      </c>
      <c r="B3383" t="s">
        <v>18</v>
      </c>
      <c r="C3383" t="s">
        <v>25</v>
      </c>
      <c r="D3383" t="s">
        <v>35</v>
      </c>
      <c r="E3383" t="s">
        <v>7640</v>
      </c>
      <c r="F3383">
        <v>2</v>
      </c>
      <c r="G3383" s="15">
        <v>2710000</v>
      </c>
      <c r="H3383" s="14">
        <v>0.13075929750140999</v>
      </c>
      <c r="I3383" s="27">
        <f t="shared" si="52"/>
        <v>2355642.3037711792</v>
      </c>
      <c r="J3383">
        <v>4.5999999999999996</v>
      </c>
      <c r="K3383" t="b">
        <v>1</v>
      </c>
    </row>
    <row r="3384" spans="1:11" ht="16" x14ac:dyDescent="0.2">
      <c r="A3384" s="16">
        <v>45833</v>
      </c>
      <c r="B3384" t="s">
        <v>18</v>
      </c>
      <c r="C3384" t="s">
        <v>39</v>
      </c>
      <c r="D3384" t="s">
        <v>35</v>
      </c>
      <c r="E3384" t="s">
        <v>7643</v>
      </c>
      <c r="F3384">
        <v>1</v>
      </c>
      <c r="G3384" s="15">
        <v>2710000</v>
      </c>
      <c r="H3384" s="14">
        <v>0.13075929750140999</v>
      </c>
      <c r="I3384" s="27">
        <f t="shared" si="52"/>
        <v>2355642.3037711792</v>
      </c>
      <c r="J3384">
        <v>3.7</v>
      </c>
      <c r="K3384" t="b">
        <v>1</v>
      </c>
    </row>
    <row r="3385" spans="1:11" ht="16" x14ac:dyDescent="0.2">
      <c r="A3385" s="16">
        <v>45834</v>
      </c>
      <c r="B3385" t="s">
        <v>29</v>
      </c>
      <c r="C3385" t="s">
        <v>39</v>
      </c>
      <c r="D3385" t="s">
        <v>20</v>
      </c>
      <c r="E3385" t="s">
        <v>7641</v>
      </c>
      <c r="F3385">
        <v>2</v>
      </c>
      <c r="G3385" s="15">
        <v>2710000</v>
      </c>
      <c r="H3385" s="14">
        <v>0.13075929750140999</v>
      </c>
      <c r="I3385" s="27">
        <f t="shared" si="52"/>
        <v>2355642.3037711792</v>
      </c>
      <c r="J3385">
        <v>4.0999999999999996</v>
      </c>
      <c r="K3385" t="b">
        <v>0</v>
      </c>
    </row>
    <row r="3386" spans="1:11" ht="16" x14ac:dyDescent="0.2">
      <c r="A3386" s="16">
        <v>45834</v>
      </c>
      <c r="B3386" t="s">
        <v>18</v>
      </c>
      <c r="C3386" t="s">
        <v>34</v>
      </c>
      <c r="D3386" t="s">
        <v>35</v>
      </c>
      <c r="E3386" t="s">
        <v>7643</v>
      </c>
      <c r="F3386">
        <v>2</v>
      </c>
      <c r="G3386" s="15">
        <v>2710000</v>
      </c>
      <c r="H3386" s="14">
        <v>0.13075929750140999</v>
      </c>
      <c r="I3386" s="27">
        <f t="shared" si="52"/>
        <v>2355642.3037711792</v>
      </c>
      <c r="J3386">
        <v>4</v>
      </c>
      <c r="K3386" t="b">
        <v>1</v>
      </c>
    </row>
    <row r="3387" spans="1:11" ht="16" x14ac:dyDescent="0.2">
      <c r="A3387" s="16">
        <v>45834</v>
      </c>
      <c r="B3387" t="s">
        <v>18</v>
      </c>
      <c r="C3387" t="s">
        <v>19</v>
      </c>
      <c r="D3387" t="s">
        <v>20</v>
      </c>
      <c r="E3387" t="s">
        <v>7641</v>
      </c>
      <c r="F3387">
        <v>1</v>
      </c>
      <c r="G3387" s="15">
        <v>2710000</v>
      </c>
      <c r="H3387" s="14">
        <v>0.13075929750140999</v>
      </c>
      <c r="I3387" s="27">
        <f t="shared" si="52"/>
        <v>2355642.3037711792</v>
      </c>
      <c r="J3387">
        <v>4.2</v>
      </c>
      <c r="K3387" t="b">
        <v>1</v>
      </c>
    </row>
    <row r="3388" spans="1:11" ht="16" x14ac:dyDescent="0.2">
      <c r="A3388" s="16">
        <v>45834</v>
      </c>
      <c r="B3388" t="s">
        <v>33</v>
      </c>
      <c r="C3388" t="s">
        <v>39</v>
      </c>
      <c r="D3388" t="s">
        <v>50</v>
      </c>
      <c r="E3388" t="s">
        <v>99</v>
      </c>
      <c r="F3388">
        <v>1</v>
      </c>
      <c r="G3388" s="15">
        <v>2710000</v>
      </c>
      <c r="H3388" s="14">
        <v>0.13075929750140999</v>
      </c>
      <c r="I3388" s="27">
        <f t="shared" si="52"/>
        <v>2355642.3037711792</v>
      </c>
      <c r="J3388">
        <v>4.3</v>
      </c>
      <c r="K3388" t="b">
        <v>1</v>
      </c>
    </row>
    <row r="3389" spans="1:11" ht="16" x14ac:dyDescent="0.2">
      <c r="A3389" s="16">
        <v>45834</v>
      </c>
      <c r="B3389" t="s">
        <v>33</v>
      </c>
      <c r="C3389" t="s">
        <v>45</v>
      </c>
      <c r="D3389" t="s">
        <v>35</v>
      </c>
      <c r="E3389" t="s">
        <v>57</v>
      </c>
      <c r="F3389">
        <v>5</v>
      </c>
      <c r="G3389" s="15">
        <v>2710000</v>
      </c>
      <c r="H3389" s="14">
        <v>0.13075929750140999</v>
      </c>
      <c r="I3389" s="27">
        <f t="shared" si="52"/>
        <v>2355642.3037711792</v>
      </c>
      <c r="J3389">
        <v>4.2</v>
      </c>
      <c r="K3389" t="b">
        <v>1</v>
      </c>
    </row>
    <row r="3390" spans="1:11" ht="16" x14ac:dyDescent="0.2">
      <c r="A3390" s="16">
        <v>45834</v>
      </c>
      <c r="B3390" t="s">
        <v>29</v>
      </c>
      <c r="C3390" t="s">
        <v>39</v>
      </c>
      <c r="D3390" t="s">
        <v>50</v>
      </c>
      <c r="E3390" t="s">
        <v>7641</v>
      </c>
      <c r="F3390">
        <v>2</v>
      </c>
      <c r="G3390" s="15">
        <v>2710000</v>
      </c>
      <c r="H3390" s="14">
        <v>0.13075929750140999</v>
      </c>
      <c r="I3390" s="27">
        <f t="shared" si="52"/>
        <v>2355642.3037711792</v>
      </c>
      <c r="J3390">
        <v>3.6</v>
      </c>
      <c r="K3390" t="b">
        <v>0</v>
      </c>
    </row>
    <row r="3391" spans="1:11" ht="16" x14ac:dyDescent="0.2">
      <c r="A3391" s="16">
        <v>45834</v>
      </c>
      <c r="B3391" t="s">
        <v>18</v>
      </c>
      <c r="C3391" t="s">
        <v>25</v>
      </c>
      <c r="D3391" t="s">
        <v>20</v>
      </c>
      <c r="E3391" t="s">
        <v>57</v>
      </c>
      <c r="F3391">
        <v>1</v>
      </c>
      <c r="G3391" s="15">
        <v>2710000</v>
      </c>
      <c r="H3391" s="14">
        <v>0.13075929750140999</v>
      </c>
      <c r="I3391" s="27">
        <f t="shared" si="52"/>
        <v>2355642.3037711792</v>
      </c>
      <c r="J3391">
        <v>4.4000000000000004</v>
      </c>
      <c r="K3391" t="b">
        <v>1</v>
      </c>
    </row>
    <row r="3392" spans="1:11" ht="16" x14ac:dyDescent="0.2">
      <c r="A3392" s="16">
        <v>45834</v>
      </c>
      <c r="B3392" t="s">
        <v>45</v>
      </c>
      <c r="C3392" t="s">
        <v>19</v>
      </c>
      <c r="D3392" t="s">
        <v>20</v>
      </c>
      <c r="E3392" t="s">
        <v>7638</v>
      </c>
      <c r="F3392">
        <v>1</v>
      </c>
      <c r="G3392" s="15">
        <v>2710000</v>
      </c>
      <c r="H3392" s="14">
        <v>0.13075929750140999</v>
      </c>
      <c r="I3392" s="27">
        <f t="shared" si="52"/>
        <v>2355642.3037711792</v>
      </c>
      <c r="J3392">
        <v>4.0999999999999996</v>
      </c>
      <c r="K3392" t="b">
        <v>1</v>
      </c>
    </row>
    <row r="3393" spans="1:11" ht="16" x14ac:dyDescent="0.2">
      <c r="A3393" s="16">
        <v>45835</v>
      </c>
      <c r="B3393" t="s">
        <v>18</v>
      </c>
      <c r="C3393" t="s">
        <v>25</v>
      </c>
      <c r="D3393" t="s">
        <v>50</v>
      </c>
      <c r="E3393" t="s">
        <v>7637</v>
      </c>
      <c r="F3393">
        <v>1</v>
      </c>
      <c r="G3393" s="15">
        <v>2710000</v>
      </c>
      <c r="H3393" s="14">
        <v>0.13075929750140999</v>
      </c>
      <c r="I3393" s="27">
        <f t="shared" si="52"/>
        <v>2355642.3037711792</v>
      </c>
      <c r="J3393">
        <v>3.3</v>
      </c>
      <c r="K3393" t="b">
        <v>1</v>
      </c>
    </row>
    <row r="3394" spans="1:11" ht="16" x14ac:dyDescent="0.2">
      <c r="A3394" s="16">
        <v>45835</v>
      </c>
      <c r="B3394" t="s">
        <v>45</v>
      </c>
      <c r="C3394" t="s">
        <v>45</v>
      </c>
      <c r="D3394" t="s">
        <v>35</v>
      </c>
      <c r="E3394" t="s">
        <v>57</v>
      </c>
      <c r="F3394">
        <v>5</v>
      </c>
      <c r="G3394" s="15">
        <v>2710000</v>
      </c>
      <c r="H3394" s="14">
        <v>0.13075929750140999</v>
      </c>
      <c r="I3394" s="27">
        <f t="shared" si="52"/>
        <v>2355642.3037711792</v>
      </c>
      <c r="J3394">
        <v>4.4000000000000004</v>
      </c>
      <c r="K3394" t="b">
        <v>1</v>
      </c>
    </row>
    <row r="3395" spans="1:11" ht="16" x14ac:dyDescent="0.2">
      <c r="A3395" s="16">
        <v>45835</v>
      </c>
      <c r="B3395" t="s">
        <v>18</v>
      </c>
      <c r="C3395" t="s">
        <v>34</v>
      </c>
      <c r="D3395" t="s">
        <v>35</v>
      </c>
      <c r="E3395" t="s">
        <v>7642</v>
      </c>
      <c r="F3395">
        <v>2</v>
      </c>
      <c r="G3395" s="15">
        <v>2710000</v>
      </c>
      <c r="H3395" s="14">
        <v>0.13075929750140999</v>
      </c>
      <c r="I3395" s="27">
        <f t="shared" ref="I3395:I3458" si="53">G3395-G3395*H3395</f>
        <v>2355642.3037711792</v>
      </c>
      <c r="J3395">
        <v>2.2999999999999998</v>
      </c>
      <c r="K3395" t="b">
        <v>1</v>
      </c>
    </row>
    <row r="3396" spans="1:11" ht="16" x14ac:dyDescent="0.2">
      <c r="A3396" s="16">
        <v>45835</v>
      </c>
      <c r="B3396" t="s">
        <v>33</v>
      </c>
      <c r="C3396" t="s">
        <v>34</v>
      </c>
      <c r="D3396" t="s">
        <v>20</v>
      </c>
      <c r="E3396" t="s">
        <v>7643</v>
      </c>
      <c r="F3396">
        <v>1</v>
      </c>
      <c r="G3396" s="15">
        <v>2710000</v>
      </c>
      <c r="H3396" s="14">
        <v>0.13075929750140999</v>
      </c>
      <c r="I3396" s="27">
        <f t="shared" si="53"/>
        <v>2355642.3037711792</v>
      </c>
      <c r="J3396">
        <v>4.5999999999999996</v>
      </c>
      <c r="K3396" t="b">
        <v>1</v>
      </c>
    </row>
    <row r="3397" spans="1:11" ht="16" x14ac:dyDescent="0.2">
      <c r="A3397" s="16">
        <v>45836</v>
      </c>
      <c r="B3397" t="s">
        <v>45</v>
      </c>
      <c r="C3397" t="s">
        <v>19</v>
      </c>
      <c r="D3397" t="s">
        <v>20</v>
      </c>
      <c r="E3397" t="str">
        <f>E3396</f>
        <v>TP. HCM</v>
      </c>
      <c r="F3397">
        <v>1</v>
      </c>
      <c r="G3397" s="15">
        <v>2710000</v>
      </c>
      <c r="H3397" s="14">
        <v>0.13075929750140999</v>
      </c>
      <c r="I3397" s="27">
        <f t="shared" si="53"/>
        <v>2355642.3037711792</v>
      </c>
      <c r="J3397">
        <v>4.7</v>
      </c>
      <c r="K3397" t="b">
        <v>1</v>
      </c>
    </row>
    <row r="3398" spans="1:11" ht="16" x14ac:dyDescent="0.2">
      <c r="A3398" s="16">
        <v>45836</v>
      </c>
      <c r="B3398" t="s">
        <v>29</v>
      </c>
      <c r="C3398" t="s">
        <v>45</v>
      </c>
      <c r="D3398" t="s">
        <v>50</v>
      </c>
      <c r="E3398" t="s">
        <v>7638</v>
      </c>
      <c r="F3398">
        <v>3</v>
      </c>
      <c r="G3398" s="15">
        <v>2710000</v>
      </c>
      <c r="H3398" s="14">
        <v>0.13075929750140999</v>
      </c>
      <c r="I3398" s="27">
        <f t="shared" si="53"/>
        <v>2355642.3037711792</v>
      </c>
      <c r="J3398">
        <v>3.6</v>
      </c>
      <c r="K3398" t="b">
        <v>1</v>
      </c>
    </row>
    <row r="3399" spans="1:11" ht="16" x14ac:dyDescent="0.2">
      <c r="A3399" s="16">
        <v>45836</v>
      </c>
      <c r="B3399" t="s">
        <v>18</v>
      </c>
      <c r="C3399" t="s">
        <v>34</v>
      </c>
      <c r="D3399" t="s">
        <v>50</v>
      </c>
      <c r="E3399" t="s">
        <v>7637</v>
      </c>
      <c r="F3399">
        <v>2</v>
      </c>
      <c r="G3399" s="15">
        <v>2710000</v>
      </c>
      <c r="H3399" s="14">
        <v>0.13075929750140999</v>
      </c>
      <c r="I3399" s="27">
        <f t="shared" si="53"/>
        <v>2355642.3037711792</v>
      </c>
      <c r="J3399">
        <v>3.8</v>
      </c>
      <c r="K3399" t="b">
        <v>1</v>
      </c>
    </row>
    <row r="3400" spans="1:11" ht="16" x14ac:dyDescent="0.2">
      <c r="A3400" s="16">
        <v>45836</v>
      </c>
      <c r="B3400" t="s">
        <v>33</v>
      </c>
      <c r="C3400" t="s">
        <v>45</v>
      </c>
      <c r="D3400" t="s">
        <v>35</v>
      </c>
      <c r="E3400" t="s">
        <v>7637</v>
      </c>
      <c r="F3400">
        <v>2</v>
      </c>
      <c r="G3400" s="15">
        <v>2710000</v>
      </c>
      <c r="H3400" s="14">
        <v>0.13075929750140999</v>
      </c>
      <c r="I3400" s="27">
        <f t="shared" si="53"/>
        <v>2355642.3037711792</v>
      </c>
      <c r="J3400">
        <v>4.8</v>
      </c>
      <c r="K3400" t="b">
        <v>1</v>
      </c>
    </row>
    <row r="3401" spans="1:11" ht="16" x14ac:dyDescent="0.2">
      <c r="A3401" s="16">
        <v>45836</v>
      </c>
      <c r="B3401" t="s">
        <v>29</v>
      </c>
      <c r="C3401" t="s">
        <v>34</v>
      </c>
      <c r="D3401" t="s">
        <v>20</v>
      </c>
      <c r="E3401" t="s">
        <v>7639</v>
      </c>
      <c r="F3401">
        <v>1</v>
      </c>
      <c r="G3401" s="15">
        <v>2710000</v>
      </c>
      <c r="H3401" s="14">
        <v>0.13075929750140999</v>
      </c>
      <c r="I3401" s="27">
        <f t="shared" si="53"/>
        <v>2355642.3037711792</v>
      </c>
      <c r="J3401">
        <v>3.5</v>
      </c>
      <c r="K3401" t="b">
        <v>0</v>
      </c>
    </row>
    <row r="3402" spans="1:11" ht="16" x14ac:dyDescent="0.2">
      <c r="A3402" s="16">
        <v>45837</v>
      </c>
      <c r="B3402" t="s">
        <v>18</v>
      </c>
      <c r="C3402" t="s">
        <v>39</v>
      </c>
      <c r="D3402" t="s">
        <v>20</v>
      </c>
      <c r="E3402" t="s">
        <v>7638</v>
      </c>
      <c r="F3402">
        <v>2</v>
      </c>
      <c r="G3402" s="15">
        <v>2710000</v>
      </c>
      <c r="H3402" s="14">
        <v>0.13075929750140999</v>
      </c>
      <c r="I3402" s="27">
        <f t="shared" si="53"/>
        <v>2355642.3037711792</v>
      </c>
      <c r="J3402">
        <v>4.4000000000000004</v>
      </c>
      <c r="K3402" t="b">
        <v>1</v>
      </c>
    </row>
    <row r="3403" spans="1:11" ht="16" x14ac:dyDescent="0.2">
      <c r="A3403" s="16">
        <v>45837</v>
      </c>
      <c r="B3403" t="s">
        <v>18</v>
      </c>
      <c r="C3403" t="s">
        <v>34</v>
      </c>
      <c r="D3403" t="s">
        <v>20</v>
      </c>
      <c r="E3403" t="str">
        <f>E3402</f>
        <v>Đà Lạt</v>
      </c>
      <c r="F3403">
        <v>2</v>
      </c>
      <c r="G3403" s="15">
        <v>2710000</v>
      </c>
      <c r="H3403" s="14">
        <v>0.13075929750140999</v>
      </c>
      <c r="I3403" s="27">
        <f t="shared" si="53"/>
        <v>2355642.3037711792</v>
      </c>
      <c r="J3403">
        <v>4.2</v>
      </c>
      <c r="K3403" t="b">
        <v>0</v>
      </c>
    </row>
    <row r="3404" spans="1:11" ht="16" x14ac:dyDescent="0.2">
      <c r="A3404" s="16">
        <v>45837</v>
      </c>
      <c r="B3404" t="s">
        <v>29</v>
      </c>
      <c r="C3404" t="s">
        <v>45</v>
      </c>
      <c r="D3404" t="s">
        <v>20</v>
      </c>
      <c r="E3404" t="s">
        <v>7638</v>
      </c>
      <c r="F3404">
        <v>2</v>
      </c>
      <c r="G3404" s="15">
        <v>2710000</v>
      </c>
      <c r="H3404" s="14">
        <v>0.13075929750140999</v>
      </c>
      <c r="I3404" s="27">
        <f t="shared" si="53"/>
        <v>2355642.3037711792</v>
      </c>
      <c r="J3404">
        <v>3.4</v>
      </c>
      <c r="K3404" t="b">
        <v>0</v>
      </c>
    </row>
    <row r="3405" spans="1:11" ht="16" x14ac:dyDescent="0.2">
      <c r="A3405" s="16">
        <v>45837</v>
      </c>
      <c r="B3405" t="s">
        <v>33</v>
      </c>
      <c r="C3405" t="s">
        <v>34</v>
      </c>
      <c r="D3405" t="str">
        <f>D3404</f>
        <v>Website</v>
      </c>
      <c r="E3405" t="s">
        <v>7638</v>
      </c>
      <c r="F3405">
        <v>1</v>
      </c>
      <c r="G3405" s="15">
        <v>2710000</v>
      </c>
      <c r="H3405" s="14">
        <v>0.13075929750140999</v>
      </c>
      <c r="I3405" s="27">
        <f t="shared" si="53"/>
        <v>2355642.3037711792</v>
      </c>
      <c r="J3405">
        <v>4.3</v>
      </c>
      <c r="K3405" t="b">
        <v>1</v>
      </c>
    </row>
    <row r="3406" spans="1:11" ht="16" x14ac:dyDescent="0.2">
      <c r="A3406" s="16">
        <v>45837</v>
      </c>
      <c r="B3406" t="s">
        <v>45</v>
      </c>
      <c r="C3406" t="s">
        <v>45</v>
      </c>
      <c r="D3406" t="s">
        <v>20</v>
      </c>
      <c r="E3406" t="s">
        <v>7641</v>
      </c>
      <c r="F3406">
        <v>2</v>
      </c>
      <c r="G3406" s="15">
        <v>2710000</v>
      </c>
      <c r="H3406" s="14">
        <v>0.13075929750140999</v>
      </c>
      <c r="I3406" s="27">
        <f t="shared" si="53"/>
        <v>2355642.3037711792</v>
      </c>
      <c r="J3406">
        <v>4</v>
      </c>
      <c r="K3406" t="b">
        <v>0</v>
      </c>
    </row>
    <row r="3407" spans="1:11" ht="16" x14ac:dyDescent="0.2">
      <c r="A3407" s="16">
        <v>45838</v>
      </c>
      <c r="B3407" t="s">
        <v>18</v>
      </c>
      <c r="C3407" t="s">
        <v>19</v>
      </c>
      <c r="D3407" t="s">
        <v>35</v>
      </c>
      <c r="E3407" t="s">
        <v>99</v>
      </c>
      <c r="F3407">
        <v>3</v>
      </c>
      <c r="G3407" s="15">
        <v>2710000</v>
      </c>
      <c r="H3407" s="14">
        <v>0.13075929750140999</v>
      </c>
      <c r="I3407" s="27">
        <f t="shared" si="53"/>
        <v>2355642.3037711792</v>
      </c>
      <c r="J3407">
        <v>3.7</v>
      </c>
      <c r="K3407" t="b">
        <v>0</v>
      </c>
    </row>
    <row r="3408" spans="1:11" ht="16" x14ac:dyDescent="0.2">
      <c r="A3408" s="16">
        <v>45838</v>
      </c>
      <c r="B3408" t="s">
        <v>45</v>
      </c>
      <c r="C3408" t="s">
        <v>34</v>
      </c>
      <c r="D3408" t="s">
        <v>35</v>
      </c>
      <c r="E3408" t="s">
        <v>7640</v>
      </c>
      <c r="F3408">
        <v>3</v>
      </c>
      <c r="G3408" s="15">
        <v>2710000</v>
      </c>
      <c r="H3408" s="14">
        <v>0.13075929750140999</v>
      </c>
      <c r="I3408" s="27">
        <f t="shared" si="53"/>
        <v>2355642.3037711792</v>
      </c>
      <c r="J3408">
        <v>4.4000000000000004</v>
      </c>
      <c r="K3408" t="b">
        <v>0</v>
      </c>
    </row>
    <row r="3409" spans="1:11" ht="16" x14ac:dyDescent="0.2">
      <c r="A3409" s="16">
        <v>45838</v>
      </c>
      <c r="B3409" t="s">
        <v>33</v>
      </c>
      <c r="C3409" t="s">
        <v>39</v>
      </c>
      <c r="D3409" t="s">
        <v>20</v>
      </c>
      <c r="E3409" t="s">
        <v>7643</v>
      </c>
      <c r="F3409">
        <v>2</v>
      </c>
      <c r="G3409" s="15">
        <v>2710000</v>
      </c>
      <c r="H3409" s="14">
        <v>0.13075929750140999</v>
      </c>
      <c r="I3409" s="27">
        <f t="shared" si="53"/>
        <v>2355642.3037711792</v>
      </c>
      <c r="J3409">
        <v>4.5</v>
      </c>
      <c r="K3409" t="b">
        <v>1</v>
      </c>
    </row>
    <row r="3410" spans="1:11" ht="16" x14ac:dyDescent="0.2">
      <c r="A3410" s="16">
        <v>45839</v>
      </c>
      <c r="B3410" t="s">
        <v>18</v>
      </c>
      <c r="C3410" t="s">
        <v>45</v>
      </c>
      <c r="D3410" t="s">
        <v>20</v>
      </c>
      <c r="E3410" t="str">
        <f>E3409</f>
        <v>TP. HCM</v>
      </c>
      <c r="F3410">
        <v>2</v>
      </c>
      <c r="G3410" s="15">
        <v>2710000</v>
      </c>
      <c r="H3410" s="14">
        <v>0.13075929750140999</v>
      </c>
      <c r="I3410" s="27">
        <f t="shared" si="53"/>
        <v>2355642.3037711792</v>
      </c>
      <c r="J3410">
        <v>4.8</v>
      </c>
      <c r="K3410" t="b">
        <v>1</v>
      </c>
    </row>
    <row r="3411" spans="1:11" ht="16" x14ac:dyDescent="0.2">
      <c r="A3411" s="16">
        <v>45839</v>
      </c>
      <c r="B3411" t="s">
        <v>18</v>
      </c>
      <c r="C3411" t="s">
        <v>34</v>
      </c>
      <c r="D3411" t="s">
        <v>20</v>
      </c>
      <c r="E3411" t="s">
        <v>7638</v>
      </c>
      <c r="F3411">
        <v>2</v>
      </c>
      <c r="G3411" s="15">
        <v>2710000</v>
      </c>
      <c r="H3411" s="14">
        <v>0.13075929750140999</v>
      </c>
      <c r="I3411" s="27">
        <f t="shared" si="53"/>
        <v>2355642.3037711792</v>
      </c>
      <c r="J3411">
        <v>3.7</v>
      </c>
      <c r="K3411" t="b">
        <v>1</v>
      </c>
    </row>
    <row r="3412" spans="1:11" ht="16" x14ac:dyDescent="0.2">
      <c r="A3412" s="16">
        <v>45839</v>
      </c>
      <c r="B3412" t="s">
        <v>45</v>
      </c>
      <c r="C3412" t="s">
        <v>34</v>
      </c>
      <c r="D3412" t="s">
        <v>20</v>
      </c>
      <c r="E3412" t="s">
        <v>57</v>
      </c>
      <c r="F3412">
        <v>4</v>
      </c>
      <c r="G3412" s="15">
        <v>2710000</v>
      </c>
      <c r="H3412" s="14">
        <v>0.13075929750140999</v>
      </c>
      <c r="I3412" s="27">
        <f t="shared" si="53"/>
        <v>2355642.3037711792</v>
      </c>
      <c r="J3412">
        <v>3.9</v>
      </c>
      <c r="K3412" t="b">
        <v>0</v>
      </c>
    </row>
    <row r="3413" spans="1:11" ht="16" x14ac:dyDescent="0.2">
      <c r="A3413" s="16">
        <v>45839</v>
      </c>
      <c r="B3413" t="s">
        <v>18</v>
      </c>
      <c r="C3413" t="s">
        <v>39</v>
      </c>
      <c r="D3413" t="s">
        <v>20</v>
      </c>
      <c r="E3413" t="s">
        <v>7640</v>
      </c>
      <c r="F3413">
        <v>2</v>
      </c>
      <c r="G3413" s="15">
        <v>2710000</v>
      </c>
      <c r="H3413" s="14">
        <v>0.13075929750140999</v>
      </c>
      <c r="I3413" s="27">
        <f t="shared" si="53"/>
        <v>2355642.3037711792</v>
      </c>
      <c r="J3413">
        <v>4.7</v>
      </c>
      <c r="K3413" t="b">
        <v>1</v>
      </c>
    </row>
    <row r="3414" spans="1:11" ht="16" x14ac:dyDescent="0.2">
      <c r="A3414" s="16">
        <v>45839</v>
      </c>
      <c r="B3414" t="s">
        <v>18</v>
      </c>
      <c r="C3414" t="s">
        <v>68</v>
      </c>
      <c r="D3414" t="s">
        <v>50</v>
      </c>
      <c r="E3414" t="s">
        <v>99</v>
      </c>
      <c r="F3414">
        <v>1</v>
      </c>
      <c r="G3414" s="15">
        <v>2710000</v>
      </c>
      <c r="H3414" s="14">
        <v>0.13075929750140999</v>
      </c>
      <c r="I3414" s="27">
        <f t="shared" si="53"/>
        <v>2355642.3037711792</v>
      </c>
      <c r="J3414">
        <v>4.3</v>
      </c>
      <c r="K3414" t="b">
        <v>1</v>
      </c>
    </row>
    <row r="3415" spans="1:11" ht="16" x14ac:dyDescent="0.2">
      <c r="A3415" s="16">
        <v>45839</v>
      </c>
      <c r="B3415" t="s">
        <v>18</v>
      </c>
      <c r="C3415" t="s">
        <v>34</v>
      </c>
      <c r="D3415" t="s">
        <v>50</v>
      </c>
      <c r="E3415" t="s">
        <v>7644</v>
      </c>
      <c r="F3415">
        <v>1</v>
      </c>
      <c r="G3415" s="15">
        <v>2710000</v>
      </c>
      <c r="H3415" s="14">
        <v>0.13075929750140999</v>
      </c>
      <c r="I3415" s="27">
        <f t="shared" si="53"/>
        <v>2355642.3037711792</v>
      </c>
      <c r="J3415">
        <v>4.3</v>
      </c>
      <c r="K3415" t="b">
        <v>1</v>
      </c>
    </row>
    <row r="3416" spans="1:11" ht="16" x14ac:dyDescent="0.2">
      <c r="A3416" s="16">
        <v>45840</v>
      </c>
      <c r="B3416" t="s">
        <v>45</v>
      </c>
      <c r="C3416" t="s">
        <v>68</v>
      </c>
      <c r="D3416" t="s">
        <v>35</v>
      </c>
      <c r="E3416" t="s">
        <v>7638</v>
      </c>
      <c r="F3416">
        <v>2</v>
      </c>
      <c r="G3416" s="15">
        <v>2710000</v>
      </c>
      <c r="H3416" s="14">
        <v>0.13075929750140999</v>
      </c>
      <c r="I3416" s="27">
        <f t="shared" si="53"/>
        <v>2355642.3037711792</v>
      </c>
      <c r="J3416">
        <v>3.9</v>
      </c>
      <c r="K3416" t="b">
        <v>1</v>
      </c>
    </row>
    <row r="3417" spans="1:11" ht="16" x14ac:dyDescent="0.2">
      <c r="A3417" s="16">
        <v>45840</v>
      </c>
      <c r="B3417" t="s">
        <v>45</v>
      </c>
      <c r="C3417" t="s">
        <v>34</v>
      </c>
      <c r="D3417" t="s">
        <v>20</v>
      </c>
      <c r="E3417" t="s">
        <v>7638</v>
      </c>
      <c r="F3417">
        <v>2</v>
      </c>
      <c r="G3417" s="15">
        <v>2710000</v>
      </c>
      <c r="H3417" s="14">
        <v>0.13075929750140999</v>
      </c>
      <c r="I3417" s="27">
        <f t="shared" si="53"/>
        <v>2355642.3037711792</v>
      </c>
      <c r="J3417">
        <v>4.2</v>
      </c>
      <c r="K3417" t="b">
        <v>1</v>
      </c>
    </row>
    <row r="3418" spans="1:11" ht="16" x14ac:dyDescent="0.2">
      <c r="A3418" s="16">
        <v>45840</v>
      </c>
      <c r="B3418" t="s">
        <v>29</v>
      </c>
      <c r="C3418" t="s">
        <v>45</v>
      </c>
      <c r="D3418" t="s">
        <v>20</v>
      </c>
      <c r="E3418" t="s">
        <v>7644</v>
      </c>
      <c r="F3418">
        <v>4</v>
      </c>
      <c r="G3418" s="15">
        <v>2710000</v>
      </c>
      <c r="H3418" s="14">
        <v>0.13075929750140999</v>
      </c>
      <c r="I3418" s="27">
        <f t="shared" si="53"/>
        <v>2355642.3037711792</v>
      </c>
      <c r="J3418">
        <v>4.5999999999999996</v>
      </c>
      <c r="K3418" t="b">
        <v>1</v>
      </c>
    </row>
    <row r="3419" spans="1:11" ht="16" x14ac:dyDescent="0.2">
      <c r="A3419" s="16">
        <v>45841</v>
      </c>
      <c r="B3419" t="s">
        <v>45</v>
      </c>
      <c r="C3419" t="s">
        <v>45</v>
      </c>
      <c r="D3419" t="s">
        <v>20</v>
      </c>
      <c r="E3419" t="s">
        <v>99</v>
      </c>
      <c r="F3419">
        <v>3</v>
      </c>
      <c r="G3419" s="15">
        <v>2710000</v>
      </c>
      <c r="H3419" s="14">
        <v>0.13075929750140999</v>
      </c>
      <c r="I3419" s="27">
        <f t="shared" si="53"/>
        <v>2355642.3037711792</v>
      </c>
      <c r="J3419">
        <v>4.4000000000000004</v>
      </c>
      <c r="K3419" t="b">
        <v>0</v>
      </c>
    </row>
    <row r="3420" spans="1:11" ht="16" x14ac:dyDescent="0.2">
      <c r="A3420" s="16">
        <v>45841</v>
      </c>
      <c r="B3420" t="s">
        <v>33</v>
      </c>
      <c r="C3420" t="s">
        <v>19</v>
      </c>
      <c r="D3420" t="s">
        <v>35</v>
      </c>
      <c r="E3420" t="s">
        <v>7637</v>
      </c>
      <c r="F3420">
        <v>3</v>
      </c>
      <c r="G3420" s="15">
        <v>2710000</v>
      </c>
      <c r="H3420" s="14">
        <v>0.13075929750140999</v>
      </c>
      <c r="I3420" s="27">
        <f t="shared" si="53"/>
        <v>2355642.3037711792</v>
      </c>
      <c r="J3420">
        <v>4.2</v>
      </c>
      <c r="K3420" t="b">
        <v>1</v>
      </c>
    </row>
    <row r="3421" spans="1:11" ht="16" x14ac:dyDescent="0.2">
      <c r="A3421" s="16">
        <v>45841</v>
      </c>
      <c r="B3421" t="s">
        <v>18</v>
      </c>
      <c r="C3421" t="s">
        <v>19</v>
      </c>
      <c r="D3421" t="s">
        <v>35</v>
      </c>
      <c r="E3421" t="s">
        <v>7641</v>
      </c>
      <c r="F3421">
        <v>2</v>
      </c>
      <c r="G3421" s="15">
        <v>2710000</v>
      </c>
      <c r="H3421" s="14">
        <v>0.13075929750140999</v>
      </c>
      <c r="I3421" s="27">
        <f t="shared" si="53"/>
        <v>2355642.3037711792</v>
      </c>
      <c r="J3421">
        <v>3.7</v>
      </c>
      <c r="K3421" t="b">
        <v>1</v>
      </c>
    </row>
    <row r="3422" spans="1:11" ht="16" x14ac:dyDescent="0.2">
      <c r="A3422" s="16">
        <v>45841</v>
      </c>
      <c r="B3422" t="s">
        <v>33</v>
      </c>
      <c r="C3422" t="s">
        <v>68</v>
      </c>
      <c r="D3422" t="s">
        <v>50</v>
      </c>
      <c r="E3422" t="s">
        <v>7643</v>
      </c>
      <c r="F3422">
        <v>2</v>
      </c>
      <c r="G3422" s="15">
        <v>2710000</v>
      </c>
      <c r="H3422" s="14">
        <v>0.13075929750140999</v>
      </c>
      <c r="I3422" s="27">
        <f t="shared" si="53"/>
        <v>2355642.3037711792</v>
      </c>
      <c r="J3422">
        <v>4.8</v>
      </c>
      <c r="K3422" t="b">
        <v>1</v>
      </c>
    </row>
    <row r="3423" spans="1:11" ht="16" x14ac:dyDescent="0.2">
      <c r="A3423" s="16">
        <v>45841</v>
      </c>
      <c r="B3423" t="s">
        <v>33</v>
      </c>
      <c r="C3423" t="s">
        <v>68</v>
      </c>
      <c r="D3423" t="s">
        <v>50</v>
      </c>
      <c r="E3423" t="s">
        <v>7638</v>
      </c>
      <c r="F3423">
        <v>3</v>
      </c>
      <c r="G3423" s="15">
        <v>2710000</v>
      </c>
      <c r="H3423" s="14">
        <v>0.13075929750140999</v>
      </c>
      <c r="I3423" s="27">
        <f t="shared" si="53"/>
        <v>2355642.3037711792</v>
      </c>
      <c r="J3423">
        <v>4.4000000000000004</v>
      </c>
      <c r="K3423" t="b">
        <v>1</v>
      </c>
    </row>
    <row r="3424" spans="1:11" ht="16" x14ac:dyDescent="0.2">
      <c r="A3424" s="16">
        <v>45842</v>
      </c>
      <c r="B3424" t="s">
        <v>45</v>
      </c>
      <c r="C3424" t="s">
        <v>19</v>
      </c>
      <c r="D3424" t="s">
        <v>20</v>
      </c>
      <c r="E3424" t="s">
        <v>7637</v>
      </c>
      <c r="F3424">
        <v>4</v>
      </c>
      <c r="G3424" s="15">
        <v>2710000</v>
      </c>
      <c r="H3424" s="14">
        <v>0.13075929750140999</v>
      </c>
      <c r="I3424" s="27">
        <f t="shared" si="53"/>
        <v>2355642.3037711792</v>
      </c>
      <c r="J3424">
        <v>3.7</v>
      </c>
      <c r="K3424" t="b">
        <v>1</v>
      </c>
    </row>
    <row r="3425" spans="1:11" ht="16" x14ac:dyDescent="0.2">
      <c r="A3425" s="16">
        <v>45842</v>
      </c>
      <c r="B3425" t="s">
        <v>18</v>
      </c>
      <c r="C3425" t="s">
        <v>34</v>
      </c>
      <c r="D3425" t="s">
        <v>35</v>
      </c>
      <c r="E3425" t="s">
        <v>7641</v>
      </c>
      <c r="F3425">
        <v>1</v>
      </c>
      <c r="G3425" s="15">
        <v>2710000</v>
      </c>
      <c r="H3425" s="14">
        <v>0.13075929750140999</v>
      </c>
      <c r="I3425" s="27">
        <f t="shared" si="53"/>
        <v>2355642.3037711792</v>
      </c>
      <c r="J3425">
        <v>4.3</v>
      </c>
      <c r="K3425" t="b">
        <v>1</v>
      </c>
    </row>
    <row r="3426" spans="1:11" ht="16" x14ac:dyDescent="0.2">
      <c r="A3426" s="16">
        <v>45842</v>
      </c>
      <c r="B3426" t="s">
        <v>45</v>
      </c>
      <c r="C3426" t="s">
        <v>25</v>
      </c>
      <c r="D3426" t="s">
        <v>35</v>
      </c>
      <c r="E3426" t="s">
        <v>7641</v>
      </c>
      <c r="F3426">
        <v>1</v>
      </c>
      <c r="G3426" s="15">
        <v>2710000</v>
      </c>
      <c r="H3426" s="14">
        <v>0.13075929750140999</v>
      </c>
      <c r="I3426" s="27">
        <f t="shared" si="53"/>
        <v>2355642.3037711792</v>
      </c>
      <c r="J3426">
        <v>3.9</v>
      </c>
      <c r="K3426" t="b">
        <v>1</v>
      </c>
    </row>
    <row r="3427" spans="1:11" ht="16" x14ac:dyDescent="0.2">
      <c r="A3427" s="16">
        <v>45843</v>
      </c>
      <c r="B3427" t="s">
        <v>18</v>
      </c>
      <c r="C3427" t="s">
        <v>34</v>
      </c>
      <c r="D3427" t="s">
        <v>50</v>
      </c>
      <c r="E3427" t="s">
        <v>7638</v>
      </c>
      <c r="F3427">
        <v>1</v>
      </c>
      <c r="G3427" s="15">
        <v>2710000</v>
      </c>
      <c r="H3427" s="14">
        <v>0.13075929750140999</v>
      </c>
      <c r="I3427" s="27">
        <f t="shared" si="53"/>
        <v>2355642.3037711792</v>
      </c>
      <c r="J3427">
        <v>4.5</v>
      </c>
      <c r="K3427" t="b">
        <v>1</v>
      </c>
    </row>
    <row r="3428" spans="1:11" ht="16" x14ac:dyDescent="0.2">
      <c r="A3428" s="16">
        <v>45843</v>
      </c>
      <c r="B3428" t="s">
        <v>45</v>
      </c>
      <c r="C3428" t="s">
        <v>68</v>
      </c>
      <c r="D3428" t="s">
        <v>46</v>
      </c>
      <c r="E3428" t="s">
        <v>7641</v>
      </c>
      <c r="F3428">
        <v>2</v>
      </c>
      <c r="G3428" s="15">
        <v>2710000</v>
      </c>
      <c r="H3428" s="14">
        <v>0.13075929750140999</v>
      </c>
      <c r="I3428" s="27">
        <f t="shared" si="53"/>
        <v>2355642.3037711792</v>
      </c>
      <c r="J3428">
        <v>3.9</v>
      </c>
      <c r="K3428" t="b">
        <v>1</v>
      </c>
    </row>
    <row r="3429" spans="1:11" ht="16" x14ac:dyDescent="0.2">
      <c r="A3429" s="16">
        <v>45844</v>
      </c>
      <c r="B3429" t="s">
        <v>45</v>
      </c>
      <c r="C3429" t="s">
        <v>34</v>
      </c>
      <c r="D3429" t="s">
        <v>20</v>
      </c>
      <c r="E3429" t="s">
        <v>7638</v>
      </c>
      <c r="F3429">
        <v>3</v>
      </c>
      <c r="G3429" s="15">
        <v>2710000</v>
      </c>
      <c r="H3429" s="14">
        <v>0.13075929750140999</v>
      </c>
      <c r="I3429" s="27">
        <f t="shared" si="53"/>
        <v>2355642.3037711792</v>
      </c>
      <c r="J3429">
        <v>3.7</v>
      </c>
      <c r="K3429" t="b">
        <v>1</v>
      </c>
    </row>
    <row r="3430" spans="1:11" ht="16" x14ac:dyDescent="0.2">
      <c r="A3430" s="16">
        <v>45844</v>
      </c>
      <c r="B3430" t="s">
        <v>33</v>
      </c>
      <c r="C3430" t="s">
        <v>34</v>
      </c>
      <c r="D3430" t="s">
        <v>35</v>
      </c>
      <c r="E3430" t="s">
        <v>7644</v>
      </c>
      <c r="F3430">
        <v>1</v>
      </c>
      <c r="G3430" s="15">
        <v>2710000</v>
      </c>
      <c r="H3430" s="14">
        <v>0.13075929750140999</v>
      </c>
      <c r="I3430" s="27">
        <f t="shared" si="53"/>
        <v>2355642.3037711792</v>
      </c>
      <c r="J3430">
        <v>3</v>
      </c>
      <c r="K3430" t="b">
        <v>0</v>
      </c>
    </row>
    <row r="3431" spans="1:11" ht="16" x14ac:dyDescent="0.2">
      <c r="A3431" s="16">
        <v>45844</v>
      </c>
      <c r="B3431" t="s">
        <v>29</v>
      </c>
      <c r="C3431" t="s">
        <v>68</v>
      </c>
      <c r="D3431" t="s">
        <v>20</v>
      </c>
      <c r="E3431" t="str">
        <f>E3430</f>
        <v>Hạ Long</v>
      </c>
      <c r="F3431">
        <v>1</v>
      </c>
      <c r="G3431" s="15">
        <v>2710000</v>
      </c>
      <c r="H3431" s="14">
        <v>0.13075929750140999</v>
      </c>
      <c r="I3431" s="27">
        <f t="shared" si="53"/>
        <v>2355642.3037711792</v>
      </c>
      <c r="J3431">
        <v>4</v>
      </c>
      <c r="K3431" t="b">
        <v>1</v>
      </c>
    </row>
    <row r="3432" spans="1:11" ht="16" x14ac:dyDescent="0.2">
      <c r="A3432" s="16">
        <v>45845</v>
      </c>
      <c r="B3432" t="s">
        <v>45</v>
      </c>
      <c r="C3432" t="s">
        <v>45</v>
      </c>
      <c r="D3432" t="s">
        <v>20</v>
      </c>
      <c r="E3432" t="s">
        <v>7644</v>
      </c>
      <c r="F3432">
        <v>1</v>
      </c>
      <c r="G3432" s="15">
        <v>2710000</v>
      </c>
      <c r="H3432" s="14">
        <v>0.13075929750140999</v>
      </c>
      <c r="I3432" s="27">
        <f t="shared" si="53"/>
        <v>2355642.3037711792</v>
      </c>
      <c r="J3432">
        <v>4.2</v>
      </c>
      <c r="K3432" t="b">
        <v>0</v>
      </c>
    </row>
    <row r="3433" spans="1:11" ht="16" x14ac:dyDescent="0.2">
      <c r="A3433" s="16">
        <v>45845</v>
      </c>
      <c r="B3433" t="s">
        <v>18</v>
      </c>
      <c r="C3433" t="s">
        <v>45</v>
      </c>
      <c r="D3433" t="s">
        <v>20</v>
      </c>
      <c r="E3433" t="s">
        <v>7643</v>
      </c>
      <c r="F3433">
        <v>4</v>
      </c>
      <c r="G3433" s="15">
        <v>2710000</v>
      </c>
      <c r="H3433" s="14">
        <v>0.13075929750140999</v>
      </c>
      <c r="I3433" s="27">
        <f t="shared" si="53"/>
        <v>2355642.3037711792</v>
      </c>
      <c r="J3433">
        <v>4.5999999999999996</v>
      </c>
      <c r="K3433" t="b">
        <v>1</v>
      </c>
    </row>
    <row r="3434" spans="1:11" ht="16" x14ac:dyDescent="0.2">
      <c r="A3434" s="16">
        <v>45845</v>
      </c>
      <c r="B3434" t="s">
        <v>18</v>
      </c>
      <c r="C3434" t="s">
        <v>68</v>
      </c>
      <c r="D3434" t="s">
        <v>46</v>
      </c>
      <c r="E3434" t="s">
        <v>57</v>
      </c>
      <c r="F3434">
        <v>1</v>
      </c>
      <c r="G3434" s="15">
        <v>2710000</v>
      </c>
      <c r="H3434" s="14">
        <v>0.13075929750140999</v>
      </c>
      <c r="I3434" s="27">
        <f t="shared" si="53"/>
        <v>2355642.3037711792</v>
      </c>
      <c r="J3434">
        <v>4.7</v>
      </c>
      <c r="K3434" t="b">
        <v>1</v>
      </c>
    </row>
    <row r="3435" spans="1:11" ht="16" x14ac:dyDescent="0.2">
      <c r="A3435" s="16">
        <v>45846</v>
      </c>
      <c r="B3435" t="s">
        <v>33</v>
      </c>
      <c r="C3435" t="s">
        <v>34</v>
      </c>
      <c r="D3435" t="s">
        <v>20</v>
      </c>
      <c r="E3435" t="str">
        <f>E3434</f>
        <v>Nha Trang</v>
      </c>
      <c r="F3435">
        <v>3</v>
      </c>
      <c r="G3435" s="15">
        <v>2710000</v>
      </c>
      <c r="H3435" s="14">
        <v>0.13075929750140999</v>
      </c>
      <c r="I3435" s="27">
        <f t="shared" si="53"/>
        <v>2355642.3037711792</v>
      </c>
      <c r="J3435">
        <v>4.7</v>
      </c>
      <c r="K3435" t="b">
        <v>1</v>
      </c>
    </row>
    <row r="3436" spans="1:11" ht="16" x14ac:dyDescent="0.2">
      <c r="A3436" s="16">
        <v>45846</v>
      </c>
      <c r="B3436" t="s">
        <v>29</v>
      </c>
      <c r="C3436" t="s">
        <v>25</v>
      </c>
      <c r="D3436" t="s">
        <v>50</v>
      </c>
      <c r="E3436" t="s">
        <v>7637</v>
      </c>
      <c r="F3436">
        <v>1</v>
      </c>
      <c r="G3436" s="15">
        <v>2710000</v>
      </c>
      <c r="H3436" s="14">
        <v>0.13075929750140999</v>
      </c>
      <c r="I3436" s="27">
        <f t="shared" si="53"/>
        <v>2355642.3037711792</v>
      </c>
      <c r="J3436">
        <v>4.3</v>
      </c>
      <c r="K3436" t="b">
        <v>1</v>
      </c>
    </row>
    <row r="3437" spans="1:11" ht="16" x14ac:dyDescent="0.2">
      <c r="A3437" s="16">
        <v>45846</v>
      </c>
      <c r="B3437" t="s">
        <v>45</v>
      </c>
      <c r="C3437" t="s">
        <v>34</v>
      </c>
      <c r="D3437" t="s">
        <v>35</v>
      </c>
      <c r="E3437" t="s">
        <v>7640</v>
      </c>
      <c r="F3437">
        <v>1</v>
      </c>
      <c r="G3437" s="15">
        <v>2710000</v>
      </c>
      <c r="H3437" s="14">
        <v>0.13075929750140999</v>
      </c>
      <c r="I3437" s="27">
        <f t="shared" si="53"/>
        <v>2355642.3037711792</v>
      </c>
      <c r="J3437">
        <v>4.2</v>
      </c>
      <c r="K3437" t="b">
        <v>0</v>
      </c>
    </row>
    <row r="3438" spans="1:11" ht="16" x14ac:dyDescent="0.2">
      <c r="A3438" s="16">
        <v>45846</v>
      </c>
      <c r="B3438" t="s">
        <v>33</v>
      </c>
      <c r="C3438" t="s">
        <v>45</v>
      </c>
      <c r="D3438" t="s">
        <v>35</v>
      </c>
      <c r="E3438" t="s">
        <v>57</v>
      </c>
      <c r="F3438">
        <v>3</v>
      </c>
      <c r="G3438" s="15">
        <v>2710000</v>
      </c>
      <c r="H3438" s="14">
        <v>0.13075929750140999</v>
      </c>
      <c r="I3438" s="27">
        <f t="shared" si="53"/>
        <v>2355642.3037711792</v>
      </c>
      <c r="J3438">
        <v>4.5</v>
      </c>
      <c r="K3438" t="b">
        <v>0</v>
      </c>
    </row>
    <row r="3439" spans="1:11" ht="16" x14ac:dyDescent="0.2">
      <c r="A3439" s="16">
        <v>45846</v>
      </c>
      <c r="B3439" t="s">
        <v>45</v>
      </c>
      <c r="C3439" t="s">
        <v>25</v>
      </c>
      <c r="D3439" t="s">
        <v>20</v>
      </c>
      <c r="E3439" t="s">
        <v>7637</v>
      </c>
      <c r="F3439">
        <v>3</v>
      </c>
      <c r="G3439" s="15">
        <v>2710000</v>
      </c>
      <c r="H3439" s="14">
        <v>0.13075929750140999</v>
      </c>
      <c r="I3439" s="27">
        <f t="shared" si="53"/>
        <v>2355642.3037711792</v>
      </c>
      <c r="J3439">
        <v>4.2</v>
      </c>
      <c r="K3439" t="b">
        <v>1</v>
      </c>
    </row>
    <row r="3440" spans="1:11" ht="16" x14ac:dyDescent="0.2">
      <c r="A3440" s="16">
        <v>45846</v>
      </c>
      <c r="B3440" t="s">
        <v>45</v>
      </c>
      <c r="C3440" t="s">
        <v>39</v>
      </c>
      <c r="D3440" t="s">
        <v>50</v>
      </c>
      <c r="E3440" t="s">
        <v>7643</v>
      </c>
      <c r="F3440">
        <v>4</v>
      </c>
      <c r="G3440" s="15">
        <v>2710000</v>
      </c>
      <c r="H3440" s="14">
        <v>0.13075929750140999</v>
      </c>
      <c r="I3440" s="27">
        <f t="shared" si="53"/>
        <v>2355642.3037711792</v>
      </c>
      <c r="J3440">
        <v>4.4000000000000004</v>
      </c>
      <c r="K3440" t="b">
        <v>1</v>
      </c>
    </row>
    <row r="3441" spans="1:11" ht="16" x14ac:dyDescent="0.2">
      <c r="A3441" s="16">
        <v>45846</v>
      </c>
      <c r="B3441" t="s">
        <v>18</v>
      </c>
      <c r="C3441" t="s">
        <v>45</v>
      </c>
      <c r="D3441" t="s">
        <v>50</v>
      </c>
      <c r="E3441" t="s">
        <v>7640</v>
      </c>
      <c r="F3441">
        <v>1</v>
      </c>
      <c r="G3441" s="15">
        <v>2710000</v>
      </c>
      <c r="H3441" s="14">
        <v>0.13075929750140999</v>
      </c>
      <c r="I3441" s="27">
        <f t="shared" si="53"/>
        <v>2355642.3037711792</v>
      </c>
      <c r="J3441">
        <v>4.0999999999999996</v>
      </c>
      <c r="K3441" t="b">
        <v>1</v>
      </c>
    </row>
    <row r="3442" spans="1:11" ht="16" x14ac:dyDescent="0.2">
      <c r="A3442" s="16">
        <v>45846</v>
      </c>
      <c r="B3442" t="s">
        <v>18</v>
      </c>
      <c r="C3442" t="s">
        <v>45</v>
      </c>
      <c r="D3442" t="s">
        <v>20</v>
      </c>
      <c r="E3442" t="s">
        <v>7637</v>
      </c>
      <c r="F3442">
        <v>5</v>
      </c>
      <c r="G3442" s="15">
        <v>2710000</v>
      </c>
      <c r="H3442" s="14">
        <v>0.13075929750140999</v>
      </c>
      <c r="I3442" s="27">
        <f t="shared" si="53"/>
        <v>2355642.3037711792</v>
      </c>
      <c r="J3442">
        <v>4.2</v>
      </c>
      <c r="K3442" t="b">
        <v>1</v>
      </c>
    </row>
    <row r="3443" spans="1:11" ht="16" x14ac:dyDescent="0.2">
      <c r="A3443" s="16">
        <v>45846</v>
      </c>
      <c r="B3443" t="s">
        <v>45</v>
      </c>
      <c r="C3443" t="s">
        <v>45</v>
      </c>
      <c r="D3443" t="s">
        <v>35</v>
      </c>
      <c r="E3443" t="s">
        <v>7643</v>
      </c>
      <c r="F3443">
        <v>4</v>
      </c>
      <c r="G3443" s="15">
        <v>2710000</v>
      </c>
      <c r="H3443" s="14">
        <v>0.13075929750140999</v>
      </c>
      <c r="I3443" s="27">
        <f t="shared" si="53"/>
        <v>2355642.3037711792</v>
      </c>
      <c r="J3443">
        <v>3.5</v>
      </c>
      <c r="K3443" t="b">
        <v>1</v>
      </c>
    </row>
    <row r="3444" spans="1:11" ht="16" x14ac:dyDescent="0.2">
      <c r="A3444" s="16">
        <v>45847</v>
      </c>
      <c r="B3444" t="s">
        <v>29</v>
      </c>
      <c r="C3444" t="s">
        <v>45</v>
      </c>
      <c r="D3444" t="s">
        <v>50</v>
      </c>
      <c r="E3444" t="s">
        <v>7639</v>
      </c>
      <c r="F3444">
        <v>1</v>
      </c>
      <c r="G3444" s="15">
        <v>2710000</v>
      </c>
      <c r="H3444" s="14">
        <v>0.13075929750140999</v>
      </c>
      <c r="I3444" s="27">
        <f t="shared" si="53"/>
        <v>2355642.3037711792</v>
      </c>
      <c r="J3444">
        <v>4.0999999999999996</v>
      </c>
      <c r="K3444" t="b">
        <v>1</v>
      </c>
    </row>
    <row r="3445" spans="1:11" ht="16" x14ac:dyDescent="0.2">
      <c r="A3445" s="16">
        <v>45847</v>
      </c>
      <c r="B3445" t="s">
        <v>45</v>
      </c>
      <c r="C3445" t="s">
        <v>25</v>
      </c>
      <c r="D3445" t="s">
        <v>20</v>
      </c>
      <c r="E3445" t="s">
        <v>7639</v>
      </c>
      <c r="F3445">
        <v>3</v>
      </c>
      <c r="G3445" s="15">
        <v>2710000</v>
      </c>
      <c r="H3445" s="14">
        <v>0.13075929750140999</v>
      </c>
      <c r="I3445" s="27">
        <f t="shared" si="53"/>
        <v>2355642.3037711792</v>
      </c>
      <c r="J3445">
        <v>3.6</v>
      </c>
      <c r="K3445" t="b">
        <v>0</v>
      </c>
    </row>
    <row r="3446" spans="1:11" ht="16" x14ac:dyDescent="0.2">
      <c r="A3446" s="16">
        <v>45847</v>
      </c>
      <c r="B3446" t="str">
        <f>B3445</f>
        <v>Family</v>
      </c>
      <c r="C3446" t="s">
        <v>19</v>
      </c>
      <c r="D3446" t="s">
        <v>35</v>
      </c>
      <c r="E3446" t="s">
        <v>7637</v>
      </c>
      <c r="F3446">
        <v>1</v>
      </c>
      <c r="G3446" s="15">
        <v>2710000</v>
      </c>
      <c r="H3446" s="14">
        <v>0.13075929750140999</v>
      </c>
      <c r="I3446" s="27">
        <f t="shared" si="53"/>
        <v>2355642.3037711792</v>
      </c>
      <c r="J3446">
        <v>4.7</v>
      </c>
      <c r="K3446" t="b">
        <v>1</v>
      </c>
    </row>
    <row r="3447" spans="1:11" ht="16" x14ac:dyDescent="0.2">
      <c r="A3447" s="16">
        <v>45848</v>
      </c>
      <c r="B3447" t="s">
        <v>29</v>
      </c>
      <c r="C3447" t="s">
        <v>19</v>
      </c>
      <c r="D3447" t="s">
        <v>35</v>
      </c>
      <c r="E3447" t="s">
        <v>7640</v>
      </c>
      <c r="F3447">
        <v>1</v>
      </c>
      <c r="G3447" s="15">
        <v>2710000</v>
      </c>
      <c r="H3447" s="14">
        <v>0.13075929750140999</v>
      </c>
      <c r="I3447" s="27">
        <f t="shared" si="53"/>
        <v>2355642.3037711792</v>
      </c>
      <c r="J3447">
        <v>4</v>
      </c>
      <c r="K3447" t="b">
        <v>1</v>
      </c>
    </row>
    <row r="3448" spans="1:11" ht="16" x14ac:dyDescent="0.2">
      <c r="A3448" s="16">
        <v>45848</v>
      </c>
      <c r="B3448" t="s">
        <v>45</v>
      </c>
      <c r="C3448" t="s">
        <v>45</v>
      </c>
      <c r="D3448" t="s">
        <v>20</v>
      </c>
      <c r="E3448" t="s">
        <v>7637</v>
      </c>
      <c r="F3448">
        <v>1</v>
      </c>
      <c r="G3448" s="15">
        <v>2710000</v>
      </c>
      <c r="H3448" s="14">
        <v>0.13075929750140999</v>
      </c>
      <c r="I3448" s="27">
        <f t="shared" si="53"/>
        <v>2355642.3037711792</v>
      </c>
      <c r="J3448">
        <v>4.5</v>
      </c>
      <c r="K3448" t="b">
        <v>0</v>
      </c>
    </row>
    <row r="3449" spans="1:11" ht="16" x14ac:dyDescent="0.2">
      <c r="A3449" s="16">
        <v>45848</v>
      </c>
      <c r="B3449" t="s">
        <v>45</v>
      </c>
      <c r="C3449" t="s">
        <v>45</v>
      </c>
      <c r="D3449" t="s">
        <v>20</v>
      </c>
      <c r="E3449" t="s">
        <v>7643</v>
      </c>
      <c r="F3449">
        <v>3</v>
      </c>
      <c r="G3449" s="15">
        <v>2710000</v>
      </c>
      <c r="H3449" s="14">
        <v>0.13075929750140999</v>
      </c>
      <c r="I3449" s="27">
        <f t="shared" si="53"/>
        <v>2355642.3037711792</v>
      </c>
      <c r="J3449">
        <v>4.5999999999999996</v>
      </c>
      <c r="K3449" t="b">
        <v>1</v>
      </c>
    </row>
    <row r="3450" spans="1:11" ht="16" x14ac:dyDescent="0.2">
      <c r="A3450" s="16">
        <v>45848</v>
      </c>
      <c r="B3450" t="s">
        <v>18</v>
      </c>
      <c r="C3450" t="s">
        <v>34</v>
      </c>
      <c r="D3450" t="s">
        <v>35</v>
      </c>
      <c r="E3450" t="s">
        <v>7638</v>
      </c>
      <c r="F3450">
        <v>1</v>
      </c>
      <c r="G3450" s="15">
        <v>2710000</v>
      </c>
      <c r="H3450" s="14">
        <v>0.13075929750140999</v>
      </c>
      <c r="I3450" s="27">
        <f t="shared" si="53"/>
        <v>2355642.3037711792</v>
      </c>
      <c r="J3450">
        <v>3.8</v>
      </c>
      <c r="K3450" t="b">
        <v>1</v>
      </c>
    </row>
    <row r="3451" spans="1:11" ht="16" x14ac:dyDescent="0.2">
      <c r="A3451" s="16">
        <v>45848</v>
      </c>
      <c r="B3451" t="s">
        <v>18</v>
      </c>
      <c r="C3451" t="s">
        <v>25</v>
      </c>
      <c r="D3451" t="s">
        <v>20</v>
      </c>
      <c r="E3451" t="s">
        <v>7639</v>
      </c>
      <c r="F3451">
        <v>1</v>
      </c>
      <c r="G3451" s="15">
        <v>2710000</v>
      </c>
      <c r="H3451" s="14">
        <v>0.13075929750140999</v>
      </c>
      <c r="I3451" s="27">
        <f t="shared" si="53"/>
        <v>2355642.3037711792</v>
      </c>
      <c r="J3451">
        <v>4.5</v>
      </c>
      <c r="K3451" t="b">
        <v>1</v>
      </c>
    </row>
    <row r="3452" spans="1:11" ht="16" x14ac:dyDescent="0.2">
      <c r="A3452" s="16">
        <v>45848</v>
      </c>
      <c r="B3452" t="s">
        <v>18</v>
      </c>
      <c r="C3452" t="s">
        <v>19</v>
      </c>
      <c r="D3452" t="s">
        <v>50</v>
      </c>
      <c r="E3452" t="s">
        <v>7641</v>
      </c>
      <c r="F3452">
        <v>2</v>
      </c>
      <c r="G3452" s="15">
        <v>2710000</v>
      </c>
      <c r="H3452" s="14">
        <v>0.13075929750140999</v>
      </c>
      <c r="I3452" s="27">
        <f t="shared" si="53"/>
        <v>2355642.3037711792</v>
      </c>
      <c r="J3452">
        <v>3.6</v>
      </c>
      <c r="K3452" t="b">
        <v>0</v>
      </c>
    </row>
    <row r="3453" spans="1:11" ht="16" x14ac:dyDescent="0.2">
      <c r="A3453" s="16">
        <v>45848</v>
      </c>
      <c r="B3453" t="s">
        <v>18</v>
      </c>
      <c r="C3453" t="s">
        <v>45</v>
      </c>
      <c r="D3453" t="s">
        <v>35</v>
      </c>
      <c r="E3453" t="s">
        <v>7642</v>
      </c>
      <c r="F3453">
        <v>3</v>
      </c>
      <c r="G3453" s="15">
        <v>2710000</v>
      </c>
      <c r="H3453" s="14">
        <v>0.13075929750140999</v>
      </c>
      <c r="I3453" s="27">
        <f t="shared" si="53"/>
        <v>2355642.3037711792</v>
      </c>
      <c r="J3453">
        <v>4.5</v>
      </c>
      <c r="K3453" t="b">
        <v>1</v>
      </c>
    </row>
    <row r="3454" spans="1:11" ht="16" x14ac:dyDescent="0.2">
      <c r="A3454" s="16">
        <v>45849</v>
      </c>
      <c r="B3454" t="s">
        <v>45</v>
      </c>
      <c r="C3454" t="s">
        <v>19</v>
      </c>
      <c r="D3454" t="s">
        <v>20</v>
      </c>
      <c r="E3454" t="s">
        <v>7641</v>
      </c>
      <c r="F3454">
        <v>1</v>
      </c>
      <c r="G3454" s="15">
        <v>2710000</v>
      </c>
      <c r="H3454" s="14">
        <v>0.13075929750140999</v>
      </c>
      <c r="I3454" s="27">
        <f t="shared" si="53"/>
        <v>2355642.3037711792</v>
      </c>
      <c r="J3454">
        <v>4.5999999999999996</v>
      </c>
      <c r="K3454" t="b">
        <v>1</v>
      </c>
    </row>
    <row r="3455" spans="1:11" ht="16" x14ac:dyDescent="0.2">
      <c r="A3455" s="16">
        <v>45849</v>
      </c>
      <c r="B3455" t="s">
        <v>45</v>
      </c>
      <c r="C3455" t="s">
        <v>39</v>
      </c>
      <c r="D3455" t="s">
        <v>20</v>
      </c>
      <c r="E3455" t="s">
        <v>7640</v>
      </c>
      <c r="F3455">
        <v>2</v>
      </c>
      <c r="G3455" s="15">
        <v>2710000</v>
      </c>
      <c r="H3455" s="14">
        <v>0.13075929750140999</v>
      </c>
      <c r="I3455" s="27">
        <f t="shared" si="53"/>
        <v>2355642.3037711792</v>
      </c>
      <c r="J3455">
        <v>4.8</v>
      </c>
      <c r="K3455" t="b">
        <v>1</v>
      </c>
    </row>
    <row r="3456" spans="1:11" ht="16" x14ac:dyDescent="0.2">
      <c r="A3456" s="16">
        <v>45849</v>
      </c>
      <c r="B3456" t="s">
        <v>33</v>
      </c>
      <c r="C3456" t="s">
        <v>34</v>
      </c>
      <c r="D3456" t="s">
        <v>50</v>
      </c>
      <c r="E3456" t="s">
        <v>7642</v>
      </c>
      <c r="F3456">
        <v>2</v>
      </c>
      <c r="G3456" s="15">
        <v>2710000</v>
      </c>
      <c r="H3456" s="14">
        <v>0.13075929750140999</v>
      </c>
      <c r="I3456" s="27">
        <f t="shared" si="53"/>
        <v>2355642.3037711792</v>
      </c>
      <c r="J3456">
        <v>4.0999999999999996</v>
      </c>
      <c r="K3456" t="b">
        <v>1</v>
      </c>
    </row>
    <row r="3457" spans="1:11" ht="16" x14ac:dyDescent="0.2">
      <c r="A3457" s="16">
        <v>45849</v>
      </c>
      <c r="B3457" t="s">
        <v>33</v>
      </c>
      <c r="C3457" t="s">
        <v>34</v>
      </c>
      <c r="D3457" t="s">
        <v>35</v>
      </c>
      <c r="E3457" t="s">
        <v>99</v>
      </c>
      <c r="F3457">
        <v>1</v>
      </c>
      <c r="G3457" s="15">
        <v>2710000</v>
      </c>
      <c r="H3457" s="14">
        <v>0.13075929750140999</v>
      </c>
      <c r="I3457" s="27">
        <f t="shared" si="53"/>
        <v>2355642.3037711792</v>
      </c>
      <c r="J3457">
        <v>4.7</v>
      </c>
      <c r="K3457" t="b">
        <v>1</v>
      </c>
    </row>
    <row r="3458" spans="1:11" ht="16" x14ac:dyDescent="0.2">
      <c r="A3458" s="16">
        <v>45850</v>
      </c>
      <c r="B3458" t="s">
        <v>45</v>
      </c>
      <c r="C3458" t="s">
        <v>45</v>
      </c>
      <c r="D3458" t="s">
        <v>35</v>
      </c>
      <c r="E3458" t="s">
        <v>7638</v>
      </c>
      <c r="F3458">
        <v>4</v>
      </c>
      <c r="G3458" s="15">
        <v>2710000</v>
      </c>
      <c r="H3458" s="14">
        <v>0.13075929750140999</v>
      </c>
      <c r="I3458" s="27">
        <f t="shared" si="53"/>
        <v>2355642.3037711792</v>
      </c>
      <c r="J3458">
        <v>4.5</v>
      </c>
      <c r="K3458" t="b">
        <v>1</v>
      </c>
    </row>
    <row r="3459" spans="1:11" ht="16" x14ac:dyDescent="0.2">
      <c r="A3459" s="16">
        <v>45850</v>
      </c>
      <c r="B3459" t="s">
        <v>18</v>
      </c>
      <c r="C3459" t="s">
        <v>25</v>
      </c>
      <c r="D3459" t="s">
        <v>20</v>
      </c>
      <c r="E3459" t="s">
        <v>7639</v>
      </c>
      <c r="F3459">
        <v>1</v>
      </c>
      <c r="G3459" s="15">
        <v>2710000</v>
      </c>
      <c r="H3459" s="14">
        <v>0.13075929750140999</v>
      </c>
      <c r="I3459" s="27">
        <f t="shared" ref="I3459:I3522" si="54">G3459-G3459*H3459</f>
        <v>2355642.3037711792</v>
      </c>
      <c r="J3459">
        <v>4</v>
      </c>
      <c r="K3459" t="b">
        <v>0</v>
      </c>
    </row>
    <row r="3460" spans="1:11" ht="16" x14ac:dyDescent="0.2">
      <c r="A3460" s="16">
        <v>45850</v>
      </c>
      <c r="B3460" t="s">
        <v>45</v>
      </c>
      <c r="C3460" t="s">
        <v>19</v>
      </c>
      <c r="D3460" t="s">
        <v>50</v>
      </c>
      <c r="E3460" t="s">
        <v>7644</v>
      </c>
      <c r="F3460">
        <v>4</v>
      </c>
      <c r="G3460" s="15">
        <v>2710000</v>
      </c>
      <c r="H3460" s="14">
        <v>0.13075929750140999</v>
      </c>
      <c r="I3460" s="27">
        <f t="shared" si="54"/>
        <v>2355642.3037711792</v>
      </c>
      <c r="J3460">
        <v>4.3</v>
      </c>
      <c r="K3460" t="b">
        <v>0</v>
      </c>
    </row>
    <row r="3461" spans="1:11" ht="16" x14ac:dyDescent="0.2">
      <c r="A3461" s="16">
        <v>45850</v>
      </c>
      <c r="B3461" t="s">
        <v>18</v>
      </c>
      <c r="C3461" t="s">
        <v>19</v>
      </c>
      <c r="D3461" t="s">
        <v>20</v>
      </c>
      <c r="E3461" t="s">
        <v>7643</v>
      </c>
      <c r="F3461">
        <v>2</v>
      </c>
      <c r="G3461" s="15">
        <v>2710000</v>
      </c>
      <c r="H3461" s="14">
        <v>0.13075929750140999</v>
      </c>
      <c r="I3461" s="27">
        <f t="shared" si="54"/>
        <v>2355642.3037711792</v>
      </c>
      <c r="J3461">
        <v>4.4000000000000004</v>
      </c>
      <c r="K3461" t="b">
        <v>1</v>
      </c>
    </row>
    <row r="3462" spans="1:11" ht="16" x14ac:dyDescent="0.2">
      <c r="A3462" s="16">
        <v>45851</v>
      </c>
      <c r="B3462" t="s">
        <v>29</v>
      </c>
      <c r="C3462" t="s">
        <v>34</v>
      </c>
      <c r="D3462" t="s">
        <v>20</v>
      </c>
      <c r="E3462" t="s">
        <v>7642</v>
      </c>
      <c r="F3462">
        <v>4</v>
      </c>
      <c r="G3462" s="15">
        <v>2710000</v>
      </c>
      <c r="H3462" s="14">
        <v>0.13075929750140999</v>
      </c>
      <c r="I3462" s="27">
        <f t="shared" si="54"/>
        <v>2355642.3037711792</v>
      </c>
      <c r="J3462">
        <v>4</v>
      </c>
      <c r="K3462" t="b">
        <v>0</v>
      </c>
    </row>
    <row r="3463" spans="1:11" ht="16" x14ac:dyDescent="0.2">
      <c r="A3463" s="16">
        <v>45851</v>
      </c>
      <c r="B3463" t="s">
        <v>18</v>
      </c>
      <c r="C3463" t="s">
        <v>34</v>
      </c>
      <c r="D3463" t="s">
        <v>20</v>
      </c>
      <c r="E3463" t="s">
        <v>7638</v>
      </c>
      <c r="F3463">
        <v>1</v>
      </c>
      <c r="G3463" s="15">
        <v>2710000</v>
      </c>
      <c r="H3463" s="14">
        <v>0.13075929750140999</v>
      </c>
      <c r="I3463" s="27">
        <f t="shared" si="54"/>
        <v>2355642.3037711792</v>
      </c>
      <c r="J3463">
        <v>4.5</v>
      </c>
      <c r="K3463" t="b">
        <v>1</v>
      </c>
    </row>
    <row r="3464" spans="1:11" ht="16" x14ac:dyDescent="0.2">
      <c r="A3464" s="16">
        <v>45851</v>
      </c>
      <c r="B3464" t="s">
        <v>45</v>
      </c>
      <c r="C3464" t="s">
        <v>45</v>
      </c>
      <c r="D3464" t="s">
        <v>35</v>
      </c>
      <c r="E3464" t="s">
        <v>7638</v>
      </c>
      <c r="F3464">
        <v>2</v>
      </c>
      <c r="G3464" s="15">
        <v>2710000</v>
      </c>
      <c r="H3464" s="14">
        <v>0.13075929750140999</v>
      </c>
      <c r="I3464" s="27">
        <f t="shared" si="54"/>
        <v>2355642.3037711792</v>
      </c>
      <c r="J3464">
        <v>4.5</v>
      </c>
      <c r="K3464" t="b">
        <v>1</v>
      </c>
    </row>
    <row r="3465" spans="1:11" ht="16" x14ac:dyDescent="0.2">
      <c r="A3465" s="16">
        <v>45851</v>
      </c>
      <c r="B3465" t="s">
        <v>18</v>
      </c>
      <c r="C3465" t="s">
        <v>19</v>
      </c>
      <c r="D3465" t="s">
        <v>35</v>
      </c>
      <c r="E3465" t="s">
        <v>7644</v>
      </c>
      <c r="F3465">
        <v>4</v>
      </c>
      <c r="G3465" s="15">
        <v>2710000</v>
      </c>
      <c r="H3465" s="14">
        <v>0.13075929750140999</v>
      </c>
      <c r="I3465" s="27">
        <f t="shared" si="54"/>
        <v>2355642.3037711792</v>
      </c>
      <c r="J3465">
        <v>5</v>
      </c>
      <c r="K3465" t="b">
        <v>1</v>
      </c>
    </row>
    <row r="3466" spans="1:11" ht="16" x14ac:dyDescent="0.2">
      <c r="A3466" s="16">
        <v>45851</v>
      </c>
      <c r="B3466" t="s">
        <v>18</v>
      </c>
      <c r="C3466" t="s">
        <v>34</v>
      </c>
      <c r="D3466" t="s">
        <v>20</v>
      </c>
      <c r="E3466" t="s">
        <v>57</v>
      </c>
      <c r="F3466">
        <v>2</v>
      </c>
      <c r="G3466" s="15">
        <v>2710000</v>
      </c>
      <c r="H3466" s="14">
        <v>0.13075929750140999</v>
      </c>
      <c r="I3466" s="27">
        <f t="shared" si="54"/>
        <v>2355642.3037711792</v>
      </c>
      <c r="J3466">
        <v>4.9000000000000004</v>
      </c>
      <c r="K3466" t="b">
        <v>1</v>
      </c>
    </row>
    <row r="3467" spans="1:11" ht="16" x14ac:dyDescent="0.2">
      <c r="A3467" s="16">
        <v>45852</v>
      </c>
      <c r="B3467" t="s">
        <v>18</v>
      </c>
      <c r="C3467" t="s">
        <v>19</v>
      </c>
      <c r="D3467" t="s">
        <v>35</v>
      </c>
      <c r="E3467" t="s">
        <v>7638</v>
      </c>
      <c r="F3467">
        <v>2</v>
      </c>
      <c r="G3467" s="15">
        <v>2710000</v>
      </c>
      <c r="H3467" s="14">
        <v>0.13075929750140999</v>
      </c>
      <c r="I3467" s="27">
        <f t="shared" si="54"/>
        <v>2355642.3037711792</v>
      </c>
      <c r="J3467">
        <v>4.5999999999999996</v>
      </c>
      <c r="K3467" t="b">
        <v>1</v>
      </c>
    </row>
    <row r="3468" spans="1:11" ht="16" x14ac:dyDescent="0.2">
      <c r="A3468" s="16">
        <v>45852</v>
      </c>
      <c r="B3468" t="s">
        <v>45</v>
      </c>
      <c r="C3468" t="s">
        <v>45</v>
      </c>
      <c r="D3468" t="s">
        <v>35</v>
      </c>
      <c r="E3468" t="s">
        <v>99</v>
      </c>
      <c r="F3468">
        <v>1</v>
      </c>
      <c r="G3468" s="15">
        <v>2710000</v>
      </c>
      <c r="H3468" s="14">
        <v>0.13075929750140999</v>
      </c>
      <c r="I3468" s="27">
        <f t="shared" si="54"/>
        <v>2355642.3037711792</v>
      </c>
      <c r="J3468">
        <v>4.4000000000000004</v>
      </c>
      <c r="K3468" t="b">
        <v>1</v>
      </c>
    </row>
    <row r="3469" spans="1:11" ht="16" x14ac:dyDescent="0.2">
      <c r="A3469" s="16">
        <v>45853</v>
      </c>
      <c r="B3469" t="s">
        <v>18</v>
      </c>
      <c r="C3469" t="s">
        <v>19</v>
      </c>
      <c r="D3469" t="s">
        <v>35</v>
      </c>
      <c r="E3469" t="s">
        <v>7643</v>
      </c>
      <c r="F3469">
        <v>1</v>
      </c>
      <c r="G3469" s="15">
        <v>2710000</v>
      </c>
      <c r="H3469" s="14">
        <v>0.13075929750140999</v>
      </c>
      <c r="I3469" s="27">
        <f t="shared" si="54"/>
        <v>2355642.3037711792</v>
      </c>
      <c r="J3469">
        <v>4.4000000000000004</v>
      </c>
      <c r="K3469" t="b">
        <v>1</v>
      </c>
    </row>
    <row r="3470" spans="1:11" ht="16" x14ac:dyDescent="0.2">
      <c r="A3470" s="16">
        <v>45854</v>
      </c>
      <c r="B3470" t="s">
        <v>33</v>
      </c>
      <c r="C3470" t="s">
        <v>25</v>
      </c>
      <c r="D3470" t="s">
        <v>35</v>
      </c>
      <c r="E3470" t="s">
        <v>7643</v>
      </c>
      <c r="F3470">
        <v>1</v>
      </c>
      <c r="G3470" s="15">
        <v>2710000</v>
      </c>
      <c r="H3470" s="14">
        <v>0.13075929750140999</v>
      </c>
      <c r="I3470" s="27">
        <f t="shared" si="54"/>
        <v>2355642.3037711792</v>
      </c>
      <c r="J3470">
        <v>4.8</v>
      </c>
      <c r="K3470" t="b">
        <v>1</v>
      </c>
    </row>
    <row r="3471" spans="1:11" ht="16" x14ac:dyDescent="0.2">
      <c r="A3471" s="16">
        <v>45854</v>
      </c>
      <c r="B3471" t="s">
        <v>29</v>
      </c>
      <c r="C3471" t="s">
        <v>68</v>
      </c>
      <c r="D3471" t="s">
        <v>20</v>
      </c>
      <c r="E3471" t="s">
        <v>7644</v>
      </c>
      <c r="F3471">
        <v>1</v>
      </c>
      <c r="G3471" s="15">
        <v>2710000</v>
      </c>
      <c r="H3471" s="14">
        <v>0.13075929750140999</v>
      </c>
      <c r="I3471" s="27">
        <f t="shared" si="54"/>
        <v>2355642.3037711792</v>
      </c>
      <c r="J3471">
        <v>5</v>
      </c>
      <c r="K3471" t="b">
        <v>1</v>
      </c>
    </row>
    <row r="3472" spans="1:11" ht="16" x14ac:dyDescent="0.2">
      <c r="A3472" s="16">
        <v>45854</v>
      </c>
      <c r="B3472" t="s">
        <v>45</v>
      </c>
      <c r="C3472" t="s">
        <v>68</v>
      </c>
      <c r="D3472" t="str">
        <f>D3471</f>
        <v>Website</v>
      </c>
      <c r="E3472" t="s">
        <v>7644</v>
      </c>
      <c r="F3472">
        <v>1</v>
      </c>
      <c r="G3472" s="15">
        <v>2710000</v>
      </c>
      <c r="H3472" s="14">
        <v>0.13075929750140999</v>
      </c>
      <c r="I3472" s="27">
        <f t="shared" si="54"/>
        <v>2355642.3037711792</v>
      </c>
      <c r="J3472">
        <v>4.7</v>
      </c>
      <c r="K3472" t="b">
        <v>1</v>
      </c>
    </row>
    <row r="3473" spans="1:11" ht="16" x14ac:dyDescent="0.2">
      <c r="A3473" s="16">
        <v>45855</v>
      </c>
      <c r="B3473" t="s">
        <v>33</v>
      </c>
      <c r="C3473" t="s">
        <v>45</v>
      </c>
      <c r="D3473" t="s">
        <v>20</v>
      </c>
      <c r="E3473" t="s">
        <v>99</v>
      </c>
      <c r="F3473">
        <v>2</v>
      </c>
      <c r="G3473" s="15">
        <v>2710000</v>
      </c>
      <c r="H3473" s="14">
        <v>0.13075929750140999</v>
      </c>
      <c r="I3473" s="27">
        <f t="shared" si="54"/>
        <v>2355642.3037711792</v>
      </c>
      <c r="J3473">
        <v>4.2</v>
      </c>
      <c r="K3473" t="b">
        <v>1</v>
      </c>
    </row>
    <row r="3474" spans="1:11" ht="16" x14ac:dyDescent="0.2">
      <c r="A3474" s="16">
        <v>45855</v>
      </c>
      <c r="B3474" t="s">
        <v>45</v>
      </c>
      <c r="C3474" t="s">
        <v>19</v>
      </c>
      <c r="D3474" t="s">
        <v>35</v>
      </c>
      <c r="E3474" t="s">
        <v>57</v>
      </c>
      <c r="F3474">
        <v>3</v>
      </c>
      <c r="G3474" s="15">
        <v>2710000</v>
      </c>
      <c r="H3474" s="14">
        <v>0.13075929750140999</v>
      </c>
      <c r="I3474" s="27">
        <f t="shared" si="54"/>
        <v>2355642.3037711792</v>
      </c>
      <c r="J3474">
        <v>4.2</v>
      </c>
      <c r="K3474" t="b">
        <v>1</v>
      </c>
    </row>
    <row r="3475" spans="1:11" ht="16" x14ac:dyDescent="0.2">
      <c r="A3475" s="16">
        <v>45855</v>
      </c>
      <c r="B3475" t="s">
        <v>33</v>
      </c>
      <c r="C3475" t="s">
        <v>39</v>
      </c>
      <c r="D3475" t="s">
        <v>50</v>
      </c>
      <c r="E3475" t="s">
        <v>7637</v>
      </c>
      <c r="F3475">
        <v>1</v>
      </c>
      <c r="G3475" s="15">
        <v>2710000</v>
      </c>
      <c r="H3475" s="14">
        <v>0.13075929750140999</v>
      </c>
      <c r="I3475" s="27">
        <f t="shared" si="54"/>
        <v>2355642.3037711792</v>
      </c>
      <c r="J3475">
        <v>4.0999999999999996</v>
      </c>
      <c r="K3475" t="b">
        <v>1</v>
      </c>
    </row>
    <row r="3476" spans="1:11" ht="16" x14ac:dyDescent="0.2">
      <c r="A3476" s="16">
        <v>45855</v>
      </c>
      <c r="B3476" t="s">
        <v>45</v>
      </c>
      <c r="C3476" t="s">
        <v>19</v>
      </c>
      <c r="D3476" t="s">
        <v>35</v>
      </c>
      <c r="E3476" t="s">
        <v>7638</v>
      </c>
      <c r="F3476">
        <v>2</v>
      </c>
      <c r="G3476" s="15">
        <v>2710000</v>
      </c>
      <c r="H3476" s="14">
        <v>0.13075929750140999</v>
      </c>
      <c r="I3476" s="27">
        <f t="shared" si="54"/>
        <v>2355642.3037711792</v>
      </c>
      <c r="J3476">
        <v>4.0999999999999996</v>
      </c>
      <c r="K3476" t="b">
        <v>1</v>
      </c>
    </row>
    <row r="3477" spans="1:11" ht="16" x14ac:dyDescent="0.2">
      <c r="A3477" s="16">
        <v>45856</v>
      </c>
      <c r="B3477" t="s">
        <v>33</v>
      </c>
      <c r="C3477" t="s">
        <v>19</v>
      </c>
      <c r="D3477" t="s">
        <v>20</v>
      </c>
      <c r="E3477" t="s">
        <v>7638</v>
      </c>
      <c r="F3477">
        <v>2</v>
      </c>
      <c r="G3477" s="15">
        <v>2710000</v>
      </c>
      <c r="H3477" s="14">
        <v>0.13075929750140999</v>
      </c>
      <c r="I3477" s="27">
        <f t="shared" si="54"/>
        <v>2355642.3037711792</v>
      </c>
      <c r="J3477">
        <v>4.5</v>
      </c>
      <c r="K3477" t="b">
        <v>0</v>
      </c>
    </row>
    <row r="3478" spans="1:11" ht="16" x14ac:dyDescent="0.2">
      <c r="A3478" s="16">
        <v>45856</v>
      </c>
      <c r="B3478" t="str">
        <f>B3477</f>
        <v>Student</v>
      </c>
      <c r="C3478" t="s">
        <v>19</v>
      </c>
      <c r="D3478" t="s">
        <v>50</v>
      </c>
      <c r="E3478" t="s">
        <v>7641</v>
      </c>
      <c r="F3478">
        <v>4</v>
      </c>
      <c r="G3478" s="15">
        <v>2710000</v>
      </c>
      <c r="H3478" s="14">
        <v>0.13075929750140999</v>
      </c>
      <c r="I3478" s="27">
        <f t="shared" si="54"/>
        <v>2355642.3037711792</v>
      </c>
      <c r="J3478">
        <v>4.0999999999999996</v>
      </c>
      <c r="K3478" t="b">
        <v>1</v>
      </c>
    </row>
    <row r="3479" spans="1:11" ht="16" x14ac:dyDescent="0.2">
      <c r="A3479" s="16">
        <v>45856</v>
      </c>
      <c r="B3479" t="s">
        <v>45</v>
      </c>
      <c r="C3479" t="s">
        <v>19</v>
      </c>
      <c r="D3479" t="s">
        <v>20</v>
      </c>
      <c r="E3479" t="s">
        <v>57</v>
      </c>
      <c r="F3479">
        <v>2</v>
      </c>
      <c r="G3479" s="15">
        <v>2710000</v>
      </c>
      <c r="H3479" s="14">
        <v>0.13075929750140999</v>
      </c>
      <c r="I3479" s="27">
        <f t="shared" si="54"/>
        <v>2355642.3037711792</v>
      </c>
      <c r="J3479">
        <v>3</v>
      </c>
      <c r="K3479" t="b">
        <v>1</v>
      </c>
    </row>
    <row r="3480" spans="1:11" ht="16" x14ac:dyDescent="0.2">
      <c r="A3480" s="16">
        <v>45857</v>
      </c>
      <c r="B3480" t="s">
        <v>18</v>
      </c>
      <c r="C3480" t="s">
        <v>39</v>
      </c>
      <c r="D3480" t="s">
        <v>50</v>
      </c>
      <c r="E3480" t="s">
        <v>7643</v>
      </c>
      <c r="F3480">
        <v>1</v>
      </c>
      <c r="G3480" s="15">
        <v>2710000</v>
      </c>
      <c r="H3480" s="14">
        <v>0.13075929750140999</v>
      </c>
      <c r="I3480" s="27">
        <f t="shared" si="54"/>
        <v>2355642.3037711792</v>
      </c>
      <c r="J3480">
        <v>4.3</v>
      </c>
      <c r="K3480" t="b">
        <v>1</v>
      </c>
    </row>
    <row r="3481" spans="1:11" ht="16" x14ac:dyDescent="0.2">
      <c r="A3481" s="16">
        <v>45857</v>
      </c>
      <c r="B3481" t="str">
        <f>B3480</f>
        <v>Young Professional</v>
      </c>
      <c r="C3481" t="s">
        <v>34</v>
      </c>
      <c r="D3481" t="s">
        <v>35</v>
      </c>
      <c r="E3481" t="s">
        <v>57</v>
      </c>
      <c r="F3481">
        <v>1</v>
      </c>
      <c r="G3481" s="15">
        <v>2710000</v>
      </c>
      <c r="H3481" s="14">
        <v>0.13075929750140999</v>
      </c>
      <c r="I3481" s="27">
        <f t="shared" si="54"/>
        <v>2355642.3037711792</v>
      </c>
      <c r="J3481">
        <v>4.2</v>
      </c>
      <c r="K3481" t="b">
        <v>1</v>
      </c>
    </row>
    <row r="3482" spans="1:11" ht="16" x14ac:dyDescent="0.2">
      <c r="A3482" s="16">
        <v>45857</v>
      </c>
      <c r="B3482" t="s">
        <v>45</v>
      </c>
      <c r="C3482" t="s">
        <v>45</v>
      </c>
      <c r="D3482" t="s">
        <v>35</v>
      </c>
      <c r="E3482" t="s">
        <v>57</v>
      </c>
      <c r="F3482">
        <v>5</v>
      </c>
      <c r="G3482" s="15">
        <v>2710000</v>
      </c>
      <c r="H3482" s="14">
        <v>0.13075929750140999</v>
      </c>
      <c r="I3482" s="27">
        <f t="shared" si="54"/>
        <v>2355642.3037711792</v>
      </c>
      <c r="J3482">
        <v>4.4000000000000004</v>
      </c>
      <c r="K3482" t="b">
        <v>1</v>
      </c>
    </row>
    <row r="3483" spans="1:11" ht="16" x14ac:dyDescent="0.2">
      <c r="A3483" s="16">
        <v>45857</v>
      </c>
      <c r="B3483" t="s">
        <v>33</v>
      </c>
      <c r="C3483" t="s">
        <v>19</v>
      </c>
      <c r="D3483" t="s">
        <v>20</v>
      </c>
      <c r="E3483" t="s">
        <v>7642</v>
      </c>
      <c r="F3483">
        <v>2</v>
      </c>
      <c r="G3483" s="15">
        <v>2710000</v>
      </c>
      <c r="H3483" s="14">
        <v>0.13075929750140999</v>
      </c>
      <c r="I3483" s="27">
        <f t="shared" si="54"/>
        <v>2355642.3037711792</v>
      </c>
      <c r="J3483">
        <v>4.8</v>
      </c>
      <c r="K3483" t="b">
        <v>0</v>
      </c>
    </row>
    <row r="3484" spans="1:11" ht="16" x14ac:dyDescent="0.2">
      <c r="A3484" s="16">
        <v>45858</v>
      </c>
      <c r="B3484" t="s">
        <v>45</v>
      </c>
      <c r="C3484" t="s">
        <v>68</v>
      </c>
      <c r="D3484" t="s">
        <v>20</v>
      </c>
      <c r="E3484" t="s">
        <v>7643</v>
      </c>
      <c r="F3484">
        <v>2</v>
      </c>
      <c r="G3484" s="15">
        <v>2710000</v>
      </c>
      <c r="H3484" s="14">
        <v>0.13075929750140999</v>
      </c>
      <c r="I3484" s="27">
        <f t="shared" si="54"/>
        <v>2355642.3037711792</v>
      </c>
      <c r="J3484">
        <v>3.9</v>
      </c>
      <c r="K3484" t="b">
        <v>1</v>
      </c>
    </row>
    <row r="3485" spans="1:11" ht="16" x14ac:dyDescent="0.2">
      <c r="A3485" s="16">
        <v>45858</v>
      </c>
      <c r="B3485" t="s">
        <v>45</v>
      </c>
      <c r="C3485" t="s">
        <v>68</v>
      </c>
      <c r="D3485" t="s">
        <v>46</v>
      </c>
      <c r="E3485" t="s">
        <v>7639</v>
      </c>
      <c r="F3485">
        <v>4</v>
      </c>
      <c r="G3485" s="15">
        <v>2710000</v>
      </c>
      <c r="H3485" s="14">
        <v>0.13075929750140999</v>
      </c>
      <c r="I3485" s="27">
        <f t="shared" si="54"/>
        <v>2355642.3037711792</v>
      </c>
      <c r="J3485">
        <v>3.6</v>
      </c>
      <c r="K3485" t="b">
        <v>0</v>
      </c>
    </row>
    <row r="3486" spans="1:11" ht="16" x14ac:dyDescent="0.2">
      <c r="A3486" s="16">
        <v>45858</v>
      </c>
      <c r="B3486" t="s">
        <v>33</v>
      </c>
      <c r="C3486" t="s">
        <v>25</v>
      </c>
      <c r="D3486" t="s">
        <v>35</v>
      </c>
      <c r="E3486" t="s">
        <v>7637</v>
      </c>
      <c r="F3486">
        <v>2</v>
      </c>
      <c r="G3486" s="15">
        <v>2710000</v>
      </c>
      <c r="H3486" s="14">
        <v>0.13075929750140999</v>
      </c>
      <c r="I3486" s="27">
        <f t="shared" si="54"/>
        <v>2355642.3037711792</v>
      </c>
      <c r="J3486">
        <v>4.0999999999999996</v>
      </c>
      <c r="K3486" t="b">
        <v>1</v>
      </c>
    </row>
    <row r="3487" spans="1:11" ht="16" x14ac:dyDescent="0.2">
      <c r="A3487" s="16">
        <v>45859</v>
      </c>
      <c r="B3487" t="s">
        <v>33</v>
      </c>
      <c r="C3487" t="s">
        <v>34</v>
      </c>
      <c r="D3487" t="s">
        <v>20</v>
      </c>
      <c r="E3487" t="s">
        <v>7642</v>
      </c>
      <c r="F3487">
        <v>3</v>
      </c>
      <c r="G3487" s="15">
        <v>2710000</v>
      </c>
      <c r="H3487" s="14">
        <v>0.13075929750140999</v>
      </c>
      <c r="I3487" s="27">
        <f t="shared" si="54"/>
        <v>2355642.3037711792</v>
      </c>
      <c r="J3487">
        <v>3.6</v>
      </c>
      <c r="K3487" t="b">
        <v>0</v>
      </c>
    </row>
    <row r="3488" spans="1:11" ht="16" x14ac:dyDescent="0.2">
      <c r="A3488" s="16">
        <v>45859</v>
      </c>
      <c r="B3488" t="s">
        <v>45</v>
      </c>
      <c r="C3488" t="s">
        <v>34</v>
      </c>
      <c r="D3488" t="s">
        <v>50</v>
      </c>
      <c r="E3488" t="s">
        <v>7641</v>
      </c>
      <c r="F3488">
        <v>5</v>
      </c>
      <c r="G3488" s="15">
        <v>2710000</v>
      </c>
      <c r="H3488" s="14">
        <v>0.13075929750140999</v>
      </c>
      <c r="I3488" s="27">
        <f t="shared" si="54"/>
        <v>2355642.3037711792</v>
      </c>
      <c r="J3488">
        <v>4.5999999999999996</v>
      </c>
      <c r="K3488" t="b">
        <v>1</v>
      </c>
    </row>
    <row r="3489" spans="1:11" ht="16" x14ac:dyDescent="0.2">
      <c r="A3489" s="16">
        <v>45860</v>
      </c>
      <c r="B3489" t="s">
        <v>45</v>
      </c>
      <c r="C3489" t="s">
        <v>19</v>
      </c>
      <c r="D3489" t="s">
        <v>35</v>
      </c>
      <c r="E3489" t="s">
        <v>7641</v>
      </c>
      <c r="F3489">
        <v>2</v>
      </c>
      <c r="G3489" s="15">
        <v>2710000</v>
      </c>
      <c r="H3489" s="14">
        <v>0.13075929750140999</v>
      </c>
      <c r="I3489" s="27">
        <f t="shared" si="54"/>
        <v>2355642.3037711792</v>
      </c>
      <c r="J3489">
        <v>3.6</v>
      </c>
      <c r="K3489" t="b">
        <v>0</v>
      </c>
    </row>
    <row r="3490" spans="1:11" ht="16" x14ac:dyDescent="0.2">
      <c r="A3490" s="16">
        <v>45860</v>
      </c>
      <c r="B3490" t="s">
        <v>33</v>
      </c>
      <c r="C3490" t="s">
        <v>39</v>
      </c>
      <c r="D3490" t="s">
        <v>35</v>
      </c>
      <c r="E3490" t="s">
        <v>7640</v>
      </c>
      <c r="F3490">
        <v>2</v>
      </c>
      <c r="G3490" s="15">
        <v>2710000</v>
      </c>
      <c r="H3490" s="14">
        <v>0.13075929750140999</v>
      </c>
      <c r="I3490" s="27">
        <f t="shared" si="54"/>
        <v>2355642.3037711792</v>
      </c>
      <c r="J3490">
        <v>3.4</v>
      </c>
      <c r="K3490" t="b">
        <v>1</v>
      </c>
    </row>
    <row r="3491" spans="1:11" ht="16" x14ac:dyDescent="0.2">
      <c r="A3491" s="16">
        <v>45860</v>
      </c>
      <c r="B3491" t="s">
        <v>33</v>
      </c>
      <c r="C3491" t="s">
        <v>34</v>
      </c>
      <c r="D3491" t="s">
        <v>35</v>
      </c>
      <c r="E3491" t="s">
        <v>7641</v>
      </c>
      <c r="F3491">
        <v>1</v>
      </c>
      <c r="G3491" s="15">
        <v>2710000</v>
      </c>
      <c r="H3491" s="14">
        <v>0.13075929750140999</v>
      </c>
      <c r="I3491" s="27">
        <f t="shared" si="54"/>
        <v>2355642.3037711792</v>
      </c>
      <c r="J3491">
        <v>3.7</v>
      </c>
      <c r="K3491" t="b">
        <v>1</v>
      </c>
    </row>
    <row r="3492" spans="1:11" ht="16" x14ac:dyDescent="0.2">
      <c r="A3492" s="16">
        <v>45860</v>
      </c>
      <c r="B3492" t="s">
        <v>33</v>
      </c>
      <c r="C3492" t="s">
        <v>68</v>
      </c>
      <c r="D3492" t="s">
        <v>20</v>
      </c>
      <c r="E3492" t="s">
        <v>7637</v>
      </c>
      <c r="F3492">
        <v>1</v>
      </c>
      <c r="G3492" s="15">
        <v>2710000</v>
      </c>
      <c r="H3492" s="14">
        <v>0.13075929750140999</v>
      </c>
      <c r="I3492" s="27">
        <f t="shared" si="54"/>
        <v>2355642.3037711792</v>
      </c>
      <c r="J3492">
        <v>3.7</v>
      </c>
      <c r="K3492" t="b">
        <v>1</v>
      </c>
    </row>
    <row r="3493" spans="1:11" ht="16" x14ac:dyDescent="0.2">
      <c r="A3493" s="16">
        <v>45860</v>
      </c>
      <c r="B3493" t="s">
        <v>45</v>
      </c>
      <c r="C3493" t="s">
        <v>39</v>
      </c>
      <c r="D3493" t="s">
        <v>20</v>
      </c>
      <c r="E3493" t="s">
        <v>7637</v>
      </c>
      <c r="F3493">
        <v>2</v>
      </c>
      <c r="G3493" s="15">
        <v>2710000</v>
      </c>
      <c r="H3493" s="14">
        <v>0.13075929750140999</v>
      </c>
      <c r="I3493" s="27">
        <f t="shared" si="54"/>
        <v>2355642.3037711792</v>
      </c>
      <c r="J3493">
        <v>4.5</v>
      </c>
      <c r="K3493" t="b">
        <v>1</v>
      </c>
    </row>
    <row r="3494" spans="1:11" ht="16" x14ac:dyDescent="0.2">
      <c r="A3494" s="16">
        <v>45860</v>
      </c>
      <c r="B3494" t="s">
        <v>45</v>
      </c>
      <c r="C3494" t="s">
        <v>39</v>
      </c>
      <c r="D3494" t="s">
        <v>20</v>
      </c>
      <c r="E3494" t="s">
        <v>7643</v>
      </c>
      <c r="F3494">
        <v>2</v>
      </c>
      <c r="G3494" s="15">
        <v>2710000</v>
      </c>
      <c r="H3494" s="14">
        <v>0.13075929750140999</v>
      </c>
      <c r="I3494" s="27">
        <f t="shared" si="54"/>
        <v>2355642.3037711792</v>
      </c>
      <c r="J3494">
        <v>3.6</v>
      </c>
      <c r="K3494" t="b">
        <v>1</v>
      </c>
    </row>
    <row r="3495" spans="1:11" ht="16" x14ac:dyDescent="0.2">
      <c r="A3495" s="16">
        <v>45860</v>
      </c>
      <c r="B3495" t="s">
        <v>18</v>
      </c>
      <c r="C3495" t="s">
        <v>39</v>
      </c>
      <c r="D3495" t="s">
        <v>20</v>
      </c>
      <c r="E3495" t="s">
        <v>7640</v>
      </c>
      <c r="F3495">
        <v>2</v>
      </c>
      <c r="G3495" s="15">
        <v>2710000</v>
      </c>
      <c r="H3495" s="14">
        <v>0.13075929750140999</v>
      </c>
      <c r="I3495" s="27">
        <f t="shared" si="54"/>
        <v>2355642.3037711792</v>
      </c>
      <c r="J3495">
        <v>4.5</v>
      </c>
      <c r="K3495" t="b">
        <v>0</v>
      </c>
    </row>
    <row r="3496" spans="1:11" ht="16" x14ac:dyDescent="0.2">
      <c r="A3496" s="16">
        <v>45861</v>
      </c>
      <c r="B3496" t="s">
        <v>45</v>
      </c>
      <c r="C3496" t="s">
        <v>25</v>
      </c>
      <c r="D3496" t="s">
        <v>46</v>
      </c>
      <c r="E3496" t="s">
        <v>7642</v>
      </c>
      <c r="F3496">
        <v>1</v>
      </c>
      <c r="G3496" s="15">
        <v>2710000</v>
      </c>
      <c r="H3496" s="14">
        <v>0.13075929750140999</v>
      </c>
      <c r="I3496" s="27">
        <f t="shared" si="54"/>
        <v>2355642.3037711792</v>
      </c>
      <c r="J3496">
        <v>4.4000000000000004</v>
      </c>
      <c r="K3496" t="b">
        <v>1</v>
      </c>
    </row>
    <row r="3497" spans="1:11" ht="16" x14ac:dyDescent="0.2">
      <c r="A3497" s="16">
        <v>45861</v>
      </c>
      <c r="B3497" t="s">
        <v>29</v>
      </c>
      <c r="C3497" t="s">
        <v>39</v>
      </c>
      <c r="D3497" t="s">
        <v>20</v>
      </c>
      <c r="E3497" t="s">
        <v>7639</v>
      </c>
      <c r="F3497">
        <v>4</v>
      </c>
      <c r="G3497" s="15">
        <v>2710000</v>
      </c>
      <c r="H3497" s="14">
        <v>0.13075929750140999</v>
      </c>
      <c r="I3497" s="27">
        <f t="shared" si="54"/>
        <v>2355642.3037711792</v>
      </c>
      <c r="J3497">
        <v>4.4000000000000004</v>
      </c>
      <c r="K3497" t="b">
        <v>0</v>
      </c>
    </row>
    <row r="3498" spans="1:11" ht="16" x14ac:dyDescent="0.2">
      <c r="A3498" s="16">
        <v>45861</v>
      </c>
      <c r="B3498" t="s">
        <v>45</v>
      </c>
      <c r="C3498" t="s">
        <v>68</v>
      </c>
      <c r="D3498" t="s">
        <v>20</v>
      </c>
      <c r="E3498" t="s">
        <v>7638</v>
      </c>
      <c r="F3498">
        <v>3</v>
      </c>
      <c r="G3498" s="15">
        <v>2710000</v>
      </c>
      <c r="H3498" s="14">
        <v>0.13075929750140999</v>
      </c>
      <c r="I3498" s="27">
        <f t="shared" si="54"/>
        <v>2355642.3037711792</v>
      </c>
      <c r="J3498">
        <v>4</v>
      </c>
      <c r="K3498" t="b">
        <v>1</v>
      </c>
    </row>
    <row r="3499" spans="1:11" ht="16" x14ac:dyDescent="0.2">
      <c r="A3499" s="16">
        <v>45861</v>
      </c>
      <c r="B3499" t="s">
        <v>45</v>
      </c>
      <c r="C3499" t="s">
        <v>25</v>
      </c>
      <c r="D3499" t="s">
        <v>20</v>
      </c>
      <c r="E3499" t="s">
        <v>7640</v>
      </c>
      <c r="F3499">
        <v>3</v>
      </c>
      <c r="G3499" s="15">
        <v>2710000</v>
      </c>
      <c r="H3499" s="14">
        <v>0.13075929750140999</v>
      </c>
      <c r="I3499" s="27">
        <f t="shared" si="54"/>
        <v>2355642.3037711792</v>
      </c>
      <c r="J3499">
        <v>3.8</v>
      </c>
      <c r="K3499" t="b">
        <v>0</v>
      </c>
    </row>
    <row r="3500" spans="1:11" ht="16" x14ac:dyDescent="0.2">
      <c r="A3500" s="16">
        <v>45862</v>
      </c>
      <c r="B3500" t="s">
        <v>18</v>
      </c>
      <c r="C3500" t="s">
        <v>45</v>
      </c>
      <c r="D3500" t="s">
        <v>35</v>
      </c>
      <c r="E3500" t="s">
        <v>57</v>
      </c>
      <c r="F3500">
        <v>3</v>
      </c>
      <c r="G3500" s="15">
        <v>2710000</v>
      </c>
      <c r="H3500" s="14">
        <v>0.13075929750140999</v>
      </c>
      <c r="I3500" s="27">
        <f t="shared" si="54"/>
        <v>2355642.3037711792</v>
      </c>
      <c r="J3500">
        <v>4.5</v>
      </c>
      <c r="K3500" t="b">
        <v>1</v>
      </c>
    </row>
    <row r="3501" spans="1:11" ht="16" x14ac:dyDescent="0.2">
      <c r="A3501" s="16">
        <v>45862</v>
      </c>
      <c r="B3501" t="s">
        <v>18</v>
      </c>
      <c r="C3501" t="s">
        <v>34</v>
      </c>
      <c r="D3501" t="s">
        <v>50</v>
      </c>
      <c r="E3501" t="s">
        <v>7642</v>
      </c>
      <c r="F3501">
        <v>4</v>
      </c>
      <c r="G3501" s="15">
        <v>2710000</v>
      </c>
      <c r="H3501" s="14">
        <v>0.13075929750140999</v>
      </c>
      <c r="I3501" s="27">
        <f t="shared" si="54"/>
        <v>2355642.3037711792</v>
      </c>
      <c r="J3501">
        <v>3.6</v>
      </c>
      <c r="K3501" t="b">
        <v>0</v>
      </c>
    </row>
    <row r="3502" spans="1:11" ht="16" x14ac:dyDescent="0.2">
      <c r="A3502" s="16">
        <v>45862</v>
      </c>
      <c r="B3502" t="s">
        <v>45</v>
      </c>
      <c r="C3502" t="s">
        <v>34</v>
      </c>
      <c r="D3502" t="s">
        <v>35</v>
      </c>
      <c r="E3502" t="s">
        <v>99</v>
      </c>
      <c r="F3502">
        <v>3</v>
      </c>
      <c r="G3502" s="15">
        <v>2710000</v>
      </c>
      <c r="H3502" s="14">
        <v>0.13075929750140999</v>
      </c>
      <c r="I3502" s="27">
        <f t="shared" si="54"/>
        <v>2355642.3037711792</v>
      </c>
      <c r="J3502">
        <v>5</v>
      </c>
      <c r="K3502" t="b">
        <v>0</v>
      </c>
    </row>
    <row r="3503" spans="1:11" ht="16" x14ac:dyDescent="0.2">
      <c r="A3503" s="16">
        <v>45862</v>
      </c>
      <c r="B3503" t="s">
        <v>29</v>
      </c>
      <c r="C3503" t="s">
        <v>39</v>
      </c>
      <c r="D3503" t="s">
        <v>20</v>
      </c>
      <c r="E3503" t="s">
        <v>57</v>
      </c>
      <c r="F3503">
        <v>1</v>
      </c>
      <c r="G3503" s="15">
        <v>2710000</v>
      </c>
      <c r="H3503" s="14">
        <v>0.13075929750140999</v>
      </c>
      <c r="I3503" s="27">
        <f t="shared" si="54"/>
        <v>2355642.3037711792</v>
      </c>
      <c r="J3503">
        <v>3.8</v>
      </c>
      <c r="K3503" t="b">
        <v>1</v>
      </c>
    </row>
    <row r="3504" spans="1:11" ht="16" x14ac:dyDescent="0.2">
      <c r="A3504" s="16">
        <v>45862</v>
      </c>
      <c r="B3504" t="s">
        <v>33</v>
      </c>
      <c r="C3504" t="s">
        <v>45</v>
      </c>
      <c r="D3504" t="s">
        <v>35</v>
      </c>
      <c r="E3504" t="s">
        <v>57</v>
      </c>
      <c r="F3504">
        <v>4</v>
      </c>
      <c r="G3504" s="15">
        <v>2710000</v>
      </c>
      <c r="H3504" s="14">
        <v>0.13075929750140999</v>
      </c>
      <c r="I3504" s="27">
        <f t="shared" si="54"/>
        <v>2355642.3037711792</v>
      </c>
      <c r="J3504">
        <v>4.9000000000000004</v>
      </c>
      <c r="K3504" t="b">
        <v>1</v>
      </c>
    </row>
    <row r="3505" spans="1:11" ht="16" x14ac:dyDescent="0.2">
      <c r="A3505" s="16">
        <v>45862</v>
      </c>
      <c r="B3505" t="s">
        <v>29</v>
      </c>
      <c r="C3505" t="s">
        <v>68</v>
      </c>
      <c r="D3505" t="s">
        <v>20</v>
      </c>
      <c r="E3505" t="s">
        <v>7637</v>
      </c>
      <c r="F3505">
        <v>3</v>
      </c>
      <c r="G3505" s="15">
        <v>2710000</v>
      </c>
      <c r="H3505" s="14">
        <v>0.13075929750140999</v>
      </c>
      <c r="I3505" s="27">
        <f t="shared" si="54"/>
        <v>2355642.3037711792</v>
      </c>
      <c r="J3505">
        <v>4.2</v>
      </c>
      <c r="K3505" t="b">
        <v>1</v>
      </c>
    </row>
    <row r="3506" spans="1:11" ht="16" x14ac:dyDescent="0.2">
      <c r="A3506" s="16">
        <v>45862</v>
      </c>
      <c r="B3506" t="s">
        <v>18</v>
      </c>
      <c r="C3506" t="s">
        <v>45</v>
      </c>
      <c r="D3506" t="s">
        <v>50</v>
      </c>
      <c r="E3506" t="s">
        <v>7640</v>
      </c>
      <c r="F3506">
        <v>1</v>
      </c>
      <c r="G3506" s="15">
        <v>2710000</v>
      </c>
      <c r="H3506" s="14">
        <v>0.13075929750140999</v>
      </c>
      <c r="I3506" s="27">
        <f t="shared" si="54"/>
        <v>2355642.3037711792</v>
      </c>
      <c r="J3506">
        <v>4.3</v>
      </c>
      <c r="K3506" t="b">
        <v>1</v>
      </c>
    </row>
    <row r="3507" spans="1:11" ht="16" x14ac:dyDescent="0.2">
      <c r="A3507" s="16">
        <v>45862</v>
      </c>
      <c r="B3507" t="s">
        <v>45</v>
      </c>
      <c r="C3507" t="s">
        <v>19</v>
      </c>
      <c r="D3507" t="s">
        <v>50</v>
      </c>
      <c r="E3507" t="str">
        <f>E3506</f>
        <v>Hội An</v>
      </c>
      <c r="F3507">
        <v>2</v>
      </c>
      <c r="G3507" s="15">
        <v>2710000</v>
      </c>
      <c r="H3507" s="14">
        <v>0.13075929750140999</v>
      </c>
      <c r="I3507" s="27">
        <f t="shared" si="54"/>
        <v>2355642.3037711792</v>
      </c>
      <c r="J3507">
        <v>4.9000000000000004</v>
      </c>
      <c r="K3507" t="b">
        <v>1</v>
      </c>
    </row>
    <row r="3508" spans="1:11" ht="16" x14ac:dyDescent="0.2">
      <c r="A3508" s="16">
        <v>45862</v>
      </c>
      <c r="B3508" t="s">
        <v>29</v>
      </c>
      <c r="C3508" t="s">
        <v>45</v>
      </c>
      <c r="D3508" t="s">
        <v>20</v>
      </c>
      <c r="E3508" t="s">
        <v>7640</v>
      </c>
      <c r="F3508">
        <v>3</v>
      </c>
      <c r="G3508" s="15">
        <v>2710000</v>
      </c>
      <c r="H3508" s="14">
        <v>0.13075929750140999</v>
      </c>
      <c r="I3508" s="27">
        <f t="shared" si="54"/>
        <v>2355642.3037711792</v>
      </c>
      <c r="J3508">
        <v>4.4000000000000004</v>
      </c>
      <c r="K3508" t="b">
        <v>1</v>
      </c>
    </row>
    <row r="3509" spans="1:11" ht="16" x14ac:dyDescent="0.2">
      <c r="A3509" s="16">
        <v>45863</v>
      </c>
      <c r="B3509" t="s">
        <v>18</v>
      </c>
      <c r="C3509" t="s">
        <v>45</v>
      </c>
      <c r="D3509" t="s">
        <v>50</v>
      </c>
      <c r="E3509" t="s">
        <v>57</v>
      </c>
      <c r="F3509">
        <v>3</v>
      </c>
      <c r="G3509" s="15">
        <v>2710000</v>
      </c>
      <c r="H3509" s="14">
        <v>0.13075929750140999</v>
      </c>
      <c r="I3509" s="27">
        <f t="shared" si="54"/>
        <v>2355642.3037711792</v>
      </c>
      <c r="J3509">
        <v>4</v>
      </c>
      <c r="K3509" t="b">
        <v>1</v>
      </c>
    </row>
    <row r="3510" spans="1:11" ht="16" x14ac:dyDescent="0.2">
      <c r="A3510" s="16">
        <v>45863</v>
      </c>
      <c r="B3510" t="s">
        <v>18</v>
      </c>
      <c r="C3510" t="s">
        <v>39</v>
      </c>
      <c r="D3510" t="s">
        <v>50</v>
      </c>
      <c r="E3510" t="s">
        <v>7639</v>
      </c>
      <c r="F3510">
        <v>1</v>
      </c>
      <c r="G3510" s="15">
        <v>2710000</v>
      </c>
      <c r="H3510" s="14">
        <v>0.13075929750140999</v>
      </c>
      <c r="I3510" s="27">
        <f t="shared" si="54"/>
        <v>2355642.3037711792</v>
      </c>
      <c r="J3510">
        <v>4.2</v>
      </c>
      <c r="K3510" t="b">
        <v>1</v>
      </c>
    </row>
    <row r="3511" spans="1:11" ht="16" x14ac:dyDescent="0.2">
      <c r="A3511" s="16">
        <v>45863</v>
      </c>
      <c r="B3511" t="s">
        <v>33</v>
      </c>
      <c r="C3511" t="s">
        <v>25</v>
      </c>
      <c r="D3511" t="s">
        <v>50</v>
      </c>
      <c r="E3511" t="s">
        <v>7640</v>
      </c>
      <c r="F3511">
        <v>3</v>
      </c>
      <c r="G3511" s="15">
        <v>2710000</v>
      </c>
      <c r="H3511" s="14">
        <v>0.13075929750140999</v>
      </c>
      <c r="I3511" s="27">
        <f t="shared" si="54"/>
        <v>2355642.3037711792</v>
      </c>
      <c r="J3511">
        <v>4.7</v>
      </c>
      <c r="K3511" t="b">
        <v>1</v>
      </c>
    </row>
    <row r="3512" spans="1:11" ht="16" x14ac:dyDescent="0.2">
      <c r="A3512" s="16">
        <v>45863</v>
      </c>
      <c r="B3512" t="s">
        <v>18</v>
      </c>
      <c r="C3512" t="s">
        <v>19</v>
      </c>
      <c r="D3512" t="s">
        <v>35</v>
      </c>
      <c r="E3512" t="str">
        <f>E3511</f>
        <v>Hội An</v>
      </c>
      <c r="F3512">
        <v>1</v>
      </c>
      <c r="G3512" s="15">
        <v>2710000</v>
      </c>
      <c r="H3512" s="14">
        <v>0.13075929750140999</v>
      </c>
      <c r="I3512" s="27">
        <f t="shared" si="54"/>
        <v>2355642.3037711792</v>
      </c>
      <c r="J3512">
        <v>4.4000000000000004</v>
      </c>
      <c r="K3512" t="b">
        <v>1</v>
      </c>
    </row>
    <row r="3513" spans="1:11" ht="16" x14ac:dyDescent="0.2">
      <c r="A3513" s="16">
        <v>45864</v>
      </c>
      <c r="B3513" t="s">
        <v>45</v>
      </c>
      <c r="C3513" t="s">
        <v>19</v>
      </c>
      <c r="D3513" t="str">
        <f>D3512</f>
        <v>Mobile App</v>
      </c>
      <c r="E3513" t="s">
        <v>7644</v>
      </c>
      <c r="F3513">
        <v>3</v>
      </c>
      <c r="G3513" s="15">
        <v>2710000</v>
      </c>
      <c r="H3513" s="14">
        <v>0.13075929750140999</v>
      </c>
      <c r="I3513" s="27">
        <f t="shared" si="54"/>
        <v>2355642.3037711792</v>
      </c>
      <c r="J3513">
        <v>4.4000000000000004</v>
      </c>
      <c r="K3513" t="b">
        <v>1</v>
      </c>
    </row>
    <row r="3514" spans="1:11" ht="16" x14ac:dyDescent="0.2">
      <c r="A3514" s="16">
        <v>45864</v>
      </c>
      <c r="B3514" t="str">
        <f>B3513</f>
        <v>Family</v>
      </c>
      <c r="C3514" t="s">
        <v>25</v>
      </c>
      <c r="D3514" t="s">
        <v>35</v>
      </c>
      <c r="E3514" t="str">
        <f>E3513</f>
        <v>Hạ Long</v>
      </c>
      <c r="F3514">
        <v>2</v>
      </c>
      <c r="G3514" s="15">
        <v>2710000</v>
      </c>
      <c r="H3514" s="14">
        <v>0.13075929750140999</v>
      </c>
      <c r="I3514" s="27">
        <f t="shared" si="54"/>
        <v>2355642.3037711792</v>
      </c>
      <c r="J3514">
        <v>4.5999999999999996</v>
      </c>
      <c r="K3514" t="b">
        <v>1</v>
      </c>
    </row>
    <row r="3515" spans="1:11" ht="16" x14ac:dyDescent="0.2">
      <c r="A3515" s="16">
        <v>45864</v>
      </c>
      <c r="B3515" t="s">
        <v>29</v>
      </c>
      <c r="C3515" t="s">
        <v>45</v>
      </c>
      <c r="D3515" t="s">
        <v>35</v>
      </c>
      <c r="E3515" t="s">
        <v>7642</v>
      </c>
      <c r="F3515">
        <v>3</v>
      </c>
      <c r="G3515" s="15">
        <v>2710000</v>
      </c>
      <c r="H3515" s="14">
        <v>0.13075929750140999</v>
      </c>
      <c r="I3515" s="27">
        <f t="shared" si="54"/>
        <v>2355642.3037711792</v>
      </c>
      <c r="J3515">
        <v>3.8</v>
      </c>
      <c r="K3515" t="b">
        <v>1</v>
      </c>
    </row>
    <row r="3516" spans="1:11" ht="16" x14ac:dyDescent="0.2">
      <c r="A3516" s="16">
        <v>45864</v>
      </c>
      <c r="B3516" t="s">
        <v>33</v>
      </c>
      <c r="C3516" t="s">
        <v>45</v>
      </c>
      <c r="D3516" t="s">
        <v>20</v>
      </c>
      <c r="E3516" t="s">
        <v>7642</v>
      </c>
      <c r="F3516">
        <v>4</v>
      </c>
      <c r="G3516" s="15">
        <v>2710000</v>
      </c>
      <c r="H3516" s="14">
        <v>0.13075929750140999</v>
      </c>
      <c r="I3516" s="27">
        <f t="shared" si="54"/>
        <v>2355642.3037711792</v>
      </c>
      <c r="J3516">
        <v>4.3</v>
      </c>
      <c r="K3516" t="b">
        <v>1</v>
      </c>
    </row>
    <row r="3517" spans="1:11" ht="16" x14ac:dyDescent="0.2">
      <c r="A3517" s="16">
        <v>45864</v>
      </c>
      <c r="B3517" t="s">
        <v>45</v>
      </c>
      <c r="C3517" t="s">
        <v>34</v>
      </c>
      <c r="D3517" t="s">
        <v>50</v>
      </c>
      <c r="E3517" t="s">
        <v>57</v>
      </c>
      <c r="F3517">
        <v>2</v>
      </c>
      <c r="G3517" s="15">
        <v>2710000</v>
      </c>
      <c r="H3517" s="14">
        <v>0.13075929750140999</v>
      </c>
      <c r="I3517" s="27">
        <f t="shared" si="54"/>
        <v>2355642.3037711792</v>
      </c>
      <c r="J3517">
        <v>3.9</v>
      </c>
      <c r="K3517" t="b">
        <v>1</v>
      </c>
    </row>
    <row r="3518" spans="1:11" ht="16" x14ac:dyDescent="0.2">
      <c r="A3518" s="16">
        <v>45865</v>
      </c>
      <c r="B3518" t="s">
        <v>33</v>
      </c>
      <c r="C3518" t="s">
        <v>68</v>
      </c>
      <c r="D3518" t="s">
        <v>20</v>
      </c>
      <c r="E3518" t="s">
        <v>7639</v>
      </c>
      <c r="F3518">
        <v>3</v>
      </c>
      <c r="G3518" s="15">
        <v>2710000</v>
      </c>
      <c r="H3518" s="14">
        <v>0.13075929750140999</v>
      </c>
      <c r="I3518" s="27">
        <f t="shared" si="54"/>
        <v>2355642.3037711792</v>
      </c>
      <c r="J3518">
        <v>4.5999999999999996</v>
      </c>
      <c r="K3518" t="b">
        <v>1</v>
      </c>
    </row>
    <row r="3519" spans="1:11" ht="16" x14ac:dyDescent="0.2">
      <c r="A3519" s="16">
        <v>45866</v>
      </c>
      <c r="B3519" t="s">
        <v>18</v>
      </c>
      <c r="C3519" t="s">
        <v>68</v>
      </c>
      <c r="D3519" t="s">
        <v>20</v>
      </c>
      <c r="E3519" t="s">
        <v>7643</v>
      </c>
      <c r="F3519">
        <v>1</v>
      </c>
      <c r="G3519" s="15">
        <v>2710000</v>
      </c>
      <c r="H3519" s="14">
        <v>0.13075929750140999</v>
      </c>
      <c r="I3519" s="27">
        <f t="shared" si="54"/>
        <v>2355642.3037711792</v>
      </c>
      <c r="J3519">
        <v>3.8</v>
      </c>
      <c r="K3519" t="b">
        <v>1</v>
      </c>
    </row>
    <row r="3520" spans="1:11" ht="16" x14ac:dyDescent="0.2">
      <c r="A3520" s="16">
        <v>45866</v>
      </c>
      <c r="B3520" t="s">
        <v>18</v>
      </c>
      <c r="C3520" t="s">
        <v>25</v>
      </c>
      <c r="D3520" t="s">
        <v>20</v>
      </c>
      <c r="E3520" t="s">
        <v>7644</v>
      </c>
      <c r="F3520">
        <v>1</v>
      </c>
      <c r="G3520" s="15">
        <v>2710000</v>
      </c>
      <c r="H3520" s="14">
        <v>0.13075929750140999</v>
      </c>
      <c r="I3520" s="27">
        <f t="shared" si="54"/>
        <v>2355642.3037711792</v>
      </c>
      <c r="J3520">
        <v>3.7</v>
      </c>
      <c r="K3520" t="b">
        <v>1</v>
      </c>
    </row>
    <row r="3521" spans="1:11" ht="16" x14ac:dyDescent="0.2">
      <c r="A3521" s="16">
        <v>45866</v>
      </c>
      <c r="B3521" t="s">
        <v>18</v>
      </c>
      <c r="C3521" t="s">
        <v>45</v>
      </c>
      <c r="D3521" t="s">
        <v>20</v>
      </c>
      <c r="E3521" t="s">
        <v>7643</v>
      </c>
      <c r="F3521">
        <v>3</v>
      </c>
      <c r="G3521" s="15">
        <v>2710000</v>
      </c>
      <c r="H3521" s="14">
        <v>0.13075929750140999</v>
      </c>
      <c r="I3521" s="27">
        <f t="shared" si="54"/>
        <v>2355642.3037711792</v>
      </c>
      <c r="J3521">
        <v>4.9000000000000004</v>
      </c>
      <c r="K3521" t="b">
        <v>1</v>
      </c>
    </row>
    <row r="3522" spans="1:11" ht="16" x14ac:dyDescent="0.2">
      <c r="A3522" s="16">
        <v>45866</v>
      </c>
      <c r="B3522" t="s">
        <v>45</v>
      </c>
      <c r="C3522" t="s">
        <v>25</v>
      </c>
      <c r="D3522" t="s">
        <v>20</v>
      </c>
      <c r="E3522" t="s">
        <v>99</v>
      </c>
      <c r="F3522">
        <v>1</v>
      </c>
      <c r="G3522" s="15">
        <v>2710000</v>
      </c>
      <c r="H3522" s="14">
        <v>0.13075929750140999</v>
      </c>
      <c r="I3522" s="27">
        <f t="shared" si="54"/>
        <v>2355642.3037711792</v>
      </c>
      <c r="J3522">
        <v>4.4000000000000004</v>
      </c>
      <c r="K3522" t="b">
        <v>1</v>
      </c>
    </row>
    <row r="3523" spans="1:11" ht="16" x14ac:dyDescent="0.2">
      <c r="A3523" s="16">
        <v>45866</v>
      </c>
      <c r="B3523" t="s">
        <v>29</v>
      </c>
      <c r="C3523" t="s">
        <v>25</v>
      </c>
      <c r="D3523" t="s">
        <v>20</v>
      </c>
      <c r="E3523" t="s">
        <v>7643</v>
      </c>
      <c r="F3523">
        <v>3</v>
      </c>
      <c r="G3523" s="15">
        <v>2710000</v>
      </c>
      <c r="H3523" s="14">
        <v>0.13075929750140999</v>
      </c>
      <c r="I3523" s="27">
        <f t="shared" ref="I3523:I3586" si="55">G3523-G3523*H3523</f>
        <v>2355642.3037711792</v>
      </c>
      <c r="J3523">
        <v>4.4000000000000004</v>
      </c>
      <c r="K3523" t="b">
        <v>1</v>
      </c>
    </row>
    <row r="3524" spans="1:11" ht="16" x14ac:dyDescent="0.2">
      <c r="A3524" s="16">
        <v>45867</v>
      </c>
      <c r="B3524" t="s">
        <v>45</v>
      </c>
      <c r="C3524" t="s">
        <v>39</v>
      </c>
      <c r="D3524" t="str">
        <f>D3523</f>
        <v>Website</v>
      </c>
      <c r="E3524" t="s">
        <v>57</v>
      </c>
      <c r="F3524">
        <v>3</v>
      </c>
      <c r="G3524" s="15">
        <v>2710000</v>
      </c>
      <c r="H3524" s="14">
        <v>0.13075929750140999</v>
      </c>
      <c r="I3524" s="27">
        <f t="shared" si="55"/>
        <v>2355642.3037711792</v>
      </c>
      <c r="J3524">
        <v>3.6</v>
      </c>
      <c r="K3524" t="b">
        <v>1</v>
      </c>
    </row>
    <row r="3525" spans="1:11" ht="16" x14ac:dyDescent="0.2">
      <c r="A3525" s="16">
        <v>45867</v>
      </c>
      <c r="B3525" t="s">
        <v>45</v>
      </c>
      <c r="C3525" t="s">
        <v>25</v>
      </c>
      <c r="D3525" t="s">
        <v>20</v>
      </c>
      <c r="E3525" t="s">
        <v>7643</v>
      </c>
      <c r="F3525">
        <v>1</v>
      </c>
      <c r="G3525" s="15">
        <v>2710000</v>
      </c>
      <c r="H3525" s="14">
        <v>0.13075929750140999</v>
      </c>
      <c r="I3525" s="27">
        <f t="shared" si="55"/>
        <v>2355642.3037711792</v>
      </c>
      <c r="J3525">
        <v>5</v>
      </c>
      <c r="K3525" t="b">
        <v>1</v>
      </c>
    </row>
    <row r="3526" spans="1:11" ht="16" x14ac:dyDescent="0.2">
      <c r="A3526" s="16">
        <v>45868</v>
      </c>
      <c r="B3526" t="s">
        <v>29</v>
      </c>
      <c r="C3526" t="s">
        <v>34</v>
      </c>
      <c r="D3526" t="s">
        <v>50</v>
      </c>
      <c r="E3526" t="s">
        <v>7638</v>
      </c>
      <c r="F3526">
        <v>2</v>
      </c>
      <c r="G3526" s="15">
        <v>2710000</v>
      </c>
      <c r="H3526" s="14">
        <v>0.13075929750140999</v>
      </c>
      <c r="I3526" s="27">
        <f t="shared" si="55"/>
        <v>2355642.3037711792</v>
      </c>
      <c r="J3526">
        <v>3.4</v>
      </c>
      <c r="K3526" t="b">
        <v>1</v>
      </c>
    </row>
    <row r="3527" spans="1:11" ht="16" x14ac:dyDescent="0.2">
      <c r="A3527" s="16">
        <v>45869</v>
      </c>
      <c r="B3527" t="s">
        <v>18</v>
      </c>
      <c r="C3527" t="s">
        <v>19</v>
      </c>
      <c r="D3527" t="s">
        <v>46</v>
      </c>
      <c r="E3527" t="str">
        <f>E3526</f>
        <v>Đà Lạt</v>
      </c>
      <c r="F3527">
        <v>1</v>
      </c>
      <c r="G3527" s="15">
        <v>2710000</v>
      </c>
      <c r="H3527" s="14">
        <v>0.13075929750140999</v>
      </c>
      <c r="I3527" s="27">
        <f t="shared" si="55"/>
        <v>2355642.3037711792</v>
      </c>
      <c r="J3527">
        <v>3.8</v>
      </c>
      <c r="K3527" t="b">
        <v>0</v>
      </c>
    </row>
    <row r="3528" spans="1:11" ht="16" x14ac:dyDescent="0.2">
      <c r="A3528" s="16">
        <v>45869</v>
      </c>
      <c r="B3528" t="s">
        <v>18</v>
      </c>
      <c r="C3528" t="s">
        <v>25</v>
      </c>
      <c r="D3528" t="s">
        <v>20</v>
      </c>
      <c r="E3528" t="s">
        <v>7644</v>
      </c>
      <c r="F3528">
        <v>3</v>
      </c>
      <c r="G3528" s="15">
        <v>2710000</v>
      </c>
      <c r="H3528" s="14">
        <v>0.13075929750140999</v>
      </c>
      <c r="I3528" s="27">
        <f t="shared" si="55"/>
        <v>2355642.3037711792</v>
      </c>
      <c r="J3528">
        <v>4</v>
      </c>
      <c r="K3528" t="b">
        <v>0</v>
      </c>
    </row>
    <row r="3529" spans="1:11" ht="16" x14ac:dyDescent="0.2">
      <c r="A3529" s="16">
        <v>45870</v>
      </c>
      <c r="B3529" t="s">
        <v>18</v>
      </c>
      <c r="C3529" t="s">
        <v>34</v>
      </c>
      <c r="D3529" t="s">
        <v>20</v>
      </c>
      <c r="E3529" t="s">
        <v>7642</v>
      </c>
      <c r="F3529">
        <v>1</v>
      </c>
      <c r="G3529" s="15">
        <v>2710000</v>
      </c>
      <c r="H3529" s="14">
        <v>0.13075929750140999</v>
      </c>
      <c r="I3529" s="27">
        <f t="shared" si="55"/>
        <v>2355642.3037711792</v>
      </c>
      <c r="J3529">
        <v>4.2</v>
      </c>
      <c r="K3529" t="b">
        <v>0</v>
      </c>
    </row>
    <row r="3530" spans="1:11" ht="16" x14ac:dyDescent="0.2">
      <c r="A3530" s="16">
        <v>45870</v>
      </c>
      <c r="B3530" t="s">
        <v>18</v>
      </c>
      <c r="C3530" t="s">
        <v>19</v>
      </c>
      <c r="D3530" t="s">
        <v>20</v>
      </c>
      <c r="E3530" t="s">
        <v>99</v>
      </c>
      <c r="F3530">
        <v>4</v>
      </c>
      <c r="G3530" s="15">
        <v>2710000</v>
      </c>
      <c r="H3530" s="14">
        <v>0.13075929750140999</v>
      </c>
      <c r="I3530" s="27">
        <f t="shared" si="55"/>
        <v>2355642.3037711792</v>
      </c>
      <c r="J3530">
        <v>3</v>
      </c>
      <c r="K3530" t="b">
        <v>1</v>
      </c>
    </row>
    <row r="3531" spans="1:11" ht="16" x14ac:dyDescent="0.2">
      <c r="A3531" s="16">
        <v>45870</v>
      </c>
      <c r="B3531" t="s">
        <v>29</v>
      </c>
      <c r="C3531" t="s">
        <v>19</v>
      </c>
      <c r="D3531" t="s">
        <v>20</v>
      </c>
      <c r="E3531" t="s">
        <v>7642</v>
      </c>
      <c r="F3531">
        <v>1</v>
      </c>
      <c r="G3531" s="15">
        <v>2710000</v>
      </c>
      <c r="H3531" s="14">
        <v>0.13075929750140999</v>
      </c>
      <c r="I3531" s="27">
        <f t="shared" si="55"/>
        <v>2355642.3037711792</v>
      </c>
      <c r="J3531">
        <v>3.3</v>
      </c>
      <c r="K3531" t="b">
        <v>1</v>
      </c>
    </row>
    <row r="3532" spans="1:11" ht="16" x14ac:dyDescent="0.2">
      <c r="A3532" s="16">
        <v>45870</v>
      </c>
      <c r="B3532" t="s">
        <v>45</v>
      </c>
      <c r="C3532" t="s">
        <v>45</v>
      </c>
      <c r="D3532" t="s">
        <v>50</v>
      </c>
      <c r="E3532" t="s">
        <v>7644</v>
      </c>
      <c r="F3532">
        <v>2</v>
      </c>
      <c r="G3532" s="15">
        <v>2710000</v>
      </c>
      <c r="H3532" s="14">
        <v>0.13075929750140999</v>
      </c>
      <c r="I3532" s="27">
        <f t="shared" si="55"/>
        <v>2355642.3037711792</v>
      </c>
      <c r="J3532">
        <v>4.3</v>
      </c>
      <c r="K3532" t="b">
        <v>1</v>
      </c>
    </row>
    <row r="3533" spans="1:11" ht="16" x14ac:dyDescent="0.2">
      <c r="A3533" s="16">
        <v>45870</v>
      </c>
      <c r="B3533" t="s">
        <v>18</v>
      </c>
      <c r="C3533" t="s">
        <v>34</v>
      </c>
      <c r="D3533" t="s">
        <v>20</v>
      </c>
      <c r="E3533" t="s">
        <v>7642</v>
      </c>
      <c r="F3533">
        <v>3</v>
      </c>
      <c r="G3533" s="15">
        <v>2710000</v>
      </c>
      <c r="H3533" s="14">
        <v>0.13075929750140999</v>
      </c>
      <c r="I3533" s="27">
        <f t="shared" si="55"/>
        <v>2355642.3037711792</v>
      </c>
      <c r="J3533">
        <v>3.8</v>
      </c>
      <c r="K3533" t="b">
        <v>1</v>
      </c>
    </row>
    <row r="3534" spans="1:11" ht="16" x14ac:dyDescent="0.2">
      <c r="A3534" s="16">
        <v>45870</v>
      </c>
      <c r="B3534" t="s">
        <v>45</v>
      </c>
      <c r="C3534" t="s">
        <v>19</v>
      </c>
      <c r="D3534" t="s">
        <v>35</v>
      </c>
      <c r="E3534" t="s">
        <v>7641</v>
      </c>
      <c r="F3534">
        <v>1</v>
      </c>
      <c r="G3534" s="15">
        <v>2710000</v>
      </c>
      <c r="H3534" s="14">
        <v>0.13075929750140999</v>
      </c>
      <c r="I3534" s="27">
        <f t="shared" si="55"/>
        <v>2355642.3037711792</v>
      </c>
      <c r="J3534">
        <v>4.3</v>
      </c>
      <c r="K3534" t="b">
        <v>1</v>
      </c>
    </row>
    <row r="3535" spans="1:11" ht="16" x14ac:dyDescent="0.2">
      <c r="A3535" s="16">
        <v>45871</v>
      </c>
      <c r="B3535" t="s">
        <v>45</v>
      </c>
      <c r="C3535" t="s">
        <v>39</v>
      </c>
      <c r="D3535" t="s">
        <v>50</v>
      </c>
      <c r="E3535" t="s">
        <v>7638</v>
      </c>
      <c r="F3535">
        <v>2</v>
      </c>
      <c r="G3535" s="15">
        <v>2710000</v>
      </c>
      <c r="H3535" s="14">
        <v>0.13075929750140999</v>
      </c>
      <c r="I3535" s="27">
        <f t="shared" si="55"/>
        <v>2355642.3037711792</v>
      </c>
      <c r="J3535">
        <v>4.5999999999999996</v>
      </c>
      <c r="K3535" t="b">
        <v>0</v>
      </c>
    </row>
    <row r="3536" spans="1:11" ht="16" x14ac:dyDescent="0.2">
      <c r="A3536" s="16">
        <v>45871</v>
      </c>
      <c r="B3536" t="s">
        <v>18</v>
      </c>
      <c r="C3536" t="s">
        <v>25</v>
      </c>
      <c r="D3536" t="s">
        <v>20</v>
      </c>
      <c r="E3536" t="s">
        <v>7639</v>
      </c>
      <c r="F3536">
        <v>1</v>
      </c>
      <c r="G3536" s="15">
        <v>2710000</v>
      </c>
      <c r="H3536" s="14">
        <v>0.13075929750140999</v>
      </c>
      <c r="I3536" s="27">
        <f t="shared" si="55"/>
        <v>2355642.3037711792</v>
      </c>
      <c r="J3536">
        <v>3.9</v>
      </c>
      <c r="K3536" t="b">
        <v>1</v>
      </c>
    </row>
    <row r="3537" spans="1:11" ht="16" x14ac:dyDescent="0.2">
      <c r="A3537" s="16">
        <v>45871</v>
      </c>
      <c r="B3537" t="s">
        <v>45</v>
      </c>
      <c r="C3537" t="s">
        <v>19</v>
      </c>
      <c r="D3537" t="s">
        <v>35</v>
      </c>
      <c r="E3537" t="s">
        <v>7641</v>
      </c>
      <c r="F3537">
        <v>1</v>
      </c>
      <c r="G3537" s="15">
        <v>2710000</v>
      </c>
      <c r="H3537" s="14">
        <v>0.13075929750140999</v>
      </c>
      <c r="I3537" s="27">
        <f t="shared" si="55"/>
        <v>2355642.3037711792</v>
      </c>
      <c r="J3537">
        <v>4.3</v>
      </c>
      <c r="K3537" t="b">
        <v>0</v>
      </c>
    </row>
    <row r="3538" spans="1:11" ht="16" x14ac:dyDescent="0.2">
      <c r="A3538" s="16">
        <v>45872</v>
      </c>
      <c r="B3538" t="s">
        <v>45</v>
      </c>
      <c r="C3538" t="s">
        <v>34</v>
      </c>
      <c r="D3538" t="s">
        <v>20</v>
      </c>
      <c r="E3538" t="s">
        <v>7638</v>
      </c>
      <c r="F3538">
        <v>2</v>
      </c>
      <c r="G3538" s="15">
        <v>2710000</v>
      </c>
      <c r="H3538" s="14">
        <v>0.13075929750140999</v>
      </c>
      <c r="I3538" s="27">
        <f t="shared" si="55"/>
        <v>2355642.3037711792</v>
      </c>
      <c r="J3538">
        <v>3.9</v>
      </c>
      <c r="K3538" t="b">
        <v>1</v>
      </c>
    </row>
    <row r="3539" spans="1:11" ht="16" x14ac:dyDescent="0.2">
      <c r="A3539" s="16">
        <v>45872</v>
      </c>
      <c r="B3539" t="s">
        <v>18</v>
      </c>
      <c r="C3539" t="s">
        <v>19</v>
      </c>
      <c r="D3539" t="s">
        <v>20</v>
      </c>
      <c r="E3539" t="s">
        <v>7638</v>
      </c>
      <c r="F3539">
        <v>1</v>
      </c>
      <c r="G3539" s="15">
        <v>2710000</v>
      </c>
      <c r="H3539" s="14">
        <v>0.13075929750140999</v>
      </c>
      <c r="I3539" s="27">
        <f t="shared" si="55"/>
        <v>2355642.3037711792</v>
      </c>
      <c r="J3539">
        <v>3.7</v>
      </c>
      <c r="K3539" t="b">
        <v>0</v>
      </c>
    </row>
    <row r="3540" spans="1:11" ht="16" x14ac:dyDescent="0.2">
      <c r="A3540" s="16">
        <v>45872</v>
      </c>
      <c r="B3540" t="s">
        <v>33</v>
      </c>
      <c r="C3540" t="s">
        <v>34</v>
      </c>
      <c r="D3540" t="s">
        <v>20</v>
      </c>
      <c r="E3540" t="s">
        <v>7638</v>
      </c>
      <c r="F3540">
        <v>1</v>
      </c>
      <c r="G3540" s="15">
        <v>2710000</v>
      </c>
      <c r="H3540" s="14">
        <v>0.13075929750140999</v>
      </c>
      <c r="I3540" s="27">
        <f t="shared" si="55"/>
        <v>2355642.3037711792</v>
      </c>
      <c r="J3540">
        <v>4</v>
      </c>
      <c r="K3540" t="b">
        <v>1</v>
      </c>
    </row>
    <row r="3541" spans="1:11" ht="16" x14ac:dyDescent="0.2">
      <c r="A3541" s="16">
        <v>45872</v>
      </c>
      <c r="B3541" t="s">
        <v>33</v>
      </c>
      <c r="C3541" t="s">
        <v>45</v>
      </c>
      <c r="D3541" t="s">
        <v>35</v>
      </c>
      <c r="E3541" t="s">
        <v>7637</v>
      </c>
      <c r="F3541">
        <v>4</v>
      </c>
      <c r="G3541" s="15">
        <v>2710000</v>
      </c>
      <c r="H3541" s="14">
        <v>0.13075929750140999</v>
      </c>
      <c r="I3541" s="27">
        <f t="shared" si="55"/>
        <v>2355642.3037711792</v>
      </c>
      <c r="J3541">
        <v>4.0999999999999996</v>
      </c>
      <c r="K3541" t="b">
        <v>1</v>
      </c>
    </row>
    <row r="3542" spans="1:11" ht="16" x14ac:dyDescent="0.2">
      <c r="A3542" s="16">
        <v>45872</v>
      </c>
      <c r="B3542" t="s">
        <v>29</v>
      </c>
      <c r="C3542" t="s">
        <v>39</v>
      </c>
      <c r="D3542" t="s">
        <v>50</v>
      </c>
      <c r="E3542" t="s">
        <v>7641</v>
      </c>
      <c r="F3542">
        <v>2</v>
      </c>
      <c r="G3542" s="15">
        <v>2710000</v>
      </c>
      <c r="H3542" s="14">
        <v>0.13075929750140999</v>
      </c>
      <c r="I3542" s="27">
        <f t="shared" si="55"/>
        <v>2355642.3037711792</v>
      </c>
      <c r="J3542">
        <v>4</v>
      </c>
      <c r="K3542" t="b">
        <v>1</v>
      </c>
    </row>
    <row r="3543" spans="1:11" ht="16" x14ac:dyDescent="0.2">
      <c r="A3543" s="16">
        <v>45873</v>
      </c>
      <c r="B3543" t="s">
        <v>33</v>
      </c>
      <c r="C3543" t="s">
        <v>68</v>
      </c>
      <c r="D3543" t="s">
        <v>20</v>
      </c>
      <c r="E3543" t="s">
        <v>7637</v>
      </c>
      <c r="F3543">
        <v>2</v>
      </c>
      <c r="G3543" s="15">
        <v>2710000</v>
      </c>
      <c r="H3543" s="14">
        <v>0.13075929750140999</v>
      </c>
      <c r="I3543" s="27">
        <f t="shared" si="55"/>
        <v>2355642.3037711792</v>
      </c>
      <c r="J3543">
        <v>4.5</v>
      </c>
      <c r="K3543" t="b">
        <v>0</v>
      </c>
    </row>
    <row r="3544" spans="1:11" ht="16" x14ac:dyDescent="0.2">
      <c r="A3544" s="16">
        <v>45873</v>
      </c>
      <c r="B3544" t="s">
        <v>33</v>
      </c>
      <c r="C3544" t="s">
        <v>45</v>
      </c>
      <c r="D3544" t="s">
        <v>20</v>
      </c>
      <c r="E3544" t="s">
        <v>99</v>
      </c>
      <c r="F3544">
        <v>4</v>
      </c>
      <c r="G3544" s="15">
        <v>2710000</v>
      </c>
      <c r="H3544" s="14">
        <v>0.13075929750140999</v>
      </c>
      <c r="I3544" s="27">
        <f t="shared" si="55"/>
        <v>2355642.3037711792</v>
      </c>
      <c r="J3544">
        <v>4.2</v>
      </c>
      <c r="K3544" t="b">
        <v>1</v>
      </c>
    </row>
    <row r="3545" spans="1:11" ht="16" x14ac:dyDescent="0.2">
      <c r="A3545" s="16">
        <v>45874</v>
      </c>
      <c r="B3545" t="s">
        <v>29</v>
      </c>
      <c r="C3545" t="s">
        <v>39</v>
      </c>
      <c r="D3545" t="s">
        <v>50</v>
      </c>
      <c r="E3545" t="s">
        <v>7644</v>
      </c>
      <c r="F3545">
        <v>3</v>
      </c>
      <c r="G3545" s="15">
        <v>2710000</v>
      </c>
      <c r="H3545" s="14">
        <v>0.13075929750140999</v>
      </c>
      <c r="I3545" s="27">
        <f t="shared" si="55"/>
        <v>2355642.3037711792</v>
      </c>
      <c r="J3545">
        <v>4</v>
      </c>
      <c r="K3545" t="b">
        <v>1</v>
      </c>
    </row>
    <row r="3546" spans="1:11" ht="16" x14ac:dyDescent="0.2">
      <c r="A3546" s="16">
        <v>45874</v>
      </c>
      <c r="B3546" t="s">
        <v>18</v>
      </c>
      <c r="C3546" t="s">
        <v>34</v>
      </c>
      <c r="D3546" t="s">
        <v>35</v>
      </c>
      <c r="E3546" t="s">
        <v>7640</v>
      </c>
      <c r="F3546">
        <v>4</v>
      </c>
      <c r="G3546" s="15">
        <v>2710000</v>
      </c>
      <c r="H3546" s="14">
        <v>0.13075929750140999</v>
      </c>
      <c r="I3546" s="27">
        <f t="shared" si="55"/>
        <v>2355642.3037711792</v>
      </c>
      <c r="J3546">
        <v>4</v>
      </c>
      <c r="K3546" t="b">
        <v>1</v>
      </c>
    </row>
    <row r="3547" spans="1:11" ht="16" x14ac:dyDescent="0.2">
      <c r="A3547" s="16">
        <v>45874</v>
      </c>
      <c r="B3547" t="s">
        <v>33</v>
      </c>
      <c r="C3547" t="s">
        <v>25</v>
      </c>
      <c r="D3547" t="s">
        <v>50</v>
      </c>
      <c r="E3547" t="s">
        <v>7637</v>
      </c>
      <c r="F3547">
        <v>1</v>
      </c>
      <c r="G3547" s="15">
        <v>2710000</v>
      </c>
      <c r="H3547" s="14">
        <v>0.13075929750140999</v>
      </c>
      <c r="I3547" s="27">
        <f t="shared" si="55"/>
        <v>2355642.3037711792</v>
      </c>
      <c r="J3547">
        <v>4.3</v>
      </c>
      <c r="K3547" t="b">
        <v>1</v>
      </c>
    </row>
    <row r="3548" spans="1:11" ht="16" x14ac:dyDescent="0.2">
      <c r="A3548" s="16">
        <v>45875</v>
      </c>
      <c r="B3548" t="s">
        <v>18</v>
      </c>
      <c r="C3548" t="s">
        <v>45</v>
      </c>
      <c r="D3548" t="s">
        <v>35</v>
      </c>
      <c r="E3548" t="s">
        <v>99</v>
      </c>
      <c r="F3548">
        <v>5</v>
      </c>
      <c r="G3548" s="15">
        <v>2710000</v>
      </c>
      <c r="H3548" s="14">
        <v>0.13075929750140999</v>
      </c>
      <c r="I3548" s="27">
        <f t="shared" si="55"/>
        <v>2355642.3037711792</v>
      </c>
      <c r="J3548">
        <v>5</v>
      </c>
      <c r="K3548" t="b">
        <v>1</v>
      </c>
    </row>
    <row r="3549" spans="1:11" ht="16" x14ac:dyDescent="0.2">
      <c r="A3549" s="16">
        <v>45875</v>
      </c>
      <c r="B3549" t="s">
        <v>45</v>
      </c>
      <c r="C3549" t="s">
        <v>19</v>
      </c>
      <c r="D3549" t="s">
        <v>35</v>
      </c>
      <c r="E3549" t="s">
        <v>7644</v>
      </c>
      <c r="F3549">
        <v>2</v>
      </c>
      <c r="G3549" s="15">
        <v>2710000</v>
      </c>
      <c r="H3549" s="14">
        <v>0.13075929750140999</v>
      </c>
      <c r="I3549" s="27">
        <f t="shared" si="55"/>
        <v>2355642.3037711792</v>
      </c>
      <c r="J3549">
        <v>5</v>
      </c>
      <c r="K3549" t="b">
        <v>1</v>
      </c>
    </row>
    <row r="3550" spans="1:11" ht="16" x14ac:dyDescent="0.2">
      <c r="A3550" s="16">
        <v>45875</v>
      </c>
      <c r="B3550" t="s">
        <v>33</v>
      </c>
      <c r="C3550" t="s">
        <v>39</v>
      </c>
      <c r="D3550" t="str">
        <f>D3549</f>
        <v>Mobile App</v>
      </c>
      <c r="E3550" t="str">
        <f>E3549</f>
        <v>Hạ Long</v>
      </c>
      <c r="F3550">
        <v>2</v>
      </c>
      <c r="G3550" s="15">
        <v>2710000</v>
      </c>
      <c r="H3550" s="14">
        <v>0.13075929750140999</v>
      </c>
      <c r="I3550" s="27">
        <f t="shared" si="55"/>
        <v>2355642.3037711792</v>
      </c>
      <c r="J3550">
        <v>3.9</v>
      </c>
      <c r="K3550" t="b">
        <v>1</v>
      </c>
    </row>
    <row r="3551" spans="1:11" ht="16" x14ac:dyDescent="0.2">
      <c r="A3551" s="16">
        <v>45875</v>
      </c>
      <c r="B3551" t="s">
        <v>45</v>
      </c>
      <c r="C3551" t="s">
        <v>39</v>
      </c>
      <c r="D3551" t="s">
        <v>35</v>
      </c>
      <c r="E3551" t="s">
        <v>7641</v>
      </c>
      <c r="F3551">
        <v>1</v>
      </c>
      <c r="G3551" s="15">
        <v>2710000</v>
      </c>
      <c r="H3551" s="14">
        <v>0.13075929750140999</v>
      </c>
      <c r="I3551" s="27">
        <f t="shared" si="55"/>
        <v>2355642.3037711792</v>
      </c>
      <c r="J3551">
        <v>3.7</v>
      </c>
      <c r="K3551" t="b">
        <v>1</v>
      </c>
    </row>
    <row r="3552" spans="1:11" ht="16" x14ac:dyDescent="0.2">
      <c r="A3552" s="16">
        <v>45875</v>
      </c>
      <c r="B3552" t="s">
        <v>33</v>
      </c>
      <c r="C3552" t="s">
        <v>68</v>
      </c>
      <c r="D3552" t="s">
        <v>50</v>
      </c>
      <c r="E3552" t="s">
        <v>7641</v>
      </c>
      <c r="F3552">
        <v>1</v>
      </c>
      <c r="G3552" s="15">
        <v>2710000</v>
      </c>
      <c r="H3552" s="14">
        <v>0.13075929750140999</v>
      </c>
      <c r="I3552" s="27">
        <f t="shared" si="55"/>
        <v>2355642.3037711792</v>
      </c>
      <c r="J3552">
        <v>4.4000000000000004</v>
      </c>
      <c r="K3552" t="b">
        <v>1</v>
      </c>
    </row>
    <row r="3553" spans="1:11" ht="16" x14ac:dyDescent="0.2">
      <c r="A3553" s="16">
        <v>45876</v>
      </c>
      <c r="B3553" t="s">
        <v>18</v>
      </c>
      <c r="C3553" t="s">
        <v>19</v>
      </c>
      <c r="D3553" t="s">
        <v>20</v>
      </c>
      <c r="E3553" t="s">
        <v>7639</v>
      </c>
      <c r="F3553">
        <v>3</v>
      </c>
      <c r="G3553" s="15">
        <v>2710000</v>
      </c>
      <c r="H3553" s="14">
        <v>0.13075929750140999</v>
      </c>
      <c r="I3553" s="27">
        <f t="shared" si="55"/>
        <v>2355642.3037711792</v>
      </c>
      <c r="J3553">
        <v>5</v>
      </c>
      <c r="K3553" t="b">
        <v>1</v>
      </c>
    </row>
    <row r="3554" spans="1:11" ht="16" x14ac:dyDescent="0.2">
      <c r="A3554" s="16">
        <v>45876</v>
      </c>
      <c r="B3554" t="s">
        <v>45</v>
      </c>
      <c r="C3554" t="s">
        <v>45</v>
      </c>
      <c r="D3554" t="s">
        <v>35</v>
      </c>
      <c r="E3554" t="s">
        <v>7639</v>
      </c>
      <c r="F3554">
        <v>3</v>
      </c>
      <c r="G3554" s="15">
        <v>2710000</v>
      </c>
      <c r="H3554" s="14">
        <v>0.13075929750140999</v>
      </c>
      <c r="I3554" s="27">
        <f t="shared" si="55"/>
        <v>2355642.3037711792</v>
      </c>
      <c r="J3554">
        <v>3.6</v>
      </c>
      <c r="K3554" t="b">
        <v>1</v>
      </c>
    </row>
    <row r="3555" spans="1:11" ht="16" x14ac:dyDescent="0.2">
      <c r="A3555" s="16">
        <v>45876</v>
      </c>
      <c r="B3555" t="s">
        <v>18</v>
      </c>
      <c r="C3555" t="s">
        <v>25</v>
      </c>
      <c r="D3555" t="s">
        <v>20</v>
      </c>
      <c r="E3555" t="s">
        <v>99</v>
      </c>
      <c r="F3555">
        <v>2</v>
      </c>
      <c r="G3555" s="15">
        <v>2710000</v>
      </c>
      <c r="H3555" s="14">
        <v>0.13075929750140999</v>
      </c>
      <c r="I3555" s="27">
        <f t="shared" si="55"/>
        <v>2355642.3037711792</v>
      </c>
      <c r="J3555">
        <v>4.4000000000000004</v>
      </c>
      <c r="K3555" t="b">
        <v>1</v>
      </c>
    </row>
    <row r="3556" spans="1:11" ht="16" x14ac:dyDescent="0.2">
      <c r="A3556" s="16">
        <v>45876</v>
      </c>
      <c r="B3556" t="s">
        <v>45</v>
      </c>
      <c r="C3556" t="s">
        <v>34</v>
      </c>
      <c r="D3556" t="s">
        <v>20</v>
      </c>
      <c r="E3556" t="s">
        <v>7637</v>
      </c>
      <c r="F3556">
        <v>2</v>
      </c>
      <c r="G3556" s="15">
        <v>2710000</v>
      </c>
      <c r="H3556" s="14">
        <v>0.13075929750140999</v>
      </c>
      <c r="I3556" s="27">
        <f t="shared" si="55"/>
        <v>2355642.3037711792</v>
      </c>
      <c r="J3556">
        <v>2.9</v>
      </c>
      <c r="K3556" t="b">
        <v>1</v>
      </c>
    </row>
    <row r="3557" spans="1:11" ht="16" x14ac:dyDescent="0.2">
      <c r="A3557" s="16">
        <v>45877</v>
      </c>
      <c r="B3557" t="s">
        <v>45</v>
      </c>
      <c r="C3557" t="s">
        <v>34</v>
      </c>
      <c r="D3557" t="s">
        <v>20</v>
      </c>
      <c r="E3557" t="s">
        <v>7640</v>
      </c>
      <c r="F3557">
        <v>3</v>
      </c>
      <c r="G3557" s="15">
        <v>2710000</v>
      </c>
      <c r="H3557" s="14">
        <v>0.13075929750140999</v>
      </c>
      <c r="I3557" s="27">
        <f t="shared" si="55"/>
        <v>2355642.3037711792</v>
      </c>
      <c r="J3557">
        <v>4.4000000000000004</v>
      </c>
      <c r="K3557" t="b">
        <v>1</v>
      </c>
    </row>
    <row r="3558" spans="1:11" ht="16" x14ac:dyDescent="0.2">
      <c r="A3558" s="16">
        <v>45877</v>
      </c>
      <c r="B3558" t="s">
        <v>18</v>
      </c>
      <c r="C3558" t="s">
        <v>25</v>
      </c>
      <c r="D3558" t="s">
        <v>20</v>
      </c>
      <c r="E3558" t="s">
        <v>7641</v>
      </c>
      <c r="F3558">
        <v>1</v>
      </c>
      <c r="G3558" s="15">
        <v>2710000</v>
      </c>
      <c r="H3558" s="14">
        <v>0.13075929750140999</v>
      </c>
      <c r="I3558" s="27">
        <f t="shared" si="55"/>
        <v>2355642.3037711792</v>
      </c>
      <c r="J3558">
        <v>4.7</v>
      </c>
      <c r="K3558" t="b">
        <v>1</v>
      </c>
    </row>
    <row r="3559" spans="1:11" ht="16" x14ac:dyDescent="0.2">
      <c r="A3559" s="16">
        <v>45877</v>
      </c>
      <c r="B3559" t="s">
        <v>45</v>
      </c>
      <c r="C3559" t="s">
        <v>34</v>
      </c>
      <c r="D3559" t="s">
        <v>46</v>
      </c>
      <c r="E3559" t="s">
        <v>57</v>
      </c>
      <c r="F3559">
        <v>1</v>
      </c>
      <c r="G3559" s="15">
        <v>2710000</v>
      </c>
      <c r="H3559" s="14">
        <v>0.13075929750140999</v>
      </c>
      <c r="I3559" s="27">
        <f t="shared" si="55"/>
        <v>2355642.3037711792</v>
      </c>
      <c r="J3559">
        <v>4.5</v>
      </c>
      <c r="K3559" t="b">
        <v>1</v>
      </c>
    </row>
    <row r="3560" spans="1:11" ht="16" x14ac:dyDescent="0.2">
      <c r="A3560" s="16">
        <v>45878</v>
      </c>
      <c r="B3560" t="s">
        <v>18</v>
      </c>
      <c r="C3560" t="s">
        <v>25</v>
      </c>
      <c r="D3560" t="s">
        <v>35</v>
      </c>
      <c r="E3560" t="s">
        <v>7641</v>
      </c>
      <c r="F3560">
        <v>2</v>
      </c>
      <c r="G3560" s="15">
        <v>2710000</v>
      </c>
      <c r="H3560" s="14">
        <v>0.13075929750140999</v>
      </c>
      <c r="I3560" s="27">
        <f t="shared" si="55"/>
        <v>2355642.3037711792</v>
      </c>
      <c r="J3560">
        <v>5</v>
      </c>
      <c r="K3560" t="b">
        <v>0</v>
      </c>
    </row>
    <row r="3561" spans="1:11" ht="16" x14ac:dyDescent="0.2">
      <c r="A3561" s="16">
        <v>45878</v>
      </c>
      <c r="B3561" t="s">
        <v>33</v>
      </c>
      <c r="C3561" t="s">
        <v>34</v>
      </c>
      <c r="D3561" t="s">
        <v>35</v>
      </c>
      <c r="E3561" t="s">
        <v>57</v>
      </c>
      <c r="F3561">
        <v>3</v>
      </c>
      <c r="G3561" s="15">
        <v>2710000</v>
      </c>
      <c r="H3561" s="14">
        <v>0.13075929750140999</v>
      </c>
      <c r="I3561" s="27">
        <f t="shared" si="55"/>
        <v>2355642.3037711792</v>
      </c>
      <c r="J3561">
        <v>3.2</v>
      </c>
      <c r="K3561" t="b">
        <v>0</v>
      </c>
    </row>
    <row r="3562" spans="1:11" ht="16" x14ac:dyDescent="0.2">
      <c r="A3562" s="16">
        <v>45878</v>
      </c>
      <c r="B3562" t="s">
        <v>29</v>
      </c>
      <c r="C3562" t="s">
        <v>34</v>
      </c>
      <c r="D3562" t="s">
        <v>20</v>
      </c>
      <c r="E3562" t="s">
        <v>7639</v>
      </c>
      <c r="F3562">
        <v>1</v>
      </c>
      <c r="G3562" s="15">
        <v>2710000</v>
      </c>
      <c r="H3562" s="14">
        <v>0.13075929750140999</v>
      </c>
      <c r="I3562" s="27">
        <f t="shared" si="55"/>
        <v>2355642.3037711792</v>
      </c>
      <c r="J3562">
        <v>4.3</v>
      </c>
      <c r="K3562" t="b">
        <v>1</v>
      </c>
    </row>
    <row r="3563" spans="1:11" ht="16" x14ac:dyDescent="0.2">
      <c r="A3563" s="16">
        <v>45878</v>
      </c>
      <c r="B3563" t="s">
        <v>29</v>
      </c>
      <c r="C3563" t="s">
        <v>45</v>
      </c>
      <c r="D3563" t="s">
        <v>50</v>
      </c>
      <c r="E3563" t="s">
        <v>7640</v>
      </c>
      <c r="F3563">
        <v>4</v>
      </c>
      <c r="G3563" s="15">
        <v>2710000</v>
      </c>
      <c r="H3563" s="14">
        <v>0.13075929750140999</v>
      </c>
      <c r="I3563" s="27">
        <f t="shared" si="55"/>
        <v>2355642.3037711792</v>
      </c>
      <c r="J3563">
        <v>4</v>
      </c>
      <c r="K3563" t="b">
        <v>0</v>
      </c>
    </row>
    <row r="3564" spans="1:11" ht="16" x14ac:dyDescent="0.2">
      <c r="A3564" s="16">
        <v>45878</v>
      </c>
      <c r="B3564" t="s">
        <v>45</v>
      </c>
      <c r="C3564" t="s">
        <v>34</v>
      </c>
      <c r="D3564" t="s">
        <v>20</v>
      </c>
      <c r="E3564" t="s">
        <v>7642</v>
      </c>
      <c r="F3564">
        <v>3</v>
      </c>
      <c r="G3564" s="15">
        <v>2710000</v>
      </c>
      <c r="H3564" s="14">
        <v>0.13075929750140999</v>
      </c>
      <c r="I3564" s="27">
        <f t="shared" si="55"/>
        <v>2355642.3037711792</v>
      </c>
      <c r="J3564">
        <v>3.6</v>
      </c>
      <c r="K3564" t="b">
        <v>1</v>
      </c>
    </row>
    <row r="3565" spans="1:11" ht="16" x14ac:dyDescent="0.2">
      <c r="A3565" s="16">
        <v>45878</v>
      </c>
      <c r="B3565" t="s">
        <v>18</v>
      </c>
      <c r="C3565" t="s">
        <v>68</v>
      </c>
      <c r="D3565" t="s">
        <v>20</v>
      </c>
      <c r="E3565" t="s">
        <v>7637</v>
      </c>
      <c r="F3565">
        <v>2</v>
      </c>
      <c r="G3565" s="15">
        <v>2710000</v>
      </c>
      <c r="H3565" s="14">
        <v>0.13075929750140999</v>
      </c>
      <c r="I3565" s="27">
        <f t="shared" si="55"/>
        <v>2355642.3037711792</v>
      </c>
      <c r="J3565">
        <v>4.2</v>
      </c>
      <c r="K3565" t="b">
        <v>1</v>
      </c>
    </row>
    <row r="3566" spans="1:11" ht="16" x14ac:dyDescent="0.2">
      <c r="A3566" s="16">
        <v>45879</v>
      </c>
      <c r="B3566" t="s">
        <v>29</v>
      </c>
      <c r="C3566" t="s">
        <v>45</v>
      </c>
      <c r="D3566" t="s">
        <v>50</v>
      </c>
      <c r="E3566" t="s">
        <v>7642</v>
      </c>
      <c r="F3566">
        <v>3</v>
      </c>
      <c r="G3566" s="15">
        <v>2710000</v>
      </c>
      <c r="H3566" s="14">
        <v>0.13075929750140999</v>
      </c>
      <c r="I3566" s="27">
        <f t="shared" si="55"/>
        <v>2355642.3037711792</v>
      </c>
      <c r="J3566">
        <v>4.4000000000000004</v>
      </c>
      <c r="K3566" t="b">
        <v>1</v>
      </c>
    </row>
    <row r="3567" spans="1:11" ht="16" x14ac:dyDescent="0.2">
      <c r="A3567" s="16">
        <v>45879</v>
      </c>
      <c r="B3567" t="s">
        <v>29</v>
      </c>
      <c r="C3567" t="s">
        <v>34</v>
      </c>
      <c r="D3567" t="s">
        <v>20</v>
      </c>
      <c r="E3567" t="s">
        <v>99</v>
      </c>
      <c r="F3567">
        <v>3</v>
      </c>
      <c r="G3567" s="15">
        <v>2710000</v>
      </c>
      <c r="H3567" s="14">
        <v>0.13075929750140999</v>
      </c>
      <c r="I3567" s="27">
        <f t="shared" si="55"/>
        <v>2355642.3037711792</v>
      </c>
      <c r="J3567">
        <v>4.2</v>
      </c>
      <c r="K3567" t="b">
        <v>1</v>
      </c>
    </row>
    <row r="3568" spans="1:11" ht="16" x14ac:dyDescent="0.2">
      <c r="A3568" s="16">
        <v>45879</v>
      </c>
      <c r="B3568" t="s">
        <v>29</v>
      </c>
      <c r="C3568" t="s">
        <v>34</v>
      </c>
      <c r="D3568" t="s">
        <v>20</v>
      </c>
      <c r="E3568" t="s">
        <v>7640</v>
      </c>
      <c r="F3568">
        <v>2</v>
      </c>
      <c r="G3568" s="15">
        <v>2710000</v>
      </c>
      <c r="H3568" s="14">
        <v>0.13075929750140999</v>
      </c>
      <c r="I3568" s="27">
        <f t="shared" si="55"/>
        <v>2355642.3037711792</v>
      </c>
      <c r="J3568">
        <v>4</v>
      </c>
      <c r="K3568" t="b">
        <v>0</v>
      </c>
    </row>
    <row r="3569" spans="1:11" ht="16" x14ac:dyDescent="0.2">
      <c r="A3569" s="16">
        <v>45879</v>
      </c>
      <c r="B3569" t="s">
        <v>33</v>
      </c>
      <c r="C3569" t="s">
        <v>39</v>
      </c>
      <c r="D3569" t="s">
        <v>50</v>
      </c>
      <c r="E3569" t="s">
        <v>7639</v>
      </c>
      <c r="F3569">
        <v>2</v>
      </c>
      <c r="G3569" s="15">
        <v>2710000</v>
      </c>
      <c r="H3569" s="14">
        <v>0.13075929750140999</v>
      </c>
      <c r="I3569" s="27">
        <f t="shared" si="55"/>
        <v>2355642.3037711792</v>
      </c>
      <c r="J3569">
        <v>4.4000000000000004</v>
      </c>
      <c r="K3569" t="b">
        <v>1</v>
      </c>
    </row>
    <row r="3570" spans="1:11" ht="16" x14ac:dyDescent="0.2">
      <c r="A3570" s="16">
        <v>45879</v>
      </c>
      <c r="B3570" t="s">
        <v>45</v>
      </c>
      <c r="C3570" t="s">
        <v>19</v>
      </c>
      <c r="D3570" t="s">
        <v>35</v>
      </c>
      <c r="E3570" t="s">
        <v>7638</v>
      </c>
      <c r="F3570">
        <v>2</v>
      </c>
      <c r="G3570" s="15">
        <v>2710000</v>
      </c>
      <c r="H3570" s="14">
        <v>0.13075929750140999</v>
      </c>
      <c r="I3570" s="27">
        <f t="shared" si="55"/>
        <v>2355642.3037711792</v>
      </c>
      <c r="J3570">
        <v>4.9000000000000004</v>
      </c>
      <c r="K3570" t="b">
        <v>1</v>
      </c>
    </row>
    <row r="3571" spans="1:11" ht="16" x14ac:dyDescent="0.2">
      <c r="A3571" s="16">
        <v>45880</v>
      </c>
      <c r="B3571" t="s">
        <v>33</v>
      </c>
      <c r="C3571" t="s">
        <v>45</v>
      </c>
      <c r="D3571" t="s">
        <v>20</v>
      </c>
      <c r="E3571" t="s">
        <v>7638</v>
      </c>
      <c r="F3571">
        <v>4</v>
      </c>
      <c r="G3571" s="15">
        <v>2710000</v>
      </c>
      <c r="H3571" s="14">
        <v>0.13075929750140999</v>
      </c>
      <c r="I3571" s="27">
        <f t="shared" si="55"/>
        <v>2355642.3037711792</v>
      </c>
      <c r="J3571">
        <v>3.9</v>
      </c>
      <c r="K3571" t="b">
        <v>0</v>
      </c>
    </row>
    <row r="3572" spans="1:11" ht="16" x14ac:dyDescent="0.2">
      <c r="A3572" s="16">
        <v>45880</v>
      </c>
      <c r="B3572" t="s">
        <v>45</v>
      </c>
      <c r="C3572" t="s">
        <v>45</v>
      </c>
      <c r="D3572" t="s">
        <v>50</v>
      </c>
      <c r="E3572" t="s">
        <v>7640</v>
      </c>
      <c r="F3572">
        <v>2</v>
      </c>
      <c r="G3572" s="15">
        <v>2710000</v>
      </c>
      <c r="H3572" s="14">
        <v>0.13075929750140999</v>
      </c>
      <c r="I3572" s="27">
        <f t="shared" si="55"/>
        <v>2355642.3037711792</v>
      </c>
      <c r="J3572">
        <v>3.9</v>
      </c>
      <c r="K3572" t="b">
        <v>0</v>
      </c>
    </row>
    <row r="3573" spans="1:11" ht="16" x14ac:dyDescent="0.2">
      <c r="A3573" s="16">
        <v>45880</v>
      </c>
      <c r="B3573" t="s">
        <v>45</v>
      </c>
      <c r="C3573" t="s">
        <v>34</v>
      </c>
      <c r="D3573" t="s">
        <v>50</v>
      </c>
      <c r="E3573" t="s">
        <v>7643</v>
      </c>
      <c r="F3573">
        <v>1</v>
      </c>
      <c r="G3573" s="15">
        <v>2710000</v>
      </c>
      <c r="H3573" s="14">
        <v>0.13075929750140999</v>
      </c>
      <c r="I3573" s="27">
        <f t="shared" si="55"/>
        <v>2355642.3037711792</v>
      </c>
      <c r="J3573">
        <v>3.9</v>
      </c>
      <c r="K3573" t="b">
        <v>1</v>
      </c>
    </row>
    <row r="3574" spans="1:11" ht="16" x14ac:dyDescent="0.2">
      <c r="A3574" s="16">
        <v>45880</v>
      </c>
      <c r="B3574" t="str">
        <f>B3573</f>
        <v>Family</v>
      </c>
      <c r="C3574" t="s">
        <v>39</v>
      </c>
      <c r="D3574" t="s">
        <v>50</v>
      </c>
      <c r="E3574" t="s">
        <v>57</v>
      </c>
      <c r="F3574">
        <v>2</v>
      </c>
      <c r="G3574" s="15">
        <v>2710000</v>
      </c>
      <c r="H3574" s="14">
        <v>0.13075929750140999</v>
      </c>
      <c r="I3574" s="27">
        <f t="shared" si="55"/>
        <v>2355642.3037711792</v>
      </c>
      <c r="J3574">
        <v>5</v>
      </c>
      <c r="K3574" t="b">
        <v>0</v>
      </c>
    </row>
    <row r="3575" spans="1:11" ht="16" x14ac:dyDescent="0.2">
      <c r="A3575" s="16">
        <v>45880</v>
      </c>
      <c r="B3575" t="s">
        <v>29</v>
      </c>
      <c r="C3575" t="s">
        <v>19</v>
      </c>
      <c r="D3575" t="s">
        <v>50</v>
      </c>
      <c r="E3575" t="s">
        <v>7639</v>
      </c>
      <c r="F3575">
        <v>1</v>
      </c>
      <c r="G3575" s="15">
        <v>2710000</v>
      </c>
      <c r="H3575" s="14">
        <v>0.13075929750140999</v>
      </c>
      <c r="I3575" s="27">
        <f t="shared" si="55"/>
        <v>2355642.3037711792</v>
      </c>
      <c r="J3575">
        <v>3.9</v>
      </c>
      <c r="K3575" t="b">
        <v>1</v>
      </c>
    </row>
    <row r="3576" spans="1:11" ht="16" x14ac:dyDescent="0.2">
      <c r="A3576" s="16">
        <v>45880</v>
      </c>
      <c r="B3576" t="s">
        <v>33</v>
      </c>
      <c r="C3576" t="s">
        <v>25</v>
      </c>
      <c r="D3576" t="s">
        <v>20</v>
      </c>
      <c r="E3576" t="s">
        <v>7644</v>
      </c>
      <c r="F3576">
        <v>3</v>
      </c>
      <c r="G3576" s="15">
        <v>2710000</v>
      </c>
      <c r="H3576" s="14">
        <v>0.13075929750140999</v>
      </c>
      <c r="I3576" s="27">
        <f t="shared" si="55"/>
        <v>2355642.3037711792</v>
      </c>
      <c r="J3576">
        <v>4</v>
      </c>
      <c r="K3576" t="b">
        <v>1</v>
      </c>
    </row>
    <row r="3577" spans="1:11" ht="16" x14ac:dyDescent="0.2">
      <c r="A3577" s="16">
        <v>45880</v>
      </c>
      <c r="B3577" t="str">
        <f>B3576</f>
        <v>Student</v>
      </c>
      <c r="C3577" t="s">
        <v>39</v>
      </c>
      <c r="D3577" t="str">
        <f>D3576</f>
        <v>Website</v>
      </c>
      <c r="E3577" t="str">
        <f>E3576</f>
        <v>Hạ Long</v>
      </c>
      <c r="F3577">
        <v>2</v>
      </c>
      <c r="G3577" s="15">
        <v>2710000</v>
      </c>
      <c r="H3577" s="14">
        <v>0.13075929750140999</v>
      </c>
      <c r="I3577" s="27">
        <f t="shared" si="55"/>
        <v>2355642.3037711792</v>
      </c>
      <c r="J3577">
        <v>4.3</v>
      </c>
      <c r="K3577" t="b">
        <v>0</v>
      </c>
    </row>
    <row r="3578" spans="1:11" ht="16" x14ac:dyDescent="0.2">
      <c r="A3578" s="16">
        <v>45881</v>
      </c>
      <c r="B3578" t="s">
        <v>29</v>
      </c>
      <c r="C3578" t="s">
        <v>39</v>
      </c>
      <c r="D3578" t="s">
        <v>50</v>
      </c>
      <c r="E3578" t="s">
        <v>7643</v>
      </c>
      <c r="F3578">
        <v>3</v>
      </c>
      <c r="G3578" s="15">
        <v>2710000</v>
      </c>
      <c r="H3578" s="14">
        <v>0.13075929750140999</v>
      </c>
      <c r="I3578" s="27">
        <f t="shared" si="55"/>
        <v>2355642.3037711792</v>
      </c>
      <c r="J3578">
        <v>4.5999999999999996</v>
      </c>
      <c r="K3578" t="b">
        <v>1</v>
      </c>
    </row>
    <row r="3579" spans="1:11" ht="16" x14ac:dyDescent="0.2">
      <c r="A3579" s="16">
        <v>45881</v>
      </c>
      <c r="B3579" t="s">
        <v>33</v>
      </c>
      <c r="C3579" t="s">
        <v>45</v>
      </c>
      <c r="D3579" t="s">
        <v>35</v>
      </c>
      <c r="E3579" t="s">
        <v>7640</v>
      </c>
      <c r="F3579">
        <v>1</v>
      </c>
      <c r="G3579" s="15">
        <v>2710000</v>
      </c>
      <c r="H3579" s="14">
        <v>0.13075929750140999</v>
      </c>
      <c r="I3579" s="27">
        <f t="shared" si="55"/>
        <v>2355642.3037711792</v>
      </c>
      <c r="J3579">
        <v>4.5</v>
      </c>
      <c r="K3579" t="b">
        <v>0</v>
      </c>
    </row>
    <row r="3580" spans="1:11" ht="16" x14ac:dyDescent="0.2">
      <c r="A3580" s="16">
        <v>45881</v>
      </c>
      <c r="B3580" t="s">
        <v>29</v>
      </c>
      <c r="C3580" t="s">
        <v>34</v>
      </c>
      <c r="D3580" t="s">
        <v>35</v>
      </c>
      <c r="E3580" t="s">
        <v>99</v>
      </c>
      <c r="F3580">
        <v>1</v>
      </c>
      <c r="G3580" s="15">
        <v>2710000</v>
      </c>
      <c r="H3580" s="14">
        <v>0.13075929750140999</v>
      </c>
      <c r="I3580" s="27">
        <f t="shared" si="55"/>
        <v>2355642.3037711792</v>
      </c>
      <c r="J3580">
        <v>4.0999999999999996</v>
      </c>
      <c r="K3580" t="b">
        <v>0</v>
      </c>
    </row>
    <row r="3581" spans="1:11" ht="16" x14ac:dyDescent="0.2">
      <c r="A3581" s="16">
        <v>45881</v>
      </c>
      <c r="B3581" t="s">
        <v>29</v>
      </c>
      <c r="C3581" t="s">
        <v>34</v>
      </c>
      <c r="D3581" t="s">
        <v>20</v>
      </c>
      <c r="E3581" t="s">
        <v>7639</v>
      </c>
      <c r="F3581">
        <v>2</v>
      </c>
      <c r="G3581" s="15">
        <v>2710000</v>
      </c>
      <c r="H3581" s="14">
        <v>0.13075929750140999</v>
      </c>
      <c r="I3581" s="27">
        <f t="shared" si="55"/>
        <v>2355642.3037711792</v>
      </c>
      <c r="J3581">
        <v>5</v>
      </c>
      <c r="K3581" t="b">
        <v>1</v>
      </c>
    </row>
    <row r="3582" spans="1:11" ht="16" x14ac:dyDescent="0.2">
      <c r="A3582" s="16">
        <v>45881</v>
      </c>
      <c r="B3582" t="s">
        <v>18</v>
      </c>
      <c r="C3582" t="s">
        <v>45</v>
      </c>
      <c r="D3582" t="s">
        <v>20</v>
      </c>
      <c r="E3582" t="s">
        <v>7640</v>
      </c>
      <c r="F3582">
        <v>1</v>
      </c>
      <c r="G3582" s="15">
        <v>2710000</v>
      </c>
      <c r="H3582" s="14">
        <v>0.13075929750140999</v>
      </c>
      <c r="I3582" s="27">
        <f t="shared" si="55"/>
        <v>2355642.3037711792</v>
      </c>
      <c r="J3582">
        <v>4.0999999999999996</v>
      </c>
      <c r="K3582" t="b">
        <v>0</v>
      </c>
    </row>
    <row r="3583" spans="1:11" ht="16" x14ac:dyDescent="0.2">
      <c r="A3583" s="16">
        <v>45882</v>
      </c>
      <c r="B3583" t="s">
        <v>33</v>
      </c>
      <c r="C3583" t="s">
        <v>25</v>
      </c>
      <c r="D3583" t="s">
        <v>50</v>
      </c>
      <c r="E3583" t="s">
        <v>7644</v>
      </c>
      <c r="F3583">
        <v>1</v>
      </c>
      <c r="G3583" s="15">
        <v>2710000</v>
      </c>
      <c r="H3583" s="14">
        <v>0.13075929750140999</v>
      </c>
      <c r="I3583" s="27">
        <f t="shared" si="55"/>
        <v>2355642.3037711792</v>
      </c>
      <c r="J3583">
        <v>4.5999999999999996</v>
      </c>
      <c r="K3583" t="b">
        <v>1</v>
      </c>
    </row>
    <row r="3584" spans="1:11" ht="16" x14ac:dyDescent="0.2">
      <c r="A3584" s="16">
        <v>45882</v>
      </c>
      <c r="B3584" t="s">
        <v>45</v>
      </c>
      <c r="C3584" t="s">
        <v>34</v>
      </c>
      <c r="D3584" t="s">
        <v>35</v>
      </c>
      <c r="E3584" t="s">
        <v>7637</v>
      </c>
      <c r="F3584">
        <v>4</v>
      </c>
      <c r="G3584" s="15">
        <v>2710000</v>
      </c>
      <c r="H3584" s="14">
        <v>0.13075929750140999</v>
      </c>
      <c r="I3584" s="27">
        <f t="shared" si="55"/>
        <v>2355642.3037711792</v>
      </c>
      <c r="J3584">
        <v>4.9000000000000004</v>
      </c>
      <c r="K3584" t="b">
        <v>1</v>
      </c>
    </row>
    <row r="3585" spans="1:11" ht="16" x14ac:dyDescent="0.2">
      <c r="A3585" s="16">
        <v>45882</v>
      </c>
      <c r="B3585" t="s">
        <v>45</v>
      </c>
      <c r="C3585" t="s">
        <v>45</v>
      </c>
      <c r="D3585" t="s">
        <v>35</v>
      </c>
      <c r="E3585" t="s">
        <v>7637</v>
      </c>
      <c r="F3585">
        <v>2</v>
      </c>
      <c r="G3585" s="15">
        <v>2710000</v>
      </c>
      <c r="H3585" s="14">
        <v>0.13075929750140999</v>
      </c>
      <c r="I3585" s="27">
        <f t="shared" si="55"/>
        <v>2355642.3037711792</v>
      </c>
      <c r="J3585">
        <v>4.5</v>
      </c>
      <c r="K3585" t="b">
        <v>1</v>
      </c>
    </row>
    <row r="3586" spans="1:11" ht="16" x14ac:dyDescent="0.2">
      <c r="A3586" s="16">
        <v>45882</v>
      </c>
      <c r="B3586" t="s">
        <v>45</v>
      </c>
      <c r="C3586" t="s">
        <v>25</v>
      </c>
      <c r="D3586" t="s">
        <v>35</v>
      </c>
      <c r="E3586" t="str">
        <f>E3585</f>
        <v>Đà Nẵng</v>
      </c>
      <c r="F3586">
        <v>1</v>
      </c>
      <c r="G3586" s="15">
        <v>2710000</v>
      </c>
      <c r="H3586" s="14">
        <v>0.13075929750140999</v>
      </c>
      <c r="I3586" s="27">
        <f t="shared" si="55"/>
        <v>2355642.3037711792</v>
      </c>
      <c r="J3586">
        <v>5</v>
      </c>
      <c r="K3586" t="b">
        <v>1</v>
      </c>
    </row>
    <row r="3587" spans="1:11" ht="16" x14ac:dyDescent="0.2">
      <c r="A3587" s="16">
        <v>45883</v>
      </c>
      <c r="B3587" t="s">
        <v>45</v>
      </c>
      <c r="C3587" t="s">
        <v>34</v>
      </c>
      <c r="D3587" t="s">
        <v>50</v>
      </c>
      <c r="E3587" t="s">
        <v>57</v>
      </c>
      <c r="F3587">
        <v>1</v>
      </c>
      <c r="G3587" s="15">
        <v>2710000</v>
      </c>
      <c r="H3587" s="14">
        <v>0.13075929750140999</v>
      </c>
      <c r="I3587" s="27">
        <f t="shared" ref="I3587:I3650" si="56">G3587-G3587*H3587</f>
        <v>2355642.3037711792</v>
      </c>
      <c r="J3587">
        <v>3.6</v>
      </c>
      <c r="K3587" t="b">
        <v>0</v>
      </c>
    </row>
    <row r="3588" spans="1:11" ht="16" x14ac:dyDescent="0.2">
      <c r="A3588" s="16">
        <v>45883</v>
      </c>
      <c r="B3588" t="s">
        <v>45</v>
      </c>
      <c r="C3588" t="s">
        <v>45</v>
      </c>
      <c r="D3588" t="s">
        <v>20</v>
      </c>
      <c r="E3588" t="s">
        <v>7639</v>
      </c>
      <c r="F3588">
        <v>2</v>
      </c>
      <c r="G3588" s="15">
        <v>2710000</v>
      </c>
      <c r="H3588" s="14">
        <v>0.13075929750140999</v>
      </c>
      <c r="I3588" s="27">
        <f t="shared" si="56"/>
        <v>2355642.3037711792</v>
      </c>
      <c r="J3588">
        <v>4.9000000000000004</v>
      </c>
      <c r="K3588" t="b">
        <v>1</v>
      </c>
    </row>
    <row r="3589" spans="1:11" ht="16" x14ac:dyDescent="0.2">
      <c r="A3589" s="16">
        <v>45883</v>
      </c>
      <c r="B3589" t="str">
        <f>B3588</f>
        <v>Family</v>
      </c>
      <c r="C3589" t="s">
        <v>39</v>
      </c>
      <c r="D3589" t="s">
        <v>35</v>
      </c>
      <c r="E3589" t="s">
        <v>7644</v>
      </c>
      <c r="F3589">
        <v>2</v>
      </c>
      <c r="G3589" s="15">
        <v>2710000</v>
      </c>
      <c r="H3589" s="14">
        <v>0.13075929750140999</v>
      </c>
      <c r="I3589" s="27">
        <f t="shared" si="56"/>
        <v>2355642.3037711792</v>
      </c>
      <c r="J3589">
        <v>4</v>
      </c>
      <c r="K3589" t="b">
        <v>1</v>
      </c>
    </row>
    <row r="3590" spans="1:11" ht="16" x14ac:dyDescent="0.2">
      <c r="A3590" s="16">
        <v>45883</v>
      </c>
      <c r="B3590" t="s">
        <v>18</v>
      </c>
      <c r="C3590" t="s">
        <v>45</v>
      </c>
      <c r="D3590" t="s">
        <v>50</v>
      </c>
      <c r="E3590" t="s">
        <v>7637</v>
      </c>
      <c r="F3590">
        <v>3</v>
      </c>
      <c r="G3590" s="15">
        <v>2710000</v>
      </c>
      <c r="H3590" s="14">
        <v>0.13075929750140999</v>
      </c>
      <c r="I3590" s="27">
        <f t="shared" si="56"/>
        <v>2355642.3037711792</v>
      </c>
      <c r="J3590">
        <v>3.8</v>
      </c>
      <c r="K3590" t="b">
        <v>1</v>
      </c>
    </row>
    <row r="3591" spans="1:11" ht="16" x14ac:dyDescent="0.2">
      <c r="A3591" s="16">
        <v>45884</v>
      </c>
      <c r="B3591" t="s">
        <v>18</v>
      </c>
      <c r="C3591" t="s">
        <v>19</v>
      </c>
      <c r="D3591" t="s">
        <v>20</v>
      </c>
      <c r="E3591" t="s">
        <v>7641</v>
      </c>
      <c r="F3591">
        <v>2</v>
      </c>
      <c r="G3591" s="15">
        <v>2710000</v>
      </c>
      <c r="H3591" s="14">
        <v>0.13075929750140999</v>
      </c>
      <c r="I3591" s="27">
        <f t="shared" si="56"/>
        <v>2355642.3037711792</v>
      </c>
      <c r="J3591">
        <v>4.5</v>
      </c>
      <c r="K3591" t="b">
        <v>1</v>
      </c>
    </row>
    <row r="3592" spans="1:11" ht="16" x14ac:dyDescent="0.2">
      <c r="A3592" s="16">
        <v>45884</v>
      </c>
      <c r="B3592" t="s">
        <v>18</v>
      </c>
      <c r="C3592" t="s">
        <v>25</v>
      </c>
      <c r="D3592" t="s">
        <v>35</v>
      </c>
      <c r="E3592" t="s">
        <v>7640</v>
      </c>
      <c r="F3592">
        <v>1</v>
      </c>
      <c r="G3592" s="15">
        <v>2710000</v>
      </c>
      <c r="H3592" s="14">
        <v>0.13075929750140999</v>
      </c>
      <c r="I3592" s="27">
        <f t="shared" si="56"/>
        <v>2355642.3037711792</v>
      </c>
      <c r="J3592">
        <v>4.3</v>
      </c>
      <c r="K3592" t="b">
        <v>0</v>
      </c>
    </row>
    <row r="3593" spans="1:11" ht="16" x14ac:dyDescent="0.2">
      <c r="A3593" s="16">
        <v>45884</v>
      </c>
      <c r="B3593" t="s">
        <v>18</v>
      </c>
      <c r="C3593" t="s">
        <v>34</v>
      </c>
      <c r="D3593" t="s">
        <v>20</v>
      </c>
      <c r="E3593" t="s">
        <v>7644</v>
      </c>
      <c r="F3593">
        <v>1</v>
      </c>
      <c r="G3593" s="15">
        <v>2710000</v>
      </c>
      <c r="H3593" s="14">
        <v>0.13075929750140999</v>
      </c>
      <c r="I3593" s="27">
        <f t="shared" si="56"/>
        <v>2355642.3037711792</v>
      </c>
      <c r="J3593">
        <v>4.4000000000000004</v>
      </c>
      <c r="K3593" t="b">
        <v>1</v>
      </c>
    </row>
    <row r="3594" spans="1:11" ht="16" x14ac:dyDescent="0.2">
      <c r="A3594" s="16">
        <v>45884</v>
      </c>
      <c r="B3594" t="s">
        <v>18</v>
      </c>
      <c r="C3594" t="s">
        <v>34</v>
      </c>
      <c r="D3594" t="s">
        <v>20</v>
      </c>
      <c r="E3594" t="str">
        <f>E3593</f>
        <v>Hạ Long</v>
      </c>
      <c r="F3594">
        <v>1</v>
      </c>
      <c r="G3594" s="15">
        <v>2710000</v>
      </c>
      <c r="H3594" s="14">
        <v>0.13075929750140999</v>
      </c>
      <c r="I3594" s="27">
        <f t="shared" si="56"/>
        <v>2355642.3037711792</v>
      </c>
      <c r="J3594">
        <v>3.3</v>
      </c>
      <c r="K3594" t="b">
        <v>1</v>
      </c>
    </row>
    <row r="3595" spans="1:11" ht="16" x14ac:dyDescent="0.2">
      <c r="A3595" s="16">
        <v>45884</v>
      </c>
      <c r="B3595" t="s">
        <v>33</v>
      </c>
      <c r="C3595" t="s">
        <v>34</v>
      </c>
      <c r="D3595" t="s">
        <v>50</v>
      </c>
      <c r="E3595" t="s">
        <v>57</v>
      </c>
      <c r="F3595">
        <v>2</v>
      </c>
      <c r="G3595" s="15">
        <v>2710000</v>
      </c>
      <c r="H3595" s="14">
        <v>0.13075929750140999</v>
      </c>
      <c r="I3595" s="27">
        <f t="shared" si="56"/>
        <v>2355642.3037711792</v>
      </c>
      <c r="J3595">
        <v>5</v>
      </c>
      <c r="K3595" t="b">
        <v>1</v>
      </c>
    </row>
    <row r="3596" spans="1:11" ht="16" x14ac:dyDescent="0.2">
      <c r="A3596" s="16">
        <v>45884</v>
      </c>
      <c r="B3596" t="s">
        <v>18</v>
      </c>
      <c r="C3596" t="s">
        <v>19</v>
      </c>
      <c r="D3596" t="s">
        <v>50</v>
      </c>
      <c r="E3596" t="s">
        <v>99</v>
      </c>
      <c r="F3596">
        <v>2</v>
      </c>
      <c r="G3596" s="15">
        <v>2710000</v>
      </c>
      <c r="H3596" s="14">
        <v>0.13075929750140999</v>
      </c>
      <c r="I3596" s="27">
        <f t="shared" si="56"/>
        <v>2355642.3037711792</v>
      </c>
      <c r="J3596">
        <v>3.3</v>
      </c>
      <c r="K3596" t="b">
        <v>1</v>
      </c>
    </row>
    <row r="3597" spans="1:11" ht="16" x14ac:dyDescent="0.2">
      <c r="A3597" s="16">
        <v>45884</v>
      </c>
      <c r="B3597" t="s">
        <v>45</v>
      </c>
      <c r="C3597" t="s">
        <v>19</v>
      </c>
      <c r="D3597" t="s">
        <v>35</v>
      </c>
      <c r="E3597" t="s">
        <v>7644</v>
      </c>
      <c r="F3597">
        <v>1</v>
      </c>
      <c r="G3597" s="15">
        <v>2710000</v>
      </c>
      <c r="H3597" s="14">
        <v>0.13075929750140999</v>
      </c>
      <c r="I3597" s="27">
        <f t="shared" si="56"/>
        <v>2355642.3037711792</v>
      </c>
      <c r="J3597">
        <v>4.2</v>
      </c>
      <c r="K3597" t="b">
        <v>1</v>
      </c>
    </row>
    <row r="3598" spans="1:11" ht="16" x14ac:dyDescent="0.2">
      <c r="A3598" s="16">
        <v>45884</v>
      </c>
      <c r="B3598" t="s">
        <v>33</v>
      </c>
      <c r="C3598" t="s">
        <v>34</v>
      </c>
      <c r="D3598" t="s">
        <v>50</v>
      </c>
      <c r="E3598" t="s">
        <v>7641</v>
      </c>
      <c r="F3598">
        <v>2</v>
      </c>
      <c r="G3598" s="15">
        <v>2710000</v>
      </c>
      <c r="H3598" s="14">
        <v>0.13075929750140999</v>
      </c>
      <c r="I3598" s="27">
        <f t="shared" si="56"/>
        <v>2355642.3037711792</v>
      </c>
      <c r="J3598">
        <v>3.9</v>
      </c>
      <c r="K3598" t="b">
        <v>0</v>
      </c>
    </row>
    <row r="3599" spans="1:11" ht="16" x14ac:dyDescent="0.2">
      <c r="A3599" s="16">
        <v>45885</v>
      </c>
      <c r="B3599" t="s">
        <v>33</v>
      </c>
      <c r="C3599" t="s">
        <v>19</v>
      </c>
      <c r="D3599" t="s">
        <v>50</v>
      </c>
      <c r="E3599" t="s">
        <v>7642</v>
      </c>
      <c r="F3599">
        <v>1</v>
      </c>
      <c r="G3599" s="15">
        <v>2710000</v>
      </c>
      <c r="H3599" s="14">
        <v>0.13075929750140999</v>
      </c>
      <c r="I3599" s="27">
        <f t="shared" si="56"/>
        <v>2355642.3037711792</v>
      </c>
      <c r="J3599">
        <v>3.8</v>
      </c>
      <c r="K3599" t="b">
        <v>1</v>
      </c>
    </row>
    <row r="3600" spans="1:11" ht="16" x14ac:dyDescent="0.2">
      <c r="A3600" s="16">
        <v>45885</v>
      </c>
      <c r="B3600" t="s">
        <v>45</v>
      </c>
      <c r="C3600" t="s">
        <v>45</v>
      </c>
      <c r="D3600" t="s">
        <v>20</v>
      </c>
      <c r="E3600" t="s">
        <v>7644</v>
      </c>
      <c r="F3600">
        <v>3</v>
      </c>
      <c r="G3600" s="15">
        <v>2710000</v>
      </c>
      <c r="H3600" s="14">
        <v>0.13075929750140999</v>
      </c>
      <c r="I3600" s="27">
        <f t="shared" si="56"/>
        <v>2355642.3037711792</v>
      </c>
      <c r="J3600">
        <v>4</v>
      </c>
      <c r="K3600" t="b">
        <v>1</v>
      </c>
    </row>
    <row r="3601" spans="1:11" ht="16" x14ac:dyDescent="0.2">
      <c r="A3601" s="16">
        <v>45885</v>
      </c>
      <c r="B3601" t="s">
        <v>33</v>
      </c>
      <c r="C3601" t="s">
        <v>25</v>
      </c>
      <c r="D3601" t="s">
        <v>35</v>
      </c>
      <c r="E3601" t="s">
        <v>7638</v>
      </c>
      <c r="F3601">
        <v>3</v>
      </c>
      <c r="G3601" s="15">
        <v>2710000</v>
      </c>
      <c r="H3601" s="14">
        <v>0.13075929750140999</v>
      </c>
      <c r="I3601" s="27">
        <f t="shared" si="56"/>
        <v>2355642.3037711792</v>
      </c>
      <c r="J3601">
        <v>4.7</v>
      </c>
      <c r="K3601" t="b">
        <v>1</v>
      </c>
    </row>
    <row r="3602" spans="1:11" ht="16" x14ac:dyDescent="0.2">
      <c r="A3602" s="16">
        <v>45885</v>
      </c>
      <c r="B3602" t="s">
        <v>18</v>
      </c>
      <c r="C3602" t="s">
        <v>19</v>
      </c>
      <c r="D3602" t="s">
        <v>20</v>
      </c>
      <c r="E3602" t="s">
        <v>7641</v>
      </c>
      <c r="F3602">
        <v>1</v>
      </c>
      <c r="G3602" s="15">
        <v>2710000</v>
      </c>
      <c r="H3602" s="14">
        <v>0.13075929750140999</v>
      </c>
      <c r="I3602" s="27">
        <f t="shared" si="56"/>
        <v>2355642.3037711792</v>
      </c>
      <c r="J3602">
        <v>4</v>
      </c>
      <c r="K3602" t="b">
        <v>1</v>
      </c>
    </row>
    <row r="3603" spans="1:11" ht="16" x14ac:dyDescent="0.2">
      <c r="A3603" s="16">
        <v>45886</v>
      </c>
      <c r="B3603" t="s">
        <v>33</v>
      </c>
      <c r="C3603" t="s">
        <v>25</v>
      </c>
      <c r="D3603" t="s">
        <v>50</v>
      </c>
      <c r="E3603" t="s">
        <v>7637</v>
      </c>
      <c r="F3603">
        <v>3</v>
      </c>
      <c r="G3603" s="15">
        <v>2710000</v>
      </c>
      <c r="H3603" s="14">
        <v>0.13075929750140999</v>
      </c>
      <c r="I3603" s="27">
        <f t="shared" si="56"/>
        <v>2355642.3037711792</v>
      </c>
      <c r="J3603">
        <v>3.9</v>
      </c>
      <c r="K3603" t="b">
        <v>0</v>
      </c>
    </row>
    <row r="3604" spans="1:11" ht="16" x14ac:dyDescent="0.2">
      <c r="A3604" s="16">
        <v>45886</v>
      </c>
      <c r="B3604" t="s">
        <v>45</v>
      </c>
      <c r="C3604" t="s">
        <v>39</v>
      </c>
      <c r="D3604" t="s">
        <v>20</v>
      </c>
      <c r="E3604" t="s">
        <v>57</v>
      </c>
      <c r="F3604">
        <v>2</v>
      </c>
      <c r="G3604" s="15">
        <v>2710000</v>
      </c>
      <c r="H3604" s="14">
        <v>0.13075929750140999</v>
      </c>
      <c r="I3604" s="27">
        <f t="shared" si="56"/>
        <v>2355642.3037711792</v>
      </c>
      <c r="J3604">
        <v>4.3</v>
      </c>
      <c r="K3604" t="b">
        <v>1</v>
      </c>
    </row>
    <row r="3605" spans="1:11" ht="16" x14ac:dyDescent="0.2">
      <c r="A3605" s="16">
        <v>45886</v>
      </c>
      <c r="B3605" t="s">
        <v>29</v>
      </c>
      <c r="C3605" t="s">
        <v>39</v>
      </c>
      <c r="D3605" t="s">
        <v>35</v>
      </c>
      <c r="E3605" t="s">
        <v>7641</v>
      </c>
      <c r="F3605">
        <v>1</v>
      </c>
      <c r="G3605" s="15">
        <v>2710000</v>
      </c>
      <c r="H3605" s="14">
        <v>0.13075929750140999</v>
      </c>
      <c r="I3605" s="27">
        <f t="shared" si="56"/>
        <v>2355642.3037711792</v>
      </c>
      <c r="J3605">
        <v>4.5</v>
      </c>
      <c r="K3605" t="b">
        <v>1</v>
      </c>
    </row>
    <row r="3606" spans="1:11" ht="16" x14ac:dyDescent="0.2">
      <c r="A3606" s="16">
        <v>45886</v>
      </c>
      <c r="B3606" t="s">
        <v>45</v>
      </c>
      <c r="C3606" t="s">
        <v>39</v>
      </c>
      <c r="D3606" t="s">
        <v>20</v>
      </c>
      <c r="E3606" t="s">
        <v>99</v>
      </c>
      <c r="F3606">
        <v>1</v>
      </c>
      <c r="G3606" s="15">
        <v>2710000</v>
      </c>
      <c r="H3606" s="14">
        <v>0.13075929750140999</v>
      </c>
      <c r="I3606" s="27">
        <f t="shared" si="56"/>
        <v>2355642.3037711792</v>
      </c>
      <c r="J3606">
        <v>4.0999999999999996</v>
      </c>
      <c r="K3606" t="b">
        <v>1</v>
      </c>
    </row>
    <row r="3607" spans="1:11" ht="16" x14ac:dyDescent="0.2">
      <c r="A3607" s="16">
        <v>45887</v>
      </c>
      <c r="B3607" t="s">
        <v>29</v>
      </c>
      <c r="C3607" t="s">
        <v>45</v>
      </c>
      <c r="D3607" t="s">
        <v>20</v>
      </c>
      <c r="E3607" t="s">
        <v>7643</v>
      </c>
      <c r="F3607">
        <v>2</v>
      </c>
      <c r="G3607" s="15">
        <v>2710000</v>
      </c>
      <c r="H3607" s="14">
        <v>0.13075929750140999</v>
      </c>
      <c r="I3607" s="27">
        <f t="shared" si="56"/>
        <v>2355642.3037711792</v>
      </c>
      <c r="J3607">
        <v>4</v>
      </c>
      <c r="K3607" t="b">
        <v>1</v>
      </c>
    </row>
    <row r="3608" spans="1:11" ht="16" x14ac:dyDescent="0.2">
      <c r="A3608" s="16">
        <v>45887</v>
      </c>
      <c r="B3608" t="s">
        <v>45</v>
      </c>
      <c r="C3608" t="s">
        <v>39</v>
      </c>
      <c r="D3608" t="s">
        <v>20</v>
      </c>
      <c r="E3608" t="s">
        <v>7641</v>
      </c>
      <c r="F3608">
        <v>1</v>
      </c>
      <c r="G3608" s="15">
        <v>2710000</v>
      </c>
      <c r="H3608" s="14">
        <v>0.13075929750140999</v>
      </c>
      <c r="I3608" s="27">
        <f t="shared" si="56"/>
        <v>2355642.3037711792</v>
      </c>
      <c r="J3608">
        <v>3.6</v>
      </c>
      <c r="K3608" t="b">
        <v>1</v>
      </c>
    </row>
    <row r="3609" spans="1:11" ht="16" x14ac:dyDescent="0.2">
      <c r="A3609" s="16">
        <v>45887</v>
      </c>
      <c r="B3609" t="str">
        <f>B3608</f>
        <v>Family</v>
      </c>
      <c r="C3609" t="s">
        <v>25</v>
      </c>
      <c r="D3609" t="s">
        <v>50</v>
      </c>
      <c r="E3609" t="s">
        <v>7643</v>
      </c>
      <c r="F3609">
        <v>1</v>
      </c>
      <c r="G3609" s="15">
        <v>2710000</v>
      </c>
      <c r="H3609" s="14">
        <v>0.13075929750140999</v>
      </c>
      <c r="I3609" s="27">
        <f t="shared" si="56"/>
        <v>2355642.3037711792</v>
      </c>
      <c r="J3609">
        <v>3.8</v>
      </c>
      <c r="K3609" t="b">
        <v>1</v>
      </c>
    </row>
    <row r="3610" spans="1:11" ht="16" x14ac:dyDescent="0.2">
      <c r="A3610" s="16">
        <v>45887</v>
      </c>
      <c r="B3610" t="s">
        <v>18</v>
      </c>
      <c r="C3610" t="s">
        <v>34</v>
      </c>
      <c r="D3610" t="s">
        <v>20</v>
      </c>
      <c r="E3610" t="s">
        <v>57</v>
      </c>
      <c r="F3610">
        <v>5</v>
      </c>
      <c r="G3610" s="15">
        <v>2710000</v>
      </c>
      <c r="H3610" s="14">
        <v>0.13075929750140999</v>
      </c>
      <c r="I3610" s="27">
        <f t="shared" si="56"/>
        <v>2355642.3037711792</v>
      </c>
      <c r="J3610">
        <v>5</v>
      </c>
      <c r="K3610" t="b">
        <v>0</v>
      </c>
    </row>
    <row r="3611" spans="1:11" ht="16" x14ac:dyDescent="0.2">
      <c r="A3611" s="16">
        <v>45887</v>
      </c>
      <c r="B3611" t="s">
        <v>29</v>
      </c>
      <c r="C3611" t="s">
        <v>25</v>
      </c>
      <c r="D3611" t="s">
        <v>20</v>
      </c>
      <c r="E3611" t="s">
        <v>7641</v>
      </c>
      <c r="F3611">
        <v>4</v>
      </c>
      <c r="G3611" s="15">
        <v>2710000</v>
      </c>
      <c r="H3611" s="14">
        <v>0.13075929750140999</v>
      </c>
      <c r="I3611" s="27">
        <f t="shared" si="56"/>
        <v>2355642.3037711792</v>
      </c>
      <c r="J3611">
        <v>4.5999999999999996</v>
      </c>
      <c r="K3611" t="b">
        <v>0</v>
      </c>
    </row>
    <row r="3612" spans="1:11" ht="16" x14ac:dyDescent="0.2">
      <c r="A3612" s="16">
        <v>45887</v>
      </c>
      <c r="B3612" t="s">
        <v>45</v>
      </c>
      <c r="C3612" t="s">
        <v>19</v>
      </c>
      <c r="D3612" t="s">
        <v>35</v>
      </c>
      <c r="E3612" t="s">
        <v>7637</v>
      </c>
      <c r="F3612">
        <v>2</v>
      </c>
      <c r="G3612" s="15">
        <v>2710000</v>
      </c>
      <c r="H3612" s="14">
        <v>0.13075929750140999</v>
      </c>
      <c r="I3612" s="27">
        <f t="shared" si="56"/>
        <v>2355642.3037711792</v>
      </c>
      <c r="J3612">
        <v>3.7</v>
      </c>
      <c r="K3612" t="b">
        <v>1</v>
      </c>
    </row>
    <row r="3613" spans="1:11" ht="16" x14ac:dyDescent="0.2">
      <c r="A3613" s="16">
        <v>45887</v>
      </c>
      <c r="B3613" t="s">
        <v>29</v>
      </c>
      <c r="C3613" t="s">
        <v>19</v>
      </c>
      <c r="D3613" t="s">
        <v>20</v>
      </c>
      <c r="E3613" t="s">
        <v>7644</v>
      </c>
      <c r="F3613">
        <v>2</v>
      </c>
      <c r="G3613" s="15">
        <v>2710000</v>
      </c>
      <c r="H3613" s="14">
        <v>0.13075929750140999</v>
      </c>
      <c r="I3613" s="27">
        <f t="shared" si="56"/>
        <v>2355642.3037711792</v>
      </c>
      <c r="J3613">
        <v>3.7</v>
      </c>
      <c r="K3613" t="b">
        <v>1</v>
      </c>
    </row>
    <row r="3614" spans="1:11" ht="16" x14ac:dyDescent="0.2">
      <c r="A3614" s="16">
        <v>45887</v>
      </c>
      <c r="B3614" t="s">
        <v>45</v>
      </c>
      <c r="C3614" t="s">
        <v>19</v>
      </c>
      <c r="D3614" t="s">
        <v>35</v>
      </c>
      <c r="E3614" t="s">
        <v>7640</v>
      </c>
      <c r="F3614">
        <v>4</v>
      </c>
      <c r="G3614" s="15">
        <v>2710000</v>
      </c>
      <c r="H3614" s="14">
        <v>0.13075929750140999</v>
      </c>
      <c r="I3614" s="27">
        <f t="shared" si="56"/>
        <v>2355642.3037711792</v>
      </c>
      <c r="J3614">
        <v>4.5</v>
      </c>
      <c r="K3614" t="b">
        <v>1</v>
      </c>
    </row>
    <row r="3615" spans="1:11" ht="16" x14ac:dyDescent="0.2">
      <c r="A3615" s="16">
        <v>45888</v>
      </c>
      <c r="B3615" t="s">
        <v>45</v>
      </c>
      <c r="C3615" t="s">
        <v>39</v>
      </c>
      <c r="D3615" t="s">
        <v>20</v>
      </c>
      <c r="E3615" t="s">
        <v>7640</v>
      </c>
      <c r="F3615">
        <v>3</v>
      </c>
      <c r="G3615" s="15">
        <v>2710000</v>
      </c>
      <c r="H3615" s="14">
        <v>0.13075929750140999</v>
      </c>
      <c r="I3615" s="27">
        <f t="shared" si="56"/>
        <v>2355642.3037711792</v>
      </c>
      <c r="J3615">
        <v>5</v>
      </c>
      <c r="K3615" t="b">
        <v>0</v>
      </c>
    </row>
    <row r="3616" spans="1:11" ht="16" x14ac:dyDescent="0.2">
      <c r="A3616" s="16">
        <v>45888</v>
      </c>
      <c r="B3616" t="s">
        <v>45</v>
      </c>
      <c r="C3616" t="s">
        <v>68</v>
      </c>
      <c r="D3616" t="s">
        <v>20</v>
      </c>
      <c r="E3616" t="s">
        <v>57</v>
      </c>
      <c r="F3616">
        <v>3</v>
      </c>
      <c r="G3616" s="15">
        <v>2710000</v>
      </c>
      <c r="H3616" s="14">
        <v>0.13075929750140999</v>
      </c>
      <c r="I3616" s="27">
        <f t="shared" si="56"/>
        <v>2355642.3037711792</v>
      </c>
      <c r="J3616">
        <v>4.3</v>
      </c>
      <c r="K3616" t="b">
        <v>1</v>
      </c>
    </row>
    <row r="3617" spans="1:11" ht="16" x14ac:dyDescent="0.2">
      <c r="A3617" s="16">
        <v>45888</v>
      </c>
      <c r="B3617" t="s">
        <v>18</v>
      </c>
      <c r="C3617" t="s">
        <v>45</v>
      </c>
      <c r="D3617" t="s">
        <v>20</v>
      </c>
      <c r="E3617" t="s">
        <v>7639</v>
      </c>
      <c r="F3617">
        <v>1</v>
      </c>
      <c r="G3617" s="15">
        <v>2710000</v>
      </c>
      <c r="H3617" s="14">
        <v>0.13075929750140999</v>
      </c>
      <c r="I3617" s="27">
        <f t="shared" si="56"/>
        <v>2355642.3037711792</v>
      </c>
      <c r="J3617">
        <v>4.5</v>
      </c>
      <c r="K3617" t="b">
        <v>1</v>
      </c>
    </row>
    <row r="3618" spans="1:11" ht="16" x14ac:dyDescent="0.2">
      <c r="A3618" s="16">
        <v>45888</v>
      </c>
      <c r="B3618" t="s">
        <v>45</v>
      </c>
      <c r="C3618" t="s">
        <v>19</v>
      </c>
      <c r="D3618" t="s">
        <v>50</v>
      </c>
      <c r="E3618" t="s">
        <v>7637</v>
      </c>
      <c r="F3618">
        <v>2</v>
      </c>
      <c r="G3618" s="15">
        <v>2710000</v>
      </c>
      <c r="H3618" s="14">
        <v>0.13075929750140999</v>
      </c>
      <c r="I3618" s="27">
        <f t="shared" si="56"/>
        <v>2355642.3037711792</v>
      </c>
      <c r="J3618">
        <v>4.7</v>
      </c>
      <c r="K3618" t="b">
        <v>1</v>
      </c>
    </row>
    <row r="3619" spans="1:11" ht="16" x14ac:dyDescent="0.2">
      <c r="A3619" s="16">
        <v>45888</v>
      </c>
      <c r="B3619" t="s">
        <v>18</v>
      </c>
      <c r="C3619" t="s">
        <v>34</v>
      </c>
      <c r="D3619" t="s">
        <v>50</v>
      </c>
      <c r="E3619" t="s">
        <v>7640</v>
      </c>
      <c r="F3619">
        <v>2</v>
      </c>
      <c r="G3619" s="15">
        <v>2710000</v>
      </c>
      <c r="H3619" s="14">
        <v>0.13075929750140999</v>
      </c>
      <c r="I3619" s="27">
        <f t="shared" si="56"/>
        <v>2355642.3037711792</v>
      </c>
      <c r="J3619">
        <v>3.5</v>
      </c>
      <c r="K3619" t="b">
        <v>1</v>
      </c>
    </row>
    <row r="3620" spans="1:11" ht="16" x14ac:dyDescent="0.2">
      <c r="A3620" s="16">
        <v>45888</v>
      </c>
      <c r="B3620" t="s">
        <v>18</v>
      </c>
      <c r="C3620" t="s">
        <v>25</v>
      </c>
      <c r="D3620" t="s">
        <v>20</v>
      </c>
      <c r="E3620" t="s">
        <v>7641</v>
      </c>
      <c r="F3620">
        <v>3</v>
      </c>
      <c r="G3620" s="15">
        <v>2710000</v>
      </c>
      <c r="H3620" s="14">
        <v>0.13075929750140999</v>
      </c>
      <c r="I3620" s="27">
        <f t="shared" si="56"/>
        <v>2355642.3037711792</v>
      </c>
      <c r="J3620">
        <v>3.6</v>
      </c>
      <c r="K3620" t="b">
        <v>0</v>
      </c>
    </row>
    <row r="3621" spans="1:11" ht="16" x14ac:dyDescent="0.2">
      <c r="A3621" s="16">
        <v>45888</v>
      </c>
      <c r="B3621" t="s">
        <v>45</v>
      </c>
      <c r="C3621" t="s">
        <v>39</v>
      </c>
      <c r="D3621" t="s">
        <v>35</v>
      </c>
      <c r="E3621" t="s">
        <v>7643</v>
      </c>
      <c r="F3621">
        <v>1</v>
      </c>
      <c r="G3621" s="15">
        <v>2710000</v>
      </c>
      <c r="H3621" s="14">
        <v>0.13075929750140999</v>
      </c>
      <c r="I3621" s="27">
        <f t="shared" si="56"/>
        <v>2355642.3037711792</v>
      </c>
      <c r="J3621">
        <v>5</v>
      </c>
      <c r="K3621" t="b">
        <v>1</v>
      </c>
    </row>
    <row r="3622" spans="1:11" ht="16" x14ac:dyDescent="0.2">
      <c r="A3622" s="16">
        <v>45888</v>
      </c>
      <c r="B3622" t="s">
        <v>33</v>
      </c>
      <c r="C3622" t="s">
        <v>39</v>
      </c>
      <c r="D3622" t="s">
        <v>35</v>
      </c>
      <c r="E3622" t="s">
        <v>7643</v>
      </c>
      <c r="F3622">
        <v>3</v>
      </c>
      <c r="G3622" s="15">
        <v>2710000</v>
      </c>
      <c r="H3622" s="14">
        <v>0.13075929750140999</v>
      </c>
      <c r="I3622" s="27">
        <f t="shared" si="56"/>
        <v>2355642.3037711792</v>
      </c>
      <c r="J3622">
        <v>4.7</v>
      </c>
      <c r="K3622" t="b">
        <v>0</v>
      </c>
    </row>
    <row r="3623" spans="1:11" ht="16" x14ac:dyDescent="0.2">
      <c r="A3623" s="16">
        <v>45889</v>
      </c>
      <c r="B3623" t="s">
        <v>29</v>
      </c>
      <c r="C3623" t="s">
        <v>25</v>
      </c>
      <c r="D3623" t="str">
        <f>D3622</f>
        <v>Mobile App</v>
      </c>
      <c r="E3623" t="s">
        <v>7644</v>
      </c>
      <c r="F3623">
        <v>3</v>
      </c>
      <c r="G3623" s="15">
        <v>2710000</v>
      </c>
      <c r="H3623" s="14">
        <v>0.13075929750140999</v>
      </c>
      <c r="I3623" s="27">
        <f t="shared" si="56"/>
        <v>2355642.3037711792</v>
      </c>
      <c r="J3623">
        <v>4.3</v>
      </c>
      <c r="K3623" t="b">
        <v>1</v>
      </c>
    </row>
    <row r="3624" spans="1:11" ht="16" x14ac:dyDescent="0.2">
      <c r="A3624" s="16">
        <v>45890</v>
      </c>
      <c r="B3624" t="s">
        <v>29</v>
      </c>
      <c r="C3624" t="s">
        <v>45</v>
      </c>
      <c r="D3624" t="s">
        <v>35</v>
      </c>
      <c r="E3624" t="s">
        <v>7642</v>
      </c>
      <c r="F3624">
        <v>4</v>
      </c>
      <c r="G3624" s="15">
        <v>2710000</v>
      </c>
      <c r="H3624" s="14">
        <v>0.13075929750140999</v>
      </c>
      <c r="I3624" s="27">
        <f t="shared" si="56"/>
        <v>2355642.3037711792</v>
      </c>
      <c r="J3624">
        <v>5</v>
      </c>
      <c r="K3624" t="b">
        <v>1</v>
      </c>
    </row>
    <row r="3625" spans="1:11" ht="16" x14ac:dyDescent="0.2">
      <c r="A3625" s="16">
        <v>45890</v>
      </c>
      <c r="B3625" t="s">
        <v>33</v>
      </c>
      <c r="C3625" t="s">
        <v>19</v>
      </c>
      <c r="D3625" t="s">
        <v>20</v>
      </c>
      <c r="E3625" t="s">
        <v>57</v>
      </c>
      <c r="F3625">
        <v>2</v>
      </c>
      <c r="G3625" s="15">
        <v>2710000</v>
      </c>
      <c r="H3625" s="14">
        <v>0.13075929750140999</v>
      </c>
      <c r="I3625" s="27">
        <f t="shared" si="56"/>
        <v>2355642.3037711792</v>
      </c>
      <c r="J3625">
        <v>4.5</v>
      </c>
      <c r="K3625" t="b">
        <v>1</v>
      </c>
    </row>
    <row r="3626" spans="1:11" ht="16" x14ac:dyDescent="0.2">
      <c r="A3626" s="16">
        <v>45890</v>
      </c>
      <c r="B3626" t="s">
        <v>29</v>
      </c>
      <c r="C3626" t="s">
        <v>34</v>
      </c>
      <c r="D3626" t="s">
        <v>20</v>
      </c>
      <c r="E3626" t="s">
        <v>7639</v>
      </c>
      <c r="F3626">
        <v>2</v>
      </c>
      <c r="G3626" s="15">
        <v>2710000</v>
      </c>
      <c r="H3626" s="14">
        <v>0.13075929750140999</v>
      </c>
      <c r="I3626" s="27">
        <f t="shared" si="56"/>
        <v>2355642.3037711792</v>
      </c>
      <c r="J3626">
        <v>3.8</v>
      </c>
      <c r="K3626" t="b">
        <v>1</v>
      </c>
    </row>
    <row r="3627" spans="1:11" ht="16" x14ac:dyDescent="0.2">
      <c r="A3627" s="16">
        <v>45890</v>
      </c>
      <c r="B3627" t="s">
        <v>45</v>
      </c>
      <c r="C3627" t="s">
        <v>19</v>
      </c>
      <c r="D3627" t="s">
        <v>20</v>
      </c>
      <c r="E3627" t="s">
        <v>7640</v>
      </c>
      <c r="F3627">
        <v>2</v>
      </c>
      <c r="G3627" s="15">
        <v>2710000</v>
      </c>
      <c r="H3627" s="14">
        <v>0.13075929750140999</v>
      </c>
      <c r="I3627" s="27">
        <f t="shared" si="56"/>
        <v>2355642.3037711792</v>
      </c>
      <c r="J3627">
        <v>3.8</v>
      </c>
      <c r="K3627" t="b">
        <v>0</v>
      </c>
    </row>
    <row r="3628" spans="1:11" ht="16" x14ac:dyDescent="0.2">
      <c r="A3628" s="16">
        <v>45891</v>
      </c>
      <c r="B3628" t="s">
        <v>29</v>
      </c>
      <c r="C3628" t="s">
        <v>45</v>
      </c>
      <c r="D3628" t="s">
        <v>50</v>
      </c>
      <c r="E3628" t="s">
        <v>7642</v>
      </c>
      <c r="F3628">
        <v>4</v>
      </c>
      <c r="G3628" s="15">
        <v>2710000</v>
      </c>
      <c r="H3628" s="14">
        <v>0.13075929750140999</v>
      </c>
      <c r="I3628" s="27">
        <f t="shared" si="56"/>
        <v>2355642.3037711792</v>
      </c>
      <c r="J3628">
        <v>5</v>
      </c>
      <c r="K3628" t="b">
        <v>0</v>
      </c>
    </row>
    <row r="3629" spans="1:11" ht="16" x14ac:dyDescent="0.2">
      <c r="A3629" s="16">
        <v>45891</v>
      </c>
      <c r="B3629" t="s">
        <v>33</v>
      </c>
      <c r="C3629" t="s">
        <v>45</v>
      </c>
      <c r="D3629" t="s">
        <v>20</v>
      </c>
      <c r="E3629" t="s">
        <v>7641</v>
      </c>
      <c r="F3629">
        <v>4</v>
      </c>
      <c r="G3629" s="15">
        <v>2710000</v>
      </c>
      <c r="H3629" s="14">
        <v>0.13075929750140999</v>
      </c>
      <c r="I3629" s="27">
        <f t="shared" si="56"/>
        <v>2355642.3037711792</v>
      </c>
      <c r="J3629">
        <v>3.5</v>
      </c>
      <c r="K3629" t="b">
        <v>1</v>
      </c>
    </row>
    <row r="3630" spans="1:11" ht="16" x14ac:dyDescent="0.2">
      <c r="A3630" s="16">
        <v>45891</v>
      </c>
      <c r="B3630" t="s">
        <v>45</v>
      </c>
      <c r="C3630" t="s">
        <v>34</v>
      </c>
      <c r="D3630" t="s">
        <v>35</v>
      </c>
      <c r="E3630" t="s">
        <v>7640</v>
      </c>
      <c r="F3630">
        <v>1</v>
      </c>
      <c r="G3630" s="15">
        <v>2710000</v>
      </c>
      <c r="H3630" s="14">
        <v>0.13075929750140999</v>
      </c>
      <c r="I3630" s="27">
        <f t="shared" si="56"/>
        <v>2355642.3037711792</v>
      </c>
      <c r="J3630">
        <v>3.7</v>
      </c>
      <c r="K3630" t="b">
        <v>1</v>
      </c>
    </row>
    <row r="3631" spans="1:11" ht="16" x14ac:dyDescent="0.2">
      <c r="A3631" s="16">
        <v>45891</v>
      </c>
      <c r="B3631" t="s">
        <v>18</v>
      </c>
      <c r="C3631" t="s">
        <v>45</v>
      </c>
      <c r="D3631" t="s">
        <v>35</v>
      </c>
      <c r="E3631" t="s">
        <v>7638</v>
      </c>
      <c r="F3631">
        <v>2</v>
      </c>
      <c r="G3631" s="15">
        <v>2710000</v>
      </c>
      <c r="H3631" s="14">
        <v>0.13075929750140999</v>
      </c>
      <c r="I3631" s="27">
        <f t="shared" si="56"/>
        <v>2355642.3037711792</v>
      </c>
      <c r="J3631">
        <v>4.4000000000000004</v>
      </c>
      <c r="K3631" t="b">
        <v>1</v>
      </c>
    </row>
    <row r="3632" spans="1:11" ht="16" x14ac:dyDescent="0.2">
      <c r="A3632" s="16">
        <v>45892</v>
      </c>
      <c r="B3632" t="s">
        <v>29</v>
      </c>
      <c r="C3632" t="s">
        <v>45</v>
      </c>
      <c r="D3632" t="s">
        <v>35</v>
      </c>
      <c r="E3632" t="s">
        <v>7641</v>
      </c>
      <c r="F3632">
        <v>2</v>
      </c>
      <c r="G3632" s="15">
        <v>2710000</v>
      </c>
      <c r="H3632" s="14">
        <v>0.13075929750140999</v>
      </c>
      <c r="I3632" s="27">
        <f t="shared" si="56"/>
        <v>2355642.3037711792</v>
      </c>
      <c r="J3632">
        <v>4</v>
      </c>
      <c r="K3632" t="b">
        <v>0</v>
      </c>
    </row>
    <row r="3633" spans="1:11" ht="16" x14ac:dyDescent="0.2">
      <c r="A3633" s="16">
        <v>45892</v>
      </c>
      <c r="B3633" t="s">
        <v>45</v>
      </c>
      <c r="C3633" t="s">
        <v>19</v>
      </c>
      <c r="D3633" t="str">
        <f>D3632</f>
        <v>Mobile App</v>
      </c>
      <c r="E3633" t="s">
        <v>7640</v>
      </c>
      <c r="F3633">
        <v>2</v>
      </c>
      <c r="G3633" s="15">
        <v>2710000</v>
      </c>
      <c r="H3633" s="14">
        <v>0.13075929750140999</v>
      </c>
      <c r="I3633" s="27">
        <f t="shared" si="56"/>
        <v>2355642.3037711792</v>
      </c>
      <c r="J3633">
        <v>4.4000000000000004</v>
      </c>
      <c r="K3633" t="b">
        <v>0</v>
      </c>
    </row>
    <row r="3634" spans="1:11" ht="16" x14ac:dyDescent="0.2">
      <c r="A3634" s="16">
        <v>45892</v>
      </c>
      <c r="B3634" t="s">
        <v>33</v>
      </c>
      <c r="C3634" t="s">
        <v>25</v>
      </c>
      <c r="D3634" t="s">
        <v>50</v>
      </c>
      <c r="E3634" t="s">
        <v>57</v>
      </c>
      <c r="F3634">
        <v>1</v>
      </c>
      <c r="G3634" s="15">
        <v>2710000</v>
      </c>
      <c r="H3634" s="14">
        <v>0.13075929750140999</v>
      </c>
      <c r="I3634" s="27">
        <f t="shared" si="56"/>
        <v>2355642.3037711792</v>
      </c>
      <c r="J3634">
        <v>3.3</v>
      </c>
      <c r="K3634" t="b">
        <v>1</v>
      </c>
    </row>
    <row r="3635" spans="1:11" ht="16" x14ac:dyDescent="0.2">
      <c r="A3635" s="16">
        <v>45892</v>
      </c>
      <c r="B3635" t="s">
        <v>45</v>
      </c>
      <c r="C3635" t="s">
        <v>25</v>
      </c>
      <c r="D3635" t="s">
        <v>20</v>
      </c>
      <c r="E3635" t="s">
        <v>7639</v>
      </c>
      <c r="F3635">
        <v>1</v>
      </c>
      <c r="G3635" s="15">
        <v>2710000</v>
      </c>
      <c r="H3635" s="14">
        <v>0.13075929750140999</v>
      </c>
      <c r="I3635" s="27">
        <f t="shared" si="56"/>
        <v>2355642.3037711792</v>
      </c>
      <c r="J3635">
        <v>3.8</v>
      </c>
      <c r="K3635" t="b">
        <v>0</v>
      </c>
    </row>
    <row r="3636" spans="1:11" ht="16" x14ac:dyDescent="0.2">
      <c r="A3636" s="16">
        <v>45892</v>
      </c>
      <c r="B3636" t="s">
        <v>45</v>
      </c>
      <c r="C3636" t="s">
        <v>25</v>
      </c>
      <c r="D3636" t="s">
        <v>46</v>
      </c>
      <c r="E3636" t="s">
        <v>7642</v>
      </c>
      <c r="F3636">
        <v>1</v>
      </c>
      <c r="G3636" s="15">
        <v>2710000</v>
      </c>
      <c r="H3636" s="14">
        <v>0.13075929750140999</v>
      </c>
      <c r="I3636" s="27">
        <f t="shared" si="56"/>
        <v>2355642.3037711792</v>
      </c>
      <c r="J3636">
        <v>4.9000000000000004</v>
      </c>
      <c r="K3636" t="b">
        <v>1</v>
      </c>
    </row>
    <row r="3637" spans="1:11" ht="16" x14ac:dyDescent="0.2">
      <c r="A3637" s="16">
        <v>45893</v>
      </c>
      <c r="B3637" t="str">
        <f>B3636</f>
        <v>Family</v>
      </c>
      <c r="C3637" t="s">
        <v>45</v>
      </c>
      <c r="D3637" t="s">
        <v>20</v>
      </c>
      <c r="E3637" t="s">
        <v>7642</v>
      </c>
      <c r="F3637">
        <v>3</v>
      </c>
      <c r="G3637" s="15">
        <v>2710000</v>
      </c>
      <c r="H3637" s="14">
        <v>0.13075929750140999</v>
      </c>
      <c r="I3637" s="27">
        <f t="shared" si="56"/>
        <v>2355642.3037711792</v>
      </c>
      <c r="J3637">
        <v>4.8</v>
      </c>
      <c r="K3637" t="b">
        <v>1</v>
      </c>
    </row>
    <row r="3638" spans="1:11" ht="16" x14ac:dyDescent="0.2">
      <c r="A3638" s="16">
        <v>45893</v>
      </c>
      <c r="B3638" t="s">
        <v>33</v>
      </c>
      <c r="C3638" t="s">
        <v>45</v>
      </c>
      <c r="D3638" t="s">
        <v>20</v>
      </c>
      <c r="E3638" t="s">
        <v>7637</v>
      </c>
      <c r="F3638">
        <v>3</v>
      </c>
      <c r="G3638" s="15">
        <v>2710000</v>
      </c>
      <c r="H3638" s="14">
        <v>0.13075929750140999</v>
      </c>
      <c r="I3638" s="27">
        <f t="shared" si="56"/>
        <v>2355642.3037711792</v>
      </c>
      <c r="J3638">
        <v>4.2</v>
      </c>
      <c r="K3638" t="b">
        <v>1</v>
      </c>
    </row>
    <row r="3639" spans="1:11" ht="16" x14ac:dyDescent="0.2">
      <c r="A3639" s="16">
        <v>45893</v>
      </c>
      <c r="B3639" t="s">
        <v>29</v>
      </c>
      <c r="C3639" t="s">
        <v>45</v>
      </c>
      <c r="D3639" t="s">
        <v>50</v>
      </c>
      <c r="E3639" t="s">
        <v>7637</v>
      </c>
      <c r="F3639">
        <v>5</v>
      </c>
      <c r="G3639" s="15">
        <v>2710000</v>
      </c>
      <c r="H3639" s="14">
        <v>0.13075929750140999</v>
      </c>
      <c r="I3639" s="27">
        <f t="shared" si="56"/>
        <v>2355642.3037711792</v>
      </c>
      <c r="J3639">
        <v>3.9</v>
      </c>
      <c r="K3639" t="b">
        <v>1</v>
      </c>
    </row>
    <row r="3640" spans="1:11" ht="16" x14ac:dyDescent="0.2">
      <c r="A3640" s="16">
        <v>45894</v>
      </c>
      <c r="B3640" t="s">
        <v>18</v>
      </c>
      <c r="C3640" t="s">
        <v>68</v>
      </c>
      <c r="D3640" t="s">
        <v>50</v>
      </c>
      <c r="E3640" t="s">
        <v>7639</v>
      </c>
      <c r="F3640">
        <v>2</v>
      </c>
      <c r="G3640" s="15">
        <v>2710000</v>
      </c>
      <c r="H3640" s="14">
        <v>0.13075929750140999</v>
      </c>
      <c r="I3640" s="27">
        <f t="shared" si="56"/>
        <v>2355642.3037711792</v>
      </c>
      <c r="J3640">
        <v>4.4000000000000004</v>
      </c>
      <c r="K3640" t="b">
        <v>1</v>
      </c>
    </row>
    <row r="3641" spans="1:11" ht="16" x14ac:dyDescent="0.2">
      <c r="A3641" s="16">
        <v>45894</v>
      </c>
      <c r="B3641" t="s">
        <v>45</v>
      </c>
      <c r="C3641" t="s">
        <v>45</v>
      </c>
      <c r="D3641" t="s">
        <v>35</v>
      </c>
      <c r="E3641" t="s">
        <v>7639</v>
      </c>
      <c r="F3641">
        <v>3</v>
      </c>
      <c r="G3641" s="15">
        <v>2710000</v>
      </c>
      <c r="H3641" s="14">
        <v>0.13075929750140999</v>
      </c>
      <c r="I3641" s="27">
        <f t="shared" si="56"/>
        <v>2355642.3037711792</v>
      </c>
      <c r="J3641">
        <v>4.4000000000000004</v>
      </c>
      <c r="K3641" t="b">
        <v>1</v>
      </c>
    </row>
    <row r="3642" spans="1:11" ht="16" x14ac:dyDescent="0.2">
      <c r="A3642" s="16">
        <v>45895</v>
      </c>
      <c r="B3642" t="s">
        <v>45</v>
      </c>
      <c r="C3642" t="s">
        <v>25</v>
      </c>
      <c r="D3642" t="s">
        <v>20</v>
      </c>
      <c r="E3642" t="s">
        <v>7643</v>
      </c>
      <c r="F3642">
        <v>1</v>
      </c>
      <c r="G3642" s="15">
        <v>2710000</v>
      </c>
      <c r="H3642" s="14">
        <v>0.13075929750140999</v>
      </c>
      <c r="I3642" s="27">
        <f t="shared" si="56"/>
        <v>2355642.3037711792</v>
      </c>
      <c r="J3642">
        <v>3.4</v>
      </c>
      <c r="K3642" t="b">
        <v>0</v>
      </c>
    </row>
    <row r="3643" spans="1:11" ht="16" x14ac:dyDescent="0.2">
      <c r="A3643" s="16">
        <v>45895</v>
      </c>
      <c r="B3643" t="s">
        <v>45</v>
      </c>
      <c r="C3643" t="s">
        <v>68</v>
      </c>
      <c r="D3643" t="s">
        <v>20</v>
      </c>
      <c r="E3643" t="s">
        <v>7641</v>
      </c>
      <c r="F3643">
        <v>1</v>
      </c>
      <c r="G3643" s="15">
        <v>2710000</v>
      </c>
      <c r="H3643" s="14">
        <v>0.13075929750140999</v>
      </c>
      <c r="I3643" s="27">
        <f t="shared" si="56"/>
        <v>2355642.3037711792</v>
      </c>
      <c r="J3643">
        <v>5</v>
      </c>
      <c r="K3643" t="b">
        <v>1</v>
      </c>
    </row>
    <row r="3644" spans="1:11" ht="16" x14ac:dyDescent="0.2">
      <c r="A3644" s="16">
        <v>45895</v>
      </c>
      <c r="B3644" t="s">
        <v>45</v>
      </c>
      <c r="C3644" t="s">
        <v>45</v>
      </c>
      <c r="D3644" t="s">
        <v>20</v>
      </c>
      <c r="E3644" t="s">
        <v>57</v>
      </c>
      <c r="F3644">
        <v>3</v>
      </c>
      <c r="G3644" s="15">
        <v>2710000</v>
      </c>
      <c r="H3644" s="14">
        <v>0.13075929750140999</v>
      </c>
      <c r="I3644" s="27">
        <f t="shared" si="56"/>
        <v>2355642.3037711792</v>
      </c>
      <c r="J3644">
        <v>3.8</v>
      </c>
      <c r="K3644" t="b">
        <v>1</v>
      </c>
    </row>
    <row r="3645" spans="1:11" ht="16" x14ac:dyDescent="0.2">
      <c r="A3645" s="16">
        <v>45896</v>
      </c>
      <c r="B3645" t="s">
        <v>18</v>
      </c>
      <c r="C3645" t="s">
        <v>34</v>
      </c>
      <c r="D3645" t="s">
        <v>20</v>
      </c>
      <c r="E3645" t="s">
        <v>99</v>
      </c>
      <c r="F3645">
        <v>1</v>
      </c>
      <c r="G3645" s="15">
        <v>2710000</v>
      </c>
      <c r="H3645" s="14">
        <v>0.13075929750140999</v>
      </c>
      <c r="I3645" s="27">
        <f t="shared" si="56"/>
        <v>2355642.3037711792</v>
      </c>
      <c r="J3645">
        <v>4.8</v>
      </c>
      <c r="K3645" t="b">
        <v>1</v>
      </c>
    </row>
    <row r="3646" spans="1:11" ht="16" x14ac:dyDescent="0.2">
      <c r="A3646" s="16">
        <v>45896</v>
      </c>
      <c r="B3646" t="s">
        <v>33</v>
      </c>
      <c r="C3646" t="s">
        <v>25</v>
      </c>
      <c r="D3646" t="s">
        <v>50</v>
      </c>
      <c r="E3646" t="s">
        <v>7640</v>
      </c>
      <c r="F3646">
        <v>1</v>
      </c>
      <c r="G3646" s="15">
        <v>2710000</v>
      </c>
      <c r="H3646" s="14">
        <v>0.13075929750140999</v>
      </c>
      <c r="I3646" s="27">
        <f t="shared" si="56"/>
        <v>2355642.3037711792</v>
      </c>
      <c r="J3646">
        <v>4.4000000000000004</v>
      </c>
      <c r="K3646" t="b">
        <v>0</v>
      </c>
    </row>
    <row r="3647" spans="1:11" ht="16" x14ac:dyDescent="0.2">
      <c r="A3647" s="16">
        <v>45896</v>
      </c>
      <c r="B3647" t="s">
        <v>18</v>
      </c>
      <c r="C3647" t="s">
        <v>25</v>
      </c>
      <c r="D3647" t="s">
        <v>20</v>
      </c>
      <c r="E3647" t="s">
        <v>7643</v>
      </c>
      <c r="F3647">
        <v>4</v>
      </c>
      <c r="G3647" s="15">
        <v>2710000</v>
      </c>
      <c r="H3647" s="14">
        <v>0.13075929750140999</v>
      </c>
      <c r="I3647" s="27">
        <f t="shared" si="56"/>
        <v>2355642.3037711792</v>
      </c>
      <c r="J3647">
        <v>5</v>
      </c>
      <c r="K3647" t="b">
        <v>0</v>
      </c>
    </row>
    <row r="3648" spans="1:11" ht="16" x14ac:dyDescent="0.2">
      <c r="A3648" s="16">
        <v>45896</v>
      </c>
      <c r="B3648" t="s">
        <v>45</v>
      </c>
      <c r="C3648" t="s">
        <v>68</v>
      </c>
      <c r="D3648" t="s">
        <v>50</v>
      </c>
      <c r="E3648" t="s">
        <v>7641</v>
      </c>
      <c r="F3648">
        <v>1</v>
      </c>
      <c r="G3648" s="15">
        <v>2710000</v>
      </c>
      <c r="H3648" s="14">
        <v>0.13075929750140999</v>
      </c>
      <c r="I3648" s="27">
        <f t="shared" si="56"/>
        <v>2355642.3037711792</v>
      </c>
      <c r="J3648">
        <v>3.2</v>
      </c>
      <c r="K3648" t="b">
        <v>1</v>
      </c>
    </row>
    <row r="3649" spans="1:11" ht="16" x14ac:dyDescent="0.2">
      <c r="A3649" s="16">
        <v>45897</v>
      </c>
      <c r="B3649" t="s">
        <v>33</v>
      </c>
      <c r="C3649" t="s">
        <v>45</v>
      </c>
      <c r="D3649" t="s">
        <v>50</v>
      </c>
      <c r="E3649" t="s">
        <v>7641</v>
      </c>
      <c r="F3649">
        <v>5</v>
      </c>
      <c r="G3649" s="15">
        <v>2710000</v>
      </c>
      <c r="H3649" s="14">
        <v>0.13075929750140999</v>
      </c>
      <c r="I3649" s="27">
        <f t="shared" si="56"/>
        <v>2355642.3037711792</v>
      </c>
      <c r="J3649">
        <v>4.2</v>
      </c>
      <c r="K3649" t="b">
        <v>1</v>
      </c>
    </row>
    <row r="3650" spans="1:11" ht="16" x14ac:dyDescent="0.2">
      <c r="A3650" s="16">
        <v>45897</v>
      </c>
      <c r="B3650" t="s">
        <v>45</v>
      </c>
      <c r="C3650" t="s">
        <v>19</v>
      </c>
      <c r="D3650" t="s">
        <v>20</v>
      </c>
      <c r="E3650" t="s">
        <v>7642</v>
      </c>
      <c r="F3650">
        <v>2</v>
      </c>
      <c r="G3650" s="15">
        <v>2710000</v>
      </c>
      <c r="H3650" s="14">
        <v>0.13075929750140999</v>
      </c>
      <c r="I3650" s="27">
        <f t="shared" si="56"/>
        <v>2355642.3037711792</v>
      </c>
      <c r="J3650">
        <v>3.8</v>
      </c>
      <c r="K3650" t="b">
        <v>1</v>
      </c>
    </row>
    <row r="3651" spans="1:11" ht="16" x14ac:dyDescent="0.2">
      <c r="A3651" s="16">
        <v>45897</v>
      </c>
      <c r="B3651" t="s">
        <v>33</v>
      </c>
      <c r="C3651" t="s">
        <v>19</v>
      </c>
      <c r="D3651" t="s">
        <v>50</v>
      </c>
      <c r="E3651" t="s">
        <v>57</v>
      </c>
      <c r="F3651">
        <v>4</v>
      </c>
      <c r="G3651" s="15">
        <v>2710000</v>
      </c>
      <c r="H3651" s="14">
        <v>0.13075929750140999</v>
      </c>
      <c r="I3651" s="27">
        <f t="shared" ref="I3651:I3714" si="57">G3651-G3651*H3651</f>
        <v>2355642.3037711792</v>
      </c>
      <c r="J3651">
        <v>3.7</v>
      </c>
      <c r="K3651" t="b">
        <v>1</v>
      </c>
    </row>
    <row r="3652" spans="1:11" ht="16" x14ac:dyDescent="0.2">
      <c r="A3652" s="16">
        <v>45897</v>
      </c>
      <c r="B3652" t="s">
        <v>18</v>
      </c>
      <c r="C3652" t="s">
        <v>68</v>
      </c>
      <c r="D3652" t="s">
        <v>50</v>
      </c>
      <c r="E3652" t="s">
        <v>7641</v>
      </c>
      <c r="F3652">
        <v>2</v>
      </c>
      <c r="G3652" s="15">
        <v>2710000</v>
      </c>
      <c r="H3652" s="14">
        <v>0.13075929750140999</v>
      </c>
      <c r="I3652" s="27">
        <f t="shared" si="57"/>
        <v>2355642.3037711792</v>
      </c>
      <c r="J3652">
        <v>4.2</v>
      </c>
      <c r="K3652" t="b">
        <v>0</v>
      </c>
    </row>
    <row r="3653" spans="1:11" ht="16" x14ac:dyDescent="0.2">
      <c r="A3653" s="16">
        <v>45897</v>
      </c>
      <c r="B3653" t="s">
        <v>18</v>
      </c>
      <c r="C3653" t="s">
        <v>25</v>
      </c>
      <c r="D3653" t="s">
        <v>35</v>
      </c>
      <c r="E3653" t="s">
        <v>7637</v>
      </c>
      <c r="F3653">
        <v>4</v>
      </c>
      <c r="G3653" s="15">
        <v>2710000</v>
      </c>
      <c r="H3653" s="14">
        <v>0.13075929750140999</v>
      </c>
      <c r="I3653" s="27">
        <f t="shared" si="57"/>
        <v>2355642.3037711792</v>
      </c>
      <c r="J3653">
        <v>4.8</v>
      </c>
      <c r="K3653" t="b">
        <v>1</v>
      </c>
    </row>
    <row r="3654" spans="1:11" ht="16" x14ac:dyDescent="0.2">
      <c r="A3654" s="16">
        <v>45897</v>
      </c>
      <c r="B3654" t="s">
        <v>29</v>
      </c>
      <c r="C3654" t="s">
        <v>45</v>
      </c>
      <c r="D3654" t="s">
        <v>20</v>
      </c>
      <c r="E3654" t="s">
        <v>7643</v>
      </c>
      <c r="F3654">
        <v>4</v>
      </c>
      <c r="G3654" s="15">
        <v>2710000</v>
      </c>
      <c r="H3654" s="14">
        <v>0.13075929750140999</v>
      </c>
      <c r="I3654" s="27">
        <f t="shared" si="57"/>
        <v>2355642.3037711792</v>
      </c>
      <c r="J3654">
        <v>3.9</v>
      </c>
      <c r="K3654" t="b">
        <v>1</v>
      </c>
    </row>
    <row r="3655" spans="1:11" ht="16" x14ac:dyDescent="0.2">
      <c r="A3655" s="16">
        <v>45898</v>
      </c>
      <c r="B3655" t="s">
        <v>45</v>
      </c>
      <c r="C3655" t="s">
        <v>34</v>
      </c>
      <c r="D3655" t="s">
        <v>20</v>
      </c>
      <c r="E3655" t="s">
        <v>57</v>
      </c>
      <c r="F3655">
        <v>3</v>
      </c>
      <c r="G3655" s="15">
        <v>2710000</v>
      </c>
      <c r="H3655" s="14">
        <v>0.13075929750140999</v>
      </c>
      <c r="I3655" s="27">
        <f t="shared" si="57"/>
        <v>2355642.3037711792</v>
      </c>
      <c r="J3655">
        <v>4</v>
      </c>
      <c r="K3655" t="b">
        <v>1</v>
      </c>
    </row>
    <row r="3656" spans="1:11" ht="16" x14ac:dyDescent="0.2">
      <c r="A3656" s="16">
        <v>45898</v>
      </c>
      <c r="B3656" t="s">
        <v>18</v>
      </c>
      <c r="C3656" t="s">
        <v>19</v>
      </c>
      <c r="D3656" t="s">
        <v>50</v>
      </c>
      <c r="E3656" t="s">
        <v>7637</v>
      </c>
      <c r="F3656">
        <v>1</v>
      </c>
      <c r="G3656" s="15">
        <v>2710000</v>
      </c>
      <c r="H3656" s="14">
        <v>0.13075929750140999</v>
      </c>
      <c r="I3656" s="27">
        <f t="shared" si="57"/>
        <v>2355642.3037711792</v>
      </c>
      <c r="J3656">
        <v>4</v>
      </c>
      <c r="K3656" t="b">
        <v>1</v>
      </c>
    </row>
    <row r="3657" spans="1:11" ht="16" x14ac:dyDescent="0.2">
      <c r="A3657" s="16">
        <v>45898</v>
      </c>
      <c r="B3657" t="s">
        <v>18</v>
      </c>
      <c r="C3657" t="s">
        <v>25</v>
      </c>
      <c r="D3657" t="s">
        <v>35</v>
      </c>
      <c r="E3657" t="s">
        <v>7642</v>
      </c>
      <c r="F3657">
        <v>4</v>
      </c>
      <c r="G3657" s="15">
        <v>2710000</v>
      </c>
      <c r="H3657" s="14">
        <v>0.13075929750140999</v>
      </c>
      <c r="I3657" s="27">
        <f t="shared" si="57"/>
        <v>2355642.3037711792</v>
      </c>
      <c r="J3657">
        <v>4.5</v>
      </c>
      <c r="K3657" t="b">
        <v>1</v>
      </c>
    </row>
    <row r="3658" spans="1:11" ht="16" x14ac:dyDescent="0.2">
      <c r="A3658" s="16">
        <v>45898</v>
      </c>
      <c r="B3658" t="s">
        <v>33</v>
      </c>
      <c r="C3658" t="s">
        <v>19</v>
      </c>
      <c r="D3658" t="s">
        <v>50</v>
      </c>
      <c r="E3658" t="s">
        <v>99</v>
      </c>
      <c r="F3658">
        <v>1</v>
      </c>
      <c r="G3658" s="15">
        <v>2710000</v>
      </c>
      <c r="H3658" s="14">
        <v>0.13075929750140999</v>
      </c>
      <c r="I3658" s="27">
        <f t="shared" si="57"/>
        <v>2355642.3037711792</v>
      </c>
      <c r="J3658">
        <v>4.3</v>
      </c>
      <c r="K3658" t="b">
        <v>0</v>
      </c>
    </row>
    <row r="3659" spans="1:11" ht="16" x14ac:dyDescent="0.2">
      <c r="A3659" s="16">
        <v>45898</v>
      </c>
      <c r="B3659" t="s">
        <v>45</v>
      </c>
      <c r="C3659" t="s">
        <v>34</v>
      </c>
      <c r="D3659" t="s">
        <v>35</v>
      </c>
      <c r="E3659" t="s">
        <v>99</v>
      </c>
      <c r="F3659">
        <v>5</v>
      </c>
      <c r="G3659" s="15">
        <v>2710000</v>
      </c>
      <c r="H3659" s="14">
        <v>0.13075929750140999</v>
      </c>
      <c r="I3659" s="27">
        <f t="shared" si="57"/>
        <v>2355642.3037711792</v>
      </c>
      <c r="J3659">
        <v>3.4</v>
      </c>
      <c r="K3659" t="b">
        <v>1</v>
      </c>
    </row>
    <row r="3660" spans="1:11" ht="16" x14ac:dyDescent="0.2">
      <c r="A3660" s="16">
        <v>45899</v>
      </c>
      <c r="B3660" t="str">
        <f>B3659</f>
        <v>Family</v>
      </c>
      <c r="C3660" t="s">
        <v>34</v>
      </c>
      <c r="D3660" t="s">
        <v>20</v>
      </c>
      <c r="E3660" t="s">
        <v>7642</v>
      </c>
      <c r="F3660">
        <v>3</v>
      </c>
      <c r="G3660" s="15">
        <v>2710000</v>
      </c>
      <c r="H3660" s="14">
        <v>0.13075929750140999</v>
      </c>
      <c r="I3660" s="27">
        <f t="shared" si="57"/>
        <v>2355642.3037711792</v>
      </c>
      <c r="J3660">
        <v>3.8</v>
      </c>
      <c r="K3660" t="b">
        <v>1</v>
      </c>
    </row>
    <row r="3661" spans="1:11" ht="16" x14ac:dyDescent="0.2">
      <c r="A3661" s="16">
        <v>45899</v>
      </c>
      <c r="B3661" t="s">
        <v>45</v>
      </c>
      <c r="C3661" t="s">
        <v>39</v>
      </c>
      <c r="D3661" t="s">
        <v>50</v>
      </c>
      <c r="E3661" t="s">
        <v>7637</v>
      </c>
      <c r="F3661">
        <v>1</v>
      </c>
      <c r="G3661" s="15">
        <v>2710000</v>
      </c>
      <c r="H3661" s="14">
        <v>0.13075929750140999</v>
      </c>
      <c r="I3661" s="27">
        <f t="shared" si="57"/>
        <v>2355642.3037711792</v>
      </c>
      <c r="J3661">
        <v>4.3</v>
      </c>
      <c r="K3661" t="b">
        <v>1</v>
      </c>
    </row>
    <row r="3662" spans="1:11" ht="16" x14ac:dyDescent="0.2">
      <c r="A3662" s="16">
        <v>45899</v>
      </c>
      <c r="B3662" t="s">
        <v>29</v>
      </c>
      <c r="C3662" t="s">
        <v>68</v>
      </c>
      <c r="D3662" t="s">
        <v>35</v>
      </c>
      <c r="E3662" t="s">
        <v>7638</v>
      </c>
      <c r="F3662">
        <v>3</v>
      </c>
      <c r="G3662" s="15">
        <v>2710000</v>
      </c>
      <c r="H3662" s="14">
        <v>0.13075929750140999</v>
      </c>
      <c r="I3662" s="27">
        <f t="shared" si="57"/>
        <v>2355642.3037711792</v>
      </c>
      <c r="J3662">
        <v>4</v>
      </c>
      <c r="K3662" t="b">
        <v>0</v>
      </c>
    </row>
    <row r="3663" spans="1:11" ht="16" x14ac:dyDescent="0.2">
      <c r="A3663" s="16">
        <v>45900</v>
      </c>
      <c r="B3663" t="s">
        <v>45</v>
      </c>
      <c r="C3663" t="s">
        <v>34</v>
      </c>
      <c r="D3663" t="s">
        <v>20</v>
      </c>
      <c r="E3663" t="s">
        <v>7644</v>
      </c>
      <c r="F3663">
        <v>1</v>
      </c>
      <c r="G3663" s="15">
        <v>2710000</v>
      </c>
      <c r="H3663" s="14">
        <v>0.13075929750140999</v>
      </c>
      <c r="I3663" s="27">
        <f t="shared" si="57"/>
        <v>2355642.3037711792</v>
      </c>
      <c r="J3663">
        <v>4.4000000000000004</v>
      </c>
      <c r="K3663" t="b">
        <v>1</v>
      </c>
    </row>
    <row r="3664" spans="1:11" ht="16" x14ac:dyDescent="0.2">
      <c r="A3664" s="16">
        <v>45901</v>
      </c>
      <c r="B3664" t="s">
        <v>45</v>
      </c>
      <c r="C3664" t="s">
        <v>45</v>
      </c>
      <c r="D3664" t="s">
        <v>20</v>
      </c>
      <c r="E3664" t="s">
        <v>7640</v>
      </c>
      <c r="F3664">
        <v>3</v>
      </c>
      <c r="G3664" s="15">
        <v>2710000</v>
      </c>
      <c r="H3664" s="14">
        <v>0.13075929750140999</v>
      </c>
      <c r="I3664" s="27">
        <f t="shared" si="57"/>
        <v>2355642.3037711792</v>
      </c>
      <c r="J3664">
        <v>4.3</v>
      </c>
      <c r="K3664" t="b">
        <v>1</v>
      </c>
    </row>
    <row r="3665" spans="1:11" ht="16" x14ac:dyDescent="0.2">
      <c r="A3665" s="16">
        <v>45901</v>
      </c>
      <c r="B3665" t="s">
        <v>45</v>
      </c>
      <c r="C3665" t="s">
        <v>34</v>
      </c>
      <c r="D3665" t="s">
        <v>35</v>
      </c>
      <c r="E3665" t="s">
        <v>7639</v>
      </c>
      <c r="F3665">
        <v>1</v>
      </c>
      <c r="G3665" s="15">
        <v>2710000</v>
      </c>
      <c r="H3665" s="14">
        <v>0.13075929750140999</v>
      </c>
      <c r="I3665" s="27">
        <f t="shared" si="57"/>
        <v>2355642.3037711792</v>
      </c>
      <c r="J3665">
        <v>4.3</v>
      </c>
      <c r="K3665" t="b">
        <v>1</v>
      </c>
    </row>
    <row r="3666" spans="1:11" ht="16" x14ac:dyDescent="0.2">
      <c r="A3666" s="16">
        <v>45901</v>
      </c>
      <c r="B3666" t="s">
        <v>18</v>
      </c>
      <c r="C3666" t="s">
        <v>45</v>
      </c>
      <c r="D3666" t="s">
        <v>35</v>
      </c>
      <c r="E3666" t="s">
        <v>7638</v>
      </c>
      <c r="F3666">
        <v>3</v>
      </c>
      <c r="G3666" s="15">
        <v>2710000</v>
      </c>
      <c r="H3666" s="14">
        <v>0.13075929750140999</v>
      </c>
      <c r="I3666" s="27">
        <f t="shared" si="57"/>
        <v>2355642.3037711792</v>
      </c>
      <c r="J3666">
        <v>4.2</v>
      </c>
      <c r="K3666" t="b">
        <v>0</v>
      </c>
    </row>
    <row r="3667" spans="1:11" ht="16" x14ac:dyDescent="0.2">
      <c r="A3667" s="16">
        <v>45901</v>
      </c>
      <c r="B3667" t="s">
        <v>45</v>
      </c>
      <c r="C3667" t="s">
        <v>45</v>
      </c>
      <c r="D3667" t="s">
        <v>35</v>
      </c>
      <c r="E3667" t="s">
        <v>7643</v>
      </c>
      <c r="F3667">
        <v>2</v>
      </c>
      <c r="G3667" s="15">
        <v>2710000</v>
      </c>
      <c r="H3667" s="14">
        <v>0.13075929750140999</v>
      </c>
      <c r="I3667" s="27">
        <f t="shared" si="57"/>
        <v>2355642.3037711792</v>
      </c>
      <c r="J3667">
        <v>4.5999999999999996</v>
      </c>
      <c r="K3667" t="b">
        <v>1</v>
      </c>
    </row>
    <row r="3668" spans="1:11" ht="16" x14ac:dyDescent="0.2">
      <c r="A3668" s="16">
        <v>45901</v>
      </c>
      <c r="B3668" t="s">
        <v>33</v>
      </c>
      <c r="C3668" t="s">
        <v>45</v>
      </c>
      <c r="D3668" t="s">
        <v>35</v>
      </c>
      <c r="E3668" t="s">
        <v>99</v>
      </c>
      <c r="F3668">
        <v>3</v>
      </c>
      <c r="G3668" s="15">
        <v>2710000</v>
      </c>
      <c r="H3668" s="14">
        <v>0.13075929750140999</v>
      </c>
      <c r="I3668" s="27">
        <f t="shared" si="57"/>
        <v>2355642.3037711792</v>
      </c>
      <c r="J3668">
        <v>4.3</v>
      </c>
      <c r="K3668" t="b">
        <v>1</v>
      </c>
    </row>
    <row r="3669" spans="1:11" ht="16" x14ac:dyDescent="0.2">
      <c r="A3669" s="16">
        <v>45901</v>
      </c>
      <c r="B3669" t="s">
        <v>18</v>
      </c>
      <c r="C3669" t="s">
        <v>39</v>
      </c>
      <c r="D3669" t="s">
        <v>35</v>
      </c>
      <c r="E3669" t="s">
        <v>7638</v>
      </c>
      <c r="F3669">
        <v>3</v>
      </c>
      <c r="G3669" s="15">
        <v>2710000</v>
      </c>
      <c r="H3669" s="14">
        <v>0.13075929750140999</v>
      </c>
      <c r="I3669" s="27">
        <f t="shared" si="57"/>
        <v>2355642.3037711792</v>
      </c>
      <c r="J3669">
        <v>4.7</v>
      </c>
      <c r="K3669" t="b">
        <v>1</v>
      </c>
    </row>
    <row r="3670" spans="1:11" ht="16" x14ac:dyDescent="0.2">
      <c r="A3670" s="16">
        <v>45902</v>
      </c>
      <c r="B3670" t="s">
        <v>18</v>
      </c>
      <c r="C3670" t="s">
        <v>19</v>
      </c>
      <c r="D3670" t="s">
        <v>35</v>
      </c>
      <c r="E3670" t="s">
        <v>7641</v>
      </c>
      <c r="F3670">
        <v>1</v>
      </c>
      <c r="G3670" s="15">
        <v>2710000</v>
      </c>
      <c r="H3670" s="14">
        <v>0.13075929750140999</v>
      </c>
      <c r="I3670" s="27">
        <f t="shared" si="57"/>
        <v>2355642.3037711792</v>
      </c>
      <c r="J3670">
        <v>4.2</v>
      </c>
      <c r="K3670" t="b">
        <v>1</v>
      </c>
    </row>
    <row r="3671" spans="1:11" ht="16" x14ac:dyDescent="0.2">
      <c r="A3671" s="16">
        <v>45902</v>
      </c>
      <c r="B3671" t="s">
        <v>33</v>
      </c>
      <c r="C3671" t="s">
        <v>68</v>
      </c>
      <c r="D3671" t="s">
        <v>20</v>
      </c>
      <c r="E3671" t="s">
        <v>7640</v>
      </c>
      <c r="F3671">
        <v>2</v>
      </c>
      <c r="G3671" s="15">
        <v>2710000</v>
      </c>
      <c r="H3671" s="14">
        <v>0.13075929750140999</v>
      </c>
      <c r="I3671" s="27">
        <f t="shared" si="57"/>
        <v>2355642.3037711792</v>
      </c>
      <c r="J3671">
        <v>3.9</v>
      </c>
      <c r="K3671" t="b">
        <v>1</v>
      </c>
    </row>
    <row r="3672" spans="1:11" ht="16" x14ac:dyDescent="0.2">
      <c r="A3672" s="16">
        <v>45902</v>
      </c>
      <c r="B3672" t="s">
        <v>45</v>
      </c>
      <c r="C3672" t="s">
        <v>34</v>
      </c>
      <c r="D3672" t="s">
        <v>20</v>
      </c>
      <c r="E3672" t="s">
        <v>7644</v>
      </c>
      <c r="F3672">
        <v>4</v>
      </c>
      <c r="G3672" s="15">
        <v>2710000</v>
      </c>
      <c r="H3672" s="14">
        <v>0.13075929750140999</v>
      </c>
      <c r="I3672" s="27">
        <f t="shared" si="57"/>
        <v>2355642.3037711792</v>
      </c>
      <c r="J3672">
        <v>4.8</v>
      </c>
      <c r="K3672" t="b">
        <v>1</v>
      </c>
    </row>
    <row r="3673" spans="1:11" ht="16" x14ac:dyDescent="0.2">
      <c r="A3673" s="16">
        <v>45903</v>
      </c>
      <c r="B3673" t="s">
        <v>29</v>
      </c>
      <c r="C3673" t="s">
        <v>34</v>
      </c>
      <c r="D3673" t="s">
        <v>35</v>
      </c>
      <c r="E3673" t="s">
        <v>7640</v>
      </c>
      <c r="F3673">
        <v>1</v>
      </c>
      <c r="G3673" s="15">
        <v>2710000</v>
      </c>
      <c r="H3673" s="14">
        <v>0.13075929750140999</v>
      </c>
      <c r="I3673" s="27">
        <f t="shared" si="57"/>
        <v>2355642.3037711792</v>
      </c>
      <c r="J3673">
        <v>4.5999999999999996</v>
      </c>
      <c r="K3673" t="b">
        <v>1</v>
      </c>
    </row>
    <row r="3674" spans="1:11" ht="16" x14ac:dyDescent="0.2">
      <c r="A3674" s="16">
        <v>45903</v>
      </c>
      <c r="B3674" t="s">
        <v>33</v>
      </c>
      <c r="C3674" t="s">
        <v>19</v>
      </c>
      <c r="D3674" t="s">
        <v>20</v>
      </c>
      <c r="E3674" t="s">
        <v>7643</v>
      </c>
      <c r="F3674">
        <v>2</v>
      </c>
      <c r="G3674" s="15">
        <v>2710000</v>
      </c>
      <c r="H3674" s="14">
        <v>0.13075929750140999</v>
      </c>
      <c r="I3674" s="27">
        <f t="shared" si="57"/>
        <v>2355642.3037711792</v>
      </c>
      <c r="J3674">
        <v>4.5</v>
      </c>
      <c r="K3674" t="b">
        <v>1</v>
      </c>
    </row>
    <row r="3675" spans="1:11" ht="16" x14ac:dyDescent="0.2">
      <c r="A3675" s="16">
        <v>45903</v>
      </c>
      <c r="B3675" t="s">
        <v>33</v>
      </c>
      <c r="C3675" t="s">
        <v>34</v>
      </c>
      <c r="D3675" t="s">
        <v>35</v>
      </c>
      <c r="E3675" t="s">
        <v>7637</v>
      </c>
      <c r="F3675">
        <v>1</v>
      </c>
      <c r="G3675" s="15">
        <v>2710000</v>
      </c>
      <c r="H3675" s="14">
        <v>0.13075929750140999</v>
      </c>
      <c r="I3675" s="27">
        <f t="shared" si="57"/>
        <v>2355642.3037711792</v>
      </c>
      <c r="J3675">
        <v>5</v>
      </c>
      <c r="K3675" t="b">
        <v>1</v>
      </c>
    </row>
    <row r="3676" spans="1:11" ht="16" x14ac:dyDescent="0.2">
      <c r="A3676" s="16">
        <v>45903</v>
      </c>
      <c r="B3676" t="s">
        <v>18</v>
      </c>
      <c r="C3676" t="s">
        <v>45</v>
      </c>
      <c r="D3676" t="s">
        <v>50</v>
      </c>
      <c r="E3676" t="s">
        <v>7641</v>
      </c>
      <c r="F3676">
        <v>3</v>
      </c>
      <c r="G3676" s="15">
        <v>2710000</v>
      </c>
      <c r="H3676" s="14">
        <v>0.13075929750140999</v>
      </c>
      <c r="I3676" s="27">
        <f t="shared" si="57"/>
        <v>2355642.3037711792</v>
      </c>
      <c r="J3676">
        <v>4.4000000000000004</v>
      </c>
      <c r="K3676" t="b">
        <v>1</v>
      </c>
    </row>
    <row r="3677" spans="1:11" ht="16" x14ac:dyDescent="0.2">
      <c r="A3677" s="16">
        <v>45904</v>
      </c>
      <c r="B3677" t="s">
        <v>29</v>
      </c>
      <c r="C3677" t="s">
        <v>45</v>
      </c>
      <c r="D3677" t="s">
        <v>50</v>
      </c>
      <c r="E3677" t="s">
        <v>7643</v>
      </c>
      <c r="F3677">
        <v>3</v>
      </c>
      <c r="G3677" s="15">
        <v>2710000</v>
      </c>
      <c r="H3677" s="14">
        <v>0.13075929750140999</v>
      </c>
      <c r="I3677" s="27">
        <f t="shared" si="57"/>
        <v>2355642.3037711792</v>
      </c>
      <c r="J3677">
        <v>5</v>
      </c>
      <c r="K3677" t="b">
        <v>1</v>
      </c>
    </row>
    <row r="3678" spans="1:11" ht="16" x14ac:dyDescent="0.2">
      <c r="A3678" s="16">
        <v>45904</v>
      </c>
      <c r="B3678" t="s">
        <v>45</v>
      </c>
      <c r="C3678" t="s">
        <v>45</v>
      </c>
      <c r="D3678" t="s">
        <v>20</v>
      </c>
      <c r="E3678" t="s">
        <v>7637</v>
      </c>
      <c r="F3678">
        <v>3</v>
      </c>
      <c r="G3678" s="15">
        <v>2710000</v>
      </c>
      <c r="H3678" s="14">
        <v>0.13075929750140999</v>
      </c>
      <c r="I3678" s="27">
        <f t="shared" si="57"/>
        <v>2355642.3037711792</v>
      </c>
      <c r="J3678">
        <v>3.7</v>
      </c>
      <c r="K3678" t="b">
        <v>1</v>
      </c>
    </row>
    <row r="3679" spans="1:11" ht="16" x14ac:dyDescent="0.2">
      <c r="A3679" s="16">
        <v>45904</v>
      </c>
      <c r="B3679" t="s">
        <v>18</v>
      </c>
      <c r="C3679" t="s">
        <v>34</v>
      </c>
      <c r="D3679" t="s">
        <v>50</v>
      </c>
      <c r="E3679" t="s">
        <v>99</v>
      </c>
      <c r="F3679">
        <v>1</v>
      </c>
      <c r="G3679" s="15">
        <v>2710000</v>
      </c>
      <c r="H3679" s="14">
        <v>0.13075929750140999</v>
      </c>
      <c r="I3679" s="27">
        <f t="shared" si="57"/>
        <v>2355642.3037711792</v>
      </c>
      <c r="J3679">
        <v>4.8</v>
      </c>
      <c r="K3679" t="b">
        <v>0</v>
      </c>
    </row>
    <row r="3680" spans="1:11" ht="16" x14ac:dyDescent="0.2">
      <c r="A3680" s="16">
        <v>45904</v>
      </c>
      <c r="B3680" t="s">
        <v>18</v>
      </c>
      <c r="C3680" t="s">
        <v>19</v>
      </c>
      <c r="D3680" t="s">
        <v>50</v>
      </c>
      <c r="E3680" t="s">
        <v>7640</v>
      </c>
      <c r="F3680">
        <v>1</v>
      </c>
      <c r="G3680" s="15">
        <v>2710000</v>
      </c>
      <c r="H3680" s="14">
        <v>0.13075929750140999</v>
      </c>
      <c r="I3680" s="27">
        <f t="shared" si="57"/>
        <v>2355642.3037711792</v>
      </c>
      <c r="J3680">
        <v>4.3</v>
      </c>
      <c r="K3680" t="b">
        <v>1</v>
      </c>
    </row>
    <row r="3681" spans="1:11" ht="16" x14ac:dyDescent="0.2">
      <c r="A3681" s="16">
        <v>45905</v>
      </c>
      <c r="B3681" t="s">
        <v>45</v>
      </c>
      <c r="C3681" t="s">
        <v>34</v>
      </c>
      <c r="D3681" t="s">
        <v>20</v>
      </c>
      <c r="E3681" t="s">
        <v>7642</v>
      </c>
      <c r="F3681">
        <v>2</v>
      </c>
      <c r="G3681" s="15">
        <v>2710000</v>
      </c>
      <c r="H3681" s="14">
        <v>0.13075929750140999</v>
      </c>
      <c r="I3681" s="27">
        <f t="shared" si="57"/>
        <v>2355642.3037711792</v>
      </c>
      <c r="J3681">
        <v>4.5</v>
      </c>
      <c r="K3681" t="b">
        <v>1</v>
      </c>
    </row>
    <row r="3682" spans="1:11" ht="16" x14ac:dyDescent="0.2">
      <c r="A3682" s="16">
        <v>45905</v>
      </c>
      <c r="B3682" t="s">
        <v>45</v>
      </c>
      <c r="C3682" t="s">
        <v>68</v>
      </c>
      <c r="D3682" t="s">
        <v>35</v>
      </c>
      <c r="E3682" t="s">
        <v>57</v>
      </c>
      <c r="F3682">
        <v>1</v>
      </c>
      <c r="G3682" s="15">
        <v>2710000</v>
      </c>
      <c r="H3682" s="14">
        <v>0.13075929750140999</v>
      </c>
      <c r="I3682" s="27">
        <f t="shared" si="57"/>
        <v>2355642.3037711792</v>
      </c>
      <c r="J3682">
        <v>4.5</v>
      </c>
      <c r="K3682" t="b">
        <v>0</v>
      </c>
    </row>
    <row r="3683" spans="1:11" ht="16" x14ac:dyDescent="0.2">
      <c r="A3683" s="16">
        <v>45905</v>
      </c>
      <c r="B3683" t="s">
        <v>45</v>
      </c>
      <c r="C3683" t="s">
        <v>34</v>
      </c>
      <c r="D3683" t="s">
        <v>35</v>
      </c>
      <c r="E3683" t="s">
        <v>7643</v>
      </c>
      <c r="F3683">
        <v>5</v>
      </c>
      <c r="G3683" s="15">
        <v>2710000</v>
      </c>
      <c r="H3683" s="14">
        <v>0.13075929750140999</v>
      </c>
      <c r="I3683" s="27">
        <f t="shared" si="57"/>
        <v>2355642.3037711792</v>
      </c>
      <c r="J3683">
        <v>4.2</v>
      </c>
      <c r="K3683" t="b">
        <v>1</v>
      </c>
    </row>
    <row r="3684" spans="1:11" ht="16" x14ac:dyDescent="0.2">
      <c r="A3684" s="16">
        <v>45906</v>
      </c>
      <c r="B3684" t="s">
        <v>29</v>
      </c>
      <c r="C3684" t="s">
        <v>19</v>
      </c>
      <c r="D3684" t="s">
        <v>50</v>
      </c>
      <c r="E3684" t="s">
        <v>7642</v>
      </c>
      <c r="F3684">
        <v>2</v>
      </c>
      <c r="G3684" s="15">
        <v>2710000</v>
      </c>
      <c r="H3684" s="14">
        <v>0.13075929750140999</v>
      </c>
      <c r="I3684" s="27">
        <f t="shared" si="57"/>
        <v>2355642.3037711792</v>
      </c>
      <c r="J3684">
        <v>4</v>
      </c>
      <c r="K3684" t="b">
        <v>1</v>
      </c>
    </row>
    <row r="3685" spans="1:11" ht="16" x14ac:dyDescent="0.2">
      <c r="A3685" s="16">
        <v>45906</v>
      </c>
      <c r="B3685" t="s">
        <v>29</v>
      </c>
      <c r="C3685" t="s">
        <v>68</v>
      </c>
      <c r="D3685" t="s">
        <v>20</v>
      </c>
      <c r="E3685" t="s">
        <v>57</v>
      </c>
      <c r="F3685">
        <v>1</v>
      </c>
      <c r="G3685" s="15">
        <v>2710000</v>
      </c>
      <c r="H3685" s="14">
        <v>0.13075929750140999</v>
      </c>
      <c r="I3685" s="27">
        <f t="shared" si="57"/>
        <v>2355642.3037711792</v>
      </c>
      <c r="J3685">
        <v>4.5999999999999996</v>
      </c>
      <c r="K3685" t="b">
        <v>0</v>
      </c>
    </row>
    <row r="3686" spans="1:11" ht="16" x14ac:dyDescent="0.2">
      <c r="A3686" s="16">
        <v>45906</v>
      </c>
      <c r="B3686" t="s">
        <v>18</v>
      </c>
      <c r="C3686" t="s">
        <v>68</v>
      </c>
      <c r="D3686" t="s">
        <v>50</v>
      </c>
      <c r="E3686" t="s">
        <v>7638</v>
      </c>
      <c r="F3686">
        <v>1</v>
      </c>
      <c r="G3686" s="15">
        <v>2710000</v>
      </c>
      <c r="H3686" s="14">
        <v>0.13075929750140999</v>
      </c>
      <c r="I3686" s="27">
        <f t="shared" si="57"/>
        <v>2355642.3037711792</v>
      </c>
      <c r="J3686">
        <v>4.8</v>
      </c>
      <c r="K3686" t="b">
        <v>1</v>
      </c>
    </row>
    <row r="3687" spans="1:11" ht="16" x14ac:dyDescent="0.2">
      <c r="A3687" s="16">
        <v>45906</v>
      </c>
      <c r="B3687" t="s">
        <v>18</v>
      </c>
      <c r="C3687" t="s">
        <v>19</v>
      </c>
      <c r="D3687" t="s">
        <v>20</v>
      </c>
      <c r="E3687" t="str">
        <f>E3686</f>
        <v>Đà Lạt</v>
      </c>
      <c r="F3687">
        <v>1</v>
      </c>
      <c r="G3687" s="15">
        <v>2710000</v>
      </c>
      <c r="H3687" s="14">
        <v>0.13075929750140999</v>
      </c>
      <c r="I3687" s="27">
        <f t="shared" si="57"/>
        <v>2355642.3037711792</v>
      </c>
      <c r="J3687">
        <v>3.8</v>
      </c>
      <c r="K3687" t="b">
        <v>1</v>
      </c>
    </row>
    <row r="3688" spans="1:11" ht="16" x14ac:dyDescent="0.2">
      <c r="A3688" s="16">
        <v>45907</v>
      </c>
      <c r="B3688" t="s">
        <v>18</v>
      </c>
      <c r="C3688" t="s">
        <v>19</v>
      </c>
      <c r="D3688" t="s">
        <v>20</v>
      </c>
      <c r="E3688" t="s">
        <v>99</v>
      </c>
      <c r="F3688">
        <v>1</v>
      </c>
      <c r="G3688" s="15">
        <v>2710000</v>
      </c>
      <c r="H3688" s="14">
        <v>0.13075929750140999</v>
      </c>
      <c r="I3688" s="27">
        <f t="shared" si="57"/>
        <v>2355642.3037711792</v>
      </c>
      <c r="J3688">
        <v>5</v>
      </c>
      <c r="K3688" t="b">
        <v>1</v>
      </c>
    </row>
    <row r="3689" spans="1:11" ht="16" x14ac:dyDescent="0.2">
      <c r="A3689" s="16">
        <v>45907</v>
      </c>
      <c r="B3689" t="s">
        <v>33</v>
      </c>
      <c r="C3689" t="s">
        <v>68</v>
      </c>
      <c r="D3689" t="s">
        <v>20</v>
      </c>
      <c r="E3689" t="s">
        <v>7641</v>
      </c>
      <c r="F3689">
        <v>1</v>
      </c>
      <c r="G3689" s="15">
        <v>2710000</v>
      </c>
      <c r="H3689" s="14">
        <v>0.13075929750140999</v>
      </c>
      <c r="I3689" s="27">
        <f t="shared" si="57"/>
        <v>2355642.3037711792</v>
      </c>
      <c r="J3689">
        <v>3.7</v>
      </c>
      <c r="K3689" t="b">
        <v>0</v>
      </c>
    </row>
    <row r="3690" spans="1:11" ht="16" x14ac:dyDescent="0.2">
      <c r="A3690" s="16">
        <v>45907</v>
      </c>
      <c r="B3690" t="s">
        <v>33</v>
      </c>
      <c r="C3690" t="s">
        <v>45</v>
      </c>
      <c r="D3690" t="s">
        <v>20</v>
      </c>
      <c r="E3690" t="s">
        <v>7639</v>
      </c>
      <c r="F3690">
        <v>4</v>
      </c>
      <c r="G3690" s="15">
        <v>2710000</v>
      </c>
      <c r="H3690" s="14">
        <v>0.13075929750140999</v>
      </c>
      <c r="I3690" s="27">
        <f t="shared" si="57"/>
        <v>2355642.3037711792</v>
      </c>
      <c r="J3690">
        <v>4.4000000000000004</v>
      </c>
      <c r="K3690" t="b">
        <v>1</v>
      </c>
    </row>
    <row r="3691" spans="1:11" ht="16" x14ac:dyDescent="0.2">
      <c r="A3691" s="16">
        <v>45907</v>
      </c>
      <c r="B3691" t="str">
        <f>B3690</f>
        <v>Student</v>
      </c>
      <c r="C3691" t="s">
        <v>25</v>
      </c>
      <c r="D3691" t="s">
        <v>50</v>
      </c>
      <c r="E3691" t="s">
        <v>7640</v>
      </c>
      <c r="F3691">
        <v>3</v>
      </c>
      <c r="G3691" s="15">
        <v>2710000</v>
      </c>
      <c r="H3691" s="14">
        <v>0.13075929750140999</v>
      </c>
      <c r="I3691" s="27">
        <f t="shared" si="57"/>
        <v>2355642.3037711792</v>
      </c>
      <c r="J3691">
        <v>4.5</v>
      </c>
      <c r="K3691" t="b">
        <v>1</v>
      </c>
    </row>
    <row r="3692" spans="1:11" ht="16" x14ac:dyDescent="0.2">
      <c r="A3692" s="16">
        <v>45908</v>
      </c>
      <c r="B3692" t="s">
        <v>18</v>
      </c>
      <c r="C3692" t="s">
        <v>68</v>
      </c>
      <c r="D3692" t="s">
        <v>20</v>
      </c>
      <c r="E3692" t="s">
        <v>7642</v>
      </c>
      <c r="F3692">
        <v>2</v>
      </c>
      <c r="G3692" s="15">
        <v>2710000</v>
      </c>
      <c r="H3692" s="14">
        <v>0.13075929750140999</v>
      </c>
      <c r="I3692" s="27">
        <f t="shared" si="57"/>
        <v>2355642.3037711792</v>
      </c>
      <c r="J3692">
        <v>4.5</v>
      </c>
      <c r="K3692" t="b">
        <v>0</v>
      </c>
    </row>
    <row r="3693" spans="1:11" ht="16" x14ac:dyDescent="0.2">
      <c r="A3693" s="16">
        <v>45908</v>
      </c>
      <c r="B3693" t="s">
        <v>18</v>
      </c>
      <c r="C3693" t="s">
        <v>39</v>
      </c>
      <c r="D3693" t="s">
        <v>35</v>
      </c>
      <c r="E3693" t="s">
        <v>7638</v>
      </c>
      <c r="F3693">
        <v>2</v>
      </c>
      <c r="G3693" s="15">
        <v>2710000</v>
      </c>
      <c r="H3693" s="14">
        <v>0.13075929750140999</v>
      </c>
      <c r="I3693" s="27">
        <f t="shared" si="57"/>
        <v>2355642.3037711792</v>
      </c>
      <c r="J3693">
        <v>4.2</v>
      </c>
      <c r="K3693" t="b">
        <v>1</v>
      </c>
    </row>
    <row r="3694" spans="1:11" ht="16" x14ac:dyDescent="0.2">
      <c r="A3694" s="16">
        <v>45909</v>
      </c>
      <c r="B3694" t="s">
        <v>45</v>
      </c>
      <c r="C3694" t="s">
        <v>34</v>
      </c>
      <c r="D3694" t="s">
        <v>20</v>
      </c>
      <c r="E3694" t="s">
        <v>7643</v>
      </c>
      <c r="F3694">
        <v>2</v>
      </c>
      <c r="G3694" s="15">
        <v>2710000</v>
      </c>
      <c r="H3694" s="14">
        <v>0.13075929750140999</v>
      </c>
      <c r="I3694" s="27">
        <f t="shared" si="57"/>
        <v>2355642.3037711792</v>
      </c>
      <c r="J3694">
        <v>4.0999999999999996</v>
      </c>
      <c r="K3694" t="b">
        <v>0</v>
      </c>
    </row>
    <row r="3695" spans="1:11" ht="16" x14ac:dyDescent="0.2">
      <c r="A3695" s="16">
        <v>45909</v>
      </c>
      <c r="B3695" t="s">
        <v>29</v>
      </c>
      <c r="C3695" t="s">
        <v>19</v>
      </c>
      <c r="D3695" t="s">
        <v>20</v>
      </c>
      <c r="E3695" t="s">
        <v>7640</v>
      </c>
      <c r="F3695">
        <v>2</v>
      </c>
      <c r="G3695" s="15">
        <v>2710000</v>
      </c>
      <c r="H3695" s="14">
        <v>0.13075929750140999</v>
      </c>
      <c r="I3695" s="27">
        <f t="shared" si="57"/>
        <v>2355642.3037711792</v>
      </c>
      <c r="J3695">
        <v>4.7</v>
      </c>
      <c r="K3695" t="b">
        <v>0</v>
      </c>
    </row>
    <row r="3696" spans="1:11" ht="16" x14ac:dyDescent="0.2">
      <c r="A3696" s="16">
        <v>45909</v>
      </c>
      <c r="B3696" t="s">
        <v>45</v>
      </c>
      <c r="C3696" t="s">
        <v>34</v>
      </c>
      <c r="D3696" t="s">
        <v>20</v>
      </c>
      <c r="E3696" t="s">
        <v>7639</v>
      </c>
      <c r="F3696">
        <v>4</v>
      </c>
      <c r="G3696" s="15">
        <v>2710000</v>
      </c>
      <c r="H3696" s="14">
        <v>0.13075929750140999</v>
      </c>
      <c r="I3696" s="27">
        <f t="shared" si="57"/>
        <v>2355642.3037711792</v>
      </c>
      <c r="J3696">
        <v>4.5</v>
      </c>
      <c r="K3696" t="b">
        <v>1</v>
      </c>
    </row>
    <row r="3697" spans="1:11" ht="16" x14ac:dyDescent="0.2">
      <c r="A3697" s="16">
        <v>45909</v>
      </c>
      <c r="B3697" t="s">
        <v>45</v>
      </c>
      <c r="C3697" t="s">
        <v>25</v>
      </c>
      <c r="D3697" t="s">
        <v>50</v>
      </c>
      <c r="E3697" t="s">
        <v>7643</v>
      </c>
      <c r="F3697">
        <v>2</v>
      </c>
      <c r="G3697" s="15">
        <v>2710000</v>
      </c>
      <c r="H3697" s="14">
        <v>0.13075929750140999</v>
      </c>
      <c r="I3697" s="27">
        <f t="shared" si="57"/>
        <v>2355642.3037711792</v>
      </c>
      <c r="J3697">
        <v>4.5</v>
      </c>
      <c r="K3697" t="b">
        <v>1</v>
      </c>
    </row>
    <row r="3698" spans="1:11" ht="16" x14ac:dyDescent="0.2">
      <c r="A3698" s="16">
        <v>45910</v>
      </c>
      <c r="B3698" t="s">
        <v>18</v>
      </c>
      <c r="C3698" t="s">
        <v>34</v>
      </c>
      <c r="D3698" t="s">
        <v>20</v>
      </c>
      <c r="E3698" t="str">
        <f>E3697</f>
        <v>TP. HCM</v>
      </c>
      <c r="F3698">
        <v>5</v>
      </c>
      <c r="G3698" s="15">
        <v>2710000</v>
      </c>
      <c r="H3698" s="14">
        <v>0.13075929750140999</v>
      </c>
      <c r="I3698" s="27">
        <f t="shared" si="57"/>
        <v>2355642.3037711792</v>
      </c>
      <c r="J3698">
        <v>4.0999999999999996</v>
      </c>
      <c r="K3698" t="b">
        <v>1</v>
      </c>
    </row>
    <row r="3699" spans="1:11" ht="16" x14ac:dyDescent="0.2">
      <c r="A3699" s="16">
        <v>45910</v>
      </c>
      <c r="B3699" t="s">
        <v>45</v>
      </c>
      <c r="C3699" t="s">
        <v>19</v>
      </c>
      <c r="D3699" t="s">
        <v>20</v>
      </c>
      <c r="E3699" t="s">
        <v>7641</v>
      </c>
      <c r="F3699">
        <v>4</v>
      </c>
      <c r="G3699" s="15">
        <v>2710000</v>
      </c>
      <c r="H3699" s="14">
        <v>0.13075929750140999</v>
      </c>
      <c r="I3699" s="27">
        <f t="shared" si="57"/>
        <v>2355642.3037711792</v>
      </c>
      <c r="J3699">
        <v>4.2</v>
      </c>
      <c r="K3699" t="b">
        <v>1</v>
      </c>
    </row>
    <row r="3700" spans="1:11" ht="16" x14ac:dyDescent="0.2">
      <c r="A3700" s="16">
        <v>45910</v>
      </c>
      <c r="B3700" t="s">
        <v>29</v>
      </c>
      <c r="C3700" t="s">
        <v>19</v>
      </c>
      <c r="D3700" t="s">
        <v>50</v>
      </c>
      <c r="E3700" t="s">
        <v>7642</v>
      </c>
      <c r="F3700">
        <v>1</v>
      </c>
      <c r="G3700" s="15">
        <v>2710000</v>
      </c>
      <c r="H3700" s="14">
        <v>0.13075929750140999</v>
      </c>
      <c r="I3700" s="27">
        <f t="shared" si="57"/>
        <v>2355642.3037711792</v>
      </c>
      <c r="J3700">
        <v>4.7</v>
      </c>
      <c r="K3700" t="b">
        <v>1</v>
      </c>
    </row>
    <row r="3701" spans="1:11" ht="16" x14ac:dyDescent="0.2">
      <c r="A3701" s="16">
        <v>45911</v>
      </c>
      <c r="B3701" t="s">
        <v>18</v>
      </c>
      <c r="C3701" t="s">
        <v>25</v>
      </c>
      <c r="D3701" t="s">
        <v>20</v>
      </c>
      <c r="E3701" t="s">
        <v>7640</v>
      </c>
      <c r="F3701">
        <v>1</v>
      </c>
      <c r="G3701" s="15">
        <v>2710000</v>
      </c>
      <c r="H3701" s="14">
        <v>0.13075929750140999</v>
      </c>
      <c r="I3701" s="27">
        <f t="shared" si="57"/>
        <v>2355642.3037711792</v>
      </c>
      <c r="J3701">
        <v>3.8</v>
      </c>
      <c r="K3701" t="b">
        <v>1</v>
      </c>
    </row>
    <row r="3702" spans="1:11" ht="16" x14ac:dyDescent="0.2">
      <c r="A3702" s="16">
        <v>45911</v>
      </c>
      <c r="B3702" t="s">
        <v>45</v>
      </c>
      <c r="C3702" t="s">
        <v>19</v>
      </c>
      <c r="D3702" t="s">
        <v>20</v>
      </c>
      <c r="E3702" t="s">
        <v>7637</v>
      </c>
      <c r="F3702">
        <v>3</v>
      </c>
      <c r="G3702" s="15">
        <v>2710000</v>
      </c>
      <c r="H3702" s="14">
        <v>0.13075929750140999</v>
      </c>
      <c r="I3702" s="27">
        <f t="shared" si="57"/>
        <v>2355642.3037711792</v>
      </c>
      <c r="J3702">
        <v>3.2</v>
      </c>
      <c r="K3702" t="b">
        <v>1</v>
      </c>
    </row>
    <row r="3703" spans="1:11" ht="16" x14ac:dyDescent="0.2">
      <c r="A3703" s="16">
        <v>45911</v>
      </c>
      <c r="B3703" t="s">
        <v>18</v>
      </c>
      <c r="C3703" t="s">
        <v>19</v>
      </c>
      <c r="D3703" t="s">
        <v>50</v>
      </c>
      <c r="E3703" t="s">
        <v>7644</v>
      </c>
      <c r="F3703">
        <v>2</v>
      </c>
      <c r="G3703" s="15">
        <v>2710000</v>
      </c>
      <c r="H3703" s="14">
        <v>0.13075929750140999</v>
      </c>
      <c r="I3703" s="27">
        <f t="shared" si="57"/>
        <v>2355642.3037711792</v>
      </c>
      <c r="J3703">
        <v>3.7</v>
      </c>
      <c r="K3703" t="b">
        <v>1</v>
      </c>
    </row>
    <row r="3704" spans="1:11" ht="16" x14ac:dyDescent="0.2">
      <c r="A3704" s="16">
        <v>45912</v>
      </c>
      <c r="B3704" t="s">
        <v>45</v>
      </c>
      <c r="C3704" t="s">
        <v>34</v>
      </c>
      <c r="D3704" t="s">
        <v>20</v>
      </c>
      <c r="E3704" t="s">
        <v>99</v>
      </c>
      <c r="F3704">
        <v>1</v>
      </c>
      <c r="G3704" s="15">
        <v>2710000</v>
      </c>
      <c r="H3704" s="14">
        <v>0.13075929750140999</v>
      </c>
      <c r="I3704" s="27">
        <f t="shared" si="57"/>
        <v>2355642.3037711792</v>
      </c>
      <c r="J3704">
        <v>4.8</v>
      </c>
      <c r="K3704" t="b">
        <v>1</v>
      </c>
    </row>
    <row r="3705" spans="1:11" ht="16" x14ac:dyDescent="0.2">
      <c r="A3705" s="16">
        <v>45913</v>
      </c>
      <c r="B3705" t="s">
        <v>18</v>
      </c>
      <c r="C3705" t="s">
        <v>19</v>
      </c>
      <c r="D3705" t="s">
        <v>20</v>
      </c>
      <c r="E3705" t="s">
        <v>7643</v>
      </c>
      <c r="F3705">
        <v>4</v>
      </c>
      <c r="G3705" s="15">
        <v>2710000</v>
      </c>
      <c r="H3705" s="14">
        <v>0.13075929750140999</v>
      </c>
      <c r="I3705" s="27">
        <f t="shared" si="57"/>
        <v>2355642.3037711792</v>
      </c>
      <c r="J3705">
        <v>4.4000000000000004</v>
      </c>
      <c r="K3705" t="b">
        <v>1</v>
      </c>
    </row>
    <row r="3706" spans="1:11" ht="16" x14ac:dyDescent="0.2">
      <c r="A3706" s="16">
        <v>45913</v>
      </c>
      <c r="B3706" t="s">
        <v>33</v>
      </c>
      <c r="C3706" t="s">
        <v>19</v>
      </c>
      <c r="D3706" t="s">
        <v>20</v>
      </c>
      <c r="E3706" t="s">
        <v>7637</v>
      </c>
      <c r="F3706">
        <v>1</v>
      </c>
      <c r="G3706" s="15">
        <v>2710000</v>
      </c>
      <c r="H3706" s="14">
        <v>0.13075929750140999</v>
      </c>
      <c r="I3706" s="27">
        <f t="shared" si="57"/>
        <v>2355642.3037711792</v>
      </c>
      <c r="J3706">
        <v>4.5999999999999996</v>
      </c>
      <c r="K3706" t="b">
        <v>1</v>
      </c>
    </row>
    <row r="3707" spans="1:11" ht="16" x14ac:dyDescent="0.2">
      <c r="A3707" s="16">
        <v>45913</v>
      </c>
      <c r="B3707" t="s">
        <v>29</v>
      </c>
      <c r="C3707" t="s">
        <v>45</v>
      </c>
      <c r="D3707" t="s">
        <v>35</v>
      </c>
      <c r="E3707" t="s">
        <v>7641</v>
      </c>
      <c r="F3707">
        <v>1</v>
      </c>
      <c r="G3707" s="15">
        <v>2710000</v>
      </c>
      <c r="H3707" s="14">
        <v>0.13075929750140999</v>
      </c>
      <c r="I3707" s="27">
        <f t="shared" si="57"/>
        <v>2355642.3037711792</v>
      </c>
      <c r="J3707">
        <v>4.8</v>
      </c>
      <c r="K3707" t="b">
        <v>1</v>
      </c>
    </row>
    <row r="3708" spans="1:11" ht="16" x14ac:dyDescent="0.2">
      <c r="A3708" s="16">
        <v>45914</v>
      </c>
      <c r="B3708" t="s">
        <v>29</v>
      </c>
      <c r="C3708" t="s">
        <v>34</v>
      </c>
      <c r="D3708" t="s">
        <v>20</v>
      </c>
      <c r="E3708" t="s">
        <v>7642</v>
      </c>
      <c r="F3708">
        <v>1</v>
      </c>
      <c r="G3708" s="15">
        <v>2710000</v>
      </c>
      <c r="H3708" s="14">
        <v>0.13075929750140999</v>
      </c>
      <c r="I3708" s="27">
        <f t="shared" si="57"/>
        <v>2355642.3037711792</v>
      </c>
      <c r="J3708">
        <v>4.3</v>
      </c>
      <c r="K3708" t="b">
        <v>1</v>
      </c>
    </row>
    <row r="3709" spans="1:11" ht="16" x14ac:dyDescent="0.2">
      <c r="A3709" s="16">
        <v>45914</v>
      </c>
      <c r="B3709" t="str">
        <f>B3708</f>
        <v>Corporate</v>
      </c>
      <c r="C3709" t="s">
        <v>19</v>
      </c>
      <c r="D3709" t="s">
        <v>50</v>
      </c>
      <c r="E3709" t="s">
        <v>7641</v>
      </c>
      <c r="F3709">
        <v>2</v>
      </c>
      <c r="G3709" s="15">
        <v>2710000</v>
      </c>
      <c r="H3709" s="14">
        <v>0.13075929750140999</v>
      </c>
      <c r="I3709" s="27">
        <f t="shared" si="57"/>
        <v>2355642.3037711792</v>
      </c>
      <c r="J3709">
        <v>4.8</v>
      </c>
      <c r="K3709" t="b">
        <v>1</v>
      </c>
    </row>
    <row r="3710" spans="1:11" ht="16" x14ac:dyDescent="0.2">
      <c r="A3710" s="16">
        <v>45915</v>
      </c>
      <c r="B3710" t="s">
        <v>45</v>
      </c>
      <c r="C3710" t="s">
        <v>45</v>
      </c>
      <c r="D3710" t="s">
        <v>20</v>
      </c>
      <c r="E3710" t="s">
        <v>7637</v>
      </c>
      <c r="F3710">
        <v>1</v>
      </c>
      <c r="G3710" s="15">
        <v>2710000</v>
      </c>
      <c r="H3710" s="14">
        <v>0.13075929750140999</v>
      </c>
      <c r="I3710" s="27">
        <f t="shared" si="57"/>
        <v>2355642.3037711792</v>
      </c>
      <c r="J3710">
        <v>4</v>
      </c>
      <c r="K3710" t="b">
        <v>1</v>
      </c>
    </row>
    <row r="3711" spans="1:11" ht="16" x14ac:dyDescent="0.2">
      <c r="A3711" s="16">
        <v>45915</v>
      </c>
      <c r="B3711" t="str">
        <f>B3710</f>
        <v>Family</v>
      </c>
      <c r="C3711" t="s">
        <v>25</v>
      </c>
      <c r="D3711" t="s">
        <v>20</v>
      </c>
      <c r="E3711" t="s">
        <v>7644</v>
      </c>
      <c r="F3711">
        <v>1</v>
      </c>
      <c r="G3711" s="15">
        <v>2710000</v>
      </c>
      <c r="H3711" s="14">
        <v>0.13075929750140999</v>
      </c>
      <c r="I3711" s="27">
        <f t="shared" si="57"/>
        <v>2355642.3037711792</v>
      </c>
      <c r="J3711">
        <v>5</v>
      </c>
      <c r="K3711" t="b">
        <v>1</v>
      </c>
    </row>
    <row r="3712" spans="1:11" ht="16" x14ac:dyDescent="0.2">
      <c r="A3712" s="16">
        <v>45915</v>
      </c>
      <c r="B3712" t="s">
        <v>29</v>
      </c>
      <c r="C3712" t="s">
        <v>19</v>
      </c>
      <c r="D3712" t="s">
        <v>35</v>
      </c>
      <c r="E3712" t="s">
        <v>7641</v>
      </c>
      <c r="F3712">
        <v>1</v>
      </c>
      <c r="G3712" s="15">
        <v>2710000</v>
      </c>
      <c r="H3712" s="14">
        <v>0.13075929750140999</v>
      </c>
      <c r="I3712" s="27">
        <f t="shared" si="57"/>
        <v>2355642.3037711792</v>
      </c>
      <c r="J3712">
        <v>3.7</v>
      </c>
      <c r="K3712" t="b">
        <v>1</v>
      </c>
    </row>
    <row r="3713" spans="1:11" ht="16" x14ac:dyDescent="0.2">
      <c r="A3713" s="16">
        <v>45915</v>
      </c>
      <c r="B3713" t="s">
        <v>18</v>
      </c>
      <c r="C3713" t="s">
        <v>45</v>
      </c>
      <c r="D3713" t="s">
        <v>50</v>
      </c>
      <c r="E3713" t="s">
        <v>7638</v>
      </c>
      <c r="F3713">
        <v>4</v>
      </c>
      <c r="G3713" s="15">
        <v>2710000</v>
      </c>
      <c r="H3713" s="14">
        <v>0.13075929750140999</v>
      </c>
      <c r="I3713" s="27">
        <f t="shared" si="57"/>
        <v>2355642.3037711792</v>
      </c>
      <c r="J3713">
        <v>5</v>
      </c>
      <c r="K3713" t="b">
        <v>1</v>
      </c>
    </row>
    <row r="3714" spans="1:11" ht="16" x14ac:dyDescent="0.2">
      <c r="A3714" s="16">
        <v>45915</v>
      </c>
      <c r="B3714" t="s">
        <v>18</v>
      </c>
      <c r="C3714" t="s">
        <v>34</v>
      </c>
      <c r="D3714" t="s">
        <v>20</v>
      </c>
      <c r="E3714" t="s">
        <v>7637</v>
      </c>
      <c r="F3714">
        <v>1</v>
      </c>
      <c r="G3714" s="15">
        <v>2710000</v>
      </c>
      <c r="H3714" s="14">
        <v>0.13075929750140999</v>
      </c>
      <c r="I3714" s="27">
        <f t="shared" si="57"/>
        <v>2355642.3037711792</v>
      </c>
      <c r="J3714">
        <v>4.0999999999999996</v>
      </c>
      <c r="K3714" t="b">
        <v>0</v>
      </c>
    </row>
    <row r="3715" spans="1:11" ht="16" x14ac:dyDescent="0.2">
      <c r="A3715" s="16">
        <v>45916</v>
      </c>
      <c r="B3715" t="s">
        <v>29</v>
      </c>
      <c r="C3715" t="s">
        <v>39</v>
      </c>
      <c r="D3715" t="s">
        <v>20</v>
      </c>
      <c r="E3715" t="s">
        <v>7638</v>
      </c>
      <c r="F3715">
        <v>2</v>
      </c>
      <c r="G3715" s="15">
        <v>2710000</v>
      </c>
      <c r="H3715" s="14">
        <v>0.13075929750140999</v>
      </c>
      <c r="I3715" s="27">
        <f t="shared" ref="I3715:I3778" si="58">G3715-G3715*H3715</f>
        <v>2355642.3037711792</v>
      </c>
      <c r="J3715">
        <v>3.7</v>
      </c>
      <c r="K3715" t="b">
        <v>1</v>
      </c>
    </row>
    <row r="3716" spans="1:11" ht="16" x14ac:dyDescent="0.2">
      <c r="A3716" s="16">
        <v>45916</v>
      </c>
      <c r="B3716" t="s">
        <v>45</v>
      </c>
      <c r="C3716" t="s">
        <v>45</v>
      </c>
      <c r="D3716" t="s">
        <v>50</v>
      </c>
      <c r="E3716" t="s">
        <v>7637</v>
      </c>
      <c r="F3716">
        <v>3</v>
      </c>
      <c r="G3716" s="15">
        <v>2710000</v>
      </c>
      <c r="H3716" s="14">
        <v>0.13075929750140999</v>
      </c>
      <c r="I3716" s="27">
        <f t="shared" si="58"/>
        <v>2355642.3037711792</v>
      </c>
      <c r="J3716">
        <v>4.9000000000000004</v>
      </c>
      <c r="K3716" t="b">
        <v>1</v>
      </c>
    </row>
    <row r="3717" spans="1:11" ht="16" x14ac:dyDescent="0.2">
      <c r="A3717" s="16">
        <v>45916</v>
      </c>
      <c r="B3717" t="s">
        <v>45</v>
      </c>
      <c r="C3717" t="s">
        <v>34</v>
      </c>
      <c r="D3717" t="s">
        <v>20</v>
      </c>
      <c r="E3717" t="s">
        <v>7644</v>
      </c>
      <c r="F3717">
        <v>2</v>
      </c>
      <c r="G3717" s="15">
        <v>2710000</v>
      </c>
      <c r="H3717" s="14">
        <v>0.13075929750140999</v>
      </c>
      <c r="I3717" s="27">
        <f t="shared" si="58"/>
        <v>2355642.3037711792</v>
      </c>
      <c r="J3717">
        <v>4.3</v>
      </c>
      <c r="K3717" t="b">
        <v>1</v>
      </c>
    </row>
    <row r="3718" spans="1:11" ht="16" x14ac:dyDescent="0.2">
      <c r="A3718" s="16">
        <v>45917</v>
      </c>
      <c r="B3718" t="s">
        <v>45</v>
      </c>
      <c r="C3718" t="s">
        <v>45</v>
      </c>
      <c r="D3718" t="s">
        <v>35</v>
      </c>
      <c r="E3718" t="s">
        <v>7638</v>
      </c>
      <c r="F3718">
        <v>1</v>
      </c>
      <c r="G3718" s="15">
        <v>2710000</v>
      </c>
      <c r="H3718" s="14">
        <v>0.13075929750140999</v>
      </c>
      <c r="I3718" s="27">
        <f t="shared" si="58"/>
        <v>2355642.3037711792</v>
      </c>
      <c r="J3718">
        <v>3.7</v>
      </c>
      <c r="K3718" t="b">
        <v>1</v>
      </c>
    </row>
    <row r="3719" spans="1:11" ht="16" x14ac:dyDescent="0.2">
      <c r="A3719" s="16">
        <v>45917</v>
      </c>
      <c r="B3719" t="s">
        <v>29</v>
      </c>
      <c r="C3719" t="s">
        <v>45</v>
      </c>
      <c r="D3719" t="s">
        <v>20</v>
      </c>
      <c r="E3719" t="s">
        <v>7640</v>
      </c>
      <c r="F3719">
        <v>2</v>
      </c>
      <c r="G3719" s="15">
        <v>2710000</v>
      </c>
      <c r="H3719" s="14">
        <v>0.13075929750140999</v>
      </c>
      <c r="I3719" s="27">
        <f t="shared" si="58"/>
        <v>2355642.3037711792</v>
      </c>
      <c r="J3719">
        <v>3.5</v>
      </c>
      <c r="K3719" t="b">
        <v>1</v>
      </c>
    </row>
    <row r="3720" spans="1:11" ht="16" x14ac:dyDescent="0.2">
      <c r="A3720" s="16">
        <v>45917</v>
      </c>
      <c r="B3720" t="s">
        <v>18</v>
      </c>
      <c r="C3720" t="s">
        <v>19</v>
      </c>
      <c r="D3720" t="s">
        <v>20</v>
      </c>
      <c r="E3720" t="s">
        <v>7642</v>
      </c>
      <c r="F3720">
        <v>2</v>
      </c>
      <c r="G3720" s="15">
        <v>2710000</v>
      </c>
      <c r="H3720" s="14">
        <v>0.13075929750140999</v>
      </c>
      <c r="I3720" s="27">
        <f t="shared" si="58"/>
        <v>2355642.3037711792</v>
      </c>
      <c r="J3720">
        <v>4.5999999999999996</v>
      </c>
      <c r="K3720" t="b">
        <v>1</v>
      </c>
    </row>
    <row r="3721" spans="1:11" ht="16" x14ac:dyDescent="0.2">
      <c r="A3721" s="16">
        <v>45918</v>
      </c>
      <c r="B3721" t="s">
        <v>18</v>
      </c>
      <c r="C3721" t="s">
        <v>34</v>
      </c>
      <c r="D3721" t="s">
        <v>20</v>
      </c>
      <c r="E3721" t="s">
        <v>7637</v>
      </c>
      <c r="F3721">
        <v>1</v>
      </c>
      <c r="G3721" s="15">
        <v>2710000</v>
      </c>
      <c r="H3721" s="14">
        <v>0.13075929750140999</v>
      </c>
      <c r="I3721" s="27">
        <f t="shared" si="58"/>
        <v>2355642.3037711792</v>
      </c>
      <c r="J3721">
        <v>3.9</v>
      </c>
      <c r="K3721" t="b">
        <v>1</v>
      </c>
    </row>
    <row r="3722" spans="1:11" ht="16" x14ac:dyDescent="0.2">
      <c r="A3722" s="16">
        <v>45919</v>
      </c>
      <c r="B3722" t="s">
        <v>45</v>
      </c>
      <c r="C3722" t="s">
        <v>19</v>
      </c>
      <c r="D3722" t="s">
        <v>20</v>
      </c>
      <c r="E3722" t="s">
        <v>7637</v>
      </c>
      <c r="F3722">
        <v>1</v>
      </c>
      <c r="G3722" s="15">
        <v>2710000</v>
      </c>
      <c r="H3722" s="14">
        <v>0.13075929750140999</v>
      </c>
      <c r="I3722" s="27">
        <f t="shared" si="58"/>
        <v>2355642.3037711792</v>
      </c>
      <c r="J3722">
        <v>4</v>
      </c>
      <c r="K3722" t="b">
        <v>1</v>
      </c>
    </row>
    <row r="3723" spans="1:11" ht="16" x14ac:dyDescent="0.2">
      <c r="A3723" s="16">
        <v>45919</v>
      </c>
      <c r="B3723" t="s">
        <v>29</v>
      </c>
      <c r="C3723" t="s">
        <v>39</v>
      </c>
      <c r="D3723" t="s">
        <v>20</v>
      </c>
      <c r="E3723" t="s">
        <v>7644</v>
      </c>
      <c r="F3723">
        <v>4</v>
      </c>
      <c r="G3723" s="15">
        <v>2710000</v>
      </c>
      <c r="H3723" s="14">
        <v>0.13075929750140999</v>
      </c>
      <c r="I3723" s="27">
        <f t="shared" si="58"/>
        <v>2355642.3037711792</v>
      </c>
      <c r="J3723">
        <v>4.2</v>
      </c>
      <c r="K3723" t="b">
        <v>1</v>
      </c>
    </row>
    <row r="3724" spans="1:11" ht="16" x14ac:dyDescent="0.2">
      <c r="A3724" s="16">
        <v>45919</v>
      </c>
      <c r="B3724" t="s">
        <v>45</v>
      </c>
      <c r="C3724" t="s">
        <v>68</v>
      </c>
      <c r="D3724" t="s">
        <v>50</v>
      </c>
      <c r="E3724" t="s">
        <v>7640</v>
      </c>
      <c r="F3724">
        <v>1</v>
      </c>
      <c r="G3724" s="15">
        <v>2710000</v>
      </c>
      <c r="H3724" s="14">
        <v>0.13075929750140999</v>
      </c>
      <c r="I3724" s="27">
        <f t="shared" si="58"/>
        <v>2355642.3037711792</v>
      </c>
      <c r="J3724">
        <v>3.4</v>
      </c>
      <c r="K3724" t="b">
        <v>1</v>
      </c>
    </row>
    <row r="3725" spans="1:11" ht="16" x14ac:dyDescent="0.2">
      <c r="A3725" s="16">
        <v>45919</v>
      </c>
      <c r="B3725" t="s">
        <v>18</v>
      </c>
      <c r="C3725" t="s">
        <v>25</v>
      </c>
      <c r="D3725" t="s">
        <v>50</v>
      </c>
      <c r="E3725" t="s">
        <v>7641</v>
      </c>
      <c r="F3725">
        <v>2</v>
      </c>
      <c r="G3725" s="15">
        <v>2710000</v>
      </c>
      <c r="H3725" s="14">
        <v>0.13075929750140999</v>
      </c>
      <c r="I3725" s="27">
        <f t="shared" si="58"/>
        <v>2355642.3037711792</v>
      </c>
      <c r="J3725">
        <v>4.7</v>
      </c>
      <c r="K3725" t="b">
        <v>1</v>
      </c>
    </row>
    <row r="3726" spans="1:11" ht="16" x14ac:dyDescent="0.2">
      <c r="A3726" s="16">
        <v>45919</v>
      </c>
      <c r="B3726" t="s">
        <v>45</v>
      </c>
      <c r="C3726" t="s">
        <v>45</v>
      </c>
      <c r="D3726" t="s">
        <v>50</v>
      </c>
      <c r="E3726" t="s">
        <v>99</v>
      </c>
      <c r="F3726">
        <v>2</v>
      </c>
      <c r="G3726" s="15">
        <v>2710000</v>
      </c>
      <c r="H3726" s="14">
        <v>0.13075929750140999</v>
      </c>
      <c r="I3726" s="27">
        <f t="shared" si="58"/>
        <v>2355642.3037711792</v>
      </c>
      <c r="J3726">
        <v>4.4000000000000004</v>
      </c>
      <c r="K3726" t="b">
        <v>0</v>
      </c>
    </row>
    <row r="3727" spans="1:11" ht="16" x14ac:dyDescent="0.2">
      <c r="A3727" s="16">
        <v>45920</v>
      </c>
      <c r="B3727" t="s">
        <v>45</v>
      </c>
      <c r="C3727" t="s">
        <v>45</v>
      </c>
      <c r="D3727" t="s">
        <v>20</v>
      </c>
      <c r="E3727" t="s">
        <v>7641</v>
      </c>
      <c r="F3727">
        <v>1</v>
      </c>
      <c r="G3727" s="15">
        <v>2710000</v>
      </c>
      <c r="H3727" s="14">
        <v>0.13075929750140999</v>
      </c>
      <c r="I3727" s="27">
        <f t="shared" si="58"/>
        <v>2355642.3037711792</v>
      </c>
      <c r="J3727">
        <v>3.6</v>
      </c>
      <c r="K3727" t="b">
        <v>1</v>
      </c>
    </row>
    <row r="3728" spans="1:11" ht="16" x14ac:dyDescent="0.2">
      <c r="A3728" s="16">
        <v>45920</v>
      </c>
      <c r="B3728" t="s">
        <v>18</v>
      </c>
      <c r="C3728" t="s">
        <v>19</v>
      </c>
      <c r="D3728" t="s">
        <v>20</v>
      </c>
      <c r="E3728" t="s">
        <v>7638</v>
      </c>
      <c r="F3728">
        <v>2</v>
      </c>
      <c r="G3728" s="15">
        <v>2710000</v>
      </c>
      <c r="H3728" s="14">
        <v>0.13075929750140999</v>
      </c>
      <c r="I3728" s="27">
        <f t="shared" si="58"/>
        <v>2355642.3037711792</v>
      </c>
      <c r="J3728">
        <v>4.4000000000000004</v>
      </c>
      <c r="K3728" t="b">
        <v>0</v>
      </c>
    </row>
    <row r="3729" spans="1:11" ht="16" x14ac:dyDescent="0.2">
      <c r="A3729" s="16">
        <v>45920</v>
      </c>
      <c r="B3729" t="s">
        <v>18</v>
      </c>
      <c r="C3729" t="s">
        <v>68</v>
      </c>
      <c r="D3729" t="s">
        <v>35</v>
      </c>
      <c r="E3729" t="s">
        <v>7643</v>
      </c>
      <c r="F3729">
        <v>3</v>
      </c>
      <c r="G3729" s="15">
        <v>2710000</v>
      </c>
      <c r="H3729" s="14">
        <v>0.13075929750140999</v>
      </c>
      <c r="I3729" s="27">
        <f t="shared" si="58"/>
        <v>2355642.3037711792</v>
      </c>
      <c r="J3729">
        <v>3.9</v>
      </c>
      <c r="K3729" t="b">
        <v>1</v>
      </c>
    </row>
    <row r="3730" spans="1:11" ht="16" x14ac:dyDescent="0.2">
      <c r="A3730" s="16">
        <v>45920</v>
      </c>
      <c r="B3730" t="s">
        <v>33</v>
      </c>
      <c r="C3730" t="s">
        <v>34</v>
      </c>
      <c r="D3730" t="s">
        <v>20</v>
      </c>
      <c r="E3730" t="s">
        <v>7641</v>
      </c>
      <c r="F3730">
        <v>2</v>
      </c>
      <c r="G3730" s="15">
        <v>2710000</v>
      </c>
      <c r="H3730" s="14">
        <v>0.13075929750140999</v>
      </c>
      <c r="I3730" s="27">
        <f t="shared" si="58"/>
        <v>2355642.3037711792</v>
      </c>
      <c r="J3730">
        <v>4.5</v>
      </c>
      <c r="K3730" t="b">
        <v>1</v>
      </c>
    </row>
    <row r="3731" spans="1:11" ht="16" x14ac:dyDescent="0.2">
      <c r="A3731" s="16">
        <v>45920</v>
      </c>
      <c r="B3731" t="s">
        <v>45</v>
      </c>
      <c r="C3731" t="s">
        <v>34</v>
      </c>
      <c r="D3731" t="s">
        <v>35</v>
      </c>
      <c r="E3731" t="s">
        <v>7640</v>
      </c>
      <c r="F3731">
        <v>1</v>
      </c>
      <c r="G3731" s="15">
        <v>2710000</v>
      </c>
      <c r="H3731" s="14">
        <v>0.13075929750140999</v>
      </c>
      <c r="I3731" s="27">
        <f t="shared" si="58"/>
        <v>2355642.3037711792</v>
      </c>
      <c r="J3731">
        <v>4.0999999999999996</v>
      </c>
      <c r="K3731" t="b">
        <v>1</v>
      </c>
    </row>
    <row r="3732" spans="1:11" ht="16" x14ac:dyDescent="0.2">
      <c r="A3732" s="16">
        <v>45921</v>
      </c>
      <c r="B3732" t="s">
        <v>18</v>
      </c>
      <c r="C3732" t="s">
        <v>39</v>
      </c>
      <c r="D3732" t="s">
        <v>20</v>
      </c>
      <c r="E3732" t="s">
        <v>7639</v>
      </c>
      <c r="F3732">
        <v>1</v>
      </c>
      <c r="G3732" s="15">
        <v>2710000</v>
      </c>
      <c r="H3732" s="14">
        <v>0.13075929750140999</v>
      </c>
      <c r="I3732" s="27">
        <f t="shared" si="58"/>
        <v>2355642.3037711792</v>
      </c>
      <c r="J3732">
        <v>3.3</v>
      </c>
      <c r="K3732" t="b">
        <v>1</v>
      </c>
    </row>
    <row r="3733" spans="1:11" ht="16" x14ac:dyDescent="0.2">
      <c r="A3733" s="16">
        <v>45921</v>
      </c>
      <c r="B3733" t="s">
        <v>33</v>
      </c>
      <c r="C3733" t="s">
        <v>45</v>
      </c>
      <c r="D3733" t="s">
        <v>20</v>
      </c>
      <c r="E3733" t="s">
        <v>57</v>
      </c>
      <c r="F3733">
        <v>1</v>
      </c>
      <c r="G3733" s="15">
        <v>2710000</v>
      </c>
      <c r="H3733" s="14">
        <v>0.13075929750140999</v>
      </c>
      <c r="I3733" s="27">
        <f t="shared" si="58"/>
        <v>2355642.3037711792</v>
      </c>
      <c r="J3733">
        <v>4.3</v>
      </c>
      <c r="K3733" t="b">
        <v>0</v>
      </c>
    </row>
    <row r="3734" spans="1:11" ht="16" x14ac:dyDescent="0.2">
      <c r="A3734" s="16">
        <v>45922</v>
      </c>
      <c r="B3734" t="str">
        <f>B3733</f>
        <v>Student</v>
      </c>
      <c r="C3734" t="s">
        <v>19</v>
      </c>
      <c r="D3734" t="s">
        <v>35</v>
      </c>
      <c r="E3734" t="s">
        <v>7643</v>
      </c>
      <c r="F3734">
        <v>1</v>
      </c>
      <c r="G3734" s="15">
        <v>2710000</v>
      </c>
      <c r="H3734" s="14">
        <v>0.13075929750140999</v>
      </c>
      <c r="I3734" s="27">
        <f t="shared" si="58"/>
        <v>2355642.3037711792</v>
      </c>
      <c r="J3734">
        <v>4.5999999999999996</v>
      </c>
      <c r="K3734" t="b">
        <v>1</v>
      </c>
    </row>
    <row r="3735" spans="1:11" ht="16" x14ac:dyDescent="0.2">
      <c r="A3735" s="16">
        <v>45922</v>
      </c>
      <c r="B3735" t="s">
        <v>29</v>
      </c>
      <c r="C3735" t="s">
        <v>34</v>
      </c>
      <c r="D3735" t="s">
        <v>35</v>
      </c>
      <c r="E3735" t="s">
        <v>7638</v>
      </c>
      <c r="F3735">
        <v>3</v>
      </c>
      <c r="G3735" s="15">
        <v>2710000</v>
      </c>
      <c r="H3735" s="14">
        <v>0.13075929750140999</v>
      </c>
      <c r="I3735" s="27">
        <f t="shared" si="58"/>
        <v>2355642.3037711792</v>
      </c>
      <c r="J3735">
        <v>4.4000000000000004</v>
      </c>
      <c r="K3735" t="b">
        <v>1</v>
      </c>
    </row>
    <row r="3736" spans="1:11" ht="16" x14ac:dyDescent="0.2">
      <c r="A3736" s="16">
        <v>45922</v>
      </c>
      <c r="B3736" t="s">
        <v>18</v>
      </c>
      <c r="C3736" t="s">
        <v>34</v>
      </c>
      <c r="D3736" t="s">
        <v>20</v>
      </c>
      <c r="E3736" t="s">
        <v>7641</v>
      </c>
      <c r="F3736">
        <v>2</v>
      </c>
      <c r="G3736" s="15">
        <v>2710000</v>
      </c>
      <c r="H3736" s="14">
        <v>0.13075929750140999</v>
      </c>
      <c r="I3736" s="27">
        <f t="shared" si="58"/>
        <v>2355642.3037711792</v>
      </c>
      <c r="J3736">
        <v>4.0999999999999996</v>
      </c>
      <c r="K3736" t="b">
        <v>1</v>
      </c>
    </row>
    <row r="3737" spans="1:11" ht="16" x14ac:dyDescent="0.2">
      <c r="A3737" s="16">
        <v>45922</v>
      </c>
      <c r="B3737" t="s">
        <v>45</v>
      </c>
      <c r="C3737" t="s">
        <v>19</v>
      </c>
      <c r="D3737" t="s">
        <v>20</v>
      </c>
      <c r="E3737" t="s">
        <v>7638</v>
      </c>
      <c r="F3737">
        <v>1</v>
      </c>
      <c r="G3737" s="15">
        <v>2710000</v>
      </c>
      <c r="H3737" s="14">
        <v>0.13075929750140999</v>
      </c>
      <c r="I3737" s="27">
        <f t="shared" si="58"/>
        <v>2355642.3037711792</v>
      </c>
      <c r="J3737">
        <v>4.4000000000000004</v>
      </c>
      <c r="K3737" t="b">
        <v>1</v>
      </c>
    </row>
    <row r="3738" spans="1:11" ht="16" x14ac:dyDescent="0.2">
      <c r="A3738" s="16">
        <v>45923</v>
      </c>
      <c r="B3738" t="s">
        <v>45</v>
      </c>
      <c r="C3738" t="s">
        <v>19</v>
      </c>
      <c r="D3738" t="s">
        <v>20</v>
      </c>
      <c r="E3738" t="s">
        <v>7643</v>
      </c>
      <c r="F3738">
        <v>2</v>
      </c>
      <c r="G3738" s="15">
        <v>2710000</v>
      </c>
      <c r="H3738" s="14">
        <v>0.13075929750140999</v>
      </c>
      <c r="I3738" s="27">
        <f t="shared" si="58"/>
        <v>2355642.3037711792</v>
      </c>
      <c r="J3738">
        <v>4.9000000000000004</v>
      </c>
      <c r="K3738" t="b">
        <v>1</v>
      </c>
    </row>
    <row r="3739" spans="1:11" ht="16" x14ac:dyDescent="0.2">
      <c r="A3739" s="16">
        <v>45923</v>
      </c>
      <c r="B3739" t="s">
        <v>29</v>
      </c>
      <c r="C3739" t="s">
        <v>45</v>
      </c>
      <c r="D3739" t="s">
        <v>20</v>
      </c>
      <c r="E3739" t="s">
        <v>99</v>
      </c>
      <c r="F3739">
        <v>2</v>
      </c>
      <c r="G3739" s="15">
        <v>2710000</v>
      </c>
      <c r="H3739" s="14">
        <v>0.13075929750140999</v>
      </c>
      <c r="I3739" s="27">
        <f t="shared" si="58"/>
        <v>2355642.3037711792</v>
      </c>
      <c r="J3739">
        <v>4</v>
      </c>
      <c r="K3739" t="b">
        <v>1</v>
      </c>
    </row>
    <row r="3740" spans="1:11" ht="16" x14ac:dyDescent="0.2">
      <c r="A3740" s="16">
        <v>45923</v>
      </c>
      <c r="B3740" t="s">
        <v>18</v>
      </c>
      <c r="C3740" t="s">
        <v>45</v>
      </c>
      <c r="D3740" t="s">
        <v>50</v>
      </c>
      <c r="E3740" t="s">
        <v>57</v>
      </c>
      <c r="F3740">
        <v>2</v>
      </c>
      <c r="G3740" s="15">
        <v>2710000</v>
      </c>
      <c r="H3740" s="14">
        <v>0.13075929750140999</v>
      </c>
      <c r="I3740" s="27">
        <f t="shared" si="58"/>
        <v>2355642.3037711792</v>
      </c>
      <c r="J3740">
        <v>4.0999999999999996</v>
      </c>
      <c r="K3740" t="b">
        <v>1</v>
      </c>
    </row>
    <row r="3741" spans="1:11" ht="16" x14ac:dyDescent="0.2">
      <c r="A3741" s="16">
        <v>45923</v>
      </c>
      <c r="B3741" t="s">
        <v>18</v>
      </c>
      <c r="C3741" t="s">
        <v>19</v>
      </c>
      <c r="D3741" t="s">
        <v>35</v>
      </c>
      <c r="E3741" t="s">
        <v>7641</v>
      </c>
      <c r="F3741">
        <v>1</v>
      </c>
      <c r="G3741" s="15">
        <v>2710000</v>
      </c>
      <c r="H3741" s="14">
        <v>0.13075929750140999</v>
      </c>
      <c r="I3741" s="27">
        <f t="shared" si="58"/>
        <v>2355642.3037711792</v>
      </c>
      <c r="J3741">
        <v>4</v>
      </c>
      <c r="K3741" t="b">
        <v>1</v>
      </c>
    </row>
    <row r="3742" spans="1:11" ht="16" x14ac:dyDescent="0.2">
      <c r="A3742" s="16">
        <v>45924</v>
      </c>
      <c r="B3742" t="s">
        <v>18</v>
      </c>
      <c r="C3742" t="s">
        <v>34</v>
      </c>
      <c r="D3742" t="s">
        <v>35</v>
      </c>
      <c r="E3742" t="s">
        <v>7640</v>
      </c>
      <c r="F3742">
        <v>2</v>
      </c>
      <c r="G3742" s="15">
        <v>2710000</v>
      </c>
      <c r="H3742" s="14">
        <v>0.13075929750140999</v>
      </c>
      <c r="I3742" s="27">
        <f t="shared" si="58"/>
        <v>2355642.3037711792</v>
      </c>
      <c r="J3742">
        <v>4.5999999999999996</v>
      </c>
      <c r="K3742" t="b">
        <v>1</v>
      </c>
    </row>
    <row r="3743" spans="1:11" ht="16" x14ac:dyDescent="0.2">
      <c r="A3743" s="16">
        <v>45924</v>
      </c>
      <c r="B3743" t="str">
        <f>B3742</f>
        <v>Young Professional</v>
      </c>
      <c r="C3743" t="s">
        <v>34</v>
      </c>
      <c r="D3743" t="s">
        <v>20</v>
      </c>
      <c r="E3743" t="s">
        <v>7644</v>
      </c>
      <c r="F3743">
        <v>2</v>
      </c>
      <c r="G3743" s="15">
        <v>2710000</v>
      </c>
      <c r="H3743" s="14">
        <v>0.13075929750140999</v>
      </c>
      <c r="I3743" s="27">
        <f t="shared" si="58"/>
        <v>2355642.3037711792</v>
      </c>
      <c r="J3743">
        <v>4.0999999999999996</v>
      </c>
      <c r="K3743" t="b">
        <v>0</v>
      </c>
    </row>
    <row r="3744" spans="1:11" ht="16" x14ac:dyDescent="0.2">
      <c r="A3744" s="16">
        <v>45924</v>
      </c>
      <c r="B3744" t="s">
        <v>33</v>
      </c>
      <c r="C3744" t="s">
        <v>34</v>
      </c>
      <c r="D3744" t="s">
        <v>35</v>
      </c>
      <c r="E3744" t="s">
        <v>7639</v>
      </c>
      <c r="F3744">
        <v>1</v>
      </c>
      <c r="G3744" s="15">
        <v>2710000</v>
      </c>
      <c r="H3744" s="14">
        <v>0.13075929750140999</v>
      </c>
      <c r="I3744" s="27">
        <f t="shared" si="58"/>
        <v>2355642.3037711792</v>
      </c>
      <c r="J3744">
        <v>4.5</v>
      </c>
      <c r="K3744" t="b">
        <v>1</v>
      </c>
    </row>
    <row r="3745" spans="1:11" ht="16" x14ac:dyDescent="0.2">
      <c r="A3745" s="16">
        <v>45924</v>
      </c>
      <c r="B3745" t="s">
        <v>33</v>
      </c>
      <c r="C3745" t="s">
        <v>19</v>
      </c>
      <c r="D3745" t="s">
        <v>20</v>
      </c>
      <c r="E3745" t="s">
        <v>57</v>
      </c>
      <c r="F3745">
        <v>1</v>
      </c>
      <c r="G3745" s="15">
        <v>2710000</v>
      </c>
      <c r="H3745" s="14">
        <v>0.13075929750140999</v>
      </c>
      <c r="I3745" s="27">
        <f t="shared" si="58"/>
        <v>2355642.3037711792</v>
      </c>
      <c r="J3745">
        <v>5</v>
      </c>
      <c r="K3745" t="b">
        <v>1</v>
      </c>
    </row>
    <row r="3746" spans="1:11" ht="16" x14ac:dyDescent="0.2">
      <c r="A3746" s="16">
        <v>45925</v>
      </c>
      <c r="B3746" t="s">
        <v>45</v>
      </c>
      <c r="C3746" t="s">
        <v>19</v>
      </c>
      <c r="D3746" t="s">
        <v>35</v>
      </c>
      <c r="E3746" t="s">
        <v>57</v>
      </c>
      <c r="F3746">
        <v>2</v>
      </c>
      <c r="G3746" s="15">
        <v>2710000</v>
      </c>
      <c r="H3746" s="14">
        <v>0.13075929750140999</v>
      </c>
      <c r="I3746" s="27">
        <f t="shared" si="58"/>
        <v>2355642.3037711792</v>
      </c>
      <c r="J3746">
        <v>3.9</v>
      </c>
      <c r="K3746" t="b">
        <v>1</v>
      </c>
    </row>
    <row r="3747" spans="1:11" ht="16" x14ac:dyDescent="0.2">
      <c r="A3747" s="16">
        <v>45925</v>
      </c>
      <c r="B3747" t="s">
        <v>18</v>
      </c>
      <c r="C3747" t="s">
        <v>39</v>
      </c>
      <c r="D3747" t="s">
        <v>20</v>
      </c>
      <c r="E3747" t="s">
        <v>7642</v>
      </c>
      <c r="F3747">
        <v>1</v>
      </c>
      <c r="G3747" s="15">
        <v>2710000</v>
      </c>
      <c r="H3747" s="14">
        <v>0.13075929750140999</v>
      </c>
      <c r="I3747" s="27">
        <f t="shared" si="58"/>
        <v>2355642.3037711792</v>
      </c>
      <c r="J3747">
        <v>4.3</v>
      </c>
      <c r="K3747" t="b">
        <v>1</v>
      </c>
    </row>
    <row r="3748" spans="1:11" ht="16" x14ac:dyDescent="0.2">
      <c r="A3748" s="16">
        <v>45925</v>
      </c>
      <c r="B3748" t="s">
        <v>29</v>
      </c>
      <c r="C3748" t="s">
        <v>34</v>
      </c>
      <c r="D3748" t="s">
        <v>35</v>
      </c>
      <c r="E3748" t="s">
        <v>7643</v>
      </c>
      <c r="F3748">
        <v>1</v>
      </c>
      <c r="G3748" s="15">
        <v>2710000</v>
      </c>
      <c r="H3748" s="14">
        <v>0.13075929750140999</v>
      </c>
      <c r="I3748" s="27">
        <f t="shared" si="58"/>
        <v>2355642.3037711792</v>
      </c>
      <c r="J3748">
        <v>4.0999999999999996</v>
      </c>
      <c r="K3748" t="b">
        <v>1</v>
      </c>
    </row>
    <row r="3749" spans="1:11" ht="16" x14ac:dyDescent="0.2">
      <c r="A3749" s="16">
        <v>45925</v>
      </c>
      <c r="B3749" t="s">
        <v>29</v>
      </c>
      <c r="C3749" t="s">
        <v>19</v>
      </c>
      <c r="D3749" t="s">
        <v>35</v>
      </c>
      <c r="E3749" t="s">
        <v>7637</v>
      </c>
      <c r="F3749">
        <v>1</v>
      </c>
      <c r="G3749" s="15">
        <v>2710000</v>
      </c>
      <c r="H3749" s="14">
        <v>0.13075929750140999</v>
      </c>
      <c r="I3749" s="27">
        <f t="shared" si="58"/>
        <v>2355642.3037711792</v>
      </c>
      <c r="J3749">
        <v>4.5999999999999996</v>
      </c>
      <c r="K3749" t="b">
        <v>1</v>
      </c>
    </row>
    <row r="3750" spans="1:11" ht="16" x14ac:dyDescent="0.2">
      <c r="A3750" s="16">
        <v>45926</v>
      </c>
      <c r="B3750" t="s">
        <v>18</v>
      </c>
      <c r="C3750" t="s">
        <v>19</v>
      </c>
      <c r="D3750" t="s">
        <v>20</v>
      </c>
      <c r="E3750" t="s">
        <v>7639</v>
      </c>
      <c r="F3750">
        <v>3</v>
      </c>
      <c r="G3750" s="15">
        <v>2710000</v>
      </c>
      <c r="H3750" s="14">
        <v>0.13075929750140999</v>
      </c>
      <c r="I3750" s="27">
        <f t="shared" si="58"/>
        <v>2355642.3037711792</v>
      </c>
      <c r="J3750">
        <v>4.5999999999999996</v>
      </c>
      <c r="K3750" t="b">
        <v>1</v>
      </c>
    </row>
    <row r="3751" spans="1:11" ht="16" x14ac:dyDescent="0.2">
      <c r="A3751" s="16">
        <v>45926</v>
      </c>
      <c r="B3751" t="s">
        <v>33</v>
      </c>
      <c r="C3751" t="s">
        <v>19</v>
      </c>
      <c r="D3751" t="s">
        <v>50</v>
      </c>
      <c r="E3751" t="s">
        <v>7642</v>
      </c>
      <c r="F3751">
        <v>1</v>
      </c>
      <c r="G3751" s="15">
        <v>2710000</v>
      </c>
      <c r="H3751" s="14">
        <v>0.13075929750140999</v>
      </c>
      <c r="I3751" s="27">
        <f t="shared" si="58"/>
        <v>2355642.3037711792</v>
      </c>
      <c r="J3751">
        <v>4.0999999999999996</v>
      </c>
      <c r="K3751" t="b">
        <v>1</v>
      </c>
    </row>
    <row r="3752" spans="1:11" ht="16" x14ac:dyDescent="0.2">
      <c r="A3752" s="16">
        <v>45926</v>
      </c>
      <c r="B3752" t="s">
        <v>33</v>
      </c>
      <c r="C3752" t="s">
        <v>19</v>
      </c>
      <c r="D3752" t="s">
        <v>20</v>
      </c>
      <c r="E3752" t="s">
        <v>7637</v>
      </c>
      <c r="F3752">
        <v>1</v>
      </c>
      <c r="G3752" s="15">
        <v>2710000</v>
      </c>
      <c r="H3752" s="14">
        <v>0.13075929750140999</v>
      </c>
      <c r="I3752" s="27">
        <f t="shared" si="58"/>
        <v>2355642.3037711792</v>
      </c>
      <c r="J3752">
        <v>4.2</v>
      </c>
      <c r="K3752" t="b">
        <v>1</v>
      </c>
    </row>
    <row r="3753" spans="1:11" ht="16" x14ac:dyDescent="0.2">
      <c r="A3753" s="16">
        <v>45927</v>
      </c>
      <c r="B3753" t="s">
        <v>18</v>
      </c>
      <c r="C3753" t="s">
        <v>34</v>
      </c>
      <c r="D3753" t="s">
        <v>20</v>
      </c>
      <c r="E3753" t="s">
        <v>7644</v>
      </c>
      <c r="F3753">
        <v>2</v>
      </c>
      <c r="G3753" s="15">
        <v>2710000</v>
      </c>
      <c r="H3753" s="14">
        <v>0.13075929750140999</v>
      </c>
      <c r="I3753" s="27">
        <f t="shared" si="58"/>
        <v>2355642.3037711792</v>
      </c>
      <c r="J3753">
        <v>4</v>
      </c>
      <c r="K3753" t="b">
        <v>1</v>
      </c>
    </row>
    <row r="3754" spans="1:11" ht="16" x14ac:dyDescent="0.2">
      <c r="A3754" s="16">
        <v>45927</v>
      </c>
      <c r="B3754" t="s">
        <v>18</v>
      </c>
      <c r="C3754" t="s">
        <v>45</v>
      </c>
      <c r="D3754" t="s">
        <v>35</v>
      </c>
      <c r="E3754" t="s">
        <v>7641</v>
      </c>
      <c r="F3754">
        <v>4</v>
      </c>
      <c r="G3754" s="15">
        <v>2710000</v>
      </c>
      <c r="H3754" s="14">
        <v>0.13075929750140999</v>
      </c>
      <c r="I3754" s="27">
        <f t="shared" si="58"/>
        <v>2355642.3037711792</v>
      </c>
      <c r="J3754">
        <v>3.9</v>
      </c>
      <c r="K3754" t="b">
        <v>1</v>
      </c>
    </row>
    <row r="3755" spans="1:11" ht="16" x14ac:dyDescent="0.2">
      <c r="A3755" s="16">
        <v>45927</v>
      </c>
      <c r="B3755" t="s">
        <v>45</v>
      </c>
      <c r="C3755" t="s">
        <v>25</v>
      </c>
      <c r="D3755" t="s">
        <v>20</v>
      </c>
      <c r="E3755" t="s">
        <v>7643</v>
      </c>
      <c r="F3755">
        <v>1</v>
      </c>
      <c r="G3755" s="15">
        <v>2710000</v>
      </c>
      <c r="H3755" s="14">
        <v>0.13075929750140999</v>
      </c>
      <c r="I3755" s="27">
        <f t="shared" si="58"/>
        <v>2355642.3037711792</v>
      </c>
      <c r="J3755">
        <v>3.9</v>
      </c>
      <c r="K3755" t="b">
        <v>1</v>
      </c>
    </row>
    <row r="3756" spans="1:11" ht="16" x14ac:dyDescent="0.2">
      <c r="A3756" s="16">
        <v>45927</v>
      </c>
      <c r="B3756" t="s">
        <v>33</v>
      </c>
      <c r="C3756" t="s">
        <v>34</v>
      </c>
      <c r="D3756" t="s">
        <v>20</v>
      </c>
      <c r="E3756" t="s">
        <v>7644</v>
      </c>
      <c r="F3756">
        <v>4</v>
      </c>
      <c r="G3756" s="15">
        <v>2710000</v>
      </c>
      <c r="H3756" s="14">
        <v>0.13075929750140999</v>
      </c>
      <c r="I3756" s="27">
        <f t="shared" si="58"/>
        <v>2355642.3037711792</v>
      </c>
      <c r="J3756">
        <v>4.4000000000000004</v>
      </c>
      <c r="K3756" t="b">
        <v>1</v>
      </c>
    </row>
    <row r="3757" spans="1:11" ht="16" x14ac:dyDescent="0.2">
      <c r="A3757" s="16">
        <v>45927</v>
      </c>
      <c r="B3757" t="s">
        <v>18</v>
      </c>
      <c r="C3757" t="s">
        <v>19</v>
      </c>
      <c r="D3757" t="s">
        <v>20</v>
      </c>
      <c r="E3757" t="s">
        <v>7639</v>
      </c>
      <c r="F3757">
        <v>3</v>
      </c>
      <c r="G3757" s="15">
        <v>2710000</v>
      </c>
      <c r="H3757" s="14">
        <v>0.13075929750140999</v>
      </c>
      <c r="I3757" s="27">
        <f t="shared" si="58"/>
        <v>2355642.3037711792</v>
      </c>
      <c r="J3757">
        <v>4.4000000000000004</v>
      </c>
      <c r="K3757" t="b">
        <v>1</v>
      </c>
    </row>
    <row r="3758" spans="1:11" ht="16" x14ac:dyDescent="0.2">
      <c r="A3758" s="16">
        <v>45927</v>
      </c>
      <c r="B3758" t="s">
        <v>18</v>
      </c>
      <c r="C3758" t="s">
        <v>39</v>
      </c>
      <c r="D3758" t="s">
        <v>20</v>
      </c>
      <c r="E3758" t="s">
        <v>7639</v>
      </c>
      <c r="F3758">
        <v>3</v>
      </c>
      <c r="G3758" s="15">
        <v>2710000</v>
      </c>
      <c r="H3758" s="14">
        <v>0.13075929750140999</v>
      </c>
      <c r="I3758" s="27">
        <f t="shared" si="58"/>
        <v>2355642.3037711792</v>
      </c>
      <c r="J3758">
        <v>4.5</v>
      </c>
      <c r="K3758" t="b">
        <v>1</v>
      </c>
    </row>
    <row r="3759" spans="1:11" ht="16" x14ac:dyDescent="0.2">
      <c r="A3759" s="16">
        <v>45928</v>
      </c>
      <c r="B3759" t="s">
        <v>29</v>
      </c>
      <c r="C3759" t="s">
        <v>19</v>
      </c>
      <c r="D3759" t="s">
        <v>20</v>
      </c>
      <c r="E3759" t="s">
        <v>7643</v>
      </c>
      <c r="F3759">
        <v>4</v>
      </c>
      <c r="G3759" s="15">
        <v>2710000</v>
      </c>
      <c r="H3759" s="14">
        <v>0.13075929750140999</v>
      </c>
      <c r="I3759" s="27">
        <f t="shared" si="58"/>
        <v>2355642.3037711792</v>
      </c>
      <c r="J3759">
        <v>4.7</v>
      </c>
      <c r="K3759" t="b">
        <v>1</v>
      </c>
    </row>
    <row r="3760" spans="1:11" ht="16" x14ac:dyDescent="0.2">
      <c r="A3760" s="16">
        <v>45928</v>
      </c>
      <c r="B3760" t="s">
        <v>45</v>
      </c>
      <c r="C3760" t="s">
        <v>34</v>
      </c>
      <c r="D3760" t="s">
        <v>35</v>
      </c>
      <c r="E3760" t="str">
        <f>E3759</f>
        <v>TP. HCM</v>
      </c>
      <c r="F3760">
        <v>1</v>
      </c>
      <c r="G3760" s="15">
        <v>2710000</v>
      </c>
      <c r="H3760" s="14">
        <v>0.13075929750140999</v>
      </c>
      <c r="I3760" s="27">
        <f t="shared" si="58"/>
        <v>2355642.3037711792</v>
      </c>
      <c r="J3760">
        <v>4</v>
      </c>
      <c r="K3760" t="b">
        <v>1</v>
      </c>
    </row>
    <row r="3761" spans="1:11" ht="16" x14ac:dyDescent="0.2">
      <c r="A3761" s="16">
        <v>45928</v>
      </c>
      <c r="B3761" t="s">
        <v>18</v>
      </c>
      <c r="C3761" t="s">
        <v>34</v>
      </c>
      <c r="D3761" t="s">
        <v>35</v>
      </c>
      <c r="E3761" t="str">
        <f>E3760</f>
        <v>TP. HCM</v>
      </c>
      <c r="F3761">
        <v>1</v>
      </c>
      <c r="G3761" s="15">
        <v>2710000</v>
      </c>
      <c r="H3761" s="14">
        <v>0.13075929750140999</v>
      </c>
      <c r="I3761" s="27">
        <f t="shared" si="58"/>
        <v>2355642.3037711792</v>
      </c>
      <c r="J3761">
        <v>4</v>
      </c>
      <c r="K3761" t="b">
        <v>1</v>
      </c>
    </row>
    <row r="3762" spans="1:11" ht="16" x14ac:dyDescent="0.2">
      <c r="A3762" s="16">
        <v>45928</v>
      </c>
      <c r="B3762" t="s">
        <v>33</v>
      </c>
      <c r="C3762" t="s">
        <v>19</v>
      </c>
      <c r="D3762" t="s">
        <v>20</v>
      </c>
      <c r="E3762" t="s">
        <v>7639</v>
      </c>
      <c r="F3762">
        <v>3</v>
      </c>
      <c r="G3762" s="15">
        <v>2710000</v>
      </c>
      <c r="H3762" s="14">
        <v>0.13075929750140999</v>
      </c>
      <c r="I3762" s="27">
        <f t="shared" si="58"/>
        <v>2355642.3037711792</v>
      </c>
      <c r="J3762">
        <v>4.5999999999999996</v>
      </c>
      <c r="K3762" t="b">
        <v>1</v>
      </c>
    </row>
    <row r="3763" spans="1:11" ht="16" x14ac:dyDescent="0.2">
      <c r="A3763" s="16">
        <v>45928</v>
      </c>
      <c r="B3763" t="s">
        <v>18</v>
      </c>
      <c r="C3763" t="s">
        <v>45</v>
      </c>
      <c r="D3763" t="str">
        <f>D3762</f>
        <v>Website</v>
      </c>
      <c r="E3763" t="s">
        <v>7640</v>
      </c>
      <c r="F3763">
        <v>1</v>
      </c>
      <c r="G3763" s="15">
        <v>2710000</v>
      </c>
      <c r="H3763" s="14">
        <v>0.13075929750140999</v>
      </c>
      <c r="I3763" s="27">
        <f t="shared" si="58"/>
        <v>2355642.3037711792</v>
      </c>
      <c r="J3763">
        <v>5</v>
      </c>
      <c r="K3763" t="b">
        <v>1</v>
      </c>
    </row>
    <row r="3764" spans="1:11" ht="16" x14ac:dyDescent="0.2">
      <c r="A3764" s="16">
        <v>45928</v>
      </c>
      <c r="B3764" t="s">
        <v>18</v>
      </c>
      <c r="C3764" t="s">
        <v>45</v>
      </c>
      <c r="D3764" t="s">
        <v>20</v>
      </c>
      <c r="E3764" t="s">
        <v>7642</v>
      </c>
      <c r="F3764">
        <v>4</v>
      </c>
      <c r="G3764" s="15">
        <v>2710000</v>
      </c>
      <c r="H3764" s="14">
        <v>0.13075929750140999</v>
      </c>
      <c r="I3764" s="27">
        <f t="shared" si="58"/>
        <v>2355642.3037711792</v>
      </c>
      <c r="J3764">
        <v>3.8</v>
      </c>
      <c r="K3764" t="b">
        <v>0</v>
      </c>
    </row>
    <row r="3765" spans="1:11" ht="16" x14ac:dyDescent="0.2">
      <c r="A3765" s="16">
        <v>45928</v>
      </c>
      <c r="B3765" t="s">
        <v>45</v>
      </c>
      <c r="C3765" t="s">
        <v>39</v>
      </c>
      <c r="D3765" t="s">
        <v>50</v>
      </c>
      <c r="E3765" t="s">
        <v>7644</v>
      </c>
      <c r="F3765">
        <v>1</v>
      </c>
      <c r="G3765" s="15">
        <v>2710000</v>
      </c>
      <c r="H3765" s="14">
        <v>0.13075929750140999</v>
      </c>
      <c r="I3765" s="27">
        <f t="shared" si="58"/>
        <v>2355642.3037711792</v>
      </c>
      <c r="J3765">
        <v>4.7</v>
      </c>
      <c r="K3765" t="b">
        <v>1</v>
      </c>
    </row>
    <row r="3766" spans="1:11" ht="16" x14ac:dyDescent="0.2">
      <c r="A3766" s="16">
        <v>45929</v>
      </c>
      <c r="B3766" t="s">
        <v>18</v>
      </c>
      <c r="C3766" t="s">
        <v>25</v>
      </c>
      <c r="D3766" t="s">
        <v>20</v>
      </c>
      <c r="E3766" t="str">
        <f>E3765</f>
        <v>Hạ Long</v>
      </c>
      <c r="F3766">
        <v>2</v>
      </c>
      <c r="G3766" s="15">
        <v>2710000</v>
      </c>
      <c r="H3766" s="14">
        <v>0.13075929750140999</v>
      </c>
      <c r="I3766" s="27">
        <f t="shared" si="58"/>
        <v>2355642.3037711792</v>
      </c>
      <c r="J3766">
        <v>4.4000000000000004</v>
      </c>
      <c r="K3766" t="b">
        <v>0</v>
      </c>
    </row>
    <row r="3767" spans="1:11" ht="16" x14ac:dyDescent="0.2">
      <c r="A3767" s="16">
        <v>45929</v>
      </c>
      <c r="B3767" t="s">
        <v>45</v>
      </c>
      <c r="C3767" t="s">
        <v>68</v>
      </c>
      <c r="D3767" t="s">
        <v>46</v>
      </c>
      <c r="E3767" t="s">
        <v>7639</v>
      </c>
      <c r="F3767">
        <v>1</v>
      </c>
      <c r="G3767" s="15">
        <v>2710000</v>
      </c>
      <c r="H3767" s="14">
        <v>0.13075929750140999</v>
      </c>
      <c r="I3767" s="27">
        <f t="shared" si="58"/>
        <v>2355642.3037711792</v>
      </c>
      <c r="J3767">
        <v>3.9</v>
      </c>
      <c r="K3767" t="b">
        <v>1</v>
      </c>
    </row>
    <row r="3768" spans="1:11" ht="16" x14ac:dyDescent="0.2">
      <c r="A3768" s="16">
        <v>45929</v>
      </c>
      <c r="B3768" t="str">
        <f>B3767</f>
        <v>Family</v>
      </c>
      <c r="C3768" t="s">
        <v>25</v>
      </c>
      <c r="D3768" t="s">
        <v>50</v>
      </c>
      <c r="E3768" t="s">
        <v>7639</v>
      </c>
      <c r="F3768">
        <v>1</v>
      </c>
      <c r="G3768" s="15">
        <v>2710000</v>
      </c>
      <c r="H3768" s="14">
        <v>0.13075929750140999</v>
      </c>
      <c r="I3768" s="27">
        <f t="shared" si="58"/>
        <v>2355642.3037711792</v>
      </c>
      <c r="J3768">
        <v>3.9</v>
      </c>
      <c r="K3768" t="b">
        <v>0</v>
      </c>
    </row>
    <row r="3769" spans="1:11" ht="16" x14ac:dyDescent="0.2">
      <c r="A3769" s="16">
        <v>45929</v>
      </c>
      <c r="B3769" t="s">
        <v>18</v>
      </c>
      <c r="C3769" t="s">
        <v>25</v>
      </c>
      <c r="D3769" t="s">
        <v>50</v>
      </c>
      <c r="E3769" t="s">
        <v>7643</v>
      </c>
      <c r="F3769">
        <v>2</v>
      </c>
      <c r="G3769" s="15">
        <v>2710000</v>
      </c>
      <c r="H3769" s="14">
        <v>0.13075929750140999</v>
      </c>
      <c r="I3769" s="27">
        <f t="shared" si="58"/>
        <v>2355642.3037711792</v>
      </c>
      <c r="J3769">
        <v>5</v>
      </c>
      <c r="K3769" t="b">
        <v>1</v>
      </c>
    </row>
    <row r="3770" spans="1:11" ht="16" x14ac:dyDescent="0.2">
      <c r="A3770" s="16">
        <v>45930</v>
      </c>
      <c r="B3770" t="s">
        <v>18</v>
      </c>
      <c r="C3770" t="s">
        <v>45</v>
      </c>
      <c r="D3770" t="s">
        <v>50</v>
      </c>
      <c r="E3770" t="s">
        <v>7641</v>
      </c>
      <c r="F3770">
        <v>1</v>
      </c>
      <c r="G3770" s="15">
        <v>2710000</v>
      </c>
      <c r="H3770" s="14">
        <v>0.13075929750140999</v>
      </c>
      <c r="I3770" s="27">
        <f t="shared" si="58"/>
        <v>2355642.3037711792</v>
      </c>
      <c r="J3770">
        <v>4.0999999999999996</v>
      </c>
      <c r="K3770" t="b">
        <v>1</v>
      </c>
    </row>
    <row r="3771" spans="1:11" ht="16" x14ac:dyDescent="0.2">
      <c r="A3771" s="16">
        <v>45931</v>
      </c>
      <c r="B3771" t="s">
        <v>18</v>
      </c>
      <c r="C3771" t="s">
        <v>19</v>
      </c>
      <c r="D3771" t="s">
        <v>20</v>
      </c>
      <c r="E3771" t="s">
        <v>7640</v>
      </c>
      <c r="F3771">
        <v>2</v>
      </c>
      <c r="G3771" s="15">
        <v>2710000</v>
      </c>
      <c r="H3771" s="14">
        <v>0.13075929750140999</v>
      </c>
      <c r="I3771" s="27">
        <f t="shared" si="58"/>
        <v>2355642.3037711792</v>
      </c>
      <c r="J3771">
        <v>4.2</v>
      </c>
      <c r="K3771" t="b">
        <v>1</v>
      </c>
    </row>
    <row r="3772" spans="1:11" ht="16" x14ac:dyDescent="0.2">
      <c r="A3772" s="16">
        <v>45931</v>
      </c>
      <c r="B3772" t="s">
        <v>29</v>
      </c>
      <c r="C3772" t="s">
        <v>34</v>
      </c>
      <c r="D3772" t="s">
        <v>20</v>
      </c>
      <c r="E3772" t="s">
        <v>7638</v>
      </c>
      <c r="F3772">
        <v>3</v>
      </c>
      <c r="G3772" s="15">
        <v>2710000</v>
      </c>
      <c r="H3772" s="14">
        <v>0.13075929750140999</v>
      </c>
      <c r="I3772" s="27">
        <f t="shared" si="58"/>
        <v>2355642.3037711792</v>
      </c>
      <c r="J3772">
        <v>4.7</v>
      </c>
      <c r="K3772" t="b">
        <v>1</v>
      </c>
    </row>
    <row r="3773" spans="1:11" ht="16" x14ac:dyDescent="0.2">
      <c r="A3773" s="16">
        <v>45931</v>
      </c>
      <c r="B3773" t="s">
        <v>45</v>
      </c>
      <c r="C3773" t="s">
        <v>25</v>
      </c>
      <c r="D3773" t="s">
        <v>20</v>
      </c>
      <c r="E3773" t="s">
        <v>7644</v>
      </c>
      <c r="F3773">
        <v>1</v>
      </c>
      <c r="G3773" s="15">
        <v>2710000</v>
      </c>
      <c r="H3773" s="14">
        <v>0.13075929750140999</v>
      </c>
      <c r="I3773" s="27">
        <f t="shared" si="58"/>
        <v>2355642.3037711792</v>
      </c>
      <c r="J3773">
        <v>4.3</v>
      </c>
      <c r="K3773" t="b">
        <v>1</v>
      </c>
    </row>
    <row r="3774" spans="1:11" ht="16" x14ac:dyDescent="0.2">
      <c r="A3774" s="16">
        <v>45931</v>
      </c>
      <c r="B3774" t="s">
        <v>45</v>
      </c>
      <c r="C3774" t="s">
        <v>25</v>
      </c>
      <c r="D3774" t="s">
        <v>35</v>
      </c>
      <c r="E3774" t="s">
        <v>7637</v>
      </c>
      <c r="F3774">
        <v>2</v>
      </c>
      <c r="G3774" s="15">
        <v>2710000</v>
      </c>
      <c r="H3774" s="14">
        <v>0.13075929750140999</v>
      </c>
      <c r="I3774" s="27">
        <f t="shared" si="58"/>
        <v>2355642.3037711792</v>
      </c>
      <c r="J3774">
        <v>3.3</v>
      </c>
      <c r="K3774" t="b">
        <v>0</v>
      </c>
    </row>
    <row r="3775" spans="1:11" ht="16" x14ac:dyDescent="0.2">
      <c r="A3775" s="16">
        <v>45932</v>
      </c>
      <c r="B3775" t="s">
        <v>18</v>
      </c>
      <c r="C3775" t="s">
        <v>45</v>
      </c>
      <c r="D3775" t="s">
        <v>50</v>
      </c>
      <c r="E3775" t="s">
        <v>7643</v>
      </c>
      <c r="F3775">
        <v>3</v>
      </c>
      <c r="G3775" s="15">
        <v>2710000</v>
      </c>
      <c r="H3775" s="14">
        <v>0.13075929750140999</v>
      </c>
      <c r="I3775" s="27">
        <f t="shared" si="58"/>
        <v>2355642.3037711792</v>
      </c>
      <c r="J3775">
        <v>3.9</v>
      </c>
      <c r="K3775" t="b">
        <v>1</v>
      </c>
    </row>
    <row r="3776" spans="1:11" ht="16" x14ac:dyDescent="0.2">
      <c r="A3776" s="16">
        <v>45932</v>
      </c>
      <c r="B3776" t="s">
        <v>29</v>
      </c>
      <c r="C3776" t="s">
        <v>25</v>
      </c>
      <c r="D3776" t="s">
        <v>50</v>
      </c>
      <c r="E3776" t="s">
        <v>7641</v>
      </c>
      <c r="F3776">
        <v>3</v>
      </c>
      <c r="G3776" s="15">
        <v>2710000</v>
      </c>
      <c r="H3776" s="14">
        <v>0.13075929750140999</v>
      </c>
      <c r="I3776" s="27">
        <f t="shared" si="58"/>
        <v>2355642.3037711792</v>
      </c>
      <c r="J3776">
        <v>4.5999999999999996</v>
      </c>
      <c r="K3776" t="b">
        <v>1</v>
      </c>
    </row>
    <row r="3777" spans="1:11" ht="16" x14ac:dyDescent="0.2">
      <c r="A3777" s="16">
        <v>45932</v>
      </c>
      <c r="B3777" t="s">
        <v>18</v>
      </c>
      <c r="C3777" t="s">
        <v>19</v>
      </c>
      <c r="D3777" t="s">
        <v>50</v>
      </c>
      <c r="E3777" t="s">
        <v>7644</v>
      </c>
      <c r="F3777">
        <v>1</v>
      </c>
      <c r="G3777" s="15">
        <v>2710000</v>
      </c>
      <c r="H3777" s="14">
        <v>0.13075929750140999</v>
      </c>
      <c r="I3777" s="27">
        <f t="shared" si="58"/>
        <v>2355642.3037711792</v>
      </c>
      <c r="J3777">
        <v>4.0999999999999996</v>
      </c>
      <c r="K3777" t="b">
        <v>0</v>
      </c>
    </row>
    <row r="3778" spans="1:11" ht="16" x14ac:dyDescent="0.2">
      <c r="A3778" s="16">
        <v>45932</v>
      </c>
      <c r="B3778" t="s">
        <v>33</v>
      </c>
      <c r="C3778" t="s">
        <v>34</v>
      </c>
      <c r="D3778" t="s">
        <v>35</v>
      </c>
      <c r="E3778" t="str">
        <f>E3777</f>
        <v>Hạ Long</v>
      </c>
      <c r="F3778">
        <v>2</v>
      </c>
      <c r="G3778" s="15">
        <v>2710000</v>
      </c>
      <c r="H3778" s="14">
        <v>0.13075929750140999</v>
      </c>
      <c r="I3778" s="27">
        <f t="shared" si="58"/>
        <v>2355642.3037711792</v>
      </c>
      <c r="J3778">
        <v>3.8</v>
      </c>
      <c r="K3778" t="b">
        <v>1</v>
      </c>
    </row>
    <row r="3779" spans="1:11" ht="16" x14ac:dyDescent="0.2">
      <c r="A3779" s="16">
        <v>45932</v>
      </c>
      <c r="B3779" t="s">
        <v>18</v>
      </c>
      <c r="C3779" t="s">
        <v>45</v>
      </c>
      <c r="D3779" t="s">
        <v>20</v>
      </c>
      <c r="E3779" t="s">
        <v>7637</v>
      </c>
      <c r="F3779">
        <v>3</v>
      </c>
      <c r="G3779" s="15">
        <v>2710000</v>
      </c>
      <c r="H3779" s="14">
        <v>0.13075929750140999</v>
      </c>
      <c r="I3779" s="27">
        <f t="shared" ref="I3779:I3842" si="59">G3779-G3779*H3779</f>
        <v>2355642.3037711792</v>
      </c>
      <c r="J3779">
        <v>4.5999999999999996</v>
      </c>
      <c r="K3779" t="b">
        <v>1</v>
      </c>
    </row>
    <row r="3780" spans="1:11" ht="16" x14ac:dyDescent="0.2">
      <c r="A3780" s="16">
        <v>45932</v>
      </c>
      <c r="B3780" t="s">
        <v>45</v>
      </c>
      <c r="C3780" t="s">
        <v>68</v>
      </c>
      <c r="D3780" t="s">
        <v>46</v>
      </c>
      <c r="E3780" t="s">
        <v>7638</v>
      </c>
      <c r="F3780">
        <v>3</v>
      </c>
      <c r="G3780" s="15">
        <v>2710000</v>
      </c>
      <c r="H3780" s="14">
        <v>0.13075929750140999</v>
      </c>
      <c r="I3780" s="27">
        <f t="shared" si="59"/>
        <v>2355642.3037711792</v>
      </c>
      <c r="J3780">
        <v>4.3</v>
      </c>
      <c r="K3780" t="b">
        <v>1</v>
      </c>
    </row>
    <row r="3781" spans="1:11" ht="16" x14ac:dyDescent="0.2">
      <c r="A3781" s="16">
        <v>45933</v>
      </c>
      <c r="B3781" t="s">
        <v>33</v>
      </c>
      <c r="C3781" t="s">
        <v>34</v>
      </c>
      <c r="D3781" t="s">
        <v>50</v>
      </c>
      <c r="E3781" t="s">
        <v>7639</v>
      </c>
      <c r="F3781">
        <v>1</v>
      </c>
      <c r="G3781" s="15">
        <v>2710000</v>
      </c>
      <c r="H3781" s="14">
        <v>0.13075929750140999</v>
      </c>
      <c r="I3781" s="27">
        <f t="shared" si="59"/>
        <v>2355642.3037711792</v>
      </c>
      <c r="J3781">
        <v>4</v>
      </c>
      <c r="K3781" t="b">
        <v>0</v>
      </c>
    </row>
    <row r="3782" spans="1:11" ht="16" x14ac:dyDescent="0.2">
      <c r="A3782" s="16">
        <v>45933</v>
      </c>
      <c r="B3782" t="s">
        <v>33</v>
      </c>
      <c r="C3782" t="s">
        <v>34</v>
      </c>
      <c r="D3782" t="s">
        <v>20</v>
      </c>
      <c r="E3782" t="s">
        <v>7639</v>
      </c>
      <c r="F3782">
        <v>2</v>
      </c>
      <c r="G3782" s="15">
        <v>2710000</v>
      </c>
      <c r="H3782" s="14">
        <v>0.13075929750140999</v>
      </c>
      <c r="I3782" s="27">
        <f t="shared" si="59"/>
        <v>2355642.3037711792</v>
      </c>
      <c r="J3782">
        <v>3.7</v>
      </c>
      <c r="K3782" t="b">
        <v>1</v>
      </c>
    </row>
    <row r="3783" spans="1:11" ht="16" x14ac:dyDescent="0.2">
      <c r="A3783" s="16">
        <v>45933</v>
      </c>
      <c r="B3783" t="s">
        <v>29</v>
      </c>
      <c r="C3783" t="s">
        <v>19</v>
      </c>
      <c r="D3783" t="s">
        <v>50</v>
      </c>
      <c r="E3783" t="s">
        <v>7639</v>
      </c>
      <c r="F3783">
        <v>2</v>
      </c>
      <c r="G3783" s="15">
        <v>2710000</v>
      </c>
      <c r="H3783" s="14">
        <v>0.13075929750140999</v>
      </c>
      <c r="I3783" s="27">
        <f t="shared" si="59"/>
        <v>2355642.3037711792</v>
      </c>
      <c r="J3783">
        <v>4.4000000000000004</v>
      </c>
      <c r="K3783" t="b">
        <v>1</v>
      </c>
    </row>
    <row r="3784" spans="1:11" ht="16" x14ac:dyDescent="0.2">
      <c r="A3784" s="16">
        <v>45933</v>
      </c>
      <c r="B3784" t="s">
        <v>29</v>
      </c>
      <c r="C3784" t="s">
        <v>39</v>
      </c>
      <c r="D3784" t="s">
        <v>35</v>
      </c>
      <c r="E3784" t="s">
        <v>7638</v>
      </c>
      <c r="F3784">
        <v>1</v>
      </c>
      <c r="G3784" s="15">
        <v>2710000</v>
      </c>
      <c r="H3784" s="14">
        <v>0.13075929750140999</v>
      </c>
      <c r="I3784" s="27">
        <f t="shared" si="59"/>
        <v>2355642.3037711792</v>
      </c>
      <c r="J3784">
        <v>5</v>
      </c>
      <c r="K3784" t="b">
        <v>1</v>
      </c>
    </row>
    <row r="3785" spans="1:11" ht="16" x14ac:dyDescent="0.2">
      <c r="A3785" s="16">
        <v>45934</v>
      </c>
      <c r="B3785" t="s">
        <v>18</v>
      </c>
      <c r="C3785" t="s">
        <v>19</v>
      </c>
      <c r="D3785" t="s">
        <v>35</v>
      </c>
      <c r="E3785" t="s">
        <v>7637</v>
      </c>
      <c r="F3785">
        <v>1</v>
      </c>
      <c r="G3785" s="15">
        <v>2710000</v>
      </c>
      <c r="H3785" s="14">
        <v>0.13075929750140999</v>
      </c>
      <c r="I3785" s="27">
        <f t="shared" si="59"/>
        <v>2355642.3037711792</v>
      </c>
      <c r="J3785">
        <v>4.7</v>
      </c>
      <c r="K3785" t="b">
        <v>1</v>
      </c>
    </row>
    <row r="3786" spans="1:11" ht="16" x14ac:dyDescent="0.2">
      <c r="A3786" s="16">
        <v>45934</v>
      </c>
      <c r="B3786" t="s">
        <v>18</v>
      </c>
      <c r="C3786" t="s">
        <v>19</v>
      </c>
      <c r="D3786" t="s">
        <v>20</v>
      </c>
      <c r="E3786" t="s">
        <v>7638</v>
      </c>
      <c r="F3786">
        <v>4</v>
      </c>
      <c r="G3786" s="15">
        <v>2710000</v>
      </c>
      <c r="H3786" s="14">
        <v>0.13075929750140999</v>
      </c>
      <c r="I3786" s="27">
        <f t="shared" si="59"/>
        <v>2355642.3037711792</v>
      </c>
      <c r="J3786">
        <v>4.4000000000000004</v>
      </c>
      <c r="K3786" t="b">
        <v>1</v>
      </c>
    </row>
    <row r="3787" spans="1:11" ht="16" x14ac:dyDescent="0.2">
      <c r="A3787" s="16">
        <v>45934</v>
      </c>
      <c r="B3787" t="s">
        <v>18</v>
      </c>
      <c r="C3787" t="s">
        <v>19</v>
      </c>
      <c r="D3787" t="s">
        <v>46</v>
      </c>
      <c r="E3787" t="s">
        <v>7639</v>
      </c>
      <c r="F3787">
        <v>1</v>
      </c>
      <c r="G3787" s="15">
        <v>2710000</v>
      </c>
      <c r="H3787" s="14">
        <v>0.13075929750140999</v>
      </c>
      <c r="I3787" s="27">
        <f t="shared" si="59"/>
        <v>2355642.3037711792</v>
      </c>
      <c r="J3787">
        <v>5</v>
      </c>
      <c r="K3787" t="b">
        <v>0</v>
      </c>
    </row>
    <row r="3788" spans="1:11" ht="16" x14ac:dyDescent="0.2">
      <c r="A3788" s="16">
        <v>45934</v>
      </c>
      <c r="B3788" t="s">
        <v>33</v>
      </c>
      <c r="C3788" t="s">
        <v>45</v>
      </c>
      <c r="D3788" t="s">
        <v>50</v>
      </c>
      <c r="E3788" t="s">
        <v>7641</v>
      </c>
      <c r="F3788">
        <v>4</v>
      </c>
      <c r="G3788" s="15">
        <v>2710000</v>
      </c>
      <c r="H3788" s="14">
        <v>0.13075929750140999</v>
      </c>
      <c r="I3788" s="27">
        <f t="shared" si="59"/>
        <v>2355642.3037711792</v>
      </c>
      <c r="J3788">
        <v>4.0999999999999996</v>
      </c>
      <c r="K3788" t="b">
        <v>1</v>
      </c>
    </row>
    <row r="3789" spans="1:11" ht="16" x14ac:dyDescent="0.2">
      <c r="A3789" s="16">
        <v>45934</v>
      </c>
      <c r="B3789" t="s">
        <v>45</v>
      </c>
      <c r="C3789" t="s">
        <v>45</v>
      </c>
      <c r="D3789" t="s">
        <v>20</v>
      </c>
      <c r="E3789" t="s">
        <v>7644</v>
      </c>
      <c r="F3789">
        <v>4</v>
      </c>
      <c r="G3789" s="15">
        <v>2710000</v>
      </c>
      <c r="H3789" s="14">
        <v>0.13075929750140999</v>
      </c>
      <c r="I3789" s="27">
        <f t="shared" si="59"/>
        <v>2355642.3037711792</v>
      </c>
      <c r="J3789">
        <v>4.3</v>
      </c>
      <c r="K3789" t="b">
        <v>0</v>
      </c>
    </row>
    <row r="3790" spans="1:11" ht="16" x14ac:dyDescent="0.2">
      <c r="A3790" s="16">
        <v>45935</v>
      </c>
      <c r="B3790" t="s">
        <v>18</v>
      </c>
      <c r="C3790" t="s">
        <v>25</v>
      </c>
      <c r="D3790" t="s">
        <v>35</v>
      </c>
      <c r="E3790" t="s">
        <v>99</v>
      </c>
      <c r="F3790">
        <v>1</v>
      </c>
      <c r="G3790" s="15">
        <v>2710000</v>
      </c>
      <c r="H3790" s="14">
        <v>0.13075929750140999</v>
      </c>
      <c r="I3790" s="27">
        <f t="shared" si="59"/>
        <v>2355642.3037711792</v>
      </c>
      <c r="J3790">
        <v>4.5</v>
      </c>
      <c r="K3790" t="b">
        <v>1</v>
      </c>
    </row>
    <row r="3791" spans="1:11" ht="16" x14ac:dyDescent="0.2">
      <c r="A3791" s="16">
        <v>45935</v>
      </c>
      <c r="B3791" t="s">
        <v>29</v>
      </c>
      <c r="C3791" t="s">
        <v>39</v>
      </c>
      <c r="D3791" t="s">
        <v>35</v>
      </c>
      <c r="E3791" t="s">
        <v>7642</v>
      </c>
      <c r="F3791">
        <v>2</v>
      </c>
      <c r="G3791" s="15">
        <v>2710000</v>
      </c>
      <c r="H3791" s="14">
        <v>0.13075929750140999</v>
      </c>
      <c r="I3791" s="27">
        <f t="shared" si="59"/>
        <v>2355642.3037711792</v>
      </c>
      <c r="J3791">
        <v>3.8</v>
      </c>
      <c r="K3791" t="b">
        <v>1</v>
      </c>
    </row>
    <row r="3792" spans="1:11" ht="16" x14ac:dyDescent="0.2">
      <c r="A3792" s="16">
        <v>45936</v>
      </c>
      <c r="B3792" t="s">
        <v>45</v>
      </c>
      <c r="C3792" t="s">
        <v>39</v>
      </c>
      <c r="D3792" t="s">
        <v>20</v>
      </c>
      <c r="E3792" t="s">
        <v>99</v>
      </c>
      <c r="F3792">
        <v>3</v>
      </c>
      <c r="G3792" s="15">
        <v>2710000</v>
      </c>
      <c r="H3792" s="14">
        <v>0.13075929750140999</v>
      </c>
      <c r="I3792" s="27">
        <f t="shared" si="59"/>
        <v>2355642.3037711792</v>
      </c>
      <c r="J3792">
        <v>5</v>
      </c>
      <c r="K3792" t="b">
        <v>1</v>
      </c>
    </row>
    <row r="3793" spans="1:11" ht="16" x14ac:dyDescent="0.2">
      <c r="A3793" s="16">
        <v>45936</v>
      </c>
      <c r="B3793" t="s">
        <v>33</v>
      </c>
      <c r="C3793" t="s">
        <v>45</v>
      </c>
      <c r="D3793" t="s">
        <v>20</v>
      </c>
      <c r="E3793" t="str">
        <f>E3792</f>
        <v>Sa Pa</v>
      </c>
      <c r="F3793">
        <v>3</v>
      </c>
      <c r="G3793" s="15">
        <v>2710000</v>
      </c>
      <c r="H3793" s="14">
        <v>0.13075929750140999</v>
      </c>
      <c r="I3793" s="27">
        <f t="shared" si="59"/>
        <v>2355642.3037711792</v>
      </c>
      <c r="J3793">
        <v>5</v>
      </c>
      <c r="K3793" t="b">
        <v>1</v>
      </c>
    </row>
    <row r="3794" spans="1:11" ht="16" x14ac:dyDescent="0.2">
      <c r="A3794" s="16">
        <v>45936</v>
      </c>
      <c r="B3794" t="s">
        <v>18</v>
      </c>
      <c r="C3794" t="s">
        <v>34</v>
      </c>
      <c r="D3794" t="s">
        <v>35</v>
      </c>
      <c r="E3794" t="s">
        <v>7639</v>
      </c>
      <c r="F3794">
        <v>2</v>
      </c>
      <c r="G3794" s="15">
        <v>2710000</v>
      </c>
      <c r="H3794" s="14">
        <v>0.13075929750140999</v>
      </c>
      <c r="I3794" s="27">
        <f t="shared" si="59"/>
        <v>2355642.3037711792</v>
      </c>
      <c r="J3794">
        <v>3.4</v>
      </c>
      <c r="K3794" t="b">
        <v>1</v>
      </c>
    </row>
    <row r="3795" spans="1:11" ht="16" x14ac:dyDescent="0.2">
      <c r="A3795" s="16">
        <v>45936</v>
      </c>
      <c r="B3795" t="s">
        <v>33</v>
      </c>
      <c r="C3795" t="s">
        <v>25</v>
      </c>
      <c r="D3795" t="s">
        <v>35</v>
      </c>
      <c r="E3795" t="s">
        <v>7643</v>
      </c>
      <c r="F3795">
        <v>3</v>
      </c>
      <c r="G3795" s="15">
        <v>2710000</v>
      </c>
      <c r="H3795" s="14">
        <v>0.13075929750140999</v>
      </c>
      <c r="I3795" s="27">
        <f t="shared" si="59"/>
        <v>2355642.3037711792</v>
      </c>
      <c r="J3795">
        <v>4.5</v>
      </c>
      <c r="K3795" t="b">
        <v>1</v>
      </c>
    </row>
    <row r="3796" spans="1:11" ht="16" x14ac:dyDescent="0.2">
      <c r="A3796" s="16">
        <v>45936</v>
      </c>
      <c r="B3796" t="s">
        <v>45</v>
      </c>
      <c r="C3796" t="s">
        <v>19</v>
      </c>
      <c r="D3796" t="s">
        <v>20</v>
      </c>
      <c r="E3796" t="s">
        <v>99</v>
      </c>
      <c r="F3796">
        <v>1</v>
      </c>
      <c r="G3796" s="15">
        <v>2710000</v>
      </c>
      <c r="H3796" s="14">
        <v>0.13075929750140999</v>
      </c>
      <c r="I3796" s="27">
        <f t="shared" si="59"/>
        <v>2355642.3037711792</v>
      </c>
      <c r="J3796">
        <v>4.7</v>
      </c>
      <c r="K3796" t="b">
        <v>1</v>
      </c>
    </row>
    <row r="3797" spans="1:11" ht="16" x14ac:dyDescent="0.2">
      <c r="A3797" s="16">
        <v>45937</v>
      </c>
      <c r="B3797" t="s">
        <v>18</v>
      </c>
      <c r="C3797" t="s">
        <v>34</v>
      </c>
      <c r="D3797" t="s">
        <v>20</v>
      </c>
      <c r="E3797" t="s">
        <v>57</v>
      </c>
      <c r="F3797">
        <v>1</v>
      </c>
      <c r="G3797" s="15">
        <v>2710000</v>
      </c>
      <c r="H3797" s="14">
        <v>0.13075929750140999</v>
      </c>
      <c r="I3797" s="27">
        <f t="shared" si="59"/>
        <v>2355642.3037711792</v>
      </c>
      <c r="J3797">
        <v>4.5</v>
      </c>
      <c r="K3797" t="b">
        <v>0</v>
      </c>
    </row>
    <row r="3798" spans="1:11" ht="16" x14ac:dyDescent="0.2">
      <c r="A3798" s="16">
        <v>45937</v>
      </c>
      <c r="B3798" t="s">
        <v>18</v>
      </c>
      <c r="C3798" t="s">
        <v>34</v>
      </c>
      <c r="D3798" t="s">
        <v>20</v>
      </c>
      <c r="E3798" t="s">
        <v>7639</v>
      </c>
      <c r="F3798">
        <v>2</v>
      </c>
      <c r="G3798" s="15">
        <v>2710000</v>
      </c>
      <c r="H3798" s="14">
        <v>0.13075929750140999</v>
      </c>
      <c r="I3798" s="27">
        <f t="shared" si="59"/>
        <v>2355642.3037711792</v>
      </c>
      <c r="J3798">
        <v>4.8</v>
      </c>
      <c r="K3798" t="b">
        <v>1</v>
      </c>
    </row>
    <row r="3799" spans="1:11" ht="16" x14ac:dyDescent="0.2">
      <c r="A3799" s="16">
        <v>45937</v>
      </c>
      <c r="B3799" t="s">
        <v>45</v>
      </c>
      <c r="C3799" t="s">
        <v>19</v>
      </c>
      <c r="D3799" t="s">
        <v>50</v>
      </c>
      <c r="E3799" t="s">
        <v>57</v>
      </c>
      <c r="F3799">
        <v>1</v>
      </c>
      <c r="G3799" s="15">
        <v>2710000</v>
      </c>
      <c r="H3799" s="14">
        <v>0.13075929750140999</v>
      </c>
      <c r="I3799" s="27">
        <f t="shared" si="59"/>
        <v>2355642.3037711792</v>
      </c>
      <c r="J3799">
        <v>4.5</v>
      </c>
      <c r="K3799" t="b">
        <v>0</v>
      </c>
    </row>
    <row r="3800" spans="1:11" ht="16" x14ac:dyDescent="0.2">
      <c r="A3800" s="16">
        <v>45937</v>
      </c>
      <c r="B3800" t="str">
        <f>B3799</f>
        <v>Family</v>
      </c>
      <c r="C3800" t="s">
        <v>45</v>
      </c>
      <c r="D3800" t="s">
        <v>20</v>
      </c>
      <c r="E3800" t="str">
        <f>E3799</f>
        <v>Nha Trang</v>
      </c>
      <c r="F3800">
        <v>1</v>
      </c>
      <c r="G3800" s="15">
        <v>2710000</v>
      </c>
      <c r="H3800" s="14">
        <v>0.13075929750140999</v>
      </c>
      <c r="I3800" s="27">
        <f t="shared" si="59"/>
        <v>2355642.3037711792</v>
      </c>
      <c r="J3800">
        <v>4.4000000000000004</v>
      </c>
      <c r="K3800" t="b">
        <v>1</v>
      </c>
    </row>
    <row r="3801" spans="1:11" ht="16" x14ac:dyDescent="0.2">
      <c r="A3801" s="16">
        <v>45937</v>
      </c>
      <c r="B3801" t="s">
        <v>45</v>
      </c>
      <c r="C3801" t="s">
        <v>34</v>
      </c>
      <c r="D3801" t="s">
        <v>35</v>
      </c>
      <c r="E3801" t="s">
        <v>7641</v>
      </c>
      <c r="F3801">
        <v>1</v>
      </c>
      <c r="G3801" s="15">
        <v>2710000</v>
      </c>
      <c r="H3801" s="14">
        <v>0.13075929750140999</v>
      </c>
      <c r="I3801" s="27">
        <f t="shared" si="59"/>
        <v>2355642.3037711792</v>
      </c>
      <c r="J3801">
        <v>4.5999999999999996</v>
      </c>
      <c r="K3801" t="b">
        <v>0</v>
      </c>
    </row>
    <row r="3802" spans="1:11" ht="16" x14ac:dyDescent="0.2">
      <c r="A3802" s="16">
        <v>45937</v>
      </c>
      <c r="B3802" t="s">
        <v>45</v>
      </c>
      <c r="C3802" t="s">
        <v>19</v>
      </c>
      <c r="D3802" t="s">
        <v>20</v>
      </c>
      <c r="E3802" t="s">
        <v>7641</v>
      </c>
      <c r="F3802">
        <v>2</v>
      </c>
      <c r="G3802" s="15">
        <v>2710000</v>
      </c>
      <c r="H3802" s="14">
        <v>0.13075929750140999</v>
      </c>
      <c r="I3802" s="27">
        <f t="shared" si="59"/>
        <v>2355642.3037711792</v>
      </c>
      <c r="J3802">
        <v>4.7</v>
      </c>
      <c r="K3802" t="b">
        <v>1</v>
      </c>
    </row>
    <row r="3803" spans="1:11" ht="16" x14ac:dyDescent="0.2">
      <c r="A3803" s="16">
        <v>45938</v>
      </c>
      <c r="B3803" t="s">
        <v>33</v>
      </c>
      <c r="C3803" t="s">
        <v>19</v>
      </c>
      <c r="D3803" t="s">
        <v>20</v>
      </c>
      <c r="E3803" t="s">
        <v>57</v>
      </c>
      <c r="F3803">
        <v>1</v>
      </c>
      <c r="G3803" s="15">
        <v>2710000</v>
      </c>
      <c r="H3803" s="14">
        <v>0.13075929750140999</v>
      </c>
      <c r="I3803" s="27">
        <f t="shared" si="59"/>
        <v>2355642.3037711792</v>
      </c>
      <c r="J3803">
        <v>5</v>
      </c>
      <c r="K3803" t="b">
        <v>1</v>
      </c>
    </row>
    <row r="3804" spans="1:11" ht="16" x14ac:dyDescent="0.2">
      <c r="A3804" s="16">
        <v>45938</v>
      </c>
      <c r="B3804" t="s">
        <v>45</v>
      </c>
      <c r="C3804" t="s">
        <v>34</v>
      </c>
      <c r="D3804" t="s">
        <v>20</v>
      </c>
      <c r="E3804" t="s">
        <v>7638</v>
      </c>
      <c r="F3804">
        <v>1</v>
      </c>
      <c r="G3804" s="15">
        <v>2710000</v>
      </c>
      <c r="H3804" s="14">
        <v>0.13075929750140999</v>
      </c>
      <c r="I3804" s="27">
        <f t="shared" si="59"/>
        <v>2355642.3037711792</v>
      </c>
      <c r="J3804">
        <v>4.0999999999999996</v>
      </c>
      <c r="K3804" t="b">
        <v>1</v>
      </c>
    </row>
    <row r="3805" spans="1:11" ht="16" x14ac:dyDescent="0.2">
      <c r="A3805" s="16">
        <v>45939</v>
      </c>
      <c r="B3805" t="s">
        <v>33</v>
      </c>
      <c r="C3805" t="s">
        <v>19</v>
      </c>
      <c r="D3805" t="s">
        <v>20</v>
      </c>
      <c r="E3805" t="s">
        <v>7642</v>
      </c>
      <c r="F3805">
        <v>2</v>
      </c>
      <c r="G3805" s="15">
        <v>2710000</v>
      </c>
      <c r="H3805" s="14">
        <v>0.13075929750140999</v>
      </c>
      <c r="I3805" s="27">
        <f t="shared" si="59"/>
        <v>2355642.3037711792</v>
      </c>
      <c r="J3805">
        <v>4.3</v>
      </c>
      <c r="K3805" t="b">
        <v>0</v>
      </c>
    </row>
    <row r="3806" spans="1:11" ht="16" x14ac:dyDescent="0.2">
      <c r="A3806" s="16">
        <v>45939</v>
      </c>
      <c r="B3806" t="s">
        <v>18</v>
      </c>
      <c r="C3806" t="s">
        <v>45</v>
      </c>
      <c r="D3806" t="s">
        <v>50</v>
      </c>
      <c r="E3806" t="s">
        <v>7640</v>
      </c>
      <c r="F3806">
        <v>5</v>
      </c>
      <c r="G3806" s="15">
        <v>2710000</v>
      </c>
      <c r="H3806" s="14">
        <v>0.13075929750140999</v>
      </c>
      <c r="I3806" s="27">
        <f t="shared" si="59"/>
        <v>2355642.3037711792</v>
      </c>
      <c r="J3806">
        <v>4.7</v>
      </c>
      <c r="K3806" t="b">
        <v>1</v>
      </c>
    </row>
    <row r="3807" spans="1:11" ht="16" x14ac:dyDescent="0.2">
      <c r="A3807" s="16">
        <v>45939</v>
      </c>
      <c r="B3807" t="s">
        <v>18</v>
      </c>
      <c r="C3807" t="s">
        <v>19</v>
      </c>
      <c r="D3807" t="s">
        <v>50</v>
      </c>
      <c r="E3807" t="s">
        <v>7644</v>
      </c>
      <c r="F3807">
        <v>1</v>
      </c>
      <c r="G3807" s="15">
        <v>2710000</v>
      </c>
      <c r="H3807" s="14">
        <v>0.13075929750140999</v>
      </c>
      <c r="I3807" s="27">
        <f t="shared" si="59"/>
        <v>2355642.3037711792</v>
      </c>
      <c r="J3807">
        <v>4.4000000000000004</v>
      </c>
      <c r="K3807" t="b">
        <v>1</v>
      </c>
    </row>
    <row r="3808" spans="1:11" ht="16" x14ac:dyDescent="0.2">
      <c r="A3808" s="16">
        <v>45940</v>
      </c>
      <c r="B3808" t="s">
        <v>33</v>
      </c>
      <c r="C3808" t="s">
        <v>34</v>
      </c>
      <c r="D3808" t="s">
        <v>46</v>
      </c>
      <c r="E3808" t="s">
        <v>7641</v>
      </c>
      <c r="F3808">
        <v>2</v>
      </c>
      <c r="G3808" s="15">
        <v>2710000</v>
      </c>
      <c r="H3808" s="14">
        <v>0.13075929750140999</v>
      </c>
      <c r="I3808" s="27">
        <f t="shared" si="59"/>
        <v>2355642.3037711792</v>
      </c>
      <c r="J3808">
        <v>4.0999999999999996</v>
      </c>
      <c r="K3808" t="b">
        <v>1</v>
      </c>
    </row>
    <row r="3809" spans="1:11" ht="16" x14ac:dyDescent="0.2">
      <c r="A3809" s="16">
        <v>45940</v>
      </c>
      <c r="B3809" t="s">
        <v>45</v>
      </c>
      <c r="C3809" t="s">
        <v>39</v>
      </c>
      <c r="D3809" t="s">
        <v>20</v>
      </c>
      <c r="E3809" t="s">
        <v>7637</v>
      </c>
      <c r="F3809">
        <v>1</v>
      </c>
      <c r="G3809" s="15">
        <v>2710000</v>
      </c>
      <c r="H3809" s="14">
        <v>0.13075929750140999</v>
      </c>
      <c r="I3809" s="27">
        <f t="shared" si="59"/>
        <v>2355642.3037711792</v>
      </c>
      <c r="J3809">
        <v>4.3</v>
      </c>
      <c r="K3809" t="b">
        <v>1</v>
      </c>
    </row>
    <row r="3810" spans="1:11" ht="16" x14ac:dyDescent="0.2">
      <c r="A3810" s="16">
        <v>45940</v>
      </c>
      <c r="B3810" t="s">
        <v>33</v>
      </c>
      <c r="C3810" t="s">
        <v>25</v>
      </c>
      <c r="D3810" t="s">
        <v>20</v>
      </c>
      <c r="E3810" t="s">
        <v>7639</v>
      </c>
      <c r="F3810">
        <v>3</v>
      </c>
      <c r="G3810" s="15">
        <v>2710000</v>
      </c>
      <c r="H3810" s="14">
        <v>0.13075929750140999</v>
      </c>
      <c r="I3810" s="27">
        <f t="shared" si="59"/>
        <v>2355642.3037711792</v>
      </c>
      <c r="J3810">
        <v>4.3</v>
      </c>
      <c r="K3810" t="b">
        <v>0</v>
      </c>
    </row>
    <row r="3811" spans="1:11" ht="16" x14ac:dyDescent="0.2">
      <c r="A3811" s="16">
        <v>45940</v>
      </c>
      <c r="B3811" t="s">
        <v>33</v>
      </c>
      <c r="C3811" t="s">
        <v>39</v>
      </c>
      <c r="D3811" t="s">
        <v>20</v>
      </c>
      <c r="E3811" t="s">
        <v>7644</v>
      </c>
      <c r="F3811">
        <v>1</v>
      </c>
      <c r="G3811" s="15">
        <v>2710000</v>
      </c>
      <c r="H3811" s="14">
        <v>0.13075929750140999</v>
      </c>
      <c r="I3811" s="27">
        <f t="shared" si="59"/>
        <v>2355642.3037711792</v>
      </c>
      <c r="J3811">
        <v>3.3</v>
      </c>
      <c r="K3811" t="b">
        <v>1</v>
      </c>
    </row>
    <row r="3812" spans="1:11" ht="16" x14ac:dyDescent="0.2">
      <c r="A3812" s="16">
        <v>45941</v>
      </c>
      <c r="B3812" t="s">
        <v>18</v>
      </c>
      <c r="C3812" t="s">
        <v>19</v>
      </c>
      <c r="D3812" t="s">
        <v>50</v>
      </c>
      <c r="E3812" t="s">
        <v>57</v>
      </c>
      <c r="F3812">
        <v>3</v>
      </c>
      <c r="G3812" s="15">
        <v>2710000</v>
      </c>
      <c r="H3812" s="14">
        <v>0.13075929750140999</v>
      </c>
      <c r="I3812" s="27">
        <f t="shared" si="59"/>
        <v>2355642.3037711792</v>
      </c>
      <c r="J3812">
        <v>3.9</v>
      </c>
      <c r="K3812" t="b">
        <v>0</v>
      </c>
    </row>
    <row r="3813" spans="1:11" ht="16" x14ac:dyDescent="0.2">
      <c r="A3813" s="16">
        <v>45941</v>
      </c>
      <c r="B3813" t="s">
        <v>33</v>
      </c>
      <c r="C3813" t="s">
        <v>19</v>
      </c>
      <c r="D3813" t="s">
        <v>50</v>
      </c>
      <c r="E3813" t="s">
        <v>7642</v>
      </c>
      <c r="F3813">
        <v>1</v>
      </c>
      <c r="G3813" s="15">
        <v>2710000</v>
      </c>
      <c r="H3813" s="14">
        <v>0.13075929750140999</v>
      </c>
      <c r="I3813" s="27">
        <f t="shared" si="59"/>
        <v>2355642.3037711792</v>
      </c>
      <c r="J3813">
        <v>3.4</v>
      </c>
      <c r="K3813" t="b">
        <v>0</v>
      </c>
    </row>
    <row r="3814" spans="1:11" ht="16" x14ac:dyDescent="0.2">
      <c r="A3814" s="16">
        <v>45941</v>
      </c>
      <c r="B3814" t="s">
        <v>33</v>
      </c>
      <c r="C3814" t="s">
        <v>39</v>
      </c>
      <c r="D3814" t="str">
        <f>D3813</f>
        <v>Agent</v>
      </c>
      <c r="E3814" t="s">
        <v>7640</v>
      </c>
      <c r="F3814">
        <v>1</v>
      </c>
      <c r="G3814" s="15">
        <v>2710000</v>
      </c>
      <c r="H3814" s="14">
        <v>0.13075929750140999</v>
      </c>
      <c r="I3814" s="27">
        <f t="shared" si="59"/>
        <v>2355642.3037711792</v>
      </c>
      <c r="J3814">
        <v>4.5999999999999996</v>
      </c>
      <c r="K3814" t="b">
        <v>1</v>
      </c>
    </row>
    <row r="3815" spans="1:11" ht="16" x14ac:dyDescent="0.2">
      <c r="A3815" s="16">
        <v>45942</v>
      </c>
      <c r="B3815" t="s">
        <v>45</v>
      </c>
      <c r="C3815" t="s">
        <v>19</v>
      </c>
      <c r="D3815" t="s">
        <v>50</v>
      </c>
      <c r="E3815" t="s">
        <v>7637</v>
      </c>
      <c r="F3815">
        <v>1</v>
      </c>
      <c r="G3815" s="15">
        <v>2710000</v>
      </c>
      <c r="H3815" s="14">
        <v>0.13075929750140999</v>
      </c>
      <c r="I3815" s="27">
        <f t="shared" si="59"/>
        <v>2355642.3037711792</v>
      </c>
      <c r="J3815">
        <v>4.0999999999999996</v>
      </c>
      <c r="K3815" t="b">
        <v>1</v>
      </c>
    </row>
    <row r="3816" spans="1:11" ht="16" x14ac:dyDescent="0.2">
      <c r="A3816" s="16">
        <v>45942</v>
      </c>
      <c r="B3816" t="s">
        <v>45</v>
      </c>
      <c r="C3816" t="s">
        <v>19</v>
      </c>
      <c r="D3816" t="s">
        <v>50</v>
      </c>
      <c r="E3816" t="s">
        <v>7643</v>
      </c>
      <c r="F3816">
        <v>4</v>
      </c>
      <c r="G3816" s="15">
        <v>2710000</v>
      </c>
      <c r="H3816" s="14">
        <v>0.13075929750140999</v>
      </c>
      <c r="I3816" s="27">
        <f t="shared" si="59"/>
        <v>2355642.3037711792</v>
      </c>
      <c r="J3816">
        <v>4.2</v>
      </c>
      <c r="K3816" t="b">
        <v>1</v>
      </c>
    </row>
    <row r="3817" spans="1:11" ht="16" x14ac:dyDescent="0.2">
      <c r="A3817" s="16">
        <v>45942</v>
      </c>
      <c r="B3817" t="s">
        <v>29</v>
      </c>
      <c r="C3817" t="s">
        <v>68</v>
      </c>
      <c r="D3817" t="s">
        <v>20</v>
      </c>
      <c r="E3817" t="s">
        <v>7637</v>
      </c>
      <c r="F3817">
        <v>4</v>
      </c>
      <c r="G3817" s="15">
        <v>2710000</v>
      </c>
      <c r="H3817" s="14">
        <v>0.13075929750140999</v>
      </c>
      <c r="I3817" s="27">
        <f t="shared" si="59"/>
        <v>2355642.3037711792</v>
      </c>
      <c r="J3817">
        <v>3.7</v>
      </c>
      <c r="K3817" t="b">
        <v>1</v>
      </c>
    </row>
    <row r="3818" spans="1:11" ht="16" x14ac:dyDescent="0.2">
      <c r="A3818" s="16">
        <v>45943</v>
      </c>
      <c r="B3818" t="s">
        <v>45</v>
      </c>
      <c r="C3818" t="s">
        <v>45</v>
      </c>
      <c r="D3818" t="s">
        <v>50</v>
      </c>
      <c r="E3818" t="s">
        <v>7644</v>
      </c>
      <c r="F3818">
        <v>2</v>
      </c>
      <c r="G3818" s="15">
        <v>2710000</v>
      </c>
      <c r="H3818" s="14">
        <v>0.13075929750140999</v>
      </c>
      <c r="I3818" s="27">
        <f t="shared" si="59"/>
        <v>2355642.3037711792</v>
      </c>
      <c r="J3818">
        <v>4.4000000000000004</v>
      </c>
      <c r="K3818" t="b">
        <v>1</v>
      </c>
    </row>
    <row r="3819" spans="1:11" ht="16" x14ac:dyDescent="0.2">
      <c r="A3819" s="16">
        <v>45943</v>
      </c>
      <c r="B3819" t="s">
        <v>18</v>
      </c>
      <c r="C3819" t="s">
        <v>68</v>
      </c>
      <c r="D3819" t="s">
        <v>50</v>
      </c>
      <c r="E3819" t="s">
        <v>7644</v>
      </c>
      <c r="F3819">
        <v>2</v>
      </c>
      <c r="G3819" s="15">
        <v>2710000</v>
      </c>
      <c r="H3819" s="14">
        <v>0.13075929750140999</v>
      </c>
      <c r="I3819" s="27">
        <f t="shared" si="59"/>
        <v>2355642.3037711792</v>
      </c>
      <c r="J3819">
        <v>4.5999999999999996</v>
      </c>
      <c r="K3819" t="b">
        <v>1</v>
      </c>
    </row>
    <row r="3820" spans="1:11" ht="16" x14ac:dyDescent="0.2">
      <c r="A3820" s="16">
        <v>45943</v>
      </c>
      <c r="B3820" t="s">
        <v>29</v>
      </c>
      <c r="C3820" t="s">
        <v>34</v>
      </c>
      <c r="D3820" t="s">
        <v>50</v>
      </c>
      <c r="E3820" t="s">
        <v>7638</v>
      </c>
      <c r="F3820">
        <v>1</v>
      </c>
      <c r="G3820" s="15">
        <v>2710000</v>
      </c>
      <c r="H3820" s="14">
        <v>0.13075929750140999</v>
      </c>
      <c r="I3820" s="27">
        <f t="shared" si="59"/>
        <v>2355642.3037711792</v>
      </c>
      <c r="J3820">
        <v>4.4000000000000004</v>
      </c>
      <c r="K3820" t="b">
        <v>0</v>
      </c>
    </row>
    <row r="3821" spans="1:11" ht="16" x14ac:dyDescent="0.2">
      <c r="A3821" s="16">
        <v>45943</v>
      </c>
      <c r="B3821" t="s">
        <v>33</v>
      </c>
      <c r="C3821" t="s">
        <v>34</v>
      </c>
      <c r="D3821" t="s">
        <v>20</v>
      </c>
      <c r="E3821" t="s">
        <v>7637</v>
      </c>
      <c r="F3821">
        <v>2</v>
      </c>
      <c r="G3821" s="15">
        <v>2710000</v>
      </c>
      <c r="H3821" s="14">
        <v>0.13075929750140999</v>
      </c>
      <c r="I3821" s="27">
        <f t="shared" si="59"/>
        <v>2355642.3037711792</v>
      </c>
      <c r="J3821">
        <v>4.5</v>
      </c>
      <c r="K3821" t="b">
        <v>1</v>
      </c>
    </row>
    <row r="3822" spans="1:11" ht="16" x14ac:dyDescent="0.2">
      <c r="A3822" s="16">
        <v>45943</v>
      </c>
      <c r="B3822" t="s">
        <v>45</v>
      </c>
      <c r="C3822" t="s">
        <v>39</v>
      </c>
      <c r="D3822" t="s">
        <v>20</v>
      </c>
      <c r="E3822" t="s">
        <v>7640</v>
      </c>
      <c r="F3822">
        <v>1</v>
      </c>
      <c r="G3822" s="15">
        <v>2710000</v>
      </c>
      <c r="H3822" s="14">
        <v>0.13075929750140999</v>
      </c>
      <c r="I3822" s="27">
        <f t="shared" si="59"/>
        <v>2355642.3037711792</v>
      </c>
      <c r="J3822">
        <v>4.7</v>
      </c>
      <c r="K3822" t="b">
        <v>0</v>
      </c>
    </row>
    <row r="3823" spans="1:11" ht="16" x14ac:dyDescent="0.2">
      <c r="A3823" s="16">
        <v>45943</v>
      </c>
      <c r="B3823" t="s">
        <v>45</v>
      </c>
      <c r="C3823" t="s">
        <v>39</v>
      </c>
      <c r="D3823" t="s">
        <v>35</v>
      </c>
      <c r="E3823" t="s">
        <v>7644</v>
      </c>
      <c r="F3823">
        <v>2</v>
      </c>
      <c r="G3823" s="15">
        <v>2710000</v>
      </c>
      <c r="H3823" s="14">
        <v>0.13075929750140999</v>
      </c>
      <c r="I3823" s="27">
        <f t="shared" si="59"/>
        <v>2355642.3037711792</v>
      </c>
      <c r="J3823">
        <v>4.2</v>
      </c>
      <c r="K3823" t="b">
        <v>1</v>
      </c>
    </row>
    <row r="3824" spans="1:11" ht="16" x14ac:dyDescent="0.2">
      <c r="A3824" s="16">
        <v>45943</v>
      </c>
      <c r="B3824" t="s">
        <v>29</v>
      </c>
      <c r="C3824" t="s">
        <v>45</v>
      </c>
      <c r="D3824" t="s">
        <v>35</v>
      </c>
      <c r="E3824" t="s">
        <v>7638</v>
      </c>
      <c r="F3824">
        <v>3</v>
      </c>
      <c r="G3824" s="15">
        <v>2710000</v>
      </c>
      <c r="H3824" s="14">
        <v>0.13075929750140999</v>
      </c>
      <c r="I3824" s="27">
        <f t="shared" si="59"/>
        <v>2355642.3037711792</v>
      </c>
      <c r="J3824">
        <v>3.9</v>
      </c>
      <c r="K3824" t="b">
        <v>1</v>
      </c>
    </row>
    <row r="3825" spans="1:11" ht="16" x14ac:dyDescent="0.2">
      <c r="A3825" s="16">
        <v>45944</v>
      </c>
      <c r="B3825" t="s">
        <v>29</v>
      </c>
      <c r="C3825" t="s">
        <v>19</v>
      </c>
      <c r="D3825" t="s">
        <v>50</v>
      </c>
      <c r="E3825" t="s">
        <v>7641</v>
      </c>
      <c r="F3825">
        <v>1</v>
      </c>
      <c r="G3825" s="15">
        <v>2710000</v>
      </c>
      <c r="H3825" s="14">
        <v>0.13075929750140999</v>
      </c>
      <c r="I3825" s="27">
        <f t="shared" si="59"/>
        <v>2355642.3037711792</v>
      </c>
      <c r="J3825">
        <v>4.5999999999999996</v>
      </c>
      <c r="K3825" t="b">
        <v>1</v>
      </c>
    </row>
    <row r="3826" spans="1:11" ht="16" x14ac:dyDescent="0.2">
      <c r="A3826" s="16">
        <v>45945</v>
      </c>
      <c r="B3826" t="s">
        <v>45</v>
      </c>
      <c r="C3826" t="s">
        <v>39</v>
      </c>
      <c r="D3826" t="s">
        <v>35</v>
      </c>
      <c r="E3826" t="s">
        <v>57</v>
      </c>
      <c r="F3826">
        <v>4</v>
      </c>
      <c r="G3826" s="15">
        <v>2710000</v>
      </c>
      <c r="H3826" s="14">
        <v>0.13075929750140999</v>
      </c>
      <c r="I3826" s="27">
        <f t="shared" si="59"/>
        <v>2355642.3037711792</v>
      </c>
      <c r="J3826">
        <v>4.9000000000000004</v>
      </c>
      <c r="K3826" t="b">
        <v>1</v>
      </c>
    </row>
    <row r="3827" spans="1:11" ht="16" x14ac:dyDescent="0.2">
      <c r="A3827" s="16">
        <v>45946</v>
      </c>
      <c r="B3827" t="s">
        <v>45</v>
      </c>
      <c r="C3827" t="s">
        <v>25</v>
      </c>
      <c r="D3827" t="s">
        <v>20</v>
      </c>
      <c r="E3827" t="s">
        <v>7641</v>
      </c>
      <c r="F3827">
        <v>1</v>
      </c>
      <c r="G3827" s="15">
        <v>2710000</v>
      </c>
      <c r="H3827" s="14">
        <v>0.13075929750140999</v>
      </c>
      <c r="I3827" s="27">
        <f t="shared" si="59"/>
        <v>2355642.3037711792</v>
      </c>
      <c r="J3827">
        <v>4.0999999999999996</v>
      </c>
      <c r="K3827" t="b">
        <v>1</v>
      </c>
    </row>
    <row r="3828" spans="1:11" ht="16" x14ac:dyDescent="0.2">
      <c r="A3828" s="16">
        <v>45946</v>
      </c>
      <c r="B3828" t="s">
        <v>29</v>
      </c>
      <c r="C3828" t="s">
        <v>19</v>
      </c>
      <c r="D3828" t="s">
        <v>20</v>
      </c>
      <c r="E3828" t="s">
        <v>7642</v>
      </c>
      <c r="F3828">
        <v>1</v>
      </c>
      <c r="G3828" s="15">
        <v>2710000</v>
      </c>
      <c r="H3828" s="14">
        <v>0.13075929750140999</v>
      </c>
      <c r="I3828" s="27">
        <f t="shared" si="59"/>
        <v>2355642.3037711792</v>
      </c>
      <c r="J3828">
        <v>4.4000000000000004</v>
      </c>
      <c r="K3828" t="b">
        <v>1</v>
      </c>
    </row>
    <row r="3829" spans="1:11" ht="16" x14ac:dyDescent="0.2">
      <c r="A3829" s="16">
        <v>45946</v>
      </c>
      <c r="B3829" t="s">
        <v>29</v>
      </c>
      <c r="C3829" t="s">
        <v>45</v>
      </c>
      <c r="D3829" t="s">
        <v>20</v>
      </c>
      <c r="E3829" t="s">
        <v>7637</v>
      </c>
      <c r="F3829">
        <v>2</v>
      </c>
      <c r="G3829" s="15">
        <v>2710000</v>
      </c>
      <c r="H3829" s="14">
        <v>0.13075929750140999</v>
      </c>
      <c r="I3829" s="27">
        <f t="shared" si="59"/>
        <v>2355642.3037711792</v>
      </c>
      <c r="J3829">
        <v>3.9</v>
      </c>
      <c r="K3829" t="b">
        <v>1</v>
      </c>
    </row>
    <row r="3830" spans="1:11" ht="16" x14ac:dyDescent="0.2">
      <c r="A3830" s="16">
        <v>45946</v>
      </c>
      <c r="B3830" t="str">
        <f>B3829</f>
        <v>Corporate</v>
      </c>
      <c r="C3830" t="s">
        <v>45</v>
      </c>
      <c r="D3830" t="s">
        <v>20</v>
      </c>
      <c r="E3830" t="s">
        <v>7641</v>
      </c>
      <c r="F3830">
        <v>3</v>
      </c>
      <c r="G3830" s="15">
        <v>2710000</v>
      </c>
      <c r="H3830" s="14">
        <v>0.13075929750140999</v>
      </c>
      <c r="I3830" s="27">
        <f t="shared" si="59"/>
        <v>2355642.3037711792</v>
      </c>
      <c r="J3830">
        <v>4.0999999999999996</v>
      </c>
      <c r="K3830" t="b">
        <v>0</v>
      </c>
    </row>
    <row r="3831" spans="1:11" ht="16" x14ac:dyDescent="0.2">
      <c r="A3831" s="16">
        <v>45947</v>
      </c>
      <c r="B3831" t="s">
        <v>29</v>
      </c>
      <c r="C3831" t="s">
        <v>34</v>
      </c>
      <c r="D3831" t="s">
        <v>35</v>
      </c>
      <c r="E3831" t="s">
        <v>99</v>
      </c>
      <c r="F3831">
        <v>2</v>
      </c>
      <c r="G3831" s="15">
        <v>2710000</v>
      </c>
      <c r="H3831" s="14">
        <v>0.13075929750140999</v>
      </c>
      <c r="I3831" s="27">
        <f t="shared" si="59"/>
        <v>2355642.3037711792</v>
      </c>
      <c r="J3831">
        <v>4.8</v>
      </c>
      <c r="K3831" t="b">
        <v>1</v>
      </c>
    </row>
    <row r="3832" spans="1:11" ht="16" x14ac:dyDescent="0.2">
      <c r="A3832" s="16">
        <v>45947</v>
      </c>
      <c r="B3832" t="s">
        <v>33</v>
      </c>
      <c r="C3832" t="s">
        <v>68</v>
      </c>
      <c r="D3832" t="s">
        <v>20</v>
      </c>
      <c r="E3832" t="s">
        <v>7641</v>
      </c>
      <c r="F3832">
        <v>1</v>
      </c>
      <c r="G3832" s="15">
        <v>2710000</v>
      </c>
      <c r="H3832" s="14">
        <v>0.13075929750140999</v>
      </c>
      <c r="I3832" s="27">
        <f t="shared" si="59"/>
        <v>2355642.3037711792</v>
      </c>
      <c r="J3832">
        <v>4.2</v>
      </c>
      <c r="K3832" t="b">
        <v>1</v>
      </c>
    </row>
    <row r="3833" spans="1:11" ht="16" x14ac:dyDescent="0.2">
      <c r="A3833" s="16">
        <v>45947</v>
      </c>
      <c r="B3833" t="s">
        <v>45</v>
      </c>
      <c r="C3833" t="s">
        <v>34</v>
      </c>
      <c r="D3833" t="s">
        <v>35</v>
      </c>
      <c r="E3833" t="s">
        <v>7644</v>
      </c>
      <c r="F3833">
        <v>2</v>
      </c>
      <c r="G3833" s="15">
        <v>2710000</v>
      </c>
      <c r="H3833" s="14">
        <v>0.13075929750140999</v>
      </c>
      <c r="I3833" s="27">
        <f t="shared" si="59"/>
        <v>2355642.3037711792</v>
      </c>
      <c r="J3833">
        <v>3.3</v>
      </c>
      <c r="K3833" t="b">
        <v>1</v>
      </c>
    </row>
    <row r="3834" spans="1:11" ht="16" x14ac:dyDescent="0.2">
      <c r="A3834" s="16">
        <v>45947</v>
      </c>
      <c r="B3834" t="s">
        <v>45</v>
      </c>
      <c r="C3834" t="s">
        <v>19</v>
      </c>
      <c r="D3834" t="s">
        <v>35</v>
      </c>
      <c r="E3834" t="s">
        <v>7643</v>
      </c>
      <c r="F3834">
        <v>3</v>
      </c>
      <c r="G3834" s="15">
        <v>2710000</v>
      </c>
      <c r="H3834" s="14">
        <v>0.13075929750140999</v>
      </c>
      <c r="I3834" s="27">
        <f t="shared" si="59"/>
        <v>2355642.3037711792</v>
      </c>
      <c r="J3834">
        <v>5</v>
      </c>
      <c r="K3834" t="b">
        <v>1</v>
      </c>
    </row>
    <row r="3835" spans="1:11" ht="16" x14ac:dyDescent="0.2">
      <c r="A3835" s="16">
        <v>45947</v>
      </c>
      <c r="B3835" t="s">
        <v>29</v>
      </c>
      <c r="C3835" t="s">
        <v>25</v>
      </c>
      <c r="D3835" t="s">
        <v>35</v>
      </c>
      <c r="E3835" t="s">
        <v>7644</v>
      </c>
      <c r="F3835">
        <v>1</v>
      </c>
      <c r="G3835" s="15">
        <v>2710000</v>
      </c>
      <c r="H3835" s="14">
        <v>0.13075929750140999</v>
      </c>
      <c r="I3835" s="27">
        <f t="shared" si="59"/>
        <v>2355642.3037711792</v>
      </c>
      <c r="J3835">
        <v>4.0999999999999996</v>
      </c>
      <c r="K3835" t="b">
        <v>1</v>
      </c>
    </row>
    <row r="3836" spans="1:11" ht="16" x14ac:dyDescent="0.2">
      <c r="A3836" s="16">
        <v>45948</v>
      </c>
      <c r="B3836" t="s">
        <v>45</v>
      </c>
      <c r="C3836" t="s">
        <v>19</v>
      </c>
      <c r="D3836" t="s">
        <v>20</v>
      </c>
      <c r="E3836" t="s">
        <v>7641</v>
      </c>
      <c r="F3836">
        <v>2</v>
      </c>
      <c r="G3836" s="15">
        <v>2710000</v>
      </c>
      <c r="H3836" s="14">
        <v>0.13075929750140999</v>
      </c>
      <c r="I3836" s="27">
        <f t="shared" si="59"/>
        <v>2355642.3037711792</v>
      </c>
      <c r="J3836">
        <v>4.8</v>
      </c>
      <c r="K3836" t="b">
        <v>1</v>
      </c>
    </row>
    <row r="3837" spans="1:11" ht="16" x14ac:dyDescent="0.2">
      <c r="A3837" s="16">
        <v>45948</v>
      </c>
      <c r="B3837" t="s">
        <v>33</v>
      </c>
      <c r="C3837" t="s">
        <v>45</v>
      </c>
      <c r="D3837" t="s">
        <v>20</v>
      </c>
      <c r="E3837" t="s">
        <v>7641</v>
      </c>
      <c r="F3837">
        <v>1</v>
      </c>
      <c r="G3837" s="15">
        <v>2710000</v>
      </c>
      <c r="H3837" s="14">
        <v>0.13075929750140999</v>
      </c>
      <c r="I3837" s="27">
        <f t="shared" si="59"/>
        <v>2355642.3037711792</v>
      </c>
      <c r="J3837">
        <v>5</v>
      </c>
      <c r="K3837" t="b">
        <v>0</v>
      </c>
    </row>
    <row r="3838" spans="1:11" ht="16" x14ac:dyDescent="0.2">
      <c r="A3838" s="16">
        <v>45949</v>
      </c>
      <c r="B3838" t="s">
        <v>33</v>
      </c>
      <c r="C3838" t="s">
        <v>19</v>
      </c>
      <c r="D3838" t="str">
        <f>D3837</f>
        <v>Website</v>
      </c>
      <c r="E3838" t="s">
        <v>7640</v>
      </c>
      <c r="F3838">
        <v>1</v>
      </c>
      <c r="G3838" s="15">
        <v>2710000</v>
      </c>
      <c r="H3838" s="14">
        <v>0.13075929750140999</v>
      </c>
      <c r="I3838" s="27">
        <f t="shared" si="59"/>
        <v>2355642.3037711792</v>
      </c>
      <c r="J3838">
        <v>4.7</v>
      </c>
      <c r="K3838" t="b">
        <v>0</v>
      </c>
    </row>
    <row r="3839" spans="1:11" ht="16" x14ac:dyDescent="0.2">
      <c r="A3839" s="16">
        <v>45949</v>
      </c>
      <c r="B3839" t="s">
        <v>29</v>
      </c>
      <c r="C3839" t="s">
        <v>39</v>
      </c>
      <c r="D3839" t="s">
        <v>35</v>
      </c>
      <c r="E3839" t="s">
        <v>7637</v>
      </c>
      <c r="F3839">
        <v>1</v>
      </c>
      <c r="G3839" s="15">
        <v>2710000</v>
      </c>
      <c r="H3839" s="14">
        <v>0.13075929750140999</v>
      </c>
      <c r="I3839" s="27">
        <f t="shared" si="59"/>
        <v>2355642.3037711792</v>
      </c>
      <c r="J3839">
        <v>3.8</v>
      </c>
      <c r="K3839" t="b">
        <v>1</v>
      </c>
    </row>
    <row r="3840" spans="1:11" ht="16" x14ac:dyDescent="0.2">
      <c r="A3840" s="16">
        <v>45950</v>
      </c>
      <c r="B3840" t="s">
        <v>29</v>
      </c>
      <c r="C3840" t="s">
        <v>34</v>
      </c>
      <c r="D3840" t="s">
        <v>35</v>
      </c>
      <c r="E3840" t="s">
        <v>7643</v>
      </c>
      <c r="F3840">
        <v>2</v>
      </c>
      <c r="G3840" s="15">
        <v>2710000</v>
      </c>
      <c r="H3840" s="14">
        <v>0.13075929750140999</v>
      </c>
      <c r="I3840" s="27">
        <f t="shared" si="59"/>
        <v>2355642.3037711792</v>
      </c>
      <c r="J3840">
        <v>4.0999999999999996</v>
      </c>
      <c r="K3840" t="b">
        <v>1</v>
      </c>
    </row>
    <row r="3841" spans="1:11" ht="16" x14ac:dyDescent="0.2">
      <c r="A3841" s="16">
        <v>45951</v>
      </c>
      <c r="B3841" t="s">
        <v>18</v>
      </c>
      <c r="C3841" t="s">
        <v>34</v>
      </c>
      <c r="D3841" t="s">
        <v>50</v>
      </c>
      <c r="E3841" t="s">
        <v>7642</v>
      </c>
      <c r="F3841">
        <v>3</v>
      </c>
      <c r="G3841" s="15">
        <v>2710000</v>
      </c>
      <c r="H3841" s="14">
        <v>0.13075929750140999</v>
      </c>
      <c r="I3841" s="27">
        <f t="shared" si="59"/>
        <v>2355642.3037711792</v>
      </c>
      <c r="J3841">
        <v>5</v>
      </c>
      <c r="K3841" t="b">
        <v>1</v>
      </c>
    </row>
    <row r="3842" spans="1:11" ht="16" x14ac:dyDescent="0.2">
      <c r="A3842" s="16">
        <v>45951</v>
      </c>
      <c r="B3842" t="s">
        <v>45</v>
      </c>
      <c r="C3842" t="s">
        <v>25</v>
      </c>
      <c r="D3842" t="s">
        <v>20</v>
      </c>
      <c r="E3842" t="s">
        <v>7637</v>
      </c>
      <c r="F3842">
        <v>3</v>
      </c>
      <c r="G3842" s="15">
        <v>2710000</v>
      </c>
      <c r="H3842" s="14">
        <v>0.13075929750140999</v>
      </c>
      <c r="I3842" s="27">
        <f t="shared" si="59"/>
        <v>2355642.3037711792</v>
      </c>
      <c r="J3842">
        <v>4.9000000000000004</v>
      </c>
      <c r="K3842" t="b">
        <v>1</v>
      </c>
    </row>
    <row r="3843" spans="1:11" ht="16" x14ac:dyDescent="0.2">
      <c r="A3843" s="16">
        <v>45951</v>
      </c>
      <c r="B3843" t="s">
        <v>18</v>
      </c>
      <c r="C3843" t="s">
        <v>39</v>
      </c>
      <c r="D3843" t="s">
        <v>20</v>
      </c>
      <c r="E3843" t="s">
        <v>7638</v>
      </c>
      <c r="F3843">
        <v>2</v>
      </c>
      <c r="G3843" s="15">
        <v>2710000</v>
      </c>
      <c r="H3843" s="14">
        <v>0.13075929750140999</v>
      </c>
      <c r="I3843" s="27">
        <f t="shared" ref="I3843:I3906" si="60">G3843-G3843*H3843</f>
        <v>2355642.3037711792</v>
      </c>
      <c r="J3843">
        <v>3.5</v>
      </c>
      <c r="K3843" t="b">
        <v>1</v>
      </c>
    </row>
    <row r="3844" spans="1:11" ht="16" x14ac:dyDescent="0.2">
      <c r="A3844" s="16">
        <v>45951</v>
      </c>
      <c r="B3844" t="s">
        <v>18</v>
      </c>
      <c r="C3844" t="s">
        <v>34</v>
      </c>
      <c r="D3844" t="s">
        <v>35</v>
      </c>
      <c r="E3844" t="s">
        <v>99</v>
      </c>
      <c r="F3844">
        <v>1</v>
      </c>
      <c r="G3844" s="15">
        <v>2710000</v>
      </c>
      <c r="H3844" s="14">
        <v>0.13075929750140999</v>
      </c>
      <c r="I3844" s="27">
        <f t="shared" si="60"/>
        <v>2355642.3037711792</v>
      </c>
      <c r="J3844">
        <v>4.3</v>
      </c>
      <c r="K3844" t="b">
        <v>1</v>
      </c>
    </row>
    <row r="3845" spans="1:11" ht="16" x14ac:dyDescent="0.2">
      <c r="A3845" s="16">
        <v>45951</v>
      </c>
      <c r="B3845" t="s">
        <v>33</v>
      </c>
      <c r="C3845" t="s">
        <v>25</v>
      </c>
      <c r="D3845" t="s">
        <v>35</v>
      </c>
      <c r="E3845" t="s">
        <v>7638</v>
      </c>
      <c r="F3845">
        <v>1</v>
      </c>
      <c r="G3845" s="15">
        <v>2710000</v>
      </c>
      <c r="H3845" s="14">
        <v>0.13075929750140999</v>
      </c>
      <c r="I3845" s="27">
        <f t="shared" si="60"/>
        <v>2355642.3037711792</v>
      </c>
      <c r="J3845">
        <v>4</v>
      </c>
      <c r="K3845" t="b">
        <v>1</v>
      </c>
    </row>
    <row r="3846" spans="1:11" ht="16" x14ac:dyDescent="0.2">
      <c r="A3846" s="16">
        <v>45951</v>
      </c>
      <c r="B3846" t="s">
        <v>18</v>
      </c>
      <c r="C3846" t="s">
        <v>45</v>
      </c>
      <c r="D3846" t="s">
        <v>20</v>
      </c>
      <c r="E3846" t="s">
        <v>7643</v>
      </c>
      <c r="F3846">
        <v>3</v>
      </c>
      <c r="G3846" s="15">
        <v>2710000</v>
      </c>
      <c r="H3846" s="14">
        <v>0.13075929750140999</v>
      </c>
      <c r="I3846" s="27">
        <f t="shared" si="60"/>
        <v>2355642.3037711792</v>
      </c>
      <c r="J3846">
        <v>4.2</v>
      </c>
      <c r="K3846" t="b">
        <v>1</v>
      </c>
    </row>
    <row r="3847" spans="1:11" ht="16" x14ac:dyDescent="0.2">
      <c r="A3847" s="16">
        <v>45952</v>
      </c>
      <c r="B3847" t="s">
        <v>45</v>
      </c>
      <c r="C3847" t="s">
        <v>19</v>
      </c>
      <c r="D3847" t="s">
        <v>35</v>
      </c>
      <c r="E3847" t="s">
        <v>7644</v>
      </c>
      <c r="F3847">
        <v>1</v>
      </c>
      <c r="G3847" s="15">
        <v>2710000</v>
      </c>
      <c r="H3847" s="14">
        <v>0.13075929750140999</v>
      </c>
      <c r="I3847" s="27">
        <f t="shared" si="60"/>
        <v>2355642.3037711792</v>
      </c>
      <c r="J3847">
        <v>4.7</v>
      </c>
      <c r="K3847" t="b">
        <v>1</v>
      </c>
    </row>
    <row r="3848" spans="1:11" ht="16" x14ac:dyDescent="0.2">
      <c r="A3848" s="16">
        <v>45952</v>
      </c>
      <c r="B3848" t="s">
        <v>33</v>
      </c>
      <c r="C3848" t="s">
        <v>25</v>
      </c>
      <c r="D3848" t="s">
        <v>20</v>
      </c>
      <c r="E3848" t="s">
        <v>7638</v>
      </c>
      <c r="F3848">
        <v>1</v>
      </c>
      <c r="G3848" s="15">
        <v>2710000</v>
      </c>
      <c r="H3848" s="14">
        <v>0.13075929750140999</v>
      </c>
      <c r="I3848" s="27">
        <f t="shared" si="60"/>
        <v>2355642.3037711792</v>
      </c>
      <c r="J3848">
        <v>4.7</v>
      </c>
      <c r="K3848" t="b">
        <v>1</v>
      </c>
    </row>
    <row r="3849" spans="1:11" ht="16" x14ac:dyDescent="0.2">
      <c r="A3849" s="16">
        <v>45952</v>
      </c>
      <c r="B3849" t="s">
        <v>29</v>
      </c>
      <c r="C3849" t="s">
        <v>34</v>
      </c>
      <c r="D3849" t="s">
        <v>50</v>
      </c>
      <c r="E3849" t="s">
        <v>7637</v>
      </c>
      <c r="F3849">
        <v>3</v>
      </c>
      <c r="G3849" s="15">
        <v>2710000</v>
      </c>
      <c r="H3849" s="14">
        <v>0.13075929750140999</v>
      </c>
      <c r="I3849" s="27">
        <f t="shared" si="60"/>
        <v>2355642.3037711792</v>
      </c>
      <c r="J3849">
        <v>4.0999999999999996</v>
      </c>
      <c r="K3849" t="b">
        <v>1</v>
      </c>
    </row>
    <row r="3850" spans="1:11" ht="16" x14ac:dyDescent="0.2">
      <c r="A3850" s="16">
        <v>45952</v>
      </c>
      <c r="B3850" t="s">
        <v>45</v>
      </c>
      <c r="C3850" t="s">
        <v>39</v>
      </c>
      <c r="D3850" t="s">
        <v>46</v>
      </c>
      <c r="E3850" t="s">
        <v>7640</v>
      </c>
      <c r="F3850">
        <v>1</v>
      </c>
      <c r="G3850" s="15">
        <v>2710000</v>
      </c>
      <c r="H3850" s="14">
        <v>0.13075929750140999</v>
      </c>
      <c r="I3850" s="27">
        <f t="shared" si="60"/>
        <v>2355642.3037711792</v>
      </c>
      <c r="J3850">
        <v>4.8</v>
      </c>
      <c r="K3850" t="b">
        <v>0</v>
      </c>
    </row>
    <row r="3851" spans="1:11" ht="16" x14ac:dyDescent="0.2">
      <c r="A3851" s="16">
        <v>45953</v>
      </c>
      <c r="B3851" t="str">
        <f>B3850</f>
        <v>Family</v>
      </c>
      <c r="C3851" t="s">
        <v>25</v>
      </c>
      <c r="D3851" t="s">
        <v>50</v>
      </c>
      <c r="E3851" t="s">
        <v>7637</v>
      </c>
      <c r="F3851">
        <v>1</v>
      </c>
      <c r="G3851" s="15">
        <v>2710000</v>
      </c>
      <c r="H3851" s="14">
        <v>0.13075929750140999</v>
      </c>
      <c r="I3851" s="27">
        <f t="shared" si="60"/>
        <v>2355642.3037711792</v>
      </c>
      <c r="J3851">
        <v>4</v>
      </c>
      <c r="K3851" t="b">
        <v>0</v>
      </c>
    </row>
    <row r="3852" spans="1:11" ht="16" x14ac:dyDescent="0.2">
      <c r="A3852" s="16">
        <v>45953</v>
      </c>
      <c r="B3852" t="s">
        <v>45</v>
      </c>
      <c r="C3852" t="s">
        <v>19</v>
      </c>
      <c r="D3852" t="s">
        <v>35</v>
      </c>
      <c r="E3852" t="s">
        <v>7643</v>
      </c>
      <c r="F3852">
        <v>5</v>
      </c>
      <c r="G3852" s="15">
        <v>2710000</v>
      </c>
      <c r="H3852" s="14">
        <v>0.13075929750140999</v>
      </c>
      <c r="I3852" s="27">
        <f t="shared" si="60"/>
        <v>2355642.3037711792</v>
      </c>
      <c r="J3852">
        <v>4.2</v>
      </c>
      <c r="K3852" t="b">
        <v>1</v>
      </c>
    </row>
    <row r="3853" spans="1:11" ht="16" x14ac:dyDescent="0.2">
      <c r="A3853" s="16">
        <v>45954</v>
      </c>
      <c r="B3853" t="s">
        <v>33</v>
      </c>
      <c r="C3853" t="s">
        <v>34</v>
      </c>
      <c r="D3853" t="s">
        <v>35</v>
      </c>
      <c r="E3853" t="s">
        <v>7641</v>
      </c>
      <c r="F3853">
        <v>1</v>
      </c>
      <c r="G3853" s="15">
        <v>2710000</v>
      </c>
      <c r="H3853" s="14">
        <v>0.13075929750140999</v>
      </c>
      <c r="I3853" s="27">
        <f t="shared" si="60"/>
        <v>2355642.3037711792</v>
      </c>
      <c r="J3853">
        <v>3.7</v>
      </c>
      <c r="K3853" t="b">
        <v>1</v>
      </c>
    </row>
    <row r="3854" spans="1:11" ht="16" x14ac:dyDescent="0.2">
      <c r="A3854" s="16">
        <v>45954</v>
      </c>
      <c r="B3854" t="s">
        <v>45</v>
      </c>
      <c r="C3854" t="s">
        <v>25</v>
      </c>
      <c r="D3854" t="s">
        <v>50</v>
      </c>
      <c r="E3854" t="s">
        <v>57</v>
      </c>
      <c r="F3854">
        <v>4</v>
      </c>
      <c r="G3854" s="15">
        <v>2710000</v>
      </c>
      <c r="H3854" s="14">
        <v>0.13075929750140999</v>
      </c>
      <c r="I3854" s="27">
        <f t="shared" si="60"/>
        <v>2355642.3037711792</v>
      </c>
      <c r="J3854">
        <v>4.5999999999999996</v>
      </c>
      <c r="K3854" t="b">
        <v>0</v>
      </c>
    </row>
    <row r="3855" spans="1:11" ht="16" x14ac:dyDescent="0.2">
      <c r="A3855" s="16">
        <v>45954</v>
      </c>
      <c r="B3855" t="s">
        <v>18</v>
      </c>
      <c r="C3855" t="s">
        <v>39</v>
      </c>
      <c r="D3855" t="s">
        <v>46</v>
      </c>
      <c r="E3855" t="s">
        <v>7641</v>
      </c>
      <c r="F3855">
        <v>2</v>
      </c>
      <c r="G3855" s="15">
        <v>2710000</v>
      </c>
      <c r="H3855" s="14">
        <v>0.13075929750140999</v>
      </c>
      <c r="I3855" s="27">
        <f t="shared" si="60"/>
        <v>2355642.3037711792</v>
      </c>
      <c r="J3855">
        <v>4.5</v>
      </c>
      <c r="K3855" t="b">
        <v>1</v>
      </c>
    </row>
    <row r="3856" spans="1:11" ht="16" x14ac:dyDescent="0.2">
      <c r="A3856" s="16">
        <v>45955</v>
      </c>
      <c r="B3856" t="s">
        <v>18</v>
      </c>
      <c r="C3856" t="s">
        <v>25</v>
      </c>
      <c r="D3856" t="s">
        <v>35</v>
      </c>
      <c r="E3856" t="s">
        <v>7640</v>
      </c>
      <c r="F3856">
        <v>2</v>
      </c>
      <c r="G3856" s="15">
        <v>2710000</v>
      </c>
      <c r="H3856" s="14">
        <v>0.13075929750140999</v>
      </c>
      <c r="I3856" s="27">
        <f t="shared" si="60"/>
        <v>2355642.3037711792</v>
      </c>
      <c r="J3856">
        <v>3.2</v>
      </c>
      <c r="K3856" t="b">
        <v>1</v>
      </c>
    </row>
    <row r="3857" spans="1:11" ht="16" x14ac:dyDescent="0.2">
      <c r="A3857" s="16">
        <v>45955</v>
      </c>
      <c r="B3857" t="s">
        <v>29</v>
      </c>
      <c r="C3857" t="s">
        <v>45</v>
      </c>
      <c r="D3857" t="s">
        <v>20</v>
      </c>
      <c r="E3857" t="str">
        <f>E3856</f>
        <v>Hội An</v>
      </c>
      <c r="F3857">
        <v>4</v>
      </c>
      <c r="G3857" s="15">
        <v>2710000</v>
      </c>
      <c r="H3857" s="14">
        <v>0.13075929750140999</v>
      </c>
      <c r="I3857" s="27">
        <f t="shared" si="60"/>
        <v>2355642.3037711792</v>
      </c>
      <c r="J3857">
        <v>4.2</v>
      </c>
      <c r="K3857" t="b">
        <v>1</v>
      </c>
    </row>
    <row r="3858" spans="1:11" ht="16" x14ac:dyDescent="0.2">
      <c r="A3858" s="16">
        <v>45956</v>
      </c>
      <c r="B3858" t="s">
        <v>29</v>
      </c>
      <c r="C3858" t="s">
        <v>19</v>
      </c>
      <c r="D3858" t="s">
        <v>50</v>
      </c>
      <c r="E3858" t="s">
        <v>7639</v>
      </c>
      <c r="F3858">
        <v>4</v>
      </c>
      <c r="G3858" s="15">
        <v>2710000</v>
      </c>
      <c r="H3858" s="14">
        <v>0.13075929750140999</v>
      </c>
      <c r="I3858" s="27">
        <f t="shared" si="60"/>
        <v>2355642.3037711792</v>
      </c>
      <c r="J3858">
        <v>4.3</v>
      </c>
      <c r="K3858" t="b">
        <v>1</v>
      </c>
    </row>
    <row r="3859" spans="1:11" ht="16" x14ac:dyDescent="0.2">
      <c r="A3859" s="16">
        <v>45957</v>
      </c>
      <c r="B3859" t="s">
        <v>18</v>
      </c>
      <c r="C3859" t="s">
        <v>19</v>
      </c>
      <c r="D3859" t="s">
        <v>20</v>
      </c>
      <c r="E3859" t="s">
        <v>7642</v>
      </c>
      <c r="F3859">
        <v>1</v>
      </c>
      <c r="G3859" s="15">
        <v>2710000</v>
      </c>
      <c r="H3859" s="14">
        <v>0.13075929750140999</v>
      </c>
      <c r="I3859" s="27">
        <f t="shared" si="60"/>
        <v>2355642.3037711792</v>
      </c>
      <c r="J3859">
        <v>3.7</v>
      </c>
      <c r="K3859" t="b">
        <v>1</v>
      </c>
    </row>
    <row r="3860" spans="1:11" ht="16" x14ac:dyDescent="0.2">
      <c r="A3860" s="16">
        <v>45957</v>
      </c>
      <c r="B3860" t="s">
        <v>18</v>
      </c>
      <c r="C3860" t="s">
        <v>19</v>
      </c>
      <c r="D3860" t="s">
        <v>35</v>
      </c>
      <c r="E3860" t="s">
        <v>7644</v>
      </c>
      <c r="F3860">
        <v>2</v>
      </c>
      <c r="G3860" s="15">
        <v>2710000</v>
      </c>
      <c r="H3860" s="14">
        <v>0.13075929750140999</v>
      </c>
      <c r="I3860" s="27">
        <f t="shared" si="60"/>
        <v>2355642.3037711792</v>
      </c>
      <c r="J3860">
        <v>3.8</v>
      </c>
      <c r="K3860" t="b">
        <v>1</v>
      </c>
    </row>
    <row r="3861" spans="1:11" ht="16" x14ac:dyDescent="0.2">
      <c r="A3861" s="16">
        <v>45957</v>
      </c>
      <c r="B3861" t="s">
        <v>29</v>
      </c>
      <c r="C3861" t="s">
        <v>39</v>
      </c>
      <c r="D3861" t="s">
        <v>20</v>
      </c>
      <c r="E3861" t="s">
        <v>7644</v>
      </c>
      <c r="F3861">
        <v>2</v>
      </c>
      <c r="G3861" s="15">
        <v>2710000</v>
      </c>
      <c r="H3861" s="14">
        <v>0.13075929750140999</v>
      </c>
      <c r="I3861" s="27">
        <f t="shared" si="60"/>
        <v>2355642.3037711792</v>
      </c>
      <c r="J3861">
        <v>4.5999999999999996</v>
      </c>
      <c r="K3861" t="b">
        <v>0</v>
      </c>
    </row>
    <row r="3862" spans="1:11" ht="16" x14ac:dyDescent="0.2">
      <c r="A3862" s="16">
        <v>45958</v>
      </c>
      <c r="B3862" t="s">
        <v>33</v>
      </c>
      <c r="C3862" t="s">
        <v>19</v>
      </c>
      <c r="D3862" t="s">
        <v>20</v>
      </c>
      <c r="E3862" t="str">
        <f>E3861</f>
        <v>Hạ Long</v>
      </c>
      <c r="F3862">
        <v>2</v>
      </c>
      <c r="G3862" s="15">
        <v>2710000</v>
      </c>
      <c r="H3862" s="14">
        <v>0.13075929750140999</v>
      </c>
      <c r="I3862" s="27">
        <f t="shared" si="60"/>
        <v>2355642.3037711792</v>
      </c>
      <c r="J3862">
        <v>3.9</v>
      </c>
      <c r="K3862" t="b">
        <v>0</v>
      </c>
    </row>
    <row r="3863" spans="1:11" ht="16" x14ac:dyDescent="0.2">
      <c r="A3863" s="16">
        <v>45958</v>
      </c>
      <c r="B3863" t="s">
        <v>29</v>
      </c>
      <c r="C3863" t="s">
        <v>25</v>
      </c>
      <c r="D3863" t="s">
        <v>50</v>
      </c>
      <c r="E3863" t="s">
        <v>57</v>
      </c>
      <c r="F3863">
        <v>1</v>
      </c>
      <c r="G3863" s="15">
        <v>2710000</v>
      </c>
      <c r="H3863" s="14">
        <v>0.13075929750140999</v>
      </c>
      <c r="I3863" s="27">
        <f t="shared" si="60"/>
        <v>2355642.3037711792</v>
      </c>
      <c r="J3863">
        <v>4.8</v>
      </c>
      <c r="K3863" t="b">
        <v>1</v>
      </c>
    </row>
    <row r="3864" spans="1:11" ht="16" x14ac:dyDescent="0.2">
      <c r="A3864" s="16">
        <v>45958</v>
      </c>
      <c r="B3864" t="s">
        <v>33</v>
      </c>
      <c r="C3864" t="s">
        <v>34</v>
      </c>
      <c r="D3864" t="s">
        <v>20</v>
      </c>
      <c r="E3864" t="s">
        <v>7644</v>
      </c>
      <c r="F3864">
        <v>1</v>
      </c>
      <c r="G3864" s="15">
        <v>2710000</v>
      </c>
      <c r="H3864" s="14">
        <v>0.13075929750140999</v>
      </c>
      <c r="I3864" s="27">
        <f t="shared" si="60"/>
        <v>2355642.3037711792</v>
      </c>
      <c r="J3864">
        <v>4.2</v>
      </c>
      <c r="K3864" t="b">
        <v>1</v>
      </c>
    </row>
    <row r="3865" spans="1:11" ht="16" x14ac:dyDescent="0.2">
      <c r="A3865" s="16">
        <v>45958</v>
      </c>
      <c r="B3865" t="s">
        <v>18</v>
      </c>
      <c r="C3865" t="s">
        <v>39</v>
      </c>
      <c r="D3865" t="s">
        <v>35</v>
      </c>
      <c r="E3865" t="s">
        <v>7644</v>
      </c>
      <c r="F3865">
        <v>3</v>
      </c>
      <c r="G3865" s="15">
        <v>2710000</v>
      </c>
      <c r="H3865" s="14">
        <v>0.13075929750140999</v>
      </c>
      <c r="I3865" s="27">
        <f t="shared" si="60"/>
        <v>2355642.3037711792</v>
      </c>
      <c r="J3865">
        <v>3.9</v>
      </c>
      <c r="K3865" t="b">
        <v>1</v>
      </c>
    </row>
    <row r="3866" spans="1:11" ht="16" x14ac:dyDescent="0.2">
      <c r="A3866" s="16">
        <v>45958</v>
      </c>
      <c r="B3866" t="s">
        <v>45</v>
      </c>
      <c r="C3866" t="s">
        <v>39</v>
      </c>
      <c r="D3866" t="s">
        <v>46</v>
      </c>
      <c r="E3866" t="s">
        <v>7638</v>
      </c>
      <c r="F3866">
        <v>3</v>
      </c>
      <c r="G3866" s="15">
        <v>2710000</v>
      </c>
      <c r="H3866" s="14">
        <v>0.13075929750140999</v>
      </c>
      <c r="I3866" s="27">
        <f t="shared" si="60"/>
        <v>2355642.3037711792</v>
      </c>
      <c r="J3866">
        <v>4</v>
      </c>
      <c r="K3866" t="b">
        <v>1</v>
      </c>
    </row>
    <row r="3867" spans="1:11" ht="16" x14ac:dyDescent="0.2">
      <c r="A3867" s="16">
        <v>45959</v>
      </c>
      <c r="B3867" t="s">
        <v>29</v>
      </c>
      <c r="C3867" t="s">
        <v>34</v>
      </c>
      <c r="D3867" t="s">
        <v>50</v>
      </c>
      <c r="E3867" t="str">
        <f>E3866</f>
        <v>Đà Lạt</v>
      </c>
      <c r="F3867">
        <v>1</v>
      </c>
      <c r="G3867" s="15">
        <v>2710000</v>
      </c>
      <c r="H3867" s="14">
        <v>0.13075929750140999</v>
      </c>
      <c r="I3867" s="27">
        <f t="shared" si="60"/>
        <v>2355642.3037711792</v>
      </c>
      <c r="J3867">
        <v>4.0999999999999996</v>
      </c>
      <c r="K3867" t="b">
        <v>1</v>
      </c>
    </row>
    <row r="3868" spans="1:11" ht="16" x14ac:dyDescent="0.2">
      <c r="A3868" s="16">
        <v>45960</v>
      </c>
      <c r="B3868" t="s">
        <v>33</v>
      </c>
      <c r="C3868" t="s">
        <v>25</v>
      </c>
      <c r="D3868" t="s">
        <v>35</v>
      </c>
      <c r="E3868" t="s">
        <v>99</v>
      </c>
      <c r="F3868">
        <v>1</v>
      </c>
      <c r="G3868" s="15">
        <v>2710000</v>
      </c>
      <c r="H3868" s="14">
        <v>0.13075929750140999</v>
      </c>
      <c r="I3868" s="27">
        <f t="shared" si="60"/>
        <v>2355642.3037711792</v>
      </c>
      <c r="J3868">
        <v>4.7</v>
      </c>
      <c r="K3868" t="b">
        <v>1</v>
      </c>
    </row>
    <row r="3869" spans="1:11" ht="16" x14ac:dyDescent="0.2">
      <c r="A3869" s="16">
        <v>45960</v>
      </c>
      <c r="B3869" t="s">
        <v>18</v>
      </c>
      <c r="C3869" t="s">
        <v>25</v>
      </c>
      <c r="D3869" t="s">
        <v>35</v>
      </c>
      <c r="E3869" t="s">
        <v>7637</v>
      </c>
      <c r="F3869">
        <v>2</v>
      </c>
      <c r="G3869" s="15">
        <v>2710000</v>
      </c>
      <c r="H3869" s="14">
        <v>0.13075929750140999</v>
      </c>
      <c r="I3869" s="27">
        <f t="shared" si="60"/>
        <v>2355642.3037711792</v>
      </c>
      <c r="J3869">
        <v>3.8</v>
      </c>
      <c r="K3869" t="b">
        <v>0</v>
      </c>
    </row>
    <row r="3870" spans="1:11" ht="16" x14ac:dyDescent="0.2">
      <c r="A3870" s="16">
        <v>45960</v>
      </c>
      <c r="B3870" t="s">
        <v>18</v>
      </c>
      <c r="C3870" t="s">
        <v>45</v>
      </c>
      <c r="D3870" t="s">
        <v>20</v>
      </c>
      <c r="E3870" t="s">
        <v>7640</v>
      </c>
      <c r="F3870">
        <v>2</v>
      </c>
      <c r="G3870" s="15">
        <v>2710000</v>
      </c>
      <c r="H3870" s="14">
        <v>0.13075929750140999</v>
      </c>
      <c r="I3870" s="27">
        <f t="shared" si="60"/>
        <v>2355642.3037711792</v>
      </c>
      <c r="J3870">
        <v>4.5999999999999996</v>
      </c>
      <c r="K3870" t="b">
        <v>1</v>
      </c>
    </row>
    <row r="3871" spans="1:11" ht="16" x14ac:dyDescent="0.2">
      <c r="A3871" s="16">
        <v>45961</v>
      </c>
      <c r="B3871" t="s">
        <v>45</v>
      </c>
      <c r="C3871" t="s">
        <v>68</v>
      </c>
      <c r="D3871" t="s">
        <v>20</v>
      </c>
      <c r="E3871" t="s">
        <v>7644</v>
      </c>
      <c r="F3871">
        <v>3</v>
      </c>
      <c r="G3871" s="15">
        <v>2710000</v>
      </c>
      <c r="H3871" s="14">
        <v>0.13075929750140999</v>
      </c>
      <c r="I3871" s="27">
        <f t="shared" si="60"/>
        <v>2355642.3037711792</v>
      </c>
      <c r="J3871">
        <v>3.4</v>
      </c>
      <c r="K3871" t="b">
        <v>1</v>
      </c>
    </row>
    <row r="3872" spans="1:11" ht="16" x14ac:dyDescent="0.2">
      <c r="A3872" s="16">
        <v>45962</v>
      </c>
      <c r="B3872" t="s">
        <v>18</v>
      </c>
      <c r="C3872" t="s">
        <v>45</v>
      </c>
      <c r="D3872" t="s">
        <v>20</v>
      </c>
      <c r="E3872" t="s">
        <v>7642</v>
      </c>
      <c r="F3872">
        <v>3</v>
      </c>
      <c r="G3872" s="15">
        <v>2710000</v>
      </c>
      <c r="H3872" s="14">
        <v>0.13075929750140999</v>
      </c>
      <c r="I3872" s="27">
        <f t="shared" si="60"/>
        <v>2355642.3037711792</v>
      </c>
      <c r="J3872">
        <v>3.2</v>
      </c>
      <c r="K3872" t="b">
        <v>1</v>
      </c>
    </row>
    <row r="3873" spans="1:11" ht="16" x14ac:dyDescent="0.2">
      <c r="A3873" s="16">
        <v>45962</v>
      </c>
      <c r="B3873" t="s">
        <v>29</v>
      </c>
      <c r="C3873" t="s">
        <v>34</v>
      </c>
      <c r="D3873" t="s">
        <v>35</v>
      </c>
      <c r="E3873" t="s">
        <v>7639</v>
      </c>
      <c r="F3873">
        <v>3</v>
      </c>
      <c r="G3873" s="15">
        <v>2710000</v>
      </c>
      <c r="H3873" s="14">
        <v>0.13075929750140999</v>
      </c>
      <c r="I3873" s="27">
        <f t="shared" si="60"/>
        <v>2355642.3037711792</v>
      </c>
      <c r="J3873">
        <v>4.9000000000000004</v>
      </c>
      <c r="K3873" t="b">
        <v>1</v>
      </c>
    </row>
    <row r="3874" spans="1:11" ht="16" x14ac:dyDescent="0.2">
      <c r="A3874" s="16">
        <v>45962</v>
      </c>
      <c r="B3874" t="s">
        <v>45</v>
      </c>
      <c r="C3874" t="s">
        <v>19</v>
      </c>
      <c r="D3874" t="s">
        <v>35</v>
      </c>
      <c r="E3874" t="s">
        <v>7641</v>
      </c>
      <c r="F3874">
        <v>3</v>
      </c>
      <c r="G3874" s="15">
        <v>2710000</v>
      </c>
      <c r="H3874" s="14">
        <v>0.13075929750140999</v>
      </c>
      <c r="I3874" s="27">
        <f t="shared" si="60"/>
        <v>2355642.3037711792</v>
      </c>
      <c r="J3874">
        <v>3.9</v>
      </c>
      <c r="K3874" t="b">
        <v>0</v>
      </c>
    </row>
    <row r="3875" spans="1:11" ht="16" x14ac:dyDescent="0.2">
      <c r="A3875" s="16">
        <v>45962</v>
      </c>
      <c r="B3875" t="s">
        <v>29</v>
      </c>
      <c r="C3875" t="s">
        <v>19</v>
      </c>
      <c r="D3875" t="s">
        <v>35</v>
      </c>
      <c r="E3875" t="s">
        <v>7641</v>
      </c>
      <c r="F3875">
        <v>1</v>
      </c>
      <c r="G3875" s="15">
        <v>2710000</v>
      </c>
      <c r="H3875" s="14">
        <v>0.13075929750140999</v>
      </c>
      <c r="I3875" s="27">
        <f t="shared" si="60"/>
        <v>2355642.3037711792</v>
      </c>
      <c r="J3875">
        <v>5</v>
      </c>
      <c r="K3875" t="b">
        <v>1</v>
      </c>
    </row>
    <row r="3876" spans="1:11" ht="16" x14ac:dyDescent="0.2">
      <c r="A3876" s="16">
        <v>45963</v>
      </c>
      <c r="B3876" t="s">
        <v>45</v>
      </c>
      <c r="C3876" t="s">
        <v>25</v>
      </c>
      <c r="D3876" t="s">
        <v>35</v>
      </c>
      <c r="E3876" t="s">
        <v>57</v>
      </c>
      <c r="F3876">
        <v>1</v>
      </c>
      <c r="G3876" s="15">
        <v>2710000</v>
      </c>
      <c r="H3876" s="14">
        <v>0.13075929750140999</v>
      </c>
      <c r="I3876" s="27">
        <f t="shared" si="60"/>
        <v>2355642.3037711792</v>
      </c>
      <c r="J3876">
        <v>4.7</v>
      </c>
      <c r="K3876" t="b">
        <v>0</v>
      </c>
    </row>
    <row r="3877" spans="1:11" ht="16" x14ac:dyDescent="0.2">
      <c r="A3877" s="16">
        <v>45963</v>
      </c>
      <c r="B3877" t="s">
        <v>29</v>
      </c>
      <c r="C3877" t="s">
        <v>19</v>
      </c>
      <c r="D3877" t="s">
        <v>35</v>
      </c>
      <c r="E3877" t="str">
        <f>E3876</f>
        <v>Nha Trang</v>
      </c>
      <c r="F3877">
        <v>2</v>
      </c>
      <c r="G3877" s="15">
        <v>2710000</v>
      </c>
      <c r="H3877" s="14">
        <v>0.13075929750140999</v>
      </c>
      <c r="I3877" s="27">
        <f t="shared" si="60"/>
        <v>2355642.3037711792</v>
      </c>
      <c r="J3877">
        <v>3.9</v>
      </c>
      <c r="K3877" t="b">
        <v>1</v>
      </c>
    </row>
    <row r="3878" spans="1:11" ht="16" x14ac:dyDescent="0.2">
      <c r="A3878" s="16">
        <v>45963</v>
      </c>
      <c r="B3878" t="s">
        <v>45</v>
      </c>
      <c r="C3878" t="s">
        <v>19</v>
      </c>
      <c r="D3878" t="s">
        <v>20</v>
      </c>
      <c r="E3878" t="s">
        <v>7640</v>
      </c>
      <c r="F3878">
        <v>3</v>
      </c>
      <c r="G3878" s="15">
        <v>2710000</v>
      </c>
      <c r="H3878" s="14">
        <v>0.13075929750140999</v>
      </c>
      <c r="I3878" s="27">
        <f t="shared" si="60"/>
        <v>2355642.3037711792</v>
      </c>
      <c r="J3878">
        <v>3.7</v>
      </c>
      <c r="K3878" t="b">
        <v>1</v>
      </c>
    </row>
    <row r="3879" spans="1:11" ht="16" x14ac:dyDescent="0.2">
      <c r="A3879" s="16">
        <v>45964</v>
      </c>
      <c r="B3879" t="s">
        <v>18</v>
      </c>
      <c r="C3879" t="s">
        <v>19</v>
      </c>
      <c r="D3879" t="s">
        <v>20</v>
      </c>
      <c r="E3879" t="s">
        <v>7644</v>
      </c>
      <c r="F3879">
        <v>1</v>
      </c>
      <c r="G3879" s="15">
        <v>2710000</v>
      </c>
      <c r="H3879" s="14">
        <v>0.13075929750140999</v>
      </c>
      <c r="I3879" s="27">
        <f t="shared" si="60"/>
        <v>2355642.3037711792</v>
      </c>
      <c r="J3879">
        <v>4.3</v>
      </c>
      <c r="K3879" t="b">
        <v>1</v>
      </c>
    </row>
    <row r="3880" spans="1:11" ht="16" x14ac:dyDescent="0.2">
      <c r="A3880" s="16">
        <v>45964</v>
      </c>
      <c r="B3880" t="s">
        <v>18</v>
      </c>
      <c r="C3880" t="s">
        <v>34</v>
      </c>
      <c r="D3880" t="s">
        <v>20</v>
      </c>
      <c r="E3880" t="s">
        <v>57</v>
      </c>
      <c r="F3880">
        <v>4</v>
      </c>
      <c r="G3880" s="15">
        <v>2710000</v>
      </c>
      <c r="H3880" s="14">
        <v>0.13075929750140999</v>
      </c>
      <c r="I3880" s="27">
        <f t="shared" si="60"/>
        <v>2355642.3037711792</v>
      </c>
      <c r="J3880">
        <v>4.4000000000000004</v>
      </c>
      <c r="K3880" t="b">
        <v>1</v>
      </c>
    </row>
    <row r="3881" spans="1:11" ht="16" x14ac:dyDescent="0.2">
      <c r="A3881" s="16">
        <v>45964</v>
      </c>
      <c r="B3881" t="s">
        <v>18</v>
      </c>
      <c r="C3881" t="s">
        <v>34</v>
      </c>
      <c r="D3881" t="s">
        <v>20</v>
      </c>
      <c r="E3881" t="s">
        <v>7643</v>
      </c>
      <c r="F3881">
        <v>2</v>
      </c>
      <c r="G3881" s="15">
        <v>2710000</v>
      </c>
      <c r="H3881" s="14">
        <v>0.13075929750140999</v>
      </c>
      <c r="I3881" s="27">
        <f t="shared" si="60"/>
        <v>2355642.3037711792</v>
      </c>
      <c r="J3881">
        <v>3.5</v>
      </c>
      <c r="K3881" t="b">
        <v>1</v>
      </c>
    </row>
    <row r="3882" spans="1:11" ht="16" x14ac:dyDescent="0.2">
      <c r="A3882" s="16">
        <v>45964</v>
      </c>
      <c r="B3882" t="s">
        <v>29</v>
      </c>
      <c r="C3882" t="s">
        <v>25</v>
      </c>
      <c r="D3882" t="s">
        <v>20</v>
      </c>
      <c r="E3882" t="s">
        <v>7637</v>
      </c>
      <c r="F3882">
        <v>2</v>
      </c>
      <c r="G3882" s="15">
        <v>2710000</v>
      </c>
      <c r="H3882" s="14">
        <v>0.13075929750140999</v>
      </c>
      <c r="I3882" s="27">
        <f t="shared" si="60"/>
        <v>2355642.3037711792</v>
      </c>
      <c r="J3882">
        <v>4.0999999999999996</v>
      </c>
      <c r="K3882" t="b">
        <v>1</v>
      </c>
    </row>
    <row r="3883" spans="1:11" ht="16" x14ac:dyDescent="0.2">
      <c r="A3883" s="16">
        <v>45965</v>
      </c>
      <c r="B3883" t="s">
        <v>45</v>
      </c>
      <c r="C3883" t="s">
        <v>19</v>
      </c>
      <c r="D3883" t="s">
        <v>35</v>
      </c>
      <c r="E3883" t="s">
        <v>7641</v>
      </c>
      <c r="F3883">
        <v>2</v>
      </c>
      <c r="G3883" s="15">
        <v>2710000</v>
      </c>
      <c r="H3883" s="14">
        <v>0.13075929750140999</v>
      </c>
      <c r="I3883" s="27">
        <f t="shared" si="60"/>
        <v>2355642.3037711792</v>
      </c>
      <c r="J3883">
        <v>3.7</v>
      </c>
      <c r="K3883" t="b">
        <v>0</v>
      </c>
    </row>
    <row r="3884" spans="1:11" ht="16" x14ac:dyDescent="0.2">
      <c r="A3884" s="16">
        <v>45966</v>
      </c>
      <c r="B3884" t="s">
        <v>18</v>
      </c>
      <c r="C3884" t="s">
        <v>68</v>
      </c>
      <c r="D3884" t="s">
        <v>20</v>
      </c>
      <c r="E3884" t="s">
        <v>7640</v>
      </c>
      <c r="F3884">
        <v>1</v>
      </c>
      <c r="G3884" s="15">
        <v>2710000</v>
      </c>
      <c r="H3884" s="14">
        <v>0.13075929750140999</v>
      </c>
      <c r="I3884" s="27">
        <f t="shared" si="60"/>
        <v>2355642.3037711792</v>
      </c>
      <c r="J3884">
        <v>3.9</v>
      </c>
      <c r="K3884" t="b">
        <v>1</v>
      </c>
    </row>
    <row r="3885" spans="1:11" ht="16" x14ac:dyDescent="0.2">
      <c r="A3885" s="16">
        <v>45967</v>
      </c>
      <c r="B3885" t="s">
        <v>45</v>
      </c>
      <c r="C3885" t="s">
        <v>34</v>
      </c>
      <c r="D3885" t="s">
        <v>46</v>
      </c>
      <c r="E3885" t="s">
        <v>7637</v>
      </c>
      <c r="F3885">
        <v>3</v>
      </c>
      <c r="G3885" s="15">
        <v>2710000</v>
      </c>
      <c r="H3885" s="14">
        <v>0.13075929750140999</v>
      </c>
      <c r="I3885" s="27">
        <f t="shared" si="60"/>
        <v>2355642.3037711792</v>
      </c>
      <c r="J3885">
        <v>3.8</v>
      </c>
      <c r="K3885" t="b">
        <v>1</v>
      </c>
    </row>
    <row r="3886" spans="1:11" ht="16" x14ac:dyDescent="0.2">
      <c r="A3886" s="16">
        <v>45967</v>
      </c>
      <c r="B3886" t="s">
        <v>45</v>
      </c>
      <c r="C3886" t="s">
        <v>39</v>
      </c>
      <c r="D3886" t="s">
        <v>20</v>
      </c>
      <c r="E3886" t="s">
        <v>99</v>
      </c>
      <c r="F3886">
        <v>2</v>
      </c>
      <c r="G3886" s="15">
        <v>2710000</v>
      </c>
      <c r="H3886" s="14">
        <v>0.13075929750140999</v>
      </c>
      <c r="I3886" s="27">
        <f t="shared" si="60"/>
        <v>2355642.3037711792</v>
      </c>
      <c r="J3886">
        <v>4.0999999999999996</v>
      </c>
      <c r="K3886" t="b">
        <v>0</v>
      </c>
    </row>
    <row r="3887" spans="1:11" ht="16" x14ac:dyDescent="0.2">
      <c r="A3887" s="16">
        <v>45967</v>
      </c>
      <c r="B3887" t="s">
        <v>45</v>
      </c>
      <c r="C3887" t="s">
        <v>45</v>
      </c>
      <c r="D3887" t="s">
        <v>50</v>
      </c>
      <c r="E3887" t="s">
        <v>57</v>
      </c>
      <c r="F3887">
        <v>4</v>
      </c>
      <c r="G3887" s="15">
        <v>2710000</v>
      </c>
      <c r="H3887" s="14">
        <v>0.13075929750140999</v>
      </c>
      <c r="I3887" s="27">
        <f t="shared" si="60"/>
        <v>2355642.3037711792</v>
      </c>
      <c r="J3887">
        <v>3.9</v>
      </c>
      <c r="K3887" t="b">
        <v>0</v>
      </c>
    </row>
    <row r="3888" spans="1:11" ht="16" x14ac:dyDescent="0.2">
      <c r="A3888" s="16">
        <v>45967</v>
      </c>
      <c r="B3888" t="s">
        <v>18</v>
      </c>
      <c r="C3888" t="s">
        <v>19</v>
      </c>
      <c r="D3888" t="s">
        <v>50</v>
      </c>
      <c r="E3888" t="s">
        <v>7641</v>
      </c>
      <c r="F3888">
        <v>2</v>
      </c>
      <c r="G3888" s="15">
        <v>2710000</v>
      </c>
      <c r="H3888" s="14">
        <v>0.13075929750140999</v>
      </c>
      <c r="I3888" s="27">
        <f t="shared" si="60"/>
        <v>2355642.3037711792</v>
      </c>
      <c r="J3888">
        <v>3.9</v>
      </c>
      <c r="K3888" t="b">
        <v>1</v>
      </c>
    </row>
    <row r="3889" spans="1:11" ht="16" x14ac:dyDescent="0.2">
      <c r="A3889" s="16">
        <v>45968</v>
      </c>
      <c r="B3889" t="s">
        <v>45</v>
      </c>
      <c r="C3889" t="s">
        <v>68</v>
      </c>
      <c r="D3889" t="s">
        <v>35</v>
      </c>
      <c r="E3889" t="s">
        <v>7640</v>
      </c>
      <c r="F3889">
        <v>1</v>
      </c>
      <c r="G3889" s="15">
        <v>2710000</v>
      </c>
      <c r="H3889" s="14">
        <v>0.13075929750140999</v>
      </c>
      <c r="I3889" s="27">
        <f t="shared" si="60"/>
        <v>2355642.3037711792</v>
      </c>
      <c r="J3889">
        <v>4.3</v>
      </c>
      <c r="K3889" t="b">
        <v>1</v>
      </c>
    </row>
    <row r="3890" spans="1:11" ht="16" x14ac:dyDescent="0.2">
      <c r="A3890" s="16">
        <v>45969</v>
      </c>
      <c r="B3890" t="s">
        <v>29</v>
      </c>
      <c r="C3890" t="s">
        <v>45</v>
      </c>
      <c r="D3890" t="s">
        <v>20</v>
      </c>
      <c r="E3890" t="s">
        <v>57</v>
      </c>
      <c r="F3890">
        <v>4</v>
      </c>
      <c r="G3890" s="15">
        <v>2710000</v>
      </c>
      <c r="H3890" s="14">
        <v>0.13075929750140999</v>
      </c>
      <c r="I3890" s="27">
        <f t="shared" si="60"/>
        <v>2355642.3037711792</v>
      </c>
      <c r="J3890">
        <v>4.7</v>
      </c>
      <c r="K3890" t="b">
        <v>1</v>
      </c>
    </row>
    <row r="3891" spans="1:11" ht="16" x14ac:dyDescent="0.2">
      <c r="A3891" s="16">
        <v>45969</v>
      </c>
      <c r="B3891" t="s">
        <v>45</v>
      </c>
      <c r="C3891" t="s">
        <v>45</v>
      </c>
      <c r="D3891" t="s">
        <v>35</v>
      </c>
      <c r="E3891" t="s">
        <v>7643</v>
      </c>
      <c r="F3891">
        <v>4</v>
      </c>
      <c r="G3891" s="15">
        <v>2710000</v>
      </c>
      <c r="H3891" s="14">
        <v>0.13075929750140999</v>
      </c>
      <c r="I3891" s="27">
        <f t="shared" si="60"/>
        <v>2355642.3037711792</v>
      </c>
      <c r="J3891">
        <v>4.2</v>
      </c>
      <c r="K3891" t="b">
        <v>1</v>
      </c>
    </row>
    <row r="3892" spans="1:11" ht="16" x14ac:dyDescent="0.2">
      <c r="A3892" s="16">
        <v>45970</v>
      </c>
      <c r="B3892" t="s">
        <v>18</v>
      </c>
      <c r="C3892" t="s">
        <v>45</v>
      </c>
      <c r="D3892" t="s">
        <v>35</v>
      </c>
      <c r="E3892" t="s">
        <v>99</v>
      </c>
      <c r="F3892">
        <v>3</v>
      </c>
      <c r="G3892" s="15">
        <v>2710000</v>
      </c>
      <c r="H3892" s="14">
        <v>0.13075929750140999</v>
      </c>
      <c r="I3892" s="27">
        <f t="shared" si="60"/>
        <v>2355642.3037711792</v>
      </c>
      <c r="J3892">
        <v>4.7</v>
      </c>
      <c r="K3892" t="b">
        <v>1</v>
      </c>
    </row>
    <row r="3893" spans="1:11" ht="16" x14ac:dyDescent="0.2">
      <c r="A3893" s="16">
        <v>45970</v>
      </c>
      <c r="B3893" t="s">
        <v>18</v>
      </c>
      <c r="C3893" t="s">
        <v>39</v>
      </c>
      <c r="D3893" t="s">
        <v>50</v>
      </c>
      <c r="E3893" t="s">
        <v>7642</v>
      </c>
      <c r="F3893">
        <v>1</v>
      </c>
      <c r="G3893" s="15">
        <v>2710000</v>
      </c>
      <c r="H3893" s="14">
        <v>0.13075929750140999</v>
      </c>
      <c r="I3893" s="27">
        <f t="shared" si="60"/>
        <v>2355642.3037711792</v>
      </c>
      <c r="J3893">
        <v>3.9</v>
      </c>
      <c r="K3893" t="b">
        <v>0</v>
      </c>
    </row>
    <row r="3894" spans="1:11" ht="16" x14ac:dyDescent="0.2">
      <c r="A3894" s="16">
        <v>45970</v>
      </c>
      <c r="B3894" t="s">
        <v>45</v>
      </c>
      <c r="C3894" t="s">
        <v>45</v>
      </c>
      <c r="D3894" t="s">
        <v>20</v>
      </c>
      <c r="E3894" t="s">
        <v>7644</v>
      </c>
      <c r="F3894">
        <v>3</v>
      </c>
      <c r="G3894" s="15">
        <v>2710000</v>
      </c>
      <c r="H3894" s="14">
        <v>0.13075929750140999</v>
      </c>
      <c r="I3894" s="27">
        <f t="shared" si="60"/>
        <v>2355642.3037711792</v>
      </c>
      <c r="J3894">
        <v>3.9</v>
      </c>
      <c r="K3894" t="b">
        <v>1</v>
      </c>
    </row>
    <row r="3895" spans="1:11" ht="16" x14ac:dyDescent="0.2">
      <c r="A3895" s="16">
        <v>45971</v>
      </c>
      <c r="B3895" t="s">
        <v>18</v>
      </c>
      <c r="C3895" t="s">
        <v>34</v>
      </c>
      <c r="D3895" t="s">
        <v>50</v>
      </c>
      <c r="E3895" t="s">
        <v>7643</v>
      </c>
      <c r="F3895">
        <v>4</v>
      </c>
      <c r="G3895" s="15">
        <v>2710000</v>
      </c>
      <c r="H3895" s="14">
        <v>0.13075929750140999</v>
      </c>
      <c r="I3895" s="27">
        <f t="shared" si="60"/>
        <v>2355642.3037711792</v>
      </c>
      <c r="J3895">
        <v>4.5999999999999996</v>
      </c>
      <c r="K3895" t="b">
        <v>0</v>
      </c>
    </row>
    <row r="3896" spans="1:11" ht="16" x14ac:dyDescent="0.2">
      <c r="A3896" s="16">
        <v>45972</v>
      </c>
      <c r="B3896" t="s">
        <v>45</v>
      </c>
      <c r="C3896" t="s">
        <v>25</v>
      </c>
      <c r="D3896" t="s">
        <v>46</v>
      </c>
      <c r="E3896" t="s">
        <v>7642</v>
      </c>
      <c r="F3896">
        <v>1</v>
      </c>
      <c r="G3896" s="15">
        <v>2710000</v>
      </c>
      <c r="H3896" s="14">
        <v>0.13075929750140999</v>
      </c>
      <c r="I3896" s="27">
        <f t="shared" si="60"/>
        <v>2355642.3037711792</v>
      </c>
      <c r="J3896">
        <v>3.9</v>
      </c>
      <c r="K3896" t="b">
        <v>1</v>
      </c>
    </row>
    <row r="3897" spans="1:11" ht="16" x14ac:dyDescent="0.2">
      <c r="A3897" s="16">
        <v>45973</v>
      </c>
      <c r="B3897" t="s">
        <v>45</v>
      </c>
      <c r="C3897" t="s">
        <v>45</v>
      </c>
      <c r="D3897" t="s">
        <v>20</v>
      </c>
      <c r="E3897" t="s">
        <v>7644</v>
      </c>
      <c r="F3897">
        <v>4</v>
      </c>
      <c r="G3897" s="15">
        <v>2710000</v>
      </c>
      <c r="H3897" s="14">
        <v>0.13075929750140999</v>
      </c>
      <c r="I3897" s="27">
        <f t="shared" si="60"/>
        <v>2355642.3037711792</v>
      </c>
      <c r="J3897">
        <v>3.8</v>
      </c>
      <c r="K3897" t="b">
        <v>1</v>
      </c>
    </row>
    <row r="3898" spans="1:11" ht="16" x14ac:dyDescent="0.2">
      <c r="A3898" s="16">
        <v>45973</v>
      </c>
      <c r="B3898" t="s">
        <v>45</v>
      </c>
      <c r="C3898" t="s">
        <v>39</v>
      </c>
      <c r="D3898" t="s">
        <v>20</v>
      </c>
      <c r="E3898" t="s">
        <v>7637</v>
      </c>
      <c r="F3898">
        <v>1</v>
      </c>
      <c r="G3898" s="15">
        <v>2710000</v>
      </c>
      <c r="H3898" s="14">
        <v>0.13075929750140999</v>
      </c>
      <c r="I3898" s="27">
        <f t="shared" si="60"/>
        <v>2355642.3037711792</v>
      </c>
      <c r="J3898">
        <v>4.3</v>
      </c>
      <c r="K3898" t="b">
        <v>0</v>
      </c>
    </row>
    <row r="3899" spans="1:11" ht="16" x14ac:dyDescent="0.2">
      <c r="A3899" s="16">
        <v>45973</v>
      </c>
      <c r="B3899" t="s">
        <v>45</v>
      </c>
      <c r="C3899" t="s">
        <v>39</v>
      </c>
      <c r="D3899" t="s">
        <v>20</v>
      </c>
      <c r="E3899" t="s">
        <v>7640</v>
      </c>
      <c r="F3899">
        <v>3</v>
      </c>
      <c r="G3899" s="15">
        <v>2710000</v>
      </c>
      <c r="H3899" s="14">
        <v>0.13075929750140999</v>
      </c>
      <c r="I3899" s="27">
        <f t="shared" si="60"/>
        <v>2355642.3037711792</v>
      </c>
      <c r="J3899">
        <v>4.5999999999999996</v>
      </c>
      <c r="K3899" t="b">
        <v>0</v>
      </c>
    </row>
    <row r="3900" spans="1:11" ht="16" x14ac:dyDescent="0.2">
      <c r="A3900" s="16">
        <v>45975</v>
      </c>
      <c r="B3900" t="s">
        <v>45</v>
      </c>
      <c r="C3900" t="s">
        <v>34</v>
      </c>
      <c r="D3900" t="s">
        <v>35</v>
      </c>
      <c r="E3900" t="s">
        <v>7637</v>
      </c>
      <c r="F3900">
        <v>1</v>
      </c>
      <c r="G3900" s="15">
        <v>2710000</v>
      </c>
      <c r="H3900" s="14">
        <v>0.13075929750140999</v>
      </c>
      <c r="I3900" s="27">
        <f t="shared" si="60"/>
        <v>2355642.3037711792</v>
      </c>
      <c r="J3900">
        <v>4.5</v>
      </c>
      <c r="K3900" t="b">
        <v>1</v>
      </c>
    </row>
    <row r="3901" spans="1:11" ht="16" x14ac:dyDescent="0.2">
      <c r="A3901" s="16">
        <v>45975</v>
      </c>
      <c r="B3901" t="s">
        <v>33</v>
      </c>
      <c r="C3901" t="s">
        <v>34</v>
      </c>
      <c r="D3901" t="s">
        <v>50</v>
      </c>
      <c r="E3901" t="s">
        <v>7638</v>
      </c>
      <c r="F3901">
        <v>4</v>
      </c>
      <c r="G3901" s="15">
        <v>2710000</v>
      </c>
      <c r="H3901" s="14">
        <v>0.13075929750140999</v>
      </c>
      <c r="I3901" s="27">
        <f t="shared" si="60"/>
        <v>2355642.3037711792</v>
      </c>
      <c r="J3901">
        <v>4.5999999999999996</v>
      </c>
      <c r="K3901" t="b">
        <v>1</v>
      </c>
    </row>
    <row r="3902" spans="1:11" ht="16" x14ac:dyDescent="0.2">
      <c r="A3902" s="16">
        <v>45975</v>
      </c>
      <c r="B3902" t="s">
        <v>45</v>
      </c>
      <c r="C3902" t="s">
        <v>19</v>
      </c>
      <c r="D3902" t="s">
        <v>20</v>
      </c>
      <c r="E3902" t="s">
        <v>7641</v>
      </c>
      <c r="F3902">
        <v>4</v>
      </c>
      <c r="G3902" s="15">
        <v>2710000</v>
      </c>
      <c r="H3902" s="14">
        <v>0.13075929750140999</v>
      </c>
      <c r="I3902" s="27">
        <f t="shared" si="60"/>
        <v>2355642.3037711792</v>
      </c>
      <c r="J3902">
        <v>4.4000000000000004</v>
      </c>
      <c r="K3902" t="b">
        <v>1</v>
      </c>
    </row>
    <row r="3903" spans="1:11" ht="16" x14ac:dyDescent="0.2">
      <c r="A3903" s="16">
        <v>45975</v>
      </c>
      <c r="B3903" t="s">
        <v>18</v>
      </c>
      <c r="C3903" t="s">
        <v>25</v>
      </c>
      <c r="D3903" t="s">
        <v>20</v>
      </c>
      <c r="E3903" t="s">
        <v>57</v>
      </c>
      <c r="F3903">
        <v>3</v>
      </c>
      <c r="G3903" s="15">
        <v>2710000</v>
      </c>
      <c r="H3903" s="14">
        <v>0.13075929750140999</v>
      </c>
      <c r="I3903" s="27">
        <f t="shared" si="60"/>
        <v>2355642.3037711792</v>
      </c>
      <c r="J3903">
        <v>3.9</v>
      </c>
      <c r="K3903" t="b">
        <v>1</v>
      </c>
    </row>
    <row r="3904" spans="1:11" ht="16" x14ac:dyDescent="0.2">
      <c r="A3904" s="16">
        <v>45976</v>
      </c>
      <c r="B3904" t="s">
        <v>18</v>
      </c>
      <c r="C3904" t="s">
        <v>34</v>
      </c>
      <c r="D3904" t="s">
        <v>20</v>
      </c>
      <c r="E3904" t="s">
        <v>7642</v>
      </c>
      <c r="F3904">
        <v>2</v>
      </c>
      <c r="G3904" s="15">
        <v>2710000</v>
      </c>
      <c r="H3904" s="14">
        <v>0.13075929750140999</v>
      </c>
      <c r="I3904" s="27">
        <f t="shared" si="60"/>
        <v>2355642.3037711792</v>
      </c>
      <c r="J3904">
        <v>3.5</v>
      </c>
      <c r="K3904" t="b">
        <v>1</v>
      </c>
    </row>
    <row r="3905" spans="1:11" ht="16" x14ac:dyDescent="0.2">
      <c r="A3905" s="16">
        <v>45977</v>
      </c>
      <c r="B3905" t="s">
        <v>18</v>
      </c>
      <c r="C3905" t="s">
        <v>19</v>
      </c>
      <c r="D3905" t="s">
        <v>20</v>
      </c>
      <c r="E3905" t="s">
        <v>7638</v>
      </c>
      <c r="F3905">
        <v>2</v>
      </c>
      <c r="G3905" s="15">
        <v>2710000</v>
      </c>
      <c r="H3905" s="14">
        <v>0.13075929750140999</v>
      </c>
      <c r="I3905" s="27">
        <f t="shared" si="60"/>
        <v>2355642.3037711792</v>
      </c>
      <c r="J3905">
        <v>5</v>
      </c>
      <c r="K3905" t="b">
        <v>1</v>
      </c>
    </row>
    <row r="3906" spans="1:11" ht="16" x14ac:dyDescent="0.2">
      <c r="A3906" s="16">
        <v>45977</v>
      </c>
      <c r="B3906" t="s">
        <v>33</v>
      </c>
      <c r="C3906" t="s">
        <v>68</v>
      </c>
      <c r="D3906" t="s">
        <v>20</v>
      </c>
      <c r="E3906" t="s">
        <v>7640</v>
      </c>
      <c r="F3906">
        <v>1</v>
      </c>
      <c r="G3906" s="15">
        <v>2710000</v>
      </c>
      <c r="H3906" s="14">
        <v>0.13075929750140999</v>
      </c>
      <c r="I3906" s="27">
        <f t="shared" si="60"/>
        <v>2355642.3037711792</v>
      </c>
      <c r="J3906">
        <v>3.8</v>
      </c>
      <c r="K3906" t="b">
        <v>1</v>
      </c>
    </row>
    <row r="3907" spans="1:11" ht="16" x14ac:dyDescent="0.2">
      <c r="A3907" s="16">
        <v>45977</v>
      </c>
      <c r="B3907" t="s">
        <v>18</v>
      </c>
      <c r="C3907" t="s">
        <v>45</v>
      </c>
      <c r="D3907" t="s">
        <v>50</v>
      </c>
      <c r="E3907" t="s">
        <v>7639</v>
      </c>
      <c r="F3907">
        <v>1</v>
      </c>
      <c r="G3907" s="15">
        <v>2710000</v>
      </c>
      <c r="H3907" s="14">
        <v>0.13075929750140999</v>
      </c>
      <c r="I3907" s="27">
        <f t="shared" ref="I3907:I3940" si="61">G3907-G3907*H3907</f>
        <v>2355642.3037711792</v>
      </c>
      <c r="J3907">
        <v>5</v>
      </c>
      <c r="K3907" t="b">
        <v>1</v>
      </c>
    </row>
    <row r="3908" spans="1:11" ht="16" x14ac:dyDescent="0.2">
      <c r="A3908" s="16">
        <v>45977</v>
      </c>
      <c r="B3908" t="s">
        <v>33</v>
      </c>
      <c r="C3908" t="s">
        <v>19</v>
      </c>
      <c r="D3908" t="s">
        <v>50</v>
      </c>
      <c r="E3908" t="s">
        <v>7644</v>
      </c>
      <c r="F3908">
        <v>3</v>
      </c>
      <c r="G3908" s="15">
        <v>2710000</v>
      </c>
      <c r="H3908" s="14">
        <v>0.13075929750140999</v>
      </c>
      <c r="I3908" s="27">
        <f t="shared" si="61"/>
        <v>2355642.3037711792</v>
      </c>
      <c r="J3908">
        <v>4</v>
      </c>
      <c r="K3908" t="b">
        <v>1</v>
      </c>
    </row>
    <row r="3909" spans="1:11" ht="16" x14ac:dyDescent="0.2">
      <c r="A3909" s="16">
        <v>45978</v>
      </c>
      <c r="B3909" t="s">
        <v>45</v>
      </c>
      <c r="C3909" t="s">
        <v>39</v>
      </c>
      <c r="D3909" t="s">
        <v>50</v>
      </c>
      <c r="E3909" t="s">
        <v>57</v>
      </c>
      <c r="F3909">
        <v>2</v>
      </c>
      <c r="G3909" s="15">
        <v>2710000</v>
      </c>
      <c r="H3909" s="14">
        <v>0.13075929750140999</v>
      </c>
      <c r="I3909" s="27">
        <f t="shared" si="61"/>
        <v>2355642.3037711792</v>
      </c>
      <c r="J3909">
        <v>4.8</v>
      </c>
      <c r="K3909" t="b">
        <v>1</v>
      </c>
    </row>
    <row r="3910" spans="1:11" ht="16" x14ac:dyDescent="0.2">
      <c r="A3910" s="16">
        <v>45978</v>
      </c>
      <c r="B3910" t="s">
        <v>18</v>
      </c>
      <c r="C3910" t="s">
        <v>34</v>
      </c>
      <c r="D3910" t="s">
        <v>46</v>
      </c>
      <c r="E3910" t="s">
        <v>7643</v>
      </c>
      <c r="F3910">
        <v>2</v>
      </c>
      <c r="G3910" s="15">
        <v>2710000</v>
      </c>
      <c r="H3910" s="14">
        <v>0.13075929750140999</v>
      </c>
      <c r="I3910" s="27">
        <f t="shared" si="61"/>
        <v>2355642.3037711792</v>
      </c>
      <c r="J3910">
        <v>3.9</v>
      </c>
      <c r="K3910" t="b">
        <v>1</v>
      </c>
    </row>
    <row r="3911" spans="1:11" ht="16" x14ac:dyDescent="0.2">
      <c r="A3911" s="16">
        <v>45979</v>
      </c>
      <c r="B3911" t="s">
        <v>18</v>
      </c>
      <c r="C3911" t="s">
        <v>19</v>
      </c>
      <c r="D3911" t="s">
        <v>35</v>
      </c>
      <c r="E3911" t="s">
        <v>7639</v>
      </c>
      <c r="F3911">
        <v>1</v>
      </c>
      <c r="G3911" s="15">
        <v>2710000</v>
      </c>
      <c r="H3911" s="14">
        <v>0.13075929750140999</v>
      </c>
      <c r="I3911" s="27">
        <f t="shared" si="61"/>
        <v>2355642.3037711792</v>
      </c>
      <c r="J3911">
        <v>3.6</v>
      </c>
      <c r="K3911" t="b">
        <v>0</v>
      </c>
    </row>
    <row r="3912" spans="1:11" ht="16" x14ac:dyDescent="0.2">
      <c r="A3912" s="16">
        <v>45979</v>
      </c>
      <c r="B3912" t="s">
        <v>18</v>
      </c>
      <c r="C3912" t="s">
        <v>19</v>
      </c>
      <c r="D3912" t="s">
        <v>20</v>
      </c>
      <c r="E3912" t="str">
        <f>E3911</f>
        <v>Hà Nội</v>
      </c>
      <c r="F3912">
        <v>3</v>
      </c>
      <c r="G3912" s="15">
        <v>2710000</v>
      </c>
      <c r="H3912" s="14">
        <v>0.13075929750140999</v>
      </c>
      <c r="I3912" s="27">
        <f t="shared" si="61"/>
        <v>2355642.3037711792</v>
      </c>
      <c r="J3912">
        <v>4.5999999999999996</v>
      </c>
      <c r="K3912" t="b">
        <v>1</v>
      </c>
    </row>
    <row r="3913" spans="1:11" ht="16" x14ac:dyDescent="0.2">
      <c r="A3913" s="16">
        <v>45981</v>
      </c>
      <c r="B3913" t="s">
        <v>18</v>
      </c>
      <c r="C3913" t="s">
        <v>34</v>
      </c>
      <c r="D3913" t="s">
        <v>35</v>
      </c>
      <c r="E3913" t="s">
        <v>7641</v>
      </c>
      <c r="F3913">
        <v>1</v>
      </c>
      <c r="G3913" s="15">
        <v>2710000</v>
      </c>
      <c r="H3913" s="14">
        <v>0.13075929750140999</v>
      </c>
      <c r="I3913" s="27">
        <f t="shared" si="61"/>
        <v>2355642.3037711792</v>
      </c>
      <c r="J3913">
        <v>4.3</v>
      </c>
      <c r="K3913" t="b">
        <v>1</v>
      </c>
    </row>
    <row r="3914" spans="1:11" ht="16" x14ac:dyDescent="0.2">
      <c r="A3914" s="16">
        <v>45983</v>
      </c>
      <c r="B3914" t="s">
        <v>18</v>
      </c>
      <c r="C3914" t="s">
        <v>34</v>
      </c>
      <c r="D3914" t="s">
        <v>20</v>
      </c>
      <c r="E3914" t="s">
        <v>7644</v>
      </c>
      <c r="F3914">
        <v>1</v>
      </c>
      <c r="G3914" s="15">
        <v>2710000</v>
      </c>
      <c r="H3914" s="14">
        <v>0.13075929750140999</v>
      </c>
      <c r="I3914" s="27">
        <f t="shared" si="61"/>
        <v>2355642.3037711792</v>
      </c>
      <c r="J3914">
        <v>4.0999999999999996</v>
      </c>
      <c r="K3914" t="b">
        <v>1</v>
      </c>
    </row>
    <row r="3915" spans="1:11" ht="16" x14ac:dyDescent="0.2">
      <c r="A3915" s="16">
        <v>45984</v>
      </c>
      <c r="B3915" t="s">
        <v>45</v>
      </c>
      <c r="C3915" t="s">
        <v>25</v>
      </c>
      <c r="D3915" t="s">
        <v>20</v>
      </c>
      <c r="E3915" t="s">
        <v>99</v>
      </c>
      <c r="F3915">
        <v>3</v>
      </c>
      <c r="G3915" s="15">
        <v>2710000</v>
      </c>
      <c r="H3915" s="14">
        <v>0.13075929750140999</v>
      </c>
      <c r="I3915" s="27">
        <f t="shared" si="61"/>
        <v>2355642.3037711792</v>
      </c>
      <c r="J3915">
        <v>4.8</v>
      </c>
      <c r="K3915" t="b">
        <v>1</v>
      </c>
    </row>
    <row r="3916" spans="1:11" ht="16" x14ac:dyDescent="0.2">
      <c r="A3916" s="16">
        <v>45985</v>
      </c>
      <c r="B3916" t="s">
        <v>18</v>
      </c>
      <c r="C3916" t="s">
        <v>19</v>
      </c>
      <c r="D3916" t="s">
        <v>35</v>
      </c>
      <c r="E3916" t="s">
        <v>7641</v>
      </c>
      <c r="F3916">
        <v>1</v>
      </c>
      <c r="G3916" s="15">
        <v>2710000</v>
      </c>
      <c r="H3916" s="14">
        <v>0.13075929750140999</v>
      </c>
      <c r="I3916" s="27">
        <f t="shared" si="61"/>
        <v>2355642.3037711792</v>
      </c>
      <c r="J3916">
        <v>3.2</v>
      </c>
      <c r="K3916" t="b">
        <v>1</v>
      </c>
    </row>
    <row r="3917" spans="1:11" ht="16" x14ac:dyDescent="0.2">
      <c r="A3917" s="16">
        <v>45985</v>
      </c>
      <c r="B3917" t="s">
        <v>33</v>
      </c>
      <c r="C3917" t="s">
        <v>68</v>
      </c>
      <c r="D3917" t="s">
        <v>35</v>
      </c>
      <c r="E3917" t="s">
        <v>7641</v>
      </c>
      <c r="F3917">
        <v>2</v>
      </c>
      <c r="G3917" s="15">
        <v>2710000</v>
      </c>
      <c r="H3917" s="14">
        <v>0.13075929750140999</v>
      </c>
      <c r="I3917" s="27">
        <f t="shared" si="61"/>
        <v>2355642.3037711792</v>
      </c>
      <c r="J3917">
        <v>5</v>
      </c>
      <c r="K3917" t="b">
        <v>1</v>
      </c>
    </row>
    <row r="3918" spans="1:11" ht="16" x14ac:dyDescent="0.2">
      <c r="A3918" s="16">
        <v>45986</v>
      </c>
      <c r="B3918" t="s">
        <v>29</v>
      </c>
      <c r="C3918" t="s">
        <v>34</v>
      </c>
      <c r="D3918" t="s">
        <v>20</v>
      </c>
      <c r="E3918" t="s">
        <v>7642</v>
      </c>
      <c r="F3918">
        <v>2</v>
      </c>
      <c r="G3918" s="15">
        <v>2710000</v>
      </c>
      <c r="H3918" s="14">
        <v>0.13075929750140999</v>
      </c>
      <c r="I3918" s="27">
        <f t="shared" si="61"/>
        <v>2355642.3037711792</v>
      </c>
      <c r="J3918">
        <v>3.9</v>
      </c>
      <c r="K3918" t="b">
        <v>1</v>
      </c>
    </row>
    <row r="3919" spans="1:11" ht="16" x14ac:dyDescent="0.2">
      <c r="A3919" s="16">
        <v>45986</v>
      </c>
      <c r="B3919" t="s">
        <v>18</v>
      </c>
      <c r="C3919" t="s">
        <v>34</v>
      </c>
      <c r="D3919" t="s">
        <v>50</v>
      </c>
      <c r="E3919" t="s">
        <v>7638</v>
      </c>
      <c r="F3919">
        <v>1</v>
      </c>
      <c r="G3919" s="15">
        <v>2710000</v>
      </c>
      <c r="H3919" s="14">
        <v>0.13075929750140999</v>
      </c>
      <c r="I3919" s="27">
        <f t="shared" si="61"/>
        <v>2355642.3037711792</v>
      </c>
      <c r="J3919">
        <v>4.7</v>
      </c>
      <c r="K3919" t="b">
        <v>1</v>
      </c>
    </row>
    <row r="3920" spans="1:11" ht="16" x14ac:dyDescent="0.2">
      <c r="A3920" s="16">
        <v>45987</v>
      </c>
      <c r="B3920" t="s">
        <v>45</v>
      </c>
      <c r="C3920" t="s">
        <v>19</v>
      </c>
      <c r="D3920" t="s">
        <v>20</v>
      </c>
      <c r="E3920" t="s">
        <v>7639</v>
      </c>
      <c r="F3920">
        <v>1</v>
      </c>
      <c r="G3920" s="15">
        <v>2710000</v>
      </c>
      <c r="H3920" s="14">
        <v>0.13075929750140999</v>
      </c>
      <c r="I3920" s="27">
        <f t="shared" si="61"/>
        <v>2355642.3037711792</v>
      </c>
      <c r="J3920">
        <v>3.5</v>
      </c>
      <c r="K3920" t="b">
        <v>1</v>
      </c>
    </row>
    <row r="3921" spans="1:11" ht="16" x14ac:dyDescent="0.2">
      <c r="A3921" s="16">
        <v>45987</v>
      </c>
      <c r="B3921" t="s">
        <v>45</v>
      </c>
      <c r="C3921" t="s">
        <v>34</v>
      </c>
      <c r="D3921" t="s">
        <v>35</v>
      </c>
      <c r="E3921" t="s">
        <v>7641</v>
      </c>
      <c r="F3921">
        <v>1</v>
      </c>
      <c r="G3921" s="15">
        <v>2710000</v>
      </c>
      <c r="H3921" s="14">
        <v>0.13075929750140999</v>
      </c>
      <c r="I3921" s="27">
        <f t="shared" si="61"/>
        <v>2355642.3037711792</v>
      </c>
      <c r="J3921">
        <v>4.5</v>
      </c>
      <c r="K3921" t="b">
        <v>1</v>
      </c>
    </row>
    <row r="3922" spans="1:11" ht="16" x14ac:dyDescent="0.2">
      <c r="A3922" s="16">
        <v>45987</v>
      </c>
      <c r="B3922" t="s">
        <v>18</v>
      </c>
      <c r="C3922" t="s">
        <v>45</v>
      </c>
      <c r="D3922" t="s">
        <v>35</v>
      </c>
      <c r="E3922" t="s">
        <v>7643</v>
      </c>
      <c r="F3922">
        <v>3</v>
      </c>
      <c r="G3922" s="15">
        <v>2710000</v>
      </c>
      <c r="H3922" s="14">
        <v>0.13075929750140999</v>
      </c>
      <c r="I3922" s="27">
        <f t="shared" si="61"/>
        <v>2355642.3037711792</v>
      </c>
      <c r="J3922">
        <v>4</v>
      </c>
      <c r="K3922" t="b">
        <v>1</v>
      </c>
    </row>
    <row r="3923" spans="1:11" ht="16" x14ac:dyDescent="0.2">
      <c r="A3923" s="16">
        <v>45988</v>
      </c>
      <c r="B3923" t="s">
        <v>18</v>
      </c>
      <c r="C3923" t="s">
        <v>34</v>
      </c>
      <c r="D3923" t="s">
        <v>35</v>
      </c>
      <c r="E3923" t="s">
        <v>57</v>
      </c>
      <c r="F3923">
        <v>2</v>
      </c>
      <c r="G3923" s="15">
        <v>2710000</v>
      </c>
      <c r="H3923" s="14">
        <v>0.13075929750140999</v>
      </c>
      <c r="I3923" s="27">
        <f t="shared" si="61"/>
        <v>2355642.3037711792</v>
      </c>
      <c r="J3923">
        <v>4.2</v>
      </c>
      <c r="K3923" t="b">
        <v>1</v>
      </c>
    </row>
    <row r="3924" spans="1:11" ht="16" x14ac:dyDescent="0.2">
      <c r="A3924" s="16">
        <v>45988</v>
      </c>
      <c r="B3924" t="s">
        <v>33</v>
      </c>
      <c r="C3924" t="s">
        <v>45</v>
      </c>
      <c r="D3924" t="s">
        <v>50</v>
      </c>
      <c r="E3924" t="s">
        <v>7642</v>
      </c>
      <c r="F3924">
        <v>4</v>
      </c>
      <c r="G3924" s="15">
        <v>2710000</v>
      </c>
      <c r="H3924" s="14">
        <v>0.13075929750140999</v>
      </c>
      <c r="I3924" s="27">
        <f t="shared" si="61"/>
        <v>2355642.3037711792</v>
      </c>
      <c r="J3924">
        <v>3.9</v>
      </c>
      <c r="K3924" t="b">
        <v>1</v>
      </c>
    </row>
    <row r="3925" spans="1:11" ht="16" x14ac:dyDescent="0.2">
      <c r="A3925" s="16">
        <v>45989</v>
      </c>
      <c r="B3925" t="s">
        <v>18</v>
      </c>
      <c r="C3925" t="s">
        <v>68</v>
      </c>
      <c r="D3925" t="s">
        <v>35</v>
      </c>
      <c r="E3925" t="s">
        <v>7644</v>
      </c>
      <c r="F3925">
        <v>3</v>
      </c>
      <c r="G3925" s="15">
        <v>2710000</v>
      </c>
      <c r="H3925" s="14">
        <v>0.13075929750140999</v>
      </c>
      <c r="I3925" s="27">
        <f t="shared" si="61"/>
        <v>2355642.3037711792</v>
      </c>
      <c r="J3925">
        <v>4.5</v>
      </c>
      <c r="K3925" t="b">
        <v>1</v>
      </c>
    </row>
    <row r="3926" spans="1:11" ht="16" x14ac:dyDescent="0.2">
      <c r="A3926" s="16">
        <v>45989</v>
      </c>
      <c r="B3926" t="s">
        <v>18</v>
      </c>
      <c r="C3926" t="s">
        <v>34</v>
      </c>
      <c r="D3926" t="s">
        <v>20</v>
      </c>
      <c r="E3926" t="str">
        <f>E3925</f>
        <v>Hạ Long</v>
      </c>
      <c r="F3926">
        <v>1</v>
      </c>
      <c r="G3926" s="15">
        <v>2710000</v>
      </c>
      <c r="H3926" s="14">
        <v>0.13075929750140999</v>
      </c>
      <c r="I3926" s="27">
        <f t="shared" si="61"/>
        <v>2355642.3037711792</v>
      </c>
      <c r="J3926">
        <v>3.9</v>
      </c>
      <c r="K3926" t="b">
        <v>1</v>
      </c>
    </row>
    <row r="3927" spans="1:11" ht="16" x14ac:dyDescent="0.2">
      <c r="A3927" s="16">
        <v>45992</v>
      </c>
      <c r="B3927" t="s">
        <v>45</v>
      </c>
      <c r="C3927" t="s">
        <v>39</v>
      </c>
      <c r="D3927" t="s">
        <v>50</v>
      </c>
      <c r="E3927" t="s">
        <v>7642</v>
      </c>
      <c r="F3927">
        <v>3</v>
      </c>
      <c r="G3927" s="15">
        <v>2710000</v>
      </c>
      <c r="H3927" s="14">
        <v>0.13075929750140999</v>
      </c>
      <c r="I3927" s="27">
        <f t="shared" si="61"/>
        <v>2355642.3037711792</v>
      </c>
      <c r="J3927">
        <v>4.7</v>
      </c>
      <c r="K3927" t="b">
        <v>1</v>
      </c>
    </row>
    <row r="3928" spans="1:11" ht="16" x14ac:dyDescent="0.2">
      <c r="A3928" s="16">
        <v>45992</v>
      </c>
      <c r="B3928" t="s">
        <v>18</v>
      </c>
      <c r="C3928" t="s">
        <v>68</v>
      </c>
      <c r="D3928" t="s">
        <v>50</v>
      </c>
      <c r="E3928" t="s">
        <v>7641</v>
      </c>
      <c r="F3928">
        <v>1</v>
      </c>
      <c r="G3928" s="15">
        <v>2710000</v>
      </c>
      <c r="H3928" s="14">
        <v>0.13075929750140999</v>
      </c>
      <c r="I3928" s="27">
        <f t="shared" si="61"/>
        <v>2355642.3037711792</v>
      </c>
      <c r="J3928">
        <v>4.5</v>
      </c>
      <c r="K3928" t="b">
        <v>0</v>
      </c>
    </row>
    <row r="3929" spans="1:11" ht="16" x14ac:dyDescent="0.2">
      <c r="A3929" s="16">
        <v>45995</v>
      </c>
      <c r="B3929" t="s">
        <v>33</v>
      </c>
      <c r="C3929" t="s">
        <v>45</v>
      </c>
      <c r="D3929" t="s">
        <v>50</v>
      </c>
      <c r="E3929" t="s">
        <v>7640</v>
      </c>
      <c r="F3929">
        <v>3</v>
      </c>
      <c r="G3929" s="15">
        <v>2710000</v>
      </c>
      <c r="H3929" s="14">
        <v>0.13075929750140999</v>
      </c>
      <c r="I3929" s="27">
        <f t="shared" si="61"/>
        <v>2355642.3037711792</v>
      </c>
      <c r="J3929">
        <v>3.4</v>
      </c>
      <c r="K3929" t="b">
        <v>1</v>
      </c>
    </row>
    <row r="3930" spans="1:11" ht="16" x14ac:dyDescent="0.2">
      <c r="A3930" s="16">
        <v>45995</v>
      </c>
      <c r="B3930" t="s">
        <v>45</v>
      </c>
      <c r="C3930" t="s">
        <v>34</v>
      </c>
      <c r="D3930" t="s">
        <v>20</v>
      </c>
      <c r="E3930" t="s">
        <v>7644</v>
      </c>
      <c r="F3930">
        <v>1</v>
      </c>
      <c r="G3930" s="15">
        <v>2710000</v>
      </c>
      <c r="H3930" s="14">
        <v>0.13075929750140999</v>
      </c>
      <c r="I3930" s="27">
        <f t="shared" si="61"/>
        <v>2355642.3037711792</v>
      </c>
      <c r="J3930">
        <v>4.2</v>
      </c>
      <c r="K3930" t="b">
        <v>0</v>
      </c>
    </row>
    <row r="3931" spans="1:11" ht="16" x14ac:dyDescent="0.2">
      <c r="A3931" s="16">
        <v>45996</v>
      </c>
      <c r="B3931" t="s">
        <v>33</v>
      </c>
      <c r="C3931" t="s">
        <v>45</v>
      </c>
      <c r="D3931" t="s">
        <v>20</v>
      </c>
      <c r="E3931" t="s">
        <v>7639</v>
      </c>
      <c r="F3931">
        <v>2</v>
      </c>
      <c r="G3931" s="15">
        <v>2710000</v>
      </c>
      <c r="H3931" s="14">
        <v>0.13075929750140999</v>
      </c>
      <c r="I3931" s="27">
        <f t="shared" si="61"/>
        <v>2355642.3037711792</v>
      </c>
      <c r="J3931">
        <v>4</v>
      </c>
      <c r="K3931" t="b">
        <v>1</v>
      </c>
    </row>
    <row r="3932" spans="1:11" ht="16" x14ac:dyDescent="0.2">
      <c r="A3932" s="16">
        <v>45998</v>
      </c>
      <c r="B3932" t="s">
        <v>29</v>
      </c>
      <c r="C3932" t="s">
        <v>45</v>
      </c>
      <c r="D3932" t="s">
        <v>50</v>
      </c>
      <c r="E3932" t="s">
        <v>7644</v>
      </c>
      <c r="F3932">
        <v>2</v>
      </c>
      <c r="G3932" s="15">
        <v>2710000</v>
      </c>
      <c r="H3932" s="14">
        <v>0.13075929750140999</v>
      </c>
      <c r="I3932" s="27">
        <f t="shared" si="61"/>
        <v>2355642.3037711792</v>
      </c>
      <c r="J3932">
        <v>4.5</v>
      </c>
      <c r="K3932" t="b">
        <v>1</v>
      </c>
    </row>
    <row r="3933" spans="1:11" ht="16" x14ac:dyDescent="0.2">
      <c r="A3933" s="16">
        <v>45999</v>
      </c>
      <c r="B3933" t="s">
        <v>33</v>
      </c>
      <c r="C3933" t="s">
        <v>45</v>
      </c>
      <c r="D3933" t="s">
        <v>20</v>
      </c>
      <c r="E3933" t="s">
        <v>99</v>
      </c>
      <c r="F3933">
        <v>1</v>
      </c>
      <c r="G3933" s="15">
        <v>2710000</v>
      </c>
      <c r="H3933" s="14">
        <v>0.13075929750140999</v>
      </c>
      <c r="I3933" s="27">
        <f t="shared" si="61"/>
        <v>2355642.3037711792</v>
      </c>
      <c r="J3933">
        <v>4.4000000000000004</v>
      </c>
      <c r="K3933" t="b">
        <v>1</v>
      </c>
    </row>
    <row r="3934" spans="1:11" ht="16" x14ac:dyDescent="0.2">
      <c r="A3934" s="16">
        <v>45999</v>
      </c>
      <c r="B3934" t="s">
        <v>18</v>
      </c>
      <c r="C3934" t="s">
        <v>19</v>
      </c>
      <c r="D3934" t="s">
        <v>20</v>
      </c>
      <c r="E3934" t="s">
        <v>57</v>
      </c>
      <c r="F3934">
        <v>2</v>
      </c>
      <c r="G3934" s="15">
        <v>2710000</v>
      </c>
      <c r="H3934" s="14">
        <v>0.13075929750140999</v>
      </c>
      <c r="I3934" s="27">
        <f t="shared" si="61"/>
        <v>2355642.3037711792</v>
      </c>
      <c r="J3934">
        <v>5</v>
      </c>
      <c r="K3934" t="b">
        <v>1</v>
      </c>
    </row>
    <row r="3935" spans="1:11" ht="16" x14ac:dyDescent="0.2">
      <c r="A3935" s="16">
        <v>46003</v>
      </c>
      <c r="B3935" t="s">
        <v>33</v>
      </c>
      <c r="C3935" t="s">
        <v>45</v>
      </c>
      <c r="D3935" t="s">
        <v>50</v>
      </c>
      <c r="E3935" t="str">
        <f>E3934</f>
        <v>Nha Trang</v>
      </c>
      <c r="F3935">
        <v>1</v>
      </c>
      <c r="G3935" s="15">
        <v>2710000</v>
      </c>
      <c r="H3935" s="14">
        <v>0.13075929750140999</v>
      </c>
      <c r="I3935" s="27">
        <f t="shared" si="61"/>
        <v>2355642.3037711792</v>
      </c>
      <c r="J3935">
        <v>4.3</v>
      </c>
      <c r="K3935" t="b">
        <v>1</v>
      </c>
    </row>
    <row r="3936" spans="1:11" ht="16" x14ac:dyDescent="0.2">
      <c r="A3936" s="16">
        <v>46003</v>
      </c>
      <c r="B3936" t="s">
        <v>45</v>
      </c>
      <c r="C3936" t="s">
        <v>34</v>
      </c>
      <c r="D3936" t="s">
        <v>50</v>
      </c>
      <c r="E3936" t="s">
        <v>7642</v>
      </c>
      <c r="F3936">
        <v>3</v>
      </c>
      <c r="G3936" s="15">
        <v>2710000</v>
      </c>
      <c r="H3936" s="14">
        <v>0.13075929750140999</v>
      </c>
      <c r="I3936" s="27">
        <f t="shared" si="61"/>
        <v>2355642.3037711792</v>
      </c>
      <c r="J3936">
        <v>4.0999999999999996</v>
      </c>
      <c r="K3936" t="b">
        <v>1</v>
      </c>
    </row>
    <row r="3937" spans="1:11" ht="16" x14ac:dyDescent="0.2">
      <c r="A3937" s="16">
        <v>46003</v>
      </c>
      <c r="B3937" t="s">
        <v>33</v>
      </c>
      <c r="C3937" t="s">
        <v>34</v>
      </c>
      <c r="D3937" t="s">
        <v>50</v>
      </c>
      <c r="E3937" t="s">
        <v>7638</v>
      </c>
      <c r="F3937">
        <v>2</v>
      </c>
      <c r="G3937" s="15">
        <v>2710000</v>
      </c>
      <c r="H3937" s="14">
        <v>0.13075929750140999</v>
      </c>
      <c r="I3937" s="27">
        <f t="shared" si="61"/>
        <v>2355642.3037711792</v>
      </c>
      <c r="J3937">
        <v>4.4000000000000004</v>
      </c>
      <c r="K3937" t="b">
        <v>1</v>
      </c>
    </row>
    <row r="3938" spans="1:11" ht="16" x14ac:dyDescent="0.2">
      <c r="A3938" s="16">
        <v>46007</v>
      </c>
      <c r="B3938" t="str">
        <f>B3937</f>
        <v>Student</v>
      </c>
      <c r="C3938" t="s">
        <v>19</v>
      </c>
      <c r="D3938" t="str">
        <f>D3937</f>
        <v>Agent</v>
      </c>
      <c r="E3938" t="s">
        <v>7637</v>
      </c>
      <c r="F3938">
        <v>2</v>
      </c>
      <c r="G3938" s="15">
        <v>2710000</v>
      </c>
      <c r="H3938" s="14">
        <v>0.13075929750140999</v>
      </c>
      <c r="I3938" s="27">
        <f t="shared" si="61"/>
        <v>2355642.3037711792</v>
      </c>
      <c r="J3938">
        <v>3.4</v>
      </c>
      <c r="K3938" t="b">
        <v>1</v>
      </c>
    </row>
    <row r="3939" spans="1:11" ht="16" x14ac:dyDescent="0.2">
      <c r="A3939" s="16">
        <v>46013</v>
      </c>
      <c r="B3939" t="str">
        <f>B3938</f>
        <v>Student</v>
      </c>
      <c r="C3939" t="s">
        <v>34</v>
      </c>
      <c r="D3939" t="s">
        <v>50</v>
      </c>
      <c r="E3939" t="s">
        <v>7638</v>
      </c>
      <c r="F3939">
        <v>3</v>
      </c>
      <c r="G3939" s="15">
        <v>2710000</v>
      </c>
      <c r="H3939" s="14">
        <v>0.13075929750140999</v>
      </c>
      <c r="I3939" s="27">
        <f t="shared" si="61"/>
        <v>2355642.3037711792</v>
      </c>
      <c r="J3939">
        <v>3.6</v>
      </c>
      <c r="K3939" t="b">
        <v>1</v>
      </c>
    </row>
    <row r="3940" spans="1:11" ht="16" x14ac:dyDescent="0.2">
      <c r="A3940" s="16">
        <v>46021</v>
      </c>
      <c r="B3940" t="s">
        <v>45</v>
      </c>
      <c r="C3940" t="s">
        <v>25</v>
      </c>
      <c r="D3940" t="s">
        <v>50</v>
      </c>
      <c r="E3940" t="s">
        <v>7641</v>
      </c>
      <c r="F3940">
        <v>5</v>
      </c>
      <c r="G3940" s="15">
        <v>2710000</v>
      </c>
      <c r="H3940" s="14">
        <v>0.13075929750140999</v>
      </c>
      <c r="I3940" s="27">
        <f t="shared" si="61"/>
        <v>2355642.3037711792</v>
      </c>
      <c r="J3940">
        <v>4.4000000000000004</v>
      </c>
      <c r="K3940" t="b">
        <v>1</v>
      </c>
    </row>
    <row r="3941" spans="1:11" ht="16" x14ac:dyDescent="0.2">
      <c r="G3941" s="15">
        <v>2710000</v>
      </c>
      <c r="H3941" s="14">
        <v>0.13075929750140999</v>
      </c>
    </row>
    <row r="3942" spans="1:11" ht="16" x14ac:dyDescent="0.2">
      <c r="G3942" s="15">
        <v>2710000</v>
      </c>
      <c r="H3942" s="14">
        <v>0.13075929750140999</v>
      </c>
    </row>
    <row r="3943" spans="1:11" ht="16" x14ac:dyDescent="0.2">
      <c r="G3943" s="15">
        <v>2710000</v>
      </c>
      <c r="H3943" s="14">
        <v>0.13075929750140999</v>
      </c>
    </row>
    <row r="3944" spans="1:11" ht="16" x14ac:dyDescent="0.2">
      <c r="G3944" s="15">
        <v>2710000</v>
      </c>
      <c r="H3944" s="14">
        <v>0.13075929750140999</v>
      </c>
    </row>
    <row r="3945" spans="1:11" ht="16" x14ac:dyDescent="0.2">
      <c r="G3945" s="15">
        <v>2710000</v>
      </c>
      <c r="H3945" s="14">
        <v>0.13075929750140999</v>
      </c>
    </row>
    <row r="3946" spans="1:11" ht="16" x14ac:dyDescent="0.2">
      <c r="G3946" s="15">
        <v>2710000</v>
      </c>
      <c r="H3946" s="14">
        <v>0.13075929750140999</v>
      </c>
    </row>
    <row r="3947" spans="1:11" ht="16" x14ac:dyDescent="0.2">
      <c r="G3947" s="15">
        <v>2710000</v>
      </c>
      <c r="H3947" s="14">
        <v>0.13075929750140999</v>
      </c>
    </row>
    <row r="3948" spans="1:11" ht="16" x14ac:dyDescent="0.2">
      <c r="G3948" s="15">
        <v>2710000</v>
      </c>
      <c r="H3948" s="14">
        <v>0.13075929750140999</v>
      </c>
    </row>
    <row r="3949" spans="1:11" ht="16" x14ac:dyDescent="0.2">
      <c r="G3949" s="15">
        <v>2710000</v>
      </c>
      <c r="H3949" s="14">
        <v>0.13075929750140999</v>
      </c>
    </row>
    <row r="3950" spans="1:11" ht="16" x14ac:dyDescent="0.2">
      <c r="G3950" s="15">
        <v>2710000</v>
      </c>
      <c r="H3950" s="14">
        <v>0.13075929750140999</v>
      </c>
    </row>
    <row r="3951" spans="1:11" ht="16" x14ac:dyDescent="0.2"/>
    <row r="3952" spans="1:11" ht="16" x14ac:dyDescent="0.2"/>
    <row r="3953" ht="16" x14ac:dyDescent="0.2"/>
    <row r="3954" ht="16" x14ac:dyDescent="0.2"/>
    <row r="3955" ht="16" x14ac:dyDescent="0.2"/>
    <row r="3956" ht="16" x14ac:dyDescent="0.2"/>
    <row r="3957" ht="16" x14ac:dyDescent="0.2"/>
    <row r="3958" ht="16" x14ac:dyDescent="0.2"/>
    <row r="3959" ht="16" x14ac:dyDescent="0.2"/>
    <row r="3960" ht="16" x14ac:dyDescent="0.2"/>
    <row r="3961" ht="16" x14ac:dyDescent="0.2"/>
    <row r="3962" ht="16" x14ac:dyDescent="0.2"/>
    <row r="3963" ht="16" x14ac:dyDescent="0.2"/>
    <row r="3964" ht="16" x14ac:dyDescent="0.2"/>
    <row r="3965" ht="16" x14ac:dyDescent="0.2"/>
    <row r="3966" ht="16" x14ac:dyDescent="0.2"/>
    <row r="3967" ht="16" x14ac:dyDescent="0.2"/>
    <row r="3968" ht="16" x14ac:dyDescent="0.2"/>
    <row r="3969" ht="16" x14ac:dyDescent="0.2"/>
    <row r="3970" ht="16" x14ac:dyDescent="0.2"/>
    <row r="3971" ht="16" x14ac:dyDescent="0.2"/>
    <row r="3972" ht="16" x14ac:dyDescent="0.2"/>
    <row r="3973" ht="16" x14ac:dyDescent="0.2"/>
    <row r="3974" ht="16" x14ac:dyDescent="0.2"/>
    <row r="3975" ht="16" x14ac:dyDescent="0.2"/>
    <row r="3976" ht="16" x14ac:dyDescent="0.2"/>
    <row r="3977" ht="16" x14ac:dyDescent="0.2"/>
    <row r="3978" ht="16" x14ac:dyDescent="0.2"/>
    <row r="3979" ht="16" x14ac:dyDescent="0.2"/>
    <row r="3980" ht="16" x14ac:dyDescent="0.2"/>
    <row r="3981" ht="16" x14ac:dyDescent="0.2"/>
    <row r="3982" ht="16" x14ac:dyDescent="0.2"/>
    <row r="3983" ht="16" x14ac:dyDescent="0.2"/>
    <row r="3984" ht="16" x14ac:dyDescent="0.2"/>
    <row r="3985" ht="16" x14ac:dyDescent="0.2"/>
    <row r="3986" ht="16" x14ac:dyDescent="0.2"/>
    <row r="3987" ht="16" x14ac:dyDescent="0.2"/>
    <row r="3988" ht="16" x14ac:dyDescent="0.2"/>
    <row r="3989" ht="16" x14ac:dyDescent="0.2"/>
    <row r="3990" ht="16" x14ac:dyDescent="0.2"/>
    <row r="3991" ht="16" x14ac:dyDescent="0.2"/>
    <row r="3992" ht="16" x14ac:dyDescent="0.2"/>
    <row r="3993" ht="16" x14ac:dyDescent="0.2"/>
    <row r="3994" ht="16" x14ac:dyDescent="0.2"/>
    <row r="3995" ht="16" x14ac:dyDescent="0.2"/>
    <row r="3996" ht="16" x14ac:dyDescent="0.2"/>
    <row r="3997" ht="16" x14ac:dyDescent="0.2"/>
    <row r="3998" ht="16" x14ac:dyDescent="0.2"/>
    <row r="3999" ht="16" x14ac:dyDescent="0.2"/>
    <row r="4000" ht="16" x14ac:dyDescent="0.2"/>
    <row r="4001" ht="16" x14ac:dyDescent="0.2"/>
    <row r="4002" ht="16" x14ac:dyDescent="0.2"/>
    <row r="4003" ht="16" x14ac:dyDescent="0.2"/>
    <row r="4004" ht="16" x14ac:dyDescent="0.2"/>
    <row r="4005" ht="16" x14ac:dyDescent="0.2"/>
    <row r="4006" ht="16" x14ac:dyDescent="0.2"/>
    <row r="4007" ht="16" x14ac:dyDescent="0.2"/>
    <row r="4008" ht="16" x14ac:dyDescent="0.2"/>
    <row r="4009" ht="16" x14ac:dyDescent="0.2"/>
    <row r="4010" ht="16" x14ac:dyDescent="0.2"/>
    <row r="4011" ht="16" x14ac:dyDescent="0.2"/>
    <row r="4012" ht="16" x14ac:dyDescent="0.2"/>
    <row r="4013" ht="16" x14ac:dyDescent="0.2"/>
    <row r="4014" ht="16" x14ac:dyDescent="0.2"/>
    <row r="4015" ht="16" x14ac:dyDescent="0.2"/>
    <row r="4016" ht="16" x14ac:dyDescent="0.2"/>
    <row r="4017" ht="16" x14ac:dyDescent="0.2"/>
    <row r="4018" ht="16" x14ac:dyDescent="0.2"/>
    <row r="4019" ht="16" x14ac:dyDescent="0.2"/>
    <row r="4020" ht="16" x14ac:dyDescent="0.2"/>
    <row r="4021" ht="16" x14ac:dyDescent="0.2"/>
    <row r="4022" ht="16" x14ac:dyDescent="0.2"/>
    <row r="4023" ht="16" x14ac:dyDescent="0.2"/>
    <row r="4024" ht="16" x14ac:dyDescent="0.2"/>
    <row r="4025" ht="16" x14ac:dyDescent="0.2"/>
    <row r="4026" ht="16" x14ac:dyDescent="0.2"/>
    <row r="4027" ht="16" x14ac:dyDescent="0.2"/>
    <row r="4028" ht="16" x14ac:dyDescent="0.2"/>
    <row r="4029" ht="16" x14ac:dyDescent="0.2"/>
    <row r="4030" ht="16" x14ac:dyDescent="0.2"/>
    <row r="4031" ht="16" x14ac:dyDescent="0.2"/>
    <row r="4032" ht="16" x14ac:dyDescent="0.2"/>
    <row r="4033" ht="16" x14ac:dyDescent="0.2"/>
    <row r="4034" ht="16" x14ac:dyDescent="0.2"/>
    <row r="4035" ht="16" x14ac:dyDescent="0.2"/>
    <row r="4036" ht="16" x14ac:dyDescent="0.2"/>
    <row r="4037" ht="16" x14ac:dyDescent="0.2"/>
    <row r="4038" ht="16" x14ac:dyDescent="0.2"/>
    <row r="4039" ht="16" x14ac:dyDescent="0.2"/>
    <row r="4040" ht="16" x14ac:dyDescent="0.2"/>
    <row r="4041" ht="16" x14ac:dyDescent="0.2"/>
    <row r="4042" ht="16" x14ac:dyDescent="0.2"/>
    <row r="4043" ht="16" x14ac:dyDescent="0.2"/>
    <row r="4044" ht="16" x14ac:dyDescent="0.2"/>
    <row r="4045" ht="16" x14ac:dyDescent="0.2"/>
    <row r="4046" ht="16" x14ac:dyDescent="0.2"/>
    <row r="4047" ht="16" x14ac:dyDescent="0.2"/>
    <row r="4048" ht="16" x14ac:dyDescent="0.2"/>
    <row r="4049" ht="16" x14ac:dyDescent="0.2"/>
    <row r="4050" ht="16" x14ac:dyDescent="0.2"/>
    <row r="4051" ht="16" x14ac:dyDescent="0.2"/>
    <row r="4052" ht="16" x14ac:dyDescent="0.2"/>
    <row r="4053" ht="16" x14ac:dyDescent="0.2"/>
    <row r="4054" ht="16" x14ac:dyDescent="0.2"/>
    <row r="4055" ht="16" x14ac:dyDescent="0.2"/>
    <row r="4056" ht="16" x14ac:dyDescent="0.2"/>
    <row r="4057" ht="16" x14ac:dyDescent="0.2"/>
    <row r="4058" ht="16" x14ac:dyDescent="0.2"/>
    <row r="4059" ht="16" x14ac:dyDescent="0.2"/>
    <row r="4060" ht="16" x14ac:dyDescent="0.2"/>
    <row r="4061" ht="16" x14ac:dyDescent="0.2"/>
    <row r="4062" ht="16" x14ac:dyDescent="0.2"/>
    <row r="4063" ht="16" x14ac:dyDescent="0.2"/>
    <row r="4064" ht="16" x14ac:dyDescent="0.2"/>
    <row r="4065" ht="16" x14ac:dyDescent="0.2"/>
    <row r="4066" ht="16" x14ac:dyDescent="0.2"/>
    <row r="4067" ht="16" x14ac:dyDescent="0.2"/>
    <row r="4068" ht="16" x14ac:dyDescent="0.2"/>
    <row r="4069" ht="16" x14ac:dyDescent="0.2"/>
    <row r="4070" ht="16" x14ac:dyDescent="0.2"/>
    <row r="4071" ht="16" x14ac:dyDescent="0.2"/>
    <row r="4072" ht="16" x14ac:dyDescent="0.2"/>
    <row r="4073" ht="16" x14ac:dyDescent="0.2"/>
    <row r="4074" ht="16" x14ac:dyDescent="0.2"/>
    <row r="4075" ht="16" x14ac:dyDescent="0.2"/>
    <row r="4076" ht="16" x14ac:dyDescent="0.2"/>
    <row r="4077" ht="16" x14ac:dyDescent="0.2"/>
    <row r="4078" ht="16" x14ac:dyDescent="0.2"/>
    <row r="4079" ht="16" x14ac:dyDescent="0.2"/>
    <row r="4080" ht="16" x14ac:dyDescent="0.2"/>
    <row r="4081" ht="16" x14ac:dyDescent="0.2"/>
    <row r="4082" ht="16" x14ac:dyDescent="0.2"/>
    <row r="4083" ht="16" x14ac:dyDescent="0.2"/>
    <row r="4084" ht="16" x14ac:dyDescent="0.2"/>
    <row r="4085" ht="16" x14ac:dyDescent="0.2"/>
    <row r="4086" ht="16" x14ac:dyDescent="0.2"/>
    <row r="4087" ht="16" x14ac:dyDescent="0.2"/>
    <row r="4088" ht="16" x14ac:dyDescent="0.2"/>
    <row r="4089" ht="16" x14ac:dyDescent="0.2"/>
    <row r="4090" ht="16" x14ac:dyDescent="0.2"/>
    <row r="4091" ht="16" x14ac:dyDescent="0.2"/>
    <row r="4092" ht="16" x14ac:dyDescent="0.2"/>
    <row r="4093" ht="16" x14ac:dyDescent="0.2"/>
    <row r="4094" ht="16" x14ac:dyDescent="0.2"/>
    <row r="4095" ht="16" x14ac:dyDescent="0.2"/>
    <row r="4096" ht="16" x14ac:dyDescent="0.2"/>
    <row r="4097" ht="16" x14ac:dyDescent="0.2"/>
    <row r="4098" ht="16" x14ac:dyDescent="0.2"/>
    <row r="4099" ht="16" x14ac:dyDescent="0.2"/>
    <row r="4100" ht="16" x14ac:dyDescent="0.2"/>
    <row r="4101" ht="16" x14ac:dyDescent="0.2"/>
    <row r="4102" ht="16" x14ac:dyDescent="0.2"/>
    <row r="4103" ht="16" x14ac:dyDescent="0.2"/>
    <row r="4104" ht="16" x14ac:dyDescent="0.2"/>
    <row r="4105" ht="16" x14ac:dyDescent="0.2"/>
    <row r="4106" ht="16" x14ac:dyDescent="0.2"/>
    <row r="4107" ht="16" x14ac:dyDescent="0.2"/>
    <row r="4108" ht="16" x14ac:dyDescent="0.2"/>
    <row r="4109" ht="16" x14ac:dyDescent="0.2"/>
    <row r="4110" ht="16" x14ac:dyDescent="0.2"/>
    <row r="4111" ht="16" x14ac:dyDescent="0.2"/>
    <row r="4112" ht="16" x14ac:dyDescent="0.2"/>
    <row r="4113" ht="16" x14ac:dyDescent="0.2"/>
    <row r="4114" ht="16" x14ac:dyDescent="0.2"/>
    <row r="4115" ht="16" x14ac:dyDescent="0.2"/>
    <row r="4116" ht="16" x14ac:dyDescent="0.2"/>
    <row r="4117" ht="16" x14ac:dyDescent="0.2"/>
    <row r="4118" ht="16" x14ac:dyDescent="0.2"/>
    <row r="4119" ht="16" x14ac:dyDescent="0.2"/>
    <row r="4120" ht="16" x14ac:dyDescent="0.2"/>
    <row r="4121" ht="16" x14ac:dyDescent="0.2"/>
    <row r="4122" ht="16" x14ac:dyDescent="0.2"/>
    <row r="4123" ht="16" x14ac:dyDescent="0.2"/>
    <row r="4124" ht="16" x14ac:dyDescent="0.2"/>
    <row r="4125" ht="16" x14ac:dyDescent="0.2"/>
    <row r="4126" ht="16" x14ac:dyDescent="0.2"/>
    <row r="4127" ht="16" x14ac:dyDescent="0.2"/>
    <row r="4128" ht="16" x14ac:dyDescent="0.2"/>
    <row r="4129" ht="16" x14ac:dyDescent="0.2"/>
    <row r="4130" ht="16" x14ac:dyDescent="0.2"/>
    <row r="4131" ht="16" x14ac:dyDescent="0.2"/>
    <row r="4132" ht="16" x14ac:dyDescent="0.2"/>
    <row r="4133" ht="16" x14ac:dyDescent="0.2"/>
    <row r="4134" ht="16" x14ac:dyDescent="0.2"/>
    <row r="4135" ht="16" x14ac:dyDescent="0.2"/>
    <row r="4136" ht="16" x14ac:dyDescent="0.2"/>
    <row r="4137" ht="16" x14ac:dyDescent="0.2"/>
    <row r="4138" ht="16" x14ac:dyDescent="0.2"/>
    <row r="4139" ht="16" x14ac:dyDescent="0.2"/>
    <row r="4140" ht="16" x14ac:dyDescent="0.2"/>
    <row r="4141" ht="16" x14ac:dyDescent="0.2"/>
    <row r="4142" ht="16" x14ac:dyDescent="0.2"/>
    <row r="4143" ht="16" x14ac:dyDescent="0.2"/>
    <row r="4144" ht="16" x14ac:dyDescent="0.2"/>
    <row r="4145" ht="16" x14ac:dyDescent="0.2"/>
    <row r="4146" ht="16" x14ac:dyDescent="0.2"/>
    <row r="4147" ht="16" x14ac:dyDescent="0.2"/>
    <row r="4148" ht="16" x14ac:dyDescent="0.2"/>
    <row r="4149" ht="16" x14ac:dyDescent="0.2"/>
    <row r="4150" ht="16" x14ac:dyDescent="0.2"/>
    <row r="4151" ht="16" x14ac:dyDescent="0.2"/>
    <row r="4152" ht="16" x14ac:dyDescent="0.2"/>
    <row r="4153" ht="16" x14ac:dyDescent="0.2"/>
    <row r="4154" ht="16" x14ac:dyDescent="0.2"/>
    <row r="4155" ht="16" x14ac:dyDescent="0.2"/>
    <row r="4156" ht="16" x14ac:dyDescent="0.2"/>
    <row r="4157" ht="16" x14ac:dyDescent="0.2"/>
    <row r="4158" ht="16" x14ac:dyDescent="0.2"/>
    <row r="4159" ht="16" x14ac:dyDescent="0.2"/>
    <row r="4160" ht="16" x14ac:dyDescent="0.2"/>
    <row r="4161" ht="16" x14ac:dyDescent="0.2"/>
    <row r="4162" ht="16" x14ac:dyDescent="0.2"/>
    <row r="4163" ht="16" x14ac:dyDescent="0.2"/>
    <row r="4164" ht="16" x14ac:dyDescent="0.2"/>
    <row r="4165" ht="16" x14ac:dyDescent="0.2"/>
    <row r="4166" ht="16" x14ac:dyDescent="0.2"/>
    <row r="4167" ht="16" x14ac:dyDescent="0.2"/>
    <row r="4168" ht="16" x14ac:dyDescent="0.2"/>
    <row r="4169" ht="16" x14ac:dyDescent="0.2"/>
    <row r="4170" ht="16" x14ac:dyDescent="0.2"/>
    <row r="4171" ht="16" x14ac:dyDescent="0.2"/>
    <row r="4172" ht="16" x14ac:dyDescent="0.2"/>
    <row r="4173" ht="16" x14ac:dyDescent="0.2"/>
    <row r="4174" ht="16" x14ac:dyDescent="0.2"/>
    <row r="4175" ht="16" x14ac:dyDescent="0.2"/>
    <row r="4176" ht="16" x14ac:dyDescent="0.2"/>
    <row r="4177" ht="16" x14ac:dyDescent="0.2"/>
    <row r="4178" ht="16" x14ac:dyDescent="0.2"/>
    <row r="4179" ht="16" x14ac:dyDescent="0.2"/>
    <row r="4180" ht="16" x14ac:dyDescent="0.2"/>
    <row r="4181" ht="16" x14ac:dyDescent="0.2"/>
    <row r="4182" ht="16" x14ac:dyDescent="0.2"/>
    <row r="4183" ht="16" x14ac:dyDescent="0.2"/>
    <row r="4184" ht="16" x14ac:dyDescent="0.2"/>
    <row r="4185" ht="16" x14ac:dyDescent="0.2"/>
    <row r="4186" ht="16" x14ac:dyDescent="0.2"/>
    <row r="4187" ht="16" x14ac:dyDescent="0.2"/>
    <row r="4188" ht="16" x14ac:dyDescent="0.2"/>
    <row r="4189" ht="16" x14ac:dyDescent="0.2"/>
    <row r="4190" ht="16" x14ac:dyDescent="0.2"/>
    <row r="4191" ht="16" x14ac:dyDescent="0.2"/>
    <row r="4192" ht="16" x14ac:dyDescent="0.2"/>
    <row r="4193" ht="16" x14ac:dyDescent="0.2"/>
    <row r="4194" ht="16" x14ac:dyDescent="0.2"/>
    <row r="4195" ht="16" x14ac:dyDescent="0.2"/>
    <row r="4196" ht="16" x14ac:dyDescent="0.2"/>
    <row r="4197" ht="16" x14ac:dyDescent="0.2"/>
    <row r="4198" ht="16" x14ac:dyDescent="0.2"/>
    <row r="4199" ht="16" x14ac:dyDescent="0.2"/>
    <row r="4200" ht="16" x14ac:dyDescent="0.2"/>
    <row r="4201" ht="16" x14ac:dyDescent="0.2"/>
    <row r="4202" ht="16" x14ac:dyDescent="0.2"/>
    <row r="4203" ht="16" x14ac:dyDescent="0.2"/>
    <row r="4204" ht="16" x14ac:dyDescent="0.2"/>
    <row r="4205" ht="16" x14ac:dyDescent="0.2"/>
    <row r="4206" ht="16" x14ac:dyDescent="0.2"/>
    <row r="4207" ht="16" x14ac:dyDescent="0.2"/>
    <row r="4208" ht="16" x14ac:dyDescent="0.2"/>
    <row r="4209" ht="16" x14ac:dyDescent="0.2"/>
    <row r="4210" ht="16" x14ac:dyDescent="0.2"/>
    <row r="4211" ht="16" x14ac:dyDescent="0.2"/>
    <row r="4212" ht="16" x14ac:dyDescent="0.2"/>
    <row r="4213" ht="16" x14ac:dyDescent="0.2"/>
    <row r="4214" ht="16" x14ac:dyDescent="0.2"/>
    <row r="4215" ht="16" x14ac:dyDescent="0.2"/>
    <row r="4216" ht="16" x14ac:dyDescent="0.2"/>
    <row r="4217" ht="16" x14ac:dyDescent="0.2"/>
    <row r="4218" ht="16" x14ac:dyDescent="0.2"/>
    <row r="4219" ht="16" x14ac:dyDescent="0.2"/>
    <row r="4220" ht="16" x14ac:dyDescent="0.2"/>
    <row r="4221" ht="16" x14ac:dyDescent="0.2"/>
    <row r="4222" ht="16" x14ac:dyDescent="0.2"/>
    <row r="4223" ht="16" x14ac:dyDescent="0.2"/>
    <row r="4224" ht="16" x14ac:dyDescent="0.2"/>
    <row r="4225" ht="16" x14ac:dyDescent="0.2"/>
    <row r="4226" ht="16" x14ac:dyDescent="0.2"/>
    <row r="4227" ht="16" x14ac:dyDescent="0.2"/>
    <row r="4228" ht="16" x14ac:dyDescent="0.2"/>
    <row r="4229" ht="16" x14ac:dyDescent="0.2"/>
    <row r="4230" ht="16" x14ac:dyDescent="0.2"/>
    <row r="4231" ht="16" x14ac:dyDescent="0.2"/>
    <row r="4232" ht="16" x14ac:dyDescent="0.2"/>
    <row r="4233" ht="16" x14ac:dyDescent="0.2"/>
    <row r="4234" ht="16" x14ac:dyDescent="0.2"/>
    <row r="4235" ht="16" x14ac:dyDescent="0.2"/>
    <row r="4236" ht="16" x14ac:dyDescent="0.2"/>
    <row r="4237" ht="16" x14ac:dyDescent="0.2"/>
    <row r="4238" ht="16" x14ac:dyDescent="0.2"/>
    <row r="4239" ht="16" x14ac:dyDescent="0.2"/>
    <row r="4240" ht="16" x14ac:dyDescent="0.2"/>
    <row r="4241" ht="16" x14ac:dyDescent="0.2"/>
    <row r="4242" ht="16" x14ac:dyDescent="0.2"/>
    <row r="4243" ht="16" x14ac:dyDescent="0.2"/>
    <row r="4244" ht="16" x14ac:dyDescent="0.2"/>
    <row r="4245" ht="16" x14ac:dyDescent="0.2"/>
    <row r="4246" ht="16" x14ac:dyDescent="0.2"/>
    <row r="4247" ht="16" x14ac:dyDescent="0.2"/>
    <row r="4248" ht="16" x14ac:dyDescent="0.2"/>
    <row r="4249" ht="16" x14ac:dyDescent="0.2"/>
    <row r="4250" ht="16" x14ac:dyDescent="0.2"/>
    <row r="4251" ht="16" x14ac:dyDescent="0.2"/>
    <row r="4252" ht="16" x14ac:dyDescent="0.2"/>
    <row r="4253" ht="16" x14ac:dyDescent="0.2"/>
    <row r="4254" ht="16" x14ac:dyDescent="0.2"/>
    <row r="4255" ht="16" x14ac:dyDescent="0.2"/>
    <row r="4256" ht="16" x14ac:dyDescent="0.2"/>
    <row r="4257" ht="16" x14ac:dyDescent="0.2"/>
    <row r="4258" ht="16" x14ac:dyDescent="0.2"/>
    <row r="4259" ht="16" x14ac:dyDescent="0.2"/>
    <row r="4260" ht="16" x14ac:dyDescent="0.2"/>
    <row r="4261" ht="16" x14ac:dyDescent="0.2"/>
    <row r="4262" ht="16" x14ac:dyDescent="0.2"/>
    <row r="4263" ht="16" x14ac:dyDescent="0.2"/>
    <row r="4264" ht="16" x14ac:dyDescent="0.2"/>
    <row r="4265" ht="16" x14ac:dyDescent="0.2"/>
    <row r="4266" ht="16" x14ac:dyDescent="0.2"/>
    <row r="4267" ht="16" x14ac:dyDescent="0.2"/>
    <row r="4268" ht="16" x14ac:dyDescent="0.2"/>
    <row r="4269" ht="16" x14ac:dyDescent="0.2"/>
    <row r="4270" ht="16" x14ac:dyDescent="0.2"/>
    <row r="4271" ht="16" x14ac:dyDescent="0.2"/>
    <row r="4272" ht="16" x14ac:dyDescent="0.2"/>
    <row r="4273" ht="16" x14ac:dyDescent="0.2"/>
    <row r="4274" ht="16" x14ac:dyDescent="0.2"/>
    <row r="4275" ht="16" x14ac:dyDescent="0.2"/>
    <row r="4276" ht="16" x14ac:dyDescent="0.2"/>
    <row r="4277" ht="16" x14ac:dyDescent="0.2"/>
    <row r="4278" ht="16" x14ac:dyDescent="0.2"/>
    <row r="4279" ht="16" x14ac:dyDescent="0.2"/>
    <row r="4280" ht="16" x14ac:dyDescent="0.2"/>
    <row r="4281" ht="16" x14ac:dyDescent="0.2"/>
    <row r="4282" ht="16" x14ac:dyDescent="0.2"/>
    <row r="4283" ht="16" x14ac:dyDescent="0.2"/>
    <row r="4284" ht="16" x14ac:dyDescent="0.2"/>
    <row r="4285" ht="16" x14ac:dyDescent="0.2"/>
    <row r="4286" ht="16" x14ac:dyDescent="0.2"/>
    <row r="4287" ht="16" x14ac:dyDescent="0.2"/>
    <row r="4288" ht="16" x14ac:dyDescent="0.2"/>
    <row r="4289" ht="16" x14ac:dyDescent="0.2"/>
    <row r="4290" ht="16" x14ac:dyDescent="0.2"/>
    <row r="4291" ht="16" x14ac:dyDescent="0.2"/>
    <row r="4292" ht="16" x14ac:dyDescent="0.2"/>
    <row r="4293" ht="16" x14ac:dyDescent="0.2"/>
    <row r="4294" ht="16" x14ac:dyDescent="0.2"/>
    <row r="4295" ht="16" x14ac:dyDescent="0.2"/>
    <row r="4296" ht="16" x14ac:dyDescent="0.2"/>
    <row r="4297" ht="16" x14ac:dyDescent="0.2"/>
    <row r="4298" ht="16" x14ac:dyDescent="0.2"/>
    <row r="4299" ht="16" x14ac:dyDescent="0.2"/>
    <row r="4300" ht="16" x14ac:dyDescent="0.2"/>
    <row r="4301" ht="16" x14ac:dyDescent="0.2"/>
    <row r="4302" ht="16" x14ac:dyDescent="0.2"/>
    <row r="4303" ht="16" x14ac:dyDescent="0.2"/>
    <row r="4304" ht="16" x14ac:dyDescent="0.2"/>
    <row r="4305" ht="16" x14ac:dyDescent="0.2"/>
    <row r="4306" ht="16" x14ac:dyDescent="0.2"/>
    <row r="4307" ht="16" x14ac:dyDescent="0.2"/>
    <row r="4308" ht="16" x14ac:dyDescent="0.2"/>
    <row r="4309" ht="16" x14ac:dyDescent="0.2"/>
    <row r="4310" ht="16" x14ac:dyDescent="0.2"/>
    <row r="4311" ht="16" x14ac:dyDescent="0.2"/>
    <row r="4312" ht="16" x14ac:dyDescent="0.2"/>
    <row r="4313" ht="16" x14ac:dyDescent="0.2"/>
    <row r="4314" ht="16" x14ac:dyDescent="0.2"/>
    <row r="4315" ht="16" x14ac:dyDescent="0.2"/>
    <row r="4316" ht="16" x14ac:dyDescent="0.2"/>
    <row r="4317" ht="16" x14ac:dyDescent="0.2"/>
    <row r="4318" ht="16" x14ac:dyDescent="0.2"/>
    <row r="4319" ht="16" x14ac:dyDescent="0.2"/>
    <row r="4320" ht="16" x14ac:dyDescent="0.2"/>
    <row r="4321" ht="16" x14ac:dyDescent="0.2"/>
    <row r="4322" ht="16" x14ac:dyDescent="0.2"/>
    <row r="4323" ht="16" x14ac:dyDescent="0.2"/>
    <row r="4324" ht="16" x14ac:dyDescent="0.2"/>
    <row r="4325" ht="16" x14ac:dyDescent="0.2"/>
    <row r="4326" ht="16" x14ac:dyDescent="0.2"/>
    <row r="4327" ht="16" x14ac:dyDescent="0.2"/>
    <row r="4328" ht="16" x14ac:dyDescent="0.2"/>
    <row r="4329" ht="16" x14ac:dyDescent="0.2"/>
    <row r="4330" ht="16" x14ac:dyDescent="0.2"/>
    <row r="4331" ht="16" x14ac:dyDescent="0.2"/>
    <row r="4332" ht="16" x14ac:dyDescent="0.2"/>
    <row r="4333" ht="16" x14ac:dyDescent="0.2"/>
    <row r="4334" ht="16" x14ac:dyDescent="0.2"/>
    <row r="4335" ht="16" x14ac:dyDescent="0.2"/>
    <row r="4336" ht="16" x14ac:dyDescent="0.2"/>
    <row r="4337" ht="16" x14ac:dyDescent="0.2"/>
    <row r="4338" ht="16" x14ac:dyDescent="0.2"/>
    <row r="4339" ht="16" x14ac:dyDescent="0.2"/>
    <row r="4340" ht="16" x14ac:dyDescent="0.2"/>
    <row r="4341" ht="16" x14ac:dyDescent="0.2"/>
    <row r="4342" ht="16" x14ac:dyDescent="0.2"/>
    <row r="4343" ht="16" x14ac:dyDescent="0.2"/>
    <row r="4344" ht="16" x14ac:dyDescent="0.2"/>
    <row r="4345" ht="16" x14ac:dyDescent="0.2"/>
    <row r="4346" ht="16" x14ac:dyDescent="0.2"/>
    <row r="4347" ht="16" x14ac:dyDescent="0.2"/>
    <row r="4348" ht="16" x14ac:dyDescent="0.2"/>
    <row r="4349" ht="16" x14ac:dyDescent="0.2"/>
    <row r="4350" ht="16" x14ac:dyDescent="0.2"/>
    <row r="4351" ht="16" x14ac:dyDescent="0.2"/>
    <row r="4352" ht="16" x14ac:dyDescent="0.2"/>
    <row r="4353" ht="16" x14ac:dyDescent="0.2"/>
    <row r="4354" ht="16" x14ac:dyDescent="0.2"/>
    <row r="4355" ht="16" x14ac:dyDescent="0.2"/>
    <row r="4356" ht="16" x14ac:dyDescent="0.2"/>
    <row r="4357" ht="16" x14ac:dyDescent="0.2"/>
    <row r="4358" ht="16" x14ac:dyDescent="0.2"/>
    <row r="4359" ht="16" x14ac:dyDescent="0.2"/>
    <row r="4360" ht="16" x14ac:dyDescent="0.2"/>
    <row r="4361" ht="16" x14ac:dyDescent="0.2"/>
    <row r="4362" ht="16" x14ac:dyDescent="0.2"/>
    <row r="4363" ht="16" x14ac:dyDescent="0.2"/>
    <row r="4364" ht="16" x14ac:dyDescent="0.2"/>
    <row r="4365" ht="16" x14ac:dyDescent="0.2"/>
    <row r="4366" ht="16" x14ac:dyDescent="0.2"/>
    <row r="4367" ht="16" x14ac:dyDescent="0.2"/>
    <row r="4368" ht="16" x14ac:dyDescent="0.2"/>
    <row r="4369" ht="16" x14ac:dyDescent="0.2"/>
    <row r="4370" ht="16" x14ac:dyDescent="0.2"/>
    <row r="4371" ht="16" x14ac:dyDescent="0.2"/>
    <row r="4372" ht="16" x14ac:dyDescent="0.2"/>
    <row r="4373" ht="16" x14ac:dyDescent="0.2"/>
    <row r="4374" ht="16" x14ac:dyDescent="0.2"/>
  </sheetData>
  <autoFilter ref="A1:K3940" xr:uid="{82F758D9-9B11-5B42-B042-CB5663A92B2F}">
    <sortState xmlns:xlrd2="http://schemas.microsoft.com/office/spreadsheetml/2017/richdata2" ref="A2:K3940">
      <sortCondition ref="A1:A3940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A2AE2-26BD-2645-B5EC-0388185097EE}">
  <dimension ref="A3:L9"/>
  <sheetViews>
    <sheetView workbookViewId="0">
      <selection activeCell="B5" sqref="B5:K8"/>
    </sheetView>
  </sheetViews>
  <sheetFormatPr baseColWidth="10" defaultRowHeight="16" x14ac:dyDescent="0.2"/>
  <cols>
    <col min="1" max="1" width="23" bestFit="1" customWidth="1"/>
    <col min="2" max="2" width="16" bestFit="1" customWidth="1"/>
    <col min="3" max="3" width="8" bestFit="1" customWidth="1"/>
    <col min="4" max="4" width="9.33203125" bestFit="1" customWidth="1"/>
    <col min="5" max="5" width="7.83203125" bestFit="1" customWidth="1"/>
    <col min="6" max="6" width="6.5" bestFit="1" customWidth="1"/>
    <col min="7" max="7" width="8.1640625" bestFit="1" customWidth="1"/>
    <col min="8" max="8" width="6.33203125" bestFit="1" customWidth="1"/>
    <col min="9" max="9" width="4.5" bestFit="1" customWidth="1"/>
    <col min="10" max="10" width="6.6640625" bestFit="1" customWidth="1"/>
    <col min="11" max="11" width="5.6640625" bestFit="1" customWidth="1"/>
    <col min="12" max="13" width="10.5" bestFit="1" customWidth="1"/>
  </cols>
  <sheetData>
    <row r="3" spans="1:12" x14ac:dyDescent="0.2">
      <c r="A3" s="17" t="s">
        <v>7730</v>
      </c>
      <c r="B3" s="17" t="s">
        <v>7732</v>
      </c>
    </row>
    <row r="4" spans="1:12" x14ac:dyDescent="0.2">
      <c r="A4" s="17" t="s">
        <v>7698</v>
      </c>
      <c r="B4" t="s">
        <v>7641</v>
      </c>
      <c r="C4" t="s">
        <v>7637</v>
      </c>
      <c r="D4" t="s">
        <v>57</v>
      </c>
      <c r="E4" t="s">
        <v>7644</v>
      </c>
      <c r="F4" t="s">
        <v>7640</v>
      </c>
      <c r="G4" t="s">
        <v>7643</v>
      </c>
      <c r="H4" t="s">
        <v>7638</v>
      </c>
      <c r="I4" t="s">
        <v>7642</v>
      </c>
      <c r="J4" t="s">
        <v>7639</v>
      </c>
      <c r="K4" t="s">
        <v>99</v>
      </c>
      <c r="L4" t="s">
        <v>7699</v>
      </c>
    </row>
    <row r="5" spans="1:12" x14ac:dyDescent="0.2">
      <c r="A5" s="18" t="s">
        <v>45</v>
      </c>
      <c r="B5">
        <v>327</v>
      </c>
      <c r="C5">
        <v>317</v>
      </c>
      <c r="D5">
        <v>323</v>
      </c>
      <c r="E5">
        <v>290</v>
      </c>
      <c r="F5">
        <v>305</v>
      </c>
      <c r="G5">
        <v>260</v>
      </c>
      <c r="H5">
        <v>247</v>
      </c>
      <c r="I5">
        <v>243</v>
      </c>
      <c r="J5">
        <v>209</v>
      </c>
      <c r="K5">
        <v>212</v>
      </c>
      <c r="L5">
        <v>2733</v>
      </c>
    </row>
    <row r="6" spans="1:12" x14ac:dyDescent="0.2">
      <c r="A6" s="18" t="s">
        <v>18</v>
      </c>
      <c r="B6">
        <v>318</v>
      </c>
      <c r="C6">
        <v>255</v>
      </c>
      <c r="D6">
        <v>225</v>
      </c>
      <c r="E6">
        <v>259</v>
      </c>
      <c r="F6">
        <v>239</v>
      </c>
      <c r="G6">
        <v>294</v>
      </c>
      <c r="H6">
        <v>237</v>
      </c>
      <c r="I6">
        <v>232</v>
      </c>
      <c r="J6">
        <v>190</v>
      </c>
      <c r="K6">
        <v>198</v>
      </c>
      <c r="L6">
        <v>2447</v>
      </c>
    </row>
    <row r="7" spans="1:12" x14ac:dyDescent="0.2">
      <c r="A7" s="18" t="s">
        <v>33</v>
      </c>
      <c r="B7">
        <v>233</v>
      </c>
      <c r="C7">
        <v>240</v>
      </c>
      <c r="D7">
        <v>195</v>
      </c>
      <c r="E7">
        <v>179</v>
      </c>
      <c r="F7">
        <v>163</v>
      </c>
      <c r="G7">
        <v>155</v>
      </c>
      <c r="H7">
        <v>170</v>
      </c>
      <c r="I7">
        <v>149</v>
      </c>
      <c r="J7">
        <v>152</v>
      </c>
      <c r="K7">
        <v>146</v>
      </c>
      <c r="L7">
        <v>1782</v>
      </c>
    </row>
    <row r="8" spans="1:12" x14ac:dyDescent="0.2">
      <c r="A8" s="18" t="s">
        <v>29</v>
      </c>
      <c r="B8">
        <v>149</v>
      </c>
      <c r="C8">
        <v>136</v>
      </c>
      <c r="D8">
        <v>116</v>
      </c>
      <c r="E8">
        <v>104</v>
      </c>
      <c r="F8">
        <v>124</v>
      </c>
      <c r="G8">
        <v>101</v>
      </c>
      <c r="H8">
        <v>129</v>
      </c>
      <c r="I8">
        <v>133</v>
      </c>
      <c r="J8">
        <v>108</v>
      </c>
      <c r="K8">
        <v>68</v>
      </c>
      <c r="L8">
        <v>1168</v>
      </c>
    </row>
    <row r="9" spans="1:12" x14ac:dyDescent="0.2">
      <c r="A9" s="18" t="s">
        <v>7699</v>
      </c>
      <c r="B9">
        <v>1027</v>
      </c>
      <c r="C9">
        <v>948</v>
      </c>
      <c r="D9">
        <v>859</v>
      </c>
      <c r="E9">
        <v>832</v>
      </c>
      <c r="F9">
        <v>831</v>
      </c>
      <c r="G9">
        <v>810</v>
      </c>
      <c r="H9">
        <v>783</v>
      </c>
      <c r="I9">
        <v>757</v>
      </c>
      <c r="J9">
        <v>659</v>
      </c>
      <c r="K9">
        <v>624</v>
      </c>
      <c r="L9">
        <v>8130</v>
      </c>
    </row>
  </sheetData>
  <conditionalFormatting pivot="1" sqref="B5:K8">
    <cfRule type="expression" dxfId="10" priority="1">
      <formula>B5=MAX($B5:$K5)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F761-B904-464A-B94F-DDA81433C875}">
  <dimension ref="A1:K5"/>
  <sheetViews>
    <sheetView topLeftCell="C4" workbookViewId="0">
      <selection activeCell="W21" sqref="W21"/>
    </sheetView>
  </sheetViews>
  <sheetFormatPr baseColWidth="10" defaultRowHeight="16" x14ac:dyDescent="0.2"/>
  <cols>
    <col min="1" max="1" width="25.83203125" bestFit="1" customWidth="1"/>
  </cols>
  <sheetData>
    <row r="1" spans="1:11" x14ac:dyDescent="0.2">
      <c r="A1" s="19" t="s">
        <v>7747</v>
      </c>
      <c r="B1" s="19" t="s">
        <v>7641</v>
      </c>
      <c r="C1" s="23" t="s">
        <v>7637</v>
      </c>
      <c r="D1" s="23" t="s">
        <v>57</v>
      </c>
      <c r="E1" s="23" t="s">
        <v>7644</v>
      </c>
      <c r="F1" s="23" t="s">
        <v>7640</v>
      </c>
      <c r="G1" s="23" t="s">
        <v>7643</v>
      </c>
      <c r="H1" s="23" t="s">
        <v>7638</v>
      </c>
      <c r="I1" s="23" t="s">
        <v>7642</v>
      </c>
      <c r="J1" s="23" t="s">
        <v>7639</v>
      </c>
      <c r="K1" s="23" t="s">
        <v>7748</v>
      </c>
    </row>
    <row r="2" spans="1:11" x14ac:dyDescent="0.2">
      <c r="A2" s="30" t="s">
        <v>45</v>
      </c>
      <c r="B2">
        <v>327</v>
      </c>
      <c r="C2">
        <v>317</v>
      </c>
      <c r="D2">
        <v>323</v>
      </c>
      <c r="E2">
        <v>290</v>
      </c>
      <c r="F2">
        <v>305</v>
      </c>
      <c r="G2">
        <v>260</v>
      </c>
      <c r="H2">
        <v>247</v>
      </c>
      <c r="I2">
        <v>243</v>
      </c>
      <c r="J2">
        <v>209</v>
      </c>
      <c r="K2">
        <v>212</v>
      </c>
    </row>
    <row r="3" spans="1:11" x14ac:dyDescent="0.2">
      <c r="A3" s="30" t="s">
        <v>18</v>
      </c>
      <c r="B3">
        <v>318</v>
      </c>
      <c r="C3">
        <v>255</v>
      </c>
      <c r="D3">
        <v>225</v>
      </c>
      <c r="E3">
        <v>259</v>
      </c>
      <c r="F3">
        <v>239</v>
      </c>
      <c r="G3">
        <v>294</v>
      </c>
      <c r="H3">
        <v>237</v>
      </c>
      <c r="I3">
        <v>232</v>
      </c>
      <c r="J3">
        <v>190</v>
      </c>
      <c r="K3">
        <v>198</v>
      </c>
    </row>
    <row r="4" spans="1:11" x14ac:dyDescent="0.2">
      <c r="A4" s="30" t="s">
        <v>33</v>
      </c>
      <c r="B4">
        <v>233</v>
      </c>
      <c r="C4">
        <v>240</v>
      </c>
      <c r="D4">
        <v>195</v>
      </c>
      <c r="E4">
        <v>179</v>
      </c>
      <c r="F4">
        <v>163</v>
      </c>
      <c r="G4">
        <v>155</v>
      </c>
      <c r="H4">
        <v>170</v>
      </c>
      <c r="I4">
        <v>149</v>
      </c>
      <c r="J4">
        <v>152</v>
      </c>
      <c r="K4">
        <v>146</v>
      </c>
    </row>
    <row r="5" spans="1:11" x14ac:dyDescent="0.2">
      <c r="A5" s="30" t="s">
        <v>29</v>
      </c>
      <c r="B5">
        <v>149</v>
      </c>
      <c r="C5">
        <v>136</v>
      </c>
      <c r="D5">
        <v>116</v>
      </c>
      <c r="E5">
        <v>104</v>
      </c>
      <c r="F5">
        <v>124</v>
      </c>
      <c r="G5">
        <v>101</v>
      </c>
      <c r="H5">
        <v>129</v>
      </c>
      <c r="I5">
        <v>133</v>
      </c>
      <c r="J5">
        <v>108</v>
      </c>
      <c r="K5">
        <v>68</v>
      </c>
    </row>
  </sheetData>
  <conditionalFormatting sqref="B2:K5">
    <cfRule type="expression" dxfId="4" priority="1">
      <formula>B2=MAX($B2:$K2)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9A5F2-44A2-7E4C-879D-8D9C2F367616}">
  <dimension ref="A3:D33"/>
  <sheetViews>
    <sheetView workbookViewId="0">
      <selection activeCell="G24" sqref="G24"/>
    </sheetView>
  </sheetViews>
  <sheetFormatPr baseColWidth="10" defaultRowHeight="16" x14ac:dyDescent="0.2"/>
  <cols>
    <col min="1" max="1" width="13" bestFit="1" customWidth="1"/>
    <col min="2" max="2" width="24.1640625" bestFit="1" customWidth="1"/>
    <col min="3" max="3" width="25.33203125" bestFit="1" customWidth="1"/>
    <col min="4" max="4" width="29.6640625" bestFit="1" customWidth="1"/>
    <col min="5" max="12" width="12.1640625" bestFit="1" customWidth="1"/>
    <col min="13" max="13" width="7" bestFit="1" customWidth="1"/>
    <col min="14" max="14" width="10.5" bestFit="1" customWidth="1"/>
    <col min="15" max="27" width="12.1640625" bestFit="1" customWidth="1"/>
    <col min="28" max="28" width="7" bestFit="1" customWidth="1"/>
    <col min="29" max="29" width="11.1640625" bestFit="1" customWidth="1"/>
  </cols>
  <sheetData>
    <row r="3" spans="1:4" x14ac:dyDescent="0.2">
      <c r="A3" s="17" t="s">
        <v>7698</v>
      </c>
      <c r="B3" t="s">
        <v>7742</v>
      </c>
      <c r="C3" t="s">
        <v>7741</v>
      </c>
      <c r="D3" t="s">
        <v>7740</v>
      </c>
    </row>
    <row r="4" spans="1:4" x14ac:dyDescent="0.2">
      <c r="A4" s="18" t="s">
        <v>7733</v>
      </c>
      <c r="B4" s="28">
        <v>2710000</v>
      </c>
      <c r="C4" s="3">
        <v>0.13075929750140999</v>
      </c>
      <c r="D4" s="29">
        <v>2355642.303771181</v>
      </c>
    </row>
    <row r="5" spans="1:4" x14ac:dyDescent="0.2">
      <c r="A5" s="24">
        <v>2.2999999999999998</v>
      </c>
      <c r="B5" s="28">
        <v>2710000</v>
      </c>
      <c r="C5" s="3">
        <v>0.13075929750140999</v>
      </c>
      <c r="D5" s="29">
        <v>2355642.3037711792</v>
      </c>
    </row>
    <row r="6" spans="1:4" x14ac:dyDescent="0.2">
      <c r="A6" s="24">
        <v>2.5</v>
      </c>
      <c r="B6" s="28">
        <v>2710000</v>
      </c>
      <c r="C6" s="3">
        <v>0.13075929750140999</v>
      </c>
      <c r="D6" s="29">
        <v>2355642.3037711792</v>
      </c>
    </row>
    <row r="7" spans="1:4" x14ac:dyDescent="0.2">
      <c r="A7" s="24">
        <v>2.6</v>
      </c>
      <c r="B7" s="28">
        <v>2710000</v>
      </c>
      <c r="C7" s="3">
        <v>0.13075929750140999</v>
      </c>
      <c r="D7" s="29">
        <v>2355642.3037711792</v>
      </c>
    </row>
    <row r="8" spans="1:4" x14ac:dyDescent="0.2">
      <c r="A8" s="24">
        <v>2.8</v>
      </c>
      <c r="B8" s="28">
        <v>2710000</v>
      </c>
      <c r="C8" s="3">
        <v>0.13075929750140999</v>
      </c>
      <c r="D8" s="29">
        <v>2355642.3037711792</v>
      </c>
    </row>
    <row r="9" spans="1:4" x14ac:dyDescent="0.2">
      <c r="A9" s="24">
        <v>2.9</v>
      </c>
      <c r="B9" s="28">
        <v>2710000</v>
      </c>
      <c r="C9" s="3">
        <v>0.13075929750140999</v>
      </c>
      <c r="D9" s="29">
        <v>2355642.3037711792</v>
      </c>
    </row>
    <row r="10" spans="1:4" x14ac:dyDescent="0.2">
      <c r="A10" s="24">
        <v>3</v>
      </c>
      <c r="B10" s="28">
        <v>2710000</v>
      </c>
      <c r="C10" s="3">
        <v>0.13075929750140999</v>
      </c>
      <c r="D10" s="29">
        <v>2355642.3037711806</v>
      </c>
    </row>
    <row r="11" spans="1:4" x14ac:dyDescent="0.2">
      <c r="A11" s="18" t="s">
        <v>7734</v>
      </c>
      <c r="B11" s="28">
        <v>2710040.6091370559</v>
      </c>
      <c r="C11" s="3">
        <v>0.13069066217493228</v>
      </c>
      <c r="D11" s="29">
        <v>2355871.0261964337</v>
      </c>
    </row>
    <row r="12" spans="1:4" x14ac:dyDescent="0.2">
      <c r="A12" s="24">
        <v>3.1</v>
      </c>
      <c r="B12" s="28">
        <v>2710000</v>
      </c>
      <c r="C12" s="3">
        <v>0.13075929750140999</v>
      </c>
      <c r="D12" s="29">
        <v>2355642.3037711792</v>
      </c>
    </row>
    <row r="13" spans="1:4" x14ac:dyDescent="0.2">
      <c r="A13" s="24">
        <v>3.2</v>
      </c>
      <c r="B13" s="28">
        <v>2710000</v>
      </c>
      <c r="C13" s="3">
        <v>0.13075929750140994</v>
      </c>
      <c r="D13" s="29">
        <v>2355642.3037711815</v>
      </c>
    </row>
    <row r="14" spans="1:4" x14ac:dyDescent="0.2">
      <c r="A14" s="24">
        <v>3.3</v>
      </c>
      <c r="B14" s="28">
        <v>2710000</v>
      </c>
      <c r="C14" s="3">
        <v>0.13075929750140983</v>
      </c>
      <c r="D14" s="29">
        <v>2355642.303771182</v>
      </c>
    </row>
    <row r="15" spans="1:4" x14ac:dyDescent="0.2">
      <c r="A15" s="24">
        <v>3.4</v>
      </c>
      <c r="B15" s="28">
        <v>2710000</v>
      </c>
      <c r="C15" s="3">
        <v>0.1307592975014098</v>
      </c>
      <c r="D15" s="29">
        <v>2355642.3037711792</v>
      </c>
    </row>
    <row r="16" spans="1:4" x14ac:dyDescent="0.2">
      <c r="A16" s="24">
        <v>3.5</v>
      </c>
      <c r="B16" s="28">
        <v>2710000</v>
      </c>
      <c r="C16" s="3">
        <v>0.13075929750140972</v>
      </c>
      <c r="D16" s="29">
        <v>2355642.3037711759</v>
      </c>
    </row>
    <row r="17" spans="1:4" x14ac:dyDescent="0.2">
      <c r="A17" s="24">
        <v>3.6</v>
      </c>
      <c r="B17" s="28">
        <v>2709550.3875968992</v>
      </c>
      <c r="C17" s="3">
        <v>0.13073425999295737</v>
      </c>
      <c r="D17" s="29">
        <v>2355317.8818424698</v>
      </c>
    </row>
    <row r="18" spans="1:4" x14ac:dyDescent="0.2">
      <c r="A18" s="24">
        <v>3.7</v>
      </c>
      <c r="B18" s="28">
        <v>2710000</v>
      </c>
      <c r="C18" s="3">
        <v>0.13075929750140966</v>
      </c>
      <c r="D18" s="29">
        <v>2355642.3037711843</v>
      </c>
    </row>
    <row r="19" spans="1:4" x14ac:dyDescent="0.2">
      <c r="A19" s="24">
        <v>3.8</v>
      </c>
      <c r="B19" s="28">
        <v>2710000</v>
      </c>
      <c r="C19" s="3">
        <v>0.13075929750140963</v>
      </c>
      <c r="D19" s="29">
        <v>2355642.3037711857</v>
      </c>
    </row>
    <row r="20" spans="1:4" x14ac:dyDescent="0.2">
      <c r="A20" s="24">
        <v>3.9</v>
      </c>
      <c r="B20" s="28">
        <v>2710000</v>
      </c>
      <c r="C20" s="3">
        <v>0.13075929750140983</v>
      </c>
      <c r="D20" s="29">
        <v>2355642.3037711806</v>
      </c>
    </row>
    <row r="21" spans="1:4" x14ac:dyDescent="0.2">
      <c r="A21" s="24">
        <v>4</v>
      </c>
      <c r="B21" s="28">
        <v>2710366.5594855305</v>
      </c>
      <c r="C21" s="3">
        <v>0.13046534805888346</v>
      </c>
      <c r="D21" s="29">
        <v>2356791.0454215799</v>
      </c>
    </row>
    <row r="22" spans="1:4" x14ac:dyDescent="0.2">
      <c r="A22" s="18" t="s">
        <v>7735</v>
      </c>
      <c r="B22" s="28">
        <v>2711428.175702414</v>
      </c>
      <c r="C22" s="3">
        <v>0.13073418839171336</v>
      </c>
      <c r="D22" s="29">
        <v>2356958.0762215266</v>
      </c>
    </row>
    <row r="23" spans="1:4" x14ac:dyDescent="0.2">
      <c r="A23" s="24">
        <v>4.0999999999999996</v>
      </c>
      <c r="B23" s="28">
        <v>2709885.8024691357</v>
      </c>
      <c r="C23" s="3">
        <v>0.1309127549119265</v>
      </c>
      <c r="D23" s="29">
        <v>2355154.2300560963</v>
      </c>
    </row>
    <row r="24" spans="1:4" x14ac:dyDescent="0.2">
      <c r="A24" s="24">
        <v>4.2</v>
      </c>
      <c r="B24" s="28">
        <v>2716514.7058823528</v>
      </c>
      <c r="C24" s="3">
        <v>0.13085987126568677</v>
      </c>
      <c r="D24" s="29">
        <v>2360880.9207930686</v>
      </c>
    </row>
    <row r="25" spans="1:4" x14ac:dyDescent="0.2">
      <c r="A25" s="24">
        <v>4.3</v>
      </c>
      <c r="B25" s="28">
        <v>2709750.7886435329</v>
      </c>
      <c r="C25" s="3">
        <v>0.13071665476988539</v>
      </c>
      <c r="D25" s="29">
        <v>2355537.8721432495</v>
      </c>
    </row>
    <row r="26" spans="1:4" x14ac:dyDescent="0.2">
      <c r="A26" s="24">
        <v>4.4000000000000004</v>
      </c>
      <c r="B26" s="28">
        <v>2710084.3373493976</v>
      </c>
      <c r="C26" s="3">
        <v>0.13047222602030903</v>
      </c>
      <c r="D26" s="29">
        <v>2356501.6149432645</v>
      </c>
    </row>
    <row r="27" spans="1:4" x14ac:dyDescent="0.2">
      <c r="A27" s="24">
        <v>4.5</v>
      </c>
      <c r="B27" s="28">
        <v>2710000</v>
      </c>
      <c r="C27" s="3">
        <v>0.13075929750141016</v>
      </c>
      <c r="D27" s="29">
        <v>2355642.3037711764</v>
      </c>
    </row>
    <row r="28" spans="1:4" x14ac:dyDescent="0.2">
      <c r="A28" s="24">
        <v>4.5999999999999996</v>
      </c>
      <c r="B28" s="28">
        <v>2710000</v>
      </c>
      <c r="C28" s="3">
        <v>0.13075929750140963</v>
      </c>
      <c r="D28" s="29">
        <v>2355642.3037711862</v>
      </c>
    </row>
    <row r="29" spans="1:4" x14ac:dyDescent="0.2">
      <c r="A29" s="24">
        <v>4.7</v>
      </c>
      <c r="B29" s="28">
        <v>2717678.756476684</v>
      </c>
      <c r="C29" s="3">
        <v>0.13055960567005012</v>
      </c>
      <c r="D29" s="29">
        <v>2363154.0996023519</v>
      </c>
    </row>
    <row r="30" spans="1:4" x14ac:dyDescent="0.2">
      <c r="A30" s="24">
        <v>4.8</v>
      </c>
      <c r="B30" s="28">
        <v>2710000</v>
      </c>
      <c r="C30" s="3">
        <v>0.13075929750140966</v>
      </c>
      <c r="D30" s="29">
        <v>2355642.303771181</v>
      </c>
    </row>
    <row r="31" spans="1:4" x14ac:dyDescent="0.2">
      <c r="A31" s="24">
        <v>4.9000000000000004</v>
      </c>
      <c r="B31" s="28">
        <v>2710000</v>
      </c>
      <c r="C31" s="3">
        <v>0.13075929750140969</v>
      </c>
      <c r="D31" s="29">
        <v>2355642.3037711759</v>
      </c>
    </row>
    <row r="32" spans="1:4" x14ac:dyDescent="0.2">
      <c r="A32" s="24">
        <v>5</v>
      </c>
      <c r="B32" s="28">
        <v>2710000</v>
      </c>
      <c r="C32" s="3">
        <v>0.13075929750140963</v>
      </c>
      <c r="D32" s="29">
        <v>2355642.3037711848</v>
      </c>
    </row>
    <row r="33" spans="1:4" x14ac:dyDescent="0.2">
      <c r="A33" s="18" t="s">
        <v>7699</v>
      </c>
      <c r="B33" s="28">
        <v>2710930.4391977661</v>
      </c>
      <c r="C33" s="3">
        <v>0.13071916070643275</v>
      </c>
      <c r="D33" s="29">
        <v>2356566.4888959718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31E-F419-2541-9342-25B70AC4785A}">
  <dimension ref="A1:E27"/>
  <sheetViews>
    <sheetView tabSelected="1" workbookViewId="0">
      <selection activeCell="B29" sqref="B29"/>
    </sheetView>
  </sheetViews>
  <sheetFormatPr baseColWidth="10" defaultRowHeight="16" x14ac:dyDescent="0.2"/>
  <cols>
    <col min="1" max="1" width="49.83203125" bestFit="1" customWidth="1"/>
    <col min="2" max="2" width="27.6640625" bestFit="1" customWidth="1"/>
    <col min="3" max="3" width="21.6640625" bestFit="1" customWidth="1"/>
    <col min="4" max="4" width="20.83203125" bestFit="1" customWidth="1"/>
  </cols>
  <sheetData>
    <row r="1" spans="1:5" x14ac:dyDescent="0.2">
      <c r="A1" s="19" t="s">
        <v>7743</v>
      </c>
      <c r="B1" s="19" t="s">
        <v>7744</v>
      </c>
      <c r="C1" s="19" t="s">
        <v>7745</v>
      </c>
      <c r="D1" s="19" t="s">
        <v>7746</v>
      </c>
      <c r="E1" s="19"/>
    </row>
    <row r="2" spans="1:5" x14ac:dyDescent="0.2">
      <c r="A2" s="24">
        <v>2.2999999999999998</v>
      </c>
      <c r="B2" s="28">
        <v>2710000</v>
      </c>
      <c r="C2" s="3">
        <v>0.13075929750140999</v>
      </c>
      <c r="D2" s="29">
        <v>2355642.3037711792</v>
      </c>
    </row>
    <row r="3" spans="1:5" x14ac:dyDescent="0.2">
      <c r="A3" s="24">
        <v>2.5</v>
      </c>
      <c r="B3" s="28">
        <v>2710000</v>
      </c>
      <c r="C3" s="3">
        <v>0.13075929750140999</v>
      </c>
      <c r="D3" s="29">
        <v>2355642.3037711792</v>
      </c>
    </row>
    <row r="4" spans="1:5" x14ac:dyDescent="0.2">
      <c r="A4" s="24">
        <v>2.6</v>
      </c>
      <c r="B4" s="28">
        <v>2710000</v>
      </c>
      <c r="C4" s="3">
        <v>0.13075929750140999</v>
      </c>
      <c r="D4" s="29">
        <v>2355642.3037711792</v>
      </c>
    </row>
    <row r="5" spans="1:5" x14ac:dyDescent="0.2">
      <c r="A5" s="24">
        <v>2.8</v>
      </c>
      <c r="B5" s="28">
        <v>2710000</v>
      </c>
      <c r="C5" s="3">
        <v>0.13075929750140999</v>
      </c>
      <c r="D5" s="29">
        <v>2355642.3037711792</v>
      </c>
    </row>
    <row r="6" spans="1:5" x14ac:dyDescent="0.2">
      <c r="A6" s="24">
        <v>2.9</v>
      </c>
      <c r="B6" s="28">
        <v>2710000</v>
      </c>
      <c r="C6" s="3">
        <v>0.13075929750140999</v>
      </c>
      <c r="D6" s="29">
        <v>2355642.3037711792</v>
      </c>
    </row>
    <row r="7" spans="1:5" x14ac:dyDescent="0.2">
      <c r="A7" s="24">
        <v>3</v>
      </c>
      <c r="B7" s="28">
        <v>2710000</v>
      </c>
      <c r="C7" s="3">
        <v>0.13075929750140999</v>
      </c>
      <c r="D7" s="29">
        <v>2355642.3037711806</v>
      </c>
    </row>
    <row r="8" spans="1:5" x14ac:dyDescent="0.2">
      <c r="A8" s="24">
        <v>3.1</v>
      </c>
      <c r="B8" s="28">
        <v>2710000</v>
      </c>
      <c r="C8" s="3">
        <v>0.13075929750140999</v>
      </c>
      <c r="D8" s="29">
        <v>2355642.3037711792</v>
      </c>
    </row>
    <row r="9" spans="1:5" x14ac:dyDescent="0.2">
      <c r="A9" s="24">
        <v>3.2</v>
      </c>
      <c r="B9" s="28">
        <v>2710000</v>
      </c>
      <c r="C9" s="3">
        <v>0.13075929750140994</v>
      </c>
      <c r="D9" s="29">
        <v>2355642.3037711815</v>
      </c>
    </row>
    <row r="10" spans="1:5" x14ac:dyDescent="0.2">
      <c r="A10" s="24">
        <v>3.3</v>
      </c>
      <c r="B10" s="28">
        <v>2710000</v>
      </c>
      <c r="C10" s="3">
        <v>0.13075929750140983</v>
      </c>
      <c r="D10" s="29">
        <v>2355642.303771182</v>
      </c>
    </row>
    <row r="11" spans="1:5" x14ac:dyDescent="0.2">
      <c r="A11" s="24">
        <v>3.4</v>
      </c>
      <c r="B11" s="28">
        <v>2710000</v>
      </c>
      <c r="C11" s="3">
        <v>0.1307592975014098</v>
      </c>
      <c r="D11" s="29">
        <v>2355642.3037711792</v>
      </c>
    </row>
    <row r="12" spans="1:5" x14ac:dyDescent="0.2">
      <c r="A12" s="24">
        <v>3.5</v>
      </c>
      <c r="B12" s="28">
        <v>2710000</v>
      </c>
      <c r="C12" s="3">
        <v>0.13075929750140972</v>
      </c>
      <c r="D12" s="29">
        <v>2355642.3037711759</v>
      </c>
    </row>
    <row r="13" spans="1:5" x14ac:dyDescent="0.2">
      <c r="A13" s="24">
        <v>3.6</v>
      </c>
      <c r="B13" s="28">
        <v>2709550.3875968992</v>
      </c>
      <c r="C13" s="3">
        <v>0.13073425999295737</v>
      </c>
      <c r="D13" s="29">
        <v>2355317.8818424698</v>
      </c>
    </row>
    <row r="14" spans="1:5" x14ac:dyDescent="0.2">
      <c r="A14" s="24">
        <v>3.7</v>
      </c>
      <c r="B14" s="28">
        <v>2710000</v>
      </c>
      <c r="C14" s="3">
        <v>0.13075929750140966</v>
      </c>
      <c r="D14" s="29">
        <v>2355642.3037711843</v>
      </c>
    </row>
    <row r="15" spans="1:5" x14ac:dyDescent="0.2">
      <c r="A15" s="24">
        <v>3.8</v>
      </c>
      <c r="B15" s="28">
        <v>2710000</v>
      </c>
      <c r="C15" s="3">
        <v>0.13075929750140963</v>
      </c>
      <c r="D15" s="29">
        <v>2355642.3037711857</v>
      </c>
    </row>
    <row r="16" spans="1:5" x14ac:dyDescent="0.2">
      <c r="A16" s="24">
        <v>3.9</v>
      </c>
      <c r="B16" s="28">
        <v>2710000</v>
      </c>
      <c r="C16" s="3">
        <v>0.13075929750140983</v>
      </c>
      <c r="D16" s="29">
        <v>2355642.3037711806</v>
      </c>
    </row>
    <row r="17" spans="1:4" x14ac:dyDescent="0.2">
      <c r="A17" s="24">
        <v>4</v>
      </c>
      <c r="B17" s="28">
        <v>2710366.5594855305</v>
      </c>
      <c r="C17" s="3">
        <v>0.13046534805888346</v>
      </c>
      <c r="D17" s="29">
        <v>2356791.0454215799</v>
      </c>
    </row>
    <row r="18" spans="1:4" x14ac:dyDescent="0.2">
      <c r="A18" s="24">
        <v>4.0999999999999996</v>
      </c>
      <c r="B18" s="28">
        <v>2709885.8024691357</v>
      </c>
      <c r="C18" s="3">
        <v>0.1309127549119265</v>
      </c>
      <c r="D18" s="29">
        <v>2355154.2300560963</v>
      </c>
    </row>
    <row r="19" spans="1:4" x14ac:dyDescent="0.2">
      <c r="A19" s="24">
        <v>4.2</v>
      </c>
      <c r="B19" s="28">
        <v>2716514.7058823528</v>
      </c>
      <c r="C19" s="3">
        <v>0.13085987126568677</v>
      </c>
      <c r="D19" s="29">
        <v>2360880.9207930686</v>
      </c>
    </row>
    <row r="20" spans="1:4" x14ac:dyDescent="0.2">
      <c r="A20" s="24">
        <v>4.3</v>
      </c>
      <c r="B20" s="28">
        <v>2709750.7886435329</v>
      </c>
      <c r="C20" s="3">
        <v>0.13071665476988539</v>
      </c>
      <c r="D20" s="29">
        <v>2355537.8721432495</v>
      </c>
    </row>
    <row r="21" spans="1:4" x14ac:dyDescent="0.2">
      <c r="A21" s="24">
        <v>4.4000000000000004</v>
      </c>
      <c r="B21" s="28">
        <v>2710084.3373493976</v>
      </c>
      <c r="C21" s="3">
        <v>0.13047222602030903</v>
      </c>
      <c r="D21" s="29">
        <v>2356501.6149432645</v>
      </c>
    </row>
    <row r="22" spans="1:4" x14ac:dyDescent="0.2">
      <c r="A22" s="24">
        <v>4.5</v>
      </c>
      <c r="B22" s="28">
        <v>2710000</v>
      </c>
      <c r="C22" s="3">
        <v>0.13075929750141016</v>
      </c>
      <c r="D22" s="29">
        <v>2355642.3037711764</v>
      </c>
    </row>
    <row r="23" spans="1:4" x14ac:dyDescent="0.2">
      <c r="A23" s="24">
        <v>4.5999999999999996</v>
      </c>
      <c r="B23" s="28">
        <v>2710000</v>
      </c>
      <c r="C23" s="3">
        <v>0.13075929750140963</v>
      </c>
      <c r="D23" s="29">
        <v>2355642.3037711862</v>
      </c>
    </row>
    <row r="24" spans="1:4" x14ac:dyDescent="0.2">
      <c r="A24" s="24">
        <v>4.7</v>
      </c>
      <c r="B24" s="28">
        <v>2717678.756476684</v>
      </c>
      <c r="C24" s="3">
        <v>0.13055960567005012</v>
      </c>
      <c r="D24" s="29">
        <v>2363154.0996023519</v>
      </c>
    </row>
    <row r="25" spans="1:4" x14ac:dyDescent="0.2">
      <c r="A25" s="24">
        <v>4.8</v>
      </c>
      <c r="B25" s="28">
        <v>2710000</v>
      </c>
      <c r="C25" s="3">
        <v>0.13075929750140966</v>
      </c>
      <c r="D25" s="29">
        <v>2355642.303771181</v>
      </c>
    </row>
    <row r="26" spans="1:4" x14ac:dyDescent="0.2">
      <c r="A26" s="24">
        <v>4.9000000000000004</v>
      </c>
      <c r="B26" s="28">
        <v>2710000</v>
      </c>
      <c r="C26" s="3">
        <v>0.13075929750140969</v>
      </c>
      <c r="D26" s="29">
        <v>2355642.3037711759</v>
      </c>
    </row>
    <row r="27" spans="1:4" x14ac:dyDescent="0.2">
      <c r="A27" s="24">
        <v>5</v>
      </c>
      <c r="B27" s="28">
        <v>2710000</v>
      </c>
      <c r="C27" s="3">
        <v>0.13075929750140963</v>
      </c>
      <c r="D27" s="29">
        <v>2355642.3037711848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68E2-195F-DF47-866C-109A61112B2C}">
  <dimension ref="A3:H33"/>
  <sheetViews>
    <sheetView workbookViewId="0">
      <selection activeCell="E22" sqref="E22"/>
    </sheetView>
  </sheetViews>
  <sheetFormatPr baseColWidth="10" defaultRowHeight="16" x14ac:dyDescent="0.2"/>
  <cols>
    <col min="1" max="1" width="23" bestFit="1" customWidth="1"/>
    <col min="2" max="2" width="16" bestFit="1" customWidth="1"/>
    <col min="3" max="4" width="8.1640625" bestFit="1" customWidth="1"/>
    <col min="5" max="5" width="9.5" bestFit="1" customWidth="1"/>
    <col min="6" max="6" width="9.6640625" bestFit="1" customWidth="1"/>
    <col min="7" max="7" width="8.1640625" bestFit="1" customWidth="1"/>
    <col min="8" max="9" width="10.5" bestFit="1" customWidth="1"/>
    <col min="10" max="25" width="4.1640625" bestFit="1" customWidth="1"/>
    <col min="26" max="26" width="10.6640625" bestFit="1" customWidth="1"/>
    <col min="27" max="27" width="7.33203125" bestFit="1" customWidth="1"/>
    <col min="28" max="29" width="4.1640625" bestFit="1" customWidth="1"/>
    <col min="30" max="30" width="3.1640625" bestFit="1" customWidth="1"/>
    <col min="31" max="50" width="4.1640625" bestFit="1" customWidth="1"/>
    <col min="51" max="51" width="9.6640625" bestFit="1" customWidth="1"/>
    <col min="52" max="52" width="10.5" bestFit="1" customWidth="1"/>
  </cols>
  <sheetData>
    <row r="3" spans="1:8" x14ac:dyDescent="0.2">
      <c r="A3" s="17" t="s">
        <v>7730</v>
      </c>
      <c r="B3" s="17" t="s">
        <v>7732</v>
      </c>
    </row>
    <row r="4" spans="1:8" x14ac:dyDescent="0.2">
      <c r="A4" s="17" t="s">
        <v>7698</v>
      </c>
      <c r="B4" t="s">
        <v>34</v>
      </c>
      <c r="C4" t="s">
        <v>19</v>
      </c>
      <c r="D4" t="s">
        <v>45</v>
      </c>
      <c r="E4" t="s">
        <v>25</v>
      </c>
      <c r="F4" t="s">
        <v>39</v>
      </c>
      <c r="G4" t="s">
        <v>68</v>
      </c>
      <c r="H4" t="s">
        <v>7699</v>
      </c>
    </row>
    <row r="5" spans="1:8" x14ac:dyDescent="0.2">
      <c r="A5" s="18" t="s">
        <v>7731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</row>
    <row r="6" spans="1:8" x14ac:dyDescent="0.2">
      <c r="A6" s="24" t="s">
        <v>7733</v>
      </c>
      <c r="B6" s="3">
        <v>1.0997067448680353E-2</v>
      </c>
      <c r="C6" s="3">
        <v>1.0726072607260726E-2</v>
      </c>
      <c r="D6" s="3">
        <v>2.6455026455026454E-3</v>
      </c>
      <c r="E6" s="3">
        <v>1.5267175572519084E-3</v>
      </c>
      <c r="F6" s="3">
        <v>8.9285714285714281E-3</v>
      </c>
      <c r="G6" s="3">
        <v>2.0876826722338203E-3</v>
      </c>
      <c r="H6" s="3">
        <v>7.0318282753515917E-3</v>
      </c>
    </row>
    <row r="7" spans="1:8" x14ac:dyDescent="0.2">
      <c r="A7" s="25">
        <v>2.2999999999999998</v>
      </c>
      <c r="B7" s="3">
        <v>1.4662756598240469E-3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3.7009622501850479E-4</v>
      </c>
    </row>
    <row r="8" spans="1:8" x14ac:dyDescent="0.2">
      <c r="A8" s="25">
        <v>2.8</v>
      </c>
      <c r="B8" s="3">
        <v>1.4662756598240469E-3</v>
      </c>
      <c r="C8" s="3">
        <v>1.6501650165016502E-3</v>
      </c>
      <c r="D8" s="3">
        <v>0</v>
      </c>
      <c r="E8" s="3">
        <v>0</v>
      </c>
      <c r="F8" s="3">
        <v>0</v>
      </c>
      <c r="G8" s="3">
        <v>0</v>
      </c>
      <c r="H8" s="3">
        <v>7.4019245003700959E-4</v>
      </c>
    </row>
    <row r="9" spans="1:8" x14ac:dyDescent="0.2">
      <c r="A9" s="25">
        <v>2.9</v>
      </c>
      <c r="B9" s="3">
        <v>1.4662756598240469E-3</v>
      </c>
      <c r="C9" s="3">
        <v>0</v>
      </c>
      <c r="D9" s="3">
        <v>0</v>
      </c>
      <c r="E9" s="3">
        <v>0</v>
      </c>
      <c r="F9" s="3">
        <v>0</v>
      </c>
      <c r="G9" s="3">
        <v>2.0876826722338203E-3</v>
      </c>
      <c r="H9" s="3">
        <v>5.5514433752775719E-4</v>
      </c>
    </row>
    <row r="10" spans="1:8" x14ac:dyDescent="0.2">
      <c r="A10" s="25">
        <v>3</v>
      </c>
      <c r="B10" s="3">
        <v>6.5982404692082114E-3</v>
      </c>
      <c r="C10" s="3">
        <v>9.0759075907590765E-3</v>
      </c>
      <c r="D10" s="3">
        <v>2.6455026455026454E-3</v>
      </c>
      <c r="E10" s="3">
        <v>1.5267175572519084E-3</v>
      </c>
      <c r="F10" s="3">
        <v>8.9285714285714281E-3</v>
      </c>
      <c r="G10" s="3">
        <v>0</v>
      </c>
      <c r="H10" s="3">
        <v>5.3663952627683196E-3</v>
      </c>
    </row>
    <row r="11" spans="1:8" x14ac:dyDescent="0.2">
      <c r="A11" s="24" t="s">
        <v>7734</v>
      </c>
      <c r="B11" s="3">
        <v>0.39516129032258063</v>
      </c>
      <c r="C11" s="3">
        <v>0.33580858085808579</v>
      </c>
      <c r="D11" s="3">
        <v>0.33156966490299822</v>
      </c>
      <c r="E11" s="3">
        <v>0.3099236641221374</v>
      </c>
      <c r="F11" s="3">
        <v>0.32500000000000001</v>
      </c>
      <c r="G11" s="3">
        <v>0.3465553235908142</v>
      </c>
      <c r="H11" s="3">
        <v>0.34659511472982973</v>
      </c>
    </row>
    <row r="12" spans="1:8" x14ac:dyDescent="0.2">
      <c r="A12" s="25">
        <v>3.1</v>
      </c>
      <c r="B12" s="3">
        <v>2.1994134897360706E-3</v>
      </c>
      <c r="C12" s="3">
        <v>0</v>
      </c>
      <c r="D12" s="3">
        <v>5.2910052910052907E-3</v>
      </c>
      <c r="E12" s="3">
        <v>0</v>
      </c>
      <c r="F12" s="3">
        <v>0</v>
      </c>
      <c r="G12" s="3">
        <v>0</v>
      </c>
      <c r="H12" s="3">
        <v>1.6654330125832717E-3</v>
      </c>
    </row>
    <row r="13" spans="1:8" x14ac:dyDescent="0.2">
      <c r="A13" s="25">
        <v>3.2</v>
      </c>
      <c r="B13" s="3">
        <v>1.6129032258064516E-2</v>
      </c>
      <c r="C13" s="3">
        <v>1.155115511551155E-2</v>
      </c>
      <c r="D13" s="3">
        <v>1.146384479717813E-2</v>
      </c>
      <c r="E13" s="3">
        <v>6.1068702290076335E-3</v>
      </c>
      <c r="F13" s="3">
        <v>0</v>
      </c>
      <c r="G13" s="3">
        <v>2.0876826722338203E-3</v>
      </c>
      <c r="H13" s="3">
        <v>9.9925980754996292E-3</v>
      </c>
    </row>
    <row r="14" spans="1:8" x14ac:dyDescent="0.2">
      <c r="A14" s="25">
        <v>3.3</v>
      </c>
      <c r="B14" s="3">
        <v>1.3196480938416423E-2</v>
      </c>
      <c r="C14" s="3">
        <v>1.4851485148514851E-2</v>
      </c>
      <c r="D14" s="3">
        <v>6.1728395061728392E-3</v>
      </c>
      <c r="E14" s="3">
        <v>2.4427480916030534E-2</v>
      </c>
      <c r="F14" s="3">
        <v>8.9285714285714281E-3</v>
      </c>
      <c r="G14" s="3">
        <v>1.0438413361169102E-2</v>
      </c>
      <c r="H14" s="3">
        <v>1.2768319763138416E-2</v>
      </c>
    </row>
    <row r="15" spans="1:8" x14ac:dyDescent="0.2">
      <c r="A15" s="25">
        <v>3.4</v>
      </c>
      <c r="B15" s="3">
        <v>2.3460410557184751E-2</v>
      </c>
      <c r="C15" s="3">
        <v>1.155115511551155E-2</v>
      </c>
      <c r="D15" s="3">
        <v>5.2910052910052907E-3</v>
      </c>
      <c r="E15" s="3">
        <v>1.3740458015267175E-2</v>
      </c>
      <c r="F15" s="3">
        <v>1.4285714285714285E-2</v>
      </c>
      <c r="G15" s="3">
        <v>2.0876826722338204E-2</v>
      </c>
      <c r="H15" s="3">
        <v>1.461880088823094E-2</v>
      </c>
    </row>
    <row r="16" spans="1:8" x14ac:dyDescent="0.2">
      <c r="A16" s="25">
        <v>3.5</v>
      </c>
      <c r="B16" s="3">
        <v>1.7595307917888565E-2</v>
      </c>
      <c r="C16" s="3">
        <v>2.7227722772277228E-2</v>
      </c>
      <c r="D16" s="3">
        <v>3.2627865961199293E-2</v>
      </c>
      <c r="E16" s="3">
        <v>1.984732824427481E-2</v>
      </c>
      <c r="F16" s="3">
        <v>2.6785714285714284E-2</v>
      </c>
      <c r="G16" s="3">
        <v>1.4613778705636743E-2</v>
      </c>
      <c r="H16" s="3">
        <v>2.3871206513693559E-2</v>
      </c>
    </row>
    <row r="17" spans="1:8" x14ac:dyDescent="0.2">
      <c r="A17" s="25">
        <v>3.6</v>
      </c>
      <c r="B17" s="3">
        <v>2.6392961876832845E-2</v>
      </c>
      <c r="C17" s="3">
        <v>3.3003300330033E-2</v>
      </c>
      <c r="D17" s="3">
        <v>2.5573192239858905E-2</v>
      </c>
      <c r="E17" s="3">
        <v>3.6641221374045803E-2</v>
      </c>
      <c r="F17" s="3">
        <v>3.0357142857142857E-2</v>
      </c>
      <c r="G17" s="3">
        <v>1.4613778705636743E-2</v>
      </c>
      <c r="H17" s="3">
        <v>2.8312361213915619E-2</v>
      </c>
    </row>
    <row r="18" spans="1:8" x14ac:dyDescent="0.2">
      <c r="A18" s="25">
        <v>3.7</v>
      </c>
      <c r="B18" s="3">
        <v>6.6715542521994131E-2</v>
      </c>
      <c r="C18" s="3">
        <v>6.0231023102310231E-2</v>
      </c>
      <c r="D18" s="3">
        <v>3.1746031746031744E-2</v>
      </c>
      <c r="E18" s="3">
        <v>5.3435114503816793E-2</v>
      </c>
      <c r="F18" s="3">
        <v>3.214285714285714E-2</v>
      </c>
      <c r="G18" s="3">
        <v>6.889352818371608E-2</v>
      </c>
      <c r="H18" s="3">
        <v>5.292376017764619E-2</v>
      </c>
    </row>
    <row r="19" spans="1:8" x14ac:dyDescent="0.2">
      <c r="A19" s="25">
        <v>3.8</v>
      </c>
      <c r="B19" s="3">
        <v>6.7448680351906154E-2</v>
      </c>
      <c r="C19" s="3">
        <v>7.0132013201320134E-2</v>
      </c>
      <c r="D19" s="3">
        <v>6.0846560846560843E-2</v>
      </c>
      <c r="E19" s="3">
        <v>4.1221374045801527E-2</v>
      </c>
      <c r="F19" s="3">
        <v>2.8571428571428571E-2</v>
      </c>
      <c r="G19" s="3">
        <v>8.3507306889352817E-2</v>
      </c>
      <c r="H19" s="3">
        <v>6.0880829015544043E-2</v>
      </c>
    </row>
    <row r="20" spans="1:8" x14ac:dyDescent="0.2">
      <c r="A20" s="25">
        <v>3.9</v>
      </c>
      <c r="B20" s="3">
        <v>7.1114369501466282E-2</v>
      </c>
      <c r="C20" s="3">
        <v>5.6930693069306933E-2</v>
      </c>
      <c r="D20" s="3">
        <v>7.1428571428571425E-2</v>
      </c>
      <c r="E20" s="3">
        <v>6.1068702290076333E-2</v>
      </c>
      <c r="F20" s="3">
        <v>7.3214285714285718E-2</v>
      </c>
      <c r="G20" s="3">
        <v>5.4279749478079335E-2</v>
      </c>
      <c r="H20" s="3">
        <v>6.5507031828275358E-2</v>
      </c>
    </row>
    <row r="21" spans="1:8" x14ac:dyDescent="0.2">
      <c r="A21" s="25">
        <v>4</v>
      </c>
      <c r="B21" s="3">
        <v>9.0909090909090912E-2</v>
      </c>
      <c r="C21" s="3">
        <v>5.0330033003300328E-2</v>
      </c>
      <c r="D21" s="3">
        <v>8.1128747795414458E-2</v>
      </c>
      <c r="E21" s="3">
        <v>5.3435114503816793E-2</v>
      </c>
      <c r="F21" s="3">
        <v>0.11071428571428571</v>
      </c>
      <c r="G21" s="3">
        <v>7.724425887265135E-2</v>
      </c>
      <c r="H21" s="3">
        <v>7.6054774241302733E-2</v>
      </c>
    </row>
    <row r="22" spans="1:8" x14ac:dyDescent="0.2">
      <c r="A22" s="24" t="s">
        <v>7735</v>
      </c>
      <c r="B22" s="3">
        <v>0.59384164222873903</v>
      </c>
      <c r="C22" s="3">
        <v>0.65346534653465349</v>
      </c>
      <c r="D22" s="3">
        <v>0.66578483245149911</v>
      </c>
      <c r="E22" s="3">
        <v>0.68854961832061068</v>
      </c>
      <c r="F22" s="3">
        <v>0.66607142857142854</v>
      </c>
      <c r="G22" s="3">
        <v>0.65135699373695199</v>
      </c>
      <c r="H22" s="3">
        <v>0.64637305699481862</v>
      </c>
    </row>
    <row r="23" spans="1:8" x14ac:dyDescent="0.2">
      <c r="A23" s="25">
        <v>4.0999999999999996</v>
      </c>
      <c r="B23" s="3">
        <v>9.0175953079178889E-2</v>
      </c>
      <c r="C23" s="3">
        <v>8.6633663366336627E-2</v>
      </c>
      <c r="D23" s="3">
        <v>7.6719576719576715E-2</v>
      </c>
      <c r="E23" s="3">
        <v>8.8549618320610687E-2</v>
      </c>
      <c r="F23" s="3">
        <v>8.9285714285714288E-2</v>
      </c>
      <c r="G23" s="3">
        <v>6.2630480167014613E-2</v>
      </c>
      <c r="H23" s="3">
        <v>8.3826794966691334E-2</v>
      </c>
    </row>
    <row r="24" spans="1:8" x14ac:dyDescent="0.2">
      <c r="A24" s="25">
        <v>4.2</v>
      </c>
      <c r="B24" s="3">
        <v>5.6451612903225805E-2</v>
      </c>
      <c r="C24" s="3">
        <v>0.10478547854785479</v>
      </c>
      <c r="D24" s="3">
        <v>8.4656084656084651E-2</v>
      </c>
      <c r="E24" s="3">
        <v>0.1099236641221374</v>
      </c>
      <c r="F24" s="3">
        <v>0.11964285714285715</v>
      </c>
      <c r="G24" s="3">
        <v>0.10438413361169102</v>
      </c>
      <c r="H24" s="3">
        <v>9.0488527017024423E-2</v>
      </c>
    </row>
    <row r="25" spans="1:8" x14ac:dyDescent="0.2">
      <c r="A25" s="25">
        <v>4.3</v>
      </c>
      <c r="B25" s="3">
        <v>8.5043988269794715E-2</v>
      </c>
      <c r="C25" s="3">
        <v>5.1980198019801978E-2</v>
      </c>
      <c r="D25" s="3">
        <v>7.4955908289241618E-2</v>
      </c>
      <c r="E25" s="3">
        <v>8.2442748091603055E-2</v>
      </c>
      <c r="F25" s="3">
        <v>9.8214285714285712E-2</v>
      </c>
      <c r="G25" s="3">
        <v>0.12317327766179541</v>
      </c>
      <c r="H25" s="3">
        <v>7.9940784603997034E-2</v>
      </c>
    </row>
    <row r="26" spans="1:8" x14ac:dyDescent="0.2">
      <c r="A26" s="25">
        <v>4.4000000000000004</v>
      </c>
      <c r="B26" s="3">
        <v>7.6246334310850442E-2</v>
      </c>
      <c r="C26" s="3">
        <v>7.3432343234323433E-2</v>
      </c>
      <c r="D26" s="3">
        <v>0.11904761904761904</v>
      </c>
      <c r="E26" s="3">
        <v>7.6335877862595422E-2</v>
      </c>
      <c r="F26" s="3">
        <v>8.9285714285714288E-2</v>
      </c>
      <c r="G26" s="3">
        <v>6.2630480167014613E-2</v>
      </c>
      <c r="H26" s="3">
        <v>8.4752035529237602E-2</v>
      </c>
    </row>
    <row r="27" spans="1:8" x14ac:dyDescent="0.2">
      <c r="A27" s="25">
        <v>4.5</v>
      </c>
      <c r="B27" s="3">
        <v>6.89149560117302E-2</v>
      </c>
      <c r="C27" s="3">
        <v>7.6732673267326731E-2</v>
      </c>
      <c r="D27" s="3">
        <v>6.1728395061728392E-2</v>
      </c>
      <c r="E27" s="3">
        <v>9.1603053435114504E-2</v>
      </c>
      <c r="F27" s="3">
        <v>7.4999999999999997E-2</v>
      </c>
      <c r="G27" s="3">
        <v>6.2630480167014613E-2</v>
      </c>
      <c r="H27" s="3">
        <v>7.1983715766099188E-2</v>
      </c>
    </row>
    <row r="28" spans="1:8" x14ac:dyDescent="0.2">
      <c r="A28" s="25">
        <v>4.5999999999999996</v>
      </c>
      <c r="B28" s="3">
        <v>5.2785923753665691E-2</v>
      </c>
      <c r="C28" s="3">
        <v>6.3531353135313537E-2</v>
      </c>
      <c r="D28" s="3">
        <v>7.0546737213403876E-2</v>
      </c>
      <c r="E28" s="3">
        <v>4.4274809160305344E-2</v>
      </c>
      <c r="F28" s="3">
        <v>4.642857142857143E-2</v>
      </c>
      <c r="G28" s="3">
        <v>3.9665970772442591E-2</v>
      </c>
      <c r="H28" s="3">
        <v>5.6069578090303482E-2</v>
      </c>
    </row>
    <row r="29" spans="1:8" x14ac:dyDescent="0.2">
      <c r="A29" s="25">
        <v>4.7</v>
      </c>
      <c r="B29" s="3">
        <v>4.398826979472141E-2</v>
      </c>
      <c r="C29" s="3">
        <v>4.702970297029703E-2</v>
      </c>
      <c r="D29" s="3">
        <v>3.968253968253968E-2</v>
      </c>
      <c r="E29" s="3">
        <v>4.4274809160305344E-2</v>
      </c>
      <c r="F29" s="3">
        <v>5.1785714285714289E-2</v>
      </c>
      <c r="G29" s="3">
        <v>4.8016701461377868E-2</v>
      </c>
      <c r="H29" s="3">
        <v>4.4966691339748337E-2</v>
      </c>
    </row>
    <row r="30" spans="1:8" x14ac:dyDescent="0.2">
      <c r="A30" s="25">
        <v>4.8</v>
      </c>
      <c r="B30" s="3">
        <v>3.5923753665689152E-2</v>
      </c>
      <c r="C30" s="3">
        <v>4.1254125412541254E-2</v>
      </c>
      <c r="D30" s="3">
        <v>2.4691358024691357E-2</v>
      </c>
      <c r="E30" s="3">
        <v>5.6488549618320609E-2</v>
      </c>
      <c r="F30" s="3">
        <v>3.0357142857142857E-2</v>
      </c>
      <c r="G30" s="3">
        <v>5.4279749478079335E-2</v>
      </c>
      <c r="H30" s="3">
        <v>3.8304959289415248E-2</v>
      </c>
    </row>
    <row r="31" spans="1:8" x14ac:dyDescent="0.2">
      <c r="A31" s="25">
        <v>4.9000000000000004</v>
      </c>
      <c r="B31" s="3">
        <v>2.1994134897360705E-2</v>
      </c>
      <c r="C31" s="3">
        <v>3.9603960396039604E-2</v>
      </c>
      <c r="D31" s="3">
        <v>4.6737213403880068E-2</v>
      </c>
      <c r="E31" s="3">
        <v>3.8167938931297711E-2</v>
      </c>
      <c r="F31" s="3">
        <v>3.214285714285714E-2</v>
      </c>
      <c r="G31" s="3">
        <v>2.7139874739039668E-2</v>
      </c>
      <c r="H31" s="3">
        <v>3.46039970392302E-2</v>
      </c>
    </row>
    <row r="32" spans="1:8" x14ac:dyDescent="0.2">
      <c r="A32" s="25">
        <v>5</v>
      </c>
      <c r="B32" s="3">
        <v>6.2316715542521994E-2</v>
      </c>
      <c r="C32" s="3">
        <v>6.8481848184818478E-2</v>
      </c>
      <c r="D32" s="3">
        <v>6.7019400352733682E-2</v>
      </c>
      <c r="E32" s="3">
        <v>5.6488549618320609E-2</v>
      </c>
      <c r="F32" s="3">
        <v>3.3928571428571426E-2</v>
      </c>
      <c r="G32" s="3">
        <v>6.6805845511482248E-2</v>
      </c>
      <c r="H32" s="3">
        <v>6.1435973353071799E-2</v>
      </c>
    </row>
    <row r="33" spans="1:8" x14ac:dyDescent="0.2">
      <c r="A33" s="18" t="s">
        <v>7699</v>
      </c>
      <c r="B33" s="3">
        <v>1</v>
      </c>
      <c r="C33" s="3">
        <v>1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CCD7-FB54-534F-9961-67EFEB74FFAE}">
  <dimension ref="A1:H26"/>
  <sheetViews>
    <sheetView workbookViewId="0">
      <selection activeCell="A6" sqref="A1:G26"/>
    </sheetView>
  </sheetViews>
  <sheetFormatPr baseColWidth="10" defaultRowHeight="16" x14ac:dyDescent="0.2"/>
  <cols>
    <col min="1" max="1" width="24" bestFit="1" customWidth="1"/>
  </cols>
  <sheetData>
    <row r="1" spans="1:8" x14ac:dyDescent="0.2">
      <c r="A1" s="19" t="s">
        <v>7738</v>
      </c>
      <c r="B1" s="19" t="s">
        <v>34</v>
      </c>
      <c r="C1" s="19" t="s">
        <v>19</v>
      </c>
      <c r="D1" s="19" t="s">
        <v>45</v>
      </c>
      <c r="E1" s="19" t="s">
        <v>25</v>
      </c>
      <c r="F1" s="19" t="s">
        <v>39</v>
      </c>
      <c r="G1" s="19" t="s">
        <v>68</v>
      </c>
      <c r="H1" s="19"/>
    </row>
    <row r="2" spans="1:8" x14ac:dyDescent="0.2">
      <c r="A2" s="25">
        <v>2.2999999999999998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8" x14ac:dyDescent="0.2">
      <c r="A3" s="25">
        <v>2.8</v>
      </c>
      <c r="B3">
        <v>2</v>
      </c>
      <c r="C3">
        <v>2</v>
      </c>
      <c r="D3">
        <v>0</v>
      </c>
      <c r="E3">
        <v>0</v>
      </c>
      <c r="F3">
        <v>0</v>
      </c>
      <c r="G3">
        <v>0</v>
      </c>
    </row>
    <row r="4" spans="1:8" x14ac:dyDescent="0.2">
      <c r="A4" s="25">
        <v>2.9</v>
      </c>
      <c r="B4">
        <v>2</v>
      </c>
      <c r="C4">
        <v>0</v>
      </c>
      <c r="D4">
        <v>0</v>
      </c>
      <c r="E4">
        <v>0</v>
      </c>
      <c r="F4">
        <v>0</v>
      </c>
      <c r="G4">
        <v>1</v>
      </c>
    </row>
    <row r="5" spans="1:8" x14ac:dyDescent="0.2">
      <c r="A5" s="25">
        <v>3</v>
      </c>
      <c r="B5">
        <v>9</v>
      </c>
      <c r="C5">
        <v>11</v>
      </c>
      <c r="D5">
        <v>3</v>
      </c>
      <c r="E5">
        <v>1</v>
      </c>
      <c r="F5">
        <v>5</v>
      </c>
      <c r="G5">
        <v>0</v>
      </c>
    </row>
    <row r="6" spans="1:8" x14ac:dyDescent="0.2">
      <c r="A6" s="25">
        <v>3.1</v>
      </c>
      <c r="B6">
        <v>3</v>
      </c>
      <c r="C6">
        <v>0</v>
      </c>
      <c r="D6">
        <v>6</v>
      </c>
      <c r="E6">
        <v>0</v>
      </c>
      <c r="F6">
        <v>0</v>
      </c>
      <c r="G6">
        <v>0</v>
      </c>
    </row>
    <row r="7" spans="1:8" x14ac:dyDescent="0.2">
      <c r="A7" s="25">
        <v>3.2</v>
      </c>
      <c r="B7">
        <v>22</v>
      </c>
      <c r="C7">
        <v>14</v>
      </c>
      <c r="D7">
        <v>13</v>
      </c>
      <c r="E7">
        <v>4</v>
      </c>
      <c r="F7">
        <v>0</v>
      </c>
      <c r="G7">
        <v>1</v>
      </c>
    </row>
    <row r="8" spans="1:8" x14ac:dyDescent="0.2">
      <c r="A8" s="25">
        <v>3.3</v>
      </c>
      <c r="B8">
        <v>18</v>
      </c>
      <c r="C8">
        <v>18</v>
      </c>
      <c r="D8">
        <v>7</v>
      </c>
      <c r="E8">
        <v>16</v>
      </c>
      <c r="F8">
        <v>5</v>
      </c>
      <c r="G8">
        <v>5</v>
      </c>
    </row>
    <row r="9" spans="1:8" x14ac:dyDescent="0.2">
      <c r="A9" s="25">
        <v>3.4</v>
      </c>
      <c r="B9">
        <v>32</v>
      </c>
      <c r="C9">
        <v>14</v>
      </c>
      <c r="D9">
        <v>6</v>
      </c>
      <c r="E9">
        <v>9</v>
      </c>
      <c r="F9">
        <v>8</v>
      </c>
      <c r="G9">
        <v>10</v>
      </c>
    </row>
    <row r="10" spans="1:8" x14ac:dyDescent="0.2">
      <c r="A10" s="25">
        <v>3.5</v>
      </c>
      <c r="B10">
        <v>24</v>
      </c>
      <c r="C10">
        <v>33</v>
      </c>
      <c r="D10">
        <v>37</v>
      </c>
      <c r="E10">
        <v>13</v>
      </c>
      <c r="F10">
        <v>15</v>
      </c>
      <c r="G10">
        <v>7</v>
      </c>
    </row>
    <row r="11" spans="1:8" x14ac:dyDescent="0.2">
      <c r="A11" s="25">
        <v>3.6</v>
      </c>
      <c r="B11">
        <v>36</v>
      </c>
      <c r="C11">
        <v>40</v>
      </c>
      <c r="D11">
        <v>29</v>
      </c>
      <c r="E11">
        <v>24</v>
      </c>
      <c r="F11">
        <v>17</v>
      </c>
      <c r="G11">
        <v>7</v>
      </c>
    </row>
    <row r="12" spans="1:8" x14ac:dyDescent="0.2">
      <c r="A12" s="25">
        <v>3.7</v>
      </c>
      <c r="B12">
        <v>91</v>
      </c>
      <c r="C12">
        <v>73</v>
      </c>
      <c r="D12">
        <v>36</v>
      </c>
      <c r="E12">
        <v>35</v>
      </c>
      <c r="F12">
        <v>18</v>
      </c>
      <c r="G12">
        <v>33</v>
      </c>
    </row>
    <row r="13" spans="1:8" x14ac:dyDescent="0.2">
      <c r="A13" s="25">
        <v>3.8</v>
      </c>
      <c r="B13">
        <v>92</v>
      </c>
      <c r="C13">
        <v>85</v>
      </c>
      <c r="D13">
        <v>69</v>
      </c>
      <c r="E13">
        <v>27</v>
      </c>
      <c r="F13">
        <v>16</v>
      </c>
      <c r="G13">
        <v>40</v>
      </c>
    </row>
    <row r="14" spans="1:8" x14ac:dyDescent="0.2">
      <c r="A14" s="25">
        <v>3.9</v>
      </c>
      <c r="B14">
        <v>97</v>
      </c>
      <c r="C14">
        <v>69</v>
      </c>
      <c r="D14">
        <v>81</v>
      </c>
      <c r="E14">
        <v>40</v>
      </c>
      <c r="F14">
        <v>41</v>
      </c>
      <c r="G14">
        <v>26</v>
      </c>
    </row>
    <row r="15" spans="1:8" x14ac:dyDescent="0.2">
      <c r="A15" s="25">
        <v>4</v>
      </c>
      <c r="B15">
        <v>124</v>
      </c>
      <c r="C15">
        <v>61</v>
      </c>
      <c r="D15">
        <v>92</v>
      </c>
      <c r="E15">
        <v>35</v>
      </c>
      <c r="F15">
        <v>62</v>
      </c>
      <c r="G15">
        <v>37</v>
      </c>
    </row>
    <row r="16" spans="1:8" x14ac:dyDescent="0.2">
      <c r="A16" s="25">
        <v>4.0999999999999996</v>
      </c>
      <c r="B16">
        <v>123</v>
      </c>
      <c r="C16">
        <v>105</v>
      </c>
      <c r="D16">
        <v>87</v>
      </c>
      <c r="E16">
        <v>58</v>
      </c>
      <c r="F16">
        <v>50</v>
      </c>
      <c r="G16">
        <v>30</v>
      </c>
    </row>
    <row r="17" spans="1:7" x14ac:dyDescent="0.2">
      <c r="A17" s="25">
        <v>4.2</v>
      </c>
      <c r="B17">
        <v>77</v>
      </c>
      <c r="C17">
        <v>127</v>
      </c>
      <c r="D17">
        <v>96</v>
      </c>
      <c r="E17">
        <v>72</v>
      </c>
      <c r="F17">
        <v>67</v>
      </c>
      <c r="G17">
        <v>50</v>
      </c>
    </row>
    <row r="18" spans="1:7" x14ac:dyDescent="0.2">
      <c r="A18" s="25">
        <v>4.3</v>
      </c>
      <c r="B18">
        <v>116</v>
      </c>
      <c r="C18">
        <v>63</v>
      </c>
      <c r="D18">
        <v>85</v>
      </c>
      <c r="E18">
        <v>54</v>
      </c>
      <c r="F18">
        <v>55</v>
      </c>
      <c r="G18">
        <v>59</v>
      </c>
    </row>
    <row r="19" spans="1:7" x14ac:dyDescent="0.2">
      <c r="A19" s="25">
        <v>4.4000000000000004</v>
      </c>
      <c r="B19">
        <v>104</v>
      </c>
      <c r="C19">
        <v>89</v>
      </c>
      <c r="D19">
        <v>135</v>
      </c>
      <c r="E19">
        <v>50</v>
      </c>
      <c r="F19">
        <v>50</v>
      </c>
      <c r="G19">
        <v>30</v>
      </c>
    </row>
    <row r="20" spans="1:7" x14ac:dyDescent="0.2">
      <c r="A20" s="25">
        <v>4.5</v>
      </c>
      <c r="B20">
        <v>94</v>
      </c>
      <c r="C20">
        <v>93</v>
      </c>
      <c r="D20">
        <v>70</v>
      </c>
      <c r="E20">
        <v>60</v>
      </c>
      <c r="F20">
        <v>42</v>
      </c>
      <c r="G20">
        <v>30</v>
      </c>
    </row>
    <row r="21" spans="1:7" x14ac:dyDescent="0.2">
      <c r="A21" s="25">
        <v>4.5999999999999996</v>
      </c>
      <c r="B21">
        <v>72</v>
      </c>
      <c r="C21">
        <v>77</v>
      </c>
      <c r="D21">
        <v>80</v>
      </c>
      <c r="E21">
        <v>29</v>
      </c>
      <c r="F21">
        <v>26</v>
      </c>
      <c r="G21">
        <v>19</v>
      </c>
    </row>
    <row r="22" spans="1:7" x14ac:dyDescent="0.2">
      <c r="A22" s="25">
        <v>4.7</v>
      </c>
      <c r="B22">
        <v>60</v>
      </c>
      <c r="C22">
        <v>57</v>
      </c>
      <c r="D22">
        <v>45</v>
      </c>
      <c r="E22">
        <v>29</v>
      </c>
      <c r="F22">
        <v>29</v>
      </c>
      <c r="G22">
        <v>23</v>
      </c>
    </row>
    <row r="23" spans="1:7" x14ac:dyDescent="0.2">
      <c r="A23" s="25">
        <v>4.8</v>
      </c>
      <c r="B23">
        <v>49</v>
      </c>
      <c r="C23">
        <v>50</v>
      </c>
      <c r="D23">
        <v>28</v>
      </c>
      <c r="E23">
        <v>37</v>
      </c>
      <c r="F23">
        <v>17</v>
      </c>
      <c r="G23">
        <v>26</v>
      </c>
    </row>
    <row r="24" spans="1:7" x14ac:dyDescent="0.2">
      <c r="A24" s="25">
        <v>4.9000000000000004</v>
      </c>
      <c r="B24">
        <v>30</v>
      </c>
      <c r="C24">
        <v>48</v>
      </c>
      <c r="D24">
        <v>53</v>
      </c>
      <c r="E24">
        <v>25</v>
      </c>
      <c r="F24">
        <v>18</v>
      </c>
      <c r="G24">
        <v>13</v>
      </c>
    </row>
    <row r="25" spans="1:7" x14ac:dyDescent="0.2">
      <c r="A25" s="25">
        <v>5</v>
      </c>
      <c r="B25">
        <v>85</v>
      </c>
      <c r="C25">
        <v>83</v>
      </c>
      <c r="D25">
        <v>76</v>
      </c>
      <c r="E25">
        <v>37</v>
      </c>
      <c r="F25">
        <v>19</v>
      </c>
      <c r="G25">
        <v>32</v>
      </c>
    </row>
    <row r="26" spans="1:7" x14ac:dyDescent="0.2">
      <c r="A26" s="19" t="s">
        <v>7737</v>
      </c>
      <c r="B26" s="26">
        <v>1364</v>
      </c>
      <c r="C26" s="26">
        <v>1212</v>
      </c>
      <c r="D26" s="26">
        <v>1134</v>
      </c>
      <c r="E26" s="26">
        <v>655</v>
      </c>
      <c r="F26" s="26">
        <v>560</v>
      </c>
      <c r="G26" s="26">
        <v>479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B96F-E64D-6C4C-BFB6-3D2441A70E09}">
  <dimension ref="A3:F33"/>
  <sheetViews>
    <sheetView workbookViewId="0">
      <selection activeCell="C7" sqref="C7"/>
    </sheetView>
  </sheetViews>
  <sheetFormatPr baseColWidth="10" defaultRowHeight="16" x14ac:dyDescent="0.2"/>
  <cols>
    <col min="1" max="1" width="23" bestFit="1" customWidth="1"/>
    <col min="2" max="2" width="16" bestFit="1" customWidth="1"/>
    <col min="3" max="3" width="17.1640625" bestFit="1" customWidth="1"/>
    <col min="4" max="4" width="8.1640625" bestFit="1" customWidth="1"/>
    <col min="5" max="5" width="9.5" bestFit="1" customWidth="1"/>
    <col min="6" max="6" width="10.5" bestFit="1" customWidth="1"/>
    <col min="7" max="7" width="9.5" bestFit="1" customWidth="1"/>
    <col min="8" max="8" width="6.6640625" bestFit="1" customWidth="1"/>
    <col min="9" max="9" width="8" bestFit="1" customWidth="1"/>
    <col min="10" max="10" width="9.5" bestFit="1" customWidth="1"/>
    <col min="11" max="11" width="6.6640625" bestFit="1" customWidth="1"/>
    <col min="12" max="12" width="7.5" bestFit="1" customWidth="1"/>
    <col min="13" max="13" width="17.1640625" bestFit="1" customWidth="1"/>
    <col min="14" max="14" width="6.5" bestFit="1" customWidth="1"/>
    <col min="15" max="15" width="9.5" bestFit="1" customWidth="1"/>
    <col min="16" max="16" width="6.6640625" bestFit="1" customWidth="1"/>
    <col min="17" max="17" width="7.5" bestFit="1" customWidth="1"/>
    <col min="18" max="18" width="17.1640625" bestFit="1" customWidth="1"/>
    <col min="19" max="19" width="8" bestFit="1" customWidth="1"/>
    <col min="20" max="20" width="9.5" bestFit="1" customWidth="1"/>
    <col min="21" max="21" width="6.6640625" bestFit="1" customWidth="1"/>
    <col min="22" max="22" width="7.5" bestFit="1" customWidth="1"/>
    <col min="23" max="23" width="17.1640625" bestFit="1" customWidth="1"/>
    <col min="24" max="24" width="8" bestFit="1" customWidth="1"/>
    <col min="25" max="25" width="9.5" bestFit="1" customWidth="1"/>
    <col min="26" max="26" width="6.6640625" bestFit="1" customWidth="1"/>
    <col min="27" max="27" width="7.5" bestFit="1" customWidth="1"/>
    <col min="28" max="28" width="17.1640625" bestFit="1" customWidth="1"/>
    <col min="29" max="29" width="8" bestFit="1" customWidth="1"/>
    <col min="30" max="30" width="9.5" bestFit="1" customWidth="1"/>
    <col min="31" max="31" width="6.6640625" bestFit="1" customWidth="1"/>
    <col min="32" max="32" width="7.5" bestFit="1" customWidth="1"/>
    <col min="33" max="33" width="17.1640625" bestFit="1" customWidth="1"/>
    <col min="34" max="34" width="8" bestFit="1" customWidth="1"/>
    <col min="35" max="35" width="9.5" bestFit="1" customWidth="1"/>
    <col min="36" max="36" width="6.6640625" bestFit="1" customWidth="1"/>
    <col min="37" max="37" width="7.5" bestFit="1" customWidth="1"/>
    <col min="38" max="38" width="17.1640625" bestFit="1" customWidth="1"/>
    <col min="39" max="39" width="8" bestFit="1" customWidth="1"/>
    <col min="40" max="40" width="9.5" bestFit="1" customWidth="1"/>
    <col min="41" max="41" width="6.6640625" bestFit="1" customWidth="1"/>
    <col min="42" max="42" width="7.5" bestFit="1" customWidth="1"/>
    <col min="43" max="43" width="17.1640625" bestFit="1" customWidth="1"/>
    <col min="44" max="44" width="8" bestFit="1" customWidth="1"/>
    <col min="45" max="45" width="9.5" bestFit="1" customWidth="1"/>
    <col min="46" max="46" width="6.6640625" bestFit="1" customWidth="1"/>
    <col min="47" max="47" width="7.5" bestFit="1" customWidth="1"/>
    <col min="48" max="48" width="17.1640625" bestFit="1" customWidth="1"/>
    <col min="49" max="49" width="8" bestFit="1" customWidth="1"/>
    <col min="50" max="50" width="9.5" bestFit="1" customWidth="1"/>
    <col min="51" max="51" width="6.6640625" bestFit="1" customWidth="1"/>
    <col min="52" max="52" width="7.5" bestFit="1" customWidth="1"/>
    <col min="53" max="53" width="17.1640625" bestFit="1" customWidth="1"/>
    <col min="54" max="54" width="8" bestFit="1" customWidth="1"/>
    <col min="55" max="55" width="9.5" bestFit="1" customWidth="1"/>
    <col min="56" max="56" width="6.6640625" bestFit="1" customWidth="1"/>
    <col min="57" max="57" width="7.5" bestFit="1" customWidth="1"/>
    <col min="58" max="58" width="17.1640625" bestFit="1" customWidth="1"/>
    <col min="59" max="59" width="8" bestFit="1" customWidth="1"/>
    <col min="60" max="60" width="9.5" bestFit="1" customWidth="1"/>
    <col min="61" max="61" width="6.6640625" bestFit="1" customWidth="1"/>
    <col min="62" max="62" width="7.5" bestFit="1" customWidth="1"/>
    <col min="63" max="63" width="17.1640625" bestFit="1" customWidth="1"/>
    <col min="64" max="64" width="6.5" bestFit="1" customWidth="1"/>
    <col min="65" max="65" width="9.5" bestFit="1" customWidth="1"/>
    <col min="66" max="66" width="6.6640625" bestFit="1" customWidth="1"/>
    <col min="67" max="67" width="7.5" bestFit="1" customWidth="1"/>
    <col min="68" max="68" width="17.1640625" bestFit="1" customWidth="1"/>
    <col min="69" max="69" width="8" bestFit="1" customWidth="1"/>
    <col min="70" max="70" width="9.5" bestFit="1" customWidth="1"/>
    <col min="71" max="71" width="6.6640625" bestFit="1" customWidth="1"/>
    <col min="72" max="72" width="7.5" bestFit="1" customWidth="1"/>
    <col min="73" max="73" width="17.1640625" bestFit="1" customWidth="1"/>
    <col min="74" max="74" width="8" bestFit="1" customWidth="1"/>
    <col min="75" max="75" width="9.5" bestFit="1" customWidth="1"/>
    <col min="76" max="76" width="6.6640625" bestFit="1" customWidth="1"/>
    <col min="77" max="77" width="7.5" bestFit="1" customWidth="1"/>
    <col min="78" max="78" width="17.1640625" bestFit="1" customWidth="1"/>
    <col min="79" max="79" width="8" bestFit="1" customWidth="1"/>
    <col min="80" max="80" width="9.5" bestFit="1" customWidth="1"/>
    <col min="81" max="81" width="6.6640625" bestFit="1" customWidth="1"/>
    <col min="82" max="82" width="7.5" bestFit="1" customWidth="1"/>
    <col min="83" max="83" width="17.1640625" bestFit="1" customWidth="1"/>
    <col min="84" max="84" width="8" bestFit="1" customWidth="1"/>
    <col min="85" max="85" width="9.5" bestFit="1" customWidth="1"/>
    <col min="86" max="86" width="6.6640625" bestFit="1" customWidth="1"/>
    <col min="87" max="87" width="7.5" bestFit="1" customWidth="1"/>
    <col min="88" max="88" width="17.1640625" bestFit="1" customWidth="1"/>
    <col min="89" max="89" width="8" bestFit="1" customWidth="1"/>
    <col min="90" max="90" width="9.5" bestFit="1" customWidth="1"/>
    <col min="91" max="91" width="6.6640625" bestFit="1" customWidth="1"/>
    <col min="92" max="92" width="7.5" bestFit="1" customWidth="1"/>
    <col min="93" max="93" width="17.1640625" bestFit="1" customWidth="1"/>
    <col min="94" max="94" width="8" bestFit="1" customWidth="1"/>
    <col min="95" max="95" width="9.5" bestFit="1" customWidth="1"/>
    <col min="96" max="96" width="6.6640625" bestFit="1" customWidth="1"/>
    <col min="97" max="97" width="7.5" bestFit="1" customWidth="1"/>
    <col min="98" max="98" width="17.1640625" bestFit="1" customWidth="1"/>
    <col min="99" max="99" width="8" bestFit="1" customWidth="1"/>
    <col min="100" max="100" width="9.5" bestFit="1" customWidth="1"/>
    <col min="101" max="101" width="6.6640625" bestFit="1" customWidth="1"/>
    <col min="102" max="102" width="7.5" bestFit="1" customWidth="1"/>
    <col min="103" max="103" width="17.1640625" bestFit="1" customWidth="1"/>
    <col min="104" max="104" width="8" bestFit="1" customWidth="1"/>
    <col min="105" max="105" width="9.5" bestFit="1" customWidth="1"/>
    <col min="106" max="106" width="6.6640625" bestFit="1" customWidth="1"/>
    <col min="107" max="107" width="7.5" bestFit="1" customWidth="1"/>
    <col min="108" max="108" width="17.1640625" bestFit="1" customWidth="1"/>
    <col min="109" max="109" width="8" bestFit="1" customWidth="1"/>
    <col min="110" max="110" width="9.5" bestFit="1" customWidth="1"/>
    <col min="111" max="111" width="6.6640625" bestFit="1" customWidth="1"/>
    <col min="112" max="112" width="7.5" bestFit="1" customWidth="1"/>
    <col min="113" max="113" width="17.1640625" bestFit="1" customWidth="1"/>
    <col min="114" max="114" width="6.5" bestFit="1" customWidth="1"/>
    <col min="115" max="116" width="10.5" bestFit="1" customWidth="1"/>
    <col min="117" max="117" width="4.1640625" bestFit="1" customWidth="1"/>
    <col min="118" max="121" width="2.1640625" bestFit="1" customWidth="1"/>
    <col min="122" max="122" width="6.5" bestFit="1" customWidth="1"/>
    <col min="123" max="123" width="10.6640625" bestFit="1" customWidth="1"/>
    <col min="124" max="124" width="7.33203125" bestFit="1" customWidth="1"/>
    <col min="125" max="125" width="8" bestFit="1" customWidth="1"/>
    <col min="126" max="126" width="6.1640625" bestFit="1" customWidth="1"/>
    <col min="127" max="127" width="8" bestFit="1" customWidth="1"/>
    <col min="128" max="128" width="6.1640625" bestFit="1" customWidth="1"/>
    <col min="129" max="129" width="2.1640625" bestFit="1" customWidth="1"/>
    <col min="130" max="130" width="8" bestFit="1" customWidth="1"/>
    <col min="131" max="131" width="4.1640625" bestFit="1" customWidth="1"/>
    <col min="132" max="134" width="2.1640625" bestFit="1" customWidth="1"/>
    <col min="135" max="135" width="6.5" bestFit="1" customWidth="1"/>
    <col min="136" max="136" width="6.1640625" bestFit="1" customWidth="1"/>
    <col min="137" max="138" width="2.1640625" bestFit="1" customWidth="1"/>
    <col min="139" max="139" width="8" bestFit="1" customWidth="1"/>
    <col min="140" max="140" width="6.1640625" bestFit="1" customWidth="1"/>
    <col min="141" max="143" width="2.1640625" bestFit="1" customWidth="1"/>
    <col min="144" max="144" width="8" bestFit="1" customWidth="1"/>
    <col min="145" max="145" width="6.1640625" bestFit="1" customWidth="1"/>
    <col min="146" max="149" width="2.1640625" bestFit="1" customWidth="1"/>
    <col min="150" max="150" width="8" bestFit="1" customWidth="1"/>
    <col min="151" max="151" width="6.1640625" bestFit="1" customWidth="1"/>
    <col min="152" max="155" width="2.1640625" bestFit="1" customWidth="1"/>
    <col min="156" max="156" width="8" bestFit="1" customWidth="1"/>
    <col min="157" max="157" width="6.1640625" bestFit="1" customWidth="1"/>
    <col min="158" max="161" width="2.1640625" bestFit="1" customWidth="1"/>
    <col min="162" max="162" width="8" bestFit="1" customWidth="1"/>
    <col min="163" max="163" width="6.1640625" bestFit="1" customWidth="1"/>
    <col min="164" max="167" width="2.1640625" bestFit="1" customWidth="1"/>
    <col min="168" max="168" width="8" bestFit="1" customWidth="1"/>
    <col min="169" max="169" width="6.1640625" bestFit="1" customWidth="1"/>
    <col min="170" max="173" width="2.1640625" bestFit="1" customWidth="1"/>
    <col min="174" max="174" width="8" bestFit="1" customWidth="1"/>
    <col min="175" max="175" width="6.1640625" bestFit="1" customWidth="1"/>
    <col min="176" max="179" width="2.1640625" bestFit="1" customWidth="1"/>
    <col min="180" max="180" width="8" bestFit="1" customWidth="1"/>
    <col min="181" max="181" width="6.1640625" bestFit="1" customWidth="1"/>
    <col min="182" max="185" width="2.1640625" bestFit="1" customWidth="1"/>
    <col min="186" max="186" width="8" bestFit="1" customWidth="1"/>
    <col min="187" max="187" width="4.1640625" bestFit="1" customWidth="1"/>
    <col min="188" max="191" width="2.1640625" bestFit="1" customWidth="1"/>
    <col min="192" max="192" width="6.5" bestFit="1" customWidth="1"/>
    <col min="193" max="193" width="6.1640625" bestFit="1" customWidth="1"/>
    <col min="194" max="197" width="2.1640625" bestFit="1" customWidth="1"/>
    <col min="198" max="198" width="8" bestFit="1" customWidth="1"/>
    <col min="199" max="199" width="6.1640625" bestFit="1" customWidth="1"/>
    <col min="200" max="203" width="2.1640625" bestFit="1" customWidth="1"/>
    <col min="204" max="204" width="8" bestFit="1" customWidth="1"/>
    <col min="205" max="205" width="6.1640625" bestFit="1" customWidth="1"/>
    <col min="206" max="209" width="2.1640625" bestFit="1" customWidth="1"/>
    <col min="210" max="210" width="8" bestFit="1" customWidth="1"/>
    <col min="211" max="211" width="6.1640625" bestFit="1" customWidth="1"/>
    <col min="212" max="215" width="2.1640625" bestFit="1" customWidth="1"/>
    <col min="216" max="216" width="8" bestFit="1" customWidth="1"/>
    <col min="217" max="217" width="6.1640625" bestFit="1" customWidth="1"/>
    <col min="218" max="221" width="2.1640625" bestFit="1" customWidth="1"/>
    <col min="222" max="222" width="8" bestFit="1" customWidth="1"/>
    <col min="223" max="223" width="6.1640625" bestFit="1" customWidth="1"/>
    <col min="224" max="227" width="2.1640625" bestFit="1" customWidth="1"/>
    <col min="228" max="228" width="8" bestFit="1" customWidth="1"/>
    <col min="229" max="229" width="6.1640625" bestFit="1" customWidth="1"/>
    <col min="230" max="233" width="2.1640625" bestFit="1" customWidth="1"/>
    <col min="234" max="234" width="8" bestFit="1" customWidth="1"/>
    <col min="235" max="235" width="6.1640625" bestFit="1" customWidth="1"/>
    <col min="236" max="239" width="2.1640625" bestFit="1" customWidth="1"/>
    <col min="240" max="240" width="8" bestFit="1" customWidth="1"/>
    <col min="241" max="241" width="6.1640625" bestFit="1" customWidth="1"/>
    <col min="242" max="245" width="2.1640625" bestFit="1" customWidth="1"/>
    <col min="246" max="246" width="8" bestFit="1" customWidth="1"/>
    <col min="247" max="247" width="4.1640625" bestFit="1" customWidth="1"/>
    <col min="248" max="251" width="2.1640625" bestFit="1" customWidth="1"/>
    <col min="252" max="252" width="6.5" bestFit="1" customWidth="1"/>
    <col min="253" max="253" width="9.6640625" bestFit="1" customWidth="1"/>
    <col min="254" max="254" width="10.5" bestFit="1" customWidth="1"/>
  </cols>
  <sheetData>
    <row r="3" spans="1:6" x14ac:dyDescent="0.2">
      <c r="A3" s="17" t="s">
        <v>7730</v>
      </c>
      <c r="B3" s="17" t="s">
        <v>7732</v>
      </c>
    </row>
    <row r="4" spans="1:6" x14ac:dyDescent="0.2">
      <c r="A4" s="17" t="s">
        <v>7698</v>
      </c>
      <c r="B4" t="s">
        <v>45</v>
      </c>
      <c r="C4" t="s">
        <v>18</v>
      </c>
      <c r="D4" t="s">
        <v>33</v>
      </c>
      <c r="E4" t="s">
        <v>29</v>
      </c>
      <c r="F4" t="s">
        <v>7699</v>
      </c>
    </row>
    <row r="5" spans="1:6" x14ac:dyDescent="0.2">
      <c r="A5" s="18" t="s">
        <v>7731</v>
      </c>
      <c r="B5" s="3">
        <v>1</v>
      </c>
      <c r="C5" s="3">
        <v>1</v>
      </c>
      <c r="D5" s="3">
        <v>1</v>
      </c>
      <c r="E5" s="3">
        <v>1</v>
      </c>
      <c r="F5" s="3">
        <v>1</v>
      </c>
    </row>
    <row r="6" spans="1:6" x14ac:dyDescent="0.2">
      <c r="A6" s="24" t="s">
        <v>7733</v>
      </c>
      <c r="B6" s="3">
        <v>8.1168831168831161E-3</v>
      </c>
      <c r="C6" s="3">
        <v>5.6532663316582916E-3</v>
      </c>
      <c r="D6" s="3">
        <v>3.3840947546531302E-3</v>
      </c>
      <c r="E6" s="3">
        <v>1.278772378516624E-2</v>
      </c>
      <c r="F6" s="3">
        <v>7.0318282753515917E-3</v>
      </c>
    </row>
    <row r="7" spans="1:6" x14ac:dyDescent="0.2">
      <c r="A7" s="25">
        <v>2.2999999999999998</v>
      </c>
      <c r="B7" s="3">
        <v>0</v>
      </c>
      <c r="C7" s="3">
        <v>1.2562814070351759E-3</v>
      </c>
      <c r="D7" s="3">
        <v>0</v>
      </c>
      <c r="E7" s="3">
        <v>0</v>
      </c>
      <c r="F7" s="3">
        <v>3.7009622501850479E-4</v>
      </c>
    </row>
    <row r="8" spans="1:6" x14ac:dyDescent="0.2">
      <c r="A8" s="25">
        <v>2.8</v>
      </c>
      <c r="B8" s="3">
        <v>0</v>
      </c>
      <c r="C8" s="3">
        <v>1.2562814070351759E-3</v>
      </c>
      <c r="D8" s="3">
        <v>0</v>
      </c>
      <c r="E8" s="3">
        <v>2.5575447570332483E-3</v>
      </c>
      <c r="F8" s="3">
        <v>7.4019245003700959E-4</v>
      </c>
    </row>
    <row r="9" spans="1:6" x14ac:dyDescent="0.2">
      <c r="A9" s="25">
        <v>2.9</v>
      </c>
      <c r="B9" s="3">
        <v>1.0822510822510823E-3</v>
      </c>
      <c r="C9" s="3">
        <v>0</v>
      </c>
      <c r="D9" s="3">
        <v>0</v>
      </c>
      <c r="E9" s="3">
        <v>1.2787723785166241E-3</v>
      </c>
      <c r="F9" s="3">
        <v>5.5514433752775719E-4</v>
      </c>
    </row>
    <row r="10" spans="1:6" x14ac:dyDescent="0.2">
      <c r="A10" s="25">
        <v>3</v>
      </c>
      <c r="B10" s="3">
        <v>7.034632034632035E-3</v>
      </c>
      <c r="C10" s="3">
        <v>3.1407035175879399E-3</v>
      </c>
      <c r="D10" s="3">
        <v>3.3840947546531302E-3</v>
      </c>
      <c r="E10" s="3">
        <v>8.9514066496163679E-3</v>
      </c>
      <c r="F10" s="3">
        <v>5.3663952627683196E-3</v>
      </c>
    </row>
    <row r="11" spans="1:6" x14ac:dyDescent="0.2">
      <c r="A11" s="24" t="s">
        <v>7734</v>
      </c>
      <c r="B11" s="3">
        <v>0.34956709956709958</v>
      </c>
      <c r="C11" s="3">
        <v>0.35489949748743721</v>
      </c>
      <c r="D11" s="3">
        <v>0.33417935702199664</v>
      </c>
      <c r="E11" s="3">
        <v>0.34143222506393861</v>
      </c>
      <c r="F11" s="3">
        <v>0.34659511472982973</v>
      </c>
    </row>
    <row r="12" spans="1:6" x14ac:dyDescent="0.2">
      <c r="A12" s="25">
        <v>3.1</v>
      </c>
      <c r="B12" s="3">
        <v>5.4112554112554113E-4</v>
      </c>
      <c r="C12" s="3">
        <v>1.2562814070351759E-3</v>
      </c>
      <c r="D12" s="3">
        <v>4.2301184433164128E-3</v>
      </c>
      <c r="E12" s="3">
        <v>1.2787723785166241E-3</v>
      </c>
      <c r="F12" s="3">
        <v>1.6654330125832717E-3</v>
      </c>
    </row>
    <row r="13" spans="1:6" x14ac:dyDescent="0.2">
      <c r="A13" s="25">
        <v>3.2</v>
      </c>
      <c r="B13" s="3">
        <v>1.2445887445887446E-2</v>
      </c>
      <c r="C13" s="3">
        <v>1.0050251256281407E-2</v>
      </c>
      <c r="D13" s="3">
        <v>9.3062605752961079E-3</v>
      </c>
      <c r="E13" s="3">
        <v>5.1150895140664966E-3</v>
      </c>
      <c r="F13" s="3">
        <v>9.9925980754996292E-3</v>
      </c>
    </row>
    <row r="14" spans="1:6" x14ac:dyDescent="0.2">
      <c r="A14" s="25">
        <v>3.3</v>
      </c>
      <c r="B14" s="3">
        <v>1.3528138528138528E-2</v>
      </c>
      <c r="C14" s="3">
        <v>1.4447236180904523E-2</v>
      </c>
      <c r="D14" s="3">
        <v>1.2690355329949238E-2</v>
      </c>
      <c r="E14" s="3">
        <v>7.6726342710997444E-3</v>
      </c>
      <c r="F14" s="3">
        <v>1.2768319763138416E-2</v>
      </c>
    </row>
    <row r="15" spans="1:6" x14ac:dyDescent="0.2">
      <c r="A15" s="25">
        <v>3.4</v>
      </c>
      <c r="B15" s="3">
        <v>1.406926406926407E-2</v>
      </c>
      <c r="C15" s="3">
        <v>8.7939698492462311E-3</v>
      </c>
      <c r="D15" s="3">
        <v>2.030456852791878E-2</v>
      </c>
      <c r="E15" s="3">
        <v>1.9181585677749361E-2</v>
      </c>
      <c r="F15" s="3">
        <v>1.461880088823094E-2</v>
      </c>
    </row>
    <row r="16" spans="1:6" x14ac:dyDescent="0.2">
      <c r="A16" s="25">
        <v>3.5</v>
      </c>
      <c r="B16" s="3">
        <v>2.2186147186147188E-2</v>
      </c>
      <c r="C16" s="3">
        <v>2.6381909547738693E-2</v>
      </c>
      <c r="D16" s="3">
        <v>1.8612521150592216E-2</v>
      </c>
      <c r="E16" s="3">
        <v>3.0690537084398978E-2</v>
      </c>
      <c r="F16" s="3">
        <v>2.3871206513693559E-2</v>
      </c>
    </row>
    <row r="17" spans="1:6" x14ac:dyDescent="0.2">
      <c r="A17" s="25">
        <v>3.6</v>
      </c>
      <c r="B17" s="3">
        <v>3.787878787878788E-2</v>
      </c>
      <c r="C17" s="3">
        <v>3.1407035175879394E-2</v>
      </c>
      <c r="D17" s="3">
        <v>1.6920473773265651E-2</v>
      </c>
      <c r="E17" s="3">
        <v>1.6624040920716114E-2</v>
      </c>
      <c r="F17" s="3">
        <v>2.8312361213915619E-2</v>
      </c>
    </row>
    <row r="18" spans="1:6" x14ac:dyDescent="0.2">
      <c r="A18" s="25">
        <v>3.7</v>
      </c>
      <c r="B18" s="3">
        <v>4.5454545454545456E-2</v>
      </c>
      <c r="C18" s="3">
        <v>5.7788944723618091E-2</v>
      </c>
      <c r="D18" s="3">
        <v>4.8223350253807105E-2</v>
      </c>
      <c r="E18" s="3">
        <v>6.7774936061381075E-2</v>
      </c>
      <c r="F18" s="3">
        <v>5.292376017764619E-2</v>
      </c>
    </row>
    <row r="19" spans="1:6" x14ac:dyDescent="0.2">
      <c r="A19" s="25">
        <v>3.8</v>
      </c>
      <c r="B19" s="3">
        <v>6.4393939393939392E-2</v>
      </c>
      <c r="C19" s="3">
        <v>6.407035175879397E-2</v>
      </c>
      <c r="D19" s="3">
        <v>5.5837563451776651E-2</v>
      </c>
      <c r="E19" s="3">
        <v>5.3708439897698211E-2</v>
      </c>
      <c r="F19" s="3">
        <v>6.0880829015544043E-2</v>
      </c>
    </row>
    <row r="20" spans="1:6" x14ac:dyDescent="0.2">
      <c r="A20" s="25">
        <v>3.9</v>
      </c>
      <c r="B20" s="3">
        <v>6.1688311688311688E-2</v>
      </c>
      <c r="C20" s="3">
        <v>6.78391959798995E-2</v>
      </c>
      <c r="D20" s="3">
        <v>6.0913705583756347E-2</v>
      </c>
      <c r="E20" s="3">
        <v>7.6726342710997444E-2</v>
      </c>
      <c r="F20" s="3">
        <v>6.5507031828275358E-2</v>
      </c>
    </row>
    <row r="21" spans="1:6" x14ac:dyDescent="0.2">
      <c r="A21" s="25">
        <v>4</v>
      </c>
      <c r="B21" s="3">
        <v>7.7380952380952384E-2</v>
      </c>
      <c r="C21" s="3">
        <v>7.2864321608040197E-2</v>
      </c>
      <c r="D21" s="3">
        <v>8.7140439932318112E-2</v>
      </c>
      <c r="E21" s="3">
        <v>6.2659846547314574E-2</v>
      </c>
      <c r="F21" s="3">
        <v>7.6054774241302733E-2</v>
      </c>
    </row>
    <row r="22" spans="1:6" x14ac:dyDescent="0.2">
      <c r="A22" s="24" t="s">
        <v>7735</v>
      </c>
      <c r="B22" s="3">
        <v>0.64231601731601728</v>
      </c>
      <c r="C22" s="3">
        <v>0.63944723618090449</v>
      </c>
      <c r="D22" s="3">
        <v>0.6624365482233503</v>
      </c>
      <c r="E22" s="3">
        <v>0.6457800511508951</v>
      </c>
      <c r="F22" s="3">
        <v>0.64637305699481862</v>
      </c>
    </row>
    <row r="23" spans="1:6" x14ac:dyDescent="0.2">
      <c r="A23" s="25">
        <v>4.0999999999999996</v>
      </c>
      <c r="B23" s="3">
        <v>7.7380952380952384E-2</v>
      </c>
      <c r="C23" s="3">
        <v>8.2914572864321606E-2</v>
      </c>
      <c r="D23" s="3">
        <v>0.10152284263959391</v>
      </c>
      <c r="E23" s="3">
        <v>7.4168797953964194E-2</v>
      </c>
      <c r="F23" s="3">
        <v>8.3826794966691334E-2</v>
      </c>
    </row>
    <row r="24" spans="1:6" x14ac:dyDescent="0.2">
      <c r="A24" s="25">
        <v>4.2</v>
      </c>
      <c r="B24" s="3">
        <v>8.82034632034632E-2</v>
      </c>
      <c r="C24" s="3">
        <v>7.4748743718592969E-2</v>
      </c>
      <c r="D24" s="3">
        <v>8.8832487309644673E-2</v>
      </c>
      <c r="E24" s="3">
        <v>0.13043478260869565</v>
      </c>
      <c r="F24" s="3">
        <v>9.0488527017024423E-2</v>
      </c>
    </row>
    <row r="25" spans="1:6" x14ac:dyDescent="0.2">
      <c r="A25" s="25">
        <v>4.3</v>
      </c>
      <c r="B25" s="3">
        <v>8.9826839826839824E-2</v>
      </c>
      <c r="C25" s="3">
        <v>8.4170854271356788E-2</v>
      </c>
      <c r="D25" s="3">
        <v>6.5143824027072764E-2</v>
      </c>
      <c r="E25" s="3">
        <v>7.0332480818414325E-2</v>
      </c>
      <c r="F25" s="3">
        <v>7.9940784603997034E-2</v>
      </c>
    </row>
    <row r="26" spans="1:6" x14ac:dyDescent="0.2">
      <c r="A26" s="25">
        <v>4.4000000000000004</v>
      </c>
      <c r="B26" s="3">
        <v>8.2251082251082255E-2</v>
      </c>
      <c r="C26" s="3">
        <v>8.6055276381909546E-2</v>
      </c>
      <c r="D26" s="3">
        <v>9.6446700507614211E-2</v>
      </c>
      <c r="E26" s="3">
        <v>7.0332480818414325E-2</v>
      </c>
      <c r="F26" s="3">
        <v>8.4752035529237602E-2</v>
      </c>
    </row>
    <row r="27" spans="1:6" x14ac:dyDescent="0.2">
      <c r="A27" s="25">
        <v>4.5</v>
      </c>
      <c r="B27" s="3">
        <v>7.9004329004329008E-2</v>
      </c>
      <c r="C27" s="3">
        <v>7.4748743718592969E-2</v>
      </c>
      <c r="D27" s="3">
        <v>6.0913705583756347E-2</v>
      </c>
      <c r="E27" s="3">
        <v>6.6496163682864456E-2</v>
      </c>
      <c r="F27" s="3">
        <v>7.1983715766099188E-2</v>
      </c>
    </row>
    <row r="28" spans="1:6" x14ac:dyDescent="0.2">
      <c r="A28" s="25">
        <v>4.5999999999999996</v>
      </c>
      <c r="B28" s="3">
        <v>5.1948051948051951E-2</v>
      </c>
      <c r="C28" s="3">
        <v>5.9045226130653265E-2</v>
      </c>
      <c r="D28" s="3">
        <v>6.7681895093062605E-2</v>
      </c>
      <c r="E28" s="3">
        <v>4.2199488491048591E-2</v>
      </c>
      <c r="F28" s="3">
        <v>5.6069578090303482E-2</v>
      </c>
    </row>
    <row r="29" spans="1:6" x14ac:dyDescent="0.2">
      <c r="A29" s="25">
        <v>4.7</v>
      </c>
      <c r="B29" s="3">
        <v>3.7337662337662336E-2</v>
      </c>
      <c r="C29" s="3">
        <v>4.9623115577889447E-2</v>
      </c>
      <c r="D29" s="3">
        <v>5.499153976311337E-2</v>
      </c>
      <c r="E29" s="3">
        <v>3.8363171355498722E-2</v>
      </c>
      <c r="F29" s="3">
        <v>4.4966691339748337E-2</v>
      </c>
    </row>
    <row r="30" spans="1:6" x14ac:dyDescent="0.2">
      <c r="A30" s="25">
        <v>4.8</v>
      </c>
      <c r="B30" s="3">
        <v>3.6255411255411256E-2</v>
      </c>
      <c r="C30" s="3">
        <v>3.7060301507537689E-2</v>
      </c>
      <c r="D30" s="3">
        <v>3.6379018612521151E-2</v>
      </c>
      <c r="E30" s="3">
        <v>4.859335038363171E-2</v>
      </c>
      <c r="F30" s="3">
        <v>3.8304959289415248E-2</v>
      </c>
    </row>
    <row r="31" spans="1:6" x14ac:dyDescent="0.2">
      <c r="A31" s="25">
        <v>4.9000000000000004</v>
      </c>
      <c r="B31" s="3">
        <v>4.4372294372294376E-2</v>
      </c>
      <c r="C31" s="3">
        <v>2.5125628140703519E-2</v>
      </c>
      <c r="D31" s="3">
        <v>2.7072758037225041E-2</v>
      </c>
      <c r="E31" s="3">
        <v>4.2199488491048591E-2</v>
      </c>
      <c r="F31" s="3">
        <v>3.46039970392302E-2</v>
      </c>
    </row>
    <row r="32" spans="1:6" x14ac:dyDescent="0.2">
      <c r="A32" s="25">
        <v>5</v>
      </c>
      <c r="B32" s="3">
        <v>5.5735930735930736E-2</v>
      </c>
      <c r="C32" s="3">
        <v>6.5954773869346728E-2</v>
      </c>
      <c r="D32" s="3">
        <v>6.3451776649746189E-2</v>
      </c>
      <c r="E32" s="3">
        <v>6.2659846547314574E-2</v>
      </c>
      <c r="F32" s="3">
        <v>6.1435973353071799E-2</v>
      </c>
    </row>
    <row r="33" spans="1:6" x14ac:dyDescent="0.2">
      <c r="A33" s="18" t="s">
        <v>7699</v>
      </c>
      <c r="B33" s="3">
        <v>1</v>
      </c>
      <c r="C33" s="3">
        <v>1</v>
      </c>
      <c r="D33" s="3">
        <v>1</v>
      </c>
      <c r="E33" s="3">
        <v>1</v>
      </c>
      <c r="F33" s="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840E-D86A-7C43-B50A-47D8E0453DF9}">
  <dimension ref="A1:E26"/>
  <sheetViews>
    <sheetView workbookViewId="0">
      <selection activeCell="E17" sqref="A1:E26"/>
    </sheetView>
  </sheetViews>
  <sheetFormatPr baseColWidth="10" defaultRowHeight="16" x14ac:dyDescent="0.2"/>
  <cols>
    <col min="1" max="1" width="32.83203125" bestFit="1" customWidth="1"/>
    <col min="3" max="3" width="17.1640625" bestFit="1" customWidth="1"/>
  </cols>
  <sheetData>
    <row r="1" spans="1:5" x14ac:dyDescent="0.2">
      <c r="A1" s="19" t="s">
        <v>7736</v>
      </c>
      <c r="B1" s="19" t="s">
        <v>45</v>
      </c>
      <c r="C1" s="19" t="s">
        <v>18</v>
      </c>
      <c r="D1" s="19" t="s">
        <v>33</v>
      </c>
      <c r="E1" s="19" t="s">
        <v>29</v>
      </c>
    </row>
    <row r="2" spans="1:5" x14ac:dyDescent="0.2">
      <c r="A2" s="25">
        <v>2.2999999999999998</v>
      </c>
      <c r="B2">
        <v>0</v>
      </c>
      <c r="C2">
        <v>2</v>
      </c>
      <c r="D2">
        <v>0</v>
      </c>
      <c r="E2">
        <v>0</v>
      </c>
    </row>
    <row r="3" spans="1:5" x14ac:dyDescent="0.2">
      <c r="A3" s="25">
        <v>2.8</v>
      </c>
      <c r="B3">
        <v>0</v>
      </c>
      <c r="C3">
        <v>2</v>
      </c>
      <c r="D3">
        <v>0</v>
      </c>
      <c r="E3">
        <v>2</v>
      </c>
    </row>
    <row r="4" spans="1:5" x14ac:dyDescent="0.2">
      <c r="A4" s="25">
        <v>2.9</v>
      </c>
      <c r="B4">
        <v>2</v>
      </c>
      <c r="C4">
        <v>0</v>
      </c>
      <c r="D4">
        <v>0</v>
      </c>
      <c r="E4">
        <v>1</v>
      </c>
    </row>
    <row r="5" spans="1:5" x14ac:dyDescent="0.2">
      <c r="A5" s="25">
        <v>3</v>
      </c>
      <c r="B5">
        <v>13</v>
      </c>
      <c r="C5">
        <v>5</v>
      </c>
      <c r="D5">
        <v>4</v>
      </c>
      <c r="E5">
        <v>7</v>
      </c>
    </row>
    <row r="6" spans="1:5" x14ac:dyDescent="0.2">
      <c r="A6" s="25">
        <v>3.1</v>
      </c>
      <c r="B6">
        <v>1</v>
      </c>
      <c r="C6">
        <v>2</v>
      </c>
      <c r="D6">
        <v>5</v>
      </c>
      <c r="E6">
        <v>1</v>
      </c>
    </row>
    <row r="7" spans="1:5" x14ac:dyDescent="0.2">
      <c r="A7" s="25">
        <v>3.2</v>
      </c>
      <c r="B7">
        <v>23</v>
      </c>
      <c r="C7">
        <v>16</v>
      </c>
      <c r="D7">
        <v>11</v>
      </c>
      <c r="E7">
        <v>4</v>
      </c>
    </row>
    <row r="8" spans="1:5" x14ac:dyDescent="0.2">
      <c r="A8" s="25">
        <v>3.3</v>
      </c>
      <c r="B8">
        <v>25</v>
      </c>
      <c r="C8">
        <v>23</v>
      </c>
      <c r="D8">
        <v>15</v>
      </c>
      <c r="E8">
        <v>6</v>
      </c>
    </row>
    <row r="9" spans="1:5" x14ac:dyDescent="0.2">
      <c r="A9" s="25">
        <v>3.4</v>
      </c>
      <c r="B9">
        <v>26</v>
      </c>
      <c r="C9">
        <v>14</v>
      </c>
      <c r="D9">
        <v>24</v>
      </c>
      <c r="E9">
        <v>15</v>
      </c>
    </row>
    <row r="10" spans="1:5" x14ac:dyDescent="0.2">
      <c r="A10" s="25">
        <v>3.5</v>
      </c>
      <c r="B10">
        <v>41</v>
      </c>
      <c r="C10">
        <v>42</v>
      </c>
      <c r="D10">
        <v>22</v>
      </c>
      <c r="E10">
        <v>24</v>
      </c>
    </row>
    <row r="11" spans="1:5" x14ac:dyDescent="0.2">
      <c r="A11" s="25">
        <v>3.6</v>
      </c>
      <c r="B11">
        <v>70</v>
      </c>
      <c r="C11">
        <v>50</v>
      </c>
      <c r="D11">
        <v>20</v>
      </c>
      <c r="E11">
        <v>13</v>
      </c>
    </row>
    <row r="12" spans="1:5" x14ac:dyDescent="0.2">
      <c r="A12" s="25">
        <v>3.7</v>
      </c>
      <c r="B12">
        <v>84</v>
      </c>
      <c r="C12">
        <v>92</v>
      </c>
      <c r="D12">
        <v>57</v>
      </c>
      <c r="E12">
        <v>53</v>
      </c>
    </row>
    <row r="13" spans="1:5" x14ac:dyDescent="0.2">
      <c r="A13" s="25">
        <v>3.8</v>
      </c>
      <c r="B13">
        <v>119</v>
      </c>
      <c r="C13">
        <v>102</v>
      </c>
      <c r="D13">
        <v>66</v>
      </c>
      <c r="E13">
        <v>42</v>
      </c>
    </row>
    <row r="14" spans="1:5" x14ac:dyDescent="0.2">
      <c r="A14" s="25">
        <v>3.9</v>
      </c>
      <c r="B14">
        <v>114</v>
      </c>
      <c r="C14">
        <v>108</v>
      </c>
      <c r="D14">
        <v>72</v>
      </c>
      <c r="E14">
        <v>60</v>
      </c>
    </row>
    <row r="15" spans="1:5" x14ac:dyDescent="0.2">
      <c r="A15" s="25">
        <v>4</v>
      </c>
      <c r="B15">
        <v>143</v>
      </c>
      <c r="C15">
        <v>116</v>
      </c>
      <c r="D15">
        <v>103</v>
      </c>
      <c r="E15">
        <v>49</v>
      </c>
    </row>
    <row r="16" spans="1:5" x14ac:dyDescent="0.2">
      <c r="A16" s="25">
        <v>4.0999999999999996</v>
      </c>
      <c r="B16">
        <v>143</v>
      </c>
      <c r="C16">
        <v>132</v>
      </c>
      <c r="D16">
        <v>120</v>
      </c>
      <c r="E16">
        <v>58</v>
      </c>
    </row>
    <row r="17" spans="1:5" x14ac:dyDescent="0.2">
      <c r="A17" s="25">
        <v>4.2</v>
      </c>
      <c r="B17">
        <v>163</v>
      </c>
      <c r="C17">
        <v>119</v>
      </c>
      <c r="D17">
        <v>105</v>
      </c>
      <c r="E17">
        <v>102</v>
      </c>
    </row>
    <row r="18" spans="1:5" x14ac:dyDescent="0.2">
      <c r="A18" s="25">
        <v>4.3</v>
      </c>
      <c r="B18">
        <v>166</v>
      </c>
      <c r="C18">
        <v>134</v>
      </c>
      <c r="D18">
        <v>77</v>
      </c>
      <c r="E18">
        <v>55</v>
      </c>
    </row>
    <row r="19" spans="1:5" x14ac:dyDescent="0.2">
      <c r="A19" s="25">
        <v>4.4000000000000004</v>
      </c>
      <c r="B19">
        <v>152</v>
      </c>
      <c r="C19">
        <v>137</v>
      </c>
      <c r="D19">
        <v>114</v>
      </c>
      <c r="E19">
        <v>55</v>
      </c>
    </row>
    <row r="20" spans="1:5" x14ac:dyDescent="0.2">
      <c r="A20" s="25">
        <v>4.5</v>
      </c>
      <c r="B20">
        <v>146</v>
      </c>
      <c r="C20">
        <v>119</v>
      </c>
      <c r="D20">
        <v>72</v>
      </c>
      <c r="E20">
        <v>52</v>
      </c>
    </row>
    <row r="21" spans="1:5" x14ac:dyDescent="0.2">
      <c r="A21" s="25">
        <v>4.5999999999999996</v>
      </c>
      <c r="B21">
        <v>96</v>
      </c>
      <c r="C21">
        <v>94</v>
      </c>
      <c r="D21">
        <v>80</v>
      </c>
      <c r="E21">
        <v>33</v>
      </c>
    </row>
    <row r="22" spans="1:5" x14ac:dyDescent="0.2">
      <c r="A22" s="25">
        <v>4.7</v>
      </c>
      <c r="B22">
        <v>69</v>
      </c>
      <c r="C22">
        <v>79</v>
      </c>
      <c r="D22">
        <v>65</v>
      </c>
      <c r="E22">
        <v>30</v>
      </c>
    </row>
    <row r="23" spans="1:5" x14ac:dyDescent="0.2">
      <c r="A23" s="25">
        <v>4.8</v>
      </c>
      <c r="B23">
        <v>67</v>
      </c>
      <c r="C23">
        <v>59</v>
      </c>
      <c r="D23">
        <v>43</v>
      </c>
      <c r="E23">
        <v>38</v>
      </c>
    </row>
    <row r="24" spans="1:5" x14ac:dyDescent="0.2">
      <c r="A24" s="25">
        <v>4.9000000000000004</v>
      </c>
      <c r="B24">
        <v>82</v>
      </c>
      <c r="C24">
        <v>40</v>
      </c>
      <c r="D24">
        <v>32</v>
      </c>
      <c r="E24">
        <v>33</v>
      </c>
    </row>
    <row r="25" spans="1:5" x14ac:dyDescent="0.2">
      <c r="A25" s="25">
        <v>5</v>
      </c>
      <c r="B25">
        <v>103</v>
      </c>
      <c r="C25">
        <v>105</v>
      </c>
      <c r="D25">
        <v>75</v>
      </c>
      <c r="E25">
        <v>49</v>
      </c>
    </row>
    <row r="26" spans="1:5" x14ac:dyDescent="0.2">
      <c r="A26" s="19" t="s">
        <v>7737</v>
      </c>
      <c r="B26" s="26">
        <v>1848</v>
      </c>
      <c r="C26" s="26">
        <v>1592</v>
      </c>
      <c r="D26" s="26">
        <v>1182</v>
      </c>
      <c r="E26" s="26">
        <v>782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8761-BD9F-B948-9539-7F465EC3D08C}">
  <dimension ref="A1:N15"/>
  <sheetViews>
    <sheetView workbookViewId="0">
      <selection activeCell="L7" sqref="L7"/>
    </sheetView>
  </sheetViews>
  <sheetFormatPr baseColWidth="10" defaultRowHeight="16" x14ac:dyDescent="0.2"/>
  <cols>
    <col min="1" max="1" width="16.6640625" bestFit="1" customWidth="1"/>
    <col min="2" max="2" width="7" bestFit="1" customWidth="1"/>
    <col min="3" max="3" width="4.1640625" bestFit="1" customWidth="1"/>
    <col min="4" max="4" width="4.33203125" bestFit="1" customWidth="1"/>
    <col min="5" max="5" width="4.1640625" bestFit="1" customWidth="1"/>
    <col min="6" max="6" width="4.5" bestFit="1" customWidth="1"/>
    <col min="7" max="8" width="4.1640625" bestFit="1" customWidth="1"/>
    <col min="9" max="9" width="4.33203125" bestFit="1" customWidth="1"/>
    <col min="10" max="11" width="4.1640625" bestFit="1" customWidth="1"/>
    <col min="12" max="12" width="4.33203125" bestFit="1" customWidth="1"/>
    <col min="13" max="13" width="4.5" bestFit="1" customWidth="1"/>
    <col min="14" max="14" width="10.5" bestFit="1" customWidth="1"/>
    <col min="15" max="15" width="7.1640625" bestFit="1" customWidth="1"/>
    <col min="16" max="16" width="4.1640625" bestFit="1" customWidth="1"/>
    <col min="17" max="17" width="4.33203125" bestFit="1" customWidth="1"/>
    <col min="18" max="18" width="4.1640625" bestFit="1" customWidth="1"/>
    <col min="19" max="19" width="4.5" bestFit="1" customWidth="1"/>
    <col min="20" max="20" width="4.33203125" bestFit="1" customWidth="1"/>
    <col min="21" max="24" width="4.1640625" bestFit="1" customWidth="1"/>
    <col min="25" max="25" width="4.33203125" bestFit="1" customWidth="1"/>
    <col min="26" max="26" width="4.5" bestFit="1" customWidth="1"/>
    <col min="27" max="27" width="9.5" bestFit="1" customWidth="1"/>
    <col min="28" max="28" width="7.1640625" bestFit="1" customWidth="1"/>
    <col min="29" max="29" width="4.1640625" bestFit="1" customWidth="1"/>
    <col min="30" max="30" width="4.33203125" bestFit="1" customWidth="1"/>
    <col min="31" max="31" width="4.1640625" bestFit="1" customWidth="1"/>
    <col min="32" max="32" width="4.5" bestFit="1" customWidth="1"/>
    <col min="33" max="33" width="4.33203125" bestFit="1" customWidth="1"/>
    <col min="34" max="37" width="4.1640625" bestFit="1" customWidth="1"/>
    <col min="38" max="38" width="4.33203125" bestFit="1" customWidth="1"/>
    <col min="39" max="39" width="4.5" bestFit="1" customWidth="1"/>
    <col min="40" max="40" width="9.5" bestFit="1" customWidth="1"/>
    <col min="41" max="41" width="7.1640625" bestFit="1" customWidth="1"/>
    <col min="42" max="42" width="4.1640625" bestFit="1" customWidth="1"/>
    <col min="43" max="43" width="4.33203125" bestFit="1" customWidth="1"/>
    <col min="44" max="44" width="4.1640625" bestFit="1" customWidth="1"/>
    <col min="45" max="45" width="4.5" bestFit="1" customWidth="1"/>
    <col min="46" max="46" width="4.33203125" bestFit="1" customWidth="1"/>
    <col min="47" max="50" width="4.1640625" bestFit="1" customWidth="1"/>
    <col min="51" max="51" width="4.33203125" bestFit="1" customWidth="1"/>
    <col min="52" max="52" width="4.5" bestFit="1" customWidth="1"/>
    <col min="53" max="53" width="9.5" bestFit="1" customWidth="1"/>
    <col min="54" max="54" width="10.5" bestFit="1" customWidth="1"/>
    <col min="55" max="55" width="5.1640625" bestFit="1" customWidth="1"/>
    <col min="56" max="56" width="8.6640625" bestFit="1" customWidth="1"/>
    <col min="57" max="57" width="6.5" bestFit="1" customWidth="1"/>
    <col min="58" max="60" width="5.1640625" bestFit="1" customWidth="1"/>
    <col min="61" max="61" width="8.83203125" bestFit="1" customWidth="1"/>
    <col min="62" max="62" width="10.5" bestFit="1" customWidth="1"/>
  </cols>
  <sheetData>
    <row r="1" spans="1:14" x14ac:dyDescent="0.2">
      <c r="A1" s="17" t="s">
        <v>7714</v>
      </c>
      <c r="B1" t="s">
        <v>7715</v>
      </c>
    </row>
    <row r="3" spans="1:14" x14ac:dyDescent="0.2">
      <c r="A3" s="17" t="s">
        <v>7712</v>
      </c>
      <c r="B3" s="17" t="s">
        <v>7711</v>
      </c>
    </row>
    <row r="4" spans="1:14" x14ac:dyDescent="0.2">
      <c r="A4" s="17" t="s">
        <v>7631</v>
      </c>
      <c r="B4" t="s">
        <v>7700</v>
      </c>
      <c r="C4" t="s">
        <v>7701</v>
      </c>
      <c r="D4" t="s">
        <v>7702</v>
      </c>
      <c r="E4" t="s">
        <v>7703</v>
      </c>
      <c r="F4" t="s">
        <v>7650</v>
      </c>
      <c r="G4" t="s">
        <v>7704</v>
      </c>
      <c r="H4" t="s">
        <v>7705</v>
      </c>
      <c r="I4" t="s">
        <v>7706</v>
      </c>
      <c r="J4" t="s">
        <v>7707</v>
      </c>
      <c r="K4" t="s">
        <v>7708</v>
      </c>
      <c r="L4" t="s">
        <v>7709</v>
      </c>
      <c r="M4" t="s">
        <v>7710</v>
      </c>
      <c r="N4" t="s">
        <v>7699</v>
      </c>
    </row>
    <row r="5" spans="1:14" x14ac:dyDescent="0.2">
      <c r="A5" s="18" t="s">
        <v>7641</v>
      </c>
      <c r="B5">
        <v>81</v>
      </c>
      <c r="C5">
        <v>57</v>
      </c>
      <c r="D5">
        <v>105</v>
      </c>
      <c r="E5">
        <v>69</v>
      </c>
      <c r="F5">
        <v>105</v>
      </c>
      <c r="G5">
        <v>93</v>
      </c>
      <c r="H5">
        <v>67</v>
      </c>
      <c r="I5">
        <v>97</v>
      </c>
      <c r="J5">
        <v>96</v>
      </c>
      <c r="K5">
        <v>111</v>
      </c>
      <c r="L5">
        <v>62</v>
      </c>
      <c r="M5">
        <v>84</v>
      </c>
      <c r="N5">
        <v>1027</v>
      </c>
    </row>
    <row r="6" spans="1:14" x14ac:dyDescent="0.2">
      <c r="A6" s="18" t="s">
        <v>7637</v>
      </c>
      <c r="B6">
        <v>70</v>
      </c>
      <c r="C6">
        <v>61</v>
      </c>
      <c r="D6">
        <v>75</v>
      </c>
      <c r="E6">
        <v>97</v>
      </c>
      <c r="F6">
        <v>72</v>
      </c>
      <c r="G6">
        <v>77</v>
      </c>
      <c r="H6">
        <v>75</v>
      </c>
      <c r="I6">
        <v>118</v>
      </c>
      <c r="J6">
        <v>82</v>
      </c>
      <c r="K6">
        <v>87</v>
      </c>
      <c r="L6">
        <v>80</v>
      </c>
      <c r="M6">
        <v>54</v>
      </c>
      <c r="N6">
        <v>948</v>
      </c>
    </row>
    <row r="7" spans="1:14" x14ac:dyDescent="0.2">
      <c r="A7" s="18" t="s">
        <v>57</v>
      </c>
      <c r="B7">
        <v>49</v>
      </c>
      <c r="C7">
        <v>53</v>
      </c>
      <c r="D7">
        <v>88</v>
      </c>
      <c r="E7">
        <v>46</v>
      </c>
      <c r="F7">
        <v>60</v>
      </c>
      <c r="G7">
        <v>85</v>
      </c>
      <c r="H7">
        <v>106</v>
      </c>
      <c r="I7">
        <v>75</v>
      </c>
      <c r="J7">
        <v>81</v>
      </c>
      <c r="K7">
        <v>81</v>
      </c>
      <c r="L7">
        <v>86</v>
      </c>
      <c r="M7">
        <v>49</v>
      </c>
      <c r="N7">
        <v>859</v>
      </c>
    </row>
    <row r="8" spans="1:14" x14ac:dyDescent="0.2">
      <c r="A8" s="18" t="s">
        <v>7644</v>
      </c>
      <c r="B8">
        <v>74</v>
      </c>
      <c r="C8">
        <v>70</v>
      </c>
      <c r="D8">
        <v>53</v>
      </c>
      <c r="E8">
        <v>61</v>
      </c>
      <c r="F8">
        <v>61</v>
      </c>
      <c r="G8">
        <v>100</v>
      </c>
      <c r="H8">
        <v>72</v>
      </c>
      <c r="I8">
        <v>70</v>
      </c>
      <c r="J8">
        <v>74</v>
      </c>
      <c r="K8">
        <v>83</v>
      </c>
      <c r="L8">
        <v>55</v>
      </c>
      <c r="M8">
        <v>59</v>
      </c>
      <c r="N8">
        <v>832</v>
      </c>
    </row>
    <row r="9" spans="1:14" x14ac:dyDescent="0.2">
      <c r="A9" s="18" t="s">
        <v>7640</v>
      </c>
      <c r="B9">
        <v>69</v>
      </c>
      <c r="C9">
        <v>43</v>
      </c>
      <c r="D9">
        <v>66</v>
      </c>
      <c r="E9">
        <v>77</v>
      </c>
      <c r="F9">
        <v>77</v>
      </c>
      <c r="G9">
        <v>87</v>
      </c>
      <c r="H9">
        <v>70</v>
      </c>
      <c r="I9">
        <v>72</v>
      </c>
      <c r="J9">
        <v>72</v>
      </c>
      <c r="K9">
        <v>84</v>
      </c>
      <c r="L9">
        <v>72</v>
      </c>
      <c r="M9">
        <v>42</v>
      </c>
      <c r="N9">
        <v>831</v>
      </c>
    </row>
    <row r="10" spans="1:14" x14ac:dyDescent="0.2">
      <c r="A10" s="18" t="s">
        <v>7643</v>
      </c>
      <c r="B10">
        <v>50</v>
      </c>
      <c r="C10">
        <v>74</v>
      </c>
      <c r="D10">
        <v>87</v>
      </c>
      <c r="E10">
        <v>56</v>
      </c>
      <c r="F10">
        <v>74</v>
      </c>
      <c r="G10">
        <v>71</v>
      </c>
      <c r="H10">
        <v>81</v>
      </c>
      <c r="I10">
        <v>66</v>
      </c>
      <c r="J10">
        <v>86</v>
      </c>
      <c r="K10">
        <v>65</v>
      </c>
      <c r="L10">
        <v>49</v>
      </c>
      <c r="M10">
        <v>51</v>
      </c>
      <c r="N10">
        <v>810</v>
      </c>
    </row>
    <row r="11" spans="1:14" x14ac:dyDescent="0.2">
      <c r="A11" s="18" t="s">
        <v>7638</v>
      </c>
      <c r="B11">
        <v>48</v>
      </c>
      <c r="C11">
        <v>57</v>
      </c>
      <c r="D11">
        <v>77</v>
      </c>
      <c r="E11">
        <v>72</v>
      </c>
      <c r="F11">
        <v>55</v>
      </c>
      <c r="G11">
        <v>75</v>
      </c>
      <c r="H11">
        <v>93</v>
      </c>
      <c r="I11">
        <v>74</v>
      </c>
      <c r="J11">
        <v>81</v>
      </c>
      <c r="K11">
        <v>59</v>
      </c>
      <c r="L11">
        <v>42</v>
      </c>
      <c r="M11">
        <v>50</v>
      </c>
      <c r="N11">
        <v>783</v>
      </c>
    </row>
    <row r="12" spans="1:14" x14ac:dyDescent="0.2">
      <c r="A12" s="18" t="s">
        <v>7642</v>
      </c>
      <c r="B12">
        <v>37</v>
      </c>
      <c r="C12">
        <v>58</v>
      </c>
      <c r="D12">
        <v>62</v>
      </c>
      <c r="E12">
        <v>60</v>
      </c>
      <c r="F12">
        <v>61</v>
      </c>
      <c r="G12">
        <v>79</v>
      </c>
      <c r="H12">
        <v>66</v>
      </c>
      <c r="I12">
        <v>94</v>
      </c>
      <c r="J12">
        <v>60</v>
      </c>
      <c r="K12">
        <v>63</v>
      </c>
      <c r="L12">
        <v>69</v>
      </c>
      <c r="M12">
        <v>48</v>
      </c>
      <c r="N12">
        <v>757</v>
      </c>
    </row>
    <row r="13" spans="1:14" x14ac:dyDescent="0.2">
      <c r="A13" s="18" t="s">
        <v>7639</v>
      </c>
      <c r="B13">
        <v>61</v>
      </c>
      <c r="C13">
        <v>55</v>
      </c>
      <c r="D13">
        <v>59</v>
      </c>
      <c r="E13">
        <v>51</v>
      </c>
      <c r="F13">
        <v>60</v>
      </c>
      <c r="G13">
        <v>43</v>
      </c>
      <c r="H13">
        <v>49</v>
      </c>
      <c r="I13">
        <v>56</v>
      </c>
      <c r="J13">
        <v>65</v>
      </c>
      <c r="K13">
        <v>60</v>
      </c>
      <c r="L13">
        <v>49</v>
      </c>
      <c r="M13">
        <v>51</v>
      </c>
      <c r="N13">
        <v>659</v>
      </c>
    </row>
    <row r="14" spans="1:14" x14ac:dyDescent="0.2">
      <c r="A14" s="18" t="s">
        <v>99</v>
      </c>
      <c r="B14">
        <v>62</v>
      </c>
      <c r="C14">
        <v>35</v>
      </c>
      <c r="D14">
        <v>48</v>
      </c>
      <c r="E14">
        <v>56</v>
      </c>
      <c r="F14">
        <v>71</v>
      </c>
      <c r="G14">
        <v>81</v>
      </c>
      <c r="H14">
        <v>40</v>
      </c>
      <c r="I14">
        <v>76</v>
      </c>
      <c r="J14">
        <v>41</v>
      </c>
      <c r="K14">
        <v>38</v>
      </c>
      <c r="L14">
        <v>43</v>
      </c>
      <c r="M14">
        <v>33</v>
      </c>
      <c r="N14">
        <v>624</v>
      </c>
    </row>
    <row r="15" spans="1:14" x14ac:dyDescent="0.2">
      <c r="A15" s="18" t="s">
        <v>7699</v>
      </c>
      <c r="B15">
        <v>601</v>
      </c>
      <c r="C15">
        <v>563</v>
      </c>
      <c r="D15">
        <v>720</v>
      </c>
      <c r="E15">
        <v>645</v>
      </c>
      <c r="F15">
        <v>696</v>
      </c>
      <c r="G15">
        <v>791</v>
      </c>
      <c r="H15">
        <v>719</v>
      </c>
      <c r="I15">
        <v>798</v>
      </c>
      <c r="J15">
        <v>738</v>
      </c>
      <c r="K15">
        <v>731</v>
      </c>
      <c r="L15">
        <v>607</v>
      </c>
      <c r="M15">
        <v>521</v>
      </c>
      <c r="N15">
        <v>8130</v>
      </c>
    </row>
  </sheetData>
  <conditionalFormatting pivot="1" sqref="B5:M14">
    <cfRule type="expression" dxfId="9" priority="2">
      <formula>B5=MIN($B5:$M5)</formula>
    </cfRule>
  </conditionalFormatting>
  <conditionalFormatting pivot="1" sqref="B5:M14">
    <cfRule type="expression" dxfId="8" priority="1">
      <formula>B5=MAX($B5:$M5)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8634-77D4-D244-9596-DC5537C526DF}">
  <dimension ref="A1:M14"/>
  <sheetViews>
    <sheetView zoomScale="67" workbookViewId="0">
      <selection activeCell="F10" sqref="A1:M11"/>
    </sheetView>
  </sheetViews>
  <sheetFormatPr baseColWidth="10" defaultRowHeight="16" x14ac:dyDescent="0.2"/>
  <sheetData>
    <row r="1" spans="1:13" x14ac:dyDescent="0.2">
      <c r="A1" s="19" t="s">
        <v>7631</v>
      </c>
      <c r="B1" s="19" t="s">
        <v>7646</v>
      </c>
      <c r="C1" s="19" t="s">
        <v>7647</v>
      </c>
      <c r="D1" s="19" t="s">
        <v>7648</v>
      </c>
      <c r="E1" s="19" t="s">
        <v>7649</v>
      </c>
      <c r="F1" s="19" t="s">
        <v>7650</v>
      </c>
      <c r="G1" s="19" t="s">
        <v>7651</v>
      </c>
      <c r="H1" s="19" t="s">
        <v>7652</v>
      </c>
      <c r="I1" s="19" t="s">
        <v>7653</v>
      </c>
      <c r="J1" s="19" t="s">
        <v>7654</v>
      </c>
      <c r="K1" s="19" t="s">
        <v>7655</v>
      </c>
      <c r="L1" s="19" t="s">
        <v>7656</v>
      </c>
      <c r="M1" s="19" t="s">
        <v>7657</v>
      </c>
    </row>
    <row r="2" spans="1:13" x14ac:dyDescent="0.2">
      <c r="A2" s="18" t="s">
        <v>7641</v>
      </c>
      <c r="B2">
        <v>81</v>
      </c>
      <c r="C2">
        <v>57</v>
      </c>
      <c r="D2">
        <v>105</v>
      </c>
      <c r="E2">
        <v>69</v>
      </c>
      <c r="F2">
        <v>105</v>
      </c>
      <c r="G2">
        <v>93</v>
      </c>
      <c r="H2">
        <v>67</v>
      </c>
      <c r="I2">
        <v>97</v>
      </c>
      <c r="J2">
        <v>96</v>
      </c>
      <c r="K2">
        <v>111</v>
      </c>
      <c r="L2">
        <v>62</v>
      </c>
      <c r="M2">
        <v>84</v>
      </c>
    </row>
    <row r="3" spans="1:13" x14ac:dyDescent="0.2">
      <c r="A3" s="18" t="s">
        <v>7637</v>
      </c>
      <c r="B3">
        <v>70</v>
      </c>
      <c r="C3">
        <v>61</v>
      </c>
      <c r="D3">
        <v>75</v>
      </c>
      <c r="E3">
        <v>97</v>
      </c>
      <c r="F3">
        <v>72</v>
      </c>
      <c r="G3">
        <v>77</v>
      </c>
      <c r="H3">
        <v>75</v>
      </c>
      <c r="I3">
        <v>118</v>
      </c>
      <c r="J3">
        <v>82</v>
      </c>
      <c r="K3">
        <v>87</v>
      </c>
      <c r="L3">
        <v>80</v>
      </c>
      <c r="M3">
        <v>54</v>
      </c>
    </row>
    <row r="4" spans="1:13" x14ac:dyDescent="0.2">
      <c r="A4" s="18" t="s">
        <v>57</v>
      </c>
      <c r="B4">
        <v>49</v>
      </c>
      <c r="C4">
        <v>53</v>
      </c>
      <c r="D4">
        <v>88</v>
      </c>
      <c r="E4">
        <v>46</v>
      </c>
      <c r="F4">
        <v>60</v>
      </c>
      <c r="G4">
        <v>85</v>
      </c>
      <c r="H4">
        <v>106</v>
      </c>
      <c r="I4">
        <v>75</v>
      </c>
      <c r="J4">
        <v>81</v>
      </c>
      <c r="K4">
        <v>81</v>
      </c>
      <c r="L4">
        <v>86</v>
      </c>
      <c r="M4">
        <v>49</v>
      </c>
    </row>
    <row r="5" spans="1:13" x14ac:dyDescent="0.2">
      <c r="A5" s="18" t="s">
        <v>7644</v>
      </c>
      <c r="B5">
        <v>74</v>
      </c>
      <c r="C5">
        <v>70</v>
      </c>
      <c r="D5">
        <v>53</v>
      </c>
      <c r="E5">
        <v>61</v>
      </c>
      <c r="F5">
        <v>61</v>
      </c>
      <c r="G5">
        <v>100</v>
      </c>
      <c r="H5">
        <v>72</v>
      </c>
      <c r="I5">
        <v>70</v>
      </c>
      <c r="J5">
        <v>74</v>
      </c>
      <c r="K5">
        <v>83</v>
      </c>
      <c r="L5">
        <v>55</v>
      </c>
      <c r="M5">
        <v>59</v>
      </c>
    </row>
    <row r="6" spans="1:13" x14ac:dyDescent="0.2">
      <c r="A6" s="18" t="s">
        <v>7640</v>
      </c>
      <c r="B6">
        <v>69</v>
      </c>
      <c r="C6">
        <v>43</v>
      </c>
      <c r="D6">
        <v>66</v>
      </c>
      <c r="E6">
        <v>77</v>
      </c>
      <c r="F6">
        <v>77</v>
      </c>
      <c r="G6">
        <v>87</v>
      </c>
      <c r="H6">
        <v>70</v>
      </c>
      <c r="I6">
        <v>72</v>
      </c>
      <c r="J6">
        <v>72</v>
      </c>
      <c r="K6">
        <v>84</v>
      </c>
      <c r="L6">
        <v>72</v>
      </c>
      <c r="M6">
        <v>42</v>
      </c>
    </row>
    <row r="7" spans="1:13" x14ac:dyDescent="0.2">
      <c r="A7" s="18" t="s">
        <v>7643</v>
      </c>
      <c r="B7">
        <v>50</v>
      </c>
      <c r="C7">
        <v>74</v>
      </c>
      <c r="D7">
        <v>87</v>
      </c>
      <c r="E7">
        <v>56</v>
      </c>
      <c r="F7">
        <v>74</v>
      </c>
      <c r="G7">
        <v>71</v>
      </c>
      <c r="H7">
        <v>81</v>
      </c>
      <c r="I7">
        <v>66</v>
      </c>
      <c r="J7">
        <v>86</v>
      </c>
      <c r="K7">
        <v>65</v>
      </c>
      <c r="L7">
        <v>49</v>
      </c>
      <c r="M7">
        <v>51</v>
      </c>
    </row>
    <row r="8" spans="1:13" x14ac:dyDescent="0.2">
      <c r="A8" s="18" t="s">
        <v>7638</v>
      </c>
      <c r="B8">
        <v>48</v>
      </c>
      <c r="C8">
        <v>57</v>
      </c>
      <c r="D8">
        <v>77</v>
      </c>
      <c r="E8">
        <v>72</v>
      </c>
      <c r="F8">
        <v>55</v>
      </c>
      <c r="G8">
        <v>75</v>
      </c>
      <c r="H8">
        <v>93</v>
      </c>
      <c r="I8">
        <v>74</v>
      </c>
      <c r="J8">
        <v>81</v>
      </c>
      <c r="K8">
        <v>59</v>
      </c>
      <c r="L8">
        <v>42</v>
      </c>
      <c r="M8">
        <v>50</v>
      </c>
    </row>
    <row r="9" spans="1:13" x14ac:dyDescent="0.2">
      <c r="A9" s="18" t="s">
        <v>7642</v>
      </c>
      <c r="B9">
        <v>37</v>
      </c>
      <c r="C9">
        <v>58</v>
      </c>
      <c r="D9">
        <v>62</v>
      </c>
      <c r="E9">
        <v>60</v>
      </c>
      <c r="F9">
        <v>61</v>
      </c>
      <c r="G9">
        <v>79</v>
      </c>
      <c r="H9">
        <v>66</v>
      </c>
      <c r="I9">
        <v>94</v>
      </c>
      <c r="J9">
        <v>60</v>
      </c>
      <c r="K9">
        <v>63</v>
      </c>
      <c r="L9">
        <v>69</v>
      </c>
      <c r="M9">
        <v>48</v>
      </c>
    </row>
    <row r="10" spans="1:13" x14ac:dyDescent="0.2">
      <c r="A10" s="18" t="s">
        <v>7639</v>
      </c>
      <c r="B10">
        <v>61</v>
      </c>
      <c r="C10">
        <v>55</v>
      </c>
      <c r="D10">
        <v>59</v>
      </c>
      <c r="E10">
        <v>51</v>
      </c>
      <c r="F10">
        <v>60</v>
      </c>
      <c r="G10">
        <v>43</v>
      </c>
      <c r="H10">
        <v>49</v>
      </c>
      <c r="I10">
        <v>56</v>
      </c>
      <c r="J10">
        <v>65</v>
      </c>
      <c r="K10">
        <v>60</v>
      </c>
      <c r="L10">
        <v>49</v>
      </c>
      <c r="M10">
        <v>51</v>
      </c>
    </row>
    <row r="11" spans="1:13" x14ac:dyDescent="0.2">
      <c r="A11" s="18" t="s">
        <v>99</v>
      </c>
      <c r="B11">
        <v>62</v>
      </c>
      <c r="C11">
        <v>35</v>
      </c>
      <c r="D11">
        <v>48</v>
      </c>
      <c r="E11">
        <v>56</v>
      </c>
      <c r="F11">
        <v>71</v>
      </c>
      <c r="G11">
        <v>81</v>
      </c>
      <c r="H11">
        <v>40</v>
      </c>
      <c r="I11">
        <v>76</v>
      </c>
      <c r="J11">
        <v>41</v>
      </c>
      <c r="K11">
        <v>38</v>
      </c>
      <c r="L11">
        <v>43</v>
      </c>
      <c r="M11">
        <v>33</v>
      </c>
    </row>
    <row r="13" spans="1:13" x14ac:dyDescent="0.2">
      <c r="A13" s="31"/>
      <c r="B13" t="s">
        <v>7749</v>
      </c>
    </row>
    <row r="14" spans="1:13" x14ac:dyDescent="0.2">
      <c r="A14" s="32"/>
      <c r="B14" t="s">
        <v>7750</v>
      </c>
    </row>
  </sheetData>
  <conditionalFormatting sqref="B2:M11">
    <cfRule type="expression" dxfId="3" priority="1">
      <formula>B2=MAX($B2:$M2)</formula>
    </cfRule>
    <cfRule type="expression" dxfId="2" priority="2">
      <formula>B2=MIN($B2:$M2)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CDF8-3045-3C43-8648-10DC87292EC0}">
  <dimension ref="A1:B11"/>
  <sheetViews>
    <sheetView workbookViewId="0">
      <selection activeCell="P6" sqref="P6"/>
    </sheetView>
  </sheetViews>
  <sheetFormatPr baseColWidth="10" defaultRowHeight="16" x14ac:dyDescent="0.2"/>
  <cols>
    <col min="2" max="2" width="11.6640625" bestFit="1" customWidth="1"/>
  </cols>
  <sheetData>
    <row r="1" spans="1:2" x14ac:dyDescent="0.2">
      <c r="A1" s="19" t="s">
        <v>7631</v>
      </c>
      <c r="B1" s="19" t="s">
        <v>7713</v>
      </c>
    </row>
    <row r="2" spans="1:2" x14ac:dyDescent="0.2">
      <c r="A2" s="18" t="s">
        <v>7641</v>
      </c>
      <c r="B2">
        <v>1027</v>
      </c>
    </row>
    <row r="3" spans="1:2" x14ac:dyDescent="0.2">
      <c r="A3" s="18" t="s">
        <v>7637</v>
      </c>
      <c r="B3">
        <v>948</v>
      </c>
    </row>
    <row r="4" spans="1:2" x14ac:dyDescent="0.2">
      <c r="A4" s="18" t="s">
        <v>57</v>
      </c>
      <c r="B4">
        <v>859</v>
      </c>
    </row>
    <row r="5" spans="1:2" x14ac:dyDescent="0.2">
      <c r="A5" s="18" t="s">
        <v>7644</v>
      </c>
      <c r="B5">
        <v>832</v>
      </c>
    </row>
    <row r="6" spans="1:2" x14ac:dyDescent="0.2">
      <c r="A6" s="18" t="s">
        <v>7640</v>
      </c>
      <c r="B6">
        <v>831</v>
      </c>
    </row>
    <row r="7" spans="1:2" x14ac:dyDescent="0.2">
      <c r="A7" s="18" t="s">
        <v>7643</v>
      </c>
      <c r="B7">
        <v>810</v>
      </c>
    </row>
    <row r="8" spans="1:2" x14ac:dyDescent="0.2">
      <c r="A8" s="18" t="s">
        <v>7638</v>
      </c>
      <c r="B8">
        <v>783</v>
      </c>
    </row>
    <row r="9" spans="1:2" x14ac:dyDescent="0.2">
      <c r="A9" s="18" t="s">
        <v>7642</v>
      </c>
      <c r="B9">
        <v>757</v>
      </c>
    </row>
    <row r="10" spans="1:2" x14ac:dyDescent="0.2">
      <c r="A10" s="18" t="s">
        <v>7639</v>
      </c>
      <c r="B10">
        <v>659</v>
      </c>
    </row>
    <row r="11" spans="1:2" x14ac:dyDescent="0.2">
      <c r="A11" s="18" t="s">
        <v>99</v>
      </c>
      <c r="B11">
        <v>624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ED80-E713-1440-8C46-EE3AEF31247C}">
  <dimension ref="A3:N41"/>
  <sheetViews>
    <sheetView topLeftCell="A15" workbookViewId="0">
      <selection activeCell="B42" sqref="B42"/>
    </sheetView>
  </sheetViews>
  <sheetFormatPr baseColWidth="10" defaultRowHeight="16" x14ac:dyDescent="0.2"/>
  <cols>
    <col min="1" max="1" width="19.83203125" bestFit="1" customWidth="1"/>
    <col min="2" max="2" width="13.33203125" bestFit="1" customWidth="1"/>
    <col min="3" max="3" width="14.33203125" bestFit="1" customWidth="1"/>
    <col min="4" max="4" width="12.33203125" bestFit="1" customWidth="1"/>
    <col min="5" max="5" width="11" bestFit="1" customWidth="1"/>
    <col min="6" max="6" width="10.5" bestFit="1" customWidth="1"/>
    <col min="7" max="7" width="10.83203125" bestFit="1" customWidth="1"/>
    <col min="8" max="8" width="10.1640625" bestFit="1" customWidth="1"/>
    <col min="9" max="9" width="13" bestFit="1" customWidth="1"/>
    <col min="10" max="10" width="16.33203125" bestFit="1" customWidth="1"/>
    <col min="11" max="11" width="13.83203125" bestFit="1" customWidth="1"/>
    <col min="12" max="12" width="15.6640625" bestFit="1" customWidth="1"/>
    <col min="13" max="13" width="15.83203125" bestFit="1" customWidth="1"/>
    <col min="14" max="14" width="11.1640625" bestFit="1" customWidth="1"/>
    <col min="15" max="15" width="9.83203125" bestFit="1" customWidth="1"/>
    <col min="16" max="16" width="8" bestFit="1" customWidth="1"/>
    <col min="17" max="17" width="11" bestFit="1" customWidth="1"/>
    <col min="18" max="18" width="10" bestFit="1" customWidth="1"/>
    <col min="19" max="19" width="8.6640625" bestFit="1" customWidth="1"/>
    <col min="20" max="20" width="9.83203125" bestFit="1" customWidth="1"/>
    <col min="21" max="21" width="8" bestFit="1" customWidth="1"/>
    <col min="22" max="22" width="10.5" bestFit="1" customWidth="1"/>
    <col min="23" max="23" width="10" bestFit="1" customWidth="1"/>
    <col min="24" max="24" width="8.6640625" bestFit="1" customWidth="1"/>
    <col min="25" max="25" width="9.83203125" bestFit="1" customWidth="1"/>
    <col min="26" max="26" width="8" bestFit="1" customWidth="1"/>
    <col min="27" max="27" width="10.83203125" bestFit="1" customWidth="1"/>
    <col min="28" max="28" width="10" bestFit="1" customWidth="1"/>
    <col min="29" max="29" width="8.6640625" bestFit="1" customWidth="1"/>
    <col min="30" max="30" width="9.83203125" bestFit="1" customWidth="1"/>
    <col min="31" max="31" width="8" bestFit="1" customWidth="1"/>
    <col min="32" max="32" width="10.1640625" bestFit="1" customWidth="1"/>
    <col min="33" max="33" width="10" bestFit="1" customWidth="1"/>
    <col min="34" max="34" width="8.6640625" bestFit="1" customWidth="1"/>
    <col min="35" max="35" width="9.83203125" bestFit="1" customWidth="1"/>
    <col min="36" max="36" width="8" bestFit="1" customWidth="1"/>
    <col min="37" max="37" width="13" bestFit="1" customWidth="1"/>
    <col min="38" max="38" width="10" bestFit="1" customWidth="1"/>
    <col min="39" max="39" width="8.6640625" bestFit="1" customWidth="1"/>
    <col min="40" max="40" width="9.83203125" bestFit="1" customWidth="1"/>
    <col min="41" max="41" width="8" bestFit="1" customWidth="1"/>
    <col min="42" max="42" width="16.33203125" bestFit="1" customWidth="1"/>
    <col min="43" max="43" width="10" bestFit="1" customWidth="1"/>
    <col min="44" max="44" width="8.6640625" bestFit="1" customWidth="1"/>
    <col min="45" max="45" width="9.83203125" bestFit="1" customWidth="1"/>
    <col min="46" max="46" width="8" bestFit="1" customWidth="1"/>
    <col min="47" max="47" width="13.83203125" bestFit="1" customWidth="1"/>
    <col min="48" max="48" width="10" bestFit="1" customWidth="1"/>
    <col min="49" max="49" width="8.6640625" bestFit="1" customWidth="1"/>
    <col min="50" max="50" width="9.83203125" bestFit="1" customWidth="1"/>
    <col min="51" max="51" width="8" bestFit="1" customWidth="1"/>
    <col min="52" max="52" width="11.1640625" bestFit="1" customWidth="1"/>
    <col min="53" max="53" width="10" bestFit="1" customWidth="1"/>
    <col min="54" max="54" width="8.6640625" bestFit="1" customWidth="1"/>
    <col min="55" max="55" width="9.83203125" bestFit="1" customWidth="1"/>
    <col min="56" max="56" width="8.1640625" bestFit="1" customWidth="1"/>
    <col min="57" max="57" width="17.83203125" bestFit="1" customWidth="1"/>
    <col min="58" max="58" width="18.83203125" bestFit="1" customWidth="1"/>
    <col min="59" max="59" width="16.83203125" bestFit="1" customWidth="1"/>
    <col min="60" max="60" width="15.33203125" bestFit="1" customWidth="1"/>
    <col min="61" max="61" width="14.83203125" bestFit="1" customWidth="1"/>
    <col min="62" max="62" width="15.1640625" bestFit="1" customWidth="1"/>
    <col min="63" max="63" width="14.5" bestFit="1" customWidth="1"/>
    <col min="64" max="64" width="17.5" bestFit="1" customWidth="1"/>
    <col min="65" max="65" width="20.6640625" bestFit="1" customWidth="1"/>
    <col min="66" max="66" width="18.33203125" bestFit="1" customWidth="1"/>
    <col min="67" max="67" width="15.5" bestFit="1" customWidth="1"/>
    <col min="68" max="68" width="14.5" bestFit="1" customWidth="1"/>
    <col min="69" max="69" width="17.5" bestFit="1" customWidth="1"/>
    <col min="70" max="70" width="20.6640625" bestFit="1" customWidth="1"/>
    <col min="71" max="71" width="18.33203125" bestFit="1" customWidth="1"/>
    <col min="72" max="72" width="20.1640625" bestFit="1" customWidth="1"/>
    <col min="73" max="73" width="15.5" bestFit="1" customWidth="1"/>
    <col min="74" max="74" width="20.6640625" bestFit="1" customWidth="1"/>
    <col min="75" max="75" width="18.33203125" bestFit="1" customWidth="1"/>
    <col min="76" max="76" width="20.1640625" bestFit="1" customWidth="1"/>
    <col min="77" max="77" width="20.33203125" bestFit="1" customWidth="1"/>
    <col min="78" max="78" width="15.5" bestFit="1" customWidth="1"/>
  </cols>
  <sheetData>
    <row r="3" spans="1:14" x14ac:dyDescent="0.2">
      <c r="A3" s="17" t="s">
        <v>7698</v>
      </c>
      <c r="B3" t="s">
        <v>7716</v>
      </c>
      <c r="C3" t="s">
        <v>7717</v>
      </c>
      <c r="D3" t="s">
        <v>7718</v>
      </c>
      <c r="E3" t="s">
        <v>7719</v>
      </c>
      <c r="F3" t="s">
        <v>7720</v>
      </c>
      <c r="G3" t="s">
        <v>7721</v>
      </c>
      <c r="H3" t="s">
        <v>7722</v>
      </c>
      <c r="I3" t="s">
        <v>7723</v>
      </c>
      <c r="J3" t="s">
        <v>7724</v>
      </c>
      <c r="K3" t="s">
        <v>7725</v>
      </c>
      <c r="L3" t="s">
        <v>7726</v>
      </c>
      <c r="M3" t="s">
        <v>7727</v>
      </c>
      <c r="N3" t="s">
        <v>7728</v>
      </c>
    </row>
    <row r="4" spans="1:14" x14ac:dyDescent="0.2">
      <c r="A4" s="18" t="s">
        <v>7660</v>
      </c>
      <c r="B4">
        <v>574950</v>
      </c>
      <c r="C4">
        <v>380745</v>
      </c>
      <c r="D4">
        <v>630898</v>
      </c>
      <c r="E4">
        <v>368074</v>
      </c>
      <c r="F4">
        <v>407572</v>
      </c>
      <c r="G4">
        <v>364801</v>
      </c>
      <c r="H4">
        <v>391051</v>
      </c>
      <c r="I4">
        <v>414247</v>
      </c>
      <c r="J4">
        <v>361627</v>
      </c>
      <c r="K4">
        <v>433390</v>
      </c>
      <c r="L4">
        <v>467090</v>
      </c>
      <c r="M4">
        <v>487557</v>
      </c>
      <c r="N4">
        <v>5282002</v>
      </c>
    </row>
    <row r="5" spans="1:14" x14ac:dyDescent="0.2">
      <c r="A5" s="18" t="s">
        <v>7667</v>
      </c>
      <c r="B5">
        <v>417116</v>
      </c>
      <c r="C5">
        <v>468026</v>
      </c>
      <c r="D5">
        <v>374989</v>
      </c>
      <c r="E5">
        <v>326140</v>
      </c>
      <c r="F5">
        <v>318572</v>
      </c>
      <c r="G5">
        <v>303130</v>
      </c>
      <c r="H5">
        <v>317070</v>
      </c>
      <c r="I5">
        <v>384167</v>
      </c>
      <c r="J5">
        <v>328530</v>
      </c>
      <c r="K5">
        <v>360941</v>
      </c>
      <c r="L5">
        <v>343998</v>
      </c>
      <c r="M5">
        <v>388732</v>
      </c>
      <c r="N5">
        <v>4331411</v>
      </c>
    </row>
    <row r="6" spans="1:14" x14ac:dyDescent="0.2">
      <c r="A6" s="18" t="s">
        <v>7671</v>
      </c>
      <c r="B6">
        <v>124312</v>
      </c>
      <c r="C6">
        <v>166682</v>
      </c>
      <c r="D6">
        <v>97610</v>
      </c>
      <c r="E6">
        <v>97544</v>
      </c>
      <c r="F6">
        <v>87044</v>
      </c>
      <c r="G6">
        <v>87839</v>
      </c>
      <c r="H6">
        <v>91007</v>
      </c>
      <c r="I6">
        <v>93442</v>
      </c>
      <c r="J6">
        <v>86815</v>
      </c>
      <c r="K6">
        <v>85014</v>
      </c>
      <c r="L6">
        <v>129357</v>
      </c>
      <c r="M6">
        <v>88251</v>
      </c>
      <c r="N6">
        <v>1234917</v>
      </c>
    </row>
    <row r="7" spans="1:14" x14ac:dyDescent="0.2">
      <c r="A7" s="18" t="s">
        <v>7664</v>
      </c>
      <c r="B7">
        <v>91373</v>
      </c>
      <c r="C7">
        <v>126929</v>
      </c>
      <c r="D7">
        <v>112215</v>
      </c>
      <c r="E7">
        <v>109697</v>
      </c>
      <c r="F7">
        <v>92683</v>
      </c>
      <c r="G7">
        <v>97089</v>
      </c>
      <c r="H7">
        <v>106653</v>
      </c>
      <c r="I7">
        <v>102543</v>
      </c>
      <c r="J7">
        <v>87218</v>
      </c>
      <c r="K7">
        <v>106865</v>
      </c>
      <c r="L7">
        <v>100149</v>
      </c>
      <c r="M7">
        <v>98096</v>
      </c>
      <c r="N7">
        <v>1231510</v>
      </c>
    </row>
    <row r="8" spans="1:14" x14ac:dyDescent="0.2">
      <c r="A8" s="18" t="s">
        <v>7674</v>
      </c>
      <c r="B8">
        <v>92538</v>
      </c>
      <c r="C8">
        <v>87676</v>
      </c>
      <c r="D8">
        <v>78356</v>
      </c>
      <c r="E8">
        <v>64892</v>
      </c>
      <c r="F8">
        <v>51955</v>
      </c>
      <c r="G8">
        <v>73715</v>
      </c>
      <c r="H8">
        <v>72509</v>
      </c>
      <c r="I8">
        <v>51166</v>
      </c>
      <c r="J8">
        <v>49769</v>
      </c>
      <c r="K8">
        <v>62083</v>
      </c>
      <c r="L8">
        <v>81044</v>
      </c>
      <c r="M8">
        <v>83024</v>
      </c>
      <c r="N8">
        <v>848727</v>
      </c>
    </row>
    <row r="9" spans="1:14" x14ac:dyDescent="0.2">
      <c r="A9" s="18" t="s">
        <v>7663</v>
      </c>
      <c r="B9">
        <v>72311</v>
      </c>
      <c r="C9">
        <v>75087</v>
      </c>
      <c r="D9">
        <v>78779</v>
      </c>
      <c r="E9">
        <v>54182</v>
      </c>
      <c r="F9">
        <v>61797</v>
      </c>
      <c r="G9">
        <v>51162</v>
      </c>
      <c r="H9">
        <v>55947</v>
      </c>
      <c r="I9">
        <v>90421</v>
      </c>
      <c r="J9">
        <v>78086</v>
      </c>
      <c r="K9">
        <v>60861</v>
      </c>
      <c r="L9">
        <v>75441</v>
      </c>
      <c r="M9">
        <v>60095</v>
      </c>
      <c r="N9">
        <v>814169</v>
      </c>
    </row>
    <row r="10" spans="1:14" x14ac:dyDescent="0.2">
      <c r="A10" s="18" t="s">
        <v>7666</v>
      </c>
      <c r="B10">
        <v>48536</v>
      </c>
      <c r="C10">
        <v>43678</v>
      </c>
      <c r="D10">
        <v>51141</v>
      </c>
      <c r="E10">
        <v>60541</v>
      </c>
      <c r="F10">
        <v>67629</v>
      </c>
      <c r="G10">
        <v>65993</v>
      </c>
      <c r="H10">
        <v>49599</v>
      </c>
      <c r="I10">
        <v>56131</v>
      </c>
      <c r="J10">
        <v>61395</v>
      </c>
      <c r="K10">
        <v>70325</v>
      </c>
      <c r="L10">
        <v>80878</v>
      </c>
      <c r="M10">
        <v>90634</v>
      </c>
      <c r="N10">
        <v>746480</v>
      </c>
    </row>
    <row r="11" spans="1:14" x14ac:dyDescent="0.2">
      <c r="A11" s="18" t="s">
        <v>7677</v>
      </c>
      <c r="B11">
        <v>42515</v>
      </c>
      <c r="C11">
        <v>36500</v>
      </c>
      <c r="D11">
        <v>45639</v>
      </c>
      <c r="E11">
        <v>41806</v>
      </c>
      <c r="F11">
        <v>43671</v>
      </c>
      <c r="G11">
        <v>49718</v>
      </c>
      <c r="H11">
        <v>55289</v>
      </c>
      <c r="I11">
        <v>61534</v>
      </c>
      <c r="J11">
        <v>58489</v>
      </c>
      <c r="K11">
        <v>66534</v>
      </c>
      <c r="L11">
        <v>91145</v>
      </c>
      <c r="M11">
        <v>96874</v>
      </c>
      <c r="N11">
        <v>689714</v>
      </c>
    </row>
    <row r="12" spans="1:14" x14ac:dyDescent="0.2">
      <c r="A12" s="18" t="s">
        <v>7659</v>
      </c>
      <c r="B12">
        <v>100150</v>
      </c>
      <c r="C12">
        <v>41916</v>
      </c>
      <c r="D12">
        <v>91845</v>
      </c>
      <c r="E12">
        <v>45626</v>
      </c>
      <c r="F12">
        <v>44981</v>
      </c>
      <c r="G12">
        <v>35753</v>
      </c>
      <c r="H12">
        <v>41151</v>
      </c>
      <c r="I12">
        <v>43211</v>
      </c>
      <c r="J12">
        <v>45237</v>
      </c>
      <c r="K12">
        <v>59784</v>
      </c>
      <c r="L12">
        <v>64601</v>
      </c>
      <c r="M12">
        <v>72877</v>
      </c>
      <c r="N12">
        <v>687132</v>
      </c>
    </row>
    <row r="13" spans="1:14" x14ac:dyDescent="0.2">
      <c r="A13" s="18" t="s">
        <v>7669</v>
      </c>
      <c r="B13">
        <v>42935</v>
      </c>
      <c r="C13">
        <v>60051</v>
      </c>
      <c r="D13">
        <v>38114</v>
      </c>
      <c r="E13">
        <v>41239</v>
      </c>
      <c r="F13">
        <v>38178</v>
      </c>
      <c r="G13">
        <v>46352</v>
      </c>
      <c r="H13">
        <v>36933</v>
      </c>
      <c r="I13">
        <v>40246</v>
      </c>
      <c r="J13">
        <v>61214</v>
      </c>
      <c r="K13">
        <v>49261</v>
      </c>
      <c r="L13">
        <v>55507</v>
      </c>
      <c r="M13">
        <v>63686</v>
      </c>
      <c r="N13">
        <v>573716</v>
      </c>
    </row>
    <row r="14" spans="1:14" x14ac:dyDescent="0.2">
      <c r="A14" s="18" t="s">
        <v>7693</v>
      </c>
      <c r="B14">
        <v>66504</v>
      </c>
      <c r="C14">
        <v>38313</v>
      </c>
      <c r="D14">
        <v>42303</v>
      </c>
      <c r="E14">
        <v>58379</v>
      </c>
      <c r="F14">
        <v>35597</v>
      </c>
      <c r="G14">
        <v>34869</v>
      </c>
      <c r="H14">
        <v>47701</v>
      </c>
      <c r="I14">
        <v>34313</v>
      </c>
      <c r="J14">
        <v>43255</v>
      </c>
      <c r="K14">
        <v>46236</v>
      </c>
      <c r="L14">
        <v>48410</v>
      </c>
      <c r="M14">
        <v>52591</v>
      </c>
      <c r="N14">
        <v>548471</v>
      </c>
    </row>
    <row r="15" spans="1:14" x14ac:dyDescent="0.2">
      <c r="A15" s="18" t="s">
        <v>7690</v>
      </c>
      <c r="B15">
        <v>80101</v>
      </c>
      <c r="C15">
        <v>36198</v>
      </c>
      <c r="D15">
        <v>69390</v>
      </c>
      <c r="E15">
        <v>52443</v>
      </c>
      <c r="F15">
        <v>32494</v>
      </c>
      <c r="G15">
        <v>20390</v>
      </c>
      <c r="H15">
        <v>21027</v>
      </c>
      <c r="I15">
        <v>22294</v>
      </c>
      <c r="J15">
        <v>18188</v>
      </c>
      <c r="K15">
        <v>35509</v>
      </c>
      <c r="L15">
        <v>61867</v>
      </c>
      <c r="M15">
        <v>72750</v>
      </c>
      <c r="N15">
        <v>522651</v>
      </c>
    </row>
    <row r="16" spans="1:14" x14ac:dyDescent="0.2">
      <c r="A16" s="18" t="s">
        <v>7661</v>
      </c>
      <c r="B16">
        <v>34578</v>
      </c>
      <c r="C16">
        <v>30003</v>
      </c>
      <c r="D16">
        <v>31673</v>
      </c>
      <c r="E16">
        <v>39697</v>
      </c>
      <c r="F16">
        <v>39578</v>
      </c>
      <c r="G16">
        <v>42104</v>
      </c>
      <c r="H16">
        <v>37034</v>
      </c>
      <c r="I16">
        <v>40712</v>
      </c>
      <c r="J16">
        <v>41372</v>
      </c>
      <c r="K16">
        <v>43392</v>
      </c>
      <c r="L16">
        <v>50702</v>
      </c>
      <c r="M16">
        <v>51328</v>
      </c>
      <c r="N16">
        <v>482173</v>
      </c>
    </row>
    <row r="17" spans="1:14" x14ac:dyDescent="0.2">
      <c r="A17" s="18" t="s">
        <v>7668</v>
      </c>
      <c r="B17">
        <v>40464</v>
      </c>
      <c r="C17">
        <v>37518</v>
      </c>
      <c r="D17">
        <v>46147</v>
      </c>
      <c r="E17">
        <v>44759</v>
      </c>
      <c r="F17">
        <v>36929</v>
      </c>
      <c r="G17">
        <v>30154</v>
      </c>
      <c r="H17">
        <v>29125</v>
      </c>
      <c r="I17">
        <v>31279</v>
      </c>
      <c r="J17">
        <v>30142</v>
      </c>
      <c r="K17">
        <v>47694</v>
      </c>
      <c r="L17">
        <v>40797</v>
      </c>
      <c r="M17">
        <v>42767</v>
      </c>
      <c r="N17">
        <v>457775</v>
      </c>
    </row>
    <row r="18" spans="1:14" x14ac:dyDescent="0.2">
      <c r="A18" s="18" t="s">
        <v>7670</v>
      </c>
      <c r="B18">
        <v>25817</v>
      </c>
      <c r="C18">
        <v>25851</v>
      </c>
      <c r="D18">
        <v>30813</v>
      </c>
      <c r="E18">
        <v>27666</v>
      </c>
      <c r="F18">
        <v>28498</v>
      </c>
      <c r="G18">
        <v>40364</v>
      </c>
      <c r="H18">
        <v>26997</v>
      </c>
      <c r="I18">
        <v>29169</v>
      </c>
      <c r="J18">
        <v>33012</v>
      </c>
      <c r="K18">
        <v>32506</v>
      </c>
      <c r="L18">
        <v>39672</v>
      </c>
      <c r="M18">
        <v>61055</v>
      </c>
      <c r="N18">
        <v>401420</v>
      </c>
    </row>
    <row r="19" spans="1:14" x14ac:dyDescent="0.2">
      <c r="A19" s="18" t="s">
        <v>7685</v>
      </c>
      <c r="B19">
        <v>33435</v>
      </c>
      <c r="C19">
        <v>39148</v>
      </c>
      <c r="D19">
        <v>41026</v>
      </c>
      <c r="E19">
        <v>41779</v>
      </c>
      <c r="F19">
        <v>23659</v>
      </c>
      <c r="G19">
        <v>20319</v>
      </c>
      <c r="H19">
        <v>26248</v>
      </c>
      <c r="I19">
        <v>27901</v>
      </c>
      <c r="J19">
        <v>19751</v>
      </c>
      <c r="K19">
        <v>27736</v>
      </c>
      <c r="L19">
        <v>36548</v>
      </c>
      <c r="M19">
        <v>30768</v>
      </c>
      <c r="N19">
        <v>368318</v>
      </c>
    </row>
    <row r="20" spans="1:14" x14ac:dyDescent="0.2">
      <c r="A20" s="18" t="s">
        <v>7684</v>
      </c>
      <c r="B20">
        <v>28012</v>
      </c>
      <c r="C20">
        <v>35034</v>
      </c>
      <c r="D20">
        <v>39370</v>
      </c>
      <c r="E20">
        <v>35220</v>
      </c>
      <c r="F20">
        <v>22528</v>
      </c>
      <c r="G20">
        <v>13590</v>
      </c>
      <c r="H20">
        <v>24534</v>
      </c>
      <c r="I20">
        <v>28333</v>
      </c>
      <c r="J20">
        <v>17026</v>
      </c>
      <c r="K20">
        <v>26552</v>
      </c>
      <c r="L20">
        <v>38957</v>
      </c>
      <c r="M20">
        <v>28573</v>
      </c>
      <c r="N20">
        <v>337729</v>
      </c>
    </row>
    <row r="21" spans="1:14" x14ac:dyDescent="0.2">
      <c r="A21" s="18" t="s">
        <v>7681</v>
      </c>
      <c r="B21">
        <v>27994</v>
      </c>
      <c r="C21">
        <v>33331</v>
      </c>
      <c r="D21">
        <v>34935</v>
      </c>
      <c r="E21">
        <v>28579</v>
      </c>
      <c r="F21">
        <v>14615</v>
      </c>
      <c r="G21">
        <v>11396</v>
      </c>
      <c r="H21">
        <v>16081</v>
      </c>
      <c r="I21">
        <v>22419</v>
      </c>
      <c r="J21">
        <v>16900</v>
      </c>
      <c r="K21">
        <v>22758</v>
      </c>
      <c r="L21">
        <v>34457</v>
      </c>
      <c r="M21">
        <v>27574</v>
      </c>
      <c r="N21">
        <v>291039</v>
      </c>
    </row>
    <row r="22" spans="1:14" x14ac:dyDescent="0.2">
      <c r="A22" s="18" t="s">
        <v>7665</v>
      </c>
      <c r="B22">
        <v>19274</v>
      </c>
      <c r="C22">
        <v>16676</v>
      </c>
      <c r="D22">
        <v>12876</v>
      </c>
      <c r="E22">
        <v>23535</v>
      </c>
      <c r="F22">
        <v>17624</v>
      </c>
      <c r="G22">
        <v>16879</v>
      </c>
      <c r="H22">
        <v>16784</v>
      </c>
      <c r="I22">
        <v>14553</v>
      </c>
      <c r="J22">
        <v>16655</v>
      </c>
      <c r="K22">
        <v>15495</v>
      </c>
      <c r="L22">
        <v>18820</v>
      </c>
      <c r="M22">
        <v>18025</v>
      </c>
      <c r="N22">
        <v>207196</v>
      </c>
    </row>
    <row r="23" spans="1:14" x14ac:dyDescent="0.2">
      <c r="A23" s="18" t="s">
        <v>7662</v>
      </c>
      <c r="B23">
        <v>15072</v>
      </c>
      <c r="C23">
        <v>18511</v>
      </c>
      <c r="D23">
        <v>17260</v>
      </c>
      <c r="E23">
        <v>11871</v>
      </c>
      <c r="F23">
        <v>12183</v>
      </c>
      <c r="G23">
        <v>13786</v>
      </c>
      <c r="H23">
        <v>25906</v>
      </c>
      <c r="I23">
        <v>19918</v>
      </c>
      <c r="J23">
        <v>13076</v>
      </c>
      <c r="K23">
        <v>10598</v>
      </c>
      <c r="L23">
        <v>10283</v>
      </c>
      <c r="M23">
        <v>10876</v>
      </c>
      <c r="N23">
        <v>179340</v>
      </c>
    </row>
    <row r="24" spans="1:14" x14ac:dyDescent="0.2">
      <c r="A24" s="18" t="s">
        <v>7673</v>
      </c>
      <c r="B24">
        <v>18785</v>
      </c>
      <c r="C24">
        <v>21950</v>
      </c>
      <c r="D24">
        <v>19389</v>
      </c>
      <c r="E24">
        <v>14265</v>
      </c>
      <c r="F24">
        <v>11170</v>
      </c>
      <c r="G24">
        <v>7441</v>
      </c>
      <c r="H24">
        <v>10003</v>
      </c>
      <c r="I24">
        <v>9540</v>
      </c>
      <c r="J24">
        <v>8963</v>
      </c>
      <c r="K24">
        <v>13392</v>
      </c>
      <c r="L24">
        <v>20881</v>
      </c>
      <c r="M24">
        <v>17612</v>
      </c>
      <c r="N24">
        <v>173391</v>
      </c>
    </row>
    <row r="25" spans="1:14" x14ac:dyDescent="0.2">
      <c r="A25" s="18" t="s">
        <v>7682</v>
      </c>
      <c r="B25">
        <v>11490</v>
      </c>
      <c r="C25">
        <v>9699</v>
      </c>
      <c r="D25">
        <v>10544</v>
      </c>
      <c r="E25">
        <v>10763</v>
      </c>
      <c r="F25">
        <v>4946</v>
      </c>
      <c r="G25">
        <v>3866</v>
      </c>
      <c r="H25">
        <v>5491</v>
      </c>
      <c r="I25">
        <v>16210</v>
      </c>
      <c r="J25">
        <v>5576</v>
      </c>
      <c r="K25">
        <v>6674</v>
      </c>
      <c r="L25">
        <v>12609</v>
      </c>
      <c r="M25">
        <v>9490</v>
      </c>
      <c r="N25">
        <v>107358</v>
      </c>
    </row>
    <row r="26" spans="1:14" x14ac:dyDescent="0.2">
      <c r="A26" s="18" t="s">
        <v>7688</v>
      </c>
      <c r="B26">
        <v>5584</v>
      </c>
      <c r="C26">
        <v>6052</v>
      </c>
      <c r="D26">
        <v>6430</v>
      </c>
      <c r="E26">
        <v>7256</v>
      </c>
      <c r="F26">
        <v>5562</v>
      </c>
      <c r="G26">
        <v>5152</v>
      </c>
      <c r="H26">
        <v>8340</v>
      </c>
      <c r="I26">
        <v>15922</v>
      </c>
      <c r="J26">
        <v>8240</v>
      </c>
      <c r="K26">
        <v>8846</v>
      </c>
      <c r="L26">
        <v>12270</v>
      </c>
      <c r="M26">
        <v>7788</v>
      </c>
      <c r="N26">
        <v>97442</v>
      </c>
    </row>
    <row r="27" spans="1:14" x14ac:dyDescent="0.2">
      <c r="A27" s="18" t="s">
        <v>7687</v>
      </c>
      <c r="B27">
        <v>7595</v>
      </c>
      <c r="C27">
        <v>8525</v>
      </c>
      <c r="D27">
        <v>8870</v>
      </c>
      <c r="E27">
        <v>8503</v>
      </c>
      <c r="F27">
        <v>5126</v>
      </c>
      <c r="G27">
        <v>3878</v>
      </c>
      <c r="H27">
        <v>11913</v>
      </c>
      <c r="I27">
        <v>8690</v>
      </c>
      <c r="J27">
        <v>5109</v>
      </c>
      <c r="K27">
        <v>6473</v>
      </c>
      <c r="L27">
        <v>9482</v>
      </c>
      <c r="M27">
        <v>7545</v>
      </c>
      <c r="N27">
        <v>91709</v>
      </c>
    </row>
    <row r="28" spans="1:14" x14ac:dyDescent="0.2">
      <c r="A28" s="18" t="s">
        <v>7675</v>
      </c>
      <c r="B28">
        <v>8333</v>
      </c>
      <c r="C28">
        <v>7345</v>
      </c>
      <c r="D28">
        <v>7129</v>
      </c>
      <c r="E28">
        <v>7437</v>
      </c>
      <c r="F28">
        <v>5647</v>
      </c>
      <c r="G28">
        <v>4763</v>
      </c>
      <c r="H28">
        <v>4730</v>
      </c>
      <c r="I28">
        <v>4746</v>
      </c>
      <c r="J28">
        <v>5230</v>
      </c>
      <c r="K28">
        <v>6941</v>
      </c>
      <c r="L28">
        <v>9910</v>
      </c>
      <c r="M28">
        <v>10553</v>
      </c>
      <c r="N28">
        <v>82764</v>
      </c>
    </row>
    <row r="29" spans="1:14" x14ac:dyDescent="0.2">
      <c r="A29" s="18" t="s">
        <v>7680</v>
      </c>
      <c r="B29">
        <v>8678</v>
      </c>
      <c r="C29">
        <v>12653</v>
      </c>
      <c r="D29">
        <v>9674</v>
      </c>
      <c r="E29">
        <v>3656</v>
      </c>
      <c r="F29">
        <v>2246</v>
      </c>
      <c r="G29">
        <v>1406</v>
      </c>
      <c r="H29">
        <v>2128</v>
      </c>
      <c r="I29">
        <v>2478</v>
      </c>
      <c r="J29">
        <v>3044</v>
      </c>
      <c r="K29">
        <v>3582</v>
      </c>
      <c r="L29">
        <v>12737</v>
      </c>
      <c r="M29">
        <v>10646</v>
      </c>
      <c r="N29">
        <v>72928</v>
      </c>
    </row>
    <row r="30" spans="1:14" x14ac:dyDescent="0.2">
      <c r="A30" s="18" t="s">
        <v>7692</v>
      </c>
      <c r="B30">
        <v>5604</v>
      </c>
      <c r="C30">
        <v>3031</v>
      </c>
      <c r="D30">
        <v>3978</v>
      </c>
      <c r="E30">
        <v>6691</v>
      </c>
      <c r="F30">
        <v>3960</v>
      </c>
      <c r="G30">
        <v>4226</v>
      </c>
      <c r="H30">
        <v>5409</v>
      </c>
      <c r="I30">
        <v>4387</v>
      </c>
      <c r="J30">
        <v>5284</v>
      </c>
      <c r="K30">
        <v>4731</v>
      </c>
      <c r="L30">
        <v>5055</v>
      </c>
      <c r="M30">
        <v>4772</v>
      </c>
      <c r="N30">
        <v>57128</v>
      </c>
    </row>
    <row r="31" spans="1:14" x14ac:dyDescent="0.2">
      <c r="A31" s="18" t="s">
        <v>7696</v>
      </c>
      <c r="B31">
        <v>5035</v>
      </c>
      <c r="C31">
        <v>4123</v>
      </c>
      <c r="D31">
        <v>3166</v>
      </c>
      <c r="E31">
        <v>5248</v>
      </c>
      <c r="F31">
        <v>4042</v>
      </c>
      <c r="G31">
        <v>3576</v>
      </c>
      <c r="H31">
        <v>4874</v>
      </c>
      <c r="I31">
        <v>5733</v>
      </c>
      <c r="J31">
        <v>4862</v>
      </c>
      <c r="K31">
        <v>5148</v>
      </c>
      <c r="L31">
        <v>5418</v>
      </c>
      <c r="M31">
        <v>5037</v>
      </c>
      <c r="N31">
        <v>56262</v>
      </c>
    </row>
    <row r="32" spans="1:14" x14ac:dyDescent="0.2">
      <c r="A32" s="18" t="s">
        <v>7683</v>
      </c>
      <c r="B32">
        <v>4898</v>
      </c>
      <c r="C32">
        <v>6120</v>
      </c>
      <c r="D32">
        <v>5158</v>
      </c>
      <c r="E32">
        <v>4013</v>
      </c>
      <c r="F32">
        <v>1694</v>
      </c>
      <c r="G32">
        <v>1301</v>
      </c>
      <c r="H32">
        <v>4536</v>
      </c>
      <c r="I32">
        <v>1603</v>
      </c>
      <c r="J32">
        <v>1778</v>
      </c>
      <c r="K32">
        <v>2946</v>
      </c>
      <c r="L32">
        <v>3454</v>
      </c>
      <c r="M32">
        <v>3909</v>
      </c>
      <c r="N32">
        <v>41410</v>
      </c>
    </row>
    <row r="33" spans="1:14" x14ac:dyDescent="0.2">
      <c r="A33" s="18" t="s">
        <v>7686</v>
      </c>
      <c r="B33">
        <v>3999</v>
      </c>
      <c r="C33">
        <v>4172</v>
      </c>
      <c r="D33">
        <v>3734</v>
      </c>
      <c r="E33">
        <v>4497</v>
      </c>
      <c r="F33">
        <v>1648</v>
      </c>
      <c r="G33">
        <v>1441</v>
      </c>
      <c r="H33">
        <v>3664</v>
      </c>
      <c r="I33">
        <v>2023</v>
      </c>
      <c r="J33">
        <v>1987</v>
      </c>
      <c r="K33">
        <v>3317</v>
      </c>
      <c r="L33">
        <v>4886</v>
      </c>
      <c r="M33">
        <v>4507</v>
      </c>
      <c r="N33">
        <v>39875</v>
      </c>
    </row>
    <row r="34" spans="1:14" x14ac:dyDescent="0.2">
      <c r="A34" s="18" t="s">
        <v>7679</v>
      </c>
      <c r="B34">
        <v>6048</v>
      </c>
      <c r="C34">
        <v>5038</v>
      </c>
      <c r="D34">
        <v>3960</v>
      </c>
      <c r="E34">
        <v>2628</v>
      </c>
      <c r="F34">
        <v>1504</v>
      </c>
      <c r="G34">
        <v>2236</v>
      </c>
      <c r="H34">
        <v>2616</v>
      </c>
      <c r="I34">
        <v>1384</v>
      </c>
      <c r="J34">
        <v>1475</v>
      </c>
      <c r="K34">
        <v>2295</v>
      </c>
      <c r="L34">
        <v>3921</v>
      </c>
      <c r="M34">
        <v>6394</v>
      </c>
      <c r="N34">
        <v>39499</v>
      </c>
    </row>
    <row r="35" spans="1:14" x14ac:dyDescent="0.2">
      <c r="A35" s="18" t="s">
        <v>7689</v>
      </c>
      <c r="B35">
        <v>2531</v>
      </c>
      <c r="C35">
        <v>3164</v>
      </c>
      <c r="D35">
        <v>3874</v>
      </c>
      <c r="E35">
        <v>3570</v>
      </c>
      <c r="F35">
        <v>1868</v>
      </c>
      <c r="G35">
        <v>1290</v>
      </c>
      <c r="H35">
        <v>4878</v>
      </c>
      <c r="I35">
        <v>2899</v>
      </c>
      <c r="J35">
        <v>2556</v>
      </c>
      <c r="K35">
        <v>3083</v>
      </c>
      <c r="L35">
        <v>4726</v>
      </c>
      <c r="M35">
        <v>3127</v>
      </c>
      <c r="N35">
        <v>37566</v>
      </c>
    </row>
    <row r="36" spans="1:14" x14ac:dyDescent="0.2">
      <c r="A36" s="18" t="s">
        <v>7678</v>
      </c>
      <c r="B36">
        <v>3764</v>
      </c>
      <c r="C36">
        <v>4068</v>
      </c>
      <c r="D36">
        <v>2922</v>
      </c>
      <c r="E36">
        <v>2337</v>
      </c>
      <c r="F36">
        <v>989</v>
      </c>
      <c r="G36">
        <v>2767</v>
      </c>
      <c r="H36">
        <v>5197</v>
      </c>
      <c r="I36">
        <v>1235</v>
      </c>
      <c r="J36">
        <v>1384</v>
      </c>
      <c r="K36">
        <v>1791</v>
      </c>
      <c r="L36">
        <v>2904</v>
      </c>
      <c r="M36">
        <v>3906</v>
      </c>
      <c r="N36">
        <v>33264</v>
      </c>
    </row>
    <row r="37" spans="1:14" x14ac:dyDescent="0.2">
      <c r="A37" s="18" t="s">
        <v>7694</v>
      </c>
      <c r="B37">
        <v>135</v>
      </c>
      <c r="C37">
        <v>120</v>
      </c>
      <c r="D37">
        <v>102</v>
      </c>
      <c r="E37">
        <v>148</v>
      </c>
      <c r="F37">
        <v>163</v>
      </c>
      <c r="G37">
        <v>121</v>
      </c>
      <c r="H37">
        <v>163</v>
      </c>
      <c r="I37">
        <v>123</v>
      </c>
      <c r="J37">
        <v>143</v>
      </c>
      <c r="K37">
        <v>189</v>
      </c>
      <c r="L37">
        <v>198</v>
      </c>
      <c r="M37">
        <v>200</v>
      </c>
      <c r="N37">
        <v>1805</v>
      </c>
    </row>
    <row r="38" spans="1:14" x14ac:dyDescent="0.2">
      <c r="A38" s="18" t="s">
        <v>7699</v>
      </c>
      <c r="B38">
        <v>2070466</v>
      </c>
      <c r="C38">
        <v>1893933</v>
      </c>
      <c r="D38">
        <v>2054309</v>
      </c>
      <c r="E38">
        <v>1654681</v>
      </c>
      <c r="F38">
        <v>1528352</v>
      </c>
      <c r="G38">
        <v>1462867</v>
      </c>
      <c r="H38">
        <v>1562588</v>
      </c>
      <c r="I38">
        <v>1684972</v>
      </c>
      <c r="J38">
        <v>1523388</v>
      </c>
      <c r="K38">
        <v>1732942</v>
      </c>
      <c r="L38">
        <v>1978174</v>
      </c>
      <c r="M38">
        <v>2021619</v>
      </c>
      <c r="N38">
        <v>21168291</v>
      </c>
    </row>
    <row r="41" spans="1:14" x14ac:dyDescent="0.2">
      <c r="B41">
        <f>SUM(N4:N37)</f>
        <v>21168291</v>
      </c>
    </row>
  </sheetData>
  <conditionalFormatting pivot="1" sqref="B4:M5 B7:M14 B16:M27 B29:M30 B32:M36">
    <cfRule type="expression" dxfId="7" priority="3">
      <formula>B4=MAX($B4:$M4)</formula>
    </cfRule>
  </conditionalFormatting>
  <conditionalFormatting pivot="1" sqref="N4:N5 N7:N14 N16:N27 N29:N30 N32:N36">
    <cfRule type="expression" dxfId="6" priority="2">
      <formula>N4=MAX($N$4:$N$32)</formula>
    </cfRule>
  </conditionalFormatting>
  <conditionalFormatting pivot="1">
    <cfRule type="expression" dxfId="5" priority="1">
      <formula>A1=MAX($B1:$M1)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C289-1924-FF48-B9ED-9D092ED317C2}">
  <dimension ref="A1:N34"/>
  <sheetViews>
    <sheetView zoomScale="75" workbookViewId="0">
      <selection activeCell="D34" sqref="D34"/>
    </sheetView>
  </sheetViews>
  <sheetFormatPr baseColWidth="10" defaultRowHeight="16" x14ac:dyDescent="0.2"/>
  <cols>
    <col min="1" max="1" width="19.83203125" bestFit="1" customWidth="1"/>
  </cols>
  <sheetData>
    <row r="1" spans="1:14" x14ac:dyDescent="0.2">
      <c r="A1" s="33" t="s">
        <v>7729</v>
      </c>
      <c r="B1" s="33" t="s">
        <v>7646</v>
      </c>
      <c r="C1" s="33" t="s">
        <v>7647</v>
      </c>
      <c r="D1" s="33" t="s">
        <v>7648</v>
      </c>
      <c r="E1" s="33" t="s">
        <v>7649</v>
      </c>
      <c r="F1" s="33" t="s">
        <v>7650</v>
      </c>
      <c r="G1" s="33" t="s">
        <v>7651</v>
      </c>
      <c r="H1" s="33" t="s">
        <v>7652</v>
      </c>
      <c r="I1" s="33" t="s">
        <v>7653</v>
      </c>
      <c r="J1" s="33" t="s">
        <v>7654</v>
      </c>
      <c r="K1" s="33" t="s">
        <v>7655</v>
      </c>
      <c r="L1" s="33" t="s">
        <v>7656</v>
      </c>
      <c r="M1" s="33" t="s">
        <v>7657</v>
      </c>
      <c r="N1" s="34" t="s">
        <v>7697</v>
      </c>
    </row>
    <row r="2" spans="1:14" x14ac:dyDescent="0.2">
      <c r="A2" s="35" t="s">
        <v>7660</v>
      </c>
      <c r="B2" s="36">
        <v>574950</v>
      </c>
      <c r="C2" s="36">
        <v>380745</v>
      </c>
      <c r="D2" s="36">
        <v>630898</v>
      </c>
      <c r="E2" s="36">
        <v>368074</v>
      </c>
      <c r="F2" s="36">
        <v>407572</v>
      </c>
      <c r="G2" s="36">
        <v>364801</v>
      </c>
      <c r="H2" s="36">
        <v>391051</v>
      </c>
      <c r="I2" s="36">
        <v>414247</v>
      </c>
      <c r="J2" s="36">
        <v>361627</v>
      </c>
      <c r="K2" s="36">
        <v>433390</v>
      </c>
      <c r="L2" s="36">
        <v>467090</v>
      </c>
      <c r="M2" s="36">
        <v>487557</v>
      </c>
      <c r="N2" s="36">
        <v>5282002</v>
      </c>
    </row>
    <row r="3" spans="1:14" x14ac:dyDescent="0.2">
      <c r="A3" s="35" t="s">
        <v>7667</v>
      </c>
      <c r="B3" s="36">
        <v>417116</v>
      </c>
      <c r="C3" s="36">
        <v>468026</v>
      </c>
      <c r="D3" s="36">
        <v>374989</v>
      </c>
      <c r="E3" s="36">
        <v>326140</v>
      </c>
      <c r="F3" s="36">
        <v>318572</v>
      </c>
      <c r="G3" s="36">
        <v>303130</v>
      </c>
      <c r="H3" s="36">
        <v>317070</v>
      </c>
      <c r="I3" s="36">
        <v>384167</v>
      </c>
      <c r="J3" s="36">
        <v>328530</v>
      </c>
      <c r="K3" s="36">
        <v>360941</v>
      </c>
      <c r="L3" s="36">
        <v>343998</v>
      </c>
      <c r="M3" s="36">
        <v>388732</v>
      </c>
      <c r="N3" s="36">
        <v>4331411</v>
      </c>
    </row>
    <row r="4" spans="1:14" x14ac:dyDescent="0.2">
      <c r="A4" s="35" t="s">
        <v>7664</v>
      </c>
      <c r="B4" s="36">
        <v>91373</v>
      </c>
      <c r="C4" s="36">
        <v>126929</v>
      </c>
      <c r="D4" s="36">
        <v>112215</v>
      </c>
      <c r="E4" s="36">
        <v>109697</v>
      </c>
      <c r="F4" s="36">
        <v>92683</v>
      </c>
      <c r="G4" s="36">
        <v>97089</v>
      </c>
      <c r="H4" s="36">
        <v>106653</v>
      </c>
      <c r="I4" s="36">
        <v>102543</v>
      </c>
      <c r="J4" s="36">
        <v>87218</v>
      </c>
      <c r="K4" s="36">
        <v>106865</v>
      </c>
      <c r="L4" s="36">
        <v>100149</v>
      </c>
      <c r="M4" s="36">
        <v>98096</v>
      </c>
      <c r="N4" s="36">
        <v>1231510</v>
      </c>
    </row>
    <row r="5" spans="1:14" x14ac:dyDescent="0.2">
      <c r="A5" s="35" t="s">
        <v>7674</v>
      </c>
      <c r="B5" s="36">
        <v>92538</v>
      </c>
      <c r="C5" s="36">
        <v>87676</v>
      </c>
      <c r="D5" s="36">
        <v>78356</v>
      </c>
      <c r="E5" s="36">
        <v>64892</v>
      </c>
      <c r="F5" s="36">
        <v>51955</v>
      </c>
      <c r="G5" s="36">
        <v>73715</v>
      </c>
      <c r="H5" s="36">
        <v>72509</v>
      </c>
      <c r="I5" s="36">
        <v>51166</v>
      </c>
      <c r="J5" s="36">
        <v>49769</v>
      </c>
      <c r="K5" s="36">
        <v>62083</v>
      </c>
      <c r="L5" s="36">
        <v>81044</v>
      </c>
      <c r="M5" s="36">
        <v>83024</v>
      </c>
      <c r="N5" s="36">
        <v>848727</v>
      </c>
    </row>
    <row r="6" spans="1:14" x14ac:dyDescent="0.2">
      <c r="A6" s="35" t="s">
        <v>7663</v>
      </c>
      <c r="B6" s="36">
        <v>72311</v>
      </c>
      <c r="C6" s="36">
        <v>75087</v>
      </c>
      <c r="D6" s="36">
        <v>78779</v>
      </c>
      <c r="E6" s="36">
        <v>54182</v>
      </c>
      <c r="F6" s="36">
        <v>61797</v>
      </c>
      <c r="G6" s="36">
        <v>51162</v>
      </c>
      <c r="H6" s="36">
        <v>55947</v>
      </c>
      <c r="I6" s="36">
        <v>90421</v>
      </c>
      <c r="J6" s="36">
        <v>78086</v>
      </c>
      <c r="K6" s="36">
        <v>60861</v>
      </c>
      <c r="L6" s="36">
        <v>75441</v>
      </c>
      <c r="M6" s="36">
        <v>60095</v>
      </c>
      <c r="N6" s="36">
        <v>814169</v>
      </c>
    </row>
    <row r="7" spans="1:14" x14ac:dyDescent="0.2">
      <c r="A7" s="35" t="s">
        <v>7666</v>
      </c>
      <c r="B7" s="36">
        <v>48536</v>
      </c>
      <c r="C7" s="36">
        <v>43678</v>
      </c>
      <c r="D7" s="36">
        <v>51141</v>
      </c>
      <c r="E7" s="36">
        <v>60541</v>
      </c>
      <c r="F7" s="36">
        <v>67629</v>
      </c>
      <c r="G7" s="36">
        <v>65993</v>
      </c>
      <c r="H7" s="36">
        <v>49599</v>
      </c>
      <c r="I7" s="36">
        <v>56131</v>
      </c>
      <c r="J7" s="36">
        <v>61395</v>
      </c>
      <c r="K7" s="36">
        <v>70325</v>
      </c>
      <c r="L7" s="36">
        <v>80878</v>
      </c>
      <c r="M7" s="36">
        <v>90634</v>
      </c>
      <c r="N7" s="36">
        <v>746480</v>
      </c>
    </row>
    <row r="8" spans="1:14" x14ac:dyDescent="0.2">
      <c r="A8" s="35" t="s">
        <v>7677</v>
      </c>
      <c r="B8" s="36">
        <v>42515</v>
      </c>
      <c r="C8" s="36">
        <v>36500</v>
      </c>
      <c r="D8" s="36">
        <v>45639</v>
      </c>
      <c r="E8" s="36">
        <v>41806</v>
      </c>
      <c r="F8" s="36">
        <v>43671</v>
      </c>
      <c r="G8" s="36">
        <v>49718</v>
      </c>
      <c r="H8" s="36">
        <v>55289</v>
      </c>
      <c r="I8" s="36">
        <v>61534</v>
      </c>
      <c r="J8" s="36">
        <v>58489</v>
      </c>
      <c r="K8" s="36">
        <v>66534</v>
      </c>
      <c r="L8" s="36">
        <v>91145</v>
      </c>
      <c r="M8" s="36">
        <v>96874</v>
      </c>
      <c r="N8" s="36">
        <v>689714</v>
      </c>
    </row>
    <row r="9" spans="1:14" x14ac:dyDescent="0.2">
      <c r="A9" s="35" t="s">
        <v>7659</v>
      </c>
      <c r="B9" s="36">
        <v>100150</v>
      </c>
      <c r="C9" s="36">
        <v>41916</v>
      </c>
      <c r="D9" s="36">
        <v>91845</v>
      </c>
      <c r="E9" s="36">
        <v>45626</v>
      </c>
      <c r="F9" s="36">
        <v>44981</v>
      </c>
      <c r="G9" s="36">
        <v>35753</v>
      </c>
      <c r="H9" s="36">
        <v>41151</v>
      </c>
      <c r="I9" s="36">
        <v>43211</v>
      </c>
      <c r="J9" s="36">
        <v>45237</v>
      </c>
      <c r="K9" s="36">
        <v>59784</v>
      </c>
      <c r="L9" s="36">
        <v>64601</v>
      </c>
      <c r="M9" s="36">
        <v>72877</v>
      </c>
      <c r="N9" s="36">
        <v>687132</v>
      </c>
    </row>
    <row r="10" spans="1:14" x14ac:dyDescent="0.2">
      <c r="A10" s="35" t="s">
        <v>7669</v>
      </c>
      <c r="B10" s="36">
        <v>42935</v>
      </c>
      <c r="C10" s="36">
        <v>60051</v>
      </c>
      <c r="D10" s="36">
        <v>38114</v>
      </c>
      <c r="E10" s="36">
        <v>41239</v>
      </c>
      <c r="F10" s="36">
        <v>38178</v>
      </c>
      <c r="G10" s="36">
        <v>46352</v>
      </c>
      <c r="H10" s="36">
        <v>36933</v>
      </c>
      <c r="I10" s="36">
        <v>40246</v>
      </c>
      <c r="J10" s="36">
        <v>61214</v>
      </c>
      <c r="K10" s="36">
        <v>49261</v>
      </c>
      <c r="L10" s="36">
        <v>55507</v>
      </c>
      <c r="M10" s="36">
        <v>63686</v>
      </c>
      <c r="N10" s="36">
        <v>573716</v>
      </c>
    </row>
    <row r="11" spans="1:14" x14ac:dyDescent="0.2">
      <c r="A11" s="35" t="s">
        <v>7693</v>
      </c>
      <c r="B11" s="36">
        <v>66504</v>
      </c>
      <c r="C11" s="36">
        <v>38313</v>
      </c>
      <c r="D11" s="36">
        <v>42303</v>
      </c>
      <c r="E11" s="36">
        <v>58379</v>
      </c>
      <c r="F11" s="36">
        <v>35597</v>
      </c>
      <c r="G11" s="36">
        <v>34869</v>
      </c>
      <c r="H11" s="36">
        <v>47701</v>
      </c>
      <c r="I11" s="36">
        <v>34313</v>
      </c>
      <c r="J11" s="36">
        <v>43255</v>
      </c>
      <c r="K11" s="36">
        <v>46236</v>
      </c>
      <c r="L11" s="36">
        <v>48410</v>
      </c>
      <c r="M11" s="36">
        <v>52591</v>
      </c>
      <c r="N11" s="36">
        <v>548471</v>
      </c>
    </row>
    <row r="12" spans="1:14" x14ac:dyDescent="0.2">
      <c r="A12" s="37" t="s">
        <v>7661</v>
      </c>
      <c r="B12" s="36">
        <v>34578</v>
      </c>
      <c r="C12" s="36">
        <v>30003</v>
      </c>
      <c r="D12" s="36">
        <v>31673</v>
      </c>
      <c r="E12" s="36">
        <v>39697</v>
      </c>
      <c r="F12" s="36">
        <v>39578</v>
      </c>
      <c r="G12" s="36">
        <v>42104</v>
      </c>
      <c r="H12" s="36">
        <v>37034</v>
      </c>
      <c r="I12" s="36">
        <v>40712</v>
      </c>
      <c r="J12" s="36">
        <v>41372</v>
      </c>
      <c r="K12" s="36">
        <v>43392</v>
      </c>
      <c r="L12" s="36">
        <v>50702</v>
      </c>
      <c r="M12" s="36">
        <v>51328</v>
      </c>
      <c r="N12" s="36">
        <v>482173</v>
      </c>
    </row>
    <row r="13" spans="1:14" x14ac:dyDescent="0.2">
      <c r="A13" s="37" t="s">
        <v>7668</v>
      </c>
      <c r="B13" s="36">
        <v>40464</v>
      </c>
      <c r="C13" s="36">
        <v>37518</v>
      </c>
      <c r="D13" s="36">
        <v>46147</v>
      </c>
      <c r="E13" s="36">
        <v>44759</v>
      </c>
      <c r="F13" s="36">
        <v>36929</v>
      </c>
      <c r="G13" s="36">
        <v>30154</v>
      </c>
      <c r="H13" s="36">
        <v>29125</v>
      </c>
      <c r="I13" s="36">
        <v>31279</v>
      </c>
      <c r="J13" s="36">
        <v>30142</v>
      </c>
      <c r="K13" s="36">
        <v>47694</v>
      </c>
      <c r="L13" s="36">
        <v>40797</v>
      </c>
      <c r="M13" s="36">
        <v>42767</v>
      </c>
      <c r="N13" s="36">
        <v>457775</v>
      </c>
    </row>
    <row r="14" spans="1:14" x14ac:dyDescent="0.2">
      <c r="A14" s="37" t="s">
        <v>7670</v>
      </c>
      <c r="B14" s="36">
        <v>25817</v>
      </c>
      <c r="C14" s="36">
        <v>25851</v>
      </c>
      <c r="D14" s="36">
        <v>30813</v>
      </c>
      <c r="E14" s="36">
        <v>27666</v>
      </c>
      <c r="F14" s="36">
        <v>28498</v>
      </c>
      <c r="G14" s="36">
        <v>40364</v>
      </c>
      <c r="H14" s="36">
        <v>26997</v>
      </c>
      <c r="I14" s="36">
        <v>29169</v>
      </c>
      <c r="J14" s="36">
        <v>33012</v>
      </c>
      <c r="K14" s="36">
        <v>32506</v>
      </c>
      <c r="L14" s="36">
        <v>39672</v>
      </c>
      <c r="M14" s="36">
        <v>61055</v>
      </c>
      <c r="N14" s="36">
        <v>401420</v>
      </c>
    </row>
    <row r="15" spans="1:14" x14ac:dyDescent="0.2">
      <c r="A15" s="37" t="s">
        <v>7685</v>
      </c>
      <c r="B15" s="36">
        <v>33435</v>
      </c>
      <c r="C15" s="36">
        <v>39148</v>
      </c>
      <c r="D15" s="36">
        <v>41026</v>
      </c>
      <c r="E15" s="36">
        <v>41779</v>
      </c>
      <c r="F15" s="36">
        <v>23659</v>
      </c>
      <c r="G15" s="36">
        <v>20319</v>
      </c>
      <c r="H15" s="36">
        <v>26248</v>
      </c>
      <c r="I15" s="36">
        <v>27901</v>
      </c>
      <c r="J15" s="36">
        <v>19751</v>
      </c>
      <c r="K15" s="36">
        <v>27736</v>
      </c>
      <c r="L15" s="36">
        <v>36548</v>
      </c>
      <c r="M15" s="36">
        <v>30768</v>
      </c>
      <c r="N15" s="36">
        <v>368318</v>
      </c>
    </row>
    <row r="16" spans="1:14" x14ac:dyDescent="0.2">
      <c r="A16" s="37" t="s">
        <v>7684</v>
      </c>
      <c r="B16" s="36">
        <v>28012</v>
      </c>
      <c r="C16" s="36">
        <v>35034</v>
      </c>
      <c r="D16" s="36">
        <v>39370</v>
      </c>
      <c r="E16" s="36">
        <v>35220</v>
      </c>
      <c r="F16" s="36">
        <v>22528</v>
      </c>
      <c r="G16" s="36">
        <v>13590</v>
      </c>
      <c r="H16" s="36">
        <v>24534</v>
      </c>
      <c r="I16" s="36">
        <v>28333</v>
      </c>
      <c r="J16" s="36">
        <v>17026</v>
      </c>
      <c r="K16" s="36">
        <v>26552</v>
      </c>
      <c r="L16" s="36">
        <v>38957</v>
      </c>
      <c r="M16" s="36">
        <v>28573</v>
      </c>
      <c r="N16" s="36">
        <v>337729</v>
      </c>
    </row>
    <row r="17" spans="1:14" x14ac:dyDescent="0.2">
      <c r="A17" s="37" t="s">
        <v>7681</v>
      </c>
      <c r="B17" s="36">
        <v>27994</v>
      </c>
      <c r="C17" s="36">
        <v>33331</v>
      </c>
      <c r="D17" s="36">
        <v>34935</v>
      </c>
      <c r="E17" s="36">
        <v>28579</v>
      </c>
      <c r="F17" s="36">
        <v>14615</v>
      </c>
      <c r="G17" s="36">
        <v>11396</v>
      </c>
      <c r="H17" s="36">
        <v>16081</v>
      </c>
      <c r="I17" s="36">
        <v>22419</v>
      </c>
      <c r="J17" s="36">
        <v>16900</v>
      </c>
      <c r="K17" s="36">
        <v>22758</v>
      </c>
      <c r="L17" s="36">
        <v>34457</v>
      </c>
      <c r="M17" s="36">
        <v>27574</v>
      </c>
      <c r="N17" s="36">
        <v>291039</v>
      </c>
    </row>
    <row r="18" spans="1:14" x14ac:dyDescent="0.2">
      <c r="A18" s="37" t="s">
        <v>7665</v>
      </c>
      <c r="B18" s="36">
        <v>19274</v>
      </c>
      <c r="C18" s="36">
        <v>16676</v>
      </c>
      <c r="D18" s="36">
        <v>12876</v>
      </c>
      <c r="E18" s="36">
        <v>23535</v>
      </c>
      <c r="F18" s="36">
        <v>17624</v>
      </c>
      <c r="G18" s="36">
        <v>16879</v>
      </c>
      <c r="H18" s="36">
        <v>16784</v>
      </c>
      <c r="I18" s="36">
        <v>14553</v>
      </c>
      <c r="J18" s="36">
        <v>16655</v>
      </c>
      <c r="K18" s="36">
        <v>15495</v>
      </c>
      <c r="L18" s="36">
        <v>18820</v>
      </c>
      <c r="M18" s="36">
        <v>18025</v>
      </c>
      <c r="N18" s="36">
        <v>207196</v>
      </c>
    </row>
    <row r="19" spans="1:14" x14ac:dyDescent="0.2">
      <c r="A19" s="37" t="s">
        <v>7662</v>
      </c>
      <c r="B19" s="36">
        <v>15072</v>
      </c>
      <c r="C19" s="36">
        <v>18511</v>
      </c>
      <c r="D19" s="36">
        <v>17260</v>
      </c>
      <c r="E19" s="36">
        <v>11871</v>
      </c>
      <c r="F19" s="36">
        <v>12183</v>
      </c>
      <c r="G19" s="36">
        <v>13786</v>
      </c>
      <c r="H19" s="36">
        <v>25906</v>
      </c>
      <c r="I19" s="36">
        <v>19918</v>
      </c>
      <c r="J19" s="36">
        <v>13076</v>
      </c>
      <c r="K19" s="36">
        <v>10598</v>
      </c>
      <c r="L19" s="36">
        <v>10283</v>
      </c>
      <c r="M19" s="36">
        <v>10876</v>
      </c>
      <c r="N19" s="36">
        <v>179340</v>
      </c>
    </row>
    <row r="20" spans="1:14" x14ac:dyDescent="0.2">
      <c r="A20" s="37" t="s">
        <v>7673</v>
      </c>
      <c r="B20" s="36">
        <v>18785</v>
      </c>
      <c r="C20" s="36">
        <v>21950</v>
      </c>
      <c r="D20" s="36">
        <v>19389</v>
      </c>
      <c r="E20" s="36">
        <v>14265</v>
      </c>
      <c r="F20" s="36">
        <v>11170</v>
      </c>
      <c r="G20" s="36">
        <v>7441</v>
      </c>
      <c r="H20" s="36">
        <v>10003</v>
      </c>
      <c r="I20" s="36">
        <v>9540</v>
      </c>
      <c r="J20" s="36">
        <v>8963</v>
      </c>
      <c r="K20" s="36">
        <v>13392</v>
      </c>
      <c r="L20" s="36">
        <v>20881</v>
      </c>
      <c r="M20" s="36">
        <v>17612</v>
      </c>
      <c r="N20" s="36">
        <v>173391</v>
      </c>
    </row>
    <row r="21" spans="1:14" x14ac:dyDescent="0.2">
      <c r="A21" s="37" t="s">
        <v>7682</v>
      </c>
      <c r="B21" s="36">
        <v>11490</v>
      </c>
      <c r="C21" s="36">
        <v>9699</v>
      </c>
      <c r="D21" s="36">
        <v>10544</v>
      </c>
      <c r="E21" s="36">
        <v>10763</v>
      </c>
      <c r="F21" s="36">
        <v>4946</v>
      </c>
      <c r="G21" s="36">
        <v>3866</v>
      </c>
      <c r="H21" s="36">
        <v>5491</v>
      </c>
      <c r="I21" s="36">
        <v>16210</v>
      </c>
      <c r="J21" s="36">
        <v>5576</v>
      </c>
      <c r="K21" s="36">
        <v>6674</v>
      </c>
      <c r="L21" s="36">
        <v>12609</v>
      </c>
      <c r="M21" s="36">
        <v>9490</v>
      </c>
      <c r="N21" s="36">
        <v>107358</v>
      </c>
    </row>
    <row r="22" spans="1:14" x14ac:dyDescent="0.2">
      <c r="A22" s="37" t="s">
        <v>7688</v>
      </c>
      <c r="B22" s="36">
        <v>5584</v>
      </c>
      <c r="C22" s="36">
        <v>6052</v>
      </c>
      <c r="D22" s="36">
        <v>6430</v>
      </c>
      <c r="E22" s="36">
        <v>7256</v>
      </c>
      <c r="F22" s="36">
        <v>5562</v>
      </c>
      <c r="G22" s="36">
        <v>5152</v>
      </c>
      <c r="H22" s="36">
        <v>8340</v>
      </c>
      <c r="I22" s="36">
        <v>15922</v>
      </c>
      <c r="J22" s="36">
        <v>8240</v>
      </c>
      <c r="K22" s="36">
        <v>8846</v>
      </c>
      <c r="L22" s="36">
        <v>12270</v>
      </c>
      <c r="M22" s="36">
        <v>7788</v>
      </c>
      <c r="N22" s="36">
        <v>97442</v>
      </c>
    </row>
    <row r="23" spans="1:14" x14ac:dyDescent="0.2">
      <c r="A23" s="37" t="s">
        <v>7687</v>
      </c>
      <c r="B23" s="36">
        <v>7595</v>
      </c>
      <c r="C23" s="36">
        <v>8525</v>
      </c>
      <c r="D23" s="36">
        <v>8870</v>
      </c>
      <c r="E23" s="36">
        <v>8503</v>
      </c>
      <c r="F23" s="36">
        <v>5126</v>
      </c>
      <c r="G23" s="36">
        <v>3878</v>
      </c>
      <c r="H23" s="36">
        <v>11913</v>
      </c>
      <c r="I23" s="36">
        <v>8690</v>
      </c>
      <c r="J23" s="36">
        <v>5109</v>
      </c>
      <c r="K23" s="36">
        <v>6473</v>
      </c>
      <c r="L23" s="36">
        <v>9482</v>
      </c>
      <c r="M23" s="36">
        <v>7545</v>
      </c>
      <c r="N23" s="36">
        <v>91709</v>
      </c>
    </row>
    <row r="24" spans="1:14" x14ac:dyDescent="0.2">
      <c r="A24" s="37" t="s">
        <v>7680</v>
      </c>
      <c r="B24" s="36">
        <v>8678</v>
      </c>
      <c r="C24" s="36">
        <v>12653</v>
      </c>
      <c r="D24" s="36">
        <v>9674</v>
      </c>
      <c r="E24" s="36">
        <v>3656</v>
      </c>
      <c r="F24" s="36">
        <v>2246</v>
      </c>
      <c r="G24" s="36">
        <v>1406</v>
      </c>
      <c r="H24" s="36">
        <v>2128</v>
      </c>
      <c r="I24" s="36">
        <v>2478</v>
      </c>
      <c r="J24" s="36">
        <v>3044</v>
      </c>
      <c r="K24" s="36">
        <v>3582</v>
      </c>
      <c r="L24" s="36">
        <v>12737</v>
      </c>
      <c r="M24" s="36">
        <v>10646</v>
      </c>
      <c r="N24" s="36">
        <v>72928</v>
      </c>
    </row>
    <row r="25" spans="1:14" x14ac:dyDescent="0.2">
      <c r="A25" s="37" t="s">
        <v>7692</v>
      </c>
      <c r="B25" s="36">
        <v>5604</v>
      </c>
      <c r="C25" s="36">
        <v>3031</v>
      </c>
      <c r="D25" s="36">
        <v>3978</v>
      </c>
      <c r="E25" s="36">
        <v>6691</v>
      </c>
      <c r="F25" s="36">
        <v>3960</v>
      </c>
      <c r="G25" s="36">
        <v>4226</v>
      </c>
      <c r="H25" s="36">
        <v>5409</v>
      </c>
      <c r="I25" s="36">
        <v>4387</v>
      </c>
      <c r="J25" s="36">
        <v>5284</v>
      </c>
      <c r="K25" s="36">
        <v>4731</v>
      </c>
      <c r="L25" s="36">
        <v>5055</v>
      </c>
      <c r="M25" s="36">
        <v>4772</v>
      </c>
      <c r="N25" s="36">
        <v>57128</v>
      </c>
    </row>
    <row r="26" spans="1:14" x14ac:dyDescent="0.2">
      <c r="A26" s="37" t="s">
        <v>7683</v>
      </c>
      <c r="B26" s="36">
        <v>4898</v>
      </c>
      <c r="C26" s="36">
        <v>6120</v>
      </c>
      <c r="D26" s="36">
        <v>5158</v>
      </c>
      <c r="E26" s="36">
        <v>4013</v>
      </c>
      <c r="F26" s="36">
        <v>1694</v>
      </c>
      <c r="G26" s="36">
        <v>1301</v>
      </c>
      <c r="H26" s="36">
        <v>4536</v>
      </c>
      <c r="I26" s="36">
        <v>1603</v>
      </c>
      <c r="J26" s="36">
        <v>1778</v>
      </c>
      <c r="K26" s="36">
        <v>2946</v>
      </c>
      <c r="L26" s="36">
        <v>3454</v>
      </c>
      <c r="M26" s="36">
        <v>3909</v>
      </c>
      <c r="N26" s="36">
        <v>41410</v>
      </c>
    </row>
    <row r="27" spans="1:14" x14ac:dyDescent="0.2">
      <c r="A27" s="37" t="s">
        <v>7686</v>
      </c>
      <c r="B27" s="36">
        <v>3999</v>
      </c>
      <c r="C27" s="36">
        <v>4172</v>
      </c>
      <c r="D27" s="36">
        <v>3734</v>
      </c>
      <c r="E27" s="36">
        <v>4497</v>
      </c>
      <c r="F27" s="36">
        <v>1648</v>
      </c>
      <c r="G27" s="36">
        <v>1441</v>
      </c>
      <c r="H27" s="36">
        <v>3664</v>
      </c>
      <c r="I27" s="36">
        <v>2023</v>
      </c>
      <c r="J27" s="36">
        <v>1987</v>
      </c>
      <c r="K27" s="36">
        <v>3317</v>
      </c>
      <c r="L27" s="36">
        <v>4886</v>
      </c>
      <c r="M27" s="36">
        <v>4507</v>
      </c>
      <c r="N27" s="36">
        <v>39875</v>
      </c>
    </row>
    <row r="28" spans="1:14" x14ac:dyDescent="0.2">
      <c r="A28" s="37" t="s">
        <v>7679</v>
      </c>
      <c r="B28" s="36">
        <v>6048</v>
      </c>
      <c r="C28" s="36">
        <v>5038</v>
      </c>
      <c r="D28" s="36">
        <v>3960</v>
      </c>
      <c r="E28" s="36">
        <v>2628</v>
      </c>
      <c r="F28" s="36">
        <v>1504</v>
      </c>
      <c r="G28" s="36">
        <v>2236</v>
      </c>
      <c r="H28" s="36">
        <v>2616</v>
      </c>
      <c r="I28" s="36">
        <v>1384</v>
      </c>
      <c r="J28" s="36">
        <v>1475</v>
      </c>
      <c r="K28" s="36">
        <v>2295</v>
      </c>
      <c r="L28" s="36">
        <v>3921</v>
      </c>
      <c r="M28" s="36">
        <v>6394</v>
      </c>
      <c r="N28" s="36">
        <v>39499</v>
      </c>
    </row>
    <row r="29" spans="1:14" x14ac:dyDescent="0.2">
      <c r="A29" s="37" t="s">
        <v>7689</v>
      </c>
      <c r="B29" s="36">
        <v>2531</v>
      </c>
      <c r="C29" s="36">
        <v>3164</v>
      </c>
      <c r="D29" s="36">
        <v>3874</v>
      </c>
      <c r="E29" s="36">
        <v>3570</v>
      </c>
      <c r="F29" s="36">
        <v>1868</v>
      </c>
      <c r="G29" s="36">
        <v>1290</v>
      </c>
      <c r="H29" s="36">
        <v>4878</v>
      </c>
      <c r="I29" s="36">
        <v>2899</v>
      </c>
      <c r="J29" s="36">
        <v>2556</v>
      </c>
      <c r="K29" s="36">
        <v>3083</v>
      </c>
      <c r="L29" s="36">
        <v>4726</v>
      </c>
      <c r="M29" s="36">
        <v>3127</v>
      </c>
      <c r="N29" s="36">
        <v>37566</v>
      </c>
    </row>
    <row r="30" spans="1:14" x14ac:dyDescent="0.2">
      <c r="A30" s="37" t="s">
        <v>7678</v>
      </c>
      <c r="B30" s="36">
        <v>3764</v>
      </c>
      <c r="C30" s="36">
        <v>4068</v>
      </c>
      <c r="D30" s="36">
        <v>2922</v>
      </c>
      <c r="E30" s="36">
        <v>2337</v>
      </c>
      <c r="F30" s="36">
        <v>989</v>
      </c>
      <c r="G30" s="36">
        <v>2767</v>
      </c>
      <c r="H30" s="36">
        <v>5197</v>
      </c>
      <c r="I30" s="36">
        <v>1235</v>
      </c>
      <c r="J30" s="36">
        <v>1384</v>
      </c>
      <c r="K30" s="36">
        <v>1791</v>
      </c>
      <c r="L30" s="36">
        <v>2904</v>
      </c>
      <c r="M30" s="36">
        <v>3906</v>
      </c>
      <c r="N30" s="36">
        <v>33264</v>
      </c>
    </row>
    <row r="31" spans="1:14" x14ac:dyDescent="0.2">
      <c r="A31" s="18"/>
    </row>
    <row r="32" spans="1:14" x14ac:dyDescent="0.2">
      <c r="M32" s="19" t="s">
        <v>7751</v>
      </c>
      <c r="N32" s="19">
        <v>21168291</v>
      </c>
    </row>
    <row r="34" spans="4:4" x14ac:dyDescent="0.2">
      <c r="D34">
        <f>(N2)/N32</f>
        <v>0.24952425304432937</v>
      </c>
    </row>
  </sheetData>
  <phoneticPr fontId="18" type="noConversion"/>
  <conditionalFormatting sqref="B2:M30">
    <cfRule type="expression" dxfId="1" priority="4">
      <formula>B2=MAX($B2:$M2)</formula>
    </cfRule>
  </conditionalFormatting>
  <conditionalFormatting sqref="N2:N32">
    <cfRule type="expression" dxfId="0" priority="18">
      <formula>N2=MAX($N$2:$N$31)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EBE3B-2928-4940-AC58-7DE3C5DA424E}">
  <dimension ref="A1:N41"/>
  <sheetViews>
    <sheetView zoomScale="114"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B22" sqref="B22"/>
    </sheetView>
  </sheetViews>
  <sheetFormatPr baseColWidth="10" defaultColWidth="11" defaultRowHeight="16" outlineLevelRow="1" x14ac:dyDescent="0.2"/>
  <cols>
    <col min="1" max="1" width="19.83203125" bestFit="1" customWidth="1"/>
    <col min="10" max="10" width="12.5" customWidth="1"/>
    <col min="12" max="12" width="12" customWidth="1"/>
    <col min="13" max="13" width="12.1640625" customWidth="1"/>
  </cols>
  <sheetData>
    <row r="1" spans="1:14" x14ac:dyDescent="0.2">
      <c r="A1" t="s">
        <v>7645</v>
      </c>
      <c r="B1" t="s">
        <v>7646</v>
      </c>
      <c r="C1" t="s">
        <v>7647</v>
      </c>
      <c r="D1" t="s">
        <v>7648</v>
      </c>
      <c r="E1" t="s">
        <v>7649</v>
      </c>
      <c r="F1" t="s">
        <v>7650</v>
      </c>
      <c r="G1" t="s">
        <v>7651</v>
      </c>
      <c r="H1" t="s">
        <v>7652</v>
      </c>
      <c r="I1" t="s">
        <v>7653</v>
      </c>
      <c r="J1" t="s">
        <v>7654</v>
      </c>
      <c r="K1" t="s">
        <v>7655</v>
      </c>
      <c r="L1" t="s">
        <v>7656</v>
      </c>
      <c r="M1" t="s">
        <v>7657</v>
      </c>
      <c r="N1" t="s">
        <v>7697</v>
      </c>
    </row>
    <row r="2" spans="1:14" x14ac:dyDescent="0.2">
      <c r="A2" s="5" t="s">
        <v>7658</v>
      </c>
      <c r="B2" s="6">
        <f t="shared" ref="B2:L2" si="0">SUM(B3:B15)</f>
        <v>1606888</v>
      </c>
      <c r="C2" s="6">
        <f t="shared" si="0"/>
        <v>1491673</v>
      </c>
      <c r="D2" s="6">
        <f t="shared" si="0"/>
        <v>1614360</v>
      </c>
      <c r="E2" s="6">
        <f t="shared" si="0"/>
        <v>1250571</v>
      </c>
      <c r="F2" s="6">
        <f t="shared" si="0"/>
        <v>1253268</v>
      </c>
      <c r="G2" s="6">
        <f t="shared" si="0"/>
        <v>1195406</v>
      </c>
      <c r="H2" s="6">
        <f t="shared" si="0"/>
        <v>1225257</v>
      </c>
      <c r="I2" s="6">
        <f t="shared" si="0"/>
        <v>1360039</v>
      </c>
      <c r="J2" s="6">
        <f t="shared" si="0"/>
        <v>1244379</v>
      </c>
      <c r="K2" s="6">
        <f t="shared" si="0"/>
        <v>1376126</v>
      </c>
      <c r="L2" s="6">
        <f t="shared" si="0"/>
        <v>1477295</v>
      </c>
      <c r="M2" s="6">
        <v>1533979</v>
      </c>
      <c r="N2" s="22">
        <f>SUM(Table1[[#This Row],[January]:[December]])</f>
        <v>16629241</v>
      </c>
    </row>
    <row r="3" spans="1:14" outlineLevel="1" x14ac:dyDescent="0.2">
      <c r="A3" t="s">
        <v>7659</v>
      </c>
      <c r="B3">
        <v>100150</v>
      </c>
      <c r="C3">
        <v>41916</v>
      </c>
      <c r="D3">
        <v>91845</v>
      </c>
      <c r="E3">
        <v>45626</v>
      </c>
      <c r="F3">
        <v>44981</v>
      </c>
      <c r="G3">
        <v>35753</v>
      </c>
      <c r="H3">
        <v>41151</v>
      </c>
      <c r="I3">
        <v>43211</v>
      </c>
      <c r="J3">
        <v>45237</v>
      </c>
      <c r="K3">
        <v>59784</v>
      </c>
      <c r="L3">
        <v>64601</v>
      </c>
      <c r="M3">
        <v>72877</v>
      </c>
      <c r="N3" s="22">
        <f>SUM(Table1[[#This Row],[January]:[December]])</f>
        <v>687132</v>
      </c>
    </row>
    <row r="4" spans="1:14" outlineLevel="1" x14ac:dyDescent="0.2">
      <c r="A4" t="s">
        <v>7660</v>
      </c>
      <c r="B4">
        <v>574950</v>
      </c>
      <c r="C4">
        <v>380745</v>
      </c>
      <c r="D4">
        <v>630898</v>
      </c>
      <c r="E4">
        <v>368074</v>
      </c>
      <c r="F4">
        <v>407572</v>
      </c>
      <c r="G4">
        <v>364801</v>
      </c>
      <c r="H4">
        <v>391051</v>
      </c>
      <c r="I4">
        <v>414247</v>
      </c>
      <c r="J4">
        <v>361627</v>
      </c>
      <c r="K4">
        <v>433390</v>
      </c>
      <c r="L4">
        <v>467090</v>
      </c>
      <c r="M4">
        <v>487557</v>
      </c>
      <c r="N4" s="22">
        <f>SUM(Table1[[#This Row],[January]:[December]])</f>
        <v>5282002</v>
      </c>
    </row>
    <row r="5" spans="1:14" outlineLevel="1" x14ac:dyDescent="0.2">
      <c r="A5" t="s">
        <v>7661</v>
      </c>
      <c r="B5">
        <v>34578</v>
      </c>
      <c r="C5">
        <v>30003</v>
      </c>
      <c r="D5">
        <v>31673</v>
      </c>
      <c r="E5">
        <v>39697</v>
      </c>
      <c r="F5">
        <v>39578</v>
      </c>
      <c r="G5">
        <v>42104</v>
      </c>
      <c r="H5">
        <v>37034</v>
      </c>
      <c r="I5">
        <v>40712</v>
      </c>
      <c r="J5">
        <v>41372</v>
      </c>
      <c r="K5">
        <v>43392</v>
      </c>
      <c r="L5">
        <v>50702</v>
      </c>
      <c r="M5">
        <v>51328</v>
      </c>
      <c r="N5" s="22">
        <f>SUM(Table1[[#This Row],[January]:[December]])</f>
        <v>482173</v>
      </c>
    </row>
    <row r="6" spans="1:14" outlineLevel="1" x14ac:dyDescent="0.2">
      <c r="A6" t="s">
        <v>7662</v>
      </c>
      <c r="B6">
        <v>15072</v>
      </c>
      <c r="C6">
        <v>18511</v>
      </c>
      <c r="D6">
        <v>17260</v>
      </c>
      <c r="E6">
        <v>11871</v>
      </c>
      <c r="F6">
        <v>12183</v>
      </c>
      <c r="G6">
        <v>13786</v>
      </c>
      <c r="H6">
        <v>25906</v>
      </c>
      <c r="I6">
        <v>19918</v>
      </c>
      <c r="J6">
        <v>13076</v>
      </c>
      <c r="K6">
        <v>10598</v>
      </c>
      <c r="L6">
        <v>10283</v>
      </c>
      <c r="M6">
        <v>10876</v>
      </c>
      <c r="N6" s="22">
        <f>SUM(Table1[[#This Row],[January]:[December]])</f>
        <v>179340</v>
      </c>
    </row>
    <row r="7" spans="1:14" outlineLevel="1" x14ac:dyDescent="0.2">
      <c r="A7" t="s">
        <v>7663</v>
      </c>
      <c r="B7">
        <v>72311</v>
      </c>
      <c r="C7">
        <v>75087</v>
      </c>
      <c r="D7">
        <v>78779</v>
      </c>
      <c r="E7">
        <v>54182</v>
      </c>
      <c r="F7">
        <v>61797</v>
      </c>
      <c r="G7">
        <v>51162</v>
      </c>
      <c r="H7">
        <v>55947</v>
      </c>
      <c r="I7">
        <v>90421</v>
      </c>
      <c r="J7">
        <v>78086</v>
      </c>
      <c r="K7">
        <v>60861</v>
      </c>
      <c r="L7">
        <v>75441</v>
      </c>
      <c r="M7">
        <v>60095</v>
      </c>
      <c r="N7" s="22">
        <f>SUM(Table1[[#This Row],[January]:[December]])</f>
        <v>814169</v>
      </c>
    </row>
    <row r="8" spans="1:14" outlineLevel="1" x14ac:dyDescent="0.2">
      <c r="A8" t="s">
        <v>7664</v>
      </c>
      <c r="B8">
        <v>91373</v>
      </c>
      <c r="C8">
        <v>126929</v>
      </c>
      <c r="D8">
        <v>112215</v>
      </c>
      <c r="E8">
        <v>109697</v>
      </c>
      <c r="F8">
        <v>92683</v>
      </c>
      <c r="G8">
        <v>97089</v>
      </c>
      <c r="H8">
        <v>106653</v>
      </c>
      <c r="I8">
        <v>102543</v>
      </c>
      <c r="J8">
        <v>87218</v>
      </c>
      <c r="K8">
        <v>106865</v>
      </c>
      <c r="L8">
        <v>100149</v>
      </c>
      <c r="M8">
        <v>98096</v>
      </c>
      <c r="N8" s="22">
        <f>SUM(Table1[[#This Row],[January]:[December]])</f>
        <v>1231510</v>
      </c>
    </row>
    <row r="9" spans="1:14" outlineLevel="1" x14ac:dyDescent="0.2">
      <c r="A9" t="s">
        <v>7665</v>
      </c>
      <c r="B9">
        <v>19274</v>
      </c>
      <c r="C9">
        <v>16676</v>
      </c>
      <c r="D9">
        <v>12876</v>
      </c>
      <c r="E9">
        <v>23535</v>
      </c>
      <c r="F9">
        <v>17624</v>
      </c>
      <c r="G9">
        <v>16879</v>
      </c>
      <c r="H9">
        <v>16784</v>
      </c>
      <c r="I9">
        <v>14553</v>
      </c>
      <c r="J9">
        <v>16655</v>
      </c>
      <c r="K9">
        <v>15495</v>
      </c>
      <c r="L9">
        <v>18820</v>
      </c>
      <c r="M9">
        <v>18025</v>
      </c>
      <c r="N9" s="22">
        <f>SUM(Table1[[#This Row],[January]:[December]])</f>
        <v>207196</v>
      </c>
    </row>
    <row r="10" spans="1:14" outlineLevel="1" x14ac:dyDescent="0.2">
      <c r="A10" t="s">
        <v>7666</v>
      </c>
      <c r="B10">
        <v>48536</v>
      </c>
      <c r="C10">
        <v>43678</v>
      </c>
      <c r="D10">
        <v>51141</v>
      </c>
      <c r="E10">
        <v>60541</v>
      </c>
      <c r="F10">
        <v>67629</v>
      </c>
      <c r="G10">
        <v>65993</v>
      </c>
      <c r="H10">
        <v>49599</v>
      </c>
      <c r="I10">
        <v>56131</v>
      </c>
      <c r="J10">
        <v>61395</v>
      </c>
      <c r="K10">
        <v>70325</v>
      </c>
      <c r="L10">
        <v>80878</v>
      </c>
      <c r="M10">
        <v>90634</v>
      </c>
      <c r="N10" s="22">
        <f>SUM(Table1[[#This Row],[January]:[December]])</f>
        <v>746480</v>
      </c>
    </row>
    <row r="11" spans="1:14" outlineLevel="1" x14ac:dyDescent="0.2">
      <c r="A11" t="s">
        <v>7667</v>
      </c>
      <c r="B11">
        <v>417116</v>
      </c>
      <c r="C11">
        <v>468026</v>
      </c>
      <c r="D11">
        <v>374989</v>
      </c>
      <c r="E11">
        <v>326140</v>
      </c>
      <c r="F11">
        <v>318572</v>
      </c>
      <c r="G11">
        <v>303130</v>
      </c>
      <c r="H11">
        <v>317070</v>
      </c>
      <c r="I11">
        <v>384167</v>
      </c>
      <c r="J11">
        <v>328530</v>
      </c>
      <c r="K11">
        <v>360941</v>
      </c>
      <c r="L11">
        <v>343998</v>
      </c>
      <c r="M11">
        <v>388732</v>
      </c>
      <c r="N11" s="22">
        <f>SUM(Table1[[#This Row],[January]:[December]])</f>
        <v>4331411</v>
      </c>
    </row>
    <row r="12" spans="1:14" outlineLevel="1" x14ac:dyDescent="0.2">
      <c r="A12" t="s">
        <v>7668</v>
      </c>
      <c r="B12">
        <v>40464</v>
      </c>
      <c r="C12">
        <v>37518</v>
      </c>
      <c r="D12">
        <v>46147</v>
      </c>
      <c r="E12">
        <v>44759</v>
      </c>
      <c r="F12">
        <v>36929</v>
      </c>
      <c r="G12">
        <v>30154</v>
      </c>
      <c r="H12">
        <v>29125</v>
      </c>
      <c r="I12">
        <v>31279</v>
      </c>
      <c r="J12">
        <v>30142</v>
      </c>
      <c r="K12">
        <v>47694</v>
      </c>
      <c r="L12">
        <v>40797</v>
      </c>
      <c r="M12">
        <v>42767</v>
      </c>
      <c r="N12" s="22">
        <f>SUM(Table1[[#This Row],[January]:[December]])</f>
        <v>457775</v>
      </c>
    </row>
    <row r="13" spans="1:14" outlineLevel="1" x14ac:dyDescent="0.2">
      <c r="A13" t="s">
        <v>7669</v>
      </c>
      <c r="B13">
        <v>42935</v>
      </c>
      <c r="C13">
        <v>60051</v>
      </c>
      <c r="D13">
        <v>38114</v>
      </c>
      <c r="E13">
        <v>41239</v>
      </c>
      <c r="F13">
        <v>38178</v>
      </c>
      <c r="G13">
        <v>46352</v>
      </c>
      <c r="H13">
        <v>36933</v>
      </c>
      <c r="I13">
        <v>40246</v>
      </c>
      <c r="J13">
        <v>61214</v>
      </c>
      <c r="K13">
        <v>49261</v>
      </c>
      <c r="L13">
        <v>55507</v>
      </c>
      <c r="M13">
        <v>63686</v>
      </c>
      <c r="N13" s="22">
        <f>SUM(Table1[[#This Row],[January]:[December]])</f>
        <v>573716</v>
      </c>
    </row>
    <row r="14" spans="1:14" outlineLevel="1" x14ac:dyDescent="0.2">
      <c r="A14" t="s">
        <v>7670</v>
      </c>
      <c r="B14">
        <v>25817</v>
      </c>
      <c r="C14">
        <v>25851</v>
      </c>
      <c r="D14">
        <v>30813</v>
      </c>
      <c r="E14">
        <v>27666</v>
      </c>
      <c r="F14">
        <v>28498</v>
      </c>
      <c r="G14">
        <v>40364</v>
      </c>
      <c r="H14">
        <v>26997</v>
      </c>
      <c r="I14">
        <v>29169</v>
      </c>
      <c r="J14">
        <v>33012</v>
      </c>
      <c r="K14">
        <v>32506</v>
      </c>
      <c r="L14">
        <v>39672</v>
      </c>
      <c r="M14">
        <v>61055</v>
      </c>
      <c r="N14" s="22">
        <f>SUM(Table1[[#This Row],[January]:[December]])</f>
        <v>401420</v>
      </c>
    </row>
    <row r="15" spans="1:14" outlineLevel="1" x14ac:dyDescent="0.2">
      <c r="A15" t="s">
        <v>7671</v>
      </c>
      <c r="B15">
        <v>124312</v>
      </c>
      <c r="C15">
        <v>166682</v>
      </c>
      <c r="D15">
        <v>97610</v>
      </c>
      <c r="E15">
        <v>97544</v>
      </c>
      <c r="F15">
        <v>87044</v>
      </c>
      <c r="G15">
        <v>87839</v>
      </c>
      <c r="H15">
        <v>91007</v>
      </c>
      <c r="I15">
        <v>93442</v>
      </c>
      <c r="J15">
        <v>86815</v>
      </c>
      <c r="K15">
        <v>85014</v>
      </c>
      <c r="L15">
        <v>129357</v>
      </c>
      <c r="M15">
        <v>88251</v>
      </c>
      <c r="N15" s="22">
        <f>SUM(Table1[[#This Row],[January]:[December]])</f>
        <v>1234917</v>
      </c>
    </row>
    <row r="16" spans="1:14" x14ac:dyDescent="0.2">
      <c r="A16" s="4" t="s">
        <v>7672</v>
      </c>
      <c r="B16" s="7">
        <f t="shared" ref="B16:M16" si="1">SUM(B17:B19)</f>
        <v>119656</v>
      </c>
      <c r="C16" s="7">
        <f t="shared" si="1"/>
        <v>116971</v>
      </c>
      <c r="D16" s="7">
        <f t="shared" si="1"/>
        <v>104874</v>
      </c>
      <c r="E16" s="7">
        <f t="shared" si="1"/>
        <v>86594</v>
      </c>
      <c r="F16" s="7">
        <f t="shared" si="1"/>
        <v>68772</v>
      </c>
      <c r="G16" s="7">
        <f t="shared" si="1"/>
        <v>85919</v>
      </c>
      <c r="H16" s="7">
        <f t="shared" si="1"/>
        <v>87242</v>
      </c>
      <c r="I16" s="7">
        <f t="shared" si="1"/>
        <v>65452</v>
      </c>
      <c r="J16" s="7">
        <f t="shared" si="1"/>
        <v>63962</v>
      </c>
      <c r="K16" s="7">
        <f t="shared" si="1"/>
        <v>82416</v>
      </c>
      <c r="L16" s="7">
        <f t="shared" si="1"/>
        <v>111835</v>
      </c>
      <c r="M16" s="7">
        <f t="shared" si="1"/>
        <v>111189</v>
      </c>
      <c r="N16" s="22">
        <f>SUM(Table1[[#This Row],[January]:[December]])</f>
        <v>1104882</v>
      </c>
    </row>
    <row r="17" spans="1:14" outlineLevel="1" x14ac:dyDescent="0.2">
      <c r="A17" t="s">
        <v>7673</v>
      </c>
      <c r="B17">
        <v>18785</v>
      </c>
      <c r="C17">
        <v>21950</v>
      </c>
      <c r="D17">
        <v>19389</v>
      </c>
      <c r="E17">
        <v>14265</v>
      </c>
      <c r="F17">
        <v>11170</v>
      </c>
      <c r="G17">
        <v>7441</v>
      </c>
      <c r="H17">
        <v>10003</v>
      </c>
      <c r="I17">
        <v>9540</v>
      </c>
      <c r="J17">
        <v>8963</v>
      </c>
      <c r="K17">
        <v>13392</v>
      </c>
      <c r="L17">
        <v>20881</v>
      </c>
      <c r="M17">
        <v>17612</v>
      </c>
      <c r="N17" s="22">
        <f>SUM(Table1[[#This Row],[January]:[December]])</f>
        <v>173391</v>
      </c>
    </row>
    <row r="18" spans="1:14" outlineLevel="1" x14ac:dyDescent="0.2">
      <c r="A18" t="s">
        <v>7674</v>
      </c>
      <c r="B18">
        <v>92538</v>
      </c>
      <c r="C18">
        <v>87676</v>
      </c>
      <c r="D18">
        <v>78356</v>
      </c>
      <c r="E18">
        <v>64892</v>
      </c>
      <c r="F18">
        <v>51955</v>
      </c>
      <c r="G18">
        <v>73715</v>
      </c>
      <c r="H18">
        <v>72509</v>
      </c>
      <c r="I18">
        <v>51166</v>
      </c>
      <c r="J18">
        <v>49769</v>
      </c>
      <c r="K18">
        <v>62083</v>
      </c>
      <c r="L18">
        <v>81044</v>
      </c>
      <c r="M18">
        <v>83024</v>
      </c>
      <c r="N18" s="22">
        <f>SUM(Table1[[#This Row],[January]:[December]])</f>
        <v>848727</v>
      </c>
    </row>
    <row r="19" spans="1:14" outlineLevel="1" x14ac:dyDescent="0.2">
      <c r="A19" t="s">
        <v>7675</v>
      </c>
      <c r="B19">
        <v>8333</v>
      </c>
      <c r="C19">
        <v>7345</v>
      </c>
      <c r="D19">
        <v>7129</v>
      </c>
      <c r="E19">
        <v>7437</v>
      </c>
      <c r="F19">
        <v>5647</v>
      </c>
      <c r="G19">
        <v>4763</v>
      </c>
      <c r="H19">
        <v>4730</v>
      </c>
      <c r="I19">
        <v>4746</v>
      </c>
      <c r="J19">
        <v>5230</v>
      </c>
      <c r="K19">
        <v>6941</v>
      </c>
      <c r="L19">
        <v>9910</v>
      </c>
      <c r="M19">
        <v>10553</v>
      </c>
      <c r="N19" s="22">
        <f>SUM(Table1[[#This Row],[January]:[December]])</f>
        <v>82764</v>
      </c>
    </row>
    <row r="20" spans="1:14" x14ac:dyDescent="0.2">
      <c r="A20" s="8" t="s">
        <v>7676</v>
      </c>
      <c r="B20" s="9">
        <f t="shared" ref="B20:M20" si="2">SUM(B21:B34)</f>
        <v>266644</v>
      </c>
      <c r="C20" s="9">
        <f t="shared" si="2"/>
        <v>239702</v>
      </c>
      <c r="D20" s="9">
        <f t="shared" si="2"/>
        <v>285526</v>
      </c>
      <c r="E20" s="9">
        <f t="shared" si="2"/>
        <v>247050</v>
      </c>
      <c r="F20" s="9">
        <f t="shared" si="2"/>
        <v>162550</v>
      </c>
      <c r="G20" s="9">
        <f t="shared" si="2"/>
        <v>138750</v>
      </c>
      <c r="H20" s="9">
        <f t="shared" si="2"/>
        <v>191942</v>
      </c>
      <c r="I20" s="9">
        <f t="shared" si="2"/>
        <v>214925</v>
      </c>
      <c r="J20" s="9">
        <f t="shared" si="2"/>
        <v>161503</v>
      </c>
      <c r="K20" s="9">
        <f t="shared" si="2"/>
        <v>218096</v>
      </c>
      <c r="L20" s="9">
        <f t="shared" si="2"/>
        <v>329963</v>
      </c>
      <c r="M20" s="20">
        <f t="shared" si="2"/>
        <v>313851</v>
      </c>
      <c r="N20" s="22">
        <f>SUM(Table1[[#This Row],[January]:[December]])</f>
        <v>2770502</v>
      </c>
    </row>
    <row r="21" spans="1:14" outlineLevel="1" x14ac:dyDescent="0.2">
      <c r="A21" t="s">
        <v>7677</v>
      </c>
      <c r="B21">
        <v>42515</v>
      </c>
      <c r="C21">
        <v>36500</v>
      </c>
      <c r="D21">
        <v>45639</v>
      </c>
      <c r="E21">
        <v>41806</v>
      </c>
      <c r="F21">
        <v>43671</v>
      </c>
      <c r="G21">
        <v>49718</v>
      </c>
      <c r="H21">
        <v>55289</v>
      </c>
      <c r="I21">
        <v>61534</v>
      </c>
      <c r="J21">
        <v>58489</v>
      </c>
      <c r="K21">
        <v>66534</v>
      </c>
      <c r="L21">
        <v>91145</v>
      </c>
      <c r="M21">
        <v>96874</v>
      </c>
      <c r="N21" s="22">
        <f>SUM(Table1[[#This Row],[January]:[December]])</f>
        <v>689714</v>
      </c>
    </row>
    <row r="22" spans="1:14" outlineLevel="1" x14ac:dyDescent="0.2">
      <c r="A22" t="s">
        <v>7678</v>
      </c>
      <c r="B22">
        <v>3764</v>
      </c>
      <c r="C22">
        <v>4068</v>
      </c>
      <c r="D22">
        <v>2922</v>
      </c>
      <c r="E22">
        <v>2337</v>
      </c>
      <c r="F22">
        <v>989</v>
      </c>
      <c r="G22">
        <v>2767</v>
      </c>
      <c r="H22">
        <v>5197</v>
      </c>
      <c r="I22">
        <v>1235</v>
      </c>
      <c r="J22">
        <v>1384</v>
      </c>
      <c r="K22">
        <v>1791</v>
      </c>
      <c r="L22">
        <v>2904</v>
      </c>
      <c r="M22">
        <v>3906</v>
      </c>
      <c r="N22" s="22">
        <f>SUM(Table1[[#This Row],[January]:[December]])</f>
        <v>33264</v>
      </c>
    </row>
    <row r="23" spans="1:14" outlineLevel="1" x14ac:dyDescent="0.2">
      <c r="A23" t="s">
        <v>7679</v>
      </c>
      <c r="B23">
        <v>6048</v>
      </c>
      <c r="C23">
        <v>5038</v>
      </c>
      <c r="D23">
        <v>3960</v>
      </c>
      <c r="E23">
        <v>2628</v>
      </c>
      <c r="F23">
        <v>1504</v>
      </c>
      <c r="G23">
        <v>2236</v>
      </c>
      <c r="H23">
        <v>2616</v>
      </c>
      <c r="I23">
        <v>1384</v>
      </c>
      <c r="J23">
        <v>1475</v>
      </c>
      <c r="K23">
        <v>2295</v>
      </c>
      <c r="L23">
        <v>3921</v>
      </c>
      <c r="M23">
        <v>6394</v>
      </c>
      <c r="N23" s="22">
        <f>SUM(Table1[[#This Row],[January]:[December]])</f>
        <v>39499</v>
      </c>
    </row>
    <row r="24" spans="1:14" outlineLevel="1" x14ac:dyDescent="0.2">
      <c r="A24" t="s">
        <v>7680</v>
      </c>
      <c r="B24">
        <v>8678</v>
      </c>
      <c r="C24">
        <v>12653</v>
      </c>
      <c r="D24">
        <v>9674</v>
      </c>
      <c r="E24">
        <v>3656</v>
      </c>
      <c r="F24">
        <v>2246</v>
      </c>
      <c r="G24">
        <v>1406</v>
      </c>
      <c r="H24">
        <v>2128</v>
      </c>
      <c r="I24">
        <v>2478</v>
      </c>
      <c r="J24">
        <v>3044</v>
      </c>
      <c r="K24">
        <v>3582</v>
      </c>
      <c r="L24">
        <v>12737</v>
      </c>
      <c r="M24">
        <v>10646</v>
      </c>
      <c r="N24" s="22">
        <f>SUM(Table1[[#This Row],[January]:[December]])</f>
        <v>72928</v>
      </c>
    </row>
    <row r="25" spans="1:14" outlineLevel="1" x14ac:dyDescent="0.2">
      <c r="A25" t="s">
        <v>7681</v>
      </c>
      <c r="B25">
        <v>27994</v>
      </c>
      <c r="C25">
        <v>33331</v>
      </c>
      <c r="D25">
        <v>34935</v>
      </c>
      <c r="E25">
        <v>28579</v>
      </c>
      <c r="F25">
        <v>14615</v>
      </c>
      <c r="G25">
        <v>11396</v>
      </c>
      <c r="H25">
        <v>16081</v>
      </c>
      <c r="I25">
        <v>22419</v>
      </c>
      <c r="J25">
        <v>16900</v>
      </c>
      <c r="K25">
        <v>22758</v>
      </c>
      <c r="L25">
        <v>34457</v>
      </c>
      <c r="M25">
        <v>27574</v>
      </c>
      <c r="N25" s="22">
        <f>SUM(Table1[[#This Row],[January]:[December]])</f>
        <v>291039</v>
      </c>
    </row>
    <row r="26" spans="1:14" outlineLevel="1" x14ac:dyDescent="0.2">
      <c r="A26" t="s">
        <v>7682</v>
      </c>
      <c r="B26">
        <v>11490</v>
      </c>
      <c r="C26">
        <v>9699</v>
      </c>
      <c r="D26">
        <v>10544</v>
      </c>
      <c r="E26">
        <v>10763</v>
      </c>
      <c r="F26">
        <v>4946</v>
      </c>
      <c r="G26">
        <v>3866</v>
      </c>
      <c r="H26">
        <v>5491</v>
      </c>
      <c r="I26">
        <v>16210</v>
      </c>
      <c r="J26">
        <v>5576</v>
      </c>
      <c r="K26">
        <v>6674</v>
      </c>
      <c r="L26">
        <v>12609</v>
      </c>
      <c r="M26">
        <v>9490</v>
      </c>
      <c r="N26" s="22">
        <f>SUM(Table1[[#This Row],[January]:[December]])</f>
        <v>107358</v>
      </c>
    </row>
    <row r="27" spans="1:14" outlineLevel="1" x14ac:dyDescent="0.2">
      <c r="A27" t="s">
        <v>7683</v>
      </c>
      <c r="B27">
        <v>4898</v>
      </c>
      <c r="C27">
        <v>6120</v>
      </c>
      <c r="D27">
        <v>5158</v>
      </c>
      <c r="E27">
        <v>4013</v>
      </c>
      <c r="F27">
        <v>1694</v>
      </c>
      <c r="G27">
        <v>1301</v>
      </c>
      <c r="H27">
        <v>4536</v>
      </c>
      <c r="I27">
        <v>1603</v>
      </c>
      <c r="J27">
        <v>1778</v>
      </c>
      <c r="K27">
        <v>2946</v>
      </c>
      <c r="L27">
        <v>3454</v>
      </c>
      <c r="M27">
        <v>3909</v>
      </c>
      <c r="N27" s="22">
        <f>SUM(Table1[[#This Row],[January]:[December]])</f>
        <v>41410</v>
      </c>
    </row>
    <row r="28" spans="1:14" outlineLevel="1" x14ac:dyDescent="0.2">
      <c r="A28" t="s">
        <v>7684</v>
      </c>
      <c r="B28">
        <v>28012</v>
      </c>
      <c r="C28">
        <v>35034</v>
      </c>
      <c r="D28">
        <v>39370</v>
      </c>
      <c r="E28">
        <v>35220</v>
      </c>
      <c r="F28">
        <v>22528</v>
      </c>
      <c r="G28">
        <v>13590</v>
      </c>
      <c r="H28">
        <v>24534</v>
      </c>
      <c r="I28">
        <v>28333</v>
      </c>
      <c r="J28">
        <v>17026</v>
      </c>
      <c r="K28">
        <v>26552</v>
      </c>
      <c r="L28">
        <v>38957</v>
      </c>
      <c r="M28">
        <v>28573</v>
      </c>
      <c r="N28" s="22">
        <f>SUM(Table1[[#This Row],[January]:[December]])</f>
        <v>337729</v>
      </c>
    </row>
    <row r="29" spans="1:14" outlineLevel="1" x14ac:dyDescent="0.2">
      <c r="A29" t="s">
        <v>7685</v>
      </c>
      <c r="B29">
        <v>33435</v>
      </c>
      <c r="C29">
        <v>39148</v>
      </c>
      <c r="D29">
        <v>41026</v>
      </c>
      <c r="E29">
        <v>41779</v>
      </c>
      <c r="F29">
        <v>23659</v>
      </c>
      <c r="G29">
        <v>20319</v>
      </c>
      <c r="H29">
        <v>26248</v>
      </c>
      <c r="I29">
        <v>27901</v>
      </c>
      <c r="J29">
        <v>19751</v>
      </c>
      <c r="K29">
        <v>27736</v>
      </c>
      <c r="L29">
        <v>36548</v>
      </c>
      <c r="M29">
        <v>30768</v>
      </c>
      <c r="N29" s="22">
        <f>SUM(Table1[[#This Row],[January]:[December]])</f>
        <v>368318</v>
      </c>
    </row>
    <row r="30" spans="1:14" outlineLevel="1" x14ac:dyDescent="0.2">
      <c r="A30" t="s">
        <v>7686</v>
      </c>
      <c r="B30">
        <v>3999</v>
      </c>
      <c r="C30">
        <v>4172</v>
      </c>
      <c r="D30">
        <v>3734</v>
      </c>
      <c r="E30">
        <v>4497</v>
      </c>
      <c r="F30">
        <v>1648</v>
      </c>
      <c r="G30">
        <v>1441</v>
      </c>
      <c r="H30">
        <v>3664</v>
      </c>
      <c r="I30">
        <v>2023</v>
      </c>
      <c r="J30">
        <v>1987</v>
      </c>
      <c r="K30">
        <v>3317</v>
      </c>
      <c r="L30">
        <v>4886</v>
      </c>
      <c r="M30">
        <v>4507</v>
      </c>
      <c r="N30" s="22">
        <f>SUM(Table1[[#This Row],[January]:[December]])</f>
        <v>39875</v>
      </c>
    </row>
    <row r="31" spans="1:14" outlineLevel="1" x14ac:dyDescent="0.2">
      <c r="A31" t="s">
        <v>7687</v>
      </c>
      <c r="B31">
        <v>7595</v>
      </c>
      <c r="C31">
        <v>8525</v>
      </c>
      <c r="D31">
        <v>8870</v>
      </c>
      <c r="E31">
        <v>8503</v>
      </c>
      <c r="F31">
        <v>5126</v>
      </c>
      <c r="G31">
        <v>3878</v>
      </c>
      <c r="H31">
        <v>11913</v>
      </c>
      <c r="I31">
        <v>8690</v>
      </c>
      <c r="J31">
        <v>5109</v>
      </c>
      <c r="K31">
        <v>6473</v>
      </c>
      <c r="L31">
        <v>9482</v>
      </c>
      <c r="M31">
        <v>7545</v>
      </c>
      <c r="N31" s="22">
        <f>SUM(Table1[[#This Row],[January]:[December]])</f>
        <v>91709</v>
      </c>
    </row>
    <row r="32" spans="1:14" outlineLevel="1" x14ac:dyDescent="0.2">
      <c r="A32" t="s">
        <v>7688</v>
      </c>
      <c r="B32">
        <v>5584</v>
      </c>
      <c r="C32">
        <v>6052</v>
      </c>
      <c r="D32">
        <v>6430</v>
      </c>
      <c r="E32">
        <v>7256</v>
      </c>
      <c r="F32">
        <v>5562</v>
      </c>
      <c r="G32">
        <v>5152</v>
      </c>
      <c r="H32">
        <v>8340</v>
      </c>
      <c r="I32">
        <v>15922</v>
      </c>
      <c r="J32">
        <v>8240</v>
      </c>
      <c r="K32">
        <v>8846</v>
      </c>
      <c r="L32">
        <v>12270</v>
      </c>
      <c r="M32">
        <v>7788</v>
      </c>
      <c r="N32" s="22">
        <f>SUM(Table1[[#This Row],[January]:[December]])</f>
        <v>97442</v>
      </c>
    </row>
    <row r="33" spans="1:14" outlineLevel="1" x14ac:dyDescent="0.2">
      <c r="A33" t="s">
        <v>7689</v>
      </c>
      <c r="B33">
        <v>2531</v>
      </c>
      <c r="C33">
        <v>3164</v>
      </c>
      <c r="D33">
        <v>3874</v>
      </c>
      <c r="E33">
        <v>3570</v>
      </c>
      <c r="F33">
        <v>1868</v>
      </c>
      <c r="G33">
        <v>1290</v>
      </c>
      <c r="H33">
        <v>4878</v>
      </c>
      <c r="I33">
        <v>2899</v>
      </c>
      <c r="J33">
        <v>2556</v>
      </c>
      <c r="K33">
        <v>3083</v>
      </c>
      <c r="L33">
        <v>4726</v>
      </c>
      <c r="M33">
        <v>3127</v>
      </c>
      <c r="N33" s="22">
        <f>SUM(Table1[[#This Row],[January]:[December]])</f>
        <v>37566</v>
      </c>
    </row>
    <row r="34" spans="1:14" outlineLevel="1" x14ac:dyDescent="0.2">
      <c r="A34" t="s">
        <v>7690</v>
      </c>
      <c r="B34">
        <v>80101</v>
      </c>
      <c r="C34">
        <v>36198</v>
      </c>
      <c r="D34">
        <v>69390</v>
      </c>
      <c r="E34">
        <v>52443</v>
      </c>
      <c r="F34">
        <v>32494</v>
      </c>
      <c r="G34">
        <v>20390</v>
      </c>
      <c r="H34">
        <v>21027</v>
      </c>
      <c r="I34">
        <v>22294</v>
      </c>
      <c r="J34">
        <v>18188</v>
      </c>
      <c r="K34">
        <v>35509</v>
      </c>
      <c r="L34">
        <v>61867</v>
      </c>
      <c r="M34">
        <v>72750</v>
      </c>
      <c r="N34" s="22">
        <f>SUM(Table1[[#This Row],[January]:[December]])</f>
        <v>522651</v>
      </c>
    </row>
    <row r="35" spans="1:14" x14ac:dyDescent="0.2">
      <c r="A35" s="10" t="s">
        <v>7691</v>
      </c>
      <c r="B35" s="11">
        <f t="shared" ref="B35:M35" si="3">SUM(B36:B38)</f>
        <v>72243</v>
      </c>
      <c r="C35" s="11">
        <f t="shared" si="3"/>
        <v>41464</v>
      </c>
      <c r="D35" s="11">
        <f t="shared" si="3"/>
        <v>46383</v>
      </c>
      <c r="E35" s="11">
        <f t="shared" si="3"/>
        <v>65218</v>
      </c>
      <c r="F35" s="11">
        <f t="shared" si="3"/>
        <v>39720</v>
      </c>
      <c r="G35" s="11">
        <f t="shared" si="3"/>
        <v>39216</v>
      </c>
      <c r="H35" s="11">
        <f t="shared" si="3"/>
        <v>53273</v>
      </c>
      <c r="I35" s="11">
        <f t="shared" si="3"/>
        <v>38823</v>
      </c>
      <c r="J35" s="11">
        <f t="shared" si="3"/>
        <v>48682</v>
      </c>
      <c r="K35" s="11">
        <f t="shared" si="3"/>
        <v>51156</v>
      </c>
      <c r="L35" s="11">
        <f t="shared" si="3"/>
        <v>53663</v>
      </c>
      <c r="M35" s="11">
        <f t="shared" si="3"/>
        <v>57563</v>
      </c>
      <c r="N35" s="22">
        <f>SUM(Table1[[#This Row],[January]:[December]])</f>
        <v>607404</v>
      </c>
    </row>
    <row r="36" spans="1:14" outlineLevel="1" x14ac:dyDescent="0.2">
      <c r="A36" t="s">
        <v>7692</v>
      </c>
      <c r="B36">
        <v>5604</v>
      </c>
      <c r="C36">
        <v>3031</v>
      </c>
      <c r="D36">
        <v>3978</v>
      </c>
      <c r="E36">
        <v>6691</v>
      </c>
      <c r="F36">
        <v>3960</v>
      </c>
      <c r="G36">
        <v>4226</v>
      </c>
      <c r="H36">
        <v>5409</v>
      </c>
      <c r="I36">
        <v>4387</v>
      </c>
      <c r="J36">
        <v>5284</v>
      </c>
      <c r="K36">
        <v>4731</v>
      </c>
      <c r="L36">
        <v>5055</v>
      </c>
      <c r="M36">
        <v>4772</v>
      </c>
      <c r="N36" s="22">
        <f>SUM(Table1[[#This Row],[January]:[December]])</f>
        <v>57128</v>
      </c>
    </row>
    <row r="37" spans="1:14" outlineLevel="1" x14ac:dyDescent="0.2">
      <c r="A37" t="s">
        <v>7693</v>
      </c>
      <c r="B37">
        <v>66504</v>
      </c>
      <c r="C37">
        <v>38313</v>
      </c>
      <c r="D37">
        <v>42303</v>
      </c>
      <c r="E37">
        <v>58379</v>
      </c>
      <c r="F37">
        <v>35597</v>
      </c>
      <c r="G37">
        <v>34869</v>
      </c>
      <c r="H37">
        <v>47701</v>
      </c>
      <c r="I37">
        <v>34313</v>
      </c>
      <c r="J37">
        <v>43255</v>
      </c>
      <c r="K37">
        <v>46236</v>
      </c>
      <c r="L37">
        <v>48410</v>
      </c>
      <c r="M37">
        <v>52591</v>
      </c>
      <c r="N37" s="22">
        <f>SUM(Table1[[#This Row],[January]:[December]])</f>
        <v>548471</v>
      </c>
    </row>
    <row r="38" spans="1:14" outlineLevel="1" x14ac:dyDescent="0.2">
      <c r="A38" t="s">
        <v>7694</v>
      </c>
      <c r="B38">
        <v>135</v>
      </c>
      <c r="C38">
        <v>120</v>
      </c>
      <c r="D38">
        <v>102</v>
      </c>
      <c r="E38">
        <v>148</v>
      </c>
      <c r="F38">
        <v>163</v>
      </c>
      <c r="G38">
        <v>121</v>
      </c>
      <c r="H38">
        <v>163</v>
      </c>
      <c r="I38">
        <v>123</v>
      </c>
      <c r="J38">
        <v>143</v>
      </c>
      <c r="K38">
        <v>189</v>
      </c>
      <c r="L38">
        <v>198</v>
      </c>
      <c r="M38">
        <v>200</v>
      </c>
      <c r="N38" s="22">
        <f>SUM(Table1[[#This Row],[January]:[December]])</f>
        <v>1805</v>
      </c>
    </row>
    <row r="39" spans="1:14" x14ac:dyDescent="0.2">
      <c r="A39" s="12" t="s">
        <v>7695</v>
      </c>
      <c r="B39" s="13">
        <f t="shared" ref="B39:M39" si="4">SUM(B40)</f>
        <v>5035</v>
      </c>
      <c r="C39" s="13">
        <f t="shared" si="4"/>
        <v>4123</v>
      </c>
      <c r="D39" s="13">
        <f t="shared" si="4"/>
        <v>3166</v>
      </c>
      <c r="E39" s="13">
        <f t="shared" si="4"/>
        <v>5248</v>
      </c>
      <c r="F39" s="13">
        <f t="shared" si="4"/>
        <v>4042</v>
      </c>
      <c r="G39" s="13">
        <f t="shared" si="4"/>
        <v>3576</v>
      </c>
      <c r="H39" s="13">
        <f t="shared" si="4"/>
        <v>4874</v>
      </c>
      <c r="I39" s="13">
        <f t="shared" si="4"/>
        <v>5733</v>
      </c>
      <c r="J39" s="13">
        <f t="shared" si="4"/>
        <v>4862</v>
      </c>
      <c r="K39" s="13">
        <f t="shared" si="4"/>
        <v>5148</v>
      </c>
      <c r="L39" s="13">
        <f t="shared" si="4"/>
        <v>5418</v>
      </c>
      <c r="M39" s="13">
        <f t="shared" si="4"/>
        <v>5037</v>
      </c>
      <c r="N39" s="22">
        <f>SUM(Table1[[#This Row],[January]:[December]])</f>
        <v>56262</v>
      </c>
    </row>
    <row r="40" spans="1:14" outlineLevel="1" x14ac:dyDescent="0.2">
      <c r="A40" t="s">
        <v>7696</v>
      </c>
      <c r="B40">
        <v>5035</v>
      </c>
      <c r="C40">
        <v>4123</v>
      </c>
      <c r="D40">
        <v>3166</v>
      </c>
      <c r="E40">
        <v>5248</v>
      </c>
      <c r="F40">
        <v>4042</v>
      </c>
      <c r="G40">
        <v>3576</v>
      </c>
      <c r="H40">
        <v>4874</v>
      </c>
      <c r="I40">
        <v>5733</v>
      </c>
      <c r="J40">
        <v>4862</v>
      </c>
      <c r="K40">
        <v>5148</v>
      </c>
      <c r="L40">
        <v>5418</v>
      </c>
      <c r="M40">
        <v>5037</v>
      </c>
      <c r="N40" s="22">
        <f>SUM(Table1[[#This Row],[January]:[December]])</f>
        <v>56262</v>
      </c>
    </row>
    <row r="41" spans="1:14" x14ac:dyDescent="0.2">
      <c r="A41" t="s">
        <v>7697</v>
      </c>
      <c r="B41" s="21">
        <f t="shared" ref="B41:M41" si="5">B2+B16+B20+B35+B39</f>
        <v>2070466</v>
      </c>
      <c r="C41" s="21">
        <f t="shared" si="5"/>
        <v>1893933</v>
      </c>
      <c r="D41" s="21">
        <f t="shared" si="5"/>
        <v>2054309</v>
      </c>
      <c r="E41" s="21">
        <f t="shared" si="5"/>
        <v>1654681</v>
      </c>
      <c r="F41" s="21">
        <f t="shared" si="5"/>
        <v>1528352</v>
      </c>
      <c r="G41" s="21">
        <f t="shared" si="5"/>
        <v>1462867</v>
      </c>
      <c r="H41" s="21">
        <f t="shared" si="5"/>
        <v>1562588</v>
      </c>
      <c r="I41" s="21">
        <f t="shared" si="5"/>
        <v>1684972</v>
      </c>
      <c r="J41" s="21">
        <f t="shared" si="5"/>
        <v>1523388</v>
      </c>
      <c r="K41" s="21">
        <f t="shared" si="5"/>
        <v>1732942</v>
      </c>
      <c r="L41" s="21">
        <f t="shared" si="5"/>
        <v>1978174</v>
      </c>
      <c r="M41" s="21">
        <f t="shared" si="5"/>
        <v>2021619</v>
      </c>
      <c r="N41" s="21">
        <f>SUM(Table1[[#Totals],[January]:[December]])</f>
        <v>21168291</v>
      </c>
    </row>
  </sheetData>
  <phoneticPr fontId="18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kaggle_booking_raw_data</vt:lpstr>
      <vt:lpstr>kaggle_booking_clean_data </vt:lpstr>
      <vt:lpstr>Pivot Table 6</vt:lpstr>
      <vt:lpstr>Customer Type vs Destinations</vt:lpstr>
      <vt:lpstr>Pivot Table 5</vt:lpstr>
      <vt:lpstr>Ideal Budget &amp; Deals</vt:lpstr>
      <vt:lpstr>Pivot Table 4</vt:lpstr>
      <vt:lpstr>Tour Type</vt:lpstr>
      <vt:lpstr>Pivot Table 3</vt:lpstr>
      <vt:lpstr>Customer Type</vt:lpstr>
      <vt:lpstr>Pivot Table 1</vt:lpstr>
      <vt:lpstr>Popularity vs Seasonality</vt:lpstr>
      <vt:lpstr>Top 5 popular destinations</vt:lpstr>
      <vt:lpstr>Pivot Table 2</vt:lpstr>
      <vt:lpstr>Nationality vs Seasonality</vt:lpstr>
      <vt:lpstr>VNAT_scrape_data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Hoang Nguyen</cp:lastModifiedBy>
  <cp:revision/>
  <dcterms:created xsi:type="dcterms:W3CDTF">2026-01-04T13:11:07Z</dcterms:created>
  <dcterms:modified xsi:type="dcterms:W3CDTF">2026-06-19T06:56:46Z</dcterms:modified>
  <cp:category/>
  <cp:contentStatus/>
</cp:coreProperties>
</file>