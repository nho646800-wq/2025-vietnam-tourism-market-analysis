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angnguyen/Documents/1st Data Analytics Project on VN Tourism/"/>
    </mc:Choice>
  </mc:AlternateContent>
  <xr:revisionPtr revIDLastSave="0" documentId="8_{633484D8-727D-DD41-8EFA-FF1A2DDC92AD}" xr6:coauthVersionLast="47" xr6:coauthVersionMax="47" xr10:uidLastSave="{00000000-0000-0000-0000-000000000000}"/>
  <bookViews>
    <workbookView xWindow="1080" yWindow="1240" windowWidth="27640" windowHeight="16720" xr2:uid="{4A644D06-FFE9-9A43-B52A-99E5E4A19E71}"/>
  </bookViews>
  <sheets>
    <sheet name="VNAT_scrape_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0" i="1" l="1"/>
  <c r="M39" i="1"/>
  <c r="L39" i="1"/>
  <c r="K39" i="1"/>
  <c r="J39" i="1"/>
  <c r="I39" i="1"/>
  <c r="H39" i="1"/>
  <c r="G39" i="1"/>
  <c r="F39" i="1"/>
  <c r="E39" i="1"/>
  <c r="D39" i="1"/>
  <c r="C39" i="1"/>
  <c r="B39" i="1"/>
  <c r="N38" i="1"/>
  <c r="N37" i="1"/>
  <c r="N36" i="1"/>
  <c r="M35" i="1"/>
  <c r="L35" i="1"/>
  <c r="K35" i="1"/>
  <c r="J35" i="1"/>
  <c r="I35" i="1"/>
  <c r="H35" i="1"/>
  <c r="G35" i="1"/>
  <c r="F35" i="1"/>
  <c r="E35" i="1"/>
  <c r="D35" i="1"/>
  <c r="C35" i="1"/>
  <c r="B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M20" i="1"/>
  <c r="L20" i="1"/>
  <c r="K20" i="1"/>
  <c r="J20" i="1"/>
  <c r="I20" i="1"/>
  <c r="H20" i="1"/>
  <c r="G20" i="1"/>
  <c r="F20" i="1"/>
  <c r="E20" i="1"/>
  <c r="D20" i="1"/>
  <c r="C20" i="1"/>
  <c r="B20" i="1"/>
  <c r="N19" i="1"/>
  <c r="N18" i="1"/>
  <c r="N17" i="1"/>
  <c r="M16" i="1"/>
  <c r="L16" i="1"/>
  <c r="K16" i="1"/>
  <c r="J16" i="1"/>
  <c r="I16" i="1"/>
  <c r="H16" i="1"/>
  <c r="G16" i="1"/>
  <c r="F16" i="1"/>
  <c r="E16" i="1"/>
  <c r="D16" i="1"/>
  <c r="C16" i="1"/>
  <c r="B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L2" i="1"/>
  <c r="K2" i="1"/>
  <c r="J2" i="1"/>
  <c r="I2" i="1"/>
  <c r="H2" i="1"/>
  <c r="G2" i="1"/>
  <c r="F2" i="1"/>
  <c r="E2" i="1"/>
  <c r="D2" i="1"/>
  <c r="C2" i="1"/>
  <c r="B2" i="1"/>
  <c r="M41" i="1" l="1"/>
  <c r="K41" i="1"/>
  <c r="I41" i="1"/>
  <c r="G41" i="1"/>
  <c r="E41" i="1"/>
  <c r="C41" i="1"/>
  <c r="B41" i="1"/>
  <c r="N35" i="1"/>
  <c r="N20" i="1"/>
  <c r="N16" i="1"/>
  <c r="L41" i="1"/>
  <c r="J41" i="1"/>
  <c r="H41" i="1"/>
  <c r="F41" i="1"/>
  <c r="D41" i="1"/>
  <c r="N39" i="1"/>
  <c r="N2" i="1"/>
  <c r="N41" i="1" l="1"/>
</calcChain>
</file>

<file path=xl/sharedStrings.xml><?xml version="1.0" encoding="utf-8"?>
<sst xmlns="http://schemas.openxmlformats.org/spreadsheetml/2006/main" count="54" uniqueCount="53">
  <si>
    <t>Market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</si>
  <si>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</si>
  <si>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</si>
  <si>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</si>
  <si>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</si>
  <si>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</si>
  <si>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</si>
  <si>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</si>
  <si>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</si>
  <si>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</si>
  <si>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</si>
  <si>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</si>
  <si>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</si>
  <si>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</si>
  <si>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1. Asia</t>
  </si>
  <si>
    <t>Cambodia</t>
  </si>
  <si>
    <t>China</t>
  </si>
  <si>
    <t>Philippines</t>
  </si>
  <si>
    <t>Laos</t>
  </si>
  <si>
    <t>Japan</t>
  </si>
  <si>
    <t>Taiwan</t>
  </si>
  <si>
    <t>Indonesia</t>
  </si>
  <si>
    <t>India</t>
  </si>
  <si>
    <t>Republic of Korea</t>
  </si>
  <si>
    <t>Thailand</t>
  </si>
  <si>
    <t>Malaysia</t>
  </si>
  <si>
    <t>Singapore</t>
  </si>
  <si>
    <t>Other countries in ASI</t>
  </si>
  <si>
    <t>2. America</t>
  </si>
  <si>
    <t>Canada</t>
  </si>
  <si>
    <t>USA</t>
  </si>
  <si>
    <t>Other countries in AME</t>
  </si>
  <si>
    <t>3. Europe</t>
  </si>
  <si>
    <t>Russia</t>
  </si>
  <si>
    <t>Norway</t>
  </si>
  <si>
    <t>Sweden</t>
  </si>
  <si>
    <t>Poland</t>
  </si>
  <si>
    <t>Germany</t>
  </si>
  <si>
    <t>Italy</t>
  </si>
  <si>
    <t>Denmark</t>
  </si>
  <si>
    <t>France</t>
  </si>
  <si>
    <t>United Kingdom</t>
  </si>
  <si>
    <t>Switzerland</t>
  </si>
  <si>
    <t>Netherlands</t>
  </si>
  <si>
    <t>Spain</t>
  </si>
  <si>
    <t>Belgium</t>
  </si>
  <si>
    <t>Other countries in EU</t>
  </si>
  <si>
    <t>4. Oceania</t>
  </si>
  <si>
    <t>New Zealand</t>
  </si>
  <si>
    <t>Australia</t>
  </si>
  <si>
    <t>Other countries in OCE</t>
  </si>
  <si>
    <t>5. Africa</t>
  </si>
  <si>
    <t>Other countries in AFR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</si>
</sst>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3" borderId="0" xfId="0" applyFont="1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0" fontId="2" fillId="8" borderId="0" xfId="0" applyFont="1" applyFill="1"/>
    <xf numFmtId="0" fontId="0" fillId="8" borderId="0" xfId="0" applyFill="1"/>
    <xf numFmtId="0" fontId="0" fillId="3" borderId="0" xfId="0" applyFill="1"/>
  </cellXfs>
  <cellStyles count="1">
    <cellStyle name="Normal" xfId="0" builtinId="0"/>
  </cellStyles>
  <dxfs count="14">
    <dxf>
      <font>
        <b/>
        <i val="0"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  <dxf>
      <fill>
        <patternFill>
          <fgColor indexed="64"/>
          <bgColor theme="7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E57787-939E-6241-A76C-FBD5181F694C}" name="Table1" displayName="Table1" ref="A1:N41" totalsRowCount="1">
  <autoFilter ref="A1:N40" xr:uid="{6CE6A2FF-2AA0-A148-9416-856EDDA14F69}"/>
  <tableColumns count="14">
    <tableColumn id="1" xr3:uid="{2CD87607-9E2A-8446-A17B-D04BB175FAD3}" name="Market" totalsRowLabel="Total"/>
    <tableColumn id="2" xr3:uid="{3B52F4D7-EC0F-BF4F-86D4-4EC37F1A3809}" name="January" totalsRowFunction="custom" totalsRowDxfId="13">
      <totalsRowFormula>B2+B16+B20+B35+B39</totalsRowFormula>
    </tableColumn>
    <tableColumn id="3" xr3:uid="{31493664-C27B-F244-A9D2-72DC6262BB19}" name="February" totalsRowFunction="custom" totalsRowDxfId="12">
      <totalsRowFormula>C2+C16+C20+C35+C39</totalsRowFormula>
    </tableColumn>
    <tableColumn id="4" xr3:uid="{B6D362D5-4652-3A43-81B5-B3EE9D3CDBE1}" name="March" totalsRowFunction="custom" totalsRowDxfId="11">
      <totalsRowFormula>D2+D16+D20+D35+D39</totalsRowFormula>
    </tableColumn>
    <tableColumn id="5" xr3:uid="{FC074DC6-1016-DF40-BF97-AA5726A9CD2D}" name="April" totalsRowFunction="custom" totalsRowDxfId="10">
      <totalsRowFormula>E2+E16+E20+E35+E39</totalsRowFormula>
    </tableColumn>
    <tableColumn id="6" xr3:uid="{319EBDEC-3220-CF41-90C1-5401D8C2537E}" name="May" totalsRowFunction="custom" totalsRowDxfId="9">
      <totalsRowFormula>F2+F16+F20+F35+F39</totalsRowFormula>
    </tableColumn>
    <tableColumn id="7" xr3:uid="{E488B392-8BD4-174A-852B-E6C86BF8AF06}" name="June" totalsRowFunction="custom" totalsRowDxfId="8">
      <totalsRowFormula>G2+G16+G20+G35+G39</totalsRowFormula>
    </tableColumn>
    <tableColumn id="8" xr3:uid="{0D0214B4-818A-C64A-ABDB-CA7548735F55}" name="July" totalsRowFunction="custom" totalsRowDxfId="7">
      <totalsRowFormula>H2+H16+H20+H35+H39</totalsRowFormula>
    </tableColumn>
    <tableColumn id="9" xr3:uid="{204648E9-B472-6C49-A9DB-5821FDCF4170}" name="August" totalsRowFunction="custom" totalsRowDxfId="6">
      <totalsRowFormula>I2+I16+I20+I35+I39</totalsRowFormula>
    </tableColumn>
    <tableColumn id="10" xr3:uid="{E2B49314-8677-234B-BBC1-9089F191EF8A}" name="September" totalsRowFunction="custom" totalsRowDxfId="5">
      <totalsRowFormula>J2+J16+J20+J35+J39</totalsRowFormula>
    </tableColumn>
    <tableColumn id="11" xr3:uid="{4B7C6967-4592-8C40-A7E4-6D73F9F325D4}" name="October" totalsRowFunction="custom" totalsRowDxfId="4">
      <totalsRowFormula>K2+K16+K20+K35+K39</totalsRowFormula>
    </tableColumn>
    <tableColumn id="12" xr3:uid="{341D0BC5-9B00-DD42-863E-6DF2764FFB7F}" name="November" totalsRowFunction="custom" totalsRowDxfId="3">
      <totalsRowFormula>L2+L16+L20+L35+L39</totalsRowFormula>
    </tableColumn>
    <tableColumn id="13" xr3:uid="{486419EA-A19F-A046-8BA2-BE8F2D72A31C}" name="December" totalsRowFunction="custom" totalsRowDxfId="2">
      <totalsRowFormula>M2+M16+M20+M35+M39</totalsRowFormula>
    </tableColumn>
    <tableColumn id="14" xr3:uid="{7CB523BE-1601-A041-9795-8866E0D9E3E3}" name="Total" totalsRowFunction="custom" dataDxfId="0" totalsRowDxfId="1">
      <calculatedColumnFormula>SUM(Table1[[#This Row],[January]:[December]])</calculatedColumnFormula>
      <totalsRowFormula>SUM(Table1[[#Totals],[January]:[December]])</totalsRow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FF09E-4FC7-4643-99AB-2CE262123DF3}">
  <dimension ref="A1:N41"/>
  <sheetViews>
    <sheetView tabSelected="1" zoomScale="114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2" sqref="B22"/>
    </sheetView>
  </sheetViews>
  <sheetFormatPr baseColWidth="10" defaultColWidth="11" defaultRowHeight="16" outlineLevelRow="1" x14ac:dyDescent="0.2"/>
  <cols>
    <col min="1" max="1" width="19.83203125" bestFit="1" customWidth="1"/>
    <col min="10" max="10" width="12.5" customWidth="1"/>
    <col min="12" max="12" width="12" customWidth="1"/>
    <col min="13" max="13" width="12.1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 t="s">
        <v>14</v>
      </c>
      <c r="B2" s="2">
        <f t="shared" ref="B2:L2" si="0">SUM(B3:B15)</f>
        <v>1606888</v>
      </c>
      <c r="C2" s="2">
        <f t="shared" si="0"/>
        <v>1491673</v>
      </c>
      <c r="D2" s="2">
        <f t="shared" si="0"/>
        <v>1614360</v>
      </c>
      <c r="E2" s="2">
        <f t="shared" si="0"/>
        <v>1250571</v>
      </c>
      <c r="F2" s="2">
        <f t="shared" si="0"/>
        <v>1253268</v>
      </c>
      <c r="G2" s="2">
        <f t="shared" si="0"/>
        <v>1195406</v>
      </c>
      <c r="H2" s="2">
        <f t="shared" si="0"/>
        <v>1225257</v>
      </c>
      <c r="I2" s="2">
        <f t="shared" si="0"/>
        <v>1360039</v>
      </c>
      <c r="J2" s="2">
        <f t="shared" si="0"/>
        <v>1244379</v>
      </c>
      <c r="K2" s="2">
        <f t="shared" si="0"/>
        <v>1376126</v>
      </c>
      <c r="L2" s="2">
        <f t="shared" si="0"/>
        <v>1477295</v>
      </c>
      <c r="M2" s="2">
        <v>1533979</v>
      </c>
      <c r="N2" s="3">
        <f>SUM(Table1[[#This Row],[January]:[December]])</f>
        <v>16629241</v>
      </c>
    </row>
    <row r="3" spans="1:14" outlineLevel="1" x14ac:dyDescent="0.2">
      <c r="A3" t="s">
        <v>15</v>
      </c>
      <c r="B3">
        <v>100150</v>
      </c>
      <c r="C3">
        <v>41916</v>
      </c>
      <c r="D3">
        <v>91845</v>
      </c>
      <c r="E3">
        <v>45626</v>
      </c>
      <c r="F3">
        <v>44981</v>
      </c>
      <c r="G3">
        <v>35753</v>
      </c>
      <c r="H3">
        <v>41151</v>
      </c>
      <c r="I3">
        <v>43211</v>
      </c>
      <c r="J3">
        <v>45237</v>
      </c>
      <c r="K3">
        <v>59784</v>
      </c>
      <c r="L3">
        <v>64601</v>
      </c>
      <c r="M3">
        <v>72877</v>
      </c>
      <c r="N3" s="3">
        <f>SUM(Table1[[#This Row],[January]:[December]])</f>
        <v>687132</v>
      </c>
    </row>
    <row r="4" spans="1:14" outlineLevel="1" x14ac:dyDescent="0.2">
      <c r="A4" t="s">
        <v>16</v>
      </c>
      <c r="B4">
        <v>574950</v>
      </c>
      <c r="C4">
        <v>380745</v>
      </c>
      <c r="D4">
        <v>630898</v>
      </c>
      <c r="E4">
        <v>368074</v>
      </c>
      <c r="F4">
        <v>407572</v>
      </c>
      <c r="G4">
        <v>364801</v>
      </c>
      <c r="H4">
        <v>391051</v>
      </c>
      <c r="I4">
        <v>414247</v>
      </c>
      <c r="J4">
        <v>361627</v>
      </c>
      <c r="K4">
        <v>433390</v>
      </c>
      <c r="L4">
        <v>467090</v>
      </c>
      <c r="M4">
        <v>487557</v>
      </c>
      <c r="N4" s="3">
        <f>SUM(Table1[[#This Row],[January]:[December]])</f>
        <v>5282002</v>
      </c>
    </row>
    <row r="5" spans="1:14" outlineLevel="1" x14ac:dyDescent="0.2">
      <c r="A5" t="s">
        <v>17</v>
      </c>
      <c r="B5">
        <v>34578</v>
      </c>
      <c r="C5">
        <v>30003</v>
      </c>
      <c r="D5">
        <v>31673</v>
      </c>
      <c r="E5">
        <v>39697</v>
      </c>
      <c r="F5">
        <v>39578</v>
      </c>
      <c r="G5">
        <v>42104</v>
      </c>
      <c r="H5">
        <v>37034</v>
      </c>
      <c r="I5">
        <v>40712</v>
      </c>
      <c r="J5">
        <v>41372</v>
      </c>
      <c r="K5">
        <v>43392</v>
      </c>
      <c r="L5">
        <v>50702</v>
      </c>
      <c r="M5">
        <v>51328</v>
      </c>
      <c r="N5" s="3">
        <f>SUM(Table1[[#This Row],[January]:[December]])</f>
        <v>482173</v>
      </c>
    </row>
    <row r="6" spans="1:14" outlineLevel="1" x14ac:dyDescent="0.2">
      <c r="A6" t="s">
        <v>18</v>
      </c>
      <c r="B6">
        <v>15072</v>
      </c>
      <c r="C6">
        <v>18511</v>
      </c>
      <c r="D6">
        <v>17260</v>
      </c>
      <c r="E6">
        <v>11871</v>
      </c>
      <c r="F6">
        <v>12183</v>
      </c>
      <c r="G6">
        <v>13786</v>
      </c>
      <c r="H6">
        <v>25906</v>
      </c>
      <c r="I6">
        <v>19918</v>
      </c>
      <c r="J6">
        <v>13076</v>
      </c>
      <c r="K6">
        <v>10598</v>
      </c>
      <c r="L6">
        <v>10283</v>
      </c>
      <c r="M6">
        <v>10876</v>
      </c>
      <c r="N6" s="3">
        <f>SUM(Table1[[#This Row],[January]:[December]])</f>
        <v>179340</v>
      </c>
    </row>
    <row r="7" spans="1:14" outlineLevel="1" x14ac:dyDescent="0.2">
      <c r="A7" t="s">
        <v>19</v>
      </c>
      <c r="B7">
        <v>72311</v>
      </c>
      <c r="C7">
        <v>75087</v>
      </c>
      <c r="D7">
        <v>78779</v>
      </c>
      <c r="E7">
        <v>54182</v>
      </c>
      <c r="F7">
        <v>61797</v>
      </c>
      <c r="G7">
        <v>51162</v>
      </c>
      <c r="H7">
        <v>55947</v>
      </c>
      <c r="I7">
        <v>90421</v>
      </c>
      <c r="J7">
        <v>78086</v>
      </c>
      <c r="K7">
        <v>60861</v>
      </c>
      <c r="L7">
        <v>75441</v>
      </c>
      <c r="M7">
        <v>60095</v>
      </c>
      <c r="N7" s="3">
        <f>SUM(Table1[[#This Row],[January]:[December]])</f>
        <v>814169</v>
      </c>
    </row>
    <row r="8" spans="1:14" outlineLevel="1" x14ac:dyDescent="0.2">
      <c r="A8" t="s">
        <v>20</v>
      </c>
      <c r="B8">
        <v>91373</v>
      </c>
      <c r="C8">
        <v>126929</v>
      </c>
      <c r="D8">
        <v>112215</v>
      </c>
      <c r="E8">
        <v>109697</v>
      </c>
      <c r="F8">
        <v>92683</v>
      </c>
      <c r="G8">
        <v>97089</v>
      </c>
      <c r="H8">
        <v>106653</v>
      </c>
      <c r="I8">
        <v>102543</v>
      </c>
      <c r="J8">
        <v>87218</v>
      </c>
      <c r="K8">
        <v>106865</v>
      </c>
      <c r="L8">
        <v>100149</v>
      </c>
      <c r="M8">
        <v>98096</v>
      </c>
      <c r="N8" s="3">
        <f>SUM(Table1[[#This Row],[January]:[December]])</f>
        <v>1231510</v>
      </c>
    </row>
    <row r="9" spans="1:14" outlineLevel="1" x14ac:dyDescent="0.2">
      <c r="A9" t="s">
        <v>21</v>
      </c>
      <c r="B9">
        <v>19274</v>
      </c>
      <c r="C9">
        <v>16676</v>
      </c>
      <c r="D9">
        <v>12876</v>
      </c>
      <c r="E9">
        <v>23535</v>
      </c>
      <c r="F9">
        <v>17624</v>
      </c>
      <c r="G9">
        <v>16879</v>
      </c>
      <c r="H9">
        <v>16784</v>
      </c>
      <c r="I9">
        <v>14553</v>
      </c>
      <c r="J9">
        <v>16655</v>
      </c>
      <c r="K9">
        <v>15495</v>
      </c>
      <c r="L9">
        <v>18820</v>
      </c>
      <c r="M9">
        <v>18025</v>
      </c>
      <c r="N9" s="3">
        <f>SUM(Table1[[#This Row],[January]:[December]])</f>
        <v>207196</v>
      </c>
    </row>
    <row r="10" spans="1:14" outlineLevel="1" x14ac:dyDescent="0.2">
      <c r="A10" t="s">
        <v>22</v>
      </c>
      <c r="B10">
        <v>48536</v>
      </c>
      <c r="C10">
        <v>43678</v>
      </c>
      <c r="D10">
        <v>51141</v>
      </c>
      <c r="E10">
        <v>60541</v>
      </c>
      <c r="F10">
        <v>67629</v>
      </c>
      <c r="G10">
        <v>65993</v>
      </c>
      <c r="H10">
        <v>49599</v>
      </c>
      <c r="I10">
        <v>56131</v>
      </c>
      <c r="J10">
        <v>61395</v>
      </c>
      <c r="K10">
        <v>70325</v>
      </c>
      <c r="L10">
        <v>80878</v>
      </c>
      <c r="M10">
        <v>90634</v>
      </c>
      <c r="N10" s="3">
        <f>SUM(Table1[[#This Row],[January]:[December]])</f>
        <v>746480</v>
      </c>
    </row>
    <row r="11" spans="1:14" outlineLevel="1" x14ac:dyDescent="0.2">
      <c r="A11" t="s">
        <v>23</v>
      </c>
      <c r="B11">
        <v>417116</v>
      </c>
      <c r="C11">
        <v>468026</v>
      </c>
      <c r="D11">
        <v>374989</v>
      </c>
      <c r="E11">
        <v>326140</v>
      </c>
      <c r="F11">
        <v>318572</v>
      </c>
      <c r="G11">
        <v>303130</v>
      </c>
      <c r="H11">
        <v>317070</v>
      </c>
      <c r="I11">
        <v>384167</v>
      </c>
      <c r="J11">
        <v>328530</v>
      </c>
      <c r="K11">
        <v>360941</v>
      </c>
      <c r="L11">
        <v>343998</v>
      </c>
      <c r="M11">
        <v>388732</v>
      </c>
      <c r="N11" s="3">
        <f>SUM(Table1[[#This Row],[January]:[December]])</f>
        <v>4331411</v>
      </c>
    </row>
    <row r="12" spans="1:14" outlineLevel="1" x14ac:dyDescent="0.2">
      <c r="A12" t="s">
        <v>24</v>
      </c>
      <c r="B12">
        <v>40464</v>
      </c>
      <c r="C12">
        <v>37518</v>
      </c>
      <c r="D12">
        <v>46147</v>
      </c>
      <c r="E12">
        <v>44759</v>
      </c>
      <c r="F12">
        <v>36929</v>
      </c>
      <c r="G12">
        <v>30154</v>
      </c>
      <c r="H12">
        <v>29125</v>
      </c>
      <c r="I12">
        <v>31279</v>
      </c>
      <c r="J12">
        <v>30142</v>
      </c>
      <c r="K12">
        <v>47694</v>
      </c>
      <c r="L12">
        <v>40797</v>
      </c>
      <c r="M12">
        <v>42767</v>
      </c>
      <c r="N12" s="3">
        <f>SUM(Table1[[#This Row],[January]:[December]])</f>
        <v>457775</v>
      </c>
    </row>
    <row r="13" spans="1:14" outlineLevel="1" x14ac:dyDescent="0.2">
      <c r="A13" t="s">
        <v>25</v>
      </c>
      <c r="B13">
        <v>42935</v>
      </c>
      <c r="C13">
        <v>60051</v>
      </c>
      <c r="D13">
        <v>38114</v>
      </c>
      <c r="E13">
        <v>41239</v>
      </c>
      <c r="F13">
        <v>38178</v>
      </c>
      <c r="G13">
        <v>46352</v>
      </c>
      <c r="H13">
        <v>36933</v>
      </c>
      <c r="I13">
        <v>40246</v>
      </c>
      <c r="J13">
        <v>61214</v>
      </c>
      <c r="K13">
        <v>49261</v>
      </c>
      <c r="L13">
        <v>55507</v>
      </c>
      <c r="M13">
        <v>63686</v>
      </c>
      <c r="N13" s="3">
        <f>SUM(Table1[[#This Row],[January]:[December]])</f>
        <v>573716</v>
      </c>
    </row>
    <row r="14" spans="1:14" outlineLevel="1" x14ac:dyDescent="0.2">
      <c r="A14" t="s">
        <v>26</v>
      </c>
      <c r="B14">
        <v>25817</v>
      </c>
      <c r="C14">
        <v>25851</v>
      </c>
      <c r="D14">
        <v>30813</v>
      </c>
      <c r="E14">
        <v>27666</v>
      </c>
      <c r="F14">
        <v>28498</v>
      </c>
      <c r="G14">
        <v>40364</v>
      </c>
      <c r="H14">
        <v>26997</v>
      </c>
      <c r="I14">
        <v>29169</v>
      </c>
      <c r="J14">
        <v>33012</v>
      </c>
      <c r="K14">
        <v>32506</v>
      </c>
      <c r="L14">
        <v>39672</v>
      </c>
      <c r="M14">
        <v>61055</v>
      </c>
      <c r="N14" s="3">
        <f>SUM(Table1[[#This Row],[January]:[December]])</f>
        <v>401420</v>
      </c>
    </row>
    <row r="15" spans="1:14" outlineLevel="1" x14ac:dyDescent="0.2">
      <c r="A15" t="s">
        <v>27</v>
      </c>
      <c r="B15">
        <v>124312</v>
      </c>
      <c r="C15">
        <v>166682</v>
      </c>
      <c r="D15">
        <v>97610</v>
      </c>
      <c r="E15">
        <v>97544</v>
      </c>
      <c r="F15">
        <v>87044</v>
      </c>
      <c r="G15">
        <v>87839</v>
      </c>
      <c r="H15">
        <v>91007</v>
      </c>
      <c r="I15">
        <v>93442</v>
      </c>
      <c r="J15">
        <v>86815</v>
      </c>
      <c r="K15">
        <v>85014</v>
      </c>
      <c r="L15">
        <v>129357</v>
      </c>
      <c r="M15">
        <v>88251</v>
      </c>
      <c r="N15" s="3">
        <f>SUM(Table1[[#This Row],[January]:[December]])</f>
        <v>1234917</v>
      </c>
    </row>
    <row r="16" spans="1:14" x14ac:dyDescent="0.2">
      <c r="A16" s="4" t="s">
        <v>28</v>
      </c>
      <c r="B16" s="5">
        <f t="shared" ref="B16:M16" si="1">SUM(B17:B19)</f>
        <v>119656</v>
      </c>
      <c r="C16" s="5">
        <f t="shared" si="1"/>
        <v>116971</v>
      </c>
      <c r="D16" s="5">
        <f t="shared" si="1"/>
        <v>104874</v>
      </c>
      <c r="E16" s="5">
        <f t="shared" si="1"/>
        <v>86594</v>
      </c>
      <c r="F16" s="5">
        <f t="shared" si="1"/>
        <v>68772</v>
      </c>
      <c r="G16" s="5">
        <f t="shared" si="1"/>
        <v>85919</v>
      </c>
      <c r="H16" s="5">
        <f t="shared" si="1"/>
        <v>87242</v>
      </c>
      <c r="I16" s="5">
        <f t="shared" si="1"/>
        <v>65452</v>
      </c>
      <c r="J16" s="5">
        <f t="shared" si="1"/>
        <v>63962</v>
      </c>
      <c r="K16" s="5">
        <f t="shared" si="1"/>
        <v>82416</v>
      </c>
      <c r="L16" s="5">
        <f t="shared" si="1"/>
        <v>111835</v>
      </c>
      <c r="M16" s="5">
        <f t="shared" si="1"/>
        <v>111189</v>
      </c>
      <c r="N16" s="3">
        <f>SUM(Table1[[#This Row],[January]:[December]])</f>
        <v>1104882</v>
      </c>
    </row>
    <row r="17" spans="1:14" outlineLevel="1" x14ac:dyDescent="0.2">
      <c r="A17" t="s">
        <v>29</v>
      </c>
      <c r="B17">
        <v>18785</v>
      </c>
      <c r="C17">
        <v>21950</v>
      </c>
      <c r="D17">
        <v>19389</v>
      </c>
      <c r="E17">
        <v>14265</v>
      </c>
      <c r="F17">
        <v>11170</v>
      </c>
      <c r="G17">
        <v>7441</v>
      </c>
      <c r="H17">
        <v>10003</v>
      </c>
      <c r="I17">
        <v>9540</v>
      </c>
      <c r="J17">
        <v>8963</v>
      </c>
      <c r="K17">
        <v>13392</v>
      </c>
      <c r="L17">
        <v>20881</v>
      </c>
      <c r="M17">
        <v>17612</v>
      </c>
      <c r="N17" s="3">
        <f>SUM(Table1[[#This Row],[January]:[December]])</f>
        <v>173391</v>
      </c>
    </row>
    <row r="18" spans="1:14" outlineLevel="1" x14ac:dyDescent="0.2">
      <c r="A18" t="s">
        <v>30</v>
      </c>
      <c r="B18">
        <v>92538</v>
      </c>
      <c r="C18">
        <v>87676</v>
      </c>
      <c r="D18">
        <v>78356</v>
      </c>
      <c r="E18">
        <v>64892</v>
      </c>
      <c r="F18">
        <v>51955</v>
      </c>
      <c r="G18">
        <v>73715</v>
      </c>
      <c r="H18">
        <v>72509</v>
      </c>
      <c r="I18">
        <v>51166</v>
      </c>
      <c r="J18">
        <v>49769</v>
      </c>
      <c r="K18">
        <v>62083</v>
      </c>
      <c r="L18">
        <v>81044</v>
      </c>
      <c r="M18">
        <v>83024</v>
      </c>
      <c r="N18" s="3">
        <f>SUM(Table1[[#This Row],[January]:[December]])</f>
        <v>848727</v>
      </c>
    </row>
    <row r="19" spans="1:14" outlineLevel="1" x14ac:dyDescent="0.2">
      <c r="A19" t="s">
        <v>31</v>
      </c>
      <c r="B19">
        <v>8333</v>
      </c>
      <c r="C19">
        <v>7345</v>
      </c>
      <c r="D19">
        <v>7129</v>
      </c>
      <c r="E19">
        <v>7437</v>
      </c>
      <c r="F19">
        <v>5647</v>
      </c>
      <c r="G19">
        <v>4763</v>
      </c>
      <c r="H19">
        <v>4730</v>
      </c>
      <c r="I19">
        <v>4746</v>
      </c>
      <c r="J19">
        <v>5230</v>
      </c>
      <c r="K19">
        <v>6941</v>
      </c>
      <c r="L19">
        <v>9910</v>
      </c>
      <c r="M19">
        <v>10553</v>
      </c>
      <c r="N19" s="3">
        <f>SUM(Table1[[#This Row],[January]:[December]])</f>
        <v>82764</v>
      </c>
    </row>
    <row r="20" spans="1:14" x14ac:dyDescent="0.2">
      <c r="A20" s="6" t="s">
        <v>32</v>
      </c>
      <c r="B20" s="7">
        <f t="shared" ref="B20:M20" si="2">SUM(B21:B34)</f>
        <v>266644</v>
      </c>
      <c r="C20" s="7">
        <f t="shared" si="2"/>
        <v>239702</v>
      </c>
      <c r="D20" s="7">
        <f t="shared" si="2"/>
        <v>285526</v>
      </c>
      <c r="E20" s="7">
        <f t="shared" si="2"/>
        <v>247050</v>
      </c>
      <c r="F20" s="7">
        <f t="shared" si="2"/>
        <v>162550</v>
      </c>
      <c r="G20" s="7">
        <f t="shared" si="2"/>
        <v>138750</v>
      </c>
      <c r="H20" s="7">
        <f t="shared" si="2"/>
        <v>191942</v>
      </c>
      <c r="I20" s="7">
        <f t="shared" si="2"/>
        <v>214925</v>
      </c>
      <c r="J20" s="7">
        <f t="shared" si="2"/>
        <v>161503</v>
      </c>
      <c r="K20" s="7">
        <f t="shared" si="2"/>
        <v>218096</v>
      </c>
      <c r="L20" s="7">
        <f t="shared" si="2"/>
        <v>329963</v>
      </c>
      <c r="M20" s="8">
        <f t="shared" si="2"/>
        <v>313851</v>
      </c>
      <c r="N20" s="3">
        <f>SUM(Table1[[#This Row],[January]:[December]])</f>
        <v>2770502</v>
      </c>
    </row>
    <row r="21" spans="1:14" outlineLevel="1" x14ac:dyDescent="0.2">
      <c r="A21" t="s">
        <v>33</v>
      </c>
      <c r="B21">
        <v>42515</v>
      </c>
      <c r="C21">
        <v>36500</v>
      </c>
      <c r="D21">
        <v>45639</v>
      </c>
      <c r="E21">
        <v>41806</v>
      </c>
      <c r="F21">
        <v>43671</v>
      </c>
      <c r="G21">
        <v>49718</v>
      </c>
      <c r="H21">
        <v>55289</v>
      </c>
      <c r="I21">
        <v>61534</v>
      </c>
      <c r="J21">
        <v>58489</v>
      </c>
      <c r="K21">
        <v>66534</v>
      </c>
      <c r="L21">
        <v>91145</v>
      </c>
      <c r="M21">
        <v>96874</v>
      </c>
      <c r="N21" s="3">
        <f>SUM(Table1[[#This Row],[January]:[December]])</f>
        <v>689714</v>
      </c>
    </row>
    <row r="22" spans="1:14" outlineLevel="1" x14ac:dyDescent="0.2">
      <c r="A22" t="s">
        <v>34</v>
      </c>
      <c r="B22">
        <v>3764</v>
      </c>
      <c r="C22">
        <v>4068</v>
      </c>
      <c r="D22">
        <v>2922</v>
      </c>
      <c r="E22">
        <v>2337</v>
      </c>
      <c r="F22">
        <v>989</v>
      </c>
      <c r="G22">
        <v>2767</v>
      </c>
      <c r="H22">
        <v>5197</v>
      </c>
      <c r="I22">
        <v>1235</v>
      </c>
      <c r="J22">
        <v>1384</v>
      </c>
      <c r="K22">
        <v>1791</v>
      </c>
      <c r="L22">
        <v>2904</v>
      </c>
      <c r="M22">
        <v>3906</v>
      </c>
      <c r="N22" s="3">
        <f>SUM(Table1[[#This Row],[January]:[December]])</f>
        <v>33264</v>
      </c>
    </row>
    <row r="23" spans="1:14" outlineLevel="1" x14ac:dyDescent="0.2">
      <c r="A23" t="s">
        <v>35</v>
      </c>
      <c r="B23">
        <v>6048</v>
      </c>
      <c r="C23">
        <v>5038</v>
      </c>
      <c r="D23">
        <v>3960</v>
      </c>
      <c r="E23">
        <v>2628</v>
      </c>
      <c r="F23">
        <v>1504</v>
      </c>
      <c r="G23">
        <v>2236</v>
      </c>
      <c r="H23">
        <v>2616</v>
      </c>
      <c r="I23">
        <v>1384</v>
      </c>
      <c r="J23">
        <v>1475</v>
      </c>
      <c r="K23">
        <v>2295</v>
      </c>
      <c r="L23">
        <v>3921</v>
      </c>
      <c r="M23">
        <v>6394</v>
      </c>
      <c r="N23" s="3">
        <f>SUM(Table1[[#This Row],[January]:[December]])</f>
        <v>39499</v>
      </c>
    </row>
    <row r="24" spans="1:14" outlineLevel="1" x14ac:dyDescent="0.2">
      <c r="A24" t="s">
        <v>36</v>
      </c>
      <c r="B24">
        <v>8678</v>
      </c>
      <c r="C24">
        <v>12653</v>
      </c>
      <c r="D24">
        <v>9674</v>
      </c>
      <c r="E24">
        <v>3656</v>
      </c>
      <c r="F24">
        <v>2246</v>
      </c>
      <c r="G24">
        <v>1406</v>
      </c>
      <c r="H24">
        <v>2128</v>
      </c>
      <c r="I24">
        <v>2478</v>
      </c>
      <c r="J24">
        <v>3044</v>
      </c>
      <c r="K24">
        <v>3582</v>
      </c>
      <c r="L24">
        <v>12737</v>
      </c>
      <c r="M24">
        <v>10646</v>
      </c>
      <c r="N24" s="3">
        <f>SUM(Table1[[#This Row],[January]:[December]])</f>
        <v>72928</v>
      </c>
    </row>
    <row r="25" spans="1:14" outlineLevel="1" x14ac:dyDescent="0.2">
      <c r="A25" t="s">
        <v>37</v>
      </c>
      <c r="B25">
        <v>27994</v>
      </c>
      <c r="C25">
        <v>33331</v>
      </c>
      <c r="D25">
        <v>34935</v>
      </c>
      <c r="E25">
        <v>28579</v>
      </c>
      <c r="F25">
        <v>14615</v>
      </c>
      <c r="G25">
        <v>11396</v>
      </c>
      <c r="H25">
        <v>16081</v>
      </c>
      <c r="I25">
        <v>22419</v>
      </c>
      <c r="J25">
        <v>16900</v>
      </c>
      <c r="K25">
        <v>22758</v>
      </c>
      <c r="L25">
        <v>34457</v>
      </c>
      <c r="M25">
        <v>27574</v>
      </c>
      <c r="N25" s="3">
        <f>SUM(Table1[[#This Row],[January]:[December]])</f>
        <v>291039</v>
      </c>
    </row>
    <row r="26" spans="1:14" outlineLevel="1" x14ac:dyDescent="0.2">
      <c r="A26" t="s">
        <v>38</v>
      </c>
      <c r="B26">
        <v>11490</v>
      </c>
      <c r="C26">
        <v>9699</v>
      </c>
      <c r="D26">
        <v>10544</v>
      </c>
      <c r="E26">
        <v>10763</v>
      </c>
      <c r="F26">
        <v>4946</v>
      </c>
      <c r="G26">
        <v>3866</v>
      </c>
      <c r="H26">
        <v>5491</v>
      </c>
      <c r="I26">
        <v>16210</v>
      </c>
      <c r="J26">
        <v>5576</v>
      </c>
      <c r="K26">
        <v>6674</v>
      </c>
      <c r="L26">
        <v>12609</v>
      </c>
      <c r="M26">
        <v>9490</v>
      </c>
      <c r="N26" s="3">
        <f>SUM(Table1[[#This Row],[January]:[December]])</f>
        <v>107358</v>
      </c>
    </row>
    <row r="27" spans="1:14" outlineLevel="1" x14ac:dyDescent="0.2">
      <c r="A27" t="s">
        <v>39</v>
      </c>
      <c r="B27">
        <v>4898</v>
      </c>
      <c r="C27">
        <v>6120</v>
      </c>
      <c r="D27">
        <v>5158</v>
      </c>
      <c r="E27">
        <v>4013</v>
      </c>
      <c r="F27">
        <v>1694</v>
      </c>
      <c r="G27">
        <v>1301</v>
      </c>
      <c r="H27">
        <v>4536</v>
      </c>
      <c r="I27">
        <v>1603</v>
      </c>
      <c r="J27">
        <v>1778</v>
      </c>
      <c r="K27">
        <v>2946</v>
      </c>
      <c r="L27">
        <v>3454</v>
      </c>
      <c r="M27">
        <v>3909</v>
      </c>
      <c r="N27" s="3">
        <f>SUM(Table1[[#This Row],[January]:[December]])</f>
        <v>41410</v>
      </c>
    </row>
    <row r="28" spans="1:14" outlineLevel="1" x14ac:dyDescent="0.2">
      <c r="A28" t="s">
        <v>40</v>
      </c>
      <c r="B28">
        <v>28012</v>
      </c>
      <c r="C28">
        <v>35034</v>
      </c>
      <c r="D28">
        <v>39370</v>
      </c>
      <c r="E28">
        <v>35220</v>
      </c>
      <c r="F28">
        <v>22528</v>
      </c>
      <c r="G28">
        <v>13590</v>
      </c>
      <c r="H28">
        <v>24534</v>
      </c>
      <c r="I28">
        <v>28333</v>
      </c>
      <c r="J28">
        <v>17026</v>
      </c>
      <c r="K28">
        <v>26552</v>
      </c>
      <c r="L28">
        <v>38957</v>
      </c>
      <c r="M28">
        <v>28573</v>
      </c>
      <c r="N28" s="3">
        <f>SUM(Table1[[#This Row],[January]:[December]])</f>
        <v>337729</v>
      </c>
    </row>
    <row r="29" spans="1:14" outlineLevel="1" x14ac:dyDescent="0.2">
      <c r="A29" t="s">
        <v>41</v>
      </c>
      <c r="B29">
        <v>33435</v>
      </c>
      <c r="C29">
        <v>39148</v>
      </c>
      <c r="D29">
        <v>41026</v>
      </c>
      <c r="E29">
        <v>41779</v>
      </c>
      <c r="F29">
        <v>23659</v>
      </c>
      <c r="G29">
        <v>20319</v>
      </c>
      <c r="H29">
        <v>26248</v>
      </c>
      <c r="I29">
        <v>27901</v>
      </c>
      <c r="J29">
        <v>19751</v>
      </c>
      <c r="K29">
        <v>27736</v>
      </c>
      <c r="L29">
        <v>36548</v>
      </c>
      <c r="M29">
        <v>30768</v>
      </c>
      <c r="N29" s="3">
        <f>SUM(Table1[[#This Row],[January]:[December]])</f>
        <v>368318</v>
      </c>
    </row>
    <row r="30" spans="1:14" outlineLevel="1" x14ac:dyDescent="0.2">
      <c r="A30" t="s">
        <v>42</v>
      </c>
      <c r="B30">
        <v>3999</v>
      </c>
      <c r="C30">
        <v>4172</v>
      </c>
      <c r="D30">
        <v>3734</v>
      </c>
      <c r="E30">
        <v>4497</v>
      </c>
      <c r="F30">
        <v>1648</v>
      </c>
      <c r="G30">
        <v>1441</v>
      </c>
      <c r="H30">
        <v>3664</v>
      </c>
      <c r="I30">
        <v>2023</v>
      </c>
      <c r="J30">
        <v>1987</v>
      </c>
      <c r="K30">
        <v>3317</v>
      </c>
      <c r="L30">
        <v>4886</v>
      </c>
      <c r="M30">
        <v>4507</v>
      </c>
      <c r="N30" s="3">
        <f>SUM(Table1[[#This Row],[January]:[December]])</f>
        <v>39875</v>
      </c>
    </row>
    <row r="31" spans="1:14" outlineLevel="1" x14ac:dyDescent="0.2">
      <c r="A31" t="s">
        <v>43</v>
      </c>
      <c r="B31">
        <v>7595</v>
      </c>
      <c r="C31">
        <v>8525</v>
      </c>
      <c r="D31">
        <v>8870</v>
      </c>
      <c r="E31">
        <v>8503</v>
      </c>
      <c r="F31">
        <v>5126</v>
      </c>
      <c r="G31">
        <v>3878</v>
      </c>
      <c r="H31">
        <v>11913</v>
      </c>
      <c r="I31">
        <v>8690</v>
      </c>
      <c r="J31">
        <v>5109</v>
      </c>
      <c r="K31">
        <v>6473</v>
      </c>
      <c r="L31">
        <v>9482</v>
      </c>
      <c r="M31">
        <v>7545</v>
      </c>
      <c r="N31" s="3">
        <f>SUM(Table1[[#This Row],[January]:[December]])</f>
        <v>91709</v>
      </c>
    </row>
    <row r="32" spans="1:14" outlineLevel="1" x14ac:dyDescent="0.2">
      <c r="A32" t="s">
        <v>44</v>
      </c>
      <c r="B32">
        <v>5584</v>
      </c>
      <c r="C32">
        <v>6052</v>
      </c>
      <c r="D32">
        <v>6430</v>
      </c>
      <c r="E32">
        <v>7256</v>
      </c>
      <c r="F32">
        <v>5562</v>
      </c>
      <c r="G32">
        <v>5152</v>
      </c>
      <c r="H32">
        <v>8340</v>
      </c>
      <c r="I32">
        <v>15922</v>
      </c>
      <c r="J32">
        <v>8240</v>
      </c>
      <c r="K32">
        <v>8846</v>
      </c>
      <c r="L32">
        <v>12270</v>
      </c>
      <c r="M32">
        <v>7788</v>
      </c>
      <c r="N32" s="3">
        <f>SUM(Table1[[#This Row],[January]:[December]])</f>
        <v>97442</v>
      </c>
    </row>
    <row r="33" spans="1:14" outlineLevel="1" x14ac:dyDescent="0.2">
      <c r="A33" t="s">
        <v>45</v>
      </c>
      <c r="B33">
        <v>2531</v>
      </c>
      <c r="C33">
        <v>3164</v>
      </c>
      <c r="D33">
        <v>3874</v>
      </c>
      <c r="E33">
        <v>3570</v>
      </c>
      <c r="F33">
        <v>1868</v>
      </c>
      <c r="G33">
        <v>1290</v>
      </c>
      <c r="H33">
        <v>4878</v>
      </c>
      <c r="I33">
        <v>2899</v>
      </c>
      <c r="J33">
        <v>2556</v>
      </c>
      <c r="K33">
        <v>3083</v>
      </c>
      <c r="L33">
        <v>4726</v>
      </c>
      <c r="M33">
        <v>3127</v>
      </c>
      <c r="N33" s="3">
        <f>SUM(Table1[[#This Row],[January]:[December]])</f>
        <v>37566</v>
      </c>
    </row>
    <row r="34" spans="1:14" outlineLevel="1" x14ac:dyDescent="0.2">
      <c r="A34" t="s">
        <v>46</v>
      </c>
      <c r="B34">
        <v>80101</v>
      </c>
      <c r="C34">
        <v>36198</v>
      </c>
      <c r="D34">
        <v>69390</v>
      </c>
      <c r="E34">
        <v>52443</v>
      </c>
      <c r="F34">
        <v>32494</v>
      </c>
      <c r="G34">
        <v>20390</v>
      </c>
      <c r="H34">
        <v>21027</v>
      </c>
      <c r="I34">
        <v>22294</v>
      </c>
      <c r="J34">
        <v>18188</v>
      </c>
      <c r="K34">
        <v>35509</v>
      </c>
      <c r="L34">
        <v>61867</v>
      </c>
      <c r="M34">
        <v>72750</v>
      </c>
      <c r="N34" s="3">
        <f>SUM(Table1[[#This Row],[January]:[December]])</f>
        <v>522651</v>
      </c>
    </row>
    <row r="35" spans="1:14" x14ac:dyDescent="0.2">
      <c r="A35" s="9" t="s">
        <v>47</v>
      </c>
      <c r="B35" s="10">
        <f t="shared" ref="B35:M35" si="3">SUM(B36:B38)</f>
        <v>72243</v>
      </c>
      <c r="C35" s="10">
        <f t="shared" si="3"/>
        <v>41464</v>
      </c>
      <c r="D35" s="10">
        <f t="shared" si="3"/>
        <v>46383</v>
      </c>
      <c r="E35" s="10">
        <f t="shared" si="3"/>
        <v>65218</v>
      </c>
      <c r="F35" s="10">
        <f t="shared" si="3"/>
        <v>39720</v>
      </c>
      <c r="G35" s="10">
        <f t="shared" si="3"/>
        <v>39216</v>
      </c>
      <c r="H35" s="10">
        <f t="shared" si="3"/>
        <v>53273</v>
      </c>
      <c r="I35" s="10">
        <f t="shared" si="3"/>
        <v>38823</v>
      </c>
      <c r="J35" s="10">
        <f t="shared" si="3"/>
        <v>48682</v>
      </c>
      <c r="K35" s="10">
        <f t="shared" si="3"/>
        <v>51156</v>
      </c>
      <c r="L35" s="10">
        <f t="shared" si="3"/>
        <v>53663</v>
      </c>
      <c r="M35" s="10">
        <f t="shared" si="3"/>
        <v>57563</v>
      </c>
      <c r="N35" s="3">
        <f>SUM(Table1[[#This Row],[January]:[December]])</f>
        <v>607404</v>
      </c>
    </row>
    <row r="36" spans="1:14" outlineLevel="1" x14ac:dyDescent="0.2">
      <c r="A36" t="s">
        <v>48</v>
      </c>
      <c r="B36">
        <v>5604</v>
      </c>
      <c r="C36">
        <v>3031</v>
      </c>
      <c r="D36">
        <v>3978</v>
      </c>
      <c r="E36">
        <v>6691</v>
      </c>
      <c r="F36">
        <v>3960</v>
      </c>
      <c r="G36">
        <v>4226</v>
      </c>
      <c r="H36">
        <v>5409</v>
      </c>
      <c r="I36">
        <v>4387</v>
      </c>
      <c r="J36">
        <v>5284</v>
      </c>
      <c r="K36">
        <v>4731</v>
      </c>
      <c r="L36">
        <v>5055</v>
      </c>
      <c r="M36">
        <v>4772</v>
      </c>
      <c r="N36" s="3">
        <f>SUM(Table1[[#This Row],[January]:[December]])</f>
        <v>57128</v>
      </c>
    </row>
    <row r="37" spans="1:14" outlineLevel="1" x14ac:dyDescent="0.2">
      <c r="A37" t="s">
        <v>49</v>
      </c>
      <c r="B37">
        <v>66504</v>
      </c>
      <c r="C37">
        <v>38313</v>
      </c>
      <c r="D37">
        <v>42303</v>
      </c>
      <c r="E37">
        <v>58379</v>
      </c>
      <c r="F37">
        <v>35597</v>
      </c>
      <c r="G37">
        <v>34869</v>
      </c>
      <c r="H37">
        <v>47701</v>
      </c>
      <c r="I37">
        <v>34313</v>
      </c>
      <c r="J37">
        <v>43255</v>
      </c>
      <c r="K37">
        <v>46236</v>
      </c>
      <c r="L37">
        <v>48410</v>
      </c>
      <c r="M37">
        <v>52591</v>
      </c>
      <c r="N37" s="3">
        <f>SUM(Table1[[#This Row],[January]:[December]])</f>
        <v>548471</v>
      </c>
    </row>
    <row r="38" spans="1:14" outlineLevel="1" x14ac:dyDescent="0.2">
      <c r="A38" t="s">
        <v>50</v>
      </c>
      <c r="B38">
        <v>135</v>
      </c>
      <c r="C38">
        <v>120</v>
      </c>
      <c r="D38">
        <v>102</v>
      </c>
      <c r="E38">
        <v>148</v>
      </c>
      <c r="F38">
        <v>163</v>
      </c>
      <c r="G38">
        <v>121</v>
      </c>
      <c r="H38">
        <v>163</v>
      </c>
      <c r="I38">
        <v>123</v>
      </c>
      <c r="J38">
        <v>143</v>
      </c>
      <c r="K38">
        <v>189</v>
      </c>
      <c r="L38">
        <v>198</v>
      </c>
      <c r="M38">
        <v>200</v>
      </c>
      <c r="N38" s="3">
        <f>SUM(Table1[[#This Row],[January]:[December]])</f>
        <v>1805</v>
      </c>
    </row>
    <row r="39" spans="1:14" x14ac:dyDescent="0.2">
      <c r="A39" s="11" t="s">
        <v>51</v>
      </c>
      <c r="B39" s="12">
        <f t="shared" ref="B39:M39" si="4">SUM(B40)</f>
        <v>5035</v>
      </c>
      <c r="C39" s="12">
        <f t="shared" si="4"/>
        <v>4123</v>
      </c>
      <c r="D39" s="12">
        <f t="shared" si="4"/>
        <v>3166</v>
      </c>
      <c r="E39" s="12">
        <f t="shared" si="4"/>
        <v>5248</v>
      </c>
      <c r="F39" s="12">
        <f t="shared" si="4"/>
        <v>4042</v>
      </c>
      <c r="G39" s="12">
        <f t="shared" si="4"/>
        <v>3576</v>
      </c>
      <c r="H39" s="12">
        <f t="shared" si="4"/>
        <v>4874</v>
      </c>
      <c r="I39" s="12">
        <f t="shared" si="4"/>
        <v>5733</v>
      </c>
      <c r="J39" s="12">
        <f t="shared" si="4"/>
        <v>4862</v>
      </c>
      <c r="K39" s="12">
        <f t="shared" si="4"/>
        <v>5148</v>
      </c>
      <c r="L39" s="12">
        <f t="shared" si="4"/>
        <v>5418</v>
      </c>
      <c r="M39" s="12">
        <f t="shared" si="4"/>
        <v>5037</v>
      </c>
      <c r="N39" s="3">
        <f>SUM(Table1[[#This Row],[January]:[December]])</f>
        <v>56262</v>
      </c>
    </row>
    <row r="40" spans="1:14" outlineLevel="1" x14ac:dyDescent="0.2">
      <c r="A40" t="s">
        <v>52</v>
      </c>
      <c r="B40">
        <v>5035</v>
      </c>
      <c r="C40">
        <v>4123</v>
      </c>
      <c r="D40">
        <v>3166</v>
      </c>
      <c r="E40">
        <v>5248</v>
      </c>
      <c r="F40">
        <v>4042</v>
      </c>
      <c r="G40">
        <v>3576</v>
      </c>
      <c r="H40">
        <v>4874</v>
      </c>
      <c r="I40">
        <v>5733</v>
      </c>
      <c r="J40">
        <v>4862</v>
      </c>
      <c r="K40">
        <v>5148</v>
      </c>
      <c r="L40">
        <v>5418</v>
      </c>
      <c r="M40">
        <v>5037</v>
      </c>
      <c r="N40" s="3">
        <f>SUM(Table1[[#This Row],[January]:[December]])</f>
        <v>56262</v>
      </c>
    </row>
    <row r="41" spans="1:14" x14ac:dyDescent="0.2">
      <c r="A41" t="s">
        <v>13</v>
      </c>
      <c r="B41" s="13">
        <f t="shared" ref="B41:M41" si="5">B2+B16+B20+B35+B39</f>
        <v>2070466</v>
      </c>
      <c r="C41" s="13">
        <f t="shared" si="5"/>
        <v>1893933</v>
      </c>
      <c r="D41" s="13">
        <f t="shared" si="5"/>
        <v>2054309</v>
      </c>
      <c r="E41" s="13">
        <f t="shared" si="5"/>
        <v>1654681</v>
      </c>
      <c r="F41" s="13">
        <f t="shared" si="5"/>
        <v>1528352</v>
      </c>
      <c r="G41" s="13">
        <f t="shared" si="5"/>
        <v>1462867</v>
      </c>
      <c r="H41" s="13">
        <f t="shared" si="5"/>
        <v>1562588</v>
      </c>
      <c r="I41" s="13">
        <f t="shared" si="5"/>
        <v>1684972</v>
      </c>
      <c r="J41" s="13">
        <f t="shared" si="5"/>
        <v>1523388</v>
      </c>
      <c r="K41" s="13">
        <f t="shared" si="5"/>
        <v>1732942</v>
      </c>
      <c r="L41" s="13">
        <f t="shared" si="5"/>
        <v>1978174</v>
      </c>
      <c r="M41" s="13">
        <f t="shared" si="5"/>
        <v>2021619</v>
      </c>
      <c r="N41" s="13">
        <f>SUM(Table1[[#Totals],[January]:[December]])</f>
        <v>21168291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VNAT_scrape_data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Nguyen</dc:creator>
  <cp:lastModifiedBy>Hoang Nguyen</cp:lastModifiedBy>
  <dcterms:created xsi:type="dcterms:W3CDTF">2026-05-24T22:07:53Z</dcterms:created>
  <dcterms:modified xsi:type="dcterms:W3CDTF">2026-05-24T22:08:11Z</dcterms:modified>
</cp:coreProperties>
</file>